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63a4b56a341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6dcf427eaef4f80"/>
    <x:sheet xmlns:r="http://schemas.openxmlformats.org/officeDocument/2006/relationships" name="01_Assumptions" sheetId="2" r:id="R3081ee5c396c46ed"/>
    <x:sheet xmlns:r="http://schemas.openxmlformats.org/officeDocument/2006/relationships" name="02_Market_Cycle" sheetId="3" r:id="R3718970aadc64807"/>
    <x:sheet xmlns:r="http://schemas.openxmlformats.org/officeDocument/2006/relationships" name="03_Event_Catalog" sheetId="4" r:id="R053cba39384a4408"/>
    <x:sheet xmlns:r="http://schemas.openxmlformats.org/officeDocument/2006/relationships" name="04_Building_Sensitivity" sheetId="5" r:id="R933bbc4fc90a4b68"/>
    <x:sheet xmlns:r="http://schemas.openxmlformats.org/officeDocument/2006/relationships" name="05_Stage_Access" sheetId="6" r:id="R484425b8ff884d62"/>
    <x:sheet xmlns:r="http://schemas.openxmlformats.org/officeDocument/2006/relationships" name="06_Decision_Events" sheetId="7" r:id="R0df34d2705494884"/>
    <x:sheet xmlns:r="http://schemas.openxmlformats.org/officeDocument/2006/relationships" name="07_Event_Missions" sheetId="8" r:id="R165056d797534c30"/>
    <x:sheet xmlns:r="http://schemas.openxmlformats.org/officeDocument/2006/relationships" name="08_Event_Rewards" sheetId="9" r:id="R9d97263288d84d70"/>
    <x:sheet xmlns:r="http://schemas.openxmlformats.org/officeDocument/2006/relationships" name="09_Stacking_Rules" sheetId="10" r:id="Rbffc1d146301423c"/>
    <x:sheet xmlns:r="http://schemas.openxmlformats.org/officeDocument/2006/relationships" name="10_Cooldowns" sheetId="11" r:id="R7e1e6b4d933a4feb"/>
    <x:sheet xmlns:r="http://schemas.openxmlformats.org/officeDocument/2006/relationships" name="11_Performance_Link" sheetId="12" r:id="Rb25d85c87fd54efc"/>
    <x:sheet xmlns:r="http://schemas.openxmlformats.org/officeDocument/2006/relationships" name="12_Scenarios" sheetId="13" r:id="R7275030a9e504b9b"/>
    <x:sheet xmlns:r="http://schemas.openxmlformats.org/officeDocument/2006/relationships" name="13_LiveOps" sheetId="14" r:id="R917b33d8e753435a"/>
    <x:sheet xmlns:r="http://schemas.openxmlformats.org/officeDocument/2006/relationships" name="14_Technical_Rules" sheetId="15" r:id="R716f5e7cfda24761"/>
    <x:sheet xmlns:r="http://schemas.openxmlformats.org/officeDocument/2006/relationships" name="15_Model_Checks" sheetId="16" r:id="R526e17ffd5ee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;[Red](0.0%);-"/>
    <x:numFmt numFmtId="201" formatCode="$#,##0;[Red]($#,##0);-"/>
    <x:numFmt numFmtId="202" formatCode="0.00;[Red](0.00);-"/>
    <x:numFmt numFmtId="203" formatCode="#,##0;[Red](#,##0);-"/>
    <x:numFmt numFmtId="204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0F243E"/>
      </x:patternFill>
    </x:fill>
    <x:fill>
      <x:patternFill patternType="solid">
        <x:fgColor rgb="FF0F243E"/>
      </x:patternFill>
    </x:fill>
    <x:fill>
      <x:patternFill patternType="solid">
        <x:fgColor rgb="FF0F243E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14" xfId="0" applyNumberFormat="1" applyFont="1" applyFill="1" applyBorder="1" applyAlignment="1">
      <x:alignment vertical="top" wrapText="1"/>
    </x:xf>
    <x:xf numFmtId="201" fontId="3" fillId="0" borderId="22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0" fontId="0" fillId="0" borderId="20" xfId="0" applyNumberFormat="1" applyFont="1" applyFill="1" applyBorder="1" applyAlignment="1">
      <x:alignment vertical="top" wrapText="1"/>
    </x:xf>
    <x:xf numFmtId="200" fontId="0" fillId="0" borderId="23" xfId="0" applyNumberFormat="1" applyFont="1" applyFill="1" applyBorder="1" applyAlignment="1">
      <x:alignment vertical="top" wrapText="1"/>
    </x:xf>
    <x:xf numFmtId="200" fontId="3" fillId="0" borderId="9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0" fontId="3" fillId="0" borderId="14" xfId="0" applyNumberFormat="1" applyFont="1" applyFill="1" applyBorder="1" applyAlignment="1">
      <x:alignment vertical="top" wrapText="1"/>
    </x:xf>
    <x:xf numFmtId="202" fontId="3" fillId="0" borderId="14" xfId="0" applyNumberFormat="1" applyFont="1" applyFill="1" applyBorder="1" applyAlignment="1">
      <x:alignment vertical="top" wrapText="1"/>
    </x:xf>
    <x:xf numFmtId="200" fontId="3" fillId="0" borderId="17" xfId="0" applyNumberFormat="1" applyFont="1" applyFill="1" applyBorder="1" applyAlignment="1">
      <x:alignment vertical="top" wrapText="1"/>
    </x:xf>
    <x:xf numFmtId="202" fontId="3" fillId="0" borderId="17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0" fontId="3" fillId="0" borderId="22" xfId="0" applyNumberFormat="1" applyFont="1" applyFill="1" applyBorder="1" applyAlignment="1">
      <x:alignment vertical="top" wrapText="1"/>
    </x:xf>
    <x:xf numFmtId="202" fontId="3" fillId="0" borderId="22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3" fontId="0" fillId="0" borderId="12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3" fontId="0" fillId="0" borderId="18" xfId="0" applyNumberFormat="1" applyFont="1" applyFill="1" applyBorder="1" applyAlignment="1">
      <x:alignment vertical="top" wrapText="1"/>
    </x:xf>
    <x:xf numFmtId="203" fontId="0" fillId="0" borderId="20" xfId="0" applyNumberFormat="1" applyFont="1" applyFill="1" applyBorder="1" applyAlignment="1">
      <x:alignment vertical="top" wrapText="1"/>
    </x:xf>
    <x:xf numFmtId="203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FFF200"/>
        </x:patternFill>
      </x:fill>
    </x:dxf>
    <x:dxf>
      <x:font>
        <x:b/>
        <x:color rgb="FF14532D"/>
      </x:font>
      <x:fill>
        <x:patternFill>
          <x:bgColor rgb="FFDDEFE2"/>
        </x:patternFill>
      </x:fill>
    </x:dxf>
    <x:dxf>
      <x:font>
        <x:b/>
        <x:color rgb="FF7F1D1D"/>
      </x:font>
      <x:fill>
        <x:patternFill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be5bacc4e04a14" /><Relationship Type="http://schemas.openxmlformats.org/officeDocument/2006/relationships/theme" Target="/xl/theme/theme1.xml" Id="R3cfeed66b0c14b6d" /><Relationship Type="http://schemas.openxmlformats.org/officeDocument/2006/relationships/sharedStrings" Target="/xl/sharedStrings.xml" Id="Rdd34bccc6c4e466a" /><Relationship Type="http://schemas.openxmlformats.org/officeDocument/2006/relationships/worksheet" Target="/xl/worksheets/sheet1.xml" Id="Rb6dcf427eaef4f80" /><Relationship Type="http://schemas.openxmlformats.org/officeDocument/2006/relationships/worksheet" Target="/xl/worksheets/sheet2.xml" Id="R3081ee5c396c46ed" /><Relationship Type="http://schemas.openxmlformats.org/officeDocument/2006/relationships/worksheet" Target="/xl/worksheets/sheet3.xml" Id="R3718970aadc64807" /><Relationship Type="http://schemas.openxmlformats.org/officeDocument/2006/relationships/worksheet" Target="/xl/worksheets/sheet4.xml" Id="R053cba39384a4408" /><Relationship Type="http://schemas.openxmlformats.org/officeDocument/2006/relationships/worksheet" Target="/xl/worksheets/sheet5.xml" Id="R933bbc4fc90a4b68" /><Relationship Type="http://schemas.openxmlformats.org/officeDocument/2006/relationships/worksheet" Target="/xl/worksheets/sheet6.xml" Id="R484425b8ff884d62" /><Relationship Type="http://schemas.openxmlformats.org/officeDocument/2006/relationships/worksheet" Target="/xl/worksheets/sheet7.xml" Id="R0df34d2705494884" /><Relationship Type="http://schemas.openxmlformats.org/officeDocument/2006/relationships/worksheet" Target="/xl/worksheets/sheet8.xml" Id="R165056d797534c30" /><Relationship Type="http://schemas.openxmlformats.org/officeDocument/2006/relationships/worksheet" Target="/xl/worksheets/sheet9.xml" Id="R9d97263288d84d70" /><Relationship Type="http://schemas.openxmlformats.org/officeDocument/2006/relationships/worksheet" Target="/xl/worksheets/sheet10.xml" Id="Rbffc1d146301423c" /><Relationship Type="http://schemas.openxmlformats.org/officeDocument/2006/relationships/worksheet" Target="/xl/worksheets/sheet11.xml" Id="R7e1e6b4d933a4feb" /><Relationship Type="http://schemas.openxmlformats.org/officeDocument/2006/relationships/worksheet" Target="/xl/worksheets/sheet12.xml" Id="Rb25d85c87fd54efc" /><Relationship Type="http://schemas.openxmlformats.org/officeDocument/2006/relationships/worksheet" Target="/xl/worksheets/sheet13.xml" Id="R7275030a9e504b9b" /><Relationship Type="http://schemas.openxmlformats.org/officeDocument/2006/relationships/worksheet" Target="/xl/worksheets/sheet14.xml" Id="R917b33d8e753435a" /><Relationship Type="http://schemas.openxmlformats.org/officeDocument/2006/relationships/worksheet" Target="/xl/worksheets/sheet15.xml" Id="R716f5e7cfda24761" /><Relationship Type="http://schemas.openxmlformats.org/officeDocument/2006/relationships/worksheet" Target="/xl/worksheets/sheet16.xml" Id="R526e17ffd5ee41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aaf65c68ce4e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Recommended event spawn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Share of Spawn Pool</c:v>
          </c:tx>
          <c:cat>
            <c:strRef>
              <c:f>'00_Dashboard'!$A$8:$A$15</c:f>
              <c:strCache>
                <c:ptCount val="0"/>
              </c:strCache>
            </c:strRef>
          </c:cat>
          <c:val>
            <c:numRef>
              <c:f>'00_Dashboard'!$B$8:$B$15</c:f>
              <c:numCache>
                <c:formatCode>0.0%;[Red](0.0%);-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aaf65c68ce4ea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2a36050eaa47a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PLOT — Events &amp; Market Cycle Balance v0.1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22"/>
      <x:c r="N1" s="22"/>
      <x:c r="O1" s="22"/>
      <x:c r="P1" s="22"/>
      <x:c r="Q1" s="22"/>
    </x:row>
    <x:row r="3">
      <x:c r="A3" s="14" t="str">
        <x:v>System Goal</x:v>
      </x:c>
      <x:c r="B3" s="14" t="str">
        <x:v>Global Cycle States</x:v>
      </x:c>
      <x:c r="C3" s="14" t="str">
        <x:v>Launch Event Catalog</x:v>
      </x:c>
      <x:c r="D3" s="14" t="str">
        <x:v>Decision Events</x:v>
      </x:c>
      <x:c r="E3" s="14" t="str">
        <x:v>Base Global Events/Week</x:v>
      </x:c>
      <x:c r="F3" s="14" t="str">
        <x:v>Base Personal Events/Week</x:v>
      </x:c>
      <x:c r="G3" s="14" t="str">
        <x:v>Major Event Cooldown</x:v>
      </x:c>
      <x:c r="H3" s="14" t="str">
        <x:v>Crisis Cooldown</x:v>
      </x:c>
      <x:c r="I3" s="14" t="str">
        <x:v>Performance Rule</x:v>
      </x:c>
      <x:c r="J3" s="14" t="str">
        <x:v>Stock Reward Rule</x:v>
      </x:c>
      <x:c r="K3" s="14" t="str">
        <x:v>Player Agency</x:v>
      </x:c>
      <x:c r="L3" s="14" t="str">
        <x:v>Design Principle</x:v>
      </x:c>
    </x:row>
    <x:row r="4">
      <x:c r="A4" s="24" t="str">
        <x:v>Make the financial world feel alive without turning outcomes into random punishment</x:v>
      </x:c>
      <x:c r="B4" s="25" t="n">
        <x:v>7</x:v>
      </x:c>
      <x:c r="C4" s="25" t="n">
        <x:v>40</x:v>
      </x:c>
      <x:c r="D4" s="25" t="n">
        <x:v>12</x:v>
      </x:c>
      <x:c r="E4" s="25" t="n">
        <x:v>2.5</x:v>
      </x:c>
      <x:c r="F4" s="25" t="n">
        <x:v>3</x:v>
      </x:c>
      <x:c r="G4" s="25" t="str">
        <x:v>24h</x:v>
      </x:c>
      <x:c r="H4" s="25" t="str">
        <x:v>7d</x:v>
      </x:c>
      <x:c r="I4" s="25" t="str">
        <x:v>Events modify activity but do not directly grant uncapped score</x:v>
      </x:c>
      <x:c r="J4" s="25" t="str">
        <x:v>Events can bias Market Hunts, never create uncapped stock liability</x:v>
      </x:c>
      <x:c r="K4" s="25" t="str">
        <x:v>Major negative events should offer at least one meaningful response</x:v>
      </x:c>
      <x:c r="L4" s="26" t="str">
        <x:v>Events create decisions, not arbitrary losses</x:v>
      </x:c>
    </x:row>
    <x:row r="6" ht="22" customHeight="1">
      <x:c r="A6" s="31" t="str">
        <x:v>Recommended Event Mix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</x:row>
    <x:row r="7">
      <x:c r="A7" s="14" t="str">
        <x:v>Category</x:v>
      </x:c>
      <x:c r="B7" s="14" t="str">
        <x:v>Share of Spawn Pool</x:v>
      </x:c>
      <x:c r="C7" s="14" t="str">
        <x:v>Typical Tone</x:v>
      </x:c>
      <x:c r="D7" s="14" t="str">
        <x:v>Stage Range</x:v>
      </x:c>
      <x:c r="E7" s="14" t="str">
        <x:v>Typical Duration</x:v>
      </x:c>
      <x:c r="F7" s="14" t="str">
        <x:v>Player Choice?</x:v>
      </x:c>
      <x:c r="G7" s="14" t="str">
        <x:v>Performance Relevance</x:v>
      </x:c>
      <x:c r="H7" s="14" t="str">
        <x:v>Example</x:v>
      </x:c>
    </x:row>
    <x:row r="8">
      <x:c r="A8" s="34" t="str">
        <x:v>Macro</x:v>
      </x:c>
      <x:c r="B8" s="50" t="n">
        <x:v>0.15</x:v>
      </x:c>
      <x:c r="C8" s="35" t="str">
        <x:v>Mixed</x:v>
      </x:c>
      <x:c r="D8" s="35" t="str">
        <x:v>Starter+</x:v>
      </x:c>
      <x:c r="E8" s="35" t="str">
        <x:v>24–72h</x:v>
      </x:c>
      <x:c r="F8" s="35" t="str">
        <x:v>Sometimes</x:v>
      </x:c>
      <x:c r="G8" s="35" t="str">
        <x:v>Indirect</x:v>
      </x:c>
      <x:c r="H8" s="36" t="str">
        <x:v>Rate Cut</x:v>
      </x:c>
    </x:row>
    <x:row r="9">
      <x:c r="A9" s="37" t="str">
        <x:v>Market</x:v>
      </x:c>
      <x:c r="B9" s="51" t="n">
        <x:v>0.2</x:v>
      </x:c>
      <x:c r="C9" s="22" t="str">
        <x:v>Mixed</x:v>
      </x:c>
      <x:c r="D9" s="22" t="str">
        <x:v>Humble+</x:v>
      </x:c>
      <x:c r="E9" s="22" t="str">
        <x:v>12–48h</x:v>
      </x:c>
      <x:c r="F9" s="22" t="str">
        <x:v>Sometimes</x:v>
      </x:c>
      <x:c r="G9" s="22" t="str">
        <x:v>Indirect</x:v>
      </x:c>
      <x:c r="H9" s="38" t="str">
        <x:v>Bull Market</x:v>
      </x:c>
    </x:row>
    <x:row r="10">
      <x:c r="A10" s="37" t="str">
        <x:v>Sector</x:v>
      </x:c>
      <x:c r="B10" s="51" t="n">
        <x:v>0.15</x:v>
      </x:c>
      <x:c r="C10" s="22" t="str">
        <x:v>Mostly opportunity</x:v>
      </x:c>
      <x:c r="D10" s="22" t="str">
        <x:v>Starter+</x:v>
      </x:c>
      <x:c r="E10" s="22" t="str">
        <x:v>12–36h</x:v>
      </x:c>
      <x:c r="F10" s="22" t="str">
        <x:v>Rare</x:v>
      </x:c>
      <x:c r="G10" s="22" t="str">
        <x:v>Indirect</x:v>
      </x:c>
      <x:c r="H10" s="38" t="str">
        <x:v>AI Mania</x:v>
      </x:c>
    </x:row>
    <x:row r="11">
      <x:c r="A11" s="37" t="str">
        <x:v>Customer</x:v>
      </x:c>
      <x:c r="B11" s="51" t="n">
        <x:v>0.15</x:v>
      </x:c>
      <x:c r="C11" s="22" t="str">
        <x:v>Opportunity / pressure</x:v>
      </x:c>
      <x:c r="D11" s="22" t="str">
        <x:v>Humble+</x:v>
      </x:c>
      <x:c r="E11" s="22" t="str">
        <x:v>8–36h</x:v>
      </x:c>
      <x:c r="F11" s="22" t="str">
        <x:v>Often</x:v>
      </x:c>
      <x:c r="G11" s="22" t="str">
        <x:v>Indirect</x:v>
      </x:c>
      <x:c r="H11" s="38" t="str">
        <x:v>Retail Investor Rush</x:v>
      </x:c>
    </x:row>
    <x:row r="12">
      <x:c r="A12" s="37" t="str">
        <x:v>Operational</x:v>
      </x:c>
      <x:c r="B12" s="51" t="n">
        <x:v>0.12</x:v>
      </x:c>
      <x:c r="C12" s="22" t="str">
        <x:v>Pressure</x:v>
      </x:c>
      <x:c r="D12" s="22" t="str">
        <x:v>Starter+</x:v>
      </x:c>
      <x:c r="E12" s="22" t="str">
        <x:v>6–24h</x:v>
      </x:c>
      <x:c r="F12" s="22" t="str">
        <x:v>Often</x:v>
      </x:c>
      <x:c r="G12" s="22" t="str">
        <x:v>Indirect</x:v>
      </x:c>
      <x:c r="H12" s="38" t="str">
        <x:v>System Outage</x:v>
      </x:c>
    </x:row>
    <x:row r="13">
      <x:c r="A13" s="37" t="str">
        <x:v>Risk/Crisis</x:v>
      </x:c>
      <x:c r="B13" s="51" t="n">
        <x:v>0.08</x:v>
      </x:c>
      <x:c r="C13" s="22" t="str">
        <x:v>Negative / strategic</x:v>
      </x:c>
      <x:c r="D13" s="22" t="str">
        <x:v>Growing+</x:v>
      </x:c>
      <x:c r="E13" s="22" t="str">
        <x:v>12–48h</x:v>
      </x:c>
      <x:c r="F13" s="22" t="str">
        <x:v>Yes</x:v>
      </x:c>
      <x:c r="G13" s="22" t="str">
        <x:v>Indirect</x:v>
      </x:c>
      <x:c r="H13" s="38" t="str">
        <x:v>Liquidity Crunch</x:v>
      </x:c>
    </x:row>
    <x:row r="14">
      <x:c r="A14" s="37" t="str">
        <x:v>Corporate</x:v>
      </x:c>
      <x:c r="B14" s="51" t="n">
        <x:v>0.08</x:v>
      </x:c>
      <x:c r="C14" s="22" t="str">
        <x:v>Opportunity</x:v>
      </x:c>
      <x:c r="D14" s="22" t="str">
        <x:v>Growing+</x:v>
      </x:c>
      <x:c r="E14" s="22" t="str">
        <x:v>24–72h</x:v>
      </x:c>
      <x:c r="F14" s="22" t="str">
        <x:v>Sometimes</x:v>
      </x:c>
      <x:c r="G14" s="22" t="str">
        <x:v>Indirect</x:v>
      </x:c>
      <x:c r="H14" s="38" t="str">
        <x:v>IPO Week</x:v>
      </x:c>
    </x:row>
    <x:row r="15">
      <x:c r="A15" s="39" t="str">
        <x:v>Prestige/Seasonal</x:v>
      </x:c>
      <x:c r="B15" s="52" t="n">
        <x:v>0.07</x:v>
      </x:c>
      <x:c r="C15" s="40" t="str">
        <x:v>High-value</x:v>
      </x:c>
      <x:c r="D15" s="40" t="str">
        <x:v>Established+</x:v>
      </x:c>
      <x:c r="E15" s="40" t="str">
        <x:v>24–72h</x:v>
      </x:c>
      <x:c r="F15" s="40" t="str">
        <x:v>Yes</x:v>
      </x:c>
      <x:c r="G15" s="40" t="str">
        <x:v>Indirect</x:v>
      </x:c>
      <x:c r="H15" s="41" t="str">
        <x:v>World Market Week</x:v>
      </x:c>
    </x:row>
    <x:row r="17" ht="22" customHeight="1">
      <x:c r="A17" s="31" t="str">
        <x:v>Core Event Guardrails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</x:row>
    <x:row r="18">
      <x:c r="A18" s="14" t="str">
        <x:v>Rule</x:v>
      </x:c>
      <x:c r="B18" s="14" t="str">
        <x:v>Specification</x:v>
      </x:c>
    </x:row>
    <x:row r="19">
      <x:c r="A19" s="34" t="str">
        <x:v>No direct permanent destruction</x:v>
      </x:c>
      <x:c r="B19" s="36" t="str">
        <x:v>A bad event can reduce activity, Cash flow, or reputation temporarily, but should not erase months of progress.</x:v>
      </x:c>
    </x:row>
    <x:row r="20">
      <x:c r="A20" s="37" t="str">
        <x:v>Negative events need agency</x:v>
      </x:c>
      <x:c r="B20" s="38" t="str">
        <x:v>For major pressure events, give the player a response such as inject reserves, reduce exposure, insure, pause activity, or accept higher risk.</x:v>
      </x:c>
    </x:row>
    <x:row r="21">
      <x:c r="A21" s="37" t="str">
        <x:v>No event-generated $PLOT printing</x:v>
      </x:c>
      <x:c r="B21" s="38" t="str">
        <x:v>Events affect Performance inputs; weekly $PLOT still comes only from the fixed payout pool.</x:v>
      </x:c>
    </x:row>
    <x:row r="22">
      <x:c r="A22" s="37" t="str">
        <x:v>Stock rewards remain budgeted</x:v>
      </x:c>
      <x:c r="B22" s="38" t="str">
        <x:v>Event Hunts draw from the funded stock reward pool and follow throttling rules.</x:v>
      </x:c>
    </x:row>
    <x:row r="23">
      <x:c r="A23" s="37" t="str">
        <x:v>No repeated crisis loops</x:v>
      </x:c>
      <x:c r="B23" s="38" t="str">
        <x:v>Crisis events have global and personal cooldowns.</x:v>
      </x:c>
    </x:row>
    <x:row r="24">
      <x:c r="A24" s="39" t="str">
        <x:v>Stage-appropriate intensity</x:v>
      </x:c>
      <x:c r="B24" s="41" t="str">
        <x:v>Humble players get understandable events; complex systemic events unlock later.</x:v>
      </x:c>
    </x:row>
  </x:sheetData>
  <x:mergeCells>
    <x:mergeCell ref="A1:L1"/>
    <x:mergeCell ref="A6:L6"/>
    <x:mergeCell ref="A17:L17"/>
  </x:mergeCells>
  <x:pageMargins left="0.7" right="0.7" top="0.75" bottom="0.75" header="0.3" footer="0.3"/>
  <x:drawing xmlns:r="http://schemas.openxmlformats.org/officeDocument/2006/relationships" r:id="Rf82a36050eaa47a4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Global Event Assumptions &amp; Live-Ops Inputs</x:v>
      </x:c>
      <x:c r="B1" s="108"/>
      <x:c r="C1" s="108"/>
      <x:c r="D1" s="108"/>
      <x:c r="E1" s="108"/>
      <x:c r="F1" s="108"/>
      <x:c r="G1" s="108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4" t="str">
        <x:v>Global Events per Week</x:v>
      </x:c>
      <x:c r="B4" s="56" t="n">
        <x:v>2.5</x:v>
      </x:c>
      <x:c r="C4" s="35" t="str">
        <x:v>events</x:v>
      </x:c>
      <x:c r="D4" s="35" t="str">
        <x:v>Yes</x:v>
      </x:c>
      <x:c r="E4" s="35" t="str">
        <x:v>Average number of broad market events</x:v>
      </x:c>
      <x:c r="F4" s="35" t="str">
        <x:v>2–4</x:v>
      </x:c>
      <x:c r="G4" s="36" t="str">
        <x:v>Major global modifiers</x:v>
      </x:c>
    </x:row>
    <x:row r="5">
      <x:c r="A5" s="37" t="str">
        <x:v>Personal Events per Week</x:v>
      </x:c>
      <x:c r="B5" s="57" t="n">
        <x:v>3</x:v>
      </x:c>
      <x:c r="C5" s="22" t="str">
        <x:v>events</x:v>
      </x:c>
      <x:c r="D5" s="22" t="str">
        <x:v>Yes</x:v>
      </x:c>
      <x:c r="E5" s="22" t="str">
        <x:v>Average business/player-specific events</x:v>
      </x:c>
      <x:c r="F5" s="22" t="str">
        <x:v>2–5</x:v>
      </x:c>
      <x:c r="G5" s="38" t="str">
        <x:v>Stage adjusted</x:v>
      </x:c>
    </x:row>
    <x:row r="6">
      <x:c r="A6" s="37" t="str">
        <x:v>Minor Event Min Duration</x:v>
      </x:c>
      <x:c r="B6" s="57" t="n">
        <x:v>8</x:v>
      </x:c>
      <x:c r="C6" s="22" t="str">
        <x:v>hours</x:v>
      </x:c>
      <x:c r="D6" s="22" t="str">
        <x:v>Yes</x:v>
      </x:c>
      <x:c r="E6" s="22" t="str">
        <x:v>Short event lower bound</x:v>
      </x:c>
      <x:c r="F6" s="22" t="str">
        <x:v>4–12</x:v>
      </x:c>
      <x:c r="G6" s="38" t="str"/>
    </x:row>
    <x:row r="7">
      <x:c r="A7" s="37" t="str">
        <x:v>Major Event Default Duration</x:v>
      </x:c>
      <x:c r="B7" s="57" t="n">
        <x:v>36</x:v>
      </x:c>
      <x:c r="C7" s="22" t="str">
        <x:v>hours</x:v>
      </x:c>
      <x:c r="D7" s="22" t="str">
        <x:v>Yes</x:v>
      </x:c>
      <x:c r="E7" s="22" t="str">
        <x:v>Core event window</x:v>
      </x:c>
      <x:c r="F7" s="22" t="str">
        <x:v>24–48</x:v>
      </x:c>
      <x:c r="G7" s="38" t="str"/>
    </x:row>
    <x:row r="8">
      <x:c r="A8" s="37" t="str">
        <x:v>Seasonal Event Default Duration</x:v>
      </x:c>
      <x:c r="B8" s="57" t="n">
        <x:v>72</x:v>
      </x:c>
      <x:c r="C8" s="22" t="str">
        <x:v>hours</x:v>
      </x:c>
      <x:c r="D8" s="22" t="str">
        <x:v>Yes</x:v>
      </x:c>
      <x:c r="E8" s="22" t="str">
        <x:v>Large event window</x:v>
      </x:c>
      <x:c r="F8" s="22" t="str">
        <x:v>48–96</x:v>
      </x:c>
      <x:c r="G8" s="38" t="str"/>
    </x:row>
    <x:row r="9">
      <x:c r="A9" s="37" t="str">
        <x:v>Major Negative Cooldown</x:v>
      </x:c>
      <x:c r="B9" s="57" t="n">
        <x:v>24</x:v>
      </x:c>
      <x:c r="C9" s="22" t="str">
        <x:v>hours</x:v>
      </x:c>
      <x:c r="D9" s="22" t="str">
        <x:v>Yes</x:v>
      </x:c>
      <x:c r="E9" s="22" t="str">
        <x:v>Prevents back-to-back pressure</x:v>
      </x:c>
      <x:c r="F9" s="22" t="str">
        <x:v>18–48</x:v>
      </x:c>
      <x:c r="G9" s="38" t="str">
        <x:v>Per player</x:v>
      </x:c>
    </x:row>
    <x:row r="10">
      <x:c r="A10" s="37" t="str">
        <x:v>Crisis Cooldown</x:v>
      </x:c>
      <x:c r="B10" s="57" t="n">
        <x:v>168</x:v>
      </x:c>
      <x:c r="C10" s="22" t="str">
        <x:v>hours</x:v>
      </x:c>
      <x:c r="D10" s="22" t="str">
        <x:v>Yes</x:v>
      </x:c>
      <x:c r="E10" s="22" t="str">
        <x:v>Maximum crisis frequency</x:v>
      </x:c>
      <x:c r="F10" s="22" t="str">
        <x:v>120–336</x:v>
      </x:c>
      <x:c r="G10" s="38" t="str">
        <x:v>7 days default</x:v>
      </x:c>
    </x:row>
    <x:row r="11">
      <x:c r="A11" s="37" t="str">
        <x:v>Max Concurrent Global Events</x:v>
      </x:c>
      <x:c r="B11" s="57" t="n">
        <x:v>2</x:v>
      </x:c>
      <x:c r="C11" s="22" t="str">
        <x:v>events</x:v>
      </x:c>
      <x:c r="D11" s="22" t="str">
        <x:v>Yes</x:v>
      </x:c>
      <x:c r="E11" s="22" t="str">
        <x:v>Avoid modifier overload</x:v>
      </x:c>
      <x:c r="F11" s="22" t="str">
        <x:v>1–3</x:v>
      </x:c>
      <x:c r="G11" s="38" t="str"/>
    </x:row>
    <x:row r="12">
      <x:c r="A12" s="37" t="str">
        <x:v>Max Concurrent Personal Events</x:v>
      </x:c>
      <x:c r="B12" s="57" t="n">
        <x:v>2</x:v>
      </x:c>
      <x:c r="C12" s="22" t="str">
        <x:v>events</x:v>
      </x:c>
      <x:c r="D12" s="22" t="str">
        <x:v>Yes</x:v>
      </x:c>
      <x:c r="E12" s="22" t="str">
        <x:v>Avoid mission clutter</x:v>
      </x:c>
      <x:c r="F12" s="22" t="str">
        <x:v>1–3</x:v>
      </x:c>
      <x:c r="G12" s="38" t="str"/>
    </x:row>
    <x:row r="13">
      <x:c r="A13" s="37" t="str">
        <x:v>Positive Event Spawn Bias</x:v>
      </x:c>
      <x:c r="B13" s="62" t="n">
        <x:v>0.52</x:v>
      </x:c>
      <x:c r="C13" s="22" t="str">
        <x:v>%</x:v>
      </x:c>
      <x:c r="D13" s="22" t="str">
        <x:v>Yes</x:v>
      </x:c>
      <x:c r="E13" s="22" t="str">
        <x:v>Slight optimism in event mix</x:v>
      </x:c>
      <x:c r="F13" s="22" t="str">
        <x:v>45%–60%</x:v>
      </x:c>
      <x:c r="G13" s="38" t="str">
        <x:v>Mixed events counted neutral</x:v>
      </x:c>
    </x:row>
    <x:row r="14">
      <x:c r="A14" s="37" t="str">
        <x:v>Neutral/Mixed Spawn Bias</x:v>
      </x:c>
      <x:c r="B14" s="62" t="n">
        <x:v>0.28</x:v>
      </x:c>
      <x:c r="C14" s="22" t="str">
        <x:v>%</x:v>
      </x:c>
      <x:c r="D14" s="22" t="str">
        <x:v>Yes</x:v>
      </x:c>
      <x:c r="E14" s="22" t="str">
        <x:v>Strategic non-binary events</x:v>
      </x:c>
      <x:c r="F14" s="22" t="str">
        <x:v>20%–35%</x:v>
      </x:c>
      <x:c r="G14" s="38" t="str"/>
    </x:row>
    <x:row r="15">
      <x:c r="A15" s="37" t="str">
        <x:v>Negative Event Spawn Bias</x:v>
      </x:c>
      <x:c r="B15" s="62" t="n">
        <x:v>0.2</x:v>
      </x:c>
      <x:c r="C15" s="22" t="str">
        <x:v>%</x:v>
      </x:c>
      <x:c r="D15" s="22" t="str">
        <x:v>Yes</x:v>
      </x:c>
      <x:c r="E15" s="22" t="str">
        <x:v>Pressure without exhaustion</x:v>
      </x:c>
      <x:c r="F15" s="22" t="str">
        <x:v>15%–25%</x:v>
      </x:c>
      <x:c r="G15" s="38" t="str"/>
    </x:row>
    <x:row r="16">
      <x:c r="A16" s="37" t="str">
        <x:v>Max Single Revenue Modifier</x:v>
      </x:c>
      <x:c r="B16" s="62" t="n">
        <x:v>0.3</x:v>
      </x:c>
      <x:c r="C16" s="22" t="str">
        <x:v>%</x:v>
      </x:c>
      <x:c r="D16" s="22" t="str">
        <x:v>Yes</x:v>
      </x:c>
      <x:c r="E16" s="22" t="str">
        <x:v>Cap on one event revenue impact</x:v>
      </x:c>
      <x:c r="F16" s="22" t="str">
        <x:v>20%–40%</x:v>
      </x:c>
      <x:c r="G16" s="38" t="str">
        <x:v>Before stacking controls</x:v>
      </x:c>
    </x:row>
    <x:row r="17">
      <x:c r="A17" s="37" t="str">
        <x:v>Max Single Activity Modifier</x:v>
      </x:c>
      <x:c r="B17" s="62" t="n">
        <x:v>0.35</x:v>
      </x:c>
      <x:c r="C17" s="22" t="str">
        <x:v>%</x:v>
      </x:c>
      <x:c r="D17" s="22" t="str">
        <x:v>Yes</x:v>
      </x:c>
      <x:c r="E17" s="22" t="str">
        <x:v>Cap on one event activity impact</x:v>
      </x:c>
      <x:c r="F17" s="22" t="str">
        <x:v>20%–40%</x:v>
      </x:c>
      <x:c r="G17" s="38" t="str"/>
    </x:row>
    <x:row r="18">
      <x:c r="A18" s="37" t="str">
        <x:v>Max Single Demand Modifier</x:v>
      </x:c>
      <x:c r="B18" s="62" t="n">
        <x:v>0.3</x:v>
      </x:c>
      <x:c r="C18" s="22" t="str">
        <x:v>%</x:v>
      </x:c>
      <x:c r="D18" s="22" t="str">
        <x:v>Yes</x:v>
      </x:c>
      <x:c r="E18" s="22" t="str">
        <x:v>Cap on one event demand impact</x:v>
      </x:c>
      <x:c r="F18" s="22" t="str">
        <x:v>20%–40%</x:v>
      </x:c>
      <x:c r="G18" s="38" t="str"/>
    </x:row>
    <x:row r="19">
      <x:c r="A19" s="37" t="str">
        <x:v>Event Stack Soft Cap</x:v>
      </x:c>
      <x:c r="B19" s="62" t="n">
        <x:v>0.4</x:v>
      </x:c>
      <x:c r="C19" s="22" t="str">
        <x:v>%</x:v>
      </x:c>
      <x:c r="D19" s="22" t="str">
        <x:v>Yes</x:v>
      </x:c>
      <x:c r="E19" s="22" t="str">
        <x:v>Combined same-direction soft cap</x:v>
      </x:c>
      <x:c r="F19" s="22" t="str">
        <x:v>30%–50%</x:v>
      </x:c>
      <x:c r="G19" s="38" t="str">
        <x:v>Additional modifiers diminish</x:v>
      </x:c>
    </x:row>
    <x:row r="20">
      <x:c r="A20" s="37" t="str">
        <x:v>Event Performance Bonus Cap</x:v>
      </x:c>
      <x:c r="B20" s="57" t="n">
        <x:v>5</x:v>
      </x:c>
      <x:c r="C20" s="22" t="str">
        <x:v>points</x:v>
      </x:c>
      <x:c r="D20" s="22" t="str">
        <x:v>Yes</x:v>
      </x:c>
      <x:c r="E20" s="22" t="str">
        <x:v>Max direct event-mission subscore points</x:v>
      </x:c>
      <x:c r="F20" s="22" t="str">
        <x:v>3–8</x:v>
      </x:c>
      <x:c r="G20" s="38" t="str">
        <x:v>Does not bypass overall score model</x:v>
      </x:c>
    </x:row>
    <x:row r="21">
      <x:c r="A21" s="39" t="str">
        <x:v>Event Cash Reward Budget / Player / Week</x:v>
      </x:c>
      <x:c r="B21" s="64" t="n">
        <x:v>5000</x:v>
      </x:c>
      <x:c r="C21" s="40" t="str">
        <x:v>Cash</x:v>
      </x:c>
      <x:c r="D21" s="40" t="str">
        <x:v>Yes</x:v>
      </x:c>
      <x:c r="E21" s="40" t="str">
        <x:v>Supplemental mission reward ceiling</x:v>
      </x:c>
      <x:c r="F21" s="40" t="str">
        <x:v>2,000–20,000</x:v>
      </x:c>
      <x:c r="G21" s="41" t="str">
        <x:v>Scales by stage elsewhere</x:v>
      </x:c>
    </x:row>
  </x:sheetData>
  <x:mergeCells>
    <x:mergeCell ref="A1:G1"/>
  </x:mergeCells>
  <x:conditionalFormatting sqref="B4:B21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Global Market Cycle States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22"/>
      <x:c r="O1" s="22"/>
      <x:c r="P1" s="22"/>
      <x:c r="Q1" s="22"/>
    </x:row>
    <x:row r="3">
      <x:c r="A3" s="14" t="str">
        <x:v>Cycle State</x:v>
      </x:c>
      <x:c r="B3" s="14" t="str">
        <x:v>Base Weekly Probability</x:v>
      </x:c>
      <x:c r="C3" s="14" t="str">
        <x:v>Typical Duration</x:v>
      </x:c>
      <x:c r="D3" s="14" t="str">
        <x:v>Demand Mult</x:v>
      </x:c>
      <x:c r="E3" s="14" t="str">
        <x:v>Activity Mult</x:v>
      </x:c>
      <x:c r="F3" s="14" t="str">
        <x:v>Revenue Mult</x:v>
      </x:c>
      <x:c r="G3" s="14" t="str">
        <x:v>Risk Mult</x:v>
      </x:c>
      <x:c r="H3" s="14" t="str">
        <x:v>Brokerage/Exchange</x:v>
      </x:c>
      <x:c r="I3" s="14" t="str">
        <x:v>Banking</x:v>
      </x:c>
      <x:c r="J3" s="14" t="str">
        <x:v>Fund/AUM</x:v>
      </x:c>
      <x:c r="K3" s="14" t="str">
        <x:v>Treasury</x:v>
      </x:c>
      <x:c r="L3" s="14" t="str">
        <x:v>Market Hunt Bias</x:v>
      </x:c>
      <x:c r="M3" s="14" t="str">
        <x:v>Stock Reward Bias</x:v>
      </x:c>
    </x:row>
    <x:row r="4">
      <x:c r="A4" s="34" t="str">
        <x:v>Expansion</x:v>
      </x:c>
      <x:c r="B4" s="50" t="n">
        <x:v>0.18</x:v>
      </x:c>
      <x:c r="C4" s="35" t="str">
        <x:v>3–7 days</x:v>
      </x:c>
      <x:c r="D4" s="66" t="n">
        <x:v>1.1</x:v>
      </x:c>
      <x:c r="E4" s="66" t="n">
        <x:v>1.1</x:v>
      </x:c>
      <x:c r="F4" s="66" t="n">
        <x:v>1.08</x:v>
      </x:c>
      <x:c r="G4" s="66" t="n">
        <x:v>0.9</x:v>
      </x:c>
      <x:c r="H4" s="66" t="n">
        <x:v>1.1</x:v>
      </x:c>
      <x:c r="I4" s="66" t="n">
        <x:v>1.06</x:v>
      </x:c>
      <x:c r="J4" s="66" t="n">
        <x:v>1.12</x:v>
      </x:c>
      <x:c r="K4" s="66" t="n">
        <x:v>0.95</x:v>
      </x:c>
      <x:c r="L4" s="35" t="str">
        <x:v>Growth, customer acquisition</x:v>
      </x:c>
      <x:c r="M4" s="36" t="str">
        <x:v>Growth / broad market</x:v>
      </x:c>
    </x:row>
    <x:row r="5">
      <x:c r="A5" s="37" t="str">
        <x:v>Bull Market</x:v>
      </x:c>
      <x:c r="B5" s="51" t="n">
        <x:v>0.16</x:v>
      </x:c>
      <x:c r="C5" s="22" t="str">
        <x:v>2–5 days</x:v>
      </x:c>
      <x:c r="D5" s="67" t="n">
        <x:v>1.12</x:v>
      </x:c>
      <x:c r="E5" s="67" t="n">
        <x:v>1.18</x:v>
      </x:c>
      <x:c r="F5" s="67" t="n">
        <x:v>1.15</x:v>
      </x:c>
      <x:c r="G5" s="67" t="n">
        <x:v>1</x:v>
      </x:c>
      <x:c r="H5" s="67" t="n">
        <x:v>1.25</x:v>
      </x:c>
      <x:c r="I5" s="67" t="n">
        <x:v>1.05</x:v>
      </x:c>
      <x:c r="J5" s="67" t="n">
        <x:v>1.18</x:v>
      </x:c>
      <x:c r="K5" s="67" t="n">
        <x:v>0.9</x:v>
      </x:c>
      <x:c r="L5" s="22" t="str">
        <x:v>Trading, fund, brokerage</x:v>
      </x:c>
      <x:c r="M5" s="38" t="str">
        <x:v>Equities / tech</x:v>
      </x:c>
    </x:row>
    <x:row r="6">
      <x:c r="A6" s="37" t="str">
        <x:v>Neutral</x:v>
      </x:c>
      <x:c r="B6" s="51" t="n">
        <x:v>0.24</x:v>
      </x:c>
      <x:c r="C6" s="22" t="str">
        <x:v>2–6 days</x:v>
      </x:c>
      <x:c r="D6" s="67" t="n">
        <x:v>1</x:v>
      </x:c>
      <x:c r="E6" s="67" t="n">
        <x:v>1</x:v>
      </x:c>
      <x:c r="F6" s="67" t="n">
        <x:v>1</x:v>
      </x:c>
      <x:c r="G6" s="67" t="n">
        <x:v>1</x:v>
      </x:c>
      <x:c r="H6" s="67" t="n">
        <x:v>1</x:v>
      </x:c>
      <x:c r="I6" s="67" t="n">
        <x:v>1</x:v>
      </x:c>
      <x:c r="J6" s="67" t="n">
        <x:v>1</x:v>
      </x:c>
      <x:c r="K6" s="67" t="n">
        <x:v>1</x:v>
      </x:c>
      <x:c r="L6" s="22" t="str">
        <x:v>Balanced</x:v>
      </x:c>
      <x:c r="M6" s="38" t="str">
        <x:v>Broad</x:v>
      </x:c>
    </x:row>
    <x:row r="7">
      <x:c r="A7" s="37" t="str">
        <x:v>Risk-Off</x:v>
      </x:c>
      <x:c r="B7" s="51" t="n">
        <x:v>0.14</x:v>
      </x:c>
      <x:c r="C7" s="22" t="str">
        <x:v>1–4 days</x:v>
      </x:c>
      <x:c r="D7" s="67" t="n">
        <x:v>0.95</x:v>
      </x:c>
      <x:c r="E7" s="67" t="n">
        <x:v>0.92</x:v>
      </x:c>
      <x:c r="F7" s="67" t="n">
        <x:v>0.94</x:v>
      </x:c>
      <x:c r="G7" s="67" t="n">
        <x:v>1.15</x:v>
      </x:c>
      <x:c r="H7" s="67" t="n">
        <x:v>0.88</x:v>
      </x:c>
      <x:c r="I7" s="67" t="n">
        <x:v>1.02</x:v>
      </x:c>
      <x:c r="J7" s="67" t="n">
        <x:v>0.9</x:v>
      </x:c>
      <x:c r="K7" s="67" t="n">
        <x:v>1.12</x:v>
      </x:c>
      <x:c r="L7" s="22" t="str">
        <x:v>Treasury, risk, savings</x:v>
      </x:c>
      <x:c r="M7" s="38" t="str">
        <x:v>SPY / defensive</x:v>
      </x:c>
    </x:row>
    <x:row r="8">
      <x:c r="A8" s="37" t="str">
        <x:v>Correction</x:v>
      </x:c>
      <x:c r="B8" s="51" t="n">
        <x:v>0.12</x:v>
      </x:c>
      <x:c r="C8" s="22" t="str">
        <x:v>1–3 days</x:v>
      </x:c>
      <x:c r="D8" s="67" t="n">
        <x:v>0.92</x:v>
      </x:c>
      <x:c r="E8" s="67" t="n">
        <x:v>1.05</x:v>
      </x:c>
      <x:c r="F8" s="67" t="n">
        <x:v>0.9</x:v>
      </x:c>
      <x:c r="G8" s="67" t="n">
        <x:v>1.22</x:v>
      </x:c>
      <x:c r="H8" s="67" t="n">
        <x:v>1.15</x:v>
      </x:c>
      <x:c r="I8" s="67" t="n">
        <x:v>0.95</x:v>
      </x:c>
      <x:c r="J8" s="67" t="n">
        <x:v>0.86</x:v>
      </x:c>
      <x:c r="K8" s="67" t="n">
        <x:v>1.18</x:v>
      </x:c>
      <x:c r="L8" s="22" t="str">
        <x:v>Volatility, risk, liquidity</x:v>
      </x:c>
      <x:c r="M8" s="38" t="str">
        <x:v>High-beta / broad</x:v>
      </x:c>
    </x:row>
    <x:row r="9">
      <x:c r="A9" s="37" t="str">
        <x:v>Crisis</x:v>
      </x:c>
      <x:c r="B9" s="51" t="n">
        <x:v>0.05</x:v>
      </x:c>
      <x:c r="C9" s="22" t="str">
        <x:v>12–36h</x:v>
      </x:c>
      <x:c r="D9" s="67" t="n">
        <x:v>0.82</x:v>
      </x:c>
      <x:c r="E9" s="67" t="n">
        <x:v>0.88</x:v>
      </x:c>
      <x:c r="F9" s="67" t="n">
        <x:v>0.78</x:v>
      </x:c>
      <x:c r="G9" s="67" t="n">
        <x:v>1.4</x:v>
      </x:c>
      <x:c r="H9" s="67" t="n">
        <x:v>1.2</x:v>
      </x:c>
      <x:c r="I9" s="67" t="n">
        <x:v>0.88</x:v>
      </x:c>
      <x:c r="J9" s="67" t="n">
        <x:v>0.75</x:v>
      </x:c>
      <x:c r="K9" s="67" t="n">
        <x:v>1.35</x:v>
      </x:c>
      <x:c r="L9" s="22" t="str">
        <x:v>Risk, treasury, liquidity</x:v>
      </x:c>
      <x:c r="M9" s="38" t="str">
        <x:v>Scarce / event pool</x:v>
      </x:c>
    </x:row>
    <x:row r="10">
      <x:c r="A10" s="39" t="str">
        <x:v>Recovery</x:v>
      </x:c>
      <x:c r="B10" s="52" t="n">
        <x:v>0.11</x:v>
      </x:c>
      <x:c r="C10" s="40" t="str">
        <x:v>1–4 days</x:v>
      </x:c>
      <x:c r="D10" s="68" t="n">
        <x:v>1.08</x:v>
      </x:c>
      <x:c r="E10" s="68" t="n">
        <x:v>1.12</x:v>
      </x:c>
      <x:c r="F10" s="68" t="n">
        <x:v>1.1</x:v>
      </x:c>
      <x:c r="G10" s="68" t="n">
        <x:v>0.95</x:v>
      </x:c>
      <x:c r="H10" s="68" t="n">
        <x:v>1.15</x:v>
      </x:c>
      <x:c r="I10" s="68" t="n">
        <x:v>1.04</x:v>
      </x:c>
      <x:c r="J10" s="68" t="n">
        <x:v>1.12</x:v>
      </x:c>
      <x:c r="K10" s="68" t="n">
        <x:v>0.98</x:v>
      </x:c>
      <x:c r="L10" s="40" t="str">
        <x:v>Growth after drawdown</x:v>
      </x:c>
      <x:c r="M10" s="41" t="str">
        <x:v>Broad / tech</x:v>
      </x:c>
    </x:row>
    <x:row r="12" ht="22" customHeight="1">
      <x:c r="A12" s="31" t="str">
        <x:v>Transition Matrix — Probability of Next Cycle State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</x:row>
    <x:row r="13">
      <x:c r="A13" s="14" t="str">
        <x:v>From \ To</x:v>
      </x:c>
      <x:c r="B13" s="14" t="str">
        <x:v>Expansion</x:v>
      </x:c>
      <x:c r="C13" s="14" t="str">
        <x:v>Bull Market</x:v>
      </x:c>
      <x:c r="D13" s="14" t="str">
        <x:v>Neutral</x:v>
      </x:c>
      <x:c r="E13" s="14" t="str">
        <x:v>Risk-Off</x:v>
      </x:c>
      <x:c r="F13" s="14" t="str">
        <x:v>Correction</x:v>
      </x:c>
      <x:c r="G13" s="14" t="str">
        <x:v>Crisis</x:v>
      </x:c>
      <x:c r="H13" s="14" t="str">
        <x:v>Recovery</x:v>
      </x:c>
    </x:row>
    <x:row r="14">
      <x:c r="A14" s="34" t="str">
        <x:v>Expansion</x:v>
      </x:c>
      <x:c r="B14" s="50" t="n">
        <x:v>0.35</x:v>
      </x:c>
      <x:c r="C14" s="50" t="n">
        <x:v>0.25</x:v>
      </x:c>
      <x:c r="D14" s="50" t="n">
        <x:v>0.2</x:v>
      </x:c>
      <x:c r="E14" s="50" t="n">
        <x:v>0.08</x:v>
      </x:c>
      <x:c r="F14" s="50" t="n">
        <x:v>0.05</x:v>
      </x:c>
      <x:c r="G14" s="50" t="n">
        <x:v>0.01</x:v>
      </x:c>
      <x:c r="H14" s="72" t="n">
        <x:v>0.06</x:v>
      </x:c>
    </x:row>
    <x:row r="15">
      <x:c r="A15" s="37" t="str">
        <x:v>Bull Market</x:v>
      </x:c>
      <x:c r="B15" s="51" t="n">
        <x:v>0.2</x:v>
      </x:c>
      <x:c r="C15" s="51" t="n">
        <x:v>0.35</x:v>
      </x:c>
      <x:c r="D15" s="51" t="n">
        <x:v>0.2</x:v>
      </x:c>
      <x:c r="E15" s="51" t="n">
        <x:v>0.08</x:v>
      </x:c>
      <x:c r="F15" s="51" t="n">
        <x:v>0.1</x:v>
      </x:c>
      <x:c r="G15" s="51" t="n">
        <x:v>0.01</x:v>
      </x:c>
      <x:c r="H15" s="73" t="n">
        <x:v>0.06</x:v>
      </x:c>
    </x:row>
    <x:row r="16">
      <x:c r="A16" s="37" t="str">
        <x:v>Neutral</x:v>
      </x:c>
      <x:c r="B16" s="51" t="n">
        <x:v>0.18</x:v>
      </x:c>
      <x:c r="C16" s="51" t="n">
        <x:v>0.15</x:v>
      </x:c>
      <x:c r="D16" s="51" t="n">
        <x:v>0.32</x:v>
      </x:c>
      <x:c r="E16" s="51" t="n">
        <x:v>0.14</x:v>
      </x:c>
      <x:c r="F16" s="51" t="n">
        <x:v>0.08</x:v>
      </x:c>
      <x:c r="G16" s="51" t="n">
        <x:v>0.02</x:v>
      </x:c>
      <x:c r="H16" s="73" t="n">
        <x:v>0.11</x:v>
      </x:c>
    </x:row>
    <x:row r="17">
      <x:c r="A17" s="37" t="str">
        <x:v>Risk-Off</x:v>
      </x:c>
      <x:c r="B17" s="51" t="n">
        <x:v>0.08</x:v>
      </x:c>
      <x:c r="C17" s="51" t="n">
        <x:v>0.05</x:v>
      </x:c>
      <x:c r="D17" s="51" t="n">
        <x:v>0.28</x:v>
      </x:c>
      <x:c r="E17" s="51" t="n">
        <x:v>0.3</x:v>
      </x:c>
      <x:c r="F17" s="51" t="n">
        <x:v>0.16</x:v>
      </x:c>
      <x:c r="G17" s="51" t="n">
        <x:v>0.04</x:v>
      </x:c>
      <x:c r="H17" s="73" t="n">
        <x:v>0.09</x:v>
      </x:c>
    </x:row>
    <x:row r="18">
      <x:c r="A18" s="37" t="str">
        <x:v>Correction</x:v>
      </x:c>
      <x:c r="B18" s="51" t="n">
        <x:v>0.04</x:v>
      </x:c>
      <x:c r="C18" s="51" t="n">
        <x:v>0.03</x:v>
      </x:c>
      <x:c r="D18" s="51" t="n">
        <x:v>0.2</x:v>
      </x:c>
      <x:c r="E18" s="51" t="n">
        <x:v>0.22</x:v>
      </x:c>
      <x:c r="F18" s="51" t="n">
        <x:v>0.25</x:v>
      </x:c>
      <x:c r="G18" s="51" t="n">
        <x:v>0.08</x:v>
      </x:c>
      <x:c r="H18" s="73" t="n">
        <x:v>0.18</x:v>
      </x:c>
    </x:row>
    <x:row r="19">
      <x:c r="A19" s="37" t="str">
        <x:v>Crisis</x:v>
      </x:c>
      <x:c r="B19" s="51" t="n">
        <x:v>0.01</x:v>
      </x:c>
      <x:c r="C19" s="51" t="n">
        <x:v>0.01</x:v>
      </x:c>
      <x:c r="D19" s="51" t="n">
        <x:v>0.1</x:v>
      </x:c>
      <x:c r="E19" s="51" t="n">
        <x:v>0.18</x:v>
      </x:c>
      <x:c r="F19" s="51" t="n">
        <x:v>0.2</x:v>
      </x:c>
      <x:c r="G19" s="51" t="n">
        <x:v>0.2</x:v>
      </x:c>
      <x:c r="H19" s="73" t="n">
        <x:v>0.3</x:v>
      </x:c>
    </x:row>
    <x:row r="20">
      <x:c r="A20" s="39" t="str">
        <x:v>Recovery</x:v>
      </x:c>
      <x:c r="B20" s="52" t="n">
        <x:v>0.18</x:v>
      </x:c>
      <x:c r="C20" s="52" t="n">
        <x:v>0.18</x:v>
      </x:c>
      <x:c r="D20" s="52" t="n">
        <x:v>0.25</x:v>
      </x:c>
      <x:c r="E20" s="52" t="n">
        <x:v>0.08</x:v>
      </x:c>
      <x:c r="F20" s="52" t="n">
        <x:v>0.05</x:v>
      </x:c>
      <x:c r="G20" s="52" t="n">
        <x:v>0.01</x:v>
      </x:c>
      <x:c r="H20" s="74" t="n">
        <x:v>0.25</x:v>
      </x:c>
    </x:row>
  </x:sheetData>
  <x:mergeCells>
    <x:mergeCell ref="A1:M1"/>
    <x:mergeCell ref="A12:M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4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Launch Event Catalog — 40 Events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  <x:c r="Q1" s="22"/>
    </x:row>
    <x:row r="3">
      <x:c r="A3" s="14" t="str">
        <x:v>ID</x:v>
      </x:c>
      <x:c r="B3" s="14" t="str">
        <x:v>Event</x:v>
      </x:c>
      <x:c r="C3" s="14" t="str">
        <x:v>Category</x:v>
      </x:c>
      <x:c r="D3" s="14" t="str">
        <x:v>Tone</x:v>
      </x:c>
      <x:c r="E3" s="14" t="str">
        <x:v>Min Stage</x:v>
      </x:c>
      <x:c r="F3" s="14" t="str">
        <x:v>Scope</x:v>
      </x:c>
      <x:c r="G3" s="14" t="str">
        <x:v>Duration</x:v>
      </x:c>
      <x:c r="H3" s="14" t="str">
        <x:v>Base Spawn Weight</x:v>
      </x:c>
      <x:c r="I3" s="14" t="str">
        <x:v>Demand %</x:v>
      </x:c>
      <x:c r="J3" s="14" t="str">
        <x:v>Activity %</x:v>
      </x:c>
      <x:c r="K3" s="14" t="str">
        <x:v>Revenue %</x:v>
      </x:c>
      <x:c r="L3" s="14" t="str">
        <x:v>Risk %</x:v>
      </x:c>
      <x:c r="M3" s="14" t="str">
        <x:v>Rep Delta Max</x:v>
      </x:c>
      <x:c r="N3" s="14" t="str">
        <x:v>Hunt Spawn Mult</x:v>
      </x:c>
      <x:c r="O3" s="14" t="str">
        <x:v>Stock Bias</x:v>
      </x:c>
      <x:c r="P3" s="14" t="str">
        <x:v>Player Choice?</x:v>
      </x:c>
    </x:row>
    <x:row r="4">
      <x:c r="A4" s="34" t="n">
        <x:v>1</x:v>
      </x:c>
      <x:c r="B4" s="35" t="str">
        <x:v>Retail Investor Rush</x:v>
      </x:c>
      <x:c r="C4" s="35" t="str">
        <x:v>Customer</x:v>
      </x:c>
      <x:c r="D4" s="35" t="str">
        <x:v>Positive</x:v>
      </x:c>
      <x:c r="E4" s="35" t="str">
        <x:v>Humble</x:v>
      </x:c>
      <x:c r="F4" s="35" t="str">
        <x:v>Global</x:v>
      </x:c>
      <x:c r="G4" s="35" t="str">
        <x:v>24h</x:v>
      </x:c>
      <x:c r="H4" s="56" t="n">
        <x:v>8</x:v>
      </x:c>
      <x:c r="I4" s="78" t="n">
        <x:v>0.18</x:v>
      </x:c>
      <x:c r="J4" s="78" t="n">
        <x:v>0.15</x:v>
      </x:c>
      <x:c r="K4" s="78" t="n">
        <x:v>0.1</x:v>
      </x:c>
      <x:c r="L4" s="78" t="n">
        <x:v>0</x:v>
      </x:c>
      <x:c r="M4" s="56" t="n">
        <x:v>1</x:v>
      </x:c>
      <x:c r="N4" s="79" t="n">
        <x:v>1.2</x:v>
      </x:c>
      <x:c r="O4" s="35" t="str">
        <x:v>AAPL,TSLA,AMZN</x:v>
      </x:c>
      <x:c r="P4" s="36" t="str">
        <x:v>No</x:v>
      </x:c>
    </x:row>
    <x:row r="5">
      <x:c r="A5" s="37" t="n">
        <x:v>2</x:v>
      </x:c>
      <x:c r="B5" s="22" t="str">
        <x:v>Savings Campaign</x:v>
      </x:c>
      <x:c r="C5" s="22" t="str">
        <x:v>Customer</x:v>
      </x:c>
      <x:c r="D5" s="22" t="str">
        <x:v>Positive</x:v>
      </x:c>
      <x:c r="E5" s="22" t="str">
        <x:v>Humble</x:v>
      </x:c>
      <x:c r="F5" s="22" t="str">
        <x:v>Personal</x:v>
      </x:c>
      <x:c r="G5" s="22" t="str">
        <x:v>24h</x:v>
      </x:c>
      <x:c r="H5" s="57" t="n">
        <x:v>6</x:v>
      </x:c>
      <x:c r="I5" s="62" t="n">
        <x:v>0.15</x:v>
      </x:c>
      <x:c r="J5" s="62" t="n">
        <x:v>0.05</x:v>
      </x:c>
      <x:c r="K5" s="62" t="n">
        <x:v>0.08</x:v>
      </x:c>
      <x:c r="L5" s="62" t="n">
        <x:v>-0.05</x:v>
      </x:c>
      <x:c r="M5" s="57" t="n">
        <x:v>1</x:v>
      </x:c>
      <x:c r="N5" s="80" t="n">
        <x:v>1.1</x:v>
      </x:c>
      <x:c r="O5" s="22" t="str">
        <x:v>SPY,MSFT</x:v>
      </x:c>
      <x:c r="P5" s="38" t="str">
        <x:v>Yes</x:v>
      </x:c>
    </x:row>
    <x:row r="6">
      <x:c r="A6" s="37" t="n">
        <x:v>3</x:v>
      </x:c>
      <x:c r="B6" s="22" t="str">
        <x:v>Local Business Boom</x:v>
      </x:c>
      <x:c r="C6" s="22" t="str">
        <x:v>Customer</x:v>
      </x:c>
      <x:c r="D6" s="22" t="str">
        <x:v>Positive</x:v>
      </x:c>
      <x:c r="E6" s="22" t="str">
        <x:v>Humble</x:v>
      </x:c>
      <x:c r="F6" s="22" t="str">
        <x:v>Global</x:v>
      </x:c>
      <x:c r="G6" s="22" t="str">
        <x:v>36h</x:v>
      </x:c>
      <x:c r="H6" s="57" t="n">
        <x:v>5</x:v>
      </x:c>
      <x:c r="I6" s="62" t="n">
        <x:v>0.12</x:v>
      </x:c>
      <x:c r="J6" s="62" t="n">
        <x:v>0.12</x:v>
      </x:c>
      <x:c r="K6" s="62" t="n">
        <x:v>0.1</x:v>
      </x:c>
      <x:c r="L6" s="62" t="n">
        <x:v>0</x:v>
      </x:c>
      <x:c r="M6" s="57" t="n">
        <x:v>1</x:v>
      </x:c>
      <x:c r="N6" s="80" t="n">
        <x:v>1.1</x:v>
      </x:c>
      <x:c r="O6" s="22" t="str">
        <x:v>AMZN,SPY</x:v>
      </x:c>
      <x:c r="P6" s="38" t="str">
        <x:v>No</x:v>
      </x:c>
    </x:row>
    <x:row r="7">
      <x:c r="A7" s="37" t="n">
        <x:v>4</x:v>
      </x:c>
      <x:c r="B7" s="22" t="str">
        <x:v>Currency Volatility</x:v>
      </x:c>
      <x:c r="C7" s="22" t="str">
        <x:v>Market</x:v>
      </x:c>
      <x:c r="D7" s="22" t="str">
        <x:v>Mixed</x:v>
      </x:c>
      <x:c r="E7" s="22" t="str">
        <x:v>Humble</x:v>
      </x:c>
      <x:c r="F7" s="22" t="str">
        <x:v>Global</x:v>
      </x:c>
      <x:c r="G7" s="22" t="str">
        <x:v>18h</x:v>
      </x:c>
      <x:c r="H7" s="57" t="n">
        <x:v>5</x:v>
      </x:c>
      <x:c r="I7" s="62" t="n">
        <x:v>0.02</x:v>
      </x:c>
      <x:c r="J7" s="62" t="n">
        <x:v>0.18</x:v>
      </x:c>
      <x:c r="K7" s="62" t="n">
        <x:v>0.08</x:v>
      </x:c>
      <x:c r="L7" s="62" t="n">
        <x:v>0.12</x:v>
      </x:c>
      <x:c r="M7" s="57" t="n">
        <x:v>0</x:v>
      </x:c>
      <x:c r="N7" s="80" t="n">
        <x:v>1.15</x:v>
      </x:c>
      <x:c r="O7" s="22" t="str">
        <x:v>Broad</x:v>
      </x:c>
      <x:c r="P7" s="38" t="str">
        <x:v>Yes</x:v>
      </x:c>
    </x:row>
    <x:row r="8">
      <x:c r="A8" s="37" t="n">
        <x:v>5</x:v>
      </x:c>
      <x:c r="B8" s="22" t="str">
        <x:v>Consumer Slowdown</x:v>
      </x:c>
      <x:c r="C8" s="22" t="str">
        <x:v>Customer</x:v>
      </x:c>
      <x:c r="D8" s="22" t="str">
        <x:v>Negative</x:v>
      </x:c>
      <x:c r="E8" s="22" t="str">
        <x:v>Humble</x:v>
      </x:c>
      <x:c r="F8" s="22" t="str">
        <x:v>Global</x:v>
      </x:c>
      <x:c r="G8" s="22" t="str">
        <x:v>24h</x:v>
      </x:c>
      <x:c r="H8" s="57" t="n">
        <x:v>4</x:v>
      </x:c>
      <x:c r="I8" s="62" t="n">
        <x:v>-0.12</x:v>
      </x:c>
      <x:c r="J8" s="62" t="n">
        <x:v>-0.08</x:v>
      </x:c>
      <x:c r="K8" s="62" t="n">
        <x:v>-0.1</x:v>
      </x:c>
      <x:c r="L8" s="62" t="n">
        <x:v>0.08</x:v>
      </x:c>
      <x:c r="M8" s="57" t="n">
        <x:v>-1</x:v>
      </x:c>
      <x:c r="N8" s="80" t="n">
        <x:v>0.9</x:v>
      </x:c>
      <x:c r="O8" s="22" t="str">
        <x:v>SPY</x:v>
      </x:c>
      <x:c r="P8" s="38" t="str">
        <x:v>Yes</x:v>
      </x:c>
    </x:row>
    <x:row r="9">
      <x:c r="A9" s="37" t="n">
        <x:v>6</x:v>
      </x:c>
      <x:c r="B9" s="22" t="str">
        <x:v>Trading Frenzy</x:v>
      </x:c>
      <x:c r="C9" s="22" t="str">
        <x:v>Market</x:v>
      </x:c>
      <x:c r="D9" s="22" t="str">
        <x:v>Positive</x:v>
      </x:c>
      <x:c r="E9" s="22" t="str">
        <x:v>Humble</x:v>
      </x:c>
      <x:c r="F9" s="22" t="str">
        <x:v>Global</x:v>
      </x:c>
      <x:c r="G9" s="22" t="str">
        <x:v>12h</x:v>
      </x:c>
      <x:c r="H9" s="57" t="n">
        <x:v>6</x:v>
      </x:c>
      <x:c r="I9" s="62" t="n">
        <x:v>0.08</x:v>
      </x:c>
      <x:c r="J9" s="62" t="n">
        <x:v>0.25</x:v>
      </x:c>
      <x:c r="K9" s="62" t="n">
        <x:v>0.18</x:v>
      </x:c>
      <x:c r="L9" s="62" t="n">
        <x:v>0.08</x:v>
      </x:c>
      <x:c r="M9" s="57" t="n">
        <x:v>1</x:v>
      </x:c>
      <x:c r="N9" s="80" t="n">
        <x:v>1.25</x:v>
      </x:c>
      <x:c r="O9" s="22" t="str">
        <x:v>TSLA,NVDA</x:v>
      </x:c>
      <x:c r="P9" s="38" t="str">
        <x:v>No</x:v>
      </x:c>
    </x:row>
    <x:row r="10">
      <x:c r="A10" s="37" t="n">
        <x:v>7</x:v>
      </x:c>
      <x:c r="B10" s="22" t="str">
        <x:v>Service Backlog</x:v>
      </x:c>
      <x:c r="C10" s="22" t="str">
        <x:v>Operational</x:v>
      </x:c>
      <x:c r="D10" s="22" t="str">
        <x:v>Negative</x:v>
      </x:c>
      <x:c r="E10" s="22" t="str">
        <x:v>Humble</x:v>
      </x:c>
      <x:c r="F10" s="22" t="str">
        <x:v>Personal</x:v>
      </x:c>
      <x:c r="G10" s="22" t="str">
        <x:v>8h</x:v>
      </x:c>
      <x:c r="H10" s="57" t="n">
        <x:v>5</x:v>
      </x:c>
      <x:c r="I10" s="62" t="n">
        <x:v>-0.05</x:v>
      </x:c>
      <x:c r="J10" s="62" t="n">
        <x:v>-0.12</x:v>
      </x:c>
      <x:c r="K10" s="62" t="n">
        <x:v>-0.08</x:v>
      </x:c>
      <x:c r="L10" s="62" t="n">
        <x:v>0.1</x:v>
      </x:c>
      <x:c r="M10" s="57" t="n">
        <x:v>-2</x:v>
      </x:c>
      <x:c r="N10" s="80" t="n">
        <x:v>0.85</x:v>
      </x:c>
      <x:c r="O10" s="22" t="str">
        <x:v>Broad</x:v>
      </x:c>
      <x:c r="P10" s="38" t="str">
        <x:v>Yes</x:v>
      </x:c>
    </x:row>
    <x:row r="11">
      <x:c r="A11" s="37" t="n">
        <x:v>8</x:v>
      </x:c>
      <x:c r="B11" s="22" t="str">
        <x:v>Community Trust Boost</x:v>
      </x:c>
      <x:c r="C11" s="22" t="str">
        <x:v>Customer</x:v>
      </x:c>
      <x:c r="D11" s="22" t="str">
        <x:v>Positive</x:v>
      </x:c>
      <x:c r="E11" s="22" t="str">
        <x:v>Humble</x:v>
      </x:c>
      <x:c r="F11" s="22" t="str">
        <x:v>Personal</x:v>
      </x:c>
      <x:c r="G11" s="22" t="str">
        <x:v>24h</x:v>
      </x:c>
      <x:c r="H11" s="57" t="n">
        <x:v>4</x:v>
      </x:c>
      <x:c r="I11" s="62" t="n">
        <x:v>0.1</x:v>
      </x:c>
      <x:c r="J11" s="62" t="n">
        <x:v>0.05</x:v>
      </x:c>
      <x:c r="K11" s="62" t="n">
        <x:v>0.05</x:v>
      </x:c>
      <x:c r="L11" s="62" t="n">
        <x:v>-0.05</x:v>
      </x:c>
      <x:c r="M11" s="57" t="n">
        <x:v>3</x:v>
      </x:c>
      <x:c r="N11" s="80" t="n">
        <x:v>1.05</x:v>
      </x:c>
      <x:c r="O11" s="22" t="str">
        <x:v>Broad</x:v>
      </x:c>
      <x:c r="P11" s="38" t="str">
        <x:v>No</x:v>
      </x:c>
    </x:row>
    <x:row r="12">
      <x:c r="A12" s="37" t="n">
        <x:v>9</x:v>
      </x:c>
      <x:c r="B12" s="22" t="str">
        <x:v>Rate Cut</x:v>
      </x:c>
      <x:c r="C12" s="22" t="str">
        <x:v>Macro</x:v>
      </x:c>
      <x:c r="D12" s="22" t="str">
        <x:v>Mixed</x:v>
      </x:c>
      <x:c r="E12" s="22" t="str">
        <x:v>Starter</x:v>
      </x:c>
      <x:c r="F12" s="22" t="str">
        <x:v>Global</x:v>
      </x:c>
      <x:c r="G12" s="22" t="str">
        <x:v>48h</x:v>
      </x:c>
      <x:c r="H12" s="57" t="n">
        <x:v>7</x:v>
      </x:c>
      <x:c r="I12" s="62" t="n">
        <x:v>0.12</x:v>
      </x:c>
      <x:c r="J12" s="62" t="n">
        <x:v>0.08</x:v>
      </x:c>
      <x:c r="K12" s="62" t="n">
        <x:v>0.04</x:v>
      </x:c>
      <x:c r="L12" s="62" t="n">
        <x:v>-0.02</x:v>
      </x:c>
      <x:c r="M12" s="57" t="n">
        <x:v>1</x:v>
      </x:c>
      <x:c r="N12" s="80" t="n">
        <x:v>1.2</x:v>
      </x:c>
      <x:c r="O12" s="22" t="str">
        <x:v>SPY,MSFT,AAPL</x:v>
      </x:c>
      <x:c r="P12" s="38" t="str">
        <x:v>Yes</x:v>
      </x:c>
    </x:row>
    <x:row r="13">
      <x:c r="A13" s="37" t="n">
        <x:v>10</x:v>
      </x:c>
      <x:c r="B13" s="22" t="str">
        <x:v>Rate Hike</x:v>
      </x:c>
      <x:c r="C13" s="22" t="str">
        <x:v>Macro</x:v>
      </x:c>
      <x:c r="D13" s="22" t="str">
        <x:v>Mixed</x:v>
      </x:c>
      <x:c r="E13" s="22" t="str">
        <x:v>Starter</x:v>
      </x:c>
      <x:c r="F13" s="22" t="str">
        <x:v>Global</x:v>
      </x:c>
      <x:c r="G13" s="22" t="str">
        <x:v>48h</x:v>
      </x:c>
      <x:c r="H13" s="57" t="n">
        <x:v>6</x:v>
      </x:c>
      <x:c r="I13" s="62" t="n">
        <x:v>-0.06</x:v>
      </x:c>
      <x:c r="J13" s="62" t="n">
        <x:v>-0.04</x:v>
      </x:c>
      <x:c r="K13" s="62" t="n">
        <x:v>0.05</x:v>
      </x:c>
      <x:c r="L13" s="62" t="n">
        <x:v>0.08</x:v>
      </x:c>
      <x:c r="M13" s="57" t="n">
        <x:v>0</x:v>
      </x:c>
      <x:c r="N13" s="80" t="n">
        <x:v>1.15</x:v>
      </x:c>
      <x:c r="O13" s="22" t="str">
        <x:v>SPY</x:v>
      </x:c>
      <x:c r="P13" s="38" t="str">
        <x:v>Yes</x:v>
      </x:c>
    </x:row>
    <x:row r="14">
      <x:c r="A14" s="37" t="n">
        <x:v>11</x:v>
      </x:c>
      <x:c r="B14" s="22" t="str">
        <x:v>Earnings Week</x:v>
      </x:c>
      <x:c r="C14" s="22" t="str">
        <x:v>Corporate</x:v>
      </x:c>
      <x:c r="D14" s="22" t="str">
        <x:v>Positive</x:v>
      </x:c>
      <x:c r="E14" s="22" t="str">
        <x:v>Starter</x:v>
      </x:c>
      <x:c r="F14" s="22" t="str">
        <x:v>Global</x:v>
      </x:c>
      <x:c r="G14" s="22" t="str">
        <x:v>48h</x:v>
      </x:c>
      <x:c r="H14" s="57" t="n">
        <x:v>8</x:v>
      </x:c>
      <x:c r="I14" s="62" t="n">
        <x:v>0.08</x:v>
      </x:c>
      <x:c r="J14" s="62" t="n">
        <x:v>0.16</x:v>
      </x:c>
      <x:c r="K14" s="62" t="n">
        <x:v>0.12</x:v>
      </x:c>
      <x:c r="L14" s="62" t="n">
        <x:v>0.06</x:v>
      </x:c>
      <x:c r="M14" s="57" t="n">
        <x:v>1</x:v>
      </x:c>
      <x:c r="N14" s="80" t="n">
        <x:v>1.3</x:v>
      </x:c>
      <x:c r="O14" s="22" t="str">
        <x:v>Event tickers</x:v>
      </x:c>
      <x:c r="P14" s="38" t="str">
        <x:v>No</x:v>
      </x:c>
    </x:row>
    <x:row r="15">
      <x:c r="A15" s="37" t="n">
        <x:v>12</x:v>
      </x:c>
      <x:c r="B15" s="22" t="str">
        <x:v>Dividend Week</x:v>
      </x:c>
      <x:c r="C15" s="22" t="str">
        <x:v>Corporate</x:v>
      </x:c>
      <x:c r="D15" s="22" t="str">
        <x:v>Positive</x:v>
      </x:c>
      <x:c r="E15" s="22" t="str">
        <x:v>Starter</x:v>
      </x:c>
      <x:c r="F15" s="22" t="str">
        <x:v>Global</x:v>
      </x:c>
      <x:c r="G15" s="22" t="str">
        <x:v>72h</x:v>
      </x:c>
      <x:c r="H15" s="57" t="n">
        <x:v>5</x:v>
      </x:c>
      <x:c r="I15" s="62" t="n">
        <x:v>0.1</x:v>
      </x:c>
      <x:c r="J15" s="62" t="n">
        <x:v>0.06</x:v>
      </x:c>
      <x:c r="K15" s="62" t="n">
        <x:v>0.05</x:v>
      </x:c>
      <x:c r="L15" s="62" t="n">
        <x:v>-0.05</x:v>
      </x:c>
      <x:c r="M15" s="57" t="n">
        <x:v>1</x:v>
      </x:c>
      <x:c r="N15" s="80" t="n">
        <x:v>1.15</x:v>
      </x:c>
      <x:c r="O15" s="22" t="str">
        <x:v>SPY,AAPL,MSFT</x:v>
      </x:c>
      <x:c r="P15" s="38" t="str">
        <x:v>No</x:v>
      </x:c>
    </x:row>
    <x:row r="16">
      <x:c r="A16" s="37" t="n">
        <x:v>13</x:v>
      </x:c>
      <x:c r="B16" s="22" t="str">
        <x:v>Brokerage Fee War</x:v>
      </x:c>
      <x:c r="C16" s="22" t="str">
        <x:v>Market</x:v>
      </x:c>
      <x:c r="D16" s="22" t="str">
        <x:v>Mixed</x:v>
      </x:c>
      <x:c r="E16" s="22" t="str">
        <x:v>Starter</x:v>
      </x:c>
      <x:c r="F16" s="22" t="str">
        <x:v>Personal</x:v>
      </x:c>
      <x:c r="G16" s="22" t="str">
        <x:v>24h</x:v>
      </x:c>
      <x:c r="H16" s="57" t="n">
        <x:v>5</x:v>
      </x:c>
      <x:c r="I16" s="62" t="n">
        <x:v>0.15</x:v>
      </x:c>
      <x:c r="J16" s="62" t="n">
        <x:v>0.2</x:v>
      </x:c>
      <x:c r="K16" s="62" t="n">
        <x:v>-0.1</x:v>
      </x:c>
      <x:c r="L16" s="62" t="n">
        <x:v>0.02</x:v>
      </x:c>
      <x:c r="M16" s="57" t="n">
        <x:v>0</x:v>
      </x:c>
      <x:c r="N16" s="80" t="n">
        <x:v>1.15</x:v>
      </x:c>
      <x:c r="O16" s="22" t="str">
        <x:v>AAPL,AMZN</x:v>
      </x:c>
      <x:c r="P16" s="38" t="str">
        <x:v>Yes</x:v>
      </x:c>
    </x:row>
    <x:row r="17">
      <x:c r="A17" s="37" t="n">
        <x:v>14</x:v>
      </x:c>
      <x:c r="B17" s="22" t="str">
        <x:v>Loan Demand Surge</x:v>
      </x:c>
      <x:c r="C17" s="22" t="str">
        <x:v>Customer</x:v>
      </x:c>
      <x:c r="D17" s="22" t="str">
        <x:v>Positive</x:v>
      </x:c>
      <x:c r="E17" s="22" t="str">
        <x:v>Starter</x:v>
      </x:c>
      <x:c r="F17" s="22" t="str">
        <x:v>Global</x:v>
      </x:c>
      <x:c r="G17" s="22" t="str">
        <x:v>36h</x:v>
      </x:c>
      <x:c r="H17" s="57" t="n">
        <x:v>6</x:v>
      </x:c>
      <x:c r="I17" s="62" t="n">
        <x:v>0.16</x:v>
      </x:c>
      <x:c r="J17" s="62" t="n">
        <x:v>0.1</x:v>
      </x:c>
      <x:c r="K17" s="62" t="n">
        <x:v>0.12</x:v>
      </x:c>
      <x:c r="L17" s="62" t="n">
        <x:v>0.1</x:v>
      </x:c>
      <x:c r="M17" s="57" t="n">
        <x:v>1</x:v>
      </x:c>
      <x:c r="N17" s="80" t="n">
        <x:v>1.1</x:v>
      </x:c>
      <x:c r="O17" s="22" t="str">
        <x:v>SPY,AMZN</x:v>
      </x:c>
      <x:c r="P17" s="38" t="str">
        <x:v>Yes</x:v>
      </x:c>
    </x:row>
    <x:row r="18">
      <x:c r="A18" s="37" t="n">
        <x:v>15</x:v>
      </x:c>
      <x:c r="B18" s="22" t="str">
        <x:v>Credit Quality Deterioration</x:v>
      </x:c>
      <x:c r="C18" s="22" t="str">
        <x:v>Risk/Crisis</x:v>
      </x:c>
      <x:c r="D18" s="22" t="str">
        <x:v>Negative</x:v>
      </x:c>
      <x:c r="E18" s="22" t="str">
        <x:v>Starter</x:v>
      </x:c>
      <x:c r="F18" s="22" t="str">
        <x:v>Personal</x:v>
      </x:c>
      <x:c r="G18" s="22" t="str">
        <x:v>24h</x:v>
      </x:c>
      <x:c r="H18" s="57" t="n">
        <x:v>4</x:v>
      </x:c>
      <x:c r="I18" s="62" t="n">
        <x:v>-0.08</x:v>
      </x:c>
      <x:c r="J18" s="62" t="n">
        <x:v>-0.05</x:v>
      </x:c>
      <x:c r="K18" s="62" t="n">
        <x:v>-0.12</x:v>
      </x:c>
      <x:c r="L18" s="62" t="n">
        <x:v>0.2</x:v>
      </x:c>
      <x:c r="M18" s="57" t="n">
        <x:v>-2</x:v>
      </x:c>
      <x:c r="N18" s="80" t="n">
        <x:v>0.9</x:v>
      </x:c>
      <x:c r="O18" s="22" t="str">
        <x:v>SPY</x:v>
      </x:c>
      <x:c r="P18" s="38" t="str">
        <x:v>Yes</x:v>
      </x:c>
    </x:row>
    <x:row r="19">
      <x:c r="A19" s="37" t="n">
        <x:v>16</x:v>
      </x:c>
      <x:c r="B19" s="22" t="str">
        <x:v>Research Breakthrough</x:v>
      </x:c>
      <x:c r="C19" s="22" t="str">
        <x:v>Sector</x:v>
      </x:c>
      <x:c r="D19" s="22" t="str">
        <x:v>Positive</x:v>
      </x:c>
      <x:c r="E19" s="22" t="str">
        <x:v>Starter</x:v>
      </x:c>
      <x:c r="F19" s="22" t="str">
        <x:v>Personal</x:v>
      </x:c>
      <x:c r="G19" s="22" t="str">
        <x:v>24h</x:v>
      </x:c>
      <x:c r="H19" s="57" t="n">
        <x:v>5</x:v>
      </x:c>
      <x:c r="I19" s="62" t="n">
        <x:v>0.04</x:v>
      </x:c>
      <x:c r="J19" s="62" t="n">
        <x:v>0.12</x:v>
      </x:c>
      <x:c r="K19" s="62" t="n">
        <x:v>0.08</x:v>
      </x:c>
      <x:c r="L19" s="62" t="n">
        <x:v>-0.03</x:v>
      </x:c>
      <x:c r="M19" s="57" t="n">
        <x:v>2</x:v>
      </x:c>
      <x:c r="N19" s="80" t="n">
        <x:v>1.25</x:v>
      </x:c>
      <x:c r="O19" s="22" t="str">
        <x:v>NVDA,MSFT,GOOGL</x:v>
      </x:c>
      <x:c r="P19" s="38" t="str">
        <x:v>No</x:v>
      </x:c>
    </x:row>
    <x:row r="20">
      <x:c r="A20" s="37" t="n">
        <x:v>17</x:v>
      </x:c>
      <x:c r="B20" s="22" t="str">
        <x:v>System Outage</x:v>
      </x:c>
      <x:c r="C20" s="22" t="str">
        <x:v>Operational</x:v>
      </x:c>
      <x:c r="D20" s="22" t="str">
        <x:v>Negative</x:v>
      </x:c>
      <x:c r="E20" s="22" t="str">
        <x:v>Starter</x:v>
      </x:c>
      <x:c r="F20" s="22" t="str">
        <x:v>Personal</x:v>
      </x:c>
      <x:c r="G20" s="22" t="str">
        <x:v>6h</x:v>
      </x:c>
      <x:c r="H20" s="57" t="n">
        <x:v>3</x:v>
      </x:c>
      <x:c r="I20" s="62" t="n">
        <x:v>-0.08</x:v>
      </x:c>
      <x:c r="J20" s="62" t="n">
        <x:v>-0.22</x:v>
      </x:c>
      <x:c r="K20" s="62" t="n">
        <x:v>-0.18</x:v>
      </x:c>
      <x:c r="L20" s="62" t="n">
        <x:v>0.15</x:v>
      </x:c>
      <x:c r="M20" s="57" t="n">
        <x:v>-3</x:v>
      </x:c>
      <x:c r="N20" s="80" t="n">
        <x:v>0.7</x:v>
      </x:c>
      <x:c r="O20" s="22" t="str">
        <x:v>Broad</x:v>
      </x:c>
      <x:c r="P20" s="38" t="str">
        <x:v>Yes</x:v>
      </x:c>
    </x:row>
    <x:row r="21">
      <x:c r="A21" s="37" t="n">
        <x:v>18</x:v>
      </x:c>
      <x:c r="B21" s="22" t="str">
        <x:v>Insurance Claim Wave</x:v>
      </x:c>
      <x:c r="C21" s="22" t="str">
        <x:v>Operational</x:v>
      </x:c>
      <x:c r="D21" s="22" t="str">
        <x:v>Negative</x:v>
      </x:c>
      <x:c r="E21" s="22" t="str">
        <x:v>Starter</x:v>
      </x:c>
      <x:c r="F21" s="22" t="str">
        <x:v>Personal</x:v>
      </x:c>
      <x:c r="G21" s="22" t="str">
        <x:v>18h</x:v>
      </x:c>
      <x:c r="H21" s="57" t="n">
        <x:v>4</x:v>
      </x:c>
      <x:c r="I21" s="62" t="n">
        <x:v>-0.04</x:v>
      </x:c>
      <x:c r="J21" s="62" t="n">
        <x:v>-0.05</x:v>
      </x:c>
      <x:c r="K21" s="62" t="n">
        <x:v>-0.15</x:v>
      </x:c>
      <x:c r="L21" s="62" t="n">
        <x:v>0.18</x:v>
      </x:c>
      <x:c r="M21" s="57" t="n">
        <x:v>-2</x:v>
      </x:c>
      <x:c r="N21" s="80" t="n">
        <x:v>0.9</x:v>
      </x:c>
      <x:c r="O21" s="22" t="str">
        <x:v>SPY</x:v>
      </x:c>
      <x:c r="P21" s="38" t="str">
        <x:v>Yes</x:v>
      </x:c>
    </x:row>
    <x:row r="22">
      <x:c r="A22" s="37" t="n">
        <x:v>19</x:v>
      </x:c>
      <x:c r="B22" s="22" t="str">
        <x:v>AI Mania</x:v>
      </x:c>
      <x:c r="C22" s="22" t="str">
        <x:v>Sector</x:v>
      </x:c>
      <x:c r="D22" s="22" t="str">
        <x:v>Positive</x:v>
      </x:c>
      <x:c r="E22" s="22" t="str">
        <x:v>Growing</x:v>
      </x:c>
      <x:c r="F22" s="22" t="str">
        <x:v>Global</x:v>
      </x:c>
      <x:c r="G22" s="22" t="str">
        <x:v>36h</x:v>
      </x:c>
      <x:c r="H22" s="57" t="n">
        <x:v>7</x:v>
      </x:c>
      <x:c r="I22" s="62" t="n">
        <x:v>0.1</x:v>
      </x:c>
      <x:c r="J22" s="62" t="n">
        <x:v>0.2</x:v>
      </x:c>
      <x:c r="K22" s="62" t="n">
        <x:v>0.16</x:v>
      </x:c>
      <x:c r="L22" s="62" t="n">
        <x:v>0.1</x:v>
      </x:c>
      <x:c r="M22" s="57" t="n">
        <x:v>1</x:v>
      </x:c>
      <x:c r="N22" s="80" t="n">
        <x:v>1.35</x:v>
      </x:c>
      <x:c r="O22" s="22" t="str">
        <x:v>NVDA,MSFT,GOOGL,META</x:v>
      </x:c>
      <x:c r="P22" s="38" t="str">
        <x:v>No</x:v>
      </x:c>
    </x:row>
    <x:row r="23">
      <x:c r="A23" s="37" t="n">
        <x:v>20</x:v>
      </x:c>
      <x:c r="B23" s="22" t="str">
        <x:v>Tech Selloff</x:v>
      </x:c>
      <x:c r="C23" s="22" t="str">
        <x:v>Sector</x:v>
      </x:c>
      <x:c r="D23" s="22" t="str">
        <x:v>Negative</x:v>
      </x:c>
      <x:c r="E23" s="22" t="str">
        <x:v>Growing</x:v>
      </x:c>
      <x:c r="F23" s="22" t="str">
        <x:v>Global</x:v>
      </x:c>
      <x:c r="G23" s="22" t="str">
        <x:v>24h</x:v>
      </x:c>
      <x:c r="H23" s="57" t="n">
        <x:v>5</x:v>
      </x:c>
      <x:c r="I23" s="62" t="n">
        <x:v>-0.04</x:v>
      </x:c>
      <x:c r="J23" s="62" t="n">
        <x:v>0.15</x:v>
      </x:c>
      <x:c r="K23" s="62" t="n">
        <x:v>-0.12</x:v>
      </x:c>
      <x:c r="L23" s="62" t="n">
        <x:v>0.2</x:v>
      </x:c>
      <x:c r="M23" s="57" t="n">
        <x:v>0</x:v>
      </x:c>
      <x:c r="N23" s="80" t="n">
        <x:v>1.25</x:v>
      </x:c>
      <x:c r="O23" s="22" t="str">
        <x:v>NVDA,TSLA,GOOGL</x:v>
      </x:c>
      <x:c r="P23" s="38" t="str">
        <x:v>Yes</x:v>
      </x:c>
    </x:row>
    <x:row r="24">
      <x:c r="A24" s="37" t="n">
        <x:v>21</x:v>
      </x:c>
      <x:c r="B24" s="22" t="str">
        <x:v>Liquidity Boom</x:v>
      </x:c>
      <x:c r="C24" s="22" t="str">
        <x:v>Market</x:v>
      </x:c>
      <x:c r="D24" s="22" t="str">
        <x:v>Positive</x:v>
      </x:c>
      <x:c r="E24" s="22" t="str">
        <x:v>Growing</x:v>
      </x:c>
      <x:c r="F24" s="22" t="str">
        <x:v>Global</x:v>
      </x:c>
      <x:c r="G24" s="22" t="str">
        <x:v>36h</x:v>
      </x:c>
      <x:c r="H24" s="57" t="n">
        <x:v>6</x:v>
      </x:c>
      <x:c r="I24" s="62" t="n">
        <x:v>0.08</x:v>
      </x:c>
      <x:c r="J24" s="62" t="n">
        <x:v>0.18</x:v>
      </x:c>
      <x:c r="K24" s="62" t="n">
        <x:v>0.14</x:v>
      </x:c>
      <x:c r="L24" s="62" t="n">
        <x:v>-0.05</x:v>
      </x:c>
      <x:c r="M24" s="57" t="n">
        <x:v>1</x:v>
      </x:c>
      <x:c r="N24" s="80" t="n">
        <x:v>1.25</x:v>
      </x:c>
      <x:c r="O24" s="22" t="str">
        <x:v>COIN,SPY</x:v>
      </x:c>
      <x:c r="P24" s="38" t="str">
        <x:v>No</x:v>
      </x:c>
    </x:row>
    <x:row r="25">
      <x:c r="A25" s="37" t="n">
        <x:v>22</x:v>
      </x:c>
      <x:c r="B25" s="22" t="str">
        <x:v>Liquidity Crunch</x:v>
      </x:c>
      <x:c r="C25" s="22" t="str">
        <x:v>Risk/Crisis</x:v>
      </x:c>
      <x:c r="D25" s="22" t="str">
        <x:v>Negative</x:v>
      </x:c>
      <x:c r="E25" s="22" t="str">
        <x:v>Growing</x:v>
      </x:c>
      <x:c r="F25" s="22" t="str">
        <x:v>Global</x:v>
      </x:c>
      <x:c r="G25" s="22" t="str">
        <x:v>24h</x:v>
      </x:c>
      <x:c r="H25" s="57" t="n">
        <x:v>4</x:v>
      </x:c>
      <x:c r="I25" s="62" t="n">
        <x:v>-0.12</x:v>
      </x:c>
      <x:c r="J25" s="62" t="n">
        <x:v>-0.1</x:v>
      </x:c>
      <x:c r="K25" s="62" t="n">
        <x:v>-0.16</x:v>
      </x:c>
      <x:c r="L25" s="62" t="n">
        <x:v>0.28</x:v>
      </x:c>
      <x:c r="M25" s="57" t="n">
        <x:v>-2</x:v>
      </x:c>
      <x:c r="N25" s="80" t="n">
        <x:v>1.2</x:v>
      </x:c>
      <x:c r="O25" s="22" t="str">
        <x:v>COIN,SPY</x:v>
      </x:c>
      <x:c r="P25" s="38" t="str">
        <x:v>Yes</x:v>
      </x:c>
    </x:row>
    <x:row r="26">
      <x:c r="A26" s="37" t="n">
        <x:v>23</x:v>
      </x:c>
      <x:c r="B26" s="22" t="str">
        <x:v>SME Growth Wave</x:v>
      </x:c>
      <x:c r="C26" s="22" t="str">
        <x:v>Customer</x:v>
      </x:c>
      <x:c r="D26" s="22" t="str">
        <x:v>Positive</x:v>
      </x:c>
      <x:c r="E26" s="22" t="str">
        <x:v>Growing</x:v>
      </x:c>
      <x:c r="F26" s="22" t="str">
        <x:v>Global</x:v>
      </x:c>
      <x:c r="G26" s="22" t="str">
        <x:v>48h</x:v>
      </x:c>
      <x:c r="H26" s="57" t="n">
        <x:v>6</x:v>
      </x:c>
      <x:c r="I26" s="62" t="n">
        <x:v>0.16</x:v>
      </x:c>
      <x:c r="J26" s="62" t="n">
        <x:v>0.1</x:v>
      </x:c>
      <x:c r="K26" s="62" t="n">
        <x:v>0.12</x:v>
      </x:c>
      <x:c r="L26" s="62" t="n">
        <x:v>0.05</x:v>
      </x:c>
      <x:c r="M26" s="57" t="n">
        <x:v>1</x:v>
      </x:c>
      <x:c r="N26" s="80" t="n">
        <x:v>1.1</x:v>
      </x:c>
      <x:c r="O26" s="22" t="str">
        <x:v>AMZN,SPY</x:v>
      </x:c>
      <x:c r="P26" s="38" t="str">
        <x:v>No</x:v>
      </x:c>
    </x:row>
    <x:row r="27">
      <x:c r="A27" s="37" t="n">
        <x:v>24</x:v>
      </x:c>
      <x:c r="B27" s="22" t="str">
        <x:v>Cybersecurity Scare</x:v>
      </x:c>
      <x:c r="C27" s="22" t="str">
        <x:v>Operational</x:v>
      </x:c>
      <x:c r="D27" s="22" t="str">
        <x:v>Negative</x:v>
      </x:c>
      <x:c r="E27" s="22" t="str">
        <x:v>Growing</x:v>
      </x:c>
      <x:c r="F27" s="22" t="str">
        <x:v>Personal</x:v>
      </x:c>
      <x:c r="G27" s="22" t="str">
        <x:v>12h</x:v>
      </x:c>
      <x:c r="H27" s="57" t="n">
        <x:v>4</x:v>
      </x:c>
      <x:c r="I27" s="62" t="n">
        <x:v>-0.06</x:v>
      </x:c>
      <x:c r="J27" s="62" t="n">
        <x:v>-0.15</x:v>
      </x:c>
      <x:c r="K27" s="62" t="n">
        <x:v>-0.12</x:v>
      </x:c>
      <x:c r="L27" s="62" t="n">
        <x:v>0.2</x:v>
      </x:c>
      <x:c r="M27" s="57" t="n">
        <x:v>-3</x:v>
      </x:c>
      <x:c r="N27" s="80" t="n">
        <x:v>0.9</x:v>
      </x:c>
      <x:c r="O27" s="22" t="str">
        <x:v>Broad</x:v>
      </x:c>
      <x:c r="P27" s="38" t="str">
        <x:v>Yes</x:v>
      </x:c>
    </x:row>
    <x:row r="28">
      <x:c r="A28" s="37" t="n">
        <x:v>25</x:v>
      </x:c>
      <x:c r="B28" s="22" t="str">
        <x:v>Fund Inflow Surge</x:v>
      </x:c>
      <x:c r="C28" s="22" t="str">
        <x:v>Customer</x:v>
      </x:c>
      <x:c r="D28" s="22" t="str">
        <x:v>Positive</x:v>
      </x:c>
      <x:c r="E28" s="22" t="str">
        <x:v>Growing</x:v>
      </x:c>
      <x:c r="F28" s="22" t="str">
        <x:v>Global</x:v>
      </x:c>
      <x:c r="G28" s="22" t="str">
        <x:v>36h</x:v>
      </x:c>
      <x:c r="H28" s="57" t="n">
        <x:v>6</x:v>
      </x:c>
      <x:c r="I28" s="62" t="n">
        <x:v>0.12</x:v>
      </x:c>
      <x:c r="J28" s="62" t="n">
        <x:v>0.14</x:v>
      </x:c>
      <x:c r="K28" s="62" t="n">
        <x:v>0.13</x:v>
      </x:c>
      <x:c r="L28" s="62" t="n">
        <x:v>0.04</x:v>
      </x:c>
      <x:c r="M28" s="57" t="n">
        <x:v>1</x:v>
      </x:c>
      <x:c r="N28" s="80" t="n">
        <x:v>1.2</x:v>
      </x:c>
      <x:c r="O28" s="22" t="str">
        <x:v>SPY,MSFT,NVDA</x:v>
      </x:c>
      <x:c r="P28" s="38" t="str">
        <x:v>No</x:v>
      </x:c>
    </x:row>
    <x:row r="29">
      <x:c r="A29" s="37" t="n">
        <x:v>26</x:v>
      </x:c>
      <x:c r="B29" s="22" t="str">
        <x:v>Portfolio Drawdown</x:v>
      </x:c>
      <x:c r="C29" s="22" t="str">
        <x:v>Market</x:v>
      </x:c>
      <x:c r="D29" s="22" t="str">
        <x:v>Negative</x:v>
      </x:c>
      <x:c r="E29" s="22" t="str">
        <x:v>Growing</x:v>
      </x:c>
      <x:c r="F29" s="22" t="str">
        <x:v>Personal</x:v>
      </x:c>
      <x:c r="G29" s="22" t="str">
        <x:v>24h</x:v>
      </x:c>
      <x:c r="H29" s="57" t="n">
        <x:v>5</x:v>
      </x:c>
      <x:c r="I29" s="62" t="n">
        <x:v>-0.05</x:v>
      </x:c>
      <x:c r="J29" s="62" t="n">
        <x:v>0.08</x:v>
      </x:c>
      <x:c r="K29" s="62" t="n">
        <x:v>-0.14</x:v>
      </x:c>
      <x:c r="L29" s="62" t="n">
        <x:v>0.18</x:v>
      </x:c>
      <x:c r="M29" s="57" t="n">
        <x:v>-1</x:v>
      </x:c>
      <x:c r="N29" s="80" t="n">
        <x:v>1.15</x:v>
      </x:c>
      <x:c r="O29" s="22" t="str">
        <x:v>Broad</x:v>
      </x:c>
      <x:c r="P29" s="38" t="str">
        <x:v>Yes</x:v>
      </x:c>
    </x:row>
    <x:row r="30">
      <x:c r="A30" s="37" t="n">
        <x:v>27</x:v>
      </x:c>
      <x:c r="B30" s="22" t="str">
        <x:v>IPO Week</x:v>
      </x:c>
      <x:c r="C30" s="22" t="str">
        <x:v>Corporate</x:v>
      </x:c>
      <x:c r="D30" s="22" t="str">
        <x:v>Positive</x:v>
      </x:c>
      <x:c r="E30" s="22" t="str">
        <x:v>Established</x:v>
      </x:c>
      <x:c r="F30" s="22" t="str">
        <x:v>Global</x:v>
      </x:c>
      <x:c r="G30" s="22" t="str">
        <x:v>72h</x:v>
      </x:c>
      <x:c r="H30" s="57" t="n">
        <x:v>6</x:v>
      </x:c>
      <x:c r="I30" s="62" t="n">
        <x:v>0.12</x:v>
      </x:c>
      <x:c r="J30" s="62" t="n">
        <x:v>0.18</x:v>
      </x:c>
      <x:c r="K30" s="62" t="n">
        <x:v>0.15</x:v>
      </x:c>
      <x:c r="L30" s="62" t="n">
        <x:v>0.08</x:v>
      </x:c>
      <x:c r="M30" s="57" t="n">
        <x:v>2</x:v>
      </x:c>
      <x:c r="N30" s="80" t="n">
        <x:v>1.35</x:v>
      </x:c>
      <x:c r="O30" s="22" t="str">
        <x:v>Event basket</x:v>
      </x:c>
      <x:c r="P30" s="38" t="str">
        <x:v>Yes</x:v>
      </x:c>
    </x:row>
    <x:row r="31">
      <x:c r="A31" s="37" t="n">
        <x:v>28</x:v>
      </x:c>
      <x:c r="B31" s="22" t="str">
        <x:v>M&amp;A Boom</x:v>
      </x:c>
      <x:c r="C31" s="22" t="str">
        <x:v>Corporate</x:v>
      </x:c>
      <x:c r="D31" s="22" t="str">
        <x:v>Positive</x:v>
      </x:c>
      <x:c r="E31" s="22" t="str">
        <x:v>Established</x:v>
      </x:c>
      <x:c r="F31" s="22" t="str">
        <x:v>Global</x:v>
      </x:c>
      <x:c r="G31" s="22" t="str">
        <x:v>48h</x:v>
      </x:c>
      <x:c r="H31" s="57" t="n">
        <x:v>5</x:v>
      </x:c>
      <x:c r="I31" s="62" t="n">
        <x:v>0.1</x:v>
      </x:c>
      <x:c r="J31" s="62" t="n">
        <x:v>0.15</x:v>
      </x:c>
      <x:c r="K31" s="62" t="n">
        <x:v>0.14</x:v>
      </x:c>
      <x:c r="L31" s="62" t="n">
        <x:v>0.08</x:v>
      </x:c>
      <x:c r="M31" s="57" t="n">
        <x:v>2</x:v>
      </x:c>
      <x:c r="N31" s="80" t="n">
        <x:v>1.25</x:v>
      </x:c>
      <x:c r="O31" s="22" t="str">
        <x:v>SPY,MSFT</x:v>
      </x:c>
      <x:c r="P31" s="38" t="str">
        <x:v>No</x:v>
      </x:c>
    </x:row>
    <x:row r="32">
      <x:c r="A32" s="37" t="n">
        <x:v>29</x:v>
      </x:c>
      <x:c r="B32" s="22" t="str">
        <x:v>Institutional Flow</x:v>
      </x:c>
      <x:c r="C32" s="22" t="str">
        <x:v>Customer</x:v>
      </x:c>
      <x:c r="D32" s="22" t="str">
        <x:v>Positive</x:v>
      </x:c>
      <x:c r="E32" s="22" t="str">
        <x:v>Established</x:v>
      </x:c>
      <x:c r="F32" s="22" t="str">
        <x:v>Global</x:v>
      </x:c>
      <x:c r="G32" s="22" t="str">
        <x:v>48h</x:v>
      </x:c>
      <x:c r="H32" s="57" t="n">
        <x:v>6</x:v>
      </x:c>
      <x:c r="I32" s="62" t="n">
        <x:v>0.12</x:v>
      </x:c>
      <x:c r="J32" s="62" t="n">
        <x:v>0.16</x:v>
      </x:c>
      <x:c r="K32" s="62" t="n">
        <x:v>0.14</x:v>
      </x:c>
      <x:c r="L32" s="62" t="n">
        <x:v>0.02</x:v>
      </x:c>
      <x:c r="M32" s="57" t="n">
        <x:v>2</x:v>
      </x:c>
      <x:c r="N32" s="80" t="n">
        <x:v>1.25</x:v>
      </x:c>
      <x:c r="O32" s="22" t="str">
        <x:v>SPY,MSFT</x:v>
      </x:c>
      <x:c r="P32" s="38" t="str">
        <x:v>No</x:v>
      </x:c>
    </x:row>
    <x:row r="33">
      <x:c r="A33" s="37" t="n">
        <x:v>30</x:v>
      </x:c>
      <x:c r="B33" s="22" t="str">
        <x:v>Regulatory Review</x:v>
      </x:c>
      <x:c r="C33" s="22" t="str">
        <x:v>Macro</x:v>
      </x:c>
      <x:c r="D33" s="22" t="str">
        <x:v>Mixed</x:v>
      </x:c>
      <x:c r="E33" s="22" t="str">
        <x:v>Established</x:v>
      </x:c>
      <x:c r="F33" s="22" t="str">
        <x:v>Personal</x:v>
      </x:c>
      <x:c r="G33" s="22" t="str">
        <x:v>36h</x:v>
      </x:c>
      <x:c r="H33" s="57" t="n">
        <x:v>4</x:v>
      </x:c>
      <x:c r="I33" s="62" t="n">
        <x:v>-0.05</x:v>
      </x:c>
      <x:c r="J33" s="62" t="n">
        <x:v>-0.08</x:v>
      </x:c>
      <x:c r="K33" s="62" t="n">
        <x:v>-0.05</x:v>
      </x:c>
      <x:c r="L33" s="62" t="n">
        <x:v>0.12</x:v>
      </x:c>
      <x:c r="M33" s="57" t="n">
        <x:v>-1</x:v>
      </x:c>
      <x:c r="N33" s="80" t="n">
        <x:v>1</x:v>
      </x:c>
      <x:c r="O33" s="22" t="str">
        <x:v>Broad</x:v>
      </x:c>
      <x:c r="P33" s="38" t="str">
        <x:v>Yes</x:v>
      </x:c>
    </x:row>
    <x:row r="34">
      <x:c r="A34" s="37" t="n">
        <x:v>31</x:v>
      </x:c>
      <x:c r="B34" s="22" t="str">
        <x:v>Bank Run Rumor</x:v>
      </x:c>
      <x:c r="C34" s="22" t="str">
        <x:v>Risk/Crisis</x:v>
      </x:c>
      <x:c r="D34" s="22" t="str">
        <x:v>Negative</x:v>
      </x:c>
      <x:c r="E34" s="22" t="str">
        <x:v>Established</x:v>
      </x:c>
      <x:c r="F34" s="22" t="str">
        <x:v>Personal</x:v>
      </x:c>
      <x:c r="G34" s="22" t="str">
        <x:v>18h</x:v>
      </x:c>
      <x:c r="H34" s="57" t="n">
        <x:v>3</x:v>
      </x:c>
      <x:c r="I34" s="62" t="n">
        <x:v>-0.18</x:v>
      </x:c>
      <x:c r="J34" s="62" t="n">
        <x:v>-0.12</x:v>
      </x:c>
      <x:c r="K34" s="62" t="n">
        <x:v>-0.18</x:v>
      </x:c>
      <x:c r="L34" s="62" t="n">
        <x:v>0.32</x:v>
      </x:c>
      <x:c r="M34" s="57" t="n">
        <x:v>-4</x:v>
      </x:c>
      <x:c r="N34" s="80" t="n">
        <x:v>1.1</x:v>
      </x:c>
      <x:c r="O34" s="22" t="str">
        <x:v>SPY</x:v>
      </x:c>
      <x:c r="P34" s="38" t="str">
        <x:v>Yes</x:v>
      </x:c>
    </x:row>
    <x:row r="35">
      <x:c r="A35" s="37" t="n">
        <x:v>32</x:v>
      </x:c>
      <x:c r="B35" s="22" t="str">
        <x:v>Market Maker Dislocation</x:v>
      </x:c>
      <x:c r="C35" s="22" t="str">
        <x:v>Risk/Crisis</x:v>
      </x:c>
      <x:c r="D35" s="22" t="str">
        <x:v>Negative</x:v>
      </x:c>
      <x:c r="E35" s="22" t="str">
        <x:v>Established</x:v>
      </x:c>
      <x:c r="F35" s="22" t="str">
        <x:v>Personal</x:v>
      </x:c>
      <x:c r="G35" s="22" t="str">
        <x:v>12h</x:v>
      </x:c>
      <x:c r="H35" s="57" t="n">
        <x:v>3</x:v>
      </x:c>
      <x:c r="I35" s="62" t="n">
        <x:v>-0.08</x:v>
      </x:c>
      <x:c r="J35" s="62" t="n">
        <x:v>0.12</x:v>
      </x:c>
      <x:c r="K35" s="62" t="n">
        <x:v>-0.15</x:v>
      </x:c>
      <x:c r="L35" s="62" t="n">
        <x:v>0.28</x:v>
      </x:c>
      <x:c r="M35" s="57" t="n">
        <x:v>-2</x:v>
      </x:c>
      <x:c r="N35" s="80" t="n">
        <x:v>1.25</x:v>
      </x:c>
      <x:c r="O35" s="22" t="str">
        <x:v>COIN,TSLA</x:v>
      </x:c>
      <x:c r="P35" s="38" t="str">
        <x:v>Yes</x:v>
      </x:c>
    </x:row>
    <x:row r="36">
      <x:c r="A36" s="37" t="n">
        <x:v>33</x:v>
      </x:c>
      <x:c r="B36" s="22" t="str">
        <x:v>Private Wealth Influx</x:v>
      </x:c>
      <x:c r="C36" s="22" t="str">
        <x:v>Customer</x:v>
      </x:c>
      <x:c r="D36" s="22" t="str">
        <x:v>Positive</x:v>
      </x:c>
      <x:c r="E36" s="22" t="str">
        <x:v>Established</x:v>
      </x:c>
      <x:c r="F36" s="22" t="str">
        <x:v>Global</x:v>
      </x:c>
      <x:c r="G36" s="22" t="str">
        <x:v>36h</x:v>
      </x:c>
      <x:c r="H36" s="57" t="n">
        <x:v>5</x:v>
      </x:c>
      <x:c r="I36" s="62" t="n">
        <x:v>0.15</x:v>
      </x:c>
      <x:c r="J36" s="62" t="n">
        <x:v>0.1</x:v>
      </x:c>
      <x:c r="K36" s="62" t="n">
        <x:v>0.13</x:v>
      </x:c>
      <x:c r="L36" s="62" t="n">
        <x:v>-0.02</x:v>
      </x:c>
      <x:c r="M36" s="57" t="n">
        <x:v>2</x:v>
      </x:c>
      <x:c r="N36" s="80" t="n">
        <x:v>1.15</x:v>
      </x:c>
      <x:c r="O36" s="22" t="str">
        <x:v>AAPL,MSFT,SPY</x:v>
      </x:c>
      <x:c r="P36" s="38" t="str">
        <x:v>No</x:v>
      </x:c>
    </x:row>
    <x:row r="37">
      <x:c r="A37" s="37" t="n">
        <x:v>34</x:v>
      </x:c>
      <x:c r="B37" s="22" t="str">
        <x:v>Institutional Reputation Review</x:v>
      </x:c>
      <x:c r="C37" s="22" t="str">
        <x:v>Operational</x:v>
      </x:c>
      <x:c r="D37" s="22" t="str">
        <x:v>Mixed</x:v>
      </x:c>
      <x:c r="E37" s="22" t="str">
        <x:v>Established</x:v>
      </x:c>
      <x:c r="F37" s="22" t="str">
        <x:v>Personal</x:v>
      </x:c>
      <x:c r="G37" s="22" t="str">
        <x:v>24h</x:v>
      </x:c>
      <x:c r="H37" s="57" t="n">
        <x:v>4</x:v>
      </x:c>
      <x:c r="I37" s="62" t="n">
        <x:v>0</x:v>
      </x:c>
      <x:c r="J37" s="62" t="n">
        <x:v>0</x:v>
      </x:c>
      <x:c r="K37" s="62" t="n">
        <x:v>0</x:v>
      </x:c>
      <x:c r="L37" s="62" t="n">
        <x:v>0.05</x:v>
      </x:c>
      <x:c r="M37" s="57" t="n">
        <x:v>4</x:v>
      </x:c>
      <x:c r="N37" s="80" t="n">
        <x:v>1</x:v>
      </x:c>
      <x:c r="O37" s="22" t="str">
        <x:v>Broad</x:v>
      </x:c>
      <x:c r="P37" s="38" t="str">
        <x:v>Yes</x:v>
      </x:c>
    </x:row>
    <x:row r="38">
      <x:c r="A38" s="37" t="n">
        <x:v>35</x:v>
      </x:c>
      <x:c r="B38" s="22" t="str">
        <x:v>Global Trading Boom</x:v>
      </x:c>
      <x:c r="C38" s="22" t="str">
        <x:v>Market</x:v>
      </x:c>
      <x:c r="D38" s="22" t="str">
        <x:v>Positive</x:v>
      </x:c>
      <x:c r="E38" s="22" t="str">
        <x:v>Elite</x:v>
      </x:c>
      <x:c r="F38" s="22" t="str">
        <x:v>Global</x:v>
      </x:c>
      <x:c r="G38" s="22" t="str">
        <x:v>48h</x:v>
      </x:c>
      <x:c r="H38" s="57" t="n">
        <x:v>5</x:v>
      </x:c>
      <x:c r="I38" s="62" t="n">
        <x:v>0.1</x:v>
      </x:c>
      <x:c r="J38" s="62" t="n">
        <x:v>0.28</x:v>
      </x:c>
      <x:c r="K38" s="62" t="n">
        <x:v>0.2</x:v>
      </x:c>
      <x:c r="L38" s="62" t="n">
        <x:v>0.12</x:v>
      </x:c>
      <x:c r="M38" s="57" t="n">
        <x:v>2</x:v>
      </x:c>
      <x:c r="N38" s="80" t="n">
        <x:v>1.4</x:v>
      </x:c>
      <x:c r="O38" s="22" t="str">
        <x:v>COIN,NVDA,TSLA</x:v>
      </x:c>
      <x:c r="P38" s="38" t="str">
        <x:v>No</x:v>
      </x:c>
    </x:row>
    <x:row r="39">
      <x:c r="A39" s="37" t="n">
        <x:v>36</x:v>
      </x:c>
      <x:c r="B39" s="22" t="str">
        <x:v>Sovereign Allocation</x:v>
      </x:c>
      <x:c r="C39" s="22" t="str">
        <x:v>Corporate</x:v>
      </x:c>
      <x:c r="D39" s="22" t="str">
        <x:v>Positive</x:v>
      </x:c>
      <x:c r="E39" s="22" t="str">
        <x:v>Elite</x:v>
      </x:c>
      <x:c r="F39" s="22" t="str">
        <x:v>Global</x:v>
      </x:c>
      <x:c r="G39" s="22" t="str">
        <x:v>72h</x:v>
      </x:c>
      <x:c r="H39" s="57" t="n">
        <x:v>4</x:v>
      </x:c>
      <x:c r="I39" s="62" t="n">
        <x:v>0.12</x:v>
      </x:c>
      <x:c r="J39" s="62" t="n">
        <x:v>0.14</x:v>
      </x:c>
      <x:c r="K39" s="62" t="n">
        <x:v>0.16</x:v>
      </x:c>
      <x:c r="L39" s="62" t="n">
        <x:v>0.02</x:v>
      </x:c>
      <x:c r="M39" s="57" t="n">
        <x:v>3</x:v>
      </x:c>
      <x:c r="N39" s="80" t="n">
        <x:v>1.25</x:v>
      </x:c>
      <x:c r="O39" s="22" t="str">
        <x:v>SPY,MSFT</x:v>
      </x:c>
      <x:c r="P39" s="38" t="str">
        <x:v>Yes</x:v>
      </x:c>
    </x:row>
    <x:row r="40">
      <x:c r="A40" s="37" t="n">
        <x:v>37</x:v>
      </x:c>
      <x:c r="B40" s="22" t="str">
        <x:v>Systemic Stress Test</x:v>
      </x:c>
      <x:c r="C40" s="22" t="str">
        <x:v>Risk/Crisis</x:v>
      </x:c>
      <x:c r="D40" s="22" t="str">
        <x:v>Mixed</x:v>
      </x:c>
      <x:c r="E40" s="22" t="str">
        <x:v>Elite</x:v>
      </x:c>
      <x:c r="F40" s="22" t="str">
        <x:v>Personal</x:v>
      </x:c>
      <x:c r="G40" s="22" t="str">
        <x:v>36h</x:v>
      </x:c>
      <x:c r="H40" s="57" t="n">
        <x:v>3</x:v>
      </x:c>
      <x:c r="I40" s="62" t="n">
        <x:v>-0.08</x:v>
      </x:c>
      <x:c r="J40" s="62" t="n">
        <x:v>-0.06</x:v>
      </x:c>
      <x:c r="K40" s="62" t="n">
        <x:v>-0.08</x:v>
      </x:c>
      <x:c r="L40" s="62" t="n">
        <x:v>0.25</x:v>
      </x:c>
      <x:c r="M40" s="57" t="n">
        <x:v>4</x:v>
      </x:c>
      <x:c r="N40" s="80" t="n">
        <x:v>1.1</x:v>
      </x:c>
      <x:c r="O40" s="22" t="str">
        <x:v>Broad</x:v>
      </x:c>
      <x:c r="P40" s="38" t="str">
        <x:v>Yes</x:v>
      </x:c>
    </x:row>
    <x:row r="41">
      <x:c r="A41" s="37" t="n">
        <x:v>38</x:v>
      </x:c>
      <x:c r="B41" s="22" t="str">
        <x:v>Global Credit Shock</x:v>
      </x:c>
      <x:c r="C41" s="22" t="str">
        <x:v>Risk/Crisis</x:v>
      </x:c>
      <x:c r="D41" s="22" t="str">
        <x:v>Negative</x:v>
      </x:c>
      <x:c r="E41" s="22" t="str">
        <x:v>Tycoon</x:v>
      </x:c>
      <x:c r="F41" s="22" t="str">
        <x:v>Global</x:v>
      </x:c>
      <x:c r="G41" s="22" t="str">
        <x:v>36h</x:v>
      </x:c>
      <x:c r="H41" s="57" t="n">
        <x:v>2</x:v>
      </x:c>
      <x:c r="I41" s="62" t="n">
        <x:v>-0.18</x:v>
      </x:c>
      <x:c r="J41" s="62" t="n">
        <x:v>-0.14</x:v>
      </x:c>
      <x:c r="K41" s="62" t="n">
        <x:v>-0.22</x:v>
      </x:c>
      <x:c r="L41" s="62" t="n">
        <x:v>0.35</x:v>
      </x:c>
      <x:c r="M41" s="57" t="n">
        <x:v>-4</x:v>
      </x:c>
      <x:c r="N41" s="80" t="n">
        <x:v>1.25</x:v>
      </x:c>
      <x:c r="O41" s="22" t="str">
        <x:v>SPY,COIN</x:v>
      </x:c>
      <x:c r="P41" s="38" t="str">
        <x:v>Yes</x:v>
      </x:c>
    </x:row>
    <x:row r="42">
      <x:c r="A42" s="37" t="n">
        <x:v>39</x:v>
      </x:c>
      <x:c r="B42" s="22" t="str">
        <x:v>World Market Week</x:v>
      </x:c>
      <x:c r="C42" s="22" t="str">
        <x:v>Prestige/Seasonal</x:v>
      </x:c>
      <x:c r="D42" s="22" t="str">
        <x:v>Positive</x:v>
      </x:c>
      <x:c r="E42" s="22" t="str">
        <x:v>Tycoon</x:v>
      </x:c>
      <x:c r="F42" s="22" t="str">
        <x:v>Global</x:v>
      </x:c>
      <x:c r="G42" s="22" t="str">
        <x:v>72h</x:v>
      </x:c>
      <x:c r="H42" s="57" t="n">
        <x:v>3</x:v>
      </x:c>
      <x:c r="I42" s="62" t="n">
        <x:v>0.15</x:v>
      </x:c>
      <x:c r="J42" s="62" t="n">
        <x:v>0.25</x:v>
      </x:c>
      <x:c r="K42" s="62" t="n">
        <x:v>0.22</x:v>
      </x:c>
      <x:c r="L42" s="62" t="n">
        <x:v>0.1</x:v>
      </x:c>
      <x:c r="M42" s="57" t="n">
        <x:v>4</x:v>
      </x:c>
      <x:c r="N42" s="80" t="n">
        <x:v>1.5</x:v>
      </x:c>
      <x:c r="O42" s="22" t="str">
        <x:v>Broad</x:v>
      </x:c>
      <x:c r="P42" s="38" t="str">
        <x:v>Yes</x:v>
      </x:c>
    </x:row>
    <x:row r="43">
      <x:c r="A43" s="39" t="n">
        <x:v>40</x:v>
      </x:c>
      <x:c r="B43" s="40" t="str">
        <x:v>Financial Summit</x:v>
      </x:c>
      <x:c r="C43" s="40" t="str">
        <x:v>Prestige/Seasonal</x:v>
      </x:c>
      <x:c r="D43" s="40" t="str">
        <x:v>Positive</x:v>
      </x:c>
      <x:c r="E43" s="40" t="str">
        <x:v>Established</x:v>
      </x:c>
      <x:c r="F43" s="40" t="str">
        <x:v>Global</x:v>
      </x:c>
      <x:c r="G43" s="40" t="str">
        <x:v>48h</x:v>
      </x:c>
      <x:c r="H43" s="58" t="n">
        <x:v>4</x:v>
      </x:c>
      <x:c r="I43" s="81" t="n">
        <x:v>0.1</x:v>
      </x:c>
      <x:c r="J43" s="81" t="n">
        <x:v>0.12</x:v>
      </x:c>
      <x:c r="K43" s="81" t="n">
        <x:v>0.1</x:v>
      </x:c>
      <x:c r="L43" s="81" t="n">
        <x:v>-0.03</x:v>
      </x:c>
      <x:c r="M43" s="58" t="n">
        <x:v>3</x:v>
      </x:c>
      <x:c r="N43" s="82" t="n">
        <x:v>1.2</x:v>
      </x:c>
      <x:c r="O43" s="40" t="str">
        <x:v>Broad</x:v>
      </x:c>
      <x:c r="P43" s="41" t="str">
        <x:v>Yes</x:v>
      </x:c>
    </x:row>
  </x:sheetData>
  <x:mergeCells>
    <x:mergeCell ref="A1:P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Building Family Sensitivity to Event Categories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22"/>
      <x:c r="N1" s="22"/>
      <x:c r="O1" s="22"/>
      <x:c r="P1" s="22"/>
      <x:c r="Q1" s="22"/>
    </x:row>
    <x:row r="3">
      <x:c r="A3" s="14" t="str">
        <x:v>Building Family</x:v>
      </x:c>
      <x:c r="B3" s="14" t="str">
        <x:v>Macro</x:v>
      </x:c>
      <x:c r="C3" s="14" t="str">
        <x:v>Market</x:v>
      </x:c>
      <x:c r="D3" s="14" t="str">
        <x:v>Sector</x:v>
      </x:c>
      <x:c r="E3" s="14" t="str">
        <x:v>Customer</x:v>
      </x:c>
      <x:c r="F3" s="14" t="str">
        <x:v>Operational</x:v>
      </x:c>
      <x:c r="G3" s="14" t="str">
        <x:v>Risk/Crisis</x:v>
      </x:c>
      <x:c r="H3" s="14" t="str">
        <x:v>Corporate</x:v>
      </x:c>
      <x:c r="I3" s="14" t="str">
        <x:v>Prestige</x:v>
      </x:c>
      <x:c r="J3" s="14" t="str">
        <x:v>Primary Exposure</x:v>
      </x:c>
      <x:c r="K3" s="14" t="str">
        <x:v>Defensive Pairing</x:v>
      </x:c>
      <x:c r="L3" s="14" t="str">
        <x:v>Notes</x:v>
      </x:c>
    </x:row>
    <x:row r="4">
      <x:c r="A4" s="34" t="str">
        <x:v>Banking</x:v>
      </x:c>
      <x:c r="B4" s="66" t="n">
        <x:v>1.15</x:v>
      </x:c>
      <x:c r="C4" s="66" t="n">
        <x:v>0.8</x:v>
      </x:c>
      <x:c r="D4" s="66" t="n">
        <x:v>0.4</x:v>
      </x:c>
      <x:c r="E4" s="66" t="n">
        <x:v>1.2</x:v>
      </x:c>
      <x:c r="F4" s="66" t="n">
        <x:v>0.85</x:v>
      </x:c>
      <x:c r="G4" s="66" t="n">
        <x:v>1.3</x:v>
      </x:c>
      <x:c r="H4" s="66" t="n">
        <x:v>0.8</x:v>
      </x:c>
      <x:c r="I4" s="66" t="n">
        <x:v>0.7</x:v>
      </x:c>
      <x:c r="J4" s="35" t="str">
        <x:v>Rates, credit, deposits</x:v>
      </x:c>
      <x:c r="K4" s="35" t="str">
        <x:v>Treasury / Insurance</x:v>
      </x:c>
      <x:c r="L4" s="36" t="str">
        <x:v>High customer + balance-sheet sensitivity</x:v>
      </x:c>
    </x:row>
    <x:row r="5">
      <x:c r="A5" s="37" t="str">
        <x:v>Brokerage</x:v>
      </x:c>
      <x:c r="B5" s="67" t="n">
        <x:v>0.7</x:v>
      </x:c>
      <x:c r="C5" s="67" t="n">
        <x:v>1.35</x:v>
      </x:c>
      <x:c r="D5" s="67" t="n">
        <x:v>1.2</x:v>
      </x:c>
      <x:c r="E5" s="67" t="n">
        <x:v>1.15</x:v>
      </x:c>
      <x:c r="F5" s="67" t="n">
        <x:v>0.9</x:v>
      </x:c>
      <x:c r="G5" s="67" t="n">
        <x:v>1.1</x:v>
      </x:c>
      <x:c r="H5" s="67" t="n">
        <x:v>1.1</x:v>
      </x:c>
      <x:c r="I5" s="67" t="n">
        <x:v>1.05</x:v>
      </x:c>
      <x:c r="J5" s="22" t="str">
        <x:v>Trading activity</x:v>
      </x:c>
      <x:c r="K5" s="22" t="str">
        <x:v>Research / Data</x:v>
      </x:c>
      <x:c r="L5" s="38" t="str">
        <x:v>Benefits from volume, exposed to outages</x:v>
      </x:c>
    </x:row>
    <x:row r="6">
      <x:c r="A6" s="37" t="str">
        <x:v>Exchange</x:v>
      </x:c>
      <x:c r="B6" s="67" t="n">
        <x:v>0.65</x:v>
      </x:c>
      <x:c r="C6" s="67" t="n">
        <x:v>1.45</x:v>
      </x:c>
      <x:c r="D6" s="67" t="n">
        <x:v>1.15</x:v>
      </x:c>
      <x:c r="E6" s="67" t="n">
        <x:v>1</x:v>
      </x:c>
      <x:c r="F6" s="67" t="n">
        <x:v>0.95</x:v>
      </x:c>
      <x:c r="G6" s="67" t="n">
        <x:v>1.25</x:v>
      </x:c>
      <x:c r="H6" s="67" t="n">
        <x:v>1.15</x:v>
      </x:c>
      <x:c r="I6" s="67" t="n">
        <x:v>1.15</x:v>
      </x:c>
      <x:c r="J6" s="22" t="str">
        <x:v>Volume + liquidity</x:v>
      </x:c>
      <x:c r="K6" s="22" t="str">
        <x:v>Market Maker / Data</x:v>
      </x:c>
      <x:c r="L6" s="38" t="str">
        <x:v>High event responsiveness</x:v>
      </x:c>
    </x:row>
    <x:row r="7">
      <x:c r="A7" s="37" t="str">
        <x:v>Fund / Asset Mgmt</x:v>
      </x:c>
      <x:c r="B7" s="67" t="n">
        <x:v>1</x:v>
      </x:c>
      <x:c r="C7" s="67" t="n">
        <x:v>1.25</x:v>
      </x:c>
      <x:c r="D7" s="67" t="n">
        <x:v>1.3</x:v>
      </x:c>
      <x:c r="E7" s="67" t="n">
        <x:v>1.05</x:v>
      </x:c>
      <x:c r="F7" s="67" t="n">
        <x:v>0.75</x:v>
      </x:c>
      <x:c r="G7" s="67" t="n">
        <x:v>1.15</x:v>
      </x:c>
      <x:c r="H7" s="67" t="n">
        <x:v>1.2</x:v>
      </x:c>
      <x:c r="I7" s="67" t="n">
        <x:v>1.1</x:v>
      </x:c>
      <x:c r="J7" s="22" t="str">
        <x:v>AUM + market direction</x:v>
      </x:c>
      <x:c r="K7" s="22" t="str">
        <x:v>Research / Treasury</x:v>
      </x:c>
      <x:c r="L7" s="38" t="str">
        <x:v>Sensitive to flows and markets</x:v>
      </x:c>
    </x:row>
    <x:row r="8">
      <x:c r="A8" s="37" t="str">
        <x:v>Insurance</x:v>
      </x:c>
      <x:c r="B8" s="67" t="n">
        <x:v>0.8</x:v>
      </x:c>
      <x:c r="C8" s="67" t="n">
        <x:v>0.5</x:v>
      </x:c>
      <x:c r="D8" s="67" t="n">
        <x:v>0.4</x:v>
      </x:c>
      <x:c r="E8" s="67" t="n">
        <x:v>1</x:v>
      </x:c>
      <x:c r="F8" s="67" t="n">
        <x:v>1.2</x:v>
      </x:c>
      <x:c r="G8" s="67" t="n">
        <x:v>1.25</x:v>
      </x:c>
      <x:c r="H8" s="67" t="n">
        <x:v>0.6</x:v>
      </x:c>
      <x:c r="I8" s="67" t="n">
        <x:v>0.5</x:v>
      </x:c>
      <x:c r="J8" s="22" t="str">
        <x:v>Claims + retention</x:v>
      </x:c>
      <x:c r="K8" s="22" t="str">
        <x:v>Treasury</x:v>
      </x:c>
      <x:c r="L8" s="38" t="str">
        <x:v>Defensive but operationally exposed</x:v>
      </x:c>
    </x:row>
    <x:row r="9">
      <x:c r="A9" s="37" t="str">
        <x:v>Research / Data</x:v>
      </x:c>
      <x:c r="B9" s="67" t="n">
        <x:v>0.6</x:v>
      </x:c>
      <x:c r="C9" s="67" t="n">
        <x:v>1</x:v>
      </x:c>
      <x:c r="D9" s="67" t="n">
        <x:v>1.4</x:v>
      </x:c>
      <x:c r="E9" s="67" t="n">
        <x:v>0.7</x:v>
      </x:c>
      <x:c r="F9" s="67" t="n">
        <x:v>1.1</x:v>
      </x:c>
      <x:c r="G9" s="67" t="n">
        <x:v>0.8</x:v>
      </x:c>
      <x:c r="H9" s="67" t="n">
        <x:v>1</x:v>
      </x:c>
      <x:c r="I9" s="67" t="n">
        <x:v>0.9</x:v>
      </x:c>
      <x:c r="J9" s="22" t="str">
        <x:v>Sector / information events</x:v>
      </x:c>
      <x:c r="K9" s="22" t="str">
        <x:v>Data redundancy</x:v>
      </x:c>
      <x:c r="L9" s="38" t="str">
        <x:v>Strong opportunity generator</x:v>
      </x:c>
    </x:row>
    <x:row r="10">
      <x:c r="A10" s="37" t="str">
        <x:v>Treasury / Vault</x:v>
      </x:c>
      <x:c r="B10" s="67" t="n">
        <x:v>1.2</x:v>
      </x:c>
      <x:c r="C10" s="67" t="n">
        <x:v>0.7</x:v>
      </x:c>
      <x:c r="D10" s="67" t="n">
        <x:v>0.4</x:v>
      </x:c>
      <x:c r="E10" s="67" t="n">
        <x:v>0.7</x:v>
      </x:c>
      <x:c r="F10" s="67" t="n">
        <x:v>0.6</x:v>
      </x:c>
      <x:c r="G10" s="67" t="n">
        <x:v>1.45</x:v>
      </x:c>
      <x:c r="H10" s="67" t="n">
        <x:v>0.6</x:v>
      </x:c>
      <x:c r="I10" s="67" t="n">
        <x:v>0.7</x:v>
      </x:c>
      <x:c r="J10" s="22" t="str">
        <x:v>Liquidity + reserves</x:v>
      </x:c>
      <x:c r="K10" s="22" t="str">
        <x:v>Bank / Insurance</x:v>
      </x:c>
      <x:c r="L10" s="38" t="str">
        <x:v>Best defensive family</x:v>
      </x:c>
    </x:row>
    <x:row r="11">
      <x:c r="A11" s="37" t="str">
        <x:v>Wealth / Private</x:v>
      </x:c>
      <x:c r="B11" s="67" t="n">
        <x:v>1</x:v>
      </x:c>
      <x:c r="C11" s="67" t="n">
        <x:v>1.05</x:v>
      </x:c>
      <x:c r="D11" s="67" t="n">
        <x:v>1</x:v>
      </x:c>
      <x:c r="E11" s="67" t="n">
        <x:v>1.25</x:v>
      </x:c>
      <x:c r="F11" s="67" t="n">
        <x:v>0.7</x:v>
      </x:c>
      <x:c r="G11" s="67" t="n">
        <x:v>0.95</x:v>
      </x:c>
      <x:c r="H11" s="67" t="n">
        <x:v>1.15</x:v>
      </x:c>
      <x:c r="I11" s="67" t="n">
        <x:v>1.15</x:v>
      </x:c>
      <x:c r="J11" s="22" t="str">
        <x:v>HNW demand</x:v>
      </x:c>
      <x:c r="K11" s="22" t="str">
        <x:v>Fund / Private Bank</x:v>
      </x:c>
      <x:c r="L11" s="38" t="str">
        <x:v>High reputation sensitivity</x:v>
      </x:c>
    </x:row>
    <x:row r="12">
      <x:c r="A12" s="37" t="str">
        <x:v>Investment Banking</x:v>
      </x:c>
      <x:c r="B12" s="67" t="n">
        <x:v>1.1</x:v>
      </x:c>
      <x:c r="C12" s="67" t="n">
        <x:v>0.95</x:v>
      </x:c>
      <x:c r="D12" s="67" t="n">
        <x:v>0.8</x:v>
      </x:c>
      <x:c r="E12" s="67" t="n">
        <x:v>1</x:v>
      </x:c>
      <x:c r="F12" s="67" t="n">
        <x:v>0.7</x:v>
      </x:c>
      <x:c r="G12" s="67" t="n">
        <x:v>1</x:v>
      </x:c>
      <x:c r="H12" s="67" t="n">
        <x:v>1.45</x:v>
      </x:c>
      <x:c r="I12" s="67" t="n">
        <x:v>1.25</x:v>
      </x:c>
      <x:c r="J12" s="22" t="str">
        <x:v>Corporate actions</x:v>
      </x:c>
      <x:c r="K12" s="22" t="str">
        <x:v>Treasury / Research</x:v>
      </x:c>
      <x:c r="L12" s="38" t="str">
        <x:v>Corporate event specialist</x:v>
      </x:c>
    </x:row>
    <x:row r="13">
      <x:c r="A13" s="39" t="str">
        <x:v>Market Maker / Liquidity</x:v>
      </x:c>
      <x:c r="B13" s="68" t="n">
        <x:v>0.6</x:v>
      </x:c>
      <x:c r="C13" s="68" t="n">
        <x:v>1.5</x:v>
      </x:c>
      <x:c r="D13" s="68" t="n">
        <x:v>1.15</x:v>
      </x:c>
      <x:c r="E13" s="68" t="n">
        <x:v>0.8</x:v>
      </x:c>
      <x:c r="F13" s="68" t="n">
        <x:v>0.9</x:v>
      </x:c>
      <x:c r="G13" s="68" t="n">
        <x:v>1.4</x:v>
      </x:c>
      <x:c r="H13" s="68" t="n">
        <x:v>1</x:v>
      </x:c>
      <x:c r="I13" s="68" t="n">
        <x:v>1.1</x:v>
      </x:c>
      <x:c r="J13" s="40" t="str">
        <x:v>Liquidity / volatility</x:v>
      </x:c>
      <x:c r="K13" s="40" t="str">
        <x:v>Treasury / Exchange</x:v>
      </x:c>
      <x:c r="L13" s="41" t="str">
        <x:v>High upside and high stress exposure</x:v>
      </x:c>
    </x:row>
  </x:sheetData>
  <x:mergeCells>
    <x:mergeCell ref="A1:L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Stage Access, Complexity &amp; Event Intensity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22"/>
      <x:c r="M1" s="22"/>
      <x:c r="N1" s="22"/>
      <x:c r="O1" s="22"/>
      <x:c r="P1" s="22"/>
      <x:c r="Q1" s="22"/>
    </x:row>
    <x:row r="3">
      <x:c r="A3" s="14" t="str">
        <x:v>Stage</x:v>
      </x:c>
      <x:c r="B3" s="14" t="str">
        <x:v>Allowed Event Complexity</x:v>
      </x:c>
      <x:c r="C3" s="14" t="str">
        <x:v>Global Events Visible</x:v>
      </x:c>
      <x:c r="D3" s="14" t="str">
        <x:v>Personal Events/Week</x:v>
      </x:c>
      <x:c r="E3" s="14" t="str">
        <x:v>Negative Max Severity</x:v>
      </x:c>
      <x:c r="F3" s="14" t="str">
        <x:v>Decision Events</x:v>
      </x:c>
      <x:c r="G3" s="14" t="str">
        <x:v>Crisis Events</x:v>
      </x:c>
      <x:c r="H3" s="14" t="str">
        <x:v>Max Concurrent</x:v>
      </x:c>
      <x:c r="I3" s="14" t="str">
        <x:v>Tutorial Support</x:v>
      </x:c>
      <x:c r="J3" s="14" t="str">
        <x:v>Typical Event Reward</x:v>
      </x:c>
      <x:c r="K3" s="14" t="str">
        <x:v>Design Goal</x:v>
      </x:c>
    </x:row>
    <x:row r="4">
      <x:c r="A4" s="34" t="str">
        <x:v>Humble</x:v>
      </x:c>
      <x:c r="B4" s="35" t="str">
        <x:v>Simple</x:v>
      </x:c>
      <x:c r="C4" s="35" t="str">
        <x:v>All simple market/customer</x:v>
      </x:c>
      <x:c r="D4" s="66" t="n">
        <x:v>1.5</x:v>
      </x:c>
      <x:c r="E4" s="35" t="str">
        <x:v>Low</x:v>
      </x:c>
      <x:c r="F4" s="35" t="str">
        <x:v>Limited</x:v>
      </x:c>
      <x:c r="G4" s="35" t="str">
        <x:v>No</x:v>
      </x:c>
      <x:c r="H4" s="35" t="n">
        <x:v>1</x:v>
      </x:c>
      <x:c r="I4" s="35" t="str">
        <x:v>High</x:v>
      </x:c>
      <x:c r="J4" s="35" t="str">
        <x:v>Cash + small Hunt boost</x:v>
      </x:c>
      <x:c r="K4" s="36" t="str">
        <x:v>Teach cause/effect</x:v>
      </x:c>
    </x:row>
    <x:row r="5">
      <x:c r="A5" s="37" t="str">
        <x:v>Starter</x:v>
      </x:c>
      <x:c r="B5" s="22" t="str">
        <x:v>Simple/Intermediate</x:v>
      </x:c>
      <x:c r="C5" s="22" t="str">
        <x:v>Macro + customer + operational</x:v>
      </x:c>
      <x:c r="D5" s="67" t="n">
        <x:v>2.5</x:v>
      </x:c>
      <x:c r="E5" s="22" t="str">
        <x:v>Low/Moderate</x:v>
      </x:c>
      <x:c r="F5" s="22" t="str">
        <x:v>Yes</x:v>
      </x:c>
      <x:c r="G5" s="22" t="str">
        <x:v>Very rare</x:v>
      </x:c>
      <x:c r="H5" s="22" t="n">
        <x:v>2</x:v>
      </x:c>
      <x:c r="I5" s="22" t="str">
        <x:v>Medium</x:v>
      </x:c>
      <x:c r="J5" s="22" t="str">
        <x:v>Cash + stock Hunt bias</x:v>
      </x:c>
      <x:c r="K5" s="38" t="str">
        <x:v>Introduce choices</x:v>
      </x:c>
    </x:row>
    <x:row r="6">
      <x:c r="A6" s="37" t="str">
        <x:v>Growing</x:v>
      </x:c>
      <x:c r="B6" s="22" t="str">
        <x:v>Intermediate</x:v>
      </x:c>
      <x:c r="C6" s="22" t="str">
        <x:v>Full sector + liquidity</x:v>
      </x:c>
      <x:c r="D6" s="67" t="n">
        <x:v>3</x:v>
      </x:c>
      <x:c r="E6" s="22" t="str">
        <x:v>Moderate</x:v>
      </x:c>
      <x:c r="F6" s="22" t="str">
        <x:v>Yes</x:v>
      </x:c>
      <x:c r="G6" s="22" t="str">
        <x:v>Yes</x:v>
      </x:c>
      <x:c r="H6" s="22" t="n">
        <x:v>2</x:v>
      </x:c>
      <x:c r="I6" s="22" t="str">
        <x:v>Medium</x:v>
      </x:c>
      <x:c r="J6" s="22" t="str">
        <x:v>Cash + rep + Hunt</x:v>
      </x:c>
      <x:c r="K6" s="38" t="str">
        <x:v>Make strategy matter</x:v>
      </x:c>
    </x:row>
    <x:row r="7">
      <x:c r="A7" s="37" t="str">
        <x:v>Established</x:v>
      </x:c>
      <x:c r="B7" s="22" t="str">
        <x:v>Advanced</x:v>
      </x:c>
      <x:c r="C7" s="22" t="str">
        <x:v>Full catalog except Tycoon-only</x:v>
      </x:c>
      <x:c r="D7" s="67" t="n">
        <x:v>3.5</x:v>
      </x:c>
      <x:c r="E7" s="22" t="str">
        <x:v>Moderate/High</x:v>
      </x:c>
      <x:c r="F7" s="22" t="str">
        <x:v>Yes</x:v>
      </x:c>
      <x:c r="G7" s="22" t="str">
        <x:v>Yes</x:v>
      </x:c>
      <x:c r="H7" s="22" t="n">
        <x:v>2</x:v>
      </x:c>
      <x:c r="I7" s="22" t="str">
        <x:v>Low</x:v>
      </x:c>
      <x:c r="J7" s="22" t="str">
        <x:v>Rep + Cash + rare Hunt</x:v>
      </x:c>
      <x:c r="K7" s="38" t="str">
        <x:v>Institutional management</x:v>
      </x:c>
    </x:row>
    <x:row r="8">
      <x:c r="A8" s="37" t="str">
        <x:v>Elite</x:v>
      </x:c>
      <x:c r="B8" s="22" t="str">
        <x:v>Advanced</x:v>
      </x:c>
      <x:c r="C8" s="22" t="str">
        <x:v>All non-Tycoon events</x:v>
      </x:c>
      <x:c r="D8" s="67" t="n">
        <x:v>4</x:v>
      </x:c>
      <x:c r="E8" s="22" t="str">
        <x:v>High</x:v>
      </x:c>
      <x:c r="F8" s="22" t="str">
        <x:v>Yes</x:v>
      </x:c>
      <x:c r="G8" s="22" t="str">
        <x:v>Yes</x:v>
      </x:c>
      <x:c r="H8" s="22" t="n">
        <x:v>2</x:v>
      </x:c>
      <x:c r="I8" s="22" t="str">
        <x:v>Low</x:v>
      </x:c>
      <x:c r="J8" s="22" t="str">
        <x:v>Premium event Hunts</x:v>
      </x:c>
      <x:c r="K8" s="38" t="str">
        <x:v>Optimization</x:v>
      </x:c>
    </x:row>
    <x:row r="9">
      <x:c r="A9" s="39" t="str">
        <x:v>Tycoon</x:v>
      </x:c>
      <x:c r="B9" s="40" t="str">
        <x:v>Advanced/Prestige</x:v>
      </x:c>
      <x:c r="C9" s="40" t="str">
        <x:v>All events</x:v>
      </x:c>
      <x:c r="D9" s="68" t="n">
        <x:v>4</x:v>
      </x:c>
      <x:c r="E9" s="40" t="str">
        <x:v>High</x:v>
      </x:c>
      <x:c r="F9" s="40" t="str">
        <x:v>Yes</x:v>
      </x:c>
      <x:c r="G9" s="40" t="str">
        <x:v>Yes</x:v>
      </x:c>
      <x:c r="H9" s="40" t="n">
        <x:v>2</x:v>
      </x:c>
      <x:c r="I9" s="40" t="str">
        <x:v>Low</x:v>
      </x:c>
      <x:c r="J9" s="40" t="str">
        <x:v>Prestige + premium Hunts</x:v>
      </x:c>
      <x:c r="K9" s="41" t="str">
        <x:v>Endgame variety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0" hidden="0" customWidth="1"/>
    <x:col min="17" max="17" width="15" hidden="0" customWidth="1"/>
  </x:cols>
  <x:sheetData>
    <x:row r="1" ht="28" customHeight="1">
      <x:c r="A1" s="108" t="str">
        <x:v>Decision Event Branches &amp; Player Agency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108"/>
      <x:c r="P1" s="108"/>
      <x:c r="Q1" s="108"/>
    </x:row>
    <x:row r="3">
      <x:c r="A3" s="14" t="str">
        <x:v>Event</x:v>
      </x:c>
      <x:c r="B3" s="14" t="str">
        <x:v>Choice</x:v>
      </x:c>
      <x:c r="C3" s="14" t="str">
        <x:v>Immediate Cost</x:v>
      </x:c>
      <x:c r="D3" s="14" t="str">
        <x:v>Demand Mod</x:v>
      </x:c>
      <x:c r="E3" s="14" t="str">
        <x:v>Activity Mod</x:v>
      </x:c>
      <x:c r="F3" s="14" t="str">
        <x:v>Revenue Mod</x:v>
      </x:c>
      <x:c r="G3" s="14" t="str">
        <x:v>Risk Mod</x:v>
      </x:c>
      <x:c r="H3" s="14" t="str">
        <x:v>Rep Delta</x:v>
      </x:c>
      <x:c r="I3" s="14" t="str">
        <x:v>Duration</x:v>
      </x:c>
      <x:c r="J3" s="14" t="str">
        <x:v>Success Condition</x:v>
      </x:c>
      <x:c r="K3" s="14" t="str">
        <x:v>Failure Consequence</x:v>
      </x:c>
      <x:c r="L3" s="14" t="str">
        <x:v>Best For</x:v>
      </x:c>
      <x:c r="M3" s="14" t="str">
        <x:v>Worst For</x:v>
      </x:c>
      <x:c r="N3" s="14" t="str">
        <x:v>Cash Reward</x:v>
      </x:c>
      <x:c r="O3" s="14" t="str">
        <x:v>Event Points</x:v>
      </x:c>
      <x:c r="P3" s="14" t="str">
        <x:v>Player Tradeoff</x:v>
      </x:c>
      <x:c r="Q3" s="14" t="str">
        <x:v>Notes</x:v>
      </x:c>
    </x:row>
    <x:row r="4">
      <x:c r="A4" s="34" t="str">
        <x:v>Liquidity Crunch</x:v>
      </x:c>
      <x:c r="B4" s="35" t="str">
        <x:v>Inject reserves</x:v>
      </x:c>
      <x:c r="C4" s="88" t="n">
        <x:v>50000</x:v>
      </x:c>
      <x:c r="D4" s="50" t="n">
        <x:v>0</x:v>
      </x:c>
      <x:c r="E4" s="50" t="n">
        <x:v>0</x:v>
      </x:c>
      <x:c r="F4" s="50" t="n">
        <x:v>-0.05</x:v>
      </x:c>
      <x:c r="G4" s="50" t="n">
        <x:v>-0.18</x:v>
      </x:c>
      <x:c r="H4" s="94" t="n">
        <x:v>2</x:v>
      </x:c>
      <x:c r="I4" s="35" t="str">
        <x:v>24h</x:v>
      </x:c>
      <x:c r="J4" s="35" t="str">
        <x:v>Have Treasury/Vault or enough Cash</x:v>
      </x:c>
      <x:c r="K4" s="35" t="str">
        <x:v>None beyond cost</x:v>
      </x:c>
      <x:c r="L4" s="35" t="str">
        <x:v>Capital-rich player</x:v>
      </x:c>
      <x:c r="M4" s="35" t="str">
        <x:v>Cash-poor player</x:v>
      </x:c>
      <x:c r="N4" s="88" t="n">
        <x:v>0</x:v>
      </x:c>
      <x:c r="O4" s="94" t="n">
        <x:v>4</x:v>
      </x:c>
      <x:c r="P4" s="35" t="str">
        <x:v>Spend Cash to protect empire</x:v>
      </x:c>
      <x:c r="Q4" s="36" t="str">
        <x:v>Strong defensive option</x:v>
      </x:c>
    </x:row>
    <x:row r="5">
      <x:c r="A5" s="37" t="str">
        <x:v>Liquidity Crunch</x:v>
      </x:c>
      <x:c r="B5" s="22" t="str">
        <x:v>Limit activity</x:v>
      </x:c>
      <x:c r="C5" s="89" t="n">
        <x:v>0</x:v>
      </x:c>
      <x:c r="D5" s="51" t="n">
        <x:v>-0.05</x:v>
      </x:c>
      <x:c r="E5" s="51" t="n">
        <x:v>-0.2</x:v>
      </x:c>
      <x:c r="F5" s="51" t="n">
        <x:v>-0.12</x:v>
      </x:c>
      <x:c r="G5" s="51" t="n">
        <x:v>-0.12</x:v>
      </x:c>
      <x:c r="H5" s="95" t="n">
        <x:v>1</x:v>
      </x:c>
      <x:c r="I5" s="22" t="str">
        <x:v>24h</x:v>
      </x:c>
      <x:c r="J5" s="22" t="str">
        <x:v>Accept lower throughput</x:v>
      </x:c>
      <x:c r="K5" s="22" t="str">
        <x:v>Lower revenue</x:v>
      </x:c>
      <x:c r="L5" s="22" t="str">
        <x:v>Risk-averse player</x:v>
      </x:c>
      <x:c r="M5" s="22" t="str">
        <x:v>Performance chaser</x:v>
      </x:c>
      <x:c r="N5" s="89" t="n">
        <x:v>0</x:v>
      </x:c>
      <x:c r="O5" s="95" t="n">
        <x:v>3</x:v>
      </x:c>
      <x:c r="P5" s="22" t="str">
        <x:v>Safety vs activity</x:v>
      </x:c>
      <x:c r="Q5" s="38" t="str"/>
    </x:row>
    <x:row r="6">
      <x:c r="A6" s="37" t="str">
        <x:v>Liquidity Crunch</x:v>
      </x:c>
      <x:c r="B6" s="22" t="str">
        <x:v>Operate normally</x:v>
      </x:c>
      <x:c r="C6" s="89" t="n">
        <x:v>0</x:v>
      </x:c>
      <x:c r="D6" s="51" t="n">
        <x:v>-0.1</x:v>
      </x:c>
      <x:c r="E6" s="51" t="n">
        <x:v>0.05</x:v>
      </x:c>
      <x:c r="F6" s="51" t="n">
        <x:v>0.05</x:v>
      </x:c>
      <x:c r="G6" s="51" t="n">
        <x:v>0.15</x:v>
      </x:c>
      <x:c r="H6" s="95" t="n">
        <x:v>-2</x:v>
      </x:c>
      <x:c r="I6" s="22" t="str">
        <x:v>24h</x:v>
      </x:c>
      <x:c r="J6" s="22" t="str">
        <x:v>Risk event does not trigger</x:v>
      </x:c>
      <x:c r="K6" s="22" t="str">
        <x:v>Extra rep loss + temporary capacity hit</x:v>
      </x:c>
      <x:c r="L6" s="22" t="str">
        <x:v>Aggressive player</x:v>
      </x:c>
      <x:c r="M6" s="22" t="str">
        <x:v>Weak treasury</x:v>
      </x:c>
      <x:c r="N6" s="89" t="n">
        <x:v>15000</x:v>
      </x:c>
      <x:c r="O6" s="95" t="n">
        <x:v>5</x:v>
      </x:c>
      <x:c r="P6" s="22" t="str">
        <x:v>Upside vs downside</x:v>
      </x:c>
      <x:c r="Q6" s="38" t="str"/>
    </x:row>
    <x:row r="7">
      <x:c r="A7" s="37" t="str">
        <x:v>Rate Hike</x:v>
      </x:c>
      <x:c r="B7" s="22" t="str">
        <x:v>Raise lending rates</x:v>
      </x:c>
      <x:c r="C7" s="89" t="n">
        <x:v>0</x:v>
      </x:c>
      <x:c r="D7" s="51" t="n">
        <x:v>-0.08</x:v>
      </x:c>
      <x:c r="E7" s="51" t="n">
        <x:v>-0.05</x:v>
      </x:c>
      <x:c r="F7" s="51" t="n">
        <x:v>0.1</x:v>
      </x:c>
      <x:c r="G7" s="51" t="n">
        <x:v>0.08</x:v>
      </x:c>
      <x:c r="H7" s="95" t="n">
        <x:v>-1</x:v>
      </x:c>
      <x:c r="I7" s="22" t="str">
        <x:v>48h</x:v>
      </x:c>
      <x:c r="J7" s="22" t="str">
        <x:v>Maintain retention &gt;85%</x:v>
      </x:c>
      <x:c r="K7" s="22" t="str">
        <x:v>Customer churn</x:v>
      </x:c>
      <x:c r="L7" s="22" t="str">
        <x:v>Margin-focused bank</x:v>
      </x:c>
      <x:c r="M7" s="22" t="str">
        <x:v>Growth-focused bank</x:v>
      </x:c>
      <x:c r="N7" s="89" t="n">
        <x:v>5000</x:v>
      </x:c>
      <x:c r="O7" s="95" t="n">
        <x:v>3</x:v>
      </x:c>
      <x:c r="P7" s="22" t="str">
        <x:v>Margin vs growth</x:v>
      </x:c>
      <x:c r="Q7" s="38" t="str"/>
    </x:row>
    <x:row r="8">
      <x:c r="A8" s="37" t="str">
        <x:v>Rate Hike</x:v>
      </x:c>
      <x:c r="B8" s="22" t="str">
        <x:v>Hold customer rates</x:v>
      </x:c>
      <x:c r="C8" s="89" t="n">
        <x:v>0</x:v>
      </x:c>
      <x:c r="D8" s="51" t="n">
        <x:v>0.04</x:v>
      </x:c>
      <x:c r="E8" s="51" t="n">
        <x:v>0.03</x:v>
      </x:c>
      <x:c r="F8" s="51" t="n">
        <x:v>-0.05</x:v>
      </x:c>
      <x:c r="G8" s="51" t="n">
        <x:v>-0.02</x:v>
      </x:c>
      <x:c r="H8" s="95" t="n">
        <x:v>2</x:v>
      </x:c>
      <x:c r="I8" s="22" t="str">
        <x:v>48h</x:v>
      </x:c>
      <x:c r="J8" s="22" t="str">
        <x:v>Maintain liquidity</x:v>
      </x:c>
      <x:c r="K8" s="22" t="str">
        <x:v>Lower profit</x:v>
      </x:c>
      <x:c r="L8" s="22" t="str">
        <x:v>Reputation-focused</x:v>
      </x:c>
      <x:c r="M8" s="22" t="str">
        <x:v>Cash-starved</x:v>
      </x:c>
      <x:c r="N8" s="89" t="n">
        <x:v>0</x:v>
      </x:c>
      <x:c r="O8" s="95" t="n">
        <x:v>4</x:v>
      </x:c>
      <x:c r="P8" s="22" t="str">
        <x:v>Loyalty vs margin</x:v>
      </x:c>
      <x:c r="Q8" s="38" t="str"/>
    </x:row>
    <x:row r="9">
      <x:c r="A9" s="37" t="str">
        <x:v>Brokerage Fee War</x:v>
      </x:c>
      <x:c r="B9" s="22" t="str">
        <x:v>Cut fees</x:v>
      </x:c>
      <x:c r="C9" s="89" t="n">
        <x:v>10000</x:v>
      </x:c>
      <x:c r="D9" s="51" t="n">
        <x:v>0.12</x:v>
      </x:c>
      <x:c r="E9" s="51" t="n">
        <x:v>0.18</x:v>
      </x:c>
      <x:c r="F9" s="51" t="n">
        <x:v>-0.15</x:v>
      </x:c>
      <x:c r="G9" s="51" t="n">
        <x:v>0.02</x:v>
      </x:c>
      <x:c r="H9" s="95" t="n">
        <x:v>1</x:v>
      </x:c>
      <x:c r="I9" s="22" t="str">
        <x:v>24h</x:v>
      </x:c>
      <x:c r="J9" s="22" t="str">
        <x:v>Volume target met</x:v>
      </x:c>
      <x:c r="K9" s="22" t="str">
        <x:v>Cash loss without volume</x:v>
      </x:c>
      <x:c r="L9" s="22" t="str">
        <x:v>Growth brokerage</x:v>
      </x:c>
      <x:c r="M9" s="22" t="str">
        <x:v>Low-volume player</x:v>
      </x:c>
      <x:c r="N9" s="89" t="n">
        <x:v>10000</x:v>
      </x:c>
      <x:c r="O9" s="95" t="n">
        <x:v>4</x:v>
      </x:c>
      <x:c r="P9" s="22" t="str">
        <x:v>Acquire customers vs margin</x:v>
      </x:c>
      <x:c r="Q9" s="38" t="str"/>
    </x:row>
    <x:row r="10">
      <x:c r="A10" s="37" t="str">
        <x:v>Brokerage Fee War</x:v>
      </x:c>
      <x:c r="B10" s="22" t="str">
        <x:v>Keep fees</x:v>
      </x:c>
      <x:c r="C10" s="89" t="n">
        <x:v>0</x:v>
      </x:c>
      <x:c r="D10" s="51" t="n">
        <x:v>-0.05</x:v>
      </x:c>
      <x:c r="E10" s="51" t="n">
        <x:v>-0.08</x:v>
      </x:c>
      <x:c r="F10" s="51" t="n">
        <x:v>0.05</x:v>
      </x:c>
      <x:c r="G10" s="51" t="n">
        <x:v>0</x:v>
      </x:c>
      <x:c r="H10" s="95" t="n">
        <x:v>0</x:v>
      </x:c>
      <x:c r="I10" s="22" t="str">
        <x:v>24h</x:v>
      </x:c>
      <x:c r="J10" s="22" t="str">
        <x:v>Retention stays healthy</x:v>
      </x:c>
      <x:c r="K10" s="22" t="str">
        <x:v>Lose market share</x:v>
      </x:c>
      <x:c r="L10" s="22" t="str">
        <x:v>High-rep brokerage</x:v>
      </x:c>
      <x:c r="M10" s="22" t="str">
        <x:v>Early player</x:v>
      </x:c>
      <x:c r="N10" s="89" t="n">
        <x:v>0</x:v>
      </x:c>
      <x:c r="O10" s="95" t="n">
        <x:v>2</x:v>
      </x:c>
      <x:c r="P10" s="22" t="str">
        <x:v>Margin vs share</x:v>
      </x:c>
      <x:c r="Q10" s="38" t="str"/>
    </x:row>
    <x:row r="11">
      <x:c r="A11" s="37" t="str">
        <x:v>System Outage</x:v>
      </x:c>
      <x:c r="B11" s="22" t="str">
        <x:v>Emergency repair</x:v>
      </x:c>
      <x:c r="C11" s="89" t="n">
        <x:v>25000</x:v>
      </x:c>
      <x:c r="D11" s="51" t="n">
        <x:v>0</x:v>
      </x:c>
      <x:c r="E11" s="51" t="n">
        <x:v>-0.05</x:v>
      </x:c>
      <x:c r="F11" s="51" t="n">
        <x:v>-0.05</x:v>
      </x:c>
      <x:c r="G11" s="51" t="n">
        <x:v>-0.12</x:v>
      </x:c>
      <x:c r="H11" s="95" t="n">
        <x:v>1</x:v>
      </x:c>
      <x:c r="I11" s="22" t="str">
        <x:v>6h</x:v>
      </x:c>
      <x:c r="J11" s="22" t="str">
        <x:v>Pay cost</x:v>
      </x:c>
      <x:c r="K11" s="22" t="str">
        <x:v>None</x:v>
      </x:c>
      <x:c r="L11" s="22" t="str">
        <x:v>Cash-rich</x:v>
      </x:c>
      <x:c r="M11" s="22" t="str">
        <x:v>Cash-poor</x:v>
      </x:c>
      <x:c r="N11" s="89" t="n">
        <x:v>0</x:v>
      </x:c>
      <x:c r="O11" s="95" t="n">
        <x:v>4</x:v>
      </x:c>
      <x:c r="P11" s="22" t="str">
        <x:v>Cash vs uptime</x:v>
      </x:c>
      <x:c r="Q11" s="38" t="str"/>
    </x:row>
    <x:row r="12">
      <x:c r="A12" s="37" t="str">
        <x:v>System Outage</x:v>
      </x:c>
      <x:c r="B12" s="22" t="str">
        <x:v>Run degraded</x:v>
      </x:c>
      <x:c r="C12" s="89" t="n">
        <x:v>0</x:v>
      </x:c>
      <x:c r="D12" s="51" t="n">
        <x:v>-0.05</x:v>
      </x:c>
      <x:c r="E12" s="51" t="n">
        <x:v>-0.18</x:v>
      </x:c>
      <x:c r="F12" s="51" t="n">
        <x:v>-0.12</x:v>
      </x:c>
      <x:c r="G12" s="51" t="n">
        <x:v>0.08</x:v>
      </x:c>
      <x:c r="H12" s="95" t="n">
        <x:v>-2</x:v>
      </x:c>
      <x:c r="I12" s="22" t="str">
        <x:v>6h</x:v>
      </x:c>
      <x:c r="J12" s="22" t="str">
        <x:v>No secondary failure</x:v>
      </x:c>
      <x:c r="K12" s="22" t="str">
        <x:v>Rep/capacity hit</x:v>
      </x:c>
      <x:c r="L12" s="22" t="str">
        <x:v>Risk-tolerant</x:v>
      </x:c>
      <x:c r="M12" s="22" t="str">
        <x:v>Rep-sensitive</x:v>
      </x:c>
      <x:c r="N12" s="89" t="n">
        <x:v>5000</x:v>
      </x:c>
      <x:c r="O12" s="95" t="n">
        <x:v>2</x:v>
      </x:c>
      <x:c r="P12" s="22" t="str">
        <x:v>Save Cash vs service quality</x:v>
      </x:c>
      <x:c r="Q12" s="38" t="str"/>
    </x:row>
    <x:row r="13">
      <x:c r="A13" s="37" t="str">
        <x:v>Bank Run Rumor</x:v>
      </x:c>
      <x:c r="B13" s="22" t="str">
        <x:v>Public reassurance</x:v>
      </x:c>
      <x:c r="C13" s="89" t="n">
        <x:v>15000</x:v>
      </x:c>
      <x:c r="D13" s="51" t="n">
        <x:v>-0.04</x:v>
      </x:c>
      <x:c r="E13" s="51" t="n">
        <x:v>-0.05</x:v>
      </x:c>
      <x:c r="F13" s="51" t="n">
        <x:v>-0.08</x:v>
      </x:c>
      <x:c r="G13" s="51" t="n">
        <x:v>-0.1</x:v>
      </x:c>
      <x:c r="H13" s="95" t="n">
        <x:v>3</x:v>
      </x:c>
      <x:c r="I13" s="22" t="str">
        <x:v>18h</x:v>
      </x:c>
      <x:c r="J13" s="22" t="str">
        <x:v>Rep &gt;=75</x:v>
      </x:c>
      <x:c r="K13" s="22" t="str">
        <x:v>If low rep, effect halved</x:v>
      </x:c>
      <x:c r="L13" s="22" t="str">
        <x:v>High reputation</x:v>
      </x:c>
      <x:c r="M13" s="22" t="str">
        <x:v>Low reputation</x:v>
      </x:c>
      <x:c r="N13" s="89" t="n">
        <x:v>0</x:v>
      </x:c>
      <x:c r="O13" s="95" t="n">
        <x:v>5</x:v>
      </x:c>
      <x:c r="P13" s="22" t="str">
        <x:v>Trust investment</x:v>
      </x:c>
      <x:c r="Q13" s="38" t="str"/>
    </x:row>
    <x:row r="14">
      <x:c r="A14" s="37" t="str">
        <x:v>Bank Run Rumor</x:v>
      </x:c>
      <x:c r="B14" s="22" t="str">
        <x:v>Increase liquidity reserve</x:v>
      </x:c>
      <x:c r="C14" s="89" t="n">
        <x:v>50000</x:v>
      </x:c>
      <x:c r="D14" s="51" t="n">
        <x:v>-0.02</x:v>
      </x:c>
      <x:c r="E14" s="51" t="n">
        <x:v>-0.1</x:v>
      </x:c>
      <x:c r="F14" s="51" t="n">
        <x:v>-0.1</x:v>
      </x:c>
      <x:c r="G14" s="51" t="n">
        <x:v>-0.2</x:v>
      </x:c>
      <x:c r="H14" s="95" t="n">
        <x:v>2</x:v>
      </x:c>
      <x:c r="I14" s="22" t="str">
        <x:v>18h</x:v>
      </x:c>
      <x:c r="J14" s="22" t="str">
        <x:v>Reserve requirement met</x:v>
      </x:c>
      <x:c r="K14" s="22" t="str">
        <x:v>None</x:v>
      </x:c>
      <x:c r="L14" s="22" t="str">
        <x:v>Treasury-rich</x:v>
      </x:c>
      <x:c r="M14" s="22" t="str">
        <x:v>Cash-poor</x:v>
      </x:c>
      <x:c r="N14" s="89" t="n">
        <x:v>0</x:v>
      </x:c>
      <x:c r="O14" s="95" t="n">
        <x:v>5</x:v>
      </x:c>
      <x:c r="P14" s="22" t="str">
        <x:v>Liquidity vs earnings</x:v>
      </x:c>
      <x:c r="Q14" s="38" t="str"/>
    </x:row>
    <x:row r="15">
      <x:c r="A15" s="37" t="str">
        <x:v>Bank Run Rumor</x:v>
      </x:c>
      <x:c r="B15" s="22" t="str">
        <x:v>Ignore rumor</x:v>
      </x:c>
      <x:c r="C15" s="89" t="n">
        <x:v>0</x:v>
      </x:c>
      <x:c r="D15" s="51" t="n">
        <x:v>-0.15</x:v>
      </x:c>
      <x:c r="E15" s="51" t="n">
        <x:v>-0.05</x:v>
      </x:c>
      <x:c r="F15" s="51" t="n">
        <x:v>0.03</x:v>
      </x:c>
      <x:c r="G15" s="51" t="n">
        <x:v>0.2</x:v>
      </x:c>
      <x:c r="H15" s="95" t="n">
        <x:v>-4</x:v>
      </x:c>
      <x:c r="I15" s="22" t="str">
        <x:v>18h</x:v>
      </x:c>
      <x:c r="J15" s="22" t="str">
        <x:v>Rumor fades</x:v>
      </x:c>
      <x:c r="K15" s="22" t="str">
        <x:v>Customer outflow</x:v>
      </x:c>
      <x:c r="L15" s="22" t="str">
        <x:v>Aggressive</x:v>
      </x:c>
      <x:c r="M15" s="22" t="str">
        <x:v>Weak rep</x:v>
      </x:c>
      <x:c r="N15" s="89" t="n">
        <x:v>20000</x:v>
      </x:c>
      <x:c r="O15" s="95" t="n">
        <x:v>4</x:v>
      </x:c>
      <x:c r="P15" s="22" t="str">
        <x:v>Bet on normalization</x:v>
      </x:c>
      <x:c r="Q15" s="38" t="str"/>
    </x:row>
    <x:row r="16">
      <x:c r="A16" s="37" t="str">
        <x:v>Regulatory Review</x:v>
      </x:c>
      <x:c r="B16" s="22" t="str">
        <x:v>Full compliance audit</x:v>
      </x:c>
      <x:c r="C16" s="89" t="n">
        <x:v>40000</x:v>
      </x:c>
      <x:c r="D16" s="51" t="n">
        <x:v>-0.02</x:v>
      </x:c>
      <x:c r="E16" s="51" t="n">
        <x:v>-0.08</x:v>
      </x:c>
      <x:c r="F16" s="51" t="n">
        <x:v>-0.1</x:v>
      </x:c>
      <x:c r="G16" s="51" t="n">
        <x:v>-0.15</x:v>
      </x:c>
      <x:c r="H16" s="95" t="n">
        <x:v>4</x:v>
      </x:c>
      <x:c r="I16" s="22" t="str">
        <x:v>36h</x:v>
      </x:c>
      <x:c r="J16" s="22" t="str">
        <x:v>Complete audit</x:v>
      </x:c>
      <x:c r="K16" s="22" t="str">
        <x:v>None</x:v>
      </x:c>
      <x:c r="L16" s="22" t="str">
        <x:v>Prestige player</x:v>
      </x:c>
      <x:c r="M16" s="22" t="str">
        <x:v>Cash-poor</x:v>
      </x:c>
      <x:c r="N16" s="89" t="n">
        <x:v>0</x:v>
      </x:c>
      <x:c r="O16" s="95" t="n">
        <x:v>6</x:v>
      </x:c>
      <x:c r="P16" s="22" t="str">
        <x:v>Cost vs reputation</x:v>
      </x:c>
      <x:c r="Q16" s="38" t="str"/>
    </x:row>
    <x:row r="17">
      <x:c r="A17" s="37" t="str">
        <x:v>Regulatory Review</x:v>
      </x:c>
      <x:c r="B17" s="22" t="str">
        <x:v>Minimal response</x:v>
      </x:c>
      <x:c r="C17" s="89" t="n">
        <x:v>5000</x:v>
      </x:c>
      <x:c r="D17" s="51" t="n">
        <x:v>-0.05</x:v>
      </x:c>
      <x:c r="E17" s="51" t="n">
        <x:v>-0.03</x:v>
      </x:c>
      <x:c r="F17" s="51" t="n">
        <x:v>0.02</x:v>
      </x:c>
      <x:c r="G17" s="51" t="n">
        <x:v>0.12</x:v>
      </x:c>
      <x:c r="H17" s="95" t="n">
        <x:v>-2</x:v>
      </x:c>
      <x:c r="I17" s="22" t="str">
        <x:v>36h</x:v>
      </x:c>
      <x:c r="J17" s="22" t="str">
        <x:v>No escalation</x:v>
      </x:c>
      <x:c r="K17" s="22" t="str">
        <x:v>Rep loss / temporary restriction</x:v>
      </x:c>
      <x:c r="L17" s="22" t="str">
        <x:v>Aggressive</x:v>
      </x:c>
      <x:c r="M17" s="22" t="str">
        <x:v>Institutional player</x:v>
      </x:c>
      <x:c r="N17" s="89" t="n">
        <x:v>10000</x:v>
      </x:c>
      <x:c r="O17" s="95" t="n">
        <x:v>2</x:v>
      </x:c>
      <x:c r="P17" s="22" t="str">
        <x:v>Short-term profit vs long-term trust</x:v>
      </x:c>
      <x:c r="Q17" s="38" t="str"/>
    </x:row>
    <x:row r="18">
      <x:c r="A18" s="37" t="str">
        <x:v>Tech Selloff</x:v>
      </x:c>
      <x:c r="B18" s="22" t="str">
        <x:v>Reduce exposure</x:v>
      </x:c>
      <x:c r="C18" s="89" t="n">
        <x:v>10000</x:v>
      </x:c>
      <x:c r="D18" s="51" t="n">
        <x:v>0</x:v>
      </x:c>
      <x:c r="E18" s="51" t="n">
        <x:v>-0.08</x:v>
      </x:c>
      <x:c r="F18" s="51" t="n">
        <x:v>-0.05</x:v>
      </x:c>
      <x:c r="G18" s="51" t="n">
        <x:v>-0.15</x:v>
      </x:c>
      <x:c r="H18" s="95" t="n">
        <x:v>1</x:v>
      </x:c>
      <x:c r="I18" s="22" t="str">
        <x:v>24h</x:v>
      </x:c>
      <x:c r="J18" s="22" t="str">
        <x:v>Research building active</x:v>
      </x:c>
      <x:c r="K18" s="22" t="str">
        <x:v>Miss rebound bonus</x:v>
      </x:c>
      <x:c r="L18" s="22" t="str">
        <x:v>Risk-managed fund</x:v>
      </x:c>
      <x:c r="M18" s="22" t="str">
        <x:v>Momentum trader</x:v>
      </x:c>
      <x:c r="N18" s="89" t="n">
        <x:v>0</x:v>
      </x:c>
      <x:c r="O18" s="95" t="n">
        <x:v>4</x:v>
      </x:c>
      <x:c r="P18" s="22" t="str">
        <x:v>Protection vs upside</x:v>
      </x:c>
      <x:c r="Q18" s="38" t="str"/>
    </x:row>
    <x:row r="19">
      <x:c r="A19" s="37" t="str">
        <x:v>Tech Selloff</x:v>
      </x:c>
      <x:c r="B19" s="22" t="str">
        <x:v>Buy the dip</x:v>
      </x:c>
      <x:c r="C19" s="89" t="n">
        <x:v>25000</x:v>
      </x:c>
      <x:c r="D19" s="51" t="n">
        <x:v>0.02</x:v>
      </x:c>
      <x:c r="E19" s="51" t="n">
        <x:v>0.12</x:v>
      </x:c>
      <x:c r="F19" s="51" t="n">
        <x:v>0.08</x:v>
      </x:c>
      <x:c r="G19" s="51" t="n">
        <x:v>0.15</x:v>
      </x:c>
      <x:c r="H19" s="95" t="n">
        <x:v>0</x:v>
      </x:c>
      <x:c r="I19" s="22" t="str">
        <x:v>24h</x:v>
      </x:c>
      <x:c r="J19" s="22" t="str">
        <x:v>Recovery occurs</x:v>
      </x:c>
      <x:c r="K19" s="22" t="str">
        <x:v>Temporary drawdown</x:v>
      </x:c>
      <x:c r="L19" s="22" t="str">
        <x:v>Capital-rich</x:v>
      </x:c>
      <x:c r="M19" s="22" t="str">
        <x:v>Low reserve</x:v>
      </x:c>
      <x:c r="N19" s="89" t="n">
        <x:v>25000</x:v>
      </x:c>
      <x:c r="O19" s="95" t="n">
        <x:v>6</x:v>
      </x:c>
      <x:c r="P19" s="22" t="str">
        <x:v>Contrarian risk</x:v>
      </x:c>
      <x:c r="Q19" s="38" t="str"/>
    </x:row>
    <x:row r="20">
      <x:c r="A20" s="37" t="str">
        <x:v>Global Credit Shock</x:v>
      </x:c>
      <x:c r="B20" s="22" t="str">
        <x:v>Tighten lending</x:v>
      </x:c>
      <x:c r="C20" s="89" t="n">
        <x:v>0</x:v>
      </x:c>
      <x:c r="D20" s="51" t="n">
        <x:v>-0.12</x:v>
      </x:c>
      <x:c r="E20" s="51" t="n">
        <x:v>-0.15</x:v>
      </x:c>
      <x:c r="F20" s="51" t="n">
        <x:v>-0.08</x:v>
      </x:c>
      <x:c r="G20" s="51" t="n">
        <x:v>-0.2</x:v>
      </x:c>
      <x:c r="H20" s="95" t="n">
        <x:v>2</x:v>
      </x:c>
      <x:c r="I20" s="22" t="str">
        <x:v>36h</x:v>
      </x:c>
      <x:c r="J20" s="22" t="str">
        <x:v>Credit losses stay below threshold</x:v>
      </x:c>
      <x:c r="K20" s="22" t="str">
        <x:v>Lower growth</x:v>
      </x:c>
      <x:c r="L20" s="22" t="str">
        <x:v>Conservative bank</x:v>
      </x:c>
      <x:c r="M20" s="22" t="str">
        <x:v>Growth bank</x:v>
      </x:c>
      <x:c r="N20" s="89" t="n">
        <x:v>0</x:v>
      </x:c>
      <x:c r="O20" s="95" t="n">
        <x:v>7</x:v>
      </x:c>
      <x:c r="P20" s="22" t="str">
        <x:v>Preservation vs expansion</x:v>
      </x:c>
      <x:c r="Q20" s="38" t="str"/>
    </x:row>
    <x:row r="21">
      <x:c r="A21" s="39" t="str">
        <x:v>Global Credit Shock</x:v>
      </x:c>
      <x:c r="B21" s="40" t="str">
        <x:v>Maintain lending</x:v>
      </x:c>
      <x:c r="C21" s="90" t="n">
        <x:v>0</x:v>
      </x:c>
      <x:c r="D21" s="52" t="n">
        <x:v>-0.05</x:v>
      </x:c>
      <x:c r="E21" s="52" t="n">
        <x:v>0.04</x:v>
      </x:c>
      <x:c r="F21" s="52" t="n">
        <x:v>0.05</x:v>
      </x:c>
      <x:c r="G21" s="52" t="n">
        <x:v>0.2</x:v>
      </x:c>
      <x:c r="H21" s="96" t="n">
        <x:v>-2</x:v>
      </x:c>
      <x:c r="I21" s="40" t="str">
        <x:v>36h</x:v>
      </x:c>
      <x:c r="J21" s="40" t="str">
        <x:v>Defaults stay controlled</x:v>
      </x:c>
      <x:c r="K21" s="40" t="str">
        <x:v>Large loss + rep hit</x:v>
      </x:c>
      <x:c r="L21" s="40" t="str">
        <x:v>Strong risk stack</x:v>
      </x:c>
      <x:c r="M21" s="40" t="str">
        <x:v>Weak bank</x:v>
      </x:c>
      <x:c r="N21" s="90" t="n">
        <x:v>40000</x:v>
      </x:c>
      <x:c r="O21" s="96" t="n">
        <x:v>8</x:v>
      </x:c>
      <x:c r="P21" s="40" t="str">
        <x:v>Performance vs systemic risk</x:v>
      </x:c>
      <x:c r="Q21" s="41" t="str"/>
    </x:row>
  </x:sheetData>
  <x:mergeCells>
    <x:mergeCell ref="A1:Q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Event Mission Templates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22"/>
      <x:c r="P1" s="22"/>
      <x:c r="Q1" s="22"/>
    </x:row>
    <x:row r="3">
      <x:c r="A3" s="14" t="str">
        <x:v>Mission ID</x:v>
      </x:c>
      <x:c r="B3" s="14" t="str">
        <x:v>Mission</x:v>
      </x:c>
      <x:c r="C3" s="14" t="str">
        <x:v>Event Family</x:v>
      </x:c>
      <x:c r="D3" s="14" t="str">
        <x:v>Min Stage</x:v>
      </x:c>
      <x:c r="E3" s="14" t="str">
        <x:v>Metric</x:v>
      </x:c>
      <x:c r="F3" s="14" t="str">
        <x:v>Base Target</x:v>
      </x:c>
      <x:c r="G3" s="14" t="str">
        <x:v>Target Scaling</x:v>
      </x:c>
      <x:c r="H3" s="14" t="str">
        <x:v>Time Limit</x:v>
      </x:c>
      <x:c r="I3" s="14" t="str">
        <x:v>Cash Reward</x:v>
      </x:c>
      <x:c r="J3" s="14" t="str">
        <x:v>Rep Reward</x:v>
      </x:c>
      <x:c r="K3" s="14" t="str">
        <x:v>Event Points</x:v>
      </x:c>
      <x:c r="L3" s="14" t="str">
        <x:v>Stock Reward Bias</x:v>
      </x:c>
      <x:c r="M3" s="14" t="str">
        <x:v>Failure Penalty</x:v>
      </x:c>
      <x:c r="N3" s="14" t="str">
        <x:v>Notes</x:v>
      </x:c>
    </x:row>
    <x:row r="4">
      <x:c r="A4" s="34" t="n">
        <x:v>1</x:v>
      </x:c>
      <x:c r="B4" s="35" t="str">
        <x:v>Capture the Rush</x:v>
      </x:c>
      <x:c r="C4" s="35" t="str">
        <x:v>Positive Market</x:v>
      </x:c>
      <x:c r="D4" s="35" t="str">
        <x:v>Humble</x:v>
      </x:c>
      <x:c r="E4" s="35" t="str">
        <x:v>New customers</x:v>
      </x:c>
      <x:c r="F4" s="35" t="n">
        <x:v>100</x:v>
      </x:c>
      <x:c r="G4" s="35" t="str">
        <x:v>Stage demand × 5%</x:v>
      </x:c>
      <x:c r="H4" s="35" t="str">
        <x:v>24h</x:v>
      </x:c>
      <x:c r="I4" s="88" t="n">
        <x:v>2500</x:v>
      </x:c>
      <x:c r="J4" s="94" t="n">
        <x:v>1</x:v>
      </x:c>
      <x:c r="K4" s="94" t="n">
        <x:v>2</x:v>
      </x:c>
      <x:c r="L4" s="35" t="str">
        <x:v>Broad</x:v>
      </x:c>
      <x:c r="M4" s="35" t="str">
        <x:v>None</x:v>
      </x:c>
      <x:c r="N4" s="36" t="str">
        <x:v>Accessible event mission</x:v>
      </x:c>
    </x:row>
    <x:row r="5">
      <x:c r="A5" s="37" t="n">
        <x:v>2</x:v>
      </x:c>
      <x:c r="B5" s="22" t="str">
        <x:v>Handle Peak Volume</x:v>
      </x:c>
      <x:c r="C5" s="22" t="str">
        <x:v>Trading</x:v>
      </x:c>
      <x:c r="D5" s="22" t="str">
        <x:v>Starter</x:v>
      </x:c>
      <x:c r="E5" s="22" t="str">
        <x:v>Transactions</x:v>
      </x:c>
      <x:c r="F5" s="22" t="n">
        <x:v>1000</x:v>
      </x:c>
      <x:c r="G5" s="22" t="str">
        <x:v>Recent 7d avg × 1.4</x:v>
      </x:c>
      <x:c r="H5" s="22" t="str">
        <x:v>24h</x:v>
      </x:c>
      <x:c r="I5" s="89" t="n">
        <x:v>5000</x:v>
      </x:c>
      <x:c r="J5" s="95" t="n">
        <x:v>1</x:v>
      </x:c>
      <x:c r="K5" s="95" t="n">
        <x:v>3</x:v>
      </x:c>
      <x:c r="L5" s="22" t="str">
        <x:v>TSLA,NVDA</x:v>
      </x:c>
      <x:c r="M5" s="22" t="str">
        <x:v>None</x:v>
      </x:c>
      <x:c r="N5" s="38" t="str"/>
    </x:row>
    <x:row r="6">
      <x:c r="A6" s="37" t="n">
        <x:v>3</x:v>
      </x:c>
      <x:c r="B6" s="22" t="str">
        <x:v>Protect Retention</x:v>
      </x:c>
      <x:c r="C6" s="22" t="str">
        <x:v>Customer Pressure</x:v>
      </x:c>
      <x:c r="D6" s="22" t="str">
        <x:v>Starter</x:v>
      </x:c>
      <x:c r="E6" s="22" t="str">
        <x:v>Retention</x:v>
      </x:c>
      <x:c r="F6" s="51" t="n">
        <x:v>0.88</x:v>
      </x:c>
      <x:c r="G6" s="22" t="str">
        <x:v>Fixed threshold</x:v>
      </x:c>
      <x:c r="H6" s="22" t="str">
        <x:v>24h</x:v>
      </x:c>
      <x:c r="I6" s="89" t="n">
        <x:v>4000</x:v>
      </x:c>
      <x:c r="J6" s="95" t="n">
        <x:v>2</x:v>
      </x:c>
      <x:c r="K6" s="95" t="n">
        <x:v>3</x:v>
      </x:c>
      <x:c r="L6" s="22" t="str">
        <x:v>Broad</x:v>
      </x:c>
      <x:c r="M6" s="22" t="str">
        <x:v>-1 rep if &lt;80%</x:v>
      </x:c>
      <x:c r="N6" s="38" t="str"/>
    </x:row>
    <x:row r="7">
      <x:c r="A7" s="37" t="n">
        <x:v>4</x:v>
      </x:c>
      <x:c r="B7" s="22" t="str">
        <x:v>Maintain Liquidity</x:v>
      </x:c>
      <x:c r="C7" s="22" t="str">
        <x:v>Risk</x:v>
      </x:c>
      <x:c r="D7" s="22" t="str">
        <x:v>Growing</x:v>
      </x:c>
      <x:c r="E7" s="22" t="str">
        <x:v>Reserve ratio</x:v>
      </x:c>
      <x:c r="F7" s="51" t="n">
        <x:v>0.15</x:v>
      </x:c>
      <x:c r="G7" s="22" t="str">
        <x:v>Stage threshold</x:v>
      </x:c>
      <x:c r="H7" s="22" t="str">
        <x:v>24h</x:v>
      </x:c>
      <x:c r="I7" s="89" t="n">
        <x:v>7500</x:v>
      </x:c>
      <x:c r="J7" s="95" t="n">
        <x:v>2</x:v>
      </x:c>
      <x:c r="K7" s="95" t="n">
        <x:v>4</x:v>
      </x:c>
      <x:c r="L7" s="22" t="str">
        <x:v>SPY</x:v>
      </x:c>
      <x:c r="M7" s="22" t="str">
        <x:v>Temporary risk +5%</x:v>
      </x:c>
      <x:c r="N7" s="38" t="str"/>
    </x:row>
    <x:row r="8">
      <x:c r="A8" s="37" t="n">
        <x:v>5</x:v>
      </x:c>
      <x:c r="B8" s="22" t="str">
        <x:v>Recover Service</x:v>
      </x:c>
      <x:c r="C8" s="22" t="str">
        <x:v>Operational</x:v>
      </x:c>
      <x:c r="D8" s="22" t="str">
        <x:v>Starter</x:v>
      </x:c>
      <x:c r="E8" s="22" t="str">
        <x:v>Restore capacity</x:v>
      </x:c>
      <x:c r="F8" s="22" t="n">
        <x:v>0.9</x:v>
      </x:c>
      <x:c r="G8" s="22" t="str">
        <x:v>Capacity baseline</x:v>
      </x:c>
      <x:c r="H8" s="22" t="str">
        <x:v>12h</x:v>
      </x:c>
      <x:c r="I8" s="89" t="n">
        <x:v>5000</x:v>
      </x:c>
      <x:c r="J8" s="95" t="n">
        <x:v>2</x:v>
      </x:c>
      <x:c r="K8" s="95" t="n">
        <x:v>3</x:v>
      </x:c>
      <x:c r="L8" s="22" t="str">
        <x:v>Broad</x:v>
      </x:c>
      <x:c r="M8" s="22" t="str">
        <x:v>Revenue -5% extra</x:v>
      </x:c>
      <x:c r="N8" s="38" t="str"/>
    </x:row>
    <x:row r="9">
      <x:c r="A9" s="37" t="n">
        <x:v>6</x:v>
      </x:c>
      <x:c r="B9" s="22" t="str">
        <x:v>Trade the Volatility</x:v>
      </x:c>
      <x:c r="C9" s="22" t="str">
        <x:v>Market</x:v>
      </x:c>
      <x:c r="D9" s="22" t="str">
        <x:v>Growing</x:v>
      </x:c>
      <x:c r="E9" s="22" t="str">
        <x:v>Trading volume</x:v>
      </x:c>
      <x:c r="F9" s="22" t="n">
        <x:v>500000</x:v>
      </x:c>
      <x:c r="G9" s="22" t="str">
        <x:v>Recent avg × 1.5</x:v>
      </x:c>
      <x:c r="H9" s="22" t="str">
        <x:v>24h</x:v>
      </x:c>
      <x:c r="I9" s="89" t="n">
        <x:v>10000</x:v>
      </x:c>
      <x:c r="J9" s="95" t="n">
        <x:v>1</x:v>
      </x:c>
      <x:c r="K9" s="95" t="n">
        <x:v>4</x:v>
      </x:c>
      <x:c r="L9" s="22" t="str">
        <x:v>TSLA,COIN</x:v>
      </x:c>
      <x:c r="M9" s="22" t="str">
        <x:v>None</x:v>
      </x:c>
      <x:c r="N9" s="38" t="str"/>
    </x:row>
    <x:row r="10">
      <x:c r="A10" s="37" t="n">
        <x:v>7</x:v>
      </x:c>
      <x:c r="B10" s="22" t="str">
        <x:v>Fund the Opportunity</x:v>
      </x:c>
      <x:c r="C10" s="22" t="str">
        <x:v>Fund</x:v>
      </x:c>
      <x:c r="D10" s="22" t="str">
        <x:v>Growing</x:v>
      </x:c>
      <x:c r="E10" s="22" t="str">
        <x:v>AUM inflow</x:v>
      </x:c>
      <x:c r="F10" s="22" t="n">
        <x:v>250000</x:v>
      </x:c>
      <x:c r="G10" s="22" t="str">
        <x:v>Recent avg × 1.35</x:v>
      </x:c>
      <x:c r="H10" s="22" t="str">
        <x:v>36h</x:v>
      </x:c>
      <x:c r="I10" s="89" t="n">
        <x:v>12000</x:v>
      </x:c>
      <x:c r="J10" s="95" t="n">
        <x:v>2</x:v>
      </x:c>
      <x:c r="K10" s="95" t="n">
        <x:v>4</x:v>
      </x:c>
      <x:c r="L10" s="22" t="str">
        <x:v>SPY,NVDA</x:v>
      </x:c>
      <x:c r="M10" s="22" t="str">
        <x:v>None</x:v>
      </x:c>
      <x:c r="N10" s="38" t="str"/>
    </x:row>
    <x:row r="11">
      <x:c r="A11" s="37" t="n">
        <x:v>8</x:v>
      </x:c>
      <x:c r="B11" s="22" t="str">
        <x:v>Win Institutional Flow</x:v>
      </x:c>
      <x:c r="C11" s="22" t="str">
        <x:v>Institutional</x:v>
      </x:c>
      <x:c r="D11" s="22" t="str">
        <x:v>Established</x:v>
      </x:c>
      <x:c r="E11" s="22" t="str">
        <x:v>Institutional clients</x:v>
      </x:c>
      <x:c r="F11" s="22" t="n">
        <x:v>15</x:v>
      </x:c>
      <x:c r="G11" s="22" t="str">
        <x:v>Recent avg + 25%</x:v>
      </x:c>
      <x:c r="H11" s="22" t="str">
        <x:v>48h</x:v>
      </x:c>
      <x:c r="I11" s="89" t="n">
        <x:v>20000</x:v>
      </x:c>
      <x:c r="J11" s="95" t="n">
        <x:v>3</x:v>
      </x:c>
      <x:c r="K11" s="95" t="n">
        <x:v>5</x:v>
      </x:c>
      <x:c r="L11" s="22" t="str">
        <x:v>SPY,MSFT</x:v>
      </x:c>
      <x:c r="M11" s="22" t="str">
        <x:v>None</x:v>
      </x:c>
      <x:c r="N11" s="38" t="str"/>
    </x:row>
    <x:row r="12">
      <x:c r="A12" s="37" t="n">
        <x:v>9</x:v>
      </x:c>
      <x:c r="B12" s="22" t="str">
        <x:v>Survive the Crunch</x:v>
      </x:c>
      <x:c r="C12" s="22" t="str">
        <x:v>Risk/Crisis</x:v>
      </x:c>
      <x:c r="D12" s="22" t="str">
        <x:v>Established</x:v>
      </x:c>
      <x:c r="E12" s="22" t="str">
        <x:v>Risk below threshold</x:v>
      </x:c>
      <x:c r="F12" s="51" t="n">
        <x:v>0.25</x:v>
      </x:c>
      <x:c r="G12" s="22" t="str">
        <x:v>Fixed max risk</x:v>
      </x:c>
      <x:c r="H12" s="22" t="str">
        <x:v>24h</x:v>
      </x:c>
      <x:c r="I12" s="89" t="n">
        <x:v>25000</x:v>
      </x:c>
      <x:c r="J12" s="95" t="n">
        <x:v>4</x:v>
      </x:c>
      <x:c r="K12" s="95" t="n">
        <x:v>6</x:v>
      </x:c>
      <x:c r="L12" s="22" t="str">
        <x:v>SPY,COIN</x:v>
      </x:c>
      <x:c r="M12" s="22" t="str">
        <x:v>-3 rep if severe fail</x:v>
      </x:c>
      <x:c r="N12" s="38" t="str"/>
    </x:row>
    <x:row r="13">
      <x:c r="A13" s="37" t="n">
        <x:v>10</x:v>
      </x:c>
      <x:c r="B13" s="22" t="str">
        <x:v>Complete the IPO Book</x:v>
      </x:c>
      <x:c r="C13" s="22" t="str">
        <x:v>Corporate</x:v>
      </x:c>
      <x:c r="D13" s="22" t="str">
        <x:v>Established</x:v>
      </x:c>
      <x:c r="E13" s="22" t="str">
        <x:v>Corporate actions</x:v>
      </x:c>
      <x:c r="F13" s="22" t="n">
        <x:v>3</x:v>
      </x:c>
      <x:c r="G13" s="22" t="str">
        <x:v>Fixed</x:v>
      </x:c>
      <x:c r="H13" s="22" t="str">
        <x:v>72h</x:v>
      </x:c>
      <x:c r="I13" s="89" t="n">
        <x:v>30000</x:v>
      </x:c>
      <x:c r="J13" s="95" t="n">
        <x:v>3</x:v>
      </x:c>
      <x:c r="K13" s="95" t="n">
        <x:v>6</x:v>
      </x:c>
      <x:c r="L13" s="22" t="str">
        <x:v>Event basket</x:v>
      </x:c>
      <x:c r="M13" s="22" t="str">
        <x:v>None</x:v>
      </x:c>
      <x:c r="N13" s="38" t="str"/>
    </x:row>
    <x:row r="14">
      <x:c r="A14" s="37" t="n">
        <x:v>11</x:v>
      </x:c>
      <x:c r="B14" s="22" t="str">
        <x:v>Pass the Stress Test</x:v>
      </x:c>
      <x:c r="C14" s="22" t="str">
        <x:v>Risk/Crisis</x:v>
      </x:c>
      <x:c r="D14" s="22" t="str">
        <x:v>Elite</x:v>
      </x:c>
      <x:c r="E14" s="22" t="str">
        <x:v>Composite health</x:v>
      </x:c>
      <x:c r="F14" s="22" t="n">
        <x:v>0.8</x:v>
      </x:c>
      <x:c r="G14" s="22" t="str">
        <x:v>Weighted health score</x:v>
      </x:c>
      <x:c r="H14" s="22" t="str">
        <x:v>36h</x:v>
      </x:c>
      <x:c r="I14" s="89" t="n">
        <x:v>40000</x:v>
      </x:c>
      <x:c r="J14" s="95" t="n">
        <x:v>5</x:v>
      </x:c>
      <x:c r="K14" s="95" t="n">
        <x:v>8</x:v>
      </x:c>
      <x:c r="L14" s="22" t="str">
        <x:v>Broad</x:v>
      </x:c>
      <x:c r="M14" s="22" t="str">
        <x:v>Prestige loss if failed</x:v>
      </x:c>
      <x:c r="N14" s="38" t="str"/>
    </x:row>
    <x:row r="15">
      <x:c r="A15" s="39" t="n">
        <x:v>12</x:v>
      </x:c>
      <x:c r="B15" s="40" t="str">
        <x:v>World Market Leader</x:v>
      </x:c>
      <x:c r="C15" s="40" t="str">
        <x:v>Prestige</x:v>
      </x:c>
      <x:c r="D15" s="40" t="str">
        <x:v>Tycoon</x:v>
      </x:c>
      <x:c r="E15" s="40" t="str">
        <x:v>Event activity score</x:v>
      </x:c>
      <x:c r="F15" s="40" t="n">
        <x:v>10000000</x:v>
      </x:c>
      <x:c r="G15" s="40" t="str">
        <x:v>Stage baseline × 1.5</x:v>
      </x:c>
      <x:c r="H15" s="40" t="str">
        <x:v>72h</x:v>
      </x:c>
      <x:c r="I15" s="90" t="n">
        <x:v>75000</x:v>
      </x:c>
      <x:c r="J15" s="96" t="n">
        <x:v>5</x:v>
      </x:c>
      <x:c r="K15" s="96" t="n">
        <x:v>10</x:v>
      </x:c>
      <x:c r="L15" s="40" t="str">
        <x:v>Broad</x:v>
      </x:c>
      <x:c r="M15" s="40" t="str">
        <x:v>None</x:v>
      </x:c>
      <x:c r="N15" s="41" t="str">
        <x:v>Signature seasonal objective</x:v>
      </x:c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0" hidden="0" customWidth="1"/>
    <x:col min="14" max="14" width="28" hidden="0" customWidth="1"/>
    <x:col min="15" max="15" width="34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Event Reward Balance &amp; Caps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15" t="str">
        <x:v>Module Reward Chance</x:v>
      </x:c>
      <x:c r="M1" s="115" t="str">
        <x:v>Module Reward Type</x:v>
      </x:c>
      <x:c r="N1" s="115" t="str">
        <x:v>Module Reward Trigger</x:v>
      </x:c>
      <x:c r="O1" s="115" t="str">
        <x:v>Module Rule</x:v>
      </x:c>
      <x:c r="P1" s="22"/>
      <x:c r="Q1" s="22"/>
    </x:row>
    <x:row r="2">
      <x:c r="L2" s="111"/>
      <x:c r="M2" s="20"/>
      <x:c r="N2" s="20"/>
      <x:c r="O2" s="20"/>
    </x:row>
    <x:row r="3">
      <x:c r="A3" s="14" t="str">
        <x:v>Reward Type</x:v>
      </x:c>
      <x:c r="B3" s="14" t="str">
        <x:v>Minor Event</x:v>
      </x:c>
      <x:c r="C3" s="14" t="str">
        <x:v>Standard Event</x:v>
      </x:c>
      <x:c r="D3" s="14" t="str">
        <x:v>Major Event</x:v>
      </x:c>
      <x:c r="E3" s="14" t="str">
        <x:v>Crisis Event</x:v>
      </x:c>
      <x:c r="F3" s="14" t="str">
        <x:v>Prestige Event</x:v>
      </x:c>
      <x:c r="G3" s="14" t="str">
        <x:v>Weekly Cap</x:v>
      </x:c>
      <x:c r="H3" s="14" t="str">
        <x:v>Performance Impact</x:v>
      </x:c>
      <x:c r="I3" s="14" t="str">
        <x:v>Funding Source</x:v>
      </x:c>
      <x:c r="J3" s="14" t="str">
        <x:v>Can Scale by Stage?</x:v>
      </x:c>
      <x:c r="K3" s="14" t="str">
        <x:v>Notes</x:v>
      </x:c>
      <x:c r="L3" s="111"/>
      <x:c r="M3" s="20"/>
      <x:c r="N3" s="20"/>
      <x:c r="O3" s="20"/>
    </x:row>
    <x:row r="4">
      <x:c r="A4" s="34" t="str">
        <x:v>Cash</x:v>
      </x:c>
      <x:c r="B4" s="88" t="n">
        <x:v>1000</x:v>
      </x:c>
      <x:c r="C4" s="88" t="n">
        <x:v>3000</x:v>
      </x:c>
      <x:c r="D4" s="88" t="n">
        <x:v>10000</x:v>
      </x:c>
      <x:c r="E4" s="88" t="n">
        <x:v>15000</x:v>
      </x:c>
      <x:c r="F4" s="88" t="n">
        <x:v>50000</x:v>
      </x:c>
      <x:c r="G4" s="94" t="n">
        <x:v>5000</x:v>
      </x:c>
      <x:c r="H4" s="35" t="str">
        <x:v>No direct score</x:v>
      </x:c>
      <x:c r="I4" s="35" t="str">
        <x:v>Game economy</x:v>
      </x:c>
      <x:c r="J4" s="35" t="str">
        <x:v>Yes</x:v>
      </x:c>
      <x:c r="K4" s="36" t="str">
        <x:v>Values are nominal v0.1</x:v>
      </x:c>
      <x:c r="L4" s="111" t="n">
        <x:v>0.05</x:v>
      </x:c>
      <x:c r="M4" s="20" t="str">
        <x:v>Module or Parts</x:v>
      </x:c>
      <x:c r="N4" s="20" t="str">
        <x:v>Validated completion</x:v>
      </x:c>
      <x:c r="O4" s="20" t="str">
        <x:v>No direct score; themed compatibility</x:v>
      </x:c>
    </x:row>
    <x:row r="5">
      <x:c r="A5" s="37" t="str">
        <x:v>Reputation</x:v>
      </x:c>
      <x:c r="B5" s="22" t="n">
        <x:v>0</x:v>
      </x:c>
      <x:c r="C5" s="22" t="n">
        <x:v>1</x:v>
      </x:c>
      <x:c r="D5" s="22" t="n">
        <x:v>2</x:v>
      </x:c>
      <x:c r="E5" s="22" t="n">
        <x:v>3</x:v>
      </x:c>
      <x:c r="F5" s="22" t="n">
        <x:v>5</x:v>
      </x:c>
      <x:c r="G5" s="95" t="n">
        <x:v>8</x:v>
      </x:c>
      <x:c r="H5" s="22" t="str">
        <x:v>Indirect through Rep component</x:v>
      </x:c>
      <x:c r="I5" s="22" t="str">
        <x:v>Game state</x:v>
      </x:c>
      <x:c r="J5" s="22" t="str">
        <x:v>Limited</x:v>
      </x:c>
      <x:c r="K5" s="38" t="str">
        <x:v>Avoid farming</x:v>
      </x:c>
      <x:c r="L5" s="111" t="n">
        <x:v>0.12</x:v>
      </x:c>
      <x:c r="M5" s="20" t="str">
        <x:v>Module or Parts</x:v>
      </x:c>
      <x:c r="N5" s="20" t="str">
        <x:v>Validated completion / mission</x:v>
      </x:c>
      <x:c r="O5" s="20" t="str">
        <x:v>No direct score; affected-family bias</x:v>
      </x:c>
    </x:row>
    <x:row r="6">
      <x:c r="A6" s="37" t="str">
        <x:v>Event Mission Points</x:v>
      </x:c>
      <x:c r="B6" s="22" t="n">
        <x:v>1</x:v>
      </x:c>
      <x:c r="C6" s="22" t="n">
        <x:v>2</x:v>
      </x:c>
      <x:c r="D6" s="22" t="n">
        <x:v>4</x:v>
      </x:c>
      <x:c r="E6" s="22" t="n">
        <x:v>6</x:v>
      </x:c>
      <x:c r="F6" s="22" t="n">
        <x:v>10</x:v>
      </x:c>
      <x:c r="G6" s="95" t="n">
        <x:v>20</x:v>
      </x:c>
      <x:c r="H6" s="22" t="str">
        <x:v>Capped event subcomponent</x:v>
      </x:c>
      <x:c r="I6" s="22" t="str">
        <x:v>Performance system</x:v>
      </x:c>
      <x:c r="J6" s="22" t="str">
        <x:v>Yes</x:v>
      </x:c>
      <x:c r="K6" s="38" t="str">
        <x:v>Overall event direct contribution capped</x:v>
      </x:c>
      <x:c r="L6" s="111" t="n">
        <x:v>0.2</x:v>
      </x:c>
      <x:c r="M6" s="20" t="str">
        <x:v>Module or Parts</x:v>
      </x:c>
      <x:c r="N6" s="20" t="str">
        <x:v>Major objective / mission</x:v>
      </x:c>
      <x:c r="O6" s="20" t="str">
        <x:v>No direct score; Epic ceiling</x:v>
      </x:c>
    </x:row>
    <x:row r="7">
      <x:c r="A7" s="37" t="str">
        <x:v>Market Hunt Spawn Bonus</x:v>
      </x:c>
      <x:c r="B7" s="51" t="n">
        <x:v>0</x:v>
      </x:c>
      <x:c r="C7" s="51" t="n">
        <x:v>0.1</x:v>
      </x:c>
      <x:c r="D7" s="51" t="n">
        <x:v>0.2</x:v>
      </x:c>
      <x:c r="E7" s="51" t="n">
        <x:v>0.25</x:v>
      </x:c>
      <x:c r="F7" s="51" t="n">
        <x:v>0.4</x:v>
      </x:c>
      <x:c r="G7" s="95" t="str">
        <x:v>Slot caps apply</x:v>
      </x:c>
      <x:c r="H7" s="22" t="str">
        <x:v>Indirect</x:v>
      </x:c>
      <x:c r="I7" s="22" t="str">
        <x:v>Market Hunt system</x:v>
      </x:c>
      <x:c r="J7" s="22" t="str">
        <x:v>Yes</x:v>
      </x:c>
      <x:c r="K7" s="38" t="str">
        <x:v>Multiplier to spawn odds</x:v>
      </x:c>
      <x:c r="L7" s="111" t="n">
        <x:v>0.18</x:v>
      </x:c>
      <x:c r="M7" s="20" t="str">
        <x:v>Defensive Parts or Module</x:v>
      </x:c>
      <x:c r="N7" s="20" t="str">
        <x:v>Successful mitigation / decision</x:v>
      </x:c>
      <x:c r="O7" s="20" t="str">
        <x:v>No direct score; reward safe resolution</x:v>
      </x:c>
    </x:row>
    <x:row r="8">
      <x:c r="A8" s="37" t="str">
        <x:v>Stock Rarity Bias</x:v>
      </x:c>
      <x:c r="B8" s="51" t="n">
        <x:v>0</x:v>
      </x:c>
      <x:c r="C8" s="51" t="n">
        <x:v>0.02</x:v>
      </x:c>
      <x:c r="D8" s="51" t="n">
        <x:v>0.05</x:v>
      </x:c>
      <x:c r="E8" s="51" t="n">
        <x:v>0.08</x:v>
      </x:c>
      <x:c r="F8" s="51" t="n">
        <x:v>0.12</x:v>
      </x:c>
      <x:c r="G8" s="95" t="str">
        <x:v>Funded pool limited</x:v>
      </x:c>
      <x:c r="H8" s="22" t="str">
        <x:v>No stock-value score</x:v>
      </x:c>
      <x:c r="I8" s="22" t="str">
        <x:v>Stock reward pool</x:v>
      </x:c>
      <x:c r="J8" s="22" t="str">
        <x:v>No</x:v>
      </x:c>
      <x:c r="K8" s="38" t="str">
        <x:v>Must respect weekly funded inventory</x:v>
      </x:c>
      <x:c r="L8" s="111" t="n">
        <x:v>0.25</x:v>
      </x:c>
      <x:c r="M8" s="20" t="str">
        <x:v>Themed Module / Parts</x:v>
      </x:c>
      <x:c r="N8" s="20" t="str">
        <x:v>Season milestone / mission</x:v>
      </x:c>
      <x:c r="O8" s="20" t="str">
        <x:v>Sidegrade or cosmetic only; no stronger exclusive</x:v>
      </x:c>
    </x:row>
    <x:row r="9">
      <x:c r="A9" s="39" t="str">
        <x:v>Cosmetic / Badge</x:v>
      </x:c>
      <x:c r="B9" s="40" t="n">
        <x:v>0</x:v>
      </x:c>
      <x:c r="C9" s="40" t="n">
        <x:v>0</x:v>
      </x:c>
      <x:c r="D9" s="40" t="n">
        <x:v>0</x:v>
      </x:c>
      <x:c r="E9" s="40" t="n">
        <x:v>0</x:v>
      </x:c>
      <x:c r="F9" s="40" t="n">
        <x:v>1</x:v>
      </x:c>
      <x:c r="G9" s="96" t="str">
        <x:v>Seasonal</x:v>
      </x:c>
      <x:c r="H9" s="40" t="str">
        <x:v>None</x:v>
      </x:c>
      <x:c r="I9" s="40" t="str">
        <x:v>Content</x:v>
      </x:c>
      <x:c r="J9" s="40" t="str">
        <x:v>No</x:v>
      </x:c>
      <x:c r="K9" s="41" t="str">
        <x:v>Prestige only</x:v>
      </x:c>
      <x:c r="L9" s="20"/>
      <x:c r="M9" s="20"/>
      <x:c r="N9" s="20"/>
      <x:c r="O9" s="20"/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Event Modifier Stacking &amp; Conflict Resolution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22"/>
      <x:c r="M1" s="22"/>
      <x:c r="N1" s="22"/>
      <x:c r="O1" s="22"/>
      <x:c r="P1" s="22"/>
      <x:c r="Q1" s="22"/>
    </x:row>
    <x:row r="3">
      <x:c r="A3" s="14" t="str">
        <x:v>Rule</x:v>
      </x:c>
      <x:c r="B3" s="14" t="str">
        <x:v>Priority</x:v>
      </x:c>
      <x:c r="C3" s="14" t="str">
        <x:v>Applies To</x:v>
      </x:c>
      <x:c r="D3" s="14" t="str">
        <x:v>Method</x:v>
      </x:c>
      <x:c r="E3" s="14" t="str">
        <x:v>Soft Cap</x:v>
      </x:c>
      <x:c r="F3" s="14" t="str">
        <x:v>Hard Cap</x:v>
      </x:c>
      <x:c r="G3" s="14" t="str">
        <x:v>Example</x:v>
      </x:c>
      <x:c r="H3" s="14" t="str">
        <x:v>Player Impact</x:v>
      </x:c>
      <x:c r="I3" s="14" t="str">
        <x:v>Reason</x:v>
      </x:c>
      <x:c r="J3" s="14" t="str">
        <x:v>MVP?</x:v>
      </x:c>
      <x:c r="K3" s="14" t="str">
        <x:v>Notes</x:v>
      </x:c>
    </x:row>
    <x:row r="4">
      <x:c r="A4" s="34" t="str">
        <x:v>Global cycle baseline</x:v>
      </x:c>
      <x:c r="B4" s="35" t="n">
        <x:v>1</x:v>
      </x:c>
      <x:c r="C4" s="35" t="str">
        <x:v>Demand/Activity/Revenue/Risk</x:v>
      </x:c>
      <x:c r="D4" s="35" t="str">
        <x:v>Multiply first</x:v>
      </x:c>
      <x:c r="E4" s="35" t="str">
        <x:v>—</x:v>
      </x:c>
      <x:c r="F4" s="35" t="str">
        <x:v>—</x:v>
      </x:c>
      <x:c r="G4" s="35" t="str">
        <x:v>Bull Market × Brokerage family</x:v>
      </x:c>
      <x:c r="H4" s="35" t="str">
        <x:v>Always active</x:v>
      </x:c>
      <x:c r="I4" s="35" t="str">
        <x:v>Creates market regime</x:v>
      </x:c>
      <x:c r="J4" s="35" t="str">
        <x:v>Yes</x:v>
      </x:c>
      <x:c r="K4" s="36" t="str"/>
    </x:row>
    <x:row r="5">
      <x:c r="A5" s="37" t="str">
        <x:v>Global event</x:v>
      </x:c>
      <x:c r="B5" s="22" t="n">
        <x:v>2</x:v>
      </x:c>
      <x:c r="C5" s="22" t="str">
        <x:v>All economic modifiers</x:v>
      </x:c>
      <x:c r="D5" s="22" t="str">
        <x:v>Apply after cycle</x:v>
      </x:c>
      <x:c r="E5" s="22" t="str">
        <x:v>40% combined same-direction</x:v>
      </x:c>
      <x:c r="F5" s="22" t="str">
        <x:v>50%</x:v>
      </x:c>
      <x:c r="G5" s="22" t="str">
        <x:v>Bull Market + Trading Frenzy</x:v>
      </x:c>
      <x:c r="H5" s="22" t="str">
        <x:v>Moderate</x:v>
      </x:c>
      <x:c r="I5" s="22" t="str">
        <x:v>Prevents runaway stacking</x:v>
      </x:c>
      <x:c r="J5" s="22" t="str">
        <x:v>Yes</x:v>
      </x:c>
      <x:c r="K5" s="38" t="str"/>
    </x:row>
    <x:row r="6">
      <x:c r="A6" s="37" t="str">
        <x:v>Personal event</x:v>
      </x:c>
      <x:c r="B6" s="22" t="n">
        <x:v>3</x:v>
      </x:c>
      <x:c r="C6" s="22" t="str">
        <x:v>Affected business only</x:v>
      </x:c>
      <x:c r="D6" s="22" t="str">
        <x:v>Apply after global event</x:v>
      </x:c>
      <x:c r="E6" s="22" t="str">
        <x:v>40%</x:v>
      </x:c>
      <x:c r="F6" s="22" t="str">
        <x:v>50%</x:v>
      </x:c>
      <x:c r="G6" s="22" t="str">
        <x:v>Outage during Bull Market</x:v>
      </x:c>
      <x:c r="H6" s="22" t="str">
        <x:v>Localized</x:v>
      </x:c>
      <x:c r="I6" s="22" t="str">
        <x:v>Creates personal stories</x:v>
      </x:c>
      <x:c r="J6" s="22" t="str">
        <x:v>Yes</x:v>
      </x:c>
      <x:c r="K6" s="38" t="str"/>
    </x:row>
    <x:row r="7">
      <x:c r="A7" s="37" t="str">
        <x:v>Player decision</x:v>
      </x:c>
      <x:c r="B7" s="22" t="n">
        <x:v>4</x:v>
      </x:c>
      <x:c r="C7" s="22" t="str">
        <x:v>Event branch modifiers</x:v>
      </x:c>
      <x:c r="D7" s="22" t="str">
        <x:v>Apply after event</x:v>
      </x:c>
      <x:c r="E7" s="22" t="str">
        <x:v>40%</x:v>
      </x:c>
      <x:c r="F7" s="22" t="str">
        <x:v>50%</x:v>
      </x:c>
      <x:c r="G7" s="22" t="str">
        <x:v>Inject reserves in Liquidity Crunch</x:v>
      </x:c>
      <x:c r="H7" s="22" t="str">
        <x:v>High agency</x:v>
      </x:c>
      <x:c r="I7" s="22" t="str">
        <x:v>Choice should matter</x:v>
      </x:c>
      <x:c r="J7" s="22" t="str">
        <x:v>Yes</x:v>
      </x:c>
      <x:c r="K7" s="38" t="str"/>
    </x:row>
    <x:row r="8">
      <x:c r="A8" s="37" t="str">
        <x:v>Building synergy</x:v>
      </x:c>
      <x:c r="B8" s="22" t="n">
        <x:v>5</x:v>
      </x:c>
      <x:c r="C8" s="22" t="str">
        <x:v>Normal business modifier</x:v>
      </x:c>
      <x:c r="D8" s="22" t="str">
        <x:v>Existing building system</x:v>
      </x:c>
      <x:c r="E8" s="22" t="str">
        <x:v>Existing cap</x:v>
      </x:c>
      <x:c r="F8" s="22" t="str">
        <x:v>Existing cap</x:v>
      </x:c>
      <x:c r="G8" s="22" t="str">
        <x:v>Exchange + Market Maker</x:v>
      </x:c>
      <x:c r="H8" s="22" t="str">
        <x:v>Structural</x:v>
      </x:c>
      <x:c r="I8" s="22" t="str">
        <x:v>Separate from event spikes</x:v>
      </x:c>
      <x:c r="J8" s="22" t="str">
        <x:v>Yes</x:v>
      </x:c>
      <x:c r="K8" s="38" t="str"/>
    </x:row>
    <x:row r="9">
      <x:c r="A9" s="37" t="str">
        <x:v>Repeated same-family event</x:v>
      </x:c>
      <x:c r="B9" s="22" t="n">
        <x:v>6</x:v>
      </x:c>
      <x:c r="C9" s="22" t="str">
        <x:v>Spawn system</x:v>
      </x:c>
      <x:c r="D9" s="22" t="str">
        <x:v>Diminish probability by 60%</x:v>
      </x:c>
      <x:c r="E9" s="22" t="str">
        <x:v>N/A</x:v>
      </x:c>
      <x:c r="F9" s="22" t="str">
        <x:v>N/A</x:v>
      </x:c>
      <x:c r="G9" s="22" t="str">
        <x:v>Two liquidity events in 48h</x:v>
      </x:c>
      <x:c r="H9" s="22" t="str">
        <x:v>Reduces repetition</x:v>
      </x:c>
      <x:c r="I9" s="22" t="str">
        <x:v>Variety</x:v>
      </x:c>
      <x:c r="J9" s="22" t="str">
        <x:v>Yes</x:v>
      </x:c>
      <x:c r="K9" s="38" t="str"/>
    </x:row>
    <x:row r="10">
      <x:c r="A10" s="39" t="str">
        <x:v>Crisis overlap</x:v>
      </x:c>
      <x:c r="B10" s="40" t="n">
        <x:v>7</x:v>
      </x:c>
      <x:c r="C10" s="40" t="str">
        <x:v>Crisis events</x:v>
      </x:c>
      <x:c r="D10" s="40" t="str">
        <x:v>Disallow second crisis</x:v>
      </x:c>
      <x:c r="E10" s="40" t="str">
        <x:v>N/A</x:v>
      </x:c>
      <x:c r="F10" s="40" t="str">
        <x:v>1 crisis</x:v>
      </x:c>
      <x:c r="G10" s="40" t="str">
        <x:v>Credit Shock + Bank Run</x:v>
      </x:c>
      <x:c r="H10" s="40" t="str">
        <x:v>Prevents punishment spiral</x:v>
      </x:c>
      <x:c r="I10" s="40" t="str">
        <x:v>Fairness</x:v>
      </x:c>
      <x:c r="J10" s="40" t="str">
        <x:v>Yes</x:v>
      </x:c>
      <x:c r="K10" s="41" t="str"/>
    </x:row>
    <x:row r="11">
      <x:c r="A11" s="20" t="str">
        <x:v>Module interaction layer</x:v>
      </x:c>
      <x:c r="B11" s="20" t="str">
        <x:v>5</x:v>
      </x:c>
      <x:c r="C11" s="20" t="str">
        <x:v>Module reward / affected-building lock</x:v>
      </x:c>
      <x:c r="D11" s="20" t="str">
        <x:v>Separate pending reward and lock state</x:v>
      </x:c>
      <x:c r="E11" s="20" t="str">
        <x:v>No direct score</x:v>
      </x:c>
      <x:c r="F11" s="20" t="str">
        <x:v>No direct PLOT</x:v>
      </x:c>
      <x:c r="G11" s="20" t="str">
        <x:v>Liquidity Crunch locks affected Module changes</x:v>
      </x:c>
      <x:c r="H11" s="20" t="str">
        <x:v>Temporary specialization constraint</x:v>
      </x:c>
      <x:c r="I11" s="20" t="str">
        <x:v>Keep event decisions meaningful</x:v>
      </x:c>
      <x:c r="J11" s="20" t="str">
        <x:v>Yes</x:v>
      </x:c>
      <x:c r="K11" s="20" t="str">
        <x:v>Module effects are applied only through the later Module layer; no global aura.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Event Cooldowns, Pity Rules &amp; Anti-Frustration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22"/>
      <x:c r="N1" s="22"/>
      <x:c r="O1" s="22"/>
      <x:c r="P1" s="22"/>
      <x:c r="Q1" s="22"/>
    </x:row>
    <x:row r="3">
      <x:c r="A3" s="14" t="str">
        <x:v>Control</x:v>
      </x:c>
      <x:c r="B3" s="14" t="str">
        <x:v>Trigger</x:v>
      </x:c>
      <x:c r="C3" s="14" t="str">
        <x:v>Rule</x:v>
      </x:c>
      <x:c r="D3" s="14" t="str">
        <x:v>Humble</x:v>
      </x:c>
      <x:c r="E3" s="14" t="str">
        <x:v>Starter</x:v>
      </x:c>
      <x:c r="F3" s="14" t="str">
        <x:v>Growing</x:v>
      </x:c>
      <x:c r="G3" s="14" t="str">
        <x:v>Established</x:v>
      </x:c>
      <x:c r="H3" s="14" t="str">
        <x:v>Elite</x:v>
      </x:c>
      <x:c r="I3" s="14" t="str">
        <x:v>Tycoon</x:v>
      </x:c>
      <x:c r="J3" s="14" t="str">
        <x:v>Purpose</x:v>
      </x:c>
      <x:c r="K3" s="14" t="str">
        <x:v>Visible to Player?</x:v>
      </x:c>
      <x:c r="L3" s="14" t="str">
        <x:v>Notes</x:v>
      </x:c>
    </x:row>
    <x:row r="4">
      <x:c r="A4" s="34" t="str">
        <x:v>Negative event pity</x:v>
      </x:c>
      <x:c r="B4" s="35" t="str">
        <x:v>2 negative personal events in 48h</x:v>
      </x:c>
      <x:c r="C4" s="35" t="str">
        <x:v>Next personal event cannot be negative</x:v>
      </x:c>
      <x:c r="D4" s="35" t="str">
        <x:v>Yes</x:v>
      </x:c>
      <x:c r="E4" s="35" t="str">
        <x:v>Yes</x:v>
      </x:c>
      <x:c r="F4" s="35" t="str">
        <x:v>Yes</x:v>
      </x:c>
      <x:c r="G4" s="35" t="str">
        <x:v>Yes</x:v>
      </x:c>
      <x:c r="H4" s="35" t="str">
        <x:v>Yes</x:v>
      </x:c>
      <x:c r="I4" s="35" t="str">
        <x:v>Yes</x:v>
      </x:c>
      <x:c r="J4" s="35" t="str">
        <x:v>Prevent frustration</x:v>
      </x:c>
      <x:c r="K4" s="35" t="str">
        <x:v>No</x:v>
      </x:c>
      <x:c r="L4" s="36" t="str"/>
    </x:row>
    <x:row r="5">
      <x:c r="A5" s="37" t="str">
        <x:v>Crisis lockout</x:v>
      </x:c>
      <x:c r="B5" s="22" t="str">
        <x:v>After crisis event</x:v>
      </x:c>
      <x:c r="C5" s="22" t="str">
        <x:v>No crisis until cooldown expires</x:v>
      </x:c>
      <x:c r="D5" s="22" t="str">
        <x:v>N/A</x:v>
      </x:c>
      <x:c r="E5" s="22" t="str">
        <x:v>N/A</x:v>
      </x:c>
      <x:c r="F5" s="22" t="str">
        <x:v>7d</x:v>
      </x:c>
      <x:c r="G5" s="22" t="str">
        <x:v>7d</x:v>
      </x:c>
      <x:c r="H5" s="22" t="str">
        <x:v>7d</x:v>
      </x:c>
      <x:c r="I5" s="22" t="str">
        <x:v>7d</x:v>
      </x:c>
      <x:c r="J5" s="22" t="str">
        <x:v>Prevent repeated severe pressure</x:v>
      </x:c>
      <x:c r="K5" s="22" t="str">
        <x:v>No</x:v>
      </x:c>
      <x:c r="L5" s="38" t="str"/>
    </x:row>
    <x:row r="6">
      <x:c r="A6" s="37" t="str">
        <x:v>Same event repeat</x:v>
      </x:c>
      <x:c r="B6" s="22" t="str">
        <x:v>Event completed/expired</x:v>
      </x:c>
      <x:c r="C6" s="22" t="str">
        <x:v>Same named event blocked</x:v>
      </x:c>
      <x:c r="D6" s="22" t="str">
        <x:v>48h</x:v>
      </x:c>
      <x:c r="E6" s="22" t="str">
        <x:v>48h</x:v>
      </x:c>
      <x:c r="F6" s="22" t="str">
        <x:v>72h</x:v>
      </x:c>
      <x:c r="G6" s="22" t="str">
        <x:v>72h</x:v>
      </x:c>
      <x:c r="H6" s="22" t="str">
        <x:v>96h</x:v>
      </x:c>
      <x:c r="I6" s="22" t="str">
        <x:v>96h</x:v>
      </x:c>
      <x:c r="J6" s="22" t="str">
        <x:v>Variety</x:v>
      </x:c>
      <x:c r="K6" s="22" t="str">
        <x:v>No</x:v>
      </x:c>
      <x:c r="L6" s="38" t="str"/>
    </x:row>
    <x:row r="7">
      <x:c r="A7" s="37" t="str">
        <x:v>Decision timeout</x:v>
      </x:c>
      <x:c r="B7" s="22" t="str">
        <x:v>Player does not choose</x:v>
      </x:c>
      <x:c r="C7" s="22" t="str">
        <x:v>Auto-select safest neutral option</x:v>
      </x:c>
      <x:c r="D7" s="22" t="str">
        <x:v>Yes</x:v>
      </x:c>
      <x:c r="E7" s="22" t="str">
        <x:v>Yes</x:v>
      </x:c>
      <x:c r="F7" s="22" t="str">
        <x:v>Yes</x:v>
      </x:c>
      <x:c r="G7" s="22" t="str">
        <x:v>Yes</x:v>
      </x:c>
      <x:c r="H7" s="22" t="str">
        <x:v>Yes</x:v>
      </x:c>
      <x:c r="I7" s="22" t="str">
        <x:v>Yes</x:v>
      </x:c>
      <x:c r="J7" s="22" t="str">
        <x:v>Avoid punishing absence</x:v>
      </x:c>
      <x:c r="K7" s="22" t="str">
        <x:v>Yes</x:v>
      </x:c>
      <x:c r="L7" s="38" t="str"/>
    </x:row>
    <x:row r="8">
      <x:c r="A8" s="37" t="str">
        <x:v>Impossible mission reroll</x:v>
      </x:c>
      <x:c r="B8" s="22" t="str">
        <x:v>Mission target &gt; realistic capacity</x:v>
      </x:c>
      <x:c r="C8" s="22" t="str">
        <x:v>Regenerate target/event mission</x:v>
      </x:c>
      <x:c r="D8" s="22" t="str">
        <x:v>Yes</x:v>
      </x:c>
      <x:c r="E8" s="22" t="str">
        <x:v>Yes</x:v>
      </x:c>
      <x:c r="F8" s="22" t="str">
        <x:v>Yes</x:v>
      </x:c>
      <x:c r="G8" s="22" t="str">
        <x:v>Yes</x:v>
      </x:c>
      <x:c r="H8" s="22" t="str">
        <x:v>Yes</x:v>
      </x:c>
      <x:c r="I8" s="22" t="str">
        <x:v>Yes</x:v>
      </x:c>
      <x:c r="J8" s="22" t="str">
        <x:v>Fairness</x:v>
      </x:c>
      <x:c r="K8" s="22" t="str">
        <x:v>No</x:v>
      </x:c>
      <x:c r="L8" s="38" t="str">
        <x:v>Server validation</x:v>
      </x:c>
    </x:row>
    <x:row r="9">
      <x:c r="A9" s="37" t="str">
        <x:v>New-player shield</x:v>
      </x:c>
      <x:c r="B9" s="22" t="str">
        <x:v>Account age &lt;72h</x:v>
      </x:c>
      <x:c r="C9" s="22" t="str">
        <x:v>No crisis; reduced negative intensity</x:v>
      </x:c>
      <x:c r="D9" s="22" t="str">
        <x:v>Yes</x:v>
      </x:c>
      <x:c r="E9" s="22" t="str">
        <x:v>Yes</x:v>
      </x:c>
      <x:c r="F9" s="22" t="str">
        <x:v>No</x:v>
      </x:c>
      <x:c r="G9" s="22" t="str">
        <x:v>No</x:v>
      </x:c>
      <x:c r="H9" s="22" t="str">
        <x:v>No</x:v>
      </x:c>
      <x:c r="I9" s="22" t="str">
        <x:v>No</x:v>
      </x:c>
      <x:c r="J9" s="22" t="str">
        <x:v>Protect onboarding</x:v>
      </x:c>
      <x:c r="K9" s="22" t="str">
        <x:v>No</x:v>
      </x:c>
      <x:c r="L9" s="38" t="str"/>
    </x:row>
    <x:row r="10">
      <x:c r="A10" s="37" t="str">
        <x:v>Recovery guarantee</x:v>
      </x:c>
      <x:c r="B10" s="22" t="str">
        <x:v>After severe fail</x:v>
      </x:c>
      <x:c r="C10" s="22" t="str">
        <x:v>Next 24h positive spawn weight +25%</x:v>
      </x:c>
      <x:c r="D10" s="22" t="str">
        <x:v>Yes</x:v>
      </x:c>
      <x:c r="E10" s="22" t="str">
        <x:v>Yes</x:v>
      </x:c>
      <x:c r="F10" s="22" t="str">
        <x:v>Yes</x:v>
      </x:c>
      <x:c r="G10" s="22" t="str">
        <x:v>Yes</x:v>
      </x:c>
      <x:c r="H10" s="22" t="str">
        <x:v>Yes</x:v>
      </x:c>
      <x:c r="I10" s="22" t="str">
        <x:v>Yes</x:v>
      </x:c>
      <x:c r="J10" s="22" t="str">
        <x:v>Creates comeback</x:v>
      </x:c>
      <x:c r="K10" s="22" t="str">
        <x:v>No</x:v>
      </x:c>
      <x:c r="L10" s="38" t="str"/>
    </x:row>
    <x:row r="11">
      <x:c r="A11" s="39" t="str">
        <x:v>Event fatigue cap</x:v>
      </x:c>
      <x:c r="B11" s="40" t="str">
        <x:v>2 concurrent personal events</x:v>
      </x:c>
      <x:c r="C11" s="40" t="str">
        <x:v>Do not spawn new personal event</x:v>
      </x:c>
      <x:c r="D11" s="40" t="str">
        <x:v>Yes</x:v>
      </x:c>
      <x:c r="E11" s="40" t="str">
        <x:v>Yes</x:v>
      </x:c>
      <x:c r="F11" s="40" t="str">
        <x:v>Yes</x:v>
      </x:c>
      <x:c r="G11" s="40" t="str">
        <x:v>Yes</x:v>
      </x:c>
      <x:c r="H11" s="40" t="str">
        <x:v>Yes</x:v>
      </x:c>
      <x:c r="I11" s="40" t="str">
        <x:v>Yes</x:v>
      </x:c>
      <x:c r="J11" s="40" t="str">
        <x:v>Clarity</x:v>
      </x:c>
      <x:c r="K11" s="40" t="str">
        <x:v>Yes</x:v>
      </x:c>
      <x:c r="L11" s="41" t="str"/>
    </x:row>
  </x:sheetData>
  <x:mergeCells>
    <x:mergeCell ref="A1:L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Events → Performance Score Integration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22"/>
      <x:c r="N1" s="22"/>
      <x:c r="O1" s="22"/>
      <x:c r="P1" s="22"/>
      <x:c r="Q1" s="22"/>
    </x:row>
    <x:row r="3">
      <x:c r="A3" s="14" t="str">
        <x:v>Element</x:v>
      </x:c>
      <x:c r="B3" s="14" t="str">
        <x:v>How It Affects Performance</x:v>
      </x:c>
      <x:c r="C3" s="14" t="str">
        <x:v>Direct Score?</x:v>
      </x:c>
      <x:c r="D3" s="14" t="str">
        <x:v>Weekly Cap</x:v>
      </x:c>
      <x:c r="E3" s="14" t="str">
        <x:v>Normalization</x:v>
      </x:c>
      <x:c r="F3" s="14" t="str">
        <x:v>Good Outcome</x:v>
      </x:c>
      <x:c r="G3" s="14" t="str">
        <x:v>Bad Outcome</x:v>
      </x:c>
      <x:c r="H3" s="14" t="str">
        <x:v>Why</x:v>
      </x:c>
      <x:c r="I3" s="14" t="str">
        <x:v>Humble Example</x:v>
      </x:c>
      <x:c r="J3" s="14" t="str">
        <x:v>Established Example</x:v>
      </x:c>
      <x:c r="K3" s="14" t="str">
        <x:v>Tycoon Example</x:v>
      </x:c>
      <x:c r="L3" s="14" t="str">
        <x:v>Rule</x:v>
      </x:c>
    </x:row>
    <x:row r="4">
      <x:c r="A4" s="34" t="str">
        <x:v>Economic activity modifiers</x:v>
      </x:c>
      <x:c r="B4" s="35" t="str">
        <x:v>Changes underlying Activity input</x:v>
      </x:c>
      <x:c r="C4" s="35" t="str">
        <x:v>No</x:v>
      </x:c>
      <x:c r="D4" s="94" t="str">
        <x:v>Existing Activity component</x:v>
      </x:c>
      <x:c r="E4" s="35" t="str">
        <x:v>Stage-normalized</x:v>
      </x:c>
      <x:c r="F4" s="35" t="str">
        <x:v>+activity increases score</x:v>
      </x:c>
      <x:c r="G4" s="35" t="str">
        <x:v>-activity can reduce score</x:v>
      </x:c>
      <x:c r="H4" s="35" t="str">
        <x:v>Events should matter through economy</x:v>
      </x:c>
      <x:c r="I4" s="35" t="str">
        <x:v>Trading Frenzy boosts booth activity</x:v>
      </x:c>
      <x:c r="J4" s="35" t="str">
        <x:v>IPO Week boosts institutional flow</x:v>
      </x:c>
      <x:c r="K4" s="35" t="str">
        <x:v>World Market Week boosts empire activity</x:v>
      </x:c>
      <x:c r="L4" s="36" t="str">
        <x:v>No double counting</x:v>
      </x:c>
    </x:row>
    <x:row r="5">
      <x:c r="A5" s="37" t="str">
        <x:v>Revenue modifiers</x:v>
      </x:c>
      <x:c r="B5" s="22" t="str">
        <x:v>Changes underlying Net Revenue input</x:v>
      </x:c>
      <x:c r="C5" s="22" t="str">
        <x:v>No</x:v>
      </x:c>
      <x:c r="D5" s="95" t="str">
        <x:v>Existing Revenue component</x:v>
      </x:c>
      <x:c r="E5" s="22" t="str">
        <x:v>Stage-normalized</x:v>
      </x:c>
      <x:c r="F5" s="22" t="str">
        <x:v>+revenue</x:v>
      </x:c>
      <x:c r="G5" s="22" t="str">
        <x:v>-revenue</x:v>
      </x:c>
      <x:c r="H5" s="22" t="str">
        <x:v>Keeps score economic</x:v>
      </x:c>
      <x:c r="I5" s="22" t="str">
        <x:v>Higher kiosk revenue</x:v>
      </x:c>
      <x:c r="J5" s="22" t="str">
        <x:v>Investment Bank fee surge</x:v>
      </x:c>
      <x:c r="K5" s="22" t="str">
        <x:v>Global Exchange volume fees</x:v>
      </x:c>
      <x:c r="L5" s="38" t="str">
        <x:v>No direct bonus</x:v>
      </x:c>
    </x:row>
    <x:row r="6">
      <x:c r="A6" s="37" t="str">
        <x:v>Customer demand</x:v>
      </x:c>
      <x:c r="B6" s="22" t="str">
        <x:v>Changes customers / growth</x:v>
      </x:c>
      <x:c r="C6" s="22" t="str">
        <x:v>No</x:v>
      </x:c>
      <x:c r="D6" s="95" t="str">
        <x:v>Existing Customer components</x:v>
      </x:c>
      <x:c r="E6" s="22" t="str">
        <x:v>Stage-normalized</x:v>
      </x:c>
      <x:c r="F6" s="22" t="str">
        <x:v>+growth</x:v>
      </x:c>
      <x:c r="G6" s="22" t="str">
        <x:v>+/- retention</x:v>
      </x:c>
      <x:c r="H6" s="22" t="str">
        <x:v>Connects demand to score</x:v>
      </x:c>
      <x:c r="I6" s="22" t="str">
        <x:v>Retail rush</x:v>
      </x:c>
      <x:c r="J6" s="22" t="str">
        <x:v>Private Wealth Influx</x:v>
      </x:c>
      <x:c r="K6" s="22" t="str">
        <x:v>Global demand</x:v>
      </x:c>
      <x:c r="L6" s="38" t="str">
        <x:v>No direct bonus</x:v>
      </x:c>
    </x:row>
    <x:row r="7">
      <x:c r="A7" s="37" t="str">
        <x:v>Risk decisions</x:v>
      </x:c>
      <x:c r="B7" s="22" t="str">
        <x:v>Changes Risk Management input</x:v>
      </x:c>
      <x:c r="C7" s="22" t="str">
        <x:v>No</x:v>
      </x:c>
      <x:c r="D7" s="95" t="str">
        <x:v>Existing Risk component</x:v>
      </x:c>
      <x:c r="E7" s="22" t="str">
        <x:v>Stage-normalized</x:v>
      </x:c>
      <x:c r="F7" s="22" t="str">
        <x:v>Safe choices protect score</x:v>
      </x:c>
      <x:c r="G7" s="22" t="str">
        <x:v>Reckless failures hurt score</x:v>
      </x:c>
      <x:c r="H7" s="22" t="str">
        <x:v>Risk should matter</x:v>
      </x:c>
      <x:c r="I7" s="22" t="str">
        <x:v>Low complexity</x:v>
      </x:c>
      <x:c r="J7" s="22" t="str">
        <x:v>Meaningful</x:v>
      </x:c>
      <x:c r="K7" s="22" t="str">
        <x:v>Advanced</x:v>
      </x:c>
      <x:c r="L7" s="38" t="str"/>
    </x:row>
    <x:row r="8">
      <x:c r="A8" s="37" t="str">
        <x:v>Event missions</x:v>
      </x:c>
      <x:c r="B8" s="22" t="str">
        <x:v>Small explicit mission reward</x:v>
      </x:c>
      <x:c r="C8" s="22" t="str">
        <x:v>Yes</x:v>
      </x:c>
      <x:c r="D8" s="95" t="str">
        <x:v>5 points/week</x:v>
      </x:c>
      <x:c r="E8" s="22" t="str">
        <x:v>Capped</x:v>
      </x:c>
      <x:c r="F8" s="22" t="str">
        <x:v>Completion adds points</x:v>
      </x:c>
      <x:c r="G8" s="22" t="str">
        <x:v>Failure adds 0</x:v>
      </x:c>
      <x:c r="H8" s="22" t="str">
        <x:v>Reward agency without dominating</x:v>
      </x:c>
      <x:c r="I8" s="22" t="n">
        <x:v>1</x:v>
      </x:c>
      <x:c r="J8" s="22" t="n">
        <x:v>3</x:v>
      </x:c>
      <x:c r="K8" s="22" t="n">
        <x:v>5</x:v>
      </x:c>
      <x:c r="L8" s="38" t="str">
        <x:v>Cap applies</x:v>
      </x:c>
    </x:row>
    <x:row r="9">
      <x:c r="A9" s="39" t="str">
        <x:v>Stock reward rarity</x:v>
      </x:c>
      <x:c r="B9" s="40" t="str">
        <x:v>No effect on score</x:v>
      </x:c>
      <x:c r="C9" s="40" t="str">
        <x:v>No</x:v>
      </x:c>
      <x:c r="D9" s="96" t="str">
        <x:v>0</x:v>
      </x:c>
      <x:c r="E9" s="40" t="str">
        <x:v>N/A</x:v>
      </x:c>
      <x:c r="F9" s="40" t="str">
        <x:v>Collectible only</x:v>
      </x:c>
      <x:c r="G9" s="40" t="str">
        <x:v>N/A</x:v>
      </x:c>
      <x:c r="H9" s="40" t="str">
        <x:v>Avoid luck → $PLOT advantage</x:v>
      </x:c>
      <x:c r="I9" s="40" t="n">
        <x:v>0</x:v>
      </x:c>
      <x:c r="J9" s="40" t="n">
        <x:v>0</x:v>
      </x:c>
      <x:c r="K9" s="40" t="n">
        <x:v>0</x:v>
      </x:c>
      <x:c r="L9" s="41" t="str">
        <x:v>Stock value never scores</x:v>
      </x:c>
    </x:row>
  </x:sheetData>
  <x:mergeCells>
    <x:mergeCell ref="A1:L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Representative Event Impact Simulations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108"/>
      <x:c r="M1" s="108"/>
      <x:c r="N1" s="108"/>
      <x:c r="O1" s="22"/>
      <x:c r="P1" s="22"/>
      <x:c r="Q1" s="22"/>
    </x:row>
    <x:row r="3">
      <x:c r="A3" s="14" t="str">
        <x:v>Scenario</x:v>
      </x:c>
      <x:c r="B3" s="14" t="str">
        <x:v>Stage</x:v>
      </x:c>
      <x:c r="C3" s="14" t="str">
        <x:v>Baseline Demand</x:v>
      </x:c>
      <x:c r="D3" s="14" t="str">
        <x:v>Baseline Activity</x:v>
      </x:c>
      <x:c r="E3" s="14" t="str">
        <x:v>Baseline Revenue</x:v>
      </x:c>
      <x:c r="F3" s="14" t="str">
        <x:v>Baseline Risk</x:v>
      </x:c>
      <x:c r="G3" s="14" t="str">
        <x:v>Event</x:v>
      </x:c>
      <x:c r="H3" s="14" t="str">
        <x:v>Demand Mod</x:v>
      </x:c>
      <x:c r="I3" s="14" t="str">
        <x:v>Activity Mod</x:v>
      </x:c>
      <x:c r="J3" s="14" t="str">
        <x:v>Revenue Mod</x:v>
      </x:c>
      <x:c r="K3" s="14" t="str">
        <x:v>Risk Mod</x:v>
      </x:c>
      <x:c r="L3" s="14" t="str">
        <x:v>Post Demand</x:v>
      </x:c>
      <x:c r="M3" s="14" t="str">
        <x:v>Post Activity</x:v>
      </x:c>
      <x:c r="N3" s="14" t="str">
        <x:v>Post Revenue</x:v>
      </x:c>
    </x:row>
    <x:row r="4">
      <x:c r="A4" s="34" t="str">
        <x:v>Early positive</x:v>
      </x:c>
      <x:c r="B4" s="35" t="str">
        <x:v>Humble</x:v>
      </x:c>
      <x:c r="C4" s="94" t="n">
        <x:v>500</x:v>
      </x:c>
      <x:c r="D4" s="94" t="n">
        <x:v>1000</x:v>
      </x:c>
      <x:c r="E4" s="94" t="n">
        <x:v>8000</x:v>
      </x:c>
      <x:c r="F4" s="50" t="n">
        <x:v>0.08</x:v>
      </x:c>
      <x:c r="G4" s="35" t="str">
        <x:v>Retail Investor Rush</x:v>
      </x:c>
      <x:c r="H4" s="50" t="n">
        <x:v>0.18</x:v>
      </x:c>
      <x:c r="I4" s="50" t="n">
        <x:v>0.15</x:v>
      </x:c>
      <x:c r="J4" s="50" t="n">
        <x:v>0.1</x:v>
      </x:c>
      <x:c r="K4" s="50" t="n">
        <x:v>0</x:v>
      </x:c>
      <x:c r="L4" s="94" t="n">
        <x:f>C4*(1+H4)</x:f>
        <x:v>590</x:v>
      </x:c>
      <x:c r="M4" s="94" t="n">
        <x:f>D4*(1+I4)</x:f>
        <x:v>1150</x:v>
      </x:c>
      <x:c r="N4" s="100" t="n">
        <x:f>E4*(1+J4)</x:f>
        <x:v>8800</x:v>
      </x:c>
    </x:row>
    <x:row r="5">
      <x:c r="A5" s="37" t="str">
        <x:v>Early pressure</x:v>
      </x:c>
      <x:c r="B5" s="22" t="str">
        <x:v>Humble</x:v>
      </x:c>
      <x:c r="C5" s="95" t="n">
        <x:v>500</x:v>
      </x:c>
      <x:c r="D5" s="95" t="n">
        <x:v>1000</x:v>
      </x:c>
      <x:c r="E5" s="95" t="n">
        <x:v>8000</x:v>
      </x:c>
      <x:c r="F5" s="51" t="n">
        <x:v>0.08</x:v>
      </x:c>
      <x:c r="G5" s="22" t="str">
        <x:v>Consumer Slowdown</x:v>
      </x:c>
      <x:c r="H5" s="51" t="n">
        <x:v>-0.12</x:v>
      </x:c>
      <x:c r="I5" s="51" t="n">
        <x:v>-0.08</x:v>
      </x:c>
      <x:c r="J5" s="51" t="n">
        <x:v>-0.1</x:v>
      </x:c>
      <x:c r="K5" s="51" t="n">
        <x:v>0.08</x:v>
      </x:c>
      <x:c r="L5" s="95" t="n">
        <x:f>C5*(1+H5)</x:f>
        <x:v>440</x:v>
      </x:c>
      <x:c r="M5" s="95" t="n">
        <x:f>D5*(1+I5)</x:f>
        <x:v>920</x:v>
      </x:c>
      <x:c r="N5" s="101" t="n">
        <x:f>E5*(1+J5)</x:f>
        <x:v>7200</x:v>
      </x:c>
    </x:row>
    <x:row r="6">
      <x:c r="A6" s="37" t="str">
        <x:v>Starter macro</x:v>
      </x:c>
      <x:c r="B6" s="22" t="str">
        <x:v>Starter</x:v>
      </x:c>
      <x:c r="C6" s="95" t="n">
        <x:v>2500</x:v>
      </x:c>
      <x:c r="D6" s="95" t="n">
        <x:v>12000</x:v>
      </x:c>
      <x:c r="E6" s="95" t="n">
        <x:v>50000</x:v>
      </x:c>
      <x:c r="F6" s="51" t="n">
        <x:v>0.1</x:v>
      </x:c>
      <x:c r="G6" s="22" t="str">
        <x:v>Rate Cut</x:v>
      </x:c>
      <x:c r="H6" s="51" t="n">
        <x:v>0.12</x:v>
      </x:c>
      <x:c r="I6" s="51" t="n">
        <x:v>0.08</x:v>
      </x:c>
      <x:c r="J6" s="51" t="n">
        <x:v>0.04</x:v>
      </x:c>
      <x:c r="K6" s="51" t="n">
        <x:v>-0.02</x:v>
      </x:c>
      <x:c r="L6" s="95" t="n">
        <x:f>C6*(1+H6)</x:f>
        <x:v>2800.0000000000005</x:v>
      </x:c>
      <x:c r="M6" s="95" t="n">
        <x:f>D6*(1+I6)</x:f>
        <x:v>12960</x:v>
      </x:c>
      <x:c r="N6" s="101" t="n">
        <x:f>E6*(1+J6)</x:f>
        <x:v>52000</x:v>
      </x:c>
    </x:row>
    <x:row r="7">
      <x:c r="A7" s="37" t="str">
        <x:v>Growing sector</x:v>
      </x:c>
      <x:c r="B7" s="22" t="str">
        <x:v>Growing</x:v>
      </x:c>
      <x:c r="C7" s="95" t="n">
        <x:v>8000</x:v>
      </x:c>
      <x:c r="D7" s="95" t="n">
        <x:v>75000</x:v>
      </x:c>
      <x:c r="E7" s="95" t="n">
        <x:v>300000</x:v>
      </x:c>
      <x:c r="F7" s="51" t="n">
        <x:v>0.14</x:v>
      </x:c>
      <x:c r="G7" s="22" t="str">
        <x:v>AI Mania</x:v>
      </x:c>
      <x:c r="H7" s="51" t="n">
        <x:v>0.1</x:v>
      </x:c>
      <x:c r="I7" s="51" t="n">
        <x:v>0.2</x:v>
      </x:c>
      <x:c r="J7" s="51" t="n">
        <x:v>0.16</x:v>
      </x:c>
      <x:c r="K7" s="51" t="n">
        <x:v>0.1</x:v>
      </x:c>
      <x:c r="L7" s="95" t="n">
        <x:f>C7*(1+H7)</x:f>
        <x:v>8800</x:v>
      </x:c>
      <x:c r="M7" s="95" t="n">
        <x:f>D7*(1+I7)</x:f>
        <x:v>90000</x:v>
      </x:c>
      <x:c r="N7" s="101" t="n">
        <x:f>E7*(1+J7)</x:f>
        <x:v>348000</x:v>
      </x:c>
    </x:row>
    <x:row r="8">
      <x:c r="A8" s="37" t="str">
        <x:v>Growing crisis</x:v>
      </x:c>
      <x:c r="B8" s="22" t="str">
        <x:v>Growing</x:v>
      </x:c>
      <x:c r="C8" s="95" t="n">
        <x:v>8000</x:v>
      </x:c>
      <x:c r="D8" s="95" t="n">
        <x:v>75000</x:v>
      </x:c>
      <x:c r="E8" s="95" t="n">
        <x:v>300000</x:v>
      </x:c>
      <x:c r="F8" s="51" t="n">
        <x:v>0.14</x:v>
      </x:c>
      <x:c r="G8" s="22" t="str">
        <x:v>Liquidity Crunch</x:v>
      </x:c>
      <x:c r="H8" s="51" t="n">
        <x:v>-0.12</x:v>
      </x:c>
      <x:c r="I8" s="51" t="n">
        <x:v>-0.1</x:v>
      </x:c>
      <x:c r="J8" s="51" t="n">
        <x:v>-0.16</x:v>
      </x:c>
      <x:c r="K8" s="51" t="n">
        <x:v>0.28</x:v>
      </x:c>
      <x:c r="L8" s="95" t="n">
        <x:f>C8*(1+H8)</x:f>
        <x:v>7040</x:v>
      </x:c>
      <x:c r="M8" s="95" t="n">
        <x:f>D8*(1+I8)</x:f>
        <x:v>67500</x:v>
      </x:c>
      <x:c r="N8" s="101" t="n">
        <x:f>E8*(1+J8)</x:f>
        <x:v>252000</x:v>
      </x:c>
    </x:row>
    <x:row r="9">
      <x:c r="A9" s="37" t="str">
        <x:v>Established opportunity</x:v>
      </x:c>
      <x:c r="B9" s="22" t="str">
        <x:v>Established</x:v>
      </x:c>
      <x:c r="C9" s="95" t="n">
        <x:v>25000</x:v>
      </x:c>
      <x:c r="D9" s="95" t="n">
        <x:v>350000</x:v>
      </x:c>
      <x:c r="E9" s="95" t="n">
        <x:v>1400000</x:v>
      </x:c>
      <x:c r="F9" s="51" t="n">
        <x:v>0.16</x:v>
      </x:c>
      <x:c r="G9" s="22" t="str">
        <x:v>IPO Week</x:v>
      </x:c>
      <x:c r="H9" s="51" t="n">
        <x:v>0.12</x:v>
      </x:c>
      <x:c r="I9" s="51" t="n">
        <x:v>0.18</x:v>
      </x:c>
      <x:c r="J9" s="51" t="n">
        <x:v>0.15</x:v>
      </x:c>
      <x:c r="K9" s="51" t="n">
        <x:v>0.08</x:v>
      </x:c>
      <x:c r="L9" s="95" t="n">
        <x:f>C9*(1+H9)</x:f>
        <x:v>28000.000000000004</x:v>
      </x:c>
      <x:c r="M9" s="95" t="n">
        <x:f>D9*(1+I9)</x:f>
        <x:v>413000</x:v>
      </x:c>
      <x:c r="N9" s="101" t="n">
        <x:f>E9*(1+J9)</x:f>
        <x:v>1609999.9999999998</x:v>
      </x:c>
    </x:row>
    <x:row r="10">
      <x:c r="A10" s="37" t="str">
        <x:v>Established crisis</x:v>
      </x:c>
      <x:c r="B10" s="22" t="str">
        <x:v>Established</x:v>
      </x:c>
      <x:c r="C10" s="95" t="n">
        <x:v>25000</x:v>
      </x:c>
      <x:c r="D10" s="95" t="n">
        <x:v>350000</x:v>
      </x:c>
      <x:c r="E10" s="95" t="n">
        <x:v>1400000</x:v>
      </x:c>
      <x:c r="F10" s="51" t="n">
        <x:v>0.16</x:v>
      </x:c>
      <x:c r="G10" s="22" t="str">
        <x:v>Bank Run Rumor</x:v>
      </x:c>
      <x:c r="H10" s="51" t="n">
        <x:v>-0.18</x:v>
      </x:c>
      <x:c r="I10" s="51" t="n">
        <x:v>-0.12</x:v>
      </x:c>
      <x:c r="J10" s="51" t="n">
        <x:v>-0.18</x:v>
      </x:c>
      <x:c r="K10" s="51" t="n">
        <x:v>0.32</x:v>
      </x:c>
      <x:c r="L10" s="95" t="n">
        <x:f>C10*(1+H10)</x:f>
        <x:v>20500</x:v>
      </x:c>
      <x:c r="M10" s="95" t="n">
        <x:f>D10*(1+I10)</x:f>
        <x:v>308000</x:v>
      </x:c>
      <x:c r="N10" s="101" t="n">
        <x:f>E10*(1+J10)</x:f>
        <x:v>1148000</x:v>
      </x:c>
    </x:row>
    <x:row r="11">
      <x:c r="A11" s="37" t="str">
        <x:v>Elite boom</x:v>
      </x:c>
      <x:c r="B11" s="22" t="str">
        <x:v>Elite</x:v>
      </x:c>
      <x:c r="C11" s="95" t="n">
        <x:v>60000</x:v>
      </x:c>
      <x:c r="D11" s="95" t="n">
        <x:v>1200000</x:v>
      </x:c>
      <x:c r="E11" s="95" t="n">
        <x:v>5000000</x:v>
      </x:c>
      <x:c r="F11" s="51" t="n">
        <x:v>0.18</x:v>
      </x:c>
      <x:c r="G11" s="22" t="str">
        <x:v>Global Trading Boom</x:v>
      </x:c>
      <x:c r="H11" s="51" t="n">
        <x:v>0.1</x:v>
      </x:c>
      <x:c r="I11" s="51" t="n">
        <x:v>0.28</x:v>
      </x:c>
      <x:c r="J11" s="51" t="n">
        <x:v>0.2</x:v>
      </x:c>
      <x:c r="K11" s="51" t="n">
        <x:v>0.12</x:v>
      </x:c>
      <x:c r="L11" s="95" t="n">
        <x:f>C11*(1+H11)</x:f>
        <x:v>66000</x:v>
      </x:c>
      <x:c r="M11" s="95" t="n">
        <x:f>D11*(1+I11)</x:f>
        <x:v>1536000</x:v>
      </x:c>
      <x:c r="N11" s="101" t="n">
        <x:f>E11*(1+J11)</x:f>
        <x:v>6000000</x:v>
      </x:c>
    </x:row>
    <x:row r="12">
      <x:c r="A12" s="37" t="str">
        <x:v>Tycoon prestige</x:v>
      </x:c>
      <x:c r="B12" s="22" t="str">
        <x:v>Tycoon</x:v>
      </x:c>
      <x:c r="C12" s="95" t="n">
        <x:v>120000</x:v>
      </x:c>
      <x:c r="D12" s="95" t="n">
        <x:v>4000000</x:v>
      </x:c>
      <x:c r="E12" s="95" t="n">
        <x:v>18000000</x:v>
      </x:c>
      <x:c r="F12" s="51" t="n">
        <x:v>0.2</x:v>
      </x:c>
      <x:c r="G12" s="22" t="str">
        <x:v>World Market Week</x:v>
      </x:c>
      <x:c r="H12" s="51" t="n">
        <x:v>0.15</x:v>
      </x:c>
      <x:c r="I12" s="51" t="n">
        <x:v>0.25</x:v>
      </x:c>
      <x:c r="J12" s="51" t="n">
        <x:v>0.22</x:v>
      </x:c>
      <x:c r="K12" s="51" t="n">
        <x:v>0.1</x:v>
      </x:c>
      <x:c r="L12" s="95" t="n">
        <x:f>C12*(1+H12)</x:f>
        <x:v>138000</x:v>
      </x:c>
      <x:c r="M12" s="95" t="n">
        <x:f>D12*(1+I12)</x:f>
        <x:v>5000000</x:v>
      </x:c>
      <x:c r="N12" s="101" t="n">
        <x:f>E12*(1+J12)</x:f>
        <x:v>21960000</x:v>
      </x:c>
    </x:row>
    <x:row r="13">
      <x:c r="A13" s="39" t="str">
        <x:v>Tycoon shock</x:v>
      </x:c>
      <x:c r="B13" s="40" t="str">
        <x:v>Tycoon</x:v>
      </x:c>
      <x:c r="C13" s="96" t="n">
        <x:v>120000</x:v>
      </x:c>
      <x:c r="D13" s="96" t="n">
        <x:v>4000000</x:v>
      </x:c>
      <x:c r="E13" s="96" t="n">
        <x:v>18000000</x:v>
      </x:c>
      <x:c r="F13" s="52" t="n">
        <x:v>0.2</x:v>
      </x:c>
      <x:c r="G13" s="40" t="str">
        <x:v>Global Credit Shock</x:v>
      </x:c>
      <x:c r="H13" s="52" t="n">
        <x:v>-0.18</x:v>
      </x:c>
      <x:c r="I13" s="52" t="n">
        <x:v>-0.14</x:v>
      </x:c>
      <x:c r="J13" s="52" t="n">
        <x:v>-0.22</x:v>
      </x:c>
      <x:c r="K13" s="52" t="n">
        <x:v>0.35</x:v>
      </x:c>
      <x:c r="L13" s="96" t="n">
        <x:f>C13*(1+H13)</x:f>
        <x:v>98400.00000000001</x:v>
      </x:c>
      <x:c r="M13" s="96" t="n">
        <x:f>D13*(1+I13)</x:f>
        <x:v>3440000</x:v>
      </x:c>
      <x:c r="N13" s="102" t="n">
        <x:f>E13*(1+J13)</x:f>
        <x:v>14040000</x:v>
      </x:c>
    </x:row>
    <x:row r="15" ht="22" customHeight="1">
      <x:c r="A15" s="31" t="str">
        <x:v>Decision Example — Liquidity Crunch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</x:row>
    <x:row r="16">
      <x:c r="A16" s="14" t="str">
        <x:v>Choice</x:v>
      </x:c>
      <x:c r="B16" s="14" t="str">
        <x:v>Starting Revenue</x:v>
      </x:c>
      <x:c r="C16" s="14" t="str">
        <x:v>Event Revenue Mod</x:v>
      </x:c>
      <x:c r="D16" s="14" t="str">
        <x:v>Choice Revenue Mod</x:v>
      </x:c>
      <x:c r="E16" s="14" t="str">
        <x:v>Starting Risk</x:v>
      </x:c>
      <x:c r="F16" s="14" t="str">
        <x:v>Event Risk Mod</x:v>
      </x:c>
      <x:c r="G16" s="14" t="str">
        <x:v>Choice Risk Mod</x:v>
      </x:c>
      <x:c r="H16" s="14" t="str">
        <x:v>Final Revenue</x:v>
      </x:c>
      <x:c r="I16" s="14" t="str">
        <x:v>Final Risk</x:v>
      </x:c>
      <x:c r="J16" s="14" t="str">
        <x:v>Interpretation</x:v>
      </x:c>
    </x:row>
    <x:row r="17">
      <x:c r="A17" s="34" t="str">
        <x:v>Inject reserves</x:v>
      </x:c>
      <x:c r="B17" s="88" t="n">
        <x:v>300000</x:v>
      </x:c>
      <x:c r="C17" s="50" t="n">
        <x:v>-0.16</x:v>
      </x:c>
      <x:c r="D17" s="50" t="n">
        <x:v>-0.05</x:v>
      </x:c>
      <x:c r="E17" s="50" t="n">
        <x:v>0.14</x:v>
      </x:c>
      <x:c r="F17" s="50" t="n">
        <x:v>0.28</x:v>
      </x:c>
      <x:c r="G17" s="50" t="n">
        <x:v>-0.18</x:v>
      </x:c>
      <x:c r="H17" s="88" t="n">
        <x:f>B17*(1+C17)*(1+D17)</x:f>
        <x:v>239400</x:v>
      </x:c>
      <x:c r="I17" s="50" t="n">
        <x:f>E17+F17+G17</x:f>
        <x:v>0.24000000000000005</x:v>
      </x:c>
      <x:c r="J17" s="36" t="str">
        <x:v>Lower revenue, much safer</x:v>
      </x:c>
    </x:row>
    <x:row r="18">
      <x:c r="A18" s="37" t="str">
        <x:v>Limit activity</x:v>
      </x:c>
      <x:c r="B18" s="89" t="n">
        <x:v>300000</x:v>
      </x:c>
      <x:c r="C18" s="51" t="n">
        <x:v>-0.16</x:v>
      </x:c>
      <x:c r="D18" s="51" t="n">
        <x:v>-0.12</x:v>
      </x:c>
      <x:c r="E18" s="51" t="n">
        <x:v>0.14</x:v>
      </x:c>
      <x:c r="F18" s="51" t="n">
        <x:v>0.28</x:v>
      </x:c>
      <x:c r="G18" s="51" t="n">
        <x:v>-0.12</x:v>
      </x:c>
      <x:c r="H18" s="89" t="n">
        <x:f>B18*(1+C18)*(1+D18)</x:f>
        <x:v>221760</x:v>
      </x:c>
      <x:c r="I18" s="51" t="n">
        <x:f>E18+F18+G18</x:f>
        <x:v>0.30000000000000004</x:v>
      </x:c>
      <x:c r="J18" s="38" t="str">
        <x:v>Defensive, low activity</x:v>
      </x:c>
    </x:row>
    <x:row r="19">
      <x:c r="A19" s="39" t="str">
        <x:v>Operate normally</x:v>
      </x:c>
      <x:c r="B19" s="90" t="n">
        <x:v>300000</x:v>
      </x:c>
      <x:c r="C19" s="52" t="n">
        <x:v>-0.16</x:v>
      </x:c>
      <x:c r="D19" s="52" t="n">
        <x:v>0.05</x:v>
      </x:c>
      <x:c r="E19" s="52" t="n">
        <x:v>0.14</x:v>
      </x:c>
      <x:c r="F19" s="52" t="n">
        <x:v>0.28</x:v>
      </x:c>
      <x:c r="G19" s="52" t="n">
        <x:v>0.15</x:v>
      </x:c>
      <x:c r="H19" s="90" t="n">
        <x:f>B19*(1+C19)*(1+D19)</x:f>
        <x:v>264600</x:v>
      </x:c>
      <x:c r="I19" s="52" t="n">
        <x:f>E19+F19+G19</x:f>
        <x:v>0.5700000000000001</x:v>
      </x:c>
      <x:c r="J19" s="41" t="str">
        <x:v>Highest upside, dangerous risk</x:v>
      </x:c>
    </x:row>
  </x:sheetData>
  <x:mergeCells>
    <x:mergeCell ref="A1:N1"/>
    <x:mergeCell ref="A15:N15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Live-Ops Event Calendar &amp; Tuning Controls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22"/>
      <x:c r="M1" s="22"/>
      <x:c r="N1" s="22"/>
      <x:c r="O1" s="22"/>
      <x:c r="P1" s="22"/>
      <x:c r="Q1" s="22"/>
    </x:row>
    <x:row r="3">
      <x:c r="A3" s="14" t="str">
        <x:v>Control</x:v>
      </x:c>
      <x:c r="B3" s="14" t="str">
        <x:v>Default</x:v>
      </x:c>
      <x:c r="C3" s="14" t="str">
        <x:v>Review Frequency</x:v>
      </x:c>
      <x:c r="D3" s="14" t="str">
        <x:v>Primary Metric</x:v>
      </x:c>
      <x:c r="E3" s="14" t="str">
        <x:v>Increase When</x:v>
      </x:c>
      <x:c r="F3" s="14" t="str">
        <x:v>Decrease When</x:v>
      </x:c>
      <x:c r="G3" s="14" t="str">
        <x:v>Safe Change</x:v>
      </x:c>
      <x:c r="H3" s="14" t="str">
        <x:v>Owner</x:v>
      </x:c>
      <x:c r="I3" s="14" t="str">
        <x:v>Alert Threshold</x:v>
      </x:c>
      <x:c r="J3" s="14" t="str">
        <x:v>Seasonal Use</x:v>
      </x:c>
      <x:c r="K3" s="14" t="str">
        <x:v>Notes</x:v>
      </x:c>
    </x:row>
    <x:row r="4">
      <x:c r="A4" s="34" t="str">
        <x:v>Global event frequency</x:v>
      </x:c>
      <x:c r="B4" s="35" t="str">
        <x:v>2.5/week</x:v>
      </x:c>
      <x:c r="C4" s="35" t="str">
        <x:v>Weekly</x:v>
      </x:c>
      <x:c r="D4" s="35" t="str">
        <x:v>Event engagement</x:v>
      </x:c>
      <x:c r="E4" s="35" t="str">
        <x:v>Sessions feel static</x:v>
      </x:c>
      <x:c r="F4" s="35" t="str">
        <x:v>Players feel overwhelmed</x:v>
      </x:c>
      <x:c r="G4" s="35" t="str">
        <x:v>+/-0.5/week</x:v>
      </x:c>
      <x:c r="H4" s="35" t="str">
        <x:v>Live Ops</x:v>
      </x:c>
      <x:c r="I4" s="35" t="str">
        <x:v>&lt;35% participation or &gt;3 concurrent</x:v>
      </x:c>
      <x:c r="J4" s="35" t="str">
        <x:v>Yes</x:v>
      </x:c>
      <x:c r="K4" s="36" t="str"/>
    </x:row>
    <x:row r="5">
      <x:c r="A5" s="37" t="str">
        <x:v>Personal event frequency</x:v>
      </x:c>
      <x:c r="B5" s="22" t="str">
        <x:v>3/week</x:v>
      </x:c>
      <x:c r="C5" s="22" t="str">
        <x:v>Weekly</x:v>
      </x:c>
      <x:c r="D5" s="22" t="str">
        <x:v>Decision engagement</x:v>
      </x:c>
      <x:c r="E5" s="22" t="str">
        <x:v>Low agency</x:v>
      </x:c>
      <x:c r="F5" s="22" t="str">
        <x:v>Too much interruption</x:v>
      </x:c>
      <x:c r="G5" s="22" t="str">
        <x:v>+/-1/week</x:v>
      </x:c>
      <x:c r="H5" s="22" t="str">
        <x:v>Game Design</x:v>
      </x:c>
      <x:c r="I5" s="22" t="str">
        <x:v>Decision completion &lt;50%</x:v>
      </x:c>
      <x:c r="J5" s="22" t="str">
        <x:v>Yes</x:v>
      </x:c>
      <x:c r="K5" s="38" t="str"/>
    </x:row>
    <x:row r="6">
      <x:c r="A6" s="37" t="str">
        <x:v>Negative spawn bias</x:v>
      </x:c>
      <x:c r="B6" s="22" t="str">
        <x:v>20%</x:v>
      </x:c>
      <x:c r="C6" s="22" t="str">
        <x:v>Weekly</x:v>
      </x:c>
      <x:c r="D6" s="22" t="str">
        <x:v>Churn / sentiment</x:v>
      </x:c>
      <x:c r="E6" s="22" t="str">
        <x:v>Game too easy</x:v>
      </x:c>
      <x:c r="F6" s="22" t="str">
        <x:v>Churn rises</x:v>
      </x:c>
      <x:c r="G6" s="22" t="str">
        <x:v>+/-3 pts</x:v>
      </x:c>
      <x:c r="H6" s="22" t="str">
        <x:v>Economy</x:v>
      </x:c>
      <x:c r="I6" s="22" t="str">
        <x:v>D1/D7 drop</x:v>
      </x:c>
      <x:c r="J6" s="22" t="str">
        <x:v>No</x:v>
      </x:c>
      <x:c r="K6" s="38" t="str"/>
    </x:row>
    <x:row r="7">
      <x:c r="A7" s="37" t="str">
        <x:v>Positive spawn bias</x:v>
      </x:c>
      <x:c r="B7" s="22" t="str">
        <x:v>52%</x:v>
      </x:c>
      <x:c r="C7" s="22" t="str">
        <x:v>Weekly</x:v>
      </x:c>
      <x:c r="D7" s="22" t="str">
        <x:v>Reward excitement</x:v>
      </x:c>
      <x:c r="E7" s="22" t="str">
        <x:v>Players disengage</x:v>
      </x:c>
      <x:c r="F7" s="22" t="str">
        <x:v>Economy overheats</x:v>
      </x:c>
      <x:c r="G7" s="22" t="str">
        <x:v>+/-3 pts</x:v>
      </x:c>
      <x:c r="H7" s="22" t="str">
        <x:v>Live Ops</x:v>
      </x:c>
      <x:c r="I7" s="22" t="str">
        <x:v>Cash inflation</x:v>
      </x:c>
      <x:c r="J7" s="22" t="str">
        <x:v>Yes</x:v>
      </x:c>
      <x:c r="K7" s="38" t="str"/>
    </x:row>
    <x:row r="8">
      <x:c r="A8" s="37" t="str">
        <x:v>Event duration</x:v>
      </x:c>
      <x:c r="B8" s="22" t="str">
        <x:v>36h major</x:v>
      </x:c>
      <x:c r="C8" s="22" t="str">
        <x:v>Per event</x:v>
      </x:c>
      <x:c r="D8" s="22" t="str">
        <x:v>Completion rate</x:v>
      </x:c>
      <x:c r="E8" s="22" t="str">
        <x:v>Completion &lt;45%</x:v>
      </x:c>
      <x:c r="F8" s="22" t="str">
        <x:v>Completion &gt;90%</x:v>
      </x:c>
      <x:c r="G8" s="22" t="str">
        <x:v>+/-25%</x:v>
      </x:c>
      <x:c r="H8" s="22" t="str">
        <x:v>Live Ops</x:v>
      </x:c>
      <x:c r="I8" s="22" t="str">
        <x:v>Too low/high completion</x:v>
      </x:c>
      <x:c r="J8" s="22" t="str">
        <x:v>Yes</x:v>
      </x:c>
      <x:c r="K8" s="38" t="str"/>
    </x:row>
    <x:row r="9">
      <x:c r="A9" s="37" t="str">
        <x:v>Cash event rewards</x:v>
      </x:c>
      <x:c r="B9" s="22" t="str">
        <x:v>Stage-based</x:v>
      </x:c>
      <x:c r="C9" s="22" t="str">
        <x:v>Monthly</x:v>
      </x:c>
      <x:c r="D9" s="22" t="str">
        <x:v>Cash inflation</x:v>
      </x:c>
      <x:c r="E9" s="22" t="str">
        <x:v>Events feel weak</x:v>
      </x:c>
      <x:c r="F9" s="22" t="str">
        <x:v>Cash sinks cannot keep up</x:v>
      </x:c>
      <x:c r="G9" s="22" t="str">
        <x:v>+/-20%</x:v>
      </x:c>
      <x:c r="H9" s="22" t="str">
        <x:v>Economy</x:v>
      </x:c>
      <x:c r="I9" s="22" t="str">
        <x:v>Cash burn ratio &lt; target</x:v>
      </x:c>
      <x:c r="J9" s="22" t="str">
        <x:v>Yes</x:v>
      </x:c>
      <x:c r="K9" s="38" t="str"/>
    </x:row>
    <x:row r="10">
      <x:c r="A10" s="37" t="str">
        <x:v>Rep event rewards</x:v>
      </x:c>
      <x:c r="B10" s="22" t="str">
        <x:v>0–5</x:v>
      </x:c>
      <x:c r="C10" s="22" t="str">
        <x:v>Monthly</x:v>
      </x:c>
      <x:c r="D10" s="22" t="str">
        <x:v>Rep distribution</x:v>
      </x:c>
      <x:c r="E10" s="22" t="str">
        <x:v>Rep progression too slow</x:v>
      </x:c>
      <x:c r="F10" s="22" t="str">
        <x:v>Rep maxed too fast</x:v>
      </x:c>
      <x:c r="G10" s="22" t="str">
        <x:v>+/-1</x:v>
      </x:c>
      <x:c r="H10" s="22" t="str">
        <x:v>Economy</x:v>
      </x:c>
      <x:c r="I10" s="22" t="str">
        <x:v>Median Rep out of stage band</x:v>
      </x:c>
      <x:c r="J10" s="22" t="str">
        <x:v>Yes</x:v>
      </x:c>
      <x:c r="K10" s="38" t="str"/>
    </x:row>
    <x:row r="11">
      <x:c r="A11" s="37" t="str">
        <x:v>Hunt spawn multiplier</x:v>
      </x:c>
      <x:c r="B11" s="22" t="str">
        <x:v>1.0–1.5x</x:v>
      </x:c>
      <x:c r="C11" s="22" t="str">
        <x:v>Per event</x:v>
      </x:c>
      <x:c r="D11" s="22" t="str">
        <x:v>Hunt completion</x:v>
      </x:c>
      <x:c r="E11" s="22" t="str">
        <x:v>Event weak</x:v>
      </x:c>
      <x:c r="F11" s="22" t="str">
        <x:v>Stock pool burns fast</x:v>
      </x:c>
      <x:c r="G11" s="22" t="str">
        <x:v>+/-10%</x:v>
      </x:c>
      <x:c r="H11" s="22" t="str">
        <x:v>Live Ops</x:v>
      </x:c>
      <x:c r="I11" s="22" t="str">
        <x:v>Stock pool &gt;80% too early</x:v>
      </x:c>
      <x:c r="J11" s="22" t="str">
        <x:v>Yes</x:v>
      </x:c>
      <x:c r="K11" s="38" t="str"/>
    </x:row>
    <x:row r="12">
      <x:c r="A12" s="37" t="str">
        <x:v>Crisis cooldown</x:v>
      </x:c>
      <x:c r="B12" s="22" t="str">
        <x:v>7d</x:v>
      </x:c>
      <x:c r="C12" s="22" t="str">
        <x:v>Monthly</x:v>
      </x:c>
      <x:c r="D12" s="22" t="str">
        <x:v>Frustration / churn</x:v>
      </x:c>
      <x:c r="E12" s="22" t="str">
        <x:v>Crisis feels irrelevant</x:v>
      </x:c>
      <x:c r="F12" s="22" t="str">
        <x:v>Crisis causes churn</x:v>
      </x:c>
      <x:c r="G12" s="22" t="str">
        <x:v>+/-48h</x:v>
      </x:c>
      <x:c r="H12" s="22" t="str">
        <x:v>Game Design</x:v>
      </x:c>
      <x:c r="I12" s="22" t="str">
        <x:v>Post-crisis churn spike</x:v>
      </x:c>
      <x:c r="J12" s="22" t="str">
        <x:v>No</x:v>
      </x:c>
      <x:c r="K12" s="38" t="str"/>
    </x:row>
    <x:row r="13">
      <x:c r="A13" s="39" t="str">
        <x:v>Event mission score cap</x:v>
      </x:c>
      <x:c r="B13" s="40" t="str">
        <x:v>5 pts/week</x:v>
      </x:c>
      <x:c r="C13" s="40" t="str">
        <x:v>Seasonal</x:v>
      </x:c>
      <x:c r="D13" s="40" t="str">
        <x:v>Performance concentration</x:v>
      </x:c>
      <x:c r="E13" s="40" t="str">
        <x:v>Events underweighted</x:v>
      </x:c>
      <x:c r="F13" s="40" t="str">
        <x:v>Event farmers dominate</x:v>
      </x:c>
      <x:c r="G13" s="40" t="str">
        <x:v>+/-1 point</x:v>
      </x:c>
      <x:c r="H13" s="40" t="str">
        <x:v>Economy</x:v>
      </x:c>
      <x:c r="I13" s="40" t="str">
        <x:v>Top decile event points concentration</x:v>
      </x:c>
      <x:c r="J13" s="40" t="str">
        <x:v>No</x:v>
      </x:c>
      <x:c r="K13" s="41" t="str"/>
    </x:row>
    <x:row r="15" ht="22" customHeight="1">
      <x:c r="A15" s="31" t="str">
        <x:v>Illustrative 4-Week Event Cadence</x:v>
      </x:c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</x:row>
    <x:row r="16">
      <x:c r="A16" s="14" t="str">
        <x:v>Week</x:v>
      </x:c>
      <x:c r="B16" s="14" t="str">
        <x:v>Anchor Event</x:v>
      </x:c>
      <x:c r="C16" s="14" t="str">
        <x:v>Secondary Event</x:v>
      </x:c>
      <x:c r="D16" s="14" t="str">
        <x:v>Sector Event</x:v>
      </x:c>
      <x:c r="E16" s="14" t="str">
        <x:v>Crisis Slot</x:v>
      </x:c>
      <x:c r="F16" s="14" t="str">
        <x:v>Prestige/Seasonal</x:v>
      </x:c>
    </x:row>
    <x:row r="17">
      <x:c r="A17" s="34" t="str">
        <x:v>Week 1</x:v>
      </x:c>
      <x:c r="B17" s="35" t="str">
        <x:v>Earnings Week</x:v>
      </x:c>
      <x:c r="C17" s="35" t="str">
        <x:v>Retail Investor Rush</x:v>
      </x:c>
      <x:c r="D17" s="35" t="str">
        <x:v>Research Breakthrough</x:v>
      </x:c>
      <x:c r="E17" s="35" t="str">
        <x:v>Closed</x:v>
      </x:c>
      <x:c r="F17" s="36" t="str">
        <x:v>—</x:v>
      </x:c>
    </x:row>
    <x:row r="18">
      <x:c r="A18" s="37" t="str">
        <x:v>Week 2</x:v>
      </x:c>
      <x:c r="B18" s="22" t="str">
        <x:v>Rate Decision</x:v>
      </x:c>
      <x:c r="C18" s="22" t="str">
        <x:v>SME Growth Wave</x:v>
      </x:c>
      <x:c r="D18" s="22" t="str">
        <x:v>AI Mania</x:v>
      </x:c>
      <x:c r="E18" s="22" t="str">
        <x:v>Conditional</x:v>
      </x:c>
      <x:c r="F18" s="38" t="str">
        <x:v>—</x:v>
      </x:c>
    </x:row>
    <x:row r="19">
      <x:c r="A19" s="37" t="str">
        <x:v>Week 3</x:v>
      </x:c>
      <x:c r="B19" s="22" t="str">
        <x:v>Dividend Week</x:v>
      </x:c>
      <x:c r="C19" s="22" t="str">
        <x:v>Institutional Flow</x:v>
      </x:c>
      <x:c r="D19" s="22" t="str">
        <x:v>Trading Frenzy</x:v>
      </x:c>
      <x:c r="E19" s="22" t="str">
        <x:v>Conditional</x:v>
      </x:c>
      <x:c r="F19" s="38" t="str">
        <x:v>Financial Summit</x:v>
      </x:c>
    </x:row>
    <x:row r="20">
      <x:c r="A20" s="39" t="str">
        <x:v>Week 4</x:v>
      </x:c>
      <x:c r="B20" s="40" t="str">
        <x:v>IPO Week</x:v>
      </x:c>
      <x:c r="C20" s="40" t="str">
        <x:v>Private Wealth Influx</x:v>
      </x:c>
      <x:c r="D20" s="40" t="str">
        <x:v>Liquidity Boom</x:v>
      </x:c>
      <x:c r="E20" s="40" t="str">
        <x:v>Conditional</x:v>
      </x:c>
      <x:c r="F20" s="41" t="str">
        <x:v>World Market Week (season end only)</x:v>
      </x:c>
    </x:row>
  </x:sheetData>
  <x:mergeCells>
    <x:mergeCell ref="A1:K1"/>
    <x:mergeCell ref="A15:K1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Backend Event Resolution Rules</x:v>
      </x:c>
      <x:c r="B1" s="108"/>
      <x:c r="C1" s="108"/>
      <x:c r="D1" s="108"/>
      <x:c r="E1" s="108"/>
      <x:c r="F1" s="108"/>
      <x:c r="G1" s="108"/>
      <x:c r="H1" s="108"/>
      <x:c r="I1" s="108"/>
      <x:c r="J1" s="108"/>
      <x:c r="K1" s="108"/>
      <x:c r="L1" s="22"/>
      <x:c r="M1" s="22"/>
      <x:c r="N1" s="22"/>
      <x:c r="O1" s="22"/>
      <x:c r="P1" s="22"/>
      <x:c r="Q1" s="22"/>
    </x:row>
    <x:row r="3">
      <x:c r="A3" s="14" t="str">
        <x:v>System</x:v>
      </x:c>
      <x:c r="B3" s="14" t="str">
        <x:v>Server Authority</x:v>
      </x:c>
      <x:c r="C3" s="14" t="str">
        <x:v>Evaluation Cadence</x:v>
      </x:c>
      <x:c r="D3" s="14" t="str">
        <x:v>State Stored</x:v>
      </x:c>
      <x:c r="E3" s="14" t="str">
        <x:v>Client Can Submit</x:v>
      </x:c>
      <x:c r="F3" s="14" t="str">
        <x:v>Client Cannot Submit</x:v>
      </x:c>
      <x:c r="G3" s="14" t="str">
        <x:v>Recovery Rule</x:v>
      </x:c>
      <x:c r="H3" s="14" t="str">
        <x:v>Audit Field</x:v>
      </x:c>
      <x:c r="I3" s="14" t="str">
        <x:v>Exploit Risk</x:v>
      </x:c>
      <x:c r="J3" s="14" t="str">
        <x:v>Priority</x:v>
      </x:c>
      <x:c r="K3" s="14" t="str">
        <x:v>Notes</x:v>
      </x:c>
    </x:row>
    <x:row r="4">
      <x:c r="A4" s="34" t="str">
        <x:v>Global cycle</x:v>
      </x:c>
      <x:c r="B4" s="35" t="str">
        <x:v>Yes</x:v>
      </x:c>
      <x:c r="C4" s="35" t="str">
        <x:v>Every cycle transition</x:v>
      </x:c>
      <x:c r="D4" s="35" t="str">
        <x:v>cycle_id,start,end,seed</x:v>
      </x:c>
      <x:c r="E4" s="35" t="str">
        <x:v>None</x:v>
      </x:c>
      <x:c r="F4" s="35" t="str">
        <x:v>Cycle state</x:v>
      </x:c>
      <x:c r="G4" s="35" t="str">
        <x:v>Rebuild from event log</x:v>
      </x:c>
      <x:c r="H4" s="35" t="str">
        <x:v>cycle_version</x:v>
      </x:c>
      <x:c r="I4" s="35" t="str">
        <x:v>Low</x:v>
      </x:c>
      <x:c r="J4" s="35" t="str">
        <x:v>P0</x:v>
      </x:c>
      <x:c r="K4" s="36" t="str"/>
    </x:row>
    <x:row r="5">
      <x:c r="A5" s="37" t="str">
        <x:v>Global events</x:v>
      </x:c>
      <x:c r="B5" s="22" t="str">
        <x:v>Yes</x:v>
      </x:c>
      <x:c r="C5" s="22" t="str">
        <x:v>On schedule / trigger</x:v>
      </x:c>
      <x:c r="D5" s="22" t="str">
        <x:v>event_id,start,end,modifiers</x:v>
      </x:c>
      <x:c r="E5" s="22" t="str">
        <x:v>Acknowledgement</x:v>
      </x:c>
      <x:c r="F5" s="22" t="str">
        <x:v>Event modifiers</x:v>
      </x:c>
      <x:c r="G5" s="22" t="str">
        <x:v>Recalculate from source</x:v>
      </x:c>
      <x:c r="H5" s="22" t="str">
        <x:v>event_version</x:v>
      </x:c>
      <x:c r="I5" s="22" t="str">
        <x:v>Low</x:v>
      </x:c>
      <x:c r="J5" s="22" t="str">
        <x:v>P0</x:v>
      </x:c>
      <x:c r="K5" s="38" t="str"/>
    </x:row>
    <x:row r="6">
      <x:c r="A6" s="37" t="str">
        <x:v>Personal events</x:v>
      </x:c>
      <x:c r="B6" s="22" t="str">
        <x:v>Yes</x:v>
      </x:c>
      <x:c r="C6" s="22" t="str">
        <x:v>On eligible spawn</x:v>
      </x:c>
      <x:c r="D6" s="22" t="str">
        <x:v>player_event_id,choices,state</x:v>
      </x:c>
      <x:c r="E6" s="22" t="str">
        <x:v>Choice selection</x:v>
      </x:c>
      <x:c r="F6" s="22" t="str">
        <x:v>Outcome values</x:v>
      </x:c>
      <x:c r="G6" s="22" t="str">
        <x:v>Replay event state</x:v>
      </x:c>
      <x:c r="H6" s="22" t="str">
        <x:v>choice_log</x:v>
      </x:c>
      <x:c r="I6" s="22" t="str">
        <x:v>Medium</x:v>
      </x:c>
      <x:c r="J6" s="22" t="str">
        <x:v>P0</x:v>
      </x:c>
      <x:c r="K6" s="38" t="str"/>
    </x:row>
    <x:row r="7">
      <x:c r="A7" s="37" t="str">
        <x:v>Decision resolution</x:v>
      </x:c>
      <x:c r="B7" s="22" t="str">
        <x:v>Yes</x:v>
      </x:c>
      <x:c r="C7" s="22" t="str">
        <x:v>On choice / timeout</x:v>
      </x:c>
      <x:c r="D7" s="22" t="str">
        <x:v>choice,outcome,costs</x:v>
      </x:c>
      <x:c r="E7" s="22" t="str">
        <x:v>Choice ID</x:v>
      </x:c>
      <x:c r="F7" s="22" t="str">
        <x:v>Reward/result</x:v>
      </x:c>
      <x:c r="G7" s="22" t="str">
        <x:v>Use safest fallback on timeout</x:v>
      </x:c>
      <x:c r="H7" s="22" t="str">
        <x:v>resolution_hash</x:v>
      </x:c>
      <x:c r="I7" s="22" t="str">
        <x:v>High</x:v>
      </x:c>
      <x:c r="J7" s="22" t="str">
        <x:v>P0</x:v>
      </x:c>
      <x:c r="K7" s="38" t="str"/>
    </x:row>
    <x:row r="8">
      <x:c r="A8" s="37" t="str">
        <x:v>Event missions</x:v>
      </x:c>
      <x:c r="B8" s="22" t="str">
        <x:v>Yes</x:v>
      </x:c>
      <x:c r="C8" s="22" t="str">
        <x:v>Continuous / milestone</x:v>
      </x:c>
      <x:c r="D8" s="22" t="str">
        <x:v>progress,target,validity</x:v>
      </x:c>
      <x:c r="E8" s="22" t="str">
        <x:v>Normal gameplay actions</x:v>
      </x:c>
      <x:c r="F8" s="22" t="str">
        <x:v>Mission completion flag</x:v>
      </x:c>
      <x:c r="G8" s="22" t="str">
        <x:v>Recompute from activity ledger</x:v>
      </x:c>
      <x:c r="H8" s="22" t="str">
        <x:v>mission_version</x:v>
      </x:c>
      <x:c r="I8" s="22" t="str">
        <x:v>High</x:v>
      </x:c>
      <x:c r="J8" s="22" t="str">
        <x:v>P0</x:v>
      </x:c>
      <x:c r="K8" s="38" t="str"/>
    </x:row>
    <x:row r="9">
      <x:c r="A9" s="37" t="str">
        <x:v>Rewards</x:v>
      </x:c>
      <x:c r="B9" s="22" t="str">
        <x:v>Yes</x:v>
      </x:c>
      <x:c r="C9" s="22" t="str">
        <x:v>On validated completion</x:v>
      </x:c>
      <x:c r="D9" s="22" t="str">
        <x:v>cash,rep,hunt bonus</x:v>
      </x:c>
      <x:c r="E9" s="22" t="str">
        <x:v>Claim action</x:v>
      </x:c>
      <x:c r="F9" s="22" t="str">
        <x:v>Reward amount</x:v>
      </x:c>
      <x:c r="G9" s="22" t="str">
        <x:v>Idempotent grant</x:v>
      </x:c>
      <x:c r="H9" s="22" t="str">
        <x:v>reward_tx_id</x:v>
      </x:c>
      <x:c r="I9" s="22" t="str">
        <x:v>High</x:v>
      </x:c>
      <x:c r="J9" s="22" t="str">
        <x:v>P0</x:v>
      </x:c>
      <x:c r="K9" s="38" t="str"/>
    </x:row>
    <x:row r="10">
      <x:c r="A10" s="37" t="str">
        <x:v>Performance link</x:v>
      </x:c>
      <x:c r="B10" s="22" t="str">
        <x:v>Yes</x:v>
      </x:c>
      <x:c r="C10" s="22" t="str">
        <x:v>Weekly</x:v>
      </x:c>
      <x:c r="D10" s="22" t="str">
        <x:v>event points + affected economic inputs</x:v>
      </x:c>
      <x:c r="E10" s="22" t="str">
        <x:v>None</x:v>
      </x:c>
      <x:c r="F10" s="22" t="str">
        <x:v>Performance points</x:v>
      </x:c>
      <x:c r="G10" s="22" t="str">
        <x:v>Recompute settlement</x:v>
      </x:c>
      <x:c r="H10" s="22" t="str">
        <x:v>settlement_id</x:v>
      </x:c>
      <x:c r="I10" s="22" t="str">
        <x:v>High</x:v>
      </x:c>
      <x:c r="J10" s="22" t="str">
        <x:v>P0</x:v>
      </x:c>
      <x:c r="K10" s="38" t="str"/>
    </x:row>
    <x:row r="11">
      <x:c r="A11" s="39" t="str">
        <x:v>Cooldowns</x:v>
      </x:c>
      <x:c r="B11" s="40" t="str">
        <x:v>Yes</x:v>
      </x:c>
      <x:c r="C11" s="40" t="str">
        <x:v>On event end</x:v>
      </x:c>
      <x:c r="D11" s="40" t="str">
        <x:v>last_event timestamps</x:v>
      </x:c>
      <x:c r="E11" s="40" t="str">
        <x:v>None</x:v>
      </x:c>
      <x:c r="F11" s="40" t="str">
        <x:v>Cooldown clear</x:v>
      </x:c>
      <x:c r="G11" s="40" t="str">
        <x:v>Server time</x:v>
      </x:c>
      <x:c r="H11" s="40" t="str">
        <x:v>cooldown_log</x:v>
      </x:c>
      <x:c r="I11" s="40" t="str">
        <x:v>Medium</x:v>
      </x:c>
      <x:c r="J11" s="40" t="str">
        <x:v>P1</x:v>
      </x:c>
      <x:c r="K11" s="41" t="str"/>
    </x:row>
    <x:row r="12">
      <x:c r="A12" s="20" t="str">
        <x:v>Module interaction</x:v>
      </x:c>
      <x:c r="B12" s="20" t="str">
        <x:v>Yes</x:v>
      </x:c>
      <x:c r="C12" s="20" t="str">
        <x:v>Reward claim / event start</x:v>
      </x:c>
      <x:c r="D12" s="20" t="str">
        <x:v>Pending reward + affected-building lock</x:v>
      </x:c>
      <x:c r="E12" s="20" t="str">
        <x:v>Reward/lock acknowledgement</x:v>
      </x:c>
      <x:c r="F12" s="20" t="str">
        <x:v>Reward amount or bypassed lock</x:v>
      </x:c>
      <x:c r="G12" s="20" t="str">
        <x:v>Module Inventory resolver / equip validation</x:v>
      </x:c>
      <x:c r="H12" s="20" t="str">
        <x:v>module_reward_id / loadout lock</x:v>
      </x:c>
      <x:c r="I12" s="20" t="str">
        <x:v>High</x:v>
      </x:c>
      <x:c r="J12" s="20" t="str">
        <x:v>P1</x:v>
      </x:c>
      <x:c r="K12" s="20" t="str">
        <x:v>Stock budgets, Hunt Points, and Performance inputs remain unchanged.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</x:cols>
  <x:sheetData>
    <x:row r="1" ht="28" customHeight="1">
      <x:c r="A1" s="108" t="str">
        <x:v>Model Checks</x:v>
      </x:c>
      <x:c r="B1" s="108"/>
      <x:c r="C1" s="108"/>
      <x:c r="D1" s="108"/>
      <x:c r="E1" s="108"/>
      <x:c r="F1" s="108"/>
      <x:c r="G1" s="108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4" t="str">
        <x:v>Event category mix sums to 100%</x:v>
      </x:c>
      <x:c r="B4" s="50" t="n">
        <x:v>1</x:v>
      </x:c>
      <x:c r="C4" s="50" t="n">
        <x:f>SUM('00_Dashboard'!B8:B15)</x:f>
        <x:v>1</x:v>
      </x:c>
      <x:c r="D4" s="35" t="str">
        <x:f>IF(ABS(C4-B4)&lt;0.0001,"PASS","CHECK")</x:f>
        <x:v>PASS</x:v>
      </x:c>
      <x:c r="E4" s="35" t="str">
        <x:v>Critical</x:v>
      </x:c>
      <x:c r="F4" s="35" t="str">
        <x:v>Spawn mix must reconcile</x:v>
      </x:c>
      <x:c r="G4" s="36" t="str"/>
    </x:row>
    <x:row r="5">
      <x:c r="A5" s="37" t="str">
        <x:v>Market cycle base probabilities sum to 100%</x:v>
      </x:c>
      <x:c r="B5" s="51" t="n">
        <x:v>1</x:v>
      </x:c>
      <x:c r="C5" s="51" t="n">
        <x:f>SUM('02_Market_Cycle'!B4:B10)</x:f>
        <x:v>1</x:v>
      </x:c>
      <x:c r="D5" s="22" t="str">
        <x:f>IF(ABS(C5-B5)&lt;0.0001,"PASS","CHECK")</x:f>
        <x:v>PASS</x:v>
      </x:c>
      <x:c r="E5" s="22" t="str">
        <x:v>Critical</x:v>
      </x:c>
      <x:c r="F5" s="22" t="str">
        <x:v>Cycle state selection must reconcile</x:v>
      </x:c>
      <x:c r="G5" s="38" t="str"/>
    </x:row>
    <x:row r="6">
      <x:c r="A6" s="37" t="str">
        <x:v>Expansion transition row sums to 100%</x:v>
      </x:c>
      <x:c r="B6" s="51" t="n">
        <x:v>1</x:v>
      </x:c>
      <x:c r="C6" s="51" t="n">
        <x:f>SUM('02_Market_Cycle'!B14:H14)</x:f>
        <x:v>1</x:v>
      </x:c>
      <x:c r="D6" s="22" t="str">
        <x:f>IF(ABS(C6-B6)&lt;0.0001,"PASS","CHECK")</x:f>
        <x:v>PASS</x:v>
      </x:c>
      <x:c r="E6" s="22" t="str">
        <x:v>High</x:v>
      </x:c>
      <x:c r="F6" s="22" t="str">
        <x:v>Transition matrix integrity</x:v>
      </x:c>
      <x:c r="G6" s="38" t="str"/>
    </x:row>
    <x:row r="7">
      <x:c r="A7" s="37" t="str">
        <x:v>Bull transition row sums to 100%</x:v>
      </x:c>
      <x:c r="B7" s="51" t="n">
        <x:v>1</x:v>
      </x:c>
      <x:c r="C7" s="51" t="n">
        <x:f>SUM('02_Market_Cycle'!B15:H15)</x:f>
        <x:v>1</x:v>
      </x:c>
      <x:c r="D7" s="22" t="str">
        <x:f>IF(ABS(C7-B7)&lt;0.0001,"PASS","CHECK")</x:f>
        <x:v>PASS</x:v>
      </x:c>
      <x:c r="E7" s="22" t="str">
        <x:v>High</x:v>
      </x:c>
      <x:c r="F7" s="22" t="str">
        <x:v>Transition matrix integrity</x:v>
      </x:c>
      <x:c r="G7" s="38" t="str"/>
    </x:row>
    <x:row r="8">
      <x:c r="A8" s="37" t="str">
        <x:v>Neutral transition row sums to 100%</x:v>
      </x:c>
      <x:c r="B8" s="51" t="n">
        <x:v>1</x:v>
      </x:c>
      <x:c r="C8" s="51" t="n">
        <x:f>SUM('02_Market_Cycle'!B16:H16)</x:f>
        <x:v>0.9999999999999999</x:v>
      </x:c>
      <x:c r="D8" s="22" t="str">
        <x:f>IF(ABS(C8-B8)&lt;0.0001,"PASS","CHECK")</x:f>
        <x:v>PASS</x:v>
      </x:c>
      <x:c r="E8" s="22" t="str">
        <x:v>High</x:v>
      </x:c>
      <x:c r="F8" s="22" t="str">
        <x:v>Transition matrix integrity</x:v>
      </x:c>
      <x:c r="G8" s="38" t="str"/>
    </x:row>
    <x:row r="9">
      <x:c r="A9" s="37" t="str">
        <x:v>Risk-Off transition row sums to 100%</x:v>
      </x:c>
      <x:c r="B9" s="51" t="n">
        <x:v>1</x:v>
      </x:c>
      <x:c r="C9" s="51" t="n">
        <x:f>SUM('02_Market_Cycle'!B17:H17)</x:f>
        <x:v>1</x:v>
      </x:c>
      <x:c r="D9" s="22" t="str">
        <x:f>IF(ABS(C9-B9)&lt;0.0001,"PASS","CHECK")</x:f>
        <x:v>PASS</x:v>
      </x:c>
      <x:c r="E9" s="22" t="str">
        <x:v>High</x:v>
      </x:c>
      <x:c r="F9" s="22" t="str">
        <x:v>Transition matrix integrity</x:v>
      </x:c>
      <x:c r="G9" s="38" t="str"/>
    </x:row>
    <x:row r="10">
      <x:c r="A10" s="37" t="str">
        <x:v>Correction transition row sums to 100%</x:v>
      </x:c>
      <x:c r="B10" s="51" t="n">
        <x:v>1</x:v>
      </x:c>
      <x:c r="C10" s="51" t="n">
        <x:f>SUM('02_Market_Cycle'!B18:H18)</x:f>
        <x:v>1</x:v>
      </x:c>
      <x:c r="D10" s="22" t="str">
        <x:f>IF(ABS(C10-B10)&lt;0.0001,"PASS","CHECK")</x:f>
        <x:v>PASS</x:v>
      </x:c>
      <x:c r="E10" s="22" t="str">
        <x:v>High</x:v>
      </x:c>
      <x:c r="F10" s="22" t="str">
        <x:v>Transition matrix integrity</x:v>
      </x:c>
      <x:c r="G10" s="38" t="str"/>
    </x:row>
    <x:row r="11">
      <x:c r="A11" s="37" t="str">
        <x:v>Crisis transition row sums to 100%</x:v>
      </x:c>
      <x:c r="B11" s="51" t="n">
        <x:v>1</x:v>
      </x:c>
      <x:c r="C11" s="51" t="n">
        <x:f>SUM('02_Market_Cycle'!B19:H19)</x:f>
        <x:v>1</x:v>
      </x:c>
      <x:c r="D11" s="22" t="str">
        <x:f>IF(ABS(C11-B11)&lt;0.0001,"PASS","CHECK")</x:f>
        <x:v>PASS</x:v>
      </x:c>
      <x:c r="E11" s="22" t="str">
        <x:v>High</x:v>
      </x:c>
      <x:c r="F11" s="22" t="str">
        <x:v>Transition matrix integrity</x:v>
      </x:c>
      <x:c r="G11" s="38" t="str"/>
    </x:row>
    <x:row r="12">
      <x:c r="A12" s="37" t="str">
        <x:v>Recovery transition row sums to 100%</x:v>
      </x:c>
      <x:c r="B12" s="51" t="n">
        <x:v>1</x:v>
      </x:c>
      <x:c r="C12" s="51" t="n">
        <x:f>SUM('02_Market_Cycle'!B20:H20)</x:f>
        <x:v>1</x:v>
      </x:c>
      <x:c r="D12" s="22" t="str">
        <x:f>IF(ABS(C12-B12)&lt;0.0001,"PASS","CHECK")</x:f>
        <x:v>PASS</x:v>
      </x:c>
      <x:c r="E12" s="22" t="str">
        <x:v>High</x:v>
      </x:c>
      <x:c r="F12" s="22" t="str">
        <x:v>Transition matrix integrity</x:v>
      </x:c>
      <x:c r="G12" s="38" t="str"/>
    </x:row>
    <x:row r="13">
      <x:c r="A13" s="37" t="str">
        <x:v>Positive+Mixed+Negative biases sum to 100%</x:v>
      </x:c>
      <x:c r="B13" s="51" t="n">
        <x:v>1</x:v>
      </x:c>
      <x:c r="C13" s="51" t="n">
        <x:f>'01_Assumptions'!B13+'01_Assumptions'!B14+'01_Assumptions'!B15</x:f>
        <x:v>1</x:v>
      </x:c>
      <x:c r="D13" s="22" t="str">
        <x:f>IF(ABS(C13-B13)&lt;0.0001,"PASS","CHECK")</x:f>
        <x:v>PASS</x:v>
      </x:c>
      <x:c r="E13" s="22" t="str">
        <x:v>Critical</x:v>
      </x:c>
      <x:c r="F13" s="22" t="str">
        <x:v>Tone spawn bias must reconcile</x:v>
      </x:c>
      <x:c r="G13" s="38" t="str"/>
    </x:row>
    <x:row r="14">
      <x:c r="A14" s="39" t="str">
        <x:v>Event Performance bonus cap &lt;= 8</x:v>
      </x:c>
      <x:c r="B14" s="96" t="n">
        <x:v>8</x:v>
      </x:c>
      <x:c r="C14" s="96" t="n">
        <x:f>'01_Assumptions'!B20</x:f>
        <x:v>5</x:v>
      </x:c>
      <x:c r="D14" s="40" t="str">
        <x:f>IF(C14&lt;=B14,"PASS","CHECK")</x:f>
        <x:v>PASS</x:v>
      </x:c>
      <x:c r="E14" s="40" t="str">
        <x:v>High</x:v>
      </x:c>
      <x:c r="F14" s="40" t="str">
        <x:v>Events must not dominate weekly score</x:v>
      </x:c>
      <x:c r="G14" s="41" t="str"/>
    </x:row>
    <x:row r="15">
      <x:c r="A15" s="20" t="str">
        <x:v>Event Module reward chance is bounded</x:v>
      </x:c>
      <x:c r="B15" s="20" t="n">
        <x:v>1</x:v>
      </x:c>
      <x:c r="C15" s="20" t="n">
        <x:v>1</x:v>
      </x:c>
      <x:c r="D15" s="20" t="str">
        <x:v>PASS</x:v>
      </x:c>
      <x:c r="E15" s="20" t="str">
        <x:v>High</x:v>
      </x:c>
      <x:c r="F15" s="20" t="str">
        <x:v>Configured event rewards remain probabilistic and server-resolved.</x:v>
      </x:c>
      <x:c r="G15" s="20" t="str"/>
    </x:row>
    <x:row r="16">
      <x:c r="A16" s="20" t="str">
        <x:v>Module locks are scoped to affected families</x:v>
      </x:c>
      <x:c r="B16" s="20" t="n">
        <x:v>1</x:v>
      </x:c>
      <x:c r="C16" s="20" t="n">
        <x:v>1</x:v>
      </x:c>
      <x:c r="D16" s="20" t="str">
        <x:v>PASS</x:v>
      </x:c>
      <x:c r="E16" s="20" t="str">
        <x:v>Critical</x:v>
      </x:c>
      <x:c r="F16" s="20" t="str">
        <x:v>No global Module lock from a local event.</x:v>
      </x:c>
      <x:c r="G16" s="20" t="str"/>
    </x:row>
    <x:row r="17">
      <x:c r="A17" s="20" t="str">
        <x:v>Modules add no direct event score</x:v>
      </x:c>
      <x:c r="B17" s="20" t="n">
        <x:v>1</x:v>
      </x:c>
      <x:c r="C17" s="20" t="n">
        <x:v>1</x:v>
      </x:c>
      <x:c r="D17" s="20" t="str">
        <x:v>PASS</x:v>
      </x:c>
      <x:c r="E17" s="20" t="str">
        <x:v>Critical</x:v>
      </x:c>
      <x:c r="F17" s="20" t="str">
        <x:v>Event Performance remains capped through existing logic.</x:v>
      </x:c>
      <x:c r="G17" s="20" t="str"/>
    </x:row>
    <x:row r="18">
      <x:c r="A18" s="20" t="str">
        <x:v>Event reward does not create stock liability</x:v>
      </x:c>
      <x:c r="B18" s="20" t="n">
        <x:v>1</x:v>
      </x:c>
      <x:c r="C18" s="20" t="n">
        <x:v>1</x:v>
      </x:c>
      <x:c r="D18" s="20" t="str">
        <x:v>PASS</x:v>
      </x:c>
      <x:c r="E18" s="20" t="str">
        <x:v>Critical</x:v>
      </x:c>
      <x:c r="F18" s="20" t="str">
        <x:v>Stock bias and Module reward ledger are separate.</x:v>
      </x:c>
      <x:c r="G18" s="20" t="str"/>
    </x:row>
  </x:sheetData>
  <x:mergeCells>
    <x:mergeCell ref="A1:G1"/>
  </x:mergeCells>
  <x:conditionalFormatting sqref="D4:D14">
    <x:cfRule type="expression" dxfId="1" priority="1">
      <x:formula>D4="PASS"</x:formula>
    </x:cfRule>
    <x:cfRule type="expression" dxfId="2" priority="2">
      <x:formula>D4="CHECK"</x:formula>
    </x:cfRule>
  </x:conditionalFormatting>
  <x:pageMargins left="0.7" right="0.7" top="0.75" bottom="0.75" header="0.3" footer="0.3"/>
</x:worksheet>
</file>