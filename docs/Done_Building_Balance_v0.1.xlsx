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6f4186dece47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137ba8f041847c3"/>
    <x:sheet xmlns:r="http://schemas.openxmlformats.org/officeDocument/2006/relationships" name="Building Master" sheetId="2" r:id="R7addfe01963c4881"/>
    <x:sheet xmlns:r="http://schemas.openxmlformats.org/officeDocument/2006/relationships" name="Level Balance" sheetId="3" r:id="R3ea8eed37f4143e2"/>
    <x:sheet xmlns:r="http://schemas.openxmlformats.org/officeDocument/2006/relationships" name="Unlock Roadmap" sheetId="4" r:id="R9b7d49a8b5c8435a"/>
    <x:sheet xmlns:r="http://schemas.openxmlformats.org/officeDocument/2006/relationships" name="Balance Inputs" sheetId="5" r:id="R98732eb764f44e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%"/>
    <x:numFmt numFmtId="202" formatCode="0.0"/>
    <x:numFmt numFmtId="203" formatCode="0.00x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11827"/>
      <x:name val="Carlito"/>
    </x:font>
    <x:font>
      <x:b/>
      <x:sz val="11"/>
      <x:color rgb="FFFFFFFF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1F2937"/>
      </x:patternFill>
    </x:fill>
    <x:fill>
      <x:patternFill patternType="solid">
        <x:fgColor rgb="FFF3F4F6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  <x:fill>
      <x:patternFill patternType="solid">
        <x:fgColor rgb="FFEDE9FE"/>
      </x:patternFill>
    </x:fill>
    <x:fill>
      <x:patternFill patternType="solid">
        <x:fgColor rgb="FFFEF3C7"/>
      </x:patternFill>
    </x:fill>
    <x:fill>
      <x:patternFill patternType="solid">
        <x:fgColor rgb="FFFCE7F3"/>
      </x:patternFill>
    </x:fill>
    <x:fill>
      <x:patternFill patternType="solid">
        <x:fgColor rgb="FF0F243E"/>
      </x:patternFill>
    </x:fill>
    <x:fill>
      <x:patternFill patternType="solid">
        <x:fgColor rgb="FF0F243E"/>
      </x:patternFill>
    </x:fill>
    <x:fill>
      <x:patternFill patternType="solid">
        <x:fgColor rgb="FF0F243E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0" fillId="10" borderId="1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a7eb751ade4ba7" /><Relationship Type="http://schemas.openxmlformats.org/officeDocument/2006/relationships/theme" Target="/xl/theme/theme1.xml" Id="Rc9949d343ed94612" /><Relationship Type="http://schemas.openxmlformats.org/officeDocument/2006/relationships/sharedStrings" Target="/xl/sharedStrings.xml" Id="Rb7cd791f5d114c3e" /><Relationship Type="http://schemas.openxmlformats.org/officeDocument/2006/relationships/worksheet" Target="/xl/worksheets/sheet1.xml" Id="Rb137ba8f041847c3" /><Relationship Type="http://schemas.openxmlformats.org/officeDocument/2006/relationships/worksheet" Target="/xl/worksheets/sheet2.xml" Id="R7addfe01963c4881" /><Relationship Type="http://schemas.openxmlformats.org/officeDocument/2006/relationships/worksheet" Target="/xl/worksheets/sheet3.xml" Id="R3ea8eed37f4143e2" /><Relationship Type="http://schemas.openxmlformats.org/officeDocument/2006/relationships/worksheet" Target="/xl/worksheets/sheet4.xml" Id="R9b7d49a8b5c8435a" /><Relationship Type="http://schemas.openxmlformats.org/officeDocument/2006/relationships/worksheet" Target="/xl/worksheets/sheet5.xml" Id="R98732eb764f44e9e" /></Relationships>
</file>

<file path=xl/tables/table1.xml><?xml version="1.0" encoding="utf-8"?>
<x:table xmlns:x="http://schemas.openxmlformats.org/spreadsheetml/2006/main" id="1" name="BuildingMaster" displayName="BuildingMaster" ref="A1:T51" headerRowCount="1" totalsRowCount="0" totalsRowShown="0">
  <x:tableColumns count="20">
    <x:tableColumn id="1" name="ID"/>
    <x:tableColumn id="2" name="Building"/>
    <x:tableColumn id="3" name="Category"/>
    <x:tableColumn id="4" name="Stage"/>
    <x:tableColumn id="5" name="Rarity"/>
    <x:tableColumn id="6" name="Unlock Empire Lv."/>
    <x:tableColumn id="7" name="Stage Unlock Range"/>
    <x:tableColumn id="8" name="Footprint"/>
    <x:tableColumn id="9" name="Total Upgrades"/>
    <x:tableColumn id="10" name="Max Level"/>
    <x:tableColumn id="11" name="Build Cost"/>
    <x:tableColumn id="12" name="Lv1 Gross Cash/h"/>
    <x:tableColumn id="13" name="Lv1 Customer Capacity"/>
    <x:tableColumn id="14" name="Lv1 Activity Pts/h"/>
    <x:tableColumn id="15" name="Operating Cost %"/>
    <x:tableColumn id="16" name="Primary Role"/>
    <x:tableColumn id="17" name="Risk"/>
    <x:tableColumn id="18" name="Primary Customers"/>
    <x:tableColumn id="19" name="Core Synergy"/>
    <x:tableColumn id="20" name="Stock/Event Affin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evelBalance" displayName="LevelBalance" ref="A1:Q406" headerRowCount="1" totalsRowCount="0" totalsRowShown="0">
  <x:tableColumns count="17">
    <x:tableColumn id="1" name="ID"/>
    <x:tableColumn id="2" name="Building"/>
    <x:tableColumn id="3" name="Stage"/>
    <x:tableColumn id="4" name="Rarity"/>
    <x:tableColumn id="5" name="Empire Unlock Lv."/>
    <x:tableColumn id="6" name="Building Level"/>
    <x:tableColumn id="7" name="Action"/>
    <x:tableColumn id="8" name="Cost to Reach Level"/>
    <x:tableColumn id="9" name="Gross Cash/h"/>
    <x:tableColumn id="10" name="Operating Cost/h"/>
    <x:tableColumn id="11" name="Net Cash/h"/>
    <x:tableColumn id="12" name="Customer Capacity"/>
    <x:tableColumn id="13" name="Activity Pts/h"/>
    <x:tableColumn id="14" name="Cumulative Spend"/>
    <x:tableColumn id="15" name="Gross Payback Hours"/>
    <x:tableColumn id="16" name="Revenue vs Lv1"/>
    <x:tableColumn id="17" name="Capacity vs Lv1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nlockRoadmap" displayName="UnlockRoadmap" ref="A1:G51" headerRowCount="1" totalsRowCount="0" totalsRowShown="0">
  <x:tableColumns count="7">
    <x:tableColumn id="1" name="Empire Level"/>
    <x:tableColumn id="2" name="Building"/>
    <x:tableColumn id="3" name="Stage"/>
    <x:tableColumn id="4" name="Rarity"/>
    <x:tableColumn id="5" name="Footprint"/>
    <x:tableColumn id="6" name="What This Unlock Adds"/>
    <x:tableColumn id="7" name="Expected Player St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ageInputs" displayName="StageInputs" ref="A1:G7" headerRowCount="1" totalsRowCount="0" totalsRowShown="0">
  <x:tableColumns count="7">
    <x:tableColumn id="1" name="Stage"/>
    <x:tableColumn id="2" name="Upgrade Steps"/>
    <x:tableColumn id="3" name="Cost Multiplier"/>
    <x:tableColumn id="4" name="Production Multiplier"/>
    <x:tableColumn id="5" name="Capacity Multiplier"/>
    <x:tableColumn id="6" name="Operating Cost %"/>
    <x:tableColumn id="7" name="Activity Multiplie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uildingInputs" displayName="BuildingInputs" ref="I1:N51" headerRowCount="1" totalsRowCount="0" totalsRowShown="0">
  <x:tableColumns count="6">
    <x:tableColumn id="1" name="ID"/>
    <x:tableColumn id="2" name="Building"/>
    <x:tableColumn id="3" name="Base Cost"/>
    <x:tableColumn id="4" name="Base Gross Cash/h"/>
    <x:tableColumn id="5" name="Base Capacity"/>
    <x:tableColumn id="6" name="Base Activity Pts/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6b9b05257f45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fe79b7749043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62c5ab87f7642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05c02edd5d4577" /><Relationship Type="http://schemas.openxmlformats.org/officeDocument/2006/relationships/table" Target="/xl/tables/table5.xml" Id="R5da0b44bd5424078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0" hidden="0" customWidth="1"/>
  </x:cols>
  <x:sheetData>
    <x:row r="1">
      <x:c r="A1" s="16" t="str">
        <x:v>PLOT — Building Balance Documentation</x:v>
      </x:c>
      <x:c r="B1" s="17"/>
    </x:row>
    <x:row r="2">
      <x:c r="A2" s="11" t="str">
        <x:v>Purpose</x:v>
      </x:c>
      <x:c r="B2" s="17" t="str">
        <x:v>First-pass balancing model for 50 financial buildings from humble kiosk to tycoon institutions.</x:v>
      </x:c>
    </x:row>
    <x:row r="3">
      <x:c r="A3" s="11" t="str">
        <x:v>Core unit</x:v>
      </x:c>
      <x:c r="B3" s="17" t="str">
        <x:v>Cash/hour values assume 100% customer utilization before operating cost.</x:v>
      </x:c>
    </x:row>
    <x:row r="4">
      <x:c r="A4" s="11" t="str">
        <x:v>Upgrade definition</x:v>
      </x:c>
      <x:c r="B4" s="17" t="str">
        <x:v>A building is constructed at Level 1. 'Total Upgrades' is the number of upgrades after construction. Max Level = 1 + Total Upgrades.</x:v>
      </x:c>
    </x:row>
    <x:row r="5">
      <x:c r="A5" s="11" t="str">
        <x:v>Unlock model</x:v>
      </x:c>
      <x:c r="B5" s="17" t="str">
        <x:v>One new building unlocks at each Empire Level 1–50. Stages group those unlocks into Humble, Starter, Growing, Established, Elite, and Tycoon.</x:v>
      </x:c>
    </x:row>
    <x:row r="6">
      <x:c r="A6" s="11" t="str">
        <x:v>Production model</x:v>
      </x:c>
      <x:c r="B6" s="17" t="str">
        <x:v>Gross Cash/hour scales by stage production multiplier per building level. Net Cash/hour subtracts stage operating cost percentage.</x:v>
      </x:c>
    </x:row>
    <x:row r="7">
      <x:c r="A7" s="11" t="str">
        <x:v>Activity model</x:v>
      </x:c>
      <x:c r="B7" s="17" t="str">
        <x:v>Activity Points/hour are a separate performance input. They represent useful customer/transaction activity and should contribute to weekly Performance Score.</x:v>
      </x:c>
    </x:row>
    <x:row r="8">
      <x:c r="A8" s="11" t="str">
        <x:v>Payout note</x:v>
      </x:c>
      <x:c r="B8" s="17" t="str">
        <x:v>Cash is NOT exchanged at a fixed rate for $PLOT. Weekly $PLOT payout should use adjusted Performance Score / total eligible adjusted score × fixed weekly pool.</x:v>
      </x:c>
    </x:row>
    <x:row r="9">
      <x:c r="A9" s="11" t="str">
        <x:v>Balance status</x:v>
      </x:c>
      <x:c r="B9" s="17" t="str">
        <x:v>All numbers are v0.1 starting values for playtesting, not final economy promises.</x:v>
      </x:c>
    </x:row>
    <x:row r="10">
      <x:c r="A10" s="11" t="str">
        <x:v>Recommended testing</x:v>
      </x:c>
      <x:c r="B10" s="17" t="str">
        <x:v>Track payback time, Cash sink ratio, customer saturation, score concentration, dominant builds, stock-hunt completion, and top-1% payout share.</x:v>
      </x:c>
    </x:row>
    <x:row r="12">
      <x:c r="A12" s="17" t="str">
        <x:v>Module layer</x:v>
      </x:c>
      <x:c r="B12" s="17" t="str">
        <x:v>Building Cards remain level-unlocked and Cash-constructed. Modules customize placed Building Instances and never gate access.</x:v>
      </x:c>
    </x:row>
    <x:row r="13">
      <x:c r="A13" s="17" t="str">
        <x:v>Module slots</x:v>
      </x:c>
      <x:c r="B13" s="17" t="str">
        <x:v>Slots unlock at the canonical upgrade levels by building era: Humble 3; Starter 3/6; Growing 3/7; Established/Elite 3/6/9; Tycoon 3/6/9/11.</x:v>
      </x:c>
    </x:row>
    <x:row r="14">
      <x:c r="A14" s="17" t="str">
        <x:v>Allowed categories</x:v>
      </x:c>
      <x:c r="B14" s="17" t="str">
        <x:v>Each building family has an explicit compatibility list. A Module cannot be equipped outside that list.</x:v>
      </x:c>
    </x:row>
    <x:row r="15">
      <x:c r="A15" s="17" t="str">
        <x:v>Rarity limit</x:v>
      </x:c>
      <x:c r="B15" s="17" t="str">
        <x:v>The balance layer exposes a maximum equippable Module rarity and one Legendary limit per Building Instance.</x:v>
      </x:c>
    </x:row>
    <x:row r="16">
      <x:c r="A16" s="17" t="str">
        <x:v>Runtime mapping</x:v>
      </x:c>
      <x:c r="B16" s="17" t="str">
        <x:v>The current three-stage runtime maps stage 1 to Lv1, stage 2 to Lv3, and stage 3 to the building's balance-model max level.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8" hidden="0" customWidth="1"/>
    <x:col min="3" max="3" width="20" hidden="0" customWidth="1"/>
    <x:col min="4" max="4" width="13" hidden="0" customWidth="1"/>
    <x:col min="5" max="5" width="12" hidden="0" customWidth="1"/>
    <x:col min="6" max="6" width="12" hidden="0" customWidth="1"/>
    <x:col min="7" max="7" width="18" hidden="0" customWidth="1"/>
    <x:col min="8" max="8" width="10" hidden="0" customWidth="1"/>
    <x:col min="9" max="9" width="12" hidden="0" customWidth="1"/>
    <x:col min="10" max="10" width="10" hidden="0" customWidth="1"/>
    <x:col min="11" max="11" width="14" hidden="0" customWidth="1"/>
    <x:col min="12" max="12" width="16" hidden="0" customWidth="1"/>
    <x:col min="13" max="13" width="18" hidden="0" customWidth="1"/>
    <x:col min="14" max="14" width="16" hidden="0" customWidth="1"/>
    <x:col min="15" max="15" width="14" hidden="0" customWidth="1"/>
    <x:col min="16" max="16" width="14" hidden="0" customWidth="1"/>
    <x:col min="17" max="17" width="10" hidden="0" customWidth="1"/>
    <x:col min="18" max="18" width="26" hidden="0" customWidth="1"/>
    <x:col min="19" max="19" width="28" hidden="0" customWidth="1"/>
    <x:col min="20" max="20" width="20" hidden="0" customWidth="1"/>
    <x:col min="21" max="21" width="12" hidden="0" customWidth="1"/>
    <x:col min="22" max="22" width="14" hidden="0" customWidth="1"/>
    <x:col min="23" max="23" width="28" hidden="0" customWidth="1"/>
    <x:col min="24" max="24" width="14" hidden="0" customWidth="1"/>
    <x:col min="25" max="25" width="14" hidden="0" customWidth="1"/>
    <x:col min="26" max="26" width="13" hidden="0" customWidth="1"/>
    <x:col min="27" max="27" width="32" hidden="0" customWidth="1"/>
    <x:col min="28" max="28" width="32" hidden="0" customWidth="1"/>
  </x:cols>
  <x:sheetData>
    <x:row r="1">
      <x:c r="A1" s="24" t="str">
        <x:v>ID</x:v>
      </x:c>
      <x:c r="B1" s="24" t="str">
        <x:v>Building</x:v>
      </x:c>
      <x:c r="C1" s="24" t="str">
        <x:v>Category</x:v>
      </x:c>
      <x:c r="D1" s="24" t="str">
        <x:v>Stage</x:v>
      </x:c>
      <x:c r="E1" s="24" t="str">
        <x:v>Rarity</x:v>
      </x:c>
      <x:c r="F1" s="24" t="str">
        <x:v>Unlock Empire Lv.</x:v>
      </x:c>
      <x:c r="G1" s="24" t="str">
        <x:v>Stage Unlock Range</x:v>
      </x:c>
      <x:c r="H1" s="24" t="str">
        <x:v>Footprint</x:v>
      </x:c>
      <x:c r="I1" s="24" t="str">
        <x:v>Total Upgrades</x:v>
      </x:c>
      <x:c r="J1" s="24" t="str">
        <x:v>Max Level</x:v>
      </x:c>
      <x:c r="K1" s="24" t="str">
        <x:v>Build Cost</x:v>
      </x:c>
      <x:c r="L1" s="24" t="str">
        <x:v>Lv1 Gross Cash/h</x:v>
      </x:c>
      <x:c r="M1" s="24" t="str">
        <x:v>Lv1 Customer Capacity</x:v>
      </x:c>
      <x:c r="N1" s="24" t="str">
        <x:v>Lv1 Activity Pts/h</x:v>
      </x:c>
      <x:c r="O1" s="24" t="str">
        <x:v>Operating Cost %</x:v>
      </x:c>
      <x:c r="P1" s="24" t="str">
        <x:v>Primary Role</x:v>
      </x:c>
      <x:c r="Q1" s="24" t="str">
        <x:v>Risk</x:v>
      </x:c>
      <x:c r="R1" s="24" t="str">
        <x:v>Primary Customers</x:v>
      </x:c>
      <x:c r="S1" s="24" t="str">
        <x:v>Core Synergy</x:v>
      </x:c>
      <x:c r="T1" s="24" t="str">
        <x:v>Stock/Event Affinity</x:v>
      </x:c>
      <x:c r="U1" s="61" t="str">
        <x:v>Max Module Slots</x:v>
      </x:c>
      <x:c r="V1" s="61" t="str">
        <x:v>Slot Unlock Levels</x:v>
      </x:c>
      <x:c r="W1" s="61" t="str">
        <x:v>Allowed Module Categories</x:v>
      </x:c>
      <x:c r="X1" s="61" t="str">
        <x:v>Building Rarity</x:v>
      </x:c>
      <x:c r="Y1" s="61" t="str">
        <x:v>Max Module Rarity</x:v>
      </x:c>
      <x:c r="Z1" s="61" t="str">
        <x:v>Legendary Module Limit</x:v>
      </x:c>
      <x:c r="AA1" s="61" t="str">
        <x:v>Module Level Mapping</x:v>
      </x:c>
      <x:c r="AB1" s="61" t="str">
        <x:v>Module Rule Status</x:v>
      </x:c>
    </x:row>
    <x:row r="2">
      <x:c r="A2" s="17" t="n">
        <x:v>1</x:v>
      </x:c>
      <x:c r="B2" s="17" t="str">
        <x:v>Cash Kiosk</x:v>
      </x:c>
      <x:c r="C2" s="17" t="str">
        <x:v>Cash Services</x:v>
      </x:c>
      <x:c r="D2" s="17" t="str">
        <x:v>Humble</x:v>
      </x:c>
      <x:c r="E2" s="46" t="str">
        <x:v>Common</x:v>
      </x:c>
      <x:c r="F2" s="17" t="n">
        <x:v>1</x:v>
      </x:c>
      <x:c r="G2" s="17" t="str">
        <x:v>Empire Lv. 1–10</x:v>
      </x:c>
      <x:c r="H2" s="17" t="str">
        <x:v>1x1</x:v>
      </x:c>
      <x:c r="I2" s="17" t="n">
        <x:v>5</x:v>
      </x:c>
      <x:c r="J2" s="17" t="n">
        <x:v>6</x:v>
      </x:c>
      <x:c r="K2" s="38" t="n">
        <x:v>300</x:v>
      </x:c>
      <x:c r="L2" s="38" t="n">
        <x:v>35</x:v>
      </x:c>
      <x:c r="M2" s="38" t="n">
        <x:v>60</x:v>
      </x:c>
      <x:c r="N2" s="38" t="n">
        <x:v>6</x:v>
      </x:c>
      <x:c r="O2" s="39" t="n">
        <x:v>0.12</x:v>
      </x:c>
      <x:c r="P2" s="17" t="str">
        <x:v>Balanced</x:v>
      </x:c>
      <x:c r="Q2" s="17" t="str">
        <x:v>Low</x:v>
      </x:c>
      <x:c r="R2" s="17" t="str">
        <x:v>General Consumers</x:v>
      </x:c>
      <x:c r="S2" s="17" t="str">
        <x:v>Bank + Insurance</x:v>
      </x:c>
      <x:c r="T2" s="17" t="str">
        <x:v>Cash / savings</x:v>
      </x:c>
      <x:c r="U2" s="17" t="n">
        <x:v>1</x:v>
      </x:c>
      <x:c r="V2" s="17" t="str">
        <x:v>3</x:v>
      </x:c>
      <x:c r="W2" s="17" t="str">
        <x:v>Universal, Customer, Operations, Treasury</x:v>
      </x:c>
      <x:c r="X2" s="17" t="str">
        <x:v>Common</x:v>
      </x:c>
      <x:c r="Y2" s="17" t="str">
        <x:v>uncommon</x:v>
      </x:c>
      <x:c r="Z2" s="17" t="n">
        <x:v>1</x:v>
      </x:c>
      <x:c r="AA2" s="17" t="str">
        <x:v>Runtime stage 1 → Lv1; stage 2 → Lv3; stage 3 → Lv6</x:v>
      </x:c>
      <x:c r="AB2" s="17" t="str">
        <x:v>Canonical Module overlay; base building balance unchanged</x:v>
      </x:c>
    </x:row>
    <x:row r="3">
      <x:c r="A3" s="17" t="n">
        <x:v>2</x:v>
      </x:c>
      <x:c r="B3" s="17" t="str">
        <x:v>Trading Booth</x:v>
      </x:c>
      <x:c r="C3" s="17" t="str">
        <x:v>Trading</x:v>
      </x:c>
      <x:c r="D3" s="17" t="str">
        <x:v>Humble</x:v>
      </x:c>
      <x:c r="E3" s="46" t="str">
        <x:v>Common</x:v>
      </x:c>
      <x:c r="F3" s="17" t="n">
        <x:v>2</x:v>
      </x:c>
      <x:c r="G3" s="17" t="str">
        <x:v>Empire Lv. 1–10</x:v>
      </x:c>
      <x:c r="H3" s="17" t="str">
        <x:v>1x1</x:v>
      </x:c>
      <x:c r="I3" s="17" t="n">
        <x:v>5</x:v>
      </x:c>
      <x:c r="J3" s="17" t="n">
        <x:v>6</x:v>
      </x:c>
      <x:c r="K3" s="38" t="n">
        <x:v>370</x:v>
      </x:c>
      <x:c r="L3" s="38" t="n">
        <x:v>50</x:v>
      </x:c>
      <x:c r="M3" s="38" t="n">
        <x:v>71</x:v>
      </x:c>
      <x:c r="N3" s="38" t="n">
        <x:v>10</x:v>
      </x:c>
      <x:c r="O3" s="39" t="n">
        <x:v>0.12</x:v>
      </x:c>
      <x:c r="P3" s="17" t="str">
        <x:v>Revenue</x:v>
      </x:c>
      <x:c r="Q3" s="17" t="str">
        <x:v>High</x:v>
      </x:c>
      <x:c r="R3" s="17" t="str">
        <x:v>Retail Investors</x:v>
      </x:c>
      <x:c r="S3" s="17" t="str">
        <x:v>Exchange + Market Maker</x:v>
      </x:c>
      <x:c r="T3" s="17" t="str">
        <x:v>Trading volume</x:v>
      </x:c>
      <x:c r="U3" s="17" t="n">
        <x:v>1</x:v>
      </x:c>
      <x:c r="V3" s="17" t="str">
        <x:v>3</x:v>
      </x:c>
      <x:c r="W3" s="17" t="str">
        <x:v>Universal, Market, Operations, Risk</x:v>
      </x:c>
      <x:c r="X3" s="17" t="str">
        <x:v>Common</x:v>
      </x:c>
      <x:c r="Y3" s="17" t="str">
        <x:v>uncommon</x:v>
      </x:c>
      <x:c r="Z3" s="17" t="n">
        <x:v>1</x:v>
      </x:c>
      <x:c r="AA3" s="17" t="str">
        <x:v>Runtime stage 1 → Lv1; stage 2 → Lv3; stage 3 → Lv6</x:v>
      </x:c>
      <x:c r="AB3" s="17" t="str">
        <x:v>Canonical Module overlay; base building balance unchanged</x:v>
      </x:c>
    </x:row>
    <x:row r="4">
      <x:c r="A4" s="17" t="n">
        <x:v>3</x:v>
      </x:c>
      <x:c r="B4" s="17" t="str">
        <x:v>Savings Stand</x:v>
      </x:c>
      <x:c r="C4" s="17" t="str">
        <x:v>Banking</x:v>
      </x:c>
      <x:c r="D4" s="17" t="str">
        <x:v>Humble</x:v>
      </x:c>
      <x:c r="E4" s="46" t="str">
        <x:v>Common</x:v>
      </x:c>
      <x:c r="F4" s="17" t="n">
        <x:v>3</x:v>
      </x:c>
      <x:c r="G4" s="17" t="str">
        <x:v>Empire Lv. 1–10</x:v>
      </x:c>
      <x:c r="H4" s="17" t="str">
        <x:v>1x1</x:v>
      </x:c>
      <x:c r="I4" s="17" t="n">
        <x:v>5</x:v>
      </x:c>
      <x:c r="J4" s="17" t="n">
        <x:v>6</x:v>
      </x:c>
      <x:c r="K4" s="38" t="n">
        <x:v>460</x:v>
      </x:c>
      <x:c r="L4" s="38" t="n">
        <x:v>53</x:v>
      </x:c>
      <x:c r="M4" s="38" t="n">
        <x:v>85</x:v>
      </x:c>
      <x:c r="N4" s="38" t="n">
        <x:v>10</x:v>
      </x:c>
      <x:c r="O4" s="39" t="n">
        <x:v>0.12</x:v>
      </x:c>
      <x:c r="P4" s="17" t="str">
        <x:v>Balanced</x:v>
      </x:c>
      <x:c r="Q4" s="17" t="str">
        <x:v>Low</x:v>
      </x:c>
      <x:c r="R4" s="17" t="str">
        <x:v>General Consumers</x:v>
      </x:c>
      <x:c r="S4" s="17" t="str">
        <x:v>Bank + Vault</x:v>
      </x:c>
      <x:c r="T4" s="17" t="str">
        <x:v>Deposits</x:v>
      </x:c>
      <x:c r="U4" s="17" t="n">
        <x:v>1</x:v>
      </x:c>
      <x:c r="V4" s="17" t="str">
        <x:v>3</x:v>
      </x:c>
      <x:c r="W4" s="17" t="str">
        <x:v>Universal, Customer, Liquidity, Risk</x:v>
      </x:c>
      <x:c r="X4" s="17" t="str">
        <x:v>Common</x:v>
      </x:c>
      <x:c r="Y4" s="17" t="str">
        <x:v>uncommon</x:v>
      </x:c>
      <x:c r="Z4" s="17" t="n">
        <x:v>1</x:v>
      </x:c>
      <x:c r="AA4" s="17" t="str">
        <x:v>Runtime stage 1 → Lv1; stage 2 → Lv3; stage 3 → Lv6</x:v>
      </x:c>
      <x:c r="AB4" s="17" t="str">
        <x:v>Canonical Module overlay; base building balance unchanged</x:v>
      </x:c>
    </x:row>
    <x:row r="5">
      <x:c r="A5" s="17" t="n">
        <x:v>4</x:v>
      </x:c>
      <x:c r="B5" s="17" t="str">
        <x:v>Mini Brokerage Desk</x:v>
      </x:c>
      <x:c r="C5" s="17" t="str">
        <x:v>Brokerage</x:v>
      </x:c>
      <x:c r="D5" s="17" t="str">
        <x:v>Humble</x:v>
      </x:c>
      <x:c r="E5" s="46" t="str">
        <x:v>Common</x:v>
      </x:c>
      <x:c r="F5" s="17" t="n">
        <x:v>4</x:v>
      </x:c>
      <x:c r="G5" s="17" t="str">
        <x:v>Empire Lv. 1–10</x:v>
      </x:c>
      <x:c r="H5" s="17" t="str">
        <x:v>1x1</x:v>
      </x:c>
      <x:c r="I5" s="17" t="n">
        <x:v>5</x:v>
      </x:c>
      <x:c r="J5" s="17" t="n">
        <x:v>6</x:v>
      </x:c>
      <x:c r="K5" s="38" t="n">
        <x:v>560</x:v>
      </x:c>
      <x:c r="L5" s="38" t="n">
        <x:v>67</x:v>
      </x:c>
      <x:c r="M5" s="38" t="n">
        <x:v>101</x:v>
      </x:c>
      <x:c r="N5" s="38" t="n">
        <x:v>14</x:v>
      </x:c>
      <x:c r="O5" s="39" t="n">
        <x:v>0.12</x:v>
      </x:c>
      <x:c r="P5" s="17" t="str">
        <x:v>Revenue</x:v>
      </x:c>
      <x:c r="Q5" s="17" t="str">
        <x:v>Medium</x:v>
      </x:c>
      <x:c r="R5" s="17" t="str">
        <x:v>Retail Investors</x:v>
      </x:c>
      <x:c r="S5" s="17" t="str">
        <x:v>Exchange + Research</x:v>
      </x:c>
      <x:c r="T5" s="17" t="str">
        <x:v>Stock hunts</x:v>
      </x:c>
      <x:c r="U5" s="17" t="n">
        <x:v>1</x:v>
      </x:c>
      <x:c r="V5" s="17" t="str">
        <x:v>3</x:v>
      </x:c>
      <x:c r="W5" s="17" t="str">
        <x:v>Universal, Market, Customer, Research</x:v>
      </x:c>
      <x:c r="X5" s="17" t="str">
        <x:v>Common</x:v>
      </x:c>
      <x:c r="Y5" s="17" t="str">
        <x:v>uncommon</x:v>
      </x:c>
      <x:c r="Z5" s="17" t="n">
        <x:v>1</x:v>
      </x:c>
      <x:c r="AA5" s="17" t="str">
        <x:v>Runtime stage 1 → Lv1; stage 2 → Lv3; stage 3 → Lv6</x:v>
      </x:c>
      <x:c r="AB5" s="17" t="str">
        <x:v>Canonical Module overlay; base building balance unchanged</x:v>
      </x:c>
    </x:row>
    <x:row r="6">
      <x:c r="A6" s="17" t="n">
        <x:v>5</x:v>
      </x:c>
      <x:c r="B6" s="17" t="str">
        <x:v>Market Info Kiosk</x:v>
      </x:c>
      <x:c r="C6" s="17" t="str">
        <x:v>Research</x:v>
      </x:c>
      <x:c r="D6" s="17" t="str">
        <x:v>Humble</x:v>
      </x:c>
      <x:c r="E6" s="46" t="str">
        <x:v>Common</x:v>
      </x:c>
      <x:c r="F6" s="17" t="n">
        <x:v>5</x:v>
      </x:c>
      <x:c r="G6" s="17" t="str">
        <x:v>Empire Lv. 1–10</x:v>
      </x:c>
      <x:c r="H6" s="17" t="str">
        <x:v>1x1</x:v>
      </x:c>
      <x:c r="I6" s="17" t="n">
        <x:v>5</x:v>
      </x:c>
      <x:c r="J6" s="17" t="n">
        <x:v>6</x:v>
      </x:c>
      <x:c r="K6" s="38" t="n">
        <x:v>700</x:v>
      </x:c>
      <x:c r="L6" s="38" t="n">
        <x:v>55</x:v>
      </x:c>
      <x:c r="M6" s="38" t="n">
        <x:v>120</x:v>
      </x:c>
      <x:c r="N6" s="38" t="n">
        <x:v>12</x:v>
      </x:c>
      <x:c r="O6" s="39" t="n">
        <x:v>0.12</x:v>
      </x:c>
      <x:c r="P6" s="17" t="str">
        <x:v>Utility</x:v>
      </x:c>
      <x:c r="Q6" s="17" t="str">
        <x:v>Medium</x:v>
      </x:c>
      <x:c r="R6" s="17" t="str">
        <x:v>Retail Investors</x:v>
      </x:c>
      <x:c r="S6" s="17" t="str">
        <x:v>Fund + Brokerage</x:v>
      </x:c>
      <x:c r="T6" s="17" t="str">
        <x:v>Research</x:v>
      </x:c>
      <x:c r="U6" s="17" t="n">
        <x:v>1</x:v>
      </x:c>
      <x:c r="V6" s="17" t="str">
        <x:v>3</x:v>
      </x:c>
      <x:c r="W6" s="17" t="str">
        <x:v>Universal, Research, Operations, Event</x:v>
      </x:c>
      <x:c r="X6" s="17" t="str">
        <x:v>Common</x:v>
      </x:c>
      <x:c r="Y6" s="17" t="str">
        <x:v>uncommon</x:v>
      </x:c>
      <x:c r="Z6" s="17" t="n">
        <x:v>1</x:v>
      </x:c>
      <x:c r="AA6" s="17" t="str">
        <x:v>Runtime stage 1 → Lv1; stage 2 → Lv3; stage 3 → Lv6</x:v>
      </x:c>
      <x:c r="AB6" s="17" t="str">
        <x:v>Canonical Module overlay; base building balance unchanged</x:v>
      </x:c>
    </x:row>
    <x:row r="7">
      <x:c r="A7" s="17" t="n">
        <x:v>6</x:v>
      </x:c>
      <x:c r="B7" s="17" t="str">
        <x:v>Micro Loan Booth</x:v>
      </x:c>
      <x:c r="C7" s="17" t="str">
        <x:v>Lending</x:v>
      </x:c>
      <x:c r="D7" s="17" t="str">
        <x:v>Humble</x:v>
      </x:c>
      <x:c r="E7" s="46" t="str">
        <x:v>Common</x:v>
      </x:c>
      <x:c r="F7" s="17" t="n">
        <x:v>6</x:v>
      </x:c>
      <x:c r="G7" s="17" t="str">
        <x:v>Empire Lv. 1–10</x:v>
      </x:c>
      <x:c r="H7" s="17" t="str">
        <x:v>1x1</x:v>
      </x:c>
      <x:c r="I7" s="17" t="n">
        <x:v>5</x:v>
      </x:c>
      <x:c r="J7" s="17" t="n">
        <x:v>6</x:v>
      </x:c>
      <x:c r="K7" s="38" t="n">
        <x:v>860</x:v>
      </x:c>
      <x:c r="L7" s="38" t="n">
        <x:v>94</x:v>
      </x:c>
      <x:c r="M7" s="38" t="n">
        <x:v>143</x:v>
      </x:c>
      <x:c r="N7" s="38" t="n">
        <x:v>17</x:v>
      </x:c>
      <x:c r="O7" s="39" t="n">
        <x:v>0.12</x:v>
      </x:c>
      <x:c r="P7" s="17" t="str">
        <x:v>Revenue</x:v>
      </x:c>
      <x:c r="Q7" s="17" t="str">
        <x:v>High</x:v>
      </x:c>
      <x:c r="R7" s="17" t="str">
        <x:v>General Consumers</x:v>
      </x:c>
      <x:c r="S7" s="17" t="str">
        <x:v>Insurance + Treasury</x:v>
      </x:c>
      <x:c r="T7" s="17" t="str">
        <x:v>Loans</x:v>
      </x:c>
      <x:c r="U7" s="17" t="n">
        <x:v>1</x:v>
      </x:c>
      <x:c r="V7" s="17" t="str">
        <x:v>3</x:v>
      </x:c>
      <x:c r="W7" s="17" t="str">
        <x:v>Universal, Customer, Credit, Risk</x:v>
      </x:c>
      <x:c r="X7" s="17" t="str">
        <x:v>Common</x:v>
      </x:c>
      <x:c r="Y7" s="17" t="str">
        <x:v>uncommon</x:v>
      </x:c>
      <x:c r="Z7" s="17" t="n">
        <x:v>1</x:v>
      </x:c>
      <x:c r="AA7" s="17" t="str">
        <x:v>Runtime stage 1 → Lv1; stage 2 → Lv3; stage 3 → Lv6</x:v>
      </x:c>
      <x:c r="AB7" s="17" t="str">
        <x:v>Canonical Module overlay; base building balance unchanged</x:v>
      </x:c>
    </x:row>
    <x:row r="8">
      <x:c r="A8" s="17" t="n">
        <x:v>7</x:v>
      </x:c>
      <x:c r="B8" s="17" t="str">
        <x:v>Currency Exchange Stand</x:v>
      </x:c>
      <x:c r="C8" s="17" t="str">
        <x:v>FX</x:v>
      </x:c>
      <x:c r="D8" s="17" t="str">
        <x:v>Humble</x:v>
      </x:c>
      <x:c r="E8" s="46" t="str">
        <x:v>Common</x:v>
      </x:c>
      <x:c r="F8" s="17" t="n">
        <x:v>7</x:v>
      </x:c>
      <x:c r="G8" s="17" t="str">
        <x:v>Empire Lv. 1–10</x:v>
      </x:c>
      <x:c r="H8" s="17" t="str">
        <x:v>1x1</x:v>
      </x:c>
      <x:c r="I8" s="17" t="n">
        <x:v>5</x:v>
      </x:c>
      <x:c r="J8" s="17" t="n">
        <x:v>6</x:v>
      </x:c>
      <x:c r="K8" s="38" t="n">
        <x:v>1060</x:v>
      </x:c>
      <x:c r="L8" s="38" t="n">
        <x:v>114</x:v>
      </x:c>
      <x:c r="M8" s="38" t="n">
        <x:v>170</x:v>
      </x:c>
      <x:c r="N8" s="38" t="n">
        <x:v>22</x:v>
      </x:c>
      <x:c r="O8" s="39" t="n">
        <x:v>0.12</x:v>
      </x:c>
      <x:c r="P8" s="17" t="str">
        <x:v>Revenue</x:v>
      </x:c>
      <x:c r="Q8" s="17" t="str">
        <x:v>High</x:v>
      </x:c>
      <x:c r="R8" s="17" t="str">
        <x:v>General Consumers</x:v>
      </x:c>
      <x:c r="S8" s="17" t="str">
        <x:v>Trading + Market Maker</x:v>
      </x:c>
      <x:c r="T8" s="17" t="str">
        <x:v>FX volume</x:v>
      </x:c>
      <x:c r="U8" s="17" t="n">
        <x:v>1</x:v>
      </x:c>
      <x:c r="V8" s="17" t="str">
        <x:v>3</x:v>
      </x:c>
      <x:c r="W8" s="17" t="str">
        <x:v>Universal, Market, Operations, Liquidity</x:v>
      </x:c>
      <x:c r="X8" s="17" t="str">
        <x:v>Common</x:v>
      </x:c>
      <x:c r="Y8" s="17" t="str">
        <x:v>uncommon</x:v>
      </x:c>
      <x:c r="Z8" s="17" t="n">
        <x:v>1</x:v>
      </x:c>
      <x:c r="AA8" s="17" t="str">
        <x:v>Runtime stage 1 → Lv1; stage 2 → Lv3; stage 3 → Lv6</x:v>
      </x:c>
      <x:c r="AB8" s="17" t="str">
        <x:v>Canonical Module overlay; base building balance unchanged</x:v>
      </x:c>
    </x:row>
    <x:row r="9">
      <x:c r="A9" s="17" t="n">
        <x:v>8</x:v>
      </x:c>
      <x:c r="B9" s="17" t="str">
        <x:v>Insurance Desk</x:v>
      </x:c>
      <x:c r="C9" s="17" t="str">
        <x:v>Insurance</x:v>
      </x:c>
      <x:c r="D9" s="17" t="str">
        <x:v>Humble</x:v>
      </x:c>
      <x:c r="E9" s="46" t="str">
        <x:v>Common</x:v>
      </x:c>
      <x:c r="F9" s="17" t="n">
        <x:v>8</x:v>
      </x:c>
      <x:c r="G9" s="17" t="str">
        <x:v>Empire Lv. 1–10</x:v>
      </x:c>
      <x:c r="H9" s="17" t="str">
        <x:v>1x1</x:v>
      </x:c>
      <x:c r="I9" s="17" t="n">
        <x:v>5</x:v>
      </x:c>
      <x:c r="J9" s="17" t="n">
        <x:v>6</x:v>
      </x:c>
      <x:c r="K9" s="38" t="n">
        <x:v>1320</x:v>
      </x:c>
      <x:c r="L9" s="38" t="n">
        <x:v>119</x:v>
      </x:c>
      <x:c r="M9" s="38" t="n">
        <x:v>203</x:v>
      </x:c>
      <x:c r="N9" s="38" t="n">
        <x:v>21</x:v>
      </x:c>
      <x:c r="O9" s="39" t="n">
        <x:v>0.12</x:v>
      </x:c>
      <x:c r="P9" s="17" t="str">
        <x:v>Balanced</x:v>
      </x:c>
      <x:c r="Q9" s="17" t="str">
        <x:v>Low</x:v>
      </x:c>
      <x:c r="R9" s="17" t="str">
        <x:v>General Consumers</x:v>
      </x:c>
      <x:c r="S9" s="17" t="str">
        <x:v>Bank + Lending</x:v>
      </x:c>
      <x:c r="T9" s="17" t="str">
        <x:v>Risk</x:v>
      </x:c>
      <x:c r="U9" s="17" t="n">
        <x:v>1</x:v>
      </x:c>
      <x:c r="V9" s="17" t="str">
        <x:v>3</x:v>
      </x:c>
      <x:c r="W9" s="17" t="str">
        <x:v>Universal, Customer, Risk, Service</x:v>
      </x:c>
      <x:c r="X9" s="17" t="str">
        <x:v>Common</x:v>
      </x:c>
      <x:c r="Y9" s="17" t="str">
        <x:v>uncommon</x:v>
      </x:c>
      <x:c r="Z9" s="17" t="n">
        <x:v>1</x:v>
      </x:c>
      <x:c r="AA9" s="17" t="str">
        <x:v>Runtime stage 1 → Lv1; stage 2 → Lv3; stage 3 → Lv6</x:v>
      </x:c>
      <x:c r="AB9" s="17" t="str">
        <x:v>Canonical Module overlay; base building balance unchanged</x:v>
      </x:c>
    </x:row>
    <x:row r="10">
      <x:c r="A10" s="17" t="n">
        <x:v>9</x:v>
      </x:c>
      <x:c r="B10" s="17" t="str">
        <x:v>Investment Advice Booth</x:v>
      </x:c>
      <x:c r="C10" s="17" t="str">
        <x:v>Advisory</x:v>
      </x:c>
      <x:c r="D10" s="17" t="str">
        <x:v>Humble</x:v>
      </x:c>
      <x:c r="E10" s="46" t="str">
        <x:v>Common</x:v>
      </x:c>
      <x:c r="F10" s="17" t="n">
        <x:v>9</x:v>
      </x:c>
      <x:c r="G10" s="17" t="str">
        <x:v>Empire Lv. 1–10</x:v>
      </x:c>
      <x:c r="H10" s="17" t="str">
        <x:v>1x1</x:v>
      </x:c>
      <x:c r="I10" s="17" t="n">
        <x:v>5</x:v>
      </x:c>
      <x:c r="J10" s="17" t="n">
        <x:v>6</x:v>
      </x:c>
      <x:c r="K10" s="38" t="n">
        <x:v>1620</x:v>
      </x:c>
      <x:c r="L10" s="38" t="n">
        <x:v>139</x:v>
      </x:c>
      <x:c r="M10" s="38" t="n">
        <x:v>241</x:v>
      </x:c>
      <x:c r="N10" s="38" t="n">
        <x:v>26</x:v>
      </x:c>
      <x:c r="O10" s="39" t="n">
        <x:v>0.12</x:v>
      </x:c>
      <x:c r="P10" s="17" t="str">
        <x:v>Balanced</x:v>
      </x:c>
      <x:c r="Q10" s="17" t="str">
        <x:v>Medium</x:v>
      </x:c>
      <x:c r="R10" s="17" t="str">
        <x:v>Retail Investors</x:v>
      </x:c>
      <x:c r="S10" s="17" t="str">
        <x:v>Fund + Research</x:v>
      </x:c>
      <x:c r="T10" s="17" t="str">
        <x:v>Investor conversion</x:v>
      </x:c>
      <x:c r="U10" s="17" t="n">
        <x:v>1</x:v>
      </x:c>
      <x:c r="V10" s="17" t="str">
        <x:v>3</x:v>
      </x:c>
      <x:c r="W10" s="17" t="str">
        <x:v>Universal, Customer, Research, Wealth</x:v>
      </x:c>
      <x:c r="X10" s="17" t="str">
        <x:v>Common</x:v>
      </x:c>
      <x:c r="Y10" s="17" t="str">
        <x:v>uncommon</x:v>
      </x:c>
      <x:c r="Z10" s="17" t="n">
        <x:v>1</x:v>
      </x:c>
      <x:c r="AA10" s="17" t="str">
        <x:v>Runtime stage 1 → Lv1; stage 2 → Lv3; stage 3 → Lv6</x:v>
      </x:c>
      <x:c r="AB10" s="17" t="str">
        <x:v>Canonical Module overlay; base building balance unchanged</x:v>
      </x:c>
    </x:row>
    <x:row r="11">
      <x:c r="A11" s="17" t="n">
        <x:v>10</x:v>
      </x:c>
      <x:c r="B11" s="17" t="str">
        <x:v>Secure Cash Locker</x:v>
      </x:c>
      <x:c r="C11" s="17" t="str">
        <x:v>Treasury</x:v>
      </x:c>
      <x:c r="D11" s="17" t="str">
        <x:v>Humble</x:v>
      </x:c>
      <x:c r="E11" s="46" t="str">
        <x:v>Common</x:v>
      </x:c>
      <x:c r="F11" s="17" t="n">
        <x:v>10</x:v>
      </x:c>
      <x:c r="G11" s="17" t="str">
        <x:v>Empire Lv. 1–10</x:v>
      </x:c>
      <x:c r="H11" s="17" t="str">
        <x:v>1x1</x:v>
      </x:c>
      <x:c r="I11" s="17" t="n">
        <x:v>5</x:v>
      </x:c>
      <x:c r="J11" s="17" t="n">
        <x:v>6</x:v>
      </x:c>
      <x:c r="K11" s="38" t="n">
        <x:v>2000</x:v>
      </x:c>
      <x:c r="L11" s="38" t="n">
        <x:v>142</x:v>
      </x:c>
      <x:c r="M11" s="38" t="n">
        <x:v>287</x:v>
      </x:c>
      <x:c r="N11" s="38" t="n">
        <x:v>26</x:v>
      </x:c>
      <x:c r="O11" s="39" t="n">
        <x:v>0.12</x:v>
      </x:c>
      <x:c r="P11" s="17" t="str">
        <x:v>Utility</x:v>
      </x:c>
      <x:c r="Q11" s="17" t="str">
        <x:v>Low</x:v>
      </x:c>
      <x:c r="R11" s="17" t="str">
        <x:v>General Consumers</x:v>
      </x:c>
      <x:c r="S11" s="17" t="str">
        <x:v>Vault + Bank</x:v>
      </x:c>
      <x:c r="T11" s="17" t="str">
        <x:v>Capital efficiency</x:v>
      </x:c>
      <x:c r="U11" s="17" t="n">
        <x:v>1</x:v>
      </x:c>
      <x:c r="V11" s="17" t="str">
        <x:v>3</x:v>
      </x:c>
      <x:c r="W11" s="17" t="str">
        <x:v>Universal, Liquidity, Risk, Operations</x:v>
      </x:c>
      <x:c r="X11" s="17" t="str">
        <x:v>Common</x:v>
      </x:c>
      <x:c r="Y11" s="17" t="str">
        <x:v>uncommon</x:v>
      </x:c>
      <x:c r="Z11" s="17" t="n">
        <x:v>1</x:v>
      </x:c>
      <x:c r="AA11" s="17" t="str">
        <x:v>Runtime stage 1 → Lv1; stage 2 → Lv3; stage 3 → Lv6</x:v>
      </x:c>
      <x:c r="AB11" s="17" t="str">
        <x:v>Canonical Module overlay; base building balance unchanged</x:v>
      </x:c>
    </x:row>
    <x:row r="12">
      <x:c r="A12" s="17" t="n">
        <x:v>11</x:v>
      </x:c>
      <x:c r="B12" s="17" t="str">
        <x:v>Neighborhood Finance Shop</x:v>
      </x:c>
      <x:c r="C12" s="17" t="str">
        <x:v>Banking</x:v>
      </x:c>
      <x:c r="D12" s="17" t="str">
        <x:v>Starter</x:v>
      </x:c>
      <x:c r="E12" s="48" t="str">
        <x:v>Uncommon</x:v>
      </x:c>
      <x:c r="F12" s="17" t="n">
        <x:v>11</x:v>
      </x:c>
      <x:c r="G12" s="17" t="str">
        <x:v>Empire Lv. 11–20</x:v>
      </x:c>
      <x:c r="H12" s="17" t="str">
        <x:v>1x2</x:v>
      </x:c>
      <x:c r="I12" s="17" t="n">
        <x:v>6</x:v>
      </x:c>
      <x:c r="J12" s="17" t="n">
        <x:v>7</x:v>
      </x:c>
      <x:c r="K12" s="38" t="n">
        <x:v>2480</x:v>
      </x:c>
      <x:c r="L12" s="38" t="n">
        <x:v>228</x:v>
      </x:c>
      <x:c r="M12" s="38" t="n">
        <x:v>342</x:v>
      </x:c>
      <x:c r="N12" s="38" t="n">
        <x:v>41</x:v>
      </x:c>
      <x:c r="O12" s="39" t="n">
        <x:v>0.13</x:v>
      </x:c>
      <x:c r="P12" s="17" t="str">
        <x:v>Balanced</x:v>
      </x:c>
      <x:c r="Q12" s="17" t="str">
        <x:v>Low</x:v>
      </x:c>
      <x:c r="R12" s="17" t="str">
        <x:v>General Consumers</x:v>
      </x:c>
      <x:c r="S12" s="17" t="str">
        <x:v>Insurance + Treasury</x:v>
      </x:c>
      <x:c r="T12" s="17" t="str">
        <x:v>Deposits</x:v>
      </x:c>
      <x:c r="U12" s="17" t="n">
        <x:v>2</x:v>
      </x:c>
      <x:c r="V12" s="17" t="str">
        <x:v>3 / 6</x:v>
      </x:c>
      <x:c r="W12" s="17" t="str">
        <x:v>Universal, Customer, Liquidity, Risk</x:v>
      </x:c>
      <x:c r="X12" s="17" t="str">
        <x:v>Uncommon</x:v>
      </x:c>
      <x:c r="Y12" s="17" t="str">
        <x:v>rare</x:v>
      </x:c>
      <x:c r="Z12" s="17" t="n">
        <x:v>1</x:v>
      </x:c>
      <x:c r="AA12" s="17" t="str">
        <x:v>Runtime stage 1 → Lv1; stage 2 → Lv3; stage 3 → Lv7</x:v>
      </x:c>
      <x:c r="AB12" s="17" t="str">
        <x:v>Canonical Module overlay; base building balance unchanged</x:v>
      </x:c>
    </x:row>
    <x:row r="13">
      <x:c r="A13" s="17" t="n">
        <x:v>12</x:v>
      </x:c>
      <x:c r="B13" s="17" t="str">
        <x:v>Small Brokerage Office</x:v>
      </x:c>
      <x:c r="C13" s="17" t="str">
        <x:v>Brokerage</x:v>
      </x:c>
      <x:c r="D13" s="17" t="str">
        <x:v>Starter</x:v>
      </x:c>
      <x:c r="E13" s="48" t="str">
        <x:v>Uncommon</x:v>
      </x:c>
      <x:c r="F13" s="17" t="n">
        <x:v>12</x:v>
      </x:c>
      <x:c r="G13" s="17" t="str">
        <x:v>Empire Lv. 11–20</x:v>
      </x:c>
      <x:c r="H13" s="17" t="str">
        <x:v>1x2</x:v>
      </x:c>
      <x:c r="I13" s="17" t="n">
        <x:v>6</x:v>
      </x:c>
      <x:c r="J13" s="17" t="n">
        <x:v>7</x:v>
      </x:c>
      <x:c r="K13" s="38" t="n">
        <x:v>3060</x:v>
      </x:c>
      <x:c r="L13" s="38" t="n">
        <x:v>288</x:v>
      </x:c>
      <x:c r="M13" s="38" t="n">
        <x:v>407</x:v>
      </x:c>
      <x:c r="N13" s="38" t="n">
        <x:v>56</x:v>
      </x:c>
      <x:c r="O13" s="39" t="n">
        <x:v>0.13</x:v>
      </x:c>
      <x:c r="P13" s="17" t="str">
        <x:v>Revenue</x:v>
      </x:c>
      <x:c r="Q13" s="17" t="str">
        <x:v>Medium</x:v>
      </x:c>
      <x:c r="R13" s="17" t="str">
        <x:v>Retail Investors</x:v>
      </x:c>
      <x:c r="S13" s="17" t="str">
        <x:v>Exchange + Research</x:v>
      </x:c>
      <x:c r="T13" s="17" t="str">
        <x:v>Stock hunts</x:v>
      </x:c>
      <x:c r="U13" s="17" t="n">
        <x:v>2</x:v>
      </x:c>
      <x:c r="V13" s="17" t="str">
        <x:v>3 / 6</x:v>
      </x:c>
      <x:c r="W13" s="17" t="str">
        <x:v>Universal, Market, Customer, Research</x:v>
      </x:c>
      <x:c r="X13" s="17" t="str">
        <x:v>Uncommon</x:v>
      </x:c>
      <x:c r="Y13" s="17" t="str">
        <x:v>rare</x:v>
      </x:c>
      <x:c r="Z13" s="17" t="n">
        <x:v>1</x:v>
      </x:c>
      <x:c r="AA13" s="17" t="str">
        <x:v>Runtime stage 1 → Lv1; stage 2 → Lv3; stage 3 → Lv7</x:v>
      </x:c>
      <x:c r="AB13" s="17" t="str">
        <x:v>Canonical Module overlay; base building balance unchanged</x:v>
      </x:c>
    </x:row>
    <x:row r="14">
      <x:c r="A14" s="17" t="n">
        <x:v>13</x:v>
      </x:c>
      <x:c r="B14" s="17" t="str">
        <x:v>Local Savings Office</x:v>
      </x:c>
      <x:c r="C14" s="17" t="str">
        <x:v>Banking</x:v>
      </x:c>
      <x:c r="D14" s="17" t="str">
        <x:v>Starter</x:v>
      </x:c>
      <x:c r="E14" s="48" t="str">
        <x:v>Uncommon</x:v>
      </x:c>
      <x:c r="F14" s="17" t="n">
        <x:v>13</x:v>
      </x:c>
      <x:c r="G14" s="17" t="str">
        <x:v>Empire Lv. 11–20</x:v>
      </x:c>
      <x:c r="H14" s="17" t="str">
        <x:v>1x2</x:v>
      </x:c>
      <x:c r="I14" s="17" t="n">
        <x:v>6</x:v>
      </x:c>
      <x:c r="J14" s="17" t="n">
        <x:v>7</x:v>
      </x:c>
      <x:c r="K14" s="38" t="n">
        <x:v>3780</x:v>
      </x:c>
      <x:c r="L14" s="38" t="n">
        <x:v>330</x:v>
      </x:c>
      <x:c r="M14" s="38" t="n">
        <x:v>484</x:v>
      </x:c>
      <x:c r="N14" s="38" t="n">
        <x:v>58</x:v>
      </x:c>
      <x:c r="O14" s="39" t="n">
        <x:v>0.13</x:v>
      </x:c>
      <x:c r="P14" s="17" t="str">
        <x:v>Balanced</x:v>
      </x:c>
      <x:c r="Q14" s="17" t="str">
        <x:v>Low</x:v>
      </x:c>
      <x:c r="R14" s="17" t="str">
        <x:v>General Consumers</x:v>
      </x:c>
      <x:c r="S14" s="17" t="str">
        <x:v>Vault + Insurance</x:v>
      </x:c>
      <x:c r="T14" s="17" t="str">
        <x:v>Deposits</x:v>
      </x:c>
      <x:c r="U14" s="17" t="n">
        <x:v>2</x:v>
      </x:c>
      <x:c r="V14" s="17" t="str">
        <x:v>3 / 6</x:v>
      </x:c>
      <x:c r="W14" s="17" t="str">
        <x:v>Universal, Customer, Liquidity, Risk</x:v>
      </x:c>
      <x:c r="X14" s="17" t="str">
        <x:v>Uncommon</x:v>
      </x:c>
      <x:c r="Y14" s="17" t="str">
        <x:v>rare</x:v>
      </x:c>
      <x:c r="Z14" s="17" t="n">
        <x:v>1</x:v>
      </x:c>
      <x:c r="AA14" s="17" t="str">
        <x:v>Runtime stage 1 → Lv1; stage 2 → Lv3; stage 3 → Lv7</x:v>
      </x:c>
      <x:c r="AB14" s="17" t="str">
        <x:v>Canonical Module overlay; base building balance unchanged</x:v>
      </x:c>
    </x:row>
    <x:row r="15">
      <x:c r="A15" s="17" t="n">
        <x:v>14</x:v>
      </x:c>
      <x:c r="B15" s="17" t="str">
        <x:v>Microfinance Office</x:v>
      </x:c>
      <x:c r="C15" s="17" t="str">
        <x:v>Lending</x:v>
      </x:c>
      <x:c r="D15" s="17" t="str">
        <x:v>Starter</x:v>
      </x:c>
      <x:c r="E15" s="48" t="str">
        <x:v>Uncommon</x:v>
      </x:c>
      <x:c r="F15" s="17" t="n">
        <x:v>14</x:v>
      </x:c>
      <x:c r="G15" s="17" t="str">
        <x:v>Empire Lv. 11–20</x:v>
      </x:c>
      <x:c r="H15" s="17" t="str">
        <x:v>1x2</x:v>
      </x:c>
      <x:c r="I15" s="17" t="n">
        <x:v>6</x:v>
      </x:c>
      <x:c r="J15" s="17" t="n">
        <x:v>7</x:v>
      </x:c>
      <x:c r="K15" s="38" t="n">
        <x:v>4660</x:v>
      </x:c>
      <x:c r="L15" s="38" t="n">
        <x:v>410</x:v>
      </x:c>
      <x:c r="M15" s="38" t="n">
        <x:v>576</x:v>
      </x:c>
      <x:c r="N15" s="38" t="n">
        <x:v>69</x:v>
      </x:c>
      <x:c r="O15" s="39" t="n">
        <x:v>0.13</x:v>
      </x:c>
      <x:c r="P15" s="17" t="str">
        <x:v>Revenue</x:v>
      </x:c>
      <x:c r="Q15" s="17" t="str">
        <x:v>High</x:v>
      </x:c>
      <x:c r="R15" s="17" t="str">
        <x:v>Consumers / Small Businesses</x:v>
      </x:c>
      <x:c r="S15" s="17" t="str">
        <x:v>Insurance + Treasury</x:v>
      </x:c>
      <x:c r="T15" s="17" t="str">
        <x:v>Loans</x:v>
      </x:c>
      <x:c r="U15" s="17" t="n">
        <x:v>2</x:v>
      </x:c>
      <x:c r="V15" s="17" t="str">
        <x:v>3 / 6</x:v>
      </x:c>
      <x:c r="W15" s="17" t="str">
        <x:v>Universal, Customer, Credit, Risk</x:v>
      </x:c>
      <x:c r="X15" s="17" t="str">
        <x:v>Uncommon</x:v>
      </x:c>
      <x:c r="Y15" s="17" t="str">
        <x:v>rare</x:v>
      </x:c>
      <x:c r="Z15" s="17" t="n">
        <x:v>1</x:v>
      </x:c>
      <x:c r="AA15" s="17" t="str">
        <x:v>Runtime stage 1 → Lv1; stage 2 → Lv3; stage 3 → Lv7</x:v>
      </x:c>
      <x:c r="AB15" s="17" t="str">
        <x:v>Canonical Module overlay; base building balance unchanged</x:v>
      </x:c>
    </x:row>
    <x:row r="16">
      <x:c r="A16" s="17" t="n">
        <x:v>15</x:v>
      </x:c>
      <x:c r="B16" s="17" t="str">
        <x:v>Trading Room</x:v>
      </x:c>
      <x:c r="C16" s="17" t="str">
        <x:v>Trading</x:v>
      </x:c>
      <x:c r="D16" s="17" t="str">
        <x:v>Starter</x:v>
      </x:c>
      <x:c r="E16" s="48" t="str">
        <x:v>Uncommon</x:v>
      </x:c>
      <x:c r="F16" s="17" t="n">
        <x:v>15</x:v>
      </x:c>
      <x:c r="G16" s="17" t="str">
        <x:v>Empire Lv. 11–20</x:v>
      </x:c>
      <x:c r="H16" s="17" t="str">
        <x:v>1x2</x:v>
      </x:c>
      <x:c r="I16" s="17" t="n">
        <x:v>6</x:v>
      </x:c>
      <x:c r="J16" s="17" t="n">
        <x:v>7</x:v>
      </x:c>
      <x:c r="K16" s="38" t="n">
        <x:v>5760</x:v>
      </x:c>
      <x:c r="L16" s="38" t="n">
        <x:v>528</x:v>
      </x:c>
      <x:c r="M16" s="38" t="n">
        <x:v>685</x:v>
      </x:c>
      <x:c r="N16" s="38" t="n">
        <x:v>99</x:v>
      </x:c>
      <x:c r="O16" s="39" t="n">
        <x:v>0.13</x:v>
      </x:c>
      <x:c r="P16" s="17" t="str">
        <x:v>Revenue</x:v>
      </x:c>
      <x:c r="Q16" s="17" t="str">
        <x:v>High</x:v>
      </x:c>
      <x:c r="R16" s="17" t="str">
        <x:v>Active Traders</x:v>
      </x:c>
      <x:c r="S16" s="17" t="str">
        <x:v>Market Maker + Data</x:v>
      </x:c>
      <x:c r="T16" s="17" t="str">
        <x:v>Trading volume</x:v>
      </x:c>
      <x:c r="U16" s="17" t="n">
        <x:v>2</x:v>
      </x:c>
      <x:c r="V16" s="17" t="str">
        <x:v>3 / 6</x:v>
      </x:c>
      <x:c r="W16" s="17" t="str">
        <x:v>Universal, Market, Operations, Risk</x:v>
      </x:c>
      <x:c r="X16" s="17" t="str">
        <x:v>Uncommon</x:v>
      </x:c>
      <x:c r="Y16" s="17" t="str">
        <x:v>rare</x:v>
      </x:c>
      <x:c r="Z16" s="17" t="n">
        <x:v>1</x:v>
      </x:c>
      <x:c r="AA16" s="17" t="str">
        <x:v>Runtime stage 1 → Lv1; stage 2 → Lv3; stage 3 → Lv7</x:v>
      </x:c>
      <x:c r="AB16" s="17" t="str">
        <x:v>Canonical Module overlay; base building balance unchanged</x:v>
      </x:c>
    </x:row>
    <x:row r="17">
      <x:c r="A17" s="17" t="n">
        <x:v>16</x:v>
      </x:c>
      <x:c r="B17" s="17" t="str">
        <x:v>Small Research Office</x:v>
      </x:c>
      <x:c r="C17" s="17" t="str">
        <x:v>Research</x:v>
      </x:c>
      <x:c r="D17" s="17" t="str">
        <x:v>Starter</x:v>
      </x:c>
      <x:c r="E17" s="48" t="str">
        <x:v>Uncommon</x:v>
      </x:c>
      <x:c r="F17" s="17" t="n">
        <x:v>16</x:v>
      </x:c>
      <x:c r="G17" s="17" t="str">
        <x:v>Empire Lv. 11–20</x:v>
      </x:c>
      <x:c r="H17" s="17" t="str">
        <x:v>1x2</x:v>
      </x:c>
      <x:c r="I17" s="17" t="n">
        <x:v>6</x:v>
      </x:c>
      <x:c r="J17" s="17" t="n">
        <x:v>7</x:v>
      </x:c>
      <x:c r="K17" s="38" t="n">
        <x:v>7110</x:v>
      </x:c>
      <x:c r="L17" s="38" t="n">
        <x:v>417</x:v>
      </x:c>
      <x:c r="M17" s="38" t="n">
        <x:v>815</x:v>
      </x:c>
      <x:c r="N17" s="38" t="n">
        <x:v>78</x:v>
      </x:c>
      <x:c r="O17" s="39" t="n">
        <x:v>0.13</x:v>
      </x:c>
      <x:c r="P17" s="17" t="str">
        <x:v>Utility</x:v>
      </x:c>
      <x:c r="Q17" s="17" t="str">
        <x:v>Medium</x:v>
      </x:c>
      <x:c r="R17" s="17" t="str">
        <x:v>Retail Investors</x:v>
      </x:c>
      <x:c r="S17" s="17" t="str">
        <x:v>Fund + Brokerage</x:v>
      </x:c>
      <x:c r="T17" s="17" t="str">
        <x:v>Research</x:v>
      </x:c>
      <x:c r="U17" s="17" t="n">
        <x:v>2</x:v>
      </x:c>
      <x:c r="V17" s="17" t="str">
        <x:v>3 / 6</x:v>
      </x:c>
      <x:c r="W17" s="17" t="str">
        <x:v>Universal, Research, Operations, Event</x:v>
      </x:c>
      <x:c r="X17" s="17" t="str">
        <x:v>Uncommon</x:v>
      </x:c>
      <x:c r="Y17" s="17" t="str">
        <x:v>rare</x:v>
      </x:c>
      <x:c r="Z17" s="17" t="n">
        <x:v>1</x:v>
      </x:c>
      <x:c r="AA17" s="17" t="str">
        <x:v>Runtime stage 1 → Lv1; stage 2 → Lv3; stage 3 → Lv7</x:v>
      </x:c>
      <x:c r="AB17" s="17" t="str">
        <x:v>Canonical Module overlay; base building balance unchanged</x:v>
      </x:c>
    </x:row>
    <x:row r="18">
      <x:c r="A18" s="17" t="n">
        <x:v>17</x:v>
      </x:c>
      <x:c r="B18" s="17" t="str">
        <x:v>Local Insurance Office</x:v>
      </x:c>
      <x:c r="C18" s="17" t="str">
        <x:v>Insurance</x:v>
      </x:c>
      <x:c r="D18" s="17" t="str">
        <x:v>Starter</x:v>
      </x:c>
      <x:c r="E18" s="48" t="str">
        <x:v>Uncommon</x:v>
      </x:c>
      <x:c r="F18" s="17" t="n">
        <x:v>17</x:v>
      </x:c>
      <x:c r="G18" s="17" t="str">
        <x:v>Empire Lv. 11–20</x:v>
      </x:c>
      <x:c r="H18" s="17" t="str">
        <x:v>1x2</x:v>
      </x:c>
      <x:c r="I18" s="17" t="n">
        <x:v>6</x:v>
      </x:c>
      <x:c r="J18" s="17" t="n">
        <x:v>7</x:v>
      </x:c>
      <x:c r="K18" s="38" t="n">
        <x:v>8790</x:v>
      </x:c>
      <x:c r="L18" s="38" t="n">
        <x:v>629</x:v>
      </x:c>
      <x:c r="M18" s="38" t="n">
        <x:v>970</x:v>
      </x:c>
      <x:c r="N18" s="38" t="n">
        <x:v>99</x:v>
      </x:c>
      <x:c r="O18" s="39" t="n">
        <x:v>0.13</x:v>
      </x:c>
      <x:c r="P18" s="17" t="str">
        <x:v>Balanced</x:v>
      </x:c>
      <x:c r="Q18" s="17" t="str">
        <x:v>Low</x:v>
      </x:c>
      <x:c r="R18" s="17" t="str">
        <x:v>Consumers / Small Businesses</x:v>
      </x:c>
      <x:c r="S18" s="17" t="str">
        <x:v>Bank + Lending</x:v>
      </x:c>
      <x:c r="T18" s="17" t="str">
        <x:v>Risk</x:v>
      </x:c>
      <x:c r="U18" s="17" t="n">
        <x:v>2</x:v>
      </x:c>
      <x:c r="V18" s="17" t="str">
        <x:v>3 / 6</x:v>
      </x:c>
      <x:c r="W18" s="17" t="str">
        <x:v>Universal, Customer, Risk, Service</x:v>
      </x:c>
      <x:c r="X18" s="17" t="str">
        <x:v>Uncommon</x:v>
      </x:c>
      <x:c r="Y18" s="17" t="str">
        <x:v>rare</x:v>
      </x:c>
      <x:c r="Z18" s="17" t="n">
        <x:v>1</x:v>
      </x:c>
      <x:c r="AA18" s="17" t="str">
        <x:v>Runtime stage 1 → Lv1; stage 2 → Lv3; stage 3 → Lv7</x:v>
      </x:c>
      <x:c r="AB18" s="17" t="str">
        <x:v>Canonical Module overlay; base building balance unchanged</x:v>
      </x:c>
    </x:row>
    <x:row r="19">
      <x:c r="A19" s="17" t="n">
        <x:v>18</x:v>
      </x:c>
      <x:c r="B19" s="17" t="str">
        <x:v>Treasury Office</x:v>
      </x:c>
      <x:c r="C19" s="17" t="str">
        <x:v>Treasury</x:v>
      </x:c>
      <x:c r="D19" s="17" t="str">
        <x:v>Starter</x:v>
      </x:c>
      <x:c r="E19" s="48" t="str">
        <x:v>Uncommon</x:v>
      </x:c>
      <x:c r="F19" s="17" t="n">
        <x:v>18</x:v>
      </x:c>
      <x:c r="G19" s="17" t="str">
        <x:v>Empire Lv. 11–20</x:v>
      </x:c>
      <x:c r="H19" s="17" t="str">
        <x:v>1x2</x:v>
      </x:c>
      <x:c r="I19" s="17" t="n">
        <x:v>6</x:v>
      </x:c>
      <x:c r="J19" s="17" t="n">
        <x:v>7</x:v>
      </x:c>
      <x:c r="K19" s="38" t="n">
        <x:v>10850</x:v>
      </x:c>
      <x:c r="L19" s="38" t="n">
        <x:v>633</x:v>
      </x:c>
      <x:c r="M19" s="38" t="n">
        <x:v>1155</x:v>
      </x:c>
      <x:c r="N19" s="38" t="n">
        <x:v>104</x:v>
      </x:c>
      <x:c r="O19" s="39" t="n">
        <x:v>0.13</x:v>
      </x:c>
      <x:c r="P19" s="17" t="str">
        <x:v>Utility</x:v>
      </x:c>
      <x:c r="Q19" s="17" t="str">
        <x:v>Low</x:v>
      </x:c>
      <x:c r="R19" s="17" t="str">
        <x:v>Small Businesses</x:v>
      </x:c>
      <x:c r="S19" s="17" t="str">
        <x:v>Vault + Bank</x:v>
      </x:c>
      <x:c r="T19" s="17" t="str">
        <x:v>Capital efficiency</x:v>
      </x:c>
      <x:c r="U19" s="17" t="n">
        <x:v>2</x:v>
      </x:c>
      <x:c r="V19" s="17" t="str">
        <x:v>3 / 6</x:v>
      </x:c>
      <x:c r="W19" s="17" t="str">
        <x:v>Universal, Liquidity, Risk, Operations</x:v>
      </x:c>
      <x:c r="X19" s="17" t="str">
        <x:v>Uncommon</x:v>
      </x:c>
      <x:c r="Y19" s="17" t="str">
        <x:v>rare</x:v>
      </x:c>
      <x:c r="Z19" s="17" t="n">
        <x:v>1</x:v>
      </x:c>
      <x:c r="AA19" s="17" t="str">
        <x:v>Runtime stage 1 → Lv1; stage 2 → Lv3; stage 3 → Lv7</x:v>
      </x:c>
      <x:c r="AB19" s="17" t="str">
        <x:v>Canonical Module overlay; base building balance unchanged</x:v>
      </x:c>
    </x:row>
    <x:row r="20">
      <x:c r="A20" s="17" t="n">
        <x:v>19</x:v>
      </x:c>
      <x:c r="B20" s="17" t="str">
        <x:v>Small Fund Office</x:v>
      </x:c>
      <x:c r="C20" s="17" t="str">
        <x:v>Asset Management</x:v>
      </x:c>
      <x:c r="D20" s="17" t="str">
        <x:v>Starter</x:v>
      </x:c>
      <x:c r="E20" s="48" t="str">
        <x:v>Uncommon</x:v>
      </x:c>
      <x:c r="F20" s="17" t="n">
        <x:v>19</x:v>
      </x:c>
      <x:c r="G20" s="17" t="str">
        <x:v>Empire Lv. 11–20</x:v>
      </x:c>
      <x:c r="H20" s="17" t="str">
        <x:v>2x2</x:v>
      </x:c>
      <x:c r="I20" s="17" t="n">
        <x:v>6</x:v>
      </x:c>
      <x:c r="J20" s="17" t="n">
        <x:v>7</x:v>
      </x:c>
      <x:c r="K20" s="38" t="n">
        <x:v>13400</x:v>
      </x:c>
      <x:c r="L20" s="38" t="n">
        <x:v>1081</x:v>
      </x:c>
      <x:c r="M20" s="38" t="n">
        <x:v>1374</x:v>
      </x:c>
      <x:c r="N20" s="38" t="n">
        <x:v>173</x:v>
      </x:c>
      <x:c r="O20" s="39" t="n">
        <x:v>0.13</x:v>
      </x:c>
      <x:c r="P20" s="17" t="str">
        <x:v>Revenue</x:v>
      </x:c>
      <x:c r="Q20" s="17" t="str">
        <x:v>Medium</x:v>
      </x:c>
      <x:c r="R20" s="17" t="str">
        <x:v>Retail Investors</x:v>
      </x:c>
      <x:c r="S20" s="17" t="str">
        <x:v>Research + Brokerage</x:v>
      </x:c>
      <x:c r="T20" s="17" t="str">
        <x:v>AUM</x:v>
      </x:c>
      <x:c r="U20" s="17" t="n">
        <x:v>2</x:v>
      </x:c>
      <x:c r="V20" s="17" t="str">
        <x:v>3 / 6</x:v>
      </x:c>
      <x:c r="W20" s="17" t="str">
        <x:v>Universal, Market, Research, Risk</x:v>
      </x:c>
      <x:c r="X20" s="17" t="str">
        <x:v>Uncommon</x:v>
      </x:c>
      <x:c r="Y20" s="17" t="str">
        <x:v>rare</x:v>
      </x:c>
      <x:c r="Z20" s="17" t="n">
        <x:v>1</x:v>
      </x:c>
      <x:c r="AA20" s="17" t="str">
        <x:v>Runtime stage 1 → Lv1; stage 2 → Lv3; stage 3 → Lv7</x:v>
      </x:c>
      <x:c r="AB20" s="17" t="str">
        <x:v>Canonical Module overlay; base building balance unchanged</x:v>
      </x:c>
    </x:row>
    <x:row r="21">
      <x:c r="A21" s="17" t="n">
        <x:v>20</x:v>
      </x:c>
      <x:c r="B21" s="17" t="str">
        <x:v>Financial Services Hub</x:v>
      </x:c>
      <x:c r="C21" s="17" t="str">
        <x:v>Multi-Service</x:v>
      </x:c>
      <x:c r="D21" s="17" t="str">
        <x:v>Starter</x:v>
      </x:c>
      <x:c r="E21" s="48" t="str">
        <x:v>Uncommon</x:v>
      </x:c>
      <x:c r="F21" s="17" t="n">
        <x:v>20</x:v>
      </x:c>
      <x:c r="G21" s="17" t="str">
        <x:v>Empire Lv. 11–20</x:v>
      </x:c>
      <x:c r="H21" s="17" t="str">
        <x:v>2x2</x:v>
      </x:c>
      <x:c r="I21" s="17" t="n">
        <x:v>6</x:v>
      </x:c>
      <x:c r="J21" s="17" t="n">
        <x:v>7</x:v>
      </x:c>
      <x:c r="K21" s="38" t="n">
        <x:v>16550</x:v>
      </x:c>
      <x:c r="L21" s="38" t="n">
        <x:v>1331</x:v>
      </x:c>
      <x:c r="M21" s="38" t="n">
        <x:v>1635</x:v>
      </x:c>
      <x:c r="N21" s="38" t="n">
        <x:v>216</x:v>
      </x:c>
      <x:c r="O21" s="39" t="n">
        <x:v>0.13</x:v>
      </x:c>
      <x:c r="P21" s="17" t="str">
        <x:v>Revenue</x:v>
      </x:c>
      <x:c r="Q21" s="17" t="str">
        <x:v>Medium</x:v>
      </x:c>
      <x:c r="R21" s="17" t="str">
        <x:v>Consumers / Retail Investors</x:v>
      </x:c>
      <x:c r="S21" s="17" t="str">
        <x:v>Bank + Brokerage</x:v>
      </x:c>
      <x:c r="T21" s="17" t="str">
        <x:v>Mixed activity</x:v>
      </x:c>
      <x:c r="U21" s="17" t="n">
        <x:v>2</x:v>
      </x:c>
      <x:c r="V21" s="17" t="str">
        <x:v>3 / 6</x:v>
      </x:c>
      <x:c r="W21" s="17" t="str">
        <x:v>Universal, Operations, Customer, Research</x:v>
      </x:c>
      <x:c r="X21" s="17" t="str">
        <x:v>Uncommon</x:v>
      </x:c>
      <x:c r="Y21" s="17" t="str">
        <x:v>rare</x:v>
      </x:c>
      <x:c r="Z21" s="17" t="n">
        <x:v>1</x:v>
      </x:c>
      <x:c r="AA21" s="17" t="str">
        <x:v>Runtime stage 1 → Lv1; stage 2 → Lv3; stage 3 → Lv7</x:v>
      </x:c>
      <x:c r="AB21" s="17" t="str">
        <x:v>Canonical Module overlay; base building balance unchanged</x:v>
      </x:c>
    </x:row>
    <x:row r="22">
      <x:c r="A22" s="17" t="n">
        <x:v>21</x:v>
      </x:c>
      <x:c r="B22" s="17" t="str">
        <x:v>Community Bank Branch</x:v>
      </x:c>
      <x:c r="C22" s="17" t="str">
        <x:v>Banking</x:v>
      </x:c>
      <x:c r="D22" s="17" t="str">
        <x:v>Growing</x:v>
      </x:c>
      <x:c r="E22" s="50" t="str">
        <x:v>Rare</x:v>
      </x:c>
      <x:c r="F22" s="17" t="n">
        <x:v>21</x:v>
      </x:c>
      <x:c r="G22" s="17" t="str">
        <x:v>Empire Lv. 21–30</x:v>
      </x:c>
      <x:c r="H22" s="17" t="str">
        <x:v>2x2</x:v>
      </x:c>
      <x:c r="I22" s="17" t="n">
        <x:v>7</x:v>
      </x:c>
      <x:c r="J22" s="17" t="n">
        <x:v>8</x:v>
      </x:c>
      <x:c r="K22" s="38" t="n">
        <x:v>20440</x:v>
      </x:c>
      <x:c r="L22" s="38" t="n">
        <x:v>1490</x:v>
      </x:c>
      <x:c r="M22" s="38" t="n">
        <x:v>1946</x:v>
      </x:c>
      <x:c r="N22" s="38" t="n">
        <x:v>234</x:v>
      </x:c>
      <x:c r="O22" s="39" t="n">
        <x:v>0.14</x:v>
      </x:c>
      <x:c r="P22" s="17" t="str">
        <x:v>Balanced</x:v>
      </x:c>
      <x:c r="Q22" s="17" t="str">
        <x:v>Low</x:v>
      </x:c>
      <x:c r="R22" s="17" t="str">
        <x:v>General Consumers</x:v>
      </x:c>
      <x:c r="S22" s="17" t="str">
        <x:v>Insurance + Treasury</x:v>
      </x:c>
      <x:c r="T22" s="17" t="str">
        <x:v>Deposits / lending</x:v>
      </x:c>
      <x:c r="U22" s="17" t="n">
        <x:v>2</x:v>
      </x:c>
      <x:c r="V22" s="17" t="str">
        <x:v>3 / 7</x:v>
      </x:c>
      <x:c r="W22" s="17" t="str">
        <x:v>Universal, Customer, Liquidity, Risk</x:v>
      </x:c>
      <x:c r="X22" s="17" t="str">
        <x:v>Rare</x:v>
      </x:c>
      <x:c r="Y22" s="17" t="str">
        <x:v>epic</x:v>
      </x:c>
      <x:c r="Z22" s="17" t="n">
        <x:v>1</x:v>
      </x:c>
      <x:c r="AA22" s="17" t="str">
        <x:v>Runtime stage 1 → Lv1; stage 2 → Lv3; stage 3 → Lv8</x:v>
      </x:c>
      <x:c r="AB22" s="17" t="str">
        <x:v>Canonical Module overlay; base building balance unchanged</x:v>
      </x:c>
    </x:row>
    <x:row r="23">
      <x:c r="A23" s="17" t="n">
        <x:v>22</x:v>
      </x:c>
      <x:c r="B23" s="17" t="str">
        <x:v>Brokerage House</x:v>
      </x:c>
      <x:c r="C23" s="17" t="str">
        <x:v>Brokerage</x:v>
      </x:c>
      <x:c r="D23" s="17" t="str">
        <x:v>Growing</x:v>
      </x:c>
      <x:c r="E23" s="50" t="str">
        <x:v>Rare</x:v>
      </x:c>
      <x:c r="F23" s="17" t="n">
        <x:v>22</x:v>
      </x:c>
      <x:c r="G23" s="17" t="str">
        <x:v>Empire Lv. 21–30</x:v>
      </x:c>
      <x:c r="H23" s="17" t="str">
        <x:v>2x2</x:v>
      </x:c>
      <x:c r="I23" s="17" t="n">
        <x:v>7</x:v>
      </x:c>
      <x:c r="J23" s="17" t="n">
        <x:v>8</x:v>
      </x:c>
      <x:c r="K23" s="38" t="n">
        <x:v>25240</x:v>
      </x:c>
      <x:c r="L23" s="38" t="n">
        <x:v>1893</x:v>
      </x:c>
      <x:c r="M23" s="38" t="n">
        <x:v>2315</x:v>
      </x:c>
      <x:c r="N23" s="38" t="n">
        <x:v>319</x:v>
      </x:c>
      <x:c r="O23" s="39" t="n">
        <x:v>0.14</x:v>
      </x:c>
      <x:c r="P23" s="17" t="str">
        <x:v>Revenue</x:v>
      </x:c>
      <x:c r="Q23" s="17" t="str">
        <x:v>Medium</x:v>
      </x:c>
      <x:c r="R23" s="17" t="str">
        <x:v>Retail Investors</x:v>
      </x:c>
      <x:c r="S23" s="17" t="str">
        <x:v>Exchange + Research</x:v>
      </x:c>
      <x:c r="T23" s="17" t="str">
        <x:v>Stock hunts</x:v>
      </x:c>
      <x:c r="U23" s="17" t="n">
        <x:v>2</x:v>
      </x:c>
      <x:c r="V23" s="17" t="str">
        <x:v>3 / 7</x:v>
      </x:c>
      <x:c r="W23" s="17" t="str">
        <x:v>Universal, Market, Customer, Research</x:v>
      </x:c>
      <x:c r="X23" s="17" t="str">
        <x:v>Rare</x:v>
      </x:c>
      <x:c r="Y23" s="17" t="str">
        <x:v>epic</x:v>
      </x:c>
      <x:c r="Z23" s="17" t="n">
        <x:v>1</x:v>
      </x:c>
      <x:c r="AA23" s="17" t="str">
        <x:v>Runtime stage 1 → Lv1; stage 2 → Lv3; stage 3 → Lv8</x:v>
      </x:c>
      <x:c r="AB23" s="17" t="str">
        <x:v>Canonical Module overlay; base building balance unchanged</x:v>
      </x:c>
    </x:row>
    <x:row r="24">
      <x:c r="A24" s="17" t="n">
        <x:v>23</x:v>
      </x:c>
      <x:c r="B24" s="17" t="str">
        <x:v>Investment Advisory Firm</x:v>
      </x:c>
      <x:c r="C24" s="17" t="str">
        <x:v>Advisory</x:v>
      </x:c>
      <x:c r="D24" s="17" t="str">
        <x:v>Growing</x:v>
      </x:c>
      <x:c r="E24" s="50" t="str">
        <x:v>Rare</x:v>
      </x:c>
      <x:c r="F24" s="17" t="n">
        <x:v>23</x:v>
      </x:c>
      <x:c r="G24" s="17" t="str">
        <x:v>Empire Lv. 21–30</x:v>
      </x:c>
      <x:c r="H24" s="17" t="str">
        <x:v>2x2</x:v>
      </x:c>
      <x:c r="I24" s="17" t="n">
        <x:v>7</x:v>
      </x:c>
      <x:c r="J24" s="17" t="n">
        <x:v>8</x:v>
      </x:c>
      <x:c r="K24" s="38" t="n">
        <x:v>31170</x:v>
      </x:c>
      <x:c r="L24" s="38" t="n">
        <x:v>1920</x:v>
      </x:c>
      <x:c r="M24" s="38" t="n">
        <x:v>2755</x:v>
      </x:c>
      <x:c r="N24" s="38" t="n">
        <x:v>298</x:v>
      </x:c>
      <x:c r="O24" s="39" t="n">
        <x:v>0.14</x:v>
      </x:c>
      <x:c r="P24" s="17" t="str">
        <x:v>Balanced</x:v>
      </x:c>
      <x:c r="Q24" s="17" t="str">
        <x:v>Medium</x:v>
      </x:c>
      <x:c r="R24" s="17" t="str">
        <x:v>Retail / HNW</x:v>
      </x:c>
      <x:c r="S24" s="17" t="str">
        <x:v>Fund + Research</x:v>
      </x:c>
      <x:c r="T24" s="17" t="str">
        <x:v>Investor conversion</x:v>
      </x:c>
      <x:c r="U24" s="17" t="n">
        <x:v>2</x:v>
      </x:c>
      <x:c r="V24" s="17" t="str">
        <x:v>3 / 7</x:v>
      </x:c>
      <x:c r="W24" s="17" t="str">
        <x:v>Universal, Wealth, Customer, Service</x:v>
      </x:c>
      <x:c r="X24" s="17" t="str">
        <x:v>Rare</x:v>
      </x:c>
      <x:c r="Y24" s="17" t="str">
        <x:v>epic</x:v>
      </x:c>
      <x:c r="Z24" s="17" t="n">
        <x:v>1</x:v>
      </x:c>
      <x:c r="AA24" s="17" t="str">
        <x:v>Runtime stage 1 → Lv1; stage 2 → Lv3; stage 3 → Lv8</x:v>
      </x:c>
      <x:c r="AB24" s="17" t="str">
        <x:v>Canonical Module overlay; base building balance unchanged</x:v>
      </x:c>
    </x:row>
    <x:row r="25">
      <x:c r="A25" s="17" t="n">
        <x:v>24</x:v>
      </x:c>
      <x:c r="B25" s="17" t="str">
        <x:v>Asset Management Office</x:v>
      </x:c>
      <x:c r="C25" s="17" t="str">
        <x:v>Asset Management</x:v>
      </x:c>
      <x:c r="D25" s="17" t="str">
        <x:v>Growing</x:v>
      </x:c>
      <x:c r="E25" s="50" t="str">
        <x:v>Rare</x:v>
      </x:c>
      <x:c r="F25" s="17" t="n">
        <x:v>24</x:v>
      </x:c>
      <x:c r="G25" s="17" t="str">
        <x:v>Empire Lv. 21–30</x:v>
      </x:c>
      <x:c r="H25" s="17" t="str">
        <x:v>2x2</x:v>
      </x:c>
      <x:c r="I25" s="17" t="n">
        <x:v>7</x:v>
      </x:c>
      <x:c r="J25" s="17" t="n">
        <x:v>8</x:v>
      </x:c>
      <x:c r="K25" s="38" t="n">
        <x:v>38500</x:v>
      </x:c>
      <x:c r="L25" s="38" t="n">
        <x:v>2801</x:v>
      </x:c>
      <x:c r="M25" s="38" t="n">
        <x:v>3279</x:v>
      </x:c>
      <x:c r="N25" s="38" t="n">
        <x:v>413</x:v>
      </x:c>
      <x:c r="O25" s="39" t="n">
        <x:v>0.14</x:v>
      </x:c>
      <x:c r="P25" s="17" t="str">
        <x:v>Revenue</x:v>
      </x:c>
      <x:c r="Q25" s="17" t="str">
        <x:v>Medium</x:v>
      </x:c>
      <x:c r="R25" s="17" t="str">
        <x:v>Retail / HNW</x:v>
      </x:c>
      <x:c r="S25" s="17" t="str">
        <x:v>Research + Wealth</x:v>
      </x:c>
      <x:c r="T25" s="17" t="str">
        <x:v>AUM</x:v>
      </x:c>
      <x:c r="U25" s="17" t="n">
        <x:v>2</x:v>
      </x:c>
      <x:c r="V25" s="17" t="str">
        <x:v>3 / 7</x:v>
      </x:c>
      <x:c r="W25" s="17" t="str">
        <x:v>Universal, Market, Research, Risk</x:v>
      </x:c>
      <x:c r="X25" s="17" t="str">
        <x:v>Rare</x:v>
      </x:c>
      <x:c r="Y25" s="17" t="str">
        <x:v>epic</x:v>
      </x:c>
      <x:c r="Z25" s="17" t="n">
        <x:v>1</x:v>
      </x:c>
      <x:c r="AA25" s="17" t="str">
        <x:v>Runtime stage 1 → Lv1; stage 2 → Lv3; stage 3 → Lv8</x:v>
      </x:c>
      <x:c r="AB25" s="17" t="str">
        <x:v>Canonical Module overlay; base building balance unchanged</x:v>
      </x:c>
    </x:row>
    <x:row r="26">
      <x:c r="A26" s="17" t="n">
        <x:v>25</x:v>
      </x:c>
      <x:c r="B26" s="17" t="str">
        <x:v>Market Research Center</x:v>
      </x:c>
      <x:c r="C26" s="17" t="str">
        <x:v>Research</x:v>
      </x:c>
      <x:c r="D26" s="17" t="str">
        <x:v>Growing</x:v>
      </x:c>
      <x:c r="E26" s="50" t="str">
        <x:v>Rare</x:v>
      </x:c>
      <x:c r="F26" s="17" t="n">
        <x:v>25</x:v>
      </x:c>
      <x:c r="G26" s="17" t="str">
        <x:v>Empire Lv. 21–30</x:v>
      </x:c>
      <x:c r="H26" s="17" t="str">
        <x:v>2x2</x:v>
      </x:c>
      <x:c r="I26" s="17" t="n">
        <x:v>7</x:v>
      </x:c>
      <x:c r="J26" s="17" t="n">
        <x:v>8</x:v>
      </x:c>
      <x:c r="K26" s="38" t="n">
        <x:v>47550</x:v>
      </x:c>
      <x:c r="L26" s="38" t="n">
        <x:v>2304</x:v>
      </x:c>
      <x:c r="M26" s="38" t="n">
        <x:v>3902</x:v>
      </x:c>
      <x:c r="N26" s="38" t="n">
        <x:v>375</x:v>
      </x:c>
      <x:c r="O26" s="39" t="n">
        <x:v>0.14</x:v>
      </x:c>
      <x:c r="P26" s="17" t="str">
        <x:v>Utility</x:v>
      </x:c>
      <x:c r="Q26" s="17" t="str">
        <x:v>Medium</x:v>
      </x:c>
      <x:c r="R26" s="17" t="str">
        <x:v>Investors / Traders</x:v>
      </x:c>
      <x:c r="S26" s="17" t="str">
        <x:v>Fund + Exchange</x:v>
      </x:c>
      <x:c r="T26" s="17" t="str">
        <x:v>Research</x:v>
      </x:c>
      <x:c r="U26" s="17" t="n">
        <x:v>2</x:v>
      </x:c>
      <x:c r="V26" s="17" t="str">
        <x:v>3 / 7</x:v>
      </x:c>
      <x:c r="W26" s="17" t="str">
        <x:v>Universal, Research, Operations, Event</x:v>
      </x:c>
      <x:c r="X26" s="17" t="str">
        <x:v>Rare</x:v>
      </x:c>
      <x:c r="Y26" s="17" t="str">
        <x:v>epic</x:v>
      </x:c>
      <x:c r="Z26" s="17" t="n">
        <x:v>1</x:v>
      </x:c>
      <x:c r="AA26" s="17" t="str">
        <x:v>Runtime stage 1 → Lv1; stage 2 → Lv3; stage 3 → Lv8</x:v>
      </x:c>
      <x:c r="AB26" s="17" t="str">
        <x:v>Canonical Module overlay; base building balance unchanged</x:v>
      </x:c>
    </x:row>
    <x:row r="27">
      <x:c r="A27" s="17" t="n">
        <x:v>26</x:v>
      </x:c>
      <x:c r="B27" s="17" t="str">
        <x:v>Lending Center</x:v>
      </x:c>
      <x:c r="C27" s="17" t="str">
        <x:v>Lending</x:v>
      </x:c>
      <x:c r="D27" s="17" t="str">
        <x:v>Growing</x:v>
      </x:c>
      <x:c r="E27" s="50" t="str">
        <x:v>Rare</x:v>
      </x:c>
      <x:c r="F27" s="17" t="n">
        <x:v>26</x:v>
      </x:c>
      <x:c r="G27" s="17" t="str">
        <x:v>Empire Lv. 21–30</x:v>
      </x:c>
      <x:c r="H27" s="17" t="str">
        <x:v>2x2</x:v>
      </x:c>
      <x:c r="I27" s="17" t="n">
        <x:v>7</x:v>
      </x:c>
      <x:c r="J27" s="17" t="n">
        <x:v>8</x:v>
      </x:c>
      <x:c r="K27" s="38" t="n">
        <x:v>58720</x:v>
      </x:c>
      <x:c r="L27" s="38" t="n">
        <x:v>3994</x:v>
      </x:c>
      <x:c r="M27" s="38" t="n">
        <x:v>4643</x:v>
      </x:c>
      <x:c r="N27" s="38" t="n">
        <x:v>557</x:v>
      </x:c>
      <x:c r="O27" s="39" t="n">
        <x:v>0.14</x:v>
      </x:c>
      <x:c r="P27" s="17" t="str">
        <x:v>Revenue</x:v>
      </x:c>
      <x:c r="Q27" s="17" t="str">
        <x:v>High</x:v>
      </x:c>
      <x:c r="R27" s="17" t="str">
        <x:v>Consumers / Businesses</x:v>
      </x:c>
      <x:c r="S27" s="17" t="str">
        <x:v>Insurance + Bank</x:v>
      </x:c>
      <x:c r="T27" s="17" t="str">
        <x:v>Loans</x:v>
      </x:c>
      <x:c r="U27" s="17" t="n">
        <x:v>2</x:v>
      </x:c>
      <x:c r="V27" s="17" t="str">
        <x:v>3 / 7</x:v>
      </x:c>
      <x:c r="W27" s="17" t="str">
        <x:v>Universal, Customer, Credit, Risk</x:v>
      </x:c>
      <x:c r="X27" s="17" t="str">
        <x:v>Rare</x:v>
      </x:c>
      <x:c r="Y27" s="17" t="str">
        <x:v>epic</x:v>
      </x:c>
      <x:c r="Z27" s="17" t="n">
        <x:v>1</x:v>
      </x:c>
      <x:c r="AA27" s="17" t="str">
        <x:v>Runtime stage 1 → Lv1; stage 2 → Lv3; stage 3 → Lv8</x:v>
      </x:c>
      <x:c r="AB27" s="17" t="str">
        <x:v>Canonical Module overlay; base building balance unchanged</x:v>
      </x:c>
    </x:row>
    <x:row r="28">
      <x:c r="A28" s="17" t="n">
        <x:v>27</x:v>
      </x:c>
      <x:c r="B28" s="17" t="str">
        <x:v>Wealth Management Office</x:v>
      </x:c>
      <x:c r="C28" s="17" t="str">
        <x:v>Wealth</x:v>
      </x:c>
      <x:c r="D28" s="17" t="str">
        <x:v>Growing</x:v>
      </x:c>
      <x:c r="E28" s="50" t="str">
        <x:v>Rare</x:v>
      </x:c>
      <x:c r="F28" s="17" t="n">
        <x:v>27</x:v>
      </x:c>
      <x:c r="G28" s="17" t="str">
        <x:v>Empire Lv. 21–30</x:v>
      </x:c>
      <x:c r="H28" s="17" t="str">
        <x:v>2x2</x:v>
      </x:c>
      <x:c r="I28" s="17" t="n">
        <x:v>7</x:v>
      </x:c>
      <x:c r="J28" s="17" t="n">
        <x:v>8</x:v>
      </x:c>
      <x:c r="K28" s="38" t="n">
        <x:v>72520</x:v>
      </x:c>
      <x:c r="L28" s="38" t="n">
        <x:v>4794</x:v>
      </x:c>
      <x:c r="M28" s="38" t="n">
        <x:v>5526</x:v>
      </x:c>
      <x:c r="N28" s="38" t="n">
        <x:v>630</x:v>
      </x:c>
      <x:c r="O28" s="39" t="n">
        <x:v>0.14</x:v>
      </x:c>
      <x:c r="P28" s="17" t="str">
        <x:v>Balanced</x:v>
      </x:c>
      <x:c r="Q28" s="17" t="str">
        <x:v>Medium</x:v>
      </x:c>
      <x:c r="R28" s="17" t="str">
        <x:v>HNW Customers</x:v>
      </x:c>
      <x:c r="S28" s="17" t="str">
        <x:v>Private Bank + Fund</x:v>
      </x:c>
      <x:c r="T28" s="17" t="str">
        <x:v>AUM / fees</x:v>
      </x:c>
      <x:c r="U28" s="17" t="n">
        <x:v>2</x:v>
      </x:c>
      <x:c r="V28" s="17" t="str">
        <x:v>3 / 7</x:v>
      </x:c>
      <x:c r="W28" s="17" t="str">
        <x:v>Universal, Wealth, Customer, Service</x:v>
      </x:c>
      <x:c r="X28" s="17" t="str">
        <x:v>Rare</x:v>
      </x:c>
      <x:c r="Y28" s="17" t="str">
        <x:v>epic</x:v>
      </x:c>
      <x:c r="Z28" s="17" t="n">
        <x:v>1</x:v>
      </x:c>
      <x:c r="AA28" s="17" t="str">
        <x:v>Runtime stage 1 → Lv1; stage 2 → Lv3; stage 3 → Lv8</x:v>
      </x:c>
      <x:c r="AB28" s="17" t="str">
        <x:v>Canonical Module overlay; base building balance unchanged</x:v>
      </x:c>
    </x:row>
    <x:row r="29">
      <x:c r="A29" s="17" t="n">
        <x:v>28</x:v>
      </x:c>
      <x:c r="B29" s="17" t="str">
        <x:v>Digital Finance Hub</x:v>
      </x:c>
      <x:c r="C29" s="17" t="str">
        <x:v>Fintech</x:v>
      </x:c>
      <x:c r="D29" s="17" t="str">
        <x:v>Growing</x:v>
      </x:c>
      <x:c r="E29" s="50" t="str">
        <x:v>Rare</x:v>
      </x:c>
      <x:c r="F29" s="17" t="n">
        <x:v>28</x:v>
      </x:c>
      <x:c r="G29" s="17" t="str">
        <x:v>Empire Lv. 21–30</x:v>
      </x:c>
      <x:c r="H29" s="17" t="str">
        <x:v>2x2</x:v>
      </x:c>
      <x:c r="I29" s="17" t="n">
        <x:v>7</x:v>
      </x:c>
      <x:c r="J29" s="17" t="n">
        <x:v>8</x:v>
      </x:c>
      <x:c r="K29" s="38" t="n">
        <x:v>89560</x:v>
      </x:c>
      <x:c r="L29" s="38" t="n">
        <x:v>5585</x:v>
      </x:c>
      <x:c r="M29" s="38" t="n">
        <x:v>6575</x:v>
      </x:c>
      <x:c r="N29" s="38" t="n">
        <x:v>907</x:v>
      </x:c>
      <x:c r="O29" s="39" t="n">
        <x:v>0.14</x:v>
      </x:c>
      <x:c r="P29" s="17" t="str">
        <x:v>Balanced</x:v>
      </x:c>
      <x:c r="Q29" s="17" t="str">
        <x:v>Medium</x:v>
      </x:c>
      <x:c r="R29" s="17" t="str">
        <x:v>Consumers / Traders</x:v>
      </x:c>
      <x:c r="S29" s="17" t="str">
        <x:v>Data + Brokerage</x:v>
      </x:c>
      <x:c r="T29" s="17" t="str">
        <x:v>Transactions</x:v>
      </x:c>
      <x:c r="U29" s="17" t="n">
        <x:v>2</x:v>
      </x:c>
      <x:c r="V29" s="17" t="str">
        <x:v>3 / 7</x:v>
      </x:c>
      <x:c r="W29" s="17" t="str">
        <x:v>Universal, Operations, Customer, Research</x:v>
      </x:c>
      <x:c r="X29" s="17" t="str">
        <x:v>Rare</x:v>
      </x:c>
      <x:c r="Y29" s="17" t="str">
        <x:v>epic</x:v>
      </x:c>
      <x:c r="Z29" s="17" t="n">
        <x:v>1</x:v>
      </x:c>
      <x:c r="AA29" s="17" t="str">
        <x:v>Runtime stage 1 → Lv1; stage 2 → Lv3; stage 3 → Lv8</x:v>
      </x:c>
      <x:c r="AB29" s="17" t="str">
        <x:v>Canonical Module overlay; base building balance unchanged</x:v>
      </x:c>
    </x:row>
    <x:row r="30">
      <x:c r="A30" s="17" t="n">
        <x:v>29</x:v>
      </x:c>
      <x:c r="B30" s="17" t="str">
        <x:v>Trading House</x:v>
      </x:c>
      <x:c r="C30" s="17" t="str">
        <x:v>Trading</x:v>
      </x:c>
      <x:c r="D30" s="17" t="str">
        <x:v>Growing</x:v>
      </x:c>
      <x:c r="E30" s="50" t="str">
        <x:v>Rare</x:v>
      </x:c>
      <x:c r="F30" s="17" t="n">
        <x:v>29</x:v>
      </x:c>
      <x:c r="G30" s="17" t="str">
        <x:v>Empire Lv. 21–30</x:v>
      </x:c>
      <x:c r="H30" s="17" t="str">
        <x:v>2x3</x:v>
      </x:c>
      <x:c r="I30" s="17" t="n">
        <x:v>7</x:v>
      </x:c>
      <x:c r="J30" s="17" t="n">
        <x:v>8</x:v>
      </x:c>
      <x:c r="K30" s="38" t="n">
        <x:v>110610</x:v>
      </x:c>
      <x:c r="L30" s="38" t="n">
        <x:v>7604</x:v>
      </x:c>
      <x:c r="M30" s="38" t="n">
        <x:v>7825</x:v>
      </x:c>
      <x:c r="N30" s="38" t="n">
        <x:v>1127</x:v>
      </x:c>
      <x:c r="O30" s="39" t="n">
        <x:v>0.14</x:v>
      </x:c>
      <x:c r="P30" s="17" t="str">
        <x:v>Revenue</x:v>
      </x:c>
      <x:c r="Q30" s="17" t="str">
        <x:v>High</x:v>
      </x:c>
      <x:c r="R30" s="17" t="str">
        <x:v>Active Traders</x:v>
      </x:c>
      <x:c r="S30" s="17" t="str">
        <x:v>Market Maker + Data</x:v>
      </x:c>
      <x:c r="T30" s="17" t="str">
        <x:v>Trading volume</x:v>
      </x:c>
      <x:c r="U30" s="17" t="n">
        <x:v>2</x:v>
      </x:c>
      <x:c r="V30" s="17" t="str">
        <x:v>3 / 7</x:v>
      </x:c>
      <x:c r="W30" s="17" t="str">
        <x:v>Universal, Market, Operations, Risk</x:v>
      </x:c>
      <x:c r="X30" s="17" t="str">
        <x:v>Rare</x:v>
      </x:c>
      <x:c r="Y30" s="17" t="str">
        <x:v>epic</x:v>
      </x:c>
      <x:c r="Z30" s="17" t="n">
        <x:v>1</x:v>
      </x:c>
      <x:c r="AA30" s="17" t="str">
        <x:v>Runtime stage 1 → Lv1; stage 2 → Lv3; stage 3 → Lv8</x:v>
      </x:c>
      <x:c r="AB30" s="17" t="str">
        <x:v>Canonical Module overlay; base building balance unchanged</x:v>
      </x:c>
    </x:row>
    <x:row r="31">
      <x:c r="A31" s="17" t="n">
        <x:v>30</x:v>
      </x:c>
      <x:c r="B31" s="17" t="str">
        <x:v>Private Vault Facility</x:v>
      </x:c>
      <x:c r="C31" s="17" t="str">
        <x:v>Treasury</x:v>
      </x:c>
      <x:c r="D31" s="17" t="str">
        <x:v>Growing</x:v>
      </x:c>
      <x:c r="E31" s="50" t="str">
        <x:v>Rare</x:v>
      </x:c>
      <x:c r="F31" s="17" t="n">
        <x:v>30</x:v>
      </x:c>
      <x:c r="G31" s="17" t="str">
        <x:v>Empire Lv. 21–30</x:v>
      </x:c>
      <x:c r="H31" s="17" t="str">
        <x:v>2x2</x:v>
      </x:c>
      <x:c r="I31" s="17" t="n">
        <x:v>7</x:v>
      </x:c>
      <x:c r="J31" s="17" t="n">
        <x:v>8</x:v>
      </x:c>
      <x:c r="K31" s="38" t="n">
        <x:v>136600</x:v>
      </x:c>
      <x:c r="L31" s="38" t="n">
        <x:v>6291</x:v>
      </x:c>
      <x:c r="M31" s="38" t="n">
        <x:v>9311</x:v>
      </x:c>
      <x:c r="N31" s="38" t="n">
        <x:v>838</x:v>
      </x:c>
      <x:c r="O31" s="39" t="n">
        <x:v>0.14</x:v>
      </x:c>
      <x:c r="P31" s="17" t="str">
        <x:v>Utility</x:v>
      </x:c>
      <x:c r="Q31" s="17" t="str">
        <x:v>Low</x:v>
      </x:c>
      <x:c r="R31" s="17" t="str">
        <x:v>HNW / Businesses</x:v>
      </x:c>
      <x:c r="S31" s="17" t="str">
        <x:v>Treasury + Bank</x:v>
      </x:c>
      <x:c r="T31" s="17" t="str">
        <x:v>Capital efficiency</x:v>
      </x:c>
      <x:c r="U31" s="17" t="n">
        <x:v>2</x:v>
      </x:c>
      <x:c r="V31" s="17" t="str">
        <x:v>3 / 7</x:v>
      </x:c>
      <x:c r="W31" s="17" t="str">
        <x:v>Universal, Liquidity, Risk, Operations</x:v>
      </x:c>
      <x:c r="X31" s="17" t="str">
        <x:v>Rare</x:v>
      </x:c>
      <x:c r="Y31" s="17" t="str">
        <x:v>epic</x:v>
      </x:c>
      <x:c r="Z31" s="17" t="n">
        <x:v>1</x:v>
      </x:c>
      <x:c r="AA31" s="17" t="str">
        <x:v>Runtime stage 1 → Lv1; stage 2 → Lv3; stage 3 → Lv8</x:v>
      </x:c>
      <x:c r="AB31" s="17" t="str">
        <x:v>Canonical Module overlay; base building balance unchanged</x:v>
      </x:c>
    </x:row>
    <x:row r="32">
      <x:c r="A32" s="17" t="n">
        <x:v>31</x:v>
      </x:c>
      <x:c r="B32" s="17" t="str">
        <x:v>Regional Bank</x:v>
      </x:c>
      <x:c r="C32" s="17" t="str">
        <x:v>Banking</x:v>
      </x:c>
      <x:c r="D32" s="17" t="str">
        <x:v>Established</x:v>
      </x:c>
      <x:c r="E32" s="52" t="str">
        <x:v>Epic</x:v>
      </x:c>
      <x:c r="F32" s="17" t="n">
        <x:v>31</x:v>
      </x:c>
      <x:c r="G32" s="17" t="str">
        <x:v>Empire Lv. 31–40</x:v>
      </x:c>
      <x:c r="H32" s="17" t="str">
        <x:v>2x3</x:v>
      </x:c>
      <x:c r="I32" s="17" t="n">
        <x:v>8</x:v>
      </x:c>
      <x:c r="J32" s="17" t="n">
        <x:v>9</x:v>
      </x:c>
      <x:c r="K32" s="38" t="n">
        <x:v>168710</x:v>
      </x:c>
      <x:c r="L32" s="38" t="n">
        <x:v>10181</x:v>
      </x:c>
      <x:c r="M32" s="38" t="n">
        <x:v>11081</x:v>
      </x:c>
      <x:c r="N32" s="38" t="n">
        <x:v>1330</x:v>
      </x:c>
      <x:c r="O32" s="39" t="n">
        <x:v>0.15</x:v>
      </x:c>
      <x:c r="P32" s="17" t="str">
        <x:v>Balanced</x:v>
      </x:c>
      <x:c r="Q32" s="17" t="str">
        <x:v>Low</x:v>
      </x:c>
      <x:c r="R32" s="17" t="str">
        <x:v>Consumers / Businesses</x:v>
      </x:c>
      <x:c r="S32" s="17" t="str">
        <x:v>Insurance + Treasury</x:v>
      </x:c>
      <x:c r="T32" s="17" t="str">
        <x:v>Deposits / lending</x:v>
      </x:c>
      <x:c r="U32" s="17" t="n">
        <x:v>3</x:v>
      </x:c>
      <x:c r="V32" s="17" t="str">
        <x:v>3 / 6 / 9</x:v>
      </x:c>
      <x:c r="W32" s="17" t="str">
        <x:v>Universal, Customer, Liquidity, Risk</x:v>
      </x:c>
      <x:c r="X32" s="17" t="str">
        <x:v>Epic</x:v>
      </x:c>
      <x:c r="Y32" s="17" t="str">
        <x:v>legendary</x:v>
      </x:c>
      <x:c r="Z32" s="17" t="n">
        <x:v>1</x:v>
      </x:c>
      <x:c r="AA32" s="17" t="str">
        <x:v>Runtime stage 1 → Lv1; stage 2 → Lv3; stage 3 → Lv9</x:v>
      </x:c>
      <x:c r="AB32" s="17" t="str">
        <x:v>Canonical Module overlay; base building balance unchanged</x:v>
      </x:c>
    </x:row>
    <x:row r="33">
      <x:c r="A33" s="17" t="n">
        <x:v>32</x:v>
      </x:c>
      <x:c r="B33" s="17" t="str">
        <x:v>Stock Brokerage Center</x:v>
      </x:c>
      <x:c r="C33" s="17" t="str">
        <x:v>Brokerage</x:v>
      </x:c>
      <x:c r="D33" s="17" t="str">
        <x:v>Established</x:v>
      </x:c>
      <x:c r="E33" s="52" t="str">
        <x:v>Epic</x:v>
      </x:c>
      <x:c r="F33" s="17" t="n">
        <x:v>32</x:v>
      </x:c>
      <x:c r="G33" s="17" t="str">
        <x:v>Empire Lv. 31–40</x:v>
      </x:c>
      <x:c r="H33" s="17" t="str">
        <x:v>2x3</x:v>
      </x:c>
      <x:c r="I33" s="17" t="n">
        <x:v>8</x:v>
      </x:c>
      <x:c r="J33" s="17" t="n">
        <x:v>9</x:v>
      </x:c>
      <x:c r="K33" s="38" t="n">
        <x:v>208350</x:v>
      </x:c>
      <x:c r="L33" s="38" t="n">
        <x:v>12978</x:v>
      </x:c>
      <x:c r="M33" s="38" t="n">
        <x:v>13186</x:v>
      </x:c>
      <x:c r="N33" s="38" t="n">
        <x:v>1820</x:v>
      </x:c>
      <x:c r="O33" s="39" t="n">
        <x:v>0.15</x:v>
      </x:c>
      <x:c r="P33" s="17" t="str">
        <x:v>Revenue</x:v>
      </x:c>
      <x:c r="Q33" s="17" t="str">
        <x:v>Medium</x:v>
      </x:c>
      <x:c r="R33" s="17" t="str">
        <x:v>Retail / Active Traders</x:v>
      </x:c>
      <x:c r="S33" s="17" t="str">
        <x:v>Exchange + Research</x:v>
      </x:c>
      <x:c r="T33" s="17" t="str">
        <x:v>Stock hunts</x:v>
      </x:c>
      <x:c r="U33" s="17" t="n">
        <x:v>3</x:v>
      </x:c>
      <x:c r="V33" s="17" t="str">
        <x:v>3 / 6 / 9</x:v>
      </x:c>
      <x:c r="W33" s="17" t="str">
        <x:v>Universal, Market, Customer, Research</x:v>
      </x:c>
      <x:c r="X33" s="17" t="str">
        <x:v>Epic</x:v>
      </x:c>
      <x:c r="Y33" s="17" t="str">
        <x:v>legendary</x:v>
      </x:c>
      <x:c r="Z33" s="17" t="n">
        <x:v>1</x:v>
      </x:c>
      <x:c r="AA33" s="17" t="str">
        <x:v>Runtime stage 1 → Lv1; stage 2 → Lv3; stage 3 → Lv9</x:v>
      </x:c>
      <x:c r="AB33" s="17" t="str">
        <x:v>Canonical Module overlay; base building balance unchanged</x:v>
      </x:c>
    </x:row>
    <x:row r="34">
      <x:c r="A34" s="17" t="n">
        <x:v>33</x:v>
      </x:c>
      <x:c r="B34" s="17" t="str">
        <x:v>Investment Fund HQ</x:v>
      </x:c>
      <x:c r="C34" s="17" t="str">
        <x:v>Asset Management</x:v>
      </x:c>
      <x:c r="D34" s="17" t="str">
        <x:v>Established</x:v>
      </x:c>
      <x:c r="E34" s="52" t="str">
        <x:v>Epic</x:v>
      </x:c>
      <x:c r="F34" s="17" t="n">
        <x:v>33</x:v>
      </x:c>
      <x:c r="G34" s="17" t="str">
        <x:v>Empire Lv. 31–40</x:v>
      </x:c>
      <x:c r="H34" s="17" t="str">
        <x:v>2x3</x:v>
      </x:c>
      <x:c r="I34" s="17" t="n">
        <x:v>8</x:v>
      </x:c>
      <x:c r="J34" s="17" t="n">
        <x:v>9</x:v>
      </x:c>
      <x:c r="K34" s="38" t="n">
        <x:v>257310</x:v>
      </x:c>
      <x:c r="L34" s="38" t="n">
        <x:v>15911</x:v>
      </x:c>
      <x:c r="M34" s="38" t="n">
        <x:v>15691</x:v>
      </x:c>
      <x:c r="N34" s="38" t="n">
        <x:v>1977</x:v>
      </x:c>
      <x:c r="O34" s="39" t="n">
        <x:v>0.15</x:v>
      </x:c>
      <x:c r="P34" s="17" t="str">
        <x:v>Revenue</x:v>
      </x:c>
      <x:c r="Q34" s="17" t="str">
        <x:v>Medium</x:v>
      </x:c>
      <x:c r="R34" s="17" t="str">
        <x:v>Retail / HNW</x:v>
      </x:c>
      <x:c r="S34" s="17" t="str">
        <x:v>Research + Wealth</x:v>
      </x:c>
      <x:c r="T34" s="17" t="str">
        <x:v>AUM</x:v>
      </x:c>
      <x:c r="U34" s="17" t="n">
        <x:v>3</x:v>
      </x:c>
      <x:c r="V34" s="17" t="str">
        <x:v>3 / 6 / 9</x:v>
      </x:c>
      <x:c r="W34" s="17" t="str">
        <x:v>Universal, Market, Research, Risk</x:v>
      </x:c>
      <x:c r="X34" s="17" t="str">
        <x:v>Epic</x:v>
      </x:c>
      <x:c r="Y34" s="17" t="str">
        <x:v>legendary</x:v>
      </x:c>
      <x:c r="Z34" s="17" t="n">
        <x:v>1</x:v>
      </x:c>
      <x:c r="AA34" s="17" t="str">
        <x:v>Runtime stage 1 → Lv1; stage 2 → Lv3; stage 3 → Lv9</x:v>
      </x:c>
      <x:c r="AB34" s="17" t="str">
        <x:v>Canonical Module overlay; base building balance unchanged</x:v>
      </x:c>
    </x:row>
    <x:row r="35">
      <x:c r="A35" s="17" t="n">
        <x:v>34</x:v>
      </x:c>
      <x:c r="B35" s="17" t="str">
        <x:v>Insurance Company HQ</x:v>
      </x:c>
      <x:c r="C35" s="17" t="str">
        <x:v>Insurance</x:v>
      </x:c>
      <x:c r="D35" s="17" t="str">
        <x:v>Established</x:v>
      </x:c>
      <x:c r="E35" s="52" t="str">
        <x:v>Epic</x:v>
      </x:c>
      <x:c r="F35" s="17" t="n">
        <x:v>34</x:v>
      </x:c>
      <x:c r="G35" s="17" t="str">
        <x:v>Empire Lv. 31–40</x:v>
      </x:c>
      <x:c r="H35" s="17" t="str">
        <x:v>2x3</x:v>
      </x:c>
      <x:c r="I35" s="17" t="n">
        <x:v>8</x:v>
      </x:c>
      <x:c r="J35" s="17" t="n">
        <x:v>9</x:v>
      </x:c>
      <x:c r="K35" s="38" t="n">
        <x:v>317780</x:v>
      </x:c>
      <x:c r="L35" s="38" t="n">
        <x:v>16410</x:v>
      </x:c>
      <x:c r="M35" s="38" t="n">
        <x:v>18672</x:v>
      </x:c>
      <x:c r="N35" s="38" t="n">
        <x:v>1905</x:v>
      </x:c>
      <x:c r="O35" s="39" t="n">
        <x:v>0.15</x:v>
      </x:c>
      <x:c r="P35" s="17" t="str">
        <x:v>Balanced</x:v>
      </x:c>
      <x:c r="Q35" s="17" t="str">
        <x:v>Low</x:v>
      </x:c>
      <x:c r="R35" s="17" t="str">
        <x:v>Consumers / Businesses</x:v>
      </x:c>
      <x:c r="S35" s="17" t="str">
        <x:v>Bank + Lending</x:v>
      </x:c>
      <x:c r="T35" s="17" t="str">
        <x:v>Risk</x:v>
      </x:c>
      <x:c r="U35" s="17" t="n">
        <x:v>3</x:v>
      </x:c>
      <x:c r="V35" s="17" t="str">
        <x:v>3 / 6 / 9</x:v>
      </x:c>
      <x:c r="W35" s="17" t="str">
        <x:v>Universal, Customer, Risk, Service</x:v>
      </x:c>
      <x:c r="X35" s="17" t="str">
        <x:v>Epic</x:v>
      </x:c>
      <x:c r="Y35" s="17" t="str">
        <x:v>legendary</x:v>
      </x:c>
      <x:c r="Z35" s="17" t="n">
        <x:v>1</x:v>
      </x:c>
      <x:c r="AA35" s="17" t="str">
        <x:v>Runtime stage 1 → Lv1; stage 2 → Lv3; stage 3 → Lv9</x:v>
      </x:c>
      <x:c r="AB35" s="17" t="str">
        <x:v>Canonical Module overlay; base building balance unchanged</x:v>
      </x:c>
    </x:row>
    <x:row r="36">
      <x:c r="A36" s="17" t="n">
        <x:v>35</x:v>
      </x:c>
      <x:c r="B36" s="17" t="str">
        <x:v>Financial Data Center</x:v>
      </x:c>
      <x:c r="C36" s="17" t="str">
        <x:v>Data</x:v>
      </x:c>
      <x:c r="D36" s="17" t="str">
        <x:v>Established</x:v>
      </x:c>
      <x:c r="E36" s="52" t="str">
        <x:v>Epic</x:v>
      </x:c>
      <x:c r="F36" s="17" t="n">
        <x:v>35</x:v>
      </x:c>
      <x:c r="G36" s="17" t="str">
        <x:v>Empire Lv. 31–40</x:v>
      </x:c>
      <x:c r="H36" s="17" t="str">
        <x:v>2x3</x:v>
      </x:c>
      <x:c r="I36" s="17" t="n">
        <x:v>8</x:v>
      </x:c>
      <x:c r="J36" s="17" t="n">
        <x:v>9</x:v>
      </x:c>
      <x:c r="K36" s="38" t="n">
        <x:v>392460</x:v>
      </x:c>
      <x:c r="L36" s="38" t="n">
        <x:v>17281</x:v>
      </x:c>
      <x:c r="M36" s="38" t="n">
        <x:v>22220</x:v>
      </x:c>
      <x:c r="N36" s="38" t="n">
        <x:v>2400</x:v>
      </x:c>
      <x:c r="O36" s="39" t="n">
        <x:v>0.15</x:v>
      </x:c>
      <x:c r="P36" s="17" t="str">
        <x:v>Utility</x:v>
      </x:c>
      <x:c r="Q36" s="17" t="str">
        <x:v>Low</x:v>
      </x:c>
      <x:c r="R36" s="17" t="str">
        <x:v>Institutions</x:v>
      </x:c>
      <x:c r="S36" s="17" t="str">
        <x:v>Exchange + Fintech</x:v>
      </x:c>
      <x:c r="T36" s="17" t="str">
        <x:v>Capacity</x:v>
      </x:c>
      <x:c r="U36" s="17" t="n">
        <x:v>3</x:v>
      </x:c>
      <x:c r="V36" s="17" t="str">
        <x:v>3 / 6 / 9</x:v>
      </x:c>
      <x:c r="W36" s="17" t="str">
        <x:v>Universal, Research, Operations, Event</x:v>
      </x:c>
      <x:c r="X36" s="17" t="str">
        <x:v>Epic</x:v>
      </x:c>
      <x:c r="Y36" s="17" t="str">
        <x:v>legendary</x:v>
      </x:c>
      <x:c r="Z36" s="17" t="n">
        <x:v>1</x:v>
      </x:c>
      <x:c r="AA36" s="17" t="str">
        <x:v>Runtime stage 1 → Lv1; stage 2 → Lv3; stage 3 → Lv9</x:v>
      </x:c>
      <x:c r="AB36" s="17" t="str">
        <x:v>Canonical Module overlay; base building balance unchanged</x:v>
      </x:c>
    </x:row>
    <x:row r="37">
      <x:c r="A37" s="17" t="n">
        <x:v>36</x:v>
      </x:c>
      <x:c r="B37" s="17" t="str">
        <x:v>Market Maker Office</x:v>
      </x:c>
      <x:c r="C37" s="17" t="str">
        <x:v>Market Making</x:v>
      </x:c>
      <x:c r="D37" s="17" t="str">
        <x:v>Established</x:v>
      </x:c>
      <x:c r="E37" s="52" t="str">
        <x:v>Epic</x:v>
      </x:c>
      <x:c r="F37" s="17" t="n">
        <x:v>36</x:v>
      </x:c>
      <x:c r="G37" s="17" t="str">
        <x:v>Empire Lv. 31–40</x:v>
      </x:c>
      <x:c r="H37" s="17" t="str">
        <x:v>2x3</x:v>
      </x:c>
      <x:c r="I37" s="17" t="n">
        <x:v>8</x:v>
      </x:c>
      <x:c r="J37" s="17" t="n">
        <x:v>9</x:v>
      </x:c>
      <x:c r="K37" s="38" t="n">
        <x:v>484690</x:v>
      </x:c>
      <x:c r="L37" s="38" t="n">
        <x:v>29350</x:v>
      </x:c>
      <x:c r="M37" s="38" t="n">
        <x:v>26442</x:v>
      </x:c>
      <x:c r="N37" s="38" t="n">
        <x:v>3808</x:v>
      </x:c>
      <x:c r="O37" s="39" t="n">
        <x:v>0.15</x:v>
      </x:c>
      <x:c r="P37" s="17" t="str">
        <x:v>Revenue</x:v>
      </x:c>
      <x:c r="Q37" s="17" t="str">
        <x:v>High</x:v>
      </x:c>
      <x:c r="R37" s="17" t="str">
        <x:v>Active / Institutional</x:v>
      </x:c>
      <x:c r="S37" s="17" t="str">
        <x:v>Exchange + Trading</x:v>
      </x:c>
      <x:c r="T37" s="17" t="str">
        <x:v>Liquidity</x:v>
      </x:c>
      <x:c r="U37" s="17" t="n">
        <x:v>3</x:v>
      </x:c>
      <x:c r="V37" s="17" t="str">
        <x:v>3 / 6 / 9</x:v>
      </x:c>
      <x:c r="W37" s="17" t="str">
        <x:v>Universal, Market, Operations, Risk</x:v>
      </x:c>
      <x:c r="X37" s="17" t="str">
        <x:v>Epic</x:v>
      </x:c>
      <x:c r="Y37" s="17" t="str">
        <x:v>legendary</x:v>
      </x:c>
      <x:c r="Z37" s="17" t="n">
        <x:v>1</x:v>
      </x:c>
      <x:c r="AA37" s="17" t="str">
        <x:v>Runtime stage 1 → Lv1; stage 2 → Lv3; stage 3 → Lv9</x:v>
      </x:c>
      <x:c r="AB37" s="17" t="str">
        <x:v>Canonical Module overlay; base building balance unchanged</x:v>
      </x:c>
    </x:row>
    <x:row r="38">
      <x:c r="A38" s="17" t="n">
        <x:v>37</x:v>
      </x:c>
      <x:c r="B38" s="17" t="str">
        <x:v>Private Banking Center</x:v>
      </x:c>
      <x:c r="C38" s="17" t="str">
        <x:v>Private Banking</x:v>
      </x:c>
      <x:c r="D38" s="17" t="str">
        <x:v>Established</x:v>
      </x:c>
      <x:c r="E38" s="52" t="str">
        <x:v>Epic</x:v>
      </x:c>
      <x:c r="F38" s="17" t="n">
        <x:v>37</x:v>
      </x:c>
      <x:c r="G38" s="17" t="str">
        <x:v>Empire Lv. 31–40</x:v>
      </x:c>
      <x:c r="H38" s="17" t="str">
        <x:v>2x3</x:v>
      </x:c>
      <x:c r="I38" s="17" t="n">
        <x:v>8</x:v>
      </x:c>
      <x:c r="J38" s="17" t="n">
        <x:v>9</x:v>
      </x:c>
      <x:c r="K38" s="38" t="n">
        <x:v>598590</x:v>
      </x:c>
      <x:c r="L38" s="38" t="n">
        <x:v>34373</x:v>
      </x:c>
      <x:c r="M38" s="38" t="n">
        <x:v>31466</x:v>
      </x:c>
      <x:c r="N38" s="38" t="n">
        <x:v>3398</x:v>
      </x:c>
      <x:c r="O38" s="39" t="n">
        <x:v>0.15</x:v>
      </x:c>
      <x:c r="P38" s="17" t="str">
        <x:v>Revenue</x:v>
      </x:c>
      <x:c r="Q38" s="17" t="str">
        <x:v>Medium</x:v>
      </x:c>
      <x:c r="R38" s="17" t="str">
        <x:v>HNW Customers</x:v>
      </x:c>
      <x:c r="S38" s="17" t="str">
        <x:v>Wealth + Fund</x:v>
      </x:c>
      <x:c r="T38" s="17" t="str">
        <x:v>Fees / AUM</x:v>
      </x:c>
      <x:c r="U38" s="17" t="n">
        <x:v>3</x:v>
      </x:c>
      <x:c r="V38" s="17" t="str">
        <x:v>3 / 6 / 9</x:v>
      </x:c>
      <x:c r="W38" s="17" t="str">
        <x:v>Universal, Wealth, Customer, Service</x:v>
      </x:c>
      <x:c r="X38" s="17" t="str">
        <x:v>Epic</x:v>
      </x:c>
      <x:c r="Y38" s="17" t="str">
        <x:v>legendary</x:v>
      </x:c>
      <x:c r="Z38" s="17" t="n">
        <x:v>1</x:v>
      </x:c>
      <x:c r="AA38" s="17" t="str">
        <x:v>Runtime stage 1 → Lv1; stage 2 → Lv3; stage 3 → Lv9</x:v>
      </x:c>
      <x:c r="AB38" s="17" t="str">
        <x:v>Canonical Module overlay; base building balance unchanged</x:v>
      </x:c>
    </x:row>
    <x:row r="39">
      <x:c r="A39" s="17" t="n">
        <x:v>38</x:v>
      </x:c>
      <x:c r="B39" s="17" t="str">
        <x:v>Corporate Treasury Center</x:v>
      </x:c>
      <x:c r="C39" s="17" t="str">
        <x:v>Treasury</x:v>
      </x:c>
      <x:c r="D39" s="17" t="str">
        <x:v>Established</x:v>
      </x:c>
      <x:c r="E39" s="52" t="str">
        <x:v>Epic</x:v>
      </x:c>
      <x:c r="F39" s="17" t="n">
        <x:v>38</x:v>
      </x:c>
      <x:c r="G39" s="17" t="str">
        <x:v>Empire Lv. 31–40</x:v>
      </x:c>
      <x:c r="H39" s="17" t="str">
        <x:v>2x3</x:v>
      </x:c>
      <x:c r="I39" s="17" t="n">
        <x:v>8</x:v>
      </x:c>
      <x:c r="J39" s="17" t="n">
        <x:v>9</x:v>
      </x:c>
      <x:c r="K39" s="38" t="n">
        <x:v>739260</x:v>
      </x:c>
      <x:c r="L39" s="38" t="n">
        <x:v>29854</x:v>
      </x:c>
      <x:c r="M39" s="38" t="n">
        <x:v>37445</x:v>
      </x:c>
      <x:c r="N39" s="38" t="n">
        <x:v>3370</x:v>
      </x:c>
      <x:c r="O39" s="39" t="n">
        <x:v>0.15</x:v>
      </x:c>
      <x:c r="P39" s="17" t="str">
        <x:v>Utility</x:v>
      </x:c>
      <x:c r="Q39" s="17" t="str">
        <x:v>Low</x:v>
      </x:c>
      <x:c r="R39" s="17" t="str">
        <x:v>Corporate Clients</x:v>
      </x:c>
      <x:c r="S39" s="17" t="str">
        <x:v>Investment Bank + Bank</x:v>
      </x:c>
      <x:c r="T39" s="17" t="str">
        <x:v>Capital efficiency</x:v>
      </x:c>
      <x:c r="U39" s="17" t="n">
        <x:v>3</x:v>
      </x:c>
      <x:c r="V39" s="17" t="str">
        <x:v>3 / 6 / 9</x:v>
      </x:c>
      <x:c r="W39" s="17" t="str">
        <x:v>Universal, Liquidity, Risk, Operations</x:v>
      </x:c>
      <x:c r="X39" s="17" t="str">
        <x:v>Epic</x:v>
      </x:c>
      <x:c r="Y39" s="17" t="str">
        <x:v>legendary</x:v>
      </x:c>
      <x:c r="Z39" s="17" t="n">
        <x:v>1</x:v>
      </x:c>
      <x:c r="AA39" s="17" t="str">
        <x:v>Runtime stage 1 → Lv1; stage 2 → Lv3; stage 3 → Lv9</x:v>
      </x:c>
      <x:c r="AB39" s="17" t="str">
        <x:v>Canonical Module overlay; base building balance unchanged</x:v>
      </x:c>
    </x:row>
    <x:row r="40">
      <x:c r="A40" s="17" t="n">
        <x:v>39</x:v>
      </x:c>
      <x:c r="B40" s="17" t="str">
        <x:v>Securities Exchange</x:v>
      </x:c>
      <x:c r="C40" s="17" t="str">
        <x:v>Exchange</x:v>
      </x:c>
      <x:c r="D40" s="17" t="str">
        <x:v>Established</x:v>
      </x:c>
      <x:c r="E40" s="52" t="str">
        <x:v>Epic</x:v>
      </x:c>
      <x:c r="F40" s="17" t="n">
        <x:v>39</x:v>
      </x:c>
      <x:c r="G40" s="17" t="str">
        <x:v>Empire Lv. 31–40</x:v>
      </x:c>
      <x:c r="H40" s="17" t="str">
        <x:v>3x3</x:v>
      </x:c>
      <x:c r="I40" s="17" t="n">
        <x:v>8</x:v>
      </x:c>
      <x:c r="J40" s="17" t="n">
        <x:v>9</x:v>
      </x:c>
      <x:c r="K40" s="38" t="n">
        <x:v>912990</x:v>
      </x:c>
      <x:c r="L40" s="38" t="n">
        <x:v>54226</x:v>
      </x:c>
      <x:c r="M40" s="38" t="n">
        <x:v>44559</x:v>
      </x:c>
      <x:c r="N40" s="38" t="n">
        <x:v>6684</x:v>
      </x:c>
      <x:c r="O40" s="39" t="n">
        <x:v>0.15</x:v>
      </x:c>
      <x:c r="P40" s="17" t="str">
        <x:v>Revenue</x:v>
      </x:c>
      <x:c r="Q40" s="17" t="str">
        <x:v>High</x:v>
      </x:c>
      <x:c r="R40" s="17" t="str">
        <x:v>Active / Institutional</x:v>
      </x:c>
      <x:c r="S40" s="17" t="str">
        <x:v>Market Maker + Brokerage</x:v>
      </x:c>
      <x:c r="T40" s="17" t="str">
        <x:v>Trading volume</x:v>
      </x:c>
      <x:c r="U40" s="17" t="n">
        <x:v>3</x:v>
      </x:c>
      <x:c r="V40" s="17" t="str">
        <x:v>3 / 6 / 9</x:v>
      </x:c>
      <x:c r="W40" s="17" t="str">
        <x:v>Universal, Market, Operations, Liquidity</x:v>
      </x:c>
      <x:c r="X40" s="17" t="str">
        <x:v>Epic</x:v>
      </x:c>
      <x:c r="Y40" s="17" t="str">
        <x:v>legendary</x:v>
      </x:c>
      <x:c r="Z40" s="17" t="n">
        <x:v>1</x:v>
      </x:c>
      <x:c r="AA40" s="17" t="str">
        <x:v>Runtime stage 1 → Lv1; stage 2 → Lv3; stage 3 → Lv9</x:v>
      </x:c>
      <x:c r="AB40" s="17" t="str">
        <x:v>Canonical Module overlay; base building balance unchanged</x:v>
      </x:c>
    </x:row>
    <x:row r="41">
      <x:c r="A41" s="17" t="n">
        <x:v>40</x:v>
      </x:c>
      <x:c r="B41" s="17" t="str">
        <x:v>Investment Bank</x:v>
      </x:c>
      <x:c r="C41" s="17" t="str">
        <x:v>Investment Banking</x:v>
      </x:c>
      <x:c r="D41" s="17" t="str">
        <x:v>Established</x:v>
      </x:c>
      <x:c r="E41" s="52" t="str">
        <x:v>Epic</x:v>
      </x:c>
      <x:c r="F41" s="17" t="n">
        <x:v>40</x:v>
      </x:c>
      <x:c r="G41" s="17" t="str">
        <x:v>Empire Lv. 31–40</x:v>
      </x:c>
      <x:c r="H41" s="17" t="str">
        <x:v>3x3</x:v>
      </x:c>
      <x:c r="I41" s="17" t="n">
        <x:v>8</x:v>
      </x:c>
      <x:c r="J41" s="17" t="n">
        <x:v>9</x:v>
      </x:c>
      <x:c r="K41" s="38" t="n">
        <x:v>1127540</x:v>
      </x:c>
      <x:c r="L41" s="38" t="n">
        <x:v>64791</x:v>
      </x:c>
      <x:c r="M41" s="38" t="n">
        <x:v>53025</x:v>
      </x:c>
      <x:c r="N41" s="38" t="n">
        <x:v>6363</x:v>
      </x:c>
      <x:c r="O41" s="39" t="n">
        <x:v>0.15</x:v>
      </x:c>
      <x:c r="P41" s="17" t="str">
        <x:v>Revenue</x:v>
      </x:c>
      <x:c r="Q41" s="17" t="str">
        <x:v>High</x:v>
      </x:c>
      <x:c r="R41" s="17" t="str">
        <x:v>Corporate Clients</x:v>
      </x:c>
      <x:c r="S41" s="17" t="str">
        <x:v>Treasury + Research</x:v>
      </x:c>
      <x:c r="T41" s="17" t="str">
        <x:v>Deals</x:v>
      </x:c>
      <x:c r="U41" s="17" t="n">
        <x:v>3</x:v>
      </x:c>
      <x:c r="V41" s="17" t="str">
        <x:v>3 / 6 / 9</x:v>
      </x:c>
      <x:c r="W41" s="17" t="str">
        <x:v>Universal, Institutional, Research, Risk</x:v>
      </x:c>
      <x:c r="X41" s="17" t="str">
        <x:v>Epic</x:v>
      </x:c>
      <x:c r="Y41" s="17" t="str">
        <x:v>legendary</x:v>
      </x:c>
      <x:c r="Z41" s="17" t="n">
        <x:v>1</x:v>
      </x:c>
      <x:c r="AA41" s="17" t="str">
        <x:v>Runtime stage 1 → Lv1; stage 2 → Lv3; stage 3 → Lv9</x:v>
      </x:c>
      <x:c r="AB41" s="17" t="str">
        <x:v>Canonical Module overlay; base building balance unchanged</x:v>
      </x:c>
    </x:row>
    <x:row r="42">
      <x:c r="A42" s="17" t="n">
        <x:v>41</x:v>
      </x:c>
      <x:c r="B42" s="17" t="str">
        <x:v>Global Brokerage Tower</x:v>
      </x:c>
      <x:c r="C42" s="17" t="str">
        <x:v>Brokerage</x:v>
      </x:c>
      <x:c r="D42" s="17" t="str">
        <x:v>Elite</x:v>
      </x:c>
      <x:c r="E42" s="54" t="str">
        <x:v>Legendary</x:v>
      </x:c>
      <x:c r="F42" s="17" t="n">
        <x:v>41</x:v>
      </x:c>
      <x:c r="G42" s="17" t="str">
        <x:v>Empire Lv. 41–45</x:v>
      </x:c>
      <x:c r="H42" s="17" t="str">
        <x:v>3x3</x:v>
      </x:c>
      <x:c r="I42" s="17" t="n">
        <x:v>9</x:v>
      </x:c>
      <x:c r="J42" s="17" t="n">
        <x:v>10</x:v>
      </x:c>
      <x:c r="K42" s="38" t="n">
        <x:v>1392510</x:v>
      </x:c>
      <x:c r="L42" s="38" t="n">
        <x:v>75258</x:v>
      </x:c>
      <x:c r="M42" s="38" t="n">
        <x:v>63100</x:v>
      </x:c>
      <x:c r="N42" s="38" t="n">
        <x:v>8708</x:v>
      </x:c>
      <x:c r="O42" s="39" t="n">
        <x:v>0.16</x:v>
      </x:c>
      <x:c r="P42" s="17" t="str">
        <x:v>Revenue</x:v>
      </x:c>
      <x:c r="Q42" s="17" t="str">
        <x:v>Medium</x:v>
      </x:c>
      <x:c r="R42" s="17" t="str">
        <x:v>Retail / Institutional</x:v>
      </x:c>
      <x:c r="S42" s="17" t="str">
        <x:v>Exchange + Research</x:v>
      </x:c>
      <x:c r="T42" s="17" t="str">
        <x:v>Global stock hunts</x:v>
      </x:c>
      <x:c r="U42" s="17" t="n">
        <x:v>3</x:v>
      </x:c>
      <x:c r="V42" s="17" t="str">
        <x:v>3 / 6 / 9</x:v>
      </x:c>
      <x:c r="W42" s="17" t="str">
        <x:v>Universal, Market, Customer, Research</x:v>
      </x:c>
      <x:c r="X42" s="17" t="str">
        <x:v>Legendary</x:v>
      </x:c>
      <x:c r="Y42" s="17" t="str">
        <x:v>legendary</x:v>
      </x:c>
      <x:c r="Z42" s="17" t="n">
        <x:v>1</x:v>
      </x:c>
      <x:c r="AA42" s="17" t="str">
        <x:v>Runtime stage 1 → Lv1; stage 2 → Lv3; stage 3 → Lv10</x:v>
      </x:c>
      <x:c r="AB42" s="17" t="str">
        <x:v>Canonical Module overlay; base building balance unchanged</x:v>
      </x:c>
    </x:row>
    <x:row r="43">
      <x:c r="A43" s="17" t="n">
        <x:v>42</x:v>
      </x:c>
      <x:c r="B43" s="17" t="str">
        <x:v>Major Asset Manager</x:v>
      </x:c>
      <x:c r="C43" s="17" t="str">
        <x:v>Asset Management</x:v>
      </x:c>
      <x:c r="D43" s="17" t="str">
        <x:v>Elite</x:v>
      </x:c>
      <x:c r="E43" s="54" t="str">
        <x:v>Legendary</x:v>
      </x:c>
      <x:c r="F43" s="17" t="n">
        <x:v>42</x:v>
      </x:c>
      <x:c r="G43" s="17" t="str">
        <x:v>Empire Lv. 41–45</x:v>
      </x:c>
      <x:c r="H43" s="17" t="str">
        <x:v>3x3</x:v>
      </x:c>
      <x:c r="I43" s="17" t="n">
        <x:v>9</x:v>
      </x:c>
      <x:c r="J43" s="17" t="n">
        <x:v>10</x:v>
      </x:c>
      <x:c r="K43" s="38" t="n">
        <x:v>1719760</x:v>
      </x:c>
      <x:c r="L43" s="38" t="n">
        <x:v>92468</x:v>
      </x:c>
      <x:c r="M43" s="38" t="n">
        <x:v>75089</x:v>
      </x:c>
      <x:c r="N43" s="38" t="n">
        <x:v>9461</x:v>
      </x:c>
      <x:c r="O43" s="39" t="n">
        <x:v>0.16</x:v>
      </x:c>
      <x:c r="P43" s="17" t="str">
        <x:v>Revenue</x:v>
      </x:c>
      <x:c r="Q43" s="17" t="str">
        <x:v>Medium</x:v>
      </x:c>
      <x:c r="R43" s="17" t="str">
        <x:v>HNW / Institutional</x:v>
      </x:c>
      <x:c r="S43" s="17" t="str">
        <x:v>Research + Wealth</x:v>
      </x:c>
      <x:c r="T43" s="17" t="str">
        <x:v>AUM</x:v>
      </x:c>
      <x:c r="U43" s="17" t="n">
        <x:v>3</x:v>
      </x:c>
      <x:c r="V43" s="17" t="str">
        <x:v>3 / 6 / 9</x:v>
      </x:c>
      <x:c r="W43" s="17" t="str">
        <x:v>Universal, Market, Research, Risk</x:v>
      </x:c>
      <x:c r="X43" s="17" t="str">
        <x:v>Legendary</x:v>
      </x:c>
      <x:c r="Y43" s="17" t="str">
        <x:v>legendary</x:v>
      </x:c>
      <x:c r="Z43" s="17" t="n">
        <x:v>1</x:v>
      </x:c>
      <x:c r="AA43" s="17" t="str">
        <x:v>Runtime stage 1 → Lv1; stage 2 → Lv3; stage 3 → Lv10</x:v>
      </x:c>
      <x:c r="AB43" s="17" t="str">
        <x:v>Canonical Module overlay; base building balance unchanged</x:v>
      </x:c>
    </x:row>
    <x:row r="44">
      <x:c r="A44" s="17" t="n">
        <x:v>43</x:v>
      </x:c>
      <x:c r="B44" s="17" t="str">
        <x:v>Institutional Trading Center</x:v>
      </x:c>
      <x:c r="C44" s="17" t="str">
        <x:v>Trading</x:v>
      </x:c>
      <x:c r="D44" s="17" t="str">
        <x:v>Elite</x:v>
      </x:c>
      <x:c r="E44" s="54" t="str">
        <x:v>Legendary</x:v>
      </x:c>
      <x:c r="F44" s="17" t="n">
        <x:v>43</x:v>
      </x:c>
      <x:c r="G44" s="17" t="str">
        <x:v>Empire Lv. 41–45</x:v>
      </x:c>
      <x:c r="H44" s="17" t="str">
        <x:v>3x3</x:v>
      </x:c>
      <x:c r="I44" s="17" t="n">
        <x:v>9</x:v>
      </x:c>
      <x:c r="J44" s="17" t="n">
        <x:v>10</x:v>
      </x:c>
      <x:c r="K44" s="38" t="n">
        <x:v>2123900</x:v>
      </x:c>
      <x:c r="L44" s="38" t="n">
        <x:v>116815</x:v>
      </x:c>
      <x:c r="M44" s="38" t="n">
        <x:v>89356</x:v>
      </x:c>
      <x:c r="N44" s="38" t="n">
        <x:v>12867</x:v>
      </x:c>
      <x:c r="O44" s="39" t="n">
        <x:v>0.16</x:v>
      </x:c>
      <x:c r="P44" s="17" t="str">
        <x:v>Revenue</x:v>
      </x:c>
      <x:c r="Q44" s="17" t="str">
        <x:v>High</x:v>
      </x:c>
      <x:c r="R44" s="17" t="str">
        <x:v>Institutional</x:v>
      </x:c>
      <x:c r="S44" s="17" t="str">
        <x:v>Market Maker + Data</x:v>
      </x:c>
      <x:c r="T44" s="17" t="str">
        <x:v>Trading volume</x:v>
      </x:c>
      <x:c r="U44" s="17" t="n">
        <x:v>3</x:v>
      </x:c>
      <x:c r="V44" s="17" t="str">
        <x:v>3 / 6 / 9</x:v>
      </x:c>
      <x:c r="W44" s="17" t="str">
        <x:v>Universal, Market, Operations, Risk</x:v>
      </x:c>
      <x:c r="X44" s="17" t="str">
        <x:v>Legendary</x:v>
      </x:c>
      <x:c r="Y44" s="17" t="str">
        <x:v>legendary</x:v>
      </x:c>
      <x:c r="Z44" s="17" t="n">
        <x:v>1</x:v>
      </x:c>
      <x:c r="AA44" s="17" t="str">
        <x:v>Runtime stage 1 → Lv1; stage 2 → Lv3; stage 3 → Lv10</x:v>
      </x:c>
      <x:c r="AB44" s="17" t="str">
        <x:v>Canonical Module overlay; base building balance unchanged</x:v>
      </x:c>
    </x:row>
    <x:row r="45">
      <x:c r="A45" s="17" t="n">
        <x:v>44</x:v>
      </x:c>
      <x:c r="B45" s="17" t="str">
        <x:v>Global Wealth Center</x:v>
      </x:c>
      <x:c r="C45" s="17" t="str">
        <x:v>Wealth</x:v>
      </x:c>
      <x:c r="D45" s="17" t="str">
        <x:v>Elite</x:v>
      </x:c>
      <x:c r="E45" s="54" t="str">
        <x:v>Legendary</x:v>
      </x:c>
      <x:c r="F45" s="17" t="n">
        <x:v>44</x:v>
      </x:c>
      <x:c r="G45" s="17" t="str">
        <x:v>Empire Lv. 41–45</x:v>
      </x:c>
      <x:c r="H45" s="17" t="str">
        <x:v>3x3</x:v>
      </x:c>
      <x:c r="I45" s="17" t="n">
        <x:v>9</x:v>
      </x:c>
      <x:c r="J45" s="17" t="n">
        <x:v>10</x:v>
      </x:c>
      <x:c r="K45" s="38" t="n">
        <x:v>2623010</x:v>
      </x:c>
      <x:c r="L45" s="38" t="n">
        <x:v>131889</x:v>
      </x:c>
      <x:c r="M45" s="38" t="n">
        <x:v>106334</x:v>
      </x:c>
      <x:c r="N45" s="38" t="n">
        <x:v>12122</x:v>
      </x:c>
      <x:c r="O45" s="39" t="n">
        <x:v>0.16</x:v>
      </x:c>
      <x:c r="P45" s="17" t="str">
        <x:v>Balanced</x:v>
      </x:c>
      <x:c r="Q45" s="17" t="str">
        <x:v>Medium</x:v>
      </x:c>
      <x:c r="R45" s="17" t="str">
        <x:v>HNW / Institutional</x:v>
      </x:c>
      <x:c r="S45" s="17" t="str">
        <x:v>Private Bank + Fund</x:v>
      </x:c>
      <x:c r="T45" s="17" t="str">
        <x:v>AUM / fees</x:v>
      </x:c>
      <x:c r="U45" s="17" t="n">
        <x:v>3</x:v>
      </x:c>
      <x:c r="V45" s="17" t="str">
        <x:v>3 / 6 / 9</x:v>
      </x:c>
      <x:c r="W45" s="17" t="str">
        <x:v>Universal, Wealth, Customer, Service</x:v>
      </x:c>
      <x:c r="X45" s="17" t="str">
        <x:v>Legendary</x:v>
      </x:c>
      <x:c r="Y45" s="17" t="str">
        <x:v>legendary</x:v>
      </x:c>
      <x:c r="Z45" s="17" t="n">
        <x:v>1</x:v>
      </x:c>
      <x:c r="AA45" s="17" t="str">
        <x:v>Runtime stage 1 → Lv1; stage 2 → Lv3; stage 3 → Lv10</x:v>
      </x:c>
      <x:c r="AB45" s="17" t="str">
        <x:v>Canonical Module overlay; base building balance unchanged</x:v>
      </x:c>
    </x:row>
    <x:row r="46">
      <x:c r="A46" s="17" t="n">
        <x:v>45</x:v>
      </x:c>
      <x:c r="B46" s="17" t="str">
        <x:v>Financial Exchange Tower</x:v>
      </x:c>
      <x:c r="C46" s="17" t="str">
        <x:v>Exchange</x:v>
      </x:c>
      <x:c r="D46" s="17" t="str">
        <x:v>Elite</x:v>
      </x:c>
      <x:c r="E46" s="54" t="str">
        <x:v>Legendary</x:v>
      </x:c>
      <x:c r="F46" s="17" t="n">
        <x:v>45</x:v>
      </x:c>
      <x:c r="G46" s="17" t="str">
        <x:v>Empire Lv. 41–45</x:v>
      </x:c>
      <x:c r="H46" s="17" t="str">
        <x:v>3x3</x:v>
      </x:c>
      <x:c r="I46" s="17" t="n">
        <x:v>9</x:v>
      </x:c>
      <x:c r="J46" s="17" t="n">
        <x:v>10</x:v>
      </x:c>
      <x:c r="K46" s="38" t="n">
        <x:v>3239420</x:v>
      </x:c>
      <x:c r="L46" s="38" t="n">
        <x:v>176369</x:v>
      </x:c>
      <x:c r="M46" s="38" t="n">
        <x:v>126537</x:v>
      </x:c>
      <x:c r="N46" s="38" t="n">
        <x:v>18981</x:v>
      </x:c>
      <x:c r="O46" s="39" t="n">
        <x:v>0.16</x:v>
      </x:c>
      <x:c r="P46" s="17" t="str">
        <x:v>Revenue</x:v>
      </x:c>
      <x:c r="Q46" s="17" t="str">
        <x:v>High</x:v>
      </x:c>
      <x:c r="R46" s="17" t="str">
        <x:v>Retail / Institutional</x:v>
      </x:c>
      <x:c r="S46" s="17" t="str">
        <x:v>Market Maker + Data</x:v>
      </x:c>
      <x:c r="T46" s="17" t="str">
        <x:v>Trading volume</x:v>
      </x:c>
      <x:c r="U46" s="17" t="n">
        <x:v>3</x:v>
      </x:c>
      <x:c r="V46" s="17" t="str">
        <x:v>3 / 6 / 9</x:v>
      </x:c>
      <x:c r="W46" s="17" t="str">
        <x:v>Universal, Market, Operations, Liquidity</x:v>
      </x:c>
      <x:c r="X46" s="17" t="str">
        <x:v>Legendary</x:v>
      </x:c>
      <x:c r="Y46" s="17" t="str">
        <x:v>legendary</x:v>
      </x:c>
      <x:c r="Z46" s="17" t="n">
        <x:v>1</x:v>
      </x:c>
      <x:c r="AA46" s="17" t="str">
        <x:v>Runtime stage 1 → Lv1; stage 2 → Lv3; stage 3 → Lv10</x:v>
      </x:c>
      <x:c r="AB46" s="17" t="str">
        <x:v>Canonical Module overlay; base building balance unchanged</x:v>
      </x:c>
    </x:row>
    <x:row r="47">
      <x:c r="A47" s="17" t="n">
        <x:v>46</x:v>
      </x:c>
      <x:c r="B47" s="17" t="str">
        <x:v>International Bank HQ</x:v>
      </x:c>
      <x:c r="C47" s="17" t="str">
        <x:v>Banking</x:v>
      </x:c>
      <x:c r="D47" s="17" t="str">
        <x:v>Tycoon</x:v>
      </x:c>
      <x:c r="E47" s="56" t="str">
        <x:v>Mythic</x:v>
      </x:c>
      <x:c r="F47" s="17" t="n">
        <x:v>46</x:v>
      </x:c>
      <x:c r="G47" s="17" t="str">
        <x:v>Empire Lv. 46–50</x:v>
      </x:c>
      <x:c r="H47" s="17" t="str">
        <x:v>4x4</x:v>
      </x:c>
      <x:c r="I47" s="17" t="n">
        <x:v>10</x:v>
      </x:c>
      <x:c r="J47" s="17" t="n">
        <x:v>11</x:v>
      </x:c>
      <x:c r="K47" s="38" t="n">
        <x:v>4000680</x:v>
      </x:c>
      <x:c r="L47" s="38" t="n">
        <x:v>191814</x:v>
      </x:c>
      <x:c r="M47" s="38" t="n">
        <x:v>150579</x:v>
      </x:c>
      <x:c r="N47" s="38" t="n">
        <x:v>18069</x:v>
      </x:c>
      <x:c r="O47" s="39" t="n">
        <x:v>0.17</x:v>
      </x:c>
      <x:c r="P47" s="17" t="str">
        <x:v>Balanced</x:v>
      </x:c>
      <x:c r="Q47" s="17" t="str">
        <x:v>Low</x:v>
      </x:c>
      <x:c r="R47" s="17" t="str">
        <x:v>Consumers / Corporate / HNW</x:v>
      </x:c>
      <x:c r="S47" s="17" t="str">
        <x:v>Treasury + Insurance</x:v>
      </x:c>
      <x:c r="T47" s="17" t="str">
        <x:v>Global banking</x:v>
      </x:c>
      <x:c r="U47" s="17" t="n">
        <x:v>4</x:v>
      </x:c>
      <x:c r="V47" s="17" t="str">
        <x:v>3 / 6 / 9 / 11</x:v>
      </x:c>
      <x:c r="W47" s="17" t="str">
        <x:v>Universal, Customer, Liquidity, Risk</x:v>
      </x:c>
      <x:c r="X47" s="17" t="str">
        <x:v>Mythic</x:v>
      </x:c>
      <x:c r="Y47" s="17" t="str">
        <x:v>legendary</x:v>
      </x:c>
      <x:c r="Z47" s="17" t="n">
        <x:v>1</x:v>
      </x:c>
      <x:c r="AA47" s="17" t="str">
        <x:v>Runtime stage 1 → Lv1; stage 2 → Lv3; stage 3 → Lv11</x:v>
      </x:c>
      <x:c r="AB47" s="17" t="str">
        <x:v>Canonical Module overlay; base building balance unchanged</x:v>
      </x:c>
    </x:row>
    <x:row r="48">
      <x:c r="A48" s="17" t="n">
        <x:v>47</x:v>
      </x:c>
      <x:c r="B48" s="17" t="str">
        <x:v>Global Investment Bank</x:v>
      </x:c>
      <x:c r="C48" s="17" t="str">
        <x:v>Investment Banking</x:v>
      </x:c>
      <x:c r="D48" s="17" t="str">
        <x:v>Tycoon</x:v>
      </x:c>
      <x:c r="E48" s="56" t="str">
        <x:v>Mythic</x:v>
      </x:c>
      <x:c r="F48" s="17" t="n">
        <x:v>47</x:v>
      </x:c>
      <x:c r="G48" s="17" t="str">
        <x:v>Empire Lv. 46–50</x:v>
      </x:c>
      <x:c r="H48" s="17" t="str">
        <x:v>4x4</x:v>
      </x:c>
      <x:c r="I48" s="17" t="n">
        <x:v>10</x:v>
      </x:c>
      <x:c r="J48" s="17" t="n">
        <x:v>11</x:v>
      </x:c>
      <x:c r="K48" s="38" t="n">
        <x:v>4940850</x:v>
      </x:c>
      <x:c r="L48" s="38" t="n">
        <x:v>257058</x:v>
      </x:c>
      <x:c r="M48" s="38" t="n">
        <x:v>179189</x:v>
      </x:c>
      <x:c r="N48" s="38" t="n">
        <x:v>21503</x:v>
      </x:c>
      <x:c r="O48" s="39" t="n">
        <x:v>0.17</x:v>
      </x:c>
      <x:c r="P48" s="17" t="str">
        <x:v>Revenue</x:v>
      </x:c>
      <x:c r="Q48" s="17" t="str">
        <x:v>High</x:v>
      </x:c>
      <x:c r="R48" s="17" t="str">
        <x:v>Corporate / Institutional</x:v>
      </x:c>
      <x:c r="S48" s="17" t="str">
        <x:v>Treasury + Research</x:v>
      </x:c>
      <x:c r="T48" s="17" t="str">
        <x:v>Deals</x:v>
      </x:c>
      <x:c r="U48" s="17" t="n">
        <x:v>4</x:v>
      </x:c>
      <x:c r="V48" s="17" t="str">
        <x:v>3 / 6 / 9 / 11</x:v>
      </x:c>
      <x:c r="W48" s="17" t="str">
        <x:v>Universal, Institutional, Research, Risk</x:v>
      </x:c>
      <x:c r="X48" s="17" t="str">
        <x:v>Mythic</x:v>
      </x:c>
      <x:c r="Y48" s="17" t="str">
        <x:v>legendary</x:v>
      </x:c>
      <x:c r="Z48" s="17" t="n">
        <x:v>1</x:v>
      </x:c>
      <x:c r="AA48" s="17" t="str">
        <x:v>Runtime stage 1 → Lv1; stage 2 → Lv3; stage 3 → Lv11</x:v>
      </x:c>
      <x:c r="AB48" s="17" t="str">
        <x:v>Canonical Module overlay; base building balance unchanged</x:v>
      </x:c>
    </x:row>
    <x:row r="49">
      <x:c r="A49" s="17" t="n">
        <x:v>48</x:v>
      </x:c>
      <x:c r="B49" s="17" t="str">
        <x:v>Sovereign Fund Tower</x:v>
      </x:c>
      <x:c r="C49" s="17" t="str">
        <x:v>Asset Management</x:v>
      </x:c>
      <x:c r="D49" s="17" t="str">
        <x:v>Tycoon</x:v>
      </x:c>
      <x:c r="E49" s="56" t="str">
        <x:v>Mythic</x:v>
      </x:c>
      <x:c r="F49" s="17" t="n">
        <x:v>48</x:v>
      </x:c>
      <x:c r="G49" s="17" t="str">
        <x:v>Empire Lv. 46–50</x:v>
      </x:c>
      <x:c r="H49" s="17" t="str">
        <x:v>4x4</x:v>
      </x:c>
      <x:c r="I49" s="17" t="n">
        <x:v>10</x:v>
      </x:c>
      <x:c r="J49" s="17" t="n">
        <x:v>11</x:v>
      </x:c>
      <x:c r="K49" s="38" t="n">
        <x:v>6101940</x:v>
      </x:c>
      <x:c r="L49" s="38" t="n">
        <x:v>301842</x:v>
      </x:c>
      <x:c r="M49" s="38" t="n">
        <x:v>213235</x:v>
      </x:c>
      <x:c r="N49" s="38" t="n">
        <x:v>26868</x:v>
      </x:c>
      <x:c r="O49" s="39" t="n">
        <x:v>0.17</x:v>
      </x:c>
      <x:c r="P49" s="17" t="str">
        <x:v>Revenue</x:v>
      </x:c>
      <x:c r="Q49" s="17" t="str">
        <x:v>Medium</x:v>
      </x:c>
      <x:c r="R49" s="17" t="str">
        <x:v>Institutional</x:v>
      </x:c>
      <x:c r="S49" s="17" t="str">
        <x:v>Research + Treasury</x:v>
      </x:c>
      <x:c r="T49" s="17" t="str">
        <x:v>AUM</x:v>
      </x:c>
      <x:c r="U49" s="17" t="n">
        <x:v>4</x:v>
      </x:c>
      <x:c r="V49" s="17" t="str">
        <x:v>3 / 6 / 9 / 11</x:v>
      </x:c>
      <x:c r="W49" s="17" t="str">
        <x:v>Universal, Market, Research, Risk</x:v>
      </x:c>
      <x:c r="X49" s="17" t="str">
        <x:v>Mythic</x:v>
      </x:c>
      <x:c r="Y49" s="17" t="str">
        <x:v>legendary</x:v>
      </x:c>
      <x:c r="Z49" s="17" t="n">
        <x:v>1</x:v>
      </x:c>
      <x:c r="AA49" s="17" t="str">
        <x:v>Runtime stage 1 → Lv1; stage 2 → Lv3; stage 3 → Lv11</x:v>
      </x:c>
      <x:c r="AB49" s="17" t="str">
        <x:v>Canonical Module overlay; base building balance unchanged</x:v>
      </x:c>
    </x:row>
    <x:row r="50">
      <x:c r="A50" s="17" t="n">
        <x:v>49</x:v>
      </x:c>
      <x:c r="B50" s="17" t="str">
        <x:v>World Financial Exchange</x:v>
      </x:c>
      <x:c r="C50" s="17" t="str">
        <x:v>Exchange</x:v>
      </x:c>
      <x:c r="D50" s="17" t="str">
        <x:v>Tycoon</x:v>
      </x:c>
      <x:c r="E50" s="56" t="str">
        <x:v>Mythic</x:v>
      </x:c>
      <x:c r="F50" s="17" t="n">
        <x:v>49</x:v>
      </x:c>
      <x:c r="G50" s="17" t="str">
        <x:v>Empire Lv. 46–50</x:v>
      </x:c>
      <x:c r="H50" s="17" t="str">
        <x:v>4x4</x:v>
      </x:c>
      <x:c r="I50" s="17" t="n">
        <x:v>10</x:v>
      </x:c>
      <x:c r="J50" s="17" t="n">
        <x:v>11</x:v>
      </x:c>
      <x:c r="K50" s="38" t="n">
        <x:v>7535900</x:v>
      </x:c>
      <x:c r="L50" s="38" t="n">
        <x:v>388694</x:v>
      </x:c>
      <x:c r="M50" s="38" t="n">
        <x:v>253750</x:v>
      </x:c>
      <x:c r="N50" s="38" t="n">
        <x:v>38062</x:v>
      </x:c>
      <x:c r="O50" s="39" t="n">
        <x:v>0.17</x:v>
      </x:c>
      <x:c r="P50" s="17" t="str">
        <x:v>Revenue</x:v>
      </x:c>
      <x:c r="Q50" s="17" t="str">
        <x:v>High</x:v>
      </x:c>
      <x:c r="R50" s="17" t="str">
        <x:v>Global Traders</x:v>
      </x:c>
      <x:c r="S50" s="17" t="str">
        <x:v>Market Maker + Data</x:v>
      </x:c>
      <x:c r="T50" s="17" t="str">
        <x:v>Global volume</x:v>
      </x:c>
      <x:c r="U50" s="17" t="n">
        <x:v>4</x:v>
      </x:c>
      <x:c r="V50" s="17" t="str">
        <x:v>3 / 6 / 9 / 11</x:v>
      </x:c>
      <x:c r="W50" s="17" t="str">
        <x:v>Universal, Market, Operations, Liquidity</x:v>
      </x:c>
      <x:c r="X50" s="17" t="str">
        <x:v>Mythic</x:v>
      </x:c>
      <x:c r="Y50" s="17" t="str">
        <x:v>legendary</x:v>
      </x:c>
      <x:c r="Z50" s="17" t="n">
        <x:v>1</x:v>
      </x:c>
      <x:c r="AA50" s="17" t="str">
        <x:v>Runtime stage 1 → Lv1; stage 2 → Lv3; stage 3 → Lv11</x:v>
      </x:c>
      <x:c r="AB50" s="17" t="str">
        <x:v>Canonical Module overlay; base building balance unchanged</x:v>
      </x:c>
    </x:row>
    <x:row r="51">
      <x:c r="A51" s="17" t="n">
        <x:v>50</x:v>
      </x:c>
      <x:c r="B51" s="17" t="str">
        <x:v>Financial Empire Headquarters</x:v>
      </x:c>
      <x:c r="C51" s="17" t="str">
        <x:v>Multi-Service</x:v>
      </x:c>
      <x:c r="D51" s="17" t="str">
        <x:v>Tycoon</x:v>
      </x:c>
      <x:c r="E51" s="56" t="str">
        <x:v>Mythic</x:v>
      </x:c>
      <x:c r="F51" s="17" t="n">
        <x:v>50</x:v>
      </x:c>
      <x:c r="G51" s="17" t="str">
        <x:v>Empire Lv. 46–50</x:v>
      </x:c>
      <x:c r="H51" s="17" t="str">
        <x:v>4x4</x:v>
      </x:c>
      <x:c r="I51" s="17" t="n">
        <x:v>10</x:v>
      </x:c>
      <x:c r="J51" s="17" t="n">
        <x:v>11</x:v>
      </x:c>
      <x:c r="K51" s="38" t="n">
        <x:v>9306840</x:v>
      </x:c>
      <x:c r="L51" s="38" t="n">
        <x:v>456881</x:v>
      </x:c>
      <x:c r="M51" s="38" t="n">
        <x:v>301962</x:v>
      </x:c>
      <x:c r="N51" s="38" t="n">
        <x:v>39859</x:v>
      </x:c>
      <x:c r="O51" s="39" t="n">
        <x:v>0.17</x:v>
      </x:c>
      <x:c r="P51" s="17" t="str">
        <x:v>Revenue</x:v>
      </x:c>
      <x:c r="Q51" s="17" t="str">
        <x:v>Medium</x:v>
      </x:c>
      <x:c r="R51" s="17" t="str">
        <x:v>All Segments</x:v>
      </x:c>
      <x:c r="S51" s="17" t="str">
        <x:v>All finance categories</x:v>
      </x:c>
      <x:c r="T51" s="17" t="str">
        <x:v>Empire-wide</x:v>
      </x:c>
      <x:c r="U51" s="17" t="n">
        <x:v>4</x:v>
      </x:c>
      <x:c r="V51" s="17" t="str">
        <x:v>3 / 6 / 9 / 11</x:v>
      </x:c>
      <x:c r="W51" s="17" t="str">
        <x:v>Universal, Customer, Operations, Risk</x:v>
      </x:c>
      <x:c r="X51" s="17" t="str">
        <x:v>Mythic</x:v>
      </x:c>
      <x:c r="Y51" s="17" t="str">
        <x:v>legendary</x:v>
      </x:c>
      <x:c r="Z51" s="17" t="n">
        <x:v>1</x:v>
      </x:c>
      <x:c r="AA51" s="17" t="str">
        <x:v>Runtime stage 1 → Lv1; stage 2 → Lv3; stage 3 → Lv11</x:v>
      </x:c>
      <x:c r="AB51" s="17" t="str">
        <x:v>Canonical Module overlay; base building balance unchanged</x:v>
      </x:c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</x:row>
    <x:row r="20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  <x:c r="O201" s="17"/>
      <x:c r="P201" s="17"/>
      <x:c r="Q201" s="17"/>
      <x:c r="R201" s="17"/>
      <x:c r="S201" s="17"/>
      <x:c r="T201" s="17"/>
      <x:c r="U201" s="17"/>
      <x:c r="V201" s="17"/>
      <x:c r="W201" s="17"/>
      <x:c r="X201" s="17"/>
      <x:c r="Y201" s="17"/>
      <x:c r="Z201" s="17"/>
    </x:row>
    <x:row r="202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  <x:c r="O202" s="17"/>
      <x:c r="P202" s="17"/>
      <x:c r="Q202" s="17"/>
      <x:c r="R202" s="17"/>
      <x:c r="S202" s="17"/>
      <x:c r="T202" s="17"/>
      <x:c r="U202" s="17"/>
      <x:c r="V202" s="17"/>
      <x:c r="W202" s="17"/>
      <x:c r="X202" s="17"/>
      <x:c r="Y202" s="17"/>
      <x:c r="Z202" s="17"/>
    </x:row>
    <x:row r="203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  <x:c r="O203" s="17"/>
      <x:c r="P203" s="17"/>
      <x:c r="Q203" s="17"/>
      <x:c r="R203" s="17"/>
      <x:c r="S203" s="17"/>
      <x:c r="T203" s="17"/>
      <x:c r="U203" s="17"/>
      <x:c r="V203" s="17"/>
      <x:c r="W203" s="17"/>
      <x:c r="X203" s="17"/>
      <x:c r="Y203" s="17"/>
      <x:c r="Z203" s="17"/>
    </x:row>
    <x:row r="204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  <x:c r="O204" s="17"/>
      <x:c r="P204" s="17"/>
      <x:c r="Q204" s="17"/>
      <x:c r="R204" s="17"/>
      <x:c r="S204" s="17"/>
      <x:c r="T204" s="17"/>
      <x:c r="U204" s="17"/>
      <x:c r="V204" s="17"/>
      <x:c r="W204" s="17"/>
      <x:c r="X204" s="17"/>
      <x:c r="Y204" s="17"/>
      <x:c r="Z204" s="17"/>
    </x:row>
    <x:row r="205">
      <x:c r="A205" s="17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  <x:c r="O205" s="17"/>
      <x:c r="P205" s="17"/>
      <x:c r="Q205" s="17"/>
      <x:c r="R205" s="17"/>
      <x:c r="S205" s="17"/>
      <x:c r="T205" s="17"/>
      <x:c r="U205" s="17"/>
      <x:c r="V205" s="17"/>
      <x:c r="W205" s="17"/>
      <x:c r="X205" s="17"/>
      <x:c r="Y205" s="17"/>
      <x:c r="Z205" s="17"/>
    </x:row>
    <x:row r="206">
      <x:c r="A206" s="17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  <x:c r="O206" s="17"/>
      <x:c r="P206" s="17"/>
      <x:c r="Q206" s="17"/>
      <x:c r="R206" s="17"/>
      <x:c r="S206" s="17"/>
      <x:c r="T206" s="17"/>
      <x:c r="U206" s="17"/>
      <x:c r="V206" s="17"/>
      <x:c r="W206" s="17"/>
      <x:c r="X206" s="17"/>
      <x:c r="Y206" s="17"/>
      <x:c r="Z206" s="17"/>
    </x:row>
    <x:row r="207">
      <x:c r="A207" s="17"/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  <x:c r="O207" s="17"/>
      <x:c r="P207" s="17"/>
      <x:c r="Q207" s="17"/>
      <x:c r="R207" s="17"/>
      <x:c r="S207" s="17"/>
      <x:c r="T207" s="17"/>
      <x:c r="U207" s="17"/>
      <x:c r="V207" s="17"/>
      <x:c r="W207" s="17"/>
      <x:c r="X207" s="17"/>
      <x:c r="Y207" s="17"/>
      <x:c r="Z207" s="17"/>
    </x:row>
    <x:row r="208">
      <x:c r="A208" s="17"/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  <x:c r="O208" s="17"/>
      <x:c r="P208" s="17"/>
      <x:c r="Q208" s="17"/>
      <x:c r="R208" s="17"/>
      <x:c r="S208" s="17"/>
      <x:c r="T208" s="17"/>
      <x:c r="U208" s="17"/>
      <x:c r="V208" s="17"/>
      <x:c r="W208" s="17"/>
      <x:c r="X208" s="17"/>
      <x:c r="Y208" s="17"/>
      <x:c r="Z208" s="17"/>
    </x:row>
    <x:row r="209">
      <x:c r="A209" s="17"/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  <x:c r="O209" s="17"/>
      <x:c r="P209" s="17"/>
      <x:c r="Q209" s="17"/>
      <x:c r="R209" s="17"/>
      <x:c r="S209" s="17"/>
      <x:c r="T209" s="17"/>
      <x:c r="U209" s="17"/>
      <x:c r="V209" s="17"/>
      <x:c r="W209" s="17"/>
      <x:c r="X209" s="17"/>
      <x:c r="Y209" s="17"/>
      <x:c r="Z209" s="17"/>
    </x:row>
    <x:row r="210">
      <x:c r="A210" s="17"/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  <x:c r="O210" s="17"/>
      <x:c r="P210" s="17"/>
      <x:c r="Q210" s="17"/>
      <x:c r="R210" s="17"/>
      <x:c r="S210" s="17"/>
      <x:c r="T210" s="17"/>
      <x:c r="U210" s="17"/>
      <x:c r="V210" s="17"/>
      <x:c r="W210" s="17"/>
      <x:c r="X210" s="17"/>
      <x:c r="Y210" s="17"/>
      <x:c r="Z210" s="17"/>
    </x:row>
    <x:row r="211">
      <x:c r="A211" s="17"/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  <x:c r="O211" s="17"/>
      <x:c r="P211" s="17"/>
      <x:c r="Q211" s="17"/>
      <x:c r="R211" s="17"/>
      <x:c r="S211" s="17"/>
      <x:c r="T211" s="17"/>
      <x:c r="U211" s="17"/>
      <x:c r="V211" s="17"/>
      <x:c r="W211" s="17"/>
      <x:c r="X211" s="17"/>
      <x:c r="Y211" s="17"/>
      <x:c r="Z211" s="17"/>
    </x:row>
    <x:row r="212">
      <x:c r="A212" s="17"/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  <x:c r="O212" s="17"/>
      <x:c r="P212" s="17"/>
      <x:c r="Q212" s="17"/>
      <x:c r="R212" s="17"/>
      <x:c r="S212" s="17"/>
      <x:c r="T212" s="17"/>
      <x:c r="U212" s="17"/>
      <x:c r="V212" s="17"/>
      <x:c r="W212" s="17"/>
      <x:c r="X212" s="17"/>
      <x:c r="Y212" s="17"/>
      <x:c r="Z212" s="17"/>
    </x:row>
    <x:row r="213">
      <x:c r="A213" s="17"/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  <x:c r="O213" s="17"/>
      <x:c r="P213" s="17"/>
      <x:c r="Q213" s="17"/>
      <x:c r="R213" s="17"/>
      <x:c r="S213" s="17"/>
      <x:c r="T213" s="17"/>
      <x:c r="U213" s="17"/>
      <x:c r="V213" s="17"/>
      <x:c r="W213" s="17"/>
      <x:c r="X213" s="17"/>
      <x:c r="Y213" s="17"/>
      <x:c r="Z213" s="17"/>
    </x:row>
    <x:row r="214">
      <x:c r="A214" s="17"/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  <x:c r="O214" s="17"/>
      <x:c r="P214" s="17"/>
      <x:c r="Q214" s="17"/>
      <x:c r="R214" s="17"/>
      <x:c r="S214" s="17"/>
      <x:c r="T214" s="17"/>
      <x:c r="U214" s="17"/>
      <x:c r="V214" s="17"/>
      <x:c r="W214" s="17"/>
      <x:c r="X214" s="17"/>
      <x:c r="Y214" s="17"/>
      <x:c r="Z214" s="17"/>
    </x:row>
    <x:row r="215">
      <x:c r="A215" s="17"/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  <x:c r="O215" s="17"/>
      <x:c r="P215" s="17"/>
      <x:c r="Q215" s="17"/>
      <x:c r="R215" s="17"/>
      <x:c r="S215" s="17"/>
      <x:c r="T215" s="17"/>
      <x:c r="U215" s="17"/>
      <x:c r="V215" s="17"/>
      <x:c r="W215" s="17"/>
      <x:c r="X215" s="17"/>
      <x:c r="Y215" s="17"/>
      <x:c r="Z215" s="17"/>
    </x:row>
    <x:row r="216">
      <x:c r="A216" s="17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  <x:c r="O216" s="17"/>
      <x:c r="P216" s="17"/>
      <x:c r="Q216" s="17"/>
      <x:c r="R216" s="17"/>
      <x:c r="S216" s="17"/>
      <x:c r="T216" s="17"/>
      <x:c r="U216" s="17"/>
      <x:c r="V216" s="17"/>
      <x:c r="W216" s="17"/>
      <x:c r="X216" s="17"/>
      <x:c r="Y216" s="17"/>
      <x:c r="Z216" s="17"/>
    </x:row>
    <x:row r="217">
      <x:c r="A217" s="17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  <x:c r="O217" s="17"/>
      <x:c r="P217" s="17"/>
      <x:c r="Q217" s="17"/>
      <x:c r="R217" s="17"/>
      <x:c r="S217" s="17"/>
      <x:c r="T217" s="17"/>
      <x:c r="U217" s="17"/>
      <x:c r="V217" s="17"/>
      <x:c r="W217" s="17"/>
      <x:c r="X217" s="17"/>
      <x:c r="Y217" s="17"/>
      <x:c r="Z217" s="17"/>
    </x:row>
    <x:row r="218">
      <x:c r="A218" s="17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  <x:c r="O218" s="17"/>
      <x:c r="P218" s="17"/>
      <x:c r="Q218" s="17"/>
      <x:c r="R218" s="17"/>
      <x:c r="S218" s="17"/>
      <x:c r="T218" s="17"/>
      <x:c r="U218" s="17"/>
      <x:c r="V218" s="17"/>
      <x:c r="W218" s="17"/>
      <x:c r="X218" s="17"/>
      <x:c r="Y218" s="17"/>
      <x:c r="Z218" s="17"/>
    </x:row>
    <x:row r="219">
      <x:c r="A219" s="17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  <x:c r="O219" s="17"/>
      <x:c r="P219" s="17"/>
      <x:c r="Q219" s="17"/>
      <x:c r="R219" s="17"/>
      <x:c r="S219" s="17"/>
      <x:c r="T219" s="17"/>
      <x:c r="U219" s="17"/>
      <x:c r="V219" s="17"/>
      <x:c r="W219" s="17"/>
      <x:c r="X219" s="17"/>
      <x:c r="Y219" s="17"/>
      <x:c r="Z219" s="17"/>
    </x:row>
    <x:row r="220">
      <x:c r="A220" s="17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  <x:c r="O220" s="17"/>
      <x:c r="P220" s="17"/>
      <x:c r="Q220" s="17"/>
      <x:c r="R220" s="17"/>
      <x:c r="S220" s="17"/>
      <x:c r="T220" s="17"/>
      <x:c r="U220" s="17"/>
      <x:c r="V220" s="17"/>
      <x:c r="W220" s="17"/>
      <x:c r="X220" s="17"/>
      <x:c r="Y220" s="17"/>
      <x:c r="Z220" s="17"/>
    </x:row>
    <x:row r="221">
      <x:c r="A221" s="17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  <x:c r="O221" s="17"/>
      <x:c r="P221" s="17"/>
      <x:c r="Q221" s="17"/>
      <x:c r="R221" s="17"/>
      <x:c r="S221" s="17"/>
      <x:c r="T221" s="17"/>
      <x:c r="U221" s="17"/>
      <x:c r="V221" s="17"/>
      <x:c r="W221" s="17"/>
      <x:c r="X221" s="17"/>
      <x:c r="Y221" s="17"/>
      <x:c r="Z221" s="17"/>
    </x:row>
    <x:row r="222">
      <x:c r="A222" s="17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  <x:c r="O222" s="17"/>
      <x:c r="P222" s="17"/>
      <x:c r="Q222" s="17"/>
      <x:c r="R222" s="17"/>
      <x:c r="S222" s="17"/>
      <x:c r="T222" s="17"/>
      <x:c r="U222" s="17"/>
      <x:c r="V222" s="17"/>
      <x:c r="W222" s="17"/>
      <x:c r="X222" s="17"/>
      <x:c r="Y222" s="17"/>
      <x:c r="Z222" s="17"/>
    </x:row>
    <x:row r="223">
      <x:c r="A223" s="17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  <x:c r="O223" s="17"/>
      <x:c r="P223" s="17"/>
      <x:c r="Q223" s="17"/>
      <x:c r="R223" s="17"/>
      <x:c r="S223" s="17"/>
      <x:c r="T223" s="17"/>
      <x:c r="U223" s="17"/>
      <x:c r="V223" s="17"/>
      <x:c r="W223" s="17"/>
      <x:c r="X223" s="17"/>
      <x:c r="Y223" s="17"/>
      <x:c r="Z223" s="17"/>
    </x:row>
    <x:row r="224">
      <x:c r="A224" s="17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  <x:c r="O224" s="17"/>
      <x:c r="P224" s="17"/>
      <x:c r="Q224" s="17"/>
      <x:c r="R224" s="17"/>
      <x:c r="S224" s="17"/>
      <x:c r="T224" s="17"/>
      <x:c r="U224" s="17"/>
      <x:c r="V224" s="17"/>
      <x:c r="W224" s="17"/>
      <x:c r="X224" s="17"/>
      <x:c r="Y224" s="17"/>
      <x:c r="Z224" s="17"/>
    </x:row>
    <x:row r="225">
      <x:c r="A225" s="17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  <x:c r="O225" s="17"/>
      <x:c r="P225" s="17"/>
      <x:c r="Q225" s="17"/>
      <x:c r="R225" s="17"/>
      <x:c r="S225" s="17"/>
      <x:c r="T225" s="17"/>
      <x:c r="U225" s="17"/>
      <x:c r="V225" s="17"/>
      <x:c r="W225" s="17"/>
      <x:c r="X225" s="17"/>
      <x:c r="Y225" s="17"/>
      <x:c r="Z225" s="17"/>
    </x:row>
    <x:row r="226">
      <x:c r="A226" s="17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  <x:c r="O226" s="17"/>
      <x:c r="P226" s="17"/>
      <x:c r="Q226" s="17"/>
      <x:c r="R226" s="17"/>
      <x:c r="S226" s="17"/>
      <x:c r="T226" s="17"/>
      <x:c r="U226" s="17"/>
      <x:c r="V226" s="17"/>
      <x:c r="W226" s="17"/>
      <x:c r="X226" s="17"/>
      <x:c r="Y226" s="17"/>
      <x:c r="Z226" s="17"/>
    </x:row>
    <x:row r="227">
      <x:c r="A227" s="17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  <x:c r="O227" s="17"/>
      <x:c r="P227" s="17"/>
      <x:c r="Q227" s="17"/>
      <x:c r="R227" s="17"/>
      <x:c r="S227" s="17"/>
      <x:c r="T227" s="17"/>
      <x:c r="U227" s="17"/>
      <x:c r="V227" s="17"/>
      <x:c r="W227" s="17"/>
      <x:c r="X227" s="17"/>
      <x:c r="Y227" s="17"/>
      <x:c r="Z227" s="17"/>
    </x:row>
    <x:row r="228">
      <x:c r="A228" s="17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  <x:c r="O228" s="17"/>
      <x:c r="P228" s="17"/>
      <x:c r="Q228" s="17"/>
      <x:c r="R228" s="17"/>
      <x:c r="S228" s="17"/>
      <x:c r="T228" s="17"/>
      <x:c r="U228" s="17"/>
      <x:c r="V228" s="17"/>
      <x:c r="W228" s="17"/>
      <x:c r="X228" s="17"/>
      <x:c r="Y228" s="17"/>
      <x:c r="Z228" s="17"/>
    </x:row>
    <x:row r="229">
      <x:c r="A229" s="17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  <x:c r="O229" s="17"/>
      <x:c r="P229" s="17"/>
      <x:c r="Q229" s="17"/>
      <x:c r="R229" s="17"/>
      <x:c r="S229" s="17"/>
      <x:c r="T229" s="17"/>
      <x:c r="U229" s="17"/>
      <x:c r="V229" s="17"/>
      <x:c r="W229" s="17"/>
      <x:c r="X229" s="17"/>
      <x:c r="Y229" s="17"/>
      <x:c r="Z229" s="17"/>
    </x:row>
    <x:row r="230">
      <x:c r="A230" s="17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  <x:c r="O230" s="17"/>
      <x:c r="P230" s="17"/>
      <x:c r="Q230" s="17"/>
      <x:c r="R230" s="17"/>
      <x:c r="S230" s="17"/>
      <x:c r="T230" s="17"/>
      <x:c r="U230" s="17"/>
      <x:c r="V230" s="17"/>
      <x:c r="W230" s="17"/>
      <x:c r="X230" s="17"/>
      <x:c r="Y230" s="17"/>
      <x:c r="Z230" s="17"/>
    </x:row>
    <x:row r="231">
      <x:c r="A231" s="17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  <x:c r="O231" s="17"/>
      <x:c r="P231" s="17"/>
      <x:c r="Q231" s="17"/>
      <x:c r="R231" s="17"/>
      <x:c r="S231" s="17"/>
      <x:c r="T231" s="17"/>
      <x:c r="U231" s="17"/>
      <x:c r="V231" s="17"/>
      <x:c r="W231" s="17"/>
      <x:c r="X231" s="17"/>
      <x:c r="Y231" s="17"/>
      <x:c r="Z231" s="17"/>
    </x:row>
    <x:row r="232">
      <x:c r="A232" s="17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  <x:c r="O232" s="17"/>
      <x:c r="P232" s="17"/>
      <x:c r="Q232" s="17"/>
      <x:c r="R232" s="17"/>
      <x:c r="S232" s="17"/>
      <x:c r="T232" s="17"/>
      <x:c r="U232" s="17"/>
      <x:c r="V232" s="17"/>
      <x:c r="W232" s="17"/>
      <x:c r="X232" s="17"/>
      <x:c r="Y232" s="17"/>
      <x:c r="Z232" s="17"/>
    </x:row>
    <x:row r="233">
      <x:c r="A233" s="17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  <x:c r="O233" s="17"/>
      <x:c r="P233" s="17"/>
      <x:c r="Q233" s="17"/>
      <x:c r="R233" s="17"/>
      <x:c r="S233" s="17"/>
      <x:c r="T233" s="17"/>
      <x:c r="U233" s="17"/>
      <x:c r="V233" s="17"/>
      <x:c r="W233" s="17"/>
      <x:c r="X233" s="17"/>
      <x:c r="Y233" s="17"/>
      <x:c r="Z233" s="17"/>
    </x:row>
    <x:row r="234">
      <x:c r="A234" s="17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  <x:c r="O234" s="17"/>
      <x:c r="P234" s="17"/>
      <x:c r="Q234" s="17"/>
      <x:c r="R234" s="17"/>
      <x:c r="S234" s="17"/>
      <x:c r="T234" s="17"/>
      <x:c r="U234" s="17"/>
      <x:c r="V234" s="17"/>
      <x:c r="W234" s="17"/>
      <x:c r="X234" s="17"/>
      <x:c r="Y234" s="17"/>
      <x:c r="Z234" s="17"/>
    </x:row>
    <x:row r="235">
      <x:c r="A235" s="17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  <x:c r="O235" s="17"/>
      <x:c r="P235" s="17"/>
      <x:c r="Q235" s="17"/>
      <x:c r="R235" s="17"/>
      <x:c r="S235" s="17"/>
      <x:c r="T235" s="17"/>
      <x:c r="U235" s="17"/>
      <x:c r="V235" s="17"/>
      <x:c r="W235" s="17"/>
      <x:c r="X235" s="17"/>
      <x:c r="Y235" s="17"/>
      <x:c r="Z235" s="17"/>
    </x:row>
    <x:row r="236">
      <x:c r="A236" s="17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  <x:c r="O236" s="17"/>
      <x:c r="P236" s="17"/>
      <x:c r="Q236" s="17"/>
      <x:c r="R236" s="17"/>
      <x:c r="S236" s="17"/>
      <x:c r="T236" s="17"/>
      <x:c r="U236" s="17"/>
      <x:c r="V236" s="17"/>
      <x:c r="W236" s="17"/>
      <x:c r="X236" s="17"/>
      <x:c r="Y236" s="17"/>
      <x:c r="Z236" s="17"/>
    </x:row>
    <x:row r="237">
      <x:c r="A237" s="17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  <x:c r="O237" s="17"/>
      <x:c r="P237" s="17"/>
      <x:c r="Q237" s="17"/>
      <x:c r="R237" s="17"/>
      <x:c r="S237" s="17"/>
      <x:c r="T237" s="17"/>
      <x:c r="U237" s="17"/>
      <x:c r="V237" s="17"/>
      <x:c r="W237" s="17"/>
      <x:c r="X237" s="17"/>
      <x:c r="Y237" s="17"/>
      <x:c r="Z237" s="17"/>
    </x:row>
    <x:row r="238">
      <x:c r="A238" s="17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  <x:c r="O238" s="17"/>
      <x:c r="P238" s="17"/>
      <x:c r="Q238" s="17"/>
      <x:c r="R238" s="17"/>
      <x:c r="S238" s="17"/>
      <x:c r="T238" s="17"/>
      <x:c r="U238" s="17"/>
      <x:c r="V238" s="17"/>
      <x:c r="W238" s="17"/>
      <x:c r="X238" s="17"/>
      <x:c r="Y238" s="17"/>
      <x:c r="Z238" s="17"/>
    </x:row>
    <x:row r="239">
      <x:c r="A239" s="17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  <x:c r="O239" s="17"/>
      <x:c r="P239" s="17"/>
      <x:c r="Q239" s="17"/>
      <x:c r="R239" s="17"/>
      <x:c r="S239" s="17"/>
      <x:c r="T239" s="17"/>
      <x:c r="U239" s="17"/>
      <x:c r="V239" s="17"/>
      <x:c r="W239" s="17"/>
      <x:c r="X239" s="17"/>
      <x:c r="Y239" s="17"/>
      <x:c r="Z239" s="17"/>
    </x:row>
    <x:row r="240">
      <x:c r="A240" s="17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  <x:c r="O240" s="17"/>
      <x:c r="P240" s="17"/>
      <x:c r="Q240" s="17"/>
      <x:c r="R240" s="17"/>
      <x:c r="S240" s="17"/>
      <x:c r="T240" s="17"/>
      <x:c r="U240" s="17"/>
      <x:c r="V240" s="17"/>
      <x:c r="W240" s="17"/>
      <x:c r="X240" s="17"/>
      <x:c r="Y240" s="17"/>
      <x:c r="Z240" s="17"/>
    </x:row>
    <x:row r="241">
      <x:c r="A241" s="17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  <x:c r="O241" s="17"/>
      <x:c r="P241" s="17"/>
      <x:c r="Q241" s="17"/>
      <x:c r="R241" s="17"/>
      <x:c r="S241" s="17"/>
      <x:c r="T241" s="17"/>
      <x:c r="U241" s="17"/>
      <x:c r="V241" s="17"/>
      <x:c r="W241" s="17"/>
      <x:c r="X241" s="17"/>
      <x:c r="Y241" s="17"/>
      <x:c r="Z241" s="17"/>
    </x:row>
    <x:row r="242">
      <x:c r="A242" s="17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  <x:c r="O242" s="17"/>
      <x:c r="P242" s="17"/>
      <x:c r="Q242" s="17"/>
      <x:c r="R242" s="17"/>
      <x:c r="S242" s="17"/>
      <x:c r="T242" s="17"/>
      <x:c r="U242" s="17"/>
      <x:c r="V242" s="17"/>
      <x:c r="W242" s="17"/>
      <x:c r="X242" s="17"/>
      <x:c r="Y242" s="17"/>
      <x:c r="Z242" s="17"/>
    </x:row>
    <x:row r="243">
      <x:c r="A243" s="17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  <x:c r="O243" s="17"/>
      <x:c r="P243" s="17"/>
      <x:c r="Q243" s="17"/>
      <x:c r="R243" s="17"/>
      <x:c r="S243" s="17"/>
      <x:c r="T243" s="17"/>
      <x:c r="U243" s="17"/>
      <x:c r="V243" s="17"/>
      <x:c r="W243" s="17"/>
      <x:c r="X243" s="17"/>
      <x:c r="Y243" s="17"/>
      <x:c r="Z243" s="17"/>
    </x:row>
    <x:row r="244">
      <x:c r="A244" s="17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  <x:c r="O244" s="17"/>
      <x:c r="P244" s="17"/>
      <x:c r="Q244" s="17"/>
      <x:c r="R244" s="17"/>
      <x:c r="S244" s="17"/>
      <x:c r="T244" s="17"/>
      <x:c r="U244" s="17"/>
      <x:c r="V244" s="17"/>
      <x:c r="W244" s="17"/>
      <x:c r="X244" s="17"/>
      <x:c r="Y244" s="17"/>
      <x:c r="Z244" s="17"/>
    </x:row>
    <x:row r="245">
      <x:c r="A245" s="17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  <x:c r="O245" s="17"/>
      <x:c r="P245" s="17"/>
      <x:c r="Q245" s="17"/>
      <x:c r="R245" s="17"/>
      <x:c r="S245" s="17"/>
      <x:c r="T245" s="17"/>
      <x:c r="U245" s="17"/>
      <x:c r="V245" s="17"/>
      <x:c r="W245" s="17"/>
      <x:c r="X245" s="17"/>
      <x:c r="Y245" s="17"/>
      <x:c r="Z245" s="17"/>
    </x:row>
    <x:row r="246">
      <x:c r="A246" s="17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  <x:c r="O246" s="17"/>
      <x:c r="P246" s="17"/>
      <x:c r="Q246" s="17"/>
      <x:c r="R246" s="17"/>
      <x:c r="S246" s="17"/>
      <x:c r="T246" s="17"/>
      <x:c r="U246" s="17"/>
      <x:c r="V246" s="17"/>
      <x:c r="W246" s="17"/>
      <x:c r="X246" s="17"/>
      <x:c r="Y246" s="17"/>
      <x:c r="Z246" s="17"/>
    </x:row>
    <x:row r="247">
      <x:c r="A247" s="17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  <x:c r="O247" s="17"/>
      <x:c r="P247" s="17"/>
      <x:c r="Q247" s="17"/>
      <x:c r="R247" s="17"/>
      <x:c r="S247" s="17"/>
      <x:c r="T247" s="17"/>
      <x:c r="U247" s="17"/>
      <x:c r="V247" s="17"/>
      <x:c r="W247" s="17"/>
      <x:c r="X247" s="17"/>
      <x:c r="Y247" s="17"/>
      <x:c r="Z247" s="17"/>
    </x:row>
    <x:row r="248">
      <x:c r="A248" s="17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  <x:c r="O248" s="17"/>
      <x:c r="P248" s="17"/>
      <x:c r="Q248" s="17"/>
      <x:c r="R248" s="17"/>
      <x:c r="S248" s="17"/>
      <x:c r="T248" s="17"/>
      <x:c r="U248" s="17"/>
      <x:c r="V248" s="17"/>
      <x:c r="W248" s="17"/>
      <x:c r="X248" s="17"/>
      <x:c r="Y248" s="17"/>
      <x:c r="Z248" s="17"/>
    </x:row>
    <x:row r="249">
      <x:c r="A249" s="17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  <x:c r="O249" s="17"/>
      <x:c r="P249" s="17"/>
      <x:c r="Q249" s="17"/>
      <x:c r="R249" s="17"/>
      <x:c r="S249" s="17"/>
      <x:c r="T249" s="17"/>
      <x:c r="U249" s="17"/>
      <x:c r="V249" s="17"/>
      <x:c r="W249" s="17"/>
      <x:c r="X249" s="17"/>
      <x:c r="Y249" s="17"/>
      <x:c r="Z249" s="17"/>
    </x:row>
    <x:row r="250">
      <x:c r="A250" s="17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  <x:c r="O250" s="17"/>
      <x:c r="P250" s="17"/>
      <x:c r="Q250" s="17"/>
      <x:c r="R250" s="17"/>
      <x:c r="S250" s="17"/>
      <x:c r="T250" s="17"/>
      <x:c r="U250" s="17"/>
      <x:c r="V250" s="17"/>
      <x:c r="W250" s="17"/>
      <x:c r="X250" s="17"/>
      <x:c r="Y250" s="17"/>
      <x:c r="Z250" s="17"/>
    </x:row>
    <x:row r="251">
      <x:c r="A251" s="17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  <x:c r="O251" s="17"/>
      <x:c r="P251" s="17"/>
      <x:c r="Q251" s="17"/>
      <x:c r="R251" s="17"/>
      <x:c r="S251" s="17"/>
      <x:c r="T251" s="17"/>
      <x:c r="U251" s="17"/>
      <x:c r="V251" s="17"/>
      <x:c r="W251" s="17"/>
      <x:c r="X251" s="17"/>
      <x:c r="Y251" s="17"/>
      <x:c r="Z251" s="17"/>
    </x:row>
    <x:row r="252">
      <x:c r="A252" s="17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  <x:c r="O252" s="17"/>
      <x:c r="P252" s="17"/>
      <x:c r="Q252" s="17"/>
      <x:c r="R252" s="17"/>
      <x:c r="S252" s="17"/>
      <x:c r="T252" s="17"/>
      <x:c r="U252" s="17"/>
      <x:c r="V252" s="17"/>
      <x:c r="W252" s="17"/>
      <x:c r="X252" s="17"/>
      <x:c r="Y252" s="17"/>
      <x:c r="Z252" s="17"/>
    </x:row>
    <x:row r="253">
      <x:c r="A253" s="17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  <x:c r="O253" s="17"/>
      <x:c r="P253" s="17"/>
      <x:c r="Q253" s="17"/>
      <x:c r="R253" s="17"/>
      <x:c r="S253" s="17"/>
      <x:c r="T253" s="17"/>
      <x:c r="U253" s="17"/>
      <x:c r="V253" s="17"/>
      <x:c r="W253" s="17"/>
      <x:c r="X253" s="17"/>
      <x:c r="Y253" s="17"/>
      <x:c r="Z253" s="17"/>
    </x:row>
    <x:row r="254">
      <x:c r="A254" s="17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  <x:c r="O254" s="17"/>
      <x:c r="P254" s="17"/>
      <x:c r="Q254" s="17"/>
      <x:c r="R254" s="17"/>
      <x:c r="S254" s="17"/>
      <x:c r="T254" s="17"/>
      <x:c r="U254" s="17"/>
      <x:c r="V254" s="17"/>
      <x:c r="W254" s="17"/>
      <x:c r="X254" s="17"/>
      <x:c r="Y254" s="17"/>
      <x:c r="Z254" s="17"/>
    </x:row>
    <x:row r="255">
      <x:c r="A255" s="17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  <x:c r="O255" s="17"/>
      <x:c r="P255" s="17"/>
      <x:c r="Q255" s="17"/>
      <x:c r="R255" s="17"/>
      <x:c r="S255" s="17"/>
      <x:c r="T255" s="17"/>
      <x:c r="U255" s="17"/>
      <x:c r="V255" s="17"/>
      <x:c r="W255" s="17"/>
      <x:c r="X255" s="17"/>
      <x:c r="Y255" s="17"/>
      <x:c r="Z255" s="17"/>
    </x:row>
    <x:row r="256">
      <x:c r="A256" s="17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  <x:c r="O256" s="17"/>
      <x:c r="P256" s="17"/>
      <x:c r="Q256" s="17"/>
      <x:c r="R256" s="17"/>
      <x:c r="S256" s="17"/>
      <x:c r="T256" s="17"/>
      <x:c r="U256" s="17"/>
      <x:c r="V256" s="17"/>
      <x:c r="W256" s="17"/>
      <x:c r="X256" s="17"/>
      <x:c r="Y256" s="17"/>
      <x:c r="Z256" s="17"/>
    </x:row>
    <x:row r="257">
      <x:c r="A257" s="17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  <x:c r="O257" s="17"/>
      <x:c r="P257" s="17"/>
      <x:c r="Q257" s="17"/>
      <x:c r="R257" s="17"/>
      <x:c r="S257" s="17"/>
      <x:c r="T257" s="17"/>
      <x:c r="U257" s="17"/>
      <x:c r="V257" s="17"/>
      <x:c r="W257" s="17"/>
      <x:c r="X257" s="17"/>
      <x:c r="Y257" s="17"/>
      <x:c r="Z257" s="17"/>
    </x:row>
    <x:row r="258">
      <x:c r="A258" s="17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  <x:c r="O258" s="17"/>
      <x:c r="P258" s="17"/>
      <x:c r="Q258" s="17"/>
      <x:c r="R258" s="17"/>
      <x:c r="S258" s="17"/>
      <x:c r="T258" s="17"/>
      <x:c r="U258" s="17"/>
      <x:c r="V258" s="17"/>
      <x:c r="W258" s="17"/>
      <x:c r="X258" s="17"/>
      <x:c r="Y258" s="17"/>
      <x:c r="Z258" s="17"/>
    </x:row>
    <x:row r="259">
      <x:c r="A259" s="17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  <x:c r="O259" s="17"/>
      <x:c r="P259" s="17"/>
      <x:c r="Q259" s="17"/>
      <x:c r="R259" s="17"/>
      <x:c r="S259" s="17"/>
      <x:c r="T259" s="17"/>
      <x:c r="U259" s="17"/>
      <x:c r="V259" s="17"/>
      <x:c r="W259" s="17"/>
      <x:c r="X259" s="17"/>
      <x:c r="Y259" s="17"/>
      <x:c r="Z259" s="17"/>
    </x:row>
    <x:row r="260">
      <x:c r="A260" s="17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  <x:c r="O260" s="17"/>
      <x:c r="P260" s="17"/>
      <x:c r="Q260" s="17"/>
      <x:c r="R260" s="17"/>
      <x:c r="S260" s="17"/>
      <x:c r="T260" s="17"/>
      <x:c r="U260" s="17"/>
      <x:c r="V260" s="17"/>
      <x:c r="W260" s="17"/>
      <x:c r="X260" s="17"/>
      <x:c r="Y260" s="17"/>
      <x:c r="Z260" s="17"/>
    </x:row>
    <x:row r="261">
      <x:c r="A261" s="17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  <x:c r="O261" s="17"/>
      <x:c r="P261" s="17"/>
      <x:c r="Q261" s="17"/>
      <x:c r="R261" s="17"/>
      <x:c r="S261" s="17"/>
      <x:c r="T261" s="17"/>
      <x:c r="U261" s="17"/>
      <x:c r="V261" s="17"/>
      <x:c r="W261" s="17"/>
      <x:c r="X261" s="17"/>
      <x:c r="Y261" s="17"/>
      <x:c r="Z261" s="17"/>
    </x:row>
    <x:row r="262">
      <x:c r="A262" s="17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  <x:c r="O262" s="17"/>
      <x:c r="P262" s="17"/>
      <x:c r="Q262" s="17"/>
      <x:c r="R262" s="17"/>
      <x:c r="S262" s="17"/>
      <x:c r="T262" s="17"/>
      <x:c r="U262" s="17"/>
      <x:c r="V262" s="17"/>
      <x:c r="W262" s="17"/>
      <x:c r="X262" s="17"/>
      <x:c r="Y262" s="17"/>
      <x:c r="Z262" s="17"/>
    </x:row>
    <x:row r="263">
      <x:c r="A263" s="17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  <x:c r="O263" s="17"/>
      <x:c r="P263" s="17"/>
      <x:c r="Q263" s="17"/>
      <x:c r="R263" s="17"/>
      <x:c r="S263" s="17"/>
      <x:c r="T263" s="17"/>
      <x:c r="U263" s="17"/>
      <x:c r="V263" s="17"/>
      <x:c r="W263" s="17"/>
      <x:c r="X263" s="17"/>
      <x:c r="Y263" s="17"/>
      <x:c r="Z263" s="17"/>
    </x:row>
    <x:row r="264">
      <x:c r="A264" s="17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  <x:c r="O264" s="17"/>
      <x:c r="P264" s="17"/>
      <x:c r="Q264" s="17"/>
      <x:c r="R264" s="17"/>
      <x:c r="S264" s="17"/>
      <x:c r="T264" s="17"/>
      <x:c r="U264" s="17"/>
      <x:c r="V264" s="17"/>
      <x:c r="W264" s="17"/>
      <x:c r="X264" s="17"/>
      <x:c r="Y264" s="17"/>
      <x:c r="Z264" s="17"/>
    </x:row>
    <x:row r="265">
      <x:c r="A265" s="17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  <x:c r="O265" s="17"/>
      <x:c r="P265" s="17"/>
      <x:c r="Q265" s="17"/>
      <x:c r="R265" s="17"/>
      <x:c r="S265" s="17"/>
      <x:c r="T265" s="17"/>
      <x:c r="U265" s="17"/>
      <x:c r="V265" s="17"/>
      <x:c r="W265" s="17"/>
      <x:c r="X265" s="17"/>
      <x:c r="Y265" s="17"/>
      <x:c r="Z265" s="17"/>
    </x:row>
    <x:row r="266">
      <x:c r="A266" s="17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  <x:c r="O266" s="17"/>
      <x:c r="P266" s="17"/>
      <x:c r="Q266" s="17"/>
      <x:c r="R266" s="17"/>
      <x:c r="S266" s="17"/>
      <x:c r="T266" s="17"/>
      <x:c r="U266" s="17"/>
      <x:c r="V266" s="17"/>
      <x:c r="W266" s="17"/>
      <x:c r="X266" s="17"/>
      <x:c r="Y266" s="17"/>
      <x:c r="Z266" s="17"/>
    </x:row>
    <x:row r="267">
      <x:c r="A267" s="17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  <x:c r="O267" s="17"/>
      <x:c r="P267" s="17"/>
      <x:c r="Q267" s="17"/>
      <x:c r="R267" s="17"/>
      <x:c r="S267" s="17"/>
      <x:c r="T267" s="17"/>
      <x:c r="U267" s="17"/>
      <x:c r="V267" s="17"/>
      <x:c r="W267" s="17"/>
      <x:c r="X267" s="17"/>
      <x:c r="Y267" s="17"/>
      <x:c r="Z267" s="17"/>
    </x:row>
    <x:row r="268">
      <x:c r="A268" s="17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  <x:c r="O268" s="17"/>
      <x:c r="P268" s="17"/>
      <x:c r="Q268" s="17"/>
      <x:c r="R268" s="17"/>
      <x:c r="S268" s="17"/>
      <x:c r="T268" s="17"/>
      <x:c r="U268" s="17"/>
      <x:c r="V268" s="17"/>
      <x:c r="W268" s="17"/>
      <x:c r="X268" s="17"/>
      <x:c r="Y268" s="17"/>
      <x:c r="Z268" s="17"/>
    </x:row>
    <x:row r="269">
      <x:c r="A269" s="17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  <x:c r="O269" s="17"/>
      <x:c r="P269" s="17"/>
      <x:c r="Q269" s="17"/>
      <x:c r="R269" s="17"/>
      <x:c r="S269" s="17"/>
      <x:c r="T269" s="17"/>
      <x:c r="U269" s="17"/>
      <x:c r="V269" s="17"/>
      <x:c r="W269" s="17"/>
      <x:c r="X269" s="17"/>
      <x:c r="Y269" s="17"/>
      <x:c r="Z269" s="17"/>
    </x:row>
    <x:row r="270">
      <x:c r="A270" s="17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  <x:c r="O270" s="17"/>
      <x:c r="P270" s="17"/>
      <x:c r="Q270" s="17"/>
      <x:c r="R270" s="17"/>
      <x:c r="S270" s="17"/>
      <x:c r="T270" s="17"/>
      <x:c r="U270" s="17"/>
      <x:c r="V270" s="17"/>
      <x:c r="W270" s="17"/>
      <x:c r="X270" s="17"/>
      <x:c r="Y270" s="17"/>
      <x:c r="Z270" s="17"/>
    </x:row>
    <x:row r="271">
      <x:c r="A271" s="17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  <x:c r="O271" s="17"/>
      <x:c r="P271" s="17"/>
      <x:c r="Q271" s="17"/>
      <x:c r="R271" s="17"/>
      <x:c r="S271" s="17"/>
      <x:c r="T271" s="17"/>
      <x:c r="U271" s="17"/>
      <x:c r="V271" s="17"/>
      <x:c r="W271" s="17"/>
      <x:c r="X271" s="17"/>
      <x:c r="Y271" s="17"/>
      <x:c r="Z271" s="17"/>
    </x:row>
    <x:row r="272">
      <x:c r="A272" s="17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  <x:c r="O272" s="17"/>
      <x:c r="P272" s="17"/>
      <x:c r="Q272" s="17"/>
      <x:c r="R272" s="17"/>
      <x:c r="S272" s="17"/>
      <x:c r="T272" s="17"/>
      <x:c r="U272" s="17"/>
      <x:c r="V272" s="17"/>
      <x:c r="W272" s="17"/>
      <x:c r="X272" s="17"/>
      <x:c r="Y272" s="17"/>
      <x:c r="Z272" s="17"/>
    </x:row>
    <x:row r="273">
      <x:c r="A273" s="17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  <x:c r="O273" s="17"/>
      <x:c r="P273" s="17"/>
      <x:c r="Q273" s="17"/>
      <x:c r="R273" s="17"/>
      <x:c r="S273" s="17"/>
      <x:c r="T273" s="17"/>
      <x:c r="U273" s="17"/>
      <x:c r="V273" s="17"/>
      <x:c r="W273" s="17"/>
      <x:c r="X273" s="17"/>
      <x:c r="Y273" s="17"/>
      <x:c r="Z273" s="17"/>
    </x:row>
    <x:row r="274">
      <x:c r="A274" s="17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  <x:c r="O274" s="17"/>
      <x:c r="P274" s="17"/>
      <x:c r="Q274" s="17"/>
      <x:c r="R274" s="17"/>
      <x:c r="S274" s="17"/>
      <x:c r="T274" s="17"/>
      <x:c r="U274" s="17"/>
      <x:c r="V274" s="17"/>
      <x:c r="W274" s="17"/>
      <x:c r="X274" s="17"/>
      <x:c r="Y274" s="17"/>
      <x:c r="Z274" s="17"/>
    </x:row>
    <x:row r="275">
      <x:c r="A275" s="17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  <x:c r="O275" s="17"/>
      <x:c r="P275" s="17"/>
      <x:c r="Q275" s="17"/>
      <x:c r="R275" s="17"/>
      <x:c r="S275" s="17"/>
      <x:c r="T275" s="17"/>
      <x:c r="U275" s="17"/>
      <x:c r="V275" s="17"/>
      <x:c r="W275" s="17"/>
      <x:c r="X275" s="17"/>
      <x:c r="Y275" s="17"/>
      <x:c r="Z275" s="17"/>
    </x:row>
    <x:row r="276">
      <x:c r="A276" s="17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  <x:c r="O276" s="17"/>
      <x:c r="P276" s="17"/>
      <x:c r="Q276" s="17"/>
      <x:c r="R276" s="17"/>
      <x:c r="S276" s="17"/>
      <x:c r="T276" s="17"/>
      <x:c r="U276" s="17"/>
      <x:c r="V276" s="17"/>
      <x:c r="W276" s="17"/>
      <x:c r="X276" s="17"/>
      <x:c r="Y276" s="17"/>
      <x:c r="Z276" s="17"/>
    </x:row>
    <x:row r="277">
      <x:c r="A277" s="17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  <x:c r="O277" s="17"/>
      <x:c r="P277" s="17"/>
      <x:c r="Q277" s="17"/>
      <x:c r="R277" s="17"/>
      <x:c r="S277" s="17"/>
      <x:c r="T277" s="17"/>
      <x:c r="U277" s="17"/>
      <x:c r="V277" s="17"/>
      <x:c r="W277" s="17"/>
      <x:c r="X277" s="17"/>
      <x:c r="Y277" s="17"/>
      <x:c r="Z277" s="17"/>
    </x:row>
    <x:row r="278">
      <x:c r="A278" s="17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  <x:c r="O278" s="17"/>
      <x:c r="P278" s="17"/>
      <x:c r="Q278" s="17"/>
      <x:c r="R278" s="17"/>
      <x:c r="S278" s="17"/>
      <x:c r="T278" s="17"/>
      <x:c r="U278" s="17"/>
      <x:c r="V278" s="17"/>
      <x:c r="W278" s="17"/>
      <x:c r="X278" s="17"/>
      <x:c r="Y278" s="17"/>
      <x:c r="Z278" s="17"/>
    </x:row>
    <x:row r="279">
      <x:c r="A279" s="17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  <x:c r="O279" s="17"/>
      <x:c r="P279" s="17"/>
      <x:c r="Q279" s="17"/>
      <x:c r="R279" s="17"/>
      <x:c r="S279" s="17"/>
      <x:c r="T279" s="17"/>
      <x:c r="U279" s="17"/>
      <x:c r="V279" s="17"/>
      <x:c r="W279" s="17"/>
      <x:c r="X279" s="17"/>
      <x:c r="Y279" s="17"/>
      <x:c r="Z279" s="17"/>
    </x:row>
    <x:row r="280">
      <x:c r="A280" s="17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  <x:c r="O280" s="17"/>
      <x:c r="P280" s="17"/>
      <x:c r="Q280" s="17"/>
      <x:c r="R280" s="17"/>
      <x:c r="S280" s="17"/>
      <x:c r="T280" s="17"/>
      <x:c r="U280" s="17"/>
      <x:c r="V280" s="17"/>
      <x:c r="W280" s="17"/>
      <x:c r="X280" s="17"/>
      <x:c r="Y280" s="17"/>
      <x:c r="Z280" s="17"/>
    </x:row>
    <x:row r="281">
      <x:c r="A281" s="17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  <x:c r="O281" s="17"/>
      <x:c r="P281" s="17"/>
      <x:c r="Q281" s="17"/>
      <x:c r="R281" s="17"/>
      <x:c r="S281" s="17"/>
      <x:c r="T281" s="17"/>
      <x:c r="U281" s="17"/>
      <x:c r="V281" s="17"/>
      <x:c r="W281" s="17"/>
      <x:c r="X281" s="17"/>
      <x:c r="Y281" s="17"/>
      <x:c r="Z281" s="17"/>
    </x:row>
    <x:row r="282">
      <x:c r="A282" s="17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  <x:c r="O282" s="17"/>
      <x:c r="P282" s="17"/>
      <x:c r="Q282" s="17"/>
      <x:c r="R282" s="17"/>
      <x:c r="S282" s="17"/>
      <x:c r="T282" s="17"/>
      <x:c r="U282" s="17"/>
      <x:c r="V282" s="17"/>
      <x:c r="W282" s="17"/>
      <x:c r="X282" s="17"/>
      <x:c r="Y282" s="17"/>
      <x:c r="Z282" s="17"/>
    </x:row>
    <x:row r="283">
      <x:c r="A283" s="17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  <x:c r="O283" s="17"/>
      <x:c r="P283" s="17"/>
      <x:c r="Q283" s="17"/>
      <x:c r="R283" s="17"/>
      <x:c r="S283" s="17"/>
      <x:c r="T283" s="17"/>
      <x:c r="U283" s="17"/>
      <x:c r="V283" s="17"/>
      <x:c r="W283" s="17"/>
      <x:c r="X283" s="17"/>
      <x:c r="Y283" s="17"/>
      <x:c r="Z283" s="17"/>
    </x:row>
    <x:row r="284">
      <x:c r="A284" s="17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  <x:c r="O284" s="17"/>
      <x:c r="P284" s="17"/>
      <x:c r="Q284" s="17"/>
      <x:c r="R284" s="17"/>
      <x:c r="S284" s="17"/>
      <x:c r="T284" s="17"/>
      <x:c r="U284" s="17"/>
      <x:c r="V284" s="17"/>
      <x:c r="W284" s="17"/>
      <x:c r="X284" s="17"/>
      <x:c r="Y284" s="17"/>
      <x:c r="Z284" s="17"/>
    </x:row>
    <x:row r="285">
      <x:c r="A285" s="17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  <x:c r="O285" s="17"/>
      <x:c r="P285" s="17"/>
      <x:c r="Q285" s="17"/>
      <x:c r="R285" s="17"/>
      <x:c r="S285" s="17"/>
      <x:c r="T285" s="17"/>
      <x:c r="U285" s="17"/>
      <x:c r="V285" s="17"/>
      <x:c r="W285" s="17"/>
      <x:c r="X285" s="17"/>
      <x:c r="Y285" s="17"/>
      <x:c r="Z285" s="17"/>
    </x:row>
    <x:row r="286">
      <x:c r="A286" s="17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  <x:c r="O286" s="17"/>
      <x:c r="P286" s="17"/>
      <x:c r="Q286" s="17"/>
      <x:c r="R286" s="17"/>
      <x:c r="S286" s="17"/>
      <x:c r="T286" s="17"/>
      <x:c r="U286" s="17"/>
      <x:c r="V286" s="17"/>
      <x:c r="W286" s="17"/>
      <x:c r="X286" s="17"/>
      <x:c r="Y286" s="17"/>
      <x:c r="Z286" s="17"/>
    </x:row>
    <x:row r="287">
      <x:c r="A287" s="17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  <x:c r="O287" s="17"/>
      <x:c r="P287" s="17"/>
      <x:c r="Q287" s="17"/>
      <x:c r="R287" s="17"/>
      <x:c r="S287" s="17"/>
      <x:c r="T287" s="17"/>
      <x:c r="U287" s="17"/>
      <x:c r="V287" s="17"/>
      <x:c r="W287" s="17"/>
      <x:c r="X287" s="17"/>
      <x:c r="Y287" s="17"/>
      <x:c r="Z287" s="17"/>
    </x:row>
    <x:row r="288">
      <x:c r="A288" s="17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  <x:c r="O288" s="17"/>
      <x:c r="P288" s="17"/>
      <x:c r="Q288" s="17"/>
      <x:c r="R288" s="17"/>
      <x:c r="S288" s="17"/>
      <x:c r="T288" s="17"/>
      <x:c r="U288" s="17"/>
      <x:c r="V288" s="17"/>
      <x:c r="W288" s="17"/>
      <x:c r="X288" s="17"/>
      <x:c r="Y288" s="17"/>
      <x:c r="Z288" s="17"/>
    </x:row>
    <x:row r="289">
      <x:c r="A289" s="17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  <x:c r="O289" s="17"/>
      <x:c r="P289" s="17"/>
      <x:c r="Q289" s="17"/>
      <x:c r="R289" s="17"/>
      <x:c r="S289" s="17"/>
      <x:c r="T289" s="17"/>
      <x:c r="U289" s="17"/>
      <x:c r="V289" s="17"/>
      <x:c r="W289" s="17"/>
      <x:c r="X289" s="17"/>
      <x:c r="Y289" s="17"/>
      <x:c r="Z289" s="17"/>
    </x:row>
    <x:row r="290">
      <x:c r="A290" s="17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  <x:c r="O290" s="17"/>
      <x:c r="P290" s="17"/>
      <x:c r="Q290" s="17"/>
      <x:c r="R290" s="17"/>
      <x:c r="S290" s="17"/>
      <x:c r="T290" s="17"/>
      <x:c r="U290" s="17"/>
      <x:c r="V290" s="17"/>
      <x:c r="W290" s="17"/>
      <x:c r="X290" s="17"/>
      <x:c r="Y290" s="17"/>
      <x:c r="Z290" s="17"/>
    </x:row>
    <x:row r="291">
      <x:c r="A291" s="17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  <x:c r="O291" s="17"/>
      <x:c r="P291" s="17"/>
      <x:c r="Q291" s="17"/>
      <x:c r="R291" s="17"/>
      <x:c r="S291" s="17"/>
      <x:c r="T291" s="17"/>
      <x:c r="U291" s="17"/>
      <x:c r="V291" s="17"/>
      <x:c r="W291" s="17"/>
      <x:c r="X291" s="17"/>
      <x:c r="Y291" s="17"/>
      <x:c r="Z291" s="17"/>
    </x:row>
    <x:row r="292">
      <x:c r="A292" s="17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  <x:c r="O292" s="17"/>
      <x:c r="P292" s="17"/>
      <x:c r="Q292" s="17"/>
      <x:c r="R292" s="17"/>
      <x:c r="S292" s="17"/>
      <x:c r="T292" s="17"/>
      <x:c r="U292" s="17"/>
      <x:c r="V292" s="17"/>
      <x:c r="W292" s="17"/>
      <x:c r="X292" s="17"/>
      <x:c r="Y292" s="17"/>
      <x:c r="Z292" s="17"/>
    </x:row>
    <x:row r="293">
      <x:c r="A293" s="17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  <x:c r="O293" s="17"/>
      <x:c r="P293" s="17"/>
      <x:c r="Q293" s="17"/>
      <x:c r="R293" s="17"/>
      <x:c r="S293" s="17"/>
      <x:c r="T293" s="17"/>
      <x:c r="U293" s="17"/>
      <x:c r="V293" s="17"/>
      <x:c r="W293" s="17"/>
      <x:c r="X293" s="17"/>
      <x:c r="Y293" s="17"/>
      <x:c r="Z293" s="17"/>
    </x:row>
    <x:row r="294">
      <x:c r="A294" s="17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  <x:c r="O294" s="17"/>
      <x:c r="P294" s="17"/>
      <x:c r="Q294" s="17"/>
      <x:c r="R294" s="17"/>
      <x:c r="S294" s="17"/>
      <x:c r="T294" s="17"/>
      <x:c r="U294" s="17"/>
      <x:c r="V294" s="17"/>
      <x:c r="W294" s="17"/>
      <x:c r="X294" s="17"/>
      <x:c r="Y294" s="17"/>
      <x:c r="Z294" s="17"/>
    </x:row>
    <x:row r="295">
      <x:c r="A295" s="17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  <x:c r="O295" s="17"/>
      <x:c r="P295" s="17"/>
      <x:c r="Q295" s="17"/>
      <x:c r="R295" s="17"/>
      <x:c r="S295" s="17"/>
      <x:c r="T295" s="17"/>
      <x:c r="U295" s="17"/>
      <x:c r="V295" s="17"/>
      <x:c r="W295" s="17"/>
      <x:c r="X295" s="17"/>
      <x:c r="Y295" s="17"/>
      <x:c r="Z295" s="17"/>
    </x:row>
    <x:row r="296">
      <x:c r="A296" s="17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  <x:c r="O296" s="17"/>
      <x:c r="P296" s="17"/>
      <x:c r="Q296" s="17"/>
      <x:c r="R296" s="17"/>
      <x:c r="S296" s="17"/>
      <x:c r="T296" s="17"/>
      <x:c r="U296" s="17"/>
      <x:c r="V296" s="17"/>
      <x:c r="W296" s="17"/>
      <x:c r="X296" s="17"/>
      <x:c r="Y296" s="17"/>
      <x:c r="Z296" s="17"/>
    </x:row>
    <x:row r="297">
      <x:c r="A297" s="17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  <x:c r="O297" s="17"/>
      <x:c r="P297" s="17"/>
      <x:c r="Q297" s="17"/>
      <x:c r="R297" s="17"/>
      <x:c r="S297" s="17"/>
      <x:c r="T297" s="17"/>
      <x:c r="U297" s="17"/>
      <x:c r="V297" s="17"/>
      <x:c r="W297" s="17"/>
      <x:c r="X297" s="17"/>
      <x:c r="Y297" s="17"/>
      <x:c r="Z297" s="17"/>
    </x:row>
    <x:row r="298">
      <x:c r="A298" s="17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  <x:c r="O298" s="17"/>
      <x:c r="P298" s="17"/>
      <x:c r="Q298" s="17"/>
      <x:c r="R298" s="17"/>
      <x:c r="S298" s="17"/>
      <x:c r="T298" s="17"/>
      <x:c r="U298" s="17"/>
      <x:c r="V298" s="17"/>
      <x:c r="W298" s="17"/>
      <x:c r="X298" s="17"/>
      <x:c r="Y298" s="17"/>
      <x:c r="Z298" s="17"/>
    </x:row>
    <x:row r="299">
      <x:c r="A299" s="17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  <x:c r="O299" s="17"/>
      <x:c r="P299" s="17"/>
      <x:c r="Q299" s="17"/>
      <x:c r="R299" s="17"/>
      <x:c r="S299" s="17"/>
      <x:c r="T299" s="17"/>
      <x:c r="U299" s="17"/>
      <x:c r="V299" s="17"/>
      <x:c r="W299" s="17"/>
      <x:c r="X299" s="17"/>
      <x:c r="Y299" s="17"/>
      <x:c r="Z299" s="17"/>
    </x:row>
    <x:row r="300">
      <x:c r="A300" s="17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  <x:c r="O300" s="17"/>
      <x:c r="P300" s="17"/>
      <x:c r="Q300" s="17"/>
      <x:c r="R300" s="17"/>
      <x:c r="S300" s="17"/>
      <x:c r="T300" s="17"/>
      <x:c r="U300" s="17"/>
      <x:c r="V300" s="17"/>
      <x:c r="W300" s="17"/>
      <x:c r="X300" s="17"/>
      <x:c r="Y300" s="17"/>
      <x:c r="Z300" s="17"/>
    </x:row>
    <x:row r="301">
      <x:c r="A301" s="17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  <x:c r="O301" s="17"/>
      <x:c r="P301" s="17"/>
      <x:c r="Q301" s="17"/>
      <x:c r="R301" s="17"/>
      <x:c r="S301" s="17"/>
      <x:c r="T301" s="17"/>
      <x:c r="U301" s="17"/>
      <x:c r="V301" s="17"/>
      <x:c r="W301" s="17"/>
      <x:c r="X301" s="17"/>
      <x:c r="Y301" s="17"/>
      <x:c r="Z301" s="17"/>
    </x:row>
    <x:row r="302">
      <x:c r="A302" s="17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  <x:c r="O302" s="17"/>
      <x:c r="P302" s="17"/>
      <x:c r="Q302" s="17"/>
      <x:c r="R302" s="17"/>
      <x:c r="S302" s="17"/>
      <x:c r="T302" s="17"/>
      <x:c r="U302" s="17"/>
      <x:c r="V302" s="17"/>
      <x:c r="W302" s="17"/>
      <x:c r="X302" s="17"/>
      <x:c r="Y302" s="17"/>
      <x:c r="Z302" s="17"/>
    </x:row>
    <x:row r="303">
      <x:c r="A303" s="17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  <x:c r="O303" s="17"/>
      <x:c r="P303" s="17"/>
      <x:c r="Q303" s="17"/>
      <x:c r="R303" s="17"/>
      <x:c r="S303" s="17"/>
      <x:c r="T303" s="17"/>
      <x:c r="U303" s="17"/>
      <x:c r="V303" s="17"/>
      <x:c r="W303" s="17"/>
      <x:c r="X303" s="17"/>
      <x:c r="Y303" s="17"/>
      <x:c r="Z303" s="17"/>
    </x:row>
    <x:row r="304">
      <x:c r="A304" s="17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  <x:c r="O304" s="17"/>
      <x:c r="P304" s="17"/>
      <x:c r="Q304" s="17"/>
      <x:c r="R304" s="17"/>
      <x:c r="S304" s="17"/>
      <x:c r="T304" s="17"/>
      <x:c r="U304" s="17"/>
      <x:c r="V304" s="17"/>
      <x:c r="W304" s="17"/>
      <x:c r="X304" s="17"/>
      <x:c r="Y304" s="17"/>
      <x:c r="Z304" s="17"/>
    </x:row>
    <x:row r="305">
      <x:c r="A305" s="17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  <x:c r="O305" s="17"/>
      <x:c r="P305" s="17"/>
      <x:c r="Q305" s="17"/>
      <x:c r="R305" s="17"/>
      <x:c r="S305" s="17"/>
      <x:c r="T305" s="17"/>
      <x:c r="U305" s="17"/>
      <x:c r="V305" s="17"/>
      <x:c r="W305" s="17"/>
      <x:c r="X305" s="17"/>
      <x:c r="Y305" s="17"/>
      <x:c r="Z305" s="17"/>
    </x:row>
    <x:row r="306">
      <x:c r="A306" s="17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  <x:c r="O306" s="17"/>
      <x:c r="P306" s="17"/>
      <x:c r="Q306" s="17"/>
      <x:c r="R306" s="17"/>
      <x:c r="S306" s="17"/>
      <x:c r="T306" s="17"/>
      <x:c r="U306" s="17"/>
      <x:c r="V306" s="17"/>
      <x:c r="W306" s="17"/>
      <x:c r="X306" s="17"/>
      <x:c r="Y306" s="17"/>
      <x:c r="Z306" s="17"/>
    </x:row>
    <x:row r="307">
      <x:c r="A307" s="17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  <x:c r="O307" s="17"/>
      <x:c r="P307" s="17"/>
      <x:c r="Q307" s="17"/>
      <x:c r="R307" s="17"/>
      <x:c r="S307" s="17"/>
      <x:c r="T307" s="17"/>
      <x:c r="U307" s="17"/>
      <x:c r="V307" s="17"/>
      <x:c r="W307" s="17"/>
      <x:c r="X307" s="17"/>
      <x:c r="Y307" s="17"/>
      <x:c r="Z307" s="17"/>
    </x:row>
    <x:row r="308">
      <x:c r="A308" s="17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  <x:c r="O308" s="17"/>
      <x:c r="P308" s="17"/>
      <x:c r="Q308" s="17"/>
      <x:c r="R308" s="17"/>
      <x:c r="S308" s="17"/>
      <x:c r="T308" s="17"/>
      <x:c r="U308" s="17"/>
      <x:c r="V308" s="17"/>
      <x:c r="W308" s="17"/>
      <x:c r="X308" s="17"/>
      <x:c r="Y308" s="17"/>
      <x:c r="Z308" s="17"/>
    </x:row>
    <x:row r="309">
      <x:c r="A309" s="17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  <x:c r="O309" s="17"/>
      <x:c r="P309" s="17"/>
      <x:c r="Q309" s="17"/>
      <x:c r="R309" s="17"/>
      <x:c r="S309" s="17"/>
      <x:c r="T309" s="17"/>
      <x:c r="U309" s="17"/>
      <x:c r="V309" s="17"/>
      <x:c r="W309" s="17"/>
      <x:c r="X309" s="17"/>
      <x:c r="Y309" s="17"/>
      <x:c r="Z309" s="17"/>
    </x:row>
    <x:row r="310">
      <x:c r="A310" s="17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  <x:c r="O310" s="17"/>
      <x:c r="P310" s="17"/>
      <x:c r="Q310" s="17"/>
      <x:c r="R310" s="17"/>
      <x:c r="S310" s="17"/>
      <x:c r="T310" s="17"/>
      <x:c r="U310" s="17"/>
      <x:c r="V310" s="17"/>
      <x:c r="W310" s="17"/>
      <x:c r="X310" s="17"/>
      <x:c r="Y310" s="17"/>
      <x:c r="Z310" s="17"/>
    </x:row>
    <x:row r="311">
      <x:c r="A311" s="17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  <x:c r="O311" s="17"/>
      <x:c r="P311" s="17"/>
      <x:c r="Q311" s="17"/>
      <x:c r="R311" s="17"/>
      <x:c r="S311" s="17"/>
      <x:c r="T311" s="17"/>
      <x:c r="U311" s="17"/>
      <x:c r="V311" s="17"/>
      <x:c r="W311" s="17"/>
      <x:c r="X311" s="17"/>
      <x:c r="Y311" s="17"/>
      <x:c r="Z311" s="17"/>
    </x:row>
    <x:row r="312">
      <x:c r="A312" s="17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  <x:c r="O312" s="17"/>
      <x:c r="P312" s="17"/>
      <x:c r="Q312" s="17"/>
      <x:c r="R312" s="17"/>
      <x:c r="S312" s="17"/>
      <x:c r="T312" s="17"/>
      <x:c r="U312" s="17"/>
      <x:c r="V312" s="17"/>
      <x:c r="W312" s="17"/>
      <x:c r="X312" s="17"/>
      <x:c r="Y312" s="17"/>
      <x:c r="Z312" s="17"/>
    </x:row>
    <x:row r="313">
      <x:c r="A313" s="17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  <x:c r="O313" s="17"/>
      <x:c r="P313" s="17"/>
      <x:c r="Q313" s="17"/>
      <x:c r="R313" s="17"/>
      <x:c r="S313" s="17"/>
      <x:c r="T313" s="17"/>
      <x:c r="U313" s="17"/>
      <x:c r="V313" s="17"/>
      <x:c r="W313" s="17"/>
      <x:c r="X313" s="17"/>
      <x:c r="Y313" s="17"/>
      <x:c r="Z313" s="17"/>
    </x:row>
    <x:row r="314">
      <x:c r="A314" s="17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  <x:c r="O314" s="17"/>
      <x:c r="P314" s="17"/>
      <x:c r="Q314" s="17"/>
      <x:c r="R314" s="17"/>
      <x:c r="S314" s="17"/>
      <x:c r="T314" s="17"/>
      <x:c r="U314" s="17"/>
      <x:c r="V314" s="17"/>
      <x:c r="W314" s="17"/>
      <x:c r="X314" s="17"/>
      <x:c r="Y314" s="17"/>
      <x:c r="Z314" s="17"/>
    </x:row>
    <x:row r="315">
      <x:c r="A315" s="17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  <x:c r="O315" s="17"/>
      <x:c r="P315" s="17"/>
      <x:c r="Q315" s="17"/>
      <x:c r="R315" s="17"/>
      <x:c r="S315" s="17"/>
      <x:c r="T315" s="17"/>
      <x:c r="U315" s="17"/>
      <x:c r="V315" s="17"/>
      <x:c r="W315" s="17"/>
      <x:c r="X315" s="17"/>
      <x:c r="Y315" s="17"/>
      <x:c r="Z315" s="17"/>
    </x:row>
    <x:row r="316">
      <x:c r="A316" s="17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  <x:c r="O316" s="17"/>
      <x:c r="P316" s="17"/>
      <x:c r="Q316" s="17"/>
      <x:c r="R316" s="17"/>
      <x:c r="S316" s="17"/>
      <x:c r="T316" s="17"/>
      <x:c r="U316" s="17"/>
      <x:c r="V316" s="17"/>
      <x:c r="W316" s="17"/>
      <x:c r="X316" s="17"/>
      <x:c r="Y316" s="17"/>
      <x:c r="Z316" s="17"/>
    </x:row>
    <x:row r="317">
      <x:c r="A317" s="17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  <x:c r="O317" s="17"/>
      <x:c r="P317" s="17"/>
      <x:c r="Q317" s="17"/>
      <x:c r="R317" s="17"/>
      <x:c r="S317" s="17"/>
      <x:c r="T317" s="17"/>
      <x:c r="U317" s="17"/>
      <x:c r="V317" s="17"/>
      <x:c r="W317" s="17"/>
      <x:c r="X317" s="17"/>
      <x:c r="Y317" s="17"/>
      <x:c r="Z317" s="17"/>
    </x:row>
    <x:row r="318">
      <x:c r="A318" s="17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  <x:c r="O318" s="17"/>
      <x:c r="P318" s="17"/>
      <x:c r="Q318" s="17"/>
      <x:c r="R318" s="17"/>
      <x:c r="S318" s="17"/>
      <x:c r="T318" s="17"/>
      <x:c r="U318" s="17"/>
      <x:c r="V318" s="17"/>
      <x:c r="W318" s="17"/>
      <x:c r="X318" s="17"/>
      <x:c r="Y318" s="17"/>
      <x:c r="Z318" s="17"/>
    </x:row>
    <x:row r="319">
      <x:c r="A319" s="17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  <x:c r="O319" s="17"/>
      <x:c r="P319" s="17"/>
      <x:c r="Q319" s="17"/>
      <x:c r="R319" s="17"/>
      <x:c r="S319" s="17"/>
      <x:c r="T319" s="17"/>
      <x:c r="U319" s="17"/>
      <x:c r="V319" s="17"/>
      <x:c r="W319" s="17"/>
      <x:c r="X319" s="17"/>
      <x:c r="Y319" s="17"/>
      <x:c r="Z319" s="17"/>
    </x:row>
    <x:row r="320">
      <x:c r="A320" s="17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  <x:c r="O320" s="17"/>
      <x:c r="P320" s="17"/>
      <x:c r="Q320" s="17"/>
      <x:c r="R320" s="17"/>
      <x:c r="S320" s="17"/>
      <x:c r="T320" s="17"/>
      <x:c r="U320" s="17"/>
      <x:c r="V320" s="17"/>
      <x:c r="W320" s="17"/>
      <x:c r="X320" s="17"/>
      <x:c r="Y320" s="17"/>
      <x:c r="Z320" s="17"/>
    </x:row>
    <x:row r="321">
      <x:c r="A321" s="17"/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  <x:c r="O321" s="17"/>
      <x:c r="P321" s="17"/>
      <x:c r="Q321" s="17"/>
      <x:c r="R321" s="17"/>
      <x:c r="S321" s="17"/>
      <x:c r="T321" s="17"/>
      <x:c r="U321" s="17"/>
      <x:c r="V321" s="17"/>
      <x:c r="W321" s="17"/>
      <x:c r="X321" s="17"/>
      <x:c r="Y321" s="17"/>
      <x:c r="Z321" s="17"/>
    </x:row>
    <x:row r="322">
      <x:c r="A322" s="17"/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  <x:c r="O322" s="17"/>
      <x:c r="P322" s="17"/>
      <x:c r="Q322" s="17"/>
      <x:c r="R322" s="17"/>
      <x:c r="S322" s="17"/>
      <x:c r="T322" s="17"/>
      <x:c r="U322" s="17"/>
      <x:c r="V322" s="17"/>
      <x:c r="W322" s="17"/>
      <x:c r="X322" s="17"/>
      <x:c r="Y322" s="17"/>
      <x:c r="Z322" s="17"/>
    </x:row>
    <x:row r="323">
      <x:c r="A323" s="17"/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  <x:c r="O323" s="17"/>
      <x:c r="P323" s="17"/>
      <x:c r="Q323" s="17"/>
      <x:c r="R323" s="17"/>
      <x:c r="S323" s="17"/>
      <x:c r="T323" s="17"/>
      <x:c r="U323" s="17"/>
      <x:c r="V323" s="17"/>
      <x:c r="W323" s="17"/>
      <x:c r="X323" s="17"/>
      <x:c r="Y323" s="17"/>
      <x:c r="Z323" s="17"/>
    </x:row>
    <x:row r="324">
      <x:c r="A324" s="17"/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  <x:c r="O324" s="17"/>
      <x:c r="P324" s="17"/>
      <x:c r="Q324" s="17"/>
      <x:c r="R324" s="17"/>
      <x:c r="S324" s="17"/>
      <x:c r="T324" s="17"/>
      <x:c r="U324" s="17"/>
      <x:c r="V324" s="17"/>
      <x:c r="W324" s="17"/>
      <x:c r="X324" s="17"/>
      <x:c r="Y324" s="17"/>
      <x:c r="Z324" s="17"/>
    </x:row>
    <x:row r="325">
      <x:c r="A325" s="17"/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  <x:c r="O325" s="17"/>
      <x:c r="P325" s="17"/>
      <x:c r="Q325" s="17"/>
      <x:c r="R325" s="17"/>
      <x:c r="S325" s="17"/>
      <x:c r="T325" s="17"/>
      <x:c r="U325" s="17"/>
      <x:c r="V325" s="17"/>
      <x:c r="W325" s="17"/>
      <x:c r="X325" s="17"/>
      <x:c r="Y325" s="17"/>
      <x:c r="Z325" s="17"/>
    </x:row>
    <x:row r="326">
      <x:c r="A326" s="17"/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  <x:c r="O326" s="17"/>
      <x:c r="P326" s="17"/>
      <x:c r="Q326" s="17"/>
      <x:c r="R326" s="17"/>
      <x:c r="S326" s="17"/>
      <x:c r="T326" s="17"/>
      <x:c r="U326" s="17"/>
      <x:c r="V326" s="17"/>
      <x:c r="W326" s="17"/>
      <x:c r="X326" s="17"/>
      <x:c r="Y326" s="17"/>
      <x:c r="Z326" s="17"/>
    </x:row>
    <x:row r="327">
      <x:c r="A327" s="17"/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  <x:c r="O327" s="17"/>
      <x:c r="P327" s="17"/>
      <x:c r="Q327" s="17"/>
      <x:c r="R327" s="17"/>
      <x:c r="S327" s="17"/>
      <x:c r="T327" s="17"/>
      <x:c r="U327" s="17"/>
      <x:c r="V327" s="17"/>
      <x:c r="W327" s="17"/>
      <x:c r="X327" s="17"/>
      <x:c r="Y327" s="17"/>
      <x:c r="Z327" s="17"/>
    </x:row>
    <x:row r="328">
      <x:c r="A328" s="17"/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  <x:c r="O328" s="17"/>
      <x:c r="P328" s="17"/>
      <x:c r="Q328" s="17"/>
      <x:c r="R328" s="17"/>
      <x:c r="S328" s="17"/>
      <x:c r="T328" s="17"/>
      <x:c r="U328" s="17"/>
      <x:c r="V328" s="17"/>
      <x:c r="W328" s="17"/>
      <x:c r="X328" s="17"/>
      <x:c r="Y328" s="17"/>
      <x:c r="Z328" s="17"/>
    </x:row>
    <x:row r="329">
      <x:c r="A329" s="17"/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  <x:c r="O329" s="17"/>
      <x:c r="P329" s="17"/>
      <x:c r="Q329" s="17"/>
      <x:c r="R329" s="17"/>
      <x:c r="S329" s="17"/>
      <x:c r="T329" s="17"/>
      <x:c r="U329" s="17"/>
      <x:c r="V329" s="17"/>
      <x:c r="W329" s="17"/>
      <x:c r="X329" s="17"/>
      <x:c r="Y329" s="17"/>
      <x:c r="Z329" s="17"/>
    </x:row>
    <x:row r="330">
      <x:c r="A330" s="17"/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  <x:c r="O330" s="17"/>
      <x:c r="P330" s="17"/>
      <x:c r="Q330" s="17"/>
      <x:c r="R330" s="17"/>
      <x:c r="S330" s="17"/>
      <x:c r="T330" s="17"/>
      <x:c r="U330" s="17"/>
      <x:c r="V330" s="17"/>
      <x:c r="W330" s="17"/>
      <x:c r="X330" s="17"/>
      <x:c r="Y330" s="17"/>
      <x:c r="Z330" s="17"/>
    </x:row>
    <x:row r="331">
      <x:c r="A331" s="17"/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  <x:c r="O331" s="17"/>
      <x:c r="P331" s="17"/>
      <x:c r="Q331" s="17"/>
      <x:c r="R331" s="17"/>
      <x:c r="S331" s="17"/>
      <x:c r="T331" s="17"/>
      <x:c r="U331" s="17"/>
      <x:c r="V331" s="17"/>
      <x:c r="W331" s="17"/>
      <x:c r="X331" s="17"/>
      <x:c r="Y331" s="17"/>
      <x:c r="Z331" s="17"/>
    </x:row>
    <x:row r="332">
      <x:c r="A332" s="17"/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  <x:c r="O332" s="17"/>
      <x:c r="P332" s="17"/>
      <x:c r="Q332" s="17"/>
      <x:c r="R332" s="17"/>
      <x:c r="S332" s="17"/>
      <x:c r="T332" s="17"/>
      <x:c r="U332" s="17"/>
      <x:c r="V332" s="17"/>
      <x:c r="W332" s="17"/>
      <x:c r="X332" s="17"/>
      <x:c r="Y332" s="17"/>
      <x:c r="Z332" s="17"/>
    </x:row>
    <x:row r="333">
      <x:c r="A333" s="17"/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  <x:c r="O333" s="17"/>
      <x:c r="P333" s="17"/>
      <x:c r="Q333" s="17"/>
      <x:c r="R333" s="17"/>
      <x:c r="S333" s="17"/>
      <x:c r="T333" s="17"/>
      <x:c r="U333" s="17"/>
      <x:c r="V333" s="17"/>
      <x:c r="W333" s="17"/>
      <x:c r="X333" s="17"/>
      <x:c r="Y333" s="17"/>
      <x:c r="Z333" s="17"/>
    </x:row>
    <x:row r="334">
      <x:c r="A334" s="17"/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  <x:c r="O334" s="17"/>
      <x:c r="P334" s="17"/>
      <x:c r="Q334" s="17"/>
      <x:c r="R334" s="17"/>
      <x:c r="S334" s="17"/>
      <x:c r="T334" s="17"/>
      <x:c r="U334" s="17"/>
      <x:c r="V334" s="17"/>
      <x:c r="W334" s="17"/>
      <x:c r="X334" s="17"/>
      <x:c r="Y334" s="17"/>
      <x:c r="Z334" s="17"/>
    </x:row>
    <x:row r="335">
      <x:c r="A335" s="17"/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  <x:c r="O335" s="17"/>
      <x:c r="P335" s="17"/>
      <x:c r="Q335" s="17"/>
      <x:c r="R335" s="17"/>
      <x:c r="S335" s="17"/>
      <x:c r="T335" s="17"/>
      <x:c r="U335" s="17"/>
      <x:c r="V335" s="17"/>
      <x:c r="W335" s="17"/>
      <x:c r="X335" s="17"/>
      <x:c r="Y335" s="17"/>
      <x:c r="Z335" s="17"/>
    </x:row>
    <x:row r="336">
      <x:c r="A336" s="17"/>
      <x:c r="B336" s="17"/>
      <x:c r="C336" s="17"/>
      <x:c r="D336" s="17"/>
      <x:c r="E336" s="17"/>
      <x:c r="F336" s="17"/>
      <x:c r="G336" s="17"/>
      <x:c r="H336" s="17"/>
      <x:c r="I336" s="17"/>
      <x:c r="J336" s="17"/>
      <x:c r="K336" s="17"/>
      <x:c r="L336" s="17"/>
      <x:c r="M336" s="17"/>
      <x:c r="N336" s="17"/>
      <x:c r="O336" s="17"/>
      <x:c r="P336" s="17"/>
      <x:c r="Q336" s="17"/>
      <x:c r="R336" s="17"/>
      <x:c r="S336" s="17"/>
      <x:c r="T336" s="17"/>
      <x:c r="U336" s="17"/>
      <x:c r="V336" s="17"/>
      <x:c r="W336" s="17"/>
      <x:c r="X336" s="17"/>
      <x:c r="Y336" s="17"/>
      <x:c r="Z336" s="17"/>
    </x:row>
    <x:row r="337">
      <x:c r="A337" s="17"/>
      <x:c r="B337" s="17"/>
      <x:c r="C337" s="17"/>
      <x:c r="D337" s="17"/>
      <x:c r="E337" s="17"/>
      <x:c r="F337" s="17"/>
      <x:c r="G337" s="17"/>
      <x:c r="H337" s="17"/>
      <x:c r="I337" s="17"/>
      <x:c r="J337" s="17"/>
      <x:c r="K337" s="17"/>
      <x:c r="L337" s="17"/>
      <x:c r="M337" s="17"/>
      <x:c r="N337" s="17"/>
      <x:c r="O337" s="17"/>
      <x:c r="P337" s="17"/>
      <x:c r="Q337" s="17"/>
      <x:c r="R337" s="17"/>
      <x:c r="S337" s="17"/>
      <x:c r="T337" s="17"/>
      <x:c r="U337" s="17"/>
      <x:c r="V337" s="17"/>
      <x:c r="W337" s="17"/>
      <x:c r="X337" s="17"/>
      <x:c r="Y337" s="17"/>
      <x:c r="Z337" s="17"/>
    </x:row>
    <x:row r="338">
      <x:c r="A338" s="17"/>
      <x:c r="B338" s="17"/>
      <x:c r="C338" s="17"/>
      <x:c r="D338" s="17"/>
      <x:c r="E338" s="17"/>
      <x:c r="F338" s="17"/>
      <x:c r="G338" s="17"/>
      <x:c r="H338" s="17"/>
      <x:c r="I338" s="17"/>
      <x:c r="J338" s="17"/>
      <x:c r="K338" s="17"/>
      <x:c r="L338" s="17"/>
      <x:c r="M338" s="17"/>
      <x:c r="N338" s="17"/>
      <x:c r="O338" s="17"/>
      <x:c r="P338" s="17"/>
      <x:c r="Q338" s="17"/>
      <x:c r="R338" s="17"/>
      <x:c r="S338" s="17"/>
      <x:c r="T338" s="17"/>
      <x:c r="U338" s="17"/>
      <x:c r="V338" s="17"/>
      <x:c r="W338" s="17"/>
      <x:c r="X338" s="17"/>
      <x:c r="Y338" s="17"/>
      <x:c r="Z338" s="17"/>
    </x:row>
    <x:row r="339">
      <x:c r="A339" s="17"/>
      <x:c r="B339" s="17"/>
      <x:c r="C339" s="17"/>
      <x:c r="D339" s="17"/>
      <x:c r="E339" s="17"/>
      <x:c r="F339" s="17"/>
      <x:c r="G339" s="17"/>
      <x:c r="H339" s="17"/>
      <x:c r="I339" s="17"/>
      <x:c r="J339" s="17"/>
      <x:c r="K339" s="17"/>
      <x:c r="L339" s="17"/>
      <x:c r="M339" s="17"/>
      <x:c r="N339" s="17"/>
      <x:c r="O339" s="17"/>
      <x:c r="P339" s="17"/>
      <x:c r="Q339" s="17"/>
      <x:c r="R339" s="17"/>
      <x:c r="S339" s="17"/>
      <x:c r="T339" s="17"/>
      <x:c r="U339" s="17"/>
      <x:c r="V339" s="17"/>
      <x:c r="W339" s="17"/>
      <x:c r="X339" s="17"/>
      <x:c r="Y339" s="17"/>
      <x:c r="Z339" s="17"/>
    </x:row>
    <x:row r="340">
      <x:c r="A340" s="17"/>
      <x:c r="B340" s="17"/>
      <x:c r="C340" s="17"/>
      <x:c r="D340" s="17"/>
      <x:c r="E340" s="17"/>
      <x:c r="F340" s="17"/>
      <x:c r="G340" s="17"/>
      <x:c r="H340" s="17"/>
      <x:c r="I340" s="17"/>
      <x:c r="J340" s="17"/>
      <x:c r="K340" s="17"/>
      <x:c r="L340" s="17"/>
      <x:c r="M340" s="17"/>
      <x:c r="N340" s="17"/>
      <x:c r="O340" s="17"/>
      <x:c r="P340" s="17"/>
      <x:c r="Q340" s="17"/>
      <x:c r="R340" s="17"/>
      <x:c r="S340" s="17"/>
      <x:c r="T340" s="17"/>
      <x:c r="U340" s="17"/>
      <x:c r="V340" s="17"/>
      <x:c r="W340" s="17"/>
      <x:c r="X340" s="17"/>
      <x:c r="Y340" s="17"/>
      <x:c r="Z340" s="17"/>
    </x:row>
    <x:row r="341">
      <x:c r="A341" s="17"/>
      <x:c r="B341" s="17"/>
      <x:c r="C341" s="17"/>
      <x:c r="D341" s="17"/>
      <x:c r="E341" s="17"/>
      <x:c r="F341" s="17"/>
      <x:c r="G341" s="17"/>
      <x:c r="H341" s="17"/>
      <x:c r="I341" s="17"/>
      <x:c r="J341" s="17"/>
      <x:c r="K341" s="17"/>
      <x:c r="L341" s="17"/>
      <x:c r="M341" s="17"/>
      <x:c r="N341" s="17"/>
      <x:c r="O341" s="17"/>
      <x:c r="P341" s="17"/>
      <x:c r="Q341" s="17"/>
      <x:c r="R341" s="17"/>
      <x:c r="S341" s="17"/>
      <x:c r="T341" s="17"/>
      <x:c r="U341" s="17"/>
      <x:c r="V341" s="17"/>
      <x:c r="W341" s="17"/>
      <x:c r="X341" s="17"/>
      <x:c r="Y341" s="17"/>
      <x:c r="Z341" s="17"/>
    </x:row>
    <x:row r="342">
      <x:c r="A342" s="17"/>
      <x:c r="B342" s="17"/>
      <x:c r="C342" s="17"/>
      <x:c r="D342" s="17"/>
      <x:c r="E342" s="17"/>
      <x:c r="F342" s="17"/>
      <x:c r="G342" s="17"/>
      <x:c r="H342" s="17"/>
      <x:c r="I342" s="17"/>
      <x:c r="J342" s="17"/>
      <x:c r="K342" s="17"/>
      <x:c r="L342" s="17"/>
      <x:c r="M342" s="17"/>
      <x:c r="N342" s="17"/>
      <x:c r="O342" s="17"/>
      <x:c r="P342" s="17"/>
      <x:c r="Q342" s="17"/>
      <x:c r="R342" s="17"/>
      <x:c r="S342" s="17"/>
      <x:c r="T342" s="17"/>
      <x:c r="U342" s="17"/>
      <x:c r="V342" s="17"/>
      <x:c r="W342" s="17"/>
      <x:c r="X342" s="17"/>
      <x:c r="Y342" s="17"/>
      <x:c r="Z342" s="17"/>
    </x:row>
    <x:row r="343">
      <x:c r="A343" s="17"/>
      <x:c r="B343" s="17"/>
      <x:c r="C343" s="17"/>
      <x:c r="D343" s="17"/>
      <x:c r="E343" s="17"/>
      <x:c r="F343" s="17"/>
      <x:c r="G343" s="17"/>
      <x:c r="H343" s="17"/>
      <x:c r="I343" s="17"/>
      <x:c r="J343" s="17"/>
      <x:c r="K343" s="17"/>
      <x:c r="L343" s="17"/>
      <x:c r="M343" s="17"/>
      <x:c r="N343" s="17"/>
      <x:c r="O343" s="17"/>
      <x:c r="P343" s="17"/>
      <x:c r="Q343" s="17"/>
      <x:c r="R343" s="17"/>
      <x:c r="S343" s="17"/>
      <x:c r="T343" s="17"/>
      <x:c r="U343" s="17"/>
      <x:c r="V343" s="17"/>
      <x:c r="W343" s="17"/>
      <x:c r="X343" s="17"/>
      <x:c r="Y343" s="17"/>
      <x:c r="Z343" s="17"/>
    </x:row>
    <x:row r="344">
      <x:c r="A344" s="17"/>
      <x:c r="B344" s="17"/>
      <x:c r="C344" s="17"/>
      <x:c r="D344" s="17"/>
      <x:c r="E344" s="17"/>
      <x:c r="F344" s="17"/>
      <x:c r="G344" s="17"/>
      <x:c r="H344" s="17"/>
      <x:c r="I344" s="17"/>
      <x:c r="J344" s="17"/>
      <x:c r="K344" s="17"/>
      <x:c r="L344" s="17"/>
      <x:c r="M344" s="17"/>
      <x:c r="N344" s="17"/>
      <x:c r="O344" s="17"/>
      <x:c r="P344" s="17"/>
      <x:c r="Q344" s="17"/>
      <x:c r="R344" s="17"/>
      <x:c r="S344" s="17"/>
      <x:c r="T344" s="17"/>
      <x:c r="U344" s="17"/>
      <x:c r="V344" s="17"/>
      <x:c r="W344" s="17"/>
      <x:c r="X344" s="17"/>
      <x:c r="Y344" s="17"/>
      <x:c r="Z344" s="17"/>
    </x:row>
    <x:row r="345">
      <x:c r="A345" s="17"/>
      <x:c r="B345" s="17"/>
      <x:c r="C345" s="17"/>
      <x:c r="D345" s="17"/>
      <x:c r="E345" s="17"/>
      <x:c r="F345" s="17"/>
      <x:c r="G345" s="17"/>
      <x:c r="H345" s="17"/>
      <x:c r="I345" s="17"/>
      <x:c r="J345" s="17"/>
      <x:c r="K345" s="17"/>
      <x:c r="L345" s="17"/>
      <x:c r="M345" s="17"/>
      <x:c r="N345" s="17"/>
      <x:c r="O345" s="17"/>
      <x:c r="P345" s="17"/>
      <x:c r="Q345" s="17"/>
      <x:c r="R345" s="17"/>
      <x:c r="S345" s="17"/>
      <x:c r="T345" s="17"/>
      <x:c r="U345" s="17"/>
      <x:c r="V345" s="17"/>
      <x:c r="W345" s="17"/>
      <x:c r="X345" s="17"/>
      <x:c r="Y345" s="17"/>
      <x:c r="Z345" s="17"/>
    </x:row>
    <x:row r="346">
      <x:c r="A346" s="17"/>
      <x:c r="B346" s="17"/>
      <x:c r="C346" s="17"/>
      <x:c r="D346" s="17"/>
      <x:c r="E346" s="17"/>
      <x:c r="F346" s="17"/>
      <x:c r="G346" s="17"/>
      <x:c r="H346" s="17"/>
      <x:c r="I346" s="17"/>
      <x:c r="J346" s="17"/>
      <x:c r="K346" s="17"/>
      <x:c r="L346" s="17"/>
      <x:c r="M346" s="17"/>
      <x:c r="N346" s="17"/>
      <x:c r="O346" s="17"/>
      <x:c r="P346" s="17"/>
      <x:c r="Q346" s="17"/>
      <x:c r="R346" s="17"/>
      <x:c r="S346" s="17"/>
      <x:c r="T346" s="17"/>
      <x:c r="U346" s="17"/>
      <x:c r="V346" s="17"/>
      <x:c r="W346" s="17"/>
      <x:c r="X346" s="17"/>
      <x:c r="Y346" s="17"/>
      <x:c r="Z346" s="17"/>
    </x:row>
    <x:row r="347">
      <x:c r="A347" s="17"/>
      <x:c r="B347" s="17"/>
      <x:c r="C347" s="17"/>
      <x:c r="D347" s="17"/>
      <x:c r="E347" s="17"/>
      <x:c r="F347" s="17"/>
      <x:c r="G347" s="17"/>
      <x:c r="H347" s="17"/>
      <x:c r="I347" s="17"/>
      <x:c r="J347" s="17"/>
      <x:c r="K347" s="17"/>
      <x:c r="L347" s="17"/>
      <x:c r="M347" s="17"/>
      <x:c r="N347" s="17"/>
      <x:c r="O347" s="17"/>
      <x:c r="P347" s="17"/>
      <x:c r="Q347" s="17"/>
      <x:c r="R347" s="17"/>
      <x:c r="S347" s="17"/>
      <x:c r="T347" s="17"/>
      <x:c r="U347" s="17"/>
      <x:c r="V347" s="17"/>
      <x:c r="W347" s="17"/>
      <x:c r="X347" s="17"/>
      <x:c r="Y347" s="17"/>
      <x:c r="Z347" s="17"/>
    </x:row>
    <x:row r="348">
      <x:c r="A348" s="17"/>
      <x:c r="B348" s="17"/>
      <x:c r="C348" s="17"/>
      <x:c r="D348" s="17"/>
      <x:c r="E348" s="17"/>
      <x:c r="F348" s="17"/>
      <x:c r="G348" s="17"/>
      <x:c r="H348" s="17"/>
      <x:c r="I348" s="17"/>
      <x:c r="J348" s="17"/>
      <x:c r="K348" s="17"/>
      <x:c r="L348" s="17"/>
      <x:c r="M348" s="17"/>
      <x:c r="N348" s="17"/>
      <x:c r="O348" s="17"/>
      <x:c r="P348" s="17"/>
      <x:c r="Q348" s="17"/>
      <x:c r="R348" s="17"/>
      <x:c r="S348" s="17"/>
      <x:c r="T348" s="17"/>
      <x:c r="U348" s="17"/>
      <x:c r="V348" s="17"/>
      <x:c r="W348" s="17"/>
      <x:c r="X348" s="17"/>
      <x:c r="Y348" s="17"/>
      <x:c r="Z348" s="17"/>
    </x:row>
    <x:row r="349">
      <x:c r="A349" s="17"/>
      <x:c r="B349" s="17"/>
      <x:c r="C349" s="17"/>
      <x:c r="D349" s="17"/>
      <x:c r="E349" s="17"/>
      <x:c r="F349" s="17"/>
      <x:c r="G349" s="17"/>
      <x:c r="H349" s="17"/>
      <x:c r="I349" s="17"/>
      <x:c r="J349" s="17"/>
      <x:c r="K349" s="17"/>
      <x:c r="L349" s="17"/>
      <x:c r="M349" s="17"/>
      <x:c r="N349" s="17"/>
      <x:c r="O349" s="17"/>
      <x:c r="P349" s="17"/>
      <x:c r="Q349" s="17"/>
      <x:c r="R349" s="17"/>
      <x:c r="S349" s="17"/>
      <x:c r="T349" s="17"/>
      <x:c r="U349" s="17"/>
      <x:c r="V349" s="17"/>
      <x:c r="W349" s="17"/>
      <x:c r="X349" s="17"/>
      <x:c r="Y349" s="17"/>
      <x:c r="Z349" s="17"/>
    </x:row>
    <x:row r="350">
      <x:c r="A350" s="17"/>
      <x:c r="B350" s="17"/>
      <x:c r="C350" s="17"/>
      <x:c r="D350" s="17"/>
      <x:c r="E350" s="17"/>
      <x:c r="F350" s="17"/>
      <x:c r="G350" s="17"/>
      <x:c r="H350" s="17"/>
      <x:c r="I350" s="17"/>
      <x:c r="J350" s="17"/>
      <x:c r="K350" s="17"/>
      <x:c r="L350" s="17"/>
      <x:c r="M350" s="17"/>
      <x:c r="N350" s="17"/>
      <x:c r="O350" s="17"/>
      <x:c r="P350" s="17"/>
      <x:c r="Q350" s="17"/>
      <x:c r="R350" s="17"/>
      <x:c r="S350" s="17"/>
      <x:c r="T350" s="17"/>
      <x:c r="U350" s="17"/>
      <x:c r="V350" s="17"/>
      <x:c r="W350" s="17"/>
      <x:c r="X350" s="17"/>
      <x:c r="Y350" s="17"/>
      <x:c r="Z350" s="17"/>
    </x:row>
    <x:row r="351">
      <x:c r="A351" s="17"/>
      <x:c r="B351" s="17"/>
      <x:c r="C351" s="17"/>
      <x:c r="D351" s="17"/>
      <x:c r="E351" s="17"/>
      <x:c r="F351" s="17"/>
      <x:c r="G351" s="17"/>
      <x:c r="H351" s="17"/>
      <x:c r="I351" s="17"/>
      <x:c r="J351" s="17"/>
      <x:c r="K351" s="17"/>
      <x:c r="L351" s="17"/>
      <x:c r="M351" s="17"/>
      <x:c r="N351" s="17"/>
      <x:c r="O351" s="17"/>
      <x:c r="P351" s="17"/>
      <x:c r="Q351" s="17"/>
      <x:c r="R351" s="17"/>
      <x:c r="S351" s="17"/>
      <x:c r="T351" s="17"/>
      <x:c r="U351" s="17"/>
      <x:c r="V351" s="17"/>
      <x:c r="W351" s="17"/>
      <x:c r="X351" s="17"/>
      <x:c r="Y351" s="17"/>
      <x:c r="Z351" s="17"/>
    </x:row>
    <x:row r="352">
      <x:c r="A352" s="17"/>
      <x:c r="B352" s="17"/>
      <x:c r="C352" s="17"/>
      <x:c r="D352" s="17"/>
      <x:c r="E352" s="17"/>
      <x:c r="F352" s="17"/>
      <x:c r="G352" s="17"/>
      <x:c r="H352" s="17"/>
      <x:c r="I352" s="17"/>
      <x:c r="J352" s="17"/>
      <x:c r="K352" s="17"/>
      <x:c r="L352" s="17"/>
      <x:c r="M352" s="17"/>
      <x:c r="N352" s="17"/>
      <x:c r="O352" s="17"/>
      <x:c r="P352" s="17"/>
      <x:c r="Q352" s="17"/>
      <x:c r="R352" s="17"/>
      <x:c r="S352" s="17"/>
      <x:c r="T352" s="17"/>
      <x:c r="U352" s="17"/>
      <x:c r="V352" s="17"/>
      <x:c r="W352" s="17"/>
      <x:c r="X352" s="17"/>
      <x:c r="Y352" s="17"/>
      <x:c r="Z352" s="17"/>
    </x:row>
    <x:row r="353">
      <x:c r="A353" s="17"/>
      <x:c r="B353" s="17"/>
      <x:c r="C353" s="17"/>
      <x:c r="D353" s="17"/>
      <x:c r="E353" s="17"/>
      <x:c r="F353" s="17"/>
      <x:c r="G353" s="17"/>
      <x:c r="H353" s="17"/>
      <x:c r="I353" s="17"/>
      <x:c r="J353" s="17"/>
      <x:c r="K353" s="17"/>
      <x:c r="L353" s="17"/>
      <x:c r="M353" s="17"/>
      <x:c r="N353" s="17"/>
      <x:c r="O353" s="17"/>
      <x:c r="P353" s="17"/>
      <x:c r="Q353" s="17"/>
      <x:c r="R353" s="17"/>
      <x:c r="S353" s="17"/>
      <x:c r="T353" s="17"/>
      <x:c r="U353" s="17"/>
      <x:c r="V353" s="17"/>
      <x:c r="W353" s="17"/>
      <x:c r="X353" s="17"/>
      <x:c r="Y353" s="17"/>
      <x:c r="Z353" s="17"/>
    </x:row>
    <x:row r="354">
      <x:c r="A354" s="17"/>
      <x:c r="B354" s="17"/>
      <x:c r="C354" s="17"/>
      <x:c r="D354" s="17"/>
      <x:c r="E354" s="17"/>
      <x:c r="F354" s="17"/>
      <x:c r="G354" s="17"/>
      <x:c r="H354" s="17"/>
      <x:c r="I354" s="17"/>
      <x:c r="J354" s="17"/>
      <x:c r="K354" s="17"/>
      <x:c r="L354" s="17"/>
      <x:c r="M354" s="17"/>
      <x:c r="N354" s="17"/>
      <x:c r="O354" s="17"/>
      <x:c r="P354" s="17"/>
      <x:c r="Q354" s="17"/>
      <x:c r="R354" s="17"/>
      <x:c r="S354" s="17"/>
      <x:c r="T354" s="17"/>
      <x:c r="U354" s="17"/>
      <x:c r="V354" s="17"/>
      <x:c r="W354" s="17"/>
      <x:c r="X354" s="17"/>
      <x:c r="Y354" s="17"/>
      <x:c r="Z354" s="17"/>
    </x:row>
    <x:row r="355">
      <x:c r="A355" s="17"/>
      <x:c r="B355" s="17"/>
      <x:c r="C355" s="17"/>
      <x:c r="D355" s="17"/>
      <x:c r="E355" s="17"/>
      <x:c r="F355" s="17"/>
      <x:c r="G355" s="17"/>
      <x:c r="H355" s="17"/>
      <x:c r="I355" s="17"/>
      <x:c r="J355" s="17"/>
      <x:c r="K355" s="17"/>
      <x:c r="L355" s="17"/>
      <x:c r="M355" s="17"/>
      <x:c r="N355" s="17"/>
      <x:c r="O355" s="17"/>
      <x:c r="P355" s="17"/>
      <x:c r="Q355" s="17"/>
      <x:c r="R355" s="17"/>
      <x:c r="S355" s="17"/>
      <x:c r="T355" s="17"/>
      <x:c r="U355" s="17"/>
      <x:c r="V355" s="17"/>
      <x:c r="W355" s="17"/>
      <x:c r="X355" s="17"/>
      <x:c r="Y355" s="17"/>
      <x:c r="Z355" s="17"/>
    </x:row>
    <x:row r="356">
      <x:c r="A356" s="17"/>
      <x:c r="B356" s="17"/>
      <x:c r="C356" s="17"/>
      <x:c r="D356" s="17"/>
      <x:c r="E356" s="17"/>
      <x:c r="F356" s="17"/>
      <x:c r="G356" s="17"/>
      <x:c r="H356" s="17"/>
      <x:c r="I356" s="17"/>
      <x:c r="J356" s="17"/>
      <x:c r="K356" s="17"/>
      <x:c r="L356" s="17"/>
      <x:c r="M356" s="17"/>
      <x:c r="N356" s="17"/>
      <x:c r="O356" s="17"/>
      <x:c r="P356" s="17"/>
      <x:c r="Q356" s="17"/>
      <x:c r="R356" s="17"/>
      <x:c r="S356" s="17"/>
      <x:c r="T356" s="17"/>
      <x:c r="U356" s="17"/>
      <x:c r="V356" s="17"/>
      <x:c r="W356" s="17"/>
      <x:c r="X356" s="17"/>
      <x:c r="Y356" s="17"/>
      <x:c r="Z356" s="17"/>
    </x:row>
    <x:row r="357">
      <x:c r="A357" s="17"/>
      <x:c r="B357" s="17"/>
      <x:c r="C357" s="17"/>
      <x:c r="D357" s="17"/>
      <x:c r="E357" s="17"/>
      <x:c r="F357" s="17"/>
      <x:c r="G357" s="17"/>
      <x:c r="H357" s="17"/>
      <x:c r="I357" s="17"/>
      <x:c r="J357" s="17"/>
      <x:c r="K357" s="17"/>
      <x:c r="L357" s="17"/>
      <x:c r="M357" s="17"/>
      <x:c r="N357" s="17"/>
      <x:c r="O357" s="17"/>
      <x:c r="P357" s="17"/>
      <x:c r="Q357" s="17"/>
      <x:c r="R357" s="17"/>
      <x:c r="S357" s="17"/>
      <x:c r="T357" s="17"/>
      <x:c r="U357" s="17"/>
      <x:c r="V357" s="17"/>
      <x:c r="W357" s="17"/>
      <x:c r="X357" s="17"/>
      <x:c r="Y357" s="17"/>
      <x:c r="Z357" s="17"/>
    </x:row>
    <x:row r="358">
      <x:c r="A358" s="17"/>
      <x:c r="B358" s="17"/>
      <x:c r="C358" s="17"/>
      <x:c r="D358" s="17"/>
      <x:c r="E358" s="17"/>
      <x:c r="F358" s="17"/>
      <x:c r="G358" s="17"/>
      <x:c r="H358" s="17"/>
      <x:c r="I358" s="17"/>
      <x:c r="J358" s="17"/>
      <x:c r="K358" s="17"/>
      <x:c r="L358" s="17"/>
      <x:c r="M358" s="17"/>
      <x:c r="N358" s="17"/>
      <x:c r="O358" s="17"/>
      <x:c r="P358" s="17"/>
      <x:c r="Q358" s="17"/>
      <x:c r="R358" s="17"/>
      <x:c r="S358" s="17"/>
      <x:c r="T358" s="17"/>
      <x:c r="U358" s="17"/>
      <x:c r="V358" s="17"/>
      <x:c r="W358" s="17"/>
      <x:c r="X358" s="17"/>
      <x:c r="Y358" s="17"/>
      <x:c r="Z358" s="17"/>
    </x:row>
    <x:row r="359">
      <x:c r="A359" s="17"/>
      <x:c r="B359" s="17"/>
      <x:c r="C359" s="17"/>
      <x:c r="D359" s="17"/>
      <x:c r="E359" s="17"/>
      <x:c r="F359" s="17"/>
      <x:c r="G359" s="17"/>
      <x:c r="H359" s="17"/>
      <x:c r="I359" s="17"/>
      <x:c r="J359" s="17"/>
      <x:c r="K359" s="17"/>
      <x:c r="L359" s="17"/>
      <x:c r="M359" s="17"/>
      <x:c r="N359" s="17"/>
      <x:c r="O359" s="17"/>
      <x:c r="P359" s="17"/>
      <x:c r="Q359" s="17"/>
      <x:c r="R359" s="17"/>
      <x:c r="S359" s="17"/>
      <x:c r="T359" s="17"/>
      <x:c r="U359" s="17"/>
      <x:c r="V359" s="17"/>
      <x:c r="W359" s="17"/>
      <x:c r="X359" s="17"/>
      <x:c r="Y359" s="17"/>
      <x:c r="Z359" s="17"/>
    </x:row>
    <x:row r="360">
      <x:c r="A360" s="17"/>
      <x:c r="B360" s="17"/>
      <x:c r="C360" s="17"/>
      <x:c r="D360" s="17"/>
      <x:c r="E360" s="17"/>
      <x:c r="F360" s="17"/>
      <x:c r="G360" s="17"/>
      <x:c r="H360" s="17"/>
      <x:c r="I360" s="17"/>
      <x:c r="J360" s="17"/>
      <x:c r="K360" s="17"/>
      <x:c r="L360" s="17"/>
      <x:c r="M360" s="17"/>
      <x:c r="N360" s="17"/>
      <x:c r="O360" s="17"/>
      <x:c r="P360" s="17"/>
      <x:c r="Q360" s="17"/>
      <x:c r="R360" s="17"/>
      <x:c r="S360" s="17"/>
      <x:c r="T360" s="17"/>
      <x:c r="U360" s="17"/>
      <x:c r="V360" s="17"/>
      <x:c r="W360" s="17"/>
      <x:c r="X360" s="17"/>
      <x:c r="Y360" s="17"/>
      <x:c r="Z360" s="17"/>
    </x:row>
    <x:row r="361">
      <x:c r="A361" s="17"/>
      <x:c r="B361" s="17"/>
      <x:c r="C361" s="17"/>
      <x:c r="D361" s="17"/>
      <x:c r="E361" s="17"/>
      <x:c r="F361" s="17"/>
      <x:c r="G361" s="17"/>
      <x:c r="H361" s="17"/>
      <x:c r="I361" s="17"/>
      <x:c r="J361" s="17"/>
      <x:c r="K361" s="17"/>
      <x:c r="L361" s="17"/>
      <x:c r="M361" s="17"/>
      <x:c r="N361" s="17"/>
      <x:c r="O361" s="17"/>
      <x:c r="P361" s="17"/>
      <x:c r="Q361" s="17"/>
      <x:c r="R361" s="17"/>
      <x:c r="S361" s="17"/>
      <x:c r="T361" s="17"/>
      <x:c r="U361" s="17"/>
      <x:c r="V361" s="17"/>
      <x:c r="W361" s="17"/>
      <x:c r="X361" s="17"/>
      <x:c r="Y361" s="17"/>
      <x:c r="Z361" s="17"/>
    </x:row>
    <x:row r="362">
      <x:c r="A362" s="17"/>
      <x:c r="B362" s="17"/>
      <x:c r="C362" s="17"/>
      <x:c r="D362" s="17"/>
      <x:c r="E362" s="17"/>
      <x:c r="F362" s="17"/>
      <x:c r="G362" s="17"/>
      <x:c r="H362" s="17"/>
      <x:c r="I362" s="17"/>
      <x:c r="J362" s="17"/>
      <x:c r="K362" s="17"/>
      <x:c r="L362" s="17"/>
      <x:c r="M362" s="17"/>
      <x:c r="N362" s="17"/>
      <x:c r="O362" s="17"/>
      <x:c r="P362" s="17"/>
      <x:c r="Q362" s="17"/>
      <x:c r="R362" s="17"/>
      <x:c r="S362" s="17"/>
      <x:c r="T362" s="17"/>
      <x:c r="U362" s="17"/>
      <x:c r="V362" s="17"/>
      <x:c r="W362" s="17"/>
      <x:c r="X362" s="17"/>
      <x:c r="Y362" s="17"/>
      <x:c r="Z362" s="17"/>
    </x:row>
    <x:row r="363">
      <x:c r="A363" s="17"/>
      <x:c r="B363" s="17"/>
      <x:c r="C363" s="17"/>
      <x:c r="D363" s="17"/>
      <x:c r="E363" s="17"/>
      <x:c r="F363" s="17"/>
      <x:c r="G363" s="17"/>
      <x:c r="H363" s="17"/>
      <x:c r="I363" s="17"/>
      <x:c r="J363" s="17"/>
      <x:c r="K363" s="17"/>
      <x:c r="L363" s="17"/>
      <x:c r="M363" s="17"/>
      <x:c r="N363" s="17"/>
      <x:c r="O363" s="17"/>
      <x:c r="P363" s="17"/>
      <x:c r="Q363" s="17"/>
      <x:c r="R363" s="17"/>
      <x:c r="S363" s="17"/>
      <x:c r="T363" s="17"/>
      <x:c r="U363" s="17"/>
      <x:c r="V363" s="17"/>
      <x:c r="W363" s="17"/>
      <x:c r="X363" s="17"/>
      <x:c r="Y363" s="17"/>
      <x:c r="Z363" s="17"/>
    </x:row>
    <x:row r="364">
      <x:c r="A364" s="17"/>
      <x:c r="B364" s="17"/>
      <x:c r="C364" s="17"/>
      <x:c r="D364" s="17"/>
      <x:c r="E364" s="17"/>
      <x:c r="F364" s="17"/>
      <x:c r="G364" s="17"/>
      <x:c r="H364" s="17"/>
      <x:c r="I364" s="17"/>
      <x:c r="J364" s="17"/>
      <x:c r="K364" s="17"/>
      <x:c r="L364" s="17"/>
      <x:c r="M364" s="17"/>
      <x:c r="N364" s="17"/>
      <x:c r="O364" s="17"/>
      <x:c r="P364" s="17"/>
      <x:c r="Q364" s="17"/>
      <x:c r="R364" s="17"/>
      <x:c r="S364" s="17"/>
      <x:c r="T364" s="17"/>
      <x:c r="U364" s="17"/>
      <x:c r="V364" s="17"/>
      <x:c r="W364" s="17"/>
      <x:c r="X364" s="17"/>
      <x:c r="Y364" s="17"/>
      <x:c r="Z364" s="17"/>
    </x:row>
    <x:row r="365">
      <x:c r="A365" s="17"/>
      <x:c r="B365" s="17"/>
      <x:c r="C365" s="17"/>
      <x:c r="D365" s="17"/>
      <x:c r="E365" s="17"/>
      <x:c r="F365" s="17"/>
      <x:c r="G365" s="17"/>
      <x:c r="H365" s="17"/>
      <x:c r="I365" s="17"/>
      <x:c r="J365" s="17"/>
      <x:c r="K365" s="17"/>
      <x:c r="L365" s="17"/>
      <x:c r="M365" s="17"/>
      <x:c r="N365" s="17"/>
      <x:c r="O365" s="17"/>
      <x:c r="P365" s="17"/>
      <x:c r="Q365" s="17"/>
      <x:c r="R365" s="17"/>
      <x:c r="S365" s="17"/>
      <x:c r="T365" s="17"/>
      <x:c r="U365" s="17"/>
      <x:c r="V365" s="17"/>
      <x:c r="W365" s="17"/>
      <x:c r="X365" s="17"/>
      <x:c r="Y365" s="17"/>
      <x:c r="Z365" s="17"/>
    </x:row>
    <x:row r="366">
      <x:c r="A366" s="17"/>
      <x:c r="B366" s="17"/>
      <x:c r="C366" s="17"/>
      <x:c r="D366" s="17"/>
      <x:c r="E366" s="17"/>
      <x:c r="F366" s="17"/>
      <x:c r="G366" s="17"/>
      <x:c r="H366" s="17"/>
      <x:c r="I366" s="17"/>
      <x:c r="J366" s="17"/>
      <x:c r="K366" s="17"/>
      <x:c r="L366" s="17"/>
      <x:c r="M366" s="17"/>
      <x:c r="N366" s="17"/>
      <x:c r="O366" s="17"/>
      <x:c r="P366" s="17"/>
      <x:c r="Q366" s="17"/>
      <x:c r="R366" s="17"/>
      <x:c r="S366" s="17"/>
      <x:c r="T366" s="17"/>
      <x:c r="U366" s="17"/>
      <x:c r="V366" s="17"/>
      <x:c r="W366" s="17"/>
      <x:c r="X366" s="17"/>
      <x:c r="Y366" s="17"/>
      <x:c r="Z366" s="17"/>
    </x:row>
    <x:row r="367">
      <x:c r="A367" s="17"/>
      <x:c r="B367" s="17"/>
      <x:c r="C367" s="17"/>
      <x:c r="D367" s="17"/>
      <x:c r="E367" s="17"/>
      <x:c r="F367" s="17"/>
      <x:c r="G367" s="17"/>
      <x:c r="H367" s="17"/>
      <x:c r="I367" s="17"/>
      <x:c r="J367" s="17"/>
      <x:c r="K367" s="17"/>
      <x:c r="L367" s="17"/>
      <x:c r="M367" s="17"/>
      <x:c r="N367" s="17"/>
      <x:c r="O367" s="17"/>
      <x:c r="P367" s="17"/>
      <x:c r="Q367" s="17"/>
      <x:c r="R367" s="17"/>
      <x:c r="S367" s="17"/>
      <x:c r="T367" s="17"/>
      <x:c r="U367" s="17"/>
      <x:c r="V367" s="17"/>
      <x:c r="W367" s="17"/>
      <x:c r="X367" s="17"/>
      <x:c r="Y367" s="17"/>
      <x:c r="Z367" s="17"/>
    </x:row>
    <x:row r="368">
      <x:c r="A368" s="17"/>
      <x:c r="B368" s="17"/>
      <x:c r="C368" s="17"/>
      <x:c r="D368" s="17"/>
      <x:c r="E368" s="17"/>
      <x:c r="F368" s="17"/>
      <x:c r="G368" s="17"/>
      <x:c r="H368" s="17"/>
      <x:c r="I368" s="17"/>
      <x:c r="J368" s="17"/>
      <x:c r="K368" s="17"/>
      <x:c r="L368" s="17"/>
      <x:c r="M368" s="17"/>
      <x:c r="N368" s="17"/>
      <x:c r="O368" s="17"/>
      <x:c r="P368" s="17"/>
      <x:c r="Q368" s="17"/>
      <x:c r="R368" s="17"/>
      <x:c r="S368" s="17"/>
      <x:c r="T368" s="17"/>
      <x:c r="U368" s="17"/>
      <x:c r="V368" s="17"/>
      <x:c r="W368" s="17"/>
      <x:c r="X368" s="17"/>
      <x:c r="Y368" s="17"/>
      <x:c r="Z368" s="17"/>
    </x:row>
    <x:row r="369">
      <x:c r="A369" s="17"/>
      <x:c r="B369" s="17"/>
      <x:c r="C369" s="17"/>
      <x:c r="D369" s="17"/>
      <x:c r="E369" s="17"/>
      <x:c r="F369" s="17"/>
      <x:c r="G369" s="17"/>
      <x:c r="H369" s="17"/>
      <x:c r="I369" s="17"/>
      <x:c r="J369" s="17"/>
      <x:c r="K369" s="17"/>
      <x:c r="L369" s="17"/>
      <x:c r="M369" s="17"/>
      <x:c r="N369" s="17"/>
      <x:c r="O369" s="17"/>
      <x:c r="P369" s="17"/>
      <x:c r="Q369" s="17"/>
      <x:c r="R369" s="17"/>
      <x:c r="S369" s="17"/>
      <x:c r="T369" s="17"/>
      <x:c r="U369" s="17"/>
      <x:c r="V369" s="17"/>
      <x:c r="W369" s="17"/>
      <x:c r="X369" s="17"/>
      <x:c r="Y369" s="17"/>
      <x:c r="Z369" s="17"/>
    </x:row>
    <x:row r="370">
      <x:c r="A370" s="17"/>
      <x:c r="B370" s="17"/>
      <x:c r="C370" s="17"/>
      <x:c r="D370" s="17"/>
      <x:c r="E370" s="17"/>
      <x:c r="F370" s="17"/>
      <x:c r="G370" s="17"/>
      <x:c r="H370" s="17"/>
      <x:c r="I370" s="17"/>
      <x:c r="J370" s="17"/>
      <x:c r="K370" s="17"/>
      <x:c r="L370" s="17"/>
      <x:c r="M370" s="17"/>
      <x:c r="N370" s="17"/>
      <x:c r="O370" s="17"/>
      <x:c r="P370" s="17"/>
      <x:c r="Q370" s="17"/>
      <x:c r="R370" s="17"/>
      <x:c r="S370" s="17"/>
      <x:c r="T370" s="17"/>
      <x:c r="U370" s="17"/>
      <x:c r="V370" s="17"/>
      <x:c r="W370" s="17"/>
      <x:c r="X370" s="17"/>
      <x:c r="Y370" s="17"/>
      <x:c r="Z370" s="17"/>
    </x:row>
    <x:row r="371">
      <x:c r="A371" s="17"/>
      <x:c r="B371" s="17"/>
      <x:c r="C371" s="17"/>
      <x:c r="D371" s="17"/>
      <x:c r="E371" s="17"/>
      <x:c r="F371" s="17"/>
      <x:c r="G371" s="17"/>
      <x:c r="H371" s="17"/>
      <x:c r="I371" s="17"/>
      <x:c r="J371" s="17"/>
      <x:c r="K371" s="17"/>
      <x:c r="L371" s="17"/>
      <x:c r="M371" s="17"/>
      <x:c r="N371" s="17"/>
      <x:c r="O371" s="17"/>
      <x:c r="P371" s="17"/>
      <x:c r="Q371" s="17"/>
      <x:c r="R371" s="17"/>
      <x:c r="S371" s="17"/>
      <x:c r="T371" s="17"/>
      <x:c r="U371" s="17"/>
      <x:c r="V371" s="17"/>
      <x:c r="W371" s="17"/>
      <x:c r="X371" s="17"/>
      <x:c r="Y371" s="17"/>
      <x:c r="Z371" s="17"/>
    </x:row>
    <x:row r="372">
      <x:c r="A372" s="17"/>
      <x:c r="B372" s="17"/>
      <x:c r="C372" s="17"/>
      <x:c r="D372" s="17"/>
      <x:c r="E372" s="17"/>
      <x:c r="F372" s="17"/>
      <x:c r="G372" s="17"/>
      <x:c r="H372" s="17"/>
      <x:c r="I372" s="17"/>
      <x:c r="J372" s="17"/>
      <x:c r="K372" s="17"/>
      <x:c r="L372" s="17"/>
      <x:c r="M372" s="17"/>
      <x:c r="N372" s="17"/>
      <x:c r="O372" s="17"/>
      <x:c r="P372" s="17"/>
      <x:c r="Q372" s="17"/>
      <x:c r="R372" s="17"/>
      <x:c r="S372" s="17"/>
      <x:c r="T372" s="17"/>
      <x:c r="U372" s="17"/>
      <x:c r="V372" s="17"/>
      <x:c r="W372" s="17"/>
      <x:c r="X372" s="17"/>
      <x:c r="Y372" s="17"/>
      <x:c r="Z372" s="17"/>
    </x:row>
    <x:row r="373">
      <x:c r="A373" s="17"/>
      <x:c r="B373" s="17"/>
      <x:c r="C373" s="17"/>
      <x:c r="D373" s="17"/>
      <x:c r="E373" s="17"/>
      <x:c r="F373" s="17"/>
      <x:c r="G373" s="17"/>
      <x:c r="H373" s="17"/>
      <x:c r="I373" s="17"/>
      <x:c r="J373" s="17"/>
      <x:c r="K373" s="17"/>
      <x:c r="L373" s="17"/>
      <x:c r="M373" s="17"/>
      <x:c r="N373" s="17"/>
      <x:c r="O373" s="17"/>
      <x:c r="P373" s="17"/>
      <x:c r="Q373" s="17"/>
      <x:c r="R373" s="17"/>
      <x:c r="S373" s="17"/>
      <x:c r="T373" s="17"/>
      <x:c r="U373" s="17"/>
      <x:c r="V373" s="17"/>
      <x:c r="W373" s="17"/>
      <x:c r="X373" s="17"/>
      <x:c r="Y373" s="17"/>
      <x:c r="Z373" s="17"/>
    </x:row>
    <x:row r="374">
      <x:c r="A374" s="17"/>
      <x:c r="B374" s="17"/>
      <x:c r="C374" s="17"/>
      <x:c r="D374" s="17"/>
      <x:c r="E374" s="17"/>
      <x:c r="F374" s="17"/>
      <x:c r="G374" s="17"/>
      <x:c r="H374" s="17"/>
      <x:c r="I374" s="17"/>
      <x:c r="J374" s="17"/>
      <x:c r="K374" s="17"/>
      <x:c r="L374" s="17"/>
      <x:c r="M374" s="17"/>
      <x:c r="N374" s="17"/>
      <x:c r="O374" s="17"/>
      <x:c r="P374" s="17"/>
      <x:c r="Q374" s="17"/>
      <x:c r="R374" s="17"/>
      <x:c r="S374" s="17"/>
      <x:c r="T374" s="17"/>
      <x:c r="U374" s="17"/>
      <x:c r="V374" s="17"/>
      <x:c r="W374" s="17"/>
      <x:c r="X374" s="17"/>
      <x:c r="Y374" s="17"/>
      <x:c r="Z374" s="17"/>
    </x:row>
    <x:row r="375">
      <x:c r="A375" s="17"/>
      <x:c r="B375" s="17"/>
      <x:c r="C375" s="17"/>
      <x:c r="D375" s="17"/>
      <x:c r="E375" s="17"/>
      <x:c r="F375" s="17"/>
      <x:c r="G375" s="17"/>
      <x:c r="H375" s="17"/>
      <x:c r="I375" s="17"/>
      <x:c r="J375" s="17"/>
      <x:c r="K375" s="17"/>
      <x:c r="L375" s="17"/>
      <x:c r="M375" s="17"/>
      <x:c r="N375" s="17"/>
      <x:c r="O375" s="17"/>
      <x:c r="P375" s="17"/>
      <x:c r="Q375" s="17"/>
      <x:c r="R375" s="17"/>
      <x:c r="S375" s="17"/>
      <x:c r="T375" s="17"/>
      <x:c r="U375" s="17"/>
      <x:c r="V375" s="17"/>
      <x:c r="W375" s="17"/>
      <x:c r="X375" s="17"/>
      <x:c r="Y375" s="17"/>
      <x:c r="Z375" s="17"/>
    </x:row>
    <x:row r="376">
      <x:c r="A376" s="17"/>
      <x:c r="B376" s="17"/>
      <x:c r="C376" s="17"/>
      <x:c r="D376" s="17"/>
      <x:c r="E376" s="17"/>
      <x:c r="F376" s="17"/>
      <x:c r="G376" s="17"/>
      <x:c r="H376" s="17"/>
      <x:c r="I376" s="17"/>
      <x:c r="J376" s="17"/>
      <x:c r="K376" s="17"/>
      <x:c r="L376" s="17"/>
      <x:c r="M376" s="17"/>
      <x:c r="N376" s="17"/>
      <x:c r="O376" s="17"/>
      <x:c r="P376" s="17"/>
      <x:c r="Q376" s="17"/>
      <x:c r="R376" s="17"/>
      <x:c r="S376" s="17"/>
      <x:c r="T376" s="17"/>
      <x:c r="U376" s="17"/>
      <x:c r="V376" s="17"/>
      <x:c r="W376" s="17"/>
      <x:c r="X376" s="17"/>
      <x:c r="Y376" s="17"/>
      <x:c r="Z376" s="17"/>
    </x:row>
    <x:row r="377">
      <x:c r="A377" s="17"/>
      <x:c r="B377" s="17"/>
      <x:c r="C377" s="17"/>
      <x:c r="D377" s="17"/>
      <x:c r="E377" s="17"/>
      <x:c r="F377" s="17"/>
      <x:c r="G377" s="17"/>
      <x:c r="H377" s="17"/>
      <x:c r="I377" s="17"/>
      <x:c r="J377" s="17"/>
      <x:c r="K377" s="17"/>
      <x:c r="L377" s="17"/>
      <x:c r="M377" s="17"/>
      <x:c r="N377" s="17"/>
      <x:c r="O377" s="17"/>
      <x:c r="P377" s="17"/>
      <x:c r="Q377" s="17"/>
      <x:c r="R377" s="17"/>
      <x:c r="S377" s="17"/>
      <x:c r="T377" s="17"/>
      <x:c r="U377" s="17"/>
      <x:c r="V377" s="17"/>
      <x:c r="W377" s="17"/>
      <x:c r="X377" s="17"/>
      <x:c r="Y377" s="17"/>
      <x:c r="Z377" s="17"/>
    </x:row>
    <x:row r="378">
      <x:c r="A378" s="17"/>
      <x:c r="B378" s="17"/>
      <x:c r="C378" s="17"/>
      <x:c r="D378" s="17"/>
      <x:c r="E378" s="17"/>
      <x:c r="F378" s="17"/>
      <x:c r="G378" s="17"/>
      <x:c r="H378" s="17"/>
      <x:c r="I378" s="17"/>
      <x:c r="J378" s="17"/>
      <x:c r="K378" s="17"/>
      <x:c r="L378" s="17"/>
      <x:c r="M378" s="17"/>
      <x:c r="N378" s="17"/>
      <x:c r="O378" s="17"/>
      <x:c r="P378" s="17"/>
      <x:c r="Q378" s="17"/>
      <x:c r="R378" s="17"/>
      <x:c r="S378" s="17"/>
      <x:c r="T378" s="17"/>
      <x:c r="U378" s="17"/>
      <x:c r="V378" s="17"/>
      <x:c r="W378" s="17"/>
      <x:c r="X378" s="17"/>
      <x:c r="Y378" s="17"/>
      <x:c r="Z378" s="17"/>
    </x:row>
    <x:row r="379">
      <x:c r="A379" s="17"/>
      <x:c r="B379" s="17"/>
      <x:c r="C379" s="17"/>
      <x:c r="D379" s="17"/>
      <x:c r="E379" s="17"/>
      <x:c r="F379" s="17"/>
      <x:c r="G379" s="17"/>
      <x:c r="H379" s="17"/>
      <x:c r="I379" s="17"/>
      <x:c r="J379" s="17"/>
      <x:c r="K379" s="17"/>
      <x:c r="L379" s="17"/>
      <x:c r="M379" s="17"/>
      <x:c r="N379" s="17"/>
      <x:c r="O379" s="17"/>
      <x:c r="P379" s="17"/>
      <x:c r="Q379" s="17"/>
      <x:c r="R379" s="17"/>
      <x:c r="S379" s="17"/>
      <x:c r="T379" s="17"/>
      <x:c r="U379" s="17"/>
      <x:c r="V379" s="17"/>
      <x:c r="W379" s="17"/>
      <x:c r="X379" s="17"/>
      <x:c r="Y379" s="17"/>
      <x:c r="Z379" s="17"/>
    </x:row>
    <x:row r="380">
      <x:c r="A380" s="17"/>
      <x:c r="B380" s="17"/>
      <x:c r="C380" s="17"/>
      <x:c r="D380" s="17"/>
      <x:c r="E380" s="17"/>
      <x:c r="F380" s="17"/>
      <x:c r="G380" s="17"/>
      <x:c r="H380" s="17"/>
      <x:c r="I380" s="17"/>
      <x:c r="J380" s="17"/>
      <x:c r="K380" s="17"/>
      <x:c r="L380" s="17"/>
      <x:c r="M380" s="17"/>
      <x:c r="N380" s="17"/>
      <x:c r="O380" s="17"/>
      <x:c r="P380" s="17"/>
      <x:c r="Q380" s="17"/>
      <x:c r="R380" s="17"/>
      <x:c r="S380" s="17"/>
      <x:c r="T380" s="17"/>
      <x:c r="U380" s="17"/>
      <x:c r="V380" s="17"/>
      <x:c r="W380" s="17"/>
      <x:c r="X380" s="17"/>
      <x:c r="Y380" s="17"/>
      <x:c r="Z380" s="17"/>
    </x:row>
    <x:row r="381">
      <x:c r="A381" s="17"/>
      <x:c r="B381" s="17"/>
      <x:c r="C381" s="17"/>
      <x:c r="D381" s="17"/>
      <x:c r="E381" s="17"/>
      <x:c r="F381" s="17"/>
      <x:c r="G381" s="17"/>
      <x:c r="H381" s="17"/>
      <x:c r="I381" s="17"/>
      <x:c r="J381" s="17"/>
      <x:c r="K381" s="17"/>
      <x:c r="L381" s="17"/>
      <x:c r="M381" s="17"/>
      <x:c r="N381" s="17"/>
      <x:c r="O381" s="17"/>
      <x:c r="P381" s="17"/>
      <x:c r="Q381" s="17"/>
      <x:c r="R381" s="17"/>
      <x:c r="S381" s="17"/>
      <x:c r="T381" s="17"/>
      <x:c r="U381" s="17"/>
      <x:c r="V381" s="17"/>
      <x:c r="W381" s="17"/>
      <x:c r="X381" s="17"/>
      <x:c r="Y381" s="17"/>
      <x:c r="Z381" s="17"/>
    </x:row>
    <x:row r="382">
      <x:c r="A382" s="17"/>
      <x:c r="B382" s="17"/>
      <x:c r="C382" s="17"/>
      <x:c r="D382" s="17"/>
      <x:c r="E382" s="17"/>
      <x:c r="F382" s="17"/>
      <x:c r="G382" s="17"/>
      <x:c r="H382" s="17"/>
      <x:c r="I382" s="17"/>
      <x:c r="J382" s="17"/>
      <x:c r="K382" s="17"/>
      <x:c r="L382" s="17"/>
      <x:c r="M382" s="17"/>
      <x:c r="N382" s="17"/>
      <x:c r="O382" s="17"/>
      <x:c r="P382" s="17"/>
      <x:c r="Q382" s="17"/>
      <x:c r="R382" s="17"/>
      <x:c r="S382" s="17"/>
      <x:c r="T382" s="17"/>
      <x:c r="U382" s="17"/>
      <x:c r="V382" s="17"/>
      <x:c r="W382" s="17"/>
      <x:c r="X382" s="17"/>
      <x:c r="Y382" s="17"/>
      <x:c r="Z382" s="17"/>
    </x:row>
    <x:row r="383">
      <x:c r="A383" s="17"/>
      <x:c r="B383" s="17"/>
      <x:c r="C383" s="17"/>
      <x:c r="D383" s="17"/>
      <x:c r="E383" s="17"/>
      <x:c r="F383" s="17"/>
      <x:c r="G383" s="17"/>
      <x:c r="H383" s="17"/>
      <x:c r="I383" s="17"/>
      <x:c r="J383" s="17"/>
      <x:c r="K383" s="17"/>
      <x:c r="L383" s="17"/>
      <x:c r="M383" s="17"/>
      <x:c r="N383" s="17"/>
      <x:c r="O383" s="17"/>
      <x:c r="P383" s="17"/>
      <x:c r="Q383" s="17"/>
      <x:c r="R383" s="17"/>
      <x:c r="S383" s="17"/>
      <x:c r="T383" s="17"/>
      <x:c r="U383" s="17"/>
      <x:c r="V383" s="17"/>
      <x:c r="W383" s="17"/>
      <x:c r="X383" s="17"/>
      <x:c r="Y383" s="17"/>
      <x:c r="Z383" s="17"/>
    </x:row>
    <x:row r="384">
      <x:c r="A384" s="17"/>
      <x:c r="B384" s="17"/>
      <x:c r="C384" s="17"/>
      <x:c r="D384" s="17"/>
      <x:c r="E384" s="17"/>
      <x:c r="F384" s="17"/>
      <x:c r="G384" s="17"/>
      <x:c r="H384" s="17"/>
      <x:c r="I384" s="17"/>
      <x:c r="J384" s="17"/>
      <x:c r="K384" s="17"/>
      <x:c r="L384" s="17"/>
      <x:c r="M384" s="17"/>
      <x:c r="N384" s="17"/>
      <x:c r="O384" s="17"/>
      <x:c r="P384" s="17"/>
      <x:c r="Q384" s="17"/>
      <x:c r="R384" s="17"/>
      <x:c r="S384" s="17"/>
      <x:c r="T384" s="17"/>
      <x:c r="U384" s="17"/>
      <x:c r="V384" s="17"/>
      <x:c r="W384" s="17"/>
      <x:c r="X384" s="17"/>
      <x:c r="Y384" s="17"/>
      <x:c r="Z384" s="17"/>
    </x:row>
    <x:row r="385">
      <x:c r="A385" s="17"/>
      <x:c r="B385" s="17"/>
      <x:c r="C385" s="17"/>
      <x:c r="D385" s="17"/>
      <x:c r="E385" s="17"/>
      <x:c r="F385" s="17"/>
      <x:c r="G385" s="17"/>
      <x:c r="H385" s="17"/>
      <x:c r="I385" s="17"/>
      <x:c r="J385" s="17"/>
      <x:c r="K385" s="17"/>
      <x:c r="L385" s="17"/>
      <x:c r="M385" s="17"/>
      <x:c r="N385" s="17"/>
      <x:c r="O385" s="17"/>
      <x:c r="P385" s="17"/>
      <x:c r="Q385" s="17"/>
      <x:c r="R385" s="17"/>
      <x:c r="S385" s="17"/>
      <x:c r="T385" s="17"/>
      <x:c r="U385" s="17"/>
      <x:c r="V385" s="17"/>
      <x:c r="W385" s="17"/>
      <x:c r="X385" s="17"/>
      <x:c r="Y385" s="17"/>
      <x:c r="Z385" s="17"/>
    </x:row>
    <x:row r="386">
      <x:c r="A386" s="17"/>
      <x:c r="B386" s="17"/>
      <x:c r="C386" s="17"/>
      <x:c r="D386" s="17"/>
      <x:c r="E386" s="17"/>
      <x:c r="F386" s="17"/>
      <x:c r="G386" s="17"/>
      <x:c r="H386" s="17"/>
      <x:c r="I386" s="17"/>
      <x:c r="J386" s="17"/>
      <x:c r="K386" s="17"/>
      <x:c r="L386" s="17"/>
      <x:c r="M386" s="17"/>
      <x:c r="N386" s="17"/>
      <x:c r="O386" s="17"/>
      <x:c r="P386" s="17"/>
      <x:c r="Q386" s="17"/>
      <x:c r="R386" s="17"/>
      <x:c r="S386" s="17"/>
      <x:c r="T386" s="17"/>
      <x:c r="U386" s="17"/>
      <x:c r="V386" s="17"/>
      <x:c r="W386" s="17"/>
      <x:c r="X386" s="17"/>
      <x:c r="Y386" s="17"/>
      <x:c r="Z386" s="17"/>
    </x:row>
    <x:row r="387">
      <x:c r="A387" s="17"/>
      <x:c r="B387" s="17"/>
      <x:c r="C387" s="17"/>
      <x:c r="D387" s="17"/>
      <x:c r="E387" s="17"/>
      <x:c r="F387" s="17"/>
      <x:c r="G387" s="17"/>
      <x:c r="H387" s="17"/>
      <x:c r="I387" s="17"/>
      <x:c r="J387" s="17"/>
      <x:c r="K387" s="17"/>
      <x:c r="L387" s="17"/>
      <x:c r="M387" s="17"/>
      <x:c r="N387" s="17"/>
      <x:c r="O387" s="17"/>
      <x:c r="P387" s="17"/>
      <x:c r="Q387" s="17"/>
      <x:c r="R387" s="17"/>
      <x:c r="S387" s="17"/>
      <x:c r="T387" s="17"/>
      <x:c r="U387" s="17"/>
      <x:c r="V387" s="17"/>
      <x:c r="W387" s="17"/>
      <x:c r="X387" s="17"/>
      <x:c r="Y387" s="17"/>
      <x:c r="Z387" s="17"/>
    </x:row>
    <x:row r="388">
      <x:c r="A388" s="17"/>
      <x:c r="B388" s="17"/>
      <x:c r="C388" s="17"/>
      <x:c r="D388" s="17"/>
      <x:c r="E388" s="17"/>
      <x:c r="F388" s="17"/>
      <x:c r="G388" s="17"/>
      <x:c r="H388" s="17"/>
      <x:c r="I388" s="17"/>
      <x:c r="J388" s="17"/>
      <x:c r="K388" s="17"/>
      <x:c r="L388" s="17"/>
      <x:c r="M388" s="17"/>
      <x:c r="N388" s="17"/>
      <x:c r="O388" s="17"/>
      <x:c r="P388" s="17"/>
      <x:c r="Q388" s="17"/>
      <x:c r="R388" s="17"/>
      <x:c r="S388" s="17"/>
      <x:c r="T388" s="17"/>
      <x:c r="U388" s="17"/>
      <x:c r="V388" s="17"/>
      <x:c r="W388" s="17"/>
      <x:c r="X388" s="17"/>
      <x:c r="Y388" s="17"/>
      <x:c r="Z388" s="17"/>
    </x:row>
    <x:row r="389">
      <x:c r="A389" s="17"/>
      <x:c r="B389" s="17"/>
      <x:c r="C389" s="17"/>
      <x:c r="D389" s="17"/>
      <x:c r="E389" s="17"/>
      <x:c r="F389" s="17"/>
      <x:c r="G389" s="17"/>
      <x:c r="H389" s="17"/>
      <x:c r="I389" s="17"/>
      <x:c r="J389" s="17"/>
      <x:c r="K389" s="17"/>
      <x:c r="L389" s="17"/>
      <x:c r="M389" s="17"/>
      <x:c r="N389" s="17"/>
      <x:c r="O389" s="17"/>
      <x:c r="P389" s="17"/>
      <x:c r="Q389" s="17"/>
      <x:c r="R389" s="17"/>
      <x:c r="S389" s="17"/>
      <x:c r="T389" s="17"/>
      <x:c r="U389" s="17"/>
      <x:c r="V389" s="17"/>
      <x:c r="W389" s="17"/>
      <x:c r="X389" s="17"/>
      <x:c r="Y389" s="17"/>
      <x:c r="Z389" s="17"/>
    </x:row>
    <x:row r="390">
      <x:c r="A390" s="17"/>
      <x:c r="B390" s="17"/>
      <x:c r="C390" s="17"/>
      <x:c r="D390" s="17"/>
      <x:c r="E390" s="17"/>
      <x:c r="F390" s="17"/>
      <x:c r="G390" s="17"/>
      <x:c r="H390" s="17"/>
      <x:c r="I390" s="17"/>
      <x:c r="J390" s="17"/>
      <x:c r="K390" s="17"/>
      <x:c r="L390" s="17"/>
      <x:c r="M390" s="17"/>
      <x:c r="N390" s="17"/>
      <x:c r="O390" s="17"/>
      <x:c r="P390" s="17"/>
      <x:c r="Q390" s="17"/>
      <x:c r="R390" s="17"/>
      <x:c r="S390" s="17"/>
      <x:c r="T390" s="17"/>
      <x:c r="U390" s="17"/>
      <x:c r="V390" s="17"/>
      <x:c r="W390" s="17"/>
      <x:c r="X390" s="17"/>
      <x:c r="Y390" s="17"/>
      <x:c r="Z390" s="17"/>
    </x:row>
    <x:row r="391">
      <x:c r="A391" s="17"/>
      <x:c r="B391" s="17"/>
      <x:c r="C391" s="17"/>
      <x:c r="D391" s="17"/>
      <x:c r="E391" s="17"/>
      <x:c r="F391" s="17"/>
      <x:c r="G391" s="17"/>
      <x:c r="H391" s="17"/>
      <x:c r="I391" s="17"/>
      <x:c r="J391" s="17"/>
      <x:c r="K391" s="17"/>
      <x:c r="L391" s="17"/>
      <x:c r="M391" s="17"/>
      <x:c r="N391" s="17"/>
      <x:c r="O391" s="17"/>
      <x:c r="P391" s="17"/>
      <x:c r="Q391" s="17"/>
      <x:c r="R391" s="17"/>
      <x:c r="S391" s="17"/>
      <x:c r="T391" s="17"/>
      <x:c r="U391" s="17"/>
      <x:c r="V391" s="17"/>
      <x:c r="W391" s="17"/>
      <x:c r="X391" s="17"/>
      <x:c r="Y391" s="17"/>
      <x:c r="Z391" s="17"/>
    </x:row>
    <x:row r="392">
      <x:c r="A392" s="17"/>
      <x:c r="B392" s="17"/>
      <x:c r="C392" s="17"/>
      <x:c r="D392" s="17"/>
      <x:c r="E392" s="17"/>
      <x:c r="F392" s="17"/>
      <x:c r="G392" s="17"/>
      <x:c r="H392" s="17"/>
      <x:c r="I392" s="17"/>
      <x:c r="J392" s="17"/>
      <x:c r="K392" s="17"/>
      <x:c r="L392" s="17"/>
      <x:c r="M392" s="17"/>
      <x:c r="N392" s="17"/>
      <x:c r="O392" s="17"/>
      <x:c r="P392" s="17"/>
      <x:c r="Q392" s="17"/>
      <x:c r="R392" s="17"/>
      <x:c r="S392" s="17"/>
      <x:c r="T392" s="17"/>
      <x:c r="U392" s="17"/>
      <x:c r="V392" s="17"/>
      <x:c r="W392" s="17"/>
      <x:c r="X392" s="17"/>
      <x:c r="Y392" s="17"/>
      <x:c r="Z392" s="17"/>
    </x:row>
    <x:row r="393">
      <x:c r="A393" s="17"/>
      <x:c r="B393" s="17"/>
      <x:c r="C393" s="17"/>
      <x:c r="D393" s="17"/>
      <x:c r="E393" s="17"/>
      <x:c r="F393" s="17"/>
      <x:c r="G393" s="17"/>
      <x:c r="H393" s="17"/>
      <x:c r="I393" s="17"/>
      <x:c r="J393" s="17"/>
      <x:c r="K393" s="17"/>
      <x:c r="L393" s="17"/>
      <x:c r="M393" s="17"/>
      <x:c r="N393" s="17"/>
      <x:c r="O393" s="17"/>
      <x:c r="P393" s="17"/>
      <x:c r="Q393" s="17"/>
      <x:c r="R393" s="17"/>
      <x:c r="S393" s="17"/>
      <x:c r="T393" s="17"/>
      <x:c r="U393" s="17"/>
      <x:c r="V393" s="17"/>
      <x:c r="W393" s="17"/>
      <x:c r="X393" s="17"/>
      <x:c r="Y393" s="17"/>
      <x:c r="Z393" s="17"/>
    </x:row>
    <x:row r="394">
      <x:c r="A394" s="17"/>
      <x:c r="B394" s="17"/>
      <x:c r="C394" s="17"/>
      <x:c r="D394" s="17"/>
      <x:c r="E394" s="17"/>
      <x:c r="F394" s="17"/>
      <x:c r="G394" s="17"/>
      <x:c r="H394" s="17"/>
      <x:c r="I394" s="17"/>
      <x:c r="J394" s="17"/>
      <x:c r="K394" s="17"/>
      <x:c r="L394" s="17"/>
      <x:c r="M394" s="17"/>
      <x:c r="N394" s="17"/>
      <x:c r="O394" s="17"/>
      <x:c r="P394" s="17"/>
      <x:c r="Q394" s="17"/>
      <x:c r="R394" s="17"/>
      <x:c r="S394" s="17"/>
      <x:c r="T394" s="17"/>
      <x:c r="U394" s="17"/>
      <x:c r="V394" s="17"/>
      <x:c r="W394" s="17"/>
      <x:c r="X394" s="17"/>
      <x:c r="Y394" s="17"/>
      <x:c r="Z394" s="17"/>
    </x:row>
    <x:row r="395">
      <x:c r="A395" s="17"/>
      <x:c r="B395" s="17"/>
      <x:c r="C395" s="17"/>
      <x:c r="D395" s="17"/>
      <x:c r="E395" s="17"/>
      <x:c r="F395" s="17"/>
      <x:c r="G395" s="17"/>
      <x:c r="H395" s="17"/>
      <x:c r="I395" s="17"/>
      <x:c r="J395" s="17"/>
      <x:c r="K395" s="17"/>
      <x:c r="L395" s="17"/>
      <x:c r="M395" s="17"/>
      <x:c r="N395" s="17"/>
      <x:c r="O395" s="17"/>
      <x:c r="P395" s="17"/>
      <x:c r="Q395" s="17"/>
      <x:c r="R395" s="17"/>
      <x:c r="S395" s="17"/>
      <x:c r="T395" s="17"/>
      <x:c r="U395" s="17"/>
      <x:c r="V395" s="17"/>
      <x:c r="W395" s="17"/>
      <x:c r="X395" s="17"/>
      <x:c r="Y395" s="17"/>
      <x:c r="Z395" s="17"/>
    </x:row>
    <x:row r="396">
      <x:c r="A396" s="17"/>
      <x:c r="B396" s="17"/>
      <x:c r="C396" s="17"/>
      <x:c r="D396" s="17"/>
      <x:c r="E396" s="17"/>
      <x:c r="F396" s="17"/>
      <x:c r="G396" s="17"/>
      <x:c r="H396" s="17"/>
      <x:c r="I396" s="17"/>
      <x:c r="J396" s="17"/>
      <x:c r="K396" s="17"/>
      <x:c r="L396" s="17"/>
      <x:c r="M396" s="17"/>
      <x:c r="N396" s="17"/>
      <x:c r="O396" s="17"/>
      <x:c r="P396" s="17"/>
      <x:c r="Q396" s="17"/>
      <x:c r="R396" s="17"/>
      <x:c r="S396" s="17"/>
      <x:c r="T396" s="17"/>
      <x:c r="U396" s="17"/>
      <x:c r="V396" s="17"/>
      <x:c r="W396" s="17"/>
      <x:c r="X396" s="17"/>
      <x:c r="Y396" s="17"/>
      <x:c r="Z396" s="17"/>
    </x:row>
    <x:row r="397">
      <x:c r="A397" s="17"/>
      <x:c r="B397" s="17"/>
      <x:c r="C397" s="17"/>
      <x:c r="D397" s="17"/>
      <x:c r="E397" s="17"/>
      <x:c r="F397" s="17"/>
      <x:c r="G397" s="17"/>
      <x:c r="H397" s="17"/>
      <x:c r="I397" s="17"/>
      <x:c r="J397" s="17"/>
      <x:c r="K397" s="17"/>
      <x:c r="L397" s="17"/>
      <x:c r="M397" s="17"/>
      <x:c r="N397" s="17"/>
      <x:c r="O397" s="17"/>
      <x:c r="P397" s="17"/>
      <x:c r="Q397" s="17"/>
      <x:c r="R397" s="17"/>
      <x:c r="S397" s="17"/>
      <x:c r="T397" s="17"/>
      <x:c r="U397" s="17"/>
      <x:c r="V397" s="17"/>
      <x:c r="W397" s="17"/>
      <x:c r="X397" s="17"/>
      <x:c r="Y397" s="17"/>
      <x:c r="Z397" s="17"/>
    </x:row>
    <x:row r="398">
      <x:c r="A398" s="17"/>
      <x:c r="B398" s="17"/>
      <x:c r="C398" s="17"/>
      <x:c r="D398" s="17"/>
      <x:c r="E398" s="17"/>
      <x:c r="F398" s="17"/>
      <x:c r="G398" s="17"/>
      <x:c r="H398" s="17"/>
      <x:c r="I398" s="17"/>
      <x:c r="J398" s="17"/>
      <x:c r="K398" s="17"/>
      <x:c r="L398" s="17"/>
      <x:c r="M398" s="17"/>
      <x:c r="N398" s="17"/>
      <x:c r="O398" s="17"/>
      <x:c r="P398" s="17"/>
      <x:c r="Q398" s="17"/>
      <x:c r="R398" s="17"/>
      <x:c r="S398" s="17"/>
      <x:c r="T398" s="17"/>
      <x:c r="U398" s="17"/>
      <x:c r="V398" s="17"/>
      <x:c r="W398" s="17"/>
      <x:c r="X398" s="17"/>
      <x:c r="Y398" s="17"/>
      <x:c r="Z398" s="17"/>
    </x:row>
    <x:row r="399">
      <x:c r="A399" s="17"/>
      <x:c r="B399" s="17"/>
      <x:c r="C399" s="17"/>
      <x:c r="D399" s="17"/>
      <x:c r="E399" s="17"/>
      <x:c r="F399" s="17"/>
      <x:c r="G399" s="17"/>
      <x:c r="H399" s="17"/>
      <x:c r="I399" s="17"/>
      <x:c r="J399" s="17"/>
      <x:c r="K399" s="17"/>
      <x:c r="L399" s="17"/>
      <x:c r="M399" s="17"/>
      <x:c r="N399" s="17"/>
      <x:c r="O399" s="17"/>
      <x:c r="P399" s="17"/>
      <x:c r="Q399" s="17"/>
      <x:c r="R399" s="17"/>
      <x:c r="S399" s="17"/>
      <x:c r="T399" s="17"/>
      <x:c r="U399" s="17"/>
      <x:c r="V399" s="17"/>
      <x:c r="W399" s="17"/>
      <x:c r="X399" s="17"/>
      <x:c r="Y399" s="17"/>
      <x:c r="Z399" s="17"/>
    </x:row>
    <x:row r="400">
      <x:c r="A400" s="17"/>
      <x:c r="B400" s="17"/>
      <x:c r="C400" s="17"/>
      <x:c r="D400" s="17"/>
      <x:c r="E400" s="17"/>
      <x:c r="F400" s="17"/>
      <x:c r="G400" s="17"/>
      <x:c r="H400" s="17"/>
      <x:c r="I400" s="17"/>
      <x:c r="J400" s="17"/>
      <x:c r="K400" s="17"/>
      <x:c r="L400" s="17"/>
      <x:c r="M400" s="17"/>
      <x:c r="N400" s="17"/>
      <x:c r="O400" s="17"/>
      <x:c r="P400" s="17"/>
      <x:c r="Q400" s="17"/>
      <x:c r="R400" s="17"/>
      <x:c r="S400" s="17"/>
      <x:c r="T400" s="17"/>
      <x:c r="U400" s="17"/>
      <x:c r="V400" s="17"/>
      <x:c r="W400" s="17"/>
      <x:c r="X400" s="17"/>
      <x:c r="Y400" s="17"/>
      <x:c r="Z400" s="17"/>
    </x:row>
    <x:row r="401">
      <x:c r="A401" s="17"/>
      <x:c r="B401" s="17"/>
      <x:c r="C401" s="17"/>
      <x:c r="D401" s="17"/>
      <x:c r="E401" s="17"/>
      <x:c r="F401" s="17"/>
      <x:c r="G401" s="17"/>
      <x:c r="H401" s="17"/>
      <x:c r="I401" s="17"/>
      <x:c r="J401" s="17"/>
      <x:c r="K401" s="17"/>
      <x:c r="L401" s="17"/>
      <x:c r="M401" s="17"/>
      <x:c r="N401" s="17"/>
      <x:c r="O401" s="17"/>
      <x:c r="P401" s="17"/>
      <x:c r="Q401" s="17"/>
      <x:c r="R401" s="17"/>
      <x:c r="S401" s="17"/>
      <x:c r="T401" s="17"/>
      <x:c r="U401" s="17"/>
      <x:c r="V401" s="17"/>
      <x:c r="W401" s="17"/>
      <x:c r="X401" s="17"/>
      <x:c r="Y401" s="17"/>
      <x:c r="Z401" s="17"/>
    </x:row>
    <x:row r="402">
      <x:c r="A402" s="17"/>
      <x:c r="B402" s="17"/>
      <x:c r="C402" s="17"/>
      <x:c r="D402" s="17"/>
      <x:c r="E402" s="17"/>
      <x:c r="F402" s="17"/>
      <x:c r="G402" s="17"/>
      <x:c r="H402" s="17"/>
      <x:c r="I402" s="17"/>
      <x:c r="J402" s="17"/>
      <x:c r="K402" s="17"/>
      <x:c r="L402" s="17"/>
      <x:c r="M402" s="17"/>
      <x:c r="N402" s="17"/>
      <x:c r="O402" s="17"/>
      <x:c r="P402" s="17"/>
      <x:c r="Q402" s="17"/>
      <x:c r="R402" s="17"/>
      <x:c r="S402" s="17"/>
      <x:c r="T402" s="17"/>
      <x:c r="U402" s="17"/>
      <x:c r="V402" s="17"/>
      <x:c r="W402" s="17"/>
      <x:c r="X402" s="17"/>
      <x:c r="Y402" s="17"/>
      <x:c r="Z402" s="17"/>
    </x:row>
    <x:row r="403">
      <x:c r="A403" s="17"/>
      <x:c r="B403" s="17"/>
      <x:c r="C403" s="17"/>
      <x:c r="D403" s="17"/>
      <x:c r="E403" s="17"/>
      <x:c r="F403" s="17"/>
      <x:c r="G403" s="17"/>
      <x:c r="H403" s="17"/>
      <x:c r="I403" s="17"/>
      <x:c r="J403" s="17"/>
      <x:c r="K403" s="17"/>
      <x:c r="L403" s="17"/>
      <x:c r="M403" s="17"/>
      <x:c r="N403" s="17"/>
      <x:c r="O403" s="17"/>
      <x:c r="P403" s="17"/>
      <x:c r="Q403" s="17"/>
      <x:c r="R403" s="17"/>
      <x:c r="S403" s="17"/>
      <x:c r="T403" s="17"/>
      <x:c r="U403" s="17"/>
      <x:c r="V403" s="17"/>
      <x:c r="W403" s="17"/>
      <x:c r="X403" s="17"/>
      <x:c r="Y403" s="17"/>
      <x:c r="Z403" s="17"/>
    </x:row>
    <x:row r="404">
      <x:c r="A404" s="17"/>
      <x:c r="B404" s="17"/>
      <x:c r="C404" s="17"/>
      <x:c r="D404" s="17"/>
      <x:c r="E404" s="17"/>
      <x:c r="F404" s="17"/>
      <x:c r="G404" s="17"/>
      <x:c r="H404" s="17"/>
      <x:c r="I404" s="17"/>
      <x:c r="J404" s="17"/>
      <x:c r="K404" s="17"/>
      <x:c r="L404" s="17"/>
      <x:c r="M404" s="17"/>
      <x:c r="N404" s="17"/>
      <x:c r="O404" s="17"/>
      <x:c r="P404" s="17"/>
      <x:c r="Q404" s="17"/>
      <x:c r="R404" s="17"/>
      <x:c r="S404" s="17"/>
      <x:c r="T404" s="17"/>
      <x:c r="U404" s="17"/>
      <x:c r="V404" s="17"/>
      <x:c r="W404" s="17"/>
      <x:c r="X404" s="17"/>
      <x:c r="Y404" s="17"/>
      <x:c r="Z404" s="17"/>
    </x:row>
    <x:row r="405">
      <x:c r="A405" s="17"/>
      <x:c r="B405" s="17"/>
      <x:c r="C405" s="17"/>
      <x:c r="D405" s="17"/>
      <x:c r="E405" s="17"/>
      <x:c r="F405" s="17"/>
      <x:c r="G405" s="17"/>
      <x:c r="H405" s="17"/>
      <x:c r="I405" s="17"/>
      <x:c r="J405" s="17"/>
      <x:c r="K405" s="17"/>
      <x:c r="L405" s="17"/>
      <x:c r="M405" s="17"/>
      <x:c r="N405" s="17"/>
      <x:c r="O405" s="17"/>
      <x:c r="P405" s="17"/>
      <x:c r="Q405" s="17"/>
      <x:c r="R405" s="17"/>
      <x:c r="S405" s="17"/>
      <x:c r="T405" s="17"/>
      <x:c r="U405" s="17"/>
      <x:c r="V405" s="17"/>
      <x:c r="W405" s="17"/>
      <x:c r="X405" s="17"/>
      <x:c r="Y405" s="17"/>
      <x:c r="Z405" s="17"/>
    </x:row>
    <x:row r="406">
      <x:c r="A406" s="17"/>
      <x:c r="B406" s="17"/>
      <x:c r="C406" s="17"/>
      <x:c r="D406" s="17"/>
      <x:c r="E406" s="17"/>
      <x:c r="F406" s="17"/>
      <x:c r="G406" s="17"/>
      <x:c r="H406" s="17"/>
      <x:c r="I406" s="17"/>
      <x:c r="J406" s="17"/>
      <x:c r="K406" s="17"/>
      <x:c r="L406" s="17"/>
      <x:c r="M406" s="17"/>
      <x:c r="N406" s="17"/>
      <x:c r="O406" s="17"/>
      <x:c r="P406" s="17"/>
      <x:c r="Q406" s="17"/>
      <x:c r="R406" s="17"/>
      <x:c r="S406" s="17"/>
      <x:c r="T406" s="17"/>
      <x:c r="U406" s="17"/>
      <x:c r="V406" s="17"/>
      <x:c r="W406" s="17"/>
      <x:c r="X406" s="17"/>
      <x:c r="Y406" s="17"/>
      <x:c r="Z406" s="17"/>
    </x:row>
    <x:row r="407">
      <x:c r="A407" s="17"/>
      <x:c r="B407" s="17"/>
      <x:c r="C407" s="17"/>
      <x:c r="D407" s="17"/>
      <x:c r="E407" s="17"/>
      <x:c r="F407" s="17"/>
      <x:c r="G407" s="17"/>
      <x:c r="H407" s="17"/>
      <x:c r="I407" s="17"/>
      <x:c r="J407" s="17"/>
      <x:c r="K407" s="17"/>
      <x:c r="L407" s="17"/>
      <x:c r="M407" s="17"/>
      <x:c r="N407" s="17"/>
      <x:c r="O407" s="17"/>
      <x:c r="P407" s="17"/>
      <x:c r="Q407" s="17"/>
      <x:c r="R407" s="17"/>
      <x:c r="S407" s="17"/>
      <x:c r="T407" s="17"/>
      <x:c r="U407" s="17"/>
      <x:c r="V407" s="17"/>
      <x:c r="W407" s="17"/>
      <x:c r="X407" s="17"/>
      <x:c r="Y407" s="17"/>
      <x:c r="Z407" s="17"/>
    </x:row>
    <x:row r="408">
      <x:c r="A408" s="17"/>
      <x:c r="B408" s="17"/>
      <x:c r="C408" s="17"/>
      <x:c r="D408" s="17"/>
      <x:c r="E408" s="17"/>
      <x:c r="F408" s="17"/>
      <x:c r="G408" s="17"/>
      <x:c r="H408" s="17"/>
      <x:c r="I408" s="17"/>
      <x:c r="J408" s="17"/>
      <x:c r="K408" s="17"/>
      <x:c r="L408" s="17"/>
      <x:c r="M408" s="17"/>
      <x:c r="N408" s="17"/>
      <x:c r="O408" s="17"/>
      <x:c r="P408" s="17"/>
      <x:c r="Q408" s="17"/>
      <x:c r="R408" s="17"/>
      <x:c r="S408" s="17"/>
      <x:c r="T408" s="17"/>
      <x:c r="U408" s="17"/>
      <x:c r="V408" s="17"/>
      <x:c r="W408" s="17"/>
      <x:c r="X408" s="17"/>
      <x:c r="Y408" s="17"/>
      <x:c r="Z408" s="17"/>
    </x:row>
    <x:row r="409">
      <x:c r="A409" s="17"/>
      <x:c r="B409" s="17"/>
      <x:c r="C409" s="17"/>
      <x:c r="D409" s="17"/>
      <x:c r="E409" s="17"/>
      <x:c r="F409" s="17"/>
      <x:c r="G409" s="17"/>
      <x:c r="H409" s="17"/>
      <x:c r="I409" s="17"/>
      <x:c r="J409" s="17"/>
      <x:c r="K409" s="17"/>
      <x:c r="L409" s="17"/>
      <x:c r="M409" s="17"/>
      <x:c r="N409" s="17"/>
      <x:c r="O409" s="17"/>
      <x:c r="P409" s="17"/>
      <x:c r="Q409" s="17"/>
      <x:c r="R409" s="17"/>
      <x:c r="S409" s="17"/>
      <x:c r="T409" s="17"/>
      <x:c r="U409" s="17"/>
      <x:c r="V409" s="17"/>
      <x:c r="W409" s="17"/>
      <x:c r="X409" s="17"/>
      <x:c r="Y409" s="17"/>
      <x:c r="Z409" s="17"/>
    </x:row>
    <x:row r="410">
      <x:c r="A410" s="17"/>
      <x:c r="B410" s="17"/>
      <x:c r="C410" s="17"/>
      <x:c r="D410" s="17"/>
      <x:c r="E410" s="17"/>
      <x:c r="F410" s="17"/>
      <x:c r="G410" s="17"/>
      <x:c r="H410" s="17"/>
      <x:c r="I410" s="17"/>
      <x:c r="J410" s="17"/>
      <x:c r="K410" s="17"/>
      <x:c r="L410" s="17"/>
      <x:c r="M410" s="17"/>
      <x:c r="N410" s="17"/>
      <x:c r="O410" s="17"/>
      <x:c r="P410" s="17"/>
      <x:c r="Q410" s="17"/>
      <x:c r="R410" s="17"/>
      <x:c r="S410" s="17"/>
      <x:c r="T410" s="17"/>
      <x:c r="U410" s="17"/>
      <x:c r="V410" s="17"/>
      <x:c r="W410" s="17"/>
      <x:c r="X410" s="17"/>
      <x:c r="Y410" s="17"/>
      <x:c r="Z410" s="17"/>
    </x:row>
    <x:row r="411">
      <x:c r="A411" s="17"/>
      <x:c r="B411" s="17"/>
      <x:c r="C411" s="17"/>
      <x:c r="D411" s="17"/>
      <x:c r="E411" s="17"/>
      <x:c r="F411" s="17"/>
      <x:c r="G411" s="17"/>
      <x:c r="H411" s="17"/>
      <x:c r="I411" s="17"/>
      <x:c r="J411" s="17"/>
      <x:c r="K411" s="17"/>
      <x:c r="L411" s="17"/>
      <x:c r="M411" s="17"/>
      <x:c r="N411" s="17"/>
      <x:c r="O411" s="17"/>
      <x:c r="P411" s="17"/>
      <x:c r="Q411" s="17"/>
      <x:c r="R411" s="17"/>
      <x:c r="S411" s="17"/>
      <x:c r="T411" s="17"/>
      <x:c r="U411" s="17"/>
      <x:c r="V411" s="17"/>
      <x:c r="W411" s="17"/>
      <x:c r="X411" s="17"/>
      <x:c r="Y411" s="17"/>
      <x:c r="Z411" s="17"/>
    </x:row>
    <x:row r="412">
      <x:c r="A412" s="17"/>
      <x:c r="B412" s="17"/>
      <x:c r="C412" s="17"/>
      <x:c r="D412" s="17"/>
      <x:c r="E412" s="17"/>
      <x:c r="F412" s="17"/>
      <x:c r="G412" s="17"/>
      <x:c r="H412" s="17"/>
      <x:c r="I412" s="17"/>
      <x:c r="J412" s="17"/>
      <x:c r="K412" s="17"/>
      <x:c r="L412" s="17"/>
      <x:c r="M412" s="17"/>
      <x:c r="N412" s="17"/>
      <x:c r="O412" s="17"/>
      <x:c r="P412" s="17"/>
      <x:c r="Q412" s="17"/>
      <x:c r="R412" s="17"/>
      <x:c r="S412" s="17"/>
      <x:c r="T412" s="17"/>
      <x:c r="U412" s="17"/>
      <x:c r="V412" s="17"/>
      <x:c r="W412" s="17"/>
      <x:c r="X412" s="17"/>
      <x:c r="Y412" s="17"/>
      <x:c r="Z412" s="17"/>
    </x:row>
    <x:row r="413">
      <x:c r="A413" s="17"/>
      <x:c r="B413" s="17"/>
      <x:c r="C413" s="17"/>
      <x:c r="D413" s="17"/>
      <x:c r="E413" s="17"/>
      <x:c r="F413" s="17"/>
      <x:c r="G413" s="17"/>
      <x:c r="H413" s="17"/>
      <x:c r="I413" s="17"/>
      <x:c r="J413" s="17"/>
      <x:c r="K413" s="17"/>
      <x:c r="L413" s="17"/>
      <x:c r="M413" s="17"/>
      <x:c r="N413" s="17"/>
      <x:c r="O413" s="17"/>
      <x:c r="P413" s="17"/>
      <x:c r="Q413" s="17"/>
      <x:c r="R413" s="17"/>
      <x:c r="S413" s="17"/>
      <x:c r="T413" s="17"/>
      <x:c r="U413" s="17"/>
      <x:c r="V413" s="17"/>
      <x:c r="W413" s="17"/>
      <x:c r="X413" s="17"/>
      <x:c r="Y413" s="17"/>
      <x:c r="Z413" s="17"/>
    </x:row>
    <x:row r="414">
      <x:c r="A414" s="17"/>
      <x:c r="B414" s="17"/>
      <x:c r="C414" s="17"/>
      <x:c r="D414" s="17"/>
      <x:c r="E414" s="17"/>
      <x:c r="F414" s="17"/>
      <x:c r="G414" s="17"/>
      <x:c r="H414" s="17"/>
      <x:c r="I414" s="17"/>
      <x:c r="J414" s="17"/>
      <x:c r="K414" s="17"/>
      <x:c r="L414" s="17"/>
      <x:c r="M414" s="17"/>
      <x:c r="N414" s="17"/>
      <x:c r="O414" s="17"/>
      <x:c r="P414" s="17"/>
      <x:c r="Q414" s="17"/>
      <x:c r="R414" s="17"/>
      <x:c r="S414" s="17"/>
      <x:c r="T414" s="17"/>
      <x:c r="U414" s="17"/>
      <x:c r="V414" s="17"/>
      <x:c r="W414" s="17"/>
      <x:c r="X414" s="17"/>
      <x:c r="Y414" s="17"/>
      <x:c r="Z414" s="17"/>
    </x:row>
    <x:row r="415">
      <x:c r="A415" s="17"/>
      <x:c r="B415" s="17"/>
      <x:c r="C415" s="17"/>
      <x:c r="D415" s="17"/>
      <x:c r="E415" s="17"/>
      <x:c r="F415" s="17"/>
      <x:c r="G415" s="17"/>
      <x:c r="H415" s="17"/>
      <x:c r="I415" s="17"/>
      <x:c r="J415" s="17"/>
      <x:c r="K415" s="17"/>
      <x:c r="L415" s="17"/>
      <x:c r="M415" s="17"/>
      <x:c r="N415" s="17"/>
      <x:c r="O415" s="17"/>
      <x:c r="P415" s="17"/>
      <x:c r="Q415" s="17"/>
      <x:c r="R415" s="17"/>
      <x:c r="S415" s="17"/>
      <x:c r="T415" s="17"/>
      <x:c r="U415" s="17"/>
      <x:c r="V415" s="17"/>
      <x:c r="W415" s="17"/>
      <x:c r="X415" s="17"/>
      <x:c r="Y415" s="17"/>
      <x:c r="Z415" s="17"/>
    </x:row>
    <x:row r="416">
      <x:c r="A416" s="17"/>
      <x:c r="B416" s="17"/>
      <x:c r="C416" s="17"/>
      <x:c r="D416" s="17"/>
      <x:c r="E416" s="17"/>
      <x:c r="F416" s="17"/>
      <x:c r="G416" s="17"/>
      <x:c r="H416" s="17"/>
      <x:c r="I416" s="17"/>
      <x:c r="J416" s="17"/>
      <x:c r="K416" s="17"/>
      <x:c r="L416" s="17"/>
      <x:c r="M416" s="17"/>
      <x:c r="N416" s="17"/>
      <x:c r="O416" s="17"/>
      <x:c r="P416" s="17"/>
      <x:c r="Q416" s="17"/>
      <x:c r="R416" s="17"/>
      <x:c r="S416" s="17"/>
      <x:c r="T416" s="17"/>
      <x:c r="U416" s="17"/>
      <x:c r="V416" s="17"/>
      <x:c r="W416" s="17"/>
      <x:c r="X416" s="17"/>
      <x:c r="Y416" s="17"/>
      <x:c r="Z416" s="17"/>
    </x:row>
    <x:row r="417">
      <x:c r="A417" s="17"/>
      <x:c r="B417" s="17"/>
      <x:c r="C417" s="17"/>
      <x:c r="D417" s="17"/>
      <x:c r="E417" s="17"/>
      <x:c r="F417" s="17"/>
      <x:c r="G417" s="17"/>
      <x:c r="H417" s="17"/>
      <x:c r="I417" s="17"/>
      <x:c r="J417" s="17"/>
      <x:c r="K417" s="17"/>
      <x:c r="L417" s="17"/>
      <x:c r="M417" s="17"/>
      <x:c r="N417" s="17"/>
      <x:c r="O417" s="17"/>
      <x:c r="P417" s="17"/>
      <x:c r="Q417" s="17"/>
      <x:c r="R417" s="17"/>
      <x:c r="S417" s="17"/>
      <x:c r="T417" s="17"/>
      <x:c r="U417" s="17"/>
      <x:c r="V417" s="17"/>
      <x:c r="W417" s="17"/>
      <x:c r="X417" s="17"/>
      <x:c r="Y417" s="17"/>
      <x:c r="Z417" s="17"/>
    </x:row>
    <x:row r="418">
      <x:c r="A418" s="17"/>
      <x:c r="B418" s="17"/>
      <x:c r="C418" s="17"/>
      <x:c r="D418" s="17"/>
      <x:c r="E418" s="17"/>
      <x:c r="F418" s="17"/>
      <x:c r="G418" s="17"/>
      <x:c r="H418" s="17"/>
      <x:c r="I418" s="17"/>
      <x:c r="J418" s="17"/>
      <x:c r="K418" s="17"/>
      <x:c r="L418" s="17"/>
      <x:c r="M418" s="17"/>
      <x:c r="N418" s="17"/>
      <x:c r="O418" s="17"/>
      <x:c r="P418" s="17"/>
      <x:c r="Q418" s="17"/>
      <x:c r="R418" s="17"/>
      <x:c r="S418" s="17"/>
      <x:c r="T418" s="17"/>
      <x:c r="U418" s="17"/>
      <x:c r="V418" s="17"/>
      <x:c r="W418" s="17"/>
      <x:c r="X418" s="17"/>
      <x:c r="Y418" s="17"/>
      <x:c r="Z418" s="17"/>
    </x:row>
    <x:row r="419">
      <x:c r="A419" s="17"/>
      <x:c r="B419" s="17"/>
      <x:c r="C419" s="17"/>
      <x:c r="D419" s="17"/>
      <x:c r="E419" s="17"/>
      <x:c r="F419" s="17"/>
      <x:c r="G419" s="17"/>
      <x:c r="H419" s="17"/>
      <x:c r="I419" s="17"/>
      <x:c r="J419" s="17"/>
      <x:c r="K419" s="17"/>
      <x:c r="L419" s="17"/>
      <x:c r="M419" s="17"/>
      <x:c r="N419" s="17"/>
      <x:c r="O419" s="17"/>
      <x:c r="P419" s="17"/>
      <x:c r="Q419" s="17"/>
      <x:c r="R419" s="17"/>
      <x:c r="S419" s="17"/>
      <x:c r="T419" s="17"/>
      <x:c r="U419" s="17"/>
      <x:c r="V419" s="17"/>
      <x:c r="W419" s="17"/>
      <x:c r="X419" s="17"/>
      <x:c r="Y419" s="17"/>
      <x:c r="Z419" s="17"/>
    </x:row>
    <x:row r="420">
      <x:c r="A420" s="17"/>
      <x:c r="B420" s="17"/>
      <x:c r="C420" s="17"/>
      <x:c r="D420" s="17"/>
      <x:c r="E420" s="17"/>
      <x:c r="F420" s="17"/>
      <x:c r="G420" s="17"/>
      <x:c r="H420" s="17"/>
      <x:c r="I420" s="17"/>
      <x:c r="J420" s="17"/>
      <x:c r="K420" s="17"/>
      <x:c r="L420" s="17"/>
      <x:c r="M420" s="17"/>
      <x:c r="N420" s="17"/>
      <x:c r="O420" s="17"/>
      <x:c r="P420" s="17"/>
      <x:c r="Q420" s="17"/>
      <x:c r="R420" s="17"/>
      <x:c r="S420" s="17"/>
      <x:c r="T420" s="17"/>
      <x:c r="U420" s="17"/>
      <x:c r="V420" s="17"/>
      <x:c r="W420" s="17"/>
      <x:c r="X420" s="17"/>
      <x:c r="Y420" s="17"/>
      <x:c r="Z420" s="17"/>
    </x:row>
    <x:row r="421">
      <x:c r="A421" s="17"/>
      <x:c r="B421" s="17"/>
      <x:c r="C421" s="17"/>
      <x:c r="D421" s="17"/>
      <x:c r="E421" s="17"/>
      <x:c r="F421" s="17"/>
      <x:c r="G421" s="17"/>
      <x:c r="H421" s="17"/>
      <x:c r="I421" s="17"/>
      <x:c r="J421" s="17"/>
      <x:c r="K421" s="17"/>
      <x:c r="L421" s="17"/>
      <x:c r="M421" s="17"/>
      <x:c r="N421" s="17"/>
      <x:c r="O421" s="17"/>
      <x:c r="P421" s="17"/>
      <x:c r="Q421" s="17"/>
      <x:c r="R421" s="17"/>
      <x:c r="S421" s="17"/>
      <x:c r="T421" s="17"/>
      <x:c r="U421" s="17"/>
      <x:c r="V421" s="17"/>
      <x:c r="W421" s="17"/>
      <x:c r="X421" s="17"/>
      <x:c r="Y421" s="17"/>
      <x:c r="Z421" s="17"/>
    </x:row>
    <x:row r="422">
      <x:c r="A422" s="17"/>
      <x:c r="B422" s="17"/>
      <x:c r="C422" s="17"/>
      <x:c r="D422" s="17"/>
      <x:c r="E422" s="17"/>
      <x:c r="F422" s="17"/>
      <x:c r="G422" s="17"/>
      <x:c r="H422" s="17"/>
      <x:c r="I422" s="17"/>
      <x:c r="J422" s="17"/>
      <x:c r="K422" s="17"/>
      <x:c r="L422" s="17"/>
      <x:c r="M422" s="17"/>
      <x:c r="N422" s="17"/>
      <x:c r="O422" s="17"/>
      <x:c r="P422" s="17"/>
      <x:c r="Q422" s="17"/>
      <x:c r="R422" s="17"/>
      <x:c r="S422" s="17"/>
      <x:c r="T422" s="17"/>
      <x:c r="U422" s="17"/>
      <x:c r="V422" s="17"/>
      <x:c r="W422" s="17"/>
      <x:c r="X422" s="17"/>
      <x:c r="Y422" s="17"/>
      <x:c r="Z422" s="17"/>
    </x:row>
    <x:row r="423">
      <x:c r="A423" s="17"/>
      <x:c r="B423" s="17"/>
      <x:c r="C423" s="17"/>
      <x:c r="D423" s="17"/>
      <x:c r="E423" s="17"/>
      <x:c r="F423" s="17"/>
      <x:c r="G423" s="17"/>
      <x:c r="H423" s="17"/>
      <x:c r="I423" s="17"/>
      <x:c r="J423" s="17"/>
      <x:c r="K423" s="17"/>
      <x:c r="L423" s="17"/>
      <x:c r="M423" s="17"/>
      <x:c r="N423" s="17"/>
      <x:c r="O423" s="17"/>
      <x:c r="P423" s="17"/>
      <x:c r="Q423" s="17"/>
      <x:c r="R423" s="17"/>
      <x:c r="S423" s="17"/>
      <x:c r="T423" s="17"/>
      <x:c r="U423" s="17"/>
      <x:c r="V423" s="17"/>
      <x:c r="W423" s="17"/>
      <x:c r="X423" s="17"/>
      <x:c r="Y423" s="17"/>
      <x:c r="Z423" s="17"/>
    </x:row>
    <x:row r="424">
      <x:c r="A424" s="17"/>
      <x:c r="B424" s="17"/>
      <x:c r="C424" s="17"/>
      <x:c r="D424" s="17"/>
      <x:c r="E424" s="17"/>
      <x:c r="F424" s="17"/>
      <x:c r="G424" s="17"/>
      <x:c r="H424" s="17"/>
      <x:c r="I424" s="17"/>
      <x:c r="J424" s="17"/>
      <x:c r="K424" s="17"/>
      <x:c r="L424" s="17"/>
      <x:c r="M424" s="17"/>
      <x:c r="N424" s="17"/>
      <x:c r="O424" s="17"/>
      <x:c r="P424" s="17"/>
      <x:c r="Q424" s="17"/>
      <x:c r="R424" s="17"/>
      <x:c r="S424" s="17"/>
      <x:c r="T424" s="17"/>
      <x:c r="U424" s="17"/>
      <x:c r="V424" s="17"/>
      <x:c r="W424" s="17"/>
      <x:c r="X424" s="17"/>
      <x:c r="Y424" s="17"/>
      <x:c r="Z424" s="17"/>
    </x:row>
    <x:row r="425">
      <x:c r="A425" s="17"/>
      <x:c r="B425" s="17"/>
      <x:c r="C425" s="17"/>
      <x:c r="D425" s="17"/>
      <x:c r="E425" s="17"/>
      <x:c r="F425" s="17"/>
      <x:c r="G425" s="17"/>
      <x:c r="H425" s="17"/>
      <x:c r="I425" s="17"/>
      <x:c r="J425" s="17"/>
      <x:c r="K425" s="17"/>
      <x:c r="L425" s="17"/>
      <x:c r="M425" s="17"/>
      <x:c r="N425" s="17"/>
      <x:c r="O425" s="17"/>
      <x:c r="P425" s="17"/>
      <x:c r="Q425" s="17"/>
      <x:c r="R425" s="17"/>
      <x:c r="S425" s="17"/>
      <x:c r="T425" s="17"/>
      <x:c r="U425" s="17"/>
      <x:c r="V425" s="17"/>
      <x:c r="W425" s="17"/>
      <x:c r="X425" s="17"/>
      <x:c r="Y425" s="17"/>
      <x:c r="Z425" s="17"/>
    </x:row>
    <x:row r="426">
      <x:c r="A426" s="17"/>
      <x:c r="B426" s="17"/>
      <x:c r="C426" s="17"/>
      <x:c r="D426" s="17"/>
      <x:c r="E426" s="17"/>
      <x:c r="F426" s="17"/>
      <x:c r="G426" s="17"/>
      <x:c r="H426" s="17"/>
      <x:c r="I426" s="17"/>
      <x:c r="J426" s="17"/>
      <x:c r="K426" s="17"/>
      <x:c r="L426" s="17"/>
      <x:c r="M426" s="17"/>
      <x:c r="N426" s="17"/>
      <x:c r="O426" s="17"/>
      <x:c r="P426" s="17"/>
      <x:c r="Q426" s="17"/>
      <x:c r="R426" s="17"/>
      <x:c r="S426" s="17"/>
      <x:c r="T426" s="17"/>
      <x:c r="U426" s="17"/>
      <x:c r="V426" s="17"/>
      <x:c r="W426" s="17"/>
      <x:c r="X426" s="17"/>
      <x:c r="Y426" s="17"/>
      <x:c r="Z426" s="17"/>
    </x:row>
    <x:row r="427">
      <x:c r="A427" s="17"/>
      <x:c r="B427" s="17"/>
      <x:c r="C427" s="17"/>
      <x:c r="D427" s="17"/>
      <x:c r="E427" s="17"/>
      <x:c r="F427" s="17"/>
      <x:c r="G427" s="17"/>
      <x:c r="H427" s="17"/>
      <x:c r="I427" s="17"/>
      <x:c r="J427" s="17"/>
      <x:c r="K427" s="17"/>
      <x:c r="L427" s="17"/>
      <x:c r="M427" s="17"/>
      <x:c r="N427" s="17"/>
      <x:c r="O427" s="17"/>
      <x:c r="P427" s="17"/>
      <x:c r="Q427" s="17"/>
      <x:c r="R427" s="17"/>
      <x:c r="S427" s="17"/>
      <x:c r="T427" s="17"/>
      <x:c r="U427" s="17"/>
      <x:c r="V427" s="17"/>
      <x:c r="W427" s="17"/>
      <x:c r="X427" s="17"/>
      <x:c r="Y427" s="17"/>
      <x:c r="Z427" s="17"/>
    </x:row>
    <x:row r="428">
      <x:c r="A428" s="17"/>
      <x:c r="B428" s="17"/>
      <x:c r="C428" s="17"/>
      <x:c r="D428" s="17"/>
      <x:c r="E428" s="17"/>
      <x:c r="F428" s="17"/>
      <x:c r="G428" s="17"/>
      <x:c r="H428" s="17"/>
      <x:c r="I428" s="17"/>
      <x:c r="J428" s="17"/>
      <x:c r="K428" s="17"/>
      <x:c r="L428" s="17"/>
      <x:c r="M428" s="17"/>
      <x:c r="N428" s="17"/>
      <x:c r="O428" s="17"/>
      <x:c r="P428" s="17"/>
      <x:c r="Q428" s="17"/>
      <x:c r="R428" s="17"/>
      <x:c r="S428" s="17"/>
      <x:c r="T428" s="17"/>
      <x:c r="U428" s="17"/>
      <x:c r="V428" s="17"/>
      <x:c r="W428" s="17"/>
      <x:c r="X428" s="17"/>
      <x:c r="Y428" s="17"/>
      <x:c r="Z428" s="17"/>
    </x:row>
    <x:row r="429">
      <x:c r="A429" s="17"/>
      <x:c r="B429" s="17"/>
      <x:c r="C429" s="17"/>
      <x:c r="D429" s="17"/>
      <x:c r="E429" s="17"/>
      <x:c r="F429" s="17"/>
      <x:c r="G429" s="17"/>
      <x:c r="H429" s="17"/>
      <x:c r="I429" s="17"/>
      <x:c r="J429" s="17"/>
      <x:c r="K429" s="17"/>
      <x:c r="L429" s="17"/>
      <x:c r="M429" s="17"/>
      <x:c r="N429" s="17"/>
      <x:c r="O429" s="17"/>
      <x:c r="P429" s="17"/>
      <x:c r="Q429" s="17"/>
      <x:c r="R429" s="17"/>
      <x:c r="S429" s="17"/>
      <x:c r="T429" s="17"/>
      <x:c r="U429" s="17"/>
      <x:c r="V429" s="17"/>
      <x:c r="W429" s="17"/>
      <x:c r="X429" s="17"/>
      <x:c r="Y429" s="17"/>
      <x:c r="Z429" s="17"/>
    </x:row>
    <x:row r="430">
      <x:c r="A430" s="17"/>
      <x:c r="B430" s="17"/>
      <x:c r="C430" s="17"/>
      <x:c r="D430" s="17"/>
      <x:c r="E430" s="17"/>
      <x:c r="F430" s="17"/>
      <x:c r="G430" s="17"/>
      <x:c r="H430" s="17"/>
      <x:c r="I430" s="17"/>
      <x:c r="J430" s="17"/>
      <x:c r="K430" s="17"/>
      <x:c r="L430" s="17"/>
      <x:c r="M430" s="17"/>
      <x:c r="N430" s="17"/>
      <x:c r="O430" s="17"/>
      <x:c r="P430" s="17"/>
      <x:c r="Q430" s="17"/>
      <x:c r="R430" s="17"/>
      <x:c r="S430" s="17"/>
      <x:c r="T430" s="17"/>
      <x:c r="U430" s="17"/>
      <x:c r="V430" s="17"/>
      <x:c r="W430" s="17"/>
      <x:c r="X430" s="17"/>
      <x:c r="Y430" s="17"/>
      <x:c r="Z430" s="17"/>
    </x:row>
    <x:row r="431">
      <x:c r="A431" s="17"/>
      <x:c r="B431" s="17"/>
      <x:c r="C431" s="17"/>
      <x:c r="D431" s="17"/>
      <x:c r="E431" s="17"/>
      <x:c r="F431" s="17"/>
      <x:c r="G431" s="17"/>
      <x:c r="H431" s="17"/>
      <x:c r="I431" s="17"/>
      <x:c r="J431" s="17"/>
      <x:c r="K431" s="17"/>
      <x:c r="L431" s="17"/>
      <x:c r="M431" s="17"/>
      <x:c r="N431" s="17"/>
      <x:c r="O431" s="17"/>
      <x:c r="P431" s="17"/>
      <x:c r="Q431" s="17"/>
      <x:c r="R431" s="17"/>
      <x:c r="S431" s="17"/>
      <x:c r="T431" s="17"/>
      <x:c r="U431" s="17"/>
      <x:c r="V431" s="17"/>
      <x:c r="W431" s="17"/>
      <x:c r="X431" s="17"/>
      <x:c r="Y431" s="17"/>
      <x:c r="Z431" s="17"/>
    </x:row>
    <x:row r="432">
      <x:c r="A432" s="17"/>
      <x:c r="B432" s="17"/>
      <x:c r="C432" s="17"/>
      <x:c r="D432" s="17"/>
      <x:c r="E432" s="17"/>
      <x:c r="F432" s="17"/>
      <x:c r="G432" s="17"/>
      <x:c r="H432" s="17"/>
      <x:c r="I432" s="17"/>
      <x:c r="J432" s="17"/>
      <x:c r="K432" s="17"/>
      <x:c r="L432" s="17"/>
      <x:c r="M432" s="17"/>
      <x:c r="N432" s="17"/>
      <x:c r="O432" s="17"/>
      <x:c r="P432" s="17"/>
      <x:c r="Q432" s="17"/>
      <x:c r="R432" s="17"/>
      <x:c r="S432" s="17"/>
      <x:c r="T432" s="17"/>
      <x:c r="U432" s="17"/>
      <x:c r="V432" s="17"/>
      <x:c r="W432" s="17"/>
      <x:c r="X432" s="17"/>
      <x:c r="Y432" s="17"/>
      <x:c r="Z432" s="17"/>
    </x:row>
    <x:row r="433">
      <x:c r="A433" s="17"/>
      <x:c r="B433" s="17"/>
      <x:c r="C433" s="17"/>
      <x:c r="D433" s="17"/>
      <x:c r="E433" s="17"/>
      <x:c r="F433" s="17"/>
      <x:c r="G433" s="17"/>
      <x:c r="H433" s="17"/>
      <x:c r="I433" s="17"/>
      <x:c r="J433" s="17"/>
      <x:c r="K433" s="17"/>
      <x:c r="L433" s="17"/>
      <x:c r="M433" s="17"/>
      <x:c r="N433" s="17"/>
      <x:c r="O433" s="17"/>
      <x:c r="P433" s="17"/>
      <x:c r="Q433" s="17"/>
      <x:c r="R433" s="17"/>
      <x:c r="S433" s="17"/>
      <x:c r="T433" s="17"/>
      <x:c r="U433" s="17"/>
      <x:c r="V433" s="17"/>
      <x:c r="W433" s="17"/>
      <x:c r="X433" s="17"/>
      <x:c r="Y433" s="17"/>
      <x:c r="Z433" s="17"/>
    </x:row>
    <x:row r="434">
      <x:c r="A434" s="17"/>
      <x:c r="B434" s="17"/>
      <x:c r="C434" s="17"/>
      <x:c r="D434" s="17"/>
      <x:c r="E434" s="17"/>
      <x:c r="F434" s="17"/>
      <x:c r="G434" s="17"/>
      <x:c r="H434" s="17"/>
      <x:c r="I434" s="17"/>
      <x:c r="J434" s="17"/>
      <x:c r="K434" s="17"/>
      <x:c r="L434" s="17"/>
      <x:c r="M434" s="17"/>
      <x:c r="N434" s="17"/>
      <x:c r="O434" s="17"/>
      <x:c r="P434" s="17"/>
      <x:c r="Q434" s="17"/>
      <x:c r="R434" s="17"/>
      <x:c r="S434" s="17"/>
      <x:c r="T434" s="17"/>
      <x:c r="U434" s="17"/>
      <x:c r="V434" s="17"/>
      <x:c r="W434" s="17"/>
      <x:c r="X434" s="17"/>
      <x:c r="Y434" s="17"/>
      <x:c r="Z434" s="17"/>
    </x:row>
    <x:row r="435">
      <x:c r="A435" s="17"/>
      <x:c r="B435" s="17"/>
      <x:c r="C435" s="17"/>
      <x:c r="D435" s="17"/>
      <x:c r="E435" s="17"/>
      <x:c r="F435" s="17"/>
      <x:c r="G435" s="17"/>
      <x:c r="H435" s="17"/>
      <x:c r="I435" s="17"/>
      <x:c r="J435" s="17"/>
      <x:c r="K435" s="17"/>
      <x:c r="L435" s="17"/>
      <x:c r="M435" s="17"/>
      <x:c r="N435" s="17"/>
      <x:c r="O435" s="17"/>
      <x:c r="P435" s="17"/>
      <x:c r="Q435" s="17"/>
      <x:c r="R435" s="17"/>
      <x:c r="S435" s="17"/>
      <x:c r="T435" s="17"/>
      <x:c r="U435" s="17"/>
      <x:c r="V435" s="17"/>
      <x:c r="W435" s="17"/>
      <x:c r="X435" s="17"/>
      <x:c r="Y435" s="17"/>
      <x:c r="Z435" s="17"/>
    </x:row>
    <x:row r="436">
      <x:c r="A436" s="17"/>
      <x:c r="B436" s="17"/>
      <x:c r="C436" s="17"/>
      <x:c r="D436" s="17"/>
      <x:c r="E436" s="17"/>
      <x:c r="F436" s="17"/>
      <x:c r="G436" s="17"/>
      <x:c r="H436" s="17"/>
      <x:c r="I436" s="17"/>
      <x:c r="J436" s="17"/>
      <x:c r="K436" s="17"/>
      <x:c r="L436" s="17"/>
      <x:c r="M436" s="17"/>
      <x:c r="N436" s="17"/>
      <x:c r="O436" s="17"/>
      <x:c r="P436" s="17"/>
      <x:c r="Q436" s="17"/>
      <x:c r="R436" s="17"/>
      <x:c r="S436" s="17"/>
      <x:c r="T436" s="17"/>
      <x:c r="U436" s="17"/>
      <x:c r="V436" s="17"/>
      <x:c r="W436" s="17"/>
      <x:c r="X436" s="17"/>
      <x:c r="Y436" s="17"/>
      <x:c r="Z436" s="17"/>
    </x:row>
    <x:row r="437">
      <x:c r="A437" s="17"/>
      <x:c r="B437" s="17"/>
      <x:c r="C437" s="17"/>
      <x:c r="D437" s="17"/>
      <x:c r="E437" s="17"/>
      <x:c r="F437" s="17"/>
      <x:c r="G437" s="17"/>
      <x:c r="H437" s="17"/>
      <x:c r="I437" s="17"/>
      <x:c r="J437" s="17"/>
      <x:c r="K437" s="17"/>
      <x:c r="L437" s="17"/>
      <x:c r="M437" s="17"/>
      <x:c r="N437" s="17"/>
      <x:c r="O437" s="17"/>
      <x:c r="P437" s="17"/>
      <x:c r="Q437" s="17"/>
      <x:c r="R437" s="17"/>
      <x:c r="S437" s="17"/>
      <x:c r="T437" s="17"/>
      <x:c r="U437" s="17"/>
      <x:c r="V437" s="17"/>
      <x:c r="W437" s="17"/>
      <x:c r="X437" s="17"/>
      <x:c r="Y437" s="17"/>
      <x:c r="Z437" s="17"/>
    </x:row>
    <x:row r="438">
      <x:c r="A438" s="17"/>
      <x:c r="B438" s="17"/>
      <x:c r="C438" s="17"/>
      <x:c r="D438" s="17"/>
      <x:c r="E438" s="17"/>
      <x:c r="F438" s="17"/>
      <x:c r="G438" s="17"/>
      <x:c r="H438" s="17"/>
      <x:c r="I438" s="17"/>
      <x:c r="J438" s="17"/>
      <x:c r="K438" s="17"/>
      <x:c r="L438" s="17"/>
      <x:c r="M438" s="17"/>
      <x:c r="N438" s="17"/>
      <x:c r="O438" s="17"/>
      <x:c r="P438" s="17"/>
      <x:c r="Q438" s="17"/>
      <x:c r="R438" s="17"/>
      <x:c r="S438" s="17"/>
      <x:c r="T438" s="17"/>
      <x:c r="U438" s="17"/>
      <x:c r="V438" s="17"/>
      <x:c r="W438" s="17"/>
      <x:c r="X438" s="17"/>
      <x:c r="Y438" s="17"/>
      <x:c r="Z438" s="17"/>
    </x:row>
    <x:row r="439">
      <x:c r="A439" s="17"/>
      <x:c r="B439" s="17"/>
      <x:c r="C439" s="17"/>
      <x:c r="D439" s="17"/>
      <x:c r="E439" s="17"/>
      <x:c r="F439" s="17"/>
      <x:c r="G439" s="17"/>
      <x:c r="H439" s="17"/>
      <x:c r="I439" s="17"/>
      <x:c r="J439" s="17"/>
      <x:c r="K439" s="17"/>
      <x:c r="L439" s="17"/>
      <x:c r="M439" s="17"/>
      <x:c r="N439" s="17"/>
      <x:c r="O439" s="17"/>
      <x:c r="P439" s="17"/>
      <x:c r="Q439" s="17"/>
      <x:c r="R439" s="17"/>
      <x:c r="S439" s="17"/>
      <x:c r="T439" s="17"/>
      <x:c r="U439" s="17"/>
      <x:c r="V439" s="17"/>
      <x:c r="W439" s="17"/>
      <x:c r="X439" s="17"/>
      <x:c r="Y439" s="17"/>
      <x:c r="Z439" s="17"/>
    </x:row>
    <x:row r="440">
      <x:c r="A440" s="17"/>
      <x:c r="B440" s="17"/>
      <x:c r="C440" s="17"/>
      <x:c r="D440" s="17"/>
      <x:c r="E440" s="17"/>
      <x:c r="F440" s="17"/>
      <x:c r="G440" s="17"/>
      <x:c r="H440" s="17"/>
      <x:c r="I440" s="17"/>
      <x:c r="J440" s="17"/>
      <x:c r="K440" s="17"/>
      <x:c r="L440" s="17"/>
      <x:c r="M440" s="17"/>
      <x:c r="N440" s="17"/>
      <x:c r="O440" s="17"/>
      <x:c r="P440" s="17"/>
      <x:c r="Q440" s="17"/>
      <x:c r="R440" s="17"/>
      <x:c r="S440" s="17"/>
      <x:c r="T440" s="17"/>
      <x:c r="U440" s="17"/>
      <x:c r="V440" s="17"/>
      <x:c r="W440" s="17"/>
      <x:c r="X440" s="17"/>
      <x:c r="Y440" s="17"/>
      <x:c r="Z440" s="17"/>
    </x:row>
    <x:row r="441">
      <x:c r="A441" s="17"/>
      <x:c r="B441" s="17"/>
      <x:c r="C441" s="17"/>
      <x:c r="D441" s="17"/>
      <x:c r="E441" s="17"/>
      <x:c r="F441" s="17"/>
      <x:c r="G441" s="17"/>
      <x:c r="H441" s="17"/>
      <x:c r="I441" s="17"/>
      <x:c r="J441" s="17"/>
      <x:c r="K441" s="17"/>
      <x:c r="L441" s="17"/>
      <x:c r="M441" s="17"/>
      <x:c r="N441" s="17"/>
      <x:c r="O441" s="17"/>
      <x:c r="P441" s="17"/>
      <x:c r="Q441" s="17"/>
      <x:c r="R441" s="17"/>
      <x:c r="S441" s="17"/>
      <x:c r="T441" s="17"/>
      <x:c r="U441" s="17"/>
      <x:c r="V441" s="17"/>
      <x:c r="W441" s="17"/>
      <x:c r="X441" s="17"/>
      <x:c r="Y441" s="17"/>
      <x:c r="Z441" s="17"/>
    </x:row>
    <x:row r="442">
      <x:c r="A442" s="17"/>
      <x:c r="B442" s="17"/>
      <x:c r="C442" s="17"/>
      <x:c r="D442" s="17"/>
      <x:c r="E442" s="17"/>
      <x:c r="F442" s="17"/>
      <x:c r="G442" s="17"/>
      <x:c r="H442" s="17"/>
      <x:c r="I442" s="17"/>
      <x:c r="J442" s="17"/>
      <x:c r="K442" s="17"/>
      <x:c r="L442" s="17"/>
      <x:c r="M442" s="17"/>
      <x:c r="N442" s="17"/>
      <x:c r="O442" s="17"/>
      <x:c r="P442" s="17"/>
      <x:c r="Q442" s="17"/>
      <x:c r="R442" s="17"/>
      <x:c r="S442" s="17"/>
      <x:c r="T442" s="17"/>
      <x:c r="U442" s="17"/>
      <x:c r="V442" s="17"/>
      <x:c r="W442" s="17"/>
      <x:c r="X442" s="17"/>
      <x:c r="Y442" s="17"/>
      <x:c r="Z442" s="17"/>
    </x:row>
    <x:row r="443">
      <x:c r="A443" s="17"/>
      <x:c r="B443" s="17"/>
      <x:c r="C443" s="17"/>
      <x:c r="D443" s="17"/>
      <x:c r="E443" s="17"/>
      <x:c r="F443" s="17"/>
      <x:c r="G443" s="17"/>
      <x:c r="H443" s="17"/>
      <x:c r="I443" s="17"/>
      <x:c r="J443" s="17"/>
      <x:c r="K443" s="17"/>
      <x:c r="L443" s="17"/>
      <x:c r="M443" s="17"/>
      <x:c r="N443" s="17"/>
      <x:c r="O443" s="17"/>
      <x:c r="P443" s="17"/>
      <x:c r="Q443" s="17"/>
      <x:c r="R443" s="17"/>
      <x:c r="S443" s="17"/>
      <x:c r="T443" s="17"/>
      <x:c r="U443" s="17"/>
      <x:c r="V443" s="17"/>
      <x:c r="W443" s="17"/>
      <x:c r="X443" s="17"/>
      <x:c r="Y443" s="17"/>
      <x:c r="Z443" s="17"/>
    </x:row>
    <x:row r="444">
      <x:c r="A444" s="17"/>
      <x:c r="B444" s="17"/>
      <x:c r="C444" s="17"/>
      <x:c r="D444" s="17"/>
      <x:c r="E444" s="17"/>
      <x:c r="F444" s="17"/>
      <x:c r="G444" s="17"/>
      <x:c r="H444" s="17"/>
      <x:c r="I444" s="17"/>
      <x:c r="J444" s="17"/>
      <x:c r="K444" s="17"/>
      <x:c r="L444" s="17"/>
      <x:c r="M444" s="17"/>
      <x:c r="N444" s="17"/>
      <x:c r="O444" s="17"/>
      <x:c r="P444" s="17"/>
      <x:c r="Q444" s="17"/>
      <x:c r="R444" s="17"/>
      <x:c r="S444" s="17"/>
      <x:c r="T444" s="17"/>
      <x:c r="U444" s="17"/>
      <x:c r="V444" s="17"/>
      <x:c r="W444" s="17"/>
      <x:c r="X444" s="17"/>
      <x:c r="Y444" s="17"/>
      <x:c r="Z444" s="17"/>
    </x:row>
    <x:row r="445">
      <x:c r="A445" s="17"/>
      <x:c r="B445" s="17"/>
      <x:c r="C445" s="17"/>
      <x:c r="D445" s="17"/>
      <x:c r="E445" s="17"/>
      <x:c r="F445" s="17"/>
      <x:c r="G445" s="17"/>
      <x:c r="H445" s="17"/>
      <x:c r="I445" s="17"/>
      <x:c r="J445" s="17"/>
      <x:c r="K445" s="17"/>
      <x:c r="L445" s="17"/>
      <x:c r="M445" s="17"/>
      <x:c r="N445" s="17"/>
      <x:c r="O445" s="17"/>
      <x:c r="P445" s="17"/>
      <x:c r="Q445" s="17"/>
      <x:c r="R445" s="17"/>
      <x:c r="S445" s="17"/>
      <x:c r="T445" s="17"/>
      <x:c r="U445" s="17"/>
      <x:c r="V445" s="17"/>
      <x:c r="W445" s="17"/>
      <x:c r="X445" s="17"/>
      <x:c r="Y445" s="17"/>
      <x:c r="Z445" s="17"/>
    </x:row>
    <x:row r="446">
      <x:c r="A446" s="17"/>
      <x:c r="B446" s="17"/>
      <x:c r="C446" s="17"/>
      <x:c r="D446" s="17"/>
      <x:c r="E446" s="17"/>
      <x:c r="F446" s="17"/>
      <x:c r="G446" s="17"/>
      <x:c r="H446" s="17"/>
      <x:c r="I446" s="17"/>
      <x:c r="J446" s="17"/>
      <x:c r="K446" s="17"/>
      <x:c r="L446" s="17"/>
      <x:c r="M446" s="17"/>
      <x:c r="N446" s="17"/>
      <x:c r="O446" s="17"/>
      <x:c r="P446" s="17"/>
      <x:c r="Q446" s="17"/>
      <x:c r="R446" s="17"/>
      <x:c r="S446" s="17"/>
      <x:c r="T446" s="17"/>
      <x:c r="U446" s="17"/>
      <x:c r="V446" s="17"/>
      <x:c r="W446" s="17"/>
      <x:c r="X446" s="17"/>
      <x:c r="Y446" s="17"/>
      <x:c r="Z446" s="17"/>
    </x:row>
    <x:row r="447">
      <x:c r="A447" s="17"/>
      <x:c r="B447" s="17"/>
      <x:c r="C447" s="17"/>
      <x:c r="D447" s="17"/>
      <x:c r="E447" s="17"/>
      <x:c r="F447" s="17"/>
      <x:c r="G447" s="17"/>
      <x:c r="H447" s="17"/>
      <x:c r="I447" s="17"/>
      <x:c r="J447" s="17"/>
      <x:c r="K447" s="17"/>
      <x:c r="L447" s="17"/>
      <x:c r="M447" s="17"/>
      <x:c r="N447" s="17"/>
      <x:c r="O447" s="17"/>
      <x:c r="P447" s="17"/>
      <x:c r="Q447" s="17"/>
      <x:c r="R447" s="17"/>
      <x:c r="S447" s="17"/>
      <x:c r="T447" s="17"/>
      <x:c r="U447" s="17"/>
      <x:c r="V447" s="17"/>
      <x:c r="W447" s="17"/>
      <x:c r="X447" s="17"/>
      <x:c r="Y447" s="17"/>
      <x:c r="Z447" s="17"/>
    </x:row>
    <x:row r="448">
      <x:c r="A448" s="17"/>
      <x:c r="B448" s="17"/>
      <x:c r="C448" s="17"/>
      <x:c r="D448" s="17"/>
      <x:c r="E448" s="17"/>
      <x:c r="F448" s="17"/>
      <x:c r="G448" s="17"/>
      <x:c r="H448" s="17"/>
      <x:c r="I448" s="17"/>
      <x:c r="J448" s="17"/>
      <x:c r="K448" s="17"/>
      <x:c r="L448" s="17"/>
      <x:c r="M448" s="17"/>
      <x:c r="N448" s="17"/>
      <x:c r="O448" s="17"/>
      <x:c r="P448" s="17"/>
      <x:c r="Q448" s="17"/>
      <x:c r="R448" s="17"/>
      <x:c r="S448" s="17"/>
      <x:c r="T448" s="17"/>
      <x:c r="U448" s="17"/>
      <x:c r="V448" s="17"/>
      <x:c r="W448" s="17"/>
      <x:c r="X448" s="17"/>
      <x:c r="Y448" s="17"/>
      <x:c r="Z448" s="17"/>
    </x:row>
    <x:row r="449">
      <x:c r="A449" s="17"/>
      <x:c r="B449" s="17"/>
      <x:c r="C449" s="17"/>
      <x:c r="D449" s="17"/>
      <x:c r="E449" s="17"/>
      <x:c r="F449" s="17"/>
      <x:c r="G449" s="17"/>
      <x:c r="H449" s="17"/>
      <x:c r="I449" s="17"/>
      <x:c r="J449" s="17"/>
      <x:c r="K449" s="17"/>
      <x:c r="L449" s="17"/>
      <x:c r="M449" s="17"/>
      <x:c r="N449" s="17"/>
      <x:c r="O449" s="17"/>
      <x:c r="P449" s="17"/>
      <x:c r="Q449" s="17"/>
      <x:c r="R449" s="17"/>
      <x:c r="S449" s="17"/>
      <x:c r="T449" s="17"/>
      <x:c r="U449" s="17"/>
      <x:c r="V449" s="17"/>
      <x:c r="W449" s="17"/>
      <x:c r="X449" s="17"/>
      <x:c r="Y449" s="17"/>
      <x:c r="Z449" s="17"/>
    </x:row>
    <x:row r="450">
      <x:c r="A450" s="17"/>
      <x:c r="B450" s="17"/>
      <x:c r="C450" s="17"/>
      <x:c r="D450" s="17"/>
      <x:c r="E450" s="17"/>
      <x:c r="F450" s="17"/>
      <x:c r="G450" s="17"/>
      <x:c r="H450" s="17"/>
      <x:c r="I450" s="17"/>
      <x:c r="J450" s="17"/>
      <x:c r="K450" s="17"/>
      <x:c r="L450" s="17"/>
      <x:c r="M450" s="17"/>
      <x:c r="N450" s="17"/>
      <x:c r="O450" s="17"/>
      <x:c r="P450" s="17"/>
      <x:c r="Q450" s="17"/>
      <x:c r="R450" s="17"/>
      <x:c r="S450" s="17"/>
      <x:c r="T450" s="17"/>
      <x:c r="U450" s="17"/>
      <x:c r="V450" s="17"/>
      <x:c r="W450" s="17"/>
      <x:c r="X450" s="17"/>
      <x:c r="Y450" s="17"/>
      <x:c r="Z450" s="17"/>
    </x:row>
    <x:row r="451">
      <x:c r="A451" s="17"/>
      <x:c r="B451" s="17"/>
      <x:c r="C451" s="17"/>
      <x:c r="D451" s="17"/>
      <x:c r="E451" s="17"/>
      <x:c r="F451" s="17"/>
      <x:c r="G451" s="17"/>
      <x:c r="H451" s="17"/>
      <x:c r="I451" s="17"/>
      <x:c r="J451" s="17"/>
      <x:c r="K451" s="17"/>
      <x:c r="L451" s="17"/>
      <x:c r="M451" s="17"/>
      <x:c r="N451" s="17"/>
      <x:c r="O451" s="17"/>
      <x:c r="P451" s="17"/>
      <x:c r="Q451" s="17"/>
      <x:c r="R451" s="17"/>
      <x:c r="S451" s="17"/>
      <x:c r="T451" s="17"/>
      <x:c r="U451" s="17"/>
      <x:c r="V451" s="17"/>
      <x:c r="W451" s="17"/>
      <x:c r="X451" s="17"/>
      <x:c r="Y451" s="17"/>
      <x:c r="Z451" s="17"/>
    </x:row>
    <x:row r="452">
      <x:c r="A452" s="17"/>
      <x:c r="B452" s="17"/>
      <x:c r="C452" s="17"/>
      <x:c r="D452" s="17"/>
      <x:c r="E452" s="17"/>
      <x:c r="F452" s="17"/>
      <x:c r="G452" s="17"/>
      <x:c r="H452" s="17"/>
      <x:c r="I452" s="17"/>
      <x:c r="J452" s="17"/>
      <x:c r="K452" s="17"/>
      <x:c r="L452" s="17"/>
      <x:c r="M452" s="17"/>
      <x:c r="N452" s="17"/>
      <x:c r="O452" s="17"/>
      <x:c r="P452" s="17"/>
      <x:c r="Q452" s="17"/>
      <x:c r="R452" s="17"/>
      <x:c r="S452" s="17"/>
      <x:c r="T452" s="17"/>
      <x:c r="U452" s="17"/>
      <x:c r="V452" s="17"/>
      <x:c r="W452" s="17"/>
      <x:c r="X452" s="17"/>
      <x:c r="Y452" s="17"/>
      <x:c r="Z452" s="17"/>
    </x:row>
    <x:row r="453">
      <x:c r="A453" s="17"/>
      <x:c r="B453" s="17"/>
      <x:c r="C453" s="17"/>
      <x:c r="D453" s="17"/>
      <x:c r="E453" s="17"/>
      <x:c r="F453" s="17"/>
      <x:c r="G453" s="17"/>
      <x:c r="H453" s="17"/>
      <x:c r="I453" s="17"/>
      <x:c r="J453" s="17"/>
      <x:c r="K453" s="17"/>
      <x:c r="L453" s="17"/>
      <x:c r="M453" s="17"/>
      <x:c r="N453" s="17"/>
      <x:c r="O453" s="17"/>
      <x:c r="P453" s="17"/>
      <x:c r="Q453" s="17"/>
      <x:c r="R453" s="17"/>
      <x:c r="S453" s="17"/>
      <x:c r="T453" s="17"/>
      <x:c r="U453" s="17"/>
      <x:c r="V453" s="17"/>
      <x:c r="W453" s="17"/>
      <x:c r="X453" s="17"/>
      <x:c r="Y453" s="17"/>
      <x:c r="Z453" s="17"/>
    </x:row>
    <x:row r="454">
      <x:c r="A454" s="17"/>
      <x:c r="B454" s="17"/>
      <x:c r="C454" s="17"/>
      <x:c r="D454" s="17"/>
      <x:c r="E454" s="17"/>
      <x:c r="F454" s="17"/>
      <x:c r="G454" s="17"/>
      <x:c r="H454" s="17"/>
      <x:c r="I454" s="17"/>
      <x:c r="J454" s="17"/>
      <x:c r="K454" s="17"/>
      <x:c r="L454" s="17"/>
      <x:c r="M454" s="17"/>
      <x:c r="N454" s="17"/>
      <x:c r="O454" s="17"/>
      <x:c r="P454" s="17"/>
      <x:c r="Q454" s="17"/>
      <x:c r="R454" s="17"/>
      <x:c r="S454" s="17"/>
      <x:c r="T454" s="17"/>
      <x:c r="U454" s="17"/>
      <x:c r="V454" s="17"/>
      <x:c r="W454" s="17"/>
      <x:c r="X454" s="17"/>
      <x:c r="Y454" s="17"/>
      <x:c r="Z454" s="17"/>
    </x:row>
    <x:row r="455">
      <x:c r="A455" s="17"/>
      <x:c r="B455" s="17"/>
      <x:c r="C455" s="17"/>
      <x:c r="D455" s="17"/>
      <x:c r="E455" s="17"/>
      <x:c r="F455" s="17"/>
      <x:c r="G455" s="17"/>
      <x:c r="H455" s="17"/>
      <x:c r="I455" s="17"/>
      <x:c r="J455" s="17"/>
      <x:c r="K455" s="17"/>
      <x:c r="L455" s="17"/>
      <x:c r="M455" s="17"/>
      <x:c r="N455" s="17"/>
      <x:c r="O455" s="17"/>
      <x:c r="P455" s="17"/>
      <x:c r="Q455" s="17"/>
      <x:c r="R455" s="17"/>
      <x:c r="S455" s="17"/>
      <x:c r="T455" s="17"/>
      <x:c r="U455" s="17"/>
      <x:c r="V455" s="17"/>
      <x:c r="W455" s="17"/>
      <x:c r="X455" s="17"/>
      <x:c r="Y455" s="17"/>
      <x:c r="Z455" s="17"/>
    </x:row>
    <x:row r="456">
      <x:c r="A456" s="17"/>
      <x:c r="B456" s="17"/>
      <x:c r="C456" s="17"/>
      <x:c r="D456" s="17"/>
      <x:c r="E456" s="17"/>
      <x:c r="F456" s="17"/>
      <x:c r="G456" s="17"/>
      <x:c r="H456" s="17"/>
      <x:c r="I456" s="17"/>
      <x:c r="J456" s="17"/>
      <x:c r="K456" s="17"/>
      <x:c r="L456" s="17"/>
      <x:c r="M456" s="17"/>
      <x:c r="N456" s="17"/>
      <x:c r="O456" s="17"/>
      <x:c r="P456" s="17"/>
      <x:c r="Q456" s="17"/>
      <x:c r="R456" s="17"/>
      <x:c r="S456" s="17"/>
      <x:c r="T456" s="17"/>
      <x:c r="U456" s="17"/>
      <x:c r="V456" s="17"/>
      <x:c r="W456" s="17"/>
      <x:c r="X456" s="17"/>
      <x:c r="Y456" s="17"/>
      <x:c r="Z456" s="17"/>
    </x:row>
    <x:row r="457">
      <x:c r="A457" s="17"/>
      <x:c r="B457" s="17"/>
      <x:c r="C457" s="17"/>
      <x:c r="D457" s="17"/>
      <x:c r="E457" s="17"/>
      <x:c r="F457" s="17"/>
      <x:c r="G457" s="17"/>
      <x:c r="H457" s="17"/>
      <x:c r="I457" s="17"/>
      <x:c r="J457" s="17"/>
      <x:c r="K457" s="17"/>
      <x:c r="L457" s="17"/>
      <x:c r="M457" s="17"/>
      <x:c r="N457" s="17"/>
      <x:c r="O457" s="17"/>
      <x:c r="P457" s="17"/>
      <x:c r="Q457" s="17"/>
      <x:c r="R457" s="17"/>
      <x:c r="S457" s="17"/>
      <x:c r="T457" s="17"/>
      <x:c r="U457" s="17"/>
      <x:c r="V457" s="17"/>
      <x:c r="W457" s="17"/>
      <x:c r="X457" s="17"/>
      <x:c r="Y457" s="17"/>
      <x:c r="Z457" s="17"/>
    </x:row>
    <x:row r="458">
      <x:c r="A458" s="17"/>
      <x:c r="B458" s="17"/>
      <x:c r="C458" s="17"/>
      <x:c r="D458" s="17"/>
      <x:c r="E458" s="17"/>
      <x:c r="F458" s="17"/>
      <x:c r="G458" s="17"/>
      <x:c r="H458" s="17"/>
      <x:c r="I458" s="17"/>
      <x:c r="J458" s="17"/>
      <x:c r="K458" s="17"/>
      <x:c r="L458" s="17"/>
      <x:c r="M458" s="17"/>
      <x:c r="N458" s="17"/>
      <x:c r="O458" s="17"/>
      <x:c r="P458" s="17"/>
      <x:c r="Q458" s="17"/>
      <x:c r="R458" s="17"/>
      <x:c r="S458" s="17"/>
      <x:c r="T458" s="17"/>
      <x:c r="U458" s="17"/>
      <x:c r="V458" s="17"/>
      <x:c r="W458" s="17"/>
      <x:c r="X458" s="17"/>
      <x:c r="Y458" s="17"/>
      <x:c r="Z458" s="17"/>
    </x:row>
    <x:row r="459">
      <x:c r="A459" s="17"/>
      <x:c r="B459" s="17"/>
      <x:c r="C459" s="17"/>
      <x:c r="D459" s="17"/>
      <x:c r="E459" s="17"/>
      <x:c r="F459" s="17"/>
      <x:c r="G459" s="17"/>
      <x:c r="H459" s="17"/>
      <x:c r="I459" s="17"/>
      <x:c r="J459" s="17"/>
      <x:c r="K459" s="17"/>
      <x:c r="L459" s="17"/>
      <x:c r="M459" s="17"/>
      <x:c r="N459" s="17"/>
      <x:c r="O459" s="17"/>
      <x:c r="P459" s="17"/>
      <x:c r="Q459" s="17"/>
      <x:c r="R459" s="17"/>
      <x:c r="S459" s="17"/>
      <x:c r="T459" s="17"/>
      <x:c r="U459" s="17"/>
      <x:c r="V459" s="17"/>
      <x:c r="W459" s="17"/>
      <x:c r="X459" s="17"/>
      <x:c r="Y459" s="17"/>
      <x:c r="Z459" s="17"/>
    </x:row>
    <x:row r="460">
      <x:c r="A460" s="17"/>
      <x:c r="B460" s="17"/>
      <x:c r="C460" s="17"/>
      <x:c r="D460" s="17"/>
      <x:c r="E460" s="17"/>
      <x:c r="F460" s="17"/>
      <x:c r="G460" s="17"/>
      <x:c r="H460" s="17"/>
      <x:c r="I460" s="17"/>
      <x:c r="J460" s="17"/>
      <x:c r="K460" s="17"/>
      <x:c r="L460" s="17"/>
      <x:c r="M460" s="17"/>
      <x:c r="N460" s="17"/>
      <x:c r="O460" s="17"/>
      <x:c r="P460" s="17"/>
      <x:c r="Q460" s="17"/>
      <x:c r="R460" s="17"/>
      <x:c r="S460" s="17"/>
      <x:c r="T460" s="17"/>
      <x:c r="U460" s="17"/>
      <x:c r="V460" s="17"/>
      <x:c r="W460" s="17"/>
      <x:c r="X460" s="17"/>
      <x:c r="Y460" s="17"/>
      <x:c r="Z460" s="17"/>
    </x:row>
    <x:row r="461">
      <x:c r="A461" s="17"/>
      <x:c r="B461" s="17"/>
      <x:c r="C461" s="17"/>
      <x:c r="D461" s="17"/>
      <x:c r="E461" s="17"/>
      <x:c r="F461" s="17"/>
      <x:c r="G461" s="17"/>
      <x:c r="H461" s="17"/>
      <x:c r="I461" s="17"/>
      <x:c r="J461" s="17"/>
      <x:c r="K461" s="17"/>
      <x:c r="L461" s="17"/>
      <x:c r="M461" s="17"/>
      <x:c r="N461" s="17"/>
      <x:c r="O461" s="17"/>
      <x:c r="P461" s="17"/>
      <x:c r="Q461" s="17"/>
      <x:c r="R461" s="17"/>
      <x:c r="S461" s="17"/>
      <x:c r="T461" s="17"/>
      <x:c r="U461" s="17"/>
      <x:c r="V461" s="17"/>
      <x:c r="W461" s="17"/>
      <x:c r="X461" s="17"/>
      <x:c r="Y461" s="17"/>
      <x:c r="Z461" s="17"/>
    </x:row>
    <x:row r="462">
      <x:c r="A462" s="17"/>
      <x:c r="B462" s="17"/>
      <x:c r="C462" s="17"/>
      <x:c r="D462" s="17"/>
      <x:c r="E462" s="17"/>
      <x:c r="F462" s="17"/>
      <x:c r="G462" s="17"/>
      <x:c r="H462" s="17"/>
      <x:c r="I462" s="17"/>
      <x:c r="J462" s="17"/>
      <x:c r="K462" s="17"/>
      <x:c r="L462" s="17"/>
      <x:c r="M462" s="17"/>
      <x:c r="N462" s="17"/>
      <x:c r="O462" s="17"/>
      <x:c r="P462" s="17"/>
      <x:c r="Q462" s="17"/>
      <x:c r="R462" s="17"/>
      <x:c r="S462" s="17"/>
      <x:c r="T462" s="17"/>
      <x:c r="U462" s="17"/>
      <x:c r="V462" s="17"/>
      <x:c r="W462" s="17"/>
      <x:c r="X462" s="17"/>
      <x:c r="Y462" s="17"/>
      <x:c r="Z462" s="17"/>
    </x:row>
    <x:row r="463">
      <x:c r="A463" s="17"/>
      <x:c r="B463" s="17"/>
      <x:c r="C463" s="17"/>
      <x:c r="D463" s="17"/>
      <x:c r="E463" s="17"/>
      <x:c r="F463" s="17"/>
      <x:c r="G463" s="17"/>
      <x:c r="H463" s="17"/>
      <x:c r="I463" s="17"/>
      <x:c r="J463" s="17"/>
      <x:c r="K463" s="17"/>
      <x:c r="L463" s="17"/>
      <x:c r="M463" s="17"/>
      <x:c r="N463" s="17"/>
      <x:c r="O463" s="17"/>
      <x:c r="P463" s="17"/>
      <x:c r="Q463" s="17"/>
      <x:c r="R463" s="17"/>
      <x:c r="S463" s="17"/>
      <x:c r="T463" s="17"/>
      <x:c r="U463" s="17"/>
      <x:c r="V463" s="17"/>
      <x:c r="W463" s="17"/>
      <x:c r="X463" s="17"/>
      <x:c r="Y463" s="17"/>
      <x:c r="Z463" s="17"/>
    </x:row>
    <x:row r="464">
      <x:c r="A464" s="17"/>
      <x:c r="B464" s="17"/>
      <x:c r="C464" s="17"/>
      <x:c r="D464" s="17"/>
      <x:c r="E464" s="17"/>
      <x:c r="F464" s="17"/>
      <x:c r="G464" s="17"/>
      <x:c r="H464" s="17"/>
      <x:c r="I464" s="17"/>
      <x:c r="J464" s="17"/>
      <x:c r="K464" s="17"/>
      <x:c r="L464" s="17"/>
      <x:c r="M464" s="17"/>
      <x:c r="N464" s="17"/>
      <x:c r="O464" s="17"/>
      <x:c r="P464" s="17"/>
      <x:c r="Q464" s="17"/>
      <x:c r="R464" s="17"/>
      <x:c r="S464" s="17"/>
      <x:c r="T464" s="17"/>
      <x:c r="U464" s="17"/>
      <x:c r="V464" s="17"/>
      <x:c r="W464" s="17"/>
      <x:c r="X464" s="17"/>
      <x:c r="Y464" s="17"/>
      <x:c r="Z464" s="17"/>
    </x:row>
    <x:row r="465">
      <x:c r="A465" s="17"/>
      <x:c r="B465" s="17"/>
      <x:c r="C465" s="17"/>
      <x:c r="D465" s="17"/>
      <x:c r="E465" s="17"/>
      <x:c r="F465" s="17"/>
      <x:c r="G465" s="17"/>
      <x:c r="H465" s="17"/>
      <x:c r="I465" s="17"/>
      <x:c r="J465" s="17"/>
      <x:c r="K465" s="17"/>
      <x:c r="L465" s="17"/>
      <x:c r="M465" s="17"/>
      <x:c r="N465" s="17"/>
      <x:c r="O465" s="17"/>
      <x:c r="P465" s="17"/>
      <x:c r="Q465" s="17"/>
      <x:c r="R465" s="17"/>
      <x:c r="S465" s="17"/>
      <x:c r="T465" s="17"/>
      <x:c r="U465" s="17"/>
      <x:c r="V465" s="17"/>
      <x:c r="W465" s="17"/>
      <x:c r="X465" s="17"/>
      <x:c r="Y465" s="17"/>
      <x:c r="Z465" s="17"/>
    </x:row>
    <x:row r="466">
      <x:c r="A466" s="17"/>
      <x:c r="B466" s="17"/>
      <x:c r="C466" s="17"/>
      <x:c r="D466" s="17"/>
      <x:c r="E466" s="17"/>
      <x:c r="F466" s="17"/>
      <x:c r="G466" s="17"/>
      <x:c r="H466" s="17"/>
      <x:c r="I466" s="17"/>
      <x:c r="J466" s="17"/>
      <x:c r="K466" s="17"/>
      <x:c r="L466" s="17"/>
      <x:c r="M466" s="17"/>
      <x:c r="N466" s="17"/>
      <x:c r="O466" s="17"/>
      <x:c r="P466" s="17"/>
      <x:c r="Q466" s="17"/>
      <x:c r="R466" s="17"/>
      <x:c r="S466" s="17"/>
      <x:c r="T466" s="17"/>
      <x:c r="U466" s="17"/>
      <x:c r="V466" s="17"/>
      <x:c r="W466" s="17"/>
      <x:c r="X466" s="17"/>
      <x:c r="Y466" s="17"/>
      <x:c r="Z466" s="17"/>
    </x:row>
    <x:row r="467">
      <x:c r="A467" s="17"/>
      <x:c r="B467" s="17"/>
      <x:c r="C467" s="17"/>
      <x:c r="D467" s="17"/>
      <x:c r="E467" s="17"/>
      <x:c r="F467" s="17"/>
      <x:c r="G467" s="17"/>
      <x:c r="H467" s="17"/>
      <x:c r="I467" s="17"/>
      <x:c r="J467" s="17"/>
      <x:c r="K467" s="17"/>
      <x:c r="L467" s="17"/>
      <x:c r="M467" s="17"/>
      <x:c r="N467" s="17"/>
      <x:c r="O467" s="17"/>
      <x:c r="P467" s="17"/>
      <x:c r="Q467" s="17"/>
      <x:c r="R467" s="17"/>
      <x:c r="S467" s="17"/>
      <x:c r="T467" s="17"/>
      <x:c r="U467" s="17"/>
      <x:c r="V467" s="17"/>
      <x:c r="W467" s="17"/>
      <x:c r="X467" s="17"/>
      <x:c r="Y467" s="17"/>
      <x:c r="Z467" s="17"/>
    </x:row>
    <x:row r="468">
      <x:c r="A468" s="17"/>
      <x:c r="B468" s="17"/>
      <x:c r="C468" s="17"/>
      <x:c r="D468" s="17"/>
      <x:c r="E468" s="17"/>
      <x:c r="F468" s="17"/>
      <x:c r="G468" s="17"/>
      <x:c r="H468" s="17"/>
      <x:c r="I468" s="17"/>
      <x:c r="J468" s="17"/>
      <x:c r="K468" s="17"/>
      <x:c r="L468" s="17"/>
      <x:c r="M468" s="17"/>
      <x:c r="N468" s="17"/>
      <x:c r="O468" s="17"/>
      <x:c r="P468" s="17"/>
      <x:c r="Q468" s="17"/>
      <x:c r="R468" s="17"/>
      <x:c r="S468" s="17"/>
      <x:c r="T468" s="17"/>
      <x:c r="U468" s="17"/>
      <x:c r="V468" s="17"/>
      <x:c r="W468" s="17"/>
      <x:c r="X468" s="17"/>
      <x:c r="Y468" s="17"/>
      <x:c r="Z468" s="17"/>
    </x:row>
    <x:row r="469">
      <x:c r="A469" s="17"/>
      <x:c r="B469" s="17"/>
      <x:c r="C469" s="17"/>
      <x:c r="D469" s="17"/>
      <x:c r="E469" s="17"/>
      <x:c r="F469" s="17"/>
      <x:c r="G469" s="17"/>
      <x:c r="H469" s="17"/>
      <x:c r="I469" s="17"/>
      <x:c r="J469" s="17"/>
      <x:c r="K469" s="17"/>
      <x:c r="L469" s="17"/>
      <x:c r="M469" s="17"/>
      <x:c r="N469" s="17"/>
      <x:c r="O469" s="17"/>
      <x:c r="P469" s="17"/>
      <x:c r="Q469" s="17"/>
      <x:c r="R469" s="17"/>
      <x:c r="S469" s="17"/>
      <x:c r="T469" s="17"/>
      <x:c r="U469" s="17"/>
      <x:c r="V469" s="17"/>
      <x:c r="W469" s="17"/>
      <x:c r="X469" s="17"/>
      <x:c r="Y469" s="17"/>
      <x:c r="Z469" s="17"/>
    </x:row>
    <x:row r="470">
      <x:c r="A470" s="17"/>
      <x:c r="B470" s="17"/>
      <x:c r="C470" s="17"/>
      <x:c r="D470" s="17"/>
      <x:c r="E470" s="17"/>
      <x:c r="F470" s="17"/>
      <x:c r="G470" s="17"/>
      <x:c r="H470" s="17"/>
      <x:c r="I470" s="17"/>
      <x:c r="J470" s="17"/>
      <x:c r="K470" s="17"/>
      <x:c r="L470" s="17"/>
      <x:c r="M470" s="17"/>
      <x:c r="N470" s="17"/>
      <x:c r="O470" s="17"/>
      <x:c r="P470" s="17"/>
      <x:c r="Q470" s="17"/>
      <x:c r="R470" s="17"/>
      <x:c r="S470" s="17"/>
      <x:c r="T470" s="17"/>
      <x:c r="U470" s="17"/>
      <x:c r="V470" s="17"/>
      <x:c r="W470" s="17"/>
      <x:c r="X470" s="17"/>
      <x:c r="Y470" s="17"/>
      <x:c r="Z470" s="17"/>
    </x:row>
    <x:row r="471">
      <x:c r="A471" s="17"/>
      <x:c r="B471" s="17"/>
      <x:c r="C471" s="17"/>
      <x:c r="D471" s="17"/>
      <x:c r="E471" s="17"/>
      <x:c r="F471" s="17"/>
      <x:c r="G471" s="17"/>
      <x:c r="H471" s="17"/>
      <x:c r="I471" s="17"/>
      <x:c r="J471" s="17"/>
      <x:c r="K471" s="17"/>
      <x:c r="L471" s="17"/>
      <x:c r="M471" s="17"/>
      <x:c r="N471" s="17"/>
      <x:c r="O471" s="17"/>
      <x:c r="P471" s="17"/>
      <x:c r="Q471" s="17"/>
      <x:c r="R471" s="17"/>
      <x:c r="S471" s="17"/>
      <x:c r="T471" s="17"/>
      <x:c r="U471" s="17"/>
      <x:c r="V471" s="17"/>
      <x:c r="W471" s="17"/>
      <x:c r="X471" s="17"/>
      <x:c r="Y471" s="17"/>
      <x:c r="Z471" s="17"/>
    </x:row>
    <x:row r="472">
      <x:c r="A472" s="17"/>
      <x:c r="B472" s="17"/>
      <x:c r="C472" s="17"/>
      <x:c r="D472" s="17"/>
      <x:c r="E472" s="17"/>
      <x:c r="F472" s="17"/>
      <x:c r="G472" s="17"/>
      <x:c r="H472" s="17"/>
      <x:c r="I472" s="17"/>
      <x:c r="J472" s="17"/>
      <x:c r="K472" s="17"/>
      <x:c r="L472" s="17"/>
      <x:c r="M472" s="17"/>
      <x:c r="N472" s="17"/>
      <x:c r="O472" s="17"/>
      <x:c r="P472" s="17"/>
      <x:c r="Q472" s="17"/>
      <x:c r="R472" s="17"/>
      <x:c r="S472" s="17"/>
      <x:c r="T472" s="17"/>
      <x:c r="U472" s="17"/>
      <x:c r="V472" s="17"/>
      <x:c r="W472" s="17"/>
      <x:c r="X472" s="17"/>
      <x:c r="Y472" s="17"/>
      <x:c r="Z472" s="17"/>
    </x:row>
    <x:row r="473">
      <x:c r="A473" s="17"/>
      <x:c r="B473" s="17"/>
      <x:c r="C473" s="17"/>
      <x:c r="D473" s="17"/>
      <x:c r="E473" s="17"/>
      <x:c r="F473" s="17"/>
      <x:c r="G473" s="17"/>
      <x:c r="H473" s="17"/>
      <x:c r="I473" s="17"/>
      <x:c r="J473" s="17"/>
      <x:c r="K473" s="17"/>
      <x:c r="L473" s="17"/>
      <x:c r="M473" s="17"/>
      <x:c r="N473" s="17"/>
      <x:c r="O473" s="17"/>
      <x:c r="P473" s="17"/>
      <x:c r="Q473" s="17"/>
      <x:c r="R473" s="17"/>
      <x:c r="S473" s="17"/>
      <x:c r="T473" s="17"/>
      <x:c r="U473" s="17"/>
      <x:c r="V473" s="17"/>
      <x:c r="W473" s="17"/>
      <x:c r="X473" s="17"/>
      <x:c r="Y473" s="17"/>
      <x:c r="Z473" s="17"/>
    </x:row>
    <x:row r="474">
      <x:c r="A474" s="17"/>
      <x:c r="B474" s="17"/>
      <x:c r="C474" s="17"/>
      <x:c r="D474" s="17"/>
      <x:c r="E474" s="17"/>
      <x:c r="F474" s="17"/>
      <x:c r="G474" s="17"/>
      <x:c r="H474" s="17"/>
      <x:c r="I474" s="17"/>
      <x:c r="J474" s="17"/>
      <x:c r="K474" s="17"/>
      <x:c r="L474" s="17"/>
      <x:c r="M474" s="17"/>
      <x:c r="N474" s="17"/>
      <x:c r="O474" s="17"/>
      <x:c r="P474" s="17"/>
      <x:c r="Q474" s="17"/>
      <x:c r="R474" s="17"/>
      <x:c r="S474" s="17"/>
      <x:c r="T474" s="17"/>
      <x:c r="U474" s="17"/>
      <x:c r="V474" s="17"/>
      <x:c r="W474" s="17"/>
      <x:c r="X474" s="17"/>
      <x:c r="Y474" s="17"/>
      <x:c r="Z474" s="17"/>
    </x:row>
    <x:row r="475">
      <x:c r="A475" s="17"/>
      <x:c r="B475" s="17"/>
      <x:c r="C475" s="17"/>
      <x:c r="D475" s="17"/>
      <x:c r="E475" s="17"/>
      <x:c r="F475" s="17"/>
      <x:c r="G475" s="17"/>
      <x:c r="H475" s="17"/>
      <x:c r="I475" s="17"/>
      <x:c r="J475" s="17"/>
      <x:c r="K475" s="17"/>
      <x:c r="L475" s="17"/>
      <x:c r="M475" s="17"/>
      <x:c r="N475" s="17"/>
      <x:c r="O475" s="17"/>
      <x:c r="P475" s="17"/>
      <x:c r="Q475" s="17"/>
      <x:c r="R475" s="17"/>
      <x:c r="S475" s="17"/>
      <x:c r="T475" s="17"/>
      <x:c r="U475" s="17"/>
      <x:c r="V475" s="17"/>
      <x:c r="W475" s="17"/>
      <x:c r="X475" s="17"/>
      <x:c r="Y475" s="17"/>
      <x:c r="Z475" s="17"/>
    </x:row>
    <x:row r="476">
      <x:c r="A476" s="17"/>
      <x:c r="B476" s="17"/>
      <x:c r="C476" s="17"/>
      <x:c r="D476" s="17"/>
      <x:c r="E476" s="17"/>
      <x:c r="F476" s="17"/>
      <x:c r="G476" s="17"/>
      <x:c r="H476" s="17"/>
      <x:c r="I476" s="17"/>
      <x:c r="J476" s="17"/>
      <x:c r="K476" s="17"/>
      <x:c r="L476" s="17"/>
      <x:c r="M476" s="17"/>
      <x:c r="N476" s="17"/>
      <x:c r="O476" s="17"/>
      <x:c r="P476" s="17"/>
      <x:c r="Q476" s="17"/>
      <x:c r="R476" s="17"/>
      <x:c r="S476" s="17"/>
      <x:c r="T476" s="17"/>
      <x:c r="U476" s="17"/>
      <x:c r="V476" s="17"/>
      <x:c r="W476" s="17"/>
      <x:c r="X476" s="17"/>
      <x:c r="Y476" s="17"/>
      <x:c r="Z476" s="17"/>
    </x:row>
    <x:row r="477">
      <x:c r="A477" s="17"/>
      <x:c r="B477" s="17"/>
      <x:c r="C477" s="17"/>
      <x:c r="D477" s="17"/>
      <x:c r="E477" s="17"/>
      <x:c r="F477" s="17"/>
      <x:c r="G477" s="17"/>
      <x:c r="H477" s="17"/>
      <x:c r="I477" s="17"/>
      <x:c r="J477" s="17"/>
      <x:c r="K477" s="17"/>
      <x:c r="L477" s="17"/>
      <x:c r="M477" s="17"/>
      <x:c r="N477" s="17"/>
      <x:c r="O477" s="17"/>
      <x:c r="P477" s="17"/>
      <x:c r="Q477" s="17"/>
      <x:c r="R477" s="17"/>
      <x:c r="S477" s="17"/>
      <x:c r="T477" s="17"/>
      <x:c r="U477" s="17"/>
      <x:c r="V477" s="17"/>
      <x:c r="W477" s="17"/>
      <x:c r="X477" s="17"/>
      <x:c r="Y477" s="17"/>
      <x:c r="Z477" s="17"/>
    </x:row>
    <x:row r="478">
      <x:c r="A478" s="17"/>
      <x:c r="B478" s="17"/>
      <x:c r="C478" s="17"/>
      <x:c r="D478" s="17"/>
      <x:c r="E478" s="17"/>
      <x:c r="F478" s="17"/>
      <x:c r="G478" s="17"/>
      <x:c r="H478" s="17"/>
      <x:c r="I478" s="17"/>
      <x:c r="J478" s="17"/>
      <x:c r="K478" s="17"/>
      <x:c r="L478" s="17"/>
      <x:c r="M478" s="17"/>
      <x:c r="N478" s="17"/>
      <x:c r="O478" s="17"/>
      <x:c r="P478" s="17"/>
      <x:c r="Q478" s="17"/>
      <x:c r="R478" s="17"/>
      <x:c r="S478" s="17"/>
      <x:c r="T478" s="17"/>
      <x:c r="U478" s="17"/>
      <x:c r="V478" s="17"/>
      <x:c r="W478" s="17"/>
      <x:c r="X478" s="17"/>
      <x:c r="Y478" s="17"/>
      <x:c r="Z478" s="17"/>
    </x:row>
    <x:row r="479">
      <x:c r="A479" s="17"/>
      <x:c r="B479" s="17"/>
      <x:c r="C479" s="17"/>
      <x:c r="D479" s="17"/>
      <x:c r="E479" s="17"/>
      <x:c r="F479" s="17"/>
      <x:c r="G479" s="17"/>
      <x:c r="H479" s="17"/>
      <x:c r="I479" s="17"/>
      <x:c r="J479" s="17"/>
      <x:c r="K479" s="17"/>
      <x:c r="L479" s="17"/>
      <x:c r="M479" s="17"/>
      <x:c r="N479" s="17"/>
      <x:c r="O479" s="17"/>
      <x:c r="P479" s="17"/>
      <x:c r="Q479" s="17"/>
      <x:c r="R479" s="17"/>
      <x:c r="S479" s="17"/>
      <x:c r="T479" s="17"/>
      <x:c r="U479" s="17"/>
      <x:c r="V479" s="17"/>
      <x:c r="W479" s="17"/>
      <x:c r="X479" s="17"/>
      <x:c r="Y479" s="17"/>
      <x:c r="Z479" s="17"/>
    </x:row>
    <x:row r="480">
      <x:c r="A480" s="17"/>
      <x:c r="B480" s="17"/>
      <x:c r="C480" s="17"/>
      <x:c r="D480" s="17"/>
      <x:c r="E480" s="17"/>
      <x:c r="F480" s="17"/>
      <x:c r="G480" s="17"/>
      <x:c r="H480" s="17"/>
      <x:c r="I480" s="17"/>
      <x:c r="J480" s="17"/>
      <x:c r="K480" s="17"/>
      <x:c r="L480" s="17"/>
      <x:c r="M480" s="17"/>
      <x:c r="N480" s="17"/>
      <x:c r="O480" s="17"/>
      <x:c r="P480" s="17"/>
      <x:c r="Q480" s="17"/>
      <x:c r="R480" s="17"/>
      <x:c r="S480" s="17"/>
      <x:c r="T480" s="17"/>
      <x:c r="U480" s="17"/>
      <x:c r="V480" s="17"/>
      <x:c r="W480" s="17"/>
      <x:c r="X480" s="17"/>
      <x:c r="Y480" s="17"/>
      <x:c r="Z480" s="17"/>
    </x:row>
    <x:row r="481">
      <x:c r="A481" s="17"/>
      <x:c r="B481" s="17"/>
      <x:c r="C481" s="17"/>
      <x:c r="D481" s="17"/>
      <x:c r="E481" s="17"/>
      <x:c r="F481" s="17"/>
      <x:c r="G481" s="17"/>
      <x:c r="H481" s="17"/>
      <x:c r="I481" s="17"/>
      <x:c r="J481" s="17"/>
      <x:c r="K481" s="17"/>
      <x:c r="L481" s="17"/>
      <x:c r="M481" s="17"/>
      <x:c r="N481" s="17"/>
      <x:c r="O481" s="17"/>
      <x:c r="P481" s="17"/>
      <x:c r="Q481" s="17"/>
      <x:c r="R481" s="17"/>
      <x:c r="S481" s="17"/>
      <x:c r="T481" s="17"/>
      <x:c r="U481" s="17"/>
      <x:c r="V481" s="17"/>
      <x:c r="W481" s="17"/>
      <x:c r="X481" s="17"/>
      <x:c r="Y481" s="17"/>
      <x:c r="Z481" s="17"/>
    </x:row>
    <x:row r="482">
      <x:c r="A482" s="17"/>
      <x:c r="B482" s="17"/>
      <x:c r="C482" s="17"/>
      <x:c r="D482" s="17"/>
      <x:c r="E482" s="17"/>
      <x:c r="F482" s="17"/>
      <x:c r="G482" s="17"/>
      <x:c r="H482" s="17"/>
      <x:c r="I482" s="17"/>
      <x:c r="J482" s="17"/>
      <x:c r="K482" s="17"/>
      <x:c r="L482" s="17"/>
      <x:c r="M482" s="17"/>
      <x:c r="N482" s="17"/>
      <x:c r="O482" s="17"/>
      <x:c r="P482" s="17"/>
      <x:c r="Q482" s="17"/>
      <x:c r="R482" s="17"/>
      <x:c r="S482" s="17"/>
      <x:c r="T482" s="17"/>
      <x:c r="U482" s="17"/>
      <x:c r="V482" s="17"/>
      <x:c r="W482" s="17"/>
      <x:c r="X482" s="17"/>
      <x:c r="Y482" s="17"/>
      <x:c r="Z482" s="17"/>
    </x:row>
    <x:row r="483">
      <x:c r="A483" s="17"/>
      <x:c r="B483" s="17"/>
      <x:c r="C483" s="17"/>
      <x:c r="D483" s="17"/>
      <x:c r="E483" s="17"/>
      <x:c r="F483" s="17"/>
      <x:c r="G483" s="17"/>
      <x:c r="H483" s="17"/>
      <x:c r="I483" s="17"/>
      <x:c r="J483" s="17"/>
      <x:c r="K483" s="17"/>
      <x:c r="L483" s="17"/>
      <x:c r="M483" s="17"/>
      <x:c r="N483" s="17"/>
      <x:c r="O483" s="17"/>
      <x:c r="P483" s="17"/>
      <x:c r="Q483" s="17"/>
      <x:c r="R483" s="17"/>
      <x:c r="S483" s="17"/>
      <x:c r="T483" s="17"/>
      <x:c r="U483" s="17"/>
      <x:c r="V483" s="17"/>
      <x:c r="W483" s="17"/>
      <x:c r="X483" s="17"/>
      <x:c r="Y483" s="17"/>
      <x:c r="Z483" s="17"/>
    </x:row>
    <x:row r="484">
      <x:c r="A484" s="17"/>
      <x:c r="B484" s="17"/>
      <x:c r="C484" s="17"/>
      <x:c r="D484" s="17"/>
      <x:c r="E484" s="17"/>
      <x:c r="F484" s="17"/>
      <x:c r="G484" s="17"/>
      <x:c r="H484" s="17"/>
      <x:c r="I484" s="17"/>
      <x:c r="J484" s="17"/>
      <x:c r="K484" s="17"/>
      <x:c r="L484" s="17"/>
      <x:c r="M484" s="17"/>
      <x:c r="N484" s="17"/>
      <x:c r="O484" s="17"/>
      <x:c r="P484" s="17"/>
      <x:c r="Q484" s="17"/>
      <x:c r="R484" s="17"/>
      <x:c r="S484" s="17"/>
      <x:c r="T484" s="17"/>
      <x:c r="U484" s="17"/>
      <x:c r="V484" s="17"/>
      <x:c r="W484" s="17"/>
      <x:c r="X484" s="17"/>
      <x:c r="Y484" s="17"/>
      <x:c r="Z484" s="17"/>
    </x:row>
    <x:row r="485">
      <x:c r="A485" s="17"/>
      <x:c r="B485" s="17"/>
      <x:c r="C485" s="17"/>
      <x:c r="D485" s="17"/>
      <x:c r="E485" s="17"/>
      <x:c r="F485" s="17"/>
      <x:c r="G485" s="17"/>
      <x:c r="H485" s="17"/>
      <x:c r="I485" s="17"/>
      <x:c r="J485" s="17"/>
      <x:c r="K485" s="17"/>
      <x:c r="L485" s="17"/>
      <x:c r="M485" s="17"/>
      <x:c r="N485" s="17"/>
      <x:c r="O485" s="17"/>
      <x:c r="P485" s="17"/>
      <x:c r="Q485" s="17"/>
      <x:c r="R485" s="17"/>
      <x:c r="S485" s="17"/>
      <x:c r="T485" s="17"/>
      <x:c r="U485" s="17"/>
      <x:c r="V485" s="17"/>
      <x:c r="W485" s="17"/>
      <x:c r="X485" s="17"/>
      <x:c r="Y485" s="17"/>
      <x:c r="Z485" s="17"/>
    </x:row>
    <x:row r="486">
      <x:c r="A486" s="17"/>
      <x:c r="B486" s="17"/>
      <x:c r="C486" s="17"/>
      <x:c r="D486" s="17"/>
      <x:c r="E486" s="17"/>
      <x:c r="F486" s="17"/>
      <x:c r="G486" s="17"/>
      <x:c r="H486" s="17"/>
      <x:c r="I486" s="17"/>
      <x:c r="J486" s="17"/>
      <x:c r="K486" s="17"/>
      <x:c r="L486" s="17"/>
      <x:c r="M486" s="17"/>
      <x:c r="N486" s="17"/>
      <x:c r="O486" s="17"/>
      <x:c r="P486" s="17"/>
      <x:c r="Q486" s="17"/>
      <x:c r="R486" s="17"/>
      <x:c r="S486" s="17"/>
      <x:c r="T486" s="17"/>
      <x:c r="U486" s="17"/>
      <x:c r="V486" s="17"/>
      <x:c r="W486" s="17"/>
      <x:c r="X486" s="17"/>
      <x:c r="Y486" s="17"/>
      <x:c r="Z486" s="17"/>
    </x:row>
    <x:row r="487">
      <x:c r="A487" s="17"/>
      <x:c r="B487" s="17"/>
      <x:c r="C487" s="17"/>
      <x:c r="D487" s="17"/>
      <x:c r="E487" s="17"/>
      <x:c r="F487" s="17"/>
      <x:c r="G487" s="17"/>
      <x:c r="H487" s="17"/>
      <x:c r="I487" s="17"/>
      <x:c r="J487" s="17"/>
      <x:c r="K487" s="17"/>
      <x:c r="L487" s="17"/>
      <x:c r="M487" s="17"/>
      <x:c r="N487" s="17"/>
      <x:c r="O487" s="17"/>
      <x:c r="P487" s="17"/>
      <x:c r="Q487" s="17"/>
      <x:c r="R487" s="17"/>
      <x:c r="S487" s="17"/>
      <x:c r="T487" s="17"/>
      <x:c r="U487" s="17"/>
      <x:c r="V487" s="17"/>
      <x:c r="W487" s="17"/>
      <x:c r="X487" s="17"/>
      <x:c r="Y487" s="17"/>
      <x:c r="Z487" s="17"/>
    </x:row>
    <x:row r="488">
      <x:c r="A488" s="17"/>
      <x:c r="B488" s="17"/>
      <x:c r="C488" s="17"/>
      <x:c r="D488" s="17"/>
      <x:c r="E488" s="17"/>
      <x:c r="F488" s="17"/>
      <x:c r="G488" s="17"/>
      <x:c r="H488" s="17"/>
      <x:c r="I488" s="17"/>
      <x:c r="J488" s="17"/>
      <x:c r="K488" s="17"/>
      <x:c r="L488" s="17"/>
      <x:c r="M488" s="17"/>
      <x:c r="N488" s="17"/>
      <x:c r="O488" s="17"/>
      <x:c r="P488" s="17"/>
      <x:c r="Q488" s="17"/>
      <x:c r="R488" s="17"/>
      <x:c r="S488" s="17"/>
      <x:c r="T488" s="17"/>
      <x:c r="U488" s="17"/>
      <x:c r="V488" s="17"/>
      <x:c r="W488" s="17"/>
      <x:c r="X488" s="17"/>
      <x:c r="Y488" s="17"/>
      <x:c r="Z488" s="17"/>
    </x:row>
    <x:row r="489">
      <x:c r="A489" s="17"/>
      <x:c r="B489" s="17"/>
      <x:c r="C489" s="17"/>
      <x:c r="D489" s="17"/>
      <x:c r="E489" s="17"/>
      <x:c r="F489" s="17"/>
      <x:c r="G489" s="17"/>
      <x:c r="H489" s="17"/>
      <x:c r="I489" s="17"/>
      <x:c r="J489" s="17"/>
      <x:c r="K489" s="17"/>
      <x:c r="L489" s="17"/>
      <x:c r="M489" s="17"/>
      <x:c r="N489" s="17"/>
      <x:c r="O489" s="17"/>
      <x:c r="P489" s="17"/>
      <x:c r="Q489" s="17"/>
      <x:c r="R489" s="17"/>
      <x:c r="S489" s="17"/>
      <x:c r="T489" s="17"/>
      <x:c r="U489" s="17"/>
      <x:c r="V489" s="17"/>
      <x:c r="W489" s="17"/>
      <x:c r="X489" s="17"/>
      <x:c r="Y489" s="17"/>
      <x:c r="Z489" s="17"/>
    </x:row>
    <x:row r="490">
      <x:c r="A490" s="17"/>
      <x:c r="B490" s="17"/>
      <x:c r="C490" s="17"/>
      <x:c r="D490" s="17"/>
      <x:c r="E490" s="17"/>
      <x:c r="F490" s="17"/>
      <x:c r="G490" s="17"/>
      <x:c r="H490" s="17"/>
      <x:c r="I490" s="17"/>
      <x:c r="J490" s="17"/>
      <x:c r="K490" s="17"/>
      <x:c r="L490" s="17"/>
      <x:c r="M490" s="17"/>
      <x:c r="N490" s="17"/>
      <x:c r="O490" s="17"/>
      <x:c r="P490" s="17"/>
      <x:c r="Q490" s="17"/>
      <x:c r="R490" s="17"/>
      <x:c r="S490" s="17"/>
      <x:c r="T490" s="17"/>
      <x:c r="U490" s="17"/>
      <x:c r="V490" s="17"/>
      <x:c r="W490" s="17"/>
      <x:c r="X490" s="17"/>
      <x:c r="Y490" s="17"/>
      <x:c r="Z490" s="17"/>
    </x:row>
    <x:row r="491">
      <x:c r="A491" s="17"/>
      <x:c r="B491" s="17"/>
      <x:c r="C491" s="17"/>
      <x:c r="D491" s="17"/>
      <x:c r="E491" s="17"/>
      <x:c r="F491" s="17"/>
      <x:c r="G491" s="17"/>
      <x:c r="H491" s="17"/>
      <x:c r="I491" s="17"/>
      <x:c r="J491" s="17"/>
      <x:c r="K491" s="17"/>
      <x:c r="L491" s="17"/>
      <x:c r="M491" s="17"/>
      <x:c r="N491" s="17"/>
      <x:c r="O491" s="17"/>
      <x:c r="P491" s="17"/>
      <x:c r="Q491" s="17"/>
      <x:c r="R491" s="17"/>
      <x:c r="S491" s="17"/>
      <x:c r="T491" s="17"/>
      <x:c r="U491" s="17"/>
      <x:c r="V491" s="17"/>
      <x:c r="W491" s="17"/>
      <x:c r="X491" s="17"/>
      <x:c r="Y491" s="17"/>
      <x:c r="Z491" s="17"/>
    </x:row>
    <x:row r="492">
      <x:c r="A492" s="17"/>
      <x:c r="B492" s="17"/>
      <x:c r="C492" s="17"/>
      <x:c r="D492" s="17"/>
      <x:c r="E492" s="17"/>
      <x:c r="F492" s="17"/>
      <x:c r="G492" s="17"/>
      <x:c r="H492" s="17"/>
      <x:c r="I492" s="17"/>
      <x:c r="J492" s="17"/>
      <x:c r="K492" s="17"/>
      <x:c r="L492" s="17"/>
      <x:c r="M492" s="17"/>
      <x:c r="N492" s="17"/>
      <x:c r="O492" s="17"/>
      <x:c r="P492" s="17"/>
      <x:c r="Q492" s="17"/>
      <x:c r="R492" s="17"/>
      <x:c r="S492" s="17"/>
      <x:c r="T492" s="17"/>
      <x:c r="U492" s="17"/>
      <x:c r="V492" s="17"/>
      <x:c r="W492" s="17"/>
      <x:c r="X492" s="17"/>
      <x:c r="Y492" s="17"/>
      <x:c r="Z492" s="17"/>
    </x:row>
    <x:row r="493">
      <x:c r="A493" s="17"/>
      <x:c r="B493" s="17"/>
      <x:c r="C493" s="17"/>
      <x:c r="D493" s="17"/>
      <x:c r="E493" s="17"/>
      <x:c r="F493" s="17"/>
      <x:c r="G493" s="17"/>
      <x:c r="H493" s="17"/>
      <x:c r="I493" s="17"/>
      <x:c r="J493" s="17"/>
      <x:c r="K493" s="17"/>
      <x:c r="L493" s="17"/>
      <x:c r="M493" s="17"/>
      <x:c r="N493" s="17"/>
      <x:c r="O493" s="17"/>
      <x:c r="P493" s="17"/>
      <x:c r="Q493" s="17"/>
      <x:c r="R493" s="17"/>
      <x:c r="S493" s="17"/>
      <x:c r="T493" s="17"/>
      <x:c r="U493" s="17"/>
      <x:c r="V493" s="17"/>
      <x:c r="W493" s="17"/>
      <x:c r="X493" s="17"/>
      <x:c r="Y493" s="17"/>
      <x:c r="Z493" s="17"/>
    </x:row>
    <x:row r="494">
      <x:c r="A494" s="17"/>
      <x:c r="B494" s="17"/>
      <x:c r="C494" s="17"/>
      <x:c r="D494" s="17"/>
      <x:c r="E494" s="17"/>
      <x:c r="F494" s="17"/>
      <x:c r="G494" s="17"/>
      <x:c r="H494" s="17"/>
      <x:c r="I494" s="17"/>
      <x:c r="J494" s="17"/>
      <x:c r="K494" s="17"/>
      <x:c r="L494" s="17"/>
      <x:c r="M494" s="17"/>
      <x:c r="N494" s="17"/>
      <x:c r="O494" s="17"/>
      <x:c r="P494" s="17"/>
      <x:c r="Q494" s="17"/>
      <x:c r="R494" s="17"/>
      <x:c r="S494" s="17"/>
      <x:c r="T494" s="17"/>
      <x:c r="U494" s="17"/>
      <x:c r="V494" s="17"/>
      <x:c r="W494" s="17"/>
      <x:c r="X494" s="17"/>
      <x:c r="Y494" s="17"/>
      <x:c r="Z494" s="17"/>
    </x:row>
    <x:row r="495">
      <x:c r="A495" s="17"/>
      <x:c r="B495" s="17"/>
      <x:c r="C495" s="17"/>
      <x:c r="D495" s="17"/>
      <x:c r="E495" s="17"/>
      <x:c r="F495" s="17"/>
      <x:c r="G495" s="17"/>
      <x:c r="H495" s="17"/>
      <x:c r="I495" s="17"/>
      <x:c r="J495" s="17"/>
      <x:c r="K495" s="17"/>
      <x:c r="L495" s="17"/>
      <x:c r="M495" s="17"/>
      <x:c r="N495" s="17"/>
      <x:c r="O495" s="17"/>
      <x:c r="P495" s="17"/>
      <x:c r="Q495" s="17"/>
      <x:c r="R495" s="17"/>
      <x:c r="S495" s="17"/>
      <x:c r="T495" s="17"/>
      <x:c r="U495" s="17"/>
      <x:c r="V495" s="17"/>
      <x:c r="W495" s="17"/>
      <x:c r="X495" s="17"/>
      <x:c r="Y495" s="17"/>
      <x:c r="Z495" s="17"/>
    </x:row>
    <x:row r="496">
      <x:c r="A496" s="17"/>
      <x:c r="B496" s="17"/>
      <x:c r="C496" s="17"/>
      <x:c r="D496" s="17"/>
      <x:c r="E496" s="17"/>
      <x:c r="F496" s="17"/>
      <x:c r="G496" s="17"/>
      <x:c r="H496" s="17"/>
      <x:c r="I496" s="17"/>
      <x:c r="J496" s="17"/>
      <x:c r="K496" s="17"/>
      <x:c r="L496" s="17"/>
      <x:c r="M496" s="17"/>
      <x:c r="N496" s="17"/>
      <x:c r="O496" s="17"/>
      <x:c r="P496" s="17"/>
      <x:c r="Q496" s="17"/>
      <x:c r="R496" s="17"/>
      <x:c r="S496" s="17"/>
      <x:c r="T496" s="17"/>
      <x:c r="U496" s="17"/>
      <x:c r="V496" s="17"/>
      <x:c r="W496" s="17"/>
      <x:c r="X496" s="17"/>
      <x:c r="Y496" s="17"/>
      <x:c r="Z496" s="17"/>
    </x:row>
    <x:row r="497">
      <x:c r="A497" s="17"/>
      <x:c r="B497" s="17"/>
      <x:c r="C497" s="17"/>
      <x:c r="D497" s="17"/>
      <x:c r="E497" s="17"/>
      <x:c r="F497" s="17"/>
      <x:c r="G497" s="17"/>
      <x:c r="H497" s="17"/>
      <x:c r="I497" s="17"/>
      <x:c r="J497" s="17"/>
      <x:c r="K497" s="17"/>
      <x:c r="L497" s="17"/>
      <x:c r="M497" s="17"/>
      <x:c r="N497" s="17"/>
      <x:c r="O497" s="17"/>
      <x:c r="P497" s="17"/>
      <x:c r="Q497" s="17"/>
      <x:c r="R497" s="17"/>
      <x:c r="S497" s="17"/>
      <x:c r="T497" s="17"/>
      <x:c r="U497" s="17"/>
      <x:c r="V497" s="17"/>
      <x:c r="W497" s="17"/>
      <x:c r="X497" s="17"/>
      <x:c r="Y497" s="17"/>
      <x:c r="Z497" s="17"/>
    </x:row>
    <x:row r="498">
      <x:c r="A498" s="17"/>
      <x:c r="B498" s="17"/>
      <x:c r="C498" s="17"/>
      <x:c r="D498" s="17"/>
      <x:c r="E498" s="17"/>
      <x:c r="F498" s="17"/>
      <x:c r="G498" s="17"/>
      <x:c r="H498" s="17"/>
      <x:c r="I498" s="17"/>
      <x:c r="J498" s="17"/>
      <x:c r="K498" s="17"/>
      <x:c r="L498" s="17"/>
      <x:c r="M498" s="17"/>
      <x:c r="N498" s="17"/>
      <x:c r="O498" s="17"/>
      <x:c r="P498" s="17"/>
      <x:c r="Q498" s="17"/>
      <x:c r="R498" s="17"/>
      <x:c r="S498" s="17"/>
      <x:c r="T498" s="17"/>
      <x:c r="U498" s="17"/>
      <x:c r="V498" s="17"/>
      <x:c r="W498" s="17"/>
      <x:c r="X498" s="17"/>
      <x:c r="Y498" s="17"/>
      <x:c r="Z498" s="17"/>
    </x:row>
    <x:row r="499">
      <x:c r="A499" s="17"/>
      <x:c r="B499" s="17"/>
      <x:c r="C499" s="17"/>
      <x:c r="D499" s="17"/>
      <x:c r="E499" s="17"/>
      <x:c r="F499" s="17"/>
      <x:c r="G499" s="17"/>
      <x:c r="H499" s="17"/>
      <x:c r="I499" s="17"/>
      <x:c r="J499" s="17"/>
      <x:c r="K499" s="17"/>
      <x:c r="L499" s="17"/>
      <x:c r="M499" s="17"/>
      <x:c r="N499" s="17"/>
      <x:c r="O499" s="17"/>
      <x:c r="P499" s="17"/>
      <x:c r="Q499" s="17"/>
      <x:c r="R499" s="17"/>
      <x:c r="S499" s="17"/>
      <x:c r="T499" s="17"/>
      <x:c r="U499" s="17"/>
      <x:c r="V499" s="17"/>
      <x:c r="W499" s="17"/>
      <x:c r="X499" s="17"/>
      <x:c r="Y499" s="17"/>
      <x:c r="Z499" s="17"/>
    </x:row>
    <x:row r="500">
      <x:c r="A500" s="17"/>
      <x:c r="B500" s="17"/>
      <x:c r="C500" s="17"/>
      <x:c r="D500" s="17"/>
      <x:c r="E500" s="17"/>
      <x:c r="F500" s="17"/>
      <x:c r="G500" s="17"/>
      <x:c r="H500" s="17"/>
      <x:c r="I500" s="17"/>
      <x:c r="J500" s="17"/>
      <x:c r="K500" s="17"/>
      <x:c r="L500" s="17"/>
      <x:c r="M500" s="17"/>
      <x:c r="N500" s="17"/>
      <x:c r="O500" s="17"/>
      <x:c r="P500" s="17"/>
      <x:c r="Q500" s="17"/>
      <x:c r="R500" s="17"/>
      <x:c r="S500" s="17"/>
      <x:c r="T500" s="17"/>
      <x:c r="U500" s="17"/>
      <x:c r="V500" s="17"/>
      <x:c r="W500" s="17"/>
      <x:c r="X500" s="17"/>
      <x:c r="Y500" s="17"/>
      <x:c r="Z500" s="17"/>
    </x:row>
    <x:row r="501">
      <x:c r="A501" s="17"/>
      <x:c r="B501" s="17"/>
      <x:c r="C501" s="17"/>
      <x:c r="D501" s="17"/>
      <x:c r="E501" s="17"/>
      <x:c r="F501" s="17"/>
      <x:c r="G501" s="17"/>
      <x:c r="H501" s="17"/>
      <x:c r="I501" s="17"/>
      <x:c r="J501" s="17"/>
      <x:c r="K501" s="17"/>
      <x:c r="L501" s="17"/>
      <x:c r="M501" s="17"/>
      <x:c r="N501" s="17"/>
      <x:c r="O501" s="17"/>
      <x:c r="P501" s="17"/>
      <x:c r="Q501" s="17"/>
      <x:c r="R501" s="17"/>
      <x:c r="S501" s="17"/>
      <x:c r="T501" s="17"/>
      <x:c r="U501" s="17"/>
      <x:c r="V501" s="17"/>
      <x:c r="W501" s="17"/>
      <x:c r="X501" s="17"/>
      <x:c r="Y501" s="17"/>
      <x:c r="Z501" s="17"/>
    </x:row>
    <x:row r="502">
      <x:c r="A502" s="17"/>
      <x:c r="B502" s="17"/>
      <x:c r="C502" s="17"/>
      <x:c r="D502" s="17"/>
      <x:c r="E502" s="17"/>
      <x:c r="F502" s="17"/>
      <x:c r="G502" s="17"/>
      <x:c r="H502" s="17"/>
      <x:c r="I502" s="17"/>
      <x:c r="J502" s="17"/>
      <x:c r="K502" s="17"/>
      <x:c r="L502" s="17"/>
      <x:c r="M502" s="17"/>
      <x:c r="N502" s="17"/>
      <x:c r="O502" s="17"/>
      <x:c r="P502" s="17"/>
      <x:c r="Q502" s="17"/>
      <x:c r="R502" s="17"/>
      <x:c r="S502" s="17"/>
      <x:c r="T502" s="17"/>
      <x:c r="U502" s="17"/>
      <x:c r="V502" s="17"/>
      <x:c r="W502" s="17"/>
      <x:c r="X502" s="17"/>
      <x:c r="Y502" s="17"/>
      <x:c r="Z502" s="17"/>
    </x:row>
    <x:row r="503">
      <x:c r="A503" s="17"/>
      <x:c r="B503" s="17"/>
      <x:c r="C503" s="17"/>
      <x:c r="D503" s="17"/>
      <x:c r="E503" s="17"/>
      <x:c r="F503" s="17"/>
      <x:c r="G503" s="17"/>
      <x:c r="H503" s="17"/>
      <x:c r="I503" s="17"/>
      <x:c r="J503" s="17"/>
      <x:c r="K503" s="17"/>
      <x:c r="L503" s="17"/>
      <x:c r="M503" s="17"/>
      <x:c r="N503" s="17"/>
      <x:c r="O503" s="17"/>
      <x:c r="P503" s="17"/>
      <x:c r="Q503" s="17"/>
      <x:c r="R503" s="17"/>
      <x:c r="S503" s="17"/>
      <x:c r="T503" s="17"/>
      <x:c r="U503" s="17"/>
      <x:c r="V503" s="17"/>
      <x:c r="W503" s="17"/>
      <x:c r="X503" s="17"/>
      <x:c r="Y503" s="17"/>
      <x:c r="Z503" s="17"/>
    </x:row>
    <x:row r="504">
      <x:c r="A504" s="17"/>
      <x:c r="B504" s="17"/>
      <x:c r="C504" s="17"/>
      <x:c r="D504" s="17"/>
      <x:c r="E504" s="17"/>
      <x:c r="F504" s="17"/>
      <x:c r="G504" s="17"/>
      <x:c r="H504" s="17"/>
      <x:c r="I504" s="17"/>
      <x:c r="J504" s="17"/>
      <x:c r="K504" s="17"/>
      <x:c r="L504" s="17"/>
      <x:c r="M504" s="17"/>
      <x:c r="N504" s="17"/>
      <x:c r="O504" s="17"/>
      <x:c r="P504" s="17"/>
      <x:c r="Q504" s="17"/>
      <x:c r="R504" s="17"/>
      <x:c r="S504" s="17"/>
      <x:c r="T504" s="17"/>
      <x:c r="U504" s="17"/>
      <x:c r="V504" s="17"/>
      <x:c r="W504" s="17"/>
      <x:c r="X504" s="17"/>
      <x:c r="Y504" s="17"/>
      <x:c r="Z504" s="17"/>
    </x:row>
    <x:row r="505">
      <x:c r="A505" s="17"/>
      <x:c r="B505" s="17"/>
      <x:c r="C505" s="17"/>
      <x:c r="D505" s="17"/>
      <x:c r="E505" s="17"/>
      <x:c r="F505" s="17"/>
      <x:c r="G505" s="17"/>
      <x:c r="H505" s="17"/>
      <x:c r="I505" s="17"/>
      <x:c r="J505" s="17"/>
      <x:c r="K505" s="17"/>
      <x:c r="L505" s="17"/>
      <x:c r="M505" s="17"/>
      <x:c r="N505" s="17"/>
      <x:c r="O505" s="17"/>
      <x:c r="P505" s="17"/>
      <x:c r="Q505" s="17"/>
      <x:c r="R505" s="17"/>
      <x:c r="S505" s="17"/>
      <x:c r="T505" s="17"/>
      <x:c r="U505" s="17"/>
      <x:c r="V505" s="17"/>
      <x:c r="W505" s="17"/>
      <x:c r="X505" s="17"/>
      <x:c r="Y505" s="17"/>
      <x:c r="Z505" s="17"/>
    </x:row>
    <x:row r="506">
      <x:c r="A506" s="17"/>
      <x:c r="B506" s="17"/>
      <x:c r="C506" s="17"/>
      <x:c r="D506" s="17"/>
      <x:c r="E506" s="17"/>
      <x:c r="F506" s="17"/>
      <x:c r="G506" s="17"/>
      <x:c r="H506" s="17"/>
      <x:c r="I506" s="17"/>
      <x:c r="J506" s="17"/>
      <x:c r="K506" s="17"/>
      <x:c r="L506" s="17"/>
      <x:c r="M506" s="17"/>
      <x:c r="N506" s="17"/>
      <x:c r="O506" s="17"/>
      <x:c r="P506" s="17"/>
      <x:c r="Q506" s="17"/>
      <x:c r="R506" s="17"/>
      <x:c r="S506" s="17"/>
      <x:c r="T506" s="17"/>
      <x:c r="U506" s="17"/>
      <x:c r="V506" s="17"/>
      <x:c r="W506" s="17"/>
      <x:c r="X506" s="17"/>
      <x:c r="Y506" s="17"/>
      <x:c r="Z506" s="17"/>
    </x:row>
    <x:row r="507">
      <x:c r="A507" s="17"/>
      <x:c r="B507" s="17"/>
      <x:c r="C507" s="17"/>
      <x:c r="D507" s="17"/>
      <x:c r="E507" s="17"/>
      <x:c r="F507" s="17"/>
      <x:c r="G507" s="17"/>
      <x:c r="H507" s="17"/>
      <x:c r="I507" s="17"/>
      <x:c r="J507" s="17"/>
      <x:c r="K507" s="17"/>
      <x:c r="L507" s="17"/>
      <x:c r="M507" s="17"/>
      <x:c r="N507" s="17"/>
      <x:c r="O507" s="17"/>
      <x:c r="P507" s="17"/>
      <x:c r="Q507" s="17"/>
      <x:c r="R507" s="17"/>
      <x:c r="S507" s="17"/>
      <x:c r="T507" s="17"/>
      <x:c r="U507" s="17"/>
      <x:c r="V507" s="17"/>
      <x:c r="W507" s="17"/>
      <x:c r="X507" s="17"/>
      <x:c r="Y507" s="17"/>
      <x:c r="Z507" s="17"/>
    </x:row>
    <x:row r="508">
      <x:c r="A508" s="17"/>
      <x:c r="B508" s="17"/>
      <x:c r="C508" s="17"/>
      <x:c r="D508" s="17"/>
      <x:c r="E508" s="17"/>
      <x:c r="F508" s="17"/>
      <x:c r="G508" s="17"/>
      <x:c r="H508" s="17"/>
      <x:c r="I508" s="17"/>
      <x:c r="J508" s="17"/>
      <x:c r="K508" s="17"/>
      <x:c r="L508" s="17"/>
      <x:c r="M508" s="17"/>
      <x:c r="N508" s="17"/>
      <x:c r="O508" s="17"/>
      <x:c r="P508" s="17"/>
      <x:c r="Q508" s="17"/>
      <x:c r="R508" s="17"/>
      <x:c r="S508" s="17"/>
      <x:c r="T508" s="17"/>
      <x:c r="U508" s="17"/>
      <x:c r="V508" s="17"/>
      <x:c r="W508" s="17"/>
      <x:c r="X508" s="17"/>
      <x:c r="Y508" s="17"/>
      <x:c r="Z508" s="17"/>
    </x:row>
    <x:row r="509">
      <x:c r="A509" s="17"/>
      <x:c r="B509" s="17"/>
      <x:c r="C509" s="17"/>
      <x:c r="D509" s="17"/>
      <x:c r="E509" s="17"/>
      <x:c r="F509" s="17"/>
      <x:c r="G509" s="17"/>
      <x:c r="H509" s="17"/>
      <x:c r="I509" s="17"/>
      <x:c r="J509" s="17"/>
      <x:c r="K509" s="17"/>
      <x:c r="L509" s="17"/>
      <x:c r="M509" s="17"/>
      <x:c r="N509" s="17"/>
      <x:c r="O509" s="17"/>
      <x:c r="P509" s="17"/>
      <x:c r="Q509" s="17"/>
      <x:c r="R509" s="17"/>
      <x:c r="S509" s="17"/>
      <x:c r="T509" s="17"/>
      <x:c r="U509" s="17"/>
      <x:c r="V509" s="17"/>
      <x:c r="W509" s="17"/>
      <x:c r="X509" s="17"/>
      <x:c r="Y509" s="17"/>
      <x:c r="Z509" s="17"/>
    </x:row>
    <x:row r="510">
      <x:c r="A510" s="17"/>
      <x:c r="B510" s="17"/>
      <x:c r="C510" s="17"/>
      <x:c r="D510" s="17"/>
      <x:c r="E510" s="17"/>
      <x:c r="F510" s="17"/>
      <x:c r="G510" s="17"/>
      <x:c r="H510" s="17"/>
      <x:c r="I510" s="17"/>
      <x:c r="J510" s="17"/>
      <x:c r="K510" s="17"/>
      <x:c r="L510" s="17"/>
      <x:c r="M510" s="17"/>
      <x:c r="N510" s="17"/>
      <x:c r="O510" s="17"/>
      <x:c r="P510" s="17"/>
      <x:c r="Q510" s="17"/>
      <x:c r="R510" s="17"/>
      <x:c r="S510" s="17"/>
      <x:c r="T510" s="17"/>
      <x:c r="U510" s="17"/>
      <x:c r="V510" s="17"/>
      <x:c r="W510" s="17"/>
      <x:c r="X510" s="17"/>
      <x:c r="Y510" s="17"/>
      <x:c r="Z510" s="17"/>
    </x:row>
    <x:row r="511">
      <x:c r="A511" s="17"/>
      <x:c r="B511" s="17"/>
      <x:c r="C511" s="17"/>
      <x:c r="D511" s="17"/>
      <x:c r="E511" s="17"/>
      <x:c r="F511" s="17"/>
      <x:c r="G511" s="17"/>
      <x:c r="H511" s="17"/>
      <x:c r="I511" s="17"/>
      <x:c r="J511" s="17"/>
      <x:c r="K511" s="17"/>
      <x:c r="L511" s="17"/>
      <x:c r="M511" s="17"/>
      <x:c r="N511" s="17"/>
      <x:c r="O511" s="17"/>
      <x:c r="P511" s="17"/>
      <x:c r="Q511" s="17"/>
      <x:c r="R511" s="17"/>
      <x:c r="S511" s="17"/>
      <x:c r="T511" s="17"/>
      <x:c r="U511" s="17"/>
      <x:c r="V511" s="17"/>
      <x:c r="W511" s="17"/>
      <x:c r="X511" s="17"/>
      <x:c r="Y511" s="17"/>
      <x:c r="Z511" s="17"/>
    </x:row>
    <x:row r="512">
      <x:c r="A512" s="17"/>
      <x:c r="B512" s="17"/>
      <x:c r="C512" s="17"/>
      <x:c r="D512" s="17"/>
      <x:c r="E512" s="17"/>
      <x:c r="F512" s="17"/>
      <x:c r="G512" s="17"/>
      <x:c r="H512" s="17"/>
      <x:c r="I512" s="17"/>
      <x:c r="J512" s="17"/>
      <x:c r="K512" s="17"/>
      <x:c r="L512" s="17"/>
      <x:c r="M512" s="17"/>
      <x:c r="N512" s="17"/>
      <x:c r="O512" s="17"/>
      <x:c r="P512" s="17"/>
      <x:c r="Q512" s="17"/>
      <x:c r="R512" s="17"/>
      <x:c r="S512" s="17"/>
      <x:c r="T512" s="17"/>
      <x:c r="U512" s="17"/>
      <x:c r="V512" s="17"/>
      <x:c r="W512" s="17"/>
      <x:c r="X512" s="17"/>
      <x:c r="Y512" s="17"/>
      <x:c r="Z512" s="17"/>
    </x:row>
    <x:row r="513">
      <x:c r="A513" s="17"/>
      <x:c r="B513" s="17"/>
      <x:c r="C513" s="17"/>
      <x:c r="D513" s="17"/>
      <x:c r="E513" s="17"/>
      <x:c r="F513" s="17"/>
      <x:c r="G513" s="17"/>
      <x:c r="H513" s="17"/>
      <x:c r="I513" s="17"/>
      <x:c r="J513" s="17"/>
      <x:c r="K513" s="17"/>
      <x:c r="L513" s="17"/>
      <x:c r="M513" s="17"/>
      <x:c r="N513" s="17"/>
      <x:c r="O513" s="17"/>
      <x:c r="P513" s="17"/>
      <x:c r="Q513" s="17"/>
      <x:c r="R513" s="17"/>
      <x:c r="S513" s="17"/>
      <x:c r="T513" s="17"/>
      <x:c r="U513" s="17"/>
      <x:c r="V513" s="17"/>
      <x:c r="W513" s="17"/>
      <x:c r="X513" s="17"/>
      <x:c r="Y513" s="17"/>
      <x:c r="Z513" s="17"/>
    </x:row>
    <x:row r="514">
      <x:c r="A514" s="17"/>
      <x:c r="B514" s="17"/>
      <x:c r="C514" s="17"/>
      <x:c r="D514" s="17"/>
      <x:c r="E514" s="17"/>
      <x:c r="F514" s="17"/>
      <x:c r="G514" s="17"/>
      <x:c r="H514" s="17"/>
      <x:c r="I514" s="17"/>
      <x:c r="J514" s="17"/>
      <x:c r="K514" s="17"/>
      <x:c r="L514" s="17"/>
      <x:c r="M514" s="17"/>
      <x:c r="N514" s="17"/>
      <x:c r="O514" s="17"/>
      <x:c r="P514" s="17"/>
      <x:c r="Q514" s="17"/>
      <x:c r="R514" s="17"/>
      <x:c r="S514" s="17"/>
      <x:c r="T514" s="17"/>
      <x:c r="U514" s="17"/>
      <x:c r="V514" s="17"/>
      <x:c r="W514" s="17"/>
      <x:c r="X514" s="17"/>
      <x:c r="Y514" s="17"/>
      <x:c r="Z514" s="17"/>
    </x:row>
    <x:row r="515">
      <x:c r="A515" s="17"/>
      <x:c r="B515" s="17"/>
      <x:c r="C515" s="17"/>
      <x:c r="D515" s="17"/>
      <x:c r="E515" s="17"/>
      <x:c r="F515" s="17"/>
      <x:c r="G515" s="17"/>
      <x:c r="H515" s="17"/>
      <x:c r="I515" s="17"/>
      <x:c r="J515" s="17"/>
      <x:c r="K515" s="17"/>
      <x:c r="L515" s="17"/>
      <x:c r="M515" s="17"/>
      <x:c r="N515" s="17"/>
      <x:c r="O515" s="17"/>
      <x:c r="P515" s="17"/>
      <x:c r="Q515" s="17"/>
      <x:c r="R515" s="17"/>
      <x:c r="S515" s="17"/>
      <x:c r="T515" s="17"/>
      <x:c r="U515" s="17"/>
      <x:c r="V515" s="17"/>
      <x:c r="W515" s="17"/>
      <x:c r="X515" s="17"/>
      <x:c r="Y515" s="17"/>
      <x:c r="Z515" s="17"/>
    </x:row>
    <x:row r="516">
      <x:c r="A516" s="17"/>
      <x:c r="B516" s="17"/>
      <x:c r="C516" s="17"/>
      <x:c r="D516" s="17"/>
      <x:c r="E516" s="17"/>
      <x:c r="F516" s="17"/>
      <x:c r="G516" s="17"/>
      <x:c r="H516" s="17"/>
      <x:c r="I516" s="17"/>
      <x:c r="J516" s="17"/>
      <x:c r="K516" s="17"/>
      <x:c r="L516" s="17"/>
      <x:c r="M516" s="17"/>
      <x:c r="N516" s="17"/>
      <x:c r="O516" s="17"/>
      <x:c r="P516" s="17"/>
      <x:c r="Q516" s="17"/>
      <x:c r="R516" s="17"/>
      <x:c r="S516" s="17"/>
      <x:c r="T516" s="17"/>
      <x:c r="U516" s="17"/>
      <x:c r="V516" s="17"/>
      <x:c r="W516" s="17"/>
      <x:c r="X516" s="17"/>
      <x:c r="Y516" s="17"/>
      <x:c r="Z516" s="17"/>
    </x:row>
    <x:row r="517">
      <x:c r="A517" s="17"/>
      <x:c r="B517" s="17"/>
      <x:c r="C517" s="17"/>
      <x:c r="D517" s="17"/>
      <x:c r="E517" s="17"/>
      <x:c r="F517" s="17"/>
      <x:c r="G517" s="17"/>
      <x:c r="H517" s="17"/>
      <x:c r="I517" s="17"/>
      <x:c r="J517" s="17"/>
      <x:c r="K517" s="17"/>
      <x:c r="L517" s="17"/>
      <x:c r="M517" s="17"/>
      <x:c r="N517" s="17"/>
      <x:c r="O517" s="17"/>
      <x:c r="P517" s="17"/>
      <x:c r="Q517" s="17"/>
      <x:c r="R517" s="17"/>
      <x:c r="S517" s="17"/>
      <x:c r="T517" s="17"/>
      <x:c r="U517" s="17"/>
      <x:c r="V517" s="17"/>
      <x:c r="W517" s="17"/>
      <x:c r="X517" s="17"/>
      <x:c r="Y517" s="17"/>
      <x:c r="Z517" s="17"/>
    </x:row>
    <x:row r="518">
      <x:c r="A518" s="17"/>
      <x:c r="B518" s="17"/>
      <x:c r="C518" s="17"/>
      <x:c r="D518" s="17"/>
      <x:c r="E518" s="17"/>
      <x:c r="F518" s="17"/>
      <x:c r="G518" s="17"/>
      <x:c r="H518" s="17"/>
      <x:c r="I518" s="17"/>
      <x:c r="J518" s="17"/>
      <x:c r="K518" s="17"/>
      <x:c r="L518" s="17"/>
      <x:c r="M518" s="17"/>
      <x:c r="N518" s="17"/>
      <x:c r="O518" s="17"/>
      <x:c r="P518" s="17"/>
      <x:c r="Q518" s="17"/>
      <x:c r="R518" s="17"/>
      <x:c r="S518" s="17"/>
      <x:c r="T518" s="17"/>
      <x:c r="U518" s="17"/>
      <x:c r="V518" s="17"/>
      <x:c r="W518" s="17"/>
      <x:c r="X518" s="17"/>
      <x:c r="Y518" s="17"/>
      <x:c r="Z518" s="17"/>
    </x:row>
    <x:row r="519">
      <x:c r="A519" s="17"/>
      <x:c r="B519" s="17"/>
      <x:c r="C519" s="17"/>
      <x:c r="D519" s="17"/>
      <x:c r="E519" s="17"/>
      <x:c r="F519" s="17"/>
      <x:c r="G519" s="17"/>
      <x:c r="H519" s="17"/>
      <x:c r="I519" s="17"/>
      <x:c r="J519" s="17"/>
      <x:c r="K519" s="17"/>
      <x:c r="L519" s="17"/>
      <x:c r="M519" s="17"/>
      <x:c r="N519" s="17"/>
      <x:c r="O519" s="17"/>
      <x:c r="P519" s="17"/>
      <x:c r="Q519" s="17"/>
      <x:c r="R519" s="17"/>
      <x:c r="S519" s="17"/>
      <x:c r="T519" s="17"/>
      <x:c r="U519" s="17"/>
      <x:c r="V519" s="17"/>
      <x:c r="W519" s="17"/>
      <x:c r="X519" s="17"/>
      <x:c r="Y519" s="17"/>
      <x:c r="Z519" s="17"/>
    </x:row>
    <x:row r="520">
      <x:c r="A520" s="17"/>
      <x:c r="B520" s="17"/>
      <x:c r="C520" s="17"/>
      <x:c r="D520" s="17"/>
      <x:c r="E520" s="17"/>
      <x:c r="F520" s="17"/>
      <x:c r="G520" s="17"/>
      <x:c r="H520" s="17"/>
      <x:c r="I520" s="17"/>
      <x:c r="J520" s="17"/>
      <x:c r="K520" s="17"/>
      <x:c r="L520" s="17"/>
      <x:c r="M520" s="17"/>
      <x:c r="N520" s="17"/>
      <x:c r="O520" s="17"/>
      <x:c r="P520" s="17"/>
      <x:c r="Q520" s="17"/>
      <x:c r="R520" s="17"/>
      <x:c r="S520" s="17"/>
      <x:c r="T520" s="17"/>
      <x:c r="U520" s="17"/>
      <x:c r="V520" s="17"/>
      <x:c r="W520" s="17"/>
      <x:c r="X520" s="17"/>
      <x:c r="Y520" s="17"/>
      <x:c r="Z520" s="17"/>
    </x:row>
    <x:row r="521">
      <x:c r="A521" s="17"/>
      <x:c r="B521" s="17"/>
      <x:c r="C521" s="17"/>
      <x:c r="D521" s="17"/>
      <x:c r="E521" s="17"/>
      <x:c r="F521" s="17"/>
      <x:c r="G521" s="17"/>
      <x:c r="H521" s="17"/>
      <x:c r="I521" s="17"/>
      <x:c r="J521" s="17"/>
      <x:c r="K521" s="17"/>
      <x:c r="L521" s="17"/>
      <x:c r="M521" s="17"/>
      <x:c r="N521" s="17"/>
      <x:c r="O521" s="17"/>
      <x:c r="P521" s="17"/>
      <x:c r="Q521" s="17"/>
      <x:c r="R521" s="17"/>
      <x:c r="S521" s="17"/>
      <x:c r="T521" s="17"/>
      <x:c r="U521" s="17"/>
      <x:c r="V521" s="17"/>
      <x:c r="W521" s="17"/>
      <x:c r="X521" s="17"/>
      <x:c r="Y521" s="17"/>
      <x:c r="Z521" s="17"/>
    </x:row>
    <x:row r="522">
      <x:c r="A522" s="17"/>
      <x:c r="B522" s="17"/>
      <x:c r="C522" s="17"/>
      <x:c r="D522" s="17"/>
      <x:c r="E522" s="17"/>
      <x:c r="F522" s="17"/>
      <x:c r="G522" s="17"/>
      <x:c r="H522" s="17"/>
      <x:c r="I522" s="17"/>
      <x:c r="J522" s="17"/>
      <x:c r="K522" s="17"/>
      <x:c r="L522" s="17"/>
      <x:c r="M522" s="17"/>
      <x:c r="N522" s="17"/>
      <x:c r="O522" s="17"/>
      <x:c r="P522" s="17"/>
      <x:c r="Q522" s="17"/>
      <x:c r="R522" s="17"/>
      <x:c r="S522" s="17"/>
      <x:c r="T522" s="17"/>
      <x:c r="U522" s="17"/>
      <x:c r="V522" s="17"/>
      <x:c r="W522" s="17"/>
      <x:c r="X522" s="17"/>
      <x:c r="Y522" s="17"/>
      <x:c r="Z522" s="17"/>
    </x:row>
    <x:row r="523">
      <x:c r="A523" s="17"/>
      <x:c r="B523" s="17"/>
      <x:c r="C523" s="17"/>
      <x:c r="D523" s="17"/>
      <x:c r="E523" s="17"/>
      <x:c r="F523" s="17"/>
      <x:c r="G523" s="17"/>
      <x:c r="H523" s="17"/>
      <x:c r="I523" s="17"/>
      <x:c r="J523" s="17"/>
      <x:c r="K523" s="17"/>
      <x:c r="L523" s="17"/>
      <x:c r="M523" s="17"/>
      <x:c r="N523" s="17"/>
      <x:c r="O523" s="17"/>
      <x:c r="P523" s="17"/>
      <x:c r="Q523" s="17"/>
      <x:c r="R523" s="17"/>
      <x:c r="S523" s="17"/>
      <x:c r="T523" s="17"/>
      <x:c r="U523" s="17"/>
      <x:c r="V523" s="17"/>
      <x:c r="W523" s="17"/>
      <x:c r="X523" s="17"/>
      <x:c r="Y523" s="17"/>
      <x:c r="Z523" s="17"/>
    </x:row>
    <x:row r="524">
      <x:c r="A524" s="17"/>
      <x:c r="B524" s="17"/>
      <x:c r="C524" s="17"/>
      <x:c r="D524" s="17"/>
      <x:c r="E524" s="17"/>
      <x:c r="F524" s="17"/>
      <x:c r="G524" s="17"/>
      <x:c r="H524" s="17"/>
      <x:c r="I524" s="17"/>
      <x:c r="J524" s="17"/>
      <x:c r="K524" s="17"/>
      <x:c r="L524" s="17"/>
      <x:c r="M524" s="17"/>
      <x:c r="N524" s="17"/>
      <x:c r="O524" s="17"/>
      <x:c r="P524" s="17"/>
      <x:c r="Q524" s="17"/>
      <x:c r="R524" s="17"/>
      <x:c r="S524" s="17"/>
      <x:c r="T524" s="17"/>
      <x:c r="U524" s="17"/>
      <x:c r="V524" s="17"/>
      <x:c r="W524" s="17"/>
      <x:c r="X524" s="17"/>
      <x:c r="Y524" s="17"/>
      <x:c r="Z524" s="17"/>
    </x:row>
    <x:row r="525">
      <x:c r="A525" s="17"/>
      <x:c r="B525" s="17"/>
      <x:c r="C525" s="17"/>
      <x:c r="D525" s="17"/>
      <x:c r="E525" s="17"/>
      <x:c r="F525" s="17"/>
      <x:c r="G525" s="17"/>
      <x:c r="H525" s="17"/>
      <x:c r="I525" s="17"/>
      <x:c r="J525" s="17"/>
      <x:c r="K525" s="17"/>
      <x:c r="L525" s="17"/>
      <x:c r="M525" s="17"/>
      <x:c r="N525" s="17"/>
      <x:c r="O525" s="17"/>
      <x:c r="P525" s="17"/>
      <x:c r="Q525" s="17"/>
      <x:c r="R525" s="17"/>
      <x:c r="S525" s="17"/>
      <x:c r="T525" s="17"/>
      <x:c r="U525" s="17"/>
      <x:c r="V525" s="17"/>
      <x:c r="W525" s="17"/>
      <x:c r="X525" s="17"/>
      <x:c r="Y525" s="17"/>
      <x:c r="Z525" s="17"/>
    </x:row>
    <x:row r="526">
      <x:c r="A526" s="17"/>
      <x:c r="B526" s="17"/>
      <x:c r="C526" s="17"/>
      <x:c r="D526" s="17"/>
      <x:c r="E526" s="17"/>
      <x:c r="F526" s="17"/>
      <x:c r="G526" s="17"/>
      <x:c r="H526" s="17"/>
      <x:c r="I526" s="17"/>
      <x:c r="J526" s="17"/>
      <x:c r="K526" s="17"/>
      <x:c r="L526" s="17"/>
      <x:c r="M526" s="17"/>
      <x:c r="N526" s="17"/>
      <x:c r="O526" s="17"/>
      <x:c r="P526" s="17"/>
      <x:c r="Q526" s="17"/>
      <x:c r="R526" s="17"/>
      <x:c r="S526" s="17"/>
      <x:c r="T526" s="17"/>
      <x:c r="U526" s="17"/>
      <x:c r="V526" s="17"/>
      <x:c r="W526" s="17"/>
      <x:c r="X526" s="17"/>
      <x:c r="Y526" s="17"/>
      <x:c r="Z526" s="17"/>
    </x:row>
    <x:row r="527">
      <x:c r="A527" s="17"/>
      <x:c r="B527" s="17"/>
      <x:c r="C527" s="17"/>
      <x:c r="D527" s="17"/>
      <x:c r="E527" s="17"/>
      <x:c r="F527" s="17"/>
      <x:c r="G527" s="17"/>
      <x:c r="H527" s="17"/>
      <x:c r="I527" s="17"/>
      <x:c r="J527" s="17"/>
      <x:c r="K527" s="17"/>
      <x:c r="L527" s="17"/>
      <x:c r="M527" s="17"/>
      <x:c r="N527" s="17"/>
      <x:c r="O527" s="17"/>
      <x:c r="P527" s="17"/>
      <x:c r="Q527" s="17"/>
      <x:c r="R527" s="17"/>
      <x:c r="S527" s="17"/>
      <x:c r="T527" s="17"/>
      <x:c r="U527" s="17"/>
      <x:c r="V527" s="17"/>
      <x:c r="W527" s="17"/>
      <x:c r="X527" s="17"/>
      <x:c r="Y527" s="17"/>
      <x:c r="Z527" s="17"/>
    </x:row>
    <x:row r="528">
      <x:c r="A528" s="17"/>
      <x:c r="B528" s="17"/>
      <x:c r="C528" s="17"/>
      <x:c r="D528" s="17"/>
      <x:c r="E528" s="17"/>
      <x:c r="F528" s="17"/>
      <x:c r="G528" s="17"/>
      <x:c r="H528" s="17"/>
      <x:c r="I528" s="17"/>
      <x:c r="J528" s="17"/>
      <x:c r="K528" s="17"/>
      <x:c r="L528" s="17"/>
      <x:c r="M528" s="17"/>
      <x:c r="N528" s="17"/>
      <x:c r="O528" s="17"/>
      <x:c r="P528" s="17"/>
      <x:c r="Q528" s="17"/>
      <x:c r="R528" s="17"/>
      <x:c r="S528" s="17"/>
      <x:c r="T528" s="17"/>
      <x:c r="U528" s="17"/>
      <x:c r="V528" s="17"/>
      <x:c r="W528" s="17"/>
      <x:c r="X528" s="17"/>
      <x:c r="Y528" s="17"/>
      <x:c r="Z528" s="17"/>
    </x:row>
    <x:row r="529">
      <x:c r="A529" s="17"/>
      <x:c r="B529" s="17"/>
      <x:c r="C529" s="17"/>
      <x:c r="D529" s="17"/>
      <x:c r="E529" s="17"/>
      <x:c r="F529" s="17"/>
      <x:c r="G529" s="17"/>
      <x:c r="H529" s="17"/>
      <x:c r="I529" s="17"/>
      <x:c r="J529" s="17"/>
      <x:c r="K529" s="17"/>
      <x:c r="L529" s="17"/>
      <x:c r="M529" s="17"/>
      <x:c r="N529" s="17"/>
      <x:c r="O529" s="17"/>
      <x:c r="P529" s="17"/>
      <x:c r="Q529" s="17"/>
      <x:c r="R529" s="17"/>
      <x:c r="S529" s="17"/>
      <x:c r="T529" s="17"/>
      <x:c r="U529" s="17"/>
      <x:c r="V529" s="17"/>
      <x:c r="W529" s="17"/>
      <x:c r="X529" s="17"/>
      <x:c r="Y529" s="17"/>
      <x:c r="Z529" s="17"/>
    </x:row>
    <x:row r="530">
      <x:c r="A530" s="17"/>
      <x:c r="B530" s="17"/>
      <x:c r="C530" s="17"/>
      <x:c r="D530" s="17"/>
      <x:c r="E530" s="17"/>
      <x:c r="F530" s="17"/>
      <x:c r="G530" s="17"/>
      <x:c r="H530" s="17"/>
      <x:c r="I530" s="17"/>
      <x:c r="J530" s="17"/>
      <x:c r="K530" s="17"/>
      <x:c r="L530" s="17"/>
      <x:c r="M530" s="17"/>
      <x:c r="N530" s="17"/>
      <x:c r="O530" s="17"/>
      <x:c r="P530" s="17"/>
      <x:c r="Q530" s="17"/>
      <x:c r="R530" s="17"/>
      <x:c r="S530" s="17"/>
      <x:c r="T530" s="17"/>
      <x:c r="U530" s="17"/>
      <x:c r="V530" s="17"/>
      <x:c r="W530" s="17"/>
      <x:c r="X530" s="17"/>
      <x:c r="Y530" s="17"/>
      <x:c r="Z530" s="17"/>
    </x:row>
    <x:row r="531">
      <x:c r="A531" s="17"/>
      <x:c r="B531" s="17"/>
      <x:c r="C531" s="17"/>
      <x:c r="D531" s="17"/>
      <x:c r="E531" s="17"/>
      <x:c r="F531" s="17"/>
      <x:c r="G531" s="17"/>
      <x:c r="H531" s="17"/>
      <x:c r="I531" s="17"/>
      <x:c r="J531" s="17"/>
      <x:c r="K531" s="17"/>
      <x:c r="L531" s="17"/>
      <x:c r="M531" s="17"/>
      <x:c r="N531" s="17"/>
      <x:c r="O531" s="17"/>
      <x:c r="P531" s="17"/>
      <x:c r="Q531" s="17"/>
      <x:c r="R531" s="17"/>
      <x:c r="S531" s="17"/>
      <x:c r="T531" s="17"/>
      <x:c r="U531" s="17"/>
      <x:c r="V531" s="17"/>
      <x:c r="W531" s="17"/>
      <x:c r="X531" s="17"/>
      <x:c r="Y531" s="17"/>
      <x:c r="Z531" s="17"/>
    </x:row>
    <x:row r="532">
      <x:c r="A532" s="17"/>
      <x:c r="B532" s="17"/>
      <x:c r="C532" s="17"/>
      <x:c r="D532" s="17"/>
      <x:c r="E532" s="17"/>
      <x:c r="F532" s="17"/>
      <x:c r="G532" s="17"/>
      <x:c r="H532" s="17"/>
      <x:c r="I532" s="17"/>
      <x:c r="J532" s="17"/>
      <x:c r="K532" s="17"/>
      <x:c r="L532" s="17"/>
      <x:c r="M532" s="17"/>
      <x:c r="N532" s="17"/>
      <x:c r="O532" s="17"/>
      <x:c r="P532" s="17"/>
      <x:c r="Q532" s="17"/>
      <x:c r="R532" s="17"/>
      <x:c r="S532" s="17"/>
      <x:c r="T532" s="17"/>
      <x:c r="U532" s="17"/>
      <x:c r="V532" s="17"/>
      <x:c r="W532" s="17"/>
      <x:c r="X532" s="17"/>
      <x:c r="Y532" s="17"/>
      <x:c r="Z532" s="17"/>
    </x:row>
    <x:row r="533">
      <x:c r="A533" s="17"/>
      <x:c r="B533" s="17"/>
      <x:c r="C533" s="17"/>
      <x:c r="D533" s="17"/>
      <x:c r="E533" s="17"/>
      <x:c r="F533" s="17"/>
      <x:c r="G533" s="17"/>
      <x:c r="H533" s="17"/>
      <x:c r="I533" s="17"/>
      <x:c r="J533" s="17"/>
      <x:c r="K533" s="17"/>
      <x:c r="L533" s="17"/>
      <x:c r="M533" s="17"/>
      <x:c r="N533" s="17"/>
      <x:c r="O533" s="17"/>
      <x:c r="P533" s="17"/>
      <x:c r="Q533" s="17"/>
      <x:c r="R533" s="17"/>
      <x:c r="S533" s="17"/>
      <x:c r="T533" s="17"/>
      <x:c r="U533" s="17"/>
      <x:c r="V533" s="17"/>
      <x:c r="W533" s="17"/>
      <x:c r="X533" s="17"/>
      <x:c r="Y533" s="17"/>
      <x:c r="Z533" s="17"/>
    </x:row>
    <x:row r="534">
      <x:c r="A534" s="17"/>
      <x:c r="B534" s="17"/>
      <x:c r="C534" s="17"/>
      <x:c r="D534" s="17"/>
      <x:c r="E534" s="17"/>
      <x:c r="F534" s="17"/>
      <x:c r="G534" s="17"/>
      <x:c r="H534" s="17"/>
      <x:c r="I534" s="17"/>
      <x:c r="J534" s="17"/>
      <x:c r="K534" s="17"/>
      <x:c r="L534" s="17"/>
      <x:c r="M534" s="17"/>
      <x:c r="N534" s="17"/>
      <x:c r="O534" s="17"/>
      <x:c r="P534" s="17"/>
      <x:c r="Q534" s="17"/>
      <x:c r="R534" s="17"/>
      <x:c r="S534" s="17"/>
      <x:c r="T534" s="17"/>
      <x:c r="U534" s="17"/>
      <x:c r="V534" s="17"/>
      <x:c r="W534" s="17"/>
      <x:c r="X534" s="17"/>
      <x:c r="Y534" s="17"/>
      <x:c r="Z534" s="17"/>
    </x:row>
    <x:row r="535">
      <x:c r="A535" s="17"/>
      <x:c r="B535" s="17"/>
      <x:c r="C535" s="17"/>
      <x:c r="D535" s="17"/>
      <x:c r="E535" s="17"/>
      <x:c r="F535" s="17"/>
      <x:c r="G535" s="17"/>
      <x:c r="H535" s="17"/>
      <x:c r="I535" s="17"/>
      <x:c r="J535" s="17"/>
      <x:c r="K535" s="17"/>
      <x:c r="L535" s="17"/>
      <x:c r="M535" s="17"/>
      <x:c r="N535" s="17"/>
      <x:c r="O535" s="17"/>
      <x:c r="P535" s="17"/>
      <x:c r="Q535" s="17"/>
      <x:c r="R535" s="17"/>
      <x:c r="S535" s="17"/>
      <x:c r="T535" s="17"/>
      <x:c r="U535" s="17"/>
      <x:c r="V535" s="17"/>
      <x:c r="W535" s="17"/>
      <x:c r="X535" s="17"/>
      <x:c r="Y535" s="17"/>
      <x:c r="Z535" s="17"/>
    </x:row>
    <x:row r="536">
      <x:c r="A536" s="17"/>
      <x:c r="B536" s="17"/>
      <x:c r="C536" s="17"/>
      <x:c r="D536" s="17"/>
      <x:c r="E536" s="17"/>
      <x:c r="F536" s="17"/>
      <x:c r="G536" s="17"/>
      <x:c r="H536" s="17"/>
      <x:c r="I536" s="17"/>
      <x:c r="J536" s="17"/>
      <x:c r="K536" s="17"/>
      <x:c r="L536" s="17"/>
      <x:c r="M536" s="17"/>
      <x:c r="N536" s="17"/>
      <x:c r="O536" s="17"/>
      <x:c r="P536" s="17"/>
      <x:c r="Q536" s="17"/>
      <x:c r="R536" s="17"/>
      <x:c r="S536" s="17"/>
      <x:c r="T536" s="17"/>
      <x:c r="U536" s="17"/>
      <x:c r="V536" s="17"/>
      <x:c r="W536" s="17"/>
      <x:c r="X536" s="17"/>
      <x:c r="Y536" s="17"/>
      <x:c r="Z536" s="17"/>
    </x:row>
    <x:row r="537">
      <x:c r="A537" s="17"/>
      <x:c r="B537" s="17"/>
      <x:c r="C537" s="17"/>
      <x:c r="D537" s="17"/>
      <x:c r="E537" s="17"/>
      <x:c r="F537" s="17"/>
      <x:c r="G537" s="17"/>
      <x:c r="H537" s="17"/>
      <x:c r="I537" s="17"/>
      <x:c r="J537" s="17"/>
      <x:c r="K537" s="17"/>
      <x:c r="L537" s="17"/>
      <x:c r="M537" s="17"/>
      <x:c r="N537" s="17"/>
      <x:c r="O537" s="17"/>
      <x:c r="P537" s="17"/>
      <x:c r="Q537" s="17"/>
      <x:c r="R537" s="17"/>
      <x:c r="S537" s="17"/>
      <x:c r="T537" s="17"/>
      <x:c r="U537" s="17"/>
      <x:c r="V537" s="17"/>
      <x:c r="W537" s="17"/>
      <x:c r="X537" s="17"/>
      <x:c r="Y537" s="17"/>
      <x:c r="Z537" s="17"/>
    </x:row>
    <x:row r="538">
      <x:c r="A538" s="17"/>
      <x:c r="B538" s="17"/>
      <x:c r="C538" s="17"/>
      <x:c r="D538" s="17"/>
      <x:c r="E538" s="17"/>
      <x:c r="F538" s="17"/>
      <x:c r="G538" s="17"/>
      <x:c r="H538" s="17"/>
      <x:c r="I538" s="17"/>
      <x:c r="J538" s="17"/>
      <x:c r="K538" s="17"/>
      <x:c r="L538" s="17"/>
      <x:c r="M538" s="17"/>
      <x:c r="N538" s="17"/>
      <x:c r="O538" s="17"/>
      <x:c r="P538" s="17"/>
      <x:c r="Q538" s="17"/>
      <x:c r="R538" s="17"/>
      <x:c r="S538" s="17"/>
      <x:c r="T538" s="17"/>
      <x:c r="U538" s="17"/>
      <x:c r="V538" s="17"/>
      <x:c r="W538" s="17"/>
      <x:c r="X538" s="17"/>
      <x:c r="Y538" s="17"/>
      <x:c r="Z538" s="17"/>
    </x:row>
    <x:row r="539">
      <x:c r="A539" s="17"/>
      <x:c r="B539" s="17"/>
      <x:c r="C539" s="17"/>
      <x:c r="D539" s="17"/>
      <x:c r="E539" s="17"/>
      <x:c r="F539" s="17"/>
      <x:c r="G539" s="17"/>
      <x:c r="H539" s="17"/>
      <x:c r="I539" s="17"/>
      <x:c r="J539" s="17"/>
      <x:c r="K539" s="17"/>
      <x:c r="L539" s="17"/>
      <x:c r="M539" s="17"/>
      <x:c r="N539" s="17"/>
      <x:c r="O539" s="17"/>
      <x:c r="P539" s="17"/>
      <x:c r="Q539" s="17"/>
      <x:c r="R539" s="17"/>
      <x:c r="S539" s="17"/>
      <x:c r="T539" s="17"/>
      <x:c r="U539" s="17"/>
      <x:c r="V539" s="17"/>
      <x:c r="W539" s="17"/>
      <x:c r="X539" s="17"/>
      <x:c r="Y539" s="17"/>
      <x:c r="Z539" s="17"/>
    </x:row>
    <x:row r="540">
      <x:c r="A540" s="17"/>
      <x:c r="B540" s="17"/>
      <x:c r="C540" s="17"/>
      <x:c r="D540" s="17"/>
      <x:c r="E540" s="17"/>
      <x:c r="F540" s="17"/>
      <x:c r="G540" s="17"/>
      <x:c r="H540" s="17"/>
      <x:c r="I540" s="17"/>
      <x:c r="J540" s="17"/>
      <x:c r="K540" s="17"/>
      <x:c r="L540" s="17"/>
      <x:c r="M540" s="17"/>
      <x:c r="N540" s="17"/>
      <x:c r="O540" s="17"/>
      <x:c r="P540" s="17"/>
      <x:c r="Q540" s="17"/>
      <x:c r="R540" s="17"/>
      <x:c r="S540" s="17"/>
      <x:c r="T540" s="17"/>
      <x:c r="U540" s="17"/>
      <x:c r="V540" s="17"/>
      <x:c r="W540" s="17"/>
      <x:c r="X540" s="17"/>
      <x:c r="Y540" s="17"/>
      <x:c r="Z540" s="17"/>
    </x:row>
    <x:row r="541">
      <x:c r="A541" s="17"/>
      <x:c r="B541" s="17"/>
      <x:c r="C541" s="17"/>
      <x:c r="D541" s="17"/>
      <x:c r="E541" s="17"/>
      <x:c r="F541" s="17"/>
      <x:c r="G541" s="17"/>
      <x:c r="H541" s="17"/>
      <x:c r="I541" s="17"/>
      <x:c r="J541" s="17"/>
      <x:c r="K541" s="17"/>
      <x:c r="L541" s="17"/>
      <x:c r="M541" s="17"/>
      <x:c r="N541" s="17"/>
      <x:c r="O541" s="17"/>
      <x:c r="P541" s="17"/>
      <x:c r="Q541" s="17"/>
      <x:c r="R541" s="17"/>
      <x:c r="S541" s="17"/>
      <x:c r="T541" s="17"/>
      <x:c r="U541" s="17"/>
      <x:c r="V541" s="17"/>
      <x:c r="W541" s="17"/>
      <x:c r="X541" s="17"/>
      <x:c r="Y541" s="17"/>
      <x:c r="Z541" s="17"/>
    </x:row>
    <x:row r="542">
      <x:c r="A542" s="17"/>
      <x:c r="B542" s="17"/>
      <x:c r="C542" s="17"/>
      <x:c r="D542" s="17"/>
      <x:c r="E542" s="17"/>
      <x:c r="F542" s="17"/>
      <x:c r="G542" s="17"/>
      <x:c r="H542" s="17"/>
      <x:c r="I542" s="17"/>
      <x:c r="J542" s="17"/>
      <x:c r="K542" s="17"/>
      <x:c r="L542" s="17"/>
      <x:c r="M542" s="17"/>
      <x:c r="N542" s="17"/>
      <x:c r="O542" s="17"/>
      <x:c r="P542" s="17"/>
      <x:c r="Q542" s="17"/>
      <x:c r="R542" s="17"/>
      <x:c r="S542" s="17"/>
      <x:c r="T542" s="17"/>
      <x:c r="U542" s="17"/>
      <x:c r="V542" s="17"/>
      <x:c r="W542" s="17"/>
      <x:c r="X542" s="17"/>
      <x:c r="Y542" s="17"/>
      <x:c r="Z542" s="17"/>
    </x:row>
    <x:row r="543">
      <x:c r="A543" s="17"/>
      <x:c r="B543" s="17"/>
      <x:c r="C543" s="17"/>
      <x:c r="D543" s="17"/>
      <x:c r="E543" s="17"/>
      <x:c r="F543" s="17"/>
      <x:c r="G543" s="17"/>
      <x:c r="H543" s="17"/>
      <x:c r="I543" s="17"/>
      <x:c r="J543" s="17"/>
      <x:c r="K543" s="17"/>
      <x:c r="L543" s="17"/>
      <x:c r="M543" s="17"/>
      <x:c r="N543" s="17"/>
      <x:c r="O543" s="17"/>
      <x:c r="P543" s="17"/>
      <x:c r="Q543" s="17"/>
      <x:c r="R543" s="17"/>
      <x:c r="S543" s="17"/>
      <x:c r="T543" s="17"/>
      <x:c r="U543" s="17"/>
      <x:c r="V543" s="17"/>
      <x:c r="W543" s="17"/>
      <x:c r="X543" s="17"/>
      <x:c r="Y543" s="17"/>
      <x:c r="Z543" s="17"/>
    </x:row>
    <x:row r="544">
      <x:c r="A544" s="17"/>
      <x:c r="B544" s="17"/>
      <x:c r="C544" s="17"/>
      <x:c r="D544" s="17"/>
      <x:c r="E544" s="17"/>
      <x:c r="F544" s="17"/>
      <x:c r="G544" s="17"/>
      <x:c r="H544" s="17"/>
      <x:c r="I544" s="17"/>
      <x:c r="J544" s="17"/>
      <x:c r="K544" s="17"/>
      <x:c r="L544" s="17"/>
      <x:c r="M544" s="17"/>
      <x:c r="N544" s="17"/>
      <x:c r="O544" s="17"/>
      <x:c r="P544" s="17"/>
      <x:c r="Q544" s="17"/>
      <x:c r="R544" s="17"/>
      <x:c r="S544" s="17"/>
      <x:c r="T544" s="17"/>
      <x:c r="U544" s="17"/>
      <x:c r="V544" s="17"/>
      <x:c r="W544" s="17"/>
      <x:c r="X544" s="17"/>
      <x:c r="Y544" s="17"/>
      <x:c r="Z544" s="17"/>
    </x:row>
    <x:row r="545">
      <x:c r="A545" s="17"/>
      <x:c r="B545" s="17"/>
      <x:c r="C545" s="17"/>
      <x:c r="D545" s="17"/>
      <x:c r="E545" s="17"/>
      <x:c r="F545" s="17"/>
      <x:c r="G545" s="17"/>
      <x:c r="H545" s="17"/>
      <x:c r="I545" s="17"/>
      <x:c r="J545" s="17"/>
      <x:c r="K545" s="17"/>
      <x:c r="L545" s="17"/>
      <x:c r="M545" s="17"/>
      <x:c r="N545" s="17"/>
      <x:c r="O545" s="17"/>
      <x:c r="P545" s="17"/>
      <x:c r="Q545" s="17"/>
      <x:c r="R545" s="17"/>
      <x:c r="S545" s="17"/>
      <x:c r="T545" s="17"/>
      <x:c r="U545" s="17"/>
      <x:c r="V545" s="17"/>
      <x:c r="W545" s="17"/>
      <x:c r="X545" s="17"/>
      <x:c r="Y545" s="17"/>
      <x:c r="Z545" s="17"/>
    </x:row>
    <x:row r="546">
      <x:c r="A546" s="17"/>
      <x:c r="B546" s="17"/>
      <x:c r="C546" s="17"/>
      <x:c r="D546" s="17"/>
      <x:c r="E546" s="17"/>
      <x:c r="F546" s="17"/>
      <x:c r="G546" s="17"/>
      <x:c r="H546" s="17"/>
      <x:c r="I546" s="17"/>
      <x:c r="J546" s="17"/>
      <x:c r="K546" s="17"/>
      <x:c r="L546" s="17"/>
      <x:c r="M546" s="17"/>
      <x:c r="N546" s="17"/>
      <x:c r="O546" s="17"/>
      <x:c r="P546" s="17"/>
      <x:c r="Q546" s="17"/>
      <x:c r="R546" s="17"/>
      <x:c r="S546" s="17"/>
      <x:c r="T546" s="17"/>
      <x:c r="U546" s="17"/>
      <x:c r="V546" s="17"/>
      <x:c r="W546" s="17"/>
      <x:c r="X546" s="17"/>
      <x:c r="Y546" s="17"/>
      <x:c r="Z546" s="17"/>
    </x:row>
    <x:row r="547">
      <x:c r="A547" s="17"/>
      <x:c r="B547" s="17"/>
      <x:c r="C547" s="17"/>
      <x:c r="D547" s="17"/>
      <x:c r="E547" s="17"/>
      <x:c r="F547" s="17"/>
      <x:c r="G547" s="17"/>
      <x:c r="H547" s="17"/>
      <x:c r="I547" s="17"/>
      <x:c r="J547" s="17"/>
      <x:c r="K547" s="17"/>
      <x:c r="L547" s="17"/>
      <x:c r="M547" s="17"/>
      <x:c r="N547" s="17"/>
      <x:c r="O547" s="17"/>
      <x:c r="P547" s="17"/>
      <x:c r="Q547" s="17"/>
      <x:c r="R547" s="17"/>
      <x:c r="S547" s="17"/>
      <x:c r="T547" s="17"/>
      <x:c r="U547" s="17"/>
      <x:c r="V547" s="17"/>
      <x:c r="W547" s="17"/>
      <x:c r="X547" s="17"/>
      <x:c r="Y547" s="17"/>
      <x:c r="Z547" s="17"/>
    </x:row>
    <x:row r="548">
      <x:c r="A548" s="17"/>
      <x:c r="B548" s="17"/>
      <x:c r="C548" s="17"/>
      <x:c r="D548" s="17"/>
      <x:c r="E548" s="17"/>
      <x:c r="F548" s="17"/>
      <x:c r="G548" s="17"/>
      <x:c r="H548" s="17"/>
      <x:c r="I548" s="17"/>
      <x:c r="J548" s="17"/>
      <x:c r="K548" s="17"/>
      <x:c r="L548" s="17"/>
      <x:c r="M548" s="17"/>
      <x:c r="N548" s="17"/>
      <x:c r="O548" s="17"/>
      <x:c r="P548" s="17"/>
      <x:c r="Q548" s="17"/>
      <x:c r="R548" s="17"/>
      <x:c r="S548" s="17"/>
      <x:c r="T548" s="17"/>
      <x:c r="U548" s="17"/>
      <x:c r="V548" s="17"/>
      <x:c r="W548" s="17"/>
      <x:c r="X548" s="17"/>
      <x:c r="Y548" s="17"/>
      <x:c r="Z548" s="17"/>
    </x:row>
    <x:row r="549">
      <x:c r="A549" s="17"/>
      <x:c r="B549" s="17"/>
      <x:c r="C549" s="17"/>
      <x:c r="D549" s="17"/>
      <x:c r="E549" s="17"/>
      <x:c r="F549" s="17"/>
      <x:c r="G549" s="17"/>
      <x:c r="H549" s="17"/>
      <x:c r="I549" s="17"/>
      <x:c r="J549" s="17"/>
      <x:c r="K549" s="17"/>
      <x:c r="L549" s="17"/>
      <x:c r="M549" s="17"/>
      <x:c r="N549" s="17"/>
      <x:c r="O549" s="17"/>
      <x:c r="P549" s="17"/>
      <x:c r="Q549" s="17"/>
      <x:c r="R549" s="17"/>
      <x:c r="S549" s="17"/>
      <x:c r="T549" s="17"/>
      <x:c r="U549" s="17"/>
      <x:c r="V549" s="17"/>
      <x:c r="W549" s="17"/>
      <x:c r="X549" s="17"/>
      <x:c r="Y549" s="17"/>
      <x:c r="Z549" s="17"/>
    </x:row>
    <x:row r="550">
      <x:c r="A550" s="17"/>
      <x:c r="B550" s="17"/>
      <x:c r="C550" s="17"/>
      <x:c r="D550" s="17"/>
      <x:c r="E550" s="17"/>
      <x:c r="F550" s="17"/>
      <x:c r="G550" s="17"/>
      <x:c r="H550" s="17"/>
      <x:c r="I550" s="17"/>
      <x:c r="J550" s="17"/>
      <x:c r="K550" s="17"/>
      <x:c r="L550" s="17"/>
      <x:c r="M550" s="17"/>
      <x:c r="N550" s="17"/>
      <x:c r="O550" s="17"/>
      <x:c r="P550" s="17"/>
      <x:c r="Q550" s="17"/>
      <x:c r="R550" s="17"/>
      <x:c r="S550" s="17"/>
      <x:c r="T550" s="17"/>
      <x:c r="U550" s="17"/>
      <x:c r="V550" s="17"/>
      <x:c r="W550" s="17"/>
      <x:c r="X550" s="17"/>
      <x:c r="Y550" s="17"/>
      <x:c r="Z550" s="17"/>
    </x:row>
    <x:row r="551">
      <x:c r="A551" s="17"/>
      <x:c r="B551" s="17"/>
      <x:c r="C551" s="17"/>
      <x:c r="D551" s="17"/>
      <x:c r="E551" s="17"/>
      <x:c r="F551" s="17"/>
      <x:c r="G551" s="17"/>
      <x:c r="H551" s="17"/>
      <x:c r="I551" s="17"/>
      <x:c r="J551" s="17"/>
      <x:c r="K551" s="17"/>
      <x:c r="L551" s="17"/>
      <x:c r="M551" s="17"/>
      <x:c r="N551" s="17"/>
      <x:c r="O551" s="17"/>
      <x:c r="P551" s="17"/>
      <x:c r="Q551" s="17"/>
      <x:c r="R551" s="17"/>
      <x:c r="S551" s="17"/>
      <x:c r="T551" s="17"/>
      <x:c r="U551" s="17"/>
      <x:c r="V551" s="17"/>
      <x:c r="W551" s="17"/>
      <x:c r="X551" s="17"/>
      <x:c r="Y551" s="17"/>
      <x:c r="Z551" s="17"/>
    </x:row>
    <x:row r="552">
      <x:c r="A552" s="17"/>
      <x:c r="B552" s="17"/>
      <x:c r="C552" s="17"/>
      <x:c r="D552" s="17"/>
      <x:c r="E552" s="17"/>
      <x:c r="F552" s="17"/>
      <x:c r="G552" s="17"/>
      <x:c r="H552" s="17"/>
      <x:c r="I552" s="17"/>
      <x:c r="J552" s="17"/>
      <x:c r="K552" s="17"/>
      <x:c r="L552" s="17"/>
      <x:c r="M552" s="17"/>
      <x:c r="N552" s="17"/>
      <x:c r="O552" s="17"/>
      <x:c r="P552" s="17"/>
      <x:c r="Q552" s="17"/>
      <x:c r="R552" s="17"/>
      <x:c r="S552" s="17"/>
      <x:c r="T552" s="17"/>
      <x:c r="U552" s="17"/>
      <x:c r="V552" s="17"/>
      <x:c r="W552" s="17"/>
      <x:c r="X552" s="17"/>
      <x:c r="Y552" s="17"/>
      <x:c r="Z552" s="17"/>
    </x:row>
    <x:row r="553">
      <x:c r="A553" s="17"/>
      <x:c r="B553" s="17"/>
      <x:c r="C553" s="17"/>
      <x:c r="D553" s="17"/>
      <x:c r="E553" s="17"/>
      <x:c r="F553" s="17"/>
      <x:c r="G553" s="17"/>
      <x:c r="H553" s="17"/>
      <x:c r="I553" s="17"/>
      <x:c r="J553" s="17"/>
      <x:c r="K553" s="17"/>
      <x:c r="L553" s="17"/>
      <x:c r="M553" s="17"/>
      <x:c r="N553" s="17"/>
      <x:c r="O553" s="17"/>
      <x:c r="P553" s="17"/>
      <x:c r="Q553" s="17"/>
      <x:c r="R553" s="17"/>
      <x:c r="S553" s="17"/>
      <x:c r="T553" s="17"/>
      <x:c r="U553" s="17"/>
      <x:c r="V553" s="17"/>
      <x:c r="W553" s="17"/>
      <x:c r="X553" s="17"/>
      <x:c r="Y553" s="17"/>
      <x:c r="Z553" s="17"/>
    </x:row>
    <x:row r="554">
      <x:c r="A554" s="17"/>
      <x:c r="B554" s="17"/>
      <x:c r="C554" s="17"/>
      <x:c r="D554" s="17"/>
      <x:c r="E554" s="17"/>
      <x:c r="F554" s="17"/>
      <x:c r="G554" s="17"/>
      <x:c r="H554" s="17"/>
      <x:c r="I554" s="17"/>
      <x:c r="J554" s="17"/>
      <x:c r="K554" s="17"/>
      <x:c r="L554" s="17"/>
      <x:c r="M554" s="17"/>
      <x:c r="N554" s="17"/>
      <x:c r="O554" s="17"/>
      <x:c r="P554" s="17"/>
      <x:c r="Q554" s="17"/>
      <x:c r="R554" s="17"/>
      <x:c r="S554" s="17"/>
      <x:c r="T554" s="17"/>
      <x:c r="U554" s="17"/>
      <x:c r="V554" s="17"/>
      <x:c r="W554" s="17"/>
      <x:c r="X554" s="17"/>
      <x:c r="Y554" s="17"/>
      <x:c r="Z554" s="17"/>
    </x:row>
    <x:row r="555">
      <x:c r="A555" s="17"/>
      <x:c r="B555" s="17"/>
      <x:c r="C555" s="17"/>
      <x:c r="D555" s="17"/>
      <x:c r="E555" s="17"/>
      <x:c r="F555" s="17"/>
      <x:c r="G555" s="17"/>
      <x:c r="H555" s="17"/>
      <x:c r="I555" s="17"/>
      <x:c r="J555" s="17"/>
      <x:c r="K555" s="17"/>
      <x:c r="L555" s="17"/>
      <x:c r="M555" s="17"/>
      <x:c r="N555" s="17"/>
      <x:c r="O555" s="17"/>
      <x:c r="P555" s="17"/>
      <x:c r="Q555" s="17"/>
      <x:c r="R555" s="17"/>
      <x:c r="S555" s="17"/>
      <x:c r="T555" s="17"/>
      <x:c r="U555" s="17"/>
      <x:c r="V555" s="17"/>
      <x:c r="W555" s="17"/>
      <x:c r="X555" s="17"/>
      <x:c r="Y555" s="17"/>
      <x:c r="Z555" s="17"/>
    </x:row>
    <x:row r="556">
      <x:c r="A556" s="17"/>
      <x:c r="B556" s="17"/>
      <x:c r="C556" s="17"/>
      <x:c r="D556" s="17"/>
      <x:c r="E556" s="17"/>
      <x:c r="F556" s="17"/>
      <x:c r="G556" s="17"/>
      <x:c r="H556" s="17"/>
      <x:c r="I556" s="17"/>
      <x:c r="J556" s="17"/>
      <x:c r="K556" s="17"/>
      <x:c r="L556" s="17"/>
      <x:c r="M556" s="17"/>
      <x:c r="N556" s="17"/>
      <x:c r="O556" s="17"/>
      <x:c r="P556" s="17"/>
      <x:c r="Q556" s="17"/>
      <x:c r="R556" s="17"/>
      <x:c r="S556" s="17"/>
      <x:c r="T556" s="17"/>
      <x:c r="U556" s="17"/>
      <x:c r="V556" s="17"/>
      <x:c r="W556" s="17"/>
      <x:c r="X556" s="17"/>
      <x:c r="Y556" s="17"/>
      <x:c r="Z556" s="17"/>
    </x:row>
    <x:row r="557">
      <x:c r="A557" s="17"/>
      <x:c r="B557" s="17"/>
      <x:c r="C557" s="17"/>
      <x:c r="D557" s="17"/>
      <x:c r="E557" s="17"/>
      <x:c r="F557" s="17"/>
      <x:c r="G557" s="17"/>
      <x:c r="H557" s="17"/>
      <x:c r="I557" s="17"/>
      <x:c r="J557" s="17"/>
      <x:c r="K557" s="17"/>
      <x:c r="L557" s="17"/>
      <x:c r="M557" s="17"/>
      <x:c r="N557" s="17"/>
      <x:c r="O557" s="17"/>
      <x:c r="P557" s="17"/>
      <x:c r="Q557" s="17"/>
      <x:c r="R557" s="17"/>
      <x:c r="S557" s="17"/>
      <x:c r="T557" s="17"/>
      <x:c r="U557" s="17"/>
      <x:c r="V557" s="17"/>
      <x:c r="W557" s="17"/>
      <x:c r="X557" s="17"/>
      <x:c r="Y557" s="17"/>
      <x:c r="Z557" s="17"/>
    </x:row>
    <x:row r="558">
      <x:c r="A558" s="17"/>
      <x:c r="B558" s="17"/>
      <x:c r="C558" s="17"/>
      <x:c r="D558" s="17"/>
      <x:c r="E558" s="17"/>
      <x:c r="F558" s="17"/>
      <x:c r="G558" s="17"/>
      <x:c r="H558" s="17"/>
      <x:c r="I558" s="17"/>
      <x:c r="J558" s="17"/>
      <x:c r="K558" s="17"/>
      <x:c r="L558" s="17"/>
      <x:c r="M558" s="17"/>
      <x:c r="N558" s="17"/>
      <x:c r="O558" s="17"/>
      <x:c r="P558" s="17"/>
      <x:c r="Q558" s="17"/>
      <x:c r="R558" s="17"/>
      <x:c r="S558" s="17"/>
      <x:c r="T558" s="17"/>
      <x:c r="U558" s="17"/>
      <x:c r="V558" s="17"/>
      <x:c r="W558" s="17"/>
      <x:c r="X558" s="17"/>
      <x:c r="Y558" s="17"/>
      <x:c r="Z558" s="17"/>
    </x:row>
    <x:row r="559">
      <x:c r="A559" s="17"/>
      <x:c r="B559" s="17"/>
      <x:c r="C559" s="17"/>
      <x:c r="D559" s="17"/>
      <x:c r="E559" s="17"/>
      <x:c r="F559" s="17"/>
      <x:c r="G559" s="17"/>
      <x:c r="H559" s="17"/>
      <x:c r="I559" s="17"/>
      <x:c r="J559" s="17"/>
      <x:c r="K559" s="17"/>
      <x:c r="L559" s="17"/>
      <x:c r="M559" s="17"/>
      <x:c r="N559" s="17"/>
      <x:c r="O559" s="17"/>
      <x:c r="P559" s="17"/>
      <x:c r="Q559" s="17"/>
      <x:c r="R559" s="17"/>
      <x:c r="S559" s="17"/>
      <x:c r="T559" s="17"/>
      <x:c r="U559" s="17"/>
      <x:c r="V559" s="17"/>
      <x:c r="W559" s="17"/>
      <x:c r="X559" s="17"/>
      <x:c r="Y559" s="17"/>
      <x:c r="Z559" s="17"/>
    </x:row>
    <x:row r="560">
      <x:c r="A560" s="17"/>
      <x:c r="B560" s="17"/>
      <x:c r="C560" s="17"/>
      <x:c r="D560" s="17"/>
      <x:c r="E560" s="17"/>
      <x:c r="F560" s="17"/>
      <x:c r="G560" s="17"/>
      <x:c r="H560" s="17"/>
      <x:c r="I560" s="17"/>
      <x:c r="J560" s="17"/>
      <x:c r="K560" s="17"/>
      <x:c r="L560" s="17"/>
      <x:c r="M560" s="17"/>
      <x:c r="N560" s="17"/>
      <x:c r="O560" s="17"/>
      <x:c r="P560" s="17"/>
      <x:c r="Q560" s="17"/>
      <x:c r="R560" s="17"/>
      <x:c r="S560" s="17"/>
      <x:c r="T560" s="17"/>
      <x:c r="U560" s="17"/>
      <x:c r="V560" s="17"/>
      <x:c r="W560" s="17"/>
      <x:c r="X560" s="17"/>
      <x:c r="Y560" s="17"/>
      <x:c r="Z560" s="17"/>
    </x:row>
    <x:row r="561">
      <x:c r="A561" s="17"/>
      <x:c r="B561" s="17"/>
      <x:c r="C561" s="17"/>
      <x:c r="D561" s="17"/>
      <x:c r="E561" s="17"/>
      <x:c r="F561" s="17"/>
      <x:c r="G561" s="17"/>
      <x:c r="H561" s="17"/>
      <x:c r="I561" s="17"/>
      <x:c r="J561" s="17"/>
      <x:c r="K561" s="17"/>
      <x:c r="L561" s="17"/>
      <x:c r="M561" s="17"/>
      <x:c r="N561" s="17"/>
      <x:c r="O561" s="17"/>
      <x:c r="P561" s="17"/>
      <x:c r="Q561" s="17"/>
      <x:c r="R561" s="17"/>
      <x:c r="S561" s="17"/>
      <x:c r="T561" s="17"/>
      <x:c r="U561" s="17"/>
      <x:c r="V561" s="17"/>
      <x:c r="W561" s="17"/>
      <x:c r="X561" s="17"/>
      <x:c r="Y561" s="17"/>
      <x:c r="Z561" s="17"/>
    </x:row>
    <x:row r="562">
      <x:c r="A562" s="17"/>
      <x:c r="B562" s="17"/>
      <x:c r="C562" s="17"/>
      <x:c r="D562" s="17"/>
      <x:c r="E562" s="17"/>
      <x:c r="F562" s="17"/>
      <x:c r="G562" s="17"/>
      <x:c r="H562" s="17"/>
      <x:c r="I562" s="17"/>
      <x:c r="J562" s="17"/>
      <x:c r="K562" s="17"/>
      <x:c r="L562" s="17"/>
      <x:c r="M562" s="17"/>
      <x:c r="N562" s="17"/>
      <x:c r="O562" s="17"/>
      <x:c r="P562" s="17"/>
      <x:c r="Q562" s="17"/>
      <x:c r="R562" s="17"/>
      <x:c r="S562" s="17"/>
      <x:c r="T562" s="17"/>
      <x:c r="U562" s="17"/>
      <x:c r="V562" s="17"/>
      <x:c r="W562" s="17"/>
      <x:c r="X562" s="17"/>
      <x:c r="Y562" s="17"/>
      <x:c r="Z562" s="17"/>
    </x:row>
    <x:row r="563">
      <x:c r="A563" s="17"/>
      <x:c r="B563" s="17"/>
      <x:c r="C563" s="17"/>
      <x:c r="D563" s="17"/>
      <x:c r="E563" s="17"/>
      <x:c r="F563" s="17"/>
      <x:c r="G563" s="17"/>
      <x:c r="H563" s="17"/>
      <x:c r="I563" s="17"/>
      <x:c r="J563" s="17"/>
      <x:c r="K563" s="17"/>
      <x:c r="L563" s="17"/>
      <x:c r="M563" s="17"/>
      <x:c r="N563" s="17"/>
      <x:c r="O563" s="17"/>
      <x:c r="P563" s="17"/>
      <x:c r="Q563" s="17"/>
      <x:c r="R563" s="17"/>
      <x:c r="S563" s="17"/>
      <x:c r="T563" s="17"/>
      <x:c r="U563" s="17"/>
      <x:c r="V563" s="17"/>
      <x:c r="W563" s="17"/>
      <x:c r="X563" s="17"/>
      <x:c r="Y563" s="17"/>
      <x:c r="Z563" s="17"/>
    </x:row>
    <x:row r="564">
      <x:c r="A564" s="17"/>
      <x:c r="B564" s="17"/>
      <x:c r="C564" s="17"/>
      <x:c r="D564" s="17"/>
      <x:c r="E564" s="17"/>
      <x:c r="F564" s="17"/>
      <x:c r="G564" s="17"/>
      <x:c r="H564" s="17"/>
      <x:c r="I564" s="17"/>
      <x:c r="J564" s="17"/>
      <x:c r="K564" s="17"/>
      <x:c r="L564" s="17"/>
      <x:c r="M564" s="17"/>
      <x:c r="N564" s="17"/>
      <x:c r="O564" s="17"/>
      <x:c r="P564" s="17"/>
      <x:c r="Q564" s="17"/>
      <x:c r="R564" s="17"/>
      <x:c r="S564" s="17"/>
      <x:c r="T564" s="17"/>
      <x:c r="U564" s="17"/>
      <x:c r="V564" s="17"/>
      <x:c r="W564" s="17"/>
      <x:c r="X564" s="17"/>
      <x:c r="Y564" s="17"/>
      <x:c r="Z564" s="17"/>
    </x:row>
    <x:row r="565">
      <x:c r="A565" s="17"/>
      <x:c r="B565" s="17"/>
      <x:c r="C565" s="17"/>
      <x:c r="D565" s="17"/>
      <x:c r="E565" s="17"/>
      <x:c r="F565" s="17"/>
      <x:c r="G565" s="17"/>
      <x:c r="H565" s="17"/>
      <x:c r="I565" s="17"/>
      <x:c r="J565" s="17"/>
      <x:c r="K565" s="17"/>
      <x:c r="L565" s="17"/>
      <x:c r="M565" s="17"/>
      <x:c r="N565" s="17"/>
      <x:c r="O565" s="17"/>
      <x:c r="P565" s="17"/>
      <x:c r="Q565" s="17"/>
      <x:c r="R565" s="17"/>
      <x:c r="S565" s="17"/>
      <x:c r="T565" s="17"/>
      <x:c r="U565" s="17"/>
      <x:c r="V565" s="17"/>
      <x:c r="W565" s="17"/>
      <x:c r="X565" s="17"/>
      <x:c r="Y565" s="17"/>
      <x:c r="Z565" s="17"/>
    </x:row>
    <x:row r="566">
      <x:c r="A566" s="17"/>
      <x:c r="B566" s="17"/>
      <x:c r="C566" s="17"/>
      <x:c r="D566" s="17"/>
      <x:c r="E566" s="17"/>
      <x:c r="F566" s="17"/>
      <x:c r="G566" s="17"/>
      <x:c r="H566" s="17"/>
      <x:c r="I566" s="17"/>
      <x:c r="J566" s="17"/>
      <x:c r="K566" s="17"/>
      <x:c r="L566" s="17"/>
      <x:c r="M566" s="17"/>
      <x:c r="N566" s="17"/>
      <x:c r="O566" s="17"/>
      <x:c r="P566" s="17"/>
      <x:c r="Q566" s="17"/>
      <x:c r="R566" s="17"/>
      <x:c r="S566" s="17"/>
      <x:c r="T566" s="17"/>
      <x:c r="U566" s="17"/>
      <x:c r="V566" s="17"/>
      <x:c r="W566" s="17"/>
      <x:c r="X566" s="17"/>
      <x:c r="Y566" s="17"/>
      <x:c r="Z566" s="17"/>
    </x:row>
    <x:row r="567">
      <x:c r="A567" s="17"/>
      <x:c r="B567" s="17"/>
      <x:c r="C567" s="17"/>
      <x:c r="D567" s="17"/>
      <x:c r="E567" s="17"/>
      <x:c r="F567" s="17"/>
      <x:c r="G567" s="17"/>
      <x:c r="H567" s="17"/>
      <x:c r="I567" s="17"/>
      <x:c r="J567" s="17"/>
      <x:c r="K567" s="17"/>
      <x:c r="L567" s="17"/>
      <x:c r="M567" s="17"/>
      <x:c r="N567" s="17"/>
      <x:c r="O567" s="17"/>
      <x:c r="P567" s="17"/>
      <x:c r="Q567" s="17"/>
      <x:c r="R567" s="17"/>
      <x:c r="S567" s="17"/>
      <x:c r="T567" s="17"/>
      <x:c r="U567" s="17"/>
      <x:c r="V567" s="17"/>
      <x:c r="W567" s="17"/>
      <x:c r="X567" s="17"/>
      <x:c r="Y567" s="17"/>
      <x:c r="Z567" s="17"/>
    </x:row>
    <x:row r="568">
      <x:c r="A568" s="17"/>
      <x:c r="B568" s="17"/>
      <x:c r="C568" s="17"/>
      <x:c r="D568" s="17"/>
      <x:c r="E568" s="17"/>
      <x:c r="F568" s="17"/>
      <x:c r="G568" s="17"/>
      <x:c r="H568" s="17"/>
      <x:c r="I568" s="17"/>
      <x:c r="J568" s="17"/>
      <x:c r="K568" s="17"/>
      <x:c r="L568" s="17"/>
      <x:c r="M568" s="17"/>
      <x:c r="N568" s="17"/>
      <x:c r="O568" s="17"/>
      <x:c r="P568" s="17"/>
      <x:c r="Q568" s="17"/>
      <x:c r="R568" s="17"/>
      <x:c r="S568" s="17"/>
      <x:c r="T568" s="17"/>
      <x:c r="U568" s="17"/>
      <x:c r="V568" s="17"/>
      <x:c r="W568" s="17"/>
      <x:c r="X568" s="17"/>
      <x:c r="Y568" s="17"/>
      <x:c r="Z568" s="17"/>
    </x:row>
    <x:row r="569">
      <x:c r="A569" s="17"/>
      <x:c r="B569" s="17"/>
      <x:c r="C569" s="17"/>
      <x:c r="D569" s="17"/>
      <x:c r="E569" s="17"/>
      <x:c r="F569" s="17"/>
      <x:c r="G569" s="17"/>
      <x:c r="H569" s="17"/>
      <x:c r="I569" s="17"/>
      <x:c r="J569" s="17"/>
      <x:c r="K569" s="17"/>
      <x:c r="L569" s="17"/>
      <x:c r="M569" s="17"/>
      <x:c r="N569" s="17"/>
      <x:c r="O569" s="17"/>
      <x:c r="P569" s="17"/>
      <x:c r="Q569" s="17"/>
      <x:c r="R569" s="17"/>
      <x:c r="S569" s="17"/>
      <x:c r="T569" s="17"/>
      <x:c r="U569" s="17"/>
      <x:c r="V569" s="17"/>
      <x:c r="W569" s="17"/>
      <x:c r="X569" s="17"/>
      <x:c r="Y569" s="17"/>
      <x:c r="Z569" s="17"/>
    </x:row>
    <x:row r="570">
      <x:c r="A570" s="17"/>
      <x:c r="B570" s="17"/>
      <x:c r="C570" s="17"/>
      <x:c r="D570" s="17"/>
      <x:c r="E570" s="17"/>
      <x:c r="F570" s="17"/>
      <x:c r="G570" s="17"/>
      <x:c r="H570" s="17"/>
      <x:c r="I570" s="17"/>
      <x:c r="J570" s="17"/>
      <x:c r="K570" s="17"/>
      <x:c r="L570" s="17"/>
      <x:c r="M570" s="17"/>
      <x:c r="N570" s="17"/>
      <x:c r="O570" s="17"/>
      <x:c r="P570" s="17"/>
      <x:c r="Q570" s="17"/>
      <x:c r="R570" s="17"/>
      <x:c r="S570" s="17"/>
      <x:c r="T570" s="17"/>
      <x:c r="U570" s="17"/>
      <x:c r="V570" s="17"/>
      <x:c r="W570" s="17"/>
      <x:c r="X570" s="17"/>
      <x:c r="Y570" s="17"/>
      <x:c r="Z570" s="17"/>
    </x:row>
    <x:row r="571">
      <x:c r="A571" s="17"/>
      <x:c r="B571" s="17"/>
      <x:c r="C571" s="17"/>
      <x:c r="D571" s="17"/>
      <x:c r="E571" s="17"/>
      <x:c r="F571" s="17"/>
      <x:c r="G571" s="17"/>
      <x:c r="H571" s="17"/>
      <x:c r="I571" s="17"/>
      <x:c r="J571" s="17"/>
      <x:c r="K571" s="17"/>
      <x:c r="L571" s="17"/>
      <x:c r="M571" s="17"/>
      <x:c r="N571" s="17"/>
      <x:c r="O571" s="17"/>
      <x:c r="P571" s="17"/>
      <x:c r="Q571" s="17"/>
      <x:c r="R571" s="17"/>
      <x:c r="S571" s="17"/>
      <x:c r="T571" s="17"/>
      <x:c r="U571" s="17"/>
      <x:c r="V571" s="17"/>
      <x:c r="W571" s="17"/>
      <x:c r="X571" s="17"/>
      <x:c r="Y571" s="17"/>
      <x:c r="Z571" s="17"/>
    </x:row>
    <x:row r="572">
      <x:c r="A572" s="17"/>
      <x:c r="B572" s="17"/>
      <x:c r="C572" s="17"/>
      <x:c r="D572" s="17"/>
      <x:c r="E572" s="17"/>
      <x:c r="F572" s="17"/>
      <x:c r="G572" s="17"/>
      <x:c r="H572" s="17"/>
      <x:c r="I572" s="17"/>
      <x:c r="J572" s="17"/>
      <x:c r="K572" s="17"/>
      <x:c r="L572" s="17"/>
      <x:c r="M572" s="17"/>
      <x:c r="N572" s="17"/>
      <x:c r="O572" s="17"/>
      <x:c r="P572" s="17"/>
      <x:c r="Q572" s="17"/>
      <x:c r="R572" s="17"/>
      <x:c r="S572" s="17"/>
      <x:c r="T572" s="17"/>
      <x:c r="U572" s="17"/>
      <x:c r="V572" s="17"/>
      <x:c r="W572" s="17"/>
      <x:c r="X572" s="17"/>
      <x:c r="Y572" s="17"/>
      <x:c r="Z572" s="17"/>
    </x:row>
    <x:row r="573">
      <x:c r="A573" s="17"/>
      <x:c r="B573" s="17"/>
      <x:c r="C573" s="17"/>
      <x:c r="D573" s="17"/>
      <x:c r="E573" s="17"/>
      <x:c r="F573" s="17"/>
      <x:c r="G573" s="17"/>
      <x:c r="H573" s="17"/>
      <x:c r="I573" s="17"/>
      <x:c r="J573" s="17"/>
      <x:c r="K573" s="17"/>
      <x:c r="L573" s="17"/>
      <x:c r="M573" s="17"/>
      <x:c r="N573" s="17"/>
      <x:c r="O573" s="17"/>
      <x:c r="P573" s="17"/>
      <x:c r="Q573" s="17"/>
      <x:c r="R573" s="17"/>
      <x:c r="S573" s="17"/>
      <x:c r="T573" s="17"/>
      <x:c r="U573" s="17"/>
      <x:c r="V573" s="17"/>
      <x:c r="W573" s="17"/>
      <x:c r="X573" s="17"/>
      <x:c r="Y573" s="17"/>
      <x:c r="Z573" s="17"/>
    </x:row>
    <x:row r="574">
      <x:c r="A574" s="17"/>
      <x:c r="B574" s="17"/>
      <x:c r="C574" s="17"/>
      <x:c r="D574" s="17"/>
      <x:c r="E574" s="17"/>
      <x:c r="F574" s="17"/>
      <x:c r="G574" s="17"/>
      <x:c r="H574" s="17"/>
      <x:c r="I574" s="17"/>
      <x:c r="J574" s="17"/>
      <x:c r="K574" s="17"/>
      <x:c r="L574" s="17"/>
      <x:c r="M574" s="17"/>
      <x:c r="N574" s="17"/>
      <x:c r="O574" s="17"/>
      <x:c r="P574" s="17"/>
      <x:c r="Q574" s="17"/>
      <x:c r="R574" s="17"/>
      <x:c r="S574" s="17"/>
      <x:c r="T574" s="17"/>
      <x:c r="U574" s="17"/>
      <x:c r="V574" s="17"/>
      <x:c r="W574" s="17"/>
      <x:c r="X574" s="17"/>
      <x:c r="Y574" s="17"/>
      <x:c r="Z574" s="17"/>
    </x:row>
    <x:row r="575">
      <x:c r="A575" s="17"/>
      <x:c r="B575" s="17"/>
      <x:c r="C575" s="17"/>
      <x:c r="D575" s="17"/>
      <x:c r="E575" s="17"/>
      <x:c r="F575" s="17"/>
      <x:c r="G575" s="17"/>
      <x:c r="H575" s="17"/>
      <x:c r="I575" s="17"/>
      <x:c r="J575" s="17"/>
      <x:c r="K575" s="17"/>
      <x:c r="L575" s="17"/>
      <x:c r="M575" s="17"/>
      <x:c r="N575" s="17"/>
      <x:c r="O575" s="17"/>
      <x:c r="P575" s="17"/>
      <x:c r="Q575" s="17"/>
      <x:c r="R575" s="17"/>
      <x:c r="S575" s="17"/>
      <x:c r="T575" s="17"/>
      <x:c r="U575" s="17"/>
      <x:c r="V575" s="17"/>
      <x:c r="W575" s="17"/>
      <x:c r="X575" s="17"/>
      <x:c r="Y575" s="17"/>
      <x:c r="Z575" s="17"/>
    </x:row>
    <x:row r="576">
      <x:c r="A576" s="17"/>
      <x:c r="B576" s="17"/>
      <x:c r="C576" s="17"/>
      <x:c r="D576" s="17"/>
      <x:c r="E576" s="17"/>
      <x:c r="F576" s="17"/>
      <x:c r="G576" s="17"/>
      <x:c r="H576" s="17"/>
      <x:c r="I576" s="17"/>
      <x:c r="J576" s="17"/>
      <x:c r="K576" s="17"/>
      <x:c r="L576" s="17"/>
      <x:c r="M576" s="17"/>
      <x:c r="N576" s="17"/>
      <x:c r="O576" s="17"/>
      <x:c r="P576" s="17"/>
      <x:c r="Q576" s="17"/>
      <x:c r="R576" s="17"/>
      <x:c r="S576" s="17"/>
      <x:c r="T576" s="17"/>
      <x:c r="U576" s="17"/>
      <x:c r="V576" s="17"/>
      <x:c r="W576" s="17"/>
      <x:c r="X576" s="17"/>
      <x:c r="Y576" s="17"/>
      <x:c r="Z576" s="17"/>
    </x:row>
    <x:row r="577">
      <x:c r="A577" s="17"/>
      <x:c r="B577" s="17"/>
      <x:c r="C577" s="17"/>
      <x:c r="D577" s="17"/>
      <x:c r="E577" s="17"/>
      <x:c r="F577" s="17"/>
      <x:c r="G577" s="17"/>
      <x:c r="H577" s="17"/>
      <x:c r="I577" s="17"/>
      <x:c r="J577" s="17"/>
      <x:c r="K577" s="17"/>
      <x:c r="L577" s="17"/>
      <x:c r="M577" s="17"/>
      <x:c r="N577" s="17"/>
      <x:c r="O577" s="17"/>
      <x:c r="P577" s="17"/>
      <x:c r="Q577" s="17"/>
      <x:c r="R577" s="17"/>
      <x:c r="S577" s="17"/>
      <x:c r="T577" s="17"/>
      <x:c r="U577" s="17"/>
      <x:c r="V577" s="17"/>
      <x:c r="W577" s="17"/>
      <x:c r="X577" s="17"/>
      <x:c r="Y577" s="17"/>
      <x:c r="Z577" s="17"/>
    </x:row>
    <x:row r="578">
      <x:c r="A578" s="17"/>
      <x:c r="B578" s="17"/>
      <x:c r="C578" s="17"/>
      <x:c r="D578" s="17"/>
      <x:c r="E578" s="17"/>
      <x:c r="F578" s="17"/>
      <x:c r="G578" s="17"/>
      <x:c r="H578" s="17"/>
      <x:c r="I578" s="17"/>
      <x:c r="J578" s="17"/>
      <x:c r="K578" s="17"/>
      <x:c r="L578" s="17"/>
      <x:c r="M578" s="17"/>
      <x:c r="N578" s="17"/>
      <x:c r="O578" s="17"/>
      <x:c r="P578" s="17"/>
      <x:c r="Q578" s="17"/>
      <x:c r="R578" s="17"/>
      <x:c r="S578" s="17"/>
      <x:c r="T578" s="17"/>
      <x:c r="U578" s="17"/>
      <x:c r="V578" s="17"/>
      <x:c r="W578" s="17"/>
      <x:c r="X578" s="17"/>
      <x:c r="Y578" s="17"/>
      <x:c r="Z578" s="17"/>
    </x:row>
    <x:row r="579">
      <x:c r="A579" s="17"/>
      <x:c r="B579" s="17"/>
      <x:c r="C579" s="17"/>
      <x:c r="D579" s="17"/>
      <x:c r="E579" s="17"/>
      <x:c r="F579" s="17"/>
      <x:c r="G579" s="17"/>
      <x:c r="H579" s="17"/>
      <x:c r="I579" s="17"/>
      <x:c r="J579" s="17"/>
      <x:c r="K579" s="17"/>
      <x:c r="L579" s="17"/>
      <x:c r="M579" s="17"/>
      <x:c r="N579" s="17"/>
      <x:c r="O579" s="17"/>
      <x:c r="P579" s="17"/>
      <x:c r="Q579" s="17"/>
      <x:c r="R579" s="17"/>
      <x:c r="S579" s="17"/>
      <x:c r="T579" s="17"/>
      <x:c r="U579" s="17"/>
      <x:c r="V579" s="17"/>
      <x:c r="W579" s="17"/>
      <x:c r="X579" s="17"/>
      <x:c r="Y579" s="17"/>
      <x:c r="Z579" s="17"/>
    </x:row>
    <x:row r="580">
      <x:c r="A580" s="17"/>
      <x:c r="B580" s="17"/>
      <x:c r="C580" s="17"/>
      <x:c r="D580" s="17"/>
      <x:c r="E580" s="17"/>
      <x:c r="F580" s="17"/>
      <x:c r="G580" s="17"/>
      <x:c r="H580" s="17"/>
      <x:c r="I580" s="17"/>
      <x:c r="J580" s="17"/>
      <x:c r="K580" s="17"/>
      <x:c r="L580" s="17"/>
      <x:c r="M580" s="17"/>
      <x:c r="N580" s="17"/>
      <x:c r="O580" s="17"/>
      <x:c r="P580" s="17"/>
      <x:c r="Q580" s="17"/>
      <x:c r="R580" s="17"/>
      <x:c r="S580" s="17"/>
      <x:c r="T580" s="17"/>
      <x:c r="U580" s="17"/>
      <x:c r="V580" s="17"/>
      <x:c r="W580" s="17"/>
      <x:c r="X580" s="17"/>
      <x:c r="Y580" s="17"/>
      <x:c r="Z580" s="17"/>
    </x:row>
    <x:row r="581">
      <x:c r="A581" s="17"/>
      <x:c r="B581" s="17"/>
      <x:c r="C581" s="17"/>
      <x:c r="D581" s="17"/>
      <x:c r="E581" s="17"/>
      <x:c r="F581" s="17"/>
      <x:c r="G581" s="17"/>
      <x:c r="H581" s="17"/>
      <x:c r="I581" s="17"/>
      <x:c r="J581" s="17"/>
      <x:c r="K581" s="17"/>
      <x:c r="L581" s="17"/>
      <x:c r="M581" s="17"/>
      <x:c r="N581" s="17"/>
      <x:c r="O581" s="17"/>
      <x:c r="P581" s="17"/>
      <x:c r="Q581" s="17"/>
      <x:c r="R581" s="17"/>
      <x:c r="S581" s="17"/>
      <x:c r="T581" s="17"/>
      <x:c r="U581" s="17"/>
      <x:c r="V581" s="17"/>
      <x:c r="W581" s="17"/>
      <x:c r="X581" s="17"/>
      <x:c r="Y581" s="17"/>
      <x:c r="Z581" s="17"/>
    </x:row>
    <x:row r="582">
      <x:c r="A582" s="17"/>
      <x:c r="B582" s="17"/>
      <x:c r="C582" s="17"/>
      <x:c r="D582" s="17"/>
      <x:c r="E582" s="17"/>
      <x:c r="F582" s="17"/>
      <x:c r="G582" s="17"/>
      <x:c r="H582" s="17"/>
      <x:c r="I582" s="17"/>
      <x:c r="J582" s="17"/>
      <x:c r="K582" s="17"/>
      <x:c r="L582" s="17"/>
      <x:c r="M582" s="17"/>
      <x:c r="N582" s="17"/>
      <x:c r="O582" s="17"/>
      <x:c r="P582" s="17"/>
      <x:c r="Q582" s="17"/>
      <x:c r="R582" s="17"/>
      <x:c r="S582" s="17"/>
      <x:c r="T582" s="17"/>
      <x:c r="U582" s="17"/>
      <x:c r="V582" s="17"/>
      <x:c r="W582" s="17"/>
      <x:c r="X582" s="17"/>
      <x:c r="Y582" s="17"/>
      <x:c r="Z582" s="17"/>
    </x:row>
    <x:row r="583">
      <x:c r="A583" s="17"/>
      <x:c r="B583" s="17"/>
      <x:c r="C583" s="17"/>
      <x:c r="D583" s="17"/>
      <x:c r="E583" s="17"/>
      <x:c r="F583" s="17"/>
      <x:c r="G583" s="17"/>
      <x:c r="H583" s="17"/>
      <x:c r="I583" s="17"/>
      <x:c r="J583" s="17"/>
      <x:c r="K583" s="17"/>
      <x:c r="L583" s="17"/>
      <x:c r="M583" s="17"/>
      <x:c r="N583" s="17"/>
      <x:c r="O583" s="17"/>
      <x:c r="P583" s="17"/>
      <x:c r="Q583" s="17"/>
      <x:c r="R583" s="17"/>
      <x:c r="S583" s="17"/>
      <x:c r="T583" s="17"/>
      <x:c r="U583" s="17"/>
      <x:c r="V583" s="17"/>
      <x:c r="W583" s="17"/>
      <x:c r="X583" s="17"/>
      <x:c r="Y583" s="17"/>
      <x:c r="Z583" s="17"/>
    </x:row>
    <x:row r="584">
      <x:c r="A584" s="17"/>
      <x:c r="B584" s="17"/>
      <x:c r="C584" s="17"/>
      <x:c r="D584" s="17"/>
      <x:c r="E584" s="17"/>
      <x:c r="F584" s="17"/>
      <x:c r="G584" s="17"/>
      <x:c r="H584" s="17"/>
      <x:c r="I584" s="17"/>
      <x:c r="J584" s="17"/>
      <x:c r="K584" s="17"/>
      <x:c r="L584" s="17"/>
      <x:c r="M584" s="17"/>
      <x:c r="N584" s="17"/>
      <x:c r="O584" s="17"/>
      <x:c r="P584" s="17"/>
      <x:c r="Q584" s="17"/>
      <x:c r="R584" s="17"/>
      <x:c r="S584" s="17"/>
      <x:c r="T584" s="17"/>
      <x:c r="U584" s="17"/>
      <x:c r="V584" s="17"/>
      <x:c r="W584" s="17"/>
      <x:c r="X584" s="17"/>
      <x:c r="Y584" s="17"/>
      <x:c r="Z584" s="17"/>
    </x:row>
    <x:row r="585">
      <x:c r="A585" s="17"/>
      <x:c r="B585" s="17"/>
      <x:c r="C585" s="17"/>
      <x:c r="D585" s="17"/>
      <x:c r="E585" s="17"/>
      <x:c r="F585" s="17"/>
      <x:c r="G585" s="17"/>
      <x:c r="H585" s="17"/>
      <x:c r="I585" s="17"/>
      <x:c r="J585" s="17"/>
      <x:c r="K585" s="17"/>
      <x:c r="L585" s="17"/>
      <x:c r="M585" s="17"/>
      <x:c r="N585" s="17"/>
      <x:c r="O585" s="17"/>
      <x:c r="P585" s="17"/>
      <x:c r="Q585" s="17"/>
      <x:c r="R585" s="17"/>
      <x:c r="S585" s="17"/>
      <x:c r="T585" s="17"/>
      <x:c r="U585" s="17"/>
      <x:c r="V585" s="17"/>
      <x:c r="W585" s="17"/>
      <x:c r="X585" s="17"/>
      <x:c r="Y585" s="17"/>
      <x:c r="Z585" s="17"/>
    </x:row>
    <x:row r="586">
      <x:c r="A586" s="17"/>
      <x:c r="B586" s="17"/>
      <x:c r="C586" s="17"/>
      <x:c r="D586" s="17"/>
      <x:c r="E586" s="17"/>
      <x:c r="F586" s="17"/>
      <x:c r="G586" s="17"/>
      <x:c r="H586" s="17"/>
      <x:c r="I586" s="17"/>
      <x:c r="J586" s="17"/>
      <x:c r="K586" s="17"/>
      <x:c r="L586" s="17"/>
      <x:c r="M586" s="17"/>
      <x:c r="N586" s="17"/>
      <x:c r="O586" s="17"/>
      <x:c r="P586" s="17"/>
      <x:c r="Q586" s="17"/>
      <x:c r="R586" s="17"/>
      <x:c r="S586" s="17"/>
      <x:c r="T586" s="17"/>
      <x:c r="U586" s="17"/>
      <x:c r="V586" s="17"/>
      <x:c r="W586" s="17"/>
      <x:c r="X586" s="17"/>
      <x:c r="Y586" s="17"/>
      <x:c r="Z586" s="17"/>
    </x:row>
    <x:row r="587">
      <x:c r="A587" s="17"/>
      <x:c r="B587" s="17"/>
      <x:c r="C587" s="17"/>
      <x:c r="D587" s="17"/>
      <x:c r="E587" s="17"/>
      <x:c r="F587" s="17"/>
      <x:c r="G587" s="17"/>
      <x:c r="H587" s="17"/>
      <x:c r="I587" s="17"/>
      <x:c r="J587" s="17"/>
      <x:c r="K587" s="17"/>
      <x:c r="L587" s="17"/>
      <x:c r="M587" s="17"/>
      <x:c r="N587" s="17"/>
      <x:c r="O587" s="17"/>
      <x:c r="P587" s="17"/>
      <x:c r="Q587" s="17"/>
      <x:c r="R587" s="17"/>
      <x:c r="S587" s="17"/>
      <x:c r="T587" s="17"/>
      <x:c r="U587" s="17"/>
      <x:c r="V587" s="17"/>
      <x:c r="W587" s="17"/>
      <x:c r="X587" s="17"/>
      <x:c r="Y587" s="17"/>
      <x:c r="Z587" s="17"/>
    </x:row>
    <x:row r="588">
      <x:c r="A588" s="17"/>
      <x:c r="B588" s="17"/>
      <x:c r="C588" s="17"/>
      <x:c r="D588" s="17"/>
      <x:c r="E588" s="17"/>
      <x:c r="F588" s="17"/>
      <x:c r="G588" s="17"/>
      <x:c r="H588" s="17"/>
      <x:c r="I588" s="17"/>
      <x:c r="J588" s="17"/>
      <x:c r="K588" s="17"/>
      <x:c r="L588" s="17"/>
      <x:c r="M588" s="17"/>
      <x:c r="N588" s="17"/>
      <x:c r="O588" s="17"/>
      <x:c r="P588" s="17"/>
      <x:c r="Q588" s="17"/>
      <x:c r="R588" s="17"/>
      <x:c r="S588" s="17"/>
      <x:c r="T588" s="17"/>
      <x:c r="U588" s="17"/>
      <x:c r="V588" s="17"/>
      <x:c r="W588" s="17"/>
      <x:c r="X588" s="17"/>
      <x:c r="Y588" s="17"/>
      <x:c r="Z588" s="17"/>
    </x:row>
    <x:row r="589">
      <x:c r="A589" s="17"/>
      <x:c r="B589" s="17"/>
      <x:c r="C589" s="17"/>
      <x:c r="D589" s="17"/>
      <x:c r="E589" s="17"/>
      <x:c r="F589" s="17"/>
      <x:c r="G589" s="17"/>
      <x:c r="H589" s="17"/>
      <x:c r="I589" s="17"/>
      <x:c r="J589" s="17"/>
      <x:c r="K589" s="17"/>
      <x:c r="L589" s="17"/>
      <x:c r="M589" s="17"/>
      <x:c r="N589" s="17"/>
      <x:c r="O589" s="17"/>
      <x:c r="P589" s="17"/>
      <x:c r="Q589" s="17"/>
      <x:c r="R589" s="17"/>
      <x:c r="S589" s="17"/>
      <x:c r="T589" s="17"/>
      <x:c r="U589" s="17"/>
      <x:c r="V589" s="17"/>
      <x:c r="W589" s="17"/>
      <x:c r="X589" s="17"/>
      <x:c r="Y589" s="17"/>
      <x:c r="Z589" s="17"/>
    </x:row>
    <x:row r="590">
      <x:c r="A590" s="17"/>
      <x:c r="B590" s="17"/>
      <x:c r="C590" s="17"/>
      <x:c r="D590" s="17"/>
      <x:c r="E590" s="17"/>
      <x:c r="F590" s="17"/>
      <x:c r="G590" s="17"/>
      <x:c r="H590" s="17"/>
      <x:c r="I590" s="17"/>
      <x:c r="J590" s="17"/>
      <x:c r="K590" s="17"/>
      <x:c r="L590" s="17"/>
      <x:c r="M590" s="17"/>
      <x:c r="N590" s="17"/>
      <x:c r="O590" s="17"/>
      <x:c r="P590" s="17"/>
      <x:c r="Q590" s="17"/>
      <x:c r="R590" s="17"/>
      <x:c r="S590" s="17"/>
      <x:c r="T590" s="17"/>
      <x:c r="U590" s="17"/>
      <x:c r="V590" s="17"/>
      <x:c r="W590" s="17"/>
      <x:c r="X590" s="17"/>
      <x:c r="Y590" s="17"/>
      <x:c r="Z590" s="17"/>
    </x:row>
    <x:row r="591">
      <x:c r="A591" s="17"/>
      <x:c r="B591" s="17"/>
      <x:c r="C591" s="17"/>
      <x:c r="D591" s="17"/>
      <x:c r="E591" s="17"/>
      <x:c r="F591" s="17"/>
      <x:c r="G591" s="17"/>
      <x:c r="H591" s="17"/>
      <x:c r="I591" s="17"/>
      <x:c r="J591" s="17"/>
      <x:c r="K591" s="17"/>
      <x:c r="L591" s="17"/>
      <x:c r="M591" s="17"/>
      <x:c r="N591" s="17"/>
      <x:c r="O591" s="17"/>
      <x:c r="P591" s="17"/>
      <x:c r="Q591" s="17"/>
      <x:c r="R591" s="17"/>
      <x:c r="S591" s="17"/>
      <x:c r="T591" s="17"/>
      <x:c r="U591" s="17"/>
      <x:c r="V591" s="17"/>
      <x:c r="W591" s="17"/>
      <x:c r="X591" s="17"/>
      <x:c r="Y591" s="17"/>
      <x:c r="Z591" s="17"/>
    </x:row>
    <x:row r="592">
      <x:c r="A592" s="17"/>
      <x:c r="B592" s="17"/>
      <x:c r="C592" s="17"/>
      <x:c r="D592" s="17"/>
      <x:c r="E592" s="17"/>
      <x:c r="F592" s="17"/>
      <x:c r="G592" s="17"/>
      <x:c r="H592" s="17"/>
      <x:c r="I592" s="17"/>
      <x:c r="J592" s="17"/>
      <x:c r="K592" s="17"/>
      <x:c r="L592" s="17"/>
      <x:c r="M592" s="17"/>
      <x:c r="N592" s="17"/>
      <x:c r="O592" s="17"/>
      <x:c r="P592" s="17"/>
      <x:c r="Q592" s="17"/>
      <x:c r="R592" s="17"/>
      <x:c r="S592" s="17"/>
      <x:c r="T592" s="17"/>
      <x:c r="U592" s="17"/>
      <x:c r="V592" s="17"/>
      <x:c r="W592" s="17"/>
      <x:c r="X592" s="17"/>
      <x:c r="Y592" s="17"/>
      <x:c r="Z592" s="17"/>
    </x:row>
    <x:row r="593">
      <x:c r="A593" s="17"/>
      <x:c r="B593" s="17"/>
      <x:c r="C593" s="17"/>
      <x:c r="D593" s="17"/>
      <x:c r="E593" s="17"/>
      <x:c r="F593" s="17"/>
      <x:c r="G593" s="17"/>
      <x:c r="H593" s="17"/>
      <x:c r="I593" s="17"/>
      <x:c r="J593" s="17"/>
      <x:c r="K593" s="17"/>
      <x:c r="L593" s="17"/>
      <x:c r="M593" s="17"/>
      <x:c r="N593" s="17"/>
      <x:c r="O593" s="17"/>
      <x:c r="P593" s="17"/>
      <x:c r="Q593" s="17"/>
      <x:c r="R593" s="17"/>
      <x:c r="S593" s="17"/>
      <x:c r="T593" s="17"/>
      <x:c r="U593" s="17"/>
      <x:c r="V593" s="17"/>
      <x:c r="W593" s="17"/>
      <x:c r="X593" s="17"/>
      <x:c r="Y593" s="17"/>
      <x:c r="Z593" s="17"/>
    </x:row>
    <x:row r="594">
      <x:c r="A594" s="17"/>
      <x:c r="B594" s="17"/>
      <x:c r="C594" s="17"/>
      <x:c r="D594" s="17"/>
      <x:c r="E594" s="17"/>
      <x:c r="F594" s="17"/>
      <x:c r="G594" s="17"/>
      <x:c r="H594" s="17"/>
      <x:c r="I594" s="17"/>
      <x:c r="J594" s="17"/>
      <x:c r="K594" s="17"/>
      <x:c r="L594" s="17"/>
      <x:c r="M594" s="17"/>
      <x:c r="N594" s="17"/>
      <x:c r="O594" s="17"/>
      <x:c r="P594" s="17"/>
      <x:c r="Q594" s="17"/>
      <x:c r="R594" s="17"/>
      <x:c r="S594" s="17"/>
      <x:c r="T594" s="17"/>
      <x:c r="U594" s="17"/>
      <x:c r="V594" s="17"/>
      <x:c r="W594" s="17"/>
      <x:c r="X594" s="17"/>
      <x:c r="Y594" s="17"/>
      <x:c r="Z594" s="17"/>
    </x:row>
    <x:row r="595">
      <x:c r="A595" s="17"/>
      <x:c r="B595" s="17"/>
      <x:c r="C595" s="17"/>
      <x:c r="D595" s="17"/>
      <x:c r="E595" s="17"/>
      <x:c r="F595" s="17"/>
      <x:c r="G595" s="17"/>
      <x:c r="H595" s="17"/>
      <x:c r="I595" s="17"/>
      <x:c r="J595" s="17"/>
      <x:c r="K595" s="17"/>
      <x:c r="L595" s="17"/>
      <x:c r="M595" s="17"/>
      <x:c r="N595" s="17"/>
      <x:c r="O595" s="17"/>
      <x:c r="P595" s="17"/>
      <x:c r="Q595" s="17"/>
      <x:c r="R595" s="17"/>
      <x:c r="S595" s="17"/>
      <x:c r="T595" s="17"/>
      <x:c r="U595" s="17"/>
      <x:c r="V595" s="17"/>
      <x:c r="W595" s="17"/>
      <x:c r="X595" s="17"/>
      <x:c r="Y595" s="17"/>
      <x:c r="Z595" s="17"/>
    </x:row>
    <x:row r="596">
      <x:c r="A596" s="17"/>
      <x:c r="B596" s="17"/>
      <x:c r="C596" s="17"/>
      <x:c r="D596" s="17"/>
      <x:c r="E596" s="17"/>
      <x:c r="F596" s="17"/>
      <x:c r="G596" s="17"/>
      <x:c r="H596" s="17"/>
      <x:c r="I596" s="17"/>
      <x:c r="J596" s="17"/>
      <x:c r="K596" s="17"/>
      <x:c r="L596" s="17"/>
      <x:c r="M596" s="17"/>
      <x:c r="N596" s="17"/>
      <x:c r="O596" s="17"/>
      <x:c r="P596" s="17"/>
      <x:c r="Q596" s="17"/>
      <x:c r="R596" s="17"/>
      <x:c r="S596" s="17"/>
      <x:c r="T596" s="17"/>
      <x:c r="U596" s="17"/>
      <x:c r="V596" s="17"/>
      <x:c r="W596" s="17"/>
      <x:c r="X596" s="17"/>
      <x:c r="Y596" s="17"/>
      <x:c r="Z596" s="17"/>
    </x:row>
    <x:row r="597">
      <x:c r="A597" s="17"/>
      <x:c r="B597" s="17"/>
      <x:c r="C597" s="17"/>
      <x:c r="D597" s="17"/>
      <x:c r="E597" s="17"/>
      <x:c r="F597" s="17"/>
      <x:c r="G597" s="17"/>
      <x:c r="H597" s="17"/>
      <x:c r="I597" s="17"/>
      <x:c r="J597" s="17"/>
      <x:c r="K597" s="17"/>
      <x:c r="L597" s="17"/>
      <x:c r="M597" s="17"/>
      <x:c r="N597" s="17"/>
      <x:c r="O597" s="17"/>
      <x:c r="P597" s="17"/>
      <x:c r="Q597" s="17"/>
      <x:c r="R597" s="17"/>
      <x:c r="S597" s="17"/>
      <x:c r="T597" s="17"/>
      <x:c r="U597" s="17"/>
      <x:c r="V597" s="17"/>
      <x:c r="W597" s="17"/>
      <x:c r="X597" s="17"/>
      <x:c r="Y597" s="17"/>
      <x:c r="Z597" s="17"/>
    </x:row>
    <x:row r="598">
      <x:c r="A598" s="17"/>
      <x:c r="B598" s="17"/>
      <x:c r="C598" s="17"/>
      <x:c r="D598" s="17"/>
      <x:c r="E598" s="17"/>
      <x:c r="F598" s="17"/>
      <x:c r="G598" s="17"/>
      <x:c r="H598" s="17"/>
      <x:c r="I598" s="17"/>
      <x:c r="J598" s="17"/>
      <x:c r="K598" s="17"/>
      <x:c r="L598" s="17"/>
      <x:c r="M598" s="17"/>
      <x:c r="N598" s="17"/>
      <x:c r="O598" s="17"/>
      <x:c r="P598" s="17"/>
      <x:c r="Q598" s="17"/>
      <x:c r="R598" s="17"/>
      <x:c r="S598" s="17"/>
      <x:c r="T598" s="17"/>
      <x:c r="U598" s="17"/>
      <x:c r="V598" s="17"/>
      <x:c r="W598" s="17"/>
      <x:c r="X598" s="17"/>
      <x:c r="Y598" s="17"/>
      <x:c r="Z598" s="17"/>
    </x:row>
    <x:row r="599">
      <x:c r="A599" s="17"/>
      <x:c r="B599" s="17"/>
      <x:c r="C599" s="17"/>
      <x:c r="D599" s="17"/>
      <x:c r="E599" s="17"/>
      <x:c r="F599" s="17"/>
      <x:c r="G599" s="17"/>
      <x:c r="H599" s="17"/>
      <x:c r="I599" s="17"/>
      <x:c r="J599" s="17"/>
      <x:c r="K599" s="17"/>
      <x:c r="L599" s="17"/>
      <x:c r="M599" s="17"/>
      <x:c r="N599" s="17"/>
      <x:c r="O599" s="17"/>
      <x:c r="P599" s="17"/>
      <x:c r="Q599" s="17"/>
      <x:c r="R599" s="17"/>
      <x:c r="S599" s="17"/>
      <x:c r="T599" s="17"/>
      <x:c r="U599" s="17"/>
      <x:c r="V599" s="17"/>
      <x:c r="W599" s="17"/>
      <x:c r="X599" s="17"/>
      <x:c r="Y599" s="17"/>
      <x:c r="Z599" s="17"/>
    </x:row>
    <x:row r="600">
      <x:c r="A600" s="17"/>
      <x:c r="B600" s="17"/>
      <x:c r="C600" s="17"/>
      <x:c r="D600" s="17"/>
      <x:c r="E600" s="17"/>
      <x:c r="F600" s="17"/>
      <x:c r="G600" s="17"/>
      <x:c r="H600" s="17"/>
      <x:c r="I600" s="17"/>
      <x:c r="J600" s="17"/>
      <x:c r="K600" s="17"/>
      <x:c r="L600" s="17"/>
      <x:c r="M600" s="17"/>
      <x:c r="N600" s="17"/>
      <x:c r="O600" s="17"/>
      <x:c r="P600" s="17"/>
      <x:c r="Q600" s="17"/>
      <x:c r="R600" s="17"/>
      <x:c r="S600" s="17"/>
      <x:c r="T600" s="17"/>
      <x:c r="U600" s="17"/>
      <x:c r="V600" s="17"/>
      <x:c r="W600" s="17"/>
      <x:c r="X600" s="17"/>
      <x:c r="Y600" s="17"/>
      <x:c r="Z600" s="17"/>
    </x:row>
  </x:sheetData>
  <x:pageMargins left="0.7" right="0.7" top="0.75" bottom="0.75" header="0.3" footer="0.3"/>
  <x:tableParts count="1">
    <x:tablePart xmlns:r="http://schemas.openxmlformats.org/officeDocument/2006/relationships" r:id="Rd96b9b05257f45a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8" hidden="0" customWidth="1"/>
    <x:col min="3" max="3" width="13" hidden="0" customWidth="1"/>
    <x:col min="4" max="4" width="12" hidden="0" customWidth="1"/>
    <x:col min="5" max="5" width="12" hidden="0" customWidth="1"/>
    <x:col min="6" max="6" width="1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8" hidden="0" customWidth="1"/>
    <x:col min="13" max="13" width="16" hidden="0" customWidth="1"/>
    <x:col min="14" max="14" width="18" hidden="0" customWidth="1"/>
    <x:col min="15" max="15" width="18" hidden="0" customWidth="1"/>
    <x:col min="16" max="16" width="14" hidden="0" customWidth="1"/>
    <x:col min="17" max="17" width="14" hidden="0" customWidth="1"/>
  </x:cols>
  <x:sheetData>
    <x:row r="1">
      <x:c r="A1" s="24" t="str">
        <x:v>ID</x:v>
      </x:c>
      <x:c r="B1" s="24" t="str">
        <x:v>Building</x:v>
      </x:c>
      <x:c r="C1" s="24" t="str">
        <x:v>Stage</x:v>
      </x:c>
      <x:c r="D1" s="24" t="str">
        <x:v>Rarity</x:v>
      </x:c>
      <x:c r="E1" s="24" t="str">
        <x:v>Empire Unlock Lv.</x:v>
      </x:c>
      <x:c r="F1" s="24" t="str">
        <x:v>Building Level</x:v>
      </x:c>
      <x:c r="G1" s="24" t="str">
        <x:v>Action</x:v>
      </x:c>
      <x:c r="H1" s="24" t="str">
        <x:v>Cost to Reach Level</x:v>
      </x:c>
      <x:c r="I1" s="24" t="str">
        <x:v>Gross Cash/h</x:v>
      </x:c>
      <x:c r="J1" s="24" t="str">
        <x:v>Operating Cost/h</x:v>
      </x:c>
      <x:c r="K1" s="24" t="str">
        <x:v>Net Cash/h</x:v>
      </x:c>
      <x:c r="L1" s="24" t="str">
        <x:v>Customer Capacity</x:v>
      </x:c>
      <x:c r="M1" s="24" t="str">
        <x:v>Activity Pts/h</x:v>
      </x:c>
      <x:c r="N1" s="24" t="str">
        <x:v>Cumulative Spend</x:v>
      </x:c>
      <x:c r="O1" s="24" t="str">
        <x:v>Gross Payback Hours</x:v>
      </x:c>
      <x:c r="P1" s="24" t="str">
        <x:v>Revenue vs Lv1</x:v>
      </x:c>
      <x:c r="Q1" s="24" t="str">
        <x:v>Capacity vs Lv1</x:v>
      </x:c>
      <x:c r="R1" s="17"/>
      <x:c r="S1" s="17"/>
      <x:c r="T1" s="17"/>
      <x:c r="U1" s="17"/>
      <x:c r="V1" s="17"/>
      <x:c r="W1" s="17"/>
      <x:c r="X1" s="17"/>
      <x:c r="Y1" s="17"/>
      <x:c r="Z1" s="17"/>
    </x:row>
    <x:row r="2">
      <x:c r="A2" s="17" t="n">
        <x:v>1</x:v>
      </x:c>
      <x:c r="B2" s="17" t="str">
        <x:v>Cash Kiosk</x:v>
      </x:c>
      <x:c r="C2" s="17" t="str">
        <x:v>Humble</x:v>
      </x:c>
      <x:c r="D2" s="17" t="str">
        <x:v>Common</x:v>
      </x:c>
      <x:c r="E2" s="17" t="n">
        <x:v>1</x:v>
      </x:c>
      <x:c r="F2" s="17" t="n">
        <x:v>1</x:v>
      </x:c>
      <x:c r="G2" s="17" t="str">
        <x:v>Build</x:v>
      </x:c>
      <x:c r="H2" s="38" t="n">
        <x:f>INDEX('Balance Inputs'!$K$2:$K$51,MATCH(A2,'Balance Inputs'!$I$2:$I$51,0))</x:f>
        <x:v>300</x:v>
      </x:c>
      <x:c r="I2" s="38" t="n">
        <x:f>ROUND(INDEX('Balance Inputs'!$L$2:$L$51,MATCH(A2,'Balance Inputs'!$I$2:$I$51,0))*POWER(INDEX('Balance Inputs'!$D$2:$D$7,MATCH(C2,'Balance Inputs'!$A$2:$A$7,0)),F2-1),0)</x:f>
        <x:v>35</x:v>
      </x:c>
      <x:c r="J2" s="38" t="n">
        <x:f>ROUND(I2*INDEX('Balance Inputs'!$F$2:$F$7,MATCH(C2,'Balance Inputs'!$A$2:$A$7,0)),0)</x:f>
        <x:v>4</x:v>
      </x:c>
      <x:c r="K2" s="38" t="n">
        <x:f>I2-J2</x:f>
        <x:v>31</x:v>
      </x:c>
      <x:c r="L2" s="38" t="n">
        <x:f>ROUND(INDEX('Balance Inputs'!$M$2:$M$51,MATCH(A2,'Balance Inputs'!$I$2:$I$51,0))*POWER(INDEX('Balance Inputs'!$E$2:$E$7,MATCH(C2,'Balance Inputs'!$A$2:$A$7,0)),F2-1),0)</x:f>
        <x:v>60</x:v>
      </x:c>
      <x:c r="M2" s="38" t="n">
        <x:f>ROUND(INDEX('Balance Inputs'!$N$2:$N$51,MATCH(A2,'Balance Inputs'!$I$2:$I$51,0))*POWER(INDEX('Balance Inputs'!$G$2:$G$7,MATCH(C2,'Balance Inputs'!$A$2:$A$7,0)),F2-1),0)</x:f>
        <x:v>6</x:v>
      </x:c>
      <x:c r="N2" s="38" t="n">
        <x:f>H2</x:f>
        <x:v>300</x:v>
      </x:c>
      <x:c r="O2" s="42" t="n">
        <x:f>IF(I2=0,0,H2/I2)</x:f>
        <x:v>8.571428571428571</x:v>
      </x:c>
      <x:c r="P2" s="43" t="n">
        <x:f>I2/INDEX('Balance Inputs'!$L$2:$L$51,MATCH(A2,'Balance Inputs'!$I$2:$I$51,0))</x:f>
        <x:v>1</x:v>
      </x:c>
      <x:c r="Q2" s="43" t="n">
        <x:f>L2/INDEX('Balance Inputs'!$M$2:$M$51,MATCH(A2,'Balance Inputs'!$I$2:$I$51,0))</x:f>
        <x:v>1</x:v>
      </x:c>
      <x:c r="R2" s="17"/>
      <x:c r="S2" s="17"/>
      <x:c r="T2" s="17"/>
      <x:c r="U2" s="17"/>
      <x:c r="V2" s="17"/>
      <x:c r="W2" s="17"/>
      <x:c r="X2" s="17"/>
      <x:c r="Y2" s="17"/>
      <x:c r="Z2" s="17"/>
    </x:row>
    <x:row r="3">
      <x:c r="A3" s="17" t="n">
        <x:v>1</x:v>
      </x:c>
      <x:c r="B3" s="17" t="str">
        <x:v>Cash Kiosk</x:v>
      </x:c>
      <x:c r="C3" s="17" t="str">
        <x:v>Humble</x:v>
      </x:c>
      <x:c r="D3" s="17" t="str">
        <x:v>Common</x:v>
      </x:c>
      <x:c r="E3" s="17" t="n">
        <x:v>1</x:v>
      </x:c>
      <x:c r="F3" s="17" t="n">
        <x:v>2</x:v>
      </x:c>
      <x:c r="G3" s="17" t="str">
        <x:v>Upgrade to Lv2</x:v>
      </x:c>
      <x:c r="H3" s="38" t="n">
        <x:f>ROUND(H2*INDEX('Balance Inputs'!$C$2:$C$7,MATCH(C3,'Balance Inputs'!$A$2:$A$7,0)),0)</x:f>
        <x:v>465</x:v>
      </x:c>
      <x:c r="I3" s="38" t="n">
        <x:f>ROUND(INDEX('Balance Inputs'!$L$2:$L$51,MATCH(A3,'Balance Inputs'!$I$2:$I$51,0))*POWER(INDEX('Balance Inputs'!$D$2:$D$7,MATCH(C3,'Balance Inputs'!$A$2:$A$7,0)),F3-1),0)</x:f>
        <x:v>47</x:v>
      </x:c>
      <x:c r="J3" s="38" t="n">
        <x:f>ROUND(I3*INDEX('Balance Inputs'!$F$2:$F$7,MATCH(C3,'Balance Inputs'!$A$2:$A$7,0)),0)</x:f>
        <x:v>6</x:v>
      </x:c>
      <x:c r="K3" s="38" t="n">
        <x:f>I3-J3</x:f>
        <x:v>41</x:v>
      </x:c>
      <x:c r="L3" s="38" t="n">
        <x:f>ROUND(INDEX('Balance Inputs'!$M$2:$M$51,MATCH(A3,'Balance Inputs'!$I$2:$I$51,0))*POWER(INDEX('Balance Inputs'!$E$2:$E$7,MATCH(C3,'Balance Inputs'!$A$2:$A$7,0)),F3-1),0)</x:f>
        <x:v>79</x:v>
      </x:c>
      <x:c r="M3" s="38" t="n">
        <x:f>ROUND(INDEX('Balance Inputs'!$N$2:$N$51,MATCH(A3,'Balance Inputs'!$I$2:$I$51,0))*POWER(INDEX('Balance Inputs'!$G$2:$G$7,MATCH(C3,'Balance Inputs'!$A$2:$A$7,0)),F3-1),0)</x:f>
        <x:v>6</x:v>
      </x:c>
      <x:c r="N3" s="38" t="n">
        <x:f>IF(A3&lt;&gt;A2,H3,N2+H3)</x:f>
        <x:v>765</x:v>
      </x:c>
      <x:c r="O3" s="42" t="n">
        <x:f>IF(I3=0,0,H3/I3)</x:f>
        <x:v>9.893617021276595</x:v>
      </x:c>
      <x:c r="P3" s="43" t="n">
        <x:f>I3/INDEX('Balance Inputs'!$L$2:$L$51,MATCH(A3,'Balance Inputs'!$I$2:$I$51,0))</x:f>
        <x:v>1.3428571428571427</x:v>
      </x:c>
      <x:c r="Q3" s="43" t="n">
        <x:f>L3/INDEX('Balance Inputs'!$M$2:$M$51,MATCH(A3,'Balance Inputs'!$I$2:$I$51,0))</x:f>
        <x:v>1.3166666666666667</x:v>
      </x:c>
      <x:c r="R3" s="17"/>
      <x:c r="S3" s="17"/>
      <x:c r="T3" s="17"/>
      <x:c r="U3" s="17"/>
      <x:c r="V3" s="17"/>
      <x:c r="W3" s="17"/>
      <x:c r="X3" s="17"/>
      <x:c r="Y3" s="17"/>
      <x:c r="Z3" s="17"/>
    </x:row>
    <x:row r="4">
      <x:c r="A4" s="17" t="n">
        <x:v>1</x:v>
      </x:c>
      <x:c r="B4" s="17" t="str">
        <x:v>Cash Kiosk</x:v>
      </x:c>
      <x:c r="C4" s="17" t="str">
        <x:v>Humble</x:v>
      </x:c>
      <x:c r="D4" s="17" t="str">
        <x:v>Common</x:v>
      </x:c>
      <x:c r="E4" s="17" t="n">
        <x:v>1</x:v>
      </x:c>
      <x:c r="F4" s="17" t="n">
        <x:v>3</x:v>
      </x:c>
      <x:c r="G4" s="17" t="str">
        <x:v>Upgrade to Lv3</x:v>
      </x:c>
      <x:c r="H4" s="38" t="n">
        <x:f>ROUND(H3*INDEX('Balance Inputs'!$C$2:$C$7,MATCH(C4,'Balance Inputs'!$A$2:$A$7,0)),0)</x:f>
        <x:v>721</x:v>
      </x:c>
      <x:c r="I4" s="38" t="n">
        <x:f>ROUND(INDEX('Balance Inputs'!$L$2:$L$51,MATCH(A4,'Balance Inputs'!$I$2:$I$51,0))*POWER(INDEX('Balance Inputs'!$D$2:$D$7,MATCH(C4,'Balance Inputs'!$A$2:$A$7,0)),F4-1),0)</x:f>
        <x:v>63</x:v>
      </x:c>
      <x:c r="J4" s="38" t="n">
        <x:f>ROUND(I4*INDEX('Balance Inputs'!$F$2:$F$7,MATCH(C4,'Balance Inputs'!$A$2:$A$7,0)),0)</x:f>
        <x:v>8</x:v>
      </x:c>
      <x:c r="K4" s="38" t="n">
        <x:f>I4-J4</x:f>
        <x:v>55</x:v>
      </x:c>
      <x:c r="L4" s="38" t="n">
        <x:f>ROUND(INDEX('Balance Inputs'!$M$2:$M$51,MATCH(A4,'Balance Inputs'!$I$2:$I$51,0))*POWER(INDEX('Balance Inputs'!$E$2:$E$7,MATCH(C4,'Balance Inputs'!$A$2:$A$7,0)),F4-1),0)</x:f>
        <x:v>105</x:v>
      </x:c>
      <x:c r="M4" s="38" t="n">
        <x:f>ROUND(INDEX('Balance Inputs'!$N$2:$N$51,MATCH(A4,'Balance Inputs'!$I$2:$I$51,0))*POWER(INDEX('Balance Inputs'!$G$2:$G$7,MATCH(C4,'Balance Inputs'!$A$2:$A$7,0)),F4-1),0)</x:f>
        <x:v>6</x:v>
      </x:c>
      <x:c r="N4" s="38" t="n">
        <x:f>IF(A4&lt;&gt;A3,H4,N3+H4)</x:f>
        <x:v>1486</x:v>
      </x:c>
      <x:c r="O4" s="42" t="n">
        <x:f>IF(I4=0,0,H4/I4)</x:f>
        <x:v>11.444444444444445</x:v>
      </x:c>
      <x:c r="P4" s="43" t="n">
        <x:f>I4/INDEX('Balance Inputs'!$L$2:$L$51,MATCH(A4,'Balance Inputs'!$I$2:$I$51,0))</x:f>
        <x:v>1.8</x:v>
      </x:c>
      <x:c r="Q4" s="43" t="n">
        <x:f>L4/INDEX('Balance Inputs'!$M$2:$M$51,MATCH(A4,'Balance Inputs'!$I$2:$I$51,0))</x:f>
        <x:v>1.75</x:v>
      </x:c>
      <x:c r="R4" s="17"/>
      <x:c r="S4" s="17"/>
      <x:c r="T4" s="17"/>
      <x:c r="U4" s="17"/>
      <x:c r="V4" s="17"/>
      <x:c r="W4" s="17"/>
      <x:c r="X4" s="17"/>
      <x:c r="Y4" s="17"/>
      <x:c r="Z4" s="17"/>
    </x:row>
    <x:row r="5">
      <x:c r="A5" s="17" t="n">
        <x:v>1</x:v>
      </x:c>
      <x:c r="B5" s="17" t="str">
        <x:v>Cash Kiosk</x:v>
      </x:c>
      <x:c r="C5" s="17" t="str">
        <x:v>Humble</x:v>
      </x:c>
      <x:c r="D5" s="17" t="str">
        <x:v>Common</x:v>
      </x:c>
      <x:c r="E5" s="17" t="n">
        <x:v>1</x:v>
      </x:c>
      <x:c r="F5" s="17" t="n">
        <x:v>4</x:v>
      </x:c>
      <x:c r="G5" s="17" t="str">
        <x:v>Upgrade to Lv4</x:v>
      </x:c>
      <x:c r="H5" s="38" t="n">
        <x:f>ROUND(H4*INDEX('Balance Inputs'!$C$2:$C$7,MATCH(C5,'Balance Inputs'!$A$2:$A$7,0)),0)</x:f>
        <x:v>1118</x:v>
      </x:c>
      <x:c r="I5" s="38" t="n">
        <x:f>ROUND(INDEX('Balance Inputs'!$L$2:$L$51,MATCH(A5,'Balance Inputs'!$I$2:$I$51,0))*POWER(INDEX('Balance Inputs'!$D$2:$D$7,MATCH(C5,'Balance Inputs'!$A$2:$A$7,0)),F5-1),0)</x:f>
        <x:v>84</x:v>
      </x:c>
      <x:c r="J5" s="38" t="n">
        <x:f>ROUND(I5*INDEX('Balance Inputs'!$F$2:$F$7,MATCH(C5,'Balance Inputs'!$A$2:$A$7,0)),0)</x:f>
        <x:v>10</x:v>
      </x:c>
      <x:c r="K5" s="38" t="n">
        <x:f>I5-J5</x:f>
        <x:v>74</x:v>
      </x:c>
      <x:c r="L5" s="38" t="n">
        <x:f>ROUND(INDEX('Balance Inputs'!$M$2:$M$51,MATCH(A5,'Balance Inputs'!$I$2:$I$51,0))*POWER(INDEX('Balance Inputs'!$E$2:$E$7,MATCH(C5,'Balance Inputs'!$A$2:$A$7,0)),F5-1),0)</x:f>
        <x:v>138</x:v>
      </x:c>
      <x:c r="M5" s="38" t="n">
        <x:f>ROUND(INDEX('Balance Inputs'!$N$2:$N$51,MATCH(A5,'Balance Inputs'!$I$2:$I$51,0))*POWER(INDEX('Balance Inputs'!$G$2:$G$7,MATCH(C5,'Balance Inputs'!$A$2:$A$7,0)),F5-1),0)</x:f>
        <x:v>6</x:v>
      </x:c>
      <x:c r="N5" s="38" t="n">
        <x:f>IF(A5&lt;&gt;A4,H5,N4+H5)</x:f>
        <x:v>2604</x:v>
      </x:c>
      <x:c r="O5" s="42" t="n">
        <x:f>IF(I5=0,0,H5/I5)</x:f>
        <x:v>13.30952380952381</x:v>
      </x:c>
      <x:c r="P5" s="43" t="n">
        <x:f>I5/INDEX('Balance Inputs'!$L$2:$L$51,MATCH(A5,'Balance Inputs'!$I$2:$I$51,0))</x:f>
        <x:v>2.4</x:v>
      </x:c>
      <x:c r="Q5" s="43" t="n">
        <x:f>L5/INDEX('Balance Inputs'!$M$2:$M$51,MATCH(A5,'Balance Inputs'!$I$2:$I$51,0))</x:f>
        <x:v>2.3</x:v>
      </x:c>
      <x:c r="R5" s="17"/>
      <x:c r="S5" s="17"/>
      <x:c r="T5" s="17"/>
      <x:c r="U5" s="17"/>
      <x:c r="V5" s="17"/>
      <x:c r="W5" s="17"/>
      <x:c r="X5" s="17"/>
      <x:c r="Y5" s="17"/>
      <x:c r="Z5" s="17"/>
    </x:row>
    <x:row r="6">
      <x:c r="A6" s="17" t="n">
        <x:v>1</x:v>
      </x:c>
      <x:c r="B6" s="17" t="str">
        <x:v>Cash Kiosk</x:v>
      </x:c>
      <x:c r="C6" s="17" t="str">
        <x:v>Humble</x:v>
      </x:c>
      <x:c r="D6" s="17" t="str">
        <x:v>Common</x:v>
      </x:c>
      <x:c r="E6" s="17" t="n">
        <x:v>1</x:v>
      </x:c>
      <x:c r="F6" s="17" t="n">
        <x:v>5</x:v>
      </x:c>
      <x:c r="G6" s="17" t="str">
        <x:v>Upgrade to Lv5</x:v>
      </x:c>
      <x:c r="H6" s="38" t="n">
        <x:f>ROUND(H5*INDEX('Balance Inputs'!$C$2:$C$7,MATCH(C6,'Balance Inputs'!$A$2:$A$7,0)),0)</x:f>
        <x:v>1733</x:v>
      </x:c>
      <x:c r="I6" s="38" t="n">
        <x:f>ROUND(INDEX('Balance Inputs'!$L$2:$L$51,MATCH(A6,'Balance Inputs'!$I$2:$I$51,0))*POWER(INDEX('Balance Inputs'!$D$2:$D$7,MATCH(C6,'Balance Inputs'!$A$2:$A$7,0)),F6-1),0)</x:f>
        <x:v>113</x:v>
      </x:c>
      <x:c r="J6" s="38" t="n">
        <x:f>ROUND(I6*INDEX('Balance Inputs'!$F$2:$F$7,MATCH(C6,'Balance Inputs'!$A$2:$A$7,0)),0)</x:f>
        <x:v>14</x:v>
      </x:c>
      <x:c r="K6" s="38" t="n">
        <x:f>I6-J6</x:f>
        <x:v>99</x:v>
      </x:c>
      <x:c r="L6" s="38" t="n">
        <x:f>ROUND(INDEX('Balance Inputs'!$M$2:$M$51,MATCH(A6,'Balance Inputs'!$I$2:$I$51,0))*POWER(INDEX('Balance Inputs'!$E$2:$E$7,MATCH(C6,'Balance Inputs'!$A$2:$A$7,0)),F6-1),0)</x:f>
        <x:v>182</x:v>
      </x:c>
      <x:c r="M6" s="38" t="n">
        <x:f>ROUND(INDEX('Balance Inputs'!$N$2:$N$51,MATCH(A6,'Balance Inputs'!$I$2:$I$51,0))*POWER(INDEX('Balance Inputs'!$G$2:$G$7,MATCH(C6,'Balance Inputs'!$A$2:$A$7,0)),F6-1),0)</x:f>
        <x:v>6</x:v>
      </x:c>
      <x:c r="N6" s="38" t="n">
        <x:f>IF(A6&lt;&gt;A5,H6,N5+H6)</x:f>
        <x:v>4337</x:v>
      </x:c>
      <x:c r="O6" s="42" t="n">
        <x:f>IF(I6=0,0,H6/I6)</x:f>
        <x:v>15.336283185840708</x:v>
      </x:c>
      <x:c r="P6" s="43" t="n">
        <x:f>I6/INDEX('Balance Inputs'!$L$2:$L$51,MATCH(A6,'Balance Inputs'!$I$2:$I$51,0))</x:f>
        <x:v>3.2285714285714286</x:v>
      </x:c>
      <x:c r="Q6" s="43" t="n">
        <x:f>L6/INDEX('Balance Inputs'!$M$2:$M$51,MATCH(A6,'Balance Inputs'!$I$2:$I$51,0))</x:f>
        <x:v>3.033333333333333</x:v>
      </x:c>
      <x:c r="R6" s="17"/>
      <x:c r="S6" s="17"/>
      <x:c r="T6" s="17"/>
      <x:c r="U6" s="17"/>
      <x:c r="V6" s="17"/>
      <x:c r="W6" s="17"/>
      <x:c r="X6" s="17"/>
      <x:c r="Y6" s="17"/>
      <x:c r="Z6" s="17"/>
    </x:row>
    <x:row r="7">
      <x:c r="A7" s="17" t="n">
        <x:v>1</x:v>
      </x:c>
      <x:c r="B7" s="17" t="str">
        <x:v>Cash Kiosk</x:v>
      </x:c>
      <x:c r="C7" s="17" t="str">
        <x:v>Humble</x:v>
      </x:c>
      <x:c r="D7" s="17" t="str">
        <x:v>Common</x:v>
      </x:c>
      <x:c r="E7" s="17" t="n">
        <x:v>1</x:v>
      </x:c>
      <x:c r="F7" s="17" t="n">
        <x:v>6</x:v>
      </x:c>
      <x:c r="G7" s="17" t="str">
        <x:v>Upgrade to Lv6</x:v>
      </x:c>
      <x:c r="H7" s="38" t="n">
        <x:f>ROUND(H6*INDEX('Balance Inputs'!$C$2:$C$7,MATCH(C7,'Balance Inputs'!$A$2:$A$7,0)),0)</x:f>
        <x:v>2686</x:v>
      </x:c>
      <x:c r="I7" s="38" t="n">
        <x:f>ROUND(INDEX('Balance Inputs'!$L$2:$L$51,MATCH(A7,'Balance Inputs'!$I$2:$I$51,0))*POWER(INDEX('Balance Inputs'!$D$2:$D$7,MATCH(C7,'Balance Inputs'!$A$2:$A$7,0)),F7-1),0)</x:f>
        <x:v>151</x:v>
      </x:c>
      <x:c r="J7" s="38" t="n">
        <x:f>ROUND(I7*INDEX('Balance Inputs'!$F$2:$F$7,MATCH(C7,'Balance Inputs'!$A$2:$A$7,0)),0)</x:f>
        <x:v>18</x:v>
      </x:c>
      <x:c r="K7" s="38" t="n">
        <x:f>I7-J7</x:f>
        <x:v>133</x:v>
      </x:c>
      <x:c r="L7" s="38" t="n">
        <x:f>ROUND(INDEX('Balance Inputs'!$M$2:$M$51,MATCH(A7,'Balance Inputs'!$I$2:$I$51,0))*POWER(INDEX('Balance Inputs'!$E$2:$E$7,MATCH(C7,'Balance Inputs'!$A$2:$A$7,0)),F7-1),0)</x:f>
        <x:v>240</x:v>
      </x:c>
      <x:c r="M7" s="38" t="n">
        <x:f>ROUND(INDEX('Balance Inputs'!$N$2:$N$51,MATCH(A7,'Balance Inputs'!$I$2:$I$51,0))*POWER(INDEX('Balance Inputs'!$G$2:$G$7,MATCH(C7,'Balance Inputs'!$A$2:$A$7,0)),F7-1),0)</x:f>
        <x:v>6</x:v>
      </x:c>
      <x:c r="N7" s="38" t="n">
        <x:f>IF(A7&lt;&gt;A6,H7,N6+H7)</x:f>
        <x:v>7023</x:v>
      </x:c>
      <x:c r="O7" s="42" t="n">
        <x:f>IF(I7=0,0,H7/I7)</x:f>
        <x:v>17.788079470198674</x:v>
      </x:c>
      <x:c r="P7" s="43" t="n">
        <x:f>I7/INDEX('Balance Inputs'!$L$2:$L$51,MATCH(A7,'Balance Inputs'!$I$2:$I$51,0))</x:f>
        <x:v>4.314285714285714</x:v>
      </x:c>
      <x:c r="Q7" s="43" t="n">
        <x:f>L7/INDEX('Balance Inputs'!$M$2:$M$51,MATCH(A7,'Balance Inputs'!$I$2:$I$51,0))</x:f>
        <x:v>4</x:v>
      </x:c>
      <x:c r="R7" s="17"/>
      <x:c r="S7" s="17"/>
      <x:c r="T7" s="17"/>
      <x:c r="U7" s="17"/>
      <x:c r="V7" s="17"/>
      <x:c r="W7" s="17"/>
      <x:c r="X7" s="17"/>
      <x:c r="Y7" s="17"/>
      <x:c r="Z7" s="17"/>
    </x:row>
    <x:row r="8">
      <x:c r="A8" s="17" t="n">
        <x:v>2</x:v>
      </x:c>
      <x:c r="B8" s="17" t="str">
        <x:v>Trading Booth</x:v>
      </x:c>
      <x:c r="C8" s="17" t="str">
        <x:v>Humble</x:v>
      </x:c>
      <x:c r="D8" s="17" t="str">
        <x:v>Common</x:v>
      </x:c>
      <x:c r="E8" s="17" t="n">
        <x:v>2</x:v>
      </x:c>
      <x:c r="F8" s="17" t="n">
        <x:v>1</x:v>
      </x:c>
      <x:c r="G8" s="17" t="str">
        <x:v>Build</x:v>
      </x:c>
      <x:c r="H8" s="38" t="n">
        <x:f>INDEX('Balance Inputs'!$K$2:$K$51,MATCH(A8,'Balance Inputs'!$I$2:$I$51,0))</x:f>
        <x:v>370</x:v>
      </x:c>
      <x:c r="I8" s="38" t="n">
        <x:f>ROUND(INDEX('Balance Inputs'!$L$2:$L$51,MATCH(A8,'Balance Inputs'!$I$2:$I$51,0))*POWER(INDEX('Balance Inputs'!$D$2:$D$7,MATCH(C8,'Balance Inputs'!$A$2:$A$7,0)),F8-1),0)</x:f>
        <x:v>50</x:v>
      </x:c>
      <x:c r="J8" s="38" t="n">
        <x:f>ROUND(I8*INDEX('Balance Inputs'!$F$2:$F$7,MATCH(C8,'Balance Inputs'!$A$2:$A$7,0)),0)</x:f>
        <x:v>6</x:v>
      </x:c>
      <x:c r="K8" s="38" t="n">
        <x:f>I8-J8</x:f>
        <x:v>44</x:v>
      </x:c>
      <x:c r="L8" s="38" t="n">
        <x:f>ROUND(INDEX('Balance Inputs'!$M$2:$M$51,MATCH(A8,'Balance Inputs'!$I$2:$I$51,0))*POWER(INDEX('Balance Inputs'!$E$2:$E$7,MATCH(C8,'Balance Inputs'!$A$2:$A$7,0)),F8-1),0)</x:f>
        <x:v>71</x:v>
      </x:c>
      <x:c r="M8" s="38" t="n">
        <x:f>ROUND(INDEX('Balance Inputs'!$N$2:$N$51,MATCH(A8,'Balance Inputs'!$I$2:$I$51,0))*POWER(INDEX('Balance Inputs'!$G$2:$G$7,MATCH(C8,'Balance Inputs'!$A$2:$A$7,0)),F8-1),0)</x:f>
        <x:v>10</x:v>
      </x:c>
      <x:c r="N8" s="38" t="n">
        <x:f>IF(A8&lt;&gt;A7,H8,N7+H8)</x:f>
        <x:v>370</x:v>
      </x:c>
      <x:c r="O8" s="42" t="n">
        <x:f>IF(I8=0,0,H8/I8)</x:f>
        <x:v>7.4</x:v>
      </x:c>
      <x:c r="P8" s="43" t="n">
        <x:f>I8/INDEX('Balance Inputs'!$L$2:$L$51,MATCH(A8,'Balance Inputs'!$I$2:$I$51,0))</x:f>
        <x:v>1</x:v>
      </x:c>
      <x:c r="Q8" s="43" t="n">
        <x:f>L8/INDEX('Balance Inputs'!$M$2:$M$51,MATCH(A8,'Balance Inputs'!$I$2:$I$51,0))</x:f>
        <x:v>1</x:v>
      </x:c>
      <x:c r="R8" s="17"/>
      <x:c r="S8" s="17"/>
      <x:c r="T8" s="17"/>
      <x:c r="U8" s="17"/>
      <x:c r="V8" s="17"/>
      <x:c r="W8" s="17"/>
      <x:c r="X8" s="17"/>
      <x:c r="Y8" s="17"/>
      <x:c r="Z8" s="17"/>
    </x:row>
    <x:row r="9">
      <x:c r="A9" s="17" t="n">
        <x:v>2</x:v>
      </x:c>
      <x:c r="B9" s="17" t="str">
        <x:v>Trading Booth</x:v>
      </x:c>
      <x:c r="C9" s="17" t="str">
        <x:v>Humble</x:v>
      </x:c>
      <x:c r="D9" s="17" t="str">
        <x:v>Common</x:v>
      </x:c>
      <x:c r="E9" s="17" t="n">
        <x:v>2</x:v>
      </x:c>
      <x:c r="F9" s="17" t="n">
        <x:v>2</x:v>
      </x:c>
      <x:c r="G9" s="17" t="str">
        <x:v>Upgrade to Lv2</x:v>
      </x:c>
      <x:c r="H9" s="38" t="n">
        <x:f>ROUND(H8*INDEX('Balance Inputs'!$C$2:$C$7,MATCH(C9,'Balance Inputs'!$A$2:$A$7,0)),0)</x:f>
        <x:v>574</x:v>
      </x:c>
      <x:c r="I9" s="38" t="n">
        <x:f>ROUND(INDEX('Balance Inputs'!$L$2:$L$51,MATCH(A9,'Balance Inputs'!$I$2:$I$51,0))*POWER(INDEX('Balance Inputs'!$D$2:$D$7,MATCH(C9,'Balance Inputs'!$A$2:$A$7,0)),F9-1),0)</x:f>
        <x:v>67</x:v>
      </x:c>
      <x:c r="J9" s="38" t="n">
        <x:f>ROUND(I9*INDEX('Balance Inputs'!$F$2:$F$7,MATCH(C9,'Balance Inputs'!$A$2:$A$7,0)),0)</x:f>
        <x:v>8</x:v>
      </x:c>
      <x:c r="K9" s="38" t="n">
        <x:f>I9-J9</x:f>
        <x:v>59</x:v>
      </x:c>
      <x:c r="L9" s="38" t="n">
        <x:f>ROUND(INDEX('Balance Inputs'!$M$2:$M$51,MATCH(A9,'Balance Inputs'!$I$2:$I$51,0))*POWER(INDEX('Balance Inputs'!$E$2:$E$7,MATCH(C9,'Balance Inputs'!$A$2:$A$7,0)),F9-1),0)</x:f>
        <x:v>94</x:v>
      </x:c>
      <x:c r="M9" s="38" t="n">
        <x:f>ROUND(INDEX('Balance Inputs'!$N$2:$N$51,MATCH(A9,'Balance Inputs'!$I$2:$I$51,0))*POWER(INDEX('Balance Inputs'!$G$2:$G$7,MATCH(C9,'Balance Inputs'!$A$2:$A$7,0)),F9-1),0)</x:f>
        <x:v>10</x:v>
      </x:c>
      <x:c r="N9" s="38" t="n">
        <x:f>IF(A9&lt;&gt;A8,H9,N8+H9)</x:f>
        <x:v>944</x:v>
      </x:c>
      <x:c r="O9" s="42" t="n">
        <x:f>IF(I9=0,0,H9/I9)</x:f>
        <x:v>8.567164179104477</x:v>
      </x:c>
      <x:c r="P9" s="43" t="n">
        <x:f>I9/INDEX('Balance Inputs'!$L$2:$L$51,MATCH(A9,'Balance Inputs'!$I$2:$I$51,0))</x:f>
        <x:v>1.34</x:v>
      </x:c>
      <x:c r="Q9" s="43" t="n">
        <x:f>L9/INDEX('Balance Inputs'!$M$2:$M$51,MATCH(A9,'Balance Inputs'!$I$2:$I$51,0))</x:f>
        <x:v>1.323943661971831</x:v>
      </x:c>
      <x:c r="R9" s="17"/>
      <x:c r="S9" s="17"/>
      <x:c r="T9" s="17"/>
      <x:c r="U9" s="17"/>
      <x:c r="V9" s="17"/>
      <x:c r="W9" s="17"/>
      <x:c r="X9" s="17"/>
      <x:c r="Y9" s="17"/>
      <x:c r="Z9" s="17"/>
    </x:row>
    <x:row r="10">
      <x:c r="A10" s="17" t="n">
        <x:v>2</x:v>
      </x:c>
      <x:c r="B10" s="17" t="str">
        <x:v>Trading Booth</x:v>
      </x:c>
      <x:c r="C10" s="17" t="str">
        <x:v>Humble</x:v>
      </x:c>
      <x:c r="D10" s="17" t="str">
        <x:v>Common</x:v>
      </x:c>
      <x:c r="E10" s="17" t="n">
        <x:v>2</x:v>
      </x:c>
      <x:c r="F10" s="17" t="n">
        <x:v>3</x:v>
      </x:c>
      <x:c r="G10" s="17" t="str">
        <x:v>Upgrade to Lv3</x:v>
      </x:c>
      <x:c r="H10" s="38" t="n">
        <x:f>ROUND(H9*INDEX('Balance Inputs'!$C$2:$C$7,MATCH(C10,'Balance Inputs'!$A$2:$A$7,0)),0)</x:f>
        <x:v>890</x:v>
      </x:c>
      <x:c r="I10" s="38" t="n">
        <x:f>ROUND(INDEX('Balance Inputs'!$L$2:$L$51,MATCH(A10,'Balance Inputs'!$I$2:$I$51,0))*POWER(INDEX('Balance Inputs'!$D$2:$D$7,MATCH(C10,'Balance Inputs'!$A$2:$A$7,0)),F10-1),0)</x:f>
        <x:v>90</x:v>
      </x:c>
      <x:c r="J10" s="38" t="n">
        <x:f>ROUND(I10*INDEX('Balance Inputs'!$F$2:$F$7,MATCH(C10,'Balance Inputs'!$A$2:$A$7,0)),0)</x:f>
        <x:v>11</x:v>
      </x:c>
      <x:c r="K10" s="38" t="n">
        <x:f>I10-J10</x:f>
        <x:v>79</x:v>
      </x:c>
      <x:c r="L10" s="38" t="n">
        <x:f>ROUND(INDEX('Balance Inputs'!$M$2:$M$51,MATCH(A10,'Balance Inputs'!$I$2:$I$51,0))*POWER(INDEX('Balance Inputs'!$E$2:$E$7,MATCH(C10,'Balance Inputs'!$A$2:$A$7,0)),F10-1),0)</x:f>
        <x:v>124</x:v>
      </x:c>
      <x:c r="M10" s="38" t="n">
        <x:f>ROUND(INDEX('Balance Inputs'!$N$2:$N$51,MATCH(A10,'Balance Inputs'!$I$2:$I$51,0))*POWER(INDEX('Balance Inputs'!$G$2:$G$7,MATCH(C10,'Balance Inputs'!$A$2:$A$7,0)),F10-1),0)</x:f>
        <x:v>10</x:v>
      </x:c>
      <x:c r="N10" s="38" t="n">
        <x:f>IF(A10&lt;&gt;A9,H10,N9+H10)</x:f>
        <x:v>1834</x:v>
      </x:c>
      <x:c r="O10" s="42" t="n">
        <x:f>IF(I10=0,0,H10/I10)</x:f>
        <x:v>9.88888888888889</x:v>
      </x:c>
      <x:c r="P10" s="43" t="n">
        <x:f>I10/INDEX('Balance Inputs'!$L$2:$L$51,MATCH(A10,'Balance Inputs'!$I$2:$I$51,0))</x:f>
        <x:v>1.8</x:v>
      </x:c>
      <x:c r="Q10" s="43" t="n">
        <x:f>L10/INDEX('Balance Inputs'!$M$2:$M$51,MATCH(A10,'Balance Inputs'!$I$2:$I$51,0))</x:f>
        <x:v>1.7464788732394365</x:v>
      </x:c>
      <x:c r="R10" s="17"/>
      <x:c r="S10" s="17"/>
      <x:c r="T10" s="17"/>
      <x:c r="U10" s="17"/>
      <x:c r="V10" s="17"/>
      <x:c r="W10" s="17"/>
      <x:c r="X10" s="17"/>
      <x:c r="Y10" s="17"/>
      <x:c r="Z10" s="17"/>
    </x:row>
    <x:row r="11">
      <x:c r="A11" s="17" t="n">
        <x:v>2</x:v>
      </x:c>
      <x:c r="B11" s="17" t="str">
        <x:v>Trading Booth</x:v>
      </x:c>
      <x:c r="C11" s="17" t="str">
        <x:v>Humble</x:v>
      </x:c>
      <x:c r="D11" s="17" t="str">
        <x:v>Common</x:v>
      </x:c>
      <x:c r="E11" s="17" t="n">
        <x:v>2</x:v>
      </x:c>
      <x:c r="F11" s="17" t="n">
        <x:v>4</x:v>
      </x:c>
      <x:c r="G11" s="17" t="str">
        <x:v>Upgrade to Lv4</x:v>
      </x:c>
      <x:c r="H11" s="38" t="n">
        <x:f>ROUND(H10*INDEX('Balance Inputs'!$C$2:$C$7,MATCH(C11,'Balance Inputs'!$A$2:$A$7,0)),0)</x:f>
        <x:v>1380</x:v>
      </x:c>
      <x:c r="I11" s="38" t="n">
        <x:f>ROUND(INDEX('Balance Inputs'!$L$2:$L$51,MATCH(A11,'Balance Inputs'!$I$2:$I$51,0))*POWER(INDEX('Balance Inputs'!$D$2:$D$7,MATCH(C11,'Balance Inputs'!$A$2:$A$7,0)),F11-1),0)</x:f>
        <x:v>120</x:v>
      </x:c>
      <x:c r="J11" s="38" t="n">
        <x:f>ROUND(I11*INDEX('Balance Inputs'!$F$2:$F$7,MATCH(C11,'Balance Inputs'!$A$2:$A$7,0)),0)</x:f>
        <x:v>14</x:v>
      </x:c>
      <x:c r="K11" s="38" t="n">
        <x:f>I11-J11</x:f>
        <x:v>106</x:v>
      </x:c>
      <x:c r="L11" s="38" t="n">
        <x:f>ROUND(INDEX('Balance Inputs'!$M$2:$M$51,MATCH(A11,'Balance Inputs'!$I$2:$I$51,0))*POWER(INDEX('Balance Inputs'!$E$2:$E$7,MATCH(C11,'Balance Inputs'!$A$2:$A$7,0)),F11-1),0)</x:f>
        <x:v>163</x:v>
      </x:c>
      <x:c r="M11" s="38" t="n">
        <x:f>ROUND(INDEX('Balance Inputs'!$N$2:$N$51,MATCH(A11,'Balance Inputs'!$I$2:$I$51,0))*POWER(INDEX('Balance Inputs'!$G$2:$G$7,MATCH(C11,'Balance Inputs'!$A$2:$A$7,0)),F11-1),0)</x:f>
        <x:v>10</x:v>
      </x:c>
      <x:c r="N11" s="38" t="n">
        <x:f>IF(A11&lt;&gt;A10,H11,N10+H11)</x:f>
        <x:v>3214</x:v>
      </x:c>
      <x:c r="O11" s="42" t="n">
        <x:f>IF(I11=0,0,H11/I11)</x:f>
        <x:v>11.5</x:v>
      </x:c>
      <x:c r="P11" s="43" t="n">
        <x:f>I11/INDEX('Balance Inputs'!$L$2:$L$51,MATCH(A11,'Balance Inputs'!$I$2:$I$51,0))</x:f>
        <x:v>2.4</x:v>
      </x:c>
      <x:c r="Q11" s="43" t="n">
        <x:f>L11/INDEX('Balance Inputs'!$M$2:$M$51,MATCH(A11,'Balance Inputs'!$I$2:$I$51,0))</x:f>
        <x:v>2.295774647887324</x:v>
      </x:c>
      <x:c r="R11" s="17"/>
      <x:c r="S11" s="17"/>
      <x:c r="T11" s="17"/>
      <x:c r="U11" s="17"/>
      <x:c r="V11" s="17"/>
      <x:c r="W11" s="17"/>
      <x:c r="X11" s="17"/>
      <x:c r="Y11" s="17"/>
      <x:c r="Z11" s="17"/>
    </x:row>
    <x:row r="12">
      <x:c r="A12" s="17" t="n">
        <x:v>2</x:v>
      </x:c>
      <x:c r="B12" s="17" t="str">
        <x:v>Trading Booth</x:v>
      </x:c>
      <x:c r="C12" s="17" t="str">
        <x:v>Humble</x:v>
      </x:c>
      <x:c r="D12" s="17" t="str">
        <x:v>Common</x:v>
      </x:c>
      <x:c r="E12" s="17" t="n">
        <x:v>2</x:v>
      </x:c>
      <x:c r="F12" s="17" t="n">
        <x:v>5</x:v>
      </x:c>
      <x:c r="G12" s="17" t="str">
        <x:v>Upgrade to Lv5</x:v>
      </x:c>
      <x:c r="H12" s="38" t="n">
        <x:f>ROUND(H11*INDEX('Balance Inputs'!$C$2:$C$7,MATCH(C12,'Balance Inputs'!$A$2:$A$7,0)),0)</x:f>
        <x:v>2139</x:v>
      </x:c>
      <x:c r="I12" s="38" t="n">
        <x:f>ROUND(INDEX('Balance Inputs'!$L$2:$L$51,MATCH(A12,'Balance Inputs'!$I$2:$I$51,0))*POWER(INDEX('Balance Inputs'!$D$2:$D$7,MATCH(C12,'Balance Inputs'!$A$2:$A$7,0)),F12-1),0)</x:f>
        <x:v>161</x:v>
      </x:c>
      <x:c r="J12" s="38" t="n">
        <x:f>ROUND(I12*INDEX('Balance Inputs'!$F$2:$F$7,MATCH(C12,'Balance Inputs'!$A$2:$A$7,0)),0)</x:f>
        <x:v>19</x:v>
      </x:c>
      <x:c r="K12" s="38" t="n">
        <x:f>I12-J12</x:f>
        <x:v>142</x:v>
      </x:c>
      <x:c r="L12" s="38" t="n">
        <x:f>ROUND(INDEX('Balance Inputs'!$M$2:$M$51,MATCH(A12,'Balance Inputs'!$I$2:$I$51,0))*POWER(INDEX('Balance Inputs'!$E$2:$E$7,MATCH(C12,'Balance Inputs'!$A$2:$A$7,0)),F12-1),0)</x:f>
        <x:v>216</x:v>
      </x:c>
      <x:c r="M12" s="38" t="n">
        <x:f>ROUND(INDEX('Balance Inputs'!$N$2:$N$51,MATCH(A12,'Balance Inputs'!$I$2:$I$51,0))*POWER(INDEX('Balance Inputs'!$G$2:$G$7,MATCH(C12,'Balance Inputs'!$A$2:$A$7,0)),F12-1),0)</x:f>
        <x:v>10</x:v>
      </x:c>
      <x:c r="N12" s="38" t="n">
        <x:f>IF(A12&lt;&gt;A11,H12,N11+H12)</x:f>
        <x:v>5353</x:v>
      </x:c>
      <x:c r="O12" s="42" t="n">
        <x:f>IF(I12=0,0,H12/I12)</x:f>
        <x:v>13.285714285714286</x:v>
      </x:c>
      <x:c r="P12" s="43" t="n">
        <x:f>I12/INDEX('Balance Inputs'!$L$2:$L$51,MATCH(A12,'Balance Inputs'!$I$2:$I$51,0))</x:f>
        <x:v>3.22</x:v>
      </x:c>
      <x:c r="Q12" s="43" t="n">
        <x:f>L12/INDEX('Balance Inputs'!$M$2:$M$51,MATCH(A12,'Balance Inputs'!$I$2:$I$51,0))</x:f>
        <x:v>3.0422535211267605</x:v>
      </x:c>
      <x:c r="R12" s="17"/>
      <x:c r="S12" s="17"/>
      <x:c r="T12" s="17"/>
      <x:c r="U12" s="17"/>
      <x:c r="V12" s="17"/>
      <x:c r="W12" s="17"/>
      <x:c r="X12" s="17"/>
      <x:c r="Y12" s="17"/>
      <x:c r="Z12" s="17"/>
    </x:row>
    <x:row r="13">
      <x:c r="A13" s="17" t="n">
        <x:v>2</x:v>
      </x:c>
      <x:c r="B13" s="17" t="str">
        <x:v>Trading Booth</x:v>
      </x:c>
      <x:c r="C13" s="17" t="str">
        <x:v>Humble</x:v>
      </x:c>
      <x:c r="D13" s="17" t="str">
        <x:v>Common</x:v>
      </x:c>
      <x:c r="E13" s="17" t="n">
        <x:v>2</x:v>
      </x:c>
      <x:c r="F13" s="17" t="n">
        <x:v>6</x:v>
      </x:c>
      <x:c r="G13" s="17" t="str">
        <x:v>Upgrade to Lv6</x:v>
      </x:c>
      <x:c r="H13" s="38" t="n">
        <x:f>ROUND(H12*INDEX('Balance Inputs'!$C$2:$C$7,MATCH(C13,'Balance Inputs'!$A$2:$A$7,0)),0)</x:f>
        <x:v>3315</x:v>
      </x:c>
      <x:c r="I13" s="38" t="n">
        <x:f>ROUND(INDEX('Balance Inputs'!$L$2:$L$51,MATCH(A13,'Balance Inputs'!$I$2:$I$51,0))*POWER(INDEX('Balance Inputs'!$D$2:$D$7,MATCH(C13,'Balance Inputs'!$A$2:$A$7,0)),F13-1),0)</x:f>
        <x:v>216</x:v>
      </x:c>
      <x:c r="J13" s="38" t="n">
        <x:f>ROUND(I13*INDEX('Balance Inputs'!$F$2:$F$7,MATCH(C13,'Balance Inputs'!$A$2:$A$7,0)),0)</x:f>
        <x:v>26</x:v>
      </x:c>
      <x:c r="K13" s="38" t="n">
        <x:f>I13-J13</x:f>
        <x:v>190</x:v>
      </x:c>
      <x:c r="L13" s="38" t="n">
        <x:f>ROUND(INDEX('Balance Inputs'!$M$2:$M$51,MATCH(A13,'Balance Inputs'!$I$2:$I$51,0))*POWER(INDEX('Balance Inputs'!$E$2:$E$7,MATCH(C13,'Balance Inputs'!$A$2:$A$7,0)),F13-1),0)</x:f>
        <x:v>285</x:v>
      </x:c>
      <x:c r="M13" s="38" t="n">
        <x:f>ROUND(INDEX('Balance Inputs'!$N$2:$N$51,MATCH(A13,'Balance Inputs'!$I$2:$I$51,0))*POWER(INDEX('Balance Inputs'!$G$2:$G$7,MATCH(C13,'Balance Inputs'!$A$2:$A$7,0)),F13-1),0)</x:f>
        <x:v>10</x:v>
      </x:c>
      <x:c r="N13" s="38" t="n">
        <x:f>IF(A13&lt;&gt;A12,H13,N12+H13)</x:f>
        <x:v>8668</x:v>
      </x:c>
      <x:c r="O13" s="42" t="n">
        <x:f>IF(I13=0,0,H13/I13)</x:f>
        <x:v>15.347222222222221</x:v>
      </x:c>
      <x:c r="P13" s="43" t="n">
        <x:f>I13/INDEX('Balance Inputs'!$L$2:$L$51,MATCH(A13,'Balance Inputs'!$I$2:$I$51,0))</x:f>
        <x:v>4.32</x:v>
      </x:c>
      <x:c r="Q13" s="43" t="n">
        <x:f>L13/INDEX('Balance Inputs'!$M$2:$M$51,MATCH(A13,'Balance Inputs'!$I$2:$I$51,0))</x:f>
        <x:v>4.014084507042254</x:v>
      </x:c>
      <x:c r="R13" s="17"/>
      <x:c r="S13" s="17"/>
      <x:c r="T13" s="17"/>
      <x:c r="U13" s="17"/>
      <x:c r="V13" s="17"/>
      <x:c r="W13" s="17"/>
      <x:c r="X13" s="17"/>
      <x:c r="Y13" s="17"/>
      <x:c r="Z13" s="17"/>
    </x:row>
    <x:row r="14">
      <x:c r="A14" s="17" t="n">
        <x:v>3</x:v>
      </x:c>
      <x:c r="B14" s="17" t="str">
        <x:v>Savings Stand</x:v>
      </x:c>
      <x:c r="C14" s="17" t="str">
        <x:v>Humble</x:v>
      </x:c>
      <x:c r="D14" s="17" t="str">
        <x:v>Common</x:v>
      </x:c>
      <x:c r="E14" s="17" t="n">
        <x:v>3</x:v>
      </x:c>
      <x:c r="F14" s="17" t="n">
        <x:v>1</x:v>
      </x:c>
      <x:c r="G14" s="17" t="str">
        <x:v>Build</x:v>
      </x:c>
      <x:c r="H14" s="38" t="n">
        <x:f>INDEX('Balance Inputs'!$K$2:$K$51,MATCH(A14,'Balance Inputs'!$I$2:$I$51,0))</x:f>
        <x:v>460</x:v>
      </x:c>
      <x:c r="I14" s="38" t="n">
        <x:f>ROUND(INDEX('Balance Inputs'!$L$2:$L$51,MATCH(A14,'Balance Inputs'!$I$2:$I$51,0))*POWER(INDEX('Balance Inputs'!$D$2:$D$7,MATCH(C14,'Balance Inputs'!$A$2:$A$7,0)),F14-1),0)</x:f>
        <x:v>53</x:v>
      </x:c>
      <x:c r="J14" s="38" t="n">
        <x:f>ROUND(I14*INDEX('Balance Inputs'!$F$2:$F$7,MATCH(C14,'Balance Inputs'!$A$2:$A$7,0)),0)</x:f>
        <x:v>6</x:v>
      </x:c>
      <x:c r="K14" s="38" t="n">
        <x:f>I14-J14</x:f>
        <x:v>47</x:v>
      </x:c>
      <x:c r="L14" s="38" t="n">
        <x:f>ROUND(INDEX('Balance Inputs'!$M$2:$M$51,MATCH(A14,'Balance Inputs'!$I$2:$I$51,0))*POWER(INDEX('Balance Inputs'!$E$2:$E$7,MATCH(C14,'Balance Inputs'!$A$2:$A$7,0)),F14-1),0)</x:f>
        <x:v>85</x:v>
      </x:c>
      <x:c r="M14" s="38" t="n">
        <x:f>ROUND(INDEX('Balance Inputs'!$N$2:$N$51,MATCH(A14,'Balance Inputs'!$I$2:$I$51,0))*POWER(INDEX('Balance Inputs'!$G$2:$G$7,MATCH(C14,'Balance Inputs'!$A$2:$A$7,0)),F14-1),0)</x:f>
        <x:v>10</x:v>
      </x:c>
      <x:c r="N14" s="38" t="n">
        <x:f>IF(A14&lt;&gt;A13,H14,N13+H14)</x:f>
        <x:v>460</x:v>
      </x:c>
      <x:c r="O14" s="42" t="n">
        <x:f>IF(I14=0,0,H14/I14)</x:f>
        <x:v>8.679245283018869</x:v>
      </x:c>
      <x:c r="P14" s="43" t="n">
        <x:f>I14/INDEX('Balance Inputs'!$L$2:$L$51,MATCH(A14,'Balance Inputs'!$I$2:$I$51,0))</x:f>
        <x:v>1</x:v>
      </x:c>
      <x:c r="Q14" s="43" t="n">
        <x:f>L14/INDEX('Balance Inputs'!$M$2:$M$51,MATCH(A14,'Balance Inputs'!$I$2:$I$51,0))</x:f>
        <x:v>1</x:v>
      </x:c>
      <x:c r="R14" s="17"/>
      <x:c r="S14" s="17"/>
      <x:c r="T14" s="17"/>
      <x:c r="U14" s="17"/>
      <x:c r="V14" s="17"/>
      <x:c r="W14" s="17"/>
      <x:c r="X14" s="17"/>
      <x:c r="Y14" s="17"/>
      <x:c r="Z14" s="17"/>
    </x:row>
    <x:row r="15">
      <x:c r="A15" s="17" t="n">
        <x:v>3</x:v>
      </x:c>
      <x:c r="B15" s="17" t="str">
        <x:v>Savings Stand</x:v>
      </x:c>
      <x:c r="C15" s="17" t="str">
        <x:v>Humble</x:v>
      </x:c>
      <x:c r="D15" s="17" t="str">
        <x:v>Common</x:v>
      </x:c>
      <x:c r="E15" s="17" t="n">
        <x:v>3</x:v>
      </x:c>
      <x:c r="F15" s="17" t="n">
        <x:v>2</x:v>
      </x:c>
      <x:c r="G15" s="17" t="str">
        <x:v>Upgrade to Lv2</x:v>
      </x:c>
      <x:c r="H15" s="38" t="n">
        <x:f>ROUND(H14*INDEX('Balance Inputs'!$C$2:$C$7,MATCH(C15,'Balance Inputs'!$A$2:$A$7,0)),0)</x:f>
        <x:v>713</x:v>
      </x:c>
      <x:c r="I15" s="38" t="n">
        <x:f>ROUND(INDEX('Balance Inputs'!$L$2:$L$51,MATCH(A15,'Balance Inputs'!$I$2:$I$51,0))*POWER(INDEX('Balance Inputs'!$D$2:$D$7,MATCH(C15,'Balance Inputs'!$A$2:$A$7,0)),F15-1),0)</x:f>
        <x:v>71</x:v>
      </x:c>
      <x:c r="J15" s="38" t="n">
        <x:f>ROUND(I15*INDEX('Balance Inputs'!$F$2:$F$7,MATCH(C15,'Balance Inputs'!$A$2:$A$7,0)),0)</x:f>
        <x:v>9</x:v>
      </x:c>
      <x:c r="K15" s="38" t="n">
        <x:f>I15-J15</x:f>
        <x:v>62</x:v>
      </x:c>
      <x:c r="L15" s="38" t="n">
        <x:f>ROUND(INDEX('Balance Inputs'!$M$2:$M$51,MATCH(A15,'Balance Inputs'!$I$2:$I$51,0))*POWER(INDEX('Balance Inputs'!$E$2:$E$7,MATCH(C15,'Balance Inputs'!$A$2:$A$7,0)),F15-1),0)</x:f>
        <x:v>112</x:v>
      </x:c>
      <x:c r="M15" s="38" t="n">
        <x:f>ROUND(INDEX('Balance Inputs'!$N$2:$N$51,MATCH(A15,'Balance Inputs'!$I$2:$I$51,0))*POWER(INDEX('Balance Inputs'!$G$2:$G$7,MATCH(C15,'Balance Inputs'!$A$2:$A$7,0)),F15-1),0)</x:f>
        <x:v>10</x:v>
      </x:c>
      <x:c r="N15" s="38" t="n">
        <x:f>IF(A15&lt;&gt;A14,H15,N14+H15)</x:f>
        <x:v>1173</x:v>
      </x:c>
      <x:c r="O15" s="42" t="n">
        <x:f>IF(I15=0,0,H15/I15)</x:f>
        <x:v>10.04225352112676</x:v>
      </x:c>
      <x:c r="P15" s="43" t="n">
        <x:f>I15/INDEX('Balance Inputs'!$L$2:$L$51,MATCH(A15,'Balance Inputs'!$I$2:$I$51,0))</x:f>
        <x:v>1.3396226415094339</x:v>
      </x:c>
      <x:c r="Q15" s="43" t="n">
        <x:f>L15/INDEX('Balance Inputs'!$M$2:$M$51,MATCH(A15,'Balance Inputs'!$I$2:$I$51,0))</x:f>
        <x:v>1.3176470588235294</x:v>
      </x:c>
      <x:c r="R15" s="17"/>
      <x:c r="S15" s="17"/>
      <x:c r="T15" s="17"/>
      <x:c r="U15" s="17"/>
      <x:c r="V15" s="17"/>
      <x:c r="W15" s="17"/>
      <x:c r="X15" s="17"/>
      <x:c r="Y15" s="17"/>
      <x:c r="Z15" s="17"/>
    </x:row>
    <x:row r="16">
      <x:c r="A16" s="17" t="n">
        <x:v>3</x:v>
      </x:c>
      <x:c r="B16" s="17" t="str">
        <x:v>Savings Stand</x:v>
      </x:c>
      <x:c r="C16" s="17" t="str">
        <x:v>Humble</x:v>
      </x:c>
      <x:c r="D16" s="17" t="str">
        <x:v>Common</x:v>
      </x:c>
      <x:c r="E16" s="17" t="n">
        <x:v>3</x:v>
      </x:c>
      <x:c r="F16" s="17" t="n">
        <x:v>3</x:v>
      </x:c>
      <x:c r="G16" s="17" t="str">
        <x:v>Upgrade to Lv3</x:v>
      </x:c>
      <x:c r="H16" s="38" t="n">
        <x:f>ROUND(H15*INDEX('Balance Inputs'!$C$2:$C$7,MATCH(C16,'Balance Inputs'!$A$2:$A$7,0)),0)</x:f>
        <x:v>1105</x:v>
      </x:c>
      <x:c r="I16" s="38" t="n">
        <x:f>ROUND(INDEX('Balance Inputs'!$L$2:$L$51,MATCH(A16,'Balance Inputs'!$I$2:$I$51,0))*POWER(INDEX('Balance Inputs'!$D$2:$D$7,MATCH(C16,'Balance Inputs'!$A$2:$A$7,0)),F16-1),0)</x:f>
        <x:v>95</x:v>
      </x:c>
      <x:c r="J16" s="38" t="n">
        <x:f>ROUND(I16*INDEX('Balance Inputs'!$F$2:$F$7,MATCH(C16,'Balance Inputs'!$A$2:$A$7,0)),0)</x:f>
        <x:v>11</x:v>
      </x:c>
      <x:c r="K16" s="38" t="n">
        <x:f>I16-J16</x:f>
        <x:v>84</x:v>
      </x:c>
      <x:c r="L16" s="38" t="n">
        <x:f>ROUND(INDEX('Balance Inputs'!$M$2:$M$51,MATCH(A16,'Balance Inputs'!$I$2:$I$51,0))*POWER(INDEX('Balance Inputs'!$E$2:$E$7,MATCH(C16,'Balance Inputs'!$A$2:$A$7,0)),F16-1),0)</x:f>
        <x:v>148</x:v>
      </x:c>
      <x:c r="M16" s="38" t="n">
        <x:f>ROUND(INDEX('Balance Inputs'!$N$2:$N$51,MATCH(A16,'Balance Inputs'!$I$2:$I$51,0))*POWER(INDEX('Balance Inputs'!$G$2:$G$7,MATCH(C16,'Balance Inputs'!$A$2:$A$7,0)),F16-1),0)</x:f>
        <x:v>10</x:v>
      </x:c>
      <x:c r="N16" s="38" t="n">
        <x:f>IF(A16&lt;&gt;A15,H16,N15+H16)</x:f>
        <x:v>2278</x:v>
      </x:c>
      <x:c r="O16" s="42" t="n">
        <x:f>IF(I16=0,0,H16/I16)</x:f>
        <x:v>11.631578947368421</x:v>
      </x:c>
      <x:c r="P16" s="43" t="n">
        <x:f>I16/INDEX('Balance Inputs'!$L$2:$L$51,MATCH(A16,'Balance Inputs'!$I$2:$I$51,0))</x:f>
        <x:v>1.7924528301886793</x:v>
      </x:c>
      <x:c r="Q16" s="43" t="n">
        <x:f>L16/INDEX('Balance Inputs'!$M$2:$M$51,MATCH(A16,'Balance Inputs'!$I$2:$I$51,0))</x:f>
        <x:v>1.7411764705882353</x:v>
      </x:c>
      <x:c r="R16" s="17"/>
      <x:c r="S16" s="17"/>
      <x:c r="T16" s="17"/>
      <x:c r="U16" s="17"/>
      <x:c r="V16" s="17"/>
      <x:c r="W16" s="17"/>
      <x:c r="X16" s="17"/>
      <x:c r="Y16" s="17"/>
      <x:c r="Z16" s="17"/>
    </x:row>
    <x:row r="17">
      <x:c r="A17" s="17" t="n">
        <x:v>3</x:v>
      </x:c>
      <x:c r="B17" s="17" t="str">
        <x:v>Savings Stand</x:v>
      </x:c>
      <x:c r="C17" s="17" t="str">
        <x:v>Humble</x:v>
      </x:c>
      <x:c r="D17" s="17" t="str">
        <x:v>Common</x:v>
      </x:c>
      <x:c r="E17" s="17" t="n">
        <x:v>3</x:v>
      </x:c>
      <x:c r="F17" s="17" t="n">
        <x:v>4</x:v>
      </x:c>
      <x:c r="G17" s="17" t="str">
        <x:v>Upgrade to Lv4</x:v>
      </x:c>
      <x:c r="H17" s="38" t="n">
        <x:f>ROUND(H16*INDEX('Balance Inputs'!$C$2:$C$7,MATCH(C17,'Balance Inputs'!$A$2:$A$7,0)),0)</x:f>
        <x:v>1713</x:v>
      </x:c>
      <x:c r="I17" s="38" t="n">
        <x:f>ROUND(INDEX('Balance Inputs'!$L$2:$L$51,MATCH(A17,'Balance Inputs'!$I$2:$I$51,0))*POWER(INDEX('Balance Inputs'!$D$2:$D$7,MATCH(C17,'Balance Inputs'!$A$2:$A$7,0)),F17-1),0)</x:f>
        <x:v>128</x:v>
      </x:c>
      <x:c r="J17" s="38" t="n">
        <x:f>ROUND(I17*INDEX('Balance Inputs'!$F$2:$F$7,MATCH(C17,'Balance Inputs'!$A$2:$A$7,0)),0)</x:f>
        <x:v>15</x:v>
      </x:c>
      <x:c r="K17" s="38" t="n">
        <x:f>I17-J17</x:f>
        <x:v>113</x:v>
      </x:c>
      <x:c r="L17" s="38" t="n">
        <x:f>ROUND(INDEX('Balance Inputs'!$M$2:$M$51,MATCH(A17,'Balance Inputs'!$I$2:$I$51,0))*POWER(INDEX('Balance Inputs'!$E$2:$E$7,MATCH(C17,'Balance Inputs'!$A$2:$A$7,0)),F17-1),0)</x:f>
        <x:v>195</x:v>
      </x:c>
      <x:c r="M17" s="38" t="n">
        <x:f>ROUND(INDEX('Balance Inputs'!$N$2:$N$51,MATCH(A17,'Balance Inputs'!$I$2:$I$51,0))*POWER(INDEX('Balance Inputs'!$G$2:$G$7,MATCH(C17,'Balance Inputs'!$A$2:$A$7,0)),F17-1),0)</x:f>
        <x:v>10</x:v>
      </x:c>
      <x:c r="N17" s="38" t="n">
        <x:f>IF(A17&lt;&gt;A16,H17,N16+H17)</x:f>
        <x:v>3991</x:v>
      </x:c>
      <x:c r="O17" s="42" t="n">
        <x:f>IF(I17=0,0,H17/I17)</x:f>
        <x:v>13.3828125</x:v>
      </x:c>
      <x:c r="P17" s="43" t="n">
        <x:f>I17/INDEX('Balance Inputs'!$L$2:$L$51,MATCH(A17,'Balance Inputs'!$I$2:$I$51,0))</x:f>
        <x:v>2.4150943396226414</x:v>
      </x:c>
      <x:c r="Q17" s="43" t="n">
        <x:f>L17/INDEX('Balance Inputs'!$M$2:$M$51,MATCH(A17,'Balance Inputs'!$I$2:$I$51,0))</x:f>
        <x:v>2.2941176470588234</x:v>
      </x:c>
      <x:c r="R17" s="17"/>
      <x:c r="S17" s="17"/>
      <x:c r="T17" s="17"/>
      <x:c r="U17" s="17"/>
      <x:c r="V17" s="17"/>
      <x:c r="W17" s="17"/>
      <x:c r="X17" s="17"/>
      <x:c r="Y17" s="17"/>
      <x:c r="Z17" s="17"/>
    </x:row>
    <x:row r="18">
      <x:c r="A18" s="17" t="n">
        <x:v>3</x:v>
      </x:c>
      <x:c r="B18" s="17" t="str">
        <x:v>Savings Stand</x:v>
      </x:c>
      <x:c r="C18" s="17" t="str">
        <x:v>Humble</x:v>
      </x:c>
      <x:c r="D18" s="17" t="str">
        <x:v>Common</x:v>
      </x:c>
      <x:c r="E18" s="17" t="n">
        <x:v>3</x:v>
      </x:c>
      <x:c r="F18" s="17" t="n">
        <x:v>5</x:v>
      </x:c>
      <x:c r="G18" s="17" t="str">
        <x:v>Upgrade to Lv5</x:v>
      </x:c>
      <x:c r="H18" s="38" t="n">
        <x:f>ROUND(H17*INDEX('Balance Inputs'!$C$2:$C$7,MATCH(C18,'Balance Inputs'!$A$2:$A$7,0)),0)</x:f>
        <x:v>2655</x:v>
      </x:c>
      <x:c r="I18" s="38" t="n">
        <x:f>ROUND(INDEX('Balance Inputs'!$L$2:$L$51,MATCH(A18,'Balance Inputs'!$I$2:$I$51,0))*POWER(INDEX('Balance Inputs'!$D$2:$D$7,MATCH(C18,'Balance Inputs'!$A$2:$A$7,0)),F18-1),0)</x:f>
        <x:v>171</x:v>
      </x:c>
      <x:c r="J18" s="38" t="n">
        <x:f>ROUND(I18*INDEX('Balance Inputs'!$F$2:$F$7,MATCH(C18,'Balance Inputs'!$A$2:$A$7,0)),0)</x:f>
        <x:v>21</x:v>
      </x:c>
      <x:c r="K18" s="38" t="n">
        <x:f>I18-J18</x:f>
        <x:v>150</x:v>
      </x:c>
      <x:c r="L18" s="38" t="n">
        <x:f>ROUND(INDEX('Balance Inputs'!$M$2:$M$51,MATCH(A18,'Balance Inputs'!$I$2:$I$51,0))*POWER(INDEX('Balance Inputs'!$E$2:$E$7,MATCH(C18,'Balance Inputs'!$A$2:$A$7,0)),F18-1),0)</x:f>
        <x:v>258</x:v>
      </x:c>
      <x:c r="M18" s="38" t="n">
        <x:f>ROUND(INDEX('Balance Inputs'!$N$2:$N$51,MATCH(A18,'Balance Inputs'!$I$2:$I$51,0))*POWER(INDEX('Balance Inputs'!$G$2:$G$7,MATCH(C18,'Balance Inputs'!$A$2:$A$7,0)),F18-1),0)</x:f>
        <x:v>10</x:v>
      </x:c>
      <x:c r="N18" s="38" t="n">
        <x:f>IF(A18&lt;&gt;A17,H18,N17+H18)</x:f>
        <x:v>6646</x:v>
      </x:c>
      <x:c r="O18" s="42" t="n">
        <x:f>IF(I18=0,0,H18/I18)</x:f>
        <x:v>15.526315789473685</x:v>
      </x:c>
      <x:c r="P18" s="43" t="n">
        <x:f>I18/INDEX('Balance Inputs'!$L$2:$L$51,MATCH(A18,'Balance Inputs'!$I$2:$I$51,0))</x:f>
        <x:v>3.2264150943396226</x:v>
      </x:c>
      <x:c r="Q18" s="43" t="n">
        <x:f>L18/INDEX('Balance Inputs'!$M$2:$M$51,MATCH(A18,'Balance Inputs'!$I$2:$I$51,0))</x:f>
        <x:v>3.0352941176470587</x:v>
      </x:c>
      <x:c r="R18" s="17"/>
      <x:c r="S18" s="17"/>
      <x:c r="T18" s="17"/>
      <x:c r="U18" s="17"/>
      <x:c r="V18" s="17"/>
      <x:c r="W18" s="17"/>
      <x:c r="X18" s="17"/>
      <x:c r="Y18" s="17"/>
      <x:c r="Z18" s="17"/>
    </x:row>
    <x:row r="19">
      <x:c r="A19" s="17" t="n">
        <x:v>3</x:v>
      </x:c>
      <x:c r="B19" s="17" t="str">
        <x:v>Savings Stand</x:v>
      </x:c>
      <x:c r="C19" s="17" t="str">
        <x:v>Humble</x:v>
      </x:c>
      <x:c r="D19" s="17" t="str">
        <x:v>Common</x:v>
      </x:c>
      <x:c r="E19" s="17" t="n">
        <x:v>3</x:v>
      </x:c>
      <x:c r="F19" s="17" t="n">
        <x:v>6</x:v>
      </x:c>
      <x:c r="G19" s="17" t="str">
        <x:v>Upgrade to Lv6</x:v>
      </x:c>
      <x:c r="H19" s="38" t="n">
        <x:f>ROUND(H18*INDEX('Balance Inputs'!$C$2:$C$7,MATCH(C19,'Balance Inputs'!$A$2:$A$7,0)),0)</x:f>
        <x:v>4115</x:v>
      </x:c>
      <x:c r="I19" s="38" t="n">
        <x:f>ROUND(INDEX('Balance Inputs'!$L$2:$L$51,MATCH(A19,'Balance Inputs'!$I$2:$I$51,0))*POWER(INDEX('Balance Inputs'!$D$2:$D$7,MATCH(C19,'Balance Inputs'!$A$2:$A$7,0)),F19-1),0)</x:f>
        <x:v>229</x:v>
      </x:c>
      <x:c r="J19" s="38" t="n">
        <x:f>ROUND(I19*INDEX('Balance Inputs'!$F$2:$F$7,MATCH(C19,'Balance Inputs'!$A$2:$A$7,0)),0)</x:f>
        <x:v>27</x:v>
      </x:c>
      <x:c r="K19" s="38" t="n">
        <x:f>I19-J19</x:f>
        <x:v>202</x:v>
      </x:c>
      <x:c r="L19" s="38" t="n">
        <x:f>ROUND(INDEX('Balance Inputs'!$M$2:$M$51,MATCH(A19,'Balance Inputs'!$I$2:$I$51,0))*POWER(INDEX('Balance Inputs'!$E$2:$E$7,MATCH(C19,'Balance Inputs'!$A$2:$A$7,0)),F19-1),0)</x:f>
        <x:v>341</x:v>
      </x:c>
      <x:c r="M19" s="38" t="n">
        <x:f>ROUND(INDEX('Balance Inputs'!$N$2:$N$51,MATCH(A19,'Balance Inputs'!$I$2:$I$51,0))*POWER(INDEX('Balance Inputs'!$G$2:$G$7,MATCH(C19,'Balance Inputs'!$A$2:$A$7,0)),F19-1),0)</x:f>
        <x:v>10</x:v>
      </x:c>
      <x:c r="N19" s="38" t="n">
        <x:f>IF(A19&lt;&gt;A18,H19,N18+H19)</x:f>
        <x:v>10761</x:v>
      </x:c>
      <x:c r="O19" s="42" t="n">
        <x:f>IF(I19=0,0,H19/I19)</x:f>
        <x:v>17.96943231441048</x:v>
      </x:c>
      <x:c r="P19" s="43" t="n">
        <x:f>I19/INDEX('Balance Inputs'!$L$2:$L$51,MATCH(A19,'Balance Inputs'!$I$2:$I$51,0))</x:f>
        <x:v>4.320754716981132</x:v>
      </x:c>
      <x:c r="Q19" s="43" t="n">
        <x:f>L19/INDEX('Balance Inputs'!$M$2:$M$51,MATCH(A19,'Balance Inputs'!$I$2:$I$51,0))</x:f>
        <x:v>4.011764705882353</x:v>
      </x:c>
      <x:c r="R19" s="17"/>
      <x:c r="S19" s="17"/>
      <x:c r="T19" s="17"/>
      <x:c r="U19" s="17"/>
      <x:c r="V19" s="17"/>
      <x:c r="W19" s="17"/>
      <x:c r="X19" s="17"/>
      <x:c r="Y19" s="17"/>
      <x:c r="Z19" s="17"/>
    </x:row>
    <x:row r="20">
      <x:c r="A20" s="17" t="n">
        <x:v>4</x:v>
      </x:c>
      <x:c r="B20" s="17" t="str">
        <x:v>Mini Brokerage Desk</x:v>
      </x:c>
      <x:c r="C20" s="17" t="str">
        <x:v>Humble</x:v>
      </x:c>
      <x:c r="D20" s="17" t="str">
        <x:v>Common</x:v>
      </x:c>
      <x:c r="E20" s="17" t="n">
        <x:v>4</x:v>
      </x:c>
      <x:c r="F20" s="17" t="n">
        <x:v>1</x:v>
      </x:c>
      <x:c r="G20" s="17" t="str">
        <x:v>Build</x:v>
      </x:c>
      <x:c r="H20" s="38" t="n">
        <x:f>INDEX('Balance Inputs'!$K$2:$K$51,MATCH(A20,'Balance Inputs'!$I$2:$I$51,0))</x:f>
        <x:v>560</x:v>
      </x:c>
      <x:c r="I20" s="38" t="n">
        <x:f>ROUND(INDEX('Balance Inputs'!$L$2:$L$51,MATCH(A20,'Balance Inputs'!$I$2:$I$51,0))*POWER(INDEX('Balance Inputs'!$D$2:$D$7,MATCH(C20,'Balance Inputs'!$A$2:$A$7,0)),F20-1),0)</x:f>
        <x:v>67</x:v>
      </x:c>
      <x:c r="J20" s="38" t="n">
        <x:f>ROUND(I20*INDEX('Balance Inputs'!$F$2:$F$7,MATCH(C20,'Balance Inputs'!$A$2:$A$7,0)),0)</x:f>
        <x:v>8</x:v>
      </x:c>
      <x:c r="K20" s="38" t="n">
        <x:f>I20-J20</x:f>
        <x:v>59</x:v>
      </x:c>
      <x:c r="L20" s="38" t="n">
        <x:f>ROUND(INDEX('Balance Inputs'!$M$2:$M$51,MATCH(A20,'Balance Inputs'!$I$2:$I$51,0))*POWER(INDEX('Balance Inputs'!$E$2:$E$7,MATCH(C20,'Balance Inputs'!$A$2:$A$7,0)),F20-1),0)</x:f>
        <x:v>101</x:v>
      </x:c>
      <x:c r="M20" s="38" t="n">
        <x:f>ROUND(INDEX('Balance Inputs'!$N$2:$N$51,MATCH(A20,'Balance Inputs'!$I$2:$I$51,0))*POWER(INDEX('Balance Inputs'!$G$2:$G$7,MATCH(C20,'Balance Inputs'!$A$2:$A$7,0)),F20-1),0)</x:f>
        <x:v>14</x:v>
      </x:c>
      <x:c r="N20" s="38" t="n">
        <x:f>IF(A20&lt;&gt;A19,H20,N19+H20)</x:f>
        <x:v>560</x:v>
      </x:c>
      <x:c r="O20" s="42" t="n">
        <x:f>IF(I20=0,0,H20/I20)</x:f>
        <x:v>8.35820895522388</x:v>
      </x:c>
      <x:c r="P20" s="43" t="n">
        <x:f>I20/INDEX('Balance Inputs'!$L$2:$L$51,MATCH(A20,'Balance Inputs'!$I$2:$I$51,0))</x:f>
        <x:v>1</x:v>
      </x:c>
      <x:c r="Q20" s="43" t="n">
        <x:f>L20/INDEX('Balance Inputs'!$M$2:$M$51,MATCH(A20,'Balance Inputs'!$I$2:$I$51,0))</x:f>
        <x:v>1</x:v>
      </x:c>
      <x:c r="R20" s="17"/>
      <x:c r="S20" s="17"/>
      <x:c r="T20" s="17"/>
      <x:c r="U20" s="17"/>
      <x:c r="V20" s="17"/>
      <x:c r="W20" s="17"/>
      <x:c r="X20" s="17"/>
      <x:c r="Y20" s="17"/>
      <x:c r="Z20" s="17"/>
    </x:row>
    <x:row r="21">
      <x:c r="A21" s="17" t="n">
        <x:v>4</x:v>
      </x:c>
      <x:c r="B21" s="17" t="str">
        <x:v>Mini Brokerage Desk</x:v>
      </x:c>
      <x:c r="C21" s="17" t="str">
        <x:v>Humble</x:v>
      </x:c>
      <x:c r="D21" s="17" t="str">
        <x:v>Common</x:v>
      </x:c>
      <x:c r="E21" s="17" t="n">
        <x:v>4</x:v>
      </x:c>
      <x:c r="F21" s="17" t="n">
        <x:v>2</x:v>
      </x:c>
      <x:c r="G21" s="17" t="str">
        <x:v>Upgrade to Lv2</x:v>
      </x:c>
      <x:c r="H21" s="38" t="n">
        <x:f>ROUND(H20*INDEX('Balance Inputs'!$C$2:$C$7,MATCH(C21,'Balance Inputs'!$A$2:$A$7,0)),0)</x:f>
        <x:v>868</x:v>
      </x:c>
      <x:c r="I21" s="38" t="n">
        <x:f>ROUND(INDEX('Balance Inputs'!$L$2:$L$51,MATCH(A21,'Balance Inputs'!$I$2:$I$51,0))*POWER(INDEX('Balance Inputs'!$D$2:$D$7,MATCH(C21,'Balance Inputs'!$A$2:$A$7,0)),F21-1),0)</x:f>
        <x:v>90</x:v>
      </x:c>
      <x:c r="J21" s="38" t="n">
        <x:f>ROUND(I21*INDEX('Balance Inputs'!$F$2:$F$7,MATCH(C21,'Balance Inputs'!$A$2:$A$7,0)),0)</x:f>
        <x:v>11</x:v>
      </x:c>
      <x:c r="K21" s="38" t="n">
        <x:f>I21-J21</x:f>
        <x:v>79</x:v>
      </x:c>
      <x:c r="L21" s="38" t="n">
        <x:f>ROUND(INDEX('Balance Inputs'!$M$2:$M$51,MATCH(A21,'Balance Inputs'!$I$2:$I$51,0))*POWER(INDEX('Balance Inputs'!$E$2:$E$7,MATCH(C21,'Balance Inputs'!$A$2:$A$7,0)),F21-1),0)</x:f>
        <x:v>133</x:v>
      </x:c>
      <x:c r="M21" s="38" t="n">
        <x:f>ROUND(INDEX('Balance Inputs'!$N$2:$N$51,MATCH(A21,'Balance Inputs'!$I$2:$I$51,0))*POWER(INDEX('Balance Inputs'!$G$2:$G$7,MATCH(C21,'Balance Inputs'!$A$2:$A$7,0)),F21-1),0)</x:f>
        <x:v>14</x:v>
      </x:c>
      <x:c r="N21" s="38" t="n">
        <x:f>IF(A21&lt;&gt;A20,H21,N20+H21)</x:f>
        <x:v>1428</x:v>
      </x:c>
      <x:c r="O21" s="42" t="n">
        <x:f>IF(I21=0,0,H21/I21)</x:f>
        <x:v>9.644444444444444</x:v>
      </x:c>
      <x:c r="P21" s="43" t="n">
        <x:f>I21/INDEX('Balance Inputs'!$L$2:$L$51,MATCH(A21,'Balance Inputs'!$I$2:$I$51,0))</x:f>
        <x:v>1.3432835820895523</x:v>
      </x:c>
      <x:c r="Q21" s="43" t="n">
        <x:f>L21/INDEX('Balance Inputs'!$M$2:$M$51,MATCH(A21,'Balance Inputs'!$I$2:$I$51,0))</x:f>
        <x:v>1.316831683168317</x:v>
      </x:c>
      <x:c r="R21" s="17"/>
      <x:c r="S21" s="17"/>
      <x:c r="T21" s="17"/>
      <x:c r="U21" s="17"/>
      <x:c r="V21" s="17"/>
      <x:c r="W21" s="17"/>
      <x:c r="X21" s="17"/>
      <x:c r="Y21" s="17"/>
      <x:c r="Z21" s="17"/>
    </x:row>
    <x:row r="22">
      <x:c r="A22" s="17" t="n">
        <x:v>4</x:v>
      </x:c>
      <x:c r="B22" s="17" t="str">
        <x:v>Mini Brokerage Desk</x:v>
      </x:c>
      <x:c r="C22" s="17" t="str">
        <x:v>Humble</x:v>
      </x:c>
      <x:c r="D22" s="17" t="str">
        <x:v>Common</x:v>
      </x:c>
      <x:c r="E22" s="17" t="n">
        <x:v>4</x:v>
      </x:c>
      <x:c r="F22" s="17" t="n">
        <x:v>3</x:v>
      </x:c>
      <x:c r="G22" s="17" t="str">
        <x:v>Upgrade to Lv3</x:v>
      </x:c>
      <x:c r="H22" s="38" t="n">
        <x:f>ROUND(H21*INDEX('Balance Inputs'!$C$2:$C$7,MATCH(C22,'Balance Inputs'!$A$2:$A$7,0)),0)</x:f>
        <x:v>1345</x:v>
      </x:c>
      <x:c r="I22" s="38" t="n">
        <x:f>ROUND(INDEX('Balance Inputs'!$L$2:$L$51,MATCH(A22,'Balance Inputs'!$I$2:$I$51,0))*POWER(INDEX('Balance Inputs'!$D$2:$D$7,MATCH(C22,'Balance Inputs'!$A$2:$A$7,0)),F22-1),0)</x:f>
        <x:v>120</x:v>
      </x:c>
      <x:c r="J22" s="38" t="n">
        <x:f>ROUND(I22*INDEX('Balance Inputs'!$F$2:$F$7,MATCH(C22,'Balance Inputs'!$A$2:$A$7,0)),0)</x:f>
        <x:v>14</x:v>
      </x:c>
      <x:c r="K22" s="38" t="n">
        <x:f>I22-J22</x:f>
        <x:v>106</x:v>
      </x:c>
      <x:c r="L22" s="38" t="n">
        <x:f>ROUND(INDEX('Balance Inputs'!$M$2:$M$51,MATCH(A22,'Balance Inputs'!$I$2:$I$51,0))*POWER(INDEX('Balance Inputs'!$E$2:$E$7,MATCH(C22,'Balance Inputs'!$A$2:$A$7,0)),F22-1),0)</x:f>
        <x:v>176</x:v>
      </x:c>
      <x:c r="M22" s="38" t="n">
        <x:f>ROUND(INDEX('Balance Inputs'!$N$2:$N$51,MATCH(A22,'Balance Inputs'!$I$2:$I$51,0))*POWER(INDEX('Balance Inputs'!$G$2:$G$7,MATCH(C22,'Balance Inputs'!$A$2:$A$7,0)),F22-1),0)</x:f>
        <x:v>14</x:v>
      </x:c>
      <x:c r="N22" s="38" t="n">
        <x:f>IF(A22&lt;&gt;A21,H22,N21+H22)</x:f>
        <x:v>2773</x:v>
      </x:c>
      <x:c r="O22" s="42" t="n">
        <x:f>IF(I22=0,0,H22/I22)</x:f>
        <x:v>11.208333333333334</x:v>
      </x:c>
      <x:c r="P22" s="43" t="n">
        <x:f>I22/INDEX('Balance Inputs'!$L$2:$L$51,MATCH(A22,'Balance Inputs'!$I$2:$I$51,0))</x:f>
        <x:v>1.791044776119403</x:v>
      </x:c>
      <x:c r="Q22" s="43" t="n">
        <x:f>L22/INDEX('Balance Inputs'!$M$2:$M$51,MATCH(A22,'Balance Inputs'!$I$2:$I$51,0))</x:f>
        <x:v>1.7425742574257426</x:v>
      </x:c>
      <x:c r="R22" s="17"/>
      <x:c r="S22" s="17"/>
      <x:c r="T22" s="17"/>
      <x:c r="U22" s="17"/>
      <x:c r="V22" s="17"/>
      <x:c r="W22" s="17"/>
      <x:c r="X22" s="17"/>
      <x:c r="Y22" s="17"/>
      <x:c r="Z22" s="17"/>
    </x:row>
    <x:row r="23">
      <x:c r="A23" s="17" t="n">
        <x:v>4</x:v>
      </x:c>
      <x:c r="B23" s="17" t="str">
        <x:v>Mini Brokerage Desk</x:v>
      </x:c>
      <x:c r="C23" s="17" t="str">
        <x:v>Humble</x:v>
      </x:c>
      <x:c r="D23" s="17" t="str">
        <x:v>Common</x:v>
      </x:c>
      <x:c r="E23" s="17" t="n">
        <x:v>4</x:v>
      </x:c>
      <x:c r="F23" s="17" t="n">
        <x:v>4</x:v>
      </x:c>
      <x:c r="G23" s="17" t="str">
        <x:v>Upgrade to Lv4</x:v>
      </x:c>
      <x:c r="H23" s="38" t="n">
        <x:f>ROUND(H22*INDEX('Balance Inputs'!$C$2:$C$7,MATCH(C23,'Balance Inputs'!$A$2:$A$7,0)),0)</x:f>
        <x:v>2085</x:v>
      </x:c>
      <x:c r="I23" s="38" t="n">
        <x:f>ROUND(INDEX('Balance Inputs'!$L$2:$L$51,MATCH(A23,'Balance Inputs'!$I$2:$I$51,0))*POWER(INDEX('Balance Inputs'!$D$2:$D$7,MATCH(C23,'Balance Inputs'!$A$2:$A$7,0)),F23-1),0)</x:f>
        <x:v>161</x:v>
      </x:c>
      <x:c r="J23" s="38" t="n">
        <x:f>ROUND(I23*INDEX('Balance Inputs'!$F$2:$F$7,MATCH(C23,'Balance Inputs'!$A$2:$A$7,0)),0)</x:f>
        <x:v>19</x:v>
      </x:c>
      <x:c r="K23" s="38" t="n">
        <x:f>I23-J23</x:f>
        <x:v>142</x:v>
      </x:c>
      <x:c r="L23" s="38" t="n">
        <x:f>ROUND(INDEX('Balance Inputs'!$M$2:$M$51,MATCH(A23,'Balance Inputs'!$I$2:$I$51,0))*POWER(INDEX('Balance Inputs'!$E$2:$E$7,MATCH(C23,'Balance Inputs'!$A$2:$A$7,0)),F23-1),0)</x:f>
        <x:v>232</x:v>
      </x:c>
      <x:c r="M23" s="38" t="n">
        <x:f>ROUND(INDEX('Balance Inputs'!$N$2:$N$51,MATCH(A23,'Balance Inputs'!$I$2:$I$51,0))*POWER(INDEX('Balance Inputs'!$G$2:$G$7,MATCH(C23,'Balance Inputs'!$A$2:$A$7,0)),F23-1),0)</x:f>
        <x:v>14</x:v>
      </x:c>
      <x:c r="N23" s="38" t="n">
        <x:f>IF(A23&lt;&gt;A22,H23,N22+H23)</x:f>
        <x:v>4858</x:v>
      </x:c>
      <x:c r="O23" s="42" t="n">
        <x:f>IF(I23=0,0,H23/I23)</x:f>
        <x:v>12.950310559006212</x:v>
      </x:c>
      <x:c r="P23" s="43" t="n">
        <x:f>I23/INDEX('Balance Inputs'!$L$2:$L$51,MATCH(A23,'Balance Inputs'!$I$2:$I$51,0))</x:f>
        <x:v>2.4029850746268657</x:v>
      </x:c>
      <x:c r="Q23" s="43" t="n">
        <x:f>L23/INDEX('Balance Inputs'!$M$2:$M$51,MATCH(A23,'Balance Inputs'!$I$2:$I$51,0))</x:f>
        <x:v>2.297029702970297</x:v>
      </x:c>
      <x:c r="R23" s="17"/>
      <x:c r="S23" s="17"/>
      <x:c r="T23" s="17"/>
      <x:c r="U23" s="17"/>
      <x:c r="V23" s="17"/>
      <x:c r="W23" s="17"/>
      <x:c r="X23" s="17"/>
      <x:c r="Y23" s="17"/>
      <x:c r="Z23" s="17"/>
    </x:row>
    <x:row r="24">
      <x:c r="A24" s="17" t="n">
        <x:v>4</x:v>
      </x:c>
      <x:c r="B24" s="17" t="str">
        <x:v>Mini Brokerage Desk</x:v>
      </x:c>
      <x:c r="C24" s="17" t="str">
        <x:v>Humble</x:v>
      </x:c>
      <x:c r="D24" s="17" t="str">
        <x:v>Common</x:v>
      </x:c>
      <x:c r="E24" s="17" t="n">
        <x:v>4</x:v>
      </x:c>
      <x:c r="F24" s="17" t="n">
        <x:v>5</x:v>
      </x:c>
      <x:c r="G24" s="17" t="str">
        <x:v>Upgrade to Lv5</x:v>
      </x:c>
      <x:c r="H24" s="38" t="n">
        <x:f>ROUND(H23*INDEX('Balance Inputs'!$C$2:$C$7,MATCH(C24,'Balance Inputs'!$A$2:$A$7,0)),0)</x:f>
        <x:v>3232</x:v>
      </x:c>
      <x:c r="I24" s="38" t="n">
        <x:f>ROUND(INDEX('Balance Inputs'!$L$2:$L$51,MATCH(A24,'Balance Inputs'!$I$2:$I$51,0))*POWER(INDEX('Balance Inputs'!$D$2:$D$7,MATCH(C24,'Balance Inputs'!$A$2:$A$7,0)),F24-1),0)</x:f>
        <x:v>216</x:v>
      </x:c>
      <x:c r="J24" s="38" t="n">
        <x:f>ROUND(I24*INDEX('Balance Inputs'!$F$2:$F$7,MATCH(C24,'Balance Inputs'!$A$2:$A$7,0)),0)</x:f>
        <x:v>26</x:v>
      </x:c>
      <x:c r="K24" s="38" t="n">
        <x:f>I24-J24</x:f>
        <x:v>190</x:v>
      </x:c>
      <x:c r="L24" s="38" t="n">
        <x:f>ROUND(INDEX('Balance Inputs'!$M$2:$M$51,MATCH(A24,'Balance Inputs'!$I$2:$I$51,0))*POWER(INDEX('Balance Inputs'!$E$2:$E$7,MATCH(C24,'Balance Inputs'!$A$2:$A$7,0)),F24-1),0)</x:f>
        <x:v>307</x:v>
      </x:c>
      <x:c r="M24" s="38" t="n">
        <x:f>ROUND(INDEX('Balance Inputs'!$N$2:$N$51,MATCH(A24,'Balance Inputs'!$I$2:$I$51,0))*POWER(INDEX('Balance Inputs'!$G$2:$G$7,MATCH(C24,'Balance Inputs'!$A$2:$A$7,0)),F24-1),0)</x:f>
        <x:v>14</x:v>
      </x:c>
      <x:c r="N24" s="38" t="n">
        <x:f>IF(A24&lt;&gt;A23,H24,N23+H24)</x:f>
        <x:v>8090</x:v>
      </x:c>
      <x:c r="O24" s="42" t="n">
        <x:f>IF(I24=0,0,H24/I24)</x:f>
        <x:v>14.962962962962964</x:v>
      </x:c>
      <x:c r="P24" s="43" t="n">
        <x:f>I24/INDEX('Balance Inputs'!$L$2:$L$51,MATCH(A24,'Balance Inputs'!$I$2:$I$51,0))</x:f>
        <x:v>3.2238805970149254</x:v>
      </x:c>
      <x:c r="Q24" s="43" t="n">
        <x:f>L24/INDEX('Balance Inputs'!$M$2:$M$51,MATCH(A24,'Balance Inputs'!$I$2:$I$51,0))</x:f>
        <x:v>3.0396039603960396</x:v>
      </x:c>
      <x:c r="R24" s="17"/>
      <x:c r="S24" s="17"/>
      <x:c r="T24" s="17"/>
      <x:c r="U24" s="17"/>
      <x:c r="V24" s="17"/>
      <x:c r="W24" s="17"/>
      <x:c r="X24" s="17"/>
      <x:c r="Y24" s="17"/>
      <x:c r="Z24" s="17"/>
    </x:row>
    <x:row r="25">
      <x:c r="A25" s="17" t="n">
        <x:v>4</x:v>
      </x:c>
      <x:c r="B25" s="17" t="str">
        <x:v>Mini Brokerage Desk</x:v>
      </x:c>
      <x:c r="C25" s="17" t="str">
        <x:v>Humble</x:v>
      </x:c>
      <x:c r="D25" s="17" t="str">
        <x:v>Common</x:v>
      </x:c>
      <x:c r="E25" s="17" t="n">
        <x:v>4</x:v>
      </x:c>
      <x:c r="F25" s="17" t="n">
        <x:v>6</x:v>
      </x:c>
      <x:c r="G25" s="17" t="str">
        <x:v>Upgrade to Lv6</x:v>
      </x:c>
      <x:c r="H25" s="38" t="n">
        <x:f>ROUND(H24*INDEX('Balance Inputs'!$C$2:$C$7,MATCH(C25,'Balance Inputs'!$A$2:$A$7,0)),0)</x:f>
        <x:v>5010</x:v>
      </x:c>
      <x:c r="I25" s="38" t="n">
        <x:f>ROUND(INDEX('Balance Inputs'!$L$2:$L$51,MATCH(A25,'Balance Inputs'!$I$2:$I$51,0))*POWER(INDEX('Balance Inputs'!$D$2:$D$7,MATCH(C25,'Balance Inputs'!$A$2:$A$7,0)),F25-1),0)</x:f>
        <x:v>289</x:v>
      </x:c>
      <x:c r="J25" s="38" t="n">
        <x:f>ROUND(I25*INDEX('Balance Inputs'!$F$2:$F$7,MATCH(C25,'Balance Inputs'!$A$2:$A$7,0)),0)</x:f>
        <x:v>35</x:v>
      </x:c>
      <x:c r="K25" s="38" t="n">
        <x:f>I25-J25</x:f>
        <x:v>254</x:v>
      </x:c>
      <x:c r="L25" s="38" t="n">
        <x:f>ROUND(INDEX('Balance Inputs'!$M$2:$M$51,MATCH(A25,'Balance Inputs'!$I$2:$I$51,0))*POWER(INDEX('Balance Inputs'!$E$2:$E$7,MATCH(C25,'Balance Inputs'!$A$2:$A$7,0)),F25-1),0)</x:f>
        <x:v>405</x:v>
      </x:c>
      <x:c r="M25" s="38" t="n">
        <x:f>ROUND(INDEX('Balance Inputs'!$N$2:$N$51,MATCH(A25,'Balance Inputs'!$I$2:$I$51,0))*POWER(INDEX('Balance Inputs'!$G$2:$G$7,MATCH(C25,'Balance Inputs'!$A$2:$A$7,0)),F25-1),0)</x:f>
        <x:v>14</x:v>
      </x:c>
      <x:c r="N25" s="38" t="n">
        <x:f>IF(A25&lt;&gt;A24,H25,N24+H25)</x:f>
        <x:v>13100</x:v>
      </x:c>
      <x:c r="O25" s="42" t="n">
        <x:f>IF(I25=0,0,H25/I25)</x:f>
        <x:v>17.335640138408305</x:v>
      </x:c>
      <x:c r="P25" s="43" t="n">
        <x:f>I25/INDEX('Balance Inputs'!$L$2:$L$51,MATCH(A25,'Balance Inputs'!$I$2:$I$51,0))</x:f>
        <x:v>4.313432835820896</x:v>
      </x:c>
      <x:c r="Q25" s="43" t="n">
        <x:f>L25/INDEX('Balance Inputs'!$M$2:$M$51,MATCH(A25,'Balance Inputs'!$I$2:$I$51,0))</x:f>
        <x:v>4.00990099009901</x:v>
      </x:c>
      <x:c r="R25" s="17"/>
      <x:c r="S25" s="17"/>
      <x:c r="T25" s="17"/>
      <x:c r="U25" s="17"/>
      <x:c r="V25" s="17"/>
      <x:c r="W25" s="17"/>
      <x:c r="X25" s="17"/>
      <x:c r="Y25" s="17"/>
      <x:c r="Z25" s="17"/>
    </x:row>
    <x:row r="26">
      <x:c r="A26" s="17" t="n">
        <x:v>5</x:v>
      </x:c>
      <x:c r="B26" s="17" t="str">
        <x:v>Market Info Kiosk</x:v>
      </x:c>
      <x:c r="C26" s="17" t="str">
        <x:v>Humble</x:v>
      </x:c>
      <x:c r="D26" s="17" t="str">
        <x:v>Common</x:v>
      </x:c>
      <x:c r="E26" s="17" t="n">
        <x:v>5</x:v>
      </x:c>
      <x:c r="F26" s="17" t="n">
        <x:v>1</x:v>
      </x:c>
      <x:c r="G26" s="17" t="str">
        <x:v>Build</x:v>
      </x:c>
      <x:c r="H26" s="38" t="n">
        <x:f>INDEX('Balance Inputs'!$K$2:$K$51,MATCH(A26,'Balance Inputs'!$I$2:$I$51,0))</x:f>
        <x:v>700</x:v>
      </x:c>
      <x:c r="I26" s="38" t="n">
        <x:f>ROUND(INDEX('Balance Inputs'!$L$2:$L$51,MATCH(A26,'Balance Inputs'!$I$2:$I$51,0))*POWER(INDEX('Balance Inputs'!$D$2:$D$7,MATCH(C26,'Balance Inputs'!$A$2:$A$7,0)),F26-1),0)</x:f>
        <x:v>55</x:v>
      </x:c>
      <x:c r="J26" s="38" t="n">
        <x:f>ROUND(I26*INDEX('Balance Inputs'!$F$2:$F$7,MATCH(C26,'Balance Inputs'!$A$2:$A$7,0)),0)</x:f>
        <x:v>7</x:v>
      </x:c>
      <x:c r="K26" s="38" t="n">
        <x:f>I26-J26</x:f>
        <x:v>48</x:v>
      </x:c>
      <x:c r="L26" s="38" t="n">
        <x:f>ROUND(INDEX('Balance Inputs'!$M$2:$M$51,MATCH(A26,'Balance Inputs'!$I$2:$I$51,0))*POWER(INDEX('Balance Inputs'!$E$2:$E$7,MATCH(C26,'Balance Inputs'!$A$2:$A$7,0)),F26-1),0)</x:f>
        <x:v>120</x:v>
      </x:c>
      <x:c r="M26" s="38" t="n">
        <x:f>ROUND(INDEX('Balance Inputs'!$N$2:$N$51,MATCH(A26,'Balance Inputs'!$I$2:$I$51,0))*POWER(INDEX('Balance Inputs'!$G$2:$G$7,MATCH(C26,'Balance Inputs'!$A$2:$A$7,0)),F26-1),0)</x:f>
        <x:v>12</x:v>
      </x:c>
      <x:c r="N26" s="38" t="n">
        <x:f>IF(A26&lt;&gt;A25,H26,N25+H26)</x:f>
        <x:v>700</x:v>
      </x:c>
      <x:c r="O26" s="42" t="n">
        <x:f>IF(I26=0,0,H26/I26)</x:f>
        <x:v>12.727272727272727</x:v>
      </x:c>
      <x:c r="P26" s="43" t="n">
        <x:f>I26/INDEX('Balance Inputs'!$L$2:$L$51,MATCH(A26,'Balance Inputs'!$I$2:$I$51,0))</x:f>
        <x:v>1</x:v>
      </x:c>
      <x:c r="Q26" s="43" t="n">
        <x:f>L26/INDEX('Balance Inputs'!$M$2:$M$51,MATCH(A26,'Balance Inputs'!$I$2:$I$51,0))</x:f>
        <x:v>1</x:v>
      </x:c>
      <x:c r="R26" s="17"/>
      <x:c r="S26" s="17"/>
      <x:c r="T26" s="17"/>
      <x:c r="U26" s="17"/>
      <x:c r="V26" s="17"/>
      <x:c r="W26" s="17"/>
      <x:c r="X26" s="17"/>
      <x:c r="Y26" s="17"/>
      <x:c r="Z26" s="17"/>
    </x:row>
    <x:row r="27">
      <x:c r="A27" s="17" t="n">
        <x:v>5</x:v>
      </x:c>
      <x:c r="B27" s="17" t="str">
        <x:v>Market Info Kiosk</x:v>
      </x:c>
      <x:c r="C27" s="17" t="str">
        <x:v>Humble</x:v>
      </x:c>
      <x:c r="D27" s="17" t="str">
        <x:v>Common</x:v>
      </x:c>
      <x:c r="E27" s="17" t="n">
        <x:v>5</x:v>
      </x:c>
      <x:c r="F27" s="17" t="n">
        <x:v>2</x:v>
      </x:c>
      <x:c r="G27" s="17" t="str">
        <x:v>Upgrade to Lv2</x:v>
      </x:c>
      <x:c r="H27" s="38" t="n">
        <x:f>ROUND(H26*INDEX('Balance Inputs'!$C$2:$C$7,MATCH(C27,'Balance Inputs'!$A$2:$A$7,0)),0)</x:f>
        <x:v>1085</x:v>
      </x:c>
      <x:c r="I27" s="38" t="n">
        <x:f>ROUND(INDEX('Balance Inputs'!$L$2:$L$51,MATCH(A27,'Balance Inputs'!$I$2:$I$51,0))*POWER(INDEX('Balance Inputs'!$D$2:$D$7,MATCH(C27,'Balance Inputs'!$A$2:$A$7,0)),F27-1),0)</x:f>
        <x:v>74</x:v>
      </x:c>
      <x:c r="J27" s="38" t="n">
        <x:f>ROUND(I27*INDEX('Balance Inputs'!$F$2:$F$7,MATCH(C27,'Balance Inputs'!$A$2:$A$7,0)),0)</x:f>
        <x:v>9</x:v>
      </x:c>
      <x:c r="K27" s="38" t="n">
        <x:f>I27-J27</x:f>
        <x:v>65</x:v>
      </x:c>
      <x:c r="L27" s="38" t="n">
        <x:f>ROUND(INDEX('Balance Inputs'!$M$2:$M$51,MATCH(A27,'Balance Inputs'!$I$2:$I$51,0))*POWER(INDEX('Balance Inputs'!$E$2:$E$7,MATCH(C27,'Balance Inputs'!$A$2:$A$7,0)),F27-1),0)</x:f>
        <x:v>158</x:v>
      </x:c>
      <x:c r="M27" s="38" t="n">
        <x:f>ROUND(INDEX('Balance Inputs'!$N$2:$N$51,MATCH(A27,'Balance Inputs'!$I$2:$I$51,0))*POWER(INDEX('Balance Inputs'!$G$2:$G$7,MATCH(C27,'Balance Inputs'!$A$2:$A$7,0)),F27-1),0)</x:f>
        <x:v>12</x:v>
      </x:c>
      <x:c r="N27" s="38" t="n">
        <x:f>IF(A27&lt;&gt;A26,H27,N26+H27)</x:f>
        <x:v>1785</x:v>
      </x:c>
      <x:c r="O27" s="42" t="n">
        <x:f>IF(I27=0,0,H27/I27)</x:f>
        <x:v>14.662162162162161</x:v>
      </x:c>
      <x:c r="P27" s="43" t="n">
        <x:f>I27/INDEX('Balance Inputs'!$L$2:$L$51,MATCH(A27,'Balance Inputs'!$I$2:$I$51,0))</x:f>
        <x:v>1.3454545454545455</x:v>
      </x:c>
      <x:c r="Q27" s="43" t="n">
        <x:f>L27/INDEX('Balance Inputs'!$M$2:$M$51,MATCH(A27,'Balance Inputs'!$I$2:$I$51,0))</x:f>
        <x:v>1.3166666666666667</x:v>
      </x:c>
      <x:c r="R27" s="17"/>
      <x:c r="S27" s="17"/>
      <x:c r="T27" s="17"/>
      <x:c r="U27" s="17"/>
      <x:c r="V27" s="17"/>
      <x:c r="W27" s="17"/>
      <x:c r="X27" s="17"/>
      <x:c r="Y27" s="17"/>
      <x:c r="Z27" s="17"/>
    </x:row>
    <x:row r="28">
      <x:c r="A28" s="17" t="n">
        <x:v>5</x:v>
      </x:c>
      <x:c r="B28" s="17" t="str">
        <x:v>Market Info Kiosk</x:v>
      </x:c>
      <x:c r="C28" s="17" t="str">
        <x:v>Humble</x:v>
      </x:c>
      <x:c r="D28" s="17" t="str">
        <x:v>Common</x:v>
      </x:c>
      <x:c r="E28" s="17" t="n">
        <x:v>5</x:v>
      </x:c>
      <x:c r="F28" s="17" t="n">
        <x:v>3</x:v>
      </x:c>
      <x:c r="G28" s="17" t="str">
        <x:v>Upgrade to Lv3</x:v>
      </x:c>
      <x:c r="H28" s="38" t="n">
        <x:f>ROUND(H27*INDEX('Balance Inputs'!$C$2:$C$7,MATCH(C28,'Balance Inputs'!$A$2:$A$7,0)),0)</x:f>
        <x:v>1682</x:v>
      </x:c>
      <x:c r="I28" s="38" t="n">
        <x:f>ROUND(INDEX('Balance Inputs'!$L$2:$L$51,MATCH(A28,'Balance Inputs'!$I$2:$I$51,0))*POWER(INDEX('Balance Inputs'!$D$2:$D$7,MATCH(C28,'Balance Inputs'!$A$2:$A$7,0)),F28-1),0)</x:f>
        <x:v>99</x:v>
      </x:c>
      <x:c r="J28" s="38" t="n">
        <x:f>ROUND(I28*INDEX('Balance Inputs'!$F$2:$F$7,MATCH(C28,'Balance Inputs'!$A$2:$A$7,0)),0)</x:f>
        <x:v>12</x:v>
      </x:c>
      <x:c r="K28" s="38" t="n">
        <x:f>I28-J28</x:f>
        <x:v>87</x:v>
      </x:c>
      <x:c r="L28" s="38" t="n">
        <x:f>ROUND(INDEX('Balance Inputs'!$M$2:$M$51,MATCH(A28,'Balance Inputs'!$I$2:$I$51,0))*POWER(INDEX('Balance Inputs'!$E$2:$E$7,MATCH(C28,'Balance Inputs'!$A$2:$A$7,0)),F28-1),0)</x:f>
        <x:v>209</x:v>
      </x:c>
      <x:c r="M28" s="38" t="n">
        <x:f>ROUND(INDEX('Balance Inputs'!$N$2:$N$51,MATCH(A28,'Balance Inputs'!$I$2:$I$51,0))*POWER(INDEX('Balance Inputs'!$G$2:$G$7,MATCH(C28,'Balance Inputs'!$A$2:$A$7,0)),F28-1),0)</x:f>
        <x:v>12</x:v>
      </x:c>
      <x:c r="N28" s="38" t="n">
        <x:f>IF(A28&lt;&gt;A27,H28,N27+H28)</x:f>
        <x:v>3467</x:v>
      </x:c>
      <x:c r="O28" s="42" t="n">
        <x:f>IF(I28=0,0,H28/I28)</x:f>
        <x:v>16.98989898989899</x:v>
      </x:c>
      <x:c r="P28" s="43" t="n">
        <x:f>I28/INDEX('Balance Inputs'!$L$2:$L$51,MATCH(A28,'Balance Inputs'!$I$2:$I$51,0))</x:f>
        <x:v>1.8</x:v>
      </x:c>
      <x:c r="Q28" s="43" t="n">
        <x:f>L28/INDEX('Balance Inputs'!$M$2:$M$51,MATCH(A28,'Balance Inputs'!$I$2:$I$51,0))</x:f>
        <x:v>1.7416666666666667</x:v>
      </x:c>
      <x:c r="R28" s="17"/>
      <x:c r="S28" s="17"/>
      <x:c r="T28" s="17"/>
      <x:c r="U28" s="17"/>
      <x:c r="V28" s="17"/>
      <x:c r="W28" s="17"/>
      <x:c r="X28" s="17"/>
      <x:c r="Y28" s="17"/>
      <x:c r="Z28" s="17"/>
    </x:row>
    <x:row r="29">
      <x:c r="A29" s="17" t="n">
        <x:v>5</x:v>
      </x:c>
      <x:c r="B29" s="17" t="str">
        <x:v>Market Info Kiosk</x:v>
      </x:c>
      <x:c r="C29" s="17" t="str">
        <x:v>Humble</x:v>
      </x:c>
      <x:c r="D29" s="17" t="str">
        <x:v>Common</x:v>
      </x:c>
      <x:c r="E29" s="17" t="n">
        <x:v>5</x:v>
      </x:c>
      <x:c r="F29" s="17" t="n">
        <x:v>4</x:v>
      </x:c>
      <x:c r="G29" s="17" t="str">
        <x:v>Upgrade to Lv4</x:v>
      </x:c>
      <x:c r="H29" s="38" t="n">
        <x:f>ROUND(H28*INDEX('Balance Inputs'!$C$2:$C$7,MATCH(C29,'Balance Inputs'!$A$2:$A$7,0)),0)</x:f>
        <x:v>2607</x:v>
      </x:c>
      <x:c r="I29" s="38" t="n">
        <x:f>ROUND(INDEX('Balance Inputs'!$L$2:$L$51,MATCH(A29,'Balance Inputs'!$I$2:$I$51,0))*POWER(INDEX('Balance Inputs'!$D$2:$D$7,MATCH(C29,'Balance Inputs'!$A$2:$A$7,0)),F29-1),0)</x:f>
        <x:v>132</x:v>
      </x:c>
      <x:c r="J29" s="38" t="n">
        <x:f>ROUND(I29*INDEX('Balance Inputs'!$F$2:$F$7,MATCH(C29,'Balance Inputs'!$A$2:$A$7,0)),0)</x:f>
        <x:v>16</x:v>
      </x:c>
      <x:c r="K29" s="38" t="n">
        <x:f>I29-J29</x:f>
        <x:v>116</x:v>
      </x:c>
      <x:c r="L29" s="38" t="n">
        <x:f>ROUND(INDEX('Balance Inputs'!$M$2:$M$51,MATCH(A29,'Balance Inputs'!$I$2:$I$51,0))*POWER(INDEX('Balance Inputs'!$E$2:$E$7,MATCH(C29,'Balance Inputs'!$A$2:$A$7,0)),F29-1),0)</x:f>
        <x:v>276</x:v>
      </x:c>
      <x:c r="M29" s="38" t="n">
        <x:f>ROUND(INDEX('Balance Inputs'!$N$2:$N$51,MATCH(A29,'Balance Inputs'!$I$2:$I$51,0))*POWER(INDEX('Balance Inputs'!$G$2:$G$7,MATCH(C29,'Balance Inputs'!$A$2:$A$7,0)),F29-1),0)</x:f>
        <x:v>12</x:v>
      </x:c>
      <x:c r="N29" s="38" t="n">
        <x:f>IF(A29&lt;&gt;A28,H29,N28+H29)</x:f>
        <x:v>6074</x:v>
      </x:c>
      <x:c r="O29" s="42" t="n">
        <x:f>IF(I29=0,0,H29/I29)</x:f>
        <x:v>19.75</x:v>
      </x:c>
      <x:c r="P29" s="43" t="n">
        <x:f>I29/INDEX('Balance Inputs'!$L$2:$L$51,MATCH(A29,'Balance Inputs'!$I$2:$I$51,0))</x:f>
        <x:v>2.4</x:v>
      </x:c>
      <x:c r="Q29" s="43" t="n">
        <x:f>L29/INDEX('Balance Inputs'!$M$2:$M$51,MATCH(A29,'Balance Inputs'!$I$2:$I$51,0))</x:f>
        <x:v>2.3</x:v>
      </x:c>
      <x:c r="R29" s="17"/>
      <x:c r="S29" s="17"/>
      <x:c r="T29" s="17"/>
      <x:c r="U29" s="17"/>
      <x:c r="V29" s="17"/>
      <x:c r="W29" s="17"/>
      <x:c r="X29" s="17"/>
      <x:c r="Y29" s="17"/>
      <x:c r="Z29" s="17"/>
    </x:row>
    <x:row r="30">
      <x:c r="A30" s="17" t="n">
        <x:v>5</x:v>
      </x:c>
      <x:c r="B30" s="17" t="str">
        <x:v>Market Info Kiosk</x:v>
      </x:c>
      <x:c r="C30" s="17" t="str">
        <x:v>Humble</x:v>
      </x:c>
      <x:c r="D30" s="17" t="str">
        <x:v>Common</x:v>
      </x:c>
      <x:c r="E30" s="17" t="n">
        <x:v>5</x:v>
      </x:c>
      <x:c r="F30" s="17" t="n">
        <x:v>5</x:v>
      </x:c>
      <x:c r="G30" s="17" t="str">
        <x:v>Upgrade to Lv5</x:v>
      </x:c>
      <x:c r="H30" s="38" t="n">
        <x:f>ROUND(H29*INDEX('Balance Inputs'!$C$2:$C$7,MATCH(C30,'Balance Inputs'!$A$2:$A$7,0)),0)</x:f>
        <x:v>4041</x:v>
      </x:c>
      <x:c r="I30" s="38" t="n">
        <x:f>ROUND(INDEX('Balance Inputs'!$L$2:$L$51,MATCH(A30,'Balance Inputs'!$I$2:$I$51,0))*POWER(INDEX('Balance Inputs'!$D$2:$D$7,MATCH(C30,'Balance Inputs'!$A$2:$A$7,0)),F30-1),0)</x:f>
        <x:v>177</x:v>
      </x:c>
      <x:c r="J30" s="38" t="n">
        <x:f>ROUND(I30*INDEX('Balance Inputs'!$F$2:$F$7,MATCH(C30,'Balance Inputs'!$A$2:$A$7,0)),0)</x:f>
        <x:v>21</x:v>
      </x:c>
      <x:c r="K30" s="38" t="n">
        <x:f>I30-J30</x:f>
        <x:v>156</x:v>
      </x:c>
      <x:c r="L30" s="38" t="n">
        <x:f>ROUND(INDEX('Balance Inputs'!$M$2:$M$51,MATCH(A30,'Balance Inputs'!$I$2:$I$51,0))*POWER(INDEX('Balance Inputs'!$E$2:$E$7,MATCH(C30,'Balance Inputs'!$A$2:$A$7,0)),F30-1),0)</x:f>
        <x:v>364</x:v>
      </x:c>
      <x:c r="M30" s="38" t="n">
        <x:f>ROUND(INDEX('Balance Inputs'!$N$2:$N$51,MATCH(A30,'Balance Inputs'!$I$2:$I$51,0))*POWER(INDEX('Balance Inputs'!$G$2:$G$7,MATCH(C30,'Balance Inputs'!$A$2:$A$7,0)),F30-1),0)</x:f>
        <x:v>12</x:v>
      </x:c>
      <x:c r="N30" s="38" t="n">
        <x:f>IF(A30&lt;&gt;A29,H30,N29+H30)</x:f>
        <x:v>10115</x:v>
      </x:c>
      <x:c r="O30" s="42" t="n">
        <x:f>IF(I30=0,0,H30/I30)</x:f>
        <x:v>22.83050847457627</x:v>
      </x:c>
      <x:c r="P30" s="43" t="n">
        <x:f>I30/INDEX('Balance Inputs'!$L$2:$L$51,MATCH(A30,'Balance Inputs'!$I$2:$I$51,0))</x:f>
        <x:v>3.2181818181818183</x:v>
      </x:c>
      <x:c r="Q30" s="43" t="n">
        <x:f>L30/INDEX('Balance Inputs'!$M$2:$M$51,MATCH(A30,'Balance Inputs'!$I$2:$I$51,0))</x:f>
        <x:v>3.033333333333333</x:v>
      </x:c>
      <x:c r="R30" s="17"/>
      <x:c r="S30" s="17"/>
      <x:c r="T30" s="17"/>
      <x:c r="U30" s="17"/>
      <x:c r="V30" s="17"/>
      <x:c r="W30" s="17"/>
      <x:c r="X30" s="17"/>
      <x:c r="Y30" s="17"/>
      <x:c r="Z30" s="17"/>
    </x:row>
    <x:row r="31">
      <x:c r="A31" s="17" t="n">
        <x:v>5</x:v>
      </x:c>
      <x:c r="B31" s="17" t="str">
        <x:v>Market Info Kiosk</x:v>
      </x:c>
      <x:c r="C31" s="17" t="str">
        <x:v>Humble</x:v>
      </x:c>
      <x:c r="D31" s="17" t="str">
        <x:v>Common</x:v>
      </x:c>
      <x:c r="E31" s="17" t="n">
        <x:v>5</x:v>
      </x:c>
      <x:c r="F31" s="17" t="n">
        <x:v>6</x:v>
      </x:c>
      <x:c r="G31" s="17" t="str">
        <x:v>Upgrade to Lv6</x:v>
      </x:c>
      <x:c r="H31" s="38" t="n">
        <x:f>ROUND(H30*INDEX('Balance Inputs'!$C$2:$C$7,MATCH(C31,'Balance Inputs'!$A$2:$A$7,0)),0)</x:f>
        <x:v>6264</x:v>
      </x:c>
      <x:c r="I31" s="38" t="n">
        <x:f>ROUND(INDEX('Balance Inputs'!$L$2:$L$51,MATCH(A31,'Balance Inputs'!$I$2:$I$51,0))*POWER(INDEX('Balance Inputs'!$D$2:$D$7,MATCH(C31,'Balance Inputs'!$A$2:$A$7,0)),F31-1),0)</x:f>
        <x:v>238</x:v>
      </x:c>
      <x:c r="J31" s="38" t="n">
        <x:f>ROUND(I31*INDEX('Balance Inputs'!$F$2:$F$7,MATCH(C31,'Balance Inputs'!$A$2:$A$7,0)),0)</x:f>
        <x:v>29</x:v>
      </x:c>
      <x:c r="K31" s="38" t="n">
        <x:f>I31-J31</x:f>
        <x:v>209</x:v>
      </x:c>
      <x:c r="L31" s="38" t="n">
        <x:f>ROUND(INDEX('Balance Inputs'!$M$2:$M$51,MATCH(A31,'Balance Inputs'!$I$2:$I$51,0))*POWER(INDEX('Balance Inputs'!$E$2:$E$7,MATCH(C31,'Balance Inputs'!$A$2:$A$7,0)),F31-1),0)</x:f>
        <x:v>481</x:v>
      </x:c>
      <x:c r="M31" s="38" t="n">
        <x:f>ROUND(INDEX('Balance Inputs'!$N$2:$N$51,MATCH(A31,'Balance Inputs'!$I$2:$I$51,0))*POWER(INDEX('Balance Inputs'!$G$2:$G$7,MATCH(C31,'Balance Inputs'!$A$2:$A$7,0)),F31-1),0)</x:f>
        <x:v>12</x:v>
      </x:c>
      <x:c r="N31" s="38" t="n">
        <x:f>IF(A31&lt;&gt;A30,H31,N30+H31)</x:f>
        <x:v>16379</x:v>
      </x:c>
      <x:c r="O31" s="42" t="n">
        <x:f>IF(I31=0,0,H31/I31)</x:f>
        <x:v>26.319327731092436</x:v>
      </x:c>
      <x:c r="P31" s="43" t="n">
        <x:f>I31/INDEX('Balance Inputs'!$L$2:$L$51,MATCH(A31,'Balance Inputs'!$I$2:$I$51,0))</x:f>
        <x:v>4.327272727272727</x:v>
      </x:c>
      <x:c r="Q31" s="43" t="n">
        <x:f>L31/INDEX('Balance Inputs'!$M$2:$M$51,MATCH(A31,'Balance Inputs'!$I$2:$I$51,0))</x:f>
        <x:v>4.008333333333334</x:v>
      </x:c>
      <x:c r="R31" s="17"/>
      <x:c r="S31" s="17"/>
      <x:c r="T31" s="17"/>
      <x:c r="U31" s="17"/>
      <x:c r="V31" s="17"/>
      <x:c r="W31" s="17"/>
      <x:c r="X31" s="17"/>
      <x:c r="Y31" s="17"/>
      <x:c r="Z31" s="17"/>
    </x:row>
    <x:row r="32">
      <x:c r="A32" s="17" t="n">
        <x:v>6</x:v>
      </x:c>
      <x:c r="B32" s="17" t="str">
        <x:v>Micro Loan Booth</x:v>
      </x:c>
      <x:c r="C32" s="17" t="str">
        <x:v>Humble</x:v>
      </x:c>
      <x:c r="D32" s="17" t="str">
        <x:v>Common</x:v>
      </x:c>
      <x:c r="E32" s="17" t="n">
        <x:v>6</x:v>
      </x:c>
      <x:c r="F32" s="17" t="n">
        <x:v>1</x:v>
      </x:c>
      <x:c r="G32" s="17" t="str">
        <x:v>Build</x:v>
      </x:c>
      <x:c r="H32" s="38" t="n">
        <x:f>INDEX('Balance Inputs'!$K$2:$K$51,MATCH(A32,'Balance Inputs'!$I$2:$I$51,0))</x:f>
        <x:v>860</x:v>
      </x:c>
      <x:c r="I32" s="38" t="n">
        <x:f>ROUND(INDEX('Balance Inputs'!$L$2:$L$51,MATCH(A32,'Balance Inputs'!$I$2:$I$51,0))*POWER(INDEX('Balance Inputs'!$D$2:$D$7,MATCH(C32,'Balance Inputs'!$A$2:$A$7,0)),F32-1),0)</x:f>
        <x:v>94</x:v>
      </x:c>
      <x:c r="J32" s="38" t="n">
        <x:f>ROUND(I32*INDEX('Balance Inputs'!$F$2:$F$7,MATCH(C32,'Balance Inputs'!$A$2:$A$7,0)),0)</x:f>
        <x:v>11</x:v>
      </x:c>
      <x:c r="K32" s="38" t="n">
        <x:f>I32-J32</x:f>
        <x:v>83</x:v>
      </x:c>
      <x:c r="L32" s="38" t="n">
        <x:f>ROUND(INDEX('Balance Inputs'!$M$2:$M$51,MATCH(A32,'Balance Inputs'!$I$2:$I$51,0))*POWER(INDEX('Balance Inputs'!$E$2:$E$7,MATCH(C32,'Balance Inputs'!$A$2:$A$7,0)),F32-1),0)</x:f>
        <x:v>143</x:v>
      </x:c>
      <x:c r="M32" s="38" t="n">
        <x:f>ROUND(INDEX('Balance Inputs'!$N$2:$N$51,MATCH(A32,'Balance Inputs'!$I$2:$I$51,0))*POWER(INDEX('Balance Inputs'!$G$2:$G$7,MATCH(C32,'Balance Inputs'!$A$2:$A$7,0)),F32-1),0)</x:f>
        <x:v>17</x:v>
      </x:c>
      <x:c r="N32" s="38" t="n">
        <x:f>IF(A32&lt;&gt;A31,H32,N31+H32)</x:f>
        <x:v>860</x:v>
      </x:c>
      <x:c r="O32" s="42" t="n">
        <x:f>IF(I32=0,0,H32/I32)</x:f>
        <x:v>9.148936170212766</x:v>
      </x:c>
      <x:c r="P32" s="43" t="n">
        <x:f>I32/INDEX('Balance Inputs'!$L$2:$L$51,MATCH(A32,'Balance Inputs'!$I$2:$I$51,0))</x:f>
        <x:v>1</x:v>
      </x:c>
      <x:c r="Q32" s="43" t="n">
        <x:f>L32/INDEX('Balance Inputs'!$M$2:$M$51,MATCH(A32,'Balance Inputs'!$I$2:$I$51,0))</x:f>
        <x:v>1</x:v>
      </x:c>
      <x:c r="R32" s="17"/>
      <x:c r="S32" s="17"/>
      <x:c r="T32" s="17"/>
      <x:c r="U32" s="17"/>
      <x:c r="V32" s="17"/>
      <x:c r="W32" s="17"/>
      <x:c r="X32" s="17"/>
      <x:c r="Y32" s="17"/>
      <x:c r="Z32" s="17"/>
    </x:row>
    <x:row r="33">
      <x:c r="A33" s="17" t="n">
        <x:v>6</x:v>
      </x:c>
      <x:c r="B33" s="17" t="str">
        <x:v>Micro Loan Booth</x:v>
      </x:c>
      <x:c r="C33" s="17" t="str">
        <x:v>Humble</x:v>
      </x:c>
      <x:c r="D33" s="17" t="str">
        <x:v>Common</x:v>
      </x:c>
      <x:c r="E33" s="17" t="n">
        <x:v>6</x:v>
      </x:c>
      <x:c r="F33" s="17" t="n">
        <x:v>2</x:v>
      </x:c>
      <x:c r="G33" s="17" t="str">
        <x:v>Upgrade to Lv2</x:v>
      </x:c>
      <x:c r="H33" s="38" t="n">
        <x:f>ROUND(H32*INDEX('Balance Inputs'!$C$2:$C$7,MATCH(C33,'Balance Inputs'!$A$2:$A$7,0)),0)</x:f>
        <x:v>1333</x:v>
      </x:c>
      <x:c r="I33" s="38" t="n">
        <x:f>ROUND(INDEX('Balance Inputs'!$L$2:$L$51,MATCH(A33,'Balance Inputs'!$I$2:$I$51,0))*POWER(INDEX('Balance Inputs'!$D$2:$D$7,MATCH(C33,'Balance Inputs'!$A$2:$A$7,0)),F33-1),0)</x:f>
        <x:v>126</x:v>
      </x:c>
      <x:c r="J33" s="38" t="n">
        <x:f>ROUND(I33*INDEX('Balance Inputs'!$F$2:$F$7,MATCH(C33,'Balance Inputs'!$A$2:$A$7,0)),0)</x:f>
        <x:v>15</x:v>
      </x:c>
      <x:c r="K33" s="38" t="n">
        <x:f>I33-J33</x:f>
        <x:v>111</x:v>
      </x:c>
      <x:c r="L33" s="38" t="n">
        <x:f>ROUND(INDEX('Balance Inputs'!$M$2:$M$51,MATCH(A33,'Balance Inputs'!$I$2:$I$51,0))*POWER(INDEX('Balance Inputs'!$E$2:$E$7,MATCH(C33,'Balance Inputs'!$A$2:$A$7,0)),F33-1),0)</x:f>
        <x:v>189</x:v>
      </x:c>
      <x:c r="M33" s="38" t="n">
        <x:f>ROUND(INDEX('Balance Inputs'!$N$2:$N$51,MATCH(A33,'Balance Inputs'!$I$2:$I$51,0))*POWER(INDEX('Balance Inputs'!$G$2:$G$7,MATCH(C33,'Balance Inputs'!$A$2:$A$7,0)),F33-1),0)</x:f>
        <x:v>17</x:v>
      </x:c>
      <x:c r="N33" s="38" t="n">
        <x:f>IF(A33&lt;&gt;A32,H33,N32+H33)</x:f>
        <x:v>2193</x:v>
      </x:c>
      <x:c r="O33" s="42" t="n">
        <x:f>IF(I33=0,0,H33/I33)</x:f>
        <x:v>10.579365079365079</x:v>
      </x:c>
      <x:c r="P33" s="43" t="n">
        <x:f>I33/INDEX('Balance Inputs'!$L$2:$L$51,MATCH(A33,'Balance Inputs'!$I$2:$I$51,0))</x:f>
        <x:v>1.3404255319148937</x:v>
      </x:c>
      <x:c r="Q33" s="43" t="n">
        <x:f>L33/INDEX('Balance Inputs'!$M$2:$M$51,MATCH(A33,'Balance Inputs'!$I$2:$I$51,0))</x:f>
        <x:v>1.3216783216783217</x:v>
      </x:c>
      <x:c r="R33" s="17"/>
      <x:c r="S33" s="17"/>
      <x:c r="T33" s="17"/>
      <x:c r="U33" s="17"/>
      <x:c r="V33" s="17"/>
      <x:c r="W33" s="17"/>
      <x:c r="X33" s="17"/>
      <x:c r="Y33" s="17"/>
      <x:c r="Z33" s="17"/>
    </x:row>
    <x:row r="34">
      <x:c r="A34" s="17" t="n">
        <x:v>6</x:v>
      </x:c>
      <x:c r="B34" s="17" t="str">
        <x:v>Micro Loan Booth</x:v>
      </x:c>
      <x:c r="C34" s="17" t="str">
        <x:v>Humble</x:v>
      </x:c>
      <x:c r="D34" s="17" t="str">
        <x:v>Common</x:v>
      </x:c>
      <x:c r="E34" s="17" t="n">
        <x:v>6</x:v>
      </x:c>
      <x:c r="F34" s="17" t="n">
        <x:v>3</x:v>
      </x:c>
      <x:c r="G34" s="17" t="str">
        <x:v>Upgrade to Lv3</x:v>
      </x:c>
      <x:c r="H34" s="38" t="n">
        <x:f>ROUND(H33*INDEX('Balance Inputs'!$C$2:$C$7,MATCH(C34,'Balance Inputs'!$A$2:$A$7,0)),0)</x:f>
        <x:v>2066</x:v>
      </x:c>
      <x:c r="I34" s="38" t="n">
        <x:f>ROUND(INDEX('Balance Inputs'!$L$2:$L$51,MATCH(A34,'Balance Inputs'!$I$2:$I$51,0))*POWER(INDEX('Balance Inputs'!$D$2:$D$7,MATCH(C34,'Balance Inputs'!$A$2:$A$7,0)),F34-1),0)</x:f>
        <x:v>169</x:v>
      </x:c>
      <x:c r="J34" s="38" t="n">
        <x:f>ROUND(I34*INDEX('Balance Inputs'!$F$2:$F$7,MATCH(C34,'Balance Inputs'!$A$2:$A$7,0)),0)</x:f>
        <x:v>20</x:v>
      </x:c>
      <x:c r="K34" s="38" t="n">
        <x:f>I34-J34</x:f>
        <x:v>149</x:v>
      </x:c>
      <x:c r="L34" s="38" t="n">
        <x:f>ROUND(INDEX('Balance Inputs'!$M$2:$M$51,MATCH(A34,'Balance Inputs'!$I$2:$I$51,0))*POWER(INDEX('Balance Inputs'!$E$2:$E$7,MATCH(C34,'Balance Inputs'!$A$2:$A$7,0)),F34-1),0)</x:f>
        <x:v>249</x:v>
      </x:c>
      <x:c r="M34" s="38" t="n">
        <x:f>ROUND(INDEX('Balance Inputs'!$N$2:$N$51,MATCH(A34,'Balance Inputs'!$I$2:$I$51,0))*POWER(INDEX('Balance Inputs'!$G$2:$G$7,MATCH(C34,'Balance Inputs'!$A$2:$A$7,0)),F34-1),0)</x:f>
        <x:v>17</x:v>
      </x:c>
      <x:c r="N34" s="38" t="n">
        <x:f>IF(A34&lt;&gt;A33,H34,N33+H34)</x:f>
        <x:v>4259</x:v>
      </x:c>
      <x:c r="O34" s="42" t="n">
        <x:f>IF(I34=0,0,H34/I34)</x:f>
        <x:v>12.224852071005918</x:v>
      </x:c>
      <x:c r="P34" s="43" t="n">
        <x:f>I34/INDEX('Balance Inputs'!$L$2:$L$51,MATCH(A34,'Balance Inputs'!$I$2:$I$51,0))</x:f>
        <x:v>1.797872340425532</x:v>
      </x:c>
      <x:c r="Q34" s="43" t="n">
        <x:f>L34/INDEX('Balance Inputs'!$M$2:$M$51,MATCH(A34,'Balance Inputs'!$I$2:$I$51,0))</x:f>
        <x:v>1.7412587412587412</x:v>
      </x:c>
      <x:c r="R34" s="17"/>
      <x:c r="S34" s="17"/>
      <x:c r="T34" s="17"/>
      <x:c r="U34" s="17"/>
      <x:c r="V34" s="17"/>
      <x:c r="W34" s="17"/>
      <x:c r="X34" s="17"/>
      <x:c r="Y34" s="17"/>
      <x:c r="Z34" s="17"/>
    </x:row>
    <x:row r="35">
      <x:c r="A35" s="17" t="n">
        <x:v>6</x:v>
      </x:c>
      <x:c r="B35" s="17" t="str">
        <x:v>Micro Loan Booth</x:v>
      </x:c>
      <x:c r="C35" s="17" t="str">
        <x:v>Humble</x:v>
      </x:c>
      <x:c r="D35" s="17" t="str">
        <x:v>Common</x:v>
      </x:c>
      <x:c r="E35" s="17" t="n">
        <x:v>6</x:v>
      </x:c>
      <x:c r="F35" s="17" t="n">
        <x:v>4</x:v>
      </x:c>
      <x:c r="G35" s="17" t="str">
        <x:v>Upgrade to Lv4</x:v>
      </x:c>
      <x:c r="H35" s="38" t="n">
        <x:f>ROUND(H34*INDEX('Balance Inputs'!$C$2:$C$7,MATCH(C35,'Balance Inputs'!$A$2:$A$7,0)),0)</x:f>
        <x:v>3202</x:v>
      </x:c>
      <x:c r="I35" s="38" t="n">
        <x:f>ROUND(INDEX('Balance Inputs'!$L$2:$L$51,MATCH(A35,'Balance Inputs'!$I$2:$I$51,0))*POWER(INDEX('Balance Inputs'!$D$2:$D$7,MATCH(C35,'Balance Inputs'!$A$2:$A$7,0)),F35-1),0)</x:f>
        <x:v>226</x:v>
      </x:c>
      <x:c r="J35" s="38" t="n">
        <x:f>ROUND(I35*INDEX('Balance Inputs'!$F$2:$F$7,MATCH(C35,'Balance Inputs'!$A$2:$A$7,0)),0)</x:f>
        <x:v>27</x:v>
      </x:c>
      <x:c r="K35" s="38" t="n">
        <x:f>I35-J35</x:f>
        <x:v>199</x:v>
      </x:c>
      <x:c r="L35" s="38" t="n">
        <x:f>ROUND(INDEX('Balance Inputs'!$M$2:$M$51,MATCH(A35,'Balance Inputs'!$I$2:$I$51,0))*POWER(INDEX('Balance Inputs'!$E$2:$E$7,MATCH(C35,'Balance Inputs'!$A$2:$A$7,0)),F35-1),0)</x:f>
        <x:v>329</x:v>
      </x:c>
      <x:c r="M35" s="38" t="n">
        <x:f>ROUND(INDEX('Balance Inputs'!$N$2:$N$51,MATCH(A35,'Balance Inputs'!$I$2:$I$51,0))*POWER(INDEX('Balance Inputs'!$G$2:$G$7,MATCH(C35,'Balance Inputs'!$A$2:$A$7,0)),F35-1),0)</x:f>
        <x:v>17</x:v>
      </x:c>
      <x:c r="N35" s="38" t="n">
        <x:f>IF(A35&lt;&gt;A34,H35,N34+H35)</x:f>
        <x:v>7461</x:v>
      </x:c>
      <x:c r="O35" s="42" t="n">
        <x:f>IF(I35=0,0,H35/I35)</x:f>
        <x:v>14.168141592920353</x:v>
      </x:c>
      <x:c r="P35" s="43" t="n">
        <x:f>I35/INDEX('Balance Inputs'!$L$2:$L$51,MATCH(A35,'Balance Inputs'!$I$2:$I$51,0))</x:f>
        <x:v>2.404255319148936</x:v>
      </x:c>
      <x:c r="Q35" s="43" t="n">
        <x:f>L35/INDEX('Balance Inputs'!$M$2:$M$51,MATCH(A35,'Balance Inputs'!$I$2:$I$51,0))</x:f>
        <x:v>2.300699300699301</x:v>
      </x:c>
      <x:c r="R35" s="17"/>
      <x:c r="S35" s="17"/>
      <x:c r="T35" s="17"/>
      <x:c r="U35" s="17"/>
      <x:c r="V35" s="17"/>
      <x:c r="W35" s="17"/>
      <x:c r="X35" s="17"/>
      <x:c r="Y35" s="17"/>
      <x:c r="Z35" s="17"/>
    </x:row>
    <x:row r="36">
      <x:c r="A36" s="17" t="n">
        <x:v>6</x:v>
      </x:c>
      <x:c r="B36" s="17" t="str">
        <x:v>Micro Loan Booth</x:v>
      </x:c>
      <x:c r="C36" s="17" t="str">
        <x:v>Humble</x:v>
      </x:c>
      <x:c r="D36" s="17" t="str">
        <x:v>Common</x:v>
      </x:c>
      <x:c r="E36" s="17" t="n">
        <x:v>6</x:v>
      </x:c>
      <x:c r="F36" s="17" t="n">
        <x:v>5</x:v>
      </x:c>
      <x:c r="G36" s="17" t="str">
        <x:v>Upgrade to Lv5</x:v>
      </x:c>
      <x:c r="H36" s="38" t="n">
        <x:f>ROUND(H35*INDEX('Balance Inputs'!$C$2:$C$7,MATCH(C36,'Balance Inputs'!$A$2:$A$7,0)),0)</x:f>
        <x:v>4963</x:v>
      </x:c>
      <x:c r="I36" s="38" t="n">
        <x:f>ROUND(INDEX('Balance Inputs'!$L$2:$L$51,MATCH(A36,'Balance Inputs'!$I$2:$I$51,0))*POWER(INDEX('Balance Inputs'!$D$2:$D$7,MATCH(C36,'Balance Inputs'!$A$2:$A$7,0)),F36-1),0)</x:f>
        <x:v>303</x:v>
      </x:c>
      <x:c r="J36" s="38" t="n">
        <x:f>ROUND(I36*INDEX('Balance Inputs'!$F$2:$F$7,MATCH(C36,'Balance Inputs'!$A$2:$A$7,0)),0)</x:f>
        <x:v>36</x:v>
      </x:c>
      <x:c r="K36" s="38" t="n">
        <x:f>I36-J36</x:f>
        <x:v>267</x:v>
      </x:c>
      <x:c r="L36" s="38" t="n">
        <x:f>ROUND(INDEX('Balance Inputs'!$M$2:$M$51,MATCH(A36,'Balance Inputs'!$I$2:$I$51,0))*POWER(INDEX('Balance Inputs'!$E$2:$E$7,MATCH(C36,'Balance Inputs'!$A$2:$A$7,0)),F36-1),0)</x:f>
        <x:v>434</x:v>
      </x:c>
      <x:c r="M36" s="38" t="n">
        <x:f>ROUND(INDEX('Balance Inputs'!$N$2:$N$51,MATCH(A36,'Balance Inputs'!$I$2:$I$51,0))*POWER(INDEX('Balance Inputs'!$G$2:$G$7,MATCH(C36,'Balance Inputs'!$A$2:$A$7,0)),F36-1),0)</x:f>
        <x:v>17</x:v>
      </x:c>
      <x:c r="N36" s="38" t="n">
        <x:f>IF(A36&lt;&gt;A35,H36,N35+H36)</x:f>
        <x:v>12424</x:v>
      </x:c>
      <x:c r="O36" s="42" t="n">
        <x:f>IF(I36=0,0,H36/I36)</x:f>
        <x:v>16.379537953795378</x:v>
      </x:c>
      <x:c r="P36" s="43" t="n">
        <x:f>I36/INDEX('Balance Inputs'!$L$2:$L$51,MATCH(A36,'Balance Inputs'!$I$2:$I$51,0))</x:f>
        <x:v>3.223404255319149</x:v>
      </x:c>
      <x:c r="Q36" s="43" t="n">
        <x:f>L36/INDEX('Balance Inputs'!$M$2:$M$51,MATCH(A36,'Balance Inputs'!$I$2:$I$51,0))</x:f>
        <x:v>3.034965034965035</x:v>
      </x:c>
      <x:c r="R36" s="17"/>
      <x:c r="S36" s="17"/>
      <x:c r="T36" s="17"/>
      <x:c r="U36" s="17"/>
      <x:c r="V36" s="17"/>
      <x:c r="W36" s="17"/>
      <x:c r="X36" s="17"/>
      <x:c r="Y36" s="17"/>
      <x:c r="Z36" s="17"/>
    </x:row>
    <x:row r="37">
      <x:c r="A37" s="17" t="n">
        <x:v>6</x:v>
      </x:c>
      <x:c r="B37" s="17" t="str">
        <x:v>Micro Loan Booth</x:v>
      </x:c>
      <x:c r="C37" s="17" t="str">
        <x:v>Humble</x:v>
      </x:c>
      <x:c r="D37" s="17" t="str">
        <x:v>Common</x:v>
      </x:c>
      <x:c r="E37" s="17" t="n">
        <x:v>6</x:v>
      </x:c>
      <x:c r="F37" s="17" t="n">
        <x:v>6</x:v>
      </x:c>
      <x:c r="G37" s="17" t="str">
        <x:v>Upgrade to Lv6</x:v>
      </x:c>
      <x:c r="H37" s="38" t="n">
        <x:f>ROUND(H36*INDEX('Balance Inputs'!$C$2:$C$7,MATCH(C37,'Balance Inputs'!$A$2:$A$7,0)),0)</x:f>
        <x:v>7693</x:v>
      </x:c>
      <x:c r="I37" s="38" t="n">
        <x:f>ROUND(INDEX('Balance Inputs'!$L$2:$L$51,MATCH(A37,'Balance Inputs'!$I$2:$I$51,0))*POWER(INDEX('Balance Inputs'!$D$2:$D$7,MATCH(C37,'Balance Inputs'!$A$2:$A$7,0)),F37-1),0)</x:f>
        <x:v>406</x:v>
      </x:c>
      <x:c r="J37" s="38" t="n">
        <x:f>ROUND(I37*INDEX('Balance Inputs'!$F$2:$F$7,MATCH(C37,'Balance Inputs'!$A$2:$A$7,0)),0)</x:f>
        <x:v>49</x:v>
      </x:c>
      <x:c r="K37" s="38" t="n">
        <x:f>I37-J37</x:f>
        <x:v>357</x:v>
      </x:c>
      <x:c r="L37" s="38" t="n">
        <x:f>ROUND(INDEX('Balance Inputs'!$M$2:$M$51,MATCH(A37,'Balance Inputs'!$I$2:$I$51,0))*POWER(INDEX('Balance Inputs'!$E$2:$E$7,MATCH(C37,'Balance Inputs'!$A$2:$A$7,0)),F37-1),0)</x:f>
        <x:v>573</x:v>
      </x:c>
      <x:c r="M37" s="38" t="n">
        <x:f>ROUND(INDEX('Balance Inputs'!$N$2:$N$51,MATCH(A37,'Balance Inputs'!$I$2:$I$51,0))*POWER(INDEX('Balance Inputs'!$G$2:$G$7,MATCH(C37,'Balance Inputs'!$A$2:$A$7,0)),F37-1),0)</x:f>
        <x:v>17</x:v>
      </x:c>
      <x:c r="N37" s="38" t="n">
        <x:f>IF(A37&lt;&gt;A36,H37,N36+H37)</x:f>
        <x:v>20117</x:v>
      </x:c>
      <x:c r="O37" s="42" t="n">
        <x:f>IF(I37=0,0,H37/I37)</x:f>
        <x:v>18.948275862068964</x:v>
      </x:c>
      <x:c r="P37" s="43" t="n">
        <x:f>I37/INDEX('Balance Inputs'!$L$2:$L$51,MATCH(A37,'Balance Inputs'!$I$2:$I$51,0))</x:f>
        <x:v>4.319148936170213</x:v>
      </x:c>
      <x:c r="Q37" s="43" t="n">
        <x:f>L37/INDEX('Balance Inputs'!$M$2:$M$51,MATCH(A37,'Balance Inputs'!$I$2:$I$51,0))</x:f>
        <x:v>4.006993006993007</x:v>
      </x:c>
      <x:c r="R37" s="17"/>
      <x:c r="S37" s="17"/>
      <x:c r="T37" s="17"/>
      <x:c r="U37" s="17"/>
      <x:c r="V37" s="17"/>
      <x:c r="W37" s="17"/>
      <x:c r="X37" s="17"/>
      <x:c r="Y37" s="17"/>
      <x:c r="Z37" s="17"/>
    </x:row>
    <x:row r="38">
      <x:c r="A38" s="17" t="n">
        <x:v>7</x:v>
      </x:c>
      <x:c r="B38" s="17" t="str">
        <x:v>Currency Exchange Stand</x:v>
      </x:c>
      <x:c r="C38" s="17" t="str">
        <x:v>Humble</x:v>
      </x:c>
      <x:c r="D38" s="17" t="str">
        <x:v>Common</x:v>
      </x:c>
      <x:c r="E38" s="17" t="n">
        <x:v>7</x:v>
      </x:c>
      <x:c r="F38" s="17" t="n">
        <x:v>1</x:v>
      </x:c>
      <x:c r="G38" s="17" t="str">
        <x:v>Build</x:v>
      </x:c>
      <x:c r="H38" s="38" t="n">
        <x:f>INDEX('Balance Inputs'!$K$2:$K$51,MATCH(A38,'Balance Inputs'!$I$2:$I$51,0))</x:f>
        <x:v>1060</x:v>
      </x:c>
      <x:c r="I38" s="38" t="n">
        <x:f>ROUND(INDEX('Balance Inputs'!$L$2:$L$51,MATCH(A38,'Balance Inputs'!$I$2:$I$51,0))*POWER(INDEX('Balance Inputs'!$D$2:$D$7,MATCH(C38,'Balance Inputs'!$A$2:$A$7,0)),F38-1),0)</x:f>
        <x:v>114</x:v>
      </x:c>
      <x:c r="J38" s="38" t="n">
        <x:f>ROUND(I38*INDEX('Balance Inputs'!$F$2:$F$7,MATCH(C38,'Balance Inputs'!$A$2:$A$7,0)),0)</x:f>
        <x:v>14</x:v>
      </x:c>
      <x:c r="K38" s="38" t="n">
        <x:f>I38-J38</x:f>
        <x:v>100</x:v>
      </x:c>
      <x:c r="L38" s="38" t="n">
        <x:f>ROUND(INDEX('Balance Inputs'!$M$2:$M$51,MATCH(A38,'Balance Inputs'!$I$2:$I$51,0))*POWER(INDEX('Balance Inputs'!$E$2:$E$7,MATCH(C38,'Balance Inputs'!$A$2:$A$7,0)),F38-1),0)</x:f>
        <x:v>170</x:v>
      </x:c>
      <x:c r="M38" s="38" t="n">
        <x:f>ROUND(INDEX('Balance Inputs'!$N$2:$N$51,MATCH(A38,'Balance Inputs'!$I$2:$I$51,0))*POWER(INDEX('Balance Inputs'!$G$2:$G$7,MATCH(C38,'Balance Inputs'!$A$2:$A$7,0)),F38-1),0)</x:f>
        <x:v>22</x:v>
      </x:c>
      <x:c r="N38" s="38" t="n">
        <x:f>IF(A38&lt;&gt;A37,H38,N37+H38)</x:f>
        <x:v>1060</x:v>
      </x:c>
      <x:c r="O38" s="42" t="n">
        <x:f>IF(I38=0,0,H38/I38)</x:f>
        <x:v>9.298245614035087</x:v>
      </x:c>
      <x:c r="P38" s="43" t="n">
        <x:f>I38/INDEX('Balance Inputs'!$L$2:$L$51,MATCH(A38,'Balance Inputs'!$I$2:$I$51,0))</x:f>
        <x:v>1</x:v>
      </x:c>
      <x:c r="Q38" s="43" t="n">
        <x:f>L38/INDEX('Balance Inputs'!$M$2:$M$51,MATCH(A38,'Balance Inputs'!$I$2:$I$51,0))</x:f>
        <x:v>1</x:v>
      </x:c>
      <x:c r="R38" s="17"/>
      <x:c r="S38" s="17"/>
      <x:c r="T38" s="17"/>
      <x:c r="U38" s="17"/>
      <x:c r="V38" s="17"/>
      <x:c r="W38" s="17"/>
      <x:c r="X38" s="17"/>
      <x:c r="Y38" s="17"/>
      <x:c r="Z38" s="17"/>
    </x:row>
    <x:row r="39">
      <x:c r="A39" s="17" t="n">
        <x:v>7</x:v>
      </x:c>
      <x:c r="B39" s="17" t="str">
        <x:v>Currency Exchange Stand</x:v>
      </x:c>
      <x:c r="C39" s="17" t="str">
        <x:v>Humble</x:v>
      </x:c>
      <x:c r="D39" s="17" t="str">
        <x:v>Common</x:v>
      </x:c>
      <x:c r="E39" s="17" t="n">
        <x:v>7</x:v>
      </x:c>
      <x:c r="F39" s="17" t="n">
        <x:v>2</x:v>
      </x:c>
      <x:c r="G39" s="17" t="str">
        <x:v>Upgrade to Lv2</x:v>
      </x:c>
      <x:c r="H39" s="38" t="n">
        <x:f>ROUND(H38*INDEX('Balance Inputs'!$C$2:$C$7,MATCH(C39,'Balance Inputs'!$A$2:$A$7,0)),0)</x:f>
        <x:v>1643</x:v>
      </x:c>
      <x:c r="I39" s="38" t="n">
        <x:f>ROUND(INDEX('Balance Inputs'!$L$2:$L$51,MATCH(A39,'Balance Inputs'!$I$2:$I$51,0))*POWER(INDEX('Balance Inputs'!$D$2:$D$7,MATCH(C39,'Balance Inputs'!$A$2:$A$7,0)),F39-1),0)</x:f>
        <x:v>153</x:v>
      </x:c>
      <x:c r="J39" s="38" t="n">
        <x:f>ROUND(I39*INDEX('Balance Inputs'!$F$2:$F$7,MATCH(C39,'Balance Inputs'!$A$2:$A$7,0)),0)</x:f>
        <x:v>18</x:v>
      </x:c>
      <x:c r="K39" s="38" t="n">
        <x:f>I39-J39</x:f>
        <x:v>135</x:v>
      </x:c>
      <x:c r="L39" s="38" t="n">
        <x:f>ROUND(INDEX('Balance Inputs'!$M$2:$M$51,MATCH(A39,'Balance Inputs'!$I$2:$I$51,0))*POWER(INDEX('Balance Inputs'!$E$2:$E$7,MATCH(C39,'Balance Inputs'!$A$2:$A$7,0)),F39-1),0)</x:f>
        <x:v>224</x:v>
      </x:c>
      <x:c r="M39" s="38" t="n">
        <x:f>ROUND(INDEX('Balance Inputs'!$N$2:$N$51,MATCH(A39,'Balance Inputs'!$I$2:$I$51,0))*POWER(INDEX('Balance Inputs'!$G$2:$G$7,MATCH(C39,'Balance Inputs'!$A$2:$A$7,0)),F39-1),0)</x:f>
        <x:v>22</x:v>
      </x:c>
      <x:c r="N39" s="38" t="n">
        <x:f>IF(A39&lt;&gt;A38,H39,N38+H39)</x:f>
        <x:v>2703</x:v>
      </x:c>
      <x:c r="O39" s="42" t="n">
        <x:f>IF(I39=0,0,H39/I39)</x:f>
        <x:v>10.738562091503267</x:v>
      </x:c>
      <x:c r="P39" s="43" t="n">
        <x:f>I39/INDEX('Balance Inputs'!$L$2:$L$51,MATCH(A39,'Balance Inputs'!$I$2:$I$51,0))</x:f>
        <x:v>1.3421052631578947</x:v>
      </x:c>
      <x:c r="Q39" s="43" t="n">
        <x:f>L39/INDEX('Balance Inputs'!$M$2:$M$51,MATCH(A39,'Balance Inputs'!$I$2:$I$51,0))</x:f>
        <x:v>1.3176470588235294</x:v>
      </x:c>
      <x:c r="R39" s="17"/>
      <x:c r="S39" s="17"/>
      <x:c r="T39" s="17"/>
      <x:c r="U39" s="17"/>
      <x:c r="V39" s="17"/>
      <x:c r="W39" s="17"/>
      <x:c r="X39" s="17"/>
      <x:c r="Y39" s="17"/>
      <x:c r="Z39" s="17"/>
    </x:row>
    <x:row r="40">
      <x:c r="A40" s="17" t="n">
        <x:v>7</x:v>
      </x:c>
      <x:c r="B40" s="17" t="str">
        <x:v>Currency Exchange Stand</x:v>
      </x:c>
      <x:c r="C40" s="17" t="str">
        <x:v>Humble</x:v>
      </x:c>
      <x:c r="D40" s="17" t="str">
        <x:v>Common</x:v>
      </x:c>
      <x:c r="E40" s="17" t="n">
        <x:v>7</x:v>
      </x:c>
      <x:c r="F40" s="17" t="n">
        <x:v>3</x:v>
      </x:c>
      <x:c r="G40" s="17" t="str">
        <x:v>Upgrade to Lv3</x:v>
      </x:c>
      <x:c r="H40" s="38" t="n">
        <x:f>ROUND(H39*INDEX('Balance Inputs'!$C$2:$C$7,MATCH(C40,'Balance Inputs'!$A$2:$A$7,0)),0)</x:f>
        <x:v>2547</x:v>
      </x:c>
      <x:c r="I40" s="38" t="n">
        <x:f>ROUND(INDEX('Balance Inputs'!$L$2:$L$51,MATCH(A40,'Balance Inputs'!$I$2:$I$51,0))*POWER(INDEX('Balance Inputs'!$D$2:$D$7,MATCH(C40,'Balance Inputs'!$A$2:$A$7,0)),F40-1),0)</x:f>
        <x:v>205</x:v>
      </x:c>
      <x:c r="J40" s="38" t="n">
        <x:f>ROUND(I40*INDEX('Balance Inputs'!$F$2:$F$7,MATCH(C40,'Balance Inputs'!$A$2:$A$7,0)),0)</x:f>
        <x:v>25</x:v>
      </x:c>
      <x:c r="K40" s="38" t="n">
        <x:f>I40-J40</x:f>
        <x:v>180</x:v>
      </x:c>
      <x:c r="L40" s="38" t="n">
        <x:f>ROUND(INDEX('Balance Inputs'!$M$2:$M$51,MATCH(A40,'Balance Inputs'!$I$2:$I$51,0))*POWER(INDEX('Balance Inputs'!$E$2:$E$7,MATCH(C40,'Balance Inputs'!$A$2:$A$7,0)),F40-1),0)</x:f>
        <x:v>296</x:v>
      </x:c>
      <x:c r="M40" s="38" t="n">
        <x:f>ROUND(INDEX('Balance Inputs'!$N$2:$N$51,MATCH(A40,'Balance Inputs'!$I$2:$I$51,0))*POWER(INDEX('Balance Inputs'!$G$2:$G$7,MATCH(C40,'Balance Inputs'!$A$2:$A$7,0)),F40-1),0)</x:f>
        <x:v>22</x:v>
      </x:c>
      <x:c r="N40" s="38" t="n">
        <x:f>IF(A40&lt;&gt;A39,H40,N39+H40)</x:f>
        <x:v>5250</x:v>
      </x:c>
      <x:c r="O40" s="42" t="n">
        <x:f>IF(I40=0,0,H40/I40)</x:f>
        <x:v>12.424390243902439</x:v>
      </x:c>
      <x:c r="P40" s="43" t="n">
        <x:f>I40/INDEX('Balance Inputs'!$L$2:$L$51,MATCH(A40,'Balance Inputs'!$I$2:$I$51,0))</x:f>
        <x:v>1.7982456140350878</x:v>
      </x:c>
      <x:c r="Q40" s="43" t="n">
        <x:f>L40/INDEX('Balance Inputs'!$M$2:$M$51,MATCH(A40,'Balance Inputs'!$I$2:$I$51,0))</x:f>
        <x:v>1.7411764705882353</x:v>
      </x:c>
      <x:c r="R40" s="17"/>
      <x:c r="S40" s="17"/>
      <x:c r="T40" s="17"/>
      <x:c r="U40" s="17"/>
      <x:c r="V40" s="17"/>
      <x:c r="W40" s="17"/>
      <x:c r="X40" s="17"/>
      <x:c r="Y40" s="17"/>
      <x:c r="Z40" s="17"/>
    </x:row>
    <x:row r="41">
      <x:c r="A41" s="17" t="n">
        <x:v>7</x:v>
      </x:c>
      <x:c r="B41" s="17" t="str">
        <x:v>Currency Exchange Stand</x:v>
      </x:c>
      <x:c r="C41" s="17" t="str">
        <x:v>Humble</x:v>
      </x:c>
      <x:c r="D41" s="17" t="str">
        <x:v>Common</x:v>
      </x:c>
      <x:c r="E41" s="17" t="n">
        <x:v>7</x:v>
      </x:c>
      <x:c r="F41" s="17" t="n">
        <x:v>4</x:v>
      </x:c>
      <x:c r="G41" s="17" t="str">
        <x:v>Upgrade to Lv4</x:v>
      </x:c>
      <x:c r="H41" s="38" t="n">
        <x:f>ROUND(H40*INDEX('Balance Inputs'!$C$2:$C$7,MATCH(C41,'Balance Inputs'!$A$2:$A$7,0)),0)</x:f>
        <x:v>3948</x:v>
      </x:c>
      <x:c r="I41" s="38" t="n">
        <x:f>ROUND(INDEX('Balance Inputs'!$L$2:$L$51,MATCH(A41,'Balance Inputs'!$I$2:$I$51,0))*POWER(INDEX('Balance Inputs'!$D$2:$D$7,MATCH(C41,'Balance Inputs'!$A$2:$A$7,0)),F41-1),0)</x:f>
        <x:v>274</x:v>
      </x:c>
      <x:c r="J41" s="38" t="n">
        <x:f>ROUND(I41*INDEX('Balance Inputs'!$F$2:$F$7,MATCH(C41,'Balance Inputs'!$A$2:$A$7,0)),0)</x:f>
        <x:v>33</x:v>
      </x:c>
      <x:c r="K41" s="38" t="n">
        <x:f>I41-J41</x:f>
        <x:v>241</x:v>
      </x:c>
      <x:c r="L41" s="38" t="n">
        <x:f>ROUND(INDEX('Balance Inputs'!$M$2:$M$51,MATCH(A41,'Balance Inputs'!$I$2:$I$51,0))*POWER(INDEX('Balance Inputs'!$E$2:$E$7,MATCH(C41,'Balance Inputs'!$A$2:$A$7,0)),F41-1),0)</x:f>
        <x:v>391</x:v>
      </x:c>
      <x:c r="M41" s="38" t="n">
        <x:f>ROUND(INDEX('Balance Inputs'!$N$2:$N$51,MATCH(A41,'Balance Inputs'!$I$2:$I$51,0))*POWER(INDEX('Balance Inputs'!$G$2:$G$7,MATCH(C41,'Balance Inputs'!$A$2:$A$7,0)),F41-1),0)</x:f>
        <x:v>22</x:v>
      </x:c>
      <x:c r="N41" s="38" t="n">
        <x:f>IF(A41&lt;&gt;A40,H41,N40+H41)</x:f>
        <x:v>9198</x:v>
      </x:c>
      <x:c r="O41" s="42" t="n">
        <x:f>IF(I41=0,0,H41/I41)</x:f>
        <x:v>14.408759124087592</x:v>
      </x:c>
      <x:c r="P41" s="43" t="n">
        <x:f>I41/INDEX('Balance Inputs'!$L$2:$L$51,MATCH(A41,'Balance Inputs'!$I$2:$I$51,0))</x:f>
        <x:v>2.4035087719298245</x:v>
      </x:c>
      <x:c r="Q41" s="43" t="n">
        <x:f>L41/INDEX('Balance Inputs'!$M$2:$M$51,MATCH(A41,'Balance Inputs'!$I$2:$I$51,0))</x:f>
        <x:v>2.3</x:v>
      </x:c>
      <x:c r="R41" s="17"/>
      <x:c r="S41" s="17"/>
      <x:c r="T41" s="17"/>
      <x:c r="U41" s="17"/>
      <x:c r="V41" s="17"/>
      <x:c r="W41" s="17"/>
      <x:c r="X41" s="17"/>
      <x:c r="Y41" s="17"/>
      <x:c r="Z41" s="17"/>
    </x:row>
    <x:row r="42">
      <x:c r="A42" s="17" t="n">
        <x:v>7</x:v>
      </x:c>
      <x:c r="B42" s="17" t="str">
        <x:v>Currency Exchange Stand</x:v>
      </x:c>
      <x:c r="C42" s="17" t="str">
        <x:v>Humble</x:v>
      </x:c>
      <x:c r="D42" s="17" t="str">
        <x:v>Common</x:v>
      </x:c>
      <x:c r="E42" s="17" t="n">
        <x:v>7</x:v>
      </x:c>
      <x:c r="F42" s="17" t="n">
        <x:v>5</x:v>
      </x:c>
      <x:c r="G42" s="17" t="str">
        <x:v>Upgrade to Lv5</x:v>
      </x:c>
      <x:c r="H42" s="38" t="n">
        <x:f>ROUND(H41*INDEX('Balance Inputs'!$C$2:$C$7,MATCH(C42,'Balance Inputs'!$A$2:$A$7,0)),0)</x:f>
        <x:v>6119</x:v>
      </x:c>
      <x:c r="I42" s="38" t="n">
        <x:f>ROUND(INDEX('Balance Inputs'!$L$2:$L$51,MATCH(A42,'Balance Inputs'!$I$2:$I$51,0))*POWER(INDEX('Balance Inputs'!$D$2:$D$7,MATCH(C42,'Balance Inputs'!$A$2:$A$7,0)),F42-1),0)</x:f>
        <x:v>368</x:v>
      </x:c>
      <x:c r="J42" s="38" t="n">
        <x:f>ROUND(I42*INDEX('Balance Inputs'!$F$2:$F$7,MATCH(C42,'Balance Inputs'!$A$2:$A$7,0)),0)</x:f>
        <x:v>44</x:v>
      </x:c>
      <x:c r="K42" s="38" t="n">
        <x:f>I42-J42</x:f>
        <x:v>324</x:v>
      </x:c>
      <x:c r="L42" s="38" t="n">
        <x:f>ROUND(INDEX('Balance Inputs'!$M$2:$M$51,MATCH(A42,'Balance Inputs'!$I$2:$I$51,0))*POWER(INDEX('Balance Inputs'!$E$2:$E$7,MATCH(C42,'Balance Inputs'!$A$2:$A$7,0)),F42-1),0)</x:f>
        <x:v>516</x:v>
      </x:c>
      <x:c r="M42" s="38" t="n">
        <x:f>ROUND(INDEX('Balance Inputs'!$N$2:$N$51,MATCH(A42,'Balance Inputs'!$I$2:$I$51,0))*POWER(INDEX('Balance Inputs'!$G$2:$G$7,MATCH(C42,'Balance Inputs'!$A$2:$A$7,0)),F42-1),0)</x:f>
        <x:v>22</x:v>
      </x:c>
      <x:c r="N42" s="38" t="n">
        <x:f>IF(A42&lt;&gt;A41,H42,N41+H42)</x:f>
        <x:v>15317</x:v>
      </x:c>
      <x:c r="O42" s="42" t="n">
        <x:f>IF(I42=0,0,H42/I42)</x:f>
        <x:v>16.627717391304348</x:v>
      </x:c>
      <x:c r="P42" s="43" t="n">
        <x:f>I42/INDEX('Balance Inputs'!$L$2:$L$51,MATCH(A42,'Balance Inputs'!$I$2:$I$51,0))</x:f>
        <x:v>3.2280701754385963</x:v>
      </x:c>
      <x:c r="Q42" s="43" t="n">
        <x:f>L42/INDEX('Balance Inputs'!$M$2:$M$51,MATCH(A42,'Balance Inputs'!$I$2:$I$51,0))</x:f>
        <x:v>3.0352941176470587</x:v>
      </x:c>
      <x:c r="R42" s="17"/>
      <x:c r="S42" s="17"/>
      <x:c r="T42" s="17"/>
      <x:c r="U42" s="17"/>
      <x:c r="V42" s="17"/>
      <x:c r="W42" s="17"/>
      <x:c r="X42" s="17"/>
      <x:c r="Y42" s="17"/>
      <x:c r="Z42" s="17"/>
    </x:row>
    <x:row r="43">
      <x:c r="A43" s="17" t="n">
        <x:v>7</x:v>
      </x:c>
      <x:c r="B43" s="17" t="str">
        <x:v>Currency Exchange Stand</x:v>
      </x:c>
      <x:c r="C43" s="17" t="str">
        <x:v>Humble</x:v>
      </x:c>
      <x:c r="D43" s="17" t="str">
        <x:v>Common</x:v>
      </x:c>
      <x:c r="E43" s="17" t="n">
        <x:v>7</x:v>
      </x:c>
      <x:c r="F43" s="17" t="n">
        <x:v>6</x:v>
      </x:c>
      <x:c r="G43" s="17" t="str">
        <x:v>Upgrade to Lv6</x:v>
      </x:c>
      <x:c r="H43" s="38" t="n">
        <x:f>ROUND(H42*INDEX('Balance Inputs'!$C$2:$C$7,MATCH(C43,'Balance Inputs'!$A$2:$A$7,0)),0)</x:f>
        <x:v>9484</x:v>
      </x:c>
      <x:c r="I43" s="38" t="n">
        <x:f>ROUND(INDEX('Balance Inputs'!$L$2:$L$51,MATCH(A43,'Balance Inputs'!$I$2:$I$51,0))*POWER(INDEX('Balance Inputs'!$D$2:$D$7,MATCH(C43,'Balance Inputs'!$A$2:$A$7,0)),F43-1),0)</x:f>
        <x:v>493</x:v>
      </x:c>
      <x:c r="J43" s="38" t="n">
        <x:f>ROUND(I43*INDEX('Balance Inputs'!$F$2:$F$7,MATCH(C43,'Balance Inputs'!$A$2:$A$7,0)),0)</x:f>
        <x:v>59</x:v>
      </x:c>
      <x:c r="K43" s="38" t="n">
        <x:f>I43-J43</x:f>
        <x:v>434</x:v>
      </x:c>
      <x:c r="L43" s="38" t="n">
        <x:f>ROUND(INDEX('Balance Inputs'!$M$2:$M$51,MATCH(A43,'Balance Inputs'!$I$2:$I$51,0))*POWER(INDEX('Balance Inputs'!$E$2:$E$7,MATCH(C43,'Balance Inputs'!$A$2:$A$7,0)),F43-1),0)</x:f>
        <x:v>681</x:v>
      </x:c>
      <x:c r="M43" s="38" t="n">
        <x:f>ROUND(INDEX('Balance Inputs'!$N$2:$N$51,MATCH(A43,'Balance Inputs'!$I$2:$I$51,0))*POWER(INDEX('Balance Inputs'!$G$2:$G$7,MATCH(C43,'Balance Inputs'!$A$2:$A$7,0)),F43-1),0)</x:f>
        <x:v>22</x:v>
      </x:c>
      <x:c r="N43" s="38" t="n">
        <x:f>IF(A43&lt;&gt;A42,H43,N42+H43)</x:f>
        <x:v>24801</x:v>
      </x:c>
      <x:c r="O43" s="42" t="n">
        <x:f>IF(I43=0,0,H43/I43)</x:f>
        <x:v>19.23732251521298</x:v>
      </x:c>
      <x:c r="P43" s="43" t="n">
        <x:f>I43/INDEX('Balance Inputs'!$L$2:$L$51,MATCH(A43,'Balance Inputs'!$I$2:$I$51,0))</x:f>
        <x:v>4.324561403508772</x:v>
      </x:c>
      <x:c r="Q43" s="43" t="n">
        <x:f>L43/INDEX('Balance Inputs'!$M$2:$M$51,MATCH(A43,'Balance Inputs'!$I$2:$I$51,0))</x:f>
        <x:v>4.0058823529411764</x:v>
      </x:c>
      <x:c r="R43" s="17"/>
      <x:c r="S43" s="17"/>
      <x:c r="T43" s="17"/>
      <x:c r="U43" s="17"/>
      <x:c r="V43" s="17"/>
      <x:c r="W43" s="17"/>
      <x:c r="X43" s="17"/>
      <x:c r="Y43" s="17"/>
      <x:c r="Z43" s="17"/>
    </x:row>
    <x:row r="44">
      <x:c r="A44" s="17" t="n">
        <x:v>8</x:v>
      </x:c>
      <x:c r="B44" s="17" t="str">
        <x:v>Insurance Desk</x:v>
      </x:c>
      <x:c r="C44" s="17" t="str">
        <x:v>Humble</x:v>
      </x:c>
      <x:c r="D44" s="17" t="str">
        <x:v>Common</x:v>
      </x:c>
      <x:c r="E44" s="17" t="n">
        <x:v>8</x:v>
      </x:c>
      <x:c r="F44" s="17" t="n">
        <x:v>1</x:v>
      </x:c>
      <x:c r="G44" s="17" t="str">
        <x:v>Build</x:v>
      </x:c>
      <x:c r="H44" s="38" t="n">
        <x:f>INDEX('Balance Inputs'!$K$2:$K$51,MATCH(A44,'Balance Inputs'!$I$2:$I$51,0))</x:f>
        <x:v>1320</x:v>
      </x:c>
      <x:c r="I44" s="38" t="n">
        <x:f>ROUND(INDEX('Balance Inputs'!$L$2:$L$51,MATCH(A44,'Balance Inputs'!$I$2:$I$51,0))*POWER(INDEX('Balance Inputs'!$D$2:$D$7,MATCH(C44,'Balance Inputs'!$A$2:$A$7,0)),F44-1),0)</x:f>
        <x:v>119</x:v>
      </x:c>
      <x:c r="J44" s="38" t="n">
        <x:f>ROUND(I44*INDEX('Balance Inputs'!$F$2:$F$7,MATCH(C44,'Balance Inputs'!$A$2:$A$7,0)),0)</x:f>
        <x:v>14</x:v>
      </x:c>
      <x:c r="K44" s="38" t="n">
        <x:f>I44-J44</x:f>
        <x:v>105</x:v>
      </x:c>
      <x:c r="L44" s="38" t="n">
        <x:f>ROUND(INDEX('Balance Inputs'!$M$2:$M$51,MATCH(A44,'Balance Inputs'!$I$2:$I$51,0))*POWER(INDEX('Balance Inputs'!$E$2:$E$7,MATCH(C44,'Balance Inputs'!$A$2:$A$7,0)),F44-1),0)</x:f>
        <x:v>203</x:v>
      </x:c>
      <x:c r="M44" s="38" t="n">
        <x:f>ROUND(INDEX('Balance Inputs'!$N$2:$N$51,MATCH(A44,'Balance Inputs'!$I$2:$I$51,0))*POWER(INDEX('Balance Inputs'!$G$2:$G$7,MATCH(C44,'Balance Inputs'!$A$2:$A$7,0)),F44-1),0)</x:f>
        <x:v>21</x:v>
      </x:c>
      <x:c r="N44" s="38" t="n">
        <x:f>IF(A44&lt;&gt;A43,H44,N43+H44)</x:f>
        <x:v>1320</x:v>
      </x:c>
      <x:c r="O44" s="42" t="n">
        <x:f>IF(I44=0,0,H44/I44)</x:f>
        <x:v>11.092436974789916</x:v>
      </x:c>
      <x:c r="P44" s="43" t="n">
        <x:f>I44/INDEX('Balance Inputs'!$L$2:$L$51,MATCH(A44,'Balance Inputs'!$I$2:$I$51,0))</x:f>
        <x:v>1</x:v>
      </x:c>
      <x:c r="Q44" s="43" t="n">
        <x:f>L44/INDEX('Balance Inputs'!$M$2:$M$51,MATCH(A44,'Balance Inputs'!$I$2:$I$51,0))</x:f>
        <x:v>1</x:v>
      </x:c>
      <x:c r="R44" s="17"/>
      <x:c r="S44" s="17"/>
      <x:c r="T44" s="17"/>
      <x:c r="U44" s="17"/>
      <x:c r="V44" s="17"/>
      <x:c r="W44" s="17"/>
      <x:c r="X44" s="17"/>
      <x:c r="Y44" s="17"/>
      <x:c r="Z44" s="17"/>
    </x:row>
    <x:row r="45">
      <x:c r="A45" s="17" t="n">
        <x:v>8</x:v>
      </x:c>
      <x:c r="B45" s="17" t="str">
        <x:v>Insurance Desk</x:v>
      </x:c>
      <x:c r="C45" s="17" t="str">
        <x:v>Humble</x:v>
      </x:c>
      <x:c r="D45" s="17" t="str">
        <x:v>Common</x:v>
      </x:c>
      <x:c r="E45" s="17" t="n">
        <x:v>8</x:v>
      </x:c>
      <x:c r="F45" s="17" t="n">
        <x:v>2</x:v>
      </x:c>
      <x:c r="G45" s="17" t="str">
        <x:v>Upgrade to Lv2</x:v>
      </x:c>
      <x:c r="H45" s="38" t="n">
        <x:f>ROUND(H44*INDEX('Balance Inputs'!$C$2:$C$7,MATCH(C45,'Balance Inputs'!$A$2:$A$7,0)),0)</x:f>
        <x:v>2046</x:v>
      </x:c>
      <x:c r="I45" s="38" t="n">
        <x:f>ROUND(INDEX('Balance Inputs'!$L$2:$L$51,MATCH(A45,'Balance Inputs'!$I$2:$I$51,0))*POWER(INDEX('Balance Inputs'!$D$2:$D$7,MATCH(C45,'Balance Inputs'!$A$2:$A$7,0)),F45-1),0)</x:f>
        <x:v>159</x:v>
      </x:c>
      <x:c r="J45" s="38" t="n">
        <x:f>ROUND(I45*INDEX('Balance Inputs'!$F$2:$F$7,MATCH(C45,'Balance Inputs'!$A$2:$A$7,0)),0)</x:f>
        <x:v>19</x:v>
      </x:c>
      <x:c r="K45" s="38" t="n">
        <x:f>I45-J45</x:f>
        <x:v>140</x:v>
      </x:c>
      <x:c r="L45" s="38" t="n">
        <x:f>ROUND(INDEX('Balance Inputs'!$M$2:$M$51,MATCH(A45,'Balance Inputs'!$I$2:$I$51,0))*POWER(INDEX('Balance Inputs'!$E$2:$E$7,MATCH(C45,'Balance Inputs'!$A$2:$A$7,0)),F45-1),0)</x:f>
        <x:v>268</x:v>
      </x:c>
      <x:c r="M45" s="38" t="n">
        <x:f>ROUND(INDEX('Balance Inputs'!$N$2:$N$51,MATCH(A45,'Balance Inputs'!$I$2:$I$51,0))*POWER(INDEX('Balance Inputs'!$G$2:$G$7,MATCH(C45,'Balance Inputs'!$A$2:$A$7,0)),F45-1),0)</x:f>
        <x:v>21</x:v>
      </x:c>
      <x:c r="N45" s="38" t="n">
        <x:f>IF(A45&lt;&gt;A44,H45,N44+H45)</x:f>
        <x:v>3366</x:v>
      </x:c>
      <x:c r="O45" s="42" t="n">
        <x:f>IF(I45=0,0,H45/I45)</x:f>
        <x:v>12.867924528301886</x:v>
      </x:c>
      <x:c r="P45" s="43" t="n">
        <x:f>I45/INDEX('Balance Inputs'!$L$2:$L$51,MATCH(A45,'Balance Inputs'!$I$2:$I$51,0))</x:f>
        <x:v>1.3361344537815125</x:v>
      </x:c>
      <x:c r="Q45" s="43" t="n">
        <x:f>L45/INDEX('Balance Inputs'!$M$2:$M$51,MATCH(A45,'Balance Inputs'!$I$2:$I$51,0))</x:f>
        <x:v>1.3201970443349753</x:v>
      </x:c>
      <x:c r="R45" s="17"/>
      <x:c r="S45" s="17"/>
      <x:c r="T45" s="17"/>
      <x:c r="U45" s="17"/>
      <x:c r="V45" s="17"/>
      <x:c r="W45" s="17"/>
      <x:c r="X45" s="17"/>
      <x:c r="Y45" s="17"/>
      <x:c r="Z45" s="17"/>
    </x:row>
    <x:row r="46">
      <x:c r="A46" s="17" t="n">
        <x:v>8</x:v>
      </x:c>
      <x:c r="B46" s="17" t="str">
        <x:v>Insurance Desk</x:v>
      </x:c>
      <x:c r="C46" s="17" t="str">
        <x:v>Humble</x:v>
      </x:c>
      <x:c r="D46" s="17" t="str">
        <x:v>Common</x:v>
      </x:c>
      <x:c r="E46" s="17" t="n">
        <x:v>8</x:v>
      </x:c>
      <x:c r="F46" s="17" t="n">
        <x:v>3</x:v>
      </x:c>
      <x:c r="G46" s="17" t="str">
        <x:v>Upgrade to Lv3</x:v>
      </x:c>
      <x:c r="H46" s="38" t="n">
        <x:f>ROUND(H45*INDEX('Balance Inputs'!$C$2:$C$7,MATCH(C46,'Balance Inputs'!$A$2:$A$7,0)),0)</x:f>
        <x:v>3171</x:v>
      </x:c>
      <x:c r="I46" s="38" t="n">
        <x:f>ROUND(INDEX('Balance Inputs'!$L$2:$L$51,MATCH(A46,'Balance Inputs'!$I$2:$I$51,0))*POWER(INDEX('Balance Inputs'!$D$2:$D$7,MATCH(C46,'Balance Inputs'!$A$2:$A$7,0)),F46-1),0)</x:f>
        <x:v>214</x:v>
      </x:c>
      <x:c r="J46" s="38" t="n">
        <x:f>ROUND(I46*INDEX('Balance Inputs'!$F$2:$F$7,MATCH(C46,'Balance Inputs'!$A$2:$A$7,0)),0)</x:f>
        <x:v>26</x:v>
      </x:c>
      <x:c r="K46" s="38" t="n">
        <x:f>I46-J46</x:f>
        <x:v>188</x:v>
      </x:c>
      <x:c r="L46" s="38" t="n">
        <x:f>ROUND(INDEX('Balance Inputs'!$M$2:$M$51,MATCH(A46,'Balance Inputs'!$I$2:$I$51,0))*POWER(INDEX('Balance Inputs'!$E$2:$E$7,MATCH(C46,'Balance Inputs'!$A$2:$A$7,0)),F46-1),0)</x:f>
        <x:v>354</x:v>
      </x:c>
      <x:c r="M46" s="38" t="n">
        <x:f>ROUND(INDEX('Balance Inputs'!$N$2:$N$51,MATCH(A46,'Balance Inputs'!$I$2:$I$51,0))*POWER(INDEX('Balance Inputs'!$G$2:$G$7,MATCH(C46,'Balance Inputs'!$A$2:$A$7,0)),F46-1),0)</x:f>
        <x:v>21</x:v>
      </x:c>
      <x:c r="N46" s="38" t="n">
        <x:f>IF(A46&lt;&gt;A45,H46,N45+H46)</x:f>
        <x:v>6537</x:v>
      </x:c>
      <x:c r="O46" s="42" t="n">
        <x:f>IF(I46=0,0,H46/I46)</x:f>
        <x:v>14.817757009345794</x:v>
      </x:c>
      <x:c r="P46" s="43" t="n">
        <x:f>I46/INDEX('Balance Inputs'!$L$2:$L$51,MATCH(A46,'Balance Inputs'!$I$2:$I$51,0))</x:f>
        <x:v>1.7983193277310925</x:v>
      </x:c>
      <x:c r="Q46" s="43" t="n">
        <x:f>L46/INDEX('Balance Inputs'!$M$2:$M$51,MATCH(A46,'Balance Inputs'!$I$2:$I$51,0))</x:f>
        <x:v>1.7438423645320198</x:v>
      </x:c>
      <x:c r="R46" s="17"/>
      <x:c r="S46" s="17"/>
      <x:c r="T46" s="17"/>
      <x:c r="U46" s="17"/>
      <x:c r="V46" s="17"/>
      <x:c r="W46" s="17"/>
      <x:c r="X46" s="17"/>
      <x:c r="Y46" s="17"/>
      <x:c r="Z46" s="17"/>
    </x:row>
    <x:row r="47">
      <x:c r="A47" s="17" t="n">
        <x:v>8</x:v>
      </x:c>
      <x:c r="B47" s="17" t="str">
        <x:v>Insurance Desk</x:v>
      </x:c>
      <x:c r="C47" s="17" t="str">
        <x:v>Humble</x:v>
      </x:c>
      <x:c r="D47" s="17" t="str">
        <x:v>Common</x:v>
      </x:c>
      <x:c r="E47" s="17" t="n">
        <x:v>8</x:v>
      </x:c>
      <x:c r="F47" s="17" t="n">
        <x:v>4</x:v>
      </x:c>
      <x:c r="G47" s="17" t="str">
        <x:v>Upgrade to Lv4</x:v>
      </x:c>
      <x:c r="H47" s="38" t="n">
        <x:f>ROUND(H46*INDEX('Balance Inputs'!$C$2:$C$7,MATCH(C47,'Balance Inputs'!$A$2:$A$7,0)),0)</x:f>
        <x:v>4915</x:v>
      </x:c>
      <x:c r="I47" s="38" t="n">
        <x:f>ROUND(INDEX('Balance Inputs'!$L$2:$L$51,MATCH(A47,'Balance Inputs'!$I$2:$I$51,0))*POWER(INDEX('Balance Inputs'!$D$2:$D$7,MATCH(C47,'Balance Inputs'!$A$2:$A$7,0)),F47-1),0)</x:f>
        <x:v>286</x:v>
      </x:c>
      <x:c r="J47" s="38" t="n">
        <x:f>ROUND(I47*INDEX('Balance Inputs'!$F$2:$F$7,MATCH(C47,'Balance Inputs'!$A$2:$A$7,0)),0)</x:f>
        <x:v>34</x:v>
      </x:c>
      <x:c r="K47" s="38" t="n">
        <x:f>I47-J47</x:f>
        <x:v>252</x:v>
      </x:c>
      <x:c r="L47" s="38" t="n">
        <x:f>ROUND(INDEX('Balance Inputs'!$M$2:$M$51,MATCH(A47,'Balance Inputs'!$I$2:$I$51,0))*POWER(INDEX('Balance Inputs'!$E$2:$E$7,MATCH(C47,'Balance Inputs'!$A$2:$A$7,0)),F47-1),0)</x:f>
        <x:v>467</x:v>
      </x:c>
      <x:c r="M47" s="38" t="n">
        <x:f>ROUND(INDEX('Balance Inputs'!$N$2:$N$51,MATCH(A47,'Balance Inputs'!$I$2:$I$51,0))*POWER(INDEX('Balance Inputs'!$G$2:$G$7,MATCH(C47,'Balance Inputs'!$A$2:$A$7,0)),F47-1),0)</x:f>
        <x:v>21</x:v>
      </x:c>
      <x:c r="N47" s="38" t="n">
        <x:f>IF(A47&lt;&gt;A46,H47,N46+H47)</x:f>
        <x:v>11452</x:v>
      </x:c>
      <x:c r="O47" s="42" t="n">
        <x:f>IF(I47=0,0,H47/I47)</x:f>
        <x:v>17.185314685314687</x:v>
      </x:c>
      <x:c r="P47" s="43" t="n">
        <x:f>I47/INDEX('Balance Inputs'!$L$2:$L$51,MATCH(A47,'Balance Inputs'!$I$2:$I$51,0))</x:f>
        <x:v>2.403361344537815</x:v>
      </x:c>
      <x:c r="Q47" s="43" t="n">
        <x:f>L47/INDEX('Balance Inputs'!$M$2:$M$51,MATCH(A47,'Balance Inputs'!$I$2:$I$51,0))</x:f>
        <x:v>2.3004926108374386</x:v>
      </x:c>
      <x:c r="R47" s="17"/>
      <x:c r="S47" s="17"/>
      <x:c r="T47" s="17"/>
      <x:c r="U47" s="17"/>
      <x:c r="V47" s="17"/>
      <x:c r="W47" s="17"/>
      <x:c r="X47" s="17"/>
      <x:c r="Y47" s="17"/>
      <x:c r="Z47" s="17"/>
    </x:row>
    <x:row r="48">
      <x:c r="A48" s="17" t="n">
        <x:v>8</x:v>
      </x:c>
      <x:c r="B48" s="17" t="str">
        <x:v>Insurance Desk</x:v>
      </x:c>
      <x:c r="C48" s="17" t="str">
        <x:v>Humble</x:v>
      </x:c>
      <x:c r="D48" s="17" t="str">
        <x:v>Common</x:v>
      </x:c>
      <x:c r="E48" s="17" t="n">
        <x:v>8</x:v>
      </x:c>
      <x:c r="F48" s="17" t="n">
        <x:v>5</x:v>
      </x:c>
      <x:c r="G48" s="17" t="str">
        <x:v>Upgrade to Lv5</x:v>
      </x:c>
      <x:c r="H48" s="38" t="n">
        <x:f>ROUND(H47*INDEX('Balance Inputs'!$C$2:$C$7,MATCH(C48,'Balance Inputs'!$A$2:$A$7,0)),0)</x:f>
        <x:v>7618</x:v>
      </x:c>
      <x:c r="I48" s="38" t="n">
        <x:f>ROUND(INDEX('Balance Inputs'!$L$2:$L$51,MATCH(A48,'Balance Inputs'!$I$2:$I$51,0))*POWER(INDEX('Balance Inputs'!$D$2:$D$7,MATCH(C48,'Balance Inputs'!$A$2:$A$7,0)),F48-1),0)</x:f>
        <x:v>384</x:v>
      </x:c>
      <x:c r="J48" s="38" t="n">
        <x:f>ROUND(I48*INDEX('Balance Inputs'!$F$2:$F$7,MATCH(C48,'Balance Inputs'!$A$2:$A$7,0)),0)</x:f>
        <x:v>46</x:v>
      </x:c>
      <x:c r="K48" s="38" t="n">
        <x:f>I48-J48</x:f>
        <x:v>338</x:v>
      </x:c>
      <x:c r="L48" s="38" t="n">
        <x:f>ROUND(INDEX('Balance Inputs'!$M$2:$M$51,MATCH(A48,'Balance Inputs'!$I$2:$I$51,0))*POWER(INDEX('Balance Inputs'!$E$2:$E$7,MATCH(C48,'Balance Inputs'!$A$2:$A$7,0)),F48-1),0)</x:f>
        <x:v>616</x:v>
      </x:c>
      <x:c r="M48" s="38" t="n">
        <x:f>ROUND(INDEX('Balance Inputs'!$N$2:$N$51,MATCH(A48,'Balance Inputs'!$I$2:$I$51,0))*POWER(INDEX('Balance Inputs'!$G$2:$G$7,MATCH(C48,'Balance Inputs'!$A$2:$A$7,0)),F48-1),0)</x:f>
        <x:v>21</x:v>
      </x:c>
      <x:c r="N48" s="38" t="n">
        <x:f>IF(A48&lt;&gt;A47,H48,N47+H48)</x:f>
        <x:v>19070</x:v>
      </x:c>
      <x:c r="O48" s="42" t="n">
        <x:f>IF(I48=0,0,H48/I48)</x:f>
        <x:v>19.838541666666668</x:v>
      </x:c>
      <x:c r="P48" s="43" t="n">
        <x:f>I48/INDEX('Balance Inputs'!$L$2:$L$51,MATCH(A48,'Balance Inputs'!$I$2:$I$51,0))</x:f>
        <x:v>3.226890756302521</x:v>
      </x:c>
      <x:c r="Q48" s="43" t="n">
        <x:f>L48/INDEX('Balance Inputs'!$M$2:$M$51,MATCH(A48,'Balance Inputs'!$I$2:$I$51,0))</x:f>
        <x:v>3.0344827586206895</x:v>
      </x:c>
      <x:c r="R48" s="17"/>
      <x:c r="S48" s="17"/>
      <x:c r="T48" s="17"/>
      <x:c r="U48" s="17"/>
      <x:c r="V48" s="17"/>
      <x:c r="W48" s="17"/>
      <x:c r="X48" s="17"/>
      <x:c r="Y48" s="17"/>
      <x:c r="Z48" s="17"/>
    </x:row>
    <x:row r="49">
      <x:c r="A49" s="17" t="n">
        <x:v>8</x:v>
      </x:c>
      <x:c r="B49" s="17" t="str">
        <x:v>Insurance Desk</x:v>
      </x:c>
      <x:c r="C49" s="17" t="str">
        <x:v>Humble</x:v>
      </x:c>
      <x:c r="D49" s="17" t="str">
        <x:v>Common</x:v>
      </x:c>
      <x:c r="E49" s="17" t="n">
        <x:v>8</x:v>
      </x:c>
      <x:c r="F49" s="17" t="n">
        <x:v>6</x:v>
      </x:c>
      <x:c r="G49" s="17" t="str">
        <x:v>Upgrade to Lv6</x:v>
      </x:c>
      <x:c r="H49" s="38" t="n">
        <x:f>ROUND(H48*INDEX('Balance Inputs'!$C$2:$C$7,MATCH(C49,'Balance Inputs'!$A$2:$A$7,0)),0)</x:f>
        <x:v>11808</x:v>
      </x:c>
      <x:c r="I49" s="38" t="n">
        <x:f>ROUND(INDEX('Balance Inputs'!$L$2:$L$51,MATCH(A49,'Balance Inputs'!$I$2:$I$51,0))*POWER(INDEX('Balance Inputs'!$D$2:$D$7,MATCH(C49,'Balance Inputs'!$A$2:$A$7,0)),F49-1),0)</x:f>
        <x:v>514</x:v>
      </x:c>
      <x:c r="J49" s="38" t="n">
        <x:f>ROUND(I49*INDEX('Balance Inputs'!$F$2:$F$7,MATCH(C49,'Balance Inputs'!$A$2:$A$7,0)),0)</x:f>
        <x:v>62</x:v>
      </x:c>
      <x:c r="K49" s="38" t="n">
        <x:f>I49-J49</x:f>
        <x:v>452</x:v>
      </x:c>
      <x:c r="L49" s="38" t="n">
        <x:f>ROUND(INDEX('Balance Inputs'!$M$2:$M$51,MATCH(A49,'Balance Inputs'!$I$2:$I$51,0))*POWER(INDEX('Balance Inputs'!$E$2:$E$7,MATCH(C49,'Balance Inputs'!$A$2:$A$7,0)),F49-1),0)</x:f>
        <x:v>814</x:v>
      </x:c>
      <x:c r="M49" s="38" t="n">
        <x:f>ROUND(INDEX('Balance Inputs'!$N$2:$N$51,MATCH(A49,'Balance Inputs'!$I$2:$I$51,0))*POWER(INDEX('Balance Inputs'!$G$2:$G$7,MATCH(C49,'Balance Inputs'!$A$2:$A$7,0)),F49-1),0)</x:f>
        <x:v>21</x:v>
      </x:c>
      <x:c r="N49" s="38" t="n">
        <x:f>IF(A49&lt;&gt;A48,H49,N48+H49)</x:f>
        <x:v>30878</x:v>
      </x:c>
      <x:c r="O49" s="42" t="n">
        <x:f>IF(I49=0,0,H49/I49)</x:f>
        <x:v>22.972762645914397</x:v>
      </x:c>
      <x:c r="P49" s="43" t="n">
        <x:f>I49/INDEX('Balance Inputs'!$L$2:$L$51,MATCH(A49,'Balance Inputs'!$I$2:$I$51,0))</x:f>
        <x:v>4.319327731092437</x:v>
      </x:c>
      <x:c r="Q49" s="43" t="n">
        <x:f>L49/INDEX('Balance Inputs'!$M$2:$M$51,MATCH(A49,'Balance Inputs'!$I$2:$I$51,0))</x:f>
        <x:v>4.009852216748769</x:v>
      </x:c>
      <x:c r="R49" s="17"/>
      <x:c r="S49" s="17"/>
      <x:c r="T49" s="17"/>
      <x:c r="U49" s="17"/>
      <x:c r="V49" s="17"/>
      <x:c r="W49" s="17"/>
      <x:c r="X49" s="17"/>
      <x:c r="Y49" s="17"/>
      <x:c r="Z49" s="17"/>
    </x:row>
    <x:row r="50">
      <x:c r="A50" s="17" t="n">
        <x:v>9</x:v>
      </x:c>
      <x:c r="B50" s="17" t="str">
        <x:v>Investment Advice Booth</x:v>
      </x:c>
      <x:c r="C50" s="17" t="str">
        <x:v>Humble</x:v>
      </x:c>
      <x:c r="D50" s="17" t="str">
        <x:v>Common</x:v>
      </x:c>
      <x:c r="E50" s="17" t="n">
        <x:v>9</x:v>
      </x:c>
      <x:c r="F50" s="17" t="n">
        <x:v>1</x:v>
      </x:c>
      <x:c r="G50" s="17" t="str">
        <x:v>Build</x:v>
      </x:c>
      <x:c r="H50" s="38" t="n">
        <x:f>INDEX('Balance Inputs'!$K$2:$K$51,MATCH(A50,'Balance Inputs'!$I$2:$I$51,0))</x:f>
        <x:v>1620</x:v>
      </x:c>
      <x:c r="I50" s="38" t="n">
        <x:f>ROUND(INDEX('Balance Inputs'!$L$2:$L$51,MATCH(A50,'Balance Inputs'!$I$2:$I$51,0))*POWER(INDEX('Balance Inputs'!$D$2:$D$7,MATCH(C50,'Balance Inputs'!$A$2:$A$7,0)),F50-1),0)</x:f>
        <x:v>139</x:v>
      </x:c>
      <x:c r="J50" s="38" t="n">
        <x:f>ROUND(I50*INDEX('Balance Inputs'!$F$2:$F$7,MATCH(C50,'Balance Inputs'!$A$2:$A$7,0)),0)</x:f>
        <x:v>17</x:v>
      </x:c>
      <x:c r="K50" s="38" t="n">
        <x:f>I50-J50</x:f>
        <x:v>122</x:v>
      </x:c>
      <x:c r="L50" s="38" t="n">
        <x:f>ROUND(INDEX('Balance Inputs'!$M$2:$M$51,MATCH(A50,'Balance Inputs'!$I$2:$I$51,0))*POWER(INDEX('Balance Inputs'!$E$2:$E$7,MATCH(C50,'Balance Inputs'!$A$2:$A$7,0)),F50-1),0)</x:f>
        <x:v>241</x:v>
      </x:c>
      <x:c r="M50" s="38" t="n">
        <x:f>ROUND(INDEX('Balance Inputs'!$N$2:$N$51,MATCH(A50,'Balance Inputs'!$I$2:$I$51,0))*POWER(INDEX('Balance Inputs'!$G$2:$G$7,MATCH(C50,'Balance Inputs'!$A$2:$A$7,0)),F50-1),0)</x:f>
        <x:v>26</x:v>
      </x:c>
      <x:c r="N50" s="38" t="n">
        <x:f>IF(A50&lt;&gt;A49,H50,N49+H50)</x:f>
        <x:v>1620</x:v>
      </x:c>
      <x:c r="O50" s="42" t="n">
        <x:f>IF(I50=0,0,H50/I50)</x:f>
        <x:v>11.654676258992806</x:v>
      </x:c>
      <x:c r="P50" s="43" t="n">
        <x:f>I50/INDEX('Balance Inputs'!$L$2:$L$51,MATCH(A50,'Balance Inputs'!$I$2:$I$51,0))</x:f>
        <x:v>1</x:v>
      </x:c>
      <x:c r="Q50" s="43" t="n">
        <x:f>L50/INDEX('Balance Inputs'!$M$2:$M$51,MATCH(A50,'Balance Inputs'!$I$2:$I$51,0))</x:f>
        <x:v>1</x:v>
      </x:c>
      <x:c r="R50" s="17"/>
      <x:c r="S50" s="17"/>
      <x:c r="T50" s="17"/>
      <x:c r="U50" s="17"/>
      <x:c r="V50" s="17"/>
      <x:c r="W50" s="17"/>
      <x:c r="X50" s="17"/>
      <x:c r="Y50" s="17"/>
      <x:c r="Z50" s="17"/>
    </x:row>
    <x:row r="51">
      <x:c r="A51" s="17" t="n">
        <x:v>9</x:v>
      </x:c>
      <x:c r="B51" s="17" t="str">
        <x:v>Investment Advice Booth</x:v>
      </x:c>
      <x:c r="C51" s="17" t="str">
        <x:v>Humble</x:v>
      </x:c>
      <x:c r="D51" s="17" t="str">
        <x:v>Common</x:v>
      </x:c>
      <x:c r="E51" s="17" t="n">
        <x:v>9</x:v>
      </x:c>
      <x:c r="F51" s="17" t="n">
        <x:v>2</x:v>
      </x:c>
      <x:c r="G51" s="17" t="str">
        <x:v>Upgrade to Lv2</x:v>
      </x:c>
      <x:c r="H51" s="38" t="n">
        <x:f>ROUND(H50*INDEX('Balance Inputs'!$C$2:$C$7,MATCH(C51,'Balance Inputs'!$A$2:$A$7,0)),0)</x:f>
        <x:v>2511</x:v>
      </x:c>
      <x:c r="I51" s="38" t="n">
        <x:f>ROUND(INDEX('Balance Inputs'!$L$2:$L$51,MATCH(A51,'Balance Inputs'!$I$2:$I$51,0))*POWER(INDEX('Balance Inputs'!$D$2:$D$7,MATCH(C51,'Balance Inputs'!$A$2:$A$7,0)),F51-1),0)</x:f>
        <x:v>186</x:v>
      </x:c>
      <x:c r="J51" s="38" t="n">
        <x:f>ROUND(I51*INDEX('Balance Inputs'!$F$2:$F$7,MATCH(C51,'Balance Inputs'!$A$2:$A$7,0)),0)</x:f>
        <x:v>22</x:v>
      </x:c>
      <x:c r="K51" s="38" t="n">
        <x:f>I51-J51</x:f>
        <x:v>164</x:v>
      </x:c>
      <x:c r="L51" s="38" t="n">
        <x:f>ROUND(INDEX('Balance Inputs'!$M$2:$M$51,MATCH(A51,'Balance Inputs'!$I$2:$I$51,0))*POWER(INDEX('Balance Inputs'!$E$2:$E$7,MATCH(C51,'Balance Inputs'!$A$2:$A$7,0)),F51-1),0)</x:f>
        <x:v>318</x:v>
      </x:c>
      <x:c r="M51" s="38" t="n">
        <x:f>ROUND(INDEX('Balance Inputs'!$N$2:$N$51,MATCH(A51,'Balance Inputs'!$I$2:$I$51,0))*POWER(INDEX('Balance Inputs'!$G$2:$G$7,MATCH(C51,'Balance Inputs'!$A$2:$A$7,0)),F51-1),0)</x:f>
        <x:v>26</x:v>
      </x:c>
      <x:c r="N51" s="38" t="n">
        <x:f>IF(A51&lt;&gt;A50,H51,N50+H51)</x:f>
        <x:v>4131</x:v>
      </x:c>
      <x:c r="O51" s="42" t="n">
        <x:f>IF(I51=0,0,H51/I51)</x:f>
        <x:v>13.5</x:v>
      </x:c>
      <x:c r="P51" s="43" t="n">
        <x:f>I51/INDEX('Balance Inputs'!$L$2:$L$51,MATCH(A51,'Balance Inputs'!$I$2:$I$51,0))</x:f>
        <x:v>1.3381294964028776</x:v>
      </x:c>
      <x:c r="Q51" s="43" t="n">
        <x:f>L51/INDEX('Balance Inputs'!$M$2:$M$51,MATCH(A51,'Balance Inputs'!$I$2:$I$51,0))</x:f>
        <x:v>1.3195020746887967</x:v>
      </x:c>
      <x:c r="R51" s="17"/>
      <x:c r="S51" s="17"/>
      <x:c r="T51" s="17"/>
      <x:c r="U51" s="17"/>
      <x:c r="V51" s="17"/>
      <x:c r="W51" s="17"/>
      <x:c r="X51" s="17"/>
      <x:c r="Y51" s="17"/>
      <x:c r="Z51" s="17"/>
    </x:row>
    <x:row r="52">
      <x:c r="A52" s="17" t="n">
        <x:v>9</x:v>
      </x:c>
      <x:c r="B52" s="17" t="str">
        <x:v>Investment Advice Booth</x:v>
      </x:c>
      <x:c r="C52" s="17" t="str">
        <x:v>Humble</x:v>
      </x:c>
      <x:c r="D52" s="17" t="str">
        <x:v>Common</x:v>
      </x:c>
      <x:c r="E52" s="17" t="n">
        <x:v>9</x:v>
      </x:c>
      <x:c r="F52" s="17" t="n">
        <x:v>3</x:v>
      </x:c>
      <x:c r="G52" s="17" t="str">
        <x:v>Upgrade to Lv3</x:v>
      </x:c>
      <x:c r="H52" s="38" t="n">
        <x:f>ROUND(H51*INDEX('Balance Inputs'!$C$2:$C$7,MATCH(C52,'Balance Inputs'!$A$2:$A$7,0)),0)</x:f>
        <x:v>3892</x:v>
      </x:c>
      <x:c r="I52" s="38" t="n">
        <x:f>ROUND(INDEX('Balance Inputs'!$L$2:$L$51,MATCH(A52,'Balance Inputs'!$I$2:$I$51,0))*POWER(INDEX('Balance Inputs'!$D$2:$D$7,MATCH(C52,'Balance Inputs'!$A$2:$A$7,0)),F52-1),0)</x:f>
        <x:v>250</x:v>
      </x:c>
      <x:c r="J52" s="38" t="n">
        <x:f>ROUND(I52*INDEX('Balance Inputs'!$F$2:$F$7,MATCH(C52,'Balance Inputs'!$A$2:$A$7,0)),0)</x:f>
        <x:v>30</x:v>
      </x:c>
      <x:c r="K52" s="38" t="n">
        <x:f>I52-J52</x:f>
        <x:v>220</x:v>
      </x:c>
      <x:c r="L52" s="38" t="n">
        <x:f>ROUND(INDEX('Balance Inputs'!$M$2:$M$51,MATCH(A52,'Balance Inputs'!$I$2:$I$51,0))*POWER(INDEX('Balance Inputs'!$E$2:$E$7,MATCH(C52,'Balance Inputs'!$A$2:$A$7,0)),F52-1),0)</x:f>
        <x:v>420</x:v>
      </x:c>
      <x:c r="M52" s="38" t="n">
        <x:f>ROUND(INDEX('Balance Inputs'!$N$2:$N$51,MATCH(A52,'Balance Inputs'!$I$2:$I$51,0))*POWER(INDEX('Balance Inputs'!$G$2:$G$7,MATCH(C52,'Balance Inputs'!$A$2:$A$7,0)),F52-1),0)</x:f>
        <x:v>26</x:v>
      </x:c>
      <x:c r="N52" s="38" t="n">
        <x:f>IF(A52&lt;&gt;A51,H52,N51+H52)</x:f>
        <x:v>8023</x:v>
      </x:c>
      <x:c r="O52" s="42" t="n">
        <x:f>IF(I52=0,0,H52/I52)</x:f>
        <x:v>15.568</x:v>
      </x:c>
      <x:c r="P52" s="43" t="n">
        <x:f>I52/INDEX('Balance Inputs'!$L$2:$L$51,MATCH(A52,'Balance Inputs'!$I$2:$I$51,0))</x:f>
        <x:v>1.7985611510791366</x:v>
      </x:c>
      <x:c r="Q52" s="43" t="n">
        <x:f>L52/INDEX('Balance Inputs'!$M$2:$M$51,MATCH(A52,'Balance Inputs'!$I$2:$I$51,0))</x:f>
        <x:v>1.7427385892116183</x:v>
      </x:c>
      <x:c r="R52" s="17"/>
      <x:c r="S52" s="17"/>
      <x:c r="T52" s="17"/>
      <x:c r="U52" s="17"/>
      <x:c r="V52" s="17"/>
      <x:c r="W52" s="17"/>
      <x:c r="X52" s="17"/>
      <x:c r="Y52" s="17"/>
      <x:c r="Z52" s="17"/>
    </x:row>
    <x:row r="53">
      <x:c r="A53" s="17" t="n">
        <x:v>9</x:v>
      </x:c>
      <x:c r="B53" s="17" t="str">
        <x:v>Investment Advice Booth</x:v>
      </x:c>
      <x:c r="C53" s="17" t="str">
        <x:v>Humble</x:v>
      </x:c>
      <x:c r="D53" s="17" t="str">
        <x:v>Common</x:v>
      </x:c>
      <x:c r="E53" s="17" t="n">
        <x:v>9</x:v>
      </x:c>
      <x:c r="F53" s="17" t="n">
        <x:v>4</x:v>
      </x:c>
      <x:c r="G53" s="17" t="str">
        <x:v>Upgrade to Lv4</x:v>
      </x:c>
      <x:c r="H53" s="38" t="n">
        <x:f>ROUND(H52*INDEX('Balance Inputs'!$C$2:$C$7,MATCH(C53,'Balance Inputs'!$A$2:$A$7,0)),0)</x:f>
        <x:v>6033</x:v>
      </x:c>
      <x:c r="I53" s="38" t="n">
        <x:f>ROUND(INDEX('Balance Inputs'!$L$2:$L$51,MATCH(A53,'Balance Inputs'!$I$2:$I$51,0))*POWER(INDEX('Balance Inputs'!$D$2:$D$7,MATCH(C53,'Balance Inputs'!$A$2:$A$7,0)),F53-1),0)</x:f>
        <x:v>334</x:v>
      </x:c>
      <x:c r="J53" s="38" t="n">
        <x:f>ROUND(I53*INDEX('Balance Inputs'!$F$2:$F$7,MATCH(C53,'Balance Inputs'!$A$2:$A$7,0)),0)</x:f>
        <x:v>40</x:v>
      </x:c>
      <x:c r="K53" s="38" t="n">
        <x:f>I53-J53</x:f>
        <x:v>294</x:v>
      </x:c>
      <x:c r="L53" s="38" t="n">
        <x:f>ROUND(INDEX('Balance Inputs'!$M$2:$M$51,MATCH(A53,'Balance Inputs'!$I$2:$I$51,0))*POWER(INDEX('Balance Inputs'!$E$2:$E$7,MATCH(C53,'Balance Inputs'!$A$2:$A$7,0)),F53-1),0)</x:f>
        <x:v>554</x:v>
      </x:c>
      <x:c r="M53" s="38" t="n">
        <x:f>ROUND(INDEX('Balance Inputs'!$N$2:$N$51,MATCH(A53,'Balance Inputs'!$I$2:$I$51,0))*POWER(INDEX('Balance Inputs'!$G$2:$G$7,MATCH(C53,'Balance Inputs'!$A$2:$A$7,0)),F53-1),0)</x:f>
        <x:v>26</x:v>
      </x:c>
      <x:c r="N53" s="38" t="n">
        <x:f>IF(A53&lt;&gt;A52,H53,N52+H53)</x:f>
        <x:v>14056</x:v>
      </x:c>
      <x:c r="O53" s="42" t="n">
        <x:f>IF(I53=0,0,H53/I53)</x:f>
        <x:v>18.062874251497007</x:v>
      </x:c>
      <x:c r="P53" s="43" t="n">
        <x:f>I53/INDEX('Balance Inputs'!$L$2:$L$51,MATCH(A53,'Balance Inputs'!$I$2:$I$51,0))</x:f>
        <x:v>2.402877697841727</x:v>
      </x:c>
      <x:c r="Q53" s="43" t="n">
        <x:f>L53/INDEX('Balance Inputs'!$M$2:$M$51,MATCH(A53,'Balance Inputs'!$I$2:$I$51,0))</x:f>
        <x:v>2.2987551867219915</x:v>
      </x:c>
      <x:c r="R53" s="17"/>
      <x:c r="S53" s="17"/>
      <x:c r="T53" s="17"/>
      <x:c r="U53" s="17"/>
      <x:c r="V53" s="17"/>
      <x:c r="W53" s="17"/>
      <x:c r="X53" s="17"/>
      <x:c r="Y53" s="17"/>
      <x:c r="Z53" s="17"/>
    </x:row>
    <x:row r="54">
      <x:c r="A54" s="17" t="n">
        <x:v>9</x:v>
      </x:c>
      <x:c r="B54" s="17" t="str">
        <x:v>Investment Advice Booth</x:v>
      </x:c>
      <x:c r="C54" s="17" t="str">
        <x:v>Humble</x:v>
      </x:c>
      <x:c r="D54" s="17" t="str">
        <x:v>Common</x:v>
      </x:c>
      <x:c r="E54" s="17" t="n">
        <x:v>9</x:v>
      </x:c>
      <x:c r="F54" s="17" t="n">
        <x:v>5</x:v>
      </x:c>
      <x:c r="G54" s="17" t="str">
        <x:v>Upgrade to Lv5</x:v>
      </x:c>
      <x:c r="H54" s="38" t="n">
        <x:f>ROUND(H53*INDEX('Balance Inputs'!$C$2:$C$7,MATCH(C54,'Balance Inputs'!$A$2:$A$7,0)),0)</x:f>
        <x:v>9351</x:v>
      </x:c>
      <x:c r="I54" s="38" t="n">
        <x:f>ROUND(INDEX('Balance Inputs'!$L$2:$L$51,MATCH(A54,'Balance Inputs'!$I$2:$I$51,0))*POWER(INDEX('Balance Inputs'!$D$2:$D$7,MATCH(C54,'Balance Inputs'!$A$2:$A$7,0)),F54-1),0)</x:f>
        <x:v>448</x:v>
      </x:c>
      <x:c r="J54" s="38" t="n">
        <x:f>ROUND(I54*INDEX('Balance Inputs'!$F$2:$F$7,MATCH(C54,'Balance Inputs'!$A$2:$A$7,0)),0)</x:f>
        <x:v>54</x:v>
      </x:c>
      <x:c r="K54" s="38" t="n">
        <x:f>I54-J54</x:f>
        <x:v>394</x:v>
      </x:c>
      <x:c r="L54" s="38" t="n">
        <x:f>ROUND(INDEX('Balance Inputs'!$M$2:$M$51,MATCH(A54,'Balance Inputs'!$I$2:$I$51,0))*POWER(INDEX('Balance Inputs'!$E$2:$E$7,MATCH(C54,'Balance Inputs'!$A$2:$A$7,0)),F54-1),0)</x:f>
        <x:v>732</x:v>
      </x:c>
      <x:c r="M54" s="38" t="n">
        <x:f>ROUND(INDEX('Balance Inputs'!$N$2:$N$51,MATCH(A54,'Balance Inputs'!$I$2:$I$51,0))*POWER(INDEX('Balance Inputs'!$G$2:$G$7,MATCH(C54,'Balance Inputs'!$A$2:$A$7,0)),F54-1),0)</x:f>
        <x:v>26</x:v>
      </x:c>
      <x:c r="N54" s="38" t="n">
        <x:f>IF(A54&lt;&gt;A53,H54,N53+H54)</x:f>
        <x:v>23407</x:v>
      </x:c>
      <x:c r="O54" s="42" t="n">
        <x:f>IF(I54=0,0,H54/I54)</x:f>
        <x:v>20.872767857142858</x:v>
      </x:c>
      <x:c r="P54" s="43" t="n">
        <x:f>I54/INDEX('Balance Inputs'!$L$2:$L$51,MATCH(A54,'Balance Inputs'!$I$2:$I$51,0))</x:f>
        <x:v>3.223021582733813</x:v>
      </x:c>
      <x:c r="Q54" s="43" t="n">
        <x:f>L54/INDEX('Balance Inputs'!$M$2:$M$51,MATCH(A54,'Balance Inputs'!$I$2:$I$51,0))</x:f>
        <x:v>3.037344398340249</x:v>
      </x:c>
      <x:c r="R54" s="17"/>
      <x:c r="S54" s="17"/>
      <x:c r="T54" s="17"/>
      <x:c r="U54" s="17"/>
      <x:c r="V54" s="17"/>
      <x:c r="W54" s="17"/>
      <x:c r="X54" s="17"/>
      <x:c r="Y54" s="17"/>
      <x:c r="Z54" s="17"/>
    </x:row>
    <x:row r="55">
      <x:c r="A55" s="17" t="n">
        <x:v>9</x:v>
      </x:c>
      <x:c r="B55" s="17" t="str">
        <x:v>Investment Advice Booth</x:v>
      </x:c>
      <x:c r="C55" s="17" t="str">
        <x:v>Humble</x:v>
      </x:c>
      <x:c r="D55" s="17" t="str">
        <x:v>Common</x:v>
      </x:c>
      <x:c r="E55" s="17" t="n">
        <x:v>9</x:v>
      </x:c>
      <x:c r="F55" s="17" t="n">
        <x:v>6</x:v>
      </x:c>
      <x:c r="G55" s="17" t="str">
        <x:v>Upgrade to Lv6</x:v>
      </x:c>
      <x:c r="H55" s="38" t="n">
        <x:f>ROUND(H54*INDEX('Balance Inputs'!$C$2:$C$7,MATCH(C55,'Balance Inputs'!$A$2:$A$7,0)),0)</x:f>
        <x:v>14494</x:v>
      </x:c>
      <x:c r="I55" s="38" t="n">
        <x:f>ROUND(INDEX('Balance Inputs'!$L$2:$L$51,MATCH(A55,'Balance Inputs'!$I$2:$I$51,0))*POWER(INDEX('Balance Inputs'!$D$2:$D$7,MATCH(C55,'Balance Inputs'!$A$2:$A$7,0)),F55-1),0)</x:f>
        <x:v>601</x:v>
      </x:c>
      <x:c r="J55" s="38" t="n">
        <x:f>ROUND(I55*INDEX('Balance Inputs'!$F$2:$F$7,MATCH(C55,'Balance Inputs'!$A$2:$A$7,0)),0)</x:f>
        <x:v>72</x:v>
      </x:c>
      <x:c r="K55" s="38" t="n">
        <x:f>I55-J55</x:f>
        <x:v>529</x:v>
      </x:c>
      <x:c r="L55" s="38" t="n">
        <x:f>ROUND(INDEX('Balance Inputs'!$M$2:$M$51,MATCH(A55,'Balance Inputs'!$I$2:$I$51,0))*POWER(INDEX('Balance Inputs'!$E$2:$E$7,MATCH(C55,'Balance Inputs'!$A$2:$A$7,0)),F55-1),0)</x:f>
        <x:v>966</x:v>
      </x:c>
      <x:c r="M55" s="38" t="n">
        <x:f>ROUND(INDEX('Balance Inputs'!$N$2:$N$51,MATCH(A55,'Balance Inputs'!$I$2:$I$51,0))*POWER(INDEX('Balance Inputs'!$G$2:$G$7,MATCH(C55,'Balance Inputs'!$A$2:$A$7,0)),F55-1),0)</x:f>
        <x:v>26</x:v>
      </x:c>
      <x:c r="N55" s="38" t="n">
        <x:f>IF(A55&lt;&gt;A54,H55,N54+H55)</x:f>
        <x:v>37901</x:v>
      </x:c>
      <x:c r="O55" s="42" t="n">
        <x:f>IF(I55=0,0,H55/I55)</x:f>
        <x:v>24.116472545757073</x:v>
      </x:c>
      <x:c r="P55" s="43" t="n">
        <x:f>I55/INDEX('Balance Inputs'!$L$2:$L$51,MATCH(A55,'Balance Inputs'!$I$2:$I$51,0))</x:f>
        <x:v>4.323741007194244</x:v>
      </x:c>
      <x:c r="Q55" s="43" t="n">
        <x:f>L55/INDEX('Balance Inputs'!$M$2:$M$51,MATCH(A55,'Balance Inputs'!$I$2:$I$51,0))</x:f>
        <x:v>4.008298755186722</x:v>
      </x:c>
      <x:c r="R55" s="17"/>
      <x:c r="S55" s="17"/>
      <x:c r="T55" s="17"/>
      <x:c r="U55" s="17"/>
      <x:c r="V55" s="17"/>
      <x:c r="W55" s="17"/>
      <x:c r="X55" s="17"/>
      <x:c r="Y55" s="17"/>
      <x:c r="Z55" s="17"/>
    </x:row>
    <x:row r="56">
      <x:c r="A56" s="17" t="n">
        <x:v>10</x:v>
      </x:c>
      <x:c r="B56" s="17" t="str">
        <x:v>Secure Cash Locker</x:v>
      </x:c>
      <x:c r="C56" s="17" t="str">
        <x:v>Humble</x:v>
      </x:c>
      <x:c r="D56" s="17" t="str">
        <x:v>Common</x:v>
      </x:c>
      <x:c r="E56" s="17" t="n">
        <x:v>10</x:v>
      </x:c>
      <x:c r="F56" s="17" t="n">
        <x:v>1</x:v>
      </x:c>
      <x:c r="G56" s="17" t="str">
        <x:v>Build</x:v>
      </x:c>
      <x:c r="H56" s="38" t="n">
        <x:f>INDEX('Balance Inputs'!$K$2:$K$51,MATCH(A56,'Balance Inputs'!$I$2:$I$51,0))</x:f>
        <x:v>2000</x:v>
      </x:c>
      <x:c r="I56" s="38" t="n">
        <x:f>ROUND(INDEX('Balance Inputs'!$L$2:$L$51,MATCH(A56,'Balance Inputs'!$I$2:$I$51,0))*POWER(INDEX('Balance Inputs'!$D$2:$D$7,MATCH(C56,'Balance Inputs'!$A$2:$A$7,0)),F56-1),0)</x:f>
        <x:v>142</x:v>
      </x:c>
      <x:c r="J56" s="38" t="n">
        <x:f>ROUND(I56*INDEX('Balance Inputs'!$F$2:$F$7,MATCH(C56,'Balance Inputs'!$A$2:$A$7,0)),0)</x:f>
        <x:v>17</x:v>
      </x:c>
      <x:c r="K56" s="38" t="n">
        <x:f>I56-J56</x:f>
        <x:v>125</x:v>
      </x:c>
      <x:c r="L56" s="38" t="n">
        <x:f>ROUND(INDEX('Balance Inputs'!$M$2:$M$51,MATCH(A56,'Balance Inputs'!$I$2:$I$51,0))*POWER(INDEX('Balance Inputs'!$E$2:$E$7,MATCH(C56,'Balance Inputs'!$A$2:$A$7,0)),F56-1),0)</x:f>
        <x:v>287</x:v>
      </x:c>
      <x:c r="M56" s="38" t="n">
        <x:f>ROUND(INDEX('Balance Inputs'!$N$2:$N$51,MATCH(A56,'Balance Inputs'!$I$2:$I$51,0))*POWER(INDEX('Balance Inputs'!$G$2:$G$7,MATCH(C56,'Balance Inputs'!$A$2:$A$7,0)),F56-1),0)</x:f>
        <x:v>26</x:v>
      </x:c>
      <x:c r="N56" s="38" t="n">
        <x:f>IF(A56&lt;&gt;A55,H56,N55+H56)</x:f>
        <x:v>2000</x:v>
      </x:c>
      <x:c r="O56" s="42" t="n">
        <x:f>IF(I56=0,0,H56/I56)</x:f>
        <x:v>14.084507042253522</x:v>
      </x:c>
      <x:c r="P56" s="43" t="n">
        <x:f>I56/INDEX('Balance Inputs'!$L$2:$L$51,MATCH(A56,'Balance Inputs'!$I$2:$I$51,0))</x:f>
        <x:v>1</x:v>
      </x:c>
      <x:c r="Q56" s="43" t="n">
        <x:f>L56/INDEX('Balance Inputs'!$M$2:$M$51,MATCH(A56,'Balance Inputs'!$I$2:$I$51,0))</x:f>
        <x:v>1</x:v>
      </x:c>
      <x:c r="R56" s="17"/>
      <x:c r="S56" s="17"/>
      <x:c r="T56" s="17"/>
      <x:c r="U56" s="17"/>
      <x:c r="V56" s="17"/>
      <x:c r="W56" s="17"/>
      <x:c r="X56" s="17"/>
      <x:c r="Y56" s="17"/>
      <x:c r="Z56" s="17"/>
    </x:row>
    <x:row r="57">
      <x:c r="A57" s="17" t="n">
        <x:v>10</x:v>
      </x:c>
      <x:c r="B57" s="17" t="str">
        <x:v>Secure Cash Locker</x:v>
      </x:c>
      <x:c r="C57" s="17" t="str">
        <x:v>Humble</x:v>
      </x:c>
      <x:c r="D57" s="17" t="str">
        <x:v>Common</x:v>
      </x:c>
      <x:c r="E57" s="17" t="n">
        <x:v>10</x:v>
      </x:c>
      <x:c r="F57" s="17" t="n">
        <x:v>2</x:v>
      </x:c>
      <x:c r="G57" s="17" t="str">
        <x:v>Upgrade to Lv2</x:v>
      </x:c>
      <x:c r="H57" s="38" t="n">
        <x:f>ROUND(H56*INDEX('Balance Inputs'!$C$2:$C$7,MATCH(C57,'Balance Inputs'!$A$2:$A$7,0)),0)</x:f>
        <x:v>3100</x:v>
      </x:c>
      <x:c r="I57" s="38" t="n">
        <x:f>ROUND(INDEX('Balance Inputs'!$L$2:$L$51,MATCH(A57,'Balance Inputs'!$I$2:$I$51,0))*POWER(INDEX('Balance Inputs'!$D$2:$D$7,MATCH(C57,'Balance Inputs'!$A$2:$A$7,0)),F57-1),0)</x:f>
        <x:v>190</x:v>
      </x:c>
      <x:c r="J57" s="38" t="n">
        <x:f>ROUND(I57*INDEX('Balance Inputs'!$F$2:$F$7,MATCH(C57,'Balance Inputs'!$A$2:$A$7,0)),0)</x:f>
        <x:v>23</x:v>
      </x:c>
      <x:c r="K57" s="38" t="n">
        <x:f>I57-J57</x:f>
        <x:v>167</x:v>
      </x:c>
      <x:c r="L57" s="38" t="n">
        <x:f>ROUND(INDEX('Balance Inputs'!$M$2:$M$51,MATCH(A57,'Balance Inputs'!$I$2:$I$51,0))*POWER(INDEX('Balance Inputs'!$E$2:$E$7,MATCH(C57,'Balance Inputs'!$A$2:$A$7,0)),F57-1),0)</x:f>
        <x:v>379</x:v>
      </x:c>
      <x:c r="M57" s="38" t="n">
        <x:f>ROUND(INDEX('Balance Inputs'!$N$2:$N$51,MATCH(A57,'Balance Inputs'!$I$2:$I$51,0))*POWER(INDEX('Balance Inputs'!$G$2:$G$7,MATCH(C57,'Balance Inputs'!$A$2:$A$7,0)),F57-1),0)</x:f>
        <x:v>26</x:v>
      </x:c>
      <x:c r="N57" s="38" t="n">
        <x:f>IF(A57&lt;&gt;A56,H57,N56+H57)</x:f>
        <x:v>5100</x:v>
      </x:c>
      <x:c r="O57" s="42" t="n">
        <x:f>IF(I57=0,0,H57/I57)</x:f>
        <x:v>16.31578947368421</x:v>
      </x:c>
      <x:c r="P57" s="43" t="n">
        <x:f>I57/INDEX('Balance Inputs'!$L$2:$L$51,MATCH(A57,'Balance Inputs'!$I$2:$I$51,0))</x:f>
        <x:v>1.3380281690140845</x:v>
      </x:c>
      <x:c r="Q57" s="43" t="n">
        <x:f>L57/INDEX('Balance Inputs'!$M$2:$M$51,MATCH(A57,'Balance Inputs'!$I$2:$I$51,0))</x:f>
        <x:v>1.3205574912891986</x:v>
      </x:c>
      <x:c r="R57" s="17"/>
      <x:c r="S57" s="17"/>
      <x:c r="T57" s="17"/>
      <x:c r="U57" s="17"/>
      <x:c r="V57" s="17"/>
      <x:c r="W57" s="17"/>
      <x:c r="X57" s="17"/>
      <x:c r="Y57" s="17"/>
      <x:c r="Z57" s="17"/>
    </x:row>
    <x:row r="58">
      <x:c r="A58" s="17" t="n">
        <x:v>10</x:v>
      </x:c>
      <x:c r="B58" s="17" t="str">
        <x:v>Secure Cash Locker</x:v>
      </x:c>
      <x:c r="C58" s="17" t="str">
        <x:v>Humble</x:v>
      </x:c>
      <x:c r="D58" s="17" t="str">
        <x:v>Common</x:v>
      </x:c>
      <x:c r="E58" s="17" t="n">
        <x:v>10</x:v>
      </x:c>
      <x:c r="F58" s="17" t="n">
        <x:v>3</x:v>
      </x:c>
      <x:c r="G58" s="17" t="str">
        <x:v>Upgrade to Lv3</x:v>
      </x:c>
      <x:c r="H58" s="38" t="n">
        <x:f>ROUND(H57*INDEX('Balance Inputs'!$C$2:$C$7,MATCH(C58,'Balance Inputs'!$A$2:$A$7,0)),0)</x:f>
        <x:v>4805</x:v>
      </x:c>
      <x:c r="I58" s="38" t="n">
        <x:f>ROUND(INDEX('Balance Inputs'!$L$2:$L$51,MATCH(A58,'Balance Inputs'!$I$2:$I$51,0))*POWER(INDEX('Balance Inputs'!$D$2:$D$7,MATCH(C58,'Balance Inputs'!$A$2:$A$7,0)),F58-1),0)</x:f>
        <x:v>255</x:v>
      </x:c>
      <x:c r="J58" s="38" t="n">
        <x:f>ROUND(I58*INDEX('Balance Inputs'!$F$2:$F$7,MATCH(C58,'Balance Inputs'!$A$2:$A$7,0)),0)</x:f>
        <x:v>31</x:v>
      </x:c>
      <x:c r="K58" s="38" t="n">
        <x:f>I58-J58</x:f>
        <x:v>224</x:v>
      </x:c>
      <x:c r="L58" s="38" t="n">
        <x:f>ROUND(INDEX('Balance Inputs'!$M$2:$M$51,MATCH(A58,'Balance Inputs'!$I$2:$I$51,0))*POWER(INDEX('Balance Inputs'!$E$2:$E$7,MATCH(C58,'Balance Inputs'!$A$2:$A$7,0)),F58-1),0)</x:f>
        <x:v>500</x:v>
      </x:c>
      <x:c r="M58" s="38" t="n">
        <x:f>ROUND(INDEX('Balance Inputs'!$N$2:$N$51,MATCH(A58,'Balance Inputs'!$I$2:$I$51,0))*POWER(INDEX('Balance Inputs'!$G$2:$G$7,MATCH(C58,'Balance Inputs'!$A$2:$A$7,0)),F58-1),0)</x:f>
        <x:v>26</x:v>
      </x:c>
      <x:c r="N58" s="38" t="n">
        <x:f>IF(A58&lt;&gt;A57,H58,N57+H58)</x:f>
        <x:v>9905</x:v>
      </x:c>
      <x:c r="O58" s="42" t="n">
        <x:f>IF(I58=0,0,H58/I58)</x:f>
        <x:v>18.84313725490196</x:v>
      </x:c>
      <x:c r="P58" s="43" t="n">
        <x:f>I58/INDEX('Balance Inputs'!$L$2:$L$51,MATCH(A58,'Balance Inputs'!$I$2:$I$51,0))</x:f>
        <x:v>1.795774647887324</x:v>
      </x:c>
      <x:c r="Q58" s="43" t="n">
        <x:f>L58/INDEX('Balance Inputs'!$M$2:$M$51,MATCH(A58,'Balance Inputs'!$I$2:$I$51,0))</x:f>
        <x:v>1.7421602787456445</x:v>
      </x:c>
      <x:c r="R58" s="17"/>
      <x:c r="S58" s="17"/>
      <x:c r="T58" s="17"/>
      <x:c r="U58" s="17"/>
      <x:c r="V58" s="17"/>
      <x:c r="W58" s="17"/>
      <x:c r="X58" s="17"/>
      <x:c r="Y58" s="17"/>
      <x:c r="Z58" s="17"/>
    </x:row>
    <x:row r="59">
      <x:c r="A59" s="17" t="n">
        <x:v>10</x:v>
      </x:c>
      <x:c r="B59" s="17" t="str">
        <x:v>Secure Cash Locker</x:v>
      </x:c>
      <x:c r="C59" s="17" t="str">
        <x:v>Humble</x:v>
      </x:c>
      <x:c r="D59" s="17" t="str">
        <x:v>Common</x:v>
      </x:c>
      <x:c r="E59" s="17" t="n">
        <x:v>10</x:v>
      </x:c>
      <x:c r="F59" s="17" t="n">
        <x:v>4</x:v>
      </x:c>
      <x:c r="G59" s="17" t="str">
        <x:v>Upgrade to Lv4</x:v>
      </x:c>
      <x:c r="H59" s="38" t="n">
        <x:f>ROUND(H58*INDEX('Balance Inputs'!$C$2:$C$7,MATCH(C59,'Balance Inputs'!$A$2:$A$7,0)),0)</x:f>
        <x:v>7448</x:v>
      </x:c>
      <x:c r="I59" s="38" t="n">
        <x:f>ROUND(INDEX('Balance Inputs'!$L$2:$L$51,MATCH(A59,'Balance Inputs'!$I$2:$I$51,0))*POWER(INDEX('Balance Inputs'!$D$2:$D$7,MATCH(C59,'Balance Inputs'!$A$2:$A$7,0)),F59-1),0)</x:f>
        <x:v>342</x:v>
      </x:c>
      <x:c r="J59" s="38" t="n">
        <x:f>ROUND(I59*INDEX('Balance Inputs'!$F$2:$F$7,MATCH(C59,'Balance Inputs'!$A$2:$A$7,0)),0)</x:f>
        <x:v>41</x:v>
      </x:c>
      <x:c r="K59" s="38" t="n">
        <x:f>I59-J59</x:f>
        <x:v>301</x:v>
      </x:c>
      <x:c r="L59" s="38" t="n">
        <x:f>ROUND(INDEX('Balance Inputs'!$M$2:$M$51,MATCH(A59,'Balance Inputs'!$I$2:$I$51,0))*POWER(INDEX('Balance Inputs'!$E$2:$E$7,MATCH(C59,'Balance Inputs'!$A$2:$A$7,0)),F59-1),0)</x:f>
        <x:v>660</x:v>
      </x:c>
      <x:c r="M59" s="38" t="n">
        <x:f>ROUND(INDEX('Balance Inputs'!$N$2:$N$51,MATCH(A59,'Balance Inputs'!$I$2:$I$51,0))*POWER(INDEX('Balance Inputs'!$G$2:$G$7,MATCH(C59,'Balance Inputs'!$A$2:$A$7,0)),F59-1),0)</x:f>
        <x:v>26</x:v>
      </x:c>
      <x:c r="N59" s="38" t="n">
        <x:f>IF(A59&lt;&gt;A58,H59,N58+H59)</x:f>
        <x:v>17353</x:v>
      </x:c>
      <x:c r="O59" s="42" t="n">
        <x:f>IF(I59=0,0,H59/I59)</x:f>
        <x:v>21.77777777777778</x:v>
      </x:c>
      <x:c r="P59" s="43" t="n">
        <x:f>I59/INDEX('Balance Inputs'!$L$2:$L$51,MATCH(A59,'Balance Inputs'!$I$2:$I$51,0))</x:f>
        <x:v>2.408450704225352</x:v>
      </x:c>
      <x:c r="Q59" s="43" t="n">
        <x:f>L59/INDEX('Balance Inputs'!$M$2:$M$51,MATCH(A59,'Balance Inputs'!$I$2:$I$51,0))</x:f>
        <x:v>2.299651567944251</x:v>
      </x:c>
      <x:c r="R59" s="17"/>
      <x:c r="S59" s="17"/>
      <x:c r="T59" s="17"/>
      <x:c r="U59" s="17"/>
      <x:c r="V59" s="17"/>
      <x:c r="W59" s="17"/>
      <x:c r="X59" s="17"/>
      <x:c r="Y59" s="17"/>
      <x:c r="Z59" s="17"/>
    </x:row>
    <x:row r="60">
      <x:c r="A60" s="17" t="n">
        <x:v>10</x:v>
      </x:c>
      <x:c r="B60" s="17" t="str">
        <x:v>Secure Cash Locker</x:v>
      </x:c>
      <x:c r="C60" s="17" t="str">
        <x:v>Humble</x:v>
      </x:c>
      <x:c r="D60" s="17" t="str">
        <x:v>Common</x:v>
      </x:c>
      <x:c r="E60" s="17" t="n">
        <x:v>10</x:v>
      </x:c>
      <x:c r="F60" s="17" t="n">
        <x:v>5</x:v>
      </x:c>
      <x:c r="G60" s="17" t="str">
        <x:v>Upgrade to Lv5</x:v>
      </x:c>
      <x:c r="H60" s="38" t="n">
        <x:f>ROUND(H59*INDEX('Balance Inputs'!$C$2:$C$7,MATCH(C60,'Balance Inputs'!$A$2:$A$7,0)),0)</x:f>
        <x:v>11544</x:v>
      </x:c>
      <x:c r="I60" s="38" t="n">
        <x:f>ROUND(INDEX('Balance Inputs'!$L$2:$L$51,MATCH(A60,'Balance Inputs'!$I$2:$I$51,0))*POWER(INDEX('Balance Inputs'!$D$2:$D$7,MATCH(C60,'Balance Inputs'!$A$2:$A$7,0)),F60-1),0)</x:f>
        <x:v>458</x:v>
      </x:c>
      <x:c r="J60" s="38" t="n">
        <x:f>ROUND(I60*INDEX('Balance Inputs'!$F$2:$F$7,MATCH(C60,'Balance Inputs'!$A$2:$A$7,0)),0)</x:f>
        <x:v>55</x:v>
      </x:c>
      <x:c r="K60" s="38" t="n">
        <x:f>I60-J60</x:f>
        <x:v>403</x:v>
      </x:c>
      <x:c r="L60" s="38" t="n">
        <x:f>ROUND(INDEX('Balance Inputs'!$M$2:$M$51,MATCH(A60,'Balance Inputs'!$I$2:$I$51,0))*POWER(INDEX('Balance Inputs'!$E$2:$E$7,MATCH(C60,'Balance Inputs'!$A$2:$A$7,0)),F60-1),0)</x:f>
        <x:v>871</x:v>
      </x:c>
      <x:c r="M60" s="38" t="n">
        <x:f>ROUND(INDEX('Balance Inputs'!$N$2:$N$51,MATCH(A60,'Balance Inputs'!$I$2:$I$51,0))*POWER(INDEX('Balance Inputs'!$G$2:$G$7,MATCH(C60,'Balance Inputs'!$A$2:$A$7,0)),F60-1),0)</x:f>
        <x:v>26</x:v>
      </x:c>
      <x:c r="N60" s="38" t="n">
        <x:f>IF(A60&lt;&gt;A59,H60,N59+H60)</x:f>
        <x:v>28897</x:v>
      </x:c>
      <x:c r="O60" s="42" t="n">
        <x:f>IF(I60=0,0,H60/I60)</x:f>
        <x:v>25.20524017467249</x:v>
      </x:c>
      <x:c r="P60" s="43" t="n">
        <x:f>I60/INDEX('Balance Inputs'!$L$2:$L$51,MATCH(A60,'Balance Inputs'!$I$2:$I$51,0))</x:f>
        <x:v>3.2253521126760565</x:v>
      </x:c>
      <x:c r="Q60" s="43" t="n">
        <x:f>L60/INDEX('Balance Inputs'!$M$2:$M$51,MATCH(A60,'Balance Inputs'!$I$2:$I$51,0))</x:f>
        <x:v>3.034843205574913</x:v>
      </x:c>
      <x:c r="R60" s="17"/>
      <x:c r="S60" s="17"/>
      <x:c r="T60" s="17"/>
      <x:c r="U60" s="17"/>
      <x:c r="V60" s="17"/>
      <x:c r="W60" s="17"/>
      <x:c r="X60" s="17"/>
      <x:c r="Y60" s="17"/>
      <x:c r="Z60" s="17"/>
    </x:row>
    <x:row r="61">
      <x:c r="A61" s="17" t="n">
        <x:v>10</x:v>
      </x:c>
      <x:c r="B61" s="17" t="str">
        <x:v>Secure Cash Locker</x:v>
      </x:c>
      <x:c r="C61" s="17" t="str">
        <x:v>Humble</x:v>
      </x:c>
      <x:c r="D61" s="17" t="str">
        <x:v>Common</x:v>
      </x:c>
      <x:c r="E61" s="17" t="n">
        <x:v>10</x:v>
      </x:c>
      <x:c r="F61" s="17" t="n">
        <x:v>6</x:v>
      </x:c>
      <x:c r="G61" s="17" t="str">
        <x:v>Upgrade to Lv6</x:v>
      </x:c>
      <x:c r="H61" s="38" t="n">
        <x:f>ROUND(H60*INDEX('Balance Inputs'!$C$2:$C$7,MATCH(C61,'Balance Inputs'!$A$2:$A$7,0)),0)</x:f>
        <x:v>17893</x:v>
      </x:c>
      <x:c r="I61" s="38" t="n">
        <x:f>ROUND(INDEX('Balance Inputs'!$L$2:$L$51,MATCH(A61,'Balance Inputs'!$I$2:$I$51,0))*POWER(INDEX('Balance Inputs'!$D$2:$D$7,MATCH(C61,'Balance Inputs'!$A$2:$A$7,0)),F61-1),0)</x:f>
        <x:v>613</x:v>
      </x:c>
      <x:c r="J61" s="38" t="n">
        <x:f>ROUND(I61*INDEX('Balance Inputs'!$F$2:$F$7,MATCH(C61,'Balance Inputs'!$A$2:$A$7,0)),0)</x:f>
        <x:v>74</x:v>
      </x:c>
      <x:c r="K61" s="38" t="n">
        <x:f>I61-J61</x:f>
        <x:v>539</x:v>
      </x:c>
      <x:c r="L61" s="38" t="n">
        <x:f>ROUND(INDEX('Balance Inputs'!$M$2:$M$51,MATCH(A61,'Balance Inputs'!$I$2:$I$51,0))*POWER(INDEX('Balance Inputs'!$E$2:$E$7,MATCH(C61,'Balance Inputs'!$A$2:$A$7,0)),F61-1),0)</x:f>
        <x:v>1150</x:v>
      </x:c>
      <x:c r="M61" s="38" t="n">
        <x:f>ROUND(INDEX('Balance Inputs'!$N$2:$N$51,MATCH(A61,'Balance Inputs'!$I$2:$I$51,0))*POWER(INDEX('Balance Inputs'!$G$2:$G$7,MATCH(C61,'Balance Inputs'!$A$2:$A$7,0)),F61-1),0)</x:f>
        <x:v>26</x:v>
      </x:c>
      <x:c r="N61" s="38" t="n">
        <x:f>IF(A61&lt;&gt;A60,H61,N60+H61)</x:f>
        <x:v>46790</x:v>
      </x:c>
      <x:c r="O61" s="42" t="n">
        <x:f>IF(I61=0,0,H61/I61)</x:f>
        <x:v>29.189233278955953</x:v>
      </x:c>
      <x:c r="P61" s="43" t="n">
        <x:f>I61/INDEX('Balance Inputs'!$L$2:$L$51,MATCH(A61,'Balance Inputs'!$I$2:$I$51,0))</x:f>
        <x:v>4.316901408450704</x:v>
      </x:c>
      <x:c r="Q61" s="43" t="n">
        <x:f>L61/INDEX('Balance Inputs'!$M$2:$M$51,MATCH(A61,'Balance Inputs'!$I$2:$I$51,0))</x:f>
        <x:v>4.006968641114983</x:v>
      </x:c>
      <x:c r="R61" s="17"/>
      <x:c r="S61" s="17"/>
      <x:c r="T61" s="17"/>
      <x:c r="U61" s="17"/>
      <x:c r="V61" s="17"/>
      <x:c r="W61" s="17"/>
      <x:c r="X61" s="17"/>
      <x:c r="Y61" s="17"/>
      <x:c r="Z61" s="17"/>
    </x:row>
    <x:row r="62">
      <x:c r="A62" s="17" t="n">
        <x:v>11</x:v>
      </x:c>
      <x:c r="B62" s="17" t="str">
        <x:v>Neighborhood Finance Shop</x:v>
      </x:c>
      <x:c r="C62" s="17" t="str">
        <x:v>Starter</x:v>
      </x:c>
      <x:c r="D62" s="17" t="str">
        <x:v>Uncommon</x:v>
      </x:c>
      <x:c r="E62" s="17" t="n">
        <x:v>11</x:v>
      </x:c>
      <x:c r="F62" s="17" t="n">
        <x:v>1</x:v>
      </x:c>
      <x:c r="G62" s="17" t="str">
        <x:v>Build</x:v>
      </x:c>
      <x:c r="H62" s="38" t="n">
        <x:f>INDEX('Balance Inputs'!$K$2:$K$51,MATCH(A62,'Balance Inputs'!$I$2:$I$51,0))</x:f>
        <x:v>2480</x:v>
      </x:c>
      <x:c r="I62" s="38" t="n">
        <x:f>ROUND(INDEX('Balance Inputs'!$L$2:$L$51,MATCH(A62,'Balance Inputs'!$I$2:$I$51,0))*POWER(INDEX('Balance Inputs'!$D$2:$D$7,MATCH(C62,'Balance Inputs'!$A$2:$A$7,0)),F62-1),0)</x:f>
        <x:v>228</x:v>
      </x:c>
      <x:c r="J62" s="38" t="n">
        <x:f>ROUND(I62*INDEX('Balance Inputs'!$F$2:$F$7,MATCH(C62,'Balance Inputs'!$A$2:$A$7,0)),0)</x:f>
        <x:v>30</x:v>
      </x:c>
      <x:c r="K62" s="38" t="n">
        <x:f>I62-J62</x:f>
        <x:v>198</x:v>
      </x:c>
      <x:c r="L62" s="38" t="n">
        <x:f>ROUND(INDEX('Balance Inputs'!$M$2:$M$51,MATCH(A62,'Balance Inputs'!$I$2:$I$51,0))*POWER(INDEX('Balance Inputs'!$E$2:$E$7,MATCH(C62,'Balance Inputs'!$A$2:$A$7,0)),F62-1),0)</x:f>
        <x:v>342</x:v>
      </x:c>
      <x:c r="M62" s="38" t="n">
        <x:f>ROUND(INDEX('Balance Inputs'!$N$2:$N$51,MATCH(A62,'Balance Inputs'!$I$2:$I$51,0))*POWER(INDEX('Balance Inputs'!$G$2:$G$7,MATCH(C62,'Balance Inputs'!$A$2:$A$7,0)),F62-1),0)</x:f>
        <x:v>41</x:v>
      </x:c>
      <x:c r="N62" s="38" t="n">
        <x:f>IF(A62&lt;&gt;A61,H62,N61+H62)</x:f>
        <x:v>2480</x:v>
      </x:c>
      <x:c r="O62" s="42" t="n">
        <x:f>IF(I62=0,0,H62/I62)</x:f>
        <x:v>10.87719298245614</x:v>
      </x:c>
      <x:c r="P62" s="43" t="n">
        <x:f>I62/INDEX('Balance Inputs'!$L$2:$L$51,MATCH(A62,'Balance Inputs'!$I$2:$I$51,0))</x:f>
        <x:v>1</x:v>
      </x:c>
      <x:c r="Q62" s="43" t="n">
        <x:f>L62/INDEX('Balance Inputs'!$M$2:$M$51,MATCH(A62,'Balance Inputs'!$I$2:$I$51,0))</x:f>
        <x:v>1</x:v>
      </x:c>
      <x:c r="R62" s="17"/>
      <x:c r="S62" s="17"/>
      <x:c r="T62" s="17"/>
      <x:c r="U62" s="17"/>
      <x:c r="V62" s="17"/>
      <x:c r="W62" s="17"/>
      <x:c r="X62" s="17"/>
      <x:c r="Y62" s="17"/>
      <x:c r="Z62" s="17"/>
    </x:row>
    <x:row r="63">
      <x:c r="A63" s="17" t="n">
        <x:v>11</x:v>
      </x:c>
      <x:c r="B63" s="17" t="str">
        <x:v>Neighborhood Finance Shop</x:v>
      </x:c>
      <x:c r="C63" s="17" t="str">
        <x:v>Starter</x:v>
      </x:c>
      <x:c r="D63" s="17" t="str">
        <x:v>Uncommon</x:v>
      </x:c>
      <x:c r="E63" s="17" t="n">
        <x:v>11</x:v>
      </x:c>
      <x:c r="F63" s="17" t="n">
        <x:v>2</x:v>
      </x:c>
      <x:c r="G63" s="17" t="str">
        <x:v>Upgrade to Lv2</x:v>
      </x:c>
      <x:c r="H63" s="38" t="n">
        <x:f>ROUND(H62*INDEX('Balance Inputs'!$C$2:$C$7,MATCH(C63,'Balance Inputs'!$A$2:$A$7,0)),0)</x:f>
        <x:v>3918</x:v>
      </x:c>
      <x:c r="I63" s="38" t="n">
        <x:f>ROUND(INDEX('Balance Inputs'!$L$2:$L$51,MATCH(A63,'Balance Inputs'!$I$2:$I$51,0))*POWER(INDEX('Balance Inputs'!$D$2:$D$7,MATCH(C63,'Balance Inputs'!$A$2:$A$7,0)),F63-1),0)</x:f>
        <x:v>308</x:v>
      </x:c>
      <x:c r="J63" s="38" t="n">
        <x:f>ROUND(I63*INDEX('Balance Inputs'!$F$2:$F$7,MATCH(C63,'Balance Inputs'!$A$2:$A$7,0)),0)</x:f>
        <x:v>40</x:v>
      </x:c>
      <x:c r="K63" s="38" t="n">
        <x:f>I63-J63</x:f>
        <x:v>268</x:v>
      </x:c>
      <x:c r="L63" s="38" t="n">
        <x:f>ROUND(INDEX('Balance Inputs'!$M$2:$M$51,MATCH(A63,'Balance Inputs'!$I$2:$I$51,0))*POWER(INDEX('Balance Inputs'!$E$2:$E$7,MATCH(C63,'Balance Inputs'!$A$2:$A$7,0)),F63-1),0)</x:f>
        <x:v>455</x:v>
      </x:c>
      <x:c r="M63" s="38" t="n">
        <x:f>ROUND(INDEX('Balance Inputs'!$N$2:$N$51,MATCH(A63,'Balance Inputs'!$I$2:$I$51,0))*POWER(INDEX('Balance Inputs'!$G$2:$G$7,MATCH(C63,'Balance Inputs'!$A$2:$A$7,0)),F63-1),0)</x:f>
        <x:v>43</x:v>
      </x:c>
      <x:c r="N63" s="38" t="n">
        <x:f>IF(A63&lt;&gt;A62,H63,N62+H63)</x:f>
        <x:v>6398</x:v>
      </x:c>
      <x:c r="O63" s="42" t="n">
        <x:f>IF(I63=0,0,H63/I63)</x:f>
        <x:v>12.720779220779221</x:v>
      </x:c>
      <x:c r="P63" s="43" t="n">
        <x:f>I63/INDEX('Balance Inputs'!$L$2:$L$51,MATCH(A63,'Balance Inputs'!$I$2:$I$51,0))</x:f>
        <x:v>1.3508771929824561</x:v>
      </x:c>
      <x:c r="Q63" s="43" t="n">
        <x:f>L63/INDEX('Balance Inputs'!$M$2:$M$51,MATCH(A63,'Balance Inputs'!$I$2:$I$51,0))</x:f>
        <x:v>1.3304093567251463</x:v>
      </x:c>
      <x:c r="R63" s="17"/>
      <x:c r="S63" s="17"/>
      <x:c r="T63" s="17"/>
      <x:c r="U63" s="17"/>
      <x:c r="V63" s="17"/>
      <x:c r="W63" s="17"/>
      <x:c r="X63" s="17"/>
      <x:c r="Y63" s="17"/>
      <x:c r="Z63" s="17"/>
    </x:row>
    <x:row r="64">
      <x:c r="A64" s="17" t="n">
        <x:v>11</x:v>
      </x:c>
      <x:c r="B64" s="17" t="str">
        <x:v>Neighborhood Finance Shop</x:v>
      </x:c>
      <x:c r="C64" s="17" t="str">
        <x:v>Starter</x:v>
      </x:c>
      <x:c r="D64" s="17" t="str">
        <x:v>Uncommon</x:v>
      </x:c>
      <x:c r="E64" s="17" t="n">
        <x:v>11</x:v>
      </x:c>
      <x:c r="F64" s="17" t="n">
        <x:v>3</x:v>
      </x:c>
      <x:c r="G64" s="17" t="str">
        <x:v>Upgrade to Lv3</x:v>
      </x:c>
      <x:c r="H64" s="38" t="n">
        <x:f>ROUND(H63*INDEX('Balance Inputs'!$C$2:$C$7,MATCH(C64,'Balance Inputs'!$A$2:$A$7,0)),0)</x:f>
        <x:v>6190</x:v>
      </x:c>
      <x:c r="I64" s="38" t="n">
        <x:f>ROUND(INDEX('Balance Inputs'!$L$2:$L$51,MATCH(A64,'Balance Inputs'!$I$2:$I$51,0))*POWER(INDEX('Balance Inputs'!$D$2:$D$7,MATCH(C64,'Balance Inputs'!$A$2:$A$7,0)),F64-1),0)</x:f>
        <x:v>416</x:v>
      </x:c>
      <x:c r="J64" s="38" t="n">
        <x:f>ROUND(I64*INDEX('Balance Inputs'!$F$2:$F$7,MATCH(C64,'Balance Inputs'!$A$2:$A$7,0)),0)</x:f>
        <x:v>54</x:v>
      </x:c>
      <x:c r="K64" s="38" t="n">
        <x:f>I64-J64</x:f>
        <x:v>362</x:v>
      </x:c>
      <x:c r="L64" s="38" t="n">
        <x:f>ROUND(INDEX('Balance Inputs'!$M$2:$M$51,MATCH(A64,'Balance Inputs'!$I$2:$I$51,0))*POWER(INDEX('Balance Inputs'!$E$2:$E$7,MATCH(C64,'Balance Inputs'!$A$2:$A$7,0)),F64-1),0)</x:f>
        <x:v>605</x:v>
      </x:c>
      <x:c r="M64" s="38" t="n">
        <x:f>ROUND(INDEX('Balance Inputs'!$N$2:$N$51,MATCH(A64,'Balance Inputs'!$I$2:$I$51,0))*POWER(INDEX('Balance Inputs'!$G$2:$G$7,MATCH(C64,'Balance Inputs'!$A$2:$A$7,0)),F64-1),0)</x:f>
        <x:v>45</x:v>
      </x:c>
      <x:c r="N64" s="38" t="n">
        <x:f>IF(A64&lt;&gt;A63,H64,N63+H64)</x:f>
        <x:v>12588</x:v>
      </x:c>
      <x:c r="O64" s="42" t="n">
        <x:f>IF(I64=0,0,H64/I64)</x:f>
        <x:v>14.879807692307692</x:v>
      </x:c>
      <x:c r="P64" s="43" t="n">
        <x:f>I64/INDEX('Balance Inputs'!$L$2:$L$51,MATCH(A64,'Balance Inputs'!$I$2:$I$51,0))</x:f>
        <x:v>1.8245614035087718</x:v>
      </x:c>
      <x:c r="Q64" s="43" t="n">
        <x:f>L64/INDEX('Balance Inputs'!$M$2:$M$51,MATCH(A64,'Balance Inputs'!$I$2:$I$51,0))</x:f>
        <x:v>1.7690058479532165</x:v>
      </x:c>
      <x:c r="R64" s="17"/>
      <x:c r="S64" s="17"/>
      <x:c r="T64" s="17"/>
      <x:c r="U64" s="17"/>
      <x:c r="V64" s="17"/>
      <x:c r="W64" s="17"/>
      <x:c r="X64" s="17"/>
      <x:c r="Y64" s="17"/>
      <x:c r="Z64" s="17"/>
    </x:row>
    <x:row r="65">
      <x:c r="A65" s="17" t="n">
        <x:v>11</x:v>
      </x:c>
      <x:c r="B65" s="17" t="str">
        <x:v>Neighborhood Finance Shop</x:v>
      </x:c>
      <x:c r="C65" s="17" t="str">
        <x:v>Starter</x:v>
      </x:c>
      <x:c r="D65" s="17" t="str">
        <x:v>Uncommon</x:v>
      </x:c>
      <x:c r="E65" s="17" t="n">
        <x:v>11</x:v>
      </x:c>
      <x:c r="F65" s="17" t="n">
        <x:v>4</x:v>
      </x:c>
      <x:c r="G65" s="17" t="str">
        <x:v>Upgrade to Lv4</x:v>
      </x:c>
      <x:c r="H65" s="38" t="n">
        <x:f>ROUND(H64*INDEX('Balance Inputs'!$C$2:$C$7,MATCH(C65,'Balance Inputs'!$A$2:$A$7,0)),0)</x:f>
        <x:v>9780</x:v>
      </x:c>
      <x:c r="I65" s="38" t="n">
        <x:f>ROUND(INDEX('Balance Inputs'!$L$2:$L$51,MATCH(A65,'Balance Inputs'!$I$2:$I$51,0))*POWER(INDEX('Balance Inputs'!$D$2:$D$7,MATCH(C65,'Balance Inputs'!$A$2:$A$7,0)),F65-1),0)</x:f>
        <x:v>561</x:v>
      </x:c>
      <x:c r="J65" s="38" t="n">
        <x:f>ROUND(I65*INDEX('Balance Inputs'!$F$2:$F$7,MATCH(C65,'Balance Inputs'!$A$2:$A$7,0)),0)</x:f>
        <x:v>73</x:v>
      </x:c>
      <x:c r="K65" s="38" t="n">
        <x:f>I65-J65</x:f>
        <x:v>488</x:v>
      </x:c>
      <x:c r="L65" s="38" t="n">
        <x:f>ROUND(INDEX('Balance Inputs'!$M$2:$M$51,MATCH(A65,'Balance Inputs'!$I$2:$I$51,0))*POWER(INDEX('Balance Inputs'!$E$2:$E$7,MATCH(C65,'Balance Inputs'!$A$2:$A$7,0)),F65-1),0)</x:f>
        <x:v>805</x:v>
      </x:c>
      <x:c r="M65" s="38" t="n">
        <x:f>ROUND(INDEX('Balance Inputs'!$N$2:$N$51,MATCH(A65,'Balance Inputs'!$I$2:$I$51,0))*POWER(INDEX('Balance Inputs'!$G$2:$G$7,MATCH(C65,'Balance Inputs'!$A$2:$A$7,0)),F65-1),0)</x:f>
        <x:v>47</x:v>
      </x:c>
      <x:c r="N65" s="38" t="n">
        <x:f>IF(A65&lt;&gt;A64,H65,N64+H65)</x:f>
        <x:v>22368</x:v>
      </x:c>
      <x:c r="O65" s="42" t="n">
        <x:f>IF(I65=0,0,H65/I65)</x:f>
        <x:v>17.433155080213904</x:v>
      </x:c>
      <x:c r="P65" s="43" t="n">
        <x:f>I65/INDEX('Balance Inputs'!$L$2:$L$51,MATCH(A65,'Balance Inputs'!$I$2:$I$51,0))</x:f>
        <x:v>2.460526315789474</x:v>
      </x:c>
      <x:c r="Q65" s="43" t="n">
        <x:f>L65/INDEX('Balance Inputs'!$M$2:$M$51,MATCH(A65,'Balance Inputs'!$I$2:$I$51,0))</x:f>
        <x:v>2.353801169590643</x:v>
      </x:c>
      <x:c r="R65" s="17"/>
      <x:c r="S65" s="17"/>
      <x:c r="T65" s="17"/>
      <x:c r="U65" s="17"/>
      <x:c r="V65" s="17"/>
      <x:c r="W65" s="17"/>
      <x:c r="X65" s="17"/>
      <x:c r="Y65" s="17"/>
      <x:c r="Z65" s="17"/>
    </x:row>
    <x:row r="66">
      <x:c r="A66" s="17" t="n">
        <x:v>11</x:v>
      </x:c>
      <x:c r="B66" s="17" t="str">
        <x:v>Neighborhood Finance Shop</x:v>
      </x:c>
      <x:c r="C66" s="17" t="str">
        <x:v>Starter</x:v>
      </x:c>
      <x:c r="D66" s="17" t="str">
        <x:v>Uncommon</x:v>
      </x:c>
      <x:c r="E66" s="17" t="n">
        <x:v>11</x:v>
      </x:c>
      <x:c r="F66" s="17" t="n">
        <x:v>5</x:v>
      </x:c>
      <x:c r="G66" s="17" t="str">
        <x:v>Upgrade to Lv5</x:v>
      </x:c>
      <x:c r="H66" s="38" t="n">
        <x:f>ROUND(H65*INDEX('Balance Inputs'!$C$2:$C$7,MATCH(C66,'Balance Inputs'!$A$2:$A$7,0)),0)</x:f>
        <x:v>15452</x:v>
      </x:c>
      <x:c r="I66" s="38" t="n">
        <x:f>ROUND(INDEX('Balance Inputs'!$L$2:$L$51,MATCH(A66,'Balance Inputs'!$I$2:$I$51,0))*POWER(INDEX('Balance Inputs'!$D$2:$D$7,MATCH(C66,'Balance Inputs'!$A$2:$A$7,0)),F66-1),0)</x:f>
        <x:v>757</x:v>
      </x:c>
      <x:c r="J66" s="38" t="n">
        <x:f>ROUND(I66*INDEX('Balance Inputs'!$F$2:$F$7,MATCH(C66,'Balance Inputs'!$A$2:$A$7,0)),0)</x:f>
        <x:v>98</x:v>
      </x:c>
      <x:c r="K66" s="38" t="n">
        <x:f>I66-J66</x:f>
        <x:v>659</x:v>
      </x:c>
      <x:c r="L66" s="38" t="n">
        <x:f>ROUND(INDEX('Balance Inputs'!$M$2:$M$51,MATCH(A66,'Balance Inputs'!$I$2:$I$51,0))*POWER(INDEX('Balance Inputs'!$E$2:$E$7,MATCH(C66,'Balance Inputs'!$A$2:$A$7,0)),F66-1),0)</x:f>
        <x:v>1070</x:v>
      </x:c>
      <x:c r="M66" s="38" t="n">
        <x:f>ROUND(INDEX('Balance Inputs'!$N$2:$N$51,MATCH(A66,'Balance Inputs'!$I$2:$I$51,0))*POWER(INDEX('Balance Inputs'!$G$2:$G$7,MATCH(C66,'Balance Inputs'!$A$2:$A$7,0)),F66-1),0)</x:f>
        <x:v>50</x:v>
      </x:c>
      <x:c r="N66" s="38" t="n">
        <x:f>IF(A66&lt;&gt;A65,H66,N65+H66)</x:f>
        <x:v>37820</x:v>
      </x:c>
      <x:c r="O66" s="42" t="n">
        <x:f>IF(I66=0,0,H66/I66)</x:f>
        <x:v>20.41215323645971</x:v>
      </x:c>
      <x:c r="P66" s="43" t="n">
        <x:f>I66/INDEX('Balance Inputs'!$L$2:$L$51,MATCH(A66,'Balance Inputs'!$I$2:$I$51,0))</x:f>
        <x:v>3.3201754385964914</x:v>
      </x:c>
      <x:c r="Q66" s="43" t="n">
        <x:f>L66/INDEX('Balance Inputs'!$M$2:$M$51,MATCH(A66,'Balance Inputs'!$I$2:$I$51,0))</x:f>
        <x:v>3.128654970760234</x:v>
      </x:c>
      <x:c r="R66" s="17"/>
      <x:c r="S66" s="17"/>
      <x:c r="T66" s="17"/>
      <x:c r="U66" s="17"/>
      <x:c r="V66" s="17"/>
      <x:c r="W66" s="17"/>
      <x:c r="X66" s="17"/>
      <x:c r="Y66" s="17"/>
      <x:c r="Z66" s="17"/>
    </x:row>
    <x:row r="67">
      <x:c r="A67" s="17" t="n">
        <x:v>11</x:v>
      </x:c>
      <x:c r="B67" s="17" t="str">
        <x:v>Neighborhood Finance Shop</x:v>
      </x:c>
      <x:c r="C67" s="17" t="str">
        <x:v>Starter</x:v>
      </x:c>
      <x:c r="D67" s="17" t="str">
        <x:v>Uncommon</x:v>
      </x:c>
      <x:c r="E67" s="17" t="n">
        <x:v>11</x:v>
      </x:c>
      <x:c r="F67" s="17" t="n">
        <x:v>6</x:v>
      </x:c>
      <x:c r="G67" s="17" t="str">
        <x:v>Upgrade to Lv6</x:v>
      </x:c>
      <x:c r="H67" s="38" t="n">
        <x:f>ROUND(H66*INDEX('Balance Inputs'!$C$2:$C$7,MATCH(C67,'Balance Inputs'!$A$2:$A$7,0)),0)</x:f>
        <x:v>24414</x:v>
      </x:c>
      <x:c r="I67" s="38" t="n">
        <x:f>ROUND(INDEX('Balance Inputs'!$L$2:$L$51,MATCH(A67,'Balance Inputs'!$I$2:$I$51,0))*POWER(INDEX('Balance Inputs'!$D$2:$D$7,MATCH(C67,'Balance Inputs'!$A$2:$A$7,0)),F67-1),0)</x:f>
        <x:v>1022</x:v>
      </x:c>
      <x:c r="J67" s="38" t="n">
        <x:f>ROUND(I67*INDEX('Balance Inputs'!$F$2:$F$7,MATCH(C67,'Balance Inputs'!$A$2:$A$7,0)),0)</x:f>
        <x:v>133</x:v>
      </x:c>
      <x:c r="K67" s="38" t="n">
        <x:f>I67-J67</x:f>
        <x:v>889</x:v>
      </x:c>
      <x:c r="L67" s="38" t="n">
        <x:f>ROUND(INDEX('Balance Inputs'!$M$2:$M$51,MATCH(A67,'Balance Inputs'!$I$2:$I$51,0))*POWER(INDEX('Balance Inputs'!$E$2:$E$7,MATCH(C67,'Balance Inputs'!$A$2:$A$7,0)),F67-1),0)</x:f>
        <x:v>1423</x:v>
      </x:c>
      <x:c r="M67" s="38" t="n">
        <x:f>ROUND(INDEX('Balance Inputs'!$N$2:$N$51,MATCH(A67,'Balance Inputs'!$I$2:$I$51,0))*POWER(INDEX('Balance Inputs'!$G$2:$G$7,MATCH(C67,'Balance Inputs'!$A$2:$A$7,0)),F67-1),0)</x:f>
        <x:v>52</x:v>
      </x:c>
      <x:c r="N67" s="38" t="n">
        <x:f>IF(A67&lt;&gt;A66,H67,N66+H67)</x:f>
        <x:v>62234</x:v>
      </x:c>
      <x:c r="O67" s="42" t="n">
        <x:f>IF(I67=0,0,H67/I67)</x:f>
        <x:v>23.888454011741683</x:v>
      </x:c>
      <x:c r="P67" s="43" t="n">
        <x:f>I67/INDEX('Balance Inputs'!$L$2:$L$51,MATCH(A67,'Balance Inputs'!$I$2:$I$51,0))</x:f>
        <x:v>4.482456140350878</x:v>
      </x:c>
      <x:c r="Q67" s="43" t="n">
        <x:f>L67/INDEX('Balance Inputs'!$M$2:$M$51,MATCH(A67,'Balance Inputs'!$I$2:$I$51,0))</x:f>
        <x:v>4.1608187134502925</x:v>
      </x:c>
      <x:c r="R67" s="17"/>
      <x:c r="S67" s="17"/>
      <x:c r="T67" s="17"/>
      <x:c r="U67" s="17"/>
      <x:c r="V67" s="17"/>
      <x:c r="W67" s="17"/>
      <x:c r="X67" s="17"/>
      <x:c r="Y67" s="17"/>
      <x:c r="Z67" s="17"/>
    </x:row>
    <x:row r="68">
      <x:c r="A68" s="17" t="n">
        <x:v>11</x:v>
      </x:c>
      <x:c r="B68" s="17" t="str">
        <x:v>Neighborhood Finance Shop</x:v>
      </x:c>
      <x:c r="C68" s="17" t="str">
        <x:v>Starter</x:v>
      </x:c>
      <x:c r="D68" s="17" t="str">
        <x:v>Uncommon</x:v>
      </x:c>
      <x:c r="E68" s="17" t="n">
        <x:v>11</x:v>
      </x:c>
      <x:c r="F68" s="17" t="n">
        <x:v>7</x:v>
      </x:c>
      <x:c r="G68" s="17" t="str">
        <x:v>Upgrade to Lv7</x:v>
      </x:c>
      <x:c r="H68" s="38" t="n">
        <x:f>ROUND(H67*INDEX('Balance Inputs'!$C$2:$C$7,MATCH(C68,'Balance Inputs'!$A$2:$A$7,0)),0)</x:f>
        <x:v>38574</x:v>
      </x:c>
      <x:c r="I68" s="38" t="n">
        <x:f>ROUND(INDEX('Balance Inputs'!$L$2:$L$51,MATCH(A68,'Balance Inputs'!$I$2:$I$51,0))*POWER(INDEX('Balance Inputs'!$D$2:$D$7,MATCH(C68,'Balance Inputs'!$A$2:$A$7,0)),F68-1),0)</x:f>
        <x:v>1380</x:v>
      </x:c>
      <x:c r="J68" s="38" t="n">
        <x:f>ROUND(I68*INDEX('Balance Inputs'!$F$2:$F$7,MATCH(C68,'Balance Inputs'!$A$2:$A$7,0)),0)</x:f>
        <x:v>179</x:v>
      </x:c>
      <x:c r="K68" s="38" t="n">
        <x:f>I68-J68</x:f>
        <x:v>1201</x:v>
      </x:c>
      <x:c r="L68" s="38" t="n">
        <x:f>ROUND(INDEX('Balance Inputs'!$M$2:$M$51,MATCH(A68,'Balance Inputs'!$I$2:$I$51,0))*POWER(INDEX('Balance Inputs'!$E$2:$E$7,MATCH(C68,'Balance Inputs'!$A$2:$A$7,0)),F68-1),0)</x:f>
        <x:v>1893</x:v>
      </x:c>
      <x:c r="M68" s="38" t="n">
        <x:f>ROUND(INDEX('Balance Inputs'!$N$2:$N$51,MATCH(A68,'Balance Inputs'!$I$2:$I$51,0))*POWER(INDEX('Balance Inputs'!$G$2:$G$7,MATCH(C68,'Balance Inputs'!$A$2:$A$7,0)),F68-1),0)</x:f>
        <x:v>55</x:v>
      </x:c>
      <x:c r="N68" s="38" t="n">
        <x:f>IF(A68&lt;&gt;A67,H68,N67+H68)</x:f>
        <x:v>100808</x:v>
      </x:c>
      <x:c r="O68" s="42" t="n">
        <x:f>IF(I68=0,0,H68/I68)</x:f>
        <x:v>27.952173913043477</x:v>
      </x:c>
      <x:c r="P68" s="43" t="n">
        <x:f>I68/INDEX('Balance Inputs'!$L$2:$L$51,MATCH(A68,'Balance Inputs'!$I$2:$I$51,0))</x:f>
        <x:v>6.052631578947368</x:v>
      </x:c>
      <x:c r="Q68" s="43" t="n">
        <x:f>L68/INDEX('Balance Inputs'!$M$2:$M$51,MATCH(A68,'Balance Inputs'!$I$2:$I$51,0))</x:f>
        <x:v>5.535087719298246</x:v>
      </x:c>
      <x:c r="R68" s="17"/>
      <x:c r="S68" s="17"/>
      <x:c r="T68" s="17"/>
      <x:c r="U68" s="17"/>
      <x:c r="V68" s="17"/>
      <x:c r="W68" s="17"/>
      <x:c r="X68" s="17"/>
      <x:c r="Y68" s="17"/>
      <x:c r="Z68" s="17"/>
    </x:row>
    <x:row r="69">
      <x:c r="A69" s="17" t="n">
        <x:v>12</x:v>
      </x:c>
      <x:c r="B69" s="17" t="str">
        <x:v>Small Brokerage Office</x:v>
      </x:c>
      <x:c r="C69" s="17" t="str">
        <x:v>Starter</x:v>
      </x:c>
      <x:c r="D69" s="17" t="str">
        <x:v>Uncommon</x:v>
      </x:c>
      <x:c r="E69" s="17" t="n">
        <x:v>12</x:v>
      </x:c>
      <x:c r="F69" s="17" t="n">
        <x:v>1</x:v>
      </x:c>
      <x:c r="G69" s="17" t="str">
        <x:v>Build</x:v>
      </x:c>
      <x:c r="H69" s="38" t="n">
        <x:f>INDEX('Balance Inputs'!$K$2:$K$51,MATCH(A69,'Balance Inputs'!$I$2:$I$51,0))</x:f>
        <x:v>3060</x:v>
      </x:c>
      <x:c r="I69" s="38" t="n">
        <x:f>ROUND(INDEX('Balance Inputs'!$L$2:$L$51,MATCH(A69,'Balance Inputs'!$I$2:$I$51,0))*POWER(INDEX('Balance Inputs'!$D$2:$D$7,MATCH(C69,'Balance Inputs'!$A$2:$A$7,0)),F69-1),0)</x:f>
        <x:v>288</x:v>
      </x:c>
      <x:c r="J69" s="38" t="n">
        <x:f>ROUND(I69*INDEX('Balance Inputs'!$F$2:$F$7,MATCH(C69,'Balance Inputs'!$A$2:$A$7,0)),0)</x:f>
        <x:v>37</x:v>
      </x:c>
      <x:c r="K69" s="38" t="n">
        <x:f>I69-J69</x:f>
        <x:v>251</x:v>
      </x:c>
      <x:c r="L69" s="38" t="n">
        <x:f>ROUND(INDEX('Balance Inputs'!$M$2:$M$51,MATCH(A69,'Balance Inputs'!$I$2:$I$51,0))*POWER(INDEX('Balance Inputs'!$E$2:$E$7,MATCH(C69,'Balance Inputs'!$A$2:$A$7,0)),F69-1),0)</x:f>
        <x:v>407</x:v>
      </x:c>
      <x:c r="M69" s="38" t="n">
        <x:f>ROUND(INDEX('Balance Inputs'!$N$2:$N$51,MATCH(A69,'Balance Inputs'!$I$2:$I$51,0))*POWER(INDEX('Balance Inputs'!$G$2:$G$7,MATCH(C69,'Balance Inputs'!$A$2:$A$7,0)),F69-1),0)</x:f>
        <x:v>56</x:v>
      </x:c>
      <x:c r="N69" s="38" t="n">
        <x:f>IF(A69&lt;&gt;A68,H69,N68+H69)</x:f>
        <x:v>3060</x:v>
      </x:c>
      <x:c r="O69" s="42" t="n">
        <x:f>IF(I69=0,0,H69/I69)</x:f>
        <x:v>10.625</x:v>
      </x:c>
      <x:c r="P69" s="43" t="n">
        <x:f>I69/INDEX('Balance Inputs'!$L$2:$L$51,MATCH(A69,'Balance Inputs'!$I$2:$I$51,0))</x:f>
        <x:v>1</x:v>
      </x:c>
      <x:c r="Q69" s="43" t="n">
        <x:f>L69/INDEX('Balance Inputs'!$M$2:$M$51,MATCH(A69,'Balance Inputs'!$I$2:$I$51,0))</x:f>
        <x:v>1</x:v>
      </x:c>
      <x:c r="R69" s="17"/>
      <x:c r="S69" s="17"/>
      <x:c r="T69" s="17"/>
      <x:c r="U69" s="17"/>
      <x:c r="V69" s="17"/>
      <x:c r="W69" s="17"/>
      <x:c r="X69" s="17"/>
      <x:c r="Y69" s="17"/>
      <x:c r="Z69" s="17"/>
    </x:row>
    <x:row r="70">
      <x:c r="A70" s="17" t="n">
        <x:v>12</x:v>
      </x:c>
      <x:c r="B70" s="17" t="str">
        <x:v>Small Brokerage Office</x:v>
      </x:c>
      <x:c r="C70" s="17" t="str">
        <x:v>Starter</x:v>
      </x:c>
      <x:c r="D70" s="17" t="str">
        <x:v>Uncommon</x:v>
      </x:c>
      <x:c r="E70" s="17" t="n">
        <x:v>12</x:v>
      </x:c>
      <x:c r="F70" s="17" t="n">
        <x:v>2</x:v>
      </x:c>
      <x:c r="G70" s="17" t="str">
        <x:v>Upgrade to Lv2</x:v>
      </x:c>
      <x:c r="H70" s="38" t="n">
        <x:f>ROUND(H69*INDEX('Balance Inputs'!$C$2:$C$7,MATCH(C70,'Balance Inputs'!$A$2:$A$7,0)),0)</x:f>
        <x:v>4835</x:v>
      </x:c>
      <x:c r="I70" s="38" t="n">
        <x:f>ROUND(INDEX('Balance Inputs'!$L$2:$L$51,MATCH(A70,'Balance Inputs'!$I$2:$I$51,0))*POWER(INDEX('Balance Inputs'!$D$2:$D$7,MATCH(C70,'Balance Inputs'!$A$2:$A$7,0)),F70-1),0)</x:f>
        <x:v>389</x:v>
      </x:c>
      <x:c r="J70" s="38" t="n">
        <x:f>ROUND(I70*INDEX('Balance Inputs'!$F$2:$F$7,MATCH(C70,'Balance Inputs'!$A$2:$A$7,0)),0)</x:f>
        <x:v>51</x:v>
      </x:c>
      <x:c r="K70" s="38" t="n">
        <x:f>I70-J70</x:f>
        <x:v>338</x:v>
      </x:c>
      <x:c r="L70" s="38" t="n">
        <x:f>ROUND(INDEX('Balance Inputs'!$M$2:$M$51,MATCH(A70,'Balance Inputs'!$I$2:$I$51,0))*POWER(INDEX('Balance Inputs'!$E$2:$E$7,MATCH(C70,'Balance Inputs'!$A$2:$A$7,0)),F70-1),0)</x:f>
        <x:v>541</x:v>
      </x:c>
      <x:c r="M70" s="38" t="n">
        <x:f>ROUND(INDEX('Balance Inputs'!$N$2:$N$51,MATCH(A70,'Balance Inputs'!$I$2:$I$51,0))*POWER(INDEX('Balance Inputs'!$G$2:$G$7,MATCH(C70,'Balance Inputs'!$A$2:$A$7,0)),F70-1),0)</x:f>
        <x:v>59</x:v>
      </x:c>
      <x:c r="N70" s="38" t="n">
        <x:f>IF(A70&lt;&gt;A69,H70,N69+H70)</x:f>
        <x:v>7895</x:v>
      </x:c>
      <x:c r="O70" s="42" t="n">
        <x:f>IF(I70=0,0,H70/I70)</x:f>
        <x:v>12.429305912596401</x:v>
      </x:c>
      <x:c r="P70" s="43" t="n">
        <x:f>I70/INDEX('Balance Inputs'!$L$2:$L$51,MATCH(A70,'Balance Inputs'!$I$2:$I$51,0))</x:f>
        <x:v>1.3506944444444444</x:v>
      </x:c>
      <x:c r="Q70" s="43" t="n">
        <x:f>L70/INDEX('Balance Inputs'!$M$2:$M$51,MATCH(A70,'Balance Inputs'!$I$2:$I$51,0))</x:f>
        <x:v>1.3292383292383292</x:v>
      </x:c>
      <x:c r="R70" s="17"/>
      <x:c r="S70" s="17"/>
      <x:c r="T70" s="17"/>
      <x:c r="U70" s="17"/>
      <x:c r="V70" s="17"/>
      <x:c r="W70" s="17"/>
      <x:c r="X70" s="17"/>
      <x:c r="Y70" s="17"/>
      <x:c r="Z70" s="17"/>
    </x:row>
    <x:row r="71">
      <x:c r="A71" s="17" t="n">
        <x:v>12</x:v>
      </x:c>
      <x:c r="B71" s="17" t="str">
        <x:v>Small Brokerage Office</x:v>
      </x:c>
      <x:c r="C71" s="17" t="str">
        <x:v>Starter</x:v>
      </x:c>
      <x:c r="D71" s="17" t="str">
        <x:v>Uncommon</x:v>
      </x:c>
      <x:c r="E71" s="17" t="n">
        <x:v>12</x:v>
      </x:c>
      <x:c r="F71" s="17" t="n">
        <x:v>3</x:v>
      </x:c>
      <x:c r="G71" s="17" t="str">
        <x:v>Upgrade to Lv3</x:v>
      </x:c>
      <x:c r="H71" s="38" t="n">
        <x:f>ROUND(H70*INDEX('Balance Inputs'!$C$2:$C$7,MATCH(C71,'Balance Inputs'!$A$2:$A$7,0)),0)</x:f>
        <x:v>7639</x:v>
      </x:c>
      <x:c r="I71" s="38" t="n">
        <x:f>ROUND(INDEX('Balance Inputs'!$L$2:$L$51,MATCH(A71,'Balance Inputs'!$I$2:$I$51,0))*POWER(INDEX('Balance Inputs'!$D$2:$D$7,MATCH(C71,'Balance Inputs'!$A$2:$A$7,0)),F71-1),0)</x:f>
        <x:v>525</x:v>
      </x:c>
      <x:c r="J71" s="38" t="n">
        <x:f>ROUND(I71*INDEX('Balance Inputs'!$F$2:$F$7,MATCH(C71,'Balance Inputs'!$A$2:$A$7,0)),0)</x:f>
        <x:v>68</x:v>
      </x:c>
      <x:c r="K71" s="38" t="n">
        <x:f>I71-J71</x:f>
        <x:v>457</x:v>
      </x:c>
      <x:c r="L71" s="38" t="n">
        <x:f>ROUND(INDEX('Balance Inputs'!$M$2:$M$51,MATCH(A71,'Balance Inputs'!$I$2:$I$51,0))*POWER(INDEX('Balance Inputs'!$E$2:$E$7,MATCH(C71,'Balance Inputs'!$A$2:$A$7,0)),F71-1),0)</x:f>
        <x:v>720</x:v>
      </x:c>
      <x:c r="M71" s="38" t="n">
        <x:f>ROUND(INDEX('Balance Inputs'!$N$2:$N$51,MATCH(A71,'Balance Inputs'!$I$2:$I$51,0))*POWER(INDEX('Balance Inputs'!$G$2:$G$7,MATCH(C71,'Balance Inputs'!$A$2:$A$7,0)),F71-1),0)</x:f>
        <x:v>62</x:v>
      </x:c>
      <x:c r="N71" s="38" t="n">
        <x:f>IF(A71&lt;&gt;A70,H71,N70+H71)</x:f>
        <x:v>15534</x:v>
      </x:c>
      <x:c r="O71" s="42" t="n">
        <x:f>IF(I71=0,0,H71/I71)</x:f>
        <x:v>14.550476190476191</x:v>
      </x:c>
      <x:c r="P71" s="43" t="n">
        <x:f>I71/INDEX('Balance Inputs'!$L$2:$L$51,MATCH(A71,'Balance Inputs'!$I$2:$I$51,0))</x:f>
        <x:v>1.8229166666666667</x:v>
      </x:c>
      <x:c r="Q71" s="43" t="n">
        <x:f>L71/INDEX('Balance Inputs'!$M$2:$M$51,MATCH(A71,'Balance Inputs'!$I$2:$I$51,0))</x:f>
        <x:v>1.769041769041769</x:v>
      </x:c>
      <x:c r="R71" s="17"/>
      <x:c r="S71" s="17"/>
      <x:c r="T71" s="17"/>
      <x:c r="U71" s="17"/>
      <x:c r="V71" s="17"/>
      <x:c r="W71" s="17"/>
      <x:c r="X71" s="17"/>
      <x:c r="Y71" s="17"/>
      <x:c r="Z71" s="17"/>
    </x:row>
    <x:row r="72">
      <x:c r="A72" s="17" t="n">
        <x:v>12</x:v>
      </x:c>
      <x:c r="B72" s="17" t="str">
        <x:v>Small Brokerage Office</x:v>
      </x:c>
      <x:c r="C72" s="17" t="str">
        <x:v>Starter</x:v>
      </x:c>
      <x:c r="D72" s="17" t="str">
        <x:v>Uncommon</x:v>
      </x:c>
      <x:c r="E72" s="17" t="n">
        <x:v>12</x:v>
      </x:c>
      <x:c r="F72" s="17" t="n">
        <x:v>4</x:v>
      </x:c>
      <x:c r="G72" s="17" t="str">
        <x:v>Upgrade to Lv4</x:v>
      </x:c>
      <x:c r="H72" s="38" t="n">
        <x:f>ROUND(H71*INDEX('Balance Inputs'!$C$2:$C$7,MATCH(C72,'Balance Inputs'!$A$2:$A$7,0)),0)</x:f>
        <x:v>12070</x:v>
      </x:c>
      <x:c r="I72" s="38" t="n">
        <x:f>ROUND(INDEX('Balance Inputs'!$L$2:$L$51,MATCH(A72,'Balance Inputs'!$I$2:$I$51,0))*POWER(INDEX('Balance Inputs'!$D$2:$D$7,MATCH(C72,'Balance Inputs'!$A$2:$A$7,0)),F72-1),0)</x:f>
        <x:v>709</x:v>
      </x:c>
      <x:c r="J72" s="38" t="n">
        <x:f>ROUND(I72*INDEX('Balance Inputs'!$F$2:$F$7,MATCH(C72,'Balance Inputs'!$A$2:$A$7,0)),0)</x:f>
        <x:v>92</x:v>
      </x:c>
      <x:c r="K72" s="38" t="n">
        <x:f>I72-J72</x:f>
        <x:v>617</x:v>
      </x:c>
      <x:c r="L72" s="38" t="n">
        <x:f>ROUND(INDEX('Balance Inputs'!$M$2:$M$51,MATCH(A72,'Balance Inputs'!$I$2:$I$51,0))*POWER(INDEX('Balance Inputs'!$E$2:$E$7,MATCH(C72,'Balance Inputs'!$A$2:$A$7,0)),F72-1),0)</x:f>
        <x:v>958</x:v>
      </x:c>
      <x:c r="M72" s="38" t="n">
        <x:f>ROUND(INDEX('Balance Inputs'!$N$2:$N$51,MATCH(A72,'Balance Inputs'!$I$2:$I$51,0))*POWER(INDEX('Balance Inputs'!$G$2:$G$7,MATCH(C72,'Balance Inputs'!$A$2:$A$7,0)),F72-1),0)</x:f>
        <x:v>65</x:v>
      </x:c>
      <x:c r="N72" s="38" t="n">
        <x:f>IF(A72&lt;&gt;A71,H72,N71+H72)</x:f>
        <x:v>27604</x:v>
      </x:c>
      <x:c r="O72" s="42" t="n">
        <x:f>IF(I72=0,0,H72/I72)</x:f>
        <x:v>17.02397743300423</x:v>
      </x:c>
      <x:c r="P72" s="43" t="n">
        <x:f>I72/INDEX('Balance Inputs'!$L$2:$L$51,MATCH(A72,'Balance Inputs'!$I$2:$I$51,0))</x:f>
        <x:v>2.4618055555555554</x:v>
      </x:c>
      <x:c r="Q72" s="43" t="n">
        <x:f>L72/INDEX('Balance Inputs'!$M$2:$M$51,MATCH(A72,'Balance Inputs'!$I$2:$I$51,0))</x:f>
        <x:v>2.3538083538083536</x:v>
      </x:c>
      <x:c r="R72" s="17"/>
      <x:c r="S72" s="17"/>
      <x:c r="T72" s="17"/>
      <x:c r="U72" s="17"/>
      <x:c r="V72" s="17"/>
      <x:c r="W72" s="17"/>
      <x:c r="X72" s="17"/>
      <x:c r="Y72" s="17"/>
      <x:c r="Z72" s="17"/>
    </x:row>
    <x:row r="73">
      <x:c r="A73" s="17" t="n">
        <x:v>12</x:v>
      </x:c>
      <x:c r="B73" s="17" t="str">
        <x:v>Small Brokerage Office</x:v>
      </x:c>
      <x:c r="C73" s="17" t="str">
        <x:v>Starter</x:v>
      </x:c>
      <x:c r="D73" s="17" t="str">
        <x:v>Uncommon</x:v>
      </x:c>
      <x:c r="E73" s="17" t="n">
        <x:v>12</x:v>
      </x:c>
      <x:c r="F73" s="17" t="n">
        <x:v>5</x:v>
      </x:c>
      <x:c r="G73" s="17" t="str">
        <x:v>Upgrade to Lv5</x:v>
      </x:c>
      <x:c r="H73" s="38" t="n">
        <x:f>ROUND(H72*INDEX('Balance Inputs'!$C$2:$C$7,MATCH(C73,'Balance Inputs'!$A$2:$A$7,0)),0)</x:f>
        <x:v>19071</x:v>
      </x:c>
      <x:c r="I73" s="38" t="n">
        <x:f>ROUND(INDEX('Balance Inputs'!$L$2:$L$51,MATCH(A73,'Balance Inputs'!$I$2:$I$51,0))*POWER(INDEX('Balance Inputs'!$D$2:$D$7,MATCH(C73,'Balance Inputs'!$A$2:$A$7,0)),F73-1),0)</x:f>
        <x:v>957</x:v>
      </x:c>
      <x:c r="J73" s="38" t="n">
        <x:f>ROUND(I73*INDEX('Balance Inputs'!$F$2:$F$7,MATCH(C73,'Balance Inputs'!$A$2:$A$7,0)),0)</x:f>
        <x:v>124</x:v>
      </x:c>
      <x:c r="K73" s="38" t="n">
        <x:f>I73-J73</x:f>
        <x:v>833</x:v>
      </x:c>
      <x:c r="L73" s="38" t="n">
        <x:f>ROUND(INDEX('Balance Inputs'!$M$2:$M$51,MATCH(A73,'Balance Inputs'!$I$2:$I$51,0))*POWER(INDEX('Balance Inputs'!$E$2:$E$7,MATCH(C73,'Balance Inputs'!$A$2:$A$7,0)),F73-1),0)</x:f>
        <x:v>1274</x:v>
      </x:c>
      <x:c r="M73" s="38" t="n">
        <x:f>ROUND(INDEX('Balance Inputs'!$N$2:$N$51,MATCH(A73,'Balance Inputs'!$I$2:$I$51,0))*POWER(INDEX('Balance Inputs'!$G$2:$G$7,MATCH(C73,'Balance Inputs'!$A$2:$A$7,0)),F73-1),0)</x:f>
        <x:v>68</x:v>
      </x:c>
      <x:c r="N73" s="38" t="n">
        <x:f>IF(A73&lt;&gt;A72,H73,N72+H73)</x:f>
        <x:v>46675</x:v>
      </x:c>
      <x:c r="O73" s="42" t="n">
        <x:f>IF(I73=0,0,H73/I73)</x:f>
        <x:v>19.927899686520377</x:v>
      </x:c>
      <x:c r="P73" s="43" t="n">
        <x:f>I73/INDEX('Balance Inputs'!$L$2:$L$51,MATCH(A73,'Balance Inputs'!$I$2:$I$51,0))</x:f>
        <x:v>3.3229166666666665</x:v>
      </x:c>
      <x:c r="Q73" s="43" t="n">
        <x:f>L73/INDEX('Balance Inputs'!$M$2:$M$51,MATCH(A73,'Balance Inputs'!$I$2:$I$51,0))</x:f>
        <x:v>3.13022113022113</x:v>
      </x:c>
      <x:c r="R73" s="17"/>
      <x:c r="S73" s="17"/>
      <x:c r="T73" s="17"/>
      <x:c r="U73" s="17"/>
      <x:c r="V73" s="17"/>
      <x:c r="W73" s="17"/>
      <x:c r="X73" s="17"/>
      <x:c r="Y73" s="17"/>
      <x:c r="Z73" s="17"/>
    </x:row>
    <x:row r="74">
      <x:c r="A74" s="17" t="n">
        <x:v>12</x:v>
      </x:c>
      <x:c r="B74" s="17" t="str">
        <x:v>Small Brokerage Office</x:v>
      </x:c>
      <x:c r="C74" s="17" t="str">
        <x:v>Starter</x:v>
      </x:c>
      <x:c r="D74" s="17" t="str">
        <x:v>Uncommon</x:v>
      </x:c>
      <x:c r="E74" s="17" t="n">
        <x:v>12</x:v>
      </x:c>
      <x:c r="F74" s="17" t="n">
        <x:v>6</x:v>
      </x:c>
      <x:c r="G74" s="17" t="str">
        <x:v>Upgrade to Lv6</x:v>
      </x:c>
      <x:c r="H74" s="38" t="n">
        <x:f>ROUND(H73*INDEX('Balance Inputs'!$C$2:$C$7,MATCH(C74,'Balance Inputs'!$A$2:$A$7,0)),0)</x:f>
        <x:v>30132</x:v>
      </x:c>
      <x:c r="I74" s="38" t="n">
        <x:f>ROUND(INDEX('Balance Inputs'!$L$2:$L$51,MATCH(A74,'Balance Inputs'!$I$2:$I$51,0))*POWER(INDEX('Balance Inputs'!$D$2:$D$7,MATCH(C74,'Balance Inputs'!$A$2:$A$7,0)),F74-1),0)</x:f>
        <x:v>1291</x:v>
      </x:c>
      <x:c r="J74" s="38" t="n">
        <x:f>ROUND(I74*INDEX('Balance Inputs'!$F$2:$F$7,MATCH(C74,'Balance Inputs'!$A$2:$A$7,0)),0)</x:f>
        <x:v>168</x:v>
      </x:c>
      <x:c r="K74" s="38" t="n">
        <x:f>I74-J74</x:f>
        <x:v>1123</x:v>
      </x:c>
      <x:c r="L74" s="38" t="n">
        <x:f>ROUND(INDEX('Balance Inputs'!$M$2:$M$51,MATCH(A74,'Balance Inputs'!$I$2:$I$51,0))*POWER(INDEX('Balance Inputs'!$E$2:$E$7,MATCH(C74,'Balance Inputs'!$A$2:$A$7,0)),F74-1),0)</x:f>
        <x:v>1694</x:v>
      </x:c>
      <x:c r="M74" s="38" t="n">
        <x:f>ROUND(INDEX('Balance Inputs'!$N$2:$N$51,MATCH(A74,'Balance Inputs'!$I$2:$I$51,0))*POWER(INDEX('Balance Inputs'!$G$2:$G$7,MATCH(C74,'Balance Inputs'!$A$2:$A$7,0)),F74-1),0)</x:f>
        <x:v>71</x:v>
      </x:c>
      <x:c r="N74" s="38" t="n">
        <x:f>IF(A74&lt;&gt;A73,H74,N73+H74)</x:f>
        <x:v>76807</x:v>
      </x:c>
      <x:c r="O74" s="42" t="n">
        <x:f>IF(I74=0,0,H74/I74)</x:f>
        <x:v>23.34004647560031</x:v>
      </x:c>
      <x:c r="P74" s="43" t="n">
        <x:f>I74/INDEX('Balance Inputs'!$L$2:$L$51,MATCH(A74,'Balance Inputs'!$I$2:$I$51,0))</x:f>
        <x:v>4.482638888888889</x:v>
      </x:c>
      <x:c r="Q74" s="43" t="n">
        <x:f>L74/INDEX('Balance Inputs'!$M$2:$M$51,MATCH(A74,'Balance Inputs'!$I$2:$I$51,0))</x:f>
        <x:v>4.162162162162162</x:v>
      </x:c>
      <x:c r="R74" s="17"/>
      <x:c r="S74" s="17"/>
      <x:c r="T74" s="17"/>
      <x:c r="U74" s="17"/>
      <x:c r="V74" s="17"/>
      <x:c r="W74" s="17"/>
      <x:c r="X74" s="17"/>
      <x:c r="Y74" s="17"/>
      <x:c r="Z74" s="17"/>
    </x:row>
    <x:row r="75">
      <x:c r="A75" s="17" t="n">
        <x:v>12</x:v>
      </x:c>
      <x:c r="B75" s="17" t="str">
        <x:v>Small Brokerage Office</x:v>
      </x:c>
      <x:c r="C75" s="17" t="str">
        <x:v>Starter</x:v>
      </x:c>
      <x:c r="D75" s="17" t="str">
        <x:v>Uncommon</x:v>
      </x:c>
      <x:c r="E75" s="17" t="n">
        <x:v>12</x:v>
      </x:c>
      <x:c r="F75" s="17" t="n">
        <x:v>7</x:v>
      </x:c>
      <x:c r="G75" s="17" t="str">
        <x:v>Upgrade to Lv7</x:v>
      </x:c>
      <x:c r="H75" s="38" t="n">
        <x:f>ROUND(H74*INDEX('Balance Inputs'!$C$2:$C$7,MATCH(C75,'Balance Inputs'!$A$2:$A$7,0)),0)</x:f>
        <x:v>47609</x:v>
      </x:c>
      <x:c r="I75" s="38" t="n">
        <x:f>ROUND(INDEX('Balance Inputs'!$L$2:$L$51,MATCH(A75,'Balance Inputs'!$I$2:$I$51,0))*POWER(INDEX('Balance Inputs'!$D$2:$D$7,MATCH(C75,'Balance Inputs'!$A$2:$A$7,0)),F75-1),0)</x:f>
        <x:v>1743</x:v>
      </x:c>
      <x:c r="J75" s="38" t="n">
        <x:f>ROUND(I75*INDEX('Balance Inputs'!$F$2:$F$7,MATCH(C75,'Balance Inputs'!$A$2:$A$7,0)),0)</x:f>
        <x:v>227</x:v>
      </x:c>
      <x:c r="K75" s="38" t="n">
        <x:f>I75-J75</x:f>
        <x:v>1516</x:v>
      </x:c>
      <x:c r="L75" s="38" t="n">
        <x:f>ROUND(INDEX('Balance Inputs'!$M$2:$M$51,MATCH(A75,'Balance Inputs'!$I$2:$I$51,0))*POWER(INDEX('Balance Inputs'!$E$2:$E$7,MATCH(C75,'Balance Inputs'!$A$2:$A$7,0)),F75-1),0)</x:f>
        <x:v>2253</x:v>
      </x:c>
      <x:c r="M75" s="38" t="n">
        <x:f>ROUND(INDEX('Balance Inputs'!$N$2:$N$51,MATCH(A75,'Balance Inputs'!$I$2:$I$51,0))*POWER(INDEX('Balance Inputs'!$G$2:$G$7,MATCH(C75,'Balance Inputs'!$A$2:$A$7,0)),F75-1),0)</x:f>
        <x:v>75</x:v>
      </x:c>
      <x:c r="N75" s="38" t="n">
        <x:f>IF(A75&lt;&gt;A74,H75,N74+H75)</x:f>
        <x:v>124416</x:v>
      </x:c>
      <x:c r="O75" s="42" t="n">
        <x:f>IF(I75=0,0,H75/I75)</x:f>
        <x:v>27.31440045897877</x:v>
      </x:c>
      <x:c r="P75" s="43" t="n">
        <x:f>I75/INDEX('Balance Inputs'!$L$2:$L$51,MATCH(A75,'Balance Inputs'!$I$2:$I$51,0))</x:f>
        <x:v>6.052083333333333</x:v>
      </x:c>
      <x:c r="Q75" s="43" t="n">
        <x:f>L75/INDEX('Balance Inputs'!$M$2:$M$51,MATCH(A75,'Balance Inputs'!$I$2:$I$51,0))</x:f>
        <x:v>5.535626535626536</x:v>
      </x:c>
      <x:c r="R75" s="17"/>
      <x:c r="S75" s="17"/>
      <x:c r="T75" s="17"/>
      <x:c r="U75" s="17"/>
      <x:c r="V75" s="17"/>
      <x:c r="W75" s="17"/>
      <x:c r="X75" s="17"/>
      <x:c r="Y75" s="17"/>
      <x:c r="Z75" s="17"/>
    </x:row>
    <x:row r="76">
      <x:c r="A76" s="17" t="n">
        <x:v>13</x:v>
      </x:c>
      <x:c r="B76" s="17" t="str">
        <x:v>Local Savings Office</x:v>
      </x:c>
      <x:c r="C76" s="17" t="str">
        <x:v>Starter</x:v>
      </x:c>
      <x:c r="D76" s="17" t="str">
        <x:v>Uncommon</x:v>
      </x:c>
      <x:c r="E76" s="17" t="n">
        <x:v>13</x:v>
      </x:c>
      <x:c r="F76" s="17" t="n">
        <x:v>1</x:v>
      </x:c>
      <x:c r="G76" s="17" t="str">
        <x:v>Build</x:v>
      </x:c>
      <x:c r="H76" s="38" t="n">
        <x:f>INDEX('Balance Inputs'!$K$2:$K$51,MATCH(A76,'Balance Inputs'!$I$2:$I$51,0))</x:f>
        <x:v>3780</x:v>
      </x:c>
      <x:c r="I76" s="38" t="n">
        <x:f>ROUND(INDEX('Balance Inputs'!$L$2:$L$51,MATCH(A76,'Balance Inputs'!$I$2:$I$51,0))*POWER(INDEX('Balance Inputs'!$D$2:$D$7,MATCH(C76,'Balance Inputs'!$A$2:$A$7,0)),F76-1),0)</x:f>
        <x:v>330</x:v>
      </x:c>
      <x:c r="J76" s="38" t="n">
        <x:f>ROUND(I76*INDEX('Balance Inputs'!$F$2:$F$7,MATCH(C76,'Balance Inputs'!$A$2:$A$7,0)),0)</x:f>
        <x:v>43</x:v>
      </x:c>
      <x:c r="K76" s="38" t="n">
        <x:f>I76-J76</x:f>
        <x:v>287</x:v>
      </x:c>
      <x:c r="L76" s="38" t="n">
        <x:f>ROUND(INDEX('Balance Inputs'!$M$2:$M$51,MATCH(A76,'Balance Inputs'!$I$2:$I$51,0))*POWER(INDEX('Balance Inputs'!$E$2:$E$7,MATCH(C76,'Balance Inputs'!$A$2:$A$7,0)),F76-1),0)</x:f>
        <x:v>484</x:v>
      </x:c>
      <x:c r="M76" s="38" t="n">
        <x:f>ROUND(INDEX('Balance Inputs'!$N$2:$N$51,MATCH(A76,'Balance Inputs'!$I$2:$I$51,0))*POWER(INDEX('Balance Inputs'!$G$2:$G$7,MATCH(C76,'Balance Inputs'!$A$2:$A$7,0)),F76-1),0)</x:f>
        <x:v>58</x:v>
      </x:c>
      <x:c r="N76" s="38" t="n">
        <x:f>IF(A76&lt;&gt;A75,H76,N75+H76)</x:f>
        <x:v>3780</x:v>
      </x:c>
      <x:c r="O76" s="42" t="n">
        <x:f>IF(I76=0,0,H76/I76)</x:f>
        <x:v>11.454545454545455</x:v>
      </x:c>
      <x:c r="P76" s="43" t="n">
        <x:f>I76/INDEX('Balance Inputs'!$L$2:$L$51,MATCH(A76,'Balance Inputs'!$I$2:$I$51,0))</x:f>
        <x:v>1</x:v>
      </x:c>
      <x:c r="Q76" s="43" t="n">
        <x:f>L76/INDEX('Balance Inputs'!$M$2:$M$51,MATCH(A76,'Balance Inputs'!$I$2:$I$51,0))</x:f>
        <x:v>1</x:v>
      </x:c>
      <x:c r="R76" s="17"/>
      <x:c r="S76" s="17"/>
      <x:c r="T76" s="17"/>
      <x:c r="U76" s="17"/>
      <x:c r="V76" s="17"/>
      <x:c r="W76" s="17"/>
      <x:c r="X76" s="17"/>
      <x:c r="Y76" s="17"/>
      <x:c r="Z76" s="17"/>
    </x:row>
    <x:row r="77">
      <x:c r="A77" s="17" t="n">
        <x:v>13</x:v>
      </x:c>
      <x:c r="B77" s="17" t="str">
        <x:v>Local Savings Office</x:v>
      </x:c>
      <x:c r="C77" s="17" t="str">
        <x:v>Starter</x:v>
      </x:c>
      <x:c r="D77" s="17" t="str">
        <x:v>Uncommon</x:v>
      </x:c>
      <x:c r="E77" s="17" t="n">
        <x:v>13</x:v>
      </x:c>
      <x:c r="F77" s="17" t="n">
        <x:v>2</x:v>
      </x:c>
      <x:c r="G77" s="17" t="str">
        <x:v>Upgrade to Lv2</x:v>
      </x:c>
      <x:c r="H77" s="38" t="n">
        <x:f>ROUND(H76*INDEX('Balance Inputs'!$C$2:$C$7,MATCH(C77,'Balance Inputs'!$A$2:$A$7,0)),0)</x:f>
        <x:v>5972</x:v>
      </x:c>
      <x:c r="I77" s="38" t="n">
        <x:f>ROUND(INDEX('Balance Inputs'!$L$2:$L$51,MATCH(A77,'Balance Inputs'!$I$2:$I$51,0))*POWER(INDEX('Balance Inputs'!$D$2:$D$7,MATCH(C77,'Balance Inputs'!$A$2:$A$7,0)),F77-1),0)</x:f>
        <x:v>446</x:v>
      </x:c>
      <x:c r="J77" s="38" t="n">
        <x:f>ROUND(I77*INDEX('Balance Inputs'!$F$2:$F$7,MATCH(C77,'Balance Inputs'!$A$2:$A$7,0)),0)</x:f>
        <x:v>58</x:v>
      </x:c>
      <x:c r="K77" s="38" t="n">
        <x:f>I77-J77</x:f>
        <x:v>388</x:v>
      </x:c>
      <x:c r="L77" s="38" t="n">
        <x:f>ROUND(INDEX('Balance Inputs'!$M$2:$M$51,MATCH(A77,'Balance Inputs'!$I$2:$I$51,0))*POWER(INDEX('Balance Inputs'!$E$2:$E$7,MATCH(C77,'Balance Inputs'!$A$2:$A$7,0)),F77-1),0)</x:f>
        <x:v>644</x:v>
      </x:c>
      <x:c r="M77" s="38" t="n">
        <x:f>ROUND(INDEX('Balance Inputs'!$N$2:$N$51,MATCH(A77,'Balance Inputs'!$I$2:$I$51,0))*POWER(INDEX('Balance Inputs'!$G$2:$G$7,MATCH(C77,'Balance Inputs'!$A$2:$A$7,0)),F77-1),0)</x:f>
        <x:v>61</x:v>
      </x:c>
      <x:c r="N77" s="38" t="n">
        <x:f>IF(A77&lt;&gt;A76,H77,N76+H77)</x:f>
        <x:v>9752</x:v>
      </x:c>
      <x:c r="O77" s="42" t="n">
        <x:f>IF(I77=0,0,H77/I77)</x:f>
        <x:v>13.390134529147982</x:v>
      </x:c>
      <x:c r="P77" s="43" t="n">
        <x:f>I77/INDEX('Balance Inputs'!$L$2:$L$51,MATCH(A77,'Balance Inputs'!$I$2:$I$51,0))</x:f>
        <x:v>1.3515151515151516</x:v>
      </x:c>
      <x:c r="Q77" s="43" t="n">
        <x:f>L77/INDEX('Balance Inputs'!$M$2:$M$51,MATCH(A77,'Balance Inputs'!$I$2:$I$51,0))</x:f>
        <x:v>1.3305785123966942</x:v>
      </x:c>
      <x:c r="R77" s="17"/>
      <x:c r="S77" s="17"/>
      <x:c r="T77" s="17"/>
      <x:c r="U77" s="17"/>
      <x:c r="V77" s="17"/>
      <x:c r="W77" s="17"/>
      <x:c r="X77" s="17"/>
      <x:c r="Y77" s="17"/>
      <x:c r="Z77" s="17"/>
    </x:row>
    <x:row r="78">
      <x:c r="A78" s="17" t="n">
        <x:v>13</x:v>
      </x:c>
      <x:c r="B78" s="17" t="str">
        <x:v>Local Savings Office</x:v>
      </x:c>
      <x:c r="C78" s="17" t="str">
        <x:v>Starter</x:v>
      </x:c>
      <x:c r="D78" s="17" t="str">
        <x:v>Uncommon</x:v>
      </x:c>
      <x:c r="E78" s="17" t="n">
        <x:v>13</x:v>
      </x:c>
      <x:c r="F78" s="17" t="n">
        <x:v>3</x:v>
      </x:c>
      <x:c r="G78" s="17" t="str">
        <x:v>Upgrade to Lv3</x:v>
      </x:c>
      <x:c r="H78" s="38" t="n">
        <x:f>ROUND(H77*INDEX('Balance Inputs'!$C$2:$C$7,MATCH(C78,'Balance Inputs'!$A$2:$A$7,0)),0)</x:f>
        <x:v>9436</x:v>
      </x:c>
      <x:c r="I78" s="38" t="n">
        <x:f>ROUND(INDEX('Balance Inputs'!$L$2:$L$51,MATCH(A78,'Balance Inputs'!$I$2:$I$51,0))*POWER(INDEX('Balance Inputs'!$D$2:$D$7,MATCH(C78,'Balance Inputs'!$A$2:$A$7,0)),F78-1),0)</x:f>
        <x:v>601</x:v>
      </x:c>
      <x:c r="J78" s="38" t="n">
        <x:f>ROUND(I78*INDEX('Balance Inputs'!$F$2:$F$7,MATCH(C78,'Balance Inputs'!$A$2:$A$7,0)),0)</x:f>
        <x:v>78</x:v>
      </x:c>
      <x:c r="K78" s="38" t="n">
        <x:f>I78-J78</x:f>
        <x:v>523</x:v>
      </x:c>
      <x:c r="L78" s="38" t="n">
        <x:f>ROUND(INDEX('Balance Inputs'!$M$2:$M$51,MATCH(A78,'Balance Inputs'!$I$2:$I$51,0))*POWER(INDEX('Balance Inputs'!$E$2:$E$7,MATCH(C78,'Balance Inputs'!$A$2:$A$7,0)),F78-1),0)</x:f>
        <x:v>856</x:v>
      </x:c>
      <x:c r="M78" s="38" t="n">
        <x:f>ROUND(INDEX('Balance Inputs'!$N$2:$N$51,MATCH(A78,'Balance Inputs'!$I$2:$I$51,0))*POWER(INDEX('Balance Inputs'!$G$2:$G$7,MATCH(C78,'Balance Inputs'!$A$2:$A$7,0)),F78-1),0)</x:f>
        <x:v>64</x:v>
      </x:c>
      <x:c r="N78" s="38" t="n">
        <x:f>IF(A78&lt;&gt;A77,H78,N77+H78)</x:f>
        <x:v>19188</x:v>
      </x:c>
      <x:c r="O78" s="42" t="n">
        <x:f>IF(I78=0,0,H78/I78)</x:f>
        <x:v>15.700499168053245</x:v>
      </x:c>
      <x:c r="P78" s="43" t="n">
        <x:f>I78/INDEX('Balance Inputs'!$L$2:$L$51,MATCH(A78,'Balance Inputs'!$I$2:$I$51,0))</x:f>
        <x:v>1.8212121212121213</x:v>
      </x:c>
      <x:c r="Q78" s="43" t="n">
        <x:f>L78/INDEX('Balance Inputs'!$M$2:$M$51,MATCH(A78,'Balance Inputs'!$I$2:$I$51,0))</x:f>
        <x:v>1.7685950413223142</x:v>
      </x:c>
      <x:c r="R78" s="17"/>
      <x:c r="S78" s="17"/>
      <x:c r="T78" s="17"/>
      <x:c r="U78" s="17"/>
      <x:c r="V78" s="17"/>
      <x:c r="W78" s="17"/>
      <x:c r="X78" s="17"/>
      <x:c r="Y78" s="17"/>
      <x:c r="Z78" s="17"/>
    </x:row>
    <x:row r="79">
      <x:c r="A79" s="17" t="n">
        <x:v>13</x:v>
      </x:c>
      <x:c r="B79" s="17" t="str">
        <x:v>Local Savings Office</x:v>
      </x:c>
      <x:c r="C79" s="17" t="str">
        <x:v>Starter</x:v>
      </x:c>
      <x:c r="D79" s="17" t="str">
        <x:v>Uncommon</x:v>
      </x:c>
      <x:c r="E79" s="17" t="n">
        <x:v>13</x:v>
      </x:c>
      <x:c r="F79" s="17" t="n">
        <x:v>4</x:v>
      </x:c>
      <x:c r="G79" s="17" t="str">
        <x:v>Upgrade to Lv4</x:v>
      </x:c>
      <x:c r="H79" s="38" t="n">
        <x:f>ROUND(H78*INDEX('Balance Inputs'!$C$2:$C$7,MATCH(C79,'Balance Inputs'!$A$2:$A$7,0)),0)</x:f>
        <x:v>14909</x:v>
      </x:c>
      <x:c r="I79" s="38" t="n">
        <x:f>ROUND(INDEX('Balance Inputs'!$L$2:$L$51,MATCH(A79,'Balance Inputs'!$I$2:$I$51,0))*POWER(INDEX('Balance Inputs'!$D$2:$D$7,MATCH(C79,'Balance Inputs'!$A$2:$A$7,0)),F79-1),0)</x:f>
        <x:v>812</x:v>
      </x:c>
      <x:c r="J79" s="38" t="n">
        <x:f>ROUND(I79*INDEX('Balance Inputs'!$F$2:$F$7,MATCH(C79,'Balance Inputs'!$A$2:$A$7,0)),0)</x:f>
        <x:v>106</x:v>
      </x:c>
      <x:c r="K79" s="38" t="n">
        <x:f>I79-J79</x:f>
        <x:v>706</x:v>
      </x:c>
      <x:c r="L79" s="38" t="n">
        <x:f>ROUND(INDEX('Balance Inputs'!$M$2:$M$51,MATCH(A79,'Balance Inputs'!$I$2:$I$51,0))*POWER(INDEX('Balance Inputs'!$E$2:$E$7,MATCH(C79,'Balance Inputs'!$A$2:$A$7,0)),F79-1),0)</x:f>
        <x:v>1139</x:v>
      </x:c>
      <x:c r="M79" s="38" t="n">
        <x:f>ROUND(INDEX('Balance Inputs'!$N$2:$N$51,MATCH(A79,'Balance Inputs'!$I$2:$I$51,0))*POWER(INDEX('Balance Inputs'!$G$2:$G$7,MATCH(C79,'Balance Inputs'!$A$2:$A$7,0)),F79-1),0)</x:f>
        <x:v>67</x:v>
      </x:c>
      <x:c r="N79" s="38" t="n">
        <x:f>IF(A79&lt;&gt;A78,H79,N78+H79)</x:f>
        <x:v>34097</x:v>
      </x:c>
      <x:c r="O79" s="42" t="n">
        <x:f>IF(I79=0,0,H79/I79)</x:f>
        <x:v>18.360837438423644</x:v>
      </x:c>
      <x:c r="P79" s="43" t="n">
        <x:f>I79/INDEX('Balance Inputs'!$L$2:$L$51,MATCH(A79,'Balance Inputs'!$I$2:$I$51,0))</x:f>
        <x:v>2.4606060606060605</x:v>
      </x:c>
      <x:c r="Q79" s="43" t="n">
        <x:f>L79/INDEX('Balance Inputs'!$M$2:$M$51,MATCH(A79,'Balance Inputs'!$I$2:$I$51,0))</x:f>
        <x:v>2.353305785123967</x:v>
      </x:c>
      <x:c r="R79" s="17"/>
      <x:c r="S79" s="17"/>
      <x:c r="T79" s="17"/>
      <x:c r="U79" s="17"/>
      <x:c r="V79" s="17"/>
      <x:c r="W79" s="17"/>
      <x:c r="X79" s="17"/>
      <x:c r="Y79" s="17"/>
      <x:c r="Z79" s="17"/>
    </x:row>
    <x:row r="80">
      <x:c r="A80" s="17" t="n">
        <x:v>13</x:v>
      </x:c>
      <x:c r="B80" s="17" t="str">
        <x:v>Local Savings Office</x:v>
      </x:c>
      <x:c r="C80" s="17" t="str">
        <x:v>Starter</x:v>
      </x:c>
      <x:c r="D80" s="17" t="str">
        <x:v>Uncommon</x:v>
      </x:c>
      <x:c r="E80" s="17" t="n">
        <x:v>13</x:v>
      </x:c>
      <x:c r="F80" s="17" t="n">
        <x:v>5</x:v>
      </x:c>
      <x:c r="G80" s="17" t="str">
        <x:v>Upgrade to Lv5</x:v>
      </x:c>
      <x:c r="H80" s="38" t="n">
        <x:f>ROUND(H79*INDEX('Balance Inputs'!$C$2:$C$7,MATCH(C80,'Balance Inputs'!$A$2:$A$7,0)),0)</x:f>
        <x:v>23556</x:v>
      </x:c>
      <x:c r="I80" s="38" t="n">
        <x:f>ROUND(INDEX('Balance Inputs'!$L$2:$L$51,MATCH(A80,'Balance Inputs'!$I$2:$I$51,0))*POWER(INDEX('Balance Inputs'!$D$2:$D$7,MATCH(C80,'Balance Inputs'!$A$2:$A$7,0)),F80-1),0)</x:f>
        <x:v>1096</x:v>
      </x:c>
      <x:c r="J80" s="38" t="n">
        <x:f>ROUND(I80*INDEX('Balance Inputs'!$F$2:$F$7,MATCH(C80,'Balance Inputs'!$A$2:$A$7,0)),0)</x:f>
        <x:v>142</x:v>
      </x:c>
      <x:c r="K80" s="38" t="n">
        <x:f>I80-J80</x:f>
        <x:v>954</x:v>
      </x:c>
      <x:c r="L80" s="38" t="n">
        <x:f>ROUND(INDEX('Balance Inputs'!$M$2:$M$51,MATCH(A80,'Balance Inputs'!$I$2:$I$51,0))*POWER(INDEX('Balance Inputs'!$E$2:$E$7,MATCH(C80,'Balance Inputs'!$A$2:$A$7,0)),F80-1),0)</x:f>
        <x:v>1514</x:v>
      </x:c>
      <x:c r="M80" s="38" t="n">
        <x:f>ROUND(INDEX('Balance Inputs'!$N$2:$N$51,MATCH(A80,'Balance Inputs'!$I$2:$I$51,0))*POWER(INDEX('Balance Inputs'!$G$2:$G$7,MATCH(C80,'Balance Inputs'!$A$2:$A$7,0)),F80-1),0)</x:f>
        <x:v>70</x:v>
      </x:c>
      <x:c r="N80" s="38" t="n">
        <x:f>IF(A80&lt;&gt;A79,H80,N79+H80)</x:f>
        <x:v>57653</x:v>
      </x:c>
      <x:c r="O80" s="42" t="n">
        <x:f>IF(I80=0,0,H80/I80)</x:f>
        <x:v>21.49270072992701</x:v>
      </x:c>
      <x:c r="P80" s="43" t="n">
        <x:f>I80/INDEX('Balance Inputs'!$L$2:$L$51,MATCH(A80,'Balance Inputs'!$I$2:$I$51,0))</x:f>
        <x:v>3.3212121212121213</x:v>
      </x:c>
      <x:c r="Q80" s="43" t="n">
        <x:f>L80/INDEX('Balance Inputs'!$M$2:$M$51,MATCH(A80,'Balance Inputs'!$I$2:$I$51,0))</x:f>
        <x:v>3.128099173553719</x:v>
      </x:c>
      <x:c r="R80" s="17"/>
      <x:c r="S80" s="17"/>
      <x:c r="T80" s="17"/>
      <x:c r="U80" s="17"/>
      <x:c r="V80" s="17"/>
      <x:c r="W80" s="17"/>
      <x:c r="X80" s="17"/>
      <x:c r="Y80" s="17"/>
      <x:c r="Z80" s="17"/>
    </x:row>
    <x:row r="81">
      <x:c r="A81" s="17" t="n">
        <x:v>13</x:v>
      </x:c>
      <x:c r="B81" s="17" t="str">
        <x:v>Local Savings Office</x:v>
      </x:c>
      <x:c r="C81" s="17" t="str">
        <x:v>Starter</x:v>
      </x:c>
      <x:c r="D81" s="17" t="str">
        <x:v>Uncommon</x:v>
      </x:c>
      <x:c r="E81" s="17" t="n">
        <x:v>13</x:v>
      </x:c>
      <x:c r="F81" s="17" t="n">
        <x:v>6</x:v>
      </x:c>
      <x:c r="G81" s="17" t="str">
        <x:v>Upgrade to Lv6</x:v>
      </x:c>
      <x:c r="H81" s="38" t="n">
        <x:f>ROUND(H80*INDEX('Balance Inputs'!$C$2:$C$7,MATCH(C81,'Balance Inputs'!$A$2:$A$7,0)),0)</x:f>
        <x:v>37218</x:v>
      </x:c>
      <x:c r="I81" s="38" t="n">
        <x:f>ROUND(INDEX('Balance Inputs'!$L$2:$L$51,MATCH(A81,'Balance Inputs'!$I$2:$I$51,0))*POWER(INDEX('Balance Inputs'!$D$2:$D$7,MATCH(C81,'Balance Inputs'!$A$2:$A$7,0)),F81-1),0)</x:f>
        <x:v>1480</x:v>
      </x:c>
      <x:c r="J81" s="38" t="n">
        <x:f>ROUND(I81*INDEX('Balance Inputs'!$F$2:$F$7,MATCH(C81,'Balance Inputs'!$A$2:$A$7,0)),0)</x:f>
        <x:v>192</x:v>
      </x:c>
      <x:c r="K81" s="38" t="n">
        <x:f>I81-J81</x:f>
        <x:v>1288</x:v>
      </x:c>
      <x:c r="L81" s="38" t="n">
        <x:f>ROUND(INDEX('Balance Inputs'!$M$2:$M$51,MATCH(A81,'Balance Inputs'!$I$2:$I$51,0))*POWER(INDEX('Balance Inputs'!$E$2:$E$7,MATCH(C81,'Balance Inputs'!$A$2:$A$7,0)),F81-1),0)</x:f>
        <x:v>2014</x:v>
      </x:c>
      <x:c r="M81" s="38" t="n">
        <x:f>ROUND(INDEX('Balance Inputs'!$N$2:$N$51,MATCH(A81,'Balance Inputs'!$I$2:$I$51,0))*POWER(INDEX('Balance Inputs'!$G$2:$G$7,MATCH(C81,'Balance Inputs'!$A$2:$A$7,0)),F81-1),0)</x:f>
        <x:v>74</x:v>
      </x:c>
      <x:c r="N81" s="38" t="n">
        <x:f>IF(A81&lt;&gt;A80,H81,N80+H81)</x:f>
        <x:v>94871</x:v>
      </x:c>
      <x:c r="O81" s="42" t="n">
        <x:f>IF(I81=0,0,H81/I81)</x:f>
        <x:v>25.147297297297296</x:v>
      </x:c>
      <x:c r="P81" s="43" t="n">
        <x:f>I81/INDEX('Balance Inputs'!$L$2:$L$51,MATCH(A81,'Balance Inputs'!$I$2:$I$51,0))</x:f>
        <x:v>4.484848484848484</x:v>
      </x:c>
      <x:c r="Q81" s="43" t="n">
        <x:f>L81/INDEX('Balance Inputs'!$M$2:$M$51,MATCH(A81,'Balance Inputs'!$I$2:$I$51,0))</x:f>
        <x:v>4.161157024793388</x:v>
      </x:c>
      <x:c r="R81" s="17"/>
      <x:c r="S81" s="17"/>
      <x:c r="T81" s="17"/>
      <x:c r="U81" s="17"/>
      <x:c r="V81" s="17"/>
      <x:c r="W81" s="17"/>
      <x:c r="X81" s="17"/>
      <x:c r="Y81" s="17"/>
      <x:c r="Z81" s="17"/>
    </x:row>
    <x:row r="82">
      <x:c r="A82" s="17" t="n">
        <x:v>13</x:v>
      </x:c>
      <x:c r="B82" s="17" t="str">
        <x:v>Local Savings Office</x:v>
      </x:c>
      <x:c r="C82" s="17" t="str">
        <x:v>Starter</x:v>
      </x:c>
      <x:c r="D82" s="17" t="str">
        <x:v>Uncommon</x:v>
      </x:c>
      <x:c r="E82" s="17" t="n">
        <x:v>13</x:v>
      </x:c>
      <x:c r="F82" s="17" t="n">
        <x:v>7</x:v>
      </x:c>
      <x:c r="G82" s="17" t="str">
        <x:v>Upgrade to Lv7</x:v>
      </x:c>
      <x:c r="H82" s="38" t="n">
        <x:f>ROUND(H81*INDEX('Balance Inputs'!$C$2:$C$7,MATCH(C82,'Balance Inputs'!$A$2:$A$7,0)),0)</x:f>
        <x:v>58804</x:v>
      </x:c>
      <x:c r="I82" s="38" t="n">
        <x:f>ROUND(INDEX('Balance Inputs'!$L$2:$L$51,MATCH(A82,'Balance Inputs'!$I$2:$I$51,0))*POWER(INDEX('Balance Inputs'!$D$2:$D$7,MATCH(C82,'Balance Inputs'!$A$2:$A$7,0)),F82-1),0)</x:f>
        <x:v>1998</x:v>
      </x:c>
      <x:c r="J82" s="38" t="n">
        <x:f>ROUND(I82*INDEX('Balance Inputs'!$F$2:$F$7,MATCH(C82,'Balance Inputs'!$A$2:$A$7,0)),0)</x:f>
        <x:v>260</x:v>
      </x:c>
      <x:c r="K82" s="38" t="n">
        <x:f>I82-J82</x:f>
        <x:v>1738</x:v>
      </x:c>
      <x:c r="L82" s="38" t="n">
        <x:f>ROUND(INDEX('Balance Inputs'!$M$2:$M$51,MATCH(A82,'Balance Inputs'!$I$2:$I$51,0))*POWER(INDEX('Balance Inputs'!$E$2:$E$7,MATCH(C82,'Balance Inputs'!$A$2:$A$7,0)),F82-1),0)</x:f>
        <x:v>2679</x:v>
      </x:c>
      <x:c r="M82" s="38" t="n">
        <x:f>ROUND(INDEX('Balance Inputs'!$N$2:$N$51,MATCH(A82,'Balance Inputs'!$I$2:$I$51,0))*POWER(INDEX('Balance Inputs'!$G$2:$G$7,MATCH(C82,'Balance Inputs'!$A$2:$A$7,0)),F82-1),0)</x:f>
        <x:v>78</x:v>
      </x:c>
      <x:c r="N82" s="38" t="n">
        <x:f>IF(A82&lt;&gt;A81,H82,N81+H82)</x:f>
        <x:v>153675</x:v>
      </x:c>
      <x:c r="O82" s="42" t="n">
        <x:f>IF(I82=0,0,H82/I82)</x:f>
        <x:v>29.43143143143143</x:v>
      </x:c>
      <x:c r="P82" s="43" t="n">
        <x:f>I82/INDEX('Balance Inputs'!$L$2:$L$51,MATCH(A82,'Balance Inputs'!$I$2:$I$51,0))</x:f>
        <x:v>6.054545454545455</x:v>
      </x:c>
      <x:c r="Q82" s="43" t="n">
        <x:f>L82/INDEX('Balance Inputs'!$M$2:$M$51,MATCH(A82,'Balance Inputs'!$I$2:$I$51,0))</x:f>
        <x:v>5.535123966942149</x:v>
      </x:c>
      <x:c r="R82" s="17"/>
      <x:c r="S82" s="17"/>
      <x:c r="T82" s="17"/>
      <x:c r="U82" s="17"/>
      <x:c r="V82" s="17"/>
      <x:c r="W82" s="17"/>
      <x:c r="X82" s="17"/>
      <x:c r="Y82" s="17"/>
      <x:c r="Z82" s="17"/>
    </x:row>
    <x:row r="83">
      <x:c r="A83" s="17" t="n">
        <x:v>14</x:v>
      </x:c>
      <x:c r="B83" s="17" t="str">
        <x:v>Microfinance Office</x:v>
      </x:c>
      <x:c r="C83" s="17" t="str">
        <x:v>Starter</x:v>
      </x:c>
      <x:c r="D83" s="17" t="str">
        <x:v>Uncommon</x:v>
      </x:c>
      <x:c r="E83" s="17" t="n">
        <x:v>14</x:v>
      </x:c>
      <x:c r="F83" s="17" t="n">
        <x:v>1</x:v>
      </x:c>
      <x:c r="G83" s="17" t="str">
        <x:v>Build</x:v>
      </x:c>
      <x:c r="H83" s="38" t="n">
        <x:f>INDEX('Balance Inputs'!$K$2:$K$51,MATCH(A83,'Balance Inputs'!$I$2:$I$51,0))</x:f>
        <x:v>4660</x:v>
      </x:c>
      <x:c r="I83" s="38" t="n">
        <x:f>ROUND(INDEX('Balance Inputs'!$L$2:$L$51,MATCH(A83,'Balance Inputs'!$I$2:$I$51,0))*POWER(INDEX('Balance Inputs'!$D$2:$D$7,MATCH(C83,'Balance Inputs'!$A$2:$A$7,0)),F83-1),0)</x:f>
        <x:v>410</x:v>
      </x:c>
      <x:c r="J83" s="38" t="n">
        <x:f>ROUND(I83*INDEX('Balance Inputs'!$F$2:$F$7,MATCH(C83,'Balance Inputs'!$A$2:$A$7,0)),0)</x:f>
        <x:v>53</x:v>
      </x:c>
      <x:c r="K83" s="38" t="n">
        <x:f>I83-J83</x:f>
        <x:v>357</x:v>
      </x:c>
      <x:c r="L83" s="38" t="n">
        <x:f>ROUND(INDEX('Balance Inputs'!$M$2:$M$51,MATCH(A83,'Balance Inputs'!$I$2:$I$51,0))*POWER(INDEX('Balance Inputs'!$E$2:$E$7,MATCH(C83,'Balance Inputs'!$A$2:$A$7,0)),F83-1),0)</x:f>
        <x:v>576</x:v>
      </x:c>
      <x:c r="M83" s="38" t="n">
        <x:f>ROUND(INDEX('Balance Inputs'!$N$2:$N$51,MATCH(A83,'Balance Inputs'!$I$2:$I$51,0))*POWER(INDEX('Balance Inputs'!$G$2:$G$7,MATCH(C83,'Balance Inputs'!$A$2:$A$7,0)),F83-1),0)</x:f>
        <x:v>69</x:v>
      </x:c>
      <x:c r="N83" s="38" t="n">
        <x:f>IF(A83&lt;&gt;A82,H83,N82+H83)</x:f>
        <x:v>4660</x:v>
      </x:c>
      <x:c r="O83" s="42" t="n">
        <x:f>IF(I83=0,0,H83/I83)</x:f>
        <x:v>11.365853658536585</x:v>
      </x:c>
      <x:c r="P83" s="43" t="n">
        <x:f>I83/INDEX('Balance Inputs'!$L$2:$L$51,MATCH(A83,'Balance Inputs'!$I$2:$I$51,0))</x:f>
        <x:v>1</x:v>
      </x:c>
      <x:c r="Q83" s="43" t="n">
        <x:f>L83/INDEX('Balance Inputs'!$M$2:$M$51,MATCH(A83,'Balance Inputs'!$I$2:$I$51,0))</x:f>
        <x:v>1</x:v>
      </x:c>
      <x:c r="R83" s="17"/>
      <x:c r="S83" s="17"/>
      <x:c r="T83" s="17"/>
      <x:c r="U83" s="17"/>
      <x:c r="V83" s="17"/>
      <x:c r="W83" s="17"/>
      <x:c r="X83" s="17"/>
      <x:c r="Y83" s="17"/>
      <x:c r="Z83" s="17"/>
    </x:row>
    <x:row r="84">
      <x:c r="A84" s="17" t="n">
        <x:v>14</x:v>
      </x:c>
      <x:c r="B84" s="17" t="str">
        <x:v>Microfinance Office</x:v>
      </x:c>
      <x:c r="C84" s="17" t="str">
        <x:v>Starter</x:v>
      </x:c>
      <x:c r="D84" s="17" t="str">
        <x:v>Uncommon</x:v>
      </x:c>
      <x:c r="E84" s="17" t="n">
        <x:v>14</x:v>
      </x:c>
      <x:c r="F84" s="17" t="n">
        <x:v>2</x:v>
      </x:c>
      <x:c r="G84" s="17" t="str">
        <x:v>Upgrade to Lv2</x:v>
      </x:c>
      <x:c r="H84" s="38" t="n">
        <x:f>ROUND(H83*INDEX('Balance Inputs'!$C$2:$C$7,MATCH(C84,'Balance Inputs'!$A$2:$A$7,0)),0)</x:f>
        <x:v>7363</x:v>
      </x:c>
      <x:c r="I84" s="38" t="n">
        <x:f>ROUND(INDEX('Balance Inputs'!$L$2:$L$51,MATCH(A84,'Balance Inputs'!$I$2:$I$51,0))*POWER(INDEX('Balance Inputs'!$D$2:$D$7,MATCH(C84,'Balance Inputs'!$A$2:$A$7,0)),F84-1),0)</x:f>
        <x:v>554</x:v>
      </x:c>
      <x:c r="J84" s="38" t="n">
        <x:f>ROUND(I84*INDEX('Balance Inputs'!$F$2:$F$7,MATCH(C84,'Balance Inputs'!$A$2:$A$7,0)),0)</x:f>
        <x:v>72</x:v>
      </x:c>
      <x:c r="K84" s="38" t="n">
        <x:f>I84-J84</x:f>
        <x:v>482</x:v>
      </x:c>
      <x:c r="L84" s="38" t="n">
        <x:f>ROUND(INDEX('Balance Inputs'!$M$2:$M$51,MATCH(A84,'Balance Inputs'!$I$2:$I$51,0))*POWER(INDEX('Balance Inputs'!$E$2:$E$7,MATCH(C84,'Balance Inputs'!$A$2:$A$7,0)),F84-1),0)</x:f>
        <x:v>766</x:v>
      </x:c>
      <x:c r="M84" s="38" t="n">
        <x:f>ROUND(INDEX('Balance Inputs'!$N$2:$N$51,MATCH(A84,'Balance Inputs'!$I$2:$I$51,0))*POWER(INDEX('Balance Inputs'!$G$2:$G$7,MATCH(C84,'Balance Inputs'!$A$2:$A$7,0)),F84-1),0)</x:f>
        <x:v>72</x:v>
      </x:c>
      <x:c r="N84" s="38" t="n">
        <x:f>IF(A84&lt;&gt;A83,H84,N83+H84)</x:f>
        <x:v>12023</x:v>
      </x:c>
      <x:c r="O84" s="42" t="n">
        <x:f>IF(I84=0,0,H84/I84)</x:f>
        <x:v>13.290613718411553</x:v>
      </x:c>
      <x:c r="P84" s="43" t="n">
        <x:f>I84/INDEX('Balance Inputs'!$L$2:$L$51,MATCH(A84,'Balance Inputs'!$I$2:$I$51,0))</x:f>
        <x:v>1.351219512195122</x:v>
      </x:c>
      <x:c r="Q84" s="43" t="n">
        <x:f>L84/INDEX('Balance Inputs'!$M$2:$M$51,MATCH(A84,'Balance Inputs'!$I$2:$I$51,0))</x:f>
        <x:v>1.3298611111111112</x:v>
      </x:c>
      <x:c r="R84" s="17"/>
      <x:c r="S84" s="17"/>
      <x:c r="T84" s="17"/>
      <x:c r="U84" s="17"/>
      <x:c r="V84" s="17"/>
      <x:c r="W84" s="17"/>
      <x:c r="X84" s="17"/>
      <x:c r="Y84" s="17"/>
      <x:c r="Z84" s="17"/>
    </x:row>
    <x:row r="85">
      <x:c r="A85" s="17" t="n">
        <x:v>14</x:v>
      </x:c>
      <x:c r="B85" s="17" t="str">
        <x:v>Microfinance Office</x:v>
      </x:c>
      <x:c r="C85" s="17" t="str">
        <x:v>Starter</x:v>
      </x:c>
      <x:c r="D85" s="17" t="str">
        <x:v>Uncommon</x:v>
      </x:c>
      <x:c r="E85" s="17" t="n">
        <x:v>14</x:v>
      </x:c>
      <x:c r="F85" s="17" t="n">
        <x:v>3</x:v>
      </x:c>
      <x:c r="G85" s="17" t="str">
        <x:v>Upgrade to Lv3</x:v>
      </x:c>
      <x:c r="H85" s="38" t="n">
        <x:f>ROUND(H84*INDEX('Balance Inputs'!$C$2:$C$7,MATCH(C85,'Balance Inputs'!$A$2:$A$7,0)),0)</x:f>
        <x:v>11634</x:v>
      </x:c>
      <x:c r="I85" s="38" t="n">
        <x:f>ROUND(INDEX('Balance Inputs'!$L$2:$L$51,MATCH(A85,'Balance Inputs'!$I$2:$I$51,0))*POWER(INDEX('Balance Inputs'!$D$2:$D$7,MATCH(C85,'Balance Inputs'!$A$2:$A$7,0)),F85-1),0)</x:f>
        <x:v>747</x:v>
      </x:c>
      <x:c r="J85" s="38" t="n">
        <x:f>ROUND(I85*INDEX('Balance Inputs'!$F$2:$F$7,MATCH(C85,'Balance Inputs'!$A$2:$A$7,0)),0)</x:f>
        <x:v>97</x:v>
      </x:c>
      <x:c r="K85" s="38" t="n">
        <x:f>I85-J85</x:f>
        <x:v>650</x:v>
      </x:c>
      <x:c r="L85" s="38" t="n">
        <x:f>ROUND(INDEX('Balance Inputs'!$M$2:$M$51,MATCH(A85,'Balance Inputs'!$I$2:$I$51,0))*POWER(INDEX('Balance Inputs'!$E$2:$E$7,MATCH(C85,'Balance Inputs'!$A$2:$A$7,0)),F85-1),0)</x:f>
        <x:v>1019</x:v>
      </x:c>
      <x:c r="M85" s="38" t="n">
        <x:f>ROUND(INDEX('Balance Inputs'!$N$2:$N$51,MATCH(A85,'Balance Inputs'!$I$2:$I$51,0))*POWER(INDEX('Balance Inputs'!$G$2:$G$7,MATCH(C85,'Balance Inputs'!$A$2:$A$7,0)),F85-1),0)</x:f>
        <x:v>76</x:v>
      </x:c>
      <x:c r="N85" s="38" t="n">
        <x:f>IF(A85&lt;&gt;A84,H85,N84+H85)</x:f>
        <x:v>23657</x:v>
      </x:c>
      <x:c r="O85" s="42" t="n">
        <x:f>IF(I85=0,0,H85/I85)</x:f>
        <x:v>15.57429718875502</x:v>
      </x:c>
      <x:c r="P85" s="43" t="n">
        <x:f>I85/INDEX('Balance Inputs'!$L$2:$L$51,MATCH(A85,'Balance Inputs'!$I$2:$I$51,0))</x:f>
        <x:v>1.8219512195121952</x:v>
      </x:c>
      <x:c r="Q85" s="43" t="n">
        <x:f>L85/INDEX('Balance Inputs'!$M$2:$M$51,MATCH(A85,'Balance Inputs'!$I$2:$I$51,0))</x:f>
        <x:v>1.7690972222222223</x:v>
      </x:c>
      <x:c r="R85" s="17"/>
      <x:c r="S85" s="17"/>
      <x:c r="T85" s="17"/>
      <x:c r="U85" s="17"/>
      <x:c r="V85" s="17"/>
      <x:c r="W85" s="17"/>
      <x:c r="X85" s="17"/>
      <x:c r="Y85" s="17"/>
      <x:c r="Z85" s="17"/>
    </x:row>
    <x:row r="86">
      <x:c r="A86" s="17" t="n">
        <x:v>14</x:v>
      </x:c>
      <x:c r="B86" s="17" t="str">
        <x:v>Microfinance Office</x:v>
      </x:c>
      <x:c r="C86" s="17" t="str">
        <x:v>Starter</x:v>
      </x:c>
      <x:c r="D86" s="17" t="str">
        <x:v>Uncommon</x:v>
      </x:c>
      <x:c r="E86" s="17" t="n">
        <x:v>14</x:v>
      </x:c>
      <x:c r="F86" s="17" t="n">
        <x:v>4</x:v>
      </x:c>
      <x:c r="G86" s="17" t="str">
        <x:v>Upgrade to Lv4</x:v>
      </x:c>
      <x:c r="H86" s="38" t="n">
        <x:f>ROUND(H85*INDEX('Balance Inputs'!$C$2:$C$7,MATCH(C86,'Balance Inputs'!$A$2:$A$7,0)),0)</x:f>
        <x:v>18382</x:v>
      </x:c>
      <x:c r="I86" s="38" t="n">
        <x:f>ROUND(INDEX('Balance Inputs'!$L$2:$L$51,MATCH(A86,'Balance Inputs'!$I$2:$I$51,0))*POWER(INDEX('Balance Inputs'!$D$2:$D$7,MATCH(C86,'Balance Inputs'!$A$2:$A$7,0)),F86-1),0)</x:f>
        <x:v>1009</x:v>
      </x:c>
      <x:c r="J86" s="38" t="n">
        <x:f>ROUND(I86*INDEX('Balance Inputs'!$F$2:$F$7,MATCH(C86,'Balance Inputs'!$A$2:$A$7,0)),0)</x:f>
        <x:v>131</x:v>
      </x:c>
      <x:c r="K86" s="38" t="n">
        <x:f>I86-J86</x:f>
        <x:v>878</x:v>
      </x:c>
      <x:c r="L86" s="38" t="n">
        <x:f>ROUND(INDEX('Balance Inputs'!$M$2:$M$51,MATCH(A86,'Balance Inputs'!$I$2:$I$51,0))*POWER(INDEX('Balance Inputs'!$E$2:$E$7,MATCH(C86,'Balance Inputs'!$A$2:$A$7,0)),F86-1),0)</x:f>
        <x:v>1355</x:v>
      </x:c>
      <x:c r="M86" s="38" t="n">
        <x:f>ROUND(INDEX('Balance Inputs'!$N$2:$N$51,MATCH(A86,'Balance Inputs'!$I$2:$I$51,0))*POWER(INDEX('Balance Inputs'!$G$2:$G$7,MATCH(C86,'Balance Inputs'!$A$2:$A$7,0)),F86-1),0)</x:f>
        <x:v>80</x:v>
      </x:c>
      <x:c r="N86" s="38" t="n">
        <x:f>IF(A86&lt;&gt;A85,H86,N85+H86)</x:f>
        <x:v>42039</x:v>
      </x:c>
      <x:c r="O86" s="42" t="n">
        <x:f>IF(I86=0,0,H86/I86)</x:f>
        <x:v>18.218037661050545</x:v>
      </x:c>
      <x:c r="P86" s="43" t="n">
        <x:f>I86/INDEX('Balance Inputs'!$L$2:$L$51,MATCH(A86,'Balance Inputs'!$I$2:$I$51,0))</x:f>
        <x:v>2.4609756097560975</x:v>
      </x:c>
      <x:c r="Q86" s="43" t="n">
        <x:f>L86/INDEX('Balance Inputs'!$M$2:$M$51,MATCH(A86,'Balance Inputs'!$I$2:$I$51,0))</x:f>
        <x:v>2.3524305555555554</x:v>
      </x:c>
      <x:c r="R86" s="17"/>
      <x:c r="S86" s="17"/>
      <x:c r="T86" s="17"/>
      <x:c r="U86" s="17"/>
      <x:c r="V86" s="17"/>
      <x:c r="W86" s="17"/>
      <x:c r="X86" s="17"/>
      <x:c r="Y86" s="17"/>
      <x:c r="Z86" s="17"/>
    </x:row>
    <x:row r="87">
      <x:c r="A87" s="17" t="n">
        <x:v>14</x:v>
      </x:c>
      <x:c r="B87" s="17" t="str">
        <x:v>Microfinance Office</x:v>
      </x:c>
      <x:c r="C87" s="17" t="str">
        <x:v>Starter</x:v>
      </x:c>
      <x:c r="D87" s="17" t="str">
        <x:v>Uncommon</x:v>
      </x:c>
      <x:c r="E87" s="17" t="n">
        <x:v>14</x:v>
      </x:c>
      <x:c r="F87" s="17" t="n">
        <x:v>5</x:v>
      </x:c>
      <x:c r="G87" s="17" t="str">
        <x:v>Upgrade to Lv5</x:v>
      </x:c>
      <x:c r="H87" s="38" t="n">
        <x:f>ROUND(H86*INDEX('Balance Inputs'!$C$2:$C$7,MATCH(C87,'Balance Inputs'!$A$2:$A$7,0)),0)</x:f>
        <x:v>29044</x:v>
      </x:c>
      <x:c r="I87" s="38" t="n">
        <x:f>ROUND(INDEX('Balance Inputs'!$L$2:$L$51,MATCH(A87,'Balance Inputs'!$I$2:$I$51,0))*POWER(INDEX('Balance Inputs'!$D$2:$D$7,MATCH(C87,'Balance Inputs'!$A$2:$A$7,0)),F87-1),0)</x:f>
        <x:v>1362</x:v>
      </x:c>
      <x:c r="J87" s="38" t="n">
        <x:f>ROUND(I87*INDEX('Balance Inputs'!$F$2:$F$7,MATCH(C87,'Balance Inputs'!$A$2:$A$7,0)),0)</x:f>
        <x:v>177</x:v>
      </x:c>
      <x:c r="K87" s="38" t="n">
        <x:f>I87-J87</x:f>
        <x:v>1185</x:v>
      </x:c>
      <x:c r="L87" s="38" t="n">
        <x:f>ROUND(INDEX('Balance Inputs'!$M$2:$M$51,MATCH(A87,'Balance Inputs'!$I$2:$I$51,0))*POWER(INDEX('Balance Inputs'!$E$2:$E$7,MATCH(C87,'Balance Inputs'!$A$2:$A$7,0)),F87-1),0)</x:f>
        <x:v>1802</x:v>
      </x:c>
      <x:c r="M87" s="38" t="n">
        <x:f>ROUND(INDEX('Balance Inputs'!$N$2:$N$51,MATCH(A87,'Balance Inputs'!$I$2:$I$51,0))*POWER(INDEX('Balance Inputs'!$G$2:$G$7,MATCH(C87,'Balance Inputs'!$A$2:$A$7,0)),F87-1),0)</x:f>
        <x:v>84</x:v>
      </x:c>
      <x:c r="N87" s="38" t="n">
        <x:f>IF(A87&lt;&gt;A86,H87,N86+H87)</x:f>
        <x:v>71083</x:v>
      </x:c>
      <x:c r="O87" s="42" t="n">
        <x:f>IF(I87=0,0,H87/I87)</x:f>
        <x:v>21.324522760646108</x:v>
      </x:c>
      <x:c r="P87" s="43" t="n">
        <x:f>I87/INDEX('Balance Inputs'!$L$2:$L$51,MATCH(A87,'Balance Inputs'!$I$2:$I$51,0))</x:f>
        <x:v>3.321951219512195</x:v>
      </x:c>
      <x:c r="Q87" s="43" t="n">
        <x:f>L87/INDEX('Balance Inputs'!$M$2:$M$51,MATCH(A87,'Balance Inputs'!$I$2:$I$51,0))</x:f>
        <x:v>3.1284722222222223</x:v>
      </x:c>
      <x:c r="R87" s="17"/>
      <x:c r="S87" s="17"/>
      <x:c r="T87" s="17"/>
      <x:c r="U87" s="17"/>
      <x:c r="V87" s="17"/>
      <x:c r="W87" s="17"/>
      <x:c r="X87" s="17"/>
      <x:c r="Y87" s="17"/>
      <x:c r="Z87" s="17"/>
    </x:row>
    <x:row r="88">
      <x:c r="A88" s="17" t="n">
        <x:v>14</x:v>
      </x:c>
      <x:c r="B88" s="17" t="str">
        <x:v>Microfinance Office</x:v>
      </x:c>
      <x:c r="C88" s="17" t="str">
        <x:v>Starter</x:v>
      </x:c>
      <x:c r="D88" s="17" t="str">
        <x:v>Uncommon</x:v>
      </x:c>
      <x:c r="E88" s="17" t="n">
        <x:v>14</x:v>
      </x:c>
      <x:c r="F88" s="17" t="n">
        <x:v>6</x:v>
      </x:c>
      <x:c r="G88" s="17" t="str">
        <x:v>Upgrade to Lv6</x:v>
      </x:c>
      <x:c r="H88" s="38" t="n">
        <x:f>ROUND(H87*INDEX('Balance Inputs'!$C$2:$C$7,MATCH(C88,'Balance Inputs'!$A$2:$A$7,0)),0)</x:f>
        <x:v>45890</x:v>
      </x:c>
      <x:c r="I88" s="38" t="n">
        <x:f>ROUND(INDEX('Balance Inputs'!$L$2:$L$51,MATCH(A88,'Balance Inputs'!$I$2:$I$51,0))*POWER(INDEX('Balance Inputs'!$D$2:$D$7,MATCH(C88,'Balance Inputs'!$A$2:$A$7,0)),F88-1),0)</x:f>
        <x:v>1838</x:v>
      </x:c>
      <x:c r="J88" s="38" t="n">
        <x:f>ROUND(I88*INDEX('Balance Inputs'!$F$2:$F$7,MATCH(C88,'Balance Inputs'!$A$2:$A$7,0)),0)</x:f>
        <x:v>239</x:v>
      </x:c>
      <x:c r="K88" s="38" t="n">
        <x:f>I88-J88</x:f>
        <x:v>1599</x:v>
      </x:c>
      <x:c r="L88" s="38" t="n">
        <x:f>ROUND(INDEX('Balance Inputs'!$M$2:$M$51,MATCH(A88,'Balance Inputs'!$I$2:$I$51,0))*POWER(INDEX('Balance Inputs'!$E$2:$E$7,MATCH(C88,'Balance Inputs'!$A$2:$A$7,0)),F88-1),0)</x:f>
        <x:v>2397</x:v>
      </x:c>
      <x:c r="M88" s="38" t="n">
        <x:f>ROUND(INDEX('Balance Inputs'!$N$2:$N$51,MATCH(A88,'Balance Inputs'!$I$2:$I$51,0))*POWER(INDEX('Balance Inputs'!$G$2:$G$7,MATCH(C88,'Balance Inputs'!$A$2:$A$7,0)),F88-1),0)</x:f>
        <x:v>88</x:v>
      </x:c>
      <x:c r="N88" s="38" t="n">
        <x:f>IF(A88&lt;&gt;A87,H88,N87+H88)</x:f>
        <x:v>116973</x:v>
      </x:c>
      <x:c r="O88" s="42" t="n">
        <x:f>IF(I88=0,0,H88/I88)</x:f>
        <x:v>24.96735582154516</x:v>
      </x:c>
      <x:c r="P88" s="43" t="n">
        <x:f>I88/INDEX('Balance Inputs'!$L$2:$L$51,MATCH(A88,'Balance Inputs'!$I$2:$I$51,0))</x:f>
        <x:v>4.482926829268293</x:v>
      </x:c>
      <x:c r="Q88" s="43" t="n">
        <x:f>L88/INDEX('Balance Inputs'!$M$2:$M$51,MATCH(A88,'Balance Inputs'!$I$2:$I$51,0))</x:f>
        <x:v>4.161458333333333</x:v>
      </x:c>
      <x:c r="R88" s="17"/>
      <x:c r="S88" s="17"/>
      <x:c r="T88" s="17"/>
      <x:c r="U88" s="17"/>
      <x:c r="V88" s="17"/>
      <x:c r="W88" s="17"/>
      <x:c r="X88" s="17"/>
      <x:c r="Y88" s="17"/>
      <x:c r="Z88" s="17"/>
    </x:row>
    <x:row r="89">
      <x:c r="A89" s="17" t="n">
        <x:v>14</x:v>
      </x:c>
      <x:c r="B89" s="17" t="str">
        <x:v>Microfinance Office</x:v>
      </x:c>
      <x:c r="C89" s="17" t="str">
        <x:v>Starter</x:v>
      </x:c>
      <x:c r="D89" s="17" t="str">
        <x:v>Uncommon</x:v>
      </x:c>
      <x:c r="E89" s="17" t="n">
        <x:v>14</x:v>
      </x:c>
      <x:c r="F89" s="17" t="n">
        <x:v>7</x:v>
      </x:c>
      <x:c r="G89" s="17" t="str">
        <x:v>Upgrade to Lv7</x:v>
      </x:c>
      <x:c r="H89" s="38" t="n">
        <x:f>ROUND(H88*INDEX('Balance Inputs'!$C$2:$C$7,MATCH(C89,'Balance Inputs'!$A$2:$A$7,0)),0)</x:f>
        <x:v>72506</x:v>
      </x:c>
      <x:c r="I89" s="38" t="n">
        <x:f>ROUND(INDEX('Balance Inputs'!$L$2:$L$51,MATCH(A89,'Balance Inputs'!$I$2:$I$51,0))*POWER(INDEX('Balance Inputs'!$D$2:$D$7,MATCH(C89,'Balance Inputs'!$A$2:$A$7,0)),F89-1),0)</x:f>
        <x:v>2482</x:v>
      </x:c>
      <x:c r="J89" s="38" t="n">
        <x:f>ROUND(I89*INDEX('Balance Inputs'!$F$2:$F$7,MATCH(C89,'Balance Inputs'!$A$2:$A$7,0)),0)</x:f>
        <x:v>323</x:v>
      </x:c>
      <x:c r="K89" s="38" t="n">
        <x:f>I89-J89</x:f>
        <x:v>2159</x:v>
      </x:c>
      <x:c r="L89" s="38" t="n">
        <x:f>ROUND(INDEX('Balance Inputs'!$M$2:$M$51,MATCH(A89,'Balance Inputs'!$I$2:$I$51,0))*POWER(INDEX('Balance Inputs'!$E$2:$E$7,MATCH(C89,'Balance Inputs'!$A$2:$A$7,0)),F89-1),0)</x:f>
        <x:v>3188</x:v>
      </x:c>
      <x:c r="M89" s="38" t="n">
        <x:f>ROUND(INDEX('Balance Inputs'!$N$2:$N$51,MATCH(A89,'Balance Inputs'!$I$2:$I$51,0))*POWER(INDEX('Balance Inputs'!$G$2:$G$7,MATCH(C89,'Balance Inputs'!$A$2:$A$7,0)),F89-1),0)</x:f>
        <x:v>92</x:v>
      </x:c>
      <x:c r="N89" s="38" t="n">
        <x:f>IF(A89&lt;&gt;A88,H89,N88+H89)</x:f>
        <x:v>189479</x:v>
      </x:c>
      <x:c r="O89" s="42" t="n">
        <x:f>IF(I89=0,0,H89/I89)</x:f>
        <x:v>29.21273166800967</x:v>
      </x:c>
      <x:c r="P89" s="43" t="n">
        <x:f>I89/INDEX('Balance Inputs'!$L$2:$L$51,MATCH(A89,'Balance Inputs'!$I$2:$I$51,0))</x:f>
        <x:v>6.053658536585366</x:v>
      </x:c>
      <x:c r="Q89" s="43" t="n">
        <x:f>L89/INDEX('Balance Inputs'!$M$2:$M$51,MATCH(A89,'Balance Inputs'!$I$2:$I$51,0))</x:f>
        <x:v>5.534722222222222</x:v>
      </x:c>
      <x:c r="R89" s="17"/>
      <x:c r="S89" s="17"/>
      <x:c r="T89" s="17"/>
      <x:c r="U89" s="17"/>
      <x:c r="V89" s="17"/>
      <x:c r="W89" s="17"/>
      <x:c r="X89" s="17"/>
      <x:c r="Y89" s="17"/>
      <x:c r="Z89" s="17"/>
    </x:row>
    <x:row r="90">
      <x:c r="A90" s="17" t="n">
        <x:v>15</x:v>
      </x:c>
      <x:c r="B90" s="17" t="str">
        <x:v>Trading Room</x:v>
      </x:c>
      <x:c r="C90" s="17" t="str">
        <x:v>Starter</x:v>
      </x:c>
      <x:c r="D90" s="17" t="str">
        <x:v>Uncommon</x:v>
      </x:c>
      <x:c r="E90" s="17" t="n">
        <x:v>15</x:v>
      </x:c>
      <x:c r="F90" s="17" t="n">
        <x:v>1</x:v>
      </x:c>
      <x:c r="G90" s="17" t="str">
        <x:v>Build</x:v>
      </x:c>
      <x:c r="H90" s="38" t="n">
        <x:f>INDEX('Balance Inputs'!$K$2:$K$51,MATCH(A90,'Balance Inputs'!$I$2:$I$51,0))</x:f>
        <x:v>5760</x:v>
      </x:c>
      <x:c r="I90" s="38" t="n">
        <x:f>ROUND(INDEX('Balance Inputs'!$L$2:$L$51,MATCH(A90,'Balance Inputs'!$I$2:$I$51,0))*POWER(INDEX('Balance Inputs'!$D$2:$D$7,MATCH(C90,'Balance Inputs'!$A$2:$A$7,0)),F90-1),0)</x:f>
        <x:v>528</x:v>
      </x:c>
      <x:c r="J90" s="38" t="n">
        <x:f>ROUND(I90*INDEX('Balance Inputs'!$F$2:$F$7,MATCH(C90,'Balance Inputs'!$A$2:$A$7,0)),0)</x:f>
        <x:v>69</x:v>
      </x:c>
      <x:c r="K90" s="38" t="n">
        <x:f>I90-J90</x:f>
        <x:v>459</x:v>
      </x:c>
      <x:c r="L90" s="38" t="n">
        <x:f>ROUND(INDEX('Balance Inputs'!$M$2:$M$51,MATCH(A90,'Balance Inputs'!$I$2:$I$51,0))*POWER(INDEX('Balance Inputs'!$E$2:$E$7,MATCH(C90,'Balance Inputs'!$A$2:$A$7,0)),F90-1),0)</x:f>
        <x:v>685</x:v>
      </x:c>
      <x:c r="M90" s="38" t="n">
        <x:f>ROUND(INDEX('Balance Inputs'!$N$2:$N$51,MATCH(A90,'Balance Inputs'!$I$2:$I$51,0))*POWER(INDEX('Balance Inputs'!$G$2:$G$7,MATCH(C90,'Balance Inputs'!$A$2:$A$7,0)),F90-1),0)</x:f>
        <x:v>99</x:v>
      </x:c>
      <x:c r="N90" s="38" t="n">
        <x:f>IF(A90&lt;&gt;A89,H90,N89+H90)</x:f>
        <x:v>5760</x:v>
      </x:c>
      <x:c r="O90" s="42" t="n">
        <x:f>IF(I90=0,0,H90/I90)</x:f>
        <x:v>10.909090909090908</x:v>
      </x:c>
      <x:c r="P90" s="43" t="n">
        <x:f>I90/INDEX('Balance Inputs'!$L$2:$L$51,MATCH(A90,'Balance Inputs'!$I$2:$I$51,0))</x:f>
        <x:v>1</x:v>
      </x:c>
      <x:c r="Q90" s="43" t="n">
        <x:f>L90/INDEX('Balance Inputs'!$M$2:$M$51,MATCH(A90,'Balance Inputs'!$I$2:$I$51,0))</x:f>
        <x:v>1</x:v>
      </x:c>
      <x:c r="R90" s="17"/>
      <x:c r="S90" s="17"/>
      <x:c r="T90" s="17"/>
      <x:c r="U90" s="17"/>
      <x:c r="V90" s="17"/>
      <x:c r="W90" s="17"/>
      <x:c r="X90" s="17"/>
      <x:c r="Y90" s="17"/>
      <x:c r="Z90" s="17"/>
    </x:row>
    <x:row r="91">
      <x:c r="A91" s="17" t="n">
        <x:v>15</x:v>
      </x:c>
      <x:c r="B91" s="17" t="str">
        <x:v>Trading Room</x:v>
      </x:c>
      <x:c r="C91" s="17" t="str">
        <x:v>Starter</x:v>
      </x:c>
      <x:c r="D91" s="17" t="str">
        <x:v>Uncommon</x:v>
      </x:c>
      <x:c r="E91" s="17" t="n">
        <x:v>15</x:v>
      </x:c>
      <x:c r="F91" s="17" t="n">
        <x:v>2</x:v>
      </x:c>
      <x:c r="G91" s="17" t="str">
        <x:v>Upgrade to Lv2</x:v>
      </x:c>
      <x:c r="H91" s="38" t="n">
        <x:f>ROUND(H90*INDEX('Balance Inputs'!$C$2:$C$7,MATCH(C91,'Balance Inputs'!$A$2:$A$7,0)),0)</x:f>
        <x:v>9101</x:v>
      </x:c>
      <x:c r="I91" s="38" t="n">
        <x:f>ROUND(INDEX('Balance Inputs'!$L$2:$L$51,MATCH(A91,'Balance Inputs'!$I$2:$I$51,0))*POWER(INDEX('Balance Inputs'!$D$2:$D$7,MATCH(C91,'Balance Inputs'!$A$2:$A$7,0)),F91-1),0)</x:f>
        <x:v>713</x:v>
      </x:c>
      <x:c r="J91" s="38" t="n">
        <x:f>ROUND(I91*INDEX('Balance Inputs'!$F$2:$F$7,MATCH(C91,'Balance Inputs'!$A$2:$A$7,0)),0)</x:f>
        <x:v>93</x:v>
      </x:c>
      <x:c r="K91" s="38" t="n">
        <x:f>I91-J91</x:f>
        <x:v>620</x:v>
      </x:c>
      <x:c r="L91" s="38" t="n">
        <x:f>ROUND(INDEX('Balance Inputs'!$M$2:$M$51,MATCH(A91,'Balance Inputs'!$I$2:$I$51,0))*POWER(INDEX('Balance Inputs'!$E$2:$E$7,MATCH(C91,'Balance Inputs'!$A$2:$A$7,0)),F91-1),0)</x:f>
        <x:v>911</x:v>
      </x:c>
      <x:c r="M91" s="38" t="n">
        <x:f>ROUND(INDEX('Balance Inputs'!$N$2:$N$51,MATCH(A91,'Balance Inputs'!$I$2:$I$51,0))*POWER(INDEX('Balance Inputs'!$G$2:$G$7,MATCH(C91,'Balance Inputs'!$A$2:$A$7,0)),F91-1),0)</x:f>
        <x:v>104</x:v>
      </x:c>
      <x:c r="N91" s="38" t="n">
        <x:f>IF(A91&lt;&gt;A90,H91,N90+H91)</x:f>
        <x:v>14861</x:v>
      </x:c>
      <x:c r="O91" s="42" t="n">
        <x:f>IF(I91=0,0,H91/I91)</x:f>
        <x:v>12.76437587657784</x:v>
      </x:c>
      <x:c r="P91" s="43" t="n">
        <x:f>I91/INDEX('Balance Inputs'!$L$2:$L$51,MATCH(A91,'Balance Inputs'!$I$2:$I$51,0))</x:f>
        <x:v>1.3503787878787878</x:v>
      </x:c>
      <x:c r="Q91" s="43" t="n">
        <x:f>L91/INDEX('Balance Inputs'!$M$2:$M$51,MATCH(A91,'Balance Inputs'!$I$2:$I$51,0))</x:f>
        <x:v>1.3299270072992702</x:v>
      </x:c>
      <x:c r="R91" s="17"/>
      <x:c r="S91" s="17"/>
      <x:c r="T91" s="17"/>
      <x:c r="U91" s="17"/>
      <x:c r="V91" s="17"/>
      <x:c r="W91" s="17"/>
      <x:c r="X91" s="17"/>
      <x:c r="Y91" s="17"/>
      <x:c r="Z91" s="17"/>
    </x:row>
    <x:row r="92">
      <x:c r="A92" s="17" t="n">
        <x:v>15</x:v>
      </x:c>
      <x:c r="B92" s="17" t="str">
        <x:v>Trading Room</x:v>
      </x:c>
      <x:c r="C92" s="17" t="str">
        <x:v>Starter</x:v>
      </x:c>
      <x:c r="D92" s="17" t="str">
        <x:v>Uncommon</x:v>
      </x:c>
      <x:c r="E92" s="17" t="n">
        <x:v>15</x:v>
      </x:c>
      <x:c r="F92" s="17" t="n">
        <x:v>3</x:v>
      </x:c>
      <x:c r="G92" s="17" t="str">
        <x:v>Upgrade to Lv3</x:v>
      </x:c>
      <x:c r="H92" s="38" t="n">
        <x:f>ROUND(H91*INDEX('Balance Inputs'!$C$2:$C$7,MATCH(C92,'Balance Inputs'!$A$2:$A$7,0)),0)</x:f>
        <x:v>14380</x:v>
      </x:c>
      <x:c r="I92" s="38" t="n">
        <x:f>ROUND(INDEX('Balance Inputs'!$L$2:$L$51,MATCH(A92,'Balance Inputs'!$I$2:$I$51,0))*POWER(INDEX('Balance Inputs'!$D$2:$D$7,MATCH(C92,'Balance Inputs'!$A$2:$A$7,0)),F92-1),0)</x:f>
        <x:v>962</x:v>
      </x:c>
      <x:c r="J92" s="38" t="n">
        <x:f>ROUND(I92*INDEX('Balance Inputs'!$F$2:$F$7,MATCH(C92,'Balance Inputs'!$A$2:$A$7,0)),0)</x:f>
        <x:v>125</x:v>
      </x:c>
      <x:c r="K92" s="38" t="n">
        <x:f>I92-J92</x:f>
        <x:v>837</x:v>
      </x:c>
      <x:c r="L92" s="38" t="n">
        <x:f>ROUND(INDEX('Balance Inputs'!$M$2:$M$51,MATCH(A92,'Balance Inputs'!$I$2:$I$51,0))*POWER(INDEX('Balance Inputs'!$E$2:$E$7,MATCH(C92,'Balance Inputs'!$A$2:$A$7,0)),F92-1),0)</x:f>
        <x:v>1212</x:v>
      </x:c>
      <x:c r="M92" s="38" t="n">
        <x:f>ROUND(INDEX('Balance Inputs'!$N$2:$N$51,MATCH(A92,'Balance Inputs'!$I$2:$I$51,0))*POWER(INDEX('Balance Inputs'!$G$2:$G$7,MATCH(C92,'Balance Inputs'!$A$2:$A$7,0)),F92-1),0)</x:f>
        <x:v>109</x:v>
      </x:c>
      <x:c r="N92" s="38" t="n">
        <x:f>IF(A92&lt;&gt;A91,H92,N91+H92)</x:f>
        <x:v>29241</x:v>
      </x:c>
      <x:c r="O92" s="42" t="n">
        <x:f>IF(I92=0,0,H92/I92)</x:f>
        <x:v>14.948024948024948</x:v>
      </x:c>
      <x:c r="P92" s="43" t="n">
        <x:f>I92/INDEX('Balance Inputs'!$L$2:$L$51,MATCH(A92,'Balance Inputs'!$I$2:$I$51,0))</x:f>
        <x:v>1.821969696969697</x:v>
      </x:c>
      <x:c r="Q92" s="43" t="n">
        <x:f>L92/INDEX('Balance Inputs'!$M$2:$M$51,MATCH(A92,'Balance Inputs'!$I$2:$I$51,0))</x:f>
        <x:v>1.7693430656934306</x:v>
      </x:c>
      <x:c r="R92" s="17"/>
      <x:c r="S92" s="17"/>
      <x:c r="T92" s="17"/>
      <x:c r="U92" s="17"/>
      <x:c r="V92" s="17"/>
      <x:c r="W92" s="17"/>
      <x:c r="X92" s="17"/>
      <x:c r="Y92" s="17"/>
      <x:c r="Z92" s="17"/>
    </x:row>
    <x:row r="93">
      <x:c r="A93" s="17" t="n">
        <x:v>15</x:v>
      </x:c>
      <x:c r="B93" s="17" t="str">
        <x:v>Trading Room</x:v>
      </x:c>
      <x:c r="C93" s="17" t="str">
        <x:v>Starter</x:v>
      </x:c>
      <x:c r="D93" s="17" t="str">
        <x:v>Uncommon</x:v>
      </x:c>
      <x:c r="E93" s="17" t="n">
        <x:v>15</x:v>
      </x:c>
      <x:c r="F93" s="17" t="n">
        <x:v>4</x:v>
      </x:c>
      <x:c r="G93" s="17" t="str">
        <x:v>Upgrade to Lv4</x:v>
      </x:c>
      <x:c r="H93" s="38" t="n">
        <x:f>ROUND(H92*INDEX('Balance Inputs'!$C$2:$C$7,MATCH(C93,'Balance Inputs'!$A$2:$A$7,0)),0)</x:f>
        <x:v>22720</x:v>
      </x:c>
      <x:c r="I93" s="38" t="n">
        <x:f>ROUND(INDEX('Balance Inputs'!$L$2:$L$51,MATCH(A93,'Balance Inputs'!$I$2:$I$51,0))*POWER(INDEX('Balance Inputs'!$D$2:$D$7,MATCH(C93,'Balance Inputs'!$A$2:$A$7,0)),F93-1),0)</x:f>
        <x:v>1299</x:v>
      </x:c>
      <x:c r="J93" s="38" t="n">
        <x:f>ROUND(I93*INDEX('Balance Inputs'!$F$2:$F$7,MATCH(C93,'Balance Inputs'!$A$2:$A$7,0)),0)</x:f>
        <x:v>169</x:v>
      </x:c>
      <x:c r="K93" s="38" t="n">
        <x:f>I93-J93</x:f>
        <x:v>1130</x:v>
      </x:c>
      <x:c r="L93" s="38" t="n">
        <x:f>ROUND(INDEX('Balance Inputs'!$M$2:$M$51,MATCH(A93,'Balance Inputs'!$I$2:$I$51,0))*POWER(INDEX('Balance Inputs'!$E$2:$E$7,MATCH(C93,'Balance Inputs'!$A$2:$A$7,0)),F93-1),0)</x:f>
        <x:v>1612</x:v>
      </x:c>
      <x:c r="M93" s="38" t="n">
        <x:f>ROUND(INDEX('Balance Inputs'!$N$2:$N$51,MATCH(A93,'Balance Inputs'!$I$2:$I$51,0))*POWER(INDEX('Balance Inputs'!$G$2:$G$7,MATCH(C93,'Balance Inputs'!$A$2:$A$7,0)),F93-1),0)</x:f>
        <x:v>115</x:v>
      </x:c>
      <x:c r="N93" s="38" t="n">
        <x:f>IF(A93&lt;&gt;A92,H93,N92+H93)</x:f>
        <x:v>51961</x:v>
      </x:c>
      <x:c r="O93" s="42" t="n">
        <x:f>IF(I93=0,0,H93/I93)</x:f>
        <x:v>17.490377213240954</x:v>
      </x:c>
      <x:c r="P93" s="43" t="n">
        <x:f>I93/INDEX('Balance Inputs'!$L$2:$L$51,MATCH(A93,'Balance Inputs'!$I$2:$I$51,0))</x:f>
        <x:v>2.460227272727273</x:v>
      </x:c>
      <x:c r="Q93" s="43" t="n">
        <x:f>L93/INDEX('Balance Inputs'!$M$2:$M$51,MATCH(A93,'Balance Inputs'!$I$2:$I$51,0))</x:f>
        <x:v>2.3532846715328466</x:v>
      </x:c>
      <x:c r="R93" s="17"/>
      <x:c r="S93" s="17"/>
      <x:c r="T93" s="17"/>
      <x:c r="U93" s="17"/>
      <x:c r="V93" s="17"/>
      <x:c r="W93" s="17"/>
      <x:c r="X93" s="17"/>
      <x:c r="Y93" s="17"/>
      <x:c r="Z93" s="17"/>
    </x:row>
    <x:row r="94">
      <x:c r="A94" s="17" t="n">
        <x:v>15</x:v>
      </x:c>
      <x:c r="B94" s="17" t="str">
        <x:v>Trading Room</x:v>
      </x:c>
      <x:c r="C94" s="17" t="str">
        <x:v>Starter</x:v>
      </x:c>
      <x:c r="D94" s="17" t="str">
        <x:v>Uncommon</x:v>
      </x:c>
      <x:c r="E94" s="17" t="n">
        <x:v>15</x:v>
      </x:c>
      <x:c r="F94" s="17" t="n">
        <x:v>5</x:v>
      </x:c>
      <x:c r="G94" s="17" t="str">
        <x:v>Upgrade to Lv5</x:v>
      </x:c>
      <x:c r="H94" s="38" t="n">
        <x:f>ROUND(H93*INDEX('Balance Inputs'!$C$2:$C$7,MATCH(C94,'Balance Inputs'!$A$2:$A$7,0)),0)</x:f>
        <x:v>35898</x:v>
      </x:c>
      <x:c r="I94" s="38" t="n">
        <x:f>ROUND(INDEX('Balance Inputs'!$L$2:$L$51,MATCH(A94,'Balance Inputs'!$I$2:$I$51,0))*POWER(INDEX('Balance Inputs'!$D$2:$D$7,MATCH(C94,'Balance Inputs'!$A$2:$A$7,0)),F94-1),0)</x:f>
        <x:v>1754</x:v>
      </x:c>
      <x:c r="J94" s="38" t="n">
        <x:f>ROUND(I94*INDEX('Balance Inputs'!$F$2:$F$7,MATCH(C94,'Balance Inputs'!$A$2:$A$7,0)),0)</x:f>
        <x:v>228</x:v>
      </x:c>
      <x:c r="K94" s="38" t="n">
        <x:f>I94-J94</x:f>
        <x:v>1526</x:v>
      </x:c>
      <x:c r="L94" s="38" t="n">
        <x:f>ROUND(INDEX('Balance Inputs'!$M$2:$M$51,MATCH(A94,'Balance Inputs'!$I$2:$I$51,0))*POWER(INDEX('Balance Inputs'!$E$2:$E$7,MATCH(C94,'Balance Inputs'!$A$2:$A$7,0)),F94-1),0)</x:f>
        <x:v>2143</x:v>
      </x:c>
      <x:c r="M94" s="38" t="n">
        <x:f>ROUND(INDEX('Balance Inputs'!$N$2:$N$51,MATCH(A94,'Balance Inputs'!$I$2:$I$51,0))*POWER(INDEX('Balance Inputs'!$G$2:$G$7,MATCH(C94,'Balance Inputs'!$A$2:$A$7,0)),F94-1),0)</x:f>
        <x:v>120</x:v>
      </x:c>
      <x:c r="N94" s="38" t="n">
        <x:f>IF(A94&lt;&gt;A93,H94,N93+H94)</x:f>
        <x:v>87859</x:v>
      </x:c>
      <x:c r="O94" s="42" t="n">
        <x:f>IF(I94=0,0,H94/I94)</x:f>
        <x:v>20.46636259977195</x:v>
      </x:c>
      <x:c r="P94" s="43" t="n">
        <x:f>I94/INDEX('Balance Inputs'!$L$2:$L$51,MATCH(A94,'Balance Inputs'!$I$2:$I$51,0))</x:f>
        <x:v>3.321969696969697</x:v>
      </x:c>
      <x:c r="Q94" s="43" t="n">
        <x:f>L94/INDEX('Balance Inputs'!$M$2:$M$51,MATCH(A94,'Balance Inputs'!$I$2:$I$51,0))</x:f>
        <x:v>3.1284671532846717</x:v>
      </x:c>
      <x:c r="R94" s="17"/>
      <x:c r="S94" s="17"/>
      <x:c r="T94" s="17"/>
      <x:c r="U94" s="17"/>
      <x:c r="V94" s="17"/>
      <x:c r="W94" s="17"/>
      <x:c r="X94" s="17"/>
      <x:c r="Y94" s="17"/>
      <x:c r="Z94" s="17"/>
    </x:row>
    <x:row r="95">
      <x:c r="A95" s="17" t="n">
        <x:v>15</x:v>
      </x:c>
      <x:c r="B95" s="17" t="str">
        <x:v>Trading Room</x:v>
      </x:c>
      <x:c r="C95" s="17" t="str">
        <x:v>Starter</x:v>
      </x:c>
      <x:c r="D95" s="17" t="str">
        <x:v>Uncommon</x:v>
      </x:c>
      <x:c r="E95" s="17" t="n">
        <x:v>15</x:v>
      </x:c>
      <x:c r="F95" s="17" t="n">
        <x:v>6</x:v>
      </x:c>
      <x:c r="G95" s="17" t="str">
        <x:v>Upgrade to Lv6</x:v>
      </x:c>
      <x:c r="H95" s="38" t="n">
        <x:f>ROUND(H94*INDEX('Balance Inputs'!$C$2:$C$7,MATCH(C95,'Balance Inputs'!$A$2:$A$7,0)),0)</x:f>
        <x:v>56719</x:v>
      </x:c>
      <x:c r="I95" s="38" t="n">
        <x:f>ROUND(INDEX('Balance Inputs'!$L$2:$L$51,MATCH(A95,'Balance Inputs'!$I$2:$I$51,0))*POWER(INDEX('Balance Inputs'!$D$2:$D$7,MATCH(C95,'Balance Inputs'!$A$2:$A$7,0)),F95-1),0)</x:f>
        <x:v>2368</x:v>
      </x:c>
      <x:c r="J95" s="38" t="n">
        <x:f>ROUND(I95*INDEX('Balance Inputs'!$F$2:$F$7,MATCH(C95,'Balance Inputs'!$A$2:$A$7,0)),0)</x:f>
        <x:v>308</x:v>
      </x:c>
      <x:c r="K95" s="38" t="n">
        <x:f>I95-J95</x:f>
        <x:v>2060</x:v>
      </x:c>
      <x:c r="L95" s="38" t="n">
        <x:f>ROUND(INDEX('Balance Inputs'!$M$2:$M$51,MATCH(A95,'Balance Inputs'!$I$2:$I$51,0))*POWER(INDEX('Balance Inputs'!$E$2:$E$7,MATCH(C95,'Balance Inputs'!$A$2:$A$7,0)),F95-1),0)</x:f>
        <x:v>2851</x:v>
      </x:c>
      <x:c r="M95" s="38" t="n">
        <x:f>ROUND(INDEX('Balance Inputs'!$N$2:$N$51,MATCH(A95,'Balance Inputs'!$I$2:$I$51,0))*POWER(INDEX('Balance Inputs'!$G$2:$G$7,MATCH(C95,'Balance Inputs'!$A$2:$A$7,0)),F95-1),0)</x:f>
        <x:v>126</x:v>
      </x:c>
      <x:c r="N95" s="38" t="n">
        <x:f>IF(A95&lt;&gt;A94,H95,N94+H95)</x:f>
        <x:v>144578</x:v>
      </x:c>
      <x:c r="O95" s="42" t="n">
        <x:f>IF(I95=0,0,H95/I95)</x:f>
        <x:v>23.952280405405407</x:v>
      </x:c>
      <x:c r="P95" s="43" t="n">
        <x:f>I95/INDEX('Balance Inputs'!$L$2:$L$51,MATCH(A95,'Balance Inputs'!$I$2:$I$51,0))</x:f>
        <x:v>4.484848484848484</x:v>
      </x:c>
      <x:c r="Q95" s="43" t="n">
        <x:f>L95/INDEX('Balance Inputs'!$M$2:$M$51,MATCH(A95,'Balance Inputs'!$I$2:$I$51,0))</x:f>
        <x:v>4.162043795620438</x:v>
      </x:c>
      <x:c r="R95" s="17"/>
      <x:c r="S95" s="17"/>
      <x:c r="T95" s="17"/>
      <x:c r="U95" s="17"/>
      <x:c r="V95" s="17"/>
      <x:c r="W95" s="17"/>
      <x:c r="X95" s="17"/>
      <x:c r="Y95" s="17"/>
      <x:c r="Z95" s="17"/>
    </x:row>
    <x:row r="96">
      <x:c r="A96" s="17" t="n">
        <x:v>15</x:v>
      </x:c>
      <x:c r="B96" s="17" t="str">
        <x:v>Trading Room</x:v>
      </x:c>
      <x:c r="C96" s="17" t="str">
        <x:v>Starter</x:v>
      </x:c>
      <x:c r="D96" s="17" t="str">
        <x:v>Uncommon</x:v>
      </x:c>
      <x:c r="E96" s="17" t="n">
        <x:v>15</x:v>
      </x:c>
      <x:c r="F96" s="17" t="n">
        <x:v>7</x:v>
      </x:c>
      <x:c r="G96" s="17" t="str">
        <x:v>Upgrade to Lv7</x:v>
      </x:c>
      <x:c r="H96" s="38" t="n">
        <x:f>ROUND(H95*INDEX('Balance Inputs'!$C$2:$C$7,MATCH(C96,'Balance Inputs'!$A$2:$A$7,0)),0)</x:f>
        <x:v>89616</x:v>
      </x:c>
      <x:c r="I96" s="38" t="n">
        <x:f>ROUND(INDEX('Balance Inputs'!$L$2:$L$51,MATCH(A96,'Balance Inputs'!$I$2:$I$51,0))*POWER(INDEX('Balance Inputs'!$D$2:$D$7,MATCH(C96,'Balance Inputs'!$A$2:$A$7,0)),F96-1),0)</x:f>
        <x:v>3196</x:v>
      </x:c>
      <x:c r="J96" s="38" t="n">
        <x:f>ROUND(I96*INDEX('Balance Inputs'!$F$2:$F$7,MATCH(C96,'Balance Inputs'!$A$2:$A$7,0)),0)</x:f>
        <x:v>415</x:v>
      </x:c>
      <x:c r="K96" s="38" t="n">
        <x:f>I96-J96</x:f>
        <x:v>2781</x:v>
      </x:c>
      <x:c r="L96" s="38" t="n">
        <x:f>ROUND(INDEX('Balance Inputs'!$M$2:$M$51,MATCH(A96,'Balance Inputs'!$I$2:$I$51,0))*POWER(INDEX('Balance Inputs'!$E$2:$E$7,MATCH(C96,'Balance Inputs'!$A$2:$A$7,0)),F96-1),0)</x:f>
        <x:v>3791</x:v>
      </x:c>
      <x:c r="M96" s="38" t="n">
        <x:f>ROUND(INDEX('Balance Inputs'!$N$2:$N$51,MATCH(A96,'Balance Inputs'!$I$2:$I$51,0))*POWER(INDEX('Balance Inputs'!$G$2:$G$7,MATCH(C96,'Balance Inputs'!$A$2:$A$7,0)),F96-1),0)</x:f>
        <x:v>133</x:v>
      </x:c>
      <x:c r="N96" s="38" t="n">
        <x:f>IF(A96&lt;&gt;A95,H96,N95+H96)</x:f>
        <x:v>234194</x:v>
      </x:c>
      <x:c r="O96" s="42" t="n">
        <x:f>IF(I96=0,0,H96/I96)</x:f>
        <x:v>28.040050062578224</x:v>
      </x:c>
      <x:c r="P96" s="43" t="n">
        <x:f>I96/INDEX('Balance Inputs'!$L$2:$L$51,MATCH(A96,'Balance Inputs'!$I$2:$I$51,0))</x:f>
        <x:v>6.053030303030303</x:v>
      </x:c>
      <x:c r="Q96" s="43" t="n">
        <x:f>L96/INDEX('Balance Inputs'!$M$2:$M$51,MATCH(A96,'Balance Inputs'!$I$2:$I$51,0))</x:f>
        <x:v>5.534306569343066</x:v>
      </x:c>
      <x:c r="R96" s="17"/>
      <x:c r="S96" s="17"/>
      <x:c r="T96" s="17"/>
      <x:c r="U96" s="17"/>
      <x:c r="V96" s="17"/>
      <x:c r="W96" s="17"/>
      <x:c r="X96" s="17"/>
      <x:c r="Y96" s="17"/>
      <x:c r="Z96" s="17"/>
    </x:row>
    <x:row r="97">
      <x:c r="A97" s="17" t="n">
        <x:v>16</x:v>
      </x:c>
      <x:c r="B97" s="17" t="str">
        <x:v>Small Research Office</x:v>
      </x:c>
      <x:c r="C97" s="17" t="str">
        <x:v>Starter</x:v>
      </x:c>
      <x:c r="D97" s="17" t="str">
        <x:v>Uncommon</x:v>
      </x:c>
      <x:c r="E97" s="17" t="n">
        <x:v>16</x:v>
      </x:c>
      <x:c r="F97" s="17" t="n">
        <x:v>1</x:v>
      </x:c>
      <x:c r="G97" s="17" t="str">
        <x:v>Build</x:v>
      </x:c>
      <x:c r="H97" s="38" t="n">
        <x:f>INDEX('Balance Inputs'!$K$2:$K$51,MATCH(A97,'Balance Inputs'!$I$2:$I$51,0))</x:f>
        <x:v>7110</x:v>
      </x:c>
      <x:c r="I97" s="38" t="n">
        <x:f>ROUND(INDEX('Balance Inputs'!$L$2:$L$51,MATCH(A97,'Balance Inputs'!$I$2:$I$51,0))*POWER(INDEX('Balance Inputs'!$D$2:$D$7,MATCH(C97,'Balance Inputs'!$A$2:$A$7,0)),F97-1),0)</x:f>
        <x:v>417</x:v>
      </x:c>
      <x:c r="J97" s="38" t="n">
        <x:f>ROUND(I97*INDEX('Balance Inputs'!$F$2:$F$7,MATCH(C97,'Balance Inputs'!$A$2:$A$7,0)),0)</x:f>
        <x:v>54</x:v>
      </x:c>
      <x:c r="K97" s="38" t="n">
        <x:f>I97-J97</x:f>
        <x:v>363</x:v>
      </x:c>
      <x:c r="L97" s="38" t="n">
        <x:f>ROUND(INDEX('Balance Inputs'!$M$2:$M$51,MATCH(A97,'Balance Inputs'!$I$2:$I$51,0))*POWER(INDEX('Balance Inputs'!$E$2:$E$7,MATCH(C97,'Balance Inputs'!$A$2:$A$7,0)),F97-1),0)</x:f>
        <x:v>815</x:v>
      </x:c>
      <x:c r="M97" s="38" t="n">
        <x:f>ROUND(INDEX('Balance Inputs'!$N$2:$N$51,MATCH(A97,'Balance Inputs'!$I$2:$I$51,0))*POWER(INDEX('Balance Inputs'!$G$2:$G$7,MATCH(C97,'Balance Inputs'!$A$2:$A$7,0)),F97-1),0)</x:f>
        <x:v>78</x:v>
      </x:c>
      <x:c r="N97" s="38" t="n">
        <x:f>IF(A97&lt;&gt;A96,H97,N96+H97)</x:f>
        <x:v>7110</x:v>
      </x:c>
      <x:c r="O97" s="42" t="n">
        <x:f>IF(I97=0,0,H97/I97)</x:f>
        <x:v>17.050359712230215</x:v>
      </x:c>
      <x:c r="P97" s="43" t="n">
        <x:f>I97/INDEX('Balance Inputs'!$L$2:$L$51,MATCH(A97,'Balance Inputs'!$I$2:$I$51,0))</x:f>
        <x:v>1</x:v>
      </x:c>
      <x:c r="Q97" s="43" t="n">
        <x:f>L97/INDEX('Balance Inputs'!$M$2:$M$51,MATCH(A97,'Balance Inputs'!$I$2:$I$51,0))</x:f>
        <x:v>1</x:v>
      </x:c>
      <x:c r="R97" s="17"/>
      <x:c r="S97" s="17"/>
      <x:c r="T97" s="17"/>
      <x:c r="U97" s="17"/>
      <x:c r="V97" s="17"/>
      <x:c r="W97" s="17"/>
      <x:c r="X97" s="17"/>
      <x:c r="Y97" s="17"/>
      <x:c r="Z97" s="17"/>
    </x:row>
    <x:row r="98">
      <x:c r="A98" s="17" t="n">
        <x:v>16</x:v>
      </x:c>
      <x:c r="B98" s="17" t="str">
        <x:v>Small Research Office</x:v>
      </x:c>
      <x:c r="C98" s="17" t="str">
        <x:v>Starter</x:v>
      </x:c>
      <x:c r="D98" s="17" t="str">
        <x:v>Uncommon</x:v>
      </x:c>
      <x:c r="E98" s="17" t="n">
        <x:v>16</x:v>
      </x:c>
      <x:c r="F98" s="17" t="n">
        <x:v>2</x:v>
      </x:c>
      <x:c r="G98" s="17" t="str">
        <x:v>Upgrade to Lv2</x:v>
      </x:c>
      <x:c r="H98" s="38" t="n">
        <x:f>ROUND(H97*INDEX('Balance Inputs'!$C$2:$C$7,MATCH(C98,'Balance Inputs'!$A$2:$A$7,0)),0)</x:f>
        <x:v>11234</x:v>
      </x:c>
      <x:c r="I98" s="38" t="n">
        <x:f>ROUND(INDEX('Balance Inputs'!$L$2:$L$51,MATCH(A98,'Balance Inputs'!$I$2:$I$51,0))*POWER(INDEX('Balance Inputs'!$D$2:$D$7,MATCH(C98,'Balance Inputs'!$A$2:$A$7,0)),F98-1),0)</x:f>
        <x:v>563</x:v>
      </x:c>
      <x:c r="J98" s="38" t="n">
        <x:f>ROUND(I98*INDEX('Balance Inputs'!$F$2:$F$7,MATCH(C98,'Balance Inputs'!$A$2:$A$7,0)),0)</x:f>
        <x:v>73</x:v>
      </x:c>
      <x:c r="K98" s="38" t="n">
        <x:f>I98-J98</x:f>
        <x:v>490</x:v>
      </x:c>
      <x:c r="L98" s="38" t="n">
        <x:f>ROUND(INDEX('Balance Inputs'!$M$2:$M$51,MATCH(A98,'Balance Inputs'!$I$2:$I$51,0))*POWER(INDEX('Balance Inputs'!$E$2:$E$7,MATCH(C98,'Balance Inputs'!$A$2:$A$7,0)),F98-1),0)</x:f>
        <x:v>1084</x:v>
      </x:c>
      <x:c r="M98" s="38" t="n">
        <x:f>ROUND(INDEX('Balance Inputs'!$N$2:$N$51,MATCH(A98,'Balance Inputs'!$I$2:$I$51,0))*POWER(INDEX('Balance Inputs'!$G$2:$G$7,MATCH(C98,'Balance Inputs'!$A$2:$A$7,0)),F98-1),0)</x:f>
        <x:v>82</x:v>
      </x:c>
      <x:c r="N98" s="38" t="n">
        <x:f>IF(A98&lt;&gt;A97,H98,N97+H98)</x:f>
        <x:v>18344</x:v>
      </x:c>
      <x:c r="O98" s="42" t="n">
        <x:f>IF(I98=0,0,H98/I98)</x:f>
        <x:v>19.9538188277087</x:v>
      </x:c>
      <x:c r="P98" s="43" t="n">
        <x:f>I98/INDEX('Balance Inputs'!$L$2:$L$51,MATCH(A98,'Balance Inputs'!$I$2:$I$51,0))</x:f>
        <x:v>1.3501199040767387</x:v>
      </x:c>
      <x:c r="Q98" s="43" t="n">
        <x:f>L98/INDEX('Balance Inputs'!$M$2:$M$51,MATCH(A98,'Balance Inputs'!$I$2:$I$51,0))</x:f>
        <x:v>1.3300613496932516</x:v>
      </x:c>
      <x:c r="R98" s="17"/>
      <x:c r="S98" s="17"/>
      <x:c r="T98" s="17"/>
      <x:c r="U98" s="17"/>
      <x:c r="V98" s="17"/>
      <x:c r="W98" s="17"/>
      <x:c r="X98" s="17"/>
      <x:c r="Y98" s="17"/>
      <x:c r="Z98" s="17"/>
    </x:row>
    <x:row r="99">
      <x:c r="A99" s="17" t="n">
        <x:v>16</x:v>
      </x:c>
      <x:c r="B99" s="17" t="str">
        <x:v>Small Research Office</x:v>
      </x:c>
      <x:c r="C99" s="17" t="str">
        <x:v>Starter</x:v>
      </x:c>
      <x:c r="D99" s="17" t="str">
        <x:v>Uncommon</x:v>
      </x:c>
      <x:c r="E99" s="17" t="n">
        <x:v>16</x:v>
      </x:c>
      <x:c r="F99" s="17" t="n">
        <x:v>3</x:v>
      </x:c>
      <x:c r="G99" s="17" t="str">
        <x:v>Upgrade to Lv3</x:v>
      </x:c>
      <x:c r="H99" s="38" t="n">
        <x:f>ROUND(H98*INDEX('Balance Inputs'!$C$2:$C$7,MATCH(C99,'Balance Inputs'!$A$2:$A$7,0)),0)</x:f>
        <x:v>17750</x:v>
      </x:c>
      <x:c r="I99" s="38" t="n">
        <x:f>ROUND(INDEX('Balance Inputs'!$L$2:$L$51,MATCH(A99,'Balance Inputs'!$I$2:$I$51,0))*POWER(INDEX('Balance Inputs'!$D$2:$D$7,MATCH(C99,'Balance Inputs'!$A$2:$A$7,0)),F99-1),0)</x:f>
        <x:v>760</x:v>
      </x:c>
      <x:c r="J99" s="38" t="n">
        <x:f>ROUND(I99*INDEX('Balance Inputs'!$F$2:$F$7,MATCH(C99,'Balance Inputs'!$A$2:$A$7,0)),0)</x:f>
        <x:v>99</x:v>
      </x:c>
      <x:c r="K99" s="38" t="n">
        <x:f>I99-J99</x:f>
        <x:v>661</x:v>
      </x:c>
      <x:c r="L99" s="38" t="n">
        <x:f>ROUND(INDEX('Balance Inputs'!$M$2:$M$51,MATCH(A99,'Balance Inputs'!$I$2:$I$51,0))*POWER(INDEX('Balance Inputs'!$E$2:$E$7,MATCH(C99,'Balance Inputs'!$A$2:$A$7,0)),F99-1),0)</x:f>
        <x:v>1442</x:v>
      </x:c>
      <x:c r="M99" s="38" t="n">
        <x:f>ROUND(INDEX('Balance Inputs'!$N$2:$N$51,MATCH(A99,'Balance Inputs'!$I$2:$I$51,0))*POWER(INDEX('Balance Inputs'!$G$2:$G$7,MATCH(C99,'Balance Inputs'!$A$2:$A$7,0)),F99-1),0)</x:f>
        <x:v>86</x:v>
      </x:c>
      <x:c r="N99" s="38" t="n">
        <x:f>IF(A99&lt;&gt;A98,H99,N98+H99)</x:f>
        <x:v>36094</x:v>
      </x:c>
      <x:c r="O99" s="42" t="n">
        <x:f>IF(I99=0,0,H99/I99)</x:f>
        <x:v>23.355263157894736</x:v>
      </x:c>
      <x:c r="P99" s="43" t="n">
        <x:f>I99/INDEX('Balance Inputs'!$L$2:$L$51,MATCH(A99,'Balance Inputs'!$I$2:$I$51,0))</x:f>
        <x:v>1.8225419664268585</x:v>
      </x:c>
      <x:c r="Q99" s="43" t="n">
        <x:f>L99/INDEX('Balance Inputs'!$M$2:$M$51,MATCH(A99,'Balance Inputs'!$I$2:$I$51,0))</x:f>
        <x:v>1.7693251533742331</x:v>
      </x:c>
      <x:c r="R99" s="17"/>
      <x:c r="S99" s="17"/>
      <x:c r="T99" s="17"/>
      <x:c r="U99" s="17"/>
      <x:c r="V99" s="17"/>
      <x:c r="W99" s="17"/>
      <x:c r="X99" s="17"/>
      <x:c r="Y99" s="17"/>
      <x:c r="Z99" s="17"/>
    </x:row>
    <x:row r="100">
      <x:c r="A100" s="17" t="n">
        <x:v>16</x:v>
      </x:c>
      <x:c r="B100" s="17" t="str">
        <x:v>Small Research Office</x:v>
      </x:c>
      <x:c r="C100" s="17" t="str">
        <x:v>Starter</x:v>
      </x:c>
      <x:c r="D100" s="17" t="str">
        <x:v>Uncommon</x:v>
      </x:c>
      <x:c r="E100" s="17" t="n">
        <x:v>16</x:v>
      </x:c>
      <x:c r="F100" s="17" t="n">
        <x:v>4</x:v>
      </x:c>
      <x:c r="G100" s="17" t="str">
        <x:v>Upgrade to Lv4</x:v>
      </x:c>
      <x:c r="H100" s="38" t="n">
        <x:f>ROUND(H99*INDEX('Balance Inputs'!$C$2:$C$7,MATCH(C100,'Balance Inputs'!$A$2:$A$7,0)),0)</x:f>
        <x:v>28045</x:v>
      </x:c>
      <x:c r="I100" s="38" t="n">
        <x:f>ROUND(INDEX('Balance Inputs'!$L$2:$L$51,MATCH(A100,'Balance Inputs'!$I$2:$I$51,0))*POWER(INDEX('Balance Inputs'!$D$2:$D$7,MATCH(C100,'Balance Inputs'!$A$2:$A$7,0)),F100-1),0)</x:f>
        <x:v>1026</x:v>
      </x:c>
      <x:c r="J100" s="38" t="n">
        <x:f>ROUND(I100*INDEX('Balance Inputs'!$F$2:$F$7,MATCH(C100,'Balance Inputs'!$A$2:$A$7,0)),0)</x:f>
        <x:v>133</x:v>
      </x:c>
      <x:c r="K100" s="38" t="n">
        <x:f>I100-J100</x:f>
        <x:v>893</x:v>
      </x:c>
      <x:c r="L100" s="38" t="n">
        <x:f>ROUND(INDEX('Balance Inputs'!$M$2:$M$51,MATCH(A100,'Balance Inputs'!$I$2:$I$51,0))*POWER(INDEX('Balance Inputs'!$E$2:$E$7,MATCH(C100,'Balance Inputs'!$A$2:$A$7,0)),F100-1),0)</x:f>
        <x:v>1917</x:v>
      </x:c>
      <x:c r="M100" s="38" t="n">
        <x:f>ROUND(INDEX('Balance Inputs'!$N$2:$N$51,MATCH(A100,'Balance Inputs'!$I$2:$I$51,0))*POWER(INDEX('Balance Inputs'!$G$2:$G$7,MATCH(C100,'Balance Inputs'!$A$2:$A$7,0)),F100-1),0)</x:f>
        <x:v>90</x:v>
      </x:c>
      <x:c r="N100" s="38" t="n">
        <x:f>IF(A100&lt;&gt;A99,H100,N99+H100)</x:f>
        <x:v>64139</x:v>
      </x:c>
      <x:c r="O100" s="42" t="n">
        <x:f>IF(I100=0,0,H100/I100)</x:f>
        <x:v>27.334307992202728</x:v>
      </x:c>
      <x:c r="P100" s="43" t="n">
        <x:f>I100/INDEX('Balance Inputs'!$L$2:$L$51,MATCH(A100,'Balance Inputs'!$I$2:$I$51,0))</x:f>
        <x:v>2.460431654676259</x:v>
      </x:c>
      <x:c r="Q100" s="43" t="n">
        <x:f>L100/INDEX('Balance Inputs'!$M$2:$M$51,MATCH(A100,'Balance Inputs'!$I$2:$I$51,0))</x:f>
        <x:v>2.352147239263804</x:v>
      </x:c>
      <x:c r="R100" s="17"/>
      <x:c r="S100" s="17"/>
      <x:c r="T100" s="17"/>
      <x:c r="U100" s="17"/>
      <x:c r="V100" s="17"/>
      <x:c r="W100" s="17"/>
      <x:c r="X100" s="17"/>
      <x:c r="Y100" s="17"/>
      <x:c r="Z100" s="17"/>
    </x:row>
    <x:row r="101">
      <x:c r="A101" s="17" t="n">
        <x:v>16</x:v>
      </x:c>
      <x:c r="B101" s="17" t="str">
        <x:v>Small Research Office</x:v>
      </x:c>
      <x:c r="C101" s="17" t="str">
        <x:v>Starter</x:v>
      </x:c>
      <x:c r="D101" s="17" t="str">
        <x:v>Uncommon</x:v>
      </x:c>
      <x:c r="E101" s="17" t="n">
        <x:v>16</x:v>
      </x:c>
      <x:c r="F101" s="17" t="n">
        <x:v>5</x:v>
      </x:c>
      <x:c r="G101" s="17" t="str">
        <x:v>Upgrade to Lv5</x:v>
      </x:c>
      <x:c r="H101" s="38" t="n">
        <x:f>ROUND(H100*INDEX('Balance Inputs'!$C$2:$C$7,MATCH(C101,'Balance Inputs'!$A$2:$A$7,0)),0)</x:f>
        <x:v>44311</x:v>
      </x:c>
      <x:c r="I101" s="38" t="n">
        <x:f>ROUND(INDEX('Balance Inputs'!$L$2:$L$51,MATCH(A101,'Balance Inputs'!$I$2:$I$51,0))*POWER(INDEX('Balance Inputs'!$D$2:$D$7,MATCH(C101,'Balance Inputs'!$A$2:$A$7,0)),F101-1),0)</x:f>
        <x:v>1385</x:v>
      </x:c>
      <x:c r="J101" s="38" t="n">
        <x:f>ROUND(I101*INDEX('Balance Inputs'!$F$2:$F$7,MATCH(C101,'Balance Inputs'!$A$2:$A$7,0)),0)</x:f>
        <x:v>180</x:v>
      </x:c>
      <x:c r="K101" s="38" t="n">
        <x:f>I101-J101</x:f>
        <x:v>1205</x:v>
      </x:c>
      <x:c r="L101" s="38" t="n">
        <x:f>ROUND(INDEX('Balance Inputs'!$M$2:$M$51,MATCH(A101,'Balance Inputs'!$I$2:$I$51,0))*POWER(INDEX('Balance Inputs'!$E$2:$E$7,MATCH(C101,'Balance Inputs'!$A$2:$A$7,0)),F101-1),0)</x:f>
        <x:v>2550</x:v>
      </x:c>
      <x:c r="M101" s="38" t="n">
        <x:f>ROUND(INDEX('Balance Inputs'!$N$2:$N$51,MATCH(A101,'Balance Inputs'!$I$2:$I$51,0))*POWER(INDEX('Balance Inputs'!$G$2:$G$7,MATCH(C101,'Balance Inputs'!$A$2:$A$7,0)),F101-1),0)</x:f>
        <x:v>95</x:v>
      </x:c>
      <x:c r="N101" s="38" t="n">
        <x:f>IF(A101&lt;&gt;A100,H101,N100+H101)</x:f>
        <x:v>108450</x:v>
      </x:c>
      <x:c r="O101" s="42" t="n">
        <x:f>IF(I101=0,0,H101/I101)</x:f>
        <x:v>31.99350180505415</x:v>
      </x:c>
      <x:c r="P101" s="43" t="n">
        <x:f>I101/INDEX('Balance Inputs'!$L$2:$L$51,MATCH(A101,'Balance Inputs'!$I$2:$I$51,0))</x:f>
        <x:v>3.321342925659472</x:v>
      </x:c>
      <x:c r="Q101" s="43" t="n">
        <x:f>L101/INDEX('Balance Inputs'!$M$2:$M$51,MATCH(A101,'Balance Inputs'!$I$2:$I$51,0))</x:f>
        <x:v>3.128834355828221</x:v>
      </x:c>
      <x:c r="R101" s="17"/>
      <x:c r="S101" s="17"/>
      <x:c r="T101" s="17"/>
      <x:c r="U101" s="17"/>
      <x:c r="V101" s="17"/>
      <x:c r="W101" s="17"/>
      <x:c r="X101" s="17"/>
      <x:c r="Y101" s="17"/>
      <x:c r="Z101" s="17"/>
    </x:row>
    <x:row r="102">
      <x:c r="A102" s="17" t="n">
        <x:v>16</x:v>
      </x:c>
      <x:c r="B102" s="17" t="str">
        <x:v>Small Research Office</x:v>
      </x:c>
      <x:c r="C102" s="17" t="str">
        <x:v>Starter</x:v>
      </x:c>
      <x:c r="D102" s="17" t="str">
        <x:v>Uncommon</x:v>
      </x:c>
      <x:c r="E102" s="17" t="n">
        <x:v>16</x:v>
      </x:c>
      <x:c r="F102" s="17" t="n">
        <x:v>6</x:v>
      </x:c>
      <x:c r="G102" s="17" t="str">
        <x:v>Upgrade to Lv6</x:v>
      </x:c>
      <x:c r="H102" s="38" t="n">
        <x:f>ROUND(H101*INDEX('Balance Inputs'!$C$2:$C$7,MATCH(C102,'Balance Inputs'!$A$2:$A$7,0)),0)</x:f>
        <x:v>70011</x:v>
      </x:c>
      <x:c r="I102" s="38" t="n">
        <x:f>ROUND(INDEX('Balance Inputs'!$L$2:$L$51,MATCH(A102,'Balance Inputs'!$I$2:$I$51,0))*POWER(INDEX('Balance Inputs'!$D$2:$D$7,MATCH(C102,'Balance Inputs'!$A$2:$A$7,0)),F102-1),0)</x:f>
        <x:v>1870</x:v>
      </x:c>
      <x:c r="J102" s="38" t="n">
        <x:f>ROUND(I102*INDEX('Balance Inputs'!$F$2:$F$7,MATCH(C102,'Balance Inputs'!$A$2:$A$7,0)),0)</x:f>
        <x:v>243</x:v>
      </x:c>
      <x:c r="K102" s="38" t="n">
        <x:f>I102-J102</x:f>
        <x:v>1627</x:v>
      </x:c>
      <x:c r="L102" s="38" t="n">
        <x:f>ROUND(INDEX('Balance Inputs'!$M$2:$M$51,MATCH(A102,'Balance Inputs'!$I$2:$I$51,0))*POWER(INDEX('Balance Inputs'!$E$2:$E$7,MATCH(C102,'Balance Inputs'!$A$2:$A$7,0)),F102-1),0)</x:f>
        <x:v>3392</x:v>
      </x:c>
      <x:c r="M102" s="38" t="n">
        <x:f>ROUND(INDEX('Balance Inputs'!$N$2:$N$51,MATCH(A102,'Balance Inputs'!$I$2:$I$51,0))*POWER(INDEX('Balance Inputs'!$G$2:$G$7,MATCH(C102,'Balance Inputs'!$A$2:$A$7,0)),F102-1),0)</x:f>
        <x:v>100</x:v>
      </x:c>
      <x:c r="N102" s="38" t="n">
        <x:f>IF(A102&lt;&gt;A101,H102,N101+H102)</x:f>
        <x:v>178461</x:v>
      </x:c>
      <x:c r="O102" s="42" t="n">
        <x:f>IF(I102=0,0,H102/I102)</x:f>
        <x:v>37.43903743315508</x:v>
      </x:c>
      <x:c r="P102" s="43" t="n">
        <x:f>I102/INDEX('Balance Inputs'!$L$2:$L$51,MATCH(A102,'Balance Inputs'!$I$2:$I$51,0))</x:f>
        <x:v>4.4844124700239805</x:v>
      </x:c>
      <x:c r="Q102" s="43" t="n">
        <x:f>L102/INDEX('Balance Inputs'!$M$2:$M$51,MATCH(A102,'Balance Inputs'!$I$2:$I$51,0))</x:f>
        <x:v>4.161963190184049</x:v>
      </x:c>
      <x:c r="R102" s="17"/>
      <x:c r="S102" s="17"/>
      <x:c r="T102" s="17"/>
      <x:c r="U102" s="17"/>
      <x:c r="V102" s="17"/>
      <x:c r="W102" s="17"/>
      <x:c r="X102" s="17"/>
      <x:c r="Y102" s="17"/>
      <x:c r="Z102" s="17"/>
    </x:row>
    <x:row r="103">
      <x:c r="A103" s="17" t="n">
        <x:v>16</x:v>
      </x:c>
      <x:c r="B103" s="17" t="str">
        <x:v>Small Research Office</x:v>
      </x:c>
      <x:c r="C103" s="17" t="str">
        <x:v>Starter</x:v>
      </x:c>
      <x:c r="D103" s="17" t="str">
        <x:v>Uncommon</x:v>
      </x:c>
      <x:c r="E103" s="17" t="n">
        <x:v>16</x:v>
      </x:c>
      <x:c r="F103" s="17" t="n">
        <x:v>7</x:v>
      </x:c>
      <x:c r="G103" s="17" t="str">
        <x:v>Upgrade to Lv7</x:v>
      </x:c>
      <x:c r="H103" s="38" t="n">
        <x:f>ROUND(H102*INDEX('Balance Inputs'!$C$2:$C$7,MATCH(C103,'Balance Inputs'!$A$2:$A$7,0)),0)</x:f>
        <x:v>110617</x:v>
      </x:c>
      <x:c r="I103" s="38" t="n">
        <x:f>ROUND(INDEX('Balance Inputs'!$L$2:$L$51,MATCH(A103,'Balance Inputs'!$I$2:$I$51,0))*POWER(INDEX('Balance Inputs'!$D$2:$D$7,MATCH(C103,'Balance Inputs'!$A$2:$A$7,0)),F103-1),0)</x:f>
        <x:v>2524</x:v>
      </x:c>
      <x:c r="J103" s="38" t="n">
        <x:f>ROUND(I103*INDEX('Balance Inputs'!$F$2:$F$7,MATCH(C103,'Balance Inputs'!$A$2:$A$7,0)),0)</x:f>
        <x:v>328</x:v>
      </x:c>
      <x:c r="K103" s="38" t="n">
        <x:f>I103-J103</x:f>
        <x:v>2196</x:v>
      </x:c>
      <x:c r="L103" s="38" t="n">
        <x:f>ROUND(INDEX('Balance Inputs'!$M$2:$M$51,MATCH(A103,'Balance Inputs'!$I$2:$I$51,0))*POWER(INDEX('Balance Inputs'!$E$2:$E$7,MATCH(C103,'Balance Inputs'!$A$2:$A$7,0)),F103-1),0)</x:f>
        <x:v>4511</x:v>
      </x:c>
      <x:c r="M103" s="38" t="n">
        <x:f>ROUND(INDEX('Balance Inputs'!$N$2:$N$51,MATCH(A103,'Balance Inputs'!$I$2:$I$51,0))*POWER(INDEX('Balance Inputs'!$G$2:$G$7,MATCH(C103,'Balance Inputs'!$A$2:$A$7,0)),F103-1),0)</x:f>
        <x:v>105</x:v>
      </x:c>
      <x:c r="N103" s="38" t="n">
        <x:f>IF(A103&lt;&gt;A102,H103,N102+H103)</x:f>
        <x:v>289078</x:v>
      </x:c>
      <x:c r="O103" s="42" t="n">
        <x:f>IF(I103=0,0,H103/I103)</x:f>
        <x:v>43.82606973058637</x:v>
      </x:c>
      <x:c r="P103" s="43" t="n">
        <x:f>I103/INDEX('Balance Inputs'!$L$2:$L$51,MATCH(A103,'Balance Inputs'!$I$2:$I$51,0))</x:f>
        <x:v>6.052757793764988</x:v>
      </x:c>
      <x:c r="Q103" s="43" t="n">
        <x:f>L103/INDEX('Balance Inputs'!$M$2:$M$51,MATCH(A103,'Balance Inputs'!$I$2:$I$51,0))</x:f>
        <x:v>5.534969325153374</x:v>
      </x:c>
      <x:c r="R103" s="17"/>
      <x:c r="S103" s="17"/>
      <x:c r="T103" s="17"/>
      <x:c r="U103" s="17"/>
      <x:c r="V103" s="17"/>
      <x:c r="W103" s="17"/>
      <x:c r="X103" s="17"/>
      <x:c r="Y103" s="17"/>
      <x:c r="Z103" s="17"/>
    </x:row>
    <x:row r="104">
      <x:c r="A104" s="17" t="n">
        <x:v>17</x:v>
      </x:c>
      <x:c r="B104" s="17" t="str">
        <x:v>Local Insurance Office</x:v>
      </x:c>
      <x:c r="C104" s="17" t="str">
        <x:v>Starter</x:v>
      </x:c>
      <x:c r="D104" s="17" t="str">
        <x:v>Uncommon</x:v>
      </x:c>
      <x:c r="E104" s="17" t="n">
        <x:v>17</x:v>
      </x:c>
      <x:c r="F104" s="17" t="n">
        <x:v>1</x:v>
      </x:c>
      <x:c r="G104" s="17" t="str">
        <x:v>Build</x:v>
      </x:c>
      <x:c r="H104" s="38" t="n">
        <x:f>INDEX('Balance Inputs'!$K$2:$K$51,MATCH(A104,'Balance Inputs'!$I$2:$I$51,0))</x:f>
        <x:v>8790</x:v>
      </x:c>
      <x:c r="I104" s="38" t="n">
        <x:f>ROUND(INDEX('Balance Inputs'!$L$2:$L$51,MATCH(A104,'Balance Inputs'!$I$2:$I$51,0))*POWER(INDEX('Balance Inputs'!$D$2:$D$7,MATCH(C104,'Balance Inputs'!$A$2:$A$7,0)),F104-1),0)</x:f>
        <x:v>629</x:v>
      </x:c>
      <x:c r="J104" s="38" t="n">
        <x:f>ROUND(I104*INDEX('Balance Inputs'!$F$2:$F$7,MATCH(C104,'Balance Inputs'!$A$2:$A$7,0)),0)</x:f>
        <x:v>82</x:v>
      </x:c>
      <x:c r="K104" s="38" t="n">
        <x:f>I104-J104</x:f>
        <x:v>547</x:v>
      </x:c>
      <x:c r="L104" s="38" t="n">
        <x:f>ROUND(INDEX('Balance Inputs'!$M$2:$M$51,MATCH(A104,'Balance Inputs'!$I$2:$I$51,0))*POWER(INDEX('Balance Inputs'!$E$2:$E$7,MATCH(C104,'Balance Inputs'!$A$2:$A$7,0)),F104-1),0)</x:f>
        <x:v>970</x:v>
      </x:c>
      <x:c r="M104" s="38" t="n">
        <x:f>ROUND(INDEX('Balance Inputs'!$N$2:$N$51,MATCH(A104,'Balance Inputs'!$I$2:$I$51,0))*POWER(INDEX('Balance Inputs'!$G$2:$G$7,MATCH(C104,'Balance Inputs'!$A$2:$A$7,0)),F104-1),0)</x:f>
        <x:v>99</x:v>
      </x:c>
      <x:c r="N104" s="38" t="n">
        <x:f>IF(A104&lt;&gt;A103,H104,N103+H104)</x:f>
        <x:v>8790</x:v>
      </x:c>
      <x:c r="O104" s="42" t="n">
        <x:f>IF(I104=0,0,H104/I104)</x:f>
        <x:v>13.97456279809221</x:v>
      </x:c>
      <x:c r="P104" s="43" t="n">
        <x:f>I104/INDEX('Balance Inputs'!$L$2:$L$51,MATCH(A104,'Balance Inputs'!$I$2:$I$51,0))</x:f>
        <x:v>1</x:v>
      </x:c>
      <x:c r="Q104" s="43" t="n">
        <x:f>L104/INDEX('Balance Inputs'!$M$2:$M$51,MATCH(A104,'Balance Inputs'!$I$2:$I$51,0))</x:f>
        <x:v>1</x:v>
      </x:c>
      <x:c r="R104" s="17"/>
      <x:c r="S104" s="17"/>
      <x:c r="T104" s="17"/>
      <x:c r="U104" s="17"/>
      <x:c r="V104" s="17"/>
      <x:c r="W104" s="17"/>
      <x:c r="X104" s="17"/>
      <x:c r="Y104" s="17"/>
      <x:c r="Z104" s="17"/>
    </x:row>
    <x:row r="105">
      <x:c r="A105" s="17" t="n">
        <x:v>17</x:v>
      </x:c>
      <x:c r="B105" s="17" t="str">
        <x:v>Local Insurance Office</x:v>
      </x:c>
      <x:c r="C105" s="17" t="str">
        <x:v>Starter</x:v>
      </x:c>
      <x:c r="D105" s="17" t="str">
        <x:v>Uncommon</x:v>
      </x:c>
      <x:c r="E105" s="17" t="n">
        <x:v>17</x:v>
      </x:c>
      <x:c r="F105" s="17" t="n">
        <x:v>2</x:v>
      </x:c>
      <x:c r="G105" s="17" t="str">
        <x:v>Upgrade to Lv2</x:v>
      </x:c>
      <x:c r="H105" s="38" t="n">
        <x:f>ROUND(H104*INDEX('Balance Inputs'!$C$2:$C$7,MATCH(C105,'Balance Inputs'!$A$2:$A$7,0)),0)</x:f>
        <x:v>13888</x:v>
      </x:c>
      <x:c r="I105" s="38" t="n">
        <x:f>ROUND(INDEX('Balance Inputs'!$L$2:$L$51,MATCH(A105,'Balance Inputs'!$I$2:$I$51,0))*POWER(INDEX('Balance Inputs'!$D$2:$D$7,MATCH(C105,'Balance Inputs'!$A$2:$A$7,0)),F105-1),0)</x:f>
        <x:v>849</x:v>
      </x:c>
      <x:c r="J105" s="38" t="n">
        <x:f>ROUND(I105*INDEX('Balance Inputs'!$F$2:$F$7,MATCH(C105,'Balance Inputs'!$A$2:$A$7,0)),0)</x:f>
        <x:v>110</x:v>
      </x:c>
      <x:c r="K105" s="38" t="n">
        <x:f>I105-J105</x:f>
        <x:v>739</x:v>
      </x:c>
      <x:c r="L105" s="38" t="n">
        <x:f>ROUND(INDEX('Balance Inputs'!$M$2:$M$51,MATCH(A105,'Balance Inputs'!$I$2:$I$51,0))*POWER(INDEX('Balance Inputs'!$E$2:$E$7,MATCH(C105,'Balance Inputs'!$A$2:$A$7,0)),F105-1),0)</x:f>
        <x:v>1290</x:v>
      </x:c>
      <x:c r="M105" s="38" t="n">
        <x:f>ROUND(INDEX('Balance Inputs'!$N$2:$N$51,MATCH(A105,'Balance Inputs'!$I$2:$I$51,0))*POWER(INDEX('Balance Inputs'!$G$2:$G$7,MATCH(C105,'Balance Inputs'!$A$2:$A$7,0)),F105-1),0)</x:f>
        <x:v>104</x:v>
      </x:c>
      <x:c r="N105" s="38" t="n">
        <x:f>IF(A105&lt;&gt;A104,H105,N104+H105)</x:f>
        <x:v>22678</x:v>
      </x:c>
      <x:c r="O105" s="42" t="n">
        <x:f>IF(I105=0,0,H105/I105)</x:f>
        <x:v>16.358068315665488</x:v>
      </x:c>
      <x:c r="P105" s="43" t="n">
        <x:f>I105/INDEX('Balance Inputs'!$L$2:$L$51,MATCH(A105,'Balance Inputs'!$I$2:$I$51,0))</x:f>
        <x:v>1.3497615262321145</x:v>
      </x:c>
      <x:c r="Q105" s="43" t="n">
        <x:f>L105/INDEX('Balance Inputs'!$M$2:$M$51,MATCH(A105,'Balance Inputs'!$I$2:$I$51,0))</x:f>
        <x:v>1.3298969072164948</x:v>
      </x:c>
      <x:c r="R105" s="17"/>
      <x:c r="S105" s="17"/>
      <x:c r="T105" s="17"/>
      <x:c r="U105" s="17"/>
      <x:c r="V105" s="17"/>
      <x:c r="W105" s="17"/>
      <x:c r="X105" s="17"/>
      <x:c r="Y105" s="17"/>
      <x:c r="Z105" s="17"/>
    </x:row>
    <x:row r="106">
      <x:c r="A106" s="17" t="n">
        <x:v>17</x:v>
      </x:c>
      <x:c r="B106" s="17" t="str">
        <x:v>Local Insurance Office</x:v>
      </x:c>
      <x:c r="C106" s="17" t="str">
        <x:v>Starter</x:v>
      </x:c>
      <x:c r="D106" s="17" t="str">
        <x:v>Uncommon</x:v>
      </x:c>
      <x:c r="E106" s="17" t="n">
        <x:v>17</x:v>
      </x:c>
      <x:c r="F106" s="17" t="n">
        <x:v>3</x:v>
      </x:c>
      <x:c r="G106" s="17" t="str">
        <x:v>Upgrade to Lv3</x:v>
      </x:c>
      <x:c r="H106" s="38" t="n">
        <x:f>ROUND(H105*INDEX('Balance Inputs'!$C$2:$C$7,MATCH(C106,'Balance Inputs'!$A$2:$A$7,0)),0)</x:f>
        <x:v>21943</x:v>
      </x:c>
      <x:c r="I106" s="38" t="n">
        <x:f>ROUND(INDEX('Balance Inputs'!$L$2:$L$51,MATCH(A106,'Balance Inputs'!$I$2:$I$51,0))*POWER(INDEX('Balance Inputs'!$D$2:$D$7,MATCH(C106,'Balance Inputs'!$A$2:$A$7,0)),F106-1),0)</x:f>
        <x:v>1146</x:v>
      </x:c>
      <x:c r="J106" s="38" t="n">
        <x:f>ROUND(I106*INDEX('Balance Inputs'!$F$2:$F$7,MATCH(C106,'Balance Inputs'!$A$2:$A$7,0)),0)</x:f>
        <x:v>149</x:v>
      </x:c>
      <x:c r="K106" s="38" t="n">
        <x:f>I106-J106</x:f>
        <x:v>997</x:v>
      </x:c>
      <x:c r="L106" s="38" t="n">
        <x:f>ROUND(INDEX('Balance Inputs'!$M$2:$M$51,MATCH(A106,'Balance Inputs'!$I$2:$I$51,0))*POWER(INDEX('Balance Inputs'!$E$2:$E$7,MATCH(C106,'Balance Inputs'!$A$2:$A$7,0)),F106-1),0)</x:f>
        <x:v>1716</x:v>
      </x:c>
      <x:c r="M106" s="38" t="n">
        <x:f>ROUND(INDEX('Balance Inputs'!$N$2:$N$51,MATCH(A106,'Balance Inputs'!$I$2:$I$51,0))*POWER(INDEX('Balance Inputs'!$G$2:$G$7,MATCH(C106,'Balance Inputs'!$A$2:$A$7,0)),F106-1),0)</x:f>
        <x:v>109</x:v>
      </x:c>
      <x:c r="N106" s="38" t="n">
        <x:f>IF(A106&lt;&gt;A105,H106,N105+H106)</x:f>
        <x:v>44621</x:v>
      </x:c>
      <x:c r="O106" s="42" t="n">
        <x:f>IF(I106=0,0,H106/I106)</x:f>
        <x:v>19.147469458987782</x:v>
      </x:c>
      <x:c r="P106" s="43" t="n">
        <x:f>I106/INDEX('Balance Inputs'!$L$2:$L$51,MATCH(A106,'Balance Inputs'!$I$2:$I$51,0))</x:f>
        <x:v>1.821939586645469</x:v>
      </x:c>
      <x:c r="Q106" s="43" t="n">
        <x:f>L106/INDEX('Balance Inputs'!$M$2:$M$51,MATCH(A106,'Balance Inputs'!$I$2:$I$51,0))</x:f>
        <x:v>1.7690721649484535</x:v>
      </x:c>
      <x:c r="R106" s="17"/>
      <x:c r="S106" s="17"/>
      <x:c r="T106" s="17"/>
      <x:c r="U106" s="17"/>
      <x:c r="V106" s="17"/>
      <x:c r="W106" s="17"/>
      <x:c r="X106" s="17"/>
      <x:c r="Y106" s="17"/>
      <x:c r="Z106" s="17"/>
    </x:row>
    <x:row r="107">
      <x:c r="A107" s="17" t="n">
        <x:v>17</x:v>
      </x:c>
      <x:c r="B107" s="17" t="str">
        <x:v>Local Insurance Office</x:v>
      </x:c>
      <x:c r="C107" s="17" t="str">
        <x:v>Starter</x:v>
      </x:c>
      <x:c r="D107" s="17" t="str">
        <x:v>Uncommon</x:v>
      </x:c>
      <x:c r="E107" s="17" t="n">
        <x:v>17</x:v>
      </x:c>
      <x:c r="F107" s="17" t="n">
        <x:v>4</x:v>
      </x:c>
      <x:c r="G107" s="17" t="str">
        <x:v>Upgrade to Lv4</x:v>
      </x:c>
      <x:c r="H107" s="38" t="n">
        <x:f>ROUND(H106*INDEX('Balance Inputs'!$C$2:$C$7,MATCH(C107,'Balance Inputs'!$A$2:$A$7,0)),0)</x:f>
        <x:v>34670</x:v>
      </x:c>
      <x:c r="I107" s="38" t="n">
        <x:f>ROUND(INDEX('Balance Inputs'!$L$2:$L$51,MATCH(A107,'Balance Inputs'!$I$2:$I$51,0))*POWER(INDEX('Balance Inputs'!$D$2:$D$7,MATCH(C107,'Balance Inputs'!$A$2:$A$7,0)),F107-1),0)</x:f>
        <x:v>1548</x:v>
      </x:c>
      <x:c r="J107" s="38" t="n">
        <x:f>ROUND(I107*INDEX('Balance Inputs'!$F$2:$F$7,MATCH(C107,'Balance Inputs'!$A$2:$A$7,0)),0)</x:f>
        <x:v>201</x:v>
      </x:c>
      <x:c r="K107" s="38" t="n">
        <x:f>I107-J107</x:f>
        <x:v>1347</x:v>
      </x:c>
      <x:c r="L107" s="38" t="n">
        <x:f>ROUND(INDEX('Balance Inputs'!$M$2:$M$51,MATCH(A107,'Balance Inputs'!$I$2:$I$51,0))*POWER(INDEX('Balance Inputs'!$E$2:$E$7,MATCH(C107,'Balance Inputs'!$A$2:$A$7,0)),F107-1),0)</x:f>
        <x:v>2282</x:v>
      </x:c>
      <x:c r="M107" s="38" t="n">
        <x:f>ROUND(INDEX('Balance Inputs'!$N$2:$N$51,MATCH(A107,'Balance Inputs'!$I$2:$I$51,0))*POWER(INDEX('Balance Inputs'!$G$2:$G$7,MATCH(C107,'Balance Inputs'!$A$2:$A$7,0)),F107-1),0)</x:f>
        <x:v>115</x:v>
      </x:c>
      <x:c r="N107" s="38" t="n">
        <x:f>IF(A107&lt;&gt;A106,H107,N106+H107)</x:f>
        <x:v>79291</x:v>
      </x:c>
      <x:c r="O107" s="42" t="n">
        <x:f>IF(I107=0,0,H107/I107)</x:f>
        <x:v>22.396640826873384</x:v>
      </x:c>
      <x:c r="P107" s="43" t="n">
        <x:f>I107/INDEX('Balance Inputs'!$L$2:$L$51,MATCH(A107,'Balance Inputs'!$I$2:$I$51,0))</x:f>
        <x:v>2.461049284578696</x:v>
      </x:c>
      <x:c r="Q107" s="43" t="n">
        <x:f>L107/INDEX('Balance Inputs'!$M$2:$M$51,MATCH(A107,'Balance Inputs'!$I$2:$I$51,0))</x:f>
        <x:v>2.352577319587629</x:v>
      </x:c>
      <x:c r="R107" s="17"/>
      <x:c r="S107" s="17"/>
      <x:c r="T107" s="17"/>
      <x:c r="U107" s="17"/>
      <x:c r="V107" s="17"/>
      <x:c r="W107" s="17"/>
      <x:c r="X107" s="17"/>
      <x:c r="Y107" s="17"/>
      <x:c r="Z107" s="17"/>
    </x:row>
    <x:row r="108">
      <x:c r="A108" s="17" t="n">
        <x:v>17</x:v>
      </x:c>
      <x:c r="B108" s="17" t="str">
        <x:v>Local Insurance Office</x:v>
      </x:c>
      <x:c r="C108" s="17" t="str">
        <x:v>Starter</x:v>
      </x:c>
      <x:c r="D108" s="17" t="str">
        <x:v>Uncommon</x:v>
      </x:c>
      <x:c r="E108" s="17" t="n">
        <x:v>17</x:v>
      </x:c>
      <x:c r="F108" s="17" t="n">
        <x:v>5</x:v>
      </x:c>
      <x:c r="G108" s="17" t="str">
        <x:v>Upgrade to Lv5</x:v>
      </x:c>
      <x:c r="H108" s="38" t="n">
        <x:f>ROUND(H107*INDEX('Balance Inputs'!$C$2:$C$7,MATCH(C108,'Balance Inputs'!$A$2:$A$7,0)),0)</x:f>
        <x:v>54779</x:v>
      </x:c>
      <x:c r="I108" s="38" t="n">
        <x:f>ROUND(INDEX('Balance Inputs'!$L$2:$L$51,MATCH(A108,'Balance Inputs'!$I$2:$I$51,0))*POWER(INDEX('Balance Inputs'!$D$2:$D$7,MATCH(C108,'Balance Inputs'!$A$2:$A$7,0)),F108-1),0)</x:f>
        <x:v>2089</x:v>
      </x:c>
      <x:c r="J108" s="38" t="n">
        <x:f>ROUND(I108*INDEX('Balance Inputs'!$F$2:$F$7,MATCH(C108,'Balance Inputs'!$A$2:$A$7,0)),0)</x:f>
        <x:v>272</x:v>
      </x:c>
      <x:c r="K108" s="38" t="n">
        <x:f>I108-J108</x:f>
        <x:v>1817</x:v>
      </x:c>
      <x:c r="L108" s="38" t="n">
        <x:f>ROUND(INDEX('Balance Inputs'!$M$2:$M$51,MATCH(A108,'Balance Inputs'!$I$2:$I$51,0))*POWER(INDEX('Balance Inputs'!$E$2:$E$7,MATCH(C108,'Balance Inputs'!$A$2:$A$7,0)),F108-1),0)</x:f>
        <x:v>3035</x:v>
      </x:c>
      <x:c r="M108" s="38" t="n">
        <x:f>ROUND(INDEX('Balance Inputs'!$N$2:$N$51,MATCH(A108,'Balance Inputs'!$I$2:$I$51,0))*POWER(INDEX('Balance Inputs'!$G$2:$G$7,MATCH(C108,'Balance Inputs'!$A$2:$A$7,0)),F108-1),0)</x:f>
        <x:v>120</x:v>
      </x:c>
      <x:c r="N108" s="38" t="n">
        <x:f>IF(A108&lt;&gt;A107,H108,N107+H108)</x:f>
        <x:v>134070</x:v>
      </x:c>
      <x:c r="O108" s="42" t="n">
        <x:f>IF(I108=0,0,H108/I108)</x:f>
        <x:v>26.222594542843467</x:v>
      </x:c>
      <x:c r="P108" s="43" t="n">
        <x:f>I108/INDEX('Balance Inputs'!$L$2:$L$51,MATCH(A108,'Balance Inputs'!$I$2:$I$51,0))</x:f>
        <x:v>3.3211446740858506</x:v>
      </x:c>
      <x:c r="Q108" s="43" t="n">
        <x:f>L108/INDEX('Balance Inputs'!$M$2:$M$51,MATCH(A108,'Balance Inputs'!$I$2:$I$51,0))</x:f>
        <x:v>3.1288659793814433</x:v>
      </x:c>
      <x:c r="R108" s="17"/>
      <x:c r="S108" s="17"/>
      <x:c r="T108" s="17"/>
      <x:c r="U108" s="17"/>
      <x:c r="V108" s="17"/>
      <x:c r="W108" s="17"/>
      <x:c r="X108" s="17"/>
      <x:c r="Y108" s="17"/>
      <x:c r="Z108" s="17"/>
    </x:row>
    <x:row r="109">
      <x:c r="A109" s="17" t="n">
        <x:v>17</x:v>
      </x:c>
      <x:c r="B109" s="17" t="str">
        <x:v>Local Insurance Office</x:v>
      </x:c>
      <x:c r="C109" s="17" t="str">
        <x:v>Starter</x:v>
      </x:c>
      <x:c r="D109" s="17" t="str">
        <x:v>Uncommon</x:v>
      </x:c>
      <x:c r="E109" s="17" t="n">
        <x:v>17</x:v>
      </x:c>
      <x:c r="F109" s="17" t="n">
        <x:v>6</x:v>
      </x:c>
      <x:c r="G109" s="17" t="str">
        <x:v>Upgrade to Lv6</x:v>
      </x:c>
      <x:c r="H109" s="38" t="n">
        <x:f>ROUND(H108*INDEX('Balance Inputs'!$C$2:$C$7,MATCH(C109,'Balance Inputs'!$A$2:$A$7,0)),0)</x:f>
        <x:v>86551</x:v>
      </x:c>
      <x:c r="I109" s="38" t="n">
        <x:f>ROUND(INDEX('Balance Inputs'!$L$2:$L$51,MATCH(A109,'Balance Inputs'!$I$2:$I$51,0))*POWER(INDEX('Balance Inputs'!$D$2:$D$7,MATCH(C109,'Balance Inputs'!$A$2:$A$7,0)),F109-1),0)</x:f>
        <x:v>2820</x:v>
      </x:c>
      <x:c r="J109" s="38" t="n">
        <x:f>ROUND(I109*INDEX('Balance Inputs'!$F$2:$F$7,MATCH(C109,'Balance Inputs'!$A$2:$A$7,0)),0)</x:f>
        <x:v>367</x:v>
      </x:c>
      <x:c r="K109" s="38" t="n">
        <x:f>I109-J109</x:f>
        <x:v>2453</x:v>
      </x:c>
      <x:c r="L109" s="38" t="n">
        <x:f>ROUND(INDEX('Balance Inputs'!$M$2:$M$51,MATCH(A109,'Balance Inputs'!$I$2:$I$51,0))*POWER(INDEX('Balance Inputs'!$E$2:$E$7,MATCH(C109,'Balance Inputs'!$A$2:$A$7,0)),F109-1),0)</x:f>
        <x:v>4037</x:v>
      </x:c>
      <x:c r="M109" s="38" t="n">
        <x:f>ROUND(INDEX('Balance Inputs'!$N$2:$N$51,MATCH(A109,'Balance Inputs'!$I$2:$I$51,0))*POWER(INDEX('Balance Inputs'!$G$2:$G$7,MATCH(C109,'Balance Inputs'!$A$2:$A$7,0)),F109-1),0)</x:f>
        <x:v>126</x:v>
      </x:c>
      <x:c r="N109" s="38" t="n">
        <x:f>IF(A109&lt;&gt;A108,H109,N108+H109)</x:f>
        <x:v>220621</x:v>
      </x:c>
      <x:c r="O109" s="42" t="n">
        <x:f>IF(I109=0,0,H109/I109)</x:f>
        <x:v>30.691843971631204</x:v>
      </x:c>
      <x:c r="P109" s="43" t="n">
        <x:f>I109/INDEX('Balance Inputs'!$L$2:$L$51,MATCH(A109,'Balance Inputs'!$I$2:$I$51,0))</x:f>
        <x:v>4.483306836248013</x:v>
      </x:c>
      <x:c r="Q109" s="43" t="n">
        <x:f>L109/INDEX('Balance Inputs'!$M$2:$M$51,MATCH(A109,'Balance Inputs'!$I$2:$I$51,0))</x:f>
        <x:v>4.161855670103093</x:v>
      </x:c>
      <x:c r="R109" s="17"/>
      <x:c r="S109" s="17"/>
      <x:c r="T109" s="17"/>
      <x:c r="U109" s="17"/>
      <x:c r="V109" s="17"/>
      <x:c r="W109" s="17"/>
      <x:c r="X109" s="17"/>
      <x:c r="Y109" s="17"/>
      <x:c r="Z109" s="17"/>
    </x:row>
    <x:row r="110">
      <x:c r="A110" s="17" t="n">
        <x:v>17</x:v>
      </x:c>
      <x:c r="B110" s="17" t="str">
        <x:v>Local Insurance Office</x:v>
      </x:c>
      <x:c r="C110" s="17" t="str">
        <x:v>Starter</x:v>
      </x:c>
      <x:c r="D110" s="17" t="str">
        <x:v>Uncommon</x:v>
      </x:c>
      <x:c r="E110" s="17" t="n">
        <x:v>17</x:v>
      </x:c>
      <x:c r="F110" s="17" t="n">
        <x:v>7</x:v>
      </x:c>
      <x:c r="G110" s="17" t="str">
        <x:v>Upgrade to Lv7</x:v>
      </x:c>
      <x:c r="H110" s="38" t="n">
        <x:f>ROUND(H109*INDEX('Balance Inputs'!$C$2:$C$7,MATCH(C110,'Balance Inputs'!$A$2:$A$7,0)),0)</x:f>
        <x:v>136751</x:v>
      </x:c>
      <x:c r="I110" s="38" t="n">
        <x:f>ROUND(INDEX('Balance Inputs'!$L$2:$L$51,MATCH(A110,'Balance Inputs'!$I$2:$I$51,0))*POWER(INDEX('Balance Inputs'!$D$2:$D$7,MATCH(C110,'Balance Inputs'!$A$2:$A$7,0)),F110-1),0)</x:f>
        <x:v>3808</x:v>
      </x:c>
      <x:c r="J110" s="38" t="n">
        <x:f>ROUND(I110*INDEX('Balance Inputs'!$F$2:$F$7,MATCH(C110,'Balance Inputs'!$A$2:$A$7,0)),0)</x:f>
        <x:v>495</x:v>
      </x:c>
      <x:c r="K110" s="38" t="n">
        <x:f>I110-J110</x:f>
        <x:v>3313</x:v>
      </x:c>
      <x:c r="L110" s="38" t="n">
        <x:f>ROUND(INDEX('Balance Inputs'!$M$2:$M$51,MATCH(A110,'Balance Inputs'!$I$2:$I$51,0))*POWER(INDEX('Balance Inputs'!$E$2:$E$7,MATCH(C110,'Balance Inputs'!$A$2:$A$7,0)),F110-1),0)</x:f>
        <x:v>5369</x:v>
      </x:c>
      <x:c r="M110" s="38" t="n">
        <x:f>ROUND(INDEX('Balance Inputs'!$N$2:$N$51,MATCH(A110,'Balance Inputs'!$I$2:$I$51,0))*POWER(INDEX('Balance Inputs'!$G$2:$G$7,MATCH(C110,'Balance Inputs'!$A$2:$A$7,0)),F110-1),0)</x:f>
        <x:v>133</x:v>
      </x:c>
      <x:c r="N110" s="38" t="n">
        <x:f>IF(A110&lt;&gt;A109,H110,N109+H110)</x:f>
        <x:v>357372</x:v>
      </x:c>
      <x:c r="O110" s="42" t="n">
        <x:f>IF(I110=0,0,H110/I110)</x:f>
        <x:v>35.91150210084034</x:v>
      </x:c>
      <x:c r="P110" s="43" t="n">
        <x:f>I110/INDEX('Balance Inputs'!$L$2:$L$51,MATCH(A110,'Balance Inputs'!$I$2:$I$51,0))</x:f>
        <x:v>6.054054054054054</x:v>
      </x:c>
      <x:c r="Q110" s="43" t="n">
        <x:f>L110/INDEX('Balance Inputs'!$M$2:$M$51,MATCH(A110,'Balance Inputs'!$I$2:$I$51,0))</x:f>
        <x:v>5.5350515463917525</x:v>
      </x:c>
      <x:c r="R110" s="17"/>
      <x:c r="S110" s="17"/>
      <x:c r="T110" s="17"/>
      <x:c r="U110" s="17"/>
      <x:c r="V110" s="17"/>
      <x:c r="W110" s="17"/>
      <x:c r="X110" s="17"/>
      <x:c r="Y110" s="17"/>
      <x:c r="Z110" s="17"/>
    </x:row>
    <x:row r="111">
      <x:c r="A111" s="17" t="n">
        <x:v>18</x:v>
      </x:c>
      <x:c r="B111" s="17" t="str">
        <x:v>Treasury Office</x:v>
      </x:c>
      <x:c r="C111" s="17" t="str">
        <x:v>Starter</x:v>
      </x:c>
      <x:c r="D111" s="17" t="str">
        <x:v>Uncommon</x:v>
      </x:c>
      <x:c r="E111" s="17" t="n">
        <x:v>18</x:v>
      </x:c>
      <x:c r="F111" s="17" t="n">
        <x:v>1</x:v>
      </x:c>
      <x:c r="G111" s="17" t="str">
        <x:v>Build</x:v>
      </x:c>
      <x:c r="H111" s="38" t="n">
        <x:f>INDEX('Balance Inputs'!$K$2:$K$51,MATCH(A111,'Balance Inputs'!$I$2:$I$51,0))</x:f>
        <x:v>10850</x:v>
      </x:c>
      <x:c r="I111" s="38" t="n">
        <x:f>ROUND(INDEX('Balance Inputs'!$L$2:$L$51,MATCH(A111,'Balance Inputs'!$I$2:$I$51,0))*POWER(INDEX('Balance Inputs'!$D$2:$D$7,MATCH(C111,'Balance Inputs'!$A$2:$A$7,0)),F111-1),0)</x:f>
        <x:v>633</x:v>
      </x:c>
      <x:c r="J111" s="38" t="n">
        <x:f>ROUND(I111*INDEX('Balance Inputs'!$F$2:$F$7,MATCH(C111,'Balance Inputs'!$A$2:$A$7,0)),0)</x:f>
        <x:v>82</x:v>
      </x:c>
      <x:c r="K111" s="38" t="n">
        <x:f>I111-J111</x:f>
        <x:v>551</x:v>
      </x:c>
      <x:c r="L111" s="38" t="n">
        <x:f>ROUND(INDEX('Balance Inputs'!$M$2:$M$51,MATCH(A111,'Balance Inputs'!$I$2:$I$51,0))*POWER(INDEX('Balance Inputs'!$E$2:$E$7,MATCH(C111,'Balance Inputs'!$A$2:$A$7,0)),F111-1),0)</x:f>
        <x:v>1155</x:v>
      </x:c>
      <x:c r="M111" s="38" t="n">
        <x:f>ROUND(INDEX('Balance Inputs'!$N$2:$N$51,MATCH(A111,'Balance Inputs'!$I$2:$I$51,0))*POWER(INDEX('Balance Inputs'!$G$2:$G$7,MATCH(C111,'Balance Inputs'!$A$2:$A$7,0)),F111-1),0)</x:f>
        <x:v>104</x:v>
      </x:c>
      <x:c r="N111" s="38" t="n">
        <x:f>IF(A111&lt;&gt;A110,H111,N110+H111)</x:f>
        <x:v>10850</x:v>
      </x:c>
      <x:c r="O111" s="42" t="n">
        <x:f>IF(I111=0,0,H111/I111)</x:f>
        <x:v>17.140600315955766</x:v>
      </x:c>
      <x:c r="P111" s="43" t="n">
        <x:f>I111/INDEX('Balance Inputs'!$L$2:$L$51,MATCH(A111,'Balance Inputs'!$I$2:$I$51,0))</x:f>
        <x:v>1</x:v>
      </x:c>
      <x:c r="Q111" s="43" t="n">
        <x:f>L111/INDEX('Balance Inputs'!$M$2:$M$51,MATCH(A111,'Balance Inputs'!$I$2:$I$51,0))</x:f>
        <x:v>1</x:v>
      </x:c>
      <x:c r="R111" s="17"/>
      <x:c r="S111" s="17"/>
      <x:c r="T111" s="17"/>
      <x:c r="U111" s="17"/>
      <x:c r="V111" s="17"/>
      <x:c r="W111" s="17"/>
      <x:c r="X111" s="17"/>
      <x:c r="Y111" s="17"/>
      <x:c r="Z111" s="17"/>
    </x:row>
    <x:row r="112">
      <x:c r="A112" s="17" t="n">
        <x:v>18</x:v>
      </x:c>
      <x:c r="B112" s="17" t="str">
        <x:v>Treasury Office</x:v>
      </x:c>
      <x:c r="C112" s="17" t="str">
        <x:v>Starter</x:v>
      </x:c>
      <x:c r="D112" s="17" t="str">
        <x:v>Uncommon</x:v>
      </x:c>
      <x:c r="E112" s="17" t="n">
        <x:v>18</x:v>
      </x:c>
      <x:c r="F112" s="17" t="n">
        <x:v>2</x:v>
      </x:c>
      <x:c r="G112" s="17" t="str">
        <x:v>Upgrade to Lv2</x:v>
      </x:c>
      <x:c r="H112" s="38" t="n">
        <x:f>ROUND(H111*INDEX('Balance Inputs'!$C$2:$C$7,MATCH(C112,'Balance Inputs'!$A$2:$A$7,0)),0)</x:f>
        <x:v>17143</x:v>
      </x:c>
      <x:c r="I112" s="38" t="n">
        <x:f>ROUND(INDEX('Balance Inputs'!$L$2:$L$51,MATCH(A112,'Balance Inputs'!$I$2:$I$51,0))*POWER(INDEX('Balance Inputs'!$D$2:$D$7,MATCH(C112,'Balance Inputs'!$A$2:$A$7,0)),F112-1),0)</x:f>
        <x:v>855</x:v>
      </x:c>
      <x:c r="J112" s="38" t="n">
        <x:f>ROUND(I112*INDEX('Balance Inputs'!$F$2:$F$7,MATCH(C112,'Balance Inputs'!$A$2:$A$7,0)),0)</x:f>
        <x:v>111</x:v>
      </x:c>
      <x:c r="K112" s="38" t="n">
        <x:f>I112-J112</x:f>
        <x:v>744</x:v>
      </x:c>
      <x:c r="L112" s="38" t="n">
        <x:f>ROUND(INDEX('Balance Inputs'!$M$2:$M$51,MATCH(A112,'Balance Inputs'!$I$2:$I$51,0))*POWER(INDEX('Balance Inputs'!$E$2:$E$7,MATCH(C112,'Balance Inputs'!$A$2:$A$7,0)),F112-1),0)</x:f>
        <x:v>1536</x:v>
      </x:c>
      <x:c r="M112" s="38" t="n">
        <x:f>ROUND(INDEX('Balance Inputs'!$N$2:$N$51,MATCH(A112,'Balance Inputs'!$I$2:$I$51,0))*POWER(INDEX('Balance Inputs'!$G$2:$G$7,MATCH(C112,'Balance Inputs'!$A$2:$A$7,0)),F112-1),0)</x:f>
        <x:v>109</x:v>
      </x:c>
      <x:c r="N112" s="38" t="n">
        <x:f>IF(A112&lt;&gt;A111,H112,N111+H112)</x:f>
        <x:v>27993</x:v>
      </x:c>
      <x:c r="O112" s="42" t="n">
        <x:f>IF(I112=0,0,H112/I112)</x:f>
        <x:v>20.05029239766082</x:v>
      </x:c>
      <x:c r="P112" s="43" t="n">
        <x:f>I112/INDEX('Balance Inputs'!$L$2:$L$51,MATCH(A112,'Balance Inputs'!$I$2:$I$51,0))</x:f>
        <x:v>1.3507109004739337</x:v>
      </x:c>
      <x:c r="Q112" s="43" t="n">
        <x:f>L112/INDEX('Balance Inputs'!$M$2:$M$51,MATCH(A112,'Balance Inputs'!$I$2:$I$51,0))</x:f>
        <x:v>1.3298701298701299</x:v>
      </x:c>
      <x:c r="R112" s="17"/>
      <x:c r="S112" s="17"/>
      <x:c r="T112" s="17"/>
      <x:c r="U112" s="17"/>
      <x:c r="V112" s="17"/>
      <x:c r="W112" s="17"/>
      <x:c r="X112" s="17"/>
      <x:c r="Y112" s="17"/>
      <x:c r="Z112" s="17"/>
    </x:row>
    <x:row r="113">
      <x:c r="A113" s="17" t="n">
        <x:v>18</x:v>
      </x:c>
      <x:c r="B113" s="17" t="str">
        <x:v>Treasury Office</x:v>
      </x:c>
      <x:c r="C113" s="17" t="str">
        <x:v>Starter</x:v>
      </x:c>
      <x:c r="D113" s="17" t="str">
        <x:v>Uncommon</x:v>
      </x:c>
      <x:c r="E113" s="17" t="n">
        <x:v>18</x:v>
      </x:c>
      <x:c r="F113" s="17" t="n">
        <x:v>3</x:v>
      </x:c>
      <x:c r="G113" s="17" t="str">
        <x:v>Upgrade to Lv3</x:v>
      </x:c>
      <x:c r="H113" s="38" t="n">
        <x:f>ROUND(H112*INDEX('Balance Inputs'!$C$2:$C$7,MATCH(C113,'Balance Inputs'!$A$2:$A$7,0)),0)</x:f>
        <x:v>27086</x:v>
      </x:c>
      <x:c r="I113" s="38" t="n">
        <x:f>ROUND(INDEX('Balance Inputs'!$L$2:$L$51,MATCH(A113,'Balance Inputs'!$I$2:$I$51,0))*POWER(INDEX('Balance Inputs'!$D$2:$D$7,MATCH(C113,'Balance Inputs'!$A$2:$A$7,0)),F113-1),0)</x:f>
        <x:v>1154</x:v>
      </x:c>
      <x:c r="J113" s="38" t="n">
        <x:f>ROUND(I113*INDEX('Balance Inputs'!$F$2:$F$7,MATCH(C113,'Balance Inputs'!$A$2:$A$7,0)),0)</x:f>
        <x:v>150</x:v>
      </x:c>
      <x:c r="K113" s="38" t="n">
        <x:f>I113-J113</x:f>
        <x:v>1004</x:v>
      </x:c>
      <x:c r="L113" s="38" t="n">
        <x:f>ROUND(INDEX('Balance Inputs'!$M$2:$M$51,MATCH(A113,'Balance Inputs'!$I$2:$I$51,0))*POWER(INDEX('Balance Inputs'!$E$2:$E$7,MATCH(C113,'Balance Inputs'!$A$2:$A$7,0)),F113-1),0)</x:f>
        <x:v>2043</x:v>
      </x:c>
      <x:c r="M113" s="38" t="n">
        <x:f>ROUND(INDEX('Balance Inputs'!$N$2:$N$51,MATCH(A113,'Balance Inputs'!$I$2:$I$51,0))*POWER(INDEX('Balance Inputs'!$G$2:$G$7,MATCH(C113,'Balance Inputs'!$A$2:$A$7,0)),F113-1),0)</x:f>
        <x:v>115</x:v>
      </x:c>
      <x:c r="N113" s="38" t="n">
        <x:f>IF(A113&lt;&gt;A112,H113,N112+H113)</x:f>
        <x:v>55079</x:v>
      </x:c>
      <x:c r="O113" s="42" t="n">
        <x:f>IF(I113=0,0,H113/I113)</x:f>
        <x:v>23.471403812824956</x:v>
      </x:c>
      <x:c r="P113" s="43" t="n">
        <x:f>I113/INDEX('Balance Inputs'!$L$2:$L$51,MATCH(A113,'Balance Inputs'!$I$2:$I$51,0))</x:f>
        <x:v>1.8230647709320695</x:v>
      </x:c>
      <x:c r="Q113" s="43" t="n">
        <x:f>L113/INDEX('Balance Inputs'!$M$2:$M$51,MATCH(A113,'Balance Inputs'!$I$2:$I$51,0))</x:f>
        <x:v>1.7688311688311689</x:v>
      </x:c>
      <x:c r="R113" s="17"/>
      <x:c r="S113" s="17"/>
      <x:c r="T113" s="17"/>
      <x:c r="U113" s="17"/>
      <x:c r="V113" s="17"/>
      <x:c r="W113" s="17"/>
      <x:c r="X113" s="17"/>
      <x:c r="Y113" s="17"/>
      <x:c r="Z113" s="17"/>
    </x:row>
    <x:row r="114">
      <x:c r="A114" s="17" t="n">
        <x:v>18</x:v>
      </x:c>
      <x:c r="B114" s="17" t="str">
        <x:v>Treasury Office</x:v>
      </x:c>
      <x:c r="C114" s="17" t="str">
        <x:v>Starter</x:v>
      </x:c>
      <x:c r="D114" s="17" t="str">
        <x:v>Uncommon</x:v>
      </x:c>
      <x:c r="E114" s="17" t="n">
        <x:v>18</x:v>
      </x:c>
      <x:c r="F114" s="17" t="n">
        <x:v>4</x:v>
      </x:c>
      <x:c r="G114" s="17" t="str">
        <x:v>Upgrade to Lv4</x:v>
      </x:c>
      <x:c r="H114" s="38" t="n">
        <x:f>ROUND(H113*INDEX('Balance Inputs'!$C$2:$C$7,MATCH(C114,'Balance Inputs'!$A$2:$A$7,0)),0)</x:f>
        <x:v>42796</x:v>
      </x:c>
      <x:c r="I114" s="38" t="n">
        <x:f>ROUND(INDEX('Balance Inputs'!$L$2:$L$51,MATCH(A114,'Balance Inputs'!$I$2:$I$51,0))*POWER(INDEX('Balance Inputs'!$D$2:$D$7,MATCH(C114,'Balance Inputs'!$A$2:$A$7,0)),F114-1),0)</x:f>
        <x:v>1557</x:v>
      </x:c>
      <x:c r="J114" s="38" t="n">
        <x:f>ROUND(I114*INDEX('Balance Inputs'!$F$2:$F$7,MATCH(C114,'Balance Inputs'!$A$2:$A$7,0)),0)</x:f>
        <x:v>202</x:v>
      </x:c>
      <x:c r="K114" s="38" t="n">
        <x:f>I114-J114</x:f>
        <x:v>1355</x:v>
      </x:c>
      <x:c r="L114" s="38" t="n">
        <x:f>ROUND(INDEX('Balance Inputs'!$M$2:$M$51,MATCH(A114,'Balance Inputs'!$I$2:$I$51,0))*POWER(INDEX('Balance Inputs'!$E$2:$E$7,MATCH(C114,'Balance Inputs'!$A$2:$A$7,0)),F114-1),0)</x:f>
        <x:v>2717</x:v>
      </x:c>
      <x:c r="M114" s="38" t="n">
        <x:f>ROUND(INDEX('Balance Inputs'!$N$2:$N$51,MATCH(A114,'Balance Inputs'!$I$2:$I$51,0))*POWER(INDEX('Balance Inputs'!$G$2:$G$7,MATCH(C114,'Balance Inputs'!$A$2:$A$7,0)),F114-1),0)</x:f>
        <x:v>120</x:v>
      </x:c>
      <x:c r="N114" s="38" t="n">
        <x:f>IF(A114&lt;&gt;A113,H114,N113+H114)</x:f>
        <x:v>97875</x:v>
      </x:c>
      <x:c r="O114" s="42" t="n">
        <x:f>IF(I114=0,0,H114/I114)</x:f>
        <x:v>27.486191393705845</x:v>
      </x:c>
      <x:c r="P114" s="43" t="n">
        <x:f>I114/INDEX('Balance Inputs'!$L$2:$L$51,MATCH(A114,'Balance Inputs'!$I$2:$I$51,0))</x:f>
        <x:v>2.4597156398104265</x:v>
      </x:c>
      <x:c r="Q114" s="43" t="n">
        <x:f>L114/INDEX('Balance Inputs'!$M$2:$M$51,MATCH(A114,'Balance Inputs'!$I$2:$I$51,0))</x:f>
        <x:v>2.3523809523809525</x:v>
      </x:c>
      <x:c r="R114" s="17"/>
      <x:c r="S114" s="17"/>
      <x:c r="T114" s="17"/>
      <x:c r="U114" s="17"/>
      <x:c r="V114" s="17"/>
      <x:c r="W114" s="17"/>
      <x:c r="X114" s="17"/>
      <x:c r="Y114" s="17"/>
      <x:c r="Z114" s="17"/>
    </x:row>
    <x:row r="115">
      <x:c r="A115" s="17" t="n">
        <x:v>18</x:v>
      </x:c>
      <x:c r="B115" s="17" t="str">
        <x:v>Treasury Office</x:v>
      </x:c>
      <x:c r="C115" s="17" t="str">
        <x:v>Starter</x:v>
      </x:c>
      <x:c r="D115" s="17" t="str">
        <x:v>Uncommon</x:v>
      </x:c>
      <x:c r="E115" s="17" t="n">
        <x:v>18</x:v>
      </x:c>
      <x:c r="F115" s="17" t="n">
        <x:v>5</x:v>
      </x:c>
      <x:c r="G115" s="17" t="str">
        <x:v>Upgrade to Lv5</x:v>
      </x:c>
      <x:c r="H115" s="38" t="n">
        <x:f>ROUND(H114*INDEX('Balance Inputs'!$C$2:$C$7,MATCH(C115,'Balance Inputs'!$A$2:$A$7,0)),0)</x:f>
        <x:v>67618</x:v>
      </x:c>
      <x:c r="I115" s="38" t="n">
        <x:f>ROUND(INDEX('Balance Inputs'!$L$2:$L$51,MATCH(A115,'Balance Inputs'!$I$2:$I$51,0))*POWER(INDEX('Balance Inputs'!$D$2:$D$7,MATCH(C115,'Balance Inputs'!$A$2:$A$7,0)),F115-1),0)</x:f>
        <x:v>2103</x:v>
      </x:c>
      <x:c r="J115" s="38" t="n">
        <x:f>ROUND(I115*INDEX('Balance Inputs'!$F$2:$F$7,MATCH(C115,'Balance Inputs'!$A$2:$A$7,0)),0)</x:f>
        <x:v>273</x:v>
      </x:c>
      <x:c r="K115" s="38" t="n">
        <x:f>I115-J115</x:f>
        <x:v>1830</x:v>
      </x:c>
      <x:c r="L115" s="38" t="n">
        <x:f>ROUND(INDEX('Balance Inputs'!$M$2:$M$51,MATCH(A115,'Balance Inputs'!$I$2:$I$51,0))*POWER(INDEX('Balance Inputs'!$E$2:$E$7,MATCH(C115,'Balance Inputs'!$A$2:$A$7,0)),F115-1),0)</x:f>
        <x:v>3614</x:v>
      </x:c>
      <x:c r="M115" s="38" t="n">
        <x:f>ROUND(INDEX('Balance Inputs'!$N$2:$N$51,MATCH(A115,'Balance Inputs'!$I$2:$I$51,0))*POWER(INDEX('Balance Inputs'!$G$2:$G$7,MATCH(C115,'Balance Inputs'!$A$2:$A$7,0)),F115-1),0)</x:f>
        <x:v>126</x:v>
      </x:c>
      <x:c r="N115" s="38" t="n">
        <x:f>IF(A115&lt;&gt;A114,H115,N114+H115)</x:f>
        <x:v>165493</x:v>
      </x:c>
      <x:c r="O115" s="42" t="n">
        <x:f>IF(I115=0,0,H115/I115)</x:f>
        <x:v>32.153114598193056</x:v>
      </x:c>
      <x:c r="P115" s="43" t="n">
        <x:f>I115/INDEX('Balance Inputs'!$L$2:$L$51,MATCH(A115,'Balance Inputs'!$I$2:$I$51,0))</x:f>
        <x:v>3.322274881516588</x:v>
      </x:c>
      <x:c r="Q115" s="43" t="n">
        <x:f>L115/INDEX('Balance Inputs'!$M$2:$M$51,MATCH(A115,'Balance Inputs'!$I$2:$I$51,0))</x:f>
        <x:v>3.129004329004329</x:v>
      </x:c>
      <x:c r="R115" s="17"/>
      <x:c r="S115" s="17"/>
      <x:c r="T115" s="17"/>
      <x:c r="U115" s="17"/>
      <x:c r="V115" s="17"/>
      <x:c r="W115" s="17"/>
      <x:c r="X115" s="17"/>
      <x:c r="Y115" s="17"/>
      <x:c r="Z115" s="17"/>
    </x:row>
    <x:row r="116">
      <x:c r="A116" s="17" t="n">
        <x:v>18</x:v>
      </x:c>
      <x:c r="B116" s="17" t="str">
        <x:v>Treasury Office</x:v>
      </x:c>
      <x:c r="C116" s="17" t="str">
        <x:v>Starter</x:v>
      </x:c>
      <x:c r="D116" s="17" t="str">
        <x:v>Uncommon</x:v>
      </x:c>
      <x:c r="E116" s="17" t="n">
        <x:v>18</x:v>
      </x:c>
      <x:c r="F116" s="17" t="n">
        <x:v>6</x:v>
      </x:c>
      <x:c r="G116" s="17" t="str">
        <x:v>Upgrade to Lv6</x:v>
      </x:c>
      <x:c r="H116" s="38" t="n">
        <x:f>ROUND(H115*INDEX('Balance Inputs'!$C$2:$C$7,MATCH(C116,'Balance Inputs'!$A$2:$A$7,0)),0)</x:f>
        <x:v>106836</x:v>
      </x:c>
      <x:c r="I116" s="38" t="n">
        <x:f>ROUND(INDEX('Balance Inputs'!$L$2:$L$51,MATCH(A116,'Balance Inputs'!$I$2:$I$51,0))*POWER(INDEX('Balance Inputs'!$D$2:$D$7,MATCH(C116,'Balance Inputs'!$A$2:$A$7,0)),F116-1),0)</x:f>
        <x:v>2838</x:v>
      </x:c>
      <x:c r="J116" s="38" t="n">
        <x:f>ROUND(I116*INDEX('Balance Inputs'!$F$2:$F$7,MATCH(C116,'Balance Inputs'!$A$2:$A$7,0)),0)</x:f>
        <x:v>369</x:v>
      </x:c>
      <x:c r="K116" s="38" t="n">
        <x:f>I116-J116</x:f>
        <x:v>2469</x:v>
      </x:c>
      <x:c r="L116" s="38" t="n">
        <x:f>ROUND(INDEX('Balance Inputs'!$M$2:$M$51,MATCH(A116,'Balance Inputs'!$I$2:$I$51,0))*POWER(INDEX('Balance Inputs'!$E$2:$E$7,MATCH(C116,'Balance Inputs'!$A$2:$A$7,0)),F116-1),0)</x:f>
        <x:v>4807</x:v>
      </x:c>
      <x:c r="M116" s="38" t="n">
        <x:f>ROUND(INDEX('Balance Inputs'!$N$2:$N$51,MATCH(A116,'Balance Inputs'!$I$2:$I$51,0))*POWER(INDEX('Balance Inputs'!$G$2:$G$7,MATCH(C116,'Balance Inputs'!$A$2:$A$7,0)),F116-1),0)</x:f>
        <x:v>133</x:v>
      </x:c>
      <x:c r="N116" s="38" t="n">
        <x:f>IF(A116&lt;&gt;A115,H116,N115+H116)</x:f>
        <x:v>272329</x:v>
      </x:c>
      <x:c r="O116" s="42" t="n">
        <x:f>IF(I116=0,0,H116/I116)</x:f>
        <x:v>37.64482029598309</x:v>
      </x:c>
      <x:c r="P116" s="43" t="n">
        <x:f>I116/INDEX('Balance Inputs'!$L$2:$L$51,MATCH(A116,'Balance Inputs'!$I$2:$I$51,0))</x:f>
        <x:v>4.483412322274882</x:v>
      </x:c>
      <x:c r="Q116" s="43" t="n">
        <x:f>L116/INDEX('Balance Inputs'!$M$2:$M$51,MATCH(A116,'Balance Inputs'!$I$2:$I$51,0))</x:f>
        <x:v>4.161904761904762</x:v>
      </x:c>
      <x:c r="R116" s="17"/>
      <x:c r="S116" s="17"/>
      <x:c r="T116" s="17"/>
      <x:c r="U116" s="17"/>
      <x:c r="V116" s="17"/>
      <x:c r="W116" s="17"/>
      <x:c r="X116" s="17"/>
      <x:c r="Y116" s="17"/>
      <x:c r="Z116" s="17"/>
    </x:row>
    <x:row r="117">
      <x:c r="A117" s="17" t="n">
        <x:v>18</x:v>
      </x:c>
      <x:c r="B117" s="17" t="str">
        <x:v>Treasury Office</x:v>
      </x:c>
      <x:c r="C117" s="17" t="str">
        <x:v>Starter</x:v>
      </x:c>
      <x:c r="D117" s="17" t="str">
        <x:v>Uncommon</x:v>
      </x:c>
      <x:c r="E117" s="17" t="n">
        <x:v>18</x:v>
      </x:c>
      <x:c r="F117" s="17" t="n">
        <x:v>7</x:v>
      </x:c>
      <x:c r="G117" s="17" t="str">
        <x:v>Upgrade to Lv7</x:v>
      </x:c>
      <x:c r="H117" s="38" t="n">
        <x:f>ROUND(H116*INDEX('Balance Inputs'!$C$2:$C$7,MATCH(C117,'Balance Inputs'!$A$2:$A$7,0)),0)</x:f>
        <x:v>168801</x:v>
      </x:c>
      <x:c r="I117" s="38" t="n">
        <x:f>ROUND(INDEX('Balance Inputs'!$L$2:$L$51,MATCH(A117,'Balance Inputs'!$I$2:$I$51,0))*POWER(INDEX('Balance Inputs'!$D$2:$D$7,MATCH(C117,'Balance Inputs'!$A$2:$A$7,0)),F117-1),0)</x:f>
        <x:v>3832</x:v>
      </x:c>
      <x:c r="J117" s="38" t="n">
        <x:f>ROUND(I117*INDEX('Balance Inputs'!$F$2:$F$7,MATCH(C117,'Balance Inputs'!$A$2:$A$7,0)),0)</x:f>
        <x:v>498</x:v>
      </x:c>
      <x:c r="K117" s="38" t="n">
        <x:f>I117-J117</x:f>
        <x:v>3334</x:v>
      </x:c>
      <x:c r="L117" s="38" t="n">
        <x:f>ROUND(INDEX('Balance Inputs'!$M$2:$M$51,MATCH(A117,'Balance Inputs'!$I$2:$I$51,0))*POWER(INDEX('Balance Inputs'!$E$2:$E$7,MATCH(C117,'Balance Inputs'!$A$2:$A$7,0)),F117-1),0)</x:f>
        <x:v>6393</x:v>
      </x:c>
      <x:c r="M117" s="38" t="n">
        <x:f>ROUND(INDEX('Balance Inputs'!$N$2:$N$51,MATCH(A117,'Balance Inputs'!$I$2:$I$51,0))*POWER(INDEX('Balance Inputs'!$G$2:$G$7,MATCH(C117,'Balance Inputs'!$A$2:$A$7,0)),F117-1),0)</x:f>
        <x:v>139</x:v>
      </x:c>
      <x:c r="N117" s="38" t="n">
        <x:f>IF(A117&lt;&gt;A116,H117,N116+H117)</x:f>
        <x:v>441130</x:v>
      </x:c>
      <x:c r="O117" s="42" t="n">
        <x:f>IF(I117=0,0,H117/I117)</x:f>
        <x:v>44.05036534446764</x:v>
      </x:c>
      <x:c r="P117" s="43" t="n">
        <x:f>I117/INDEX('Balance Inputs'!$L$2:$L$51,MATCH(A117,'Balance Inputs'!$I$2:$I$51,0))</x:f>
        <x:v>6.053712480252765</x:v>
      </x:c>
      <x:c r="Q117" s="43" t="n">
        <x:f>L117/INDEX('Balance Inputs'!$M$2:$M$51,MATCH(A117,'Balance Inputs'!$I$2:$I$51,0))</x:f>
        <x:v>5.535064935064935</x:v>
      </x:c>
      <x:c r="R117" s="17"/>
      <x:c r="S117" s="17"/>
      <x:c r="T117" s="17"/>
      <x:c r="U117" s="17"/>
      <x:c r="V117" s="17"/>
      <x:c r="W117" s="17"/>
      <x:c r="X117" s="17"/>
      <x:c r="Y117" s="17"/>
      <x:c r="Z117" s="17"/>
    </x:row>
    <x:row r="118">
      <x:c r="A118" s="17" t="n">
        <x:v>19</x:v>
      </x:c>
      <x:c r="B118" s="17" t="str">
        <x:v>Small Fund Office</x:v>
      </x:c>
      <x:c r="C118" s="17" t="str">
        <x:v>Starter</x:v>
      </x:c>
      <x:c r="D118" s="17" t="str">
        <x:v>Uncommon</x:v>
      </x:c>
      <x:c r="E118" s="17" t="n">
        <x:v>19</x:v>
      </x:c>
      <x:c r="F118" s="17" t="n">
        <x:v>1</x:v>
      </x:c>
      <x:c r="G118" s="17" t="str">
        <x:v>Build</x:v>
      </x:c>
      <x:c r="H118" s="38" t="n">
        <x:f>INDEX('Balance Inputs'!$K$2:$K$51,MATCH(A118,'Balance Inputs'!$I$2:$I$51,0))</x:f>
        <x:v>13400</x:v>
      </x:c>
      <x:c r="I118" s="38" t="n">
        <x:f>ROUND(INDEX('Balance Inputs'!$L$2:$L$51,MATCH(A118,'Balance Inputs'!$I$2:$I$51,0))*POWER(INDEX('Balance Inputs'!$D$2:$D$7,MATCH(C118,'Balance Inputs'!$A$2:$A$7,0)),F118-1),0)</x:f>
        <x:v>1081</x:v>
      </x:c>
      <x:c r="J118" s="38" t="n">
        <x:f>ROUND(I118*INDEX('Balance Inputs'!$F$2:$F$7,MATCH(C118,'Balance Inputs'!$A$2:$A$7,0)),0)</x:f>
        <x:v>141</x:v>
      </x:c>
      <x:c r="K118" s="38" t="n">
        <x:f>I118-J118</x:f>
        <x:v>940</x:v>
      </x:c>
      <x:c r="L118" s="38" t="n">
        <x:f>ROUND(INDEX('Balance Inputs'!$M$2:$M$51,MATCH(A118,'Balance Inputs'!$I$2:$I$51,0))*POWER(INDEX('Balance Inputs'!$E$2:$E$7,MATCH(C118,'Balance Inputs'!$A$2:$A$7,0)),F118-1),0)</x:f>
        <x:v>1374</x:v>
      </x:c>
      <x:c r="M118" s="38" t="n">
        <x:f>ROUND(INDEX('Balance Inputs'!$N$2:$N$51,MATCH(A118,'Balance Inputs'!$I$2:$I$51,0))*POWER(INDEX('Balance Inputs'!$G$2:$G$7,MATCH(C118,'Balance Inputs'!$A$2:$A$7,0)),F118-1),0)</x:f>
        <x:v>173</x:v>
      </x:c>
      <x:c r="N118" s="38" t="n">
        <x:f>IF(A118&lt;&gt;A117,H118,N117+H118)</x:f>
        <x:v>13400</x:v>
      </x:c>
      <x:c r="O118" s="42" t="n">
        <x:f>IF(I118=0,0,H118/I118)</x:f>
        <x:v>12.395929694727105</x:v>
      </x:c>
      <x:c r="P118" s="43" t="n">
        <x:f>I118/INDEX('Balance Inputs'!$L$2:$L$51,MATCH(A118,'Balance Inputs'!$I$2:$I$51,0))</x:f>
        <x:v>1</x:v>
      </x:c>
      <x:c r="Q118" s="43" t="n">
        <x:f>L118/INDEX('Balance Inputs'!$M$2:$M$51,MATCH(A118,'Balance Inputs'!$I$2:$I$51,0))</x:f>
        <x:v>1</x:v>
      </x:c>
      <x:c r="R118" s="17"/>
      <x:c r="S118" s="17"/>
      <x:c r="T118" s="17"/>
      <x:c r="U118" s="17"/>
      <x:c r="V118" s="17"/>
      <x:c r="W118" s="17"/>
      <x:c r="X118" s="17"/>
      <x:c r="Y118" s="17"/>
      <x:c r="Z118" s="17"/>
    </x:row>
    <x:row r="119">
      <x:c r="A119" s="17" t="n">
        <x:v>19</x:v>
      </x:c>
      <x:c r="B119" s="17" t="str">
        <x:v>Small Fund Office</x:v>
      </x:c>
      <x:c r="C119" s="17" t="str">
        <x:v>Starter</x:v>
      </x:c>
      <x:c r="D119" s="17" t="str">
        <x:v>Uncommon</x:v>
      </x:c>
      <x:c r="E119" s="17" t="n">
        <x:v>19</x:v>
      </x:c>
      <x:c r="F119" s="17" t="n">
        <x:v>2</x:v>
      </x:c>
      <x:c r="G119" s="17" t="str">
        <x:v>Upgrade to Lv2</x:v>
      </x:c>
      <x:c r="H119" s="38" t="n">
        <x:f>ROUND(H118*INDEX('Balance Inputs'!$C$2:$C$7,MATCH(C119,'Balance Inputs'!$A$2:$A$7,0)),0)</x:f>
        <x:v>21172</x:v>
      </x:c>
      <x:c r="I119" s="38" t="n">
        <x:f>ROUND(INDEX('Balance Inputs'!$L$2:$L$51,MATCH(A119,'Balance Inputs'!$I$2:$I$51,0))*POWER(INDEX('Balance Inputs'!$D$2:$D$7,MATCH(C119,'Balance Inputs'!$A$2:$A$7,0)),F119-1),0)</x:f>
        <x:v>1459</x:v>
      </x:c>
      <x:c r="J119" s="38" t="n">
        <x:f>ROUND(I119*INDEX('Balance Inputs'!$F$2:$F$7,MATCH(C119,'Balance Inputs'!$A$2:$A$7,0)),0)</x:f>
        <x:v>190</x:v>
      </x:c>
      <x:c r="K119" s="38" t="n">
        <x:f>I119-J119</x:f>
        <x:v>1269</x:v>
      </x:c>
      <x:c r="L119" s="38" t="n">
        <x:f>ROUND(INDEX('Balance Inputs'!$M$2:$M$51,MATCH(A119,'Balance Inputs'!$I$2:$I$51,0))*POWER(INDEX('Balance Inputs'!$E$2:$E$7,MATCH(C119,'Balance Inputs'!$A$2:$A$7,0)),F119-1),0)</x:f>
        <x:v>1827</x:v>
      </x:c>
      <x:c r="M119" s="38" t="n">
        <x:f>ROUND(INDEX('Balance Inputs'!$N$2:$N$51,MATCH(A119,'Balance Inputs'!$I$2:$I$51,0))*POWER(INDEX('Balance Inputs'!$G$2:$G$7,MATCH(C119,'Balance Inputs'!$A$2:$A$7,0)),F119-1),0)</x:f>
        <x:v>182</x:v>
      </x:c>
      <x:c r="N119" s="38" t="n">
        <x:f>IF(A119&lt;&gt;A118,H119,N118+H119)</x:f>
        <x:v>34572</x:v>
      </x:c>
      <x:c r="O119" s="42" t="n">
        <x:f>IF(I119=0,0,H119/I119)</x:f>
        <x:v>14.511309115832763</x:v>
      </x:c>
      <x:c r="P119" s="43" t="n">
        <x:f>I119/INDEX('Balance Inputs'!$L$2:$L$51,MATCH(A119,'Balance Inputs'!$I$2:$I$51,0))</x:f>
        <x:v>1.3496762257169288</x:v>
      </x:c>
      <x:c r="Q119" s="43" t="n">
        <x:f>L119/INDEX('Balance Inputs'!$M$2:$M$51,MATCH(A119,'Balance Inputs'!$I$2:$I$51,0))</x:f>
        <x:v>1.3296943231441047</x:v>
      </x:c>
      <x:c r="R119" s="17"/>
      <x:c r="S119" s="17"/>
      <x:c r="T119" s="17"/>
      <x:c r="U119" s="17"/>
      <x:c r="V119" s="17"/>
      <x:c r="W119" s="17"/>
      <x:c r="X119" s="17"/>
      <x:c r="Y119" s="17"/>
      <x:c r="Z119" s="17"/>
    </x:row>
    <x:row r="120">
      <x:c r="A120" s="17" t="n">
        <x:v>19</x:v>
      </x:c>
      <x:c r="B120" s="17" t="str">
        <x:v>Small Fund Office</x:v>
      </x:c>
      <x:c r="C120" s="17" t="str">
        <x:v>Starter</x:v>
      </x:c>
      <x:c r="D120" s="17" t="str">
        <x:v>Uncommon</x:v>
      </x:c>
      <x:c r="E120" s="17" t="n">
        <x:v>19</x:v>
      </x:c>
      <x:c r="F120" s="17" t="n">
        <x:v>3</x:v>
      </x:c>
      <x:c r="G120" s="17" t="str">
        <x:v>Upgrade to Lv3</x:v>
      </x:c>
      <x:c r="H120" s="38" t="n">
        <x:f>ROUND(H119*INDEX('Balance Inputs'!$C$2:$C$7,MATCH(C120,'Balance Inputs'!$A$2:$A$7,0)),0)</x:f>
        <x:v>33452</x:v>
      </x:c>
      <x:c r="I120" s="38" t="n">
        <x:f>ROUND(INDEX('Balance Inputs'!$L$2:$L$51,MATCH(A120,'Balance Inputs'!$I$2:$I$51,0))*POWER(INDEX('Balance Inputs'!$D$2:$D$7,MATCH(C120,'Balance Inputs'!$A$2:$A$7,0)),F120-1),0)</x:f>
        <x:v>1970</x:v>
      </x:c>
      <x:c r="J120" s="38" t="n">
        <x:f>ROUND(I120*INDEX('Balance Inputs'!$F$2:$F$7,MATCH(C120,'Balance Inputs'!$A$2:$A$7,0)),0)</x:f>
        <x:v>256</x:v>
      </x:c>
      <x:c r="K120" s="38" t="n">
        <x:f>I120-J120</x:f>
        <x:v>1714</x:v>
      </x:c>
      <x:c r="L120" s="38" t="n">
        <x:f>ROUND(INDEX('Balance Inputs'!$M$2:$M$51,MATCH(A120,'Balance Inputs'!$I$2:$I$51,0))*POWER(INDEX('Balance Inputs'!$E$2:$E$7,MATCH(C120,'Balance Inputs'!$A$2:$A$7,0)),F120-1),0)</x:f>
        <x:v>2430</x:v>
      </x:c>
      <x:c r="M120" s="38" t="n">
        <x:f>ROUND(INDEX('Balance Inputs'!$N$2:$N$51,MATCH(A120,'Balance Inputs'!$I$2:$I$51,0))*POWER(INDEX('Balance Inputs'!$G$2:$G$7,MATCH(C120,'Balance Inputs'!$A$2:$A$7,0)),F120-1),0)</x:f>
        <x:v>191</x:v>
      </x:c>
      <x:c r="N120" s="38" t="n">
        <x:f>IF(A120&lt;&gt;A119,H120,N119+H120)</x:f>
        <x:v>68024</x:v>
      </x:c>
      <x:c r="O120" s="42" t="n">
        <x:f>IF(I120=0,0,H120/I120)</x:f>
        <x:v>16.980710659898477</x:v>
      </x:c>
      <x:c r="P120" s="43" t="n">
        <x:f>I120/INDEX('Balance Inputs'!$L$2:$L$51,MATCH(A120,'Balance Inputs'!$I$2:$I$51,0))</x:f>
        <x:v>1.822386679000925</x:v>
      </x:c>
      <x:c r="Q120" s="43" t="n">
        <x:f>L120/INDEX('Balance Inputs'!$M$2:$M$51,MATCH(A120,'Balance Inputs'!$I$2:$I$51,0))</x:f>
        <x:v>1.7685589519650655</x:v>
      </x:c>
      <x:c r="R120" s="17"/>
      <x:c r="S120" s="17"/>
      <x:c r="T120" s="17"/>
      <x:c r="U120" s="17"/>
      <x:c r="V120" s="17"/>
      <x:c r="W120" s="17"/>
      <x:c r="X120" s="17"/>
      <x:c r="Y120" s="17"/>
      <x:c r="Z120" s="17"/>
    </x:row>
    <x:row r="121">
      <x:c r="A121" s="17" t="n">
        <x:v>19</x:v>
      </x:c>
      <x:c r="B121" s="17" t="str">
        <x:v>Small Fund Office</x:v>
      </x:c>
      <x:c r="C121" s="17" t="str">
        <x:v>Starter</x:v>
      </x:c>
      <x:c r="D121" s="17" t="str">
        <x:v>Uncommon</x:v>
      </x:c>
      <x:c r="E121" s="17" t="n">
        <x:v>19</x:v>
      </x:c>
      <x:c r="F121" s="17" t="n">
        <x:v>4</x:v>
      </x:c>
      <x:c r="G121" s="17" t="str">
        <x:v>Upgrade to Lv4</x:v>
      </x:c>
      <x:c r="H121" s="38" t="n">
        <x:f>ROUND(H120*INDEX('Balance Inputs'!$C$2:$C$7,MATCH(C121,'Balance Inputs'!$A$2:$A$7,0)),0)</x:f>
        <x:v>52854</x:v>
      </x:c>
      <x:c r="I121" s="38" t="n">
        <x:f>ROUND(INDEX('Balance Inputs'!$L$2:$L$51,MATCH(A121,'Balance Inputs'!$I$2:$I$51,0))*POWER(INDEX('Balance Inputs'!$D$2:$D$7,MATCH(C121,'Balance Inputs'!$A$2:$A$7,0)),F121-1),0)</x:f>
        <x:v>2660</x:v>
      </x:c>
      <x:c r="J121" s="38" t="n">
        <x:f>ROUND(I121*INDEX('Balance Inputs'!$F$2:$F$7,MATCH(C121,'Balance Inputs'!$A$2:$A$7,0)),0)</x:f>
        <x:v>346</x:v>
      </x:c>
      <x:c r="K121" s="38" t="n">
        <x:f>I121-J121</x:f>
        <x:v>2314</x:v>
      </x:c>
      <x:c r="L121" s="38" t="n">
        <x:f>ROUND(INDEX('Balance Inputs'!$M$2:$M$51,MATCH(A121,'Balance Inputs'!$I$2:$I$51,0))*POWER(INDEX('Balance Inputs'!$E$2:$E$7,MATCH(C121,'Balance Inputs'!$A$2:$A$7,0)),F121-1),0)</x:f>
        <x:v>3233</x:v>
      </x:c>
      <x:c r="M121" s="38" t="n">
        <x:f>ROUND(INDEX('Balance Inputs'!$N$2:$N$51,MATCH(A121,'Balance Inputs'!$I$2:$I$51,0))*POWER(INDEX('Balance Inputs'!$G$2:$G$7,MATCH(C121,'Balance Inputs'!$A$2:$A$7,0)),F121-1),0)</x:f>
        <x:v>200</x:v>
      </x:c>
      <x:c r="N121" s="38" t="n">
        <x:f>IF(A121&lt;&gt;A120,H121,N120+H121)</x:f>
        <x:v>120878</x:v>
      </x:c>
      <x:c r="O121" s="42" t="n">
        <x:f>IF(I121=0,0,H121/I121)</x:f>
        <x:v>19.869924812030074</x:v>
      </x:c>
      <x:c r="P121" s="43" t="n">
        <x:f>I121/INDEX('Balance Inputs'!$L$2:$L$51,MATCH(A121,'Balance Inputs'!$I$2:$I$51,0))</x:f>
        <x:v>2.4606845513413504</x:v>
      </x:c>
      <x:c r="Q121" s="43" t="n">
        <x:f>L121/INDEX('Balance Inputs'!$M$2:$M$51,MATCH(A121,'Balance Inputs'!$I$2:$I$51,0))</x:f>
        <x:v>2.3529839883551675</x:v>
      </x:c>
      <x:c r="R121" s="17"/>
      <x:c r="S121" s="17"/>
      <x:c r="T121" s="17"/>
      <x:c r="U121" s="17"/>
      <x:c r="V121" s="17"/>
      <x:c r="W121" s="17"/>
      <x:c r="X121" s="17"/>
      <x:c r="Y121" s="17"/>
      <x:c r="Z121" s="17"/>
    </x:row>
    <x:row r="122">
      <x:c r="A122" s="17" t="n">
        <x:v>19</x:v>
      </x:c>
      <x:c r="B122" s="17" t="str">
        <x:v>Small Fund Office</x:v>
      </x:c>
      <x:c r="C122" s="17" t="str">
        <x:v>Starter</x:v>
      </x:c>
      <x:c r="D122" s="17" t="str">
        <x:v>Uncommon</x:v>
      </x:c>
      <x:c r="E122" s="17" t="n">
        <x:v>19</x:v>
      </x:c>
      <x:c r="F122" s="17" t="n">
        <x:v>5</x:v>
      </x:c>
      <x:c r="G122" s="17" t="str">
        <x:v>Upgrade to Lv5</x:v>
      </x:c>
      <x:c r="H122" s="38" t="n">
        <x:f>ROUND(H121*INDEX('Balance Inputs'!$C$2:$C$7,MATCH(C122,'Balance Inputs'!$A$2:$A$7,0)),0)</x:f>
        <x:v>83509</x:v>
      </x:c>
      <x:c r="I122" s="38" t="n">
        <x:f>ROUND(INDEX('Balance Inputs'!$L$2:$L$51,MATCH(A122,'Balance Inputs'!$I$2:$I$51,0))*POWER(INDEX('Balance Inputs'!$D$2:$D$7,MATCH(C122,'Balance Inputs'!$A$2:$A$7,0)),F122-1),0)</x:f>
        <x:v>3591</x:v>
      </x:c>
      <x:c r="J122" s="38" t="n">
        <x:f>ROUND(I122*INDEX('Balance Inputs'!$F$2:$F$7,MATCH(C122,'Balance Inputs'!$A$2:$A$7,0)),0)</x:f>
        <x:v>467</x:v>
      </x:c>
      <x:c r="K122" s="38" t="n">
        <x:f>I122-J122</x:f>
        <x:v>3124</x:v>
      </x:c>
      <x:c r="L122" s="38" t="n">
        <x:f>ROUND(INDEX('Balance Inputs'!$M$2:$M$51,MATCH(A122,'Balance Inputs'!$I$2:$I$51,0))*POWER(INDEX('Balance Inputs'!$E$2:$E$7,MATCH(C122,'Balance Inputs'!$A$2:$A$7,0)),F122-1),0)</x:f>
        <x:v>4299</x:v>
      </x:c>
      <x:c r="M122" s="38" t="n">
        <x:f>ROUND(INDEX('Balance Inputs'!$N$2:$N$51,MATCH(A122,'Balance Inputs'!$I$2:$I$51,0))*POWER(INDEX('Balance Inputs'!$G$2:$G$7,MATCH(C122,'Balance Inputs'!$A$2:$A$7,0)),F122-1),0)</x:f>
        <x:v>210</x:v>
      </x:c>
      <x:c r="N122" s="38" t="n">
        <x:f>IF(A122&lt;&gt;A121,H122,N121+H122)</x:f>
        <x:v>204387</x:v>
      </x:c>
      <x:c r="O122" s="42" t="n">
        <x:f>IF(I122=0,0,H122/I122)</x:f>
        <x:v>23.255082149818993</x:v>
      </x:c>
      <x:c r="P122" s="43" t="n">
        <x:f>I122/INDEX('Balance Inputs'!$L$2:$L$51,MATCH(A122,'Balance Inputs'!$I$2:$I$51,0))</x:f>
        <x:v>3.3219241443108234</x:v>
      </x:c>
      <x:c r="Q122" s="43" t="n">
        <x:f>L122/INDEX('Balance Inputs'!$M$2:$M$51,MATCH(A122,'Balance Inputs'!$I$2:$I$51,0))</x:f>
        <x:v>3.12882096069869</x:v>
      </x:c>
      <x:c r="R122" s="17"/>
      <x:c r="S122" s="17"/>
      <x:c r="T122" s="17"/>
      <x:c r="U122" s="17"/>
      <x:c r="V122" s="17"/>
      <x:c r="W122" s="17"/>
      <x:c r="X122" s="17"/>
      <x:c r="Y122" s="17"/>
      <x:c r="Z122" s="17"/>
    </x:row>
    <x:row r="123">
      <x:c r="A123" s="17" t="n">
        <x:v>19</x:v>
      </x:c>
      <x:c r="B123" s="17" t="str">
        <x:v>Small Fund Office</x:v>
      </x:c>
      <x:c r="C123" s="17" t="str">
        <x:v>Starter</x:v>
      </x:c>
      <x:c r="D123" s="17" t="str">
        <x:v>Uncommon</x:v>
      </x:c>
      <x:c r="E123" s="17" t="n">
        <x:v>19</x:v>
      </x:c>
      <x:c r="F123" s="17" t="n">
        <x:v>6</x:v>
      </x:c>
      <x:c r="G123" s="17" t="str">
        <x:v>Upgrade to Lv6</x:v>
      </x:c>
      <x:c r="H123" s="38" t="n">
        <x:f>ROUND(H122*INDEX('Balance Inputs'!$C$2:$C$7,MATCH(C123,'Balance Inputs'!$A$2:$A$7,0)),0)</x:f>
        <x:v>131944</x:v>
      </x:c>
      <x:c r="I123" s="38" t="n">
        <x:f>ROUND(INDEX('Balance Inputs'!$L$2:$L$51,MATCH(A123,'Balance Inputs'!$I$2:$I$51,0))*POWER(INDEX('Balance Inputs'!$D$2:$D$7,MATCH(C123,'Balance Inputs'!$A$2:$A$7,0)),F123-1),0)</x:f>
        <x:v>4847</x:v>
      </x:c>
      <x:c r="J123" s="38" t="n">
        <x:f>ROUND(I123*INDEX('Balance Inputs'!$F$2:$F$7,MATCH(C123,'Balance Inputs'!$A$2:$A$7,0)),0)</x:f>
        <x:v>630</x:v>
      </x:c>
      <x:c r="K123" s="38" t="n">
        <x:f>I123-J123</x:f>
        <x:v>4217</x:v>
      </x:c>
      <x:c r="L123" s="38" t="n">
        <x:f>ROUND(INDEX('Balance Inputs'!$M$2:$M$51,MATCH(A123,'Balance Inputs'!$I$2:$I$51,0))*POWER(INDEX('Balance Inputs'!$E$2:$E$7,MATCH(C123,'Balance Inputs'!$A$2:$A$7,0)),F123-1),0)</x:f>
        <x:v>5718</x:v>
      </x:c>
      <x:c r="M123" s="38" t="n">
        <x:f>ROUND(INDEX('Balance Inputs'!$N$2:$N$51,MATCH(A123,'Balance Inputs'!$I$2:$I$51,0))*POWER(INDEX('Balance Inputs'!$G$2:$G$7,MATCH(C123,'Balance Inputs'!$A$2:$A$7,0)),F123-1),0)</x:f>
        <x:v>221</x:v>
      </x:c>
      <x:c r="N123" s="38" t="n">
        <x:f>IF(A123&lt;&gt;A122,H123,N122+H123)</x:f>
        <x:v>336331</x:v>
      </x:c>
      <x:c r="O123" s="42" t="n">
        <x:f>IF(I123=0,0,H123/I123)</x:f>
        <x:v>27.221786672168353</x:v>
      </x:c>
      <x:c r="P123" s="43" t="n">
        <x:f>I123/INDEX('Balance Inputs'!$L$2:$L$51,MATCH(A123,'Balance Inputs'!$I$2:$I$51,0))</x:f>
        <x:v>4.483811285846438</x:v>
      </x:c>
      <x:c r="Q123" s="43" t="n">
        <x:f>L123/INDEX('Balance Inputs'!$M$2:$M$51,MATCH(A123,'Balance Inputs'!$I$2:$I$51,0))</x:f>
        <x:v>4.1615720524017465</x:v>
      </x:c>
      <x:c r="R123" s="17"/>
      <x:c r="S123" s="17"/>
      <x:c r="T123" s="17"/>
      <x:c r="U123" s="17"/>
      <x:c r="V123" s="17"/>
      <x:c r="W123" s="17"/>
      <x:c r="X123" s="17"/>
      <x:c r="Y123" s="17"/>
      <x:c r="Z123" s="17"/>
    </x:row>
    <x:row r="124">
      <x:c r="A124" s="17" t="n">
        <x:v>19</x:v>
      </x:c>
      <x:c r="B124" s="17" t="str">
        <x:v>Small Fund Office</x:v>
      </x:c>
      <x:c r="C124" s="17" t="str">
        <x:v>Starter</x:v>
      </x:c>
      <x:c r="D124" s="17" t="str">
        <x:v>Uncommon</x:v>
      </x:c>
      <x:c r="E124" s="17" t="n">
        <x:v>19</x:v>
      </x:c>
      <x:c r="F124" s="17" t="n">
        <x:v>7</x:v>
      </x:c>
      <x:c r="G124" s="17" t="str">
        <x:v>Upgrade to Lv7</x:v>
      </x:c>
      <x:c r="H124" s="38" t="n">
        <x:f>ROUND(H123*INDEX('Balance Inputs'!$C$2:$C$7,MATCH(C124,'Balance Inputs'!$A$2:$A$7,0)),0)</x:f>
        <x:v>208472</x:v>
      </x:c>
      <x:c r="I124" s="38" t="n">
        <x:f>ROUND(INDEX('Balance Inputs'!$L$2:$L$51,MATCH(A124,'Balance Inputs'!$I$2:$I$51,0))*POWER(INDEX('Balance Inputs'!$D$2:$D$7,MATCH(C124,'Balance Inputs'!$A$2:$A$7,0)),F124-1),0)</x:f>
        <x:v>6544</x:v>
      </x:c>
      <x:c r="J124" s="38" t="n">
        <x:f>ROUND(I124*INDEX('Balance Inputs'!$F$2:$F$7,MATCH(C124,'Balance Inputs'!$A$2:$A$7,0)),0)</x:f>
        <x:v>851</x:v>
      </x:c>
      <x:c r="K124" s="38" t="n">
        <x:f>I124-J124</x:f>
        <x:v>5693</x:v>
      </x:c>
      <x:c r="L124" s="38" t="n">
        <x:f>ROUND(INDEX('Balance Inputs'!$M$2:$M$51,MATCH(A124,'Balance Inputs'!$I$2:$I$51,0))*POWER(INDEX('Balance Inputs'!$E$2:$E$7,MATCH(C124,'Balance Inputs'!$A$2:$A$7,0)),F124-1),0)</x:f>
        <x:v>7605</x:v>
      </x:c>
      <x:c r="M124" s="38" t="n">
        <x:f>ROUND(INDEX('Balance Inputs'!$N$2:$N$51,MATCH(A124,'Balance Inputs'!$I$2:$I$51,0))*POWER(INDEX('Balance Inputs'!$G$2:$G$7,MATCH(C124,'Balance Inputs'!$A$2:$A$7,0)),F124-1),0)</x:f>
        <x:v>232</x:v>
      </x:c>
      <x:c r="N124" s="38" t="n">
        <x:f>IF(A124&lt;&gt;A123,H124,N123+H124)</x:f>
        <x:v>544803</x:v>
      </x:c>
      <x:c r="O124" s="42" t="n">
        <x:f>IF(I124=0,0,H124/I124)</x:f>
        <x:v>31.856968215158926</x:v>
      </x:c>
      <x:c r="P124" s="43" t="n">
        <x:f>I124/INDEX('Balance Inputs'!$L$2:$L$51,MATCH(A124,'Balance Inputs'!$I$2:$I$51,0))</x:f>
        <x:v>6.053654024051804</x:v>
      </x:c>
      <x:c r="Q124" s="43" t="n">
        <x:f>L124/INDEX('Balance Inputs'!$M$2:$M$51,MATCH(A124,'Balance Inputs'!$I$2:$I$51,0))</x:f>
        <x:v>5.534934497816594</x:v>
      </x:c>
      <x:c r="R124" s="17"/>
      <x:c r="S124" s="17"/>
      <x:c r="T124" s="17"/>
      <x:c r="U124" s="17"/>
      <x:c r="V124" s="17"/>
      <x:c r="W124" s="17"/>
      <x:c r="X124" s="17"/>
      <x:c r="Y124" s="17"/>
      <x:c r="Z124" s="17"/>
    </x:row>
    <x:row r="125">
      <x:c r="A125" s="17" t="n">
        <x:v>20</x:v>
      </x:c>
      <x:c r="B125" s="17" t="str">
        <x:v>Financial Services Hub</x:v>
      </x:c>
      <x:c r="C125" s="17" t="str">
        <x:v>Starter</x:v>
      </x:c>
      <x:c r="D125" s="17" t="str">
        <x:v>Uncommon</x:v>
      </x:c>
      <x:c r="E125" s="17" t="n">
        <x:v>20</x:v>
      </x:c>
      <x:c r="F125" s="17" t="n">
        <x:v>1</x:v>
      </x:c>
      <x:c r="G125" s="17" t="str">
        <x:v>Build</x:v>
      </x:c>
      <x:c r="H125" s="38" t="n">
        <x:f>INDEX('Balance Inputs'!$K$2:$K$51,MATCH(A125,'Balance Inputs'!$I$2:$I$51,0))</x:f>
        <x:v>16550</x:v>
      </x:c>
      <x:c r="I125" s="38" t="n">
        <x:f>ROUND(INDEX('Balance Inputs'!$L$2:$L$51,MATCH(A125,'Balance Inputs'!$I$2:$I$51,0))*POWER(INDEX('Balance Inputs'!$D$2:$D$7,MATCH(C125,'Balance Inputs'!$A$2:$A$7,0)),F125-1),0)</x:f>
        <x:v>1331</x:v>
      </x:c>
      <x:c r="J125" s="38" t="n">
        <x:f>ROUND(I125*INDEX('Balance Inputs'!$F$2:$F$7,MATCH(C125,'Balance Inputs'!$A$2:$A$7,0)),0)</x:f>
        <x:v>173</x:v>
      </x:c>
      <x:c r="K125" s="38" t="n">
        <x:f>I125-J125</x:f>
        <x:v>1158</x:v>
      </x:c>
      <x:c r="L125" s="38" t="n">
        <x:f>ROUND(INDEX('Balance Inputs'!$M$2:$M$51,MATCH(A125,'Balance Inputs'!$I$2:$I$51,0))*POWER(INDEX('Balance Inputs'!$E$2:$E$7,MATCH(C125,'Balance Inputs'!$A$2:$A$7,0)),F125-1),0)</x:f>
        <x:v>1635</x:v>
      </x:c>
      <x:c r="M125" s="38" t="n">
        <x:f>ROUND(INDEX('Balance Inputs'!$N$2:$N$51,MATCH(A125,'Balance Inputs'!$I$2:$I$51,0))*POWER(INDEX('Balance Inputs'!$G$2:$G$7,MATCH(C125,'Balance Inputs'!$A$2:$A$7,0)),F125-1),0)</x:f>
        <x:v>216</x:v>
      </x:c>
      <x:c r="N125" s="38" t="n">
        <x:f>IF(A125&lt;&gt;A124,H125,N124+H125)</x:f>
        <x:v>16550</x:v>
      </x:c>
      <x:c r="O125" s="42" t="n">
        <x:f>IF(I125=0,0,H125/I125)</x:f>
        <x:v>12.434259954921112</x:v>
      </x:c>
      <x:c r="P125" s="43" t="n">
        <x:f>I125/INDEX('Balance Inputs'!$L$2:$L$51,MATCH(A125,'Balance Inputs'!$I$2:$I$51,0))</x:f>
        <x:v>1</x:v>
      </x:c>
      <x:c r="Q125" s="43" t="n">
        <x:f>L125/INDEX('Balance Inputs'!$M$2:$M$51,MATCH(A125,'Balance Inputs'!$I$2:$I$51,0))</x:f>
        <x:v>1</x:v>
      </x:c>
      <x:c r="R125" s="17"/>
      <x:c r="S125" s="17"/>
      <x:c r="T125" s="17"/>
      <x:c r="U125" s="17"/>
      <x:c r="V125" s="17"/>
      <x:c r="W125" s="17"/>
      <x:c r="X125" s="17"/>
      <x:c r="Y125" s="17"/>
      <x:c r="Z125" s="17"/>
    </x:row>
    <x:row r="126">
      <x:c r="A126" s="17" t="n">
        <x:v>20</x:v>
      </x:c>
      <x:c r="B126" s="17" t="str">
        <x:v>Financial Services Hub</x:v>
      </x:c>
      <x:c r="C126" s="17" t="str">
        <x:v>Starter</x:v>
      </x:c>
      <x:c r="D126" s="17" t="str">
        <x:v>Uncommon</x:v>
      </x:c>
      <x:c r="E126" s="17" t="n">
        <x:v>20</x:v>
      </x:c>
      <x:c r="F126" s="17" t="n">
        <x:v>2</x:v>
      </x:c>
      <x:c r="G126" s="17" t="str">
        <x:v>Upgrade to Lv2</x:v>
      </x:c>
      <x:c r="H126" s="38" t="n">
        <x:f>ROUND(H125*INDEX('Balance Inputs'!$C$2:$C$7,MATCH(C126,'Balance Inputs'!$A$2:$A$7,0)),0)</x:f>
        <x:v>26149</x:v>
      </x:c>
      <x:c r="I126" s="38" t="n">
        <x:f>ROUND(INDEX('Balance Inputs'!$L$2:$L$51,MATCH(A126,'Balance Inputs'!$I$2:$I$51,0))*POWER(INDEX('Balance Inputs'!$D$2:$D$7,MATCH(C126,'Balance Inputs'!$A$2:$A$7,0)),F126-1),0)</x:f>
        <x:v>1797</x:v>
      </x:c>
      <x:c r="J126" s="38" t="n">
        <x:f>ROUND(I126*INDEX('Balance Inputs'!$F$2:$F$7,MATCH(C126,'Balance Inputs'!$A$2:$A$7,0)),0)</x:f>
        <x:v>234</x:v>
      </x:c>
      <x:c r="K126" s="38" t="n">
        <x:f>I126-J126</x:f>
        <x:v>1563</x:v>
      </x:c>
      <x:c r="L126" s="38" t="n">
        <x:f>ROUND(INDEX('Balance Inputs'!$M$2:$M$51,MATCH(A126,'Balance Inputs'!$I$2:$I$51,0))*POWER(INDEX('Balance Inputs'!$E$2:$E$7,MATCH(C126,'Balance Inputs'!$A$2:$A$7,0)),F126-1),0)</x:f>
        <x:v>2175</x:v>
      </x:c>
      <x:c r="M126" s="38" t="n">
        <x:f>ROUND(INDEX('Balance Inputs'!$N$2:$N$51,MATCH(A126,'Balance Inputs'!$I$2:$I$51,0))*POWER(INDEX('Balance Inputs'!$G$2:$G$7,MATCH(C126,'Balance Inputs'!$A$2:$A$7,0)),F126-1),0)</x:f>
        <x:v>227</x:v>
      </x:c>
      <x:c r="N126" s="38" t="n">
        <x:f>IF(A126&lt;&gt;A125,H126,N125+H126)</x:f>
        <x:v>42699</x:v>
      </x:c>
      <x:c r="O126" s="42" t="n">
        <x:f>IF(I126=0,0,H126/I126)</x:f>
        <x:v>14.55147468002226</x:v>
      </x:c>
      <x:c r="P126" s="43" t="n">
        <x:f>I126/INDEX('Balance Inputs'!$L$2:$L$51,MATCH(A126,'Balance Inputs'!$I$2:$I$51,0))</x:f>
        <x:v>1.3501126972201352</x:v>
      </x:c>
      <x:c r="Q126" s="43" t="n">
        <x:f>L126/INDEX('Balance Inputs'!$M$2:$M$51,MATCH(A126,'Balance Inputs'!$I$2:$I$51,0))</x:f>
        <x:v>1.3302752293577982</x:v>
      </x:c>
      <x:c r="R126" s="17"/>
      <x:c r="S126" s="17"/>
      <x:c r="T126" s="17"/>
      <x:c r="U126" s="17"/>
      <x:c r="V126" s="17"/>
      <x:c r="W126" s="17"/>
      <x:c r="X126" s="17"/>
      <x:c r="Y126" s="17"/>
      <x:c r="Z126" s="17"/>
    </x:row>
    <x:row r="127">
      <x:c r="A127" s="17" t="n">
        <x:v>20</x:v>
      </x:c>
      <x:c r="B127" s="17" t="str">
        <x:v>Financial Services Hub</x:v>
      </x:c>
      <x:c r="C127" s="17" t="str">
        <x:v>Starter</x:v>
      </x:c>
      <x:c r="D127" s="17" t="str">
        <x:v>Uncommon</x:v>
      </x:c>
      <x:c r="E127" s="17" t="n">
        <x:v>20</x:v>
      </x:c>
      <x:c r="F127" s="17" t="n">
        <x:v>3</x:v>
      </x:c>
      <x:c r="G127" s="17" t="str">
        <x:v>Upgrade to Lv3</x:v>
      </x:c>
      <x:c r="H127" s="38" t="n">
        <x:f>ROUND(H126*INDEX('Balance Inputs'!$C$2:$C$7,MATCH(C127,'Balance Inputs'!$A$2:$A$7,0)),0)</x:f>
        <x:v>41315</x:v>
      </x:c>
      <x:c r="I127" s="38" t="n">
        <x:f>ROUND(INDEX('Balance Inputs'!$L$2:$L$51,MATCH(A127,'Balance Inputs'!$I$2:$I$51,0))*POWER(INDEX('Balance Inputs'!$D$2:$D$7,MATCH(C127,'Balance Inputs'!$A$2:$A$7,0)),F127-1),0)</x:f>
        <x:v>2426</x:v>
      </x:c>
      <x:c r="J127" s="38" t="n">
        <x:f>ROUND(I127*INDEX('Balance Inputs'!$F$2:$F$7,MATCH(C127,'Balance Inputs'!$A$2:$A$7,0)),0)</x:f>
        <x:v>315</x:v>
      </x:c>
      <x:c r="K127" s="38" t="n">
        <x:f>I127-J127</x:f>
        <x:v>2111</x:v>
      </x:c>
      <x:c r="L127" s="38" t="n">
        <x:f>ROUND(INDEX('Balance Inputs'!$M$2:$M$51,MATCH(A127,'Balance Inputs'!$I$2:$I$51,0))*POWER(INDEX('Balance Inputs'!$E$2:$E$7,MATCH(C127,'Balance Inputs'!$A$2:$A$7,0)),F127-1),0)</x:f>
        <x:v>2892</x:v>
      </x:c>
      <x:c r="M127" s="38" t="n">
        <x:f>ROUND(INDEX('Balance Inputs'!$N$2:$N$51,MATCH(A127,'Balance Inputs'!$I$2:$I$51,0))*POWER(INDEX('Balance Inputs'!$G$2:$G$7,MATCH(C127,'Balance Inputs'!$A$2:$A$7,0)),F127-1),0)</x:f>
        <x:v>238</x:v>
      </x:c>
      <x:c r="N127" s="38" t="n">
        <x:f>IF(A127&lt;&gt;A126,H127,N126+H127)</x:f>
        <x:v>84014</x:v>
      </x:c>
      <x:c r="O127" s="42" t="n">
        <x:f>IF(I127=0,0,H127/I127)</x:f>
        <x:v>17.030090684253917</x:v>
      </x:c>
      <x:c r="P127" s="43" t="n">
        <x:f>I127/INDEX('Balance Inputs'!$L$2:$L$51,MATCH(A127,'Balance Inputs'!$I$2:$I$51,0))</x:f>
        <x:v>1.8226897069872277</x:v>
      </x:c>
      <x:c r="Q127" s="43" t="n">
        <x:f>L127/INDEX('Balance Inputs'!$M$2:$M$51,MATCH(A127,'Balance Inputs'!$I$2:$I$51,0))</x:f>
        <x:v>1.7688073394495414</x:v>
      </x:c>
      <x:c r="R127" s="17"/>
      <x:c r="S127" s="17"/>
      <x:c r="T127" s="17"/>
      <x:c r="U127" s="17"/>
      <x:c r="V127" s="17"/>
      <x:c r="W127" s="17"/>
      <x:c r="X127" s="17"/>
      <x:c r="Y127" s="17"/>
      <x:c r="Z127" s="17"/>
    </x:row>
    <x:row r="128">
      <x:c r="A128" s="17" t="n">
        <x:v>20</x:v>
      </x:c>
      <x:c r="B128" s="17" t="str">
        <x:v>Financial Services Hub</x:v>
      </x:c>
      <x:c r="C128" s="17" t="str">
        <x:v>Starter</x:v>
      </x:c>
      <x:c r="D128" s="17" t="str">
        <x:v>Uncommon</x:v>
      </x:c>
      <x:c r="E128" s="17" t="n">
        <x:v>20</x:v>
      </x:c>
      <x:c r="F128" s="17" t="n">
        <x:v>4</x:v>
      </x:c>
      <x:c r="G128" s="17" t="str">
        <x:v>Upgrade to Lv4</x:v>
      </x:c>
      <x:c r="H128" s="38" t="n">
        <x:f>ROUND(H127*INDEX('Balance Inputs'!$C$2:$C$7,MATCH(C128,'Balance Inputs'!$A$2:$A$7,0)),0)</x:f>
        <x:v>65278</x:v>
      </x:c>
      <x:c r="I128" s="38" t="n">
        <x:f>ROUND(INDEX('Balance Inputs'!$L$2:$L$51,MATCH(A128,'Balance Inputs'!$I$2:$I$51,0))*POWER(INDEX('Balance Inputs'!$D$2:$D$7,MATCH(C128,'Balance Inputs'!$A$2:$A$7,0)),F128-1),0)</x:f>
        <x:v>3275</x:v>
      </x:c>
      <x:c r="J128" s="38" t="n">
        <x:f>ROUND(I128*INDEX('Balance Inputs'!$F$2:$F$7,MATCH(C128,'Balance Inputs'!$A$2:$A$7,0)),0)</x:f>
        <x:v>426</x:v>
      </x:c>
      <x:c r="K128" s="38" t="n">
        <x:f>I128-J128</x:f>
        <x:v>2849</x:v>
      </x:c>
      <x:c r="L128" s="38" t="n">
        <x:f>ROUND(INDEX('Balance Inputs'!$M$2:$M$51,MATCH(A128,'Balance Inputs'!$I$2:$I$51,0))*POWER(INDEX('Balance Inputs'!$E$2:$E$7,MATCH(C128,'Balance Inputs'!$A$2:$A$7,0)),F128-1),0)</x:f>
        <x:v>3847</x:v>
      </x:c>
      <x:c r="M128" s="38" t="n">
        <x:f>ROUND(INDEX('Balance Inputs'!$N$2:$N$51,MATCH(A128,'Balance Inputs'!$I$2:$I$51,0))*POWER(INDEX('Balance Inputs'!$G$2:$G$7,MATCH(C128,'Balance Inputs'!$A$2:$A$7,0)),F128-1),0)</x:f>
        <x:v>250</x:v>
      </x:c>
      <x:c r="N128" s="38" t="n">
        <x:f>IF(A128&lt;&gt;A127,H128,N127+H128)</x:f>
        <x:v>149292</x:v>
      </x:c>
      <x:c r="O128" s="42" t="n">
        <x:f>IF(I128=0,0,H128/I128)</x:f>
        <x:v>19.932213740458014</x:v>
      </x:c>
      <x:c r="P128" s="43" t="n">
        <x:f>I128/INDEX('Balance Inputs'!$L$2:$L$51,MATCH(A128,'Balance Inputs'!$I$2:$I$51,0))</x:f>
        <x:v>2.460555972952667</x:v>
      </x:c>
      <x:c r="Q128" s="43" t="n">
        <x:f>L128/INDEX('Balance Inputs'!$M$2:$M$51,MATCH(A128,'Balance Inputs'!$I$2:$I$51,0))</x:f>
        <x:v>2.3529051987767584</x:v>
      </x:c>
      <x:c r="R128" s="17"/>
      <x:c r="S128" s="17"/>
      <x:c r="T128" s="17"/>
      <x:c r="U128" s="17"/>
      <x:c r="V128" s="17"/>
      <x:c r="W128" s="17"/>
      <x:c r="X128" s="17"/>
      <x:c r="Y128" s="17"/>
      <x:c r="Z128" s="17"/>
    </x:row>
    <x:row r="129">
      <x:c r="A129" s="17" t="n">
        <x:v>20</x:v>
      </x:c>
      <x:c r="B129" s="17" t="str">
        <x:v>Financial Services Hub</x:v>
      </x:c>
      <x:c r="C129" s="17" t="str">
        <x:v>Starter</x:v>
      </x:c>
      <x:c r="D129" s="17" t="str">
        <x:v>Uncommon</x:v>
      </x:c>
      <x:c r="E129" s="17" t="n">
        <x:v>20</x:v>
      </x:c>
      <x:c r="F129" s="17" t="n">
        <x:v>5</x:v>
      </x:c>
      <x:c r="G129" s="17" t="str">
        <x:v>Upgrade to Lv5</x:v>
      </x:c>
      <x:c r="H129" s="38" t="n">
        <x:f>ROUND(H128*INDEX('Balance Inputs'!$C$2:$C$7,MATCH(C129,'Balance Inputs'!$A$2:$A$7,0)),0)</x:f>
        <x:v>103139</x:v>
      </x:c>
      <x:c r="I129" s="38" t="n">
        <x:f>ROUND(INDEX('Balance Inputs'!$L$2:$L$51,MATCH(A129,'Balance Inputs'!$I$2:$I$51,0))*POWER(INDEX('Balance Inputs'!$D$2:$D$7,MATCH(C129,'Balance Inputs'!$A$2:$A$7,0)),F129-1),0)</x:f>
        <x:v>4421</x:v>
      </x:c>
      <x:c r="J129" s="38" t="n">
        <x:f>ROUND(I129*INDEX('Balance Inputs'!$F$2:$F$7,MATCH(C129,'Balance Inputs'!$A$2:$A$7,0)),0)</x:f>
        <x:v>575</x:v>
      </x:c>
      <x:c r="K129" s="38" t="n">
        <x:f>I129-J129</x:f>
        <x:v>3846</x:v>
      </x:c>
      <x:c r="L129" s="38" t="n">
        <x:f>ROUND(INDEX('Balance Inputs'!$M$2:$M$51,MATCH(A129,'Balance Inputs'!$I$2:$I$51,0))*POWER(INDEX('Balance Inputs'!$E$2:$E$7,MATCH(C129,'Balance Inputs'!$A$2:$A$7,0)),F129-1),0)</x:f>
        <x:v>5116</x:v>
      </x:c>
      <x:c r="M129" s="38" t="n">
        <x:f>ROUND(INDEX('Balance Inputs'!$N$2:$N$51,MATCH(A129,'Balance Inputs'!$I$2:$I$51,0))*POWER(INDEX('Balance Inputs'!$G$2:$G$7,MATCH(C129,'Balance Inputs'!$A$2:$A$7,0)),F129-1),0)</x:f>
        <x:v>263</x:v>
      </x:c>
      <x:c r="N129" s="38" t="n">
        <x:f>IF(A129&lt;&gt;A128,H129,N128+H129)</x:f>
        <x:v>252431</x:v>
      </x:c>
      <x:c r="O129" s="42" t="n">
        <x:f>IF(I129=0,0,H129/I129)</x:f>
        <x:v>23.329337254014927</x:v>
      </x:c>
      <x:c r="P129" s="43" t="n">
        <x:f>I129/INDEX('Balance Inputs'!$L$2:$L$51,MATCH(A129,'Balance Inputs'!$I$2:$I$51,0))</x:f>
        <x:v>3.3215627347858754</x:v>
      </x:c>
      <x:c r="Q129" s="43" t="n">
        <x:f>L129/INDEX('Balance Inputs'!$M$2:$M$51,MATCH(A129,'Balance Inputs'!$I$2:$I$51,0))</x:f>
        <x:v>3.129051987767584</x:v>
      </x:c>
      <x:c r="R129" s="17"/>
      <x:c r="S129" s="17"/>
      <x:c r="T129" s="17"/>
      <x:c r="U129" s="17"/>
      <x:c r="V129" s="17"/>
      <x:c r="W129" s="17"/>
      <x:c r="X129" s="17"/>
      <x:c r="Y129" s="17"/>
      <x:c r="Z129" s="17"/>
    </x:row>
    <x:row r="130">
      <x:c r="A130" s="17" t="n">
        <x:v>20</x:v>
      </x:c>
      <x:c r="B130" s="17" t="str">
        <x:v>Financial Services Hub</x:v>
      </x:c>
      <x:c r="C130" s="17" t="str">
        <x:v>Starter</x:v>
      </x:c>
      <x:c r="D130" s="17" t="str">
        <x:v>Uncommon</x:v>
      </x:c>
      <x:c r="E130" s="17" t="n">
        <x:v>20</x:v>
      </x:c>
      <x:c r="F130" s="17" t="n">
        <x:v>6</x:v>
      </x:c>
      <x:c r="G130" s="17" t="str">
        <x:v>Upgrade to Lv6</x:v>
      </x:c>
      <x:c r="H130" s="38" t="n">
        <x:f>ROUND(H129*INDEX('Balance Inputs'!$C$2:$C$7,MATCH(C130,'Balance Inputs'!$A$2:$A$7,0)),0)</x:f>
        <x:v>162960</x:v>
      </x:c>
      <x:c r="I130" s="38" t="n">
        <x:f>ROUND(INDEX('Balance Inputs'!$L$2:$L$51,MATCH(A130,'Balance Inputs'!$I$2:$I$51,0))*POWER(INDEX('Balance Inputs'!$D$2:$D$7,MATCH(C130,'Balance Inputs'!$A$2:$A$7,0)),F130-1),0)</x:f>
        <x:v>5968</x:v>
      </x:c>
      <x:c r="J130" s="38" t="n">
        <x:f>ROUND(I130*INDEX('Balance Inputs'!$F$2:$F$7,MATCH(C130,'Balance Inputs'!$A$2:$A$7,0)),0)</x:f>
        <x:v>776</x:v>
      </x:c>
      <x:c r="K130" s="38" t="n">
        <x:f>I130-J130</x:f>
        <x:v>5192</x:v>
      </x:c>
      <x:c r="L130" s="38" t="n">
        <x:f>ROUND(INDEX('Balance Inputs'!$M$2:$M$51,MATCH(A130,'Balance Inputs'!$I$2:$I$51,0))*POWER(INDEX('Balance Inputs'!$E$2:$E$7,MATCH(C130,'Balance Inputs'!$A$2:$A$7,0)),F130-1),0)</x:f>
        <x:v>6804</x:v>
      </x:c>
      <x:c r="M130" s="38" t="n">
        <x:f>ROUND(INDEX('Balance Inputs'!$N$2:$N$51,MATCH(A130,'Balance Inputs'!$I$2:$I$51,0))*POWER(INDEX('Balance Inputs'!$G$2:$G$7,MATCH(C130,'Balance Inputs'!$A$2:$A$7,0)),F130-1),0)</x:f>
        <x:v>276</x:v>
      </x:c>
      <x:c r="N130" s="38" t="n">
        <x:f>IF(A130&lt;&gt;A129,H130,N129+H130)</x:f>
        <x:v>415391</x:v>
      </x:c>
      <x:c r="O130" s="42" t="n">
        <x:f>IF(I130=0,0,H130/I130)</x:f>
        <x:v>27.305630026809652</x:v>
      </x:c>
      <x:c r="P130" s="43" t="n">
        <x:f>I130/INDEX('Balance Inputs'!$L$2:$L$51,MATCH(A130,'Balance Inputs'!$I$2:$I$51,0))</x:f>
        <x:v>4.483846731780616</x:v>
      </x:c>
      <x:c r="Q130" s="43" t="n">
        <x:f>L130/INDEX('Balance Inputs'!$M$2:$M$51,MATCH(A130,'Balance Inputs'!$I$2:$I$51,0))</x:f>
        <x:v>4.1614678899082564</x:v>
      </x:c>
      <x:c r="R130" s="17"/>
      <x:c r="S130" s="17"/>
      <x:c r="T130" s="17"/>
      <x:c r="U130" s="17"/>
      <x:c r="V130" s="17"/>
      <x:c r="W130" s="17"/>
      <x:c r="X130" s="17"/>
      <x:c r="Y130" s="17"/>
      <x:c r="Z130" s="17"/>
    </x:row>
    <x:row r="131">
      <x:c r="A131" s="17" t="n">
        <x:v>20</x:v>
      </x:c>
      <x:c r="B131" s="17" t="str">
        <x:v>Financial Services Hub</x:v>
      </x:c>
      <x:c r="C131" s="17" t="str">
        <x:v>Starter</x:v>
      </x:c>
      <x:c r="D131" s="17" t="str">
        <x:v>Uncommon</x:v>
      </x:c>
      <x:c r="E131" s="17" t="n">
        <x:v>20</x:v>
      </x:c>
      <x:c r="F131" s="17" t="n">
        <x:v>7</x:v>
      </x:c>
      <x:c r="G131" s="17" t="str">
        <x:v>Upgrade to Lv7</x:v>
      </x:c>
      <x:c r="H131" s="38" t="n">
        <x:f>ROUND(H130*INDEX('Balance Inputs'!$C$2:$C$7,MATCH(C131,'Balance Inputs'!$A$2:$A$7,0)),0)</x:f>
        <x:v>257477</x:v>
      </x:c>
      <x:c r="I131" s="38" t="n">
        <x:f>ROUND(INDEX('Balance Inputs'!$L$2:$L$51,MATCH(A131,'Balance Inputs'!$I$2:$I$51,0))*POWER(INDEX('Balance Inputs'!$D$2:$D$7,MATCH(C131,'Balance Inputs'!$A$2:$A$7,0)),F131-1),0)</x:f>
        <x:v>8057</x:v>
      </x:c>
      <x:c r="J131" s="38" t="n">
        <x:f>ROUND(I131*INDEX('Balance Inputs'!$F$2:$F$7,MATCH(C131,'Balance Inputs'!$A$2:$A$7,0)),0)</x:f>
        <x:v>1047</x:v>
      </x:c>
      <x:c r="K131" s="38" t="n">
        <x:f>I131-J131</x:f>
        <x:v>7010</x:v>
      </x:c>
      <x:c r="L131" s="38" t="n">
        <x:f>ROUND(INDEX('Balance Inputs'!$M$2:$M$51,MATCH(A131,'Balance Inputs'!$I$2:$I$51,0))*POWER(INDEX('Balance Inputs'!$E$2:$E$7,MATCH(C131,'Balance Inputs'!$A$2:$A$7,0)),F131-1),0)</x:f>
        <x:v>9050</x:v>
      </x:c>
      <x:c r="M131" s="38" t="n">
        <x:f>ROUND(INDEX('Balance Inputs'!$N$2:$N$51,MATCH(A131,'Balance Inputs'!$I$2:$I$51,0))*POWER(INDEX('Balance Inputs'!$G$2:$G$7,MATCH(C131,'Balance Inputs'!$A$2:$A$7,0)),F131-1),0)</x:f>
        <x:v>289</x:v>
      </x:c>
      <x:c r="N131" s="38" t="n">
        <x:f>IF(A131&lt;&gt;A130,H131,N130+H131)</x:f>
        <x:v>672868</x:v>
      </x:c>
      <x:c r="O131" s="42" t="n">
        <x:f>IF(I131=0,0,H131/I131)</x:f>
        <x:v>31.95693186049398</x:v>
      </x:c>
      <x:c r="P131" s="43" t="n">
        <x:f>I131/INDEX('Balance Inputs'!$L$2:$L$51,MATCH(A131,'Balance Inputs'!$I$2:$I$51,0))</x:f>
        <x:v>6.053343350864012</x:v>
      </x:c>
      <x:c r="Q131" s="43" t="n">
        <x:f>L131/INDEX('Balance Inputs'!$M$2:$M$51,MATCH(A131,'Balance Inputs'!$I$2:$I$51,0))</x:f>
        <x:v>5.535168195718654</x:v>
      </x:c>
      <x:c r="R131" s="17"/>
      <x:c r="S131" s="17"/>
      <x:c r="T131" s="17"/>
      <x:c r="U131" s="17"/>
      <x:c r="V131" s="17"/>
      <x:c r="W131" s="17"/>
      <x:c r="X131" s="17"/>
      <x:c r="Y131" s="17"/>
      <x:c r="Z131" s="17"/>
    </x:row>
    <x:row r="132">
      <x:c r="A132" s="17" t="n">
        <x:v>21</x:v>
      </x:c>
      <x:c r="B132" s="17" t="str">
        <x:v>Community Bank Branch</x:v>
      </x:c>
      <x:c r="C132" s="17" t="str">
        <x:v>Growing</x:v>
      </x:c>
      <x:c r="D132" s="17" t="str">
        <x:v>Rare</x:v>
      </x:c>
      <x:c r="E132" s="17" t="n">
        <x:v>21</x:v>
      </x:c>
      <x:c r="F132" s="17" t="n">
        <x:v>1</x:v>
      </x:c>
      <x:c r="G132" s="17" t="str">
        <x:v>Build</x:v>
      </x:c>
      <x:c r="H132" s="38" t="n">
        <x:f>INDEX('Balance Inputs'!$K$2:$K$51,MATCH(A132,'Balance Inputs'!$I$2:$I$51,0))</x:f>
        <x:v>20440</x:v>
      </x:c>
      <x:c r="I132" s="38" t="n">
        <x:f>ROUND(INDEX('Balance Inputs'!$L$2:$L$51,MATCH(A132,'Balance Inputs'!$I$2:$I$51,0))*POWER(INDEX('Balance Inputs'!$D$2:$D$7,MATCH(C132,'Balance Inputs'!$A$2:$A$7,0)),F132-1),0)</x:f>
        <x:v>1490</x:v>
      </x:c>
      <x:c r="J132" s="38" t="n">
        <x:f>ROUND(I132*INDEX('Balance Inputs'!$F$2:$F$7,MATCH(C132,'Balance Inputs'!$A$2:$A$7,0)),0)</x:f>
        <x:v>209</x:v>
      </x:c>
      <x:c r="K132" s="38" t="n">
        <x:f>I132-J132</x:f>
        <x:v>1281</x:v>
      </x:c>
      <x:c r="L132" s="38" t="n">
        <x:f>ROUND(INDEX('Balance Inputs'!$M$2:$M$51,MATCH(A132,'Balance Inputs'!$I$2:$I$51,0))*POWER(INDEX('Balance Inputs'!$E$2:$E$7,MATCH(C132,'Balance Inputs'!$A$2:$A$7,0)),F132-1),0)</x:f>
        <x:v>1946</x:v>
      </x:c>
      <x:c r="M132" s="38" t="n">
        <x:f>ROUND(INDEX('Balance Inputs'!$N$2:$N$51,MATCH(A132,'Balance Inputs'!$I$2:$I$51,0))*POWER(INDEX('Balance Inputs'!$G$2:$G$7,MATCH(C132,'Balance Inputs'!$A$2:$A$7,0)),F132-1),0)</x:f>
        <x:v>234</x:v>
      </x:c>
      <x:c r="N132" s="38" t="n">
        <x:f>IF(A132&lt;&gt;A131,H132,N131+H132)</x:f>
        <x:v>20440</x:v>
      </x:c>
      <x:c r="O132" s="42" t="n">
        <x:f>IF(I132=0,0,H132/I132)</x:f>
        <x:v>13.718120805369127</x:v>
      </x:c>
      <x:c r="P132" s="43" t="n">
        <x:f>I132/INDEX('Balance Inputs'!$L$2:$L$51,MATCH(A132,'Balance Inputs'!$I$2:$I$51,0))</x:f>
        <x:v>1</x:v>
      </x:c>
      <x:c r="Q132" s="43" t="n">
        <x:f>L132/INDEX('Balance Inputs'!$M$2:$M$51,MATCH(A132,'Balance Inputs'!$I$2:$I$51,0))</x:f>
        <x:v>1</x:v>
      </x:c>
      <x:c r="R132" s="17"/>
      <x:c r="S132" s="17"/>
      <x:c r="T132" s="17"/>
      <x:c r="U132" s="17"/>
      <x:c r="V132" s="17"/>
      <x:c r="W132" s="17"/>
      <x:c r="X132" s="17"/>
      <x:c r="Y132" s="17"/>
      <x:c r="Z132" s="17"/>
    </x:row>
    <x:row r="133">
      <x:c r="A133" s="17" t="n">
        <x:v>21</x:v>
      </x:c>
      <x:c r="B133" s="17" t="str">
        <x:v>Community Bank Branch</x:v>
      </x:c>
      <x:c r="C133" s="17" t="str">
        <x:v>Growing</x:v>
      </x:c>
      <x:c r="D133" s="17" t="str">
        <x:v>Rare</x:v>
      </x:c>
      <x:c r="E133" s="17" t="n">
        <x:v>21</x:v>
      </x:c>
      <x:c r="F133" s="17" t="n">
        <x:v>2</x:v>
      </x:c>
      <x:c r="G133" s="17" t="str">
        <x:v>Upgrade to Lv2</x:v>
      </x:c>
      <x:c r="H133" s="38" t="n">
        <x:f>ROUND(H132*INDEX('Balance Inputs'!$C$2:$C$7,MATCH(C133,'Balance Inputs'!$A$2:$A$7,0)),0)</x:f>
        <x:v>32704</x:v>
      </x:c>
      <x:c r="I133" s="38" t="n">
        <x:f>ROUND(INDEX('Balance Inputs'!$L$2:$L$51,MATCH(A133,'Balance Inputs'!$I$2:$I$51,0))*POWER(INDEX('Balance Inputs'!$D$2:$D$7,MATCH(C133,'Balance Inputs'!$A$2:$A$7,0)),F133-1),0)</x:f>
        <x:v>2026</x:v>
      </x:c>
      <x:c r="J133" s="38" t="n">
        <x:f>ROUND(I133*INDEX('Balance Inputs'!$F$2:$F$7,MATCH(C133,'Balance Inputs'!$A$2:$A$7,0)),0)</x:f>
        <x:v>284</x:v>
      </x:c>
      <x:c r="K133" s="38" t="n">
        <x:f>I133-J133</x:f>
        <x:v>1742</x:v>
      </x:c>
      <x:c r="L133" s="38" t="n">
        <x:f>ROUND(INDEX('Balance Inputs'!$M$2:$M$51,MATCH(A133,'Balance Inputs'!$I$2:$I$51,0))*POWER(INDEX('Balance Inputs'!$E$2:$E$7,MATCH(C133,'Balance Inputs'!$A$2:$A$7,0)),F133-1),0)</x:f>
        <x:v>2608</x:v>
      </x:c>
      <x:c r="M133" s="38" t="n">
        <x:f>ROUND(INDEX('Balance Inputs'!$N$2:$N$51,MATCH(A133,'Balance Inputs'!$I$2:$I$51,0))*POWER(INDEX('Balance Inputs'!$G$2:$G$7,MATCH(C133,'Balance Inputs'!$A$2:$A$7,0)),F133-1),0)</x:f>
        <x:v>257</x:v>
      </x:c>
      <x:c r="N133" s="38" t="n">
        <x:f>IF(A133&lt;&gt;A132,H133,N132+H133)</x:f>
        <x:v>53144</x:v>
      </x:c>
      <x:c r="O133" s="42" t="n">
        <x:f>IF(I133=0,0,H133/I133)</x:f>
        <x:v>16.142152023692002</x:v>
      </x:c>
      <x:c r="P133" s="43" t="n">
        <x:f>I133/INDEX('Balance Inputs'!$L$2:$L$51,MATCH(A133,'Balance Inputs'!$I$2:$I$51,0))</x:f>
        <x:v>1.359731543624161</x:v>
      </x:c>
      <x:c r="Q133" s="43" t="n">
        <x:f>L133/INDEX('Balance Inputs'!$M$2:$M$51,MATCH(A133,'Balance Inputs'!$I$2:$I$51,0))</x:f>
        <x:v>1.3401849948612539</x:v>
      </x:c>
      <x:c r="R133" s="17"/>
      <x:c r="S133" s="17"/>
      <x:c r="T133" s="17"/>
      <x:c r="U133" s="17"/>
      <x:c r="V133" s="17"/>
      <x:c r="W133" s="17"/>
      <x:c r="X133" s="17"/>
      <x:c r="Y133" s="17"/>
      <x:c r="Z133" s="17"/>
    </x:row>
    <x:row r="134">
      <x:c r="A134" s="17" t="n">
        <x:v>21</x:v>
      </x:c>
      <x:c r="B134" s="17" t="str">
        <x:v>Community Bank Branch</x:v>
      </x:c>
      <x:c r="C134" s="17" t="str">
        <x:v>Growing</x:v>
      </x:c>
      <x:c r="D134" s="17" t="str">
        <x:v>Rare</x:v>
      </x:c>
      <x:c r="E134" s="17" t="n">
        <x:v>21</x:v>
      </x:c>
      <x:c r="F134" s="17" t="n">
        <x:v>3</x:v>
      </x:c>
      <x:c r="G134" s="17" t="str">
        <x:v>Upgrade to Lv3</x:v>
      </x:c>
      <x:c r="H134" s="38" t="n">
        <x:f>ROUND(H133*INDEX('Balance Inputs'!$C$2:$C$7,MATCH(C134,'Balance Inputs'!$A$2:$A$7,0)),0)</x:f>
        <x:v>52326</x:v>
      </x:c>
      <x:c r="I134" s="38" t="n">
        <x:f>ROUND(INDEX('Balance Inputs'!$L$2:$L$51,MATCH(A134,'Balance Inputs'!$I$2:$I$51,0))*POWER(INDEX('Balance Inputs'!$D$2:$D$7,MATCH(C134,'Balance Inputs'!$A$2:$A$7,0)),F134-1),0)</x:f>
        <x:v>2756</x:v>
      </x:c>
      <x:c r="J134" s="38" t="n">
        <x:f>ROUND(I134*INDEX('Balance Inputs'!$F$2:$F$7,MATCH(C134,'Balance Inputs'!$A$2:$A$7,0)),0)</x:f>
        <x:v>386</x:v>
      </x:c>
      <x:c r="K134" s="38" t="n">
        <x:f>I134-J134</x:f>
        <x:v>2370</x:v>
      </x:c>
      <x:c r="L134" s="38" t="n">
        <x:f>ROUND(INDEX('Balance Inputs'!$M$2:$M$51,MATCH(A134,'Balance Inputs'!$I$2:$I$51,0))*POWER(INDEX('Balance Inputs'!$E$2:$E$7,MATCH(C134,'Balance Inputs'!$A$2:$A$7,0)),F134-1),0)</x:f>
        <x:v>3494</x:v>
      </x:c>
      <x:c r="M134" s="38" t="n">
        <x:f>ROUND(INDEX('Balance Inputs'!$N$2:$N$51,MATCH(A134,'Balance Inputs'!$I$2:$I$51,0))*POWER(INDEX('Balance Inputs'!$G$2:$G$7,MATCH(C134,'Balance Inputs'!$A$2:$A$7,0)),F134-1),0)</x:f>
        <x:v>283</x:v>
      </x:c>
      <x:c r="N134" s="38" t="n">
        <x:f>IF(A134&lt;&gt;A133,H134,N133+H134)</x:f>
        <x:v>105470</x:v>
      </x:c>
      <x:c r="O134" s="42" t="n">
        <x:f>IF(I134=0,0,H134/I134)</x:f>
        <x:v>18.98621190130624</x:v>
      </x:c>
      <x:c r="P134" s="43" t="n">
        <x:f>I134/INDEX('Balance Inputs'!$L$2:$L$51,MATCH(A134,'Balance Inputs'!$I$2:$I$51,0))</x:f>
        <x:v>1.8496644295302014</x:v>
      </x:c>
      <x:c r="Q134" s="43" t="n">
        <x:f>L134/INDEX('Balance Inputs'!$M$2:$M$51,MATCH(A134,'Balance Inputs'!$I$2:$I$51,0))</x:f>
        <x:v>1.7954779033915724</x:v>
      </x:c>
      <x:c r="R134" s="17"/>
      <x:c r="S134" s="17"/>
      <x:c r="T134" s="17"/>
      <x:c r="U134" s="17"/>
      <x:c r="V134" s="17"/>
      <x:c r="W134" s="17"/>
      <x:c r="X134" s="17"/>
      <x:c r="Y134" s="17"/>
      <x:c r="Z134" s="17"/>
    </x:row>
    <x:row r="135">
      <x:c r="A135" s="17" t="n">
        <x:v>21</x:v>
      </x:c>
      <x:c r="B135" s="17" t="str">
        <x:v>Community Bank Branch</x:v>
      </x:c>
      <x:c r="C135" s="17" t="str">
        <x:v>Growing</x:v>
      </x:c>
      <x:c r="D135" s="17" t="str">
        <x:v>Rare</x:v>
      </x:c>
      <x:c r="E135" s="17" t="n">
        <x:v>21</x:v>
      </x:c>
      <x:c r="F135" s="17" t="n">
        <x:v>4</x:v>
      </x:c>
      <x:c r="G135" s="17" t="str">
        <x:v>Upgrade to Lv4</x:v>
      </x:c>
      <x:c r="H135" s="38" t="n">
        <x:f>ROUND(H134*INDEX('Balance Inputs'!$C$2:$C$7,MATCH(C135,'Balance Inputs'!$A$2:$A$7,0)),0)</x:f>
        <x:v>83722</x:v>
      </x:c>
      <x:c r="I135" s="38" t="n">
        <x:f>ROUND(INDEX('Balance Inputs'!$L$2:$L$51,MATCH(A135,'Balance Inputs'!$I$2:$I$51,0))*POWER(INDEX('Balance Inputs'!$D$2:$D$7,MATCH(C135,'Balance Inputs'!$A$2:$A$7,0)),F135-1),0)</x:f>
        <x:v>3748</x:v>
      </x:c>
      <x:c r="J135" s="38" t="n">
        <x:f>ROUND(I135*INDEX('Balance Inputs'!$F$2:$F$7,MATCH(C135,'Balance Inputs'!$A$2:$A$7,0)),0)</x:f>
        <x:v>525</x:v>
      </x:c>
      <x:c r="K135" s="38" t="n">
        <x:f>I135-J135</x:f>
        <x:v>3223</x:v>
      </x:c>
      <x:c r="L135" s="38" t="n">
        <x:f>ROUND(INDEX('Balance Inputs'!$M$2:$M$51,MATCH(A135,'Balance Inputs'!$I$2:$I$51,0))*POWER(INDEX('Balance Inputs'!$E$2:$E$7,MATCH(C135,'Balance Inputs'!$A$2:$A$7,0)),F135-1),0)</x:f>
        <x:v>4682</x:v>
      </x:c>
      <x:c r="M135" s="38" t="n">
        <x:f>ROUND(INDEX('Balance Inputs'!$N$2:$N$51,MATCH(A135,'Balance Inputs'!$I$2:$I$51,0))*POWER(INDEX('Balance Inputs'!$G$2:$G$7,MATCH(C135,'Balance Inputs'!$A$2:$A$7,0)),F135-1),0)</x:f>
        <x:v>311</x:v>
      </x:c>
      <x:c r="N135" s="38" t="n">
        <x:f>IF(A135&lt;&gt;A134,H135,N134+H135)</x:f>
        <x:v>189192</x:v>
      </x:c>
      <x:c r="O135" s="42" t="n">
        <x:f>IF(I135=0,0,H135/I135)</x:f>
        <x:v>22.33778014941302</x:v>
      </x:c>
      <x:c r="P135" s="43" t="n">
        <x:f>I135/INDEX('Balance Inputs'!$L$2:$L$51,MATCH(A135,'Balance Inputs'!$I$2:$I$51,0))</x:f>
        <x:v>2.5154362416107383</x:v>
      </x:c>
      <x:c r="Q135" s="43" t="n">
        <x:f>L135/INDEX('Balance Inputs'!$M$2:$M$51,MATCH(A135,'Balance Inputs'!$I$2:$I$51,0))</x:f>
        <x:v>2.4059609455292907</x:v>
      </x:c>
      <x:c r="R135" s="17"/>
      <x:c r="S135" s="17"/>
      <x:c r="T135" s="17"/>
      <x:c r="U135" s="17"/>
      <x:c r="V135" s="17"/>
      <x:c r="W135" s="17"/>
      <x:c r="X135" s="17"/>
      <x:c r="Y135" s="17"/>
      <x:c r="Z135" s="17"/>
    </x:row>
    <x:row r="136">
      <x:c r="A136" s="17" t="n">
        <x:v>21</x:v>
      </x:c>
      <x:c r="B136" s="17" t="str">
        <x:v>Community Bank Branch</x:v>
      </x:c>
      <x:c r="C136" s="17" t="str">
        <x:v>Growing</x:v>
      </x:c>
      <x:c r="D136" s="17" t="str">
        <x:v>Rare</x:v>
      </x:c>
      <x:c r="E136" s="17" t="n">
        <x:v>21</x:v>
      </x:c>
      <x:c r="F136" s="17" t="n">
        <x:v>5</x:v>
      </x:c>
      <x:c r="G136" s="17" t="str">
        <x:v>Upgrade to Lv5</x:v>
      </x:c>
      <x:c r="H136" s="38" t="n">
        <x:f>ROUND(H135*INDEX('Balance Inputs'!$C$2:$C$7,MATCH(C136,'Balance Inputs'!$A$2:$A$7,0)),0)</x:f>
        <x:v>133955</x:v>
      </x:c>
      <x:c r="I136" s="38" t="n">
        <x:f>ROUND(INDEX('Balance Inputs'!$L$2:$L$51,MATCH(A136,'Balance Inputs'!$I$2:$I$51,0))*POWER(INDEX('Balance Inputs'!$D$2:$D$7,MATCH(C136,'Balance Inputs'!$A$2:$A$7,0)),F136-1),0)</x:f>
        <x:v>5097</x:v>
      </x:c>
      <x:c r="J136" s="38" t="n">
        <x:f>ROUND(I136*INDEX('Balance Inputs'!$F$2:$F$7,MATCH(C136,'Balance Inputs'!$A$2:$A$7,0)),0)</x:f>
        <x:v>714</x:v>
      </x:c>
      <x:c r="K136" s="38" t="n">
        <x:f>I136-J136</x:f>
        <x:v>4383</x:v>
      </x:c>
      <x:c r="L136" s="38" t="n">
        <x:f>ROUND(INDEX('Balance Inputs'!$M$2:$M$51,MATCH(A136,'Balance Inputs'!$I$2:$I$51,0))*POWER(INDEX('Balance Inputs'!$E$2:$E$7,MATCH(C136,'Balance Inputs'!$A$2:$A$7,0)),F136-1),0)</x:f>
        <x:v>6274</x:v>
      </x:c>
      <x:c r="M136" s="38" t="n">
        <x:f>ROUND(INDEX('Balance Inputs'!$N$2:$N$51,MATCH(A136,'Balance Inputs'!$I$2:$I$51,0))*POWER(INDEX('Balance Inputs'!$G$2:$G$7,MATCH(C136,'Balance Inputs'!$A$2:$A$7,0)),F136-1),0)</x:f>
        <x:v>343</x:v>
      </x:c>
      <x:c r="N136" s="38" t="n">
        <x:f>IF(A136&lt;&gt;A135,H136,N135+H136)</x:f>
        <x:v>323147</x:v>
      </x:c>
      <x:c r="O136" s="42" t="n">
        <x:f>IF(I136=0,0,H136/I136)</x:f>
        <x:v>26.281145772022757</x:v>
      </x:c>
      <x:c r="P136" s="43" t="n">
        <x:f>I136/INDEX('Balance Inputs'!$L$2:$L$51,MATCH(A136,'Balance Inputs'!$I$2:$I$51,0))</x:f>
        <x:v>3.4208053691275166</x:v>
      </x:c>
      <x:c r="Q136" s="43" t="n">
        <x:f>L136/INDEX('Balance Inputs'!$M$2:$M$51,MATCH(A136,'Balance Inputs'!$I$2:$I$51,0))</x:f>
        <x:v>3.224049331963001</x:v>
      </x:c>
      <x:c r="R136" s="17"/>
      <x:c r="S136" s="17"/>
      <x:c r="T136" s="17"/>
      <x:c r="U136" s="17"/>
      <x:c r="V136" s="17"/>
      <x:c r="W136" s="17"/>
      <x:c r="X136" s="17"/>
      <x:c r="Y136" s="17"/>
      <x:c r="Z136" s="17"/>
    </x:row>
    <x:row r="137">
      <x:c r="A137" s="17" t="n">
        <x:v>21</x:v>
      </x:c>
      <x:c r="B137" s="17" t="str">
        <x:v>Community Bank Branch</x:v>
      </x:c>
      <x:c r="C137" s="17" t="str">
        <x:v>Growing</x:v>
      </x:c>
      <x:c r="D137" s="17" t="str">
        <x:v>Rare</x:v>
      </x:c>
      <x:c r="E137" s="17" t="n">
        <x:v>21</x:v>
      </x:c>
      <x:c r="F137" s="17" t="n">
        <x:v>6</x:v>
      </x:c>
      <x:c r="G137" s="17" t="str">
        <x:v>Upgrade to Lv6</x:v>
      </x:c>
      <x:c r="H137" s="38" t="n">
        <x:f>ROUND(H136*INDEX('Balance Inputs'!$C$2:$C$7,MATCH(C137,'Balance Inputs'!$A$2:$A$7,0)),0)</x:f>
        <x:v>214328</x:v>
      </x:c>
      <x:c r="I137" s="38" t="n">
        <x:f>ROUND(INDEX('Balance Inputs'!$L$2:$L$51,MATCH(A137,'Balance Inputs'!$I$2:$I$51,0))*POWER(INDEX('Balance Inputs'!$D$2:$D$7,MATCH(C137,'Balance Inputs'!$A$2:$A$7,0)),F137-1),0)</x:f>
        <x:v>6932</x:v>
      </x:c>
      <x:c r="J137" s="38" t="n">
        <x:f>ROUND(I137*INDEX('Balance Inputs'!$F$2:$F$7,MATCH(C137,'Balance Inputs'!$A$2:$A$7,0)),0)</x:f>
        <x:v>970</x:v>
      </x:c>
      <x:c r="K137" s="38" t="n">
        <x:f>I137-J137</x:f>
        <x:v>5962</x:v>
      </x:c>
      <x:c r="L137" s="38" t="n">
        <x:f>ROUND(INDEX('Balance Inputs'!$M$2:$M$51,MATCH(A137,'Balance Inputs'!$I$2:$I$51,0))*POWER(INDEX('Balance Inputs'!$E$2:$E$7,MATCH(C137,'Balance Inputs'!$A$2:$A$7,0)),F137-1),0)</x:f>
        <x:v>8407</x:v>
      </x:c>
      <x:c r="M137" s="38" t="n">
        <x:f>ROUND(INDEX('Balance Inputs'!$N$2:$N$51,MATCH(A137,'Balance Inputs'!$I$2:$I$51,0))*POWER(INDEX('Balance Inputs'!$G$2:$G$7,MATCH(C137,'Balance Inputs'!$A$2:$A$7,0)),F137-1),0)</x:f>
        <x:v>377</x:v>
      </x:c>
      <x:c r="N137" s="38" t="n">
        <x:f>IF(A137&lt;&gt;A136,H137,N136+H137)</x:f>
        <x:v>537475</x:v>
      </x:c>
      <x:c r="O137" s="42" t="n">
        <x:f>IF(I137=0,0,H137/I137)</x:f>
        <x:v>30.91863819965378</x:v>
      </x:c>
      <x:c r="P137" s="43" t="n">
        <x:f>I137/INDEX('Balance Inputs'!$L$2:$L$51,MATCH(A137,'Balance Inputs'!$I$2:$I$51,0))</x:f>
        <x:v>4.652348993288591</x:v>
      </x:c>
      <x:c r="Q137" s="43" t="n">
        <x:f>L137/INDEX('Balance Inputs'!$M$2:$M$51,MATCH(A137,'Balance Inputs'!$I$2:$I$51,0))</x:f>
        <x:v>4.320143884892087</x:v>
      </x:c>
      <x:c r="R137" s="17"/>
      <x:c r="S137" s="17"/>
      <x:c r="T137" s="17"/>
      <x:c r="U137" s="17"/>
      <x:c r="V137" s="17"/>
      <x:c r="W137" s="17"/>
      <x:c r="X137" s="17"/>
      <x:c r="Y137" s="17"/>
      <x:c r="Z137" s="17"/>
    </x:row>
    <x:row r="138">
      <x:c r="A138" s="17" t="n">
        <x:v>21</x:v>
      </x:c>
      <x:c r="B138" s="17" t="str">
        <x:v>Community Bank Branch</x:v>
      </x:c>
      <x:c r="C138" s="17" t="str">
        <x:v>Growing</x:v>
      </x:c>
      <x:c r="D138" s="17" t="str">
        <x:v>Rare</x:v>
      </x:c>
      <x:c r="E138" s="17" t="n">
        <x:v>21</x:v>
      </x:c>
      <x:c r="F138" s="17" t="n">
        <x:v>7</x:v>
      </x:c>
      <x:c r="G138" s="17" t="str">
        <x:v>Upgrade to Lv7</x:v>
      </x:c>
      <x:c r="H138" s="38" t="n">
        <x:f>ROUND(H137*INDEX('Balance Inputs'!$C$2:$C$7,MATCH(C138,'Balance Inputs'!$A$2:$A$7,0)),0)</x:f>
        <x:v>342925</x:v>
      </x:c>
      <x:c r="I138" s="38" t="n">
        <x:f>ROUND(INDEX('Balance Inputs'!$L$2:$L$51,MATCH(A138,'Balance Inputs'!$I$2:$I$51,0))*POWER(INDEX('Balance Inputs'!$D$2:$D$7,MATCH(C138,'Balance Inputs'!$A$2:$A$7,0)),F138-1),0)</x:f>
        <x:v>9428</x:v>
      </x:c>
      <x:c r="J138" s="38" t="n">
        <x:f>ROUND(I138*INDEX('Balance Inputs'!$F$2:$F$7,MATCH(C138,'Balance Inputs'!$A$2:$A$7,0)),0)</x:f>
        <x:v>1320</x:v>
      </x:c>
      <x:c r="K138" s="38" t="n">
        <x:f>I138-J138</x:f>
        <x:v>8108</x:v>
      </x:c>
      <x:c r="L138" s="38" t="n">
        <x:f>ROUND(INDEX('Balance Inputs'!$M$2:$M$51,MATCH(A138,'Balance Inputs'!$I$2:$I$51,0))*POWER(INDEX('Balance Inputs'!$E$2:$E$7,MATCH(C138,'Balance Inputs'!$A$2:$A$7,0)),F138-1),0)</x:f>
        <x:v>11266</x:v>
      </x:c>
      <x:c r="M138" s="38" t="n">
        <x:f>ROUND(INDEX('Balance Inputs'!$N$2:$N$51,MATCH(A138,'Balance Inputs'!$I$2:$I$51,0))*POWER(INDEX('Balance Inputs'!$G$2:$G$7,MATCH(C138,'Balance Inputs'!$A$2:$A$7,0)),F138-1),0)</x:f>
        <x:v>415</x:v>
      </x:c>
      <x:c r="N138" s="38" t="n">
        <x:f>IF(A138&lt;&gt;A137,H138,N137+H138)</x:f>
        <x:v>880400</x:v>
      </x:c>
      <x:c r="O138" s="42" t="n">
        <x:f>IF(I138=0,0,H138/I138)</x:f>
        <x:v>36.37303775986423</x:v>
      </x:c>
      <x:c r="P138" s="43" t="n">
        <x:f>I138/INDEX('Balance Inputs'!$L$2:$L$51,MATCH(A138,'Balance Inputs'!$I$2:$I$51,0))</x:f>
        <x:v>6.32751677852349</x:v>
      </x:c>
      <x:c r="Q138" s="43" t="n">
        <x:f>L138/INDEX('Balance Inputs'!$M$2:$M$51,MATCH(A138,'Balance Inputs'!$I$2:$I$51,0))</x:f>
        <x:v>5.789311408016444</x:v>
      </x:c>
      <x:c r="R138" s="17"/>
      <x:c r="S138" s="17"/>
      <x:c r="T138" s="17"/>
      <x:c r="U138" s="17"/>
      <x:c r="V138" s="17"/>
      <x:c r="W138" s="17"/>
      <x:c r="X138" s="17"/>
      <x:c r="Y138" s="17"/>
      <x:c r="Z138" s="17"/>
    </x:row>
    <x:row r="139">
      <x:c r="A139" s="17" t="n">
        <x:v>21</x:v>
      </x:c>
      <x:c r="B139" s="17" t="str">
        <x:v>Community Bank Branch</x:v>
      </x:c>
      <x:c r="C139" s="17" t="str">
        <x:v>Growing</x:v>
      </x:c>
      <x:c r="D139" s="17" t="str">
        <x:v>Rare</x:v>
      </x:c>
      <x:c r="E139" s="17" t="n">
        <x:v>21</x:v>
      </x:c>
      <x:c r="F139" s="17" t="n">
        <x:v>8</x:v>
      </x:c>
      <x:c r="G139" s="17" t="str">
        <x:v>Upgrade to Lv8</x:v>
      </x:c>
      <x:c r="H139" s="38" t="n">
        <x:f>ROUND(H138*INDEX('Balance Inputs'!$C$2:$C$7,MATCH(C139,'Balance Inputs'!$A$2:$A$7,0)),0)</x:f>
        <x:v>548680</x:v>
      </x:c>
      <x:c r="I139" s="38" t="n">
        <x:f>ROUND(INDEX('Balance Inputs'!$L$2:$L$51,MATCH(A139,'Balance Inputs'!$I$2:$I$51,0))*POWER(INDEX('Balance Inputs'!$D$2:$D$7,MATCH(C139,'Balance Inputs'!$A$2:$A$7,0)),F139-1),0)</x:f>
        <x:v>12822</x:v>
      </x:c>
      <x:c r="J139" s="38" t="n">
        <x:f>ROUND(I139*INDEX('Balance Inputs'!$F$2:$F$7,MATCH(C139,'Balance Inputs'!$A$2:$A$7,0)),0)</x:f>
        <x:v>1795</x:v>
      </x:c>
      <x:c r="K139" s="38" t="n">
        <x:f>I139-J139</x:f>
        <x:v>11027</x:v>
      </x:c>
      <x:c r="L139" s="38" t="n">
        <x:f>ROUND(INDEX('Balance Inputs'!$M$2:$M$51,MATCH(A139,'Balance Inputs'!$I$2:$I$51,0))*POWER(INDEX('Balance Inputs'!$E$2:$E$7,MATCH(C139,'Balance Inputs'!$A$2:$A$7,0)),F139-1),0)</x:f>
        <x:v>15097</x:v>
      </x:c>
      <x:c r="M139" s="38" t="n">
        <x:f>ROUND(INDEX('Balance Inputs'!$N$2:$N$51,MATCH(A139,'Balance Inputs'!$I$2:$I$51,0))*POWER(INDEX('Balance Inputs'!$G$2:$G$7,MATCH(C139,'Balance Inputs'!$A$2:$A$7,0)),F139-1),0)</x:f>
        <x:v>456</x:v>
      </x:c>
      <x:c r="N139" s="38" t="n">
        <x:f>IF(A139&lt;&gt;A138,H139,N138+H139)</x:f>
        <x:v>1429080</x:v>
      </x:c>
      <x:c r="O139" s="42" t="n">
        <x:f>IF(I139=0,0,H139/I139)</x:f>
        <x:v>42.792076119170176</x:v>
      </x:c>
      <x:c r="P139" s="43" t="n">
        <x:f>I139/INDEX('Balance Inputs'!$L$2:$L$51,MATCH(A139,'Balance Inputs'!$I$2:$I$51,0))</x:f>
        <x:v>8.605369127516779</x:v>
      </x:c>
      <x:c r="Q139" s="43" t="n">
        <x:f>L139/INDEX('Balance Inputs'!$M$2:$M$51,MATCH(A139,'Balance Inputs'!$I$2:$I$51,0))</x:f>
        <x:v>7.757965056526207</x:v>
      </x:c>
      <x:c r="R139" s="17"/>
      <x:c r="S139" s="17"/>
      <x:c r="T139" s="17"/>
      <x:c r="U139" s="17"/>
      <x:c r="V139" s="17"/>
      <x:c r="W139" s="17"/>
      <x:c r="X139" s="17"/>
      <x:c r="Y139" s="17"/>
      <x:c r="Z139" s="17"/>
    </x:row>
    <x:row r="140">
      <x:c r="A140" s="17" t="n">
        <x:v>22</x:v>
      </x:c>
      <x:c r="B140" s="17" t="str">
        <x:v>Brokerage House</x:v>
      </x:c>
      <x:c r="C140" s="17" t="str">
        <x:v>Growing</x:v>
      </x:c>
      <x:c r="D140" s="17" t="str">
        <x:v>Rare</x:v>
      </x:c>
      <x:c r="E140" s="17" t="n">
        <x:v>22</x:v>
      </x:c>
      <x:c r="F140" s="17" t="n">
        <x:v>1</x:v>
      </x:c>
      <x:c r="G140" s="17" t="str">
        <x:v>Build</x:v>
      </x:c>
      <x:c r="H140" s="38" t="n">
        <x:f>INDEX('Balance Inputs'!$K$2:$K$51,MATCH(A140,'Balance Inputs'!$I$2:$I$51,0))</x:f>
        <x:v>25240</x:v>
      </x:c>
      <x:c r="I140" s="38" t="n">
        <x:f>ROUND(INDEX('Balance Inputs'!$L$2:$L$51,MATCH(A140,'Balance Inputs'!$I$2:$I$51,0))*POWER(INDEX('Balance Inputs'!$D$2:$D$7,MATCH(C140,'Balance Inputs'!$A$2:$A$7,0)),F140-1),0)</x:f>
        <x:v>1893</x:v>
      </x:c>
      <x:c r="J140" s="38" t="n">
        <x:f>ROUND(I140*INDEX('Balance Inputs'!$F$2:$F$7,MATCH(C140,'Balance Inputs'!$A$2:$A$7,0)),0)</x:f>
        <x:v>265</x:v>
      </x:c>
      <x:c r="K140" s="38" t="n">
        <x:f>I140-J140</x:f>
        <x:v>1628</x:v>
      </x:c>
      <x:c r="L140" s="38" t="n">
        <x:f>ROUND(INDEX('Balance Inputs'!$M$2:$M$51,MATCH(A140,'Balance Inputs'!$I$2:$I$51,0))*POWER(INDEX('Balance Inputs'!$E$2:$E$7,MATCH(C140,'Balance Inputs'!$A$2:$A$7,0)),F140-1),0)</x:f>
        <x:v>2315</x:v>
      </x:c>
      <x:c r="M140" s="38" t="n">
        <x:f>ROUND(INDEX('Balance Inputs'!$N$2:$N$51,MATCH(A140,'Balance Inputs'!$I$2:$I$51,0))*POWER(INDEX('Balance Inputs'!$G$2:$G$7,MATCH(C140,'Balance Inputs'!$A$2:$A$7,0)),F140-1),0)</x:f>
        <x:v>319</x:v>
      </x:c>
      <x:c r="N140" s="38" t="n">
        <x:f>IF(A140&lt;&gt;A139,H140,N139+H140)</x:f>
        <x:v>25240</x:v>
      </x:c>
      <x:c r="O140" s="42" t="n">
        <x:f>IF(I140=0,0,H140/I140)</x:f>
        <x:v>13.333333333333334</x:v>
      </x:c>
      <x:c r="P140" s="43" t="n">
        <x:f>I140/INDEX('Balance Inputs'!$L$2:$L$51,MATCH(A140,'Balance Inputs'!$I$2:$I$51,0))</x:f>
        <x:v>1</x:v>
      </x:c>
      <x:c r="Q140" s="43" t="n">
        <x:f>L140/INDEX('Balance Inputs'!$M$2:$M$51,MATCH(A140,'Balance Inputs'!$I$2:$I$51,0))</x:f>
        <x:v>1</x:v>
      </x:c>
      <x:c r="R140" s="17"/>
      <x:c r="S140" s="17"/>
      <x:c r="T140" s="17"/>
      <x:c r="U140" s="17"/>
      <x:c r="V140" s="17"/>
      <x:c r="W140" s="17"/>
      <x:c r="X140" s="17"/>
      <x:c r="Y140" s="17"/>
      <x:c r="Z140" s="17"/>
    </x:row>
    <x:row r="141">
      <x:c r="A141" s="17" t="n">
        <x:v>22</x:v>
      </x:c>
      <x:c r="B141" s="17" t="str">
        <x:v>Brokerage House</x:v>
      </x:c>
      <x:c r="C141" s="17" t="str">
        <x:v>Growing</x:v>
      </x:c>
      <x:c r="D141" s="17" t="str">
        <x:v>Rare</x:v>
      </x:c>
      <x:c r="E141" s="17" t="n">
        <x:v>22</x:v>
      </x:c>
      <x:c r="F141" s="17" t="n">
        <x:v>2</x:v>
      </x:c>
      <x:c r="G141" s="17" t="str">
        <x:v>Upgrade to Lv2</x:v>
      </x:c>
      <x:c r="H141" s="38" t="n">
        <x:f>ROUND(H140*INDEX('Balance Inputs'!$C$2:$C$7,MATCH(C141,'Balance Inputs'!$A$2:$A$7,0)),0)</x:f>
        <x:v>40384</x:v>
      </x:c>
      <x:c r="I141" s="38" t="n">
        <x:f>ROUND(INDEX('Balance Inputs'!$L$2:$L$51,MATCH(A141,'Balance Inputs'!$I$2:$I$51,0))*POWER(INDEX('Balance Inputs'!$D$2:$D$7,MATCH(C141,'Balance Inputs'!$A$2:$A$7,0)),F141-1),0)</x:f>
        <x:v>2574</x:v>
      </x:c>
      <x:c r="J141" s="38" t="n">
        <x:f>ROUND(I141*INDEX('Balance Inputs'!$F$2:$F$7,MATCH(C141,'Balance Inputs'!$A$2:$A$7,0)),0)</x:f>
        <x:v>360</x:v>
      </x:c>
      <x:c r="K141" s="38" t="n">
        <x:f>I141-J141</x:f>
        <x:v>2214</x:v>
      </x:c>
      <x:c r="L141" s="38" t="n">
        <x:f>ROUND(INDEX('Balance Inputs'!$M$2:$M$51,MATCH(A141,'Balance Inputs'!$I$2:$I$51,0))*POWER(INDEX('Balance Inputs'!$E$2:$E$7,MATCH(C141,'Balance Inputs'!$A$2:$A$7,0)),F141-1),0)</x:f>
        <x:v>3102</x:v>
      </x:c>
      <x:c r="M141" s="38" t="n">
        <x:f>ROUND(INDEX('Balance Inputs'!$N$2:$N$51,MATCH(A141,'Balance Inputs'!$I$2:$I$51,0))*POWER(INDEX('Balance Inputs'!$G$2:$G$7,MATCH(C141,'Balance Inputs'!$A$2:$A$7,0)),F141-1),0)</x:f>
        <x:v>351</x:v>
      </x:c>
      <x:c r="N141" s="38" t="n">
        <x:f>IF(A141&lt;&gt;A140,H141,N140+H141)</x:f>
        <x:v>65624</x:v>
      </x:c>
      <x:c r="O141" s="42" t="n">
        <x:f>IF(I141=0,0,H141/I141)</x:f>
        <x:v>15.68919968919969</x:v>
      </x:c>
      <x:c r="P141" s="43" t="n">
        <x:f>I141/INDEX('Balance Inputs'!$L$2:$L$51,MATCH(A141,'Balance Inputs'!$I$2:$I$51,0))</x:f>
        <x:v>1.3597464342313788</x:v>
      </x:c>
      <x:c r="Q141" s="43" t="n">
        <x:f>L141/INDEX('Balance Inputs'!$M$2:$M$51,MATCH(A141,'Balance Inputs'!$I$2:$I$51,0))</x:f>
        <x:v>1.3399568034557234</x:v>
      </x:c>
      <x:c r="R141" s="17"/>
      <x:c r="S141" s="17"/>
      <x:c r="T141" s="17"/>
      <x:c r="U141" s="17"/>
      <x:c r="V141" s="17"/>
      <x:c r="W141" s="17"/>
      <x:c r="X141" s="17"/>
      <x:c r="Y141" s="17"/>
      <x:c r="Z141" s="17"/>
    </x:row>
    <x:row r="142">
      <x:c r="A142" s="17" t="n">
        <x:v>22</x:v>
      </x:c>
      <x:c r="B142" s="17" t="str">
        <x:v>Brokerage House</x:v>
      </x:c>
      <x:c r="C142" s="17" t="str">
        <x:v>Growing</x:v>
      </x:c>
      <x:c r="D142" s="17" t="str">
        <x:v>Rare</x:v>
      </x:c>
      <x:c r="E142" s="17" t="n">
        <x:v>22</x:v>
      </x:c>
      <x:c r="F142" s="17" t="n">
        <x:v>3</x:v>
      </x:c>
      <x:c r="G142" s="17" t="str">
        <x:v>Upgrade to Lv3</x:v>
      </x:c>
      <x:c r="H142" s="38" t="n">
        <x:f>ROUND(H141*INDEX('Balance Inputs'!$C$2:$C$7,MATCH(C142,'Balance Inputs'!$A$2:$A$7,0)),0)</x:f>
        <x:v>64614</x:v>
      </x:c>
      <x:c r="I142" s="38" t="n">
        <x:f>ROUND(INDEX('Balance Inputs'!$L$2:$L$51,MATCH(A142,'Balance Inputs'!$I$2:$I$51,0))*POWER(INDEX('Balance Inputs'!$D$2:$D$7,MATCH(C142,'Balance Inputs'!$A$2:$A$7,0)),F142-1),0)</x:f>
        <x:v>3501</x:v>
      </x:c>
      <x:c r="J142" s="38" t="n">
        <x:f>ROUND(I142*INDEX('Balance Inputs'!$F$2:$F$7,MATCH(C142,'Balance Inputs'!$A$2:$A$7,0)),0)</x:f>
        <x:v>490</x:v>
      </x:c>
      <x:c r="K142" s="38" t="n">
        <x:f>I142-J142</x:f>
        <x:v>3011</x:v>
      </x:c>
      <x:c r="L142" s="38" t="n">
        <x:f>ROUND(INDEX('Balance Inputs'!$M$2:$M$51,MATCH(A142,'Balance Inputs'!$I$2:$I$51,0))*POWER(INDEX('Balance Inputs'!$E$2:$E$7,MATCH(C142,'Balance Inputs'!$A$2:$A$7,0)),F142-1),0)</x:f>
        <x:v>4157</x:v>
      </x:c>
      <x:c r="M142" s="38" t="n">
        <x:f>ROUND(INDEX('Balance Inputs'!$N$2:$N$51,MATCH(A142,'Balance Inputs'!$I$2:$I$51,0))*POWER(INDEX('Balance Inputs'!$G$2:$G$7,MATCH(C142,'Balance Inputs'!$A$2:$A$7,0)),F142-1),0)</x:f>
        <x:v>386</x:v>
      </x:c>
      <x:c r="N142" s="38" t="n">
        <x:f>IF(A142&lt;&gt;A141,H142,N141+H142)</x:f>
        <x:v>130238</x:v>
      </x:c>
      <x:c r="O142" s="42" t="n">
        <x:f>IF(I142=0,0,H142/I142)</x:f>
        <x:v>18.45586975149957</x:v>
      </x:c>
      <x:c r="P142" s="43" t="n">
        <x:f>I142/INDEX('Balance Inputs'!$L$2:$L$51,MATCH(A142,'Balance Inputs'!$I$2:$I$51,0))</x:f>
        <x:v>1.849445324881141</x:v>
      </x:c>
      <x:c r="Q142" s="43" t="n">
        <x:f>L142/INDEX('Balance Inputs'!$M$2:$M$51,MATCH(A142,'Balance Inputs'!$I$2:$I$51,0))</x:f>
        <x:v>1.7956803455723542</x:v>
      </x:c>
      <x:c r="R142" s="17"/>
      <x:c r="S142" s="17"/>
      <x:c r="T142" s="17"/>
      <x:c r="U142" s="17"/>
      <x:c r="V142" s="17"/>
      <x:c r="W142" s="17"/>
      <x:c r="X142" s="17"/>
      <x:c r="Y142" s="17"/>
      <x:c r="Z142" s="17"/>
    </x:row>
    <x:row r="143">
      <x:c r="A143" s="17" t="n">
        <x:v>22</x:v>
      </x:c>
      <x:c r="B143" s="17" t="str">
        <x:v>Brokerage House</x:v>
      </x:c>
      <x:c r="C143" s="17" t="str">
        <x:v>Growing</x:v>
      </x:c>
      <x:c r="D143" s="17" t="str">
        <x:v>Rare</x:v>
      </x:c>
      <x:c r="E143" s="17" t="n">
        <x:v>22</x:v>
      </x:c>
      <x:c r="F143" s="17" t="n">
        <x:v>4</x:v>
      </x:c>
      <x:c r="G143" s="17" t="str">
        <x:v>Upgrade to Lv4</x:v>
      </x:c>
      <x:c r="H143" s="38" t="n">
        <x:f>ROUND(H142*INDEX('Balance Inputs'!$C$2:$C$7,MATCH(C143,'Balance Inputs'!$A$2:$A$7,0)),0)</x:f>
        <x:v>103382</x:v>
      </x:c>
      <x:c r="I143" s="38" t="n">
        <x:f>ROUND(INDEX('Balance Inputs'!$L$2:$L$51,MATCH(A143,'Balance Inputs'!$I$2:$I$51,0))*POWER(INDEX('Balance Inputs'!$D$2:$D$7,MATCH(C143,'Balance Inputs'!$A$2:$A$7,0)),F143-1),0)</x:f>
        <x:v>4762</x:v>
      </x:c>
      <x:c r="J143" s="38" t="n">
        <x:f>ROUND(I143*INDEX('Balance Inputs'!$F$2:$F$7,MATCH(C143,'Balance Inputs'!$A$2:$A$7,0)),0)</x:f>
        <x:v>667</x:v>
      </x:c>
      <x:c r="K143" s="38" t="n">
        <x:f>I143-J143</x:f>
        <x:v>4095</x:v>
      </x:c>
      <x:c r="L143" s="38" t="n">
        <x:f>ROUND(INDEX('Balance Inputs'!$M$2:$M$51,MATCH(A143,'Balance Inputs'!$I$2:$I$51,0))*POWER(INDEX('Balance Inputs'!$E$2:$E$7,MATCH(C143,'Balance Inputs'!$A$2:$A$7,0)),F143-1),0)</x:f>
        <x:v>5570</x:v>
      </x:c>
      <x:c r="M143" s="38" t="n">
        <x:f>ROUND(INDEX('Balance Inputs'!$N$2:$N$51,MATCH(A143,'Balance Inputs'!$I$2:$I$51,0))*POWER(INDEX('Balance Inputs'!$G$2:$G$7,MATCH(C143,'Balance Inputs'!$A$2:$A$7,0)),F143-1),0)</x:f>
        <x:v>425</x:v>
      </x:c>
      <x:c r="N143" s="38" t="n">
        <x:f>IF(A143&lt;&gt;A142,H143,N142+H143)</x:f>
        <x:v>233620</x:v>
      </x:c>
      <x:c r="O143" s="42" t="n">
        <x:f>IF(I143=0,0,H143/I143)</x:f>
        <x:v>21.709785804283914</x:v>
      </x:c>
      <x:c r="P143" s="43" t="n">
        <x:f>I143/INDEX('Balance Inputs'!$L$2:$L$51,MATCH(A143,'Balance Inputs'!$I$2:$I$51,0))</x:f>
        <x:v>2.5155837295298467</x:v>
      </x:c>
      <x:c r="Q143" s="43" t="n">
        <x:f>L143/INDEX('Balance Inputs'!$M$2:$M$51,MATCH(A143,'Balance Inputs'!$I$2:$I$51,0))</x:f>
        <x:v>2.4060475161987043</x:v>
      </x:c>
      <x:c r="R143" s="17"/>
      <x:c r="S143" s="17"/>
      <x:c r="T143" s="17"/>
      <x:c r="U143" s="17"/>
      <x:c r="V143" s="17"/>
      <x:c r="W143" s="17"/>
      <x:c r="X143" s="17"/>
      <x:c r="Y143" s="17"/>
      <x:c r="Z143" s="17"/>
    </x:row>
    <x:row r="144">
      <x:c r="A144" s="17" t="n">
        <x:v>22</x:v>
      </x:c>
      <x:c r="B144" s="17" t="str">
        <x:v>Brokerage House</x:v>
      </x:c>
      <x:c r="C144" s="17" t="str">
        <x:v>Growing</x:v>
      </x:c>
      <x:c r="D144" s="17" t="str">
        <x:v>Rare</x:v>
      </x:c>
      <x:c r="E144" s="17" t="n">
        <x:v>22</x:v>
      </x:c>
      <x:c r="F144" s="17" t="n">
        <x:v>5</x:v>
      </x:c>
      <x:c r="G144" s="17" t="str">
        <x:v>Upgrade to Lv5</x:v>
      </x:c>
      <x:c r="H144" s="38" t="n">
        <x:f>ROUND(H143*INDEX('Balance Inputs'!$C$2:$C$7,MATCH(C144,'Balance Inputs'!$A$2:$A$7,0)),0)</x:f>
        <x:v>165411</x:v>
      </x:c>
      <x:c r="I144" s="38" t="n">
        <x:f>ROUND(INDEX('Balance Inputs'!$L$2:$L$51,MATCH(A144,'Balance Inputs'!$I$2:$I$51,0))*POWER(INDEX('Balance Inputs'!$D$2:$D$7,MATCH(C144,'Balance Inputs'!$A$2:$A$7,0)),F144-1),0)</x:f>
        <x:v>6476</x:v>
      </x:c>
      <x:c r="J144" s="38" t="n">
        <x:f>ROUND(I144*INDEX('Balance Inputs'!$F$2:$F$7,MATCH(C144,'Balance Inputs'!$A$2:$A$7,0)),0)</x:f>
        <x:v>907</x:v>
      </x:c>
      <x:c r="K144" s="38" t="n">
        <x:f>I144-J144</x:f>
        <x:v>5569</x:v>
      </x:c>
      <x:c r="L144" s="38" t="n">
        <x:f>ROUND(INDEX('Balance Inputs'!$M$2:$M$51,MATCH(A144,'Balance Inputs'!$I$2:$I$51,0))*POWER(INDEX('Balance Inputs'!$E$2:$E$7,MATCH(C144,'Balance Inputs'!$A$2:$A$7,0)),F144-1),0)</x:f>
        <x:v>7464</x:v>
      </x:c>
      <x:c r="M144" s="38" t="n">
        <x:f>ROUND(INDEX('Balance Inputs'!$N$2:$N$51,MATCH(A144,'Balance Inputs'!$I$2:$I$51,0))*POWER(INDEX('Balance Inputs'!$G$2:$G$7,MATCH(C144,'Balance Inputs'!$A$2:$A$7,0)),F144-1),0)</x:f>
        <x:v>467</x:v>
      </x:c>
      <x:c r="N144" s="38" t="n">
        <x:f>IF(A144&lt;&gt;A143,H144,N143+H144)</x:f>
        <x:v>399031</x:v>
      </x:c>
      <x:c r="O144" s="42" t="n">
        <x:f>IF(I144=0,0,H144/I144)</x:f>
        <x:v>25.54215565163681</x:v>
      </x:c>
      <x:c r="P144" s="43" t="n">
        <x:f>I144/INDEX('Balance Inputs'!$L$2:$L$51,MATCH(A144,'Balance Inputs'!$I$2:$I$51,0))</x:f>
        <x:v>3.4210248283148443</x:v>
      </x:c>
      <x:c r="Q144" s="43" t="n">
        <x:f>L144/INDEX('Balance Inputs'!$M$2:$M$51,MATCH(A144,'Balance Inputs'!$I$2:$I$51,0))</x:f>
        <x:v>3.2241900647948163</x:v>
      </x:c>
      <x:c r="R144" s="17"/>
      <x:c r="S144" s="17"/>
      <x:c r="T144" s="17"/>
      <x:c r="U144" s="17"/>
      <x:c r="V144" s="17"/>
      <x:c r="W144" s="17"/>
      <x:c r="X144" s="17"/>
      <x:c r="Y144" s="17"/>
      <x:c r="Z144" s="17"/>
    </x:row>
    <x:row r="145">
      <x:c r="A145" s="17" t="n">
        <x:v>22</x:v>
      </x:c>
      <x:c r="B145" s="17" t="str">
        <x:v>Brokerage House</x:v>
      </x:c>
      <x:c r="C145" s="17" t="str">
        <x:v>Growing</x:v>
      </x:c>
      <x:c r="D145" s="17" t="str">
        <x:v>Rare</x:v>
      </x:c>
      <x:c r="E145" s="17" t="n">
        <x:v>22</x:v>
      </x:c>
      <x:c r="F145" s="17" t="n">
        <x:v>6</x:v>
      </x:c>
      <x:c r="G145" s="17" t="str">
        <x:v>Upgrade to Lv6</x:v>
      </x:c>
      <x:c r="H145" s="38" t="n">
        <x:f>ROUND(H144*INDEX('Balance Inputs'!$C$2:$C$7,MATCH(C145,'Balance Inputs'!$A$2:$A$7,0)),0)</x:f>
        <x:v>264658</x:v>
      </x:c>
      <x:c r="I145" s="38" t="n">
        <x:f>ROUND(INDEX('Balance Inputs'!$L$2:$L$51,MATCH(A145,'Balance Inputs'!$I$2:$I$51,0))*POWER(INDEX('Balance Inputs'!$D$2:$D$7,MATCH(C145,'Balance Inputs'!$A$2:$A$7,0)),F145-1),0)</x:f>
        <x:v>8807</x:v>
      </x:c>
      <x:c r="J145" s="38" t="n">
        <x:f>ROUND(I145*INDEX('Balance Inputs'!$F$2:$F$7,MATCH(C145,'Balance Inputs'!$A$2:$A$7,0)),0)</x:f>
        <x:v>1233</x:v>
      </x:c>
      <x:c r="K145" s="38" t="n">
        <x:f>I145-J145</x:f>
        <x:v>7574</x:v>
      </x:c>
      <x:c r="L145" s="38" t="n">
        <x:f>ROUND(INDEX('Balance Inputs'!$M$2:$M$51,MATCH(A145,'Balance Inputs'!$I$2:$I$51,0))*POWER(INDEX('Balance Inputs'!$E$2:$E$7,MATCH(C145,'Balance Inputs'!$A$2:$A$7,0)),F145-1),0)</x:f>
        <x:v>10002</x:v>
      </x:c>
      <x:c r="M145" s="38" t="n">
        <x:f>ROUND(INDEX('Balance Inputs'!$N$2:$N$51,MATCH(A145,'Balance Inputs'!$I$2:$I$51,0))*POWER(INDEX('Balance Inputs'!$G$2:$G$7,MATCH(C145,'Balance Inputs'!$A$2:$A$7,0)),F145-1),0)</x:f>
        <x:v>514</x:v>
      </x:c>
      <x:c r="N145" s="38" t="n">
        <x:f>IF(A145&lt;&gt;A144,H145,N144+H145)</x:f>
        <x:v>663689</x:v>
      </x:c>
      <x:c r="O145" s="42" t="n">
        <x:f>IF(I145=0,0,H145/I145)</x:f>
        <x:v>30.05086862722834</x:v>
      </x:c>
      <x:c r="P145" s="43" t="n">
        <x:f>I145/INDEX('Balance Inputs'!$L$2:$L$51,MATCH(A145,'Balance Inputs'!$I$2:$I$51,0))</x:f>
        <x:v>4.652403592181722</x:v>
      </x:c>
      <x:c r="Q145" s="43" t="n">
        <x:f>L145/INDEX('Balance Inputs'!$M$2:$M$51,MATCH(A145,'Balance Inputs'!$I$2:$I$51,0))</x:f>
        <x:v>4.320518358531317</x:v>
      </x:c>
      <x:c r="R145" s="17"/>
      <x:c r="S145" s="17"/>
      <x:c r="T145" s="17"/>
      <x:c r="U145" s="17"/>
      <x:c r="V145" s="17"/>
      <x:c r="W145" s="17"/>
      <x:c r="X145" s="17"/>
      <x:c r="Y145" s="17"/>
      <x:c r="Z145" s="17"/>
    </x:row>
    <x:row r="146">
      <x:c r="A146" s="17" t="n">
        <x:v>22</x:v>
      </x:c>
      <x:c r="B146" s="17" t="str">
        <x:v>Brokerage House</x:v>
      </x:c>
      <x:c r="C146" s="17" t="str">
        <x:v>Growing</x:v>
      </x:c>
      <x:c r="D146" s="17" t="str">
        <x:v>Rare</x:v>
      </x:c>
      <x:c r="E146" s="17" t="n">
        <x:v>22</x:v>
      </x:c>
      <x:c r="F146" s="17" t="n">
        <x:v>7</x:v>
      </x:c>
      <x:c r="G146" s="17" t="str">
        <x:v>Upgrade to Lv7</x:v>
      </x:c>
      <x:c r="H146" s="38" t="n">
        <x:f>ROUND(H145*INDEX('Balance Inputs'!$C$2:$C$7,MATCH(C146,'Balance Inputs'!$A$2:$A$7,0)),0)</x:f>
        <x:v>423453</x:v>
      </x:c>
      <x:c r="I146" s="38" t="n">
        <x:f>ROUND(INDEX('Balance Inputs'!$L$2:$L$51,MATCH(A146,'Balance Inputs'!$I$2:$I$51,0))*POWER(INDEX('Balance Inputs'!$D$2:$D$7,MATCH(C146,'Balance Inputs'!$A$2:$A$7,0)),F146-1),0)</x:f>
        <x:v>11978</x:v>
      </x:c>
      <x:c r="J146" s="38" t="n">
        <x:f>ROUND(I146*INDEX('Balance Inputs'!$F$2:$F$7,MATCH(C146,'Balance Inputs'!$A$2:$A$7,0)),0)</x:f>
        <x:v>1677</x:v>
      </x:c>
      <x:c r="K146" s="38" t="n">
        <x:f>I146-J146</x:f>
        <x:v>10301</x:v>
      </x:c>
      <x:c r="L146" s="38" t="n">
        <x:f>ROUND(INDEX('Balance Inputs'!$M$2:$M$51,MATCH(A146,'Balance Inputs'!$I$2:$I$51,0))*POWER(INDEX('Balance Inputs'!$E$2:$E$7,MATCH(C146,'Balance Inputs'!$A$2:$A$7,0)),F146-1),0)</x:f>
        <x:v>13402</x:v>
      </x:c>
      <x:c r="M146" s="38" t="n">
        <x:f>ROUND(INDEX('Balance Inputs'!$N$2:$N$51,MATCH(A146,'Balance Inputs'!$I$2:$I$51,0))*POWER(INDEX('Balance Inputs'!$G$2:$G$7,MATCH(C146,'Balance Inputs'!$A$2:$A$7,0)),F146-1),0)</x:f>
        <x:v>565</x:v>
      </x:c>
      <x:c r="N146" s="38" t="n">
        <x:f>IF(A146&lt;&gt;A145,H146,N145+H146)</x:f>
        <x:v>1087142</x:v>
      </x:c>
      <x:c r="O146" s="42" t="n">
        <x:f>IF(I146=0,0,H146/I146)</x:f>
        <x:v>35.352563032225746</x:v>
      </x:c>
      <x:c r="P146" s="43" t="n">
        <x:f>I146/INDEX('Balance Inputs'!$L$2:$L$51,MATCH(A146,'Balance Inputs'!$I$2:$I$51,0))</x:f>
        <x:v>6.3275224511357635</x:v>
      </x:c>
      <x:c r="Q146" s="43" t="n">
        <x:f>L146/INDEX('Balance Inputs'!$M$2:$M$51,MATCH(A146,'Balance Inputs'!$I$2:$I$51,0))</x:f>
        <x:v>5.789200863930885</x:v>
      </x:c>
      <x:c r="R146" s="17"/>
      <x:c r="S146" s="17"/>
      <x:c r="T146" s="17"/>
      <x:c r="U146" s="17"/>
      <x:c r="V146" s="17"/>
      <x:c r="W146" s="17"/>
      <x:c r="X146" s="17"/>
      <x:c r="Y146" s="17"/>
      <x:c r="Z146" s="17"/>
    </x:row>
    <x:row r="147">
      <x:c r="A147" s="17" t="n">
        <x:v>22</x:v>
      </x:c>
      <x:c r="B147" s="17" t="str">
        <x:v>Brokerage House</x:v>
      </x:c>
      <x:c r="C147" s="17" t="str">
        <x:v>Growing</x:v>
      </x:c>
      <x:c r="D147" s="17" t="str">
        <x:v>Rare</x:v>
      </x:c>
      <x:c r="E147" s="17" t="n">
        <x:v>22</x:v>
      </x:c>
      <x:c r="F147" s="17" t="n">
        <x:v>8</x:v>
      </x:c>
      <x:c r="G147" s="17" t="str">
        <x:v>Upgrade to Lv8</x:v>
      </x:c>
      <x:c r="H147" s="38" t="n">
        <x:f>ROUND(H146*INDEX('Balance Inputs'!$C$2:$C$7,MATCH(C147,'Balance Inputs'!$A$2:$A$7,0)),0)</x:f>
        <x:v>677525</x:v>
      </x:c>
      <x:c r="I147" s="38" t="n">
        <x:f>ROUND(INDEX('Balance Inputs'!$L$2:$L$51,MATCH(A147,'Balance Inputs'!$I$2:$I$51,0))*POWER(INDEX('Balance Inputs'!$D$2:$D$7,MATCH(C147,'Balance Inputs'!$A$2:$A$7,0)),F147-1),0)</x:f>
        <x:v>16290</x:v>
      </x:c>
      <x:c r="J147" s="38" t="n">
        <x:f>ROUND(I147*INDEX('Balance Inputs'!$F$2:$F$7,MATCH(C147,'Balance Inputs'!$A$2:$A$7,0)),0)</x:f>
        <x:v>2281</x:v>
      </x:c>
      <x:c r="K147" s="38" t="n">
        <x:f>I147-J147</x:f>
        <x:v>14009</x:v>
      </x:c>
      <x:c r="L147" s="38" t="n">
        <x:f>ROUND(INDEX('Balance Inputs'!$M$2:$M$51,MATCH(A147,'Balance Inputs'!$I$2:$I$51,0))*POWER(INDEX('Balance Inputs'!$E$2:$E$7,MATCH(C147,'Balance Inputs'!$A$2:$A$7,0)),F147-1),0)</x:f>
        <x:v>17959</x:v>
      </x:c>
      <x:c r="M147" s="38" t="n">
        <x:f>ROUND(INDEX('Balance Inputs'!$N$2:$N$51,MATCH(A147,'Balance Inputs'!$I$2:$I$51,0))*POWER(INDEX('Balance Inputs'!$G$2:$G$7,MATCH(C147,'Balance Inputs'!$A$2:$A$7,0)),F147-1),0)</x:f>
        <x:v>622</x:v>
      </x:c>
      <x:c r="N147" s="38" t="n">
        <x:f>IF(A147&lt;&gt;A146,H147,N146+H147)</x:f>
        <x:v>1764667</x:v>
      </x:c>
      <x:c r="O147" s="42" t="n">
        <x:f>IF(I147=0,0,H147/I147)</x:f>
        <x:v>41.5914671577655</x:v>
      </x:c>
      <x:c r="P147" s="43" t="n">
        <x:f>I147/INDEX('Balance Inputs'!$L$2:$L$51,MATCH(A147,'Balance Inputs'!$I$2:$I$51,0))</x:f>
        <x:v>8.605388272583202</x:v>
      </x:c>
      <x:c r="Q147" s="43" t="n">
        <x:f>L147/INDEX('Balance Inputs'!$M$2:$M$51,MATCH(A147,'Balance Inputs'!$I$2:$I$51,0))</x:f>
        <x:v>7.7576673866090715</x:v>
      </x:c>
      <x:c r="R147" s="17"/>
      <x:c r="S147" s="17"/>
      <x:c r="T147" s="17"/>
      <x:c r="U147" s="17"/>
      <x:c r="V147" s="17"/>
      <x:c r="W147" s="17"/>
      <x:c r="X147" s="17"/>
      <x:c r="Y147" s="17"/>
      <x:c r="Z147" s="17"/>
    </x:row>
    <x:row r="148">
      <x:c r="A148" s="17" t="n">
        <x:v>23</x:v>
      </x:c>
      <x:c r="B148" s="17" t="str">
        <x:v>Investment Advisory Firm</x:v>
      </x:c>
      <x:c r="C148" s="17" t="str">
        <x:v>Growing</x:v>
      </x:c>
      <x:c r="D148" s="17" t="str">
        <x:v>Rare</x:v>
      </x:c>
      <x:c r="E148" s="17" t="n">
        <x:v>23</x:v>
      </x:c>
      <x:c r="F148" s="17" t="n">
        <x:v>1</x:v>
      </x:c>
      <x:c r="G148" s="17" t="str">
        <x:v>Build</x:v>
      </x:c>
      <x:c r="H148" s="38" t="n">
        <x:f>INDEX('Balance Inputs'!$K$2:$K$51,MATCH(A148,'Balance Inputs'!$I$2:$I$51,0))</x:f>
        <x:v>31170</x:v>
      </x:c>
      <x:c r="I148" s="38" t="n">
        <x:f>ROUND(INDEX('Balance Inputs'!$L$2:$L$51,MATCH(A148,'Balance Inputs'!$I$2:$I$51,0))*POWER(INDEX('Balance Inputs'!$D$2:$D$7,MATCH(C148,'Balance Inputs'!$A$2:$A$7,0)),F148-1),0)</x:f>
        <x:v>1920</x:v>
      </x:c>
      <x:c r="J148" s="38" t="n">
        <x:f>ROUND(I148*INDEX('Balance Inputs'!$F$2:$F$7,MATCH(C148,'Balance Inputs'!$A$2:$A$7,0)),0)</x:f>
        <x:v>269</x:v>
      </x:c>
      <x:c r="K148" s="38" t="n">
        <x:f>I148-J148</x:f>
        <x:v>1651</x:v>
      </x:c>
      <x:c r="L148" s="38" t="n">
        <x:f>ROUND(INDEX('Balance Inputs'!$M$2:$M$51,MATCH(A148,'Balance Inputs'!$I$2:$I$51,0))*POWER(INDEX('Balance Inputs'!$E$2:$E$7,MATCH(C148,'Balance Inputs'!$A$2:$A$7,0)),F148-1),0)</x:f>
        <x:v>2755</x:v>
      </x:c>
      <x:c r="M148" s="38" t="n">
        <x:f>ROUND(INDEX('Balance Inputs'!$N$2:$N$51,MATCH(A148,'Balance Inputs'!$I$2:$I$51,0))*POWER(INDEX('Balance Inputs'!$G$2:$G$7,MATCH(C148,'Balance Inputs'!$A$2:$A$7,0)),F148-1),0)</x:f>
        <x:v>298</x:v>
      </x:c>
      <x:c r="N148" s="38" t="n">
        <x:f>IF(A148&lt;&gt;A147,H148,N147+H148)</x:f>
        <x:v>31170</x:v>
      </x:c>
      <x:c r="O148" s="42" t="n">
        <x:f>IF(I148=0,0,H148/I148)</x:f>
        <x:v>16.234375</x:v>
      </x:c>
      <x:c r="P148" s="43" t="n">
        <x:f>I148/INDEX('Balance Inputs'!$L$2:$L$51,MATCH(A148,'Balance Inputs'!$I$2:$I$51,0))</x:f>
        <x:v>1</x:v>
      </x:c>
      <x:c r="Q148" s="43" t="n">
        <x:f>L148/INDEX('Balance Inputs'!$M$2:$M$51,MATCH(A148,'Balance Inputs'!$I$2:$I$51,0))</x:f>
        <x:v>1</x:v>
      </x:c>
      <x:c r="R148" s="17"/>
      <x:c r="S148" s="17"/>
      <x:c r="T148" s="17"/>
      <x:c r="U148" s="17"/>
      <x:c r="V148" s="17"/>
      <x:c r="W148" s="17"/>
      <x:c r="X148" s="17"/>
      <x:c r="Y148" s="17"/>
      <x:c r="Z148" s="17"/>
    </x:row>
    <x:row r="149">
      <x:c r="A149" s="17" t="n">
        <x:v>23</x:v>
      </x:c>
      <x:c r="B149" s="17" t="str">
        <x:v>Investment Advisory Firm</x:v>
      </x:c>
      <x:c r="C149" s="17" t="str">
        <x:v>Growing</x:v>
      </x:c>
      <x:c r="D149" s="17" t="str">
        <x:v>Rare</x:v>
      </x:c>
      <x:c r="E149" s="17" t="n">
        <x:v>23</x:v>
      </x:c>
      <x:c r="F149" s="17" t="n">
        <x:v>2</x:v>
      </x:c>
      <x:c r="G149" s="17" t="str">
        <x:v>Upgrade to Lv2</x:v>
      </x:c>
      <x:c r="H149" s="38" t="n">
        <x:f>ROUND(H148*INDEX('Balance Inputs'!$C$2:$C$7,MATCH(C149,'Balance Inputs'!$A$2:$A$7,0)),0)</x:f>
        <x:v>49872</x:v>
      </x:c>
      <x:c r="I149" s="38" t="n">
        <x:f>ROUND(INDEX('Balance Inputs'!$L$2:$L$51,MATCH(A149,'Balance Inputs'!$I$2:$I$51,0))*POWER(INDEX('Balance Inputs'!$D$2:$D$7,MATCH(C149,'Balance Inputs'!$A$2:$A$7,0)),F149-1),0)</x:f>
        <x:v>2611</x:v>
      </x:c>
      <x:c r="J149" s="38" t="n">
        <x:f>ROUND(I149*INDEX('Balance Inputs'!$F$2:$F$7,MATCH(C149,'Balance Inputs'!$A$2:$A$7,0)),0)</x:f>
        <x:v>366</x:v>
      </x:c>
      <x:c r="K149" s="38" t="n">
        <x:f>I149-J149</x:f>
        <x:v>2245</x:v>
      </x:c>
      <x:c r="L149" s="38" t="n">
        <x:f>ROUND(INDEX('Balance Inputs'!$M$2:$M$51,MATCH(A149,'Balance Inputs'!$I$2:$I$51,0))*POWER(INDEX('Balance Inputs'!$E$2:$E$7,MATCH(C149,'Balance Inputs'!$A$2:$A$7,0)),F149-1),0)</x:f>
        <x:v>3692</x:v>
      </x:c>
      <x:c r="M149" s="38" t="n">
        <x:f>ROUND(INDEX('Balance Inputs'!$N$2:$N$51,MATCH(A149,'Balance Inputs'!$I$2:$I$51,0))*POWER(INDEX('Balance Inputs'!$G$2:$G$7,MATCH(C149,'Balance Inputs'!$A$2:$A$7,0)),F149-1),0)</x:f>
        <x:v>328</x:v>
      </x:c>
      <x:c r="N149" s="38" t="n">
        <x:f>IF(A149&lt;&gt;A148,H149,N148+H149)</x:f>
        <x:v>81042</x:v>
      </x:c>
      <x:c r="O149" s="42" t="n">
        <x:f>IF(I149=0,0,H149/I149)</x:f>
        <x:v>19.100727690540023</x:v>
      </x:c>
      <x:c r="P149" s="43" t="n">
        <x:f>I149/INDEX('Balance Inputs'!$L$2:$L$51,MATCH(A149,'Balance Inputs'!$I$2:$I$51,0))</x:f>
        <x:v>1.3598958333333333</x:v>
      </x:c>
      <x:c r="Q149" s="43" t="n">
        <x:f>L149/INDEX('Balance Inputs'!$M$2:$M$51,MATCH(A149,'Balance Inputs'!$I$2:$I$51,0))</x:f>
        <x:v>1.34010889292196</x:v>
      </x:c>
      <x:c r="R149" s="17"/>
      <x:c r="S149" s="17"/>
      <x:c r="T149" s="17"/>
      <x:c r="U149" s="17"/>
      <x:c r="V149" s="17"/>
      <x:c r="W149" s="17"/>
      <x:c r="X149" s="17"/>
      <x:c r="Y149" s="17"/>
      <x:c r="Z149" s="17"/>
    </x:row>
    <x:row r="150">
      <x:c r="A150" s="17" t="n">
        <x:v>23</x:v>
      </x:c>
      <x:c r="B150" s="17" t="str">
        <x:v>Investment Advisory Firm</x:v>
      </x:c>
      <x:c r="C150" s="17" t="str">
        <x:v>Growing</x:v>
      </x:c>
      <x:c r="D150" s="17" t="str">
        <x:v>Rare</x:v>
      </x:c>
      <x:c r="E150" s="17" t="n">
        <x:v>23</x:v>
      </x:c>
      <x:c r="F150" s="17" t="n">
        <x:v>3</x:v>
      </x:c>
      <x:c r="G150" s="17" t="str">
        <x:v>Upgrade to Lv3</x:v>
      </x:c>
      <x:c r="H150" s="38" t="n">
        <x:f>ROUND(H149*INDEX('Balance Inputs'!$C$2:$C$7,MATCH(C150,'Balance Inputs'!$A$2:$A$7,0)),0)</x:f>
        <x:v>79795</x:v>
      </x:c>
      <x:c r="I150" s="38" t="n">
        <x:f>ROUND(INDEX('Balance Inputs'!$L$2:$L$51,MATCH(A150,'Balance Inputs'!$I$2:$I$51,0))*POWER(INDEX('Balance Inputs'!$D$2:$D$7,MATCH(C150,'Balance Inputs'!$A$2:$A$7,0)),F150-1),0)</x:f>
        <x:v>3551</x:v>
      </x:c>
      <x:c r="J150" s="38" t="n">
        <x:f>ROUND(I150*INDEX('Balance Inputs'!$F$2:$F$7,MATCH(C150,'Balance Inputs'!$A$2:$A$7,0)),0)</x:f>
        <x:v>497</x:v>
      </x:c>
      <x:c r="K150" s="38" t="n">
        <x:f>I150-J150</x:f>
        <x:v>3054</x:v>
      </x:c>
      <x:c r="L150" s="38" t="n">
        <x:f>ROUND(INDEX('Balance Inputs'!$M$2:$M$51,MATCH(A150,'Balance Inputs'!$I$2:$I$51,0))*POWER(INDEX('Balance Inputs'!$E$2:$E$7,MATCH(C150,'Balance Inputs'!$A$2:$A$7,0)),F150-1),0)</x:f>
        <x:v>4947</x:v>
      </x:c>
      <x:c r="M150" s="38" t="n">
        <x:f>ROUND(INDEX('Balance Inputs'!$N$2:$N$51,MATCH(A150,'Balance Inputs'!$I$2:$I$51,0))*POWER(INDEX('Balance Inputs'!$G$2:$G$7,MATCH(C150,'Balance Inputs'!$A$2:$A$7,0)),F150-1),0)</x:f>
        <x:v>361</x:v>
      </x:c>
      <x:c r="N150" s="38" t="n">
        <x:f>IF(A150&lt;&gt;A149,H150,N149+H150)</x:f>
        <x:v>160837</x:v>
      </x:c>
      <x:c r="O150" s="42" t="n">
        <x:f>IF(I150=0,0,H150/I150)</x:f>
        <x:v>22.471134891579837</x:v>
      </x:c>
      <x:c r="P150" s="43" t="n">
        <x:f>I150/INDEX('Balance Inputs'!$L$2:$L$51,MATCH(A150,'Balance Inputs'!$I$2:$I$51,0))</x:f>
        <x:v>1.8494791666666666</x:v>
      </x:c>
      <x:c r="Q150" s="43" t="n">
        <x:f>L150/INDEX('Balance Inputs'!$M$2:$M$51,MATCH(A150,'Balance Inputs'!$I$2:$I$51,0))</x:f>
        <x:v>1.795644283121597</x:v>
      </x:c>
      <x:c r="R150" s="17"/>
      <x:c r="S150" s="17"/>
      <x:c r="T150" s="17"/>
      <x:c r="U150" s="17"/>
      <x:c r="V150" s="17"/>
      <x:c r="W150" s="17"/>
      <x:c r="X150" s="17"/>
      <x:c r="Y150" s="17"/>
      <x:c r="Z150" s="17"/>
    </x:row>
    <x:row r="151">
      <x:c r="A151" s="17" t="n">
        <x:v>23</x:v>
      </x:c>
      <x:c r="B151" s="17" t="str">
        <x:v>Investment Advisory Firm</x:v>
      </x:c>
      <x:c r="C151" s="17" t="str">
        <x:v>Growing</x:v>
      </x:c>
      <x:c r="D151" s="17" t="str">
        <x:v>Rare</x:v>
      </x:c>
      <x:c r="E151" s="17" t="n">
        <x:v>23</x:v>
      </x:c>
      <x:c r="F151" s="17" t="n">
        <x:v>4</x:v>
      </x:c>
      <x:c r="G151" s="17" t="str">
        <x:v>Upgrade to Lv4</x:v>
      </x:c>
      <x:c r="H151" s="38" t="n">
        <x:f>ROUND(H150*INDEX('Balance Inputs'!$C$2:$C$7,MATCH(C151,'Balance Inputs'!$A$2:$A$7,0)),0)</x:f>
        <x:v>127672</x:v>
      </x:c>
      <x:c r="I151" s="38" t="n">
        <x:f>ROUND(INDEX('Balance Inputs'!$L$2:$L$51,MATCH(A151,'Balance Inputs'!$I$2:$I$51,0))*POWER(INDEX('Balance Inputs'!$D$2:$D$7,MATCH(C151,'Balance Inputs'!$A$2:$A$7,0)),F151-1),0)</x:f>
        <x:v>4830</x:v>
      </x:c>
      <x:c r="J151" s="38" t="n">
        <x:f>ROUND(I151*INDEX('Balance Inputs'!$F$2:$F$7,MATCH(C151,'Balance Inputs'!$A$2:$A$7,0)),0)</x:f>
        <x:v>676</x:v>
      </x:c>
      <x:c r="K151" s="38" t="n">
        <x:f>I151-J151</x:f>
        <x:v>4154</x:v>
      </x:c>
      <x:c r="L151" s="38" t="n">
        <x:f>ROUND(INDEX('Balance Inputs'!$M$2:$M$51,MATCH(A151,'Balance Inputs'!$I$2:$I$51,0))*POWER(INDEX('Balance Inputs'!$E$2:$E$7,MATCH(C151,'Balance Inputs'!$A$2:$A$7,0)),F151-1),0)</x:f>
        <x:v>6629</x:v>
      </x:c>
      <x:c r="M151" s="38" t="n">
        <x:f>ROUND(INDEX('Balance Inputs'!$N$2:$N$51,MATCH(A151,'Balance Inputs'!$I$2:$I$51,0))*POWER(INDEX('Balance Inputs'!$G$2:$G$7,MATCH(C151,'Balance Inputs'!$A$2:$A$7,0)),F151-1),0)</x:f>
        <x:v>397</x:v>
      </x:c>
      <x:c r="N151" s="38" t="n">
        <x:f>IF(A151&lt;&gt;A150,H151,N150+H151)</x:f>
        <x:v>288509</x:v>
      </x:c>
      <x:c r="O151" s="42" t="n">
        <x:f>IF(I151=0,0,H151/I151)</x:f>
        <x:v>26.43312629399586</x:v>
      </x:c>
      <x:c r="P151" s="43" t="n">
        <x:f>I151/INDEX('Balance Inputs'!$L$2:$L$51,MATCH(A151,'Balance Inputs'!$I$2:$I$51,0))</x:f>
        <x:v>2.515625</x:v>
      </x:c>
      <x:c r="Q151" s="43" t="n">
        <x:f>L151/INDEX('Balance Inputs'!$M$2:$M$51,MATCH(A151,'Balance Inputs'!$I$2:$I$51,0))</x:f>
        <x:v>2.406170598911071</x:v>
      </x:c>
      <x:c r="R151" s="17"/>
      <x:c r="S151" s="17"/>
      <x:c r="T151" s="17"/>
      <x:c r="U151" s="17"/>
      <x:c r="V151" s="17"/>
      <x:c r="W151" s="17"/>
      <x:c r="X151" s="17"/>
      <x:c r="Y151" s="17"/>
      <x:c r="Z151" s="17"/>
    </x:row>
    <x:row r="152">
      <x:c r="A152" s="17" t="n">
        <x:v>23</x:v>
      </x:c>
      <x:c r="B152" s="17" t="str">
        <x:v>Investment Advisory Firm</x:v>
      </x:c>
      <x:c r="C152" s="17" t="str">
        <x:v>Growing</x:v>
      </x:c>
      <x:c r="D152" s="17" t="str">
        <x:v>Rare</x:v>
      </x:c>
      <x:c r="E152" s="17" t="n">
        <x:v>23</x:v>
      </x:c>
      <x:c r="F152" s="17" t="n">
        <x:v>5</x:v>
      </x:c>
      <x:c r="G152" s="17" t="str">
        <x:v>Upgrade to Lv5</x:v>
      </x:c>
      <x:c r="H152" s="38" t="n">
        <x:f>ROUND(H151*INDEX('Balance Inputs'!$C$2:$C$7,MATCH(C152,'Balance Inputs'!$A$2:$A$7,0)),0)</x:f>
        <x:v>204275</x:v>
      </x:c>
      <x:c r="I152" s="38" t="n">
        <x:f>ROUND(INDEX('Balance Inputs'!$L$2:$L$51,MATCH(A152,'Balance Inputs'!$I$2:$I$51,0))*POWER(INDEX('Balance Inputs'!$D$2:$D$7,MATCH(C152,'Balance Inputs'!$A$2:$A$7,0)),F152-1),0)</x:f>
        <x:v>6568</x:v>
      </x:c>
      <x:c r="J152" s="38" t="n">
        <x:f>ROUND(I152*INDEX('Balance Inputs'!$F$2:$F$7,MATCH(C152,'Balance Inputs'!$A$2:$A$7,0)),0)</x:f>
        <x:v>920</x:v>
      </x:c>
      <x:c r="K152" s="38" t="n">
        <x:f>I152-J152</x:f>
        <x:v>5648</x:v>
      </x:c>
      <x:c r="L152" s="38" t="n">
        <x:f>ROUND(INDEX('Balance Inputs'!$M$2:$M$51,MATCH(A152,'Balance Inputs'!$I$2:$I$51,0))*POWER(INDEX('Balance Inputs'!$E$2:$E$7,MATCH(C152,'Balance Inputs'!$A$2:$A$7,0)),F152-1),0)</x:f>
        <x:v>8883</x:v>
      </x:c>
      <x:c r="M152" s="38" t="n">
        <x:f>ROUND(INDEX('Balance Inputs'!$N$2:$N$51,MATCH(A152,'Balance Inputs'!$I$2:$I$51,0))*POWER(INDEX('Balance Inputs'!$G$2:$G$7,MATCH(C152,'Balance Inputs'!$A$2:$A$7,0)),F152-1),0)</x:f>
        <x:v>436</x:v>
      </x:c>
      <x:c r="N152" s="38" t="n">
        <x:f>IF(A152&lt;&gt;A151,H152,N151+H152)</x:f>
        <x:v>492784</x:v>
      </x:c>
      <x:c r="O152" s="42" t="n">
        <x:f>IF(I152=0,0,H152/I152)</x:f>
        <x:v>31.10155298416565</x:v>
      </x:c>
      <x:c r="P152" s="43" t="n">
        <x:f>I152/INDEX('Balance Inputs'!$L$2:$L$51,MATCH(A152,'Balance Inputs'!$I$2:$I$51,0))</x:f>
        <x:v>3.4208333333333334</x:v>
      </x:c>
      <x:c r="Q152" s="43" t="n">
        <x:f>L152/INDEX('Balance Inputs'!$M$2:$M$51,MATCH(A152,'Balance Inputs'!$I$2:$I$51,0))</x:f>
        <x:v>3.2243194192377493</x:v>
      </x:c>
      <x:c r="R152" s="17"/>
      <x:c r="S152" s="17"/>
      <x:c r="T152" s="17"/>
      <x:c r="U152" s="17"/>
      <x:c r="V152" s="17"/>
      <x:c r="W152" s="17"/>
      <x:c r="X152" s="17"/>
      <x:c r="Y152" s="17"/>
      <x:c r="Z152" s="17"/>
    </x:row>
    <x:row r="153">
      <x:c r="A153" s="17" t="n">
        <x:v>23</x:v>
      </x:c>
      <x:c r="B153" s="17" t="str">
        <x:v>Investment Advisory Firm</x:v>
      </x:c>
      <x:c r="C153" s="17" t="str">
        <x:v>Growing</x:v>
      </x:c>
      <x:c r="D153" s="17" t="str">
        <x:v>Rare</x:v>
      </x:c>
      <x:c r="E153" s="17" t="n">
        <x:v>23</x:v>
      </x:c>
      <x:c r="F153" s="17" t="n">
        <x:v>6</x:v>
      </x:c>
      <x:c r="G153" s="17" t="str">
        <x:v>Upgrade to Lv6</x:v>
      </x:c>
      <x:c r="H153" s="38" t="n">
        <x:f>ROUND(H152*INDEX('Balance Inputs'!$C$2:$C$7,MATCH(C153,'Balance Inputs'!$A$2:$A$7,0)),0)</x:f>
        <x:v>326840</x:v>
      </x:c>
      <x:c r="I153" s="38" t="n">
        <x:f>ROUND(INDEX('Balance Inputs'!$L$2:$L$51,MATCH(A153,'Balance Inputs'!$I$2:$I$51,0))*POWER(INDEX('Balance Inputs'!$D$2:$D$7,MATCH(C153,'Balance Inputs'!$A$2:$A$7,0)),F153-1),0)</x:f>
        <x:v>8933</x:v>
      </x:c>
      <x:c r="J153" s="38" t="n">
        <x:f>ROUND(I153*INDEX('Balance Inputs'!$F$2:$F$7,MATCH(C153,'Balance Inputs'!$A$2:$A$7,0)),0)</x:f>
        <x:v>1251</x:v>
      </x:c>
      <x:c r="K153" s="38" t="n">
        <x:f>I153-J153</x:f>
        <x:v>7682</x:v>
      </x:c>
      <x:c r="L153" s="38" t="n">
        <x:f>ROUND(INDEX('Balance Inputs'!$M$2:$M$51,MATCH(A153,'Balance Inputs'!$I$2:$I$51,0))*POWER(INDEX('Balance Inputs'!$E$2:$E$7,MATCH(C153,'Balance Inputs'!$A$2:$A$7,0)),F153-1),0)</x:f>
        <x:v>11903</x:v>
      </x:c>
      <x:c r="M153" s="38" t="n">
        <x:f>ROUND(INDEX('Balance Inputs'!$N$2:$N$51,MATCH(A153,'Balance Inputs'!$I$2:$I$51,0))*POWER(INDEX('Balance Inputs'!$G$2:$G$7,MATCH(C153,'Balance Inputs'!$A$2:$A$7,0)),F153-1),0)</x:f>
        <x:v>480</x:v>
      </x:c>
      <x:c r="N153" s="38" t="n">
        <x:f>IF(A153&lt;&gt;A152,H153,N152+H153)</x:f>
        <x:v>819624</x:v>
      </x:c>
      <x:c r="O153" s="42" t="n">
        <x:f>IF(I153=0,0,H153/I153)</x:f>
        <x:v>36.587932385536774</x:v>
      </x:c>
      <x:c r="P153" s="43" t="n">
        <x:f>I153/INDEX('Balance Inputs'!$L$2:$L$51,MATCH(A153,'Balance Inputs'!$I$2:$I$51,0))</x:f>
        <x:v>4.652604166666666</x:v>
      </x:c>
      <x:c r="Q153" s="43" t="n">
        <x:f>L153/INDEX('Balance Inputs'!$M$2:$M$51,MATCH(A153,'Balance Inputs'!$I$2:$I$51,0))</x:f>
        <x:v>4.320508166969147</x:v>
      </x:c>
      <x:c r="R153" s="17"/>
      <x:c r="S153" s="17"/>
      <x:c r="T153" s="17"/>
      <x:c r="U153" s="17"/>
      <x:c r="V153" s="17"/>
      <x:c r="W153" s="17"/>
      <x:c r="X153" s="17"/>
      <x:c r="Y153" s="17"/>
      <x:c r="Z153" s="17"/>
    </x:row>
    <x:row r="154">
      <x:c r="A154" s="17" t="n">
        <x:v>23</x:v>
      </x:c>
      <x:c r="B154" s="17" t="str">
        <x:v>Investment Advisory Firm</x:v>
      </x:c>
      <x:c r="C154" s="17" t="str">
        <x:v>Growing</x:v>
      </x:c>
      <x:c r="D154" s="17" t="str">
        <x:v>Rare</x:v>
      </x:c>
      <x:c r="E154" s="17" t="n">
        <x:v>23</x:v>
      </x:c>
      <x:c r="F154" s="17" t="n">
        <x:v>7</x:v>
      </x:c>
      <x:c r="G154" s="17" t="str">
        <x:v>Upgrade to Lv7</x:v>
      </x:c>
      <x:c r="H154" s="38" t="n">
        <x:f>ROUND(H153*INDEX('Balance Inputs'!$C$2:$C$7,MATCH(C154,'Balance Inputs'!$A$2:$A$7,0)),0)</x:f>
        <x:v>522944</x:v>
      </x:c>
      <x:c r="I154" s="38" t="n">
        <x:f>ROUND(INDEX('Balance Inputs'!$L$2:$L$51,MATCH(A154,'Balance Inputs'!$I$2:$I$51,0))*POWER(INDEX('Balance Inputs'!$D$2:$D$7,MATCH(C154,'Balance Inputs'!$A$2:$A$7,0)),F154-1),0)</x:f>
        <x:v>12149</x:v>
      </x:c>
      <x:c r="J154" s="38" t="n">
        <x:f>ROUND(I154*INDEX('Balance Inputs'!$F$2:$F$7,MATCH(C154,'Balance Inputs'!$A$2:$A$7,0)),0)</x:f>
        <x:v>1701</x:v>
      </x:c>
      <x:c r="K154" s="38" t="n">
        <x:f>I154-J154</x:f>
        <x:v>10448</x:v>
      </x:c>
      <x:c r="L154" s="38" t="n">
        <x:f>ROUND(INDEX('Balance Inputs'!$M$2:$M$51,MATCH(A154,'Balance Inputs'!$I$2:$I$51,0))*POWER(INDEX('Balance Inputs'!$E$2:$E$7,MATCH(C154,'Balance Inputs'!$A$2:$A$7,0)),F154-1),0)</x:f>
        <x:v>15950</x:v>
      </x:c>
      <x:c r="M154" s="38" t="n">
        <x:f>ROUND(INDEX('Balance Inputs'!$N$2:$N$51,MATCH(A154,'Balance Inputs'!$I$2:$I$51,0))*POWER(INDEX('Balance Inputs'!$G$2:$G$7,MATCH(C154,'Balance Inputs'!$A$2:$A$7,0)),F154-1),0)</x:f>
        <x:v>528</x:v>
      </x:c>
      <x:c r="N154" s="38" t="n">
        <x:f>IF(A154&lt;&gt;A153,H154,N153+H154)</x:f>
        <x:v>1342568</x:v>
      </x:c>
      <x:c r="O154" s="42" t="n">
        <x:f>IF(I154=0,0,H154/I154)</x:f>
        <x:v>43.04420116882048</x:v>
      </x:c>
      <x:c r="P154" s="43" t="n">
        <x:f>I154/INDEX('Balance Inputs'!$L$2:$L$51,MATCH(A154,'Balance Inputs'!$I$2:$I$51,0))</x:f>
        <x:v>6.327604166666666</x:v>
      </x:c>
      <x:c r="Q154" s="43" t="n">
        <x:f>L154/INDEX('Balance Inputs'!$M$2:$M$51,MATCH(A154,'Balance Inputs'!$I$2:$I$51,0))</x:f>
        <x:v>5.7894736842105265</x:v>
      </x:c>
      <x:c r="R154" s="17"/>
      <x:c r="S154" s="17"/>
      <x:c r="T154" s="17"/>
      <x:c r="U154" s="17"/>
      <x:c r="V154" s="17"/>
      <x:c r="W154" s="17"/>
      <x:c r="X154" s="17"/>
      <x:c r="Y154" s="17"/>
      <x:c r="Z154" s="17"/>
    </x:row>
    <x:row r="155">
      <x:c r="A155" s="17" t="n">
        <x:v>23</x:v>
      </x:c>
      <x:c r="B155" s="17" t="str">
        <x:v>Investment Advisory Firm</x:v>
      </x:c>
      <x:c r="C155" s="17" t="str">
        <x:v>Growing</x:v>
      </x:c>
      <x:c r="D155" s="17" t="str">
        <x:v>Rare</x:v>
      </x:c>
      <x:c r="E155" s="17" t="n">
        <x:v>23</x:v>
      </x:c>
      <x:c r="F155" s="17" t="n">
        <x:v>8</x:v>
      </x:c>
      <x:c r="G155" s="17" t="str">
        <x:v>Upgrade to Lv8</x:v>
      </x:c>
      <x:c r="H155" s="38" t="n">
        <x:f>ROUND(H154*INDEX('Balance Inputs'!$C$2:$C$7,MATCH(C155,'Balance Inputs'!$A$2:$A$7,0)),0)</x:f>
        <x:v>836710</x:v>
      </x:c>
      <x:c r="I155" s="38" t="n">
        <x:f>ROUND(INDEX('Balance Inputs'!$L$2:$L$51,MATCH(A155,'Balance Inputs'!$I$2:$I$51,0))*POWER(INDEX('Balance Inputs'!$D$2:$D$7,MATCH(C155,'Balance Inputs'!$A$2:$A$7,0)),F155-1),0)</x:f>
        <x:v>16522</x:v>
      </x:c>
      <x:c r="J155" s="38" t="n">
        <x:f>ROUND(I155*INDEX('Balance Inputs'!$F$2:$F$7,MATCH(C155,'Balance Inputs'!$A$2:$A$7,0)),0)</x:f>
        <x:v>2313</x:v>
      </x:c>
      <x:c r="K155" s="38" t="n">
        <x:f>I155-J155</x:f>
        <x:v>14209</x:v>
      </x:c>
      <x:c r="L155" s="38" t="n">
        <x:f>ROUND(INDEX('Balance Inputs'!$M$2:$M$51,MATCH(A155,'Balance Inputs'!$I$2:$I$51,0))*POWER(INDEX('Balance Inputs'!$E$2:$E$7,MATCH(C155,'Balance Inputs'!$A$2:$A$7,0)),F155-1),0)</x:f>
        <x:v>21372</x:v>
      </x:c>
      <x:c r="M155" s="38" t="n">
        <x:f>ROUND(INDEX('Balance Inputs'!$N$2:$N$51,MATCH(A155,'Balance Inputs'!$I$2:$I$51,0))*POWER(INDEX('Balance Inputs'!$G$2:$G$7,MATCH(C155,'Balance Inputs'!$A$2:$A$7,0)),F155-1),0)</x:f>
        <x:v>581</x:v>
      </x:c>
      <x:c r="N155" s="38" t="n">
        <x:f>IF(A155&lt;&gt;A154,H155,N154+H155)</x:f>
        <x:v>2179278</x:v>
      </x:c>
      <x:c r="O155" s="42" t="n">
        <x:f>IF(I155=0,0,H155/I155)</x:f>
        <x:v>50.642174070935724</x:v>
      </x:c>
      <x:c r="P155" s="43" t="n">
        <x:f>I155/INDEX('Balance Inputs'!$L$2:$L$51,MATCH(A155,'Balance Inputs'!$I$2:$I$51,0))</x:f>
        <x:v>8.605208333333334</x:v>
      </x:c>
      <x:c r="Q155" s="43" t="n">
        <x:f>L155/INDEX('Balance Inputs'!$M$2:$M$51,MATCH(A155,'Balance Inputs'!$I$2:$I$51,0))</x:f>
        <x:v>7.757531760435572</x:v>
      </x:c>
      <x:c r="R155" s="17"/>
      <x:c r="S155" s="17"/>
      <x:c r="T155" s="17"/>
      <x:c r="U155" s="17"/>
      <x:c r="V155" s="17"/>
      <x:c r="W155" s="17"/>
      <x:c r="X155" s="17"/>
      <x:c r="Y155" s="17"/>
      <x:c r="Z155" s="17"/>
    </x:row>
    <x:row r="156">
      <x:c r="A156" s="17" t="n">
        <x:v>24</x:v>
      </x:c>
      <x:c r="B156" s="17" t="str">
        <x:v>Asset Management Office</x:v>
      </x:c>
      <x:c r="C156" s="17" t="str">
        <x:v>Growing</x:v>
      </x:c>
      <x:c r="D156" s="17" t="str">
        <x:v>Rare</x:v>
      </x:c>
      <x:c r="E156" s="17" t="n">
        <x:v>24</x:v>
      </x:c>
      <x:c r="F156" s="17" t="n">
        <x:v>1</x:v>
      </x:c>
      <x:c r="G156" s="17" t="str">
        <x:v>Build</x:v>
      </x:c>
      <x:c r="H156" s="38" t="n">
        <x:f>INDEX('Balance Inputs'!$K$2:$K$51,MATCH(A156,'Balance Inputs'!$I$2:$I$51,0))</x:f>
        <x:v>38500</x:v>
      </x:c>
      <x:c r="I156" s="38" t="n">
        <x:f>ROUND(INDEX('Balance Inputs'!$L$2:$L$51,MATCH(A156,'Balance Inputs'!$I$2:$I$51,0))*POWER(INDEX('Balance Inputs'!$D$2:$D$7,MATCH(C156,'Balance Inputs'!$A$2:$A$7,0)),F156-1),0)</x:f>
        <x:v>2801</x:v>
      </x:c>
      <x:c r="J156" s="38" t="n">
        <x:f>ROUND(I156*INDEX('Balance Inputs'!$F$2:$F$7,MATCH(C156,'Balance Inputs'!$A$2:$A$7,0)),0)</x:f>
        <x:v>392</x:v>
      </x:c>
      <x:c r="K156" s="38" t="n">
        <x:f>I156-J156</x:f>
        <x:v>2409</x:v>
      </x:c>
      <x:c r="L156" s="38" t="n">
        <x:f>ROUND(INDEX('Balance Inputs'!$M$2:$M$51,MATCH(A156,'Balance Inputs'!$I$2:$I$51,0))*POWER(INDEX('Balance Inputs'!$E$2:$E$7,MATCH(C156,'Balance Inputs'!$A$2:$A$7,0)),F156-1),0)</x:f>
        <x:v>3279</x:v>
      </x:c>
      <x:c r="M156" s="38" t="n">
        <x:f>ROUND(INDEX('Balance Inputs'!$N$2:$N$51,MATCH(A156,'Balance Inputs'!$I$2:$I$51,0))*POWER(INDEX('Balance Inputs'!$G$2:$G$7,MATCH(C156,'Balance Inputs'!$A$2:$A$7,0)),F156-1),0)</x:f>
        <x:v>413</x:v>
      </x:c>
      <x:c r="N156" s="38" t="n">
        <x:f>IF(A156&lt;&gt;A155,H156,N155+H156)</x:f>
        <x:v>38500</x:v>
      </x:c>
      <x:c r="O156" s="42" t="n">
        <x:f>IF(I156=0,0,H156/I156)</x:f>
        <x:v>13.745091038914673</x:v>
      </x:c>
      <x:c r="P156" s="43" t="n">
        <x:f>I156/INDEX('Balance Inputs'!$L$2:$L$51,MATCH(A156,'Balance Inputs'!$I$2:$I$51,0))</x:f>
        <x:v>1</x:v>
      </x:c>
      <x:c r="Q156" s="43" t="n">
        <x:f>L156/INDEX('Balance Inputs'!$M$2:$M$51,MATCH(A156,'Balance Inputs'!$I$2:$I$51,0))</x:f>
        <x:v>1</x:v>
      </x:c>
      <x:c r="R156" s="17"/>
      <x:c r="S156" s="17"/>
      <x:c r="T156" s="17"/>
      <x:c r="U156" s="17"/>
      <x:c r="V156" s="17"/>
      <x:c r="W156" s="17"/>
      <x:c r="X156" s="17"/>
      <x:c r="Y156" s="17"/>
      <x:c r="Z156" s="17"/>
    </x:row>
    <x:row r="157">
      <x:c r="A157" s="17" t="n">
        <x:v>24</x:v>
      </x:c>
      <x:c r="B157" s="17" t="str">
        <x:v>Asset Management Office</x:v>
      </x:c>
      <x:c r="C157" s="17" t="str">
        <x:v>Growing</x:v>
      </x:c>
      <x:c r="D157" s="17" t="str">
        <x:v>Rare</x:v>
      </x:c>
      <x:c r="E157" s="17" t="n">
        <x:v>24</x:v>
      </x:c>
      <x:c r="F157" s="17" t="n">
        <x:v>2</x:v>
      </x:c>
      <x:c r="G157" s="17" t="str">
        <x:v>Upgrade to Lv2</x:v>
      </x:c>
      <x:c r="H157" s="38" t="n">
        <x:f>ROUND(H156*INDEX('Balance Inputs'!$C$2:$C$7,MATCH(C157,'Balance Inputs'!$A$2:$A$7,0)),0)</x:f>
        <x:v>61600</x:v>
      </x:c>
      <x:c r="I157" s="38" t="n">
        <x:f>ROUND(INDEX('Balance Inputs'!$L$2:$L$51,MATCH(A157,'Balance Inputs'!$I$2:$I$51,0))*POWER(INDEX('Balance Inputs'!$D$2:$D$7,MATCH(C157,'Balance Inputs'!$A$2:$A$7,0)),F157-1),0)</x:f>
        <x:v>3809</x:v>
      </x:c>
      <x:c r="J157" s="38" t="n">
        <x:f>ROUND(I157*INDEX('Balance Inputs'!$F$2:$F$7,MATCH(C157,'Balance Inputs'!$A$2:$A$7,0)),0)</x:f>
        <x:v>533</x:v>
      </x:c>
      <x:c r="K157" s="38" t="n">
        <x:f>I157-J157</x:f>
        <x:v>3276</x:v>
      </x:c>
      <x:c r="L157" s="38" t="n">
        <x:f>ROUND(INDEX('Balance Inputs'!$M$2:$M$51,MATCH(A157,'Balance Inputs'!$I$2:$I$51,0))*POWER(INDEX('Balance Inputs'!$E$2:$E$7,MATCH(C157,'Balance Inputs'!$A$2:$A$7,0)),F157-1),0)</x:f>
        <x:v>4394</x:v>
      </x:c>
      <x:c r="M157" s="38" t="n">
        <x:f>ROUND(INDEX('Balance Inputs'!$N$2:$N$51,MATCH(A157,'Balance Inputs'!$I$2:$I$51,0))*POWER(INDEX('Balance Inputs'!$G$2:$G$7,MATCH(C157,'Balance Inputs'!$A$2:$A$7,0)),F157-1),0)</x:f>
        <x:v>454</x:v>
      </x:c>
      <x:c r="N157" s="38" t="n">
        <x:f>IF(A157&lt;&gt;A156,H157,N156+H157)</x:f>
        <x:v>100100</x:v>
      </x:c>
      <x:c r="O157" s="42" t="n">
        <x:f>IF(I157=0,0,H157/I157)</x:f>
        <x:v>16.172223680756105</x:v>
      </x:c>
      <x:c r="P157" s="43" t="n">
        <x:f>I157/INDEX('Balance Inputs'!$L$2:$L$51,MATCH(A157,'Balance Inputs'!$I$2:$I$51,0))</x:f>
        <x:v>1.3598714744734024</x:v>
      </x:c>
      <x:c r="Q157" s="43" t="n">
        <x:f>L157/INDEX('Balance Inputs'!$M$2:$M$51,MATCH(A157,'Balance Inputs'!$I$2:$I$51,0))</x:f>
        <x:v>1.3400426959438854</x:v>
      </x:c>
      <x:c r="R157" s="17"/>
      <x:c r="S157" s="17"/>
      <x:c r="T157" s="17"/>
      <x:c r="U157" s="17"/>
      <x:c r="V157" s="17"/>
      <x:c r="W157" s="17"/>
      <x:c r="X157" s="17"/>
      <x:c r="Y157" s="17"/>
      <x:c r="Z157" s="17"/>
    </x:row>
    <x:row r="158">
      <x:c r="A158" s="17" t="n">
        <x:v>24</x:v>
      </x:c>
      <x:c r="B158" s="17" t="str">
        <x:v>Asset Management Office</x:v>
      </x:c>
      <x:c r="C158" s="17" t="str">
        <x:v>Growing</x:v>
      </x:c>
      <x:c r="D158" s="17" t="str">
        <x:v>Rare</x:v>
      </x:c>
      <x:c r="E158" s="17" t="n">
        <x:v>24</x:v>
      </x:c>
      <x:c r="F158" s="17" t="n">
        <x:v>3</x:v>
      </x:c>
      <x:c r="G158" s="17" t="str">
        <x:v>Upgrade to Lv3</x:v>
      </x:c>
      <x:c r="H158" s="38" t="n">
        <x:f>ROUND(H157*INDEX('Balance Inputs'!$C$2:$C$7,MATCH(C158,'Balance Inputs'!$A$2:$A$7,0)),0)</x:f>
        <x:v>98560</x:v>
      </x:c>
      <x:c r="I158" s="38" t="n">
        <x:f>ROUND(INDEX('Balance Inputs'!$L$2:$L$51,MATCH(A158,'Balance Inputs'!$I$2:$I$51,0))*POWER(INDEX('Balance Inputs'!$D$2:$D$7,MATCH(C158,'Balance Inputs'!$A$2:$A$7,0)),F158-1),0)</x:f>
        <x:v>5181</x:v>
      </x:c>
      <x:c r="J158" s="38" t="n">
        <x:f>ROUND(I158*INDEX('Balance Inputs'!$F$2:$F$7,MATCH(C158,'Balance Inputs'!$A$2:$A$7,0)),0)</x:f>
        <x:v>725</x:v>
      </x:c>
      <x:c r="K158" s="38" t="n">
        <x:f>I158-J158</x:f>
        <x:v>4456</x:v>
      </x:c>
      <x:c r="L158" s="38" t="n">
        <x:f>ROUND(INDEX('Balance Inputs'!$M$2:$M$51,MATCH(A158,'Balance Inputs'!$I$2:$I$51,0))*POWER(INDEX('Balance Inputs'!$E$2:$E$7,MATCH(C158,'Balance Inputs'!$A$2:$A$7,0)),F158-1),0)</x:f>
        <x:v>5888</x:v>
      </x:c>
      <x:c r="M158" s="38" t="n">
        <x:f>ROUND(INDEX('Balance Inputs'!$N$2:$N$51,MATCH(A158,'Balance Inputs'!$I$2:$I$51,0))*POWER(INDEX('Balance Inputs'!$G$2:$G$7,MATCH(C158,'Balance Inputs'!$A$2:$A$7,0)),F158-1),0)</x:f>
        <x:v>500</x:v>
      </x:c>
      <x:c r="N158" s="38" t="n">
        <x:f>IF(A158&lt;&gt;A157,H158,N157+H158)</x:f>
        <x:v>198660</x:v>
      </x:c>
      <x:c r="O158" s="42" t="n">
        <x:f>IF(I158=0,0,H158/I158)</x:f>
        <x:v>19.023354564755838</x:v>
      </x:c>
      <x:c r="P158" s="43" t="n">
        <x:f>I158/INDEX('Balance Inputs'!$L$2:$L$51,MATCH(A158,'Balance Inputs'!$I$2:$I$51,0))</x:f>
        <x:v>1.849696536951089</x:v>
      </x:c>
      <x:c r="Q158" s="43" t="n">
        <x:f>L158/INDEX('Balance Inputs'!$M$2:$M$51,MATCH(A158,'Balance Inputs'!$I$2:$I$51,0))</x:f>
        <x:v>1.7956694114059164</x:v>
      </x:c>
      <x:c r="R158" s="17"/>
      <x:c r="S158" s="17"/>
      <x:c r="T158" s="17"/>
      <x:c r="U158" s="17"/>
      <x:c r="V158" s="17"/>
      <x:c r="W158" s="17"/>
      <x:c r="X158" s="17"/>
      <x:c r="Y158" s="17"/>
      <x:c r="Z158" s="17"/>
    </x:row>
    <x:row r="159">
      <x:c r="A159" s="17" t="n">
        <x:v>24</x:v>
      </x:c>
      <x:c r="B159" s="17" t="str">
        <x:v>Asset Management Office</x:v>
      </x:c>
      <x:c r="C159" s="17" t="str">
        <x:v>Growing</x:v>
      </x:c>
      <x:c r="D159" s="17" t="str">
        <x:v>Rare</x:v>
      </x:c>
      <x:c r="E159" s="17" t="n">
        <x:v>24</x:v>
      </x:c>
      <x:c r="F159" s="17" t="n">
        <x:v>4</x:v>
      </x:c>
      <x:c r="G159" s="17" t="str">
        <x:v>Upgrade to Lv4</x:v>
      </x:c>
      <x:c r="H159" s="38" t="n">
        <x:f>ROUND(H158*INDEX('Balance Inputs'!$C$2:$C$7,MATCH(C159,'Balance Inputs'!$A$2:$A$7,0)),0)</x:f>
        <x:v>157696</x:v>
      </x:c>
      <x:c r="I159" s="38" t="n">
        <x:f>ROUND(INDEX('Balance Inputs'!$L$2:$L$51,MATCH(A159,'Balance Inputs'!$I$2:$I$51,0))*POWER(INDEX('Balance Inputs'!$D$2:$D$7,MATCH(C159,'Balance Inputs'!$A$2:$A$7,0)),F159-1),0)</x:f>
        <x:v>7046</x:v>
      </x:c>
      <x:c r="J159" s="38" t="n">
        <x:f>ROUND(I159*INDEX('Balance Inputs'!$F$2:$F$7,MATCH(C159,'Balance Inputs'!$A$2:$A$7,0)),0)</x:f>
        <x:v>986</x:v>
      </x:c>
      <x:c r="K159" s="38" t="n">
        <x:f>I159-J159</x:f>
        <x:v>6060</x:v>
      </x:c>
      <x:c r="L159" s="38" t="n">
        <x:f>ROUND(INDEX('Balance Inputs'!$M$2:$M$51,MATCH(A159,'Balance Inputs'!$I$2:$I$51,0))*POWER(INDEX('Balance Inputs'!$E$2:$E$7,MATCH(C159,'Balance Inputs'!$A$2:$A$7,0)),F159-1),0)</x:f>
        <x:v>7890</x:v>
      </x:c>
      <x:c r="M159" s="38" t="n">
        <x:f>ROUND(INDEX('Balance Inputs'!$N$2:$N$51,MATCH(A159,'Balance Inputs'!$I$2:$I$51,0))*POWER(INDEX('Balance Inputs'!$G$2:$G$7,MATCH(C159,'Balance Inputs'!$A$2:$A$7,0)),F159-1),0)</x:f>
        <x:v>550</x:v>
      </x:c>
      <x:c r="N159" s="38" t="n">
        <x:f>IF(A159&lt;&gt;A158,H159,N158+H159)</x:f>
        <x:v>356356</x:v>
      </x:c>
      <x:c r="O159" s="42" t="n">
        <x:f>IF(I159=0,0,H159/I159)</x:f>
        <x:v>22.380925347715017</x:v>
      </x:c>
      <x:c r="P159" s="43" t="n">
        <x:f>I159/INDEX('Balance Inputs'!$L$2:$L$51,MATCH(A159,'Balance Inputs'!$I$2:$I$51,0))</x:f>
        <x:v>2.5155301677972153</x:v>
      </x:c>
      <x:c r="Q159" s="43" t="n">
        <x:f>L159/INDEX('Balance Inputs'!$M$2:$M$51,MATCH(A159,'Balance Inputs'!$I$2:$I$51,0))</x:f>
        <x:v>2.406221408966148</x:v>
      </x:c>
      <x:c r="R159" s="17"/>
      <x:c r="S159" s="17"/>
      <x:c r="T159" s="17"/>
      <x:c r="U159" s="17"/>
      <x:c r="V159" s="17"/>
      <x:c r="W159" s="17"/>
      <x:c r="X159" s="17"/>
      <x:c r="Y159" s="17"/>
      <x:c r="Z159" s="17"/>
    </x:row>
    <x:row r="160">
      <x:c r="A160" s="17" t="n">
        <x:v>24</x:v>
      </x:c>
      <x:c r="B160" s="17" t="str">
        <x:v>Asset Management Office</x:v>
      </x:c>
      <x:c r="C160" s="17" t="str">
        <x:v>Growing</x:v>
      </x:c>
      <x:c r="D160" s="17" t="str">
        <x:v>Rare</x:v>
      </x:c>
      <x:c r="E160" s="17" t="n">
        <x:v>24</x:v>
      </x:c>
      <x:c r="F160" s="17" t="n">
        <x:v>5</x:v>
      </x:c>
      <x:c r="G160" s="17" t="str">
        <x:v>Upgrade to Lv5</x:v>
      </x:c>
      <x:c r="H160" s="38" t="n">
        <x:f>ROUND(H159*INDEX('Balance Inputs'!$C$2:$C$7,MATCH(C160,'Balance Inputs'!$A$2:$A$7,0)),0)</x:f>
        <x:v>252314</x:v>
      </x:c>
      <x:c r="I160" s="38" t="n">
        <x:f>ROUND(INDEX('Balance Inputs'!$L$2:$L$51,MATCH(A160,'Balance Inputs'!$I$2:$I$51,0))*POWER(INDEX('Balance Inputs'!$D$2:$D$7,MATCH(C160,'Balance Inputs'!$A$2:$A$7,0)),F160-1),0)</x:f>
        <x:v>9582</x:v>
      </x:c>
      <x:c r="J160" s="38" t="n">
        <x:f>ROUND(I160*INDEX('Balance Inputs'!$F$2:$F$7,MATCH(C160,'Balance Inputs'!$A$2:$A$7,0)),0)</x:f>
        <x:v>1341</x:v>
      </x:c>
      <x:c r="K160" s="38" t="n">
        <x:f>I160-J160</x:f>
        <x:v>8241</x:v>
      </x:c>
      <x:c r="L160" s="38" t="n">
        <x:f>ROUND(INDEX('Balance Inputs'!$M$2:$M$51,MATCH(A160,'Balance Inputs'!$I$2:$I$51,0))*POWER(INDEX('Balance Inputs'!$E$2:$E$7,MATCH(C160,'Balance Inputs'!$A$2:$A$7,0)),F160-1),0)</x:f>
        <x:v>10572</x:v>
      </x:c>
      <x:c r="M160" s="38" t="n">
        <x:f>ROUND(INDEX('Balance Inputs'!$N$2:$N$51,MATCH(A160,'Balance Inputs'!$I$2:$I$51,0))*POWER(INDEX('Balance Inputs'!$G$2:$G$7,MATCH(C160,'Balance Inputs'!$A$2:$A$7,0)),F160-1),0)</x:f>
        <x:v>605</x:v>
      </x:c>
      <x:c r="N160" s="38" t="n">
        <x:f>IF(A160&lt;&gt;A159,H160,N159+H160)</x:f>
        <x:v>608670</x:v>
      </x:c>
      <x:c r="O160" s="42" t="n">
        <x:f>IF(I160=0,0,H160/I160)</x:f>
        <x:v>26.332080985180546</x:v>
      </x:c>
      <x:c r="P160" s="43" t="n">
        <x:f>I160/INDEX('Balance Inputs'!$L$2:$L$51,MATCH(A160,'Balance Inputs'!$I$2:$I$51,0))</x:f>
        <x:v>3.420921099607283</x:v>
      </x:c>
      <x:c r="Q160" s="43" t="n">
        <x:f>L160/INDEX('Balance Inputs'!$M$2:$M$51,MATCH(A160,'Balance Inputs'!$I$2:$I$51,0))</x:f>
        <x:v>3.2241537053979874</x:v>
      </x:c>
      <x:c r="R160" s="17"/>
      <x:c r="S160" s="17"/>
      <x:c r="T160" s="17"/>
      <x:c r="U160" s="17"/>
      <x:c r="V160" s="17"/>
      <x:c r="W160" s="17"/>
      <x:c r="X160" s="17"/>
      <x:c r="Y160" s="17"/>
      <x:c r="Z160" s="17"/>
    </x:row>
    <x:row r="161">
      <x:c r="A161" s="17" t="n">
        <x:v>24</x:v>
      </x:c>
      <x:c r="B161" s="17" t="str">
        <x:v>Asset Management Office</x:v>
      </x:c>
      <x:c r="C161" s="17" t="str">
        <x:v>Growing</x:v>
      </x:c>
      <x:c r="D161" s="17" t="str">
        <x:v>Rare</x:v>
      </x:c>
      <x:c r="E161" s="17" t="n">
        <x:v>24</x:v>
      </x:c>
      <x:c r="F161" s="17" t="n">
        <x:v>6</x:v>
      </x:c>
      <x:c r="G161" s="17" t="str">
        <x:v>Upgrade to Lv6</x:v>
      </x:c>
      <x:c r="H161" s="38" t="n">
        <x:f>ROUND(H160*INDEX('Balance Inputs'!$C$2:$C$7,MATCH(C161,'Balance Inputs'!$A$2:$A$7,0)),0)</x:f>
        <x:v>403702</x:v>
      </x:c>
      <x:c r="I161" s="38" t="n">
        <x:f>ROUND(INDEX('Balance Inputs'!$L$2:$L$51,MATCH(A161,'Balance Inputs'!$I$2:$I$51,0))*POWER(INDEX('Balance Inputs'!$D$2:$D$7,MATCH(C161,'Balance Inputs'!$A$2:$A$7,0)),F161-1),0)</x:f>
        <x:v>13032</x:v>
      </x:c>
      <x:c r="J161" s="38" t="n">
        <x:f>ROUND(I161*INDEX('Balance Inputs'!$F$2:$F$7,MATCH(C161,'Balance Inputs'!$A$2:$A$7,0)),0)</x:f>
        <x:v>1824</x:v>
      </x:c>
      <x:c r="K161" s="38" t="n">
        <x:f>I161-J161</x:f>
        <x:v>11208</x:v>
      </x:c>
      <x:c r="L161" s="38" t="n">
        <x:f>ROUND(INDEX('Balance Inputs'!$M$2:$M$51,MATCH(A161,'Balance Inputs'!$I$2:$I$51,0))*POWER(INDEX('Balance Inputs'!$E$2:$E$7,MATCH(C161,'Balance Inputs'!$A$2:$A$7,0)),F161-1),0)</x:f>
        <x:v>14167</x:v>
      </x:c>
      <x:c r="M161" s="38" t="n">
        <x:f>ROUND(INDEX('Balance Inputs'!$N$2:$N$51,MATCH(A161,'Balance Inputs'!$I$2:$I$51,0))*POWER(INDEX('Balance Inputs'!$G$2:$G$7,MATCH(C161,'Balance Inputs'!$A$2:$A$7,0)),F161-1),0)</x:f>
        <x:v>665</x:v>
      </x:c>
      <x:c r="N161" s="38" t="n">
        <x:f>IF(A161&lt;&gt;A160,H161,N160+H161)</x:f>
        <x:v>1012372</x:v>
      </x:c>
      <x:c r="O161" s="42" t="n">
        <x:f>IF(I161=0,0,H161/I161)</x:f>
        <x:v>30.977747084100674</x:v>
      </x:c>
      <x:c r="P161" s="43" t="n">
        <x:f>I161/INDEX('Balance Inputs'!$L$2:$L$51,MATCH(A161,'Balance Inputs'!$I$2:$I$51,0))</x:f>
        <x:v>4.652624062834702</x:v>
      </x:c>
      <x:c r="Q161" s="43" t="n">
        <x:f>L161/INDEX('Balance Inputs'!$M$2:$M$51,MATCH(A161,'Balance Inputs'!$I$2:$I$51,0))</x:f>
        <x:v>4.320524550167734</x:v>
      </x:c>
      <x:c r="R161" s="17"/>
      <x:c r="S161" s="17"/>
      <x:c r="T161" s="17"/>
      <x:c r="U161" s="17"/>
      <x:c r="V161" s="17"/>
      <x:c r="W161" s="17"/>
      <x:c r="X161" s="17"/>
      <x:c r="Y161" s="17"/>
      <x:c r="Z161" s="17"/>
    </x:row>
    <x:row r="162">
      <x:c r="A162" s="17" t="n">
        <x:v>24</x:v>
      </x:c>
      <x:c r="B162" s="17" t="str">
        <x:v>Asset Management Office</x:v>
      </x:c>
      <x:c r="C162" s="17" t="str">
        <x:v>Growing</x:v>
      </x:c>
      <x:c r="D162" s="17" t="str">
        <x:v>Rare</x:v>
      </x:c>
      <x:c r="E162" s="17" t="n">
        <x:v>24</x:v>
      </x:c>
      <x:c r="F162" s="17" t="n">
        <x:v>7</x:v>
      </x:c>
      <x:c r="G162" s="17" t="str">
        <x:v>Upgrade to Lv7</x:v>
      </x:c>
      <x:c r="H162" s="38" t="n">
        <x:f>ROUND(H161*INDEX('Balance Inputs'!$C$2:$C$7,MATCH(C162,'Balance Inputs'!$A$2:$A$7,0)),0)</x:f>
        <x:v>645923</x:v>
      </x:c>
      <x:c r="I162" s="38" t="n">
        <x:f>ROUND(INDEX('Balance Inputs'!$L$2:$L$51,MATCH(A162,'Balance Inputs'!$I$2:$I$51,0))*POWER(INDEX('Balance Inputs'!$D$2:$D$7,MATCH(C162,'Balance Inputs'!$A$2:$A$7,0)),F162-1),0)</x:f>
        <x:v>17723</x:v>
      </x:c>
      <x:c r="J162" s="38" t="n">
        <x:f>ROUND(I162*INDEX('Balance Inputs'!$F$2:$F$7,MATCH(C162,'Balance Inputs'!$A$2:$A$7,0)),0)</x:f>
        <x:v>2481</x:v>
      </x:c>
      <x:c r="K162" s="38" t="n">
        <x:f>I162-J162</x:f>
        <x:v>15242</x:v>
      </x:c>
      <x:c r="L162" s="38" t="n">
        <x:f>ROUND(INDEX('Balance Inputs'!$M$2:$M$51,MATCH(A162,'Balance Inputs'!$I$2:$I$51,0))*POWER(INDEX('Balance Inputs'!$E$2:$E$7,MATCH(C162,'Balance Inputs'!$A$2:$A$7,0)),F162-1),0)</x:f>
        <x:v>18983</x:v>
      </x:c>
      <x:c r="M162" s="38" t="n">
        <x:f>ROUND(INDEX('Balance Inputs'!$N$2:$N$51,MATCH(A162,'Balance Inputs'!$I$2:$I$51,0))*POWER(INDEX('Balance Inputs'!$G$2:$G$7,MATCH(C162,'Balance Inputs'!$A$2:$A$7,0)),F162-1),0)</x:f>
        <x:v>732</x:v>
      </x:c>
      <x:c r="N162" s="38" t="n">
        <x:f>IF(A162&lt;&gt;A161,H162,N161+H162)</x:f>
        <x:v>1658295</x:v>
      </x:c>
      <x:c r="O162" s="42" t="n">
        <x:f>IF(I162=0,0,H162/I162)</x:f>
        <x:v>36.44546634316989</x:v>
      </x:c>
      <x:c r="P162" s="43" t="n">
        <x:f>I162/INDEX('Balance Inputs'!$L$2:$L$51,MATCH(A162,'Balance Inputs'!$I$2:$I$51,0))</x:f>
        <x:v>6.327383077472331</x:v>
      </x:c>
      <x:c r="Q162" s="43" t="n">
        <x:f>L162/INDEX('Balance Inputs'!$M$2:$M$51,MATCH(A162,'Balance Inputs'!$I$2:$I$51,0))</x:f>
        <x:v>5.789265019823117</x:v>
      </x:c>
      <x:c r="R162" s="17"/>
      <x:c r="S162" s="17"/>
      <x:c r="T162" s="17"/>
      <x:c r="U162" s="17"/>
      <x:c r="V162" s="17"/>
      <x:c r="W162" s="17"/>
      <x:c r="X162" s="17"/>
      <x:c r="Y162" s="17"/>
      <x:c r="Z162" s="17"/>
    </x:row>
    <x:row r="163">
      <x:c r="A163" s="17" t="n">
        <x:v>24</x:v>
      </x:c>
      <x:c r="B163" s="17" t="str">
        <x:v>Asset Management Office</x:v>
      </x:c>
      <x:c r="C163" s="17" t="str">
        <x:v>Growing</x:v>
      </x:c>
      <x:c r="D163" s="17" t="str">
        <x:v>Rare</x:v>
      </x:c>
      <x:c r="E163" s="17" t="n">
        <x:v>24</x:v>
      </x:c>
      <x:c r="F163" s="17" t="n">
        <x:v>8</x:v>
      </x:c>
      <x:c r="G163" s="17" t="str">
        <x:v>Upgrade to Lv8</x:v>
      </x:c>
      <x:c r="H163" s="38" t="n">
        <x:f>ROUND(H162*INDEX('Balance Inputs'!$C$2:$C$7,MATCH(C163,'Balance Inputs'!$A$2:$A$7,0)),0)</x:f>
        <x:v>1033477</x:v>
      </x:c>
      <x:c r="I163" s="38" t="n">
        <x:f>ROUND(INDEX('Balance Inputs'!$L$2:$L$51,MATCH(A163,'Balance Inputs'!$I$2:$I$51,0))*POWER(INDEX('Balance Inputs'!$D$2:$D$7,MATCH(C163,'Balance Inputs'!$A$2:$A$7,0)),F163-1),0)</x:f>
        <x:v>24104</x:v>
      </x:c>
      <x:c r="J163" s="38" t="n">
        <x:f>ROUND(I163*INDEX('Balance Inputs'!$F$2:$F$7,MATCH(C163,'Balance Inputs'!$A$2:$A$7,0)),0)</x:f>
        <x:v>3375</x:v>
      </x:c>
      <x:c r="K163" s="38" t="n">
        <x:f>I163-J163</x:f>
        <x:v>20729</x:v>
      </x:c>
      <x:c r="L163" s="38" t="n">
        <x:f>ROUND(INDEX('Balance Inputs'!$M$2:$M$51,MATCH(A163,'Balance Inputs'!$I$2:$I$51,0))*POWER(INDEX('Balance Inputs'!$E$2:$E$7,MATCH(C163,'Balance Inputs'!$A$2:$A$7,0)),F163-1),0)</x:f>
        <x:v>25438</x:v>
      </x:c>
      <x:c r="M163" s="38" t="n">
        <x:f>ROUND(INDEX('Balance Inputs'!$N$2:$N$51,MATCH(A163,'Balance Inputs'!$I$2:$I$51,0))*POWER(INDEX('Balance Inputs'!$G$2:$G$7,MATCH(C163,'Balance Inputs'!$A$2:$A$7,0)),F163-1),0)</x:f>
        <x:v>805</x:v>
      </x:c>
      <x:c r="N163" s="38" t="n">
        <x:f>IF(A163&lt;&gt;A162,H163,N162+H163)</x:f>
        <x:v>2691772</x:v>
      </x:c>
      <x:c r="O163" s="42" t="n">
        <x:f>IF(I163=0,0,H163/I163)</x:f>
        <x:v>42.875746764022566</x:v>
      </x:c>
      <x:c r="P163" s="43" t="n">
        <x:f>I163/INDEX('Balance Inputs'!$L$2:$L$51,MATCH(A163,'Balance Inputs'!$I$2:$I$51,0))</x:f>
        <x:v>8.605498036415566</x:v>
      </x:c>
      <x:c r="Q163" s="43" t="n">
        <x:f>L163/INDEX('Balance Inputs'!$M$2:$M$51,MATCH(A163,'Balance Inputs'!$I$2:$I$51,0))</x:f>
        <x:v>7.757853003964623</x:v>
      </x:c>
      <x:c r="R163" s="17"/>
      <x:c r="S163" s="17"/>
      <x:c r="T163" s="17"/>
      <x:c r="U163" s="17"/>
      <x:c r="V163" s="17"/>
      <x:c r="W163" s="17"/>
      <x:c r="X163" s="17"/>
      <x:c r="Y163" s="17"/>
      <x:c r="Z163" s="17"/>
    </x:row>
    <x:row r="164">
      <x:c r="A164" s="17" t="n">
        <x:v>25</x:v>
      </x:c>
      <x:c r="B164" s="17" t="str">
        <x:v>Market Research Center</x:v>
      </x:c>
      <x:c r="C164" s="17" t="str">
        <x:v>Growing</x:v>
      </x:c>
      <x:c r="D164" s="17" t="str">
        <x:v>Rare</x:v>
      </x:c>
      <x:c r="E164" s="17" t="n">
        <x:v>25</x:v>
      </x:c>
      <x:c r="F164" s="17" t="n">
        <x:v>1</x:v>
      </x:c>
      <x:c r="G164" s="17" t="str">
        <x:v>Build</x:v>
      </x:c>
      <x:c r="H164" s="38" t="n">
        <x:f>INDEX('Balance Inputs'!$K$2:$K$51,MATCH(A164,'Balance Inputs'!$I$2:$I$51,0))</x:f>
        <x:v>47550</x:v>
      </x:c>
      <x:c r="I164" s="38" t="n">
        <x:f>ROUND(INDEX('Balance Inputs'!$L$2:$L$51,MATCH(A164,'Balance Inputs'!$I$2:$I$51,0))*POWER(INDEX('Balance Inputs'!$D$2:$D$7,MATCH(C164,'Balance Inputs'!$A$2:$A$7,0)),F164-1),0)</x:f>
        <x:v>2304</x:v>
      </x:c>
      <x:c r="J164" s="38" t="n">
        <x:f>ROUND(I164*INDEX('Balance Inputs'!$F$2:$F$7,MATCH(C164,'Balance Inputs'!$A$2:$A$7,0)),0)</x:f>
        <x:v>323</x:v>
      </x:c>
      <x:c r="K164" s="38" t="n">
        <x:f>I164-J164</x:f>
        <x:v>1981</x:v>
      </x:c>
      <x:c r="L164" s="38" t="n">
        <x:f>ROUND(INDEX('Balance Inputs'!$M$2:$M$51,MATCH(A164,'Balance Inputs'!$I$2:$I$51,0))*POWER(INDEX('Balance Inputs'!$E$2:$E$7,MATCH(C164,'Balance Inputs'!$A$2:$A$7,0)),F164-1),0)</x:f>
        <x:v>3902</x:v>
      </x:c>
      <x:c r="M164" s="38" t="n">
        <x:f>ROUND(INDEX('Balance Inputs'!$N$2:$N$51,MATCH(A164,'Balance Inputs'!$I$2:$I$51,0))*POWER(INDEX('Balance Inputs'!$G$2:$G$7,MATCH(C164,'Balance Inputs'!$A$2:$A$7,0)),F164-1),0)</x:f>
        <x:v>375</x:v>
      </x:c>
      <x:c r="N164" s="38" t="n">
        <x:f>IF(A164&lt;&gt;A163,H164,N163+H164)</x:f>
        <x:v>47550</x:v>
      </x:c>
      <x:c r="O164" s="42" t="n">
        <x:f>IF(I164=0,0,H164/I164)</x:f>
        <x:v>20.638020833333332</x:v>
      </x:c>
      <x:c r="P164" s="43" t="n">
        <x:f>I164/INDEX('Balance Inputs'!$L$2:$L$51,MATCH(A164,'Balance Inputs'!$I$2:$I$51,0))</x:f>
        <x:v>1</x:v>
      </x:c>
      <x:c r="Q164" s="43" t="n">
        <x:f>L164/INDEX('Balance Inputs'!$M$2:$M$51,MATCH(A164,'Balance Inputs'!$I$2:$I$51,0))</x:f>
        <x:v>1</x:v>
      </x:c>
      <x:c r="R164" s="17"/>
      <x:c r="S164" s="17"/>
      <x:c r="T164" s="17"/>
      <x:c r="U164" s="17"/>
      <x:c r="V164" s="17"/>
      <x:c r="W164" s="17"/>
      <x:c r="X164" s="17"/>
      <x:c r="Y164" s="17"/>
      <x:c r="Z164" s="17"/>
    </x:row>
    <x:row r="165">
      <x:c r="A165" s="17" t="n">
        <x:v>25</x:v>
      </x:c>
      <x:c r="B165" s="17" t="str">
        <x:v>Market Research Center</x:v>
      </x:c>
      <x:c r="C165" s="17" t="str">
        <x:v>Growing</x:v>
      </x:c>
      <x:c r="D165" s="17" t="str">
        <x:v>Rare</x:v>
      </x:c>
      <x:c r="E165" s="17" t="n">
        <x:v>25</x:v>
      </x:c>
      <x:c r="F165" s="17" t="n">
        <x:v>2</x:v>
      </x:c>
      <x:c r="G165" s="17" t="str">
        <x:v>Upgrade to Lv2</x:v>
      </x:c>
      <x:c r="H165" s="38" t="n">
        <x:f>ROUND(H164*INDEX('Balance Inputs'!$C$2:$C$7,MATCH(C165,'Balance Inputs'!$A$2:$A$7,0)),0)</x:f>
        <x:v>76080</x:v>
      </x:c>
      <x:c r="I165" s="38" t="n">
        <x:f>ROUND(INDEX('Balance Inputs'!$L$2:$L$51,MATCH(A165,'Balance Inputs'!$I$2:$I$51,0))*POWER(INDEX('Balance Inputs'!$D$2:$D$7,MATCH(C165,'Balance Inputs'!$A$2:$A$7,0)),F165-1),0)</x:f>
        <x:v>3133</x:v>
      </x:c>
      <x:c r="J165" s="38" t="n">
        <x:f>ROUND(I165*INDEX('Balance Inputs'!$F$2:$F$7,MATCH(C165,'Balance Inputs'!$A$2:$A$7,0)),0)</x:f>
        <x:v>439</x:v>
      </x:c>
      <x:c r="K165" s="38" t="n">
        <x:f>I165-J165</x:f>
        <x:v>2694</x:v>
      </x:c>
      <x:c r="L165" s="38" t="n">
        <x:f>ROUND(INDEX('Balance Inputs'!$M$2:$M$51,MATCH(A165,'Balance Inputs'!$I$2:$I$51,0))*POWER(INDEX('Balance Inputs'!$E$2:$E$7,MATCH(C165,'Balance Inputs'!$A$2:$A$7,0)),F165-1),0)</x:f>
        <x:v>5229</x:v>
      </x:c>
      <x:c r="M165" s="38" t="n">
        <x:f>ROUND(INDEX('Balance Inputs'!$N$2:$N$51,MATCH(A165,'Balance Inputs'!$I$2:$I$51,0))*POWER(INDEX('Balance Inputs'!$G$2:$G$7,MATCH(C165,'Balance Inputs'!$A$2:$A$7,0)),F165-1),0)</x:f>
        <x:v>413</x:v>
      </x:c>
      <x:c r="N165" s="38" t="n">
        <x:f>IF(A165&lt;&gt;A164,H165,N164+H165)</x:f>
        <x:v>123630</x:v>
      </x:c>
      <x:c r="O165" s="42" t="n">
        <x:f>IF(I165=0,0,H165/I165)</x:f>
        <x:v>24.283434407915735</x:v>
      </x:c>
      <x:c r="P165" s="43" t="n">
        <x:f>I165/INDEX('Balance Inputs'!$L$2:$L$51,MATCH(A165,'Balance Inputs'!$I$2:$I$51,0))</x:f>
        <x:v>1.3598090277777777</x:v>
      </x:c>
      <x:c r="Q165" s="43" t="n">
        <x:f>L165/INDEX('Balance Inputs'!$M$2:$M$51,MATCH(A165,'Balance Inputs'!$I$2:$I$51,0))</x:f>
        <x:v>1.340082009226038</x:v>
      </x:c>
      <x:c r="R165" s="17"/>
      <x:c r="S165" s="17"/>
      <x:c r="T165" s="17"/>
      <x:c r="U165" s="17"/>
      <x:c r="V165" s="17"/>
      <x:c r="W165" s="17"/>
      <x:c r="X165" s="17"/>
      <x:c r="Y165" s="17"/>
      <x:c r="Z165" s="17"/>
    </x:row>
    <x:row r="166">
      <x:c r="A166" s="17" t="n">
        <x:v>25</x:v>
      </x:c>
      <x:c r="B166" s="17" t="str">
        <x:v>Market Research Center</x:v>
      </x:c>
      <x:c r="C166" s="17" t="str">
        <x:v>Growing</x:v>
      </x:c>
      <x:c r="D166" s="17" t="str">
        <x:v>Rare</x:v>
      </x:c>
      <x:c r="E166" s="17" t="n">
        <x:v>25</x:v>
      </x:c>
      <x:c r="F166" s="17" t="n">
        <x:v>3</x:v>
      </x:c>
      <x:c r="G166" s="17" t="str">
        <x:v>Upgrade to Lv3</x:v>
      </x:c>
      <x:c r="H166" s="38" t="n">
        <x:f>ROUND(H165*INDEX('Balance Inputs'!$C$2:$C$7,MATCH(C166,'Balance Inputs'!$A$2:$A$7,0)),0)</x:f>
        <x:v>121728</x:v>
      </x:c>
      <x:c r="I166" s="38" t="n">
        <x:f>ROUND(INDEX('Balance Inputs'!$L$2:$L$51,MATCH(A166,'Balance Inputs'!$I$2:$I$51,0))*POWER(INDEX('Balance Inputs'!$D$2:$D$7,MATCH(C166,'Balance Inputs'!$A$2:$A$7,0)),F166-1),0)</x:f>
        <x:v>4261</x:v>
      </x:c>
      <x:c r="J166" s="38" t="n">
        <x:f>ROUND(I166*INDEX('Balance Inputs'!$F$2:$F$7,MATCH(C166,'Balance Inputs'!$A$2:$A$7,0)),0)</x:f>
        <x:v>597</x:v>
      </x:c>
      <x:c r="K166" s="38" t="n">
        <x:f>I166-J166</x:f>
        <x:v>3664</x:v>
      </x:c>
      <x:c r="L166" s="38" t="n">
        <x:f>ROUND(INDEX('Balance Inputs'!$M$2:$M$51,MATCH(A166,'Balance Inputs'!$I$2:$I$51,0))*POWER(INDEX('Balance Inputs'!$E$2:$E$7,MATCH(C166,'Balance Inputs'!$A$2:$A$7,0)),F166-1),0)</x:f>
        <x:v>7006</x:v>
      </x:c>
      <x:c r="M166" s="38" t="n">
        <x:f>ROUND(INDEX('Balance Inputs'!$N$2:$N$51,MATCH(A166,'Balance Inputs'!$I$2:$I$51,0))*POWER(INDEX('Balance Inputs'!$G$2:$G$7,MATCH(C166,'Balance Inputs'!$A$2:$A$7,0)),F166-1),0)</x:f>
        <x:v>454</x:v>
      </x:c>
      <x:c r="N166" s="38" t="n">
        <x:f>IF(A166&lt;&gt;A165,H166,N165+H166)</x:f>
        <x:v>245358</x:v>
      </x:c>
      <x:c r="O166" s="42" t="n">
        <x:f>IF(I166=0,0,H166/I166)</x:f>
        <x:v>28.56794179770007</x:v>
      </x:c>
      <x:c r="P166" s="43" t="n">
        <x:f>I166/INDEX('Balance Inputs'!$L$2:$L$51,MATCH(A166,'Balance Inputs'!$I$2:$I$51,0))</x:f>
        <x:v>1.8493923611111112</x:v>
      </x:c>
      <x:c r="Q166" s="43" t="n">
        <x:f>L166/INDEX('Balance Inputs'!$M$2:$M$51,MATCH(A166,'Balance Inputs'!$I$2:$I$51,0))</x:f>
        <x:v>1.795489492567914</x:v>
      </x:c>
      <x:c r="R166" s="17"/>
      <x:c r="S166" s="17"/>
      <x:c r="T166" s="17"/>
      <x:c r="U166" s="17"/>
      <x:c r="V166" s="17"/>
      <x:c r="W166" s="17"/>
      <x:c r="X166" s="17"/>
      <x:c r="Y166" s="17"/>
      <x:c r="Z166" s="17"/>
    </x:row>
    <x:row r="167">
      <x:c r="A167" s="17" t="n">
        <x:v>25</x:v>
      </x:c>
      <x:c r="B167" s="17" t="str">
        <x:v>Market Research Center</x:v>
      </x:c>
      <x:c r="C167" s="17" t="str">
        <x:v>Growing</x:v>
      </x:c>
      <x:c r="D167" s="17" t="str">
        <x:v>Rare</x:v>
      </x:c>
      <x:c r="E167" s="17" t="n">
        <x:v>25</x:v>
      </x:c>
      <x:c r="F167" s="17" t="n">
        <x:v>4</x:v>
      </x:c>
      <x:c r="G167" s="17" t="str">
        <x:v>Upgrade to Lv4</x:v>
      </x:c>
      <x:c r="H167" s="38" t="n">
        <x:f>ROUND(H166*INDEX('Balance Inputs'!$C$2:$C$7,MATCH(C167,'Balance Inputs'!$A$2:$A$7,0)),0)</x:f>
        <x:v>194765</x:v>
      </x:c>
      <x:c r="I167" s="38" t="n">
        <x:f>ROUND(INDEX('Balance Inputs'!$L$2:$L$51,MATCH(A167,'Balance Inputs'!$I$2:$I$51,0))*POWER(INDEX('Balance Inputs'!$D$2:$D$7,MATCH(C167,'Balance Inputs'!$A$2:$A$7,0)),F167-1),0)</x:f>
        <x:v>5796</x:v>
      </x:c>
      <x:c r="J167" s="38" t="n">
        <x:f>ROUND(I167*INDEX('Balance Inputs'!$F$2:$F$7,MATCH(C167,'Balance Inputs'!$A$2:$A$7,0)),0)</x:f>
        <x:v>811</x:v>
      </x:c>
      <x:c r="K167" s="38" t="n">
        <x:f>I167-J167</x:f>
        <x:v>4985</x:v>
      </x:c>
      <x:c r="L167" s="38" t="n">
        <x:f>ROUND(INDEX('Balance Inputs'!$M$2:$M$51,MATCH(A167,'Balance Inputs'!$I$2:$I$51,0))*POWER(INDEX('Balance Inputs'!$E$2:$E$7,MATCH(C167,'Balance Inputs'!$A$2:$A$7,0)),F167-1),0)</x:f>
        <x:v>9389</x:v>
      </x:c>
      <x:c r="M167" s="38" t="n">
        <x:f>ROUND(INDEX('Balance Inputs'!$N$2:$N$51,MATCH(A167,'Balance Inputs'!$I$2:$I$51,0))*POWER(INDEX('Balance Inputs'!$G$2:$G$7,MATCH(C167,'Balance Inputs'!$A$2:$A$7,0)),F167-1),0)</x:f>
        <x:v>499</x:v>
      </x:c>
      <x:c r="N167" s="38" t="n">
        <x:f>IF(A167&lt;&gt;A166,H167,N166+H167)</x:f>
        <x:v>440123</x:v>
      </x:c>
      <x:c r="O167" s="42" t="n">
        <x:f>IF(I167=0,0,H167/I167)</x:f>
        <x:v>33.60334713595583</x:v>
      </x:c>
      <x:c r="P167" s="43" t="n">
        <x:f>I167/INDEX('Balance Inputs'!$L$2:$L$51,MATCH(A167,'Balance Inputs'!$I$2:$I$51,0))</x:f>
        <x:v>2.515625</x:v>
      </x:c>
      <x:c r="Q167" s="43" t="n">
        <x:f>L167/INDEX('Balance Inputs'!$M$2:$M$51,MATCH(A167,'Balance Inputs'!$I$2:$I$51,0))</x:f>
        <x:v>2.4062019477191186</x:v>
      </x:c>
      <x:c r="R167" s="17"/>
      <x:c r="S167" s="17"/>
      <x:c r="T167" s="17"/>
      <x:c r="U167" s="17"/>
      <x:c r="V167" s="17"/>
      <x:c r="W167" s="17"/>
      <x:c r="X167" s="17"/>
      <x:c r="Y167" s="17"/>
      <x:c r="Z167" s="17"/>
    </x:row>
    <x:row r="168">
      <x:c r="A168" s="17" t="n">
        <x:v>25</x:v>
      </x:c>
      <x:c r="B168" s="17" t="str">
        <x:v>Market Research Center</x:v>
      </x:c>
      <x:c r="C168" s="17" t="str">
        <x:v>Growing</x:v>
      </x:c>
      <x:c r="D168" s="17" t="str">
        <x:v>Rare</x:v>
      </x:c>
      <x:c r="E168" s="17" t="n">
        <x:v>25</x:v>
      </x:c>
      <x:c r="F168" s="17" t="n">
        <x:v>5</x:v>
      </x:c>
      <x:c r="G168" s="17" t="str">
        <x:v>Upgrade to Lv5</x:v>
      </x:c>
      <x:c r="H168" s="38" t="n">
        <x:f>ROUND(H167*INDEX('Balance Inputs'!$C$2:$C$7,MATCH(C168,'Balance Inputs'!$A$2:$A$7,0)),0)</x:f>
        <x:v>311624</x:v>
      </x:c>
      <x:c r="I168" s="38" t="n">
        <x:f>ROUND(INDEX('Balance Inputs'!$L$2:$L$51,MATCH(A168,'Balance Inputs'!$I$2:$I$51,0))*POWER(INDEX('Balance Inputs'!$D$2:$D$7,MATCH(C168,'Balance Inputs'!$A$2:$A$7,0)),F168-1),0)</x:f>
        <x:v>7882</x:v>
      </x:c>
      <x:c r="J168" s="38" t="n">
        <x:f>ROUND(I168*INDEX('Balance Inputs'!$F$2:$F$7,MATCH(C168,'Balance Inputs'!$A$2:$A$7,0)),0)</x:f>
        <x:v>1103</x:v>
      </x:c>
      <x:c r="K168" s="38" t="n">
        <x:f>I168-J168</x:f>
        <x:v>6779</x:v>
      </x:c>
      <x:c r="L168" s="38" t="n">
        <x:f>ROUND(INDEX('Balance Inputs'!$M$2:$M$51,MATCH(A168,'Balance Inputs'!$I$2:$I$51,0))*POWER(INDEX('Balance Inputs'!$E$2:$E$7,MATCH(C168,'Balance Inputs'!$A$2:$A$7,0)),F168-1),0)</x:f>
        <x:v>12581</x:v>
      </x:c>
      <x:c r="M168" s="38" t="n">
        <x:f>ROUND(INDEX('Balance Inputs'!$N$2:$N$51,MATCH(A168,'Balance Inputs'!$I$2:$I$51,0))*POWER(INDEX('Balance Inputs'!$G$2:$G$7,MATCH(C168,'Balance Inputs'!$A$2:$A$7,0)),F168-1),0)</x:f>
        <x:v>549</x:v>
      </x:c>
      <x:c r="N168" s="38" t="n">
        <x:f>IF(A168&lt;&gt;A167,H168,N167+H168)</x:f>
        <x:v>751747</x:v>
      </x:c>
      <x:c r="O168" s="42" t="n">
        <x:f>IF(I168=0,0,H168/I168)</x:f>
        <x:v>39.53615833544786</x:v>
      </x:c>
      <x:c r="P168" s="43" t="n">
        <x:f>I168/INDEX('Balance Inputs'!$L$2:$L$51,MATCH(A168,'Balance Inputs'!$I$2:$I$51,0))</x:f>
        <x:v>3.4210069444444446</x:v>
      </x:c>
      <x:c r="Q168" s="43" t="n">
        <x:f>L168/INDEX('Balance Inputs'!$M$2:$M$51,MATCH(A168,'Balance Inputs'!$I$2:$I$51,0))</x:f>
        <x:v>3.224243977447463</x:v>
      </x:c>
      <x:c r="R168" s="17"/>
      <x:c r="S168" s="17"/>
      <x:c r="T168" s="17"/>
      <x:c r="U168" s="17"/>
      <x:c r="V168" s="17"/>
      <x:c r="W168" s="17"/>
      <x:c r="X168" s="17"/>
      <x:c r="Y168" s="17"/>
      <x:c r="Z168" s="17"/>
    </x:row>
    <x:row r="169">
      <x:c r="A169" s="17" t="n">
        <x:v>25</x:v>
      </x:c>
      <x:c r="B169" s="17" t="str">
        <x:v>Market Research Center</x:v>
      </x:c>
      <x:c r="C169" s="17" t="str">
        <x:v>Growing</x:v>
      </x:c>
      <x:c r="D169" s="17" t="str">
        <x:v>Rare</x:v>
      </x:c>
      <x:c r="E169" s="17" t="n">
        <x:v>25</x:v>
      </x:c>
      <x:c r="F169" s="17" t="n">
        <x:v>6</x:v>
      </x:c>
      <x:c r="G169" s="17" t="str">
        <x:v>Upgrade to Lv6</x:v>
      </x:c>
      <x:c r="H169" s="38" t="n">
        <x:f>ROUND(H168*INDEX('Balance Inputs'!$C$2:$C$7,MATCH(C169,'Balance Inputs'!$A$2:$A$7,0)),0)</x:f>
        <x:v>498598</x:v>
      </x:c>
      <x:c r="I169" s="38" t="n">
        <x:f>ROUND(INDEX('Balance Inputs'!$L$2:$L$51,MATCH(A169,'Balance Inputs'!$I$2:$I$51,0))*POWER(INDEX('Balance Inputs'!$D$2:$D$7,MATCH(C169,'Balance Inputs'!$A$2:$A$7,0)),F169-1),0)</x:f>
        <x:v>10720</x:v>
      </x:c>
      <x:c r="J169" s="38" t="n">
        <x:f>ROUND(I169*INDEX('Balance Inputs'!$F$2:$F$7,MATCH(C169,'Balance Inputs'!$A$2:$A$7,0)),0)</x:f>
        <x:v>1501</x:v>
      </x:c>
      <x:c r="K169" s="38" t="n">
        <x:f>I169-J169</x:f>
        <x:v>9219</x:v>
      </x:c>
      <x:c r="L169" s="38" t="n">
        <x:f>ROUND(INDEX('Balance Inputs'!$M$2:$M$51,MATCH(A169,'Balance Inputs'!$I$2:$I$51,0))*POWER(INDEX('Balance Inputs'!$E$2:$E$7,MATCH(C169,'Balance Inputs'!$A$2:$A$7,0)),F169-1),0)</x:f>
        <x:v>16858</x:v>
      </x:c>
      <x:c r="M169" s="38" t="n">
        <x:f>ROUND(INDEX('Balance Inputs'!$N$2:$N$51,MATCH(A169,'Balance Inputs'!$I$2:$I$51,0))*POWER(INDEX('Balance Inputs'!$G$2:$G$7,MATCH(C169,'Balance Inputs'!$A$2:$A$7,0)),F169-1),0)</x:f>
        <x:v>604</x:v>
      </x:c>
      <x:c r="N169" s="38" t="n">
        <x:f>IF(A169&lt;&gt;A168,H169,N168+H169)</x:f>
        <x:v>1250345</x:v>
      </x:c>
      <x:c r="O169" s="42" t="n">
        <x:f>IF(I169=0,0,H169/I169)</x:f>
        <x:v>46.511007462686564</x:v>
      </x:c>
      <x:c r="P169" s="43" t="n">
        <x:f>I169/INDEX('Balance Inputs'!$L$2:$L$51,MATCH(A169,'Balance Inputs'!$I$2:$I$51,0))</x:f>
        <x:v>4.652777777777778</x:v>
      </x:c>
      <x:c r="Q169" s="43" t="n">
        <x:f>L169/INDEX('Balance Inputs'!$M$2:$M$51,MATCH(A169,'Balance Inputs'!$I$2:$I$51,0))</x:f>
        <x:v>4.320348539210661</x:v>
      </x:c>
      <x:c r="R169" s="17"/>
      <x:c r="S169" s="17"/>
      <x:c r="T169" s="17"/>
      <x:c r="U169" s="17"/>
      <x:c r="V169" s="17"/>
      <x:c r="W169" s="17"/>
      <x:c r="X169" s="17"/>
      <x:c r="Y169" s="17"/>
      <x:c r="Z169" s="17"/>
    </x:row>
    <x:row r="170">
      <x:c r="A170" s="17" t="n">
        <x:v>25</x:v>
      </x:c>
      <x:c r="B170" s="17" t="str">
        <x:v>Market Research Center</x:v>
      </x:c>
      <x:c r="C170" s="17" t="str">
        <x:v>Growing</x:v>
      </x:c>
      <x:c r="D170" s="17" t="str">
        <x:v>Rare</x:v>
      </x:c>
      <x:c r="E170" s="17" t="n">
        <x:v>25</x:v>
      </x:c>
      <x:c r="F170" s="17" t="n">
        <x:v>7</x:v>
      </x:c>
      <x:c r="G170" s="17" t="str">
        <x:v>Upgrade to Lv7</x:v>
      </x:c>
      <x:c r="H170" s="38" t="n">
        <x:f>ROUND(H169*INDEX('Balance Inputs'!$C$2:$C$7,MATCH(C170,'Balance Inputs'!$A$2:$A$7,0)),0)</x:f>
        <x:v>797757</x:v>
      </x:c>
      <x:c r="I170" s="38" t="n">
        <x:f>ROUND(INDEX('Balance Inputs'!$L$2:$L$51,MATCH(A170,'Balance Inputs'!$I$2:$I$51,0))*POWER(INDEX('Balance Inputs'!$D$2:$D$7,MATCH(C170,'Balance Inputs'!$A$2:$A$7,0)),F170-1),0)</x:f>
        <x:v>14579</x:v>
      </x:c>
      <x:c r="J170" s="38" t="n">
        <x:f>ROUND(I170*INDEX('Balance Inputs'!$F$2:$F$7,MATCH(C170,'Balance Inputs'!$A$2:$A$7,0)),0)</x:f>
        <x:v>2041</x:v>
      </x:c>
      <x:c r="K170" s="38" t="n">
        <x:f>I170-J170</x:f>
        <x:v>12538</x:v>
      </x:c>
      <x:c r="L170" s="38" t="n">
        <x:f>ROUND(INDEX('Balance Inputs'!$M$2:$M$51,MATCH(A170,'Balance Inputs'!$I$2:$I$51,0))*POWER(INDEX('Balance Inputs'!$E$2:$E$7,MATCH(C170,'Balance Inputs'!$A$2:$A$7,0)),F170-1),0)</x:f>
        <x:v>22590</x:v>
      </x:c>
      <x:c r="M170" s="38" t="n">
        <x:f>ROUND(INDEX('Balance Inputs'!$N$2:$N$51,MATCH(A170,'Balance Inputs'!$I$2:$I$51,0))*POWER(INDEX('Balance Inputs'!$G$2:$G$7,MATCH(C170,'Balance Inputs'!$A$2:$A$7,0)),F170-1),0)</x:f>
        <x:v>664</x:v>
      </x:c>
      <x:c r="N170" s="38" t="n">
        <x:f>IF(A170&lt;&gt;A169,H170,N169+H170)</x:f>
        <x:v>2048102</x:v>
      </x:c>
      <x:c r="O170" s="42" t="n">
        <x:f>IF(I170=0,0,H170/I170)</x:f>
        <x:v>54.71959668015639</x:v>
      </x:c>
      <x:c r="P170" s="43" t="n">
        <x:f>I170/INDEX('Balance Inputs'!$L$2:$L$51,MATCH(A170,'Balance Inputs'!$I$2:$I$51,0))</x:f>
        <x:v>6.327690972222222</x:v>
      </x:c>
      <x:c r="Q170" s="43" t="n">
        <x:f>L170/INDEX('Balance Inputs'!$M$2:$M$51,MATCH(A170,'Balance Inputs'!$I$2:$I$51,0))</x:f>
        <x:v>5.789338800615069</x:v>
      </x:c>
      <x:c r="R170" s="17"/>
      <x:c r="S170" s="17"/>
      <x:c r="T170" s="17"/>
      <x:c r="U170" s="17"/>
      <x:c r="V170" s="17"/>
      <x:c r="W170" s="17"/>
      <x:c r="X170" s="17"/>
      <x:c r="Y170" s="17"/>
      <x:c r="Z170" s="17"/>
    </x:row>
    <x:row r="171">
      <x:c r="A171" s="17" t="n">
        <x:v>25</x:v>
      </x:c>
      <x:c r="B171" s="17" t="str">
        <x:v>Market Research Center</x:v>
      </x:c>
      <x:c r="C171" s="17" t="str">
        <x:v>Growing</x:v>
      </x:c>
      <x:c r="D171" s="17" t="str">
        <x:v>Rare</x:v>
      </x:c>
      <x:c r="E171" s="17" t="n">
        <x:v>25</x:v>
      </x:c>
      <x:c r="F171" s="17" t="n">
        <x:v>8</x:v>
      </x:c>
      <x:c r="G171" s="17" t="str">
        <x:v>Upgrade to Lv8</x:v>
      </x:c>
      <x:c r="H171" s="38" t="n">
        <x:f>ROUND(H170*INDEX('Balance Inputs'!$C$2:$C$7,MATCH(C171,'Balance Inputs'!$A$2:$A$7,0)),0)</x:f>
        <x:v>1276411</x:v>
      </x:c>
      <x:c r="I171" s="38" t="n">
        <x:f>ROUND(INDEX('Balance Inputs'!$L$2:$L$51,MATCH(A171,'Balance Inputs'!$I$2:$I$51,0))*POWER(INDEX('Balance Inputs'!$D$2:$D$7,MATCH(C171,'Balance Inputs'!$A$2:$A$7,0)),F171-1),0)</x:f>
        <x:v>19827</x:v>
      </x:c>
      <x:c r="J171" s="38" t="n">
        <x:f>ROUND(I171*INDEX('Balance Inputs'!$F$2:$F$7,MATCH(C171,'Balance Inputs'!$A$2:$A$7,0)),0)</x:f>
        <x:v>2776</x:v>
      </x:c>
      <x:c r="K171" s="38" t="n">
        <x:f>I171-J171</x:f>
        <x:v>17051</x:v>
      </x:c>
      <x:c r="L171" s="38" t="n">
        <x:f>ROUND(INDEX('Balance Inputs'!$M$2:$M$51,MATCH(A171,'Balance Inputs'!$I$2:$I$51,0))*POWER(INDEX('Balance Inputs'!$E$2:$E$7,MATCH(C171,'Balance Inputs'!$A$2:$A$7,0)),F171-1),0)</x:f>
        <x:v>30271</x:v>
      </x:c>
      <x:c r="M171" s="38" t="n">
        <x:f>ROUND(INDEX('Balance Inputs'!$N$2:$N$51,MATCH(A171,'Balance Inputs'!$I$2:$I$51,0))*POWER(INDEX('Balance Inputs'!$G$2:$G$7,MATCH(C171,'Balance Inputs'!$A$2:$A$7,0)),F171-1),0)</x:f>
        <x:v>731</x:v>
      </x:c>
      <x:c r="N171" s="38" t="n">
        <x:f>IF(A171&lt;&gt;A170,H171,N170+H171)</x:f>
        <x:v>3324513</x:v>
      </x:c>
      <x:c r="O171" s="42" t="n">
        <x:f>IF(I171=0,0,H171/I171)</x:f>
        <x:v>64.37741463660664</x:v>
      </x:c>
      <x:c r="P171" s="43" t="n">
        <x:f>I171/INDEX('Balance Inputs'!$L$2:$L$51,MATCH(A171,'Balance Inputs'!$I$2:$I$51,0))</x:f>
        <x:v>8.60546875</x:v>
      </x:c>
      <x:c r="Q171" s="43" t="n">
        <x:f>L171/INDEX('Balance Inputs'!$M$2:$M$51,MATCH(A171,'Balance Inputs'!$I$2:$I$51,0))</x:f>
        <x:v>7.75781650435674</x:v>
      </x:c>
      <x:c r="R171" s="17"/>
      <x:c r="S171" s="17"/>
      <x:c r="T171" s="17"/>
      <x:c r="U171" s="17"/>
      <x:c r="V171" s="17"/>
      <x:c r="W171" s="17"/>
      <x:c r="X171" s="17"/>
      <x:c r="Y171" s="17"/>
      <x:c r="Z171" s="17"/>
    </x:row>
    <x:row r="172">
      <x:c r="A172" s="17" t="n">
        <x:v>26</x:v>
      </x:c>
      <x:c r="B172" s="17" t="str">
        <x:v>Lending Center</x:v>
      </x:c>
      <x:c r="C172" s="17" t="str">
        <x:v>Growing</x:v>
      </x:c>
      <x:c r="D172" s="17" t="str">
        <x:v>Rare</x:v>
      </x:c>
      <x:c r="E172" s="17" t="n">
        <x:v>26</x:v>
      </x:c>
      <x:c r="F172" s="17" t="n">
        <x:v>1</x:v>
      </x:c>
      <x:c r="G172" s="17" t="str">
        <x:v>Build</x:v>
      </x:c>
      <x:c r="H172" s="38" t="n">
        <x:f>INDEX('Balance Inputs'!$K$2:$K$51,MATCH(A172,'Balance Inputs'!$I$2:$I$51,0))</x:f>
        <x:v>58720</x:v>
      </x:c>
      <x:c r="I172" s="38" t="n">
        <x:f>ROUND(INDEX('Balance Inputs'!$L$2:$L$51,MATCH(A172,'Balance Inputs'!$I$2:$I$51,0))*POWER(INDEX('Balance Inputs'!$D$2:$D$7,MATCH(C172,'Balance Inputs'!$A$2:$A$7,0)),F172-1),0)</x:f>
        <x:v>3994</x:v>
      </x:c>
      <x:c r="J172" s="38" t="n">
        <x:f>ROUND(I172*INDEX('Balance Inputs'!$F$2:$F$7,MATCH(C172,'Balance Inputs'!$A$2:$A$7,0)),0)</x:f>
        <x:v>559</x:v>
      </x:c>
      <x:c r="K172" s="38" t="n">
        <x:f>I172-J172</x:f>
        <x:v>3435</x:v>
      </x:c>
      <x:c r="L172" s="38" t="n">
        <x:f>ROUND(INDEX('Balance Inputs'!$M$2:$M$51,MATCH(A172,'Balance Inputs'!$I$2:$I$51,0))*POWER(INDEX('Balance Inputs'!$E$2:$E$7,MATCH(C172,'Balance Inputs'!$A$2:$A$7,0)),F172-1),0)</x:f>
        <x:v>4643</x:v>
      </x:c>
      <x:c r="M172" s="38" t="n">
        <x:f>ROUND(INDEX('Balance Inputs'!$N$2:$N$51,MATCH(A172,'Balance Inputs'!$I$2:$I$51,0))*POWER(INDEX('Balance Inputs'!$G$2:$G$7,MATCH(C172,'Balance Inputs'!$A$2:$A$7,0)),F172-1),0)</x:f>
        <x:v>557</x:v>
      </x:c>
      <x:c r="N172" s="38" t="n">
        <x:f>IF(A172&lt;&gt;A171,H172,N171+H172)</x:f>
        <x:v>58720</x:v>
      </x:c>
      <x:c r="O172" s="42" t="n">
        <x:f>IF(I172=0,0,H172/I172)</x:f>
        <x:v>14.702053079619429</x:v>
      </x:c>
      <x:c r="P172" s="43" t="n">
        <x:f>I172/INDEX('Balance Inputs'!$L$2:$L$51,MATCH(A172,'Balance Inputs'!$I$2:$I$51,0))</x:f>
        <x:v>1</x:v>
      </x:c>
      <x:c r="Q172" s="43" t="n">
        <x:f>L172/INDEX('Balance Inputs'!$M$2:$M$51,MATCH(A172,'Balance Inputs'!$I$2:$I$51,0))</x:f>
        <x:v>1</x:v>
      </x:c>
      <x:c r="R172" s="17"/>
      <x:c r="S172" s="17"/>
      <x:c r="T172" s="17"/>
      <x:c r="U172" s="17"/>
      <x:c r="V172" s="17"/>
      <x:c r="W172" s="17"/>
      <x:c r="X172" s="17"/>
      <x:c r="Y172" s="17"/>
      <x:c r="Z172" s="17"/>
    </x:row>
    <x:row r="173">
      <x:c r="A173" s="17" t="n">
        <x:v>26</x:v>
      </x:c>
      <x:c r="B173" s="17" t="str">
        <x:v>Lending Center</x:v>
      </x:c>
      <x:c r="C173" s="17" t="str">
        <x:v>Growing</x:v>
      </x:c>
      <x:c r="D173" s="17" t="str">
        <x:v>Rare</x:v>
      </x:c>
      <x:c r="E173" s="17" t="n">
        <x:v>26</x:v>
      </x:c>
      <x:c r="F173" s="17" t="n">
        <x:v>2</x:v>
      </x:c>
      <x:c r="G173" s="17" t="str">
        <x:v>Upgrade to Lv2</x:v>
      </x:c>
      <x:c r="H173" s="38" t="n">
        <x:f>ROUND(H172*INDEX('Balance Inputs'!$C$2:$C$7,MATCH(C173,'Balance Inputs'!$A$2:$A$7,0)),0)</x:f>
        <x:v>93952</x:v>
      </x:c>
      <x:c r="I173" s="38" t="n">
        <x:f>ROUND(INDEX('Balance Inputs'!$L$2:$L$51,MATCH(A173,'Balance Inputs'!$I$2:$I$51,0))*POWER(INDEX('Balance Inputs'!$D$2:$D$7,MATCH(C173,'Balance Inputs'!$A$2:$A$7,0)),F173-1),0)</x:f>
        <x:v>5432</x:v>
      </x:c>
      <x:c r="J173" s="38" t="n">
        <x:f>ROUND(I173*INDEX('Balance Inputs'!$F$2:$F$7,MATCH(C173,'Balance Inputs'!$A$2:$A$7,0)),0)</x:f>
        <x:v>760</x:v>
      </x:c>
      <x:c r="K173" s="38" t="n">
        <x:f>I173-J173</x:f>
        <x:v>4672</x:v>
      </x:c>
      <x:c r="L173" s="38" t="n">
        <x:f>ROUND(INDEX('Balance Inputs'!$M$2:$M$51,MATCH(A173,'Balance Inputs'!$I$2:$I$51,0))*POWER(INDEX('Balance Inputs'!$E$2:$E$7,MATCH(C173,'Balance Inputs'!$A$2:$A$7,0)),F173-1),0)</x:f>
        <x:v>6222</x:v>
      </x:c>
      <x:c r="M173" s="38" t="n">
        <x:f>ROUND(INDEX('Balance Inputs'!$N$2:$N$51,MATCH(A173,'Balance Inputs'!$I$2:$I$51,0))*POWER(INDEX('Balance Inputs'!$G$2:$G$7,MATCH(C173,'Balance Inputs'!$A$2:$A$7,0)),F173-1),0)</x:f>
        <x:v>613</x:v>
      </x:c>
      <x:c r="N173" s="38" t="n">
        <x:f>IF(A173&lt;&gt;A172,H173,N172+H173)</x:f>
        <x:v>152672</x:v>
      </x:c>
      <x:c r="O173" s="42" t="n">
        <x:f>IF(I173=0,0,H173/I173)</x:f>
        <x:v>17.2960235640648</x:v>
      </x:c>
      <x:c r="P173" s="43" t="n">
        <x:f>I173/INDEX('Balance Inputs'!$L$2:$L$51,MATCH(A173,'Balance Inputs'!$I$2:$I$51,0))</x:f>
        <x:v>1.3600400600901352</x:v>
      </x:c>
      <x:c r="Q173" s="43" t="n">
        <x:f>L173/INDEX('Balance Inputs'!$M$2:$M$51,MATCH(A173,'Balance Inputs'!$I$2:$I$51,0))</x:f>
        <x:v>1.3400818436355804</x:v>
      </x:c>
      <x:c r="R173" s="17"/>
      <x:c r="S173" s="17"/>
      <x:c r="T173" s="17"/>
      <x:c r="U173" s="17"/>
      <x:c r="V173" s="17"/>
      <x:c r="W173" s="17"/>
      <x:c r="X173" s="17"/>
      <x:c r="Y173" s="17"/>
      <x:c r="Z173" s="17"/>
    </x:row>
    <x:row r="174">
      <x:c r="A174" s="17" t="n">
        <x:v>26</x:v>
      </x:c>
      <x:c r="B174" s="17" t="str">
        <x:v>Lending Center</x:v>
      </x:c>
      <x:c r="C174" s="17" t="str">
        <x:v>Growing</x:v>
      </x:c>
      <x:c r="D174" s="17" t="str">
        <x:v>Rare</x:v>
      </x:c>
      <x:c r="E174" s="17" t="n">
        <x:v>26</x:v>
      </x:c>
      <x:c r="F174" s="17" t="n">
        <x:v>3</x:v>
      </x:c>
      <x:c r="G174" s="17" t="str">
        <x:v>Upgrade to Lv3</x:v>
      </x:c>
      <x:c r="H174" s="38" t="n">
        <x:f>ROUND(H173*INDEX('Balance Inputs'!$C$2:$C$7,MATCH(C174,'Balance Inputs'!$A$2:$A$7,0)),0)</x:f>
        <x:v>150323</x:v>
      </x:c>
      <x:c r="I174" s="38" t="n">
        <x:f>ROUND(INDEX('Balance Inputs'!$L$2:$L$51,MATCH(A174,'Balance Inputs'!$I$2:$I$51,0))*POWER(INDEX('Balance Inputs'!$D$2:$D$7,MATCH(C174,'Balance Inputs'!$A$2:$A$7,0)),F174-1),0)</x:f>
        <x:v>7387</x:v>
      </x:c>
      <x:c r="J174" s="38" t="n">
        <x:f>ROUND(I174*INDEX('Balance Inputs'!$F$2:$F$7,MATCH(C174,'Balance Inputs'!$A$2:$A$7,0)),0)</x:f>
        <x:v>1034</x:v>
      </x:c>
      <x:c r="K174" s="38" t="n">
        <x:f>I174-J174</x:f>
        <x:v>6353</x:v>
      </x:c>
      <x:c r="L174" s="38" t="n">
        <x:f>ROUND(INDEX('Balance Inputs'!$M$2:$M$51,MATCH(A174,'Balance Inputs'!$I$2:$I$51,0))*POWER(INDEX('Balance Inputs'!$E$2:$E$7,MATCH(C174,'Balance Inputs'!$A$2:$A$7,0)),F174-1),0)</x:f>
        <x:v>8337</x:v>
      </x:c>
      <x:c r="M174" s="38" t="n">
        <x:f>ROUND(INDEX('Balance Inputs'!$N$2:$N$51,MATCH(A174,'Balance Inputs'!$I$2:$I$51,0))*POWER(INDEX('Balance Inputs'!$G$2:$G$7,MATCH(C174,'Balance Inputs'!$A$2:$A$7,0)),F174-1),0)</x:f>
        <x:v>674</x:v>
      </x:c>
      <x:c r="N174" s="38" t="n">
        <x:f>IF(A174&lt;&gt;A173,H174,N173+H174)</x:f>
        <x:v>302995</x:v>
      </x:c>
      <x:c r="O174" s="42" t="n">
        <x:f>IF(I174=0,0,H174/I174)</x:f>
        <x:v>20.349668336266415</x:v>
      </x:c>
      <x:c r="P174" s="43" t="n">
        <x:f>I174/INDEX('Balance Inputs'!$L$2:$L$51,MATCH(A174,'Balance Inputs'!$I$2:$I$51,0))</x:f>
        <x:v>1.8495242864296444</x:v>
      </x:c>
      <x:c r="Q174" s="43" t="n">
        <x:f>L174/INDEX('Balance Inputs'!$M$2:$M$51,MATCH(A174,'Balance Inputs'!$I$2:$I$51,0))</x:f>
        <x:v>1.7956062890372604</x:v>
      </x:c>
      <x:c r="R174" s="17"/>
      <x:c r="S174" s="17"/>
      <x:c r="T174" s="17"/>
      <x:c r="U174" s="17"/>
      <x:c r="V174" s="17"/>
      <x:c r="W174" s="17"/>
      <x:c r="X174" s="17"/>
      <x:c r="Y174" s="17"/>
      <x:c r="Z174" s="17"/>
    </x:row>
    <x:row r="175">
      <x:c r="A175" s="17" t="n">
        <x:v>26</x:v>
      </x:c>
      <x:c r="B175" s="17" t="str">
        <x:v>Lending Center</x:v>
      </x:c>
      <x:c r="C175" s="17" t="str">
        <x:v>Growing</x:v>
      </x:c>
      <x:c r="D175" s="17" t="str">
        <x:v>Rare</x:v>
      </x:c>
      <x:c r="E175" s="17" t="n">
        <x:v>26</x:v>
      </x:c>
      <x:c r="F175" s="17" t="n">
        <x:v>4</x:v>
      </x:c>
      <x:c r="G175" s="17" t="str">
        <x:v>Upgrade to Lv4</x:v>
      </x:c>
      <x:c r="H175" s="38" t="n">
        <x:f>ROUND(H174*INDEX('Balance Inputs'!$C$2:$C$7,MATCH(C175,'Balance Inputs'!$A$2:$A$7,0)),0)</x:f>
        <x:v>240517</x:v>
      </x:c>
      <x:c r="I175" s="38" t="n">
        <x:f>ROUND(INDEX('Balance Inputs'!$L$2:$L$51,MATCH(A175,'Balance Inputs'!$I$2:$I$51,0))*POWER(INDEX('Balance Inputs'!$D$2:$D$7,MATCH(C175,'Balance Inputs'!$A$2:$A$7,0)),F175-1),0)</x:f>
        <x:v>10047</x:v>
      </x:c>
      <x:c r="J175" s="38" t="n">
        <x:f>ROUND(I175*INDEX('Balance Inputs'!$F$2:$F$7,MATCH(C175,'Balance Inputs'!$A$2:$A$7,0)),0)</x:f>
        <x:v>1407</x:v>
      </x:c>
      <x:c r="K175" s="38" t="n">
        <x:f>I175-J175</x:f>
        <x:v>8640</x:v>
      </x:c>
      <x:c r="L175" s="38" t="n">
        <x:f>ROUND(INDEX('Balance Inputs'!$M$2:$M$51,MATCH(A175,'Balance Inputs'!$I$2:$I$51,0))*POWER(INDEX('Balance Inputs'!$E$2:$E$7,MATCH(C175,'Balance Inputs'!$A$2:$A$7,0)),F175-1),0)</x:f>
        <x:v>11172</x:v>
      </x:c>
      <x:c r="M175" s="38" t="n">
        <x:f>ROUND(INDEX('Balance Inputs'!$N$2:$N$51,MATCH(A175,'Balance Inputs'!$I$2:$I$51,0))*POWER(INDEX('Balance Inputs'!$G$2:$G$7,MATCH(C175,'Balance Inputs'!$A$2:$A$7,0)),F175-1),0)</x:f>
        <x:v>741</x:v>
      </x:c>
      <x:c r="N175" s="38" t="n">
        <x:f>IF(A175&lt;&gt;A174,H175,N174+H175)</x:f>
        <x:v>543512</x:v>
      </x:c>
      <x:c r="O175" s="42" t="n">
        <x:f>IF(I175=0,0,H175/I175)</x:f>
        <x:v>23.93918582661491</x:v>
      </x:c>
      <x:c r="P175" s="43" t="n">
        <x:f>I175/INDEX('Balance Inputs'!$L$2:$L$51,MATCH(A175,'Balance Inputs'!$I$2:$I$51,0))</x:f>
        <x:v>2.515523284927391</x:v>
      </x:c>
      <x:c r="Q175" s="43" t="n">
        <x:f>L175/INDEX('Balance Inputs'!$M$2:$M$51,MATCH(A175,'Balance Inputs'!$I$2:$I$51,0))</x:f>
        <x:v>2.406202886065044</x:v>
      </x:c>
      <x:c r="R175" s="17"/>
      <x:c r="S175" s="17"/>
      <x:c r="T175" s="17"/>
      <x:c r="U175" s="17"/>
      <x:c r="V175" s="17"/>
      <x:c r="W175" s="17"/>
      <x:c r="X175" s="17"/>
      <x:c r="Y175" s="17"/>
      <x:c r="Z175" s="17"/>
    </x:row>
    <x:row r="176">
      <x:c r="A176" s="17" t="n">
        <x:v>26</x:v>
      </x:c>
      <x:c r="B176" s="17" t="str">
        <x:v>Lending Center</x:v>
      </x:c>
      <x:c r="C176" s="17" t="str">
        <x:v>Growing</x:v>
      </x:c>
      <x:c r="D176" s="17" t="str">
        <x:v>Rare</x:v>
      </x:c>
      <x:c r="E176" s="17" t="n">
        <x:v>26</x:v>
      </x:c>
      <x:c r="F176" s="17" t="n">
        <x:v>5</x:v>
      </x:c>
      <x:c r="G176" s="17" t="str">
        <x:v>Upgrade to Lv5</x:v>
      </x:c>
      <x:c r="H176" s="38" t="n">
        <x:f>ROUND(H175*INDEX('Balance Inputs'!$C$2:$C$7,MATCH(C176,'Balance Inputs'!$A$2:$A$7,0)),0)</x:f>
        <x:v>384827</x:v>
      </x:c>
      <x:c r="I176" s="38" t="n">
        <x:f>ROUND(INDEX('Balance Inputs'!$L$2:$L$51,MATCH(A176,'Balance Inputs'!$I$2:$I$51,0))*POWER(INDEX('Balance Inputs'!$D$2:$D$7,MATCH(C176,'Balance Inputs'!$A$2:$A$7,0)),F176-1),0)</x:f>
        <x:v>13664</x:v>
      </x:c>
      <x:c r="J176" s="38" t="n">
        <x:f>ROUND(I176*INDEX('Balance Inputs'!$F$2:$F$7,MATCH(C176,'Balance Inputs'!$A$2:$A$7,0)),0)</x:f>
        <x:v>1913</x:v>
      </x:c>
      <x:c r="K176" s="38" t="n">
        <x:f>I176-J176</x:f>
        <x:v>11751</x:v>
      </x:c>
      <x:c r="L176" s="38" t="n">
        <x:f>ROUND(INDEX('Balance Inputs'!$M$2:$M$51,MATCH(A176,'Balance Inputs'!$I$2:$I$51,0))*POWER(INDEX('Balance Inputs'!$E$2:$E$7,MATCH(C176,'Balance Inputs'!$A$2:$A$7,0)),F176-1),0)</x:f>
        <x:v>14970</x:v>
      </x:c>
      <x:c r="M176" s="38" t="n">
        <x:f>ROUND(INDEX('Balance Inputs'!$N$2:$N$51,MATCH(A176,'Balance Inputs'!$I$2:$I$51,0))*POWER(INDEX('Balance Inputs'!$G$2:$G$7,MATCH(C176,'Balance Inputs'!$A$2:$A$7,0)),F176-1),0)</x:f>
        <x:v>816</x:v>
      </x:c>
      <x:c r="N176" s="38" t="n">
        <x:f>IF(A176&lt;&gt;A175,H176,N175+H176)</x:f>
        <x:v>928339</x:v>
      </x:c>
      <x:c r="O176" s="42" t="n">
        <x:f>IF(I176=0,0,H176/I176)</x:f>
        <x:v>28.16356850117096</x:v>
      </x:c>
      <x:c r="P176" s="43" t="n">
        <x:f>I176/INDEX('Balance Inputs'!$L$2:$L$51,MATCH(A176,'Balance Inputs'!$I$2:$I$51,0))</x:f>
        <x:v>3.4211316975463193</x:v>
      </x:c>
      <x:c r="Q176" s="43" t="n">
        <x:f>L176/INDEX('Balance Inputs'!$M$2:$M$51,MATCH(A176,'Balance Inputs'!$I$2:$I$51,0))</x:f>
        <x:v>3.2242084858927416</x:v>
      </x:c>
      <x:c r="R176" s="17"/>
      <x:c r="S176" s="17"/>
      <x:c r="T176" s="17"/>
      <x:c r="U176" s="17"/>
      <x:c r="V176" s="17"/>
      <x:c r="W176" s="17"/>
      <x:c r="X176" s="17"/>
      <x:c r="Y176" s="17"/>
      <x:c r="Z176" s="17"/>
    </x:row>
    <x:row r="177">
      <x:c r="A177" s="17" t="n">
        <x:v>26</x:v>
      </x:c>
      <x:c r="B177" s="17" t="str">
        <x:v>Lending Center</x:v>
      </x:c>
      <x:c r="C177" s="17" t="str">
        <x:v>Growing</x:v>
      </x:c>
      <x:c r="D177" s="17" t="str">
        <x:v>Rare</x:v>
      </x:c>
      <x:c r="E177" s="17" t="n">
        <x:v>26</x:v>
      </x:c>
      <x:c r="F177" s="17" t="n">
        <x:v>6</x:v>
      </x:c>
      <x:c r="G177" s="17" t="str">
        <x:v>Upgrade to Lv6</x:v>
      </x:c>
      <x:c r="H177" s="38" t="n">
        <x:f>ROUND(H176*INDEX('Balance Inputs'!$C$2:$C$7,MATCH(C177,'Balance Inputs'!$A$2:$A$7,0)),0)</x:f>
        <x:v>615723</x:v>
      </x:c>
      <x:c r="I177" s="38" t="n">
        <x:f>ROUND(INDEX('Balance Inputs'!$L$2:$L$51,MATCH(A177,'Balance Inputs'!$I$2:$I$51,0))*POWER(INDEX('Balance Inputs'!$D$2:$D$7,MATCH(C177,'Balance Inputs'!$A$2:$A$7,0)),F177-1),0)</x:f>
        <x:v>18582</x:v>
      </x:c>
      <x:c r="J177" s="38" t="n">
        <x:f>ROUND(I177*INDEX('Balance Inputs'!$F$2:$F$7,MATCH(C177,'Balance Inputs'!$A$2:$A$7,0)),0)</x:f>
        <x:v>2601</x:v>
      </x:c>
      <x:c r="K177" s="38" t="n">
        <x:f>I177-J177</x:f>
        <x:v>15981</x:v>
      </x:c>
      <x:c r="L177" s="38" t="n">
        <x:f>ROUND(INDEX('Balance Inputs'!$M$2:$M$51,MATCH(A177,'Balance Inputs'!$I$2:$I$51,0))*POWER(INDEX('Balance Inputs'!$E$2:$E$7,MATCH(C177,'Balance Inputs'!$A$2:$A$7,0)),F177-1),0)</x:f>
        <x:v>20060</x:v>
      </x:c>
      <x:c r="M177" s="38" t="n">
        <x:f>ROUND(INDEX('Balance Inputs'!$N$2:$N$51,MATCH(A177,'Balance Inputs'!$I$2:$I$51,0))*POWER(INDEX('Balance Inputs'!$G$2:$G$7,MATCH(C177,'Balance Inputs'!$A$2:$A$7,0)),F177-1),0)</x:f>
        <x:v>897</x:v>
      </x:c>
      <x:c r="N177" s="38" t="n">
        <x:f>IF(A177&lt;&gt;A176,H177,N176+H177)</x:f>
        <x:v>1544062</x:v>
      </x:c>
      <x:c r="O177" s="42" t="n">
        <x:f>IF(I177=0,0,H177/I177)</x:f>
        <x:v>33.13545366483694</x:v>
      </x:c>
      <x:c r="P177" s="43" t="n">
        <x:f>I177/INDEX('Balance Inputs'!$L$2:$L$51,MATCH(A177,'Balance Inputs'!$I$2:$I$51,0))</x:f>
        <x:v>4.652478718077115</x:v>
      </x:c>
      <x:c r="Q177" s="43" t="n">
        <x:f>L177/INDEX('Balance Inputs'!$M$2:$M$51,MATCH(A177,'Balance Inputs'!$I$2:$I$51,0))</x:f>
        <x:v>4.320482446693948</x:v>
      </x:c>
      <x:c r="R177" s="17"/>
      <x:c r="S177" s="17"/>
      <x:c r="T177" s="17"/>
      <x:c r="U177" s="17"/>
      <x:c r="V177" s="17"/>
      <x:c r="W177" s="17"/>
      <x:c r="X177" s="17"/>
      <x:c r="Y177" s="17"/>
      <x:c r="Z177" s="17"/>
    </x:row>
    <x:row r="178">
      <x:c r="A178" s="17" t="n">
        <x:v>26</x:v>
      </x:c>
      <x:c r="B178" s="17" t="str">
        <x:v>Lending Center</x:v>
      </x:c>
      <x:c r="C178" s="17" t="str">
        <x:v>Growing</x:v>
      </x:c>
      <x:c r="D178" s="17" t="str">
        <x:v>Rare</x:v>
      </x:c>
      <x:c r="E178" s="17" t="n">
        <x:v>26</x:v>
      </x:c>
      <x:c r="F178" s="17" t="n">
        <x:v>7</x:v>
      </x:c>
      <x:c r="G178" s="17" t="str">
        <x:v>Upgrade to Lv7</x:v>
      </x:c>
      <x:c r="H178" s="38" t="n">
        <x:f>ROUND(H177*INDEX('Balance Inputs'!$C$2:$C$7,MATCH(C178,'Balance Inputs'!$A$2:$A$7,0)),0)</x:f>
        <x:v>985157</x:v>
      </x:c>
      <x:c r="I178" s="38" t="n">
        <x:f>ROUND(INDEX('Balance Inputs'!$L$2:$L$51,MATCH(A178,'Balance Inputs'!$I$2:$I$51,0))*POWER(INDEX('Balance Inputs'!$D$2:$D$7,MATCH(C178,'Balance Inputs'!$A$2:$A$7,0)),F178-1),0)</x:f>
        <x:v>25272</x:v>
      </x:c>
      <x:c r="J178" s="38" t="n">
        <x:f>ROUND(I178*INDEX('Balance Inputs'!$F$2:$F$7,MATCH(C178,'Balance Inputs'!$A$2:$A$7,0)),0)</x:f>
        <x:v>3538</x:v>
      </x:c>
      <x:c r="K178" s="38" t="n">
        <x:f>I178-J178</x:f>
        <x:v>21734</x:v>
      </x:c>
      <x:c r="L178" s="38" t="n">
        <x:f>ROUND(INDEX('Balance Inputs'!$M$2:$M$51,MATCH(A178,'Balance Inputs'!$I$2:$I$51,0))*POWER(INDEX('Balance Inputs'!$E$2:$E$7,MATCH(C178,'Balance Inputs'!$A$2:$A$7,0)),F178-1),0)</x:f>
        <x:v>26880</x:v>
      </x:c>
      <x:c r="M178" s="38" t="n">
        <x:f>ROUND(INDEX('Balance Inputs'!$N$2:$N$51,MATCH(A178,'Balance Inputs'!$I$2:$I$51,0))*POWER(INDEX('Balance Inputs'!$G$2:$G$7,MATCH(C178,'Balance Inputs'!$A$2:$A$7,0)),F178-1),0)</x:f>
        <x:v>987</x:v>
      </x:c>
      <x:c r="N178" s="38" t="n">
        <x:f>IF(A178&lt;&gt;A177,H178,N177+H178)</x:f>
        <x:v>2529219</x:v>
      </x:c>
      <x:c r="O178" s="42" t="n">
        <x:f>IF(I178=0,0,H178/I178)</x:f>
        <x:v>38.98215416270972</x:v>
      </x:c>
      <x:c r="P178" s="43" t="n">
        <x:f>I178/INDEX('Balance Inputs'!$L$2:$L$51,MATCH(A178,'Balance Inputs'!$I$2:$I$51,0))</x:f>
        <x:v>6.327491236855283</x:v>
      </x:c>
      <x:c r="Q178" s="43" t="n">
        <x:f>L178/INDEX('Balance Inputs'!$M$2:$M$51,MATCH(A178,'Balance Inputs'!$I$2:$I$51,0))</x:f>
        <x:v>5.789360327374542</x:v>
      </x:c>
      <x:c r="R178" s="17"/>
      <x:c r="S178" s="17"/>
      <x:c r="T178" s="17"/>
      <x:c r="U178" s="17"/>
      <x:c r="V178" s="17"/>
      <x:c r="W178" s="17"/>
      <x:c r="X178" s="17"/>
      <x:c r="Y178" s="17"/>
      <x:c r="Z178" s="17"/>
    </x:row>
    <x:row r="179">
      <x:c r="A179" s="17" t="n">
        <x:v>26</x:v>
      </x:c>
      <x:c r="B179" s="17" t="str">
        <x:v>Lending Center</x:v>
      </x:c>
      <x:c r="C179" s="17" t="str">
        <x:v>Growing</x:v>
      </x:c>
      <x:c r="D179" s="17" t="str">
        <x:v>Rare</x:v>
      </x:c>
      <x:c r="E179" s="17" t="n">
        <x:v>26</x:v>
      </x:c>
      <x:c r="F179" s="17" t="n">
        <x:v>8</x:v>
      </x:c>
      <x:c r="G179" s="17" t="str">
        <x:v>Upgrade to Lv8</x:v>
      </x:c>
      <x:c r="H179" s="38" t="n">
        <x:f>ROUND(H178*INDEX('Balance Inputs'!$C$2:$C$7,MATCH(C179,'Balance Inputs'!$A$2:$A$7,0)),0)</x:f>
        <x:v>1576251</x:v>
      </x:c>
      <x:c r="I179" s="38" t="n">
        <x:f>ROUND(INDEX('Balance Inputs'!$L$2:$L$51,MATCH(A179,'Balance Inputs'!$I$2:$I$51,0))*POWER(INDEX('Balance Inputs'!$D$2:$D$7,MATCH(C179,'Balance Inputs'!$A$2:$A$7,0)),F179-1),0)</x:f>
        <x:v>34370</x:v>
      </x:c>
      <x:c r="J179" s="38" t="n">
        <x:f>ROUND(I179*INDEX('Balance Inputs'!$F$2:$F$7,MATCH(C179,'Balance Inputs'!$A$2:$A$7,0)),0)</x:f>
        <x:v>4812</x:v>
      </x:c>
      <x:c r="K179" s="38" t="n">
        <x:f>I179-J179</x:f>
        <x:v>29558</x:v>
      </x:c>
      <x:c r="L179" s="38" t="n">
        <x:f>ROUND(INDEX('Balance Inputs'!$M$2:$M$51,MATCH(A179,'Balance Inputs'!$I$2:$I$51,0))*POWER(INDEX('Balance Inputs'!$E$2:$E$7,MATCH(C179,'Balance Inputs'!$A$2:$A$7,0)),F179-1),0)</x:f>
        <x:v>36019</x:v>
      </x:c>
      <x:c r="M179" s="38" t="n">
        <x:f>ROUND(INDEX('Balance Inputs'!$N$2:$N$51,MATCH(A179,'Balance Inputs'!$I$2:$I$51,0))*POWER(INDEX('Balance Inputs'!$G$2:$G$7,MATCH(C179,'Balance Inputs'!$A$2:$A$7,0)),F179-1),0)</x:f>
        <x:v>1085</x:v>
      </x:c>
      <x:c r="N179" s="38" t="n">
        <x:f>IF(A179&lt;&gt;A178,H179,N178+H179)</x:f>
        <x:v>4105470</x:v>
      </x:c>
      <x:c r="O179" s="42" t="n">
        <x:f>IF(I179=0,0,H179/I179)</x:f>
        <x:v>45.86124527203957</x:v>
      </x:c>
      <x:c r="P179" s="43" t="n">
        <x:f>I179/INDEX('Balance Inputs'!$L$2:$L$51,MATCH(A179,'Balance Inputs'!$I$2:$I$51,0))</x:f>
        <x:v>8.605408112168252</x:v>
      </x:c>
      <x:c r="Q179" s="43" t="n">
        <x:f>L179/INDEX('Balance Inputs'!$M$2:$M$51,MATCH(A179,'Balance Inputs'!$I$2:$I$51,0))</x:f>
        <x:v>7.757699763084212</x:v>
      </x:c>
      <x:c r="R179" s="17"/>
      <x:c r="S179" s="17"/>
      <x:c r="T179" s="17"/>
      <x:c r="U179" s="17"/>
      <x:c r="V179" s="17"/>
      <x:c r="W179" s="17"/>
      <x:c r="X179" s="17"/>
      <x:c r="Y179" s="17"/>
      <x:c r="Z179" s="17"/>
    </x:row>
    <x:row r="180">
      <x:c r="A180" s="17" t="n">
        <x:v>27</x:v>
      </x:c>
      <x:c r="B180" s="17" t="str">
        <x:v>Wealth Management Office</x:v>
      </x:c>
      <x:c r="C180" s="17" t="str">
        <x:v>Growing</x:v>
      </x:c>
      <x:c r="D180" s="17" t="str">
        <x:v>Rare</x:v>
      </x:c>
      <x:c r="E180" s="17" t="n">
        <x:v>27</x:v>
      </x:c>
      <x:c r="F180" s="17" t="n">
        <x:v>1</x:v>
      </x:c>
      <x:c r="G180" s="17" t="str">
        <x:v>Build</x:v>
      </x:c>
      <x:c r="H180" s="38" t="n">
        <x:f>INDEX('Balance Inputs'!$K$2:$K$51,MATCH(A180,'Balance Inputs'!$I$2:$I$51,0))</x:f>
        <x:v>72520</x:v>
      </x:c>
      <x:c r="I180" s="38" t="n">
        <x:f>ROUND(INDEX('Balance Inputs'!$L$2:$L$51,MATCH(A180,'Balance Inputs'!$I$2:$I$51,0))*POWER(INDEX('Balance Inputs'!$D$2:$D$7,MATCH(C180,'Balance Inputs'!$A$2:$A$7,0)),F180-1),0)</x:f>
        <x:v>4794</x:v>
      </x:c>
      <x:c r="J180" s="38" t="n">
        <x:f>ROUND(I180*INDEX('Balance Inputs'!$F$2:$F$7,MATCH(C180,'Balance Inputs'!$A$2:$A$7,0)),0)</x:f>
        <x:v>671</x:v>
      </x:c>
      <x:c r="K180" s="38" t="n">
        <x:f>I180-J180</x:f>
        <x:v>4123</x:v>
      </x:c>
      <x:c r="L180" s="38" t="n">
        <x:f>ROUND(INDEX('Balance Inputs'!$M$2:$M$51,MATCH(A180,'Balance Inputs'!$I$2:$I$51,0))*POWER(INDEX('Balance Inputs'!$E$2:$E$7,MATCH(C180,'Balance Inputs'!$A$2:$A$7,0)),F180-1),0)</x:f>
        <x:v>5526</x:v>
      </x:c>
      <x:c r="M180" s="38" t="n">
        <x:f>ROUND(INDEX('Balance Inputs'!$N$2:$N$51,MATCH(A180,'Balance Inputs'!$I$2:$I$51,0))*POWER(INDEX('Balance Inputs'!$G$2:$G$7,MATCH(C180,'Balance Inputs'!$A$2:$A$7,0)),F180-1),0)</x:f>
        <x:v>630</x:v>
      </x:c>
      <x:c r="N180" s="38" t="n">
        <x:f>IF(A180&lt;&gt;A179,H180,N179+H180)</x:f>
        <x:v>72520</x:v>
      </x:c>
      <x:c r="O180" s="42" t="n">
        <x:f>IF(I180=0,0,H180/I180)</x:f>
        <x:v>15.127242386316228</x:v>
      </x:c>
      <x:c r="P180" s="43" t="n">
        <x:f>I180/INDEX('Balance Inputs'!$L$2:$L$51,MATCH(A180,'Balance Inputs'!$I$2:$I$51,0))</x:f>
        <x:v>1</x:v>
      </x:c>
      <x:c r="Q180" s="43" t="n">
        <x:f>L180/INDEX('Balance Inputs'!$M$2:$M$51,MATCH(A180,'Balance Inputs'!$I$2:$I$51,0))</x:f>
        <x:v>1</x:v>
      </x:c>
      <x:c r="R180" s="17"/>
      <x:c r="S180" s="17"/>
      <x:c r="T180" s="17"/>
      <x:c r="U180" s="17"/>
      <x:c r="V180" s="17"/>
      <x:c r="W180" s="17"/>
      <x:c r="X180" s="17"/>
      <x:c r="Y180" s="17"/>
      <x:c r="Z180" s="17"/>
    </x:row>
    <x:row r="181">
      <x:c r="A181" s="17" t="n">
        <x:v>27</x:v>
      </x:c>
      <x:c r="B181" s="17" t="str">
        <x:v>Wealth Management Office</x:v>
      </x:c>
      <x:c r="C181" s="17" t="str">
        <x:v>Growing</x:v>
      </x:c>
      <x:c r="D181" s="17" t="str">
        <x:v>Rare</x:v>
      </x:c>
      <x:c r="E181" s="17" t="n">
        <x:v>27</x:v>
      </x:c>
      <x:c r="F181" s="17" t="n">
        <x:v>2</x:v>
      </x:c>
      <x:c r="G181" s="17" t="str">
        <x:v>Upgrade to Lv2</x:v>
      </x:c>
      <x:c r="H181" s="38" t="n">
        <x:f>ROUND(H180*INDEX('Balance Inputs'!$C$2:$C$7,MATCH(C181,'Balance Inputs'!$A$2:$A$7,0)),0)</x:f>
        <x:v>116032</x:v>
      </x:c>
      <x:c r="I181" s="38" t="n">
        <x:f>ROUND(INDEX('Balance Inputs'!$L$2:$L$51,MATCH(A181,'Balance Inputs'!$I$2:$I$51,0))*POWER(INDEX('Balance Inputs'!$D$2:$D$7,MATCH(C181,'Balance Inputs'!$A$2:$A$7,0)),F181-1),0)</x:f>
        <x:v>6520</x:v>
      </x:c>
      <x:c r="J181" s="38" t="n">
        <x:f>ROUND(I181*INDEX('Balance Inputs'!$F$2:$F$7,MATCH(C181,'Balance Inputs'!$A$2:$A$7,0)),0)</x:f>
        <x:v>913</x:v>
      </x:c>
      <x:c r="K181" s="38" t="n">
        <x:f>I181-J181</x:f>
        <x:v>5607</x:v>
      </x:c>
      <x:c r="L181" s="38" t="n">
        <x:f>ROUND(INDEX('Balance Inputs'!$M$2:$M$51,MATCH(A181,'Balance Inputs'!$I$2:$I$51,0))*POWER(INDEX('Balance Inputs'!$E$2:$E$7,MATCH(C181,'Balance Inputs'!$A$2:$A$7,0)),F181-1),0)</x:f>
        <x:v>7405</x:v>
      </x:c>
      <x:c r="M181" s="38" t="n">
        <x:f>ROUND(INDEX('Balance Inputs'!$N$2:$N$51,MATCH(A181,'Balance Inputs'!$I$2:$I$51,0))*POWER(INDEX('Balance Inputs'!$G$2:$G$7,MATCH(C181,'Balance Inputs'!$A$2:$A$7,0)),F181-1),0)</x:f>
        <x:v>693</x:v>
      </x:c>
      <x:c r="N181" s="38" t="n">
        <x:f>IF(A181&lt;&gt;A180,H181,N180+H181)</x:f>
        <x:v>188552</x:v>
      </x:c>
      <x:c r="O181" s="42" t="n">
        <x:f>IF(I181=0,0,H181/I181)</x:f>
        <x:v>17.79631901840491</x:v>
      </x:c>
      <x:c r="P181" s="43" t="n">
        <x:f>I181/INDEX('Balance Inputs'!$L$2:$L$51,MATCH(A181,'Balance Inputs'!$I$2:$I$51,0))</x:f>
        <x:v>1.3600333750521485</x:v>
      </x:c>
      <x:c r="Q181" s="43" t="n">
        <x:f>L181/INDEX('Balance Inputs'!$M$2:$M$51,MATCH(A181,'Balance Inputs'!$I$2:$I$51,0))</x:f>
        <x:v>1.3400289540354686</x:v>
      </x:c>
      <x:c r="R181" s="17"/>
      <x:c r="S181" s="17"/>
      <x:c r="T181" s="17"/>
      <x:c r="U181" s="17"/>
      <x:c r="V181" s="17"/>
      <x:c r="W181" s="17"/>
      <x:c r="X181" s="17"/>
      <x:c r="Y181" s="17"/>
      <x:c r="Z181" s="17"/>
    </x:row>
    <x:row r="182">
      <x:c r="A182" s="17" t="n">
        <x:v>27</x:v>
      </x:c>
      <x:c r="B182" s="17" t="str">
        <x:v>Wealth Management Office</x:v>
      </x:c>
      <x:c r="C182" s="17" t="str">
        <x:v>Growing</x:v>
      </x:c>
      <x:c r="D182" s="17" t="str">
        <x:v>Rare</x:v>
      </x:c>
      <x:c r="E182" s="17" t="n">
        <x:v>27</x:v>
      </x:c>
      <x:c r="F182" s="17" t="n">
        <x:v>3</x:v>
      </x:c>
      <x:c r="G182" s="17" t="str">
        <x:v>Upgrade to Lv3</x:v>
      </x:c>
      <x:c r="H182" s="38" t="n">
        <x:f>ROUND(H181*INDEX('Balance Inputs'!$C$2:$C$7,MATCH(C182,'Balance Inputs'!$A$2:$A$7,0)),0)</x:f>
        <x:v>185651</x:v>
      </x:c>
      <x:c r="I182" s="38" t="n">
        <x:f>ROUND(INDEX('Balance Inputs'!$L$2:$L$51,MATCH(A182,'Balance Inputs'!$I$2:$I$51,0))*POWER(INDEX('Balance Inputs'!$D$2:$D$7,MATCH(C182,'Balance Inputs'!$A$2:$A$7,0)),F182-1),0)</x:f>
        <x:v>8867</x:v>
      </x:c>
      <x:c r="J182" s="38" t="n">
        <x:f>ROUND(I182*INDEX('Balance Inputs'!$F$2:$F$7,MATCH(C182,'Balance Inputs'!$A$2:$A$7,0)),0)</x:f>
        <x:v>1241</x:v>
      </x:c>
      <x:c r="K182" s="38" t="n">
        <x:f>I182-J182</x:f>
        <x:v>7626</x:v>
      </x:c>
      <x:c r="L182" s="38" t="n">
        <x:f>ROUND(INDEX('Balance Inputs'!$M$2:$M$51,MATCH(A182,'Balance Inputs'!$I$2:$I$51,0))*POWER(INDEX('Balance Inputs'!$E$2:$E$7,MATCH(C182,'Balance Inputs'!$A$2:$A$7,0)),F182-1),0)</x:f>
        <x:v>9922</x:v>
      </x:c>
      <x:c r="M182" s="38" t="n">
        <x:f>ROUND(INDEX('Balance Inputs'!$N$2:$N$51,MATCH(A182,'Balance Inputs'!$I$2:$I$51,0))*POWER(INDEX('Balance Inputs'!$G$2:$G$7,MATCH(C182,'Balance Inputs'!$A$2:$A$7,0)),F182-1),0)</x:f>
        <x:v>762</x:v>
      </x:c>
      <x:c r="N182" s="38" t="n">
        <x:f>IF(A182&lt;&gt;A181,H182,N181+H182)</x:f>
        <x:v>374203</x:v>
      </x:c>
      <x:c r="O182" s="42" t="n">
        <x:f>IF(I182=0,0,H182/I182)</x:f>
        <x:v>20.93729559039134</x:v>
      </x:c>
      <x:c r="P182" s="43" t="n">
        <x:f>I182/INDEX('Balance Inputs'!$L$2:$L$51,MATCH(A182,'Balance Inputs'!$I$2:$I$51,0))</x:f>
        <x:v>1.8496036712557364</x:v>
      </x:c>
      <x:c r="Q182" s="43" t="n">
        <x:f>L182/INDEX('Balance Inputs'!$M$2:$M$51,MATCH(A182,'Balance Inputs'!$I$2:$I$51,0))</x:f>
        <x:v>1.7955121245023524</x:v>
      </x:c>
      <x:c r="R182" s="17"/>
      <x:c r="S182" s="17"/>
      <x:c r="T182" s="17"/>
      <x:c r="U182" s="17"/>
      <x:c r="V182" s="17"/>
      <x:c r="W182" s="17"/>
      <x:c r="X182" s="17"/>
      <x:c r="Y182" s="17"/>
      <x:c r="Z182" s="17"/>
    </x:row>
    <x:row r="183">
      <x:c r="A183" s="17" t="n">
        <x:v>27</x:v>
      </x:c>
      <x:c r="B183" s="17" t="str">
        <x:v>Wealth Management Office</x:v>
      </x:c>
      <x:c r="C183" s="17" t="str">
        <x:v>Growing</x:v>
      </x:c>
      <x:c r="D183" s="17" t="str">
        <x:v>Rare</x:v>
      </x:c>
      <x:c r="E183" s="17" t="n">
        <x:v>27</x:v>
      </x:c>
      <x:c r="F183" s="17" t="n">
        <x:v>4</x:v>
      </x:c>
      <x:c r="G183" s="17" t="str">
        <x:v>Upgrade to Lv4</x:v>
      </x:c>
      <x:c r="H183" s="38" t="n">
        <x:f>ROUND(H182*INDEX('Balance Inputs'!$C$2:$C$7,MATCH(C183,'Balance Inputs'!$A$2:$A$7,0)),0)</x:f>
        <x:v>297042</x:v>
      </x:c>
      <x:c r="I183" s="38" t="n">
        <x:f>ROUND(INDEX('Balance Inputs'!$L$2:$L$51,MATCH(A183,'Balance Inputs'!$I$2:$I$51,0))*POWER(INDEX('Balance Inputs'!$D$2:$D$7,MATCH(C183,'Balance Inputs'!$A$2:$A$7,0)),F183-1),0)</x:f>
        <x:v>12059</x:v>
      </x:c>
      <x:c r="J183" s="38" t="n">
        <x:f>ROUND(I183*INDEX('Balance Inputs'!$F$2:$F$7,MATCH(C183,'Balance Inputs'!$A$2:$A$7,0)),0)</x:f>
        <x:v>1688</x:v>
      </x:c>
      <x:c r="K183" s="38" t="n">
        <x:f>I183-J183</x:f>
        <x:v>10371</x:v>
      </x:c>
      <x:c r="L183" s="38" t="n">
        <x:f>ROUND(INDEX('Balance Inputs'!$M$2:$M$51,MATCH(A183,'Balance Inputs'!$I$2:$I$51,0))*POWER(INDEX('Balance Inputs'!$E$2:$E$7,MATCH(C183,'Balance Inputs'!$A$2:$A$7,0)),F183-1),0)</x:f>
        <x:v>13296</x:v>
      </x:c>
      <x:c r="M183" s="38" t="n">
        <x:f>ROUND(INDEX('Balance Inputs'!$N$2:$N$51,MATCH(A183,'Balance Inputs'!$I$2:$I$51,0))*POWER(INDEX('Balance Inputs'!$G$2:$G$7,MATCH(C183,'Balance Inputs'!$A$2:$A$7,0)),F183-1),0)</x:f>
        <x:v>839</x:v>
      </x:c>
      <x:c r="N183" s="38" t="n">
        <x:f>IF(A183&lt;&gt;A182,H183,N182+H183)</x:f>
        <x:v>671245</x:v>
      </x:c>
      <x:c r="O183" s="42" t="n">
        <x:f>IF(I183=0,0,H183/I183)</x:f>
        <x:v>24.632390745501286</x:v>
      </x:c>
      <x:c r="P183" s="43" t="n">
        <x:f>I183/INDEX('Balance Inputs'!$L$2:$L$51,MATCH(A183,'Balance Inputs'!$I$2:$I$51,0))</x:f>
        <x:v>2.51543596161869</x:v>
      </x:c>
      <x:c r="Q183" s="43" t="n">
        <x:f>L183/INDEX('Balance Inputs'!$M$2:$M$51,MATCH(A183,'Balance Inputs'!$I$2:$I$51,0))</x:f>
        <x:v>2.406080347448426</x:v>
      </x:c>
      <x:c r="R183" s="17"/>
      <x:c r="S183" s="17"/>
      <x:c r="T183" s="17"/>
      <x:c r="U183" s="17"/>
      <x:c r="V183" s="17"/>
      <x:c r="W183" s="17"/>
      <x:c r="X183" s="17"/>
      <x:c r="Y183" s="17"/>
      <x:c r="Z183" s="17"/>
    </x:row>
    <x:row r="184">
      <x:c r="A184" s="17" t="n">
        <x:v>27</x:v>
      </x:c>
      <x:c r="B184" s="17" t="str">
        <x:v>Wealth Management Office</x:v>
      </x:c>
      <x:c r="C184" s="17" t="str">
        <x:v>Growing</x:v>
      </x:c>
      <x:c r="D184" s="17" t="str">
        <x:v>Rare</x:v>
      </x:c>
      <x:c r="E184" s="17" t="n">
        <x:v>27</x:v>
      </x:c>
      <x:c r="F184" s="17" t="n">
        <x:v>5</x:v>
      </x:c>
      <x:c r="G184" s="17" t="str">
        <x:v>Upgrade to Lv5</x:v>
      </x:c>
      <x:c r="H184" s="38" t="n">
        <x:f>ROUND(H183*INDEX('Balance Inputs'!$C$2:$C$7,MATCH(C184,'Balance Inputs'!$A$2:$A$7,0)),0)</x:f>
        <x:v>475267</x:v>
      </x:c>
      <x:c r="I184" s="38" t="n">
        <x:f>ROUND(INDEX('Balance Inputs'!$L$2:$L$51,MATCH(A184,'Balance Inputs'!$I$2:$I$51,0))*POWER(INDEX('Balance Inputs'!$D$2:$D$7,MATCH(C184,'Balance Inputs'!$A$2:$A$7,0)),F184-1),0)</x:f>
        <x:v>16400</x:v>
      </x:c>
      <x:c r="J184" s="38" t="n">
        <x:f>ROUND(I184*INDEX('Balance Inputs'!$F$2:$F$7,MATCH(C184,'Balance Inputs'!$A$2:$A$7,0)),0)</x:f>
        <x:v>2296</x:v>
      </x:c>
      <x:c r="K184" s="38" t="n">
        <x:f>I184-J184</x:f>
        <x:v>14104</x:v>
      </x:c>
      <x:c r="L184" s="38" t="n">
        <x:f>ROUND(INDEX('Balance Inputs'!$M$2:$M$51,MATCH(A184,'Balance Inputs'!$I$2:$I$51,0))*POWER(INDEX('Balance Inputs'!$E$2:$E$7,MATCH(C184,'Balance Inputs'!$A$2:$A$7,0)),F184-1),0)</x:f>
        <x:v>17817</x:v>
      </x:c>
      <x:c r="M184" s="38" t="n">
        <x:f>ROUND(INDEX('Balance Inputs'!$N$2:$N$51,MATCH(A184,'Balance Inputs'!$I$2:$I$51,0))*POWER(INDEX('Balance Inputs'!$G$2:$G$7,MATCH(C184,'Balance Inputs'!$A$2:$A$7,0)),F184-1),0)</x:f>
        <x:v>922</x:v>
      </x:c>
      <x:c r="N184" s="38" t="n">
        <x:f>IF(A184&lt;&gt;A183,H184,N183+H184)</x:f>
        <x:v>1146512</x:v>
      </x:c>
      <x:c r="O184" s="42" t="n">
        <x:f>IF(I184=0,0,H184/I184)</x:f>
        <x:v>28.97969512195122</x:v>
      </x:c>
      <x:c r="P184" s="43" t="n">
        <x:f>I184/INDEX('Balance Inputs'!$L$2:$L$51,MATCH(A184,'Balance Inputs'!$I$2:$I$51,0))</x:f>
        <x:v>3.4209428452231956</x:v>
      </x:c>
      <x:c r="Q184" s="43" t="n">
        <x:f>L184/INDEX('Balance Inputs'!$M$2:$M$51,MATCH(A184,'Balance Inputs'!$I$2:$I$51,0))</x:f>
        <x:v>3.2242128121606948</x:v>
      </x:c>
      <x:c r="R184" s="17"/>
      <x:c r="S184" s="17"/>
      <x:c r="T184" s="17"/>
      <x:c r="U184" s="17"/>
      <x:c r="V184" s="17"/>
      <x:c r="W184" s="17"/>
      <x:c r="X184" s="17"/>
      <x:c r="Y184" s="17"/>
      <x:c r="Z184" s="17"/>
    </x:row>
    <x:row r="185">
      <x:c r="A185" s="17" t="n">
        <x:v>27</x:v>
      </x:c>
      <x:c r="B185" s="17" t="str">
        <x:v>Wealth Management Office</x:v>
      </x:c>
      <x:c r="C185" s="17" t="str">
        <x:v>Growing</x:v>
      </x:c>
      <x:c r="D185" s="17" t="str">
        <x:v>Rare</x:v>
      </x:c>
      <x:c r="E185" s="17" t="n">
        <x:v>27</x:v>
      </x:c>
      <x:c r="F185" s="17" t="n">
        <x:v>6</x:v>
      </x:c>
      <x:c r="G185" s="17" t="str">
        <x:v>Upgrade to Lv6</x:v>
      </x:c>
      <x:c r="H185" s="38" t="n">
        <x:f>ROUND(H184*INDEX('Balance Inputs'!$C$2:$C$7,MATCH(C185,'Balance Inputs'!$A$2:$A$7,0)),0)</x:f>
        <x:v>760427</x:v>
      </x:c>
      <x:c r="I185" s="38" t="n">
        <x:f>ROUND(INDEX('Balance Inputs'!$L$2:$L$51,MATCH(A185,'Balance Inputs'!$I$2:$I$51,0))*POWER(INDEX('Balance Inputs'!$D$2:$D$7,MATCH(C185,'Balance Inputs'!$A$2:$A$7,0)),F185-1),0)</x:f>
        <x:v>22305</x:v>
      </x:c>
      <x:c r="J185" s="38" t="n">
        <x:f>ROUND(I185*INDEX('Balance Inputs'!$F$2:$F$7,MATCH(C185,'Balance Inputs'!$A$2:$A$7,0)),0)</x:f>
        <x:v>3123</x:v>
      </x:c>
      <x:c r="K185" s="38" t="n">
        <x:f>I185-J185</x:f>
        <x:v>19182</x:v>
      </x:c>
      <x:c r="L185" s="38" t="n">
        <x:f>ROUND(INDEX('Balance Inputs'!$M$2:$M$51,MATCH(A185,'Balance Inputs'!$I$2:$I$51,0))*POWER(INDEX('Balance Inputs'!$E$2:$E$7,MATCH(C185,'Balance Inputs'!$A$2:$A$7,0)),F185-1),0)</x:f>
        <x:v>23875</x:v>
      </x:c>
      <x:c r="M185" s="38" t="n">
        <x:f>ROUND(INDEX('Balance Inputs'!$N$2:$N$51,MATCH(A185,'Balance Inputs'!$I$2:$I$51,0))*POWER(INDEX('Balance Inputs'!$G$2:$G$7,MATCH(C185,'Balance Inputs'!$A$2:$A$7,0)),F185-1),0)</x:f>
        <x:v>1015</x:v>
      </x:c>
      <x:c r="N185" s="38" t="n">
        <x:f>IF(A185&lt;&gt;A184,H185,N184+H185)</x:f>
        <x:v>1906939</x:v>
      </x:c>
      <x:c r="O185" s="42" t="n">
        <x:f>IF(I185=0,0,H185/I185)</x:f>
        <x:v>34.0922214750056</x:v>
      </x:c>
      <x:c r="P185" s="43" t="n">
        <x:f>I185/INDEX('Balance Inputs'!$L$2:$L$51,MATCH(A185,'Balance Inputs'!$I$2:$I$51,0))</x:f>
        <x:v>4.652690863579474</x:v>
      </x:c>
      <x:c r="Q185" s="43" t="n">
        <x:f>L185/INDEX('Balance Inputs'!$M$2:$M$51,MATCH(A185,'Balance Inputs'!$I$2:$I$51,0))</x:f>
        <x:v>4.3204849800941005</x:v>
      </x:c>
      <x:c r="R185" s="17"/>
      <x:c r="S185" s="17"/>
      <x:c r="T185" s="17"/>
      <x:c r="U185" s="17"/>
      <x:c r="V185" s="17"/>
      <x:c r="W185" s="17"/>
      <x:c r="X185" s="17"/>
      <x:c r="Y185" s="17"/>
      <x:c r="Z185" s="17"/>
    </x:row>
    <x:row r="186">
      <x:c r="A186" s="17" t="n">
        <x:v>27</x:v>
      </x:c>
      <x:c r="B186" s="17" t="str">
        <x:v>Wealth Management Office</x:v>
      </x:c>
      <x:c r="C186" s="17" t="str">
        <x:v>Growing</x:v>
      </x:c>
      <x:c r="D186" s="17" t="str">
        <x:v>Rare</x:v>
      </x:c>
      <x:c r="E186" s="17" t="n">
        <x:v>27</x:v>
      </x:c>
      <x:c r="F186" s="17" t="n">
        <x:v>7</x:v>
      </x:c>
      <x:c r="G186" s="17" t="str">
        <x:v>Upgrade to Lv7</x:v>
      </x:c>
      <x:c r="H186" s="38" t="n">
        <x:f>ROUND(H185*INDEX('Balance Inputs'!$C$2:$C$7,MATCH(C186,'Balance Inputs'!$A$2:$A$7,0)),0)</x:f>
        <x:v>1216683</x:v>
      </x:c>
      <x:c r="I186" s="38" t="n">
        <x:f>ROUND(INDEX('Balance Inputs'!$L$2:$L$51,MATCH(A186,'Balance Inputs'!$I$2:$I$51,0))*POWER(INDEX('Balance Inputs'!$D$2:$D$7,MATCH(C186,'Balance Inputs'!$A$2:$A$7,0)),F186-1),0)</x:f>
        <x:v>30334</x:v>
      </x:c>
      <x:c r="J186" s="38" t="n">
        <x:f>ROUND(I186*INDEX('Balance Inputs'!$F$2:$F$7,MATCH(C186,'Balance Inputs'!$A$2:$A$7,0)),0)</x:f>
        <x:v>4247</x:v>
      </x:c>
      <x:c r="K186" s="38" t="n">
        <x:f>I186-J186</x:f>
        <x:v>26087</x:v>
      </x:c>
      <x:c r="L186" s="38" t="n">
        <x:f>ROUND(INDEX('Balance Inputs'!$M$2:$M$51,MATCH(A186,'Balance Inputs'!$I$2:$I$51,0))*POWER(INDEX('Balance Inputs'!$E$2:$E$7,MATCH(C186,'Balance Inputs'!$A$2:$A$7,0)),F186-1),0)</x:f>
        <x:v>31992</x:v>
      </x:c>
      <x:c r="M186" s="38" t="n">
        <x:f>ROUND(INDEX('Balance Inputs'!$N$2:$N$51,MATCH(A186,'Balance Inputs'!$I$2:$I$51,0))*POWER(INDEX('Balance Inputs'!$G$2:$G$7,MATCH(C186,'Balance Inputs'!$A$2:$A$7,0)),F186-1),0)</x:f>
        <x:v>1116</x:v>
      </x:c>
      <x:c r="N186" s="38" t="n">
        <x:f>IF(A186&lt;&gt;A185,H186,N185+H186)</x:f>
        <x:v>3123622</x:v>
      </x:c>
      <x:c r="O186" s="42" t="n">
        <x:f>IF(I186=0,0,H186/I186)</x:f>
        <x:v>40.10954704292213</x:v>
      </x:c>
      <x:c r="P186" s="43" t="n">
        <x:f>I186/INDEX('Balance Inputs'!$L$2:$L$51,MATCH(A186,'Balance Inputs'!$I$2:$I$51,0))</x:f>
        <x:v>6.327492699207342</x:v>
      </x:c>
      <x:c r="Q186" s="43" t="n">
        <x:f>L186/INDEX('Balance Inputs'!$M$2:$M$51,MATCH(A186,'Balance Inputs'!$I$2:$I$51,0))</x:f>
        <x:v>5.789359391965255</x:v>
      </x:c>
      <x:c r="R186" s="17"/>
      <x:c r="S186" s="17"/>
      <x:c r="T186" s="17"/>
      <x:c r="U186" s="17"/>
      <x:c r="V186" s="17"/>
      <x:c r="W186" s="17"/>
      <x:c r="X186" s="17"/>
      <x:c r="Y186" s="17"/>
      <x:c r="Z186" s="17"/>
    </x:row>
    <x:row r="187">
      <x:c r="A187" s="17" t="n">
        <x:v>27</x:v>
      </x:c>
      <x:c r="B187" s="17" t="str">
        <x:v>Wealth Management Office</x:v>
      </x:c>
      <x:c r="C187" s="17" t="str">
        <x:v>Growing</x:v>
      </x:c>
      <x:c r="D187" s="17" t="str">
        <x:v>Rare</x:v>
      </x:c>
      <x:c r="E187" s="17" t="n">
        <x:v>27</x:v>
      </x:c>
      <x:c r="F187" s="17" t="n">
        <x:v>8</x:v>
      </x:c>
      <x:c r="G187" s="17" t="str">
        <x:v>Upgrade to Lv8</x:v>
      </x:c>
      <x:c r="H187" s="38" t="n">
        <x:f>ROUND(H186*INDEX('Balance Inputs'!$C$2:$C$7,MATCH(C187,'Balance Inputs'!$A$2:$A$7,0)),0)</x:f>
        <x:v>1946693</x:v>
      </x:c>
      <x:c r="I187" s="38" t="n">
        <x:f>ROUND(INDEX('Balance Inputs'!$L$2:$L$51,MATCH(A187,'Balance Inputs'!$I$2:$I$51,0))*POWER(INDEX('Balance Inputs'!$D$2:$D$7,MATCH(C187,'Balance Inputs'!$A$2:$A$7,0)),F187-1),0)</x:f>
        <x:v>41254</x:v>
      </x:c>
      <x:c r="J187" s="38" t="n">
        <x:f>ROUND(I187*INDEX('Balance Inputs'!$F$2:$F$7,MATCH(C187,'Balance Inputs'!$A$2:$A$7,0)),0)</x:f>
        <x:v>5776</x:v>
      </x:c>
      <x:c r="K187" s="38" t="n">
        <x:f>I187-J187</x:f>
        <x:v>35478</x:v>
      </x:c>
      <x:c r="L187" s="38" t="n">
        <x:f>ROUND(INDEX('Balance Inputs'!$M$2:$M$51,MATCH(A187,'Balance Inputs'!$I$2:$I$51,0))*POWER(INDEX('Balance Inputs'!$E$2:$E$7,MATCH(C187,'Balance Inputs'!$A$2:$A$7,0)),F187-1),0)</x:f>
        <x:v>42869</x:v>
      </x:c>
      <x:c r="M187" s="38" t="n">
        <x:f>ROUND(INDEX('Balance Inputs'!$N$2:$N$51,MATCH(A187,'Balance Inputs'!$I$2:$I$51,0))*POWER(INDEX('Balance Inputs'!$G$2:$G$7,MATCH(C187,'Balance Inputs'!$A$2:$A$7,0)),F187-1),0)</x:f>
        <x:v>1228</x:v>
      </x:c>
      <x:c r="N187" s="38" t="n">
        <x:f>IF(A187&lt;&gt;A186,H187,N186+H187)</x:f>
        <x:v>5070315</x:v>
      </x:c>
      <x:c r="O187" s="42" t="n">
        <x:f>IF(I187=0,0,H187/I187)</x:f>
        <x:v>47.187981771464585</x:v>
      </x:c>
      <x:c r="P187" s="43" t="n">
        <x:f>I187/INDEX('Balance Inputs'!$L$2:$L$51,MATCH(A187,'Balance Inputs'!$I$2:$I$51,0))</x:f>
        <x:v>8.605340008343763</x:v>
      </x:c>
      <x:c r="Q187" s="43" t="n">
        <x:f>L187/INDEX('Balance Inputs'!$M$2:$M$51,MATCH(A187,'Balance Inputs'!$I$2:$I$51,0))</x:f>
        <x:v>7.757690915671372</x:v>
      </x:c>
      <x:c r="R187" s="17"/>
      <x:c r="S187" s="17"/>
      <x:c r="T187" s="17"/>
      <x:c r="U187" s="17"/>
      <x:c r="V187" s="17"/>
      <x:c r="W187" s="17"/>
      <x:c r="X187" s="17"/>
      <x:c r="Y187" s="17"/>
      <x:c r="Z187" s="17"/>
    </x:row>
    <x:row r="188">
      <x:c r="A188" s="17" t="n">
        <x:v>28</x:v>
      </x:c>
      <x:c r="B188" s="17" t="str">
        <x:v>Digital Finance Hub</x:v>
      </x:c>
      <x:c r="C188" s="17" t="str">
        <x:v>Growing</x:v>
      </x:c>
      <x:c r="D188" s="17" t="str">
        <x:v>Rare</x:v>
      </x:c>
      <x:c r="E188" s="17" t="n">
        <x:v>28</x:v>
      </x:c>
      <x:c r="F188" s="17" t="n">
        <x:v>1</x:v>
      </x:c>
      <x:c r="G188" s="17" t="str">
        <x:v>Build</x:v>
      </x:c>
      <x:c r="H188" s="38" t="n">
        <x:f>INDEX('Balance Inputs'!$K$2:$K$51,MATCH(A188,'Balance Inputs'!$I$2:$I$51,0))</x:f>
        <x:v>89560</x:v>
      </x:c>
      <x:c r="I188" s="38" t="n">
        <x:f>ROUND(INDEX('Balance Inputs'!$L$2:$L$51,MATCH(A188,'Balance Inputs'!$I$2:$I$51,0))*POWER(INDEX('Balance Inputs'!$D$2:$D$7,MATCH(C188,'Balance Inputs'!$A$2:$A$7,0)),F188-1),0)</x:f>
        <x:v>5585</x:v>
      </x:c>
      <x:c r="J188" s="38" t="n">
        <x:f>ROUND(I188*INDEX('Balance Inputs'!$F$2:$F$7,MATCH(C188,'Balance Inputs'!$A$2:$A$7,0)),0)</x:f>
        <x:v>782</x:v>
      </x:c>
      <x:c r="K188" s="38" t="n">
        <x:f>I188-J188</x:f>
        <x:v>4803</x:v>
      </x:c>
      <x:c r="L188" s="38" t="n">
        <x:f>ROUND(INDEX('Balance Inputs'!$M$2:$M$51,MATCH(A188,'Balance Inputs'!$I$2:$I$51,0))*POWER(INDEX('Balance Inputs'!$E$2:$E$7,MATCH(C188,'Balance Inputs'!$A$2:$A$7,0)),F188-1),0)</x:f>
        <x:v>6575</x:v>
      </x:c>
      <x:c r="M188" s="38" t="n">
        <x:f>ROUND(INDEX('Balance Inputs'!$N$2:$N$51,MATCH(A188,'Balance Inputs'!$I$2:$I$51,0))*POWER(INDEX('Balance Inputs'!$G$2:$G$7,MATCH(C188,'Balance Inputs'!$A$2:$A$7,0)),F188-1),0)</x:f>
        <x:v>907</x:v>
      </x:c>
      <x:c r="N188" s="38" t="n">
        <x:f>IF(A188&lt;&gt;A187,H188,N187+H188)</x:f>
        <x:v>89560</x:v>
      </x:c>
      <x:c r="O188" s="42" t="n">
        <x:f>IF(I188=0,0,H188/I188)</x:f>
        <x:v>16.035810205908685</x:v>
      </x:c>
      <x:c r="P188" s="43" t="n">
        <x:f>I188/INDEX('Balance Inputs'!$L$2:$L$51,MATCH(A188,'Balance Inputs'!$I$2:$I$51,0))</x:f>
        <x:v>1</x:v>
      </x:c>
      <x:c r="Q188" s="43" t="n">
        <x:f>L188/INDEX('Balance Inputs'!$M$2:$M$51,MATCH(A188,'Balance Inputs'!$I$2:$I$51,0))</x:f>
        <x:v>1</x:v>
      </x:c>
      <x:c r="R188" s="17"/>
      <x:c r="S188" s="17"/>
      <x:c r="T188" s="17"/>
      <x:c r="U188" s="17"/>
      <x:c r="V188" s="17"/>
      <x:c r="W188" s="17"/>
      <x:c r="X188" s="17"/>
      <x:c r="Y188" s="17"/>
      <x:c r="Z188" s="17"/>
    </x:row>
    <x:row r="189">
      <x:c r="A189" s="17" t="n">
        <x:v>28</x:v>
      </x:c>
      <x:c r="B189" s="17" t="str">
        <x:v>Digital Finance Hub</x:v>
      </x:c>
      <x:c r="C189" s="17" t="str">
        <x:v>Growing</x:v>
      </x:c>
      <x:c r="D189" s="17" t="str">
        <x:v>Rare</x:v>
      </x:c>
      <x:c r="E189" s="17" t="n">
        <x:v>28</x:v>
      </x:c>
      <x:c r="F189" s="17" t="n">
        <x:v>2</x:v>
      </x:c>
      <x:c r="G189" s="17" t="str">
        <x:v>Upgrade to Lv2</x:v>
      </x:c>
      <x:c r="H189" s="38" t="n">
        <x:f>ROUND(H188*INDEX('Balance Inputs'!$C$2:$C$7,MATCH(C189,'Balance Inputs'!$A$2:$A$7,0)),0)</x:f>
        <x:v>143296</x:v>
      </x:c>
      <x:c r="I189" s="38" t="n">
        <x:f>ROUND(INDEX('Balance Inputs'!$L$2:$L$51,MATCH(A189,'Balance Inputs'!$I$2:$I$51,0))*POWER(INDEX('Balance Inputs'!$D$2:$D$7,MATCH(C189,'Balance Inputs'!$A$2:$A$7,0)),F189-1),0)</x:f>
        <x:v>7596</x:v>
      </x:c>
      <x:c r="J189" s="38" t="n">
        <x:f>ROUND(I189*INDEX('Balance Inputs'!$F$2:$F$7,MATCH(C189,'Balance Inputs'!$A$2:$A$7,0)),0)</x:f>
        <x:v>1063</x:v>
      </x:c>
      <x:c r="K189" s="38" t="n">
        <x:f>I189-J189</x:f>
        <x:v>6533</x:v>
      </x:c>
      <x:c r="L189" s="38" t="n">
        <x:f>ROUND(INDEX('Balance Inputs'!$M$2:$M$51,MATCH(A189,'Balance Inputs'!$I$2:$I$51,0))*POWER(INDEX('Balance Inputs'!$E$2:$E$7,MATCH(C189,'Balance Inputs'!$A$2:$A$7,0)),F189-1),0)</x:f>
        <x:v>8811</x:v>
      </x:c>
      <x:c r="M189" s="38" t="n">
        <x:f>ROUND(INDEX('Balance Inputs'!$N$2:$N$51,MATCH(A189,'Balance Inputs'!$I$2:$I$51,0))*POWER(INDEX('Balance Inputs'!$G$2:$G$7,MATCH(C189,'Balance Inputs'!$A$2:$A$7,0)),F189-1),0)</x:f>
        <x:v>998</x:v>
      </x:c>
      <x:c r="N189" s="38" t="n">
        <x:f>IF(A189&lt;&gt;A188,H189,N188+H189)</x:f>
        <x:v>232856</x:v>
      </x:c>
      <x:c r="O189" s="42" t="n">
        <x:f>IF(I189=0,0,H189/I189)</x:f>
        <x:v>18.864665613480778</x:v>
      </x:c>
      <x:c r="P189" s="43" t="n">
        <x:f>I189/INDEX('Balance Inputs'!$L$2:$L$51,MATCH(A189,'Balance Inputs'!$I$2:$I$51,0))</x:f>
        <x:v>1.3600716204118173</x:v>
      </x:c>
      <x:c r="Q189" s="43" t="n">
        <x:f>L189/INDEX('Balance Inputs'!$M$2:$M$51,MATCH(A189,'Balance Inputs'!$I$2:$I$51,0))</x:f>
        <x:v>1.3400760456273764</x:v>
      </x:c>
      <x:c r="R189" s="17"/>
      <x:c r="S189" s="17"/>
      <x:c r="T189" s="17"/>
      <x:c r="U189" s="17"/>
      <x:c r="V189" s="17"/>
      <x:c r="W189" s="17"/>
      <x:c r="X189" s="17"/>
      <x:c r="Y189" s="17"/>
      <x:c r="Z189" s="17"/>
    </x:row>
    <x:row r="190">
      <x:c r="A190" s="17" t="n">
        <x:v>28</x:v>
      </x:c>
      <x:c r="B190" s="17" t="str">
        <x:v>Digital Finance Hub</x:v>
      </x:c>
      <x:c r="C190" s="17" t="str">
        <x:v>Growing</x:v>
      </x:c>
      <x:c r="D190" s="17" t="str">
        <x:v>Rare</x:v>
      </x:c>
      <x:c r="E190" s="17" t="n">
        <x:v>28</x:v>
      </x:c>
      <x:c r="F190" s="17" t="n">
        <x:v>3</x:v>
      </x:c>
      <x:c r="G190" s="17" t="str">
        <x:v>Upgrade to Lv3</x:v>
      </x:c>
      <x:c r="H190" s="38" t="n">
        <x:f>ROUND(H189*INDEX('Balance Inputs'!$C$2:$C$7,MATCH(C190,'Balance Inputs'!$A$2:$A$7,0)),0)</x:f>
        <x:v>229274</x:v>
      </x:c>
      <x:c r="I190" s="38" t="n">
        <x:f>ROUND(INDEX('Balance Inputs'!$L$2:$L$51,MATCH(A190,'Balance Inputs'!$I$2:$I$51,0))*POWER(INDEX('Balance Inputs'!$D$2:$D$7,MATCH(C190,'Balance Inputs'!$A$2:$A$7,0)),F190-1),0)</x:f>
        <x:v>10330</x:v>
      </x:c>
      <x:c r="J190" s="38" t="n">
        <x:f>ROUND(I190*INDEX('Balance Inputs'!$F$2:$F$7,MATCH(C190,'Balance Inputs'!$A$2:$A$7,0)),0)</x:f>
        <x:v>1446</x:v>
      </x:c>
      <x:c r="K190" s="38" t="n">
        <x:f>I190-J190</x:f>
        <x:v>8884</x:v>
      </x:c>
      <x:c r="L190" s="38" t="n">
        <x:f>ROUND(INDEX('Balance Inputs'!$M$2:$M$51,MATCH(A190,'Balance Inputs'!$I$2:$I$51,0))*POWER(INDEX('Balance Inputs'!$E$2:$E$7,MATCH(C190,'Balance Inputs'!$A$2:$A$7,0)),F190-1),0)</x:f>
        <x:v>11806</x:v>
      </x:c>
      <x:c r="M190" s="38" t="n">
        <x:f>ROUND(INDEX('Balance Inputs'!$N$2:$N$51,MATCH(A190,'Balance Inputs'!$I$2:$I$51,0))*POWER(INDEX('Balance Inputs'!$G$2:$G$7,MATCH(C190,'Balance Inputs'!$A$2:$A$7,0)),F190-1),0)</x:f>
        <x:v>1097</x:v>
      </x:c>
      <x:c r="N190" s="38" t="n">
        <x:f>IF(A190&lt;&gt;A189,H190,N189+H190)</x:f>
        <x:v>462130</x:v>
      </x:c>
      <x:c r="O190" s="42" t="n">
        <x:f>IF(I190=0,0,H190/I190)</x:f>
        <x:v>22.194966118102613</x:v>
      </x:c>
      <x:c r="P190" s="43" t="n">
        <x:f>I190/INDEX('Balance Inputs'!$L$2:$L$51,MATCH(A190,'Balance Inputs'!$I$2:$I$51,0))</x:f>
        <x:v>1.8495971351835272</x:v>
      </x:c>
      <x:c r="Q190" s="43" t="n">
        <x:f>L190/INDEX('Balance Inputs'!$M$2:$M$51,MATCH(A190,'Balance Inputs'!$I$2:$I$51,0))</x:f>
        <x:v>1.7955893536121672</x:v>
      </x:c>
      <x:c r="R190" s="17"/>
      <x:c r="S190" s="17"/>
      <x:c r="T190" s="17"/>
      <x:c r="U190" s="17"/>
      <x:c r="V190" s="17"/>
      <x:c r="W190" s="17"/>
      <x:c r="X190" s="17"/>
      <x:c r="Y190" s="17"/>
      <x:c r="Z190" s="17"/>
    </x:row>
    <x:row r="191">
      <x:c r="A191" s="17" t="n">
        <x:v>28</x:v>
      </x:c>
      <x:c r="B191" s="17" t="str">
        <x:v>Digital Finance Hub</x:v>
      </x:c>
      <x:c r="C191" s="17" t="str">
        <x:v>Growing</x:v>
      </x:c>
      <x:c r="D191" s="17" t="str">
        <x:v>Rare</x:v>
      </x:c>
      <x:c r="E191" s="17" t="n">
        <x:v>28</x:v>
      </x:c>
      <x:c r="F191" s="17" t="n">
        <x:v>4</x:v>
      </x:c>
      <x:c r="G191" s="17" t="str">
        <x:v>Upgrade to Lv4</x:v>
      </x:c>
      <x:c r="H191" s="38" t="n">
        <x:f>ROUND(H190*INDEX('Balance Inputs'!$C$2:$C$7,MATCH(C191,'Balance Inputs'!$A$2:$A$7,0)),0)</x:f>
        <x:v>366838</x:v>
      </x:c>
      <x:c r="I191" s="38" t="n">
        <x:f>ROUND(INDEX('Balance Inputs'!$L$2:$L$51,MATCH(A191,'Balance Inputs'!$I$2:$I$51,0))*POWER(INDEX('Balance Inputs'!$D$2:$D$7,MATCH(C191,'Balance Inputs'!$A$2:$A$7,0)),F191-1),0)</x:f>
        <x:v>14049</x:v>
      </x:c>
      <x:c r="J191" s="38" t="n">
        <x:f>ROUND(I191*INDEX('Balance Inputs'!$F$2:$F$7,MATCH(C191,'Balance Inputs'!$A$2:$A$7,0)),0)</x:f>
        <x:v>1967</x:v>
      </x:c>
      <x:c r="K191" s="38" t="n">
        <x:f>I191-J191</x:f>
        <x:v>12082</x:v>
      </x:c>
      <x:c r="L191" s="38" t="n">
        <x:f>ROUND(INDEX('Balance Inputs'!$M$2:$M$51,MATCH(A191,'Balance Inputs'!$I$2:$I$51,0))*POWER(INDEX('Balance Inputs'!$E$2:$E$7,MATCH(C191,'Balance Inputs'!$A$2:$A$7,0)),F191-1),0)</x:f>
        <x:v>15820</x:v>
      </x:c>
      <x:c r="M191" s="38" t="n">
        <x:f>ROUND(INDEX('Balance Inputs'!$N$2:$N$51,MATCH(A191,'Balance Inputs'!$I$2:$I$51,0))*POWER(INDEX('Balance Inputs'!$G$2:$G$7,MATCH(C191,'Balance Inputs'!$A$2:$A$7,0)),F191-1),0)</x:f>
        <x:v>1207</x:v>
      </x:c>
      <x:c r="N191" s="38" t="n">
        <x:f>IF(A191&lt;&gt;A190,H191,N190+H191)</x:f>
        <x:v>828968</x:v>
      </x:c>
      <x:c r="O191" s="42" t="n">
        <x:f>IF(I191=0,0,H191/I191)</x:f>
        <x:v>26.11132464944124</x:v>
      </x:c>
      <x:c r="P191" s="43" t="n">
        <x:f>I191/INDEX('Balance Inputs'!$L$2:$L$51,MATCH(A191,'Balance Inputs'!$I$2:$I$51,0))</x:f>
        <x:v>2.5154879140555058</x:v>
      </x:c>
      <x:c r="Q191" s="43" t="n">
        <x:f>L191/INDEX('Balance Inputs'!$M$2:$M$51,MATCH(A191,'Balance Inputs'!$I$2:$I$51,0))</x:f>
        <x:v>2.406083650190114</x:v>
      </x:c>
      <x:c r="R191" s="17"/>
      <x:c r="S191" s="17"/>
      <x:c r="T191" s="17"/>
      <x:c r="U191" s="17"/>
      <x:c r="V191" s="17"/>
      <x:c r="W191" s="17"/>
      <x:c r="X191" s="17"/>
      <x:c r="Y191" s="17"/>
      <x:c r="Z191" s="17"/>
    </x:row>
    <x:row r="192">
      <x:c r="A192" s="17" t="n">
        <x:v>28</x:v>
      </x:c>
      <x:c r="B192" s="17" t="str">
        <x:v>Digital Finance Hub</x:v>
      </x:c>
      <x:c r="C192" s="17" t="str">
        <x:v>Growing</x:v>
      </x:c>
      <x:c r="D192" s="17" t="str">
        <x:v>Rare</x:v>
      </x:c>
      <x:c r="E192" s="17" t="n">
        <x:v>28</x:v>
      </x:c>
      <x:c r="F192" s="17" t="n">
        <x:v>5</x:v>
      </x:c>
      <x:c r="G192" s="17" t="str">
        <x:v>Upgrade to Lv5</x:v>
      </x:c>
      <x:c r="H192" s="38" t="n">
        <x:f>ROUND(H191*INDEX('Balance Inputs'!$C$2:$C$7,MATCH(C192,'Balance Inputs'!$A$2:$A$7,0)),0)</x:f>
        <x:v>586941</x:v>
      </x:c>
      <x:c r="I192" s="38" t="n">
        <x:f>ROUND(INDEX('Balance Inputs'!$L$2:$L$51,MATCH(A192,'Balance Inputs'!$I$2:$I$51,0))*POWER(INDEX('Balance Inputs'!$D$2:$D$7,MATCH(C192,'Balance Inputs'!$A$2:$A$7,0)),F192-1),0)</x:f>
        <x:v>19106</x:v>
      </x:c>
      <x:c r="J192" s="38" t="n">
        <x:f>ROUND(I192*INDEX('Balance Inputs'!$F$2:$F$7,MATCH(C192,'Balance Inputs'!$A$2:$A$7,0)),0)</x:f>
        <x:v>2675</x:v>
      </x:c>
      <x:c r="K192" s="38" t="n">
        <x:f>I192-J192</x:f>
        <x:v>16431</x:v>
      </x:c>
      <x:c r="L192" s="38" t="n">
        <x:f>ROUND(INDEX('Balance Inputs'!$M$2:$M$51,MATCH(A192,'Balance Inputs'!$I$2:$I$51,0))*POWER(INDEX('Balance Inputs'!$E$2:$E$7,MATCH(C192,'Balance Inputs'!$A$2:$A$7,0)),F192-1),0)</x:f>
        <x:v>21199</x:v>
      </x:c>
      <x:c r="M192" s="38" t="n">
        <x:f>ROUND(INDEX('Balance Inputs'!$N$2:$N$51,MATCH(A192,'Balance Inputs'!$I$2:$I$51,0))*POWER(INDEX('Balance Inputs'!$G$2:$G$7,MATCH(C192,'Balance Inputs'!$A$2:$A$7,0)),F192-1),0)</x:f>
        <x:v>1328</x:v>
      </x:c>
      <x:c r="N192" s="38" t="n">
        <x:f>IF(A192&lt;&gt;A191,H192,N191+H192)</x:f>
        <x:v>1415909</x:v>
      </x:c>
      <x:c r="O192" s="42" t="n">
        <x:f>IF(I192=0,0,H192/I192)</x:f>
        <x:v>30.720244949230608</x:v>
      </x:c>
      <x:c r="P192" s="43" t="n">
        <x:f>I192/INDEX('Balance Inputs'!$L$2:$L$51,MATCH(A192,'Balance Inputs'!$I$2:$I$51,0))</x:f>
        <x:v>3.42094897045658</x:v>
      </x:c>
      <x:c r="Q192" s="43" t="n">
        <x:f>L192/INDEX('Balance Inputs'!$M$2:$M$51,MATCH(A192,'Balance Inputs'!$I$2:$I$51,0))</x:f>
        <x:v>3.2241825095057033</x:v>
      </x:c>
      <x:c r="R192" s="17"/>
      <x:c r="S192" s="17"/>
      <x:c r="T192" s="17"/>
      <x:c r="U192" s="17"/>
      <x:c r="V192" s="17"/>
      <x:c r="W192" s="17"/>
      <x:c r="X192" s="17"/>
      <x:c r="Y192" s="17"/>
      <x:c r="Z192" s="17"/>
    </x:row>
    <x:row r="193">
      <x:c r="A193" s="17" t="n">
        <x:v>28</x:v>
      </x:c>
      <x:c r="B193" s="17" t="str">
        <x:v>Digital Finance Hub</x:v>
      </x:c>
      <x:c r="C193" s="17" t="str">
        <x:v>Growing</x:v>
      </x:c>
      <x:c r="D193" s="17" t="str">
        <x:v>Rare</x:v>
      </x:c>
      <x:c r="E193" s="17" t="n">
        <x:v>28</x:v>
      </x:c>
      <x:c r="F193" s="17" t="n">
        <x:v>6</x:v>
      </x:c>
      <x:c r="G193" s="17" t="str">
        <x:v>Upgrade to Lv6</x:v>
      </x:c>
      <x:c r="H193" s="38" t="n">
        <x:f>ROUND(H192*INDEX('Balance Inputs'!$C$2:$C$7,MATCH(C193,'Balance Inputs'!$A$2:$A$7,0)),0)</x:f>
        <x:v>939106</x:v>
      </x:c>
      <x:c r="I193" s="38" t="n">
        <x:f>ROUND(INDEX('Balance Inputs'!$L$2:$L$51,MATCH(A193,'Balance Inputs'!$I$2:$I$51,0))*POWER(INDEX('Balance Inputs'!$D$2:$D$7,MATCH(C193,'Balance Inputs'!$A$2:$A$7,0)),F193-1),0)</x:f>
        <x:v>25985</x:v>
      </x:c>
      <x:c r="J193" s="38" t="n">
        <x:f>ROUND(I193*INDEX('Balance Inputs'!$F$2:$F$7,MATCH(C193,'Balance Inputs'!$A$2:$A$7,0)),0)</x:f>
        <x:v>3638</x:v>
      </x:c>
      <x:c r="K193" s="38" t="n">
        <x:f>I193-J193</x:f>
        <x:v>22347</x:v>
      </x:c>
      <x:c r="L193" s="38" t="n">
        <x:f>ROUND(INDEX('Balance Inputs'!$M$2:$M$51,MATCH(A193,'Balance Inputs'!$I$2:$I$51,0))*POWER(INDEX('Balance Inputs'!$E$2:$E$7,MATCH(C193,'Balance Inputs'!$A$2:$A$7,0)),F193-1),0)</x:f>
        <x:v>28407</x:v>
      </x:c>
      <x:c r="M193" s="38" t="n">
        <x:f>ROUND(INDEX('Balance Inputs'!$N$2:$N$51,MATCH(A193,'Balance Inputs'!$I$2:$I$51,0))*POWER(INDEX('Balance Inputs'!$G$2:$G$7,MATCH(C193,'Balance Inputs'!$A$2:$A$7,0)),F193-1),0)</x:f>
        <x:v>1461</x:v>
      </x:c>
      <x:c r="N193" s="38" t="n">
        <x:f>IF(A193&lt;&gt;A192,H193,N192+H193)</x:f>
        <x:v>2355015</x:v>
      </x:c>
      <x:c r="O193" s="42" t="n">
        <x:f>IF(I193=0,0,H193/I193)</x:f>
        <x:v>36.14031171829902</x:v>
      </x:c>
      <x:c r="P193" s="43" t="n">
        <x:f>I193/INDEX('Balance Inputs'!$L$2:$L$51,MATCH(A193,'Balance Inputs'!$I$2:$I$51,0))</x:f>
        <x:v>4.652641002685765</x:v>
      </x:c>
      <x:c r="Q193" s="43" t="n">
        <x:f>L193/INDEX('Balance Inputs'!$M$2:$M$51,MATCH(A193,'Balance Inputs'!$I$2:$I$51,0))</x:f>
        <x:v>4.3204562737642584</x:v>
      </x:c>
      <x:c r="R193" s="17"/>
      <x:c r="S193" s="17"/>
      <x:c r="T193" s="17"/>
      <x:c r="U193" s="17"/>
      <x:c r="V193" s="17"/>
      <x:c r="W193" s="17"/>
      <x:c r="X193" s="17"/>
      <x:c r="Y193" s="17"/>
      <x:c r="Z193" s="17"/>
    </x:row>
    <x:row r="194">
      <x:c r="A194" s="17" t="n">
        <x:v>28</x:v>
      </x:c>
      <x:c r="B194" s="17" t="str">
        <x:v>Digital Finance Hub</x:v>
      </x:c>
      <x:c r="C194" s="17" t="str">
        <x:v>Growing</x:v>
      </x:c>
      <x:c r="D194" s="17" t="str">
        <x:v>Rare</x:v>
      </x:c>
      <x:c r="E194" s="17" t="n">
        <x:v>28</x:v>
      </x:c>
      <x:c r="F194" s="17" t="n">
        <x:v>7</x:v>
      </x:c>
      <x:c r="G194" s="17" t="str">
        <x:v>Upgrade to Lv7</x:v>
      </x:c>
      <x:c r="H194" s="38" t="n">
        <x:f>ROUND(H193*INDEX('Balance Inputs'!$C$2:$C$7,MATCH(C194,'Balance Inputs'!$A$2:$A$7,0)),0)</x:f>
        <x:v>1502570</x:v>
      </x:c>
      <x:c r="I194" s="38" t="n">
        <x:f>ROUND(INDEX('Balance Inputs'!$L$2:$L$51,MATCH(A194,'Balance Inputs'!$I$2:$I$51,0))*POWER(INDEX('Balance Inputs'!$D$2:$D$7,MATCH(C194,'Balance Inputs'!$A$2:$A$7,0)),F194-1),0)</x:f>
        <x:v>35339</x:v>
      </x:c>
      <x:c r="J194" s="38" t="n">
        <x:f>ROUND(I194*INDEX('Balance Inputs'!$F$2:$F$7,MATCH(C194,'Balance Inputs'!$A$2:$A$7,0)),0)</x:f>
        <x:v>4947</x:v>
      </x:c>
      <x:c r="K194" s="38" t="n">
        <x:f>I194-J194</x:f>
        <x:v>30392</x:v>
      </x:c>
      <x:c r="L194" s="38" t="n">
        <x:f>ROUND(INDEX('Balance Inputs'!$M$2:$M$51,MATCH(A194,'Balance Inputs'!$I$2:$I$51,0))*POWER(INDEX('Balance Inputs'!$E$2:$E$7,MATCH(C194,'Balance Inputs'!$A$2:$A$7,0)),F194-1),0)</x:f>
        <x:v>38065</x:v>
      </x:c>
      <x:c r="M194" s="38" t="n">
        <x:f>ROUND(INDEX('Balance Inputs'!$N$2:$N$51,MATCH(A194,'Balance Inputs'!$I$2:$I$51,0))*POWER(INDEX('Balance Inputs'!$G$2:$G$7,MATCH(C194,'Balance Inputs'!$A$2:$A$7,0)),F194-1),0)</x:f>
        <x:v>1607</x:v>
      </x:c>
      <x:c r="N194" s="38" t="n">
        <x:f>IF(A194&lt;&gt;A193,H194,N193+H194)</x:f>
        <x:v>3857585</x:v>
      </x:c>
      <x:c r="O194" s="42" t="n">
        <x:f>IF(I194=0,0,H194/I194)</x:f>
        <x:v>42.518746993406715</x:v>
      </x:c>
      <x:c r="P194" s="43" t="n">
        <x:f>I194/INDEX('Balance Inputs'!$L$2:$L$51,MATCH(A194,'Balance Inputs'!$I$2:$I$51,0))</x:f>
        <x:v>6.327484333034915</x:v>
      </x:c>
      <x:c r="Q194" s="43" t="n">
        <x:f>L194/INDEX('Balance Inputs'!$M$2:$M$51,MATCH(A194,'Balance Inputs'!$I$2:$I$51,0))</x:f>
        <x:v>5.7893536121673</x:v>
      </x:c>
      <x:c r="R194" s="17"/>
      <x:c r="S194" s="17"/>
      <x:c r="T194" s="17"/>
      <x:c r="U194" s="17"/>
      <x:c r="V194" s="17"/>
      <x:c r="W194" s="17"/>
      <x:c r="X194" s="17"/>
      <x:c r="Y194" s="17"/>
      <x:c r="Z194" s="17"/>
    </x:row>
    <x:row r="195">
      <x:c r="A195" s="17" t="n">
        <x:v>28</x:v>
      </x:c>
      <x:c r="B195" s="17" t="str">
        <x:v>Digital Finance Hub</x:v>
      </x:c>
      <x:c r="C195" s="17" t="str">
        <x:v>Growing</x:v>
      </x:c>
      <x:c r="D195" s="17" t="str">
        <x:v>Rare</x:v>
      </x:c>
      <x:c r="E195" s="17" t="n">
        <x:v>28</x:v>
      </x:c>
      <x:c r="F195" s="17" t="n">
        <x:v>8</x:v>
      </x:c>
      <x:c r="G195" s="17" t="str">
        <x:v>Upgrade to Lv8</x:v>
      </x:c>
      <x:c r="H195" s="38" t="n">
        <x:f>ROUND(H194*INDEX('Balance Inputs'!$C$2:$C$7,MATCH(C195,'Balance Inputs'!$A$2:$A$7,0)),0)</x:f>
        <x:v>2404112</x:v>
      </x:c>
      <x:c r="I195" s="38" t="n">
        <x:f>ROUND(INDEX('Balance Inputs'!$L$2:$L$51,MATCH(A195,'Balance Inputs'!$I$2:$I$51,0))*POWER(INDEX('Balance Inputs'!$D$2:$D$7,MATCH(C195,'Balance Inputs'!$A$2:$A$7,0)),F195-1),0)</x:f>
        <x:v>48061</x:v>
      </x:c>
      <x:c r="J195" s="38" t="n">
        <x:f>ROUND(I195*INDEX('Balance Inputs'!$F$2:$F$7,MATCH(C195,'Balance Inputs'!$A$2:$A$7,0)),0)</x:f>
        <x:v>6729</x:v>
      </x:c>
      <x:c r="K195" s="38" t="n">
        <x:f>I195-J195</x:f>
        <x:v>41332</x:v>
      </x:c>
      <x:c r="L195" s="38" t="n">
        <x:f>ROUND(INDEX('Balance Inputs'!$M$2:$M$51,MATCH(A195,'Balance Inputs'!$I$2:$I$51,0))*POWER(INDEX('Balance Inputs'!$E$2:$E$7,MATCH(C195,'Balance Inputs'!$A$2:$A$7,0)),F195-1),0)</x:f>
        <x:v>51007</x:v>
      </x:c>
      <x:c r="M195" s="38" t="n">
        <x:f>ROUND(INDEX('Balance Inputs'!$N$2:$N$51,MATCH(A195,'Balance Inputs'!$I$2:$I$51,0))*POWER(INDEX('Balance Inputs'!$G$2:$G$7,MATCH(C195,'Balance Inputs'!$A$2:$A$7,0)),F195-1),0)</x:f>
        <x:v>1767</x:v>
      </x:c>
      <x:c r="N195" s="38" t="n">
        <x:f>IF(A195&lt;&gt;A194,H195,N194+H195)</x:f>
        <x:v>6261697</x:v>
      </x:c>
      <x:c r="O195" s="42" t="n">
        <x:f>IF(I195=0,0,H195/I195)</x:f>
        <x:v>50.02209691849941</x:v>
      </x:c>
      <x:c r="P195" s="43" t="n">
        <x:f>I195/INDEX('Balance Inputs'!$L$2:$L$51,MATCH(A195,'Balance Inputs'!$I$2:$I$51,0))</x:f>
        <x:v>8.605371530886302</x:v>
      </x:c>
      <x:c r="Q195" s="43" t="n">
        <x:f>L195/INDEX('Balance Inputs'!$M$2:$M$51,MATCH(A195,'Balance Inputs'!$I$2:$I$51,0))</x:f>
        <x:v>7.757718631178707</x:v>
      </x:c>
      <x:c r="R195" s="17"/>
      <x:c r="S195" s="17"/>
      <x:c r="T195" s="17"/>
      <x:c r="U195" s="17"/>
      <x:c r="V195" s="17"/>
      <x:c r="W195" s="17"/>
      <x:c r="X195" s="17"/>
      <x:c r="Y195" s="17"/>
      <x:c r="Z195" s="17"/>
    </x:row>
    <x:row r="196">
      <x:c r="A196" s="17" t="n">
        <x:v>29</x:v>
      </x:c>
      <x:c r="B196" s="17" t="str">
        <x:v>Trading House</x:v>
      </x:c>
      <x:c r="C196" s="17" t="str">
        <x:v>Growing</x:v>
      </x:c>
      <x:c r="D196" s="17" t="str">
        <x:v>Rare</x:v>
      </x:c>
      <x:c r="E196" s="17" t="n">
        <x:v>29</x:v>
      </x:c>
      <x:c r="F196" s="17" t="n">
        <x:v>1</x:v>
      </x:c>
      <x:c r="G196" s="17" t="str">
        <x:v>Build</x:v>
      </x:c>
      <x:c r="H196" s="38" t="n">
        <x:f>INDEX('Balance Inputs'!$K$2:$K$51,MATCH(A196,'Balance Inputs'!$I$2:$I$51,0))</x:f>
        <x:v>110610</x:v>
      </x:c>
      <x:c r="I196" s="38" t="n">
        <x:f>ROUND(INDEX('Balance Inputs'!$L$2:$L$51,MATCH(A196,'Balance Inputs'!$I$2:$I$51,0))*POWER(INDEX('Balance Inputs'!$D$2:$D$7,MATCH(C196,'Balance Inputs'!$A$2:$A$7,0)),F196-1),0)</x:f>
        <x:v>7604</x:v>
      </x:c>
      <x:c r="J196" s="38" t="n">
        <x:f>ROUND(I196*INDEX('Balance Inputs'!$F$2:$F$7,MATCH(C196,'Balance Inputs'!$A$2:$A$7,0)),0)</x:f>
        <x:v>1065</x:v>
      </x:c>
      <x:c r="K196" s="38" t="n">
        <x:f>I196-J196</x:f>
        <x:v>6539</x:v>
      </x:c>
      <x:c r="L196" s="38" t="n">
        <x:f>ROUND(INDEX('Balance Inputs'!$M$2:$M$51,MATCH(A196,'Balance Inputs'!$I$2:$I$51,0))*POWER(INDEX('Balance Inputs'!$E$2:$E$7,MATCH(C196,'Balance Inputs'!$A$2:$A$7,0)),F196-1),0)</x:f>
        <x:v>7825</x:v>
      </x:c>
      <x:c r="M196" s="38" t="n">
        <x:f>ROUND(INDEX('Balance Inputs'!$N$2:$N$51,MATCH(A196,'Balance Inputs'!$I$2:$I$51,0))*POWER(INDEX('Balance Inputs'!$G$2:$G$7,MATCH(C196,'Balance Inputs'!$A$2:$A$7,0)),F196-1),0)</x:f>
        <x:v>1127</x:v>
      </x:c>
      <x:c r="N196" s="38" t="n">
        <x:f>IF(A196&lt;&gt;A195,H196,N195+H196)</x:f>
        <x:v>110610</x:v>
      </x:c>
      <x:c r="O196" s="42" t="n">
        <x:f>IF(I196=0,0,H196/I196)</x:f>
        <x:v>14.546291425565492</x:v>
      </x:c>
      <x:c r="P196" s="43" t="n">
        <x:f>I196/INDEX('Balance Inputs'!$L$2:$L$51,MATCH(A196,'Balance Inputs'!$I$2:$I$51,0))</x:f>
        <x:v>1</x:v>
      </x:c>
      <x:c r="Q196" s="43" t="n">
        <x:f>L196/INDEX('Balance Inputs'!$M$2:$M$51,MATCH(A196,'Balance Inputs'!$I$2:$I$51,0))</x:f>
        <x:v>1</x:v>
      </x:c>
      <x:c r="R196" s="17"/>
      <x:c r="S196" s="17"/>
      <x:c r="T196" s="17"/>
      <x:c r="U196" s="17"/>
      <x:c r="V196" s="17"/>
      <x:c r="W196" s="17"/>
      <x:c r="X196" s="17"/>
      <x:c r="Y196" s="17"/>
      <x:c r="Z196" s="17"/>
    </x:row>
    <x:row r="197">
      <x:c r="A197" s="17" t="n">
        <x:v>29</x:v>
      </x:c>
      <x:c r="B197" s="17" t="str">
        <x:v>Trading House</x:v>
      </x:c>
      <x:c r="C197" s="17" t="str">
        <x:v>Growing</x:v>
      </x:c>
      <x:c r="D197" s="17" t="str">
        <x:v>Rare</x:v>
      </x:c>
      <x:c r="E197" s="17" t="n">
        <x:v>29</x:v>
      </x:c>
      <x:c r="F197" s="17" t="n">
        <x:v>2</x:v>
      </x:c>
      <x:c r="G197" s="17" t="str">
        <x:v>Upgrade to Lv2</x:v>
      </x:c>
      <x:c r="H197" s="38" t="n">
        <x:f>ROUND(H196*INDEX('Balance Inputs'!$C$2:$C$7,MATCH(C197,'Balance Inputs'!$A$2:$A$7,0)),0)</x:f>
        <x:v>176976</x:v>
      </x:c>
      <x:c r="I197" s="38" t="n">
        <x:f>ROUND(INDEX('Balance Inputs'!$L$2:$L$51,MATCH(A197,'Balance Inputs'!$I$2:$I$51,0))*POWER(INDEX('Balance Inputs'!$D$2:$D$7,MATCH(C197,'Balance Inputs'!$A$2:$A$7,0)),F197-1),0)</x:f>
        <x:v>10341</x:v>
      </x:c>
      <x:c r="J197" s="38" t="n">
        <x:f>ROUND(I197*INDEX('Balance Inputs'!$F$2:$F$7,MATCH(C197,'Balance Inputs'!$A$2:$A$7,0)),0)</x:f>
        <x:v>1448</x:v>
      </x:c>
      <x:c r="K197" s="38" t="n">
        <x:f>I197-J197</x:f>
        <x:v>8893</x:v>
      </x:c>
      <x:c r="L197" s="38" t="n">
        <x:f>ROUND(INDEX('Balance Inputs'!$M$2:$M$51,MATCH(A197,'Balance Inputs'!$I$2:$I$51,0))*POWER(INDEX('Balance Inputs'!$E$2:$E$7,MATCH(C197,'Balance Inputs'!$A$2:$A$7,0)),F197-1),0)</x:f>
        <x:v>10486</x:v>
      </x:c>
      <x:c r="M197" s="38" t="n">
        <x:f>ROUND(INDEX('Balance Inputs'!$N$2:$N$51,MATCH(A197,'Balance Inputs'!$I$2:$I$51,0))*POWER(INDEX('Balance Inputs'!$G$2:$G$7,MATCH(C197,'Balance Inputs'!$A$2:$A$7,0)),F197-1),0)</x:f>
        <x:v>1240</x:v>
      </x:c>
      <x:c r="N197" s="38" t="n">
        <x:f>IF(A197&lt;&gt;A196,H197,N196+H197)</x:f>
        <x:v>287586</x:v>
      </x:c>
      <x:c r="O197" s="42" t="n">
        <x:f>IF(I197=0,0,H197/I197)</x:f>
        <x:v>17.11401218450827</x:v>
      </x:c>
      <x:c r="P197" s="43" t="n">
        <x:f>I197/INDEX('Balance Inputs'!$L$2:$L$51,MATCH(A197,'Balance Inputs'!$I$2:$I$51,0))</x:f>
        <x:v>1.3599421357180432</x:v>
      </x:c>
      <x:c r="Q197" s="43" t="n">
        <x:f>L197/INDEX('Balance Inputs'!$M$2:$M$51,MATCH(A197,'Balance Inputs'!$I$2:$I$51,0))</x:f>
        <x:v>1.3400638977635784</x:v>
      </x:c>
      <x:c r="R197" s="17"/>
      <x:c r="S197" s="17"/>
      <x:c r="T197" s="17"/>
      <x:c r="U197" s="17"/>
      <x:c r="V197" s="17"/>
      <x:c r="W197" s="17"/>
      <x:c r="X197" s="17"/>
      <x:c r="Y197" s="17"/>
      <x:c r="Z197" s="17"/>
    </x:row>
    <x:row r="198">
      <x:c r="A198" s="17" t="n">
        <x:v>29</x:v>
      </x:c>
      <x:c r="B198" s="17" t="str">
        <x:v>Trading House</x:v>
      </x:c>
      <x:c r="C198" s="17" t="str">
        <x:v>Growing</x:v>
      </x:c>
      <x:c r="D198" s="17" t="str">
        <x:v>Rare</x:v>
      </x:c>
      <x:c r="E198" s="17" t="n">
        <x:v>29</x:v>
      </x:c>
      <x:c r="F198" s="17" t="n">
        <x:v>3</x:v>
      </x:c>
      <x:c r="G198" s="17" t="str">
        <x:v>Upgrade to Lv3</x:v>
      </x:c>
      <x:c r="H198" s="38" t="n">
        <x:f>ROUND(H197*INDEX('Balance Inputs'!$C$2:$C$7,MATCH(C198,'Balance Inputs'!$A$2:$A$7,0)),0)</x:f>
        <x:v>283162</x:v>
      </x:c>
      <x:c r="I198" s="38" t="n">
        <x:f>ROUND(INDEX('Balance Inputs'!$L$2:$L$51,MATCH(A198,'Balance Inputs'!$I$2:$I$51,0))*POWER(INDEX('Balance Inputs'!$D$2:$D$7,MATCH(C198,'Balance Inputs'!$A$2:$A$7,0)),F198-1),0)</x:f>
        <x:v>14064</x:v>
      </x:c>
      <x:c r="J198" s="38" t="n">
        <x:f>ROUND(I198*INDEX('Balance Inputs'!$F$2:$F$7,MATCH(C198,'Balance Inputs'!$A$2:$A$7,0)),0)</x:f>
        <x:v>1969</x:v>
      </x:c>
      <x:c r="K198" s="38" t="n">
        <x:f>I198-J198</x:f>
        <x:v>12095</x:v>
      </x:c>
      <x:c r="L198" s="38" t="n">
        <x:f>ROUND(INDEX('Balance Inputs'!$M$2:$M$51,MATCH(A198,'Balance Inputs'!$I$2:$I$51,0))*POWER(INDEX('Balance Inputs'!$E$2:$E$7,MATCH(C198,'Balance Inputs'!$A$2:$A$7,0)),F198-1),0)</x:f>
        <x:v>14051</x:v>
      </x:c>
      <x:c r="M198" s="38" t="n">
        <x:f>ROUND(INDEX('Balance Inputs'!$N$2:$N$51,MATCH(A198,'Balance Inputs'!$I$2:$I$51,0))*POWER(INDEX('Balance Inputs'!$G$2:$G$7,MATCH(C198,'Balance Inputs'!$A$2:$A$7,0)),F198-1),0)</x:f>
        <x:v>1364</x:v>
      </x:c>
      <x:c r="N198" s="38" t="n">
        <x:f>IF(A198&lt;&gt;A197,H198,N197+H198)</x:f>
        <x:v>570748</x:v>
      </x:c>
      <x:c r="O198" s="42" t="n">
        <x:f>IF(I198=0,0,H198/I198)</x:f>
        <x:v>20.13381683731513</x:v>
      </x:c>
      <x:c r="P198" s="43" t="n">
        <x:f>I198/INDEX('Balance Inputs'!$L$2:$L$51,MATCH(A198,'Balance Inputs'!$I$2:$I$51,0))</x:f>
        <x:v>1.8495528669121515</x:v>
      </x:c>
      <x:c r="Q198" s="43" t="n">
        <x:f>L198/INDEX('Balance Inputs'!$M$2:$M$51,MATCH(A198,'Balance Inputs'!$I$2:$I$51,0))</x:f>
        <x:v>1.7956549520766774</x:v>
      </x:c>
      <x:c r="R198" s="17"/>
      <x:c r="S198" s="17"/>
      <x:c r="T198" s="17"/>
      <x:c r="U198" s="17"/>
      <x:c r="V198" s="17"/>
      <x:c r="W198" s="17"/>
      <x:c r="X198" s="17"/>
      <x:c r="Y198" s="17"/>
      <x:c r="Z198" s="17"/>
    </x:row>
    <x:row r="199">
      <x:c r="A199" s="17" t="n">
        <x:v>29</x:v>
      </x:c>
      <x:c r="B199" s="17" t="str">
        <x:v>Trading House</x:v>
      </x:c>
      <x:c r="C199" s="17" t="str">
        <x:v>Growing</x:v>
      </x:c>
      <x:c r="D199" s="17" t="str">
        <x:v>Rare</x:v>
      </x:c>
      <x:c r="E199" s="17" t="n">
        <x:v>29</x:v>
      </x:c>
      <x:c r="F199" s="17" t="n">
        <x:v>4</x:v>
      </x:c>
      <x:c r="G199" s="17" t="str">
        <x:v>Upgrade to Lv4</x:v>
      </x:c>
      <x:c r="H199" s="38" t="n">
        <x:f>ROUND(H198*INDEX('Balance Inputs'!$C$2:$C$7,MATCH(C199,'Balance Inputs'!$A$2:$A$7,0)),0)</x:f>
        <x:v>453059</x:v>
      </x:c>
      <x:c r="I199" s="38" t="n">
        <x:f>ROUND(INDEX('Balance Inputs'!$L$2:$L$51,MATCH(A199,'Balance Inputs'!$I$2:$I$51,0))*POWER(INDEX('Balance Inputs'!$D$2:$D$7,MATCH(C199,'Balance Inputs'!$A$2:$A$7,0)),F199-1),0)</x:f>
        <x:v>19128</x:v>
      </x:c>
      <x:c r="J199" s="38" t="n">
        <x:f>ROUND(I199*INDEX('Balance Inputs'!$F$2:$F$7,MATCH(C199,'Balance Inputs'!$A$2:$A$7,0)),0)</x:f>
        <x:v>2678</x:v>
      </x:c>
      <x:c r="K199" s="38" t="n">
        <x:f>I199-J199</x:f>
        <x:v>16450</x:v>
      </x:c>
      <x:c r="L199" s="38" t="n">
        <x:f>ROUND(INDEX('Balance Inputs'!$M$2:$M$51,MATCH(A199,'Balance Inputs'!$I$2:$I$51,0))*POWER(INDEX('Balance Inputs'!$E$2:$E$7,MATCH(C199,'Balance Inputs'!$A$2:$A$7,0)),F199-1),0)</x:f>
        <x:v>18828</x:v>
      </x:c>
      <x:c r="M199" s="38" t="n">
        <x:f>ROUND(INDEX('Balance Inputs'!$N$2:$N$51,MATCH(A199,'Balance Inputs'!$I$2:$I$51,0))*POWER(INDEX('Balance Inputs'!$G$2:$G$7,MATCH(C199,'Balance Inputs'!$A$2:$A$7,0)),F199-1),0)</x:f>
        <x:v>1500</x:v>
      </x:c>
      <x:c r="N199" s="38" t="n">
        <x:f>IF(A199&lt;&gt;A198,H199,N198+H199)</x:f>
        <x:v>1023807</x:v>
      </x:c>
      <x:c r="O199" s="42" t="n">
        <x:f>IF(I199=0,0,H199/I199)</x:f>
        <x:v>23.68564408197407</x:v>
      </x:c>
      <x:c r="P199" s="43" t="n">
        <x:f>I199/INDEX('Balance Inputs'!$L$2:$L$51,MATCH(A199,'Balance Inputs'!$I$2:$I$51,0))</x:f>
        <x:v>2.5155181483429776</x:v>
      </x:c>
      <x:c r="Q199" s="43" t="n">
        <x:f>L199/INDEX('Balance Inputs'!$M$2:$M$51,MATCH(A199,'Balance Inputs'!$I$2:$I$51,0))</x:f>
        <x:v>2.4061341853035145</x:v>
      </x:c>
      <x:c r="R199" s="17"/>
      <x:c r="S199" s="17"/>
      <x:c r="T199" s="17"/>
      <x:c r="U199" s="17"/>
      <x:c r="V199" s="17"/>
      <x:c r="W199" s="17"/>
      <x:c r="X199" s="17"/>
      <x:c r="Y199" s="17"/>
      <x:c r="Z199" s="17"/>
    </x:row>
    <x:row r="200">
      <x:c r="A200" s="17" t="n">
        <x:v>29</x:v>
      </x:c>
      <x:c r="B200" s="17" t="str">
        <x:v>Trading House</x:v>
      </x:c>
      <x:c r="C200" s="17" t="str">
        <x:v>Growing</x:v>
      </x:c>
      <x:c r="D200" s="17" t="str">
        <x:v>Rare</x:v>
      </x:c>
      <x:c r="E200" s="17" t="n">
        <x:v>29</x:v>
      </x:c>
      <x:c r="F200" s="17" t="n">
        <x:v>5</x:v>
      </x:c>
      <x:c r="G200" s="17" t="str">
        <x:v>Upgrade to Lv5</x:v>
      </x:c>
      <x:c r="H200" s="38" t="n">
        <x:f>ROUND(H199*INDEX('Balance Inputs'!$C$2:$C$7,MATCH(C200,'Balance Inputs'!$A$2:$A$7,0)),0)</x:f>
        <x:v>724894</x:v>
      </x:c>
      <x:c r="I200" s="38" t="n">
        <x:f>ROUND(INDEX('Balance Inputs'!$L$2:$L$51,MATCH(A200,'Balance Inputs'!$I$2:$I$51,0))*POWER(INDEX('Balance Inputs'!$D$2:$D$7,MATCH(C200,'Balance Inputs'!$A$2:$A$7,0)),F200-1),0)</x:f>
        <x:v>26013</x:v>
      </x:c>
      <x:c r="J200" s="38" t="n">
        <x:f>ROUND(I200*INDEX('Balance Inputs'!$F$2:$F$7,MATCH(C200,'Balance Inputs'!$A$2:$A$7,0)),0)</x:f>
        <x:v>3642</x:v>
      </x:c>
      <x:c r="K200" s="38" t="n">
        <x:f>I200-J200</x:f>
        <x:v>22371</x:v>
      </x:c>
      <x:c r="L200" s="38" t="n">
        <x:f>ROUND(INDEX('Balance Inputs'!$M$2:$M$51,MATCH(A200,'Balance Inputs'!$I$2:$I$51,0))*POWER(INDEX('Balance Inputs'!$E$2:$E$7,MATCH(C200,'Balance Inputs'!$A$2:$A$7,0)),F200-1),0)</x:f>
        <x:v>25229</x:v>
      </x:c>
      <x:c r="M200" s="38" t="n">
        <x:f>ROUND(INDEX('Balance Inputs'!$N$2:$N$51,MATCH(A200,'Balance Inputs'!$I$2:$I$51,0))*POWER(INDEX('Balance Inputs'!$G$2:$G$7,MATCH(C200,'Balance Inputs'!$A$2:$A$7,0)),F200-1),0)</x:f>
        <x:v>1650</x:v>
      </x:c>
      <x:c r="N200" s="38" t="n">
        <x:f>IF(A200&lt;&gt;A199,H200,N199+H200)</x:f>
        <x:v>1748701</x:v>
      </x:c>
      <x:c r="O200" s="42" t="n">
        <x:f>IF(I200=0,0,H200/I200)</x:f>
        <x:v>27.866605158958983</x:v>
      </x:c>
      <x:c r="P200" s="43" t="n">
        <x:f>I200/INDEX('Balance Inputs'!$L$2:$L$51,MATCH(A200,'Balance Inputs'!$I$2:$I$51,0))</x:f>
        <x:v>3.4209626512361915</x:v>
      </x:c>
      <x:c r="Q200" s="43" t="n">
        <x:f>L200/INDEX('Balance Inputs'!$M$2:$M$51,MATCH(A200,'Balance Inputs'!$I$2:$I$51,0))</x:f>
        <x:v>3.224153354632588</x:v>
      </x:c>
      <x:c r="R200" s="17"/>
      <x:c r="S200" s="17"/>
      <x:c r="T200" s="17"/>
      <x:c r="U200" s="17"/>
      <x:c r="V200" s="17"/>
      <x:c r="W200" s="17"/>
      <x:c r="X200" s="17"/>
      <x:c r="Y200" s="17"/>
      <x:c r="Z200" s="17"/>
    </x:row>
    <x:row r="201">
      <x:c r="A201" s="17" t="n">
        <x:v>29</x:v>
      </x:c>
      <x:c r="B201" s="17" t="str">
        <x:v>Trading House</x:v>
      </x:c>
      <x:c r="C201" s="17" t="str">
        <x:v>Growing</x:v>
      </x:c>
      <x:c r="D201" s="17" t="str">
        <x:v>Rare</x:v>
      </x:c>
      <x:c r="E201" s="17" t="n">
        <x:v>29</x:v>
      </x:c>
      <x:c r="F201" s="17" t="n">
        <x:v>6</x:v>
      </x:c>
      <x:c r="G201" s="17" t="str">
        <x:v>Upgrade to Lv6</x:v>
      </x:c>
      <x:c r="H201" s="38" t="n">
        <x:f>ROUND(H200*INDEX('Balance Inputs'!$C$2:$C$7,MATCH(C201,'Balance Inputs'!$A$2:$A$7,0)),0)</x:f>
        <x:v>1159830</x:v>
      </x:c>
      <x:c r="I201" s="38" t="n">
        <x:f>ROUND(INDEX('Balance Inputs'!$L$2:$L$51,MATCH(A201,'Balance Inputs'!$I$2:$I$51,0))*POWER(INDEX('Balance Inputs'!$D$2:$D$7,MATCH(C201,'Balance Inputs'!$A$2:$A$7,0)),F201-1),0)</x:f>
        <x:v>35378</x:v>
      </x:c>
      <x:c r="J201" s="38" t="n">
        <x:f>ROUND(I201*INDEX('Balance Inputs'!$F$2:$F$7,MATCH(C201,'Balance Inputs'!$A$2:$A$7,0)),0)</x:f>
        <x:v>4953</x:v>
      </x:c>
      <x:c r="K201" s="38" t="n">
        <x:f>I201-J201</x:f>
        <x:v>30425</x:v>
      </x:c>
      <x:c r="L201" s="38" t="n">
        <x:f>ROUND(INDEX('Balance Inputs'!$M$2:$M$51,MATCH(A201,'Balance Inputs'!$I$2:$I$51,0))*POWER(INDEX('Balance Inputs'!$E$2:$E$7,MATCH(C201,'Balance Inputs'!$A$2:$A$7,0)),F201-1),0)</x:f>
        <x:v>33807</x:v>
      </x:c>
      <x:c r="M201" s="38" t="n">
        <x:f>ROUND(INDEX('Balance Inputs'!$N$2:$N$51,MATCH(A201,'Balance Inputs'!$I$2:$I$51,0))*POWER(INDEX('Balance Inputs'!$G$2:$G$7,MATCH(C201,'Balance Inputs'!$A$2:$A$7,0)),F201-1),0)</x:f>
        <x:v>1815</x:v>
      </x:c>
      <x:c r="N201" s="38" t="n">
        <x:f>IF(A201&lt;&gt;A200,H201,N200+H201)</x:f>
        <x:v>2908531</x:v>
      </x:c>
      <x:c r="O201" s="42" t="n">
        <x:f>IF(I201=0,0,H201/I201)</x:f>
        <x:v>32.78393351800554</x:v>
      </x:c>
      <x:c r="P201" s="43" t="n">
        <x:f>I201/INDEX('Balance Inputs'!$L$2:$L$51,MATCH(A201,'Balance Inputs'!$I$2:$I$51,0))</x:f>
        <x:v>4.652551288795371</x:v>
      </x:c>
      <x:c r="Q201" s="43" t="n">
        <x:f>L201/INDEX('Balance Inputs'!$M$2:$M$51,MATCH(A201,'Balance Inputs'!$I$2:$I$51,0))</x:f>
        <x:v>4.32038338658147</x:v>
      </x:c>
      <x:c r="R201" s="17"/>
      <x:c r="S201" s="17"/>
      <x:c r="T201" s="17"/>
      <x:c r="U201" s="17"/>
      <x:c r="V201" s="17"/>
      <x:c r="W201" s="17"/>
      <x:c r="X201" s="17"/>
      <x:c r="Y201" s="17"/>
      <x:c r="Z201" s="17"/>
    </x:row>
    <x:row r="202">
      <x:c r="A202" s="17" t="n">
        <x:v>29</x:v>
      </x:c>
      <x:c r="B202" s="17" t="str">
        <x:v>Trading House</x:v>
      </x:c>
      <x:c r="C202" s="17" t="str">
        <x:v>Growing</x:v>
      </x:c>
      <x:c r="D202" s="17" t="str">
        <x:v>Rare</x:v>
      </x:c>
      <x:c r="E202" s="17" t="n">
        <x:v>29</x:v>
      </x:c>
      <x:c r="F202" s="17" t="n">
        <x:v>7</x:v>
      </x:c>
      <x:c r="G202" s="17" t="str">
        <x:v>Upgrade to Lv7</x:v>
      </x:c>
      <x:c r="H202" s="38" t="n">
        <x:f>ROUND(H201*INDEX('Balance Inputs'!$C$2:$C$7,MATCH(C202,'Balance Inputs'!$A$2:$A$7,0)),0)</x:f>
        <x:v>1855728</x:v>
      </x:c>
      <x:c r="I202" s="38" t="n">
        <x:f>ROUND(INDEX('Balance Inputs'!$L$2:$L$51,MATCH(A202,'Balance Inputs'!$I$2:$I$51,0))*POWER(INDEX('Balance Inputs'!$D$2:$D$7,MATCH(C202,'Balance Inputs'!$A$2:$A$7,0)),F202-1),0)</x:f>
        <x:v>48114</x:v>
      </x:c>
      <x:c r="J202" s="38" t="n">
        <x:f>ROUND(I202*INDEX('Balance Inputs'!$F$2:$F$7,MATCH(C202,'Balance Inputs'!$A$2:$A$7,0)),0)</x:f>
        <x:v>6736</x:v>
      </x:c>
      <x:c r="K202" s="38" t="n">
        <x:f>I202-J202</x:f>
        <x:v>41378</x:v>
      </x:c>
      <x:c r="L202" s="38" t="n">
        <x:f>ROUND(INDEX('Balance Inputs'!$M$2:$M$51,MATCH(A202,'Balance Inputs'!$I$2:$I$51,0))*POWER(INDEX('Balance Inputs'!$E$2:$E$7,MATCH(C202,'Balance Inputs'!$A$2:$A$7,0)),F202-1),0)</x:f>
        <x:v>45302</x:v>
      </x:c>
      <x:c r="M202" s="38" t="n">
        <x:f>ROUND(INDEX('Balance Inputs'!$N$2:$N$51,MATCH(A202,'Balance Inputs'!$I$2:$I$51,0))*POWER(INDEX('Balance Inputs'!$G$2:$G$7,MATCH(C202,'Balance Inputs'!$A$2:$A$7,0)),F202-1),0)</x:f>
        <x:v>1997</x:v>
      </x:c>
      <x:c r="N202" s="38" t="n">
        <x:f>IF(A202&lt;&gt;A201,H202,N201+H202)</x:f>
        <x:v>4764259</x:v>
      </x:c>
      <x:c r="O202" s="42" t="n">
        <x:f>IF(I202=0,0,H202/I202)</x:f>
        <x:v>38.56939768050879</x:v>
      </x:c>
      <x:c r="P202" s="43" t="n">
        <x:f>I202/INDEX('Balance Inputs'!$L$2:$L$51,MATCH(A202,'Balance Inputs'!$I$2:$I$51,0))</x:f>
        <x:v>6.327459231983167</x:v>
      </x:c>
      <x:c r="Q202" s="43" t="n">
        <x:f>L202/INDEX('Balance Inputs'!$M$2:$M$51,MATCH(A202,'Balance Inputs'!$I$2:$I$51,0))</x:f>
        <x:v>5.789392971246007</x:v>
      </x:c>
      <x:c r="R202" s="17"/>
      <x:c r="S202" s="17"/>
      <x:c r="T202" s="17"/>
      <x:c r="U202" s="17"/>
      <x:c r="V202" s="17"/>
      <x:c r="W202" s="17"/>
      <x:c r="X202" s="17"/>
      <x:c r="Y202" s="17"/>
      <x:c r="Z202" s="17"/>
    </x:row>
    <x:row r="203">
      <x:c r="A203" s="17" t="n">
        <x:v>29</x:v>
      </x:c>
      <x:c r="B203" s="17" t="str">
        <x:v>Trading House</x:v>
      </x:c>
      <x:c r="C203" s="17" t="str">
        <x:v>Growing</x:v>
      </x:c>
      <x:c r="D203" s="17" t="str">
        <x:v>Rare</x:v>
      </x:c>
      <x:c r="E203" s="17" t="n">
        <x:v>29</x:v>
      </x:c>
      <x:c r="F203" s="17" t="n">
        <x:v>8</x:v>
      </x:c>
      <x:c r="G203" s="17" t="str">
        <x:v>Upgrade to Lv8</x:v>
      </x:c>
      <x:c r="H203" s="38" t="n">
        <x:f>ROUND(H202*INDEX('Balance Inputs'!$C$2:$C$7,MATCH(C203,'Balance Inputs'!$A$2:$A$7,0)),0)</x:f>
        <x:v>2969165</x:v>
      </x:c>
      <x:c r="I203" s="38" t="n">
        <x:f>ROUND(INDEX('Balance Inputs'!$L$2:$L$51,MATCH(A203,'Balance Inputs'!$I$2:$I$51,0))*POWER(INDEX('Balance Inputs'!$D$2:$D$7,MATCH(C203,'Balance Inputs'!$A$2:$A$7,0)),F203-1),0)</x:f>
        <x:v>65436</x:v>
      </x:c>
      <x:c r="J203" s="38" t="n">
        <x:f>ROUND(I203*INDEX('Balance Inputs'!$F$2:$F$7,MATCH(C203,'Balance Inputs'!$A$2:$A$7,0)),0)</x:f>
        <x:v>9161</x:v>
      </x:c>
      <x:c r="K203" s="38" t="n">
        <x:f>I203-J203</x:f>
        <x:v>56275</x:v>
      </x:c>
      <x:c r="L203" s="38" t="n">
        <x:f>ROUND(INDEX('Balance Inputs'!$M$2:$M$51,MATCH(A203,'Balance Inputs'!$I$2:$I$51,0))*POWER(INDEX('Balance Inputs'!$E$2:$E$7,MATCH(C203,'Balance Inputs'!$A$2:$A$7,0)),F203-1),0)</x:f>
        <x:v>60704</x:v>
      </x:c>
      <x:c r="M203" s="38" t="n">
        <x:f>ROUND(INDEX('Balance Inputs'!$N$2:$N$51,MATCH(A203,'Balance Inputs'!$I$2:$I$51,0))*POWER(INDEX('Balance Inputs'!$G$2:$G$7,MATCH(C203,'Balance Inputs'!$A$2:$A$7,0)),F203-1),0)</x:f>
        <x:v>2196</x:v>
      </x:c>
      <x:c r="N203" s="38" t="n">
        <x:f>IF(A203&lt;&gt;A202,H203,N202+H203)</x:f>
        <x:v>7733424</x:v>
      </x:c>
      <x:c r="O203" s="42" t="n">
        <x:f>IF(I203=0,0,H203/I203)</x:f>
        <x:v>45.375099333700106</x:v>
      </x:c>
      <x:c r="P203" s="43" t="n">
        <x:f>I203/INDEX('Balance Inputs'!$L$2:$L$51,MATCH(A203,'Balance Inputs'!$I$2:$I$51,0))</x:f>
        <x:v>8.605470804839559</x:v>
      </x:c>
      <x:c r="Q203" s="43" t="n">
        <x:f>L203/INDEX('Balance Inputs'!$M$2:$M$51,MATCH(A203,'Balance Inputs'!$I$2:$I$51,0))</x:f>
        <x:v>7.757699680511182</x:v>
      </x:c>
      <x:c r="R203" s="17"/>
      <x:c r="S203" s="17"/>
      <x:c r="T203" s="17"/>
      <x:c r="U203" s="17"/>
      <x:c r="V203" s="17"/>
      <x:c r="W203" s="17"/>
      <x:c r="X203" s="17"/>
      <x:c r="Y203" s="17"/>
      <x:c r="Z203" s="17"/>
    </x:row>
    <x:row r="204">
      <x:c r="A204" s="17" t="n">
        <x:v>30</x:v>
      </x:c>
      <x:c r="B204" s="17" t="str">
        <x:v>Private Vault Facility</x:v>
      </x:c>
      <x:c r="C204" s="17" t="str">
        <x:v>Growing</x:v>
      </x:c>
      <x:c r="D204" s="17" t="str">
        <x:v>Rare</x:v>
      </x:c>
      <x:c r="E204" s="17" t="n">
        <x:v>30</x:v>
      </x:c>
      <x:c r="F204" s="17" t="n">
        <x:v>1</x:v>
      </x:c>
      <x:c r="G204" s="17" t="str">
        <x:v>Build</x:v>
      </x:c>
      <x:c r="H204" s="38" t="n">
        <x:f>INDEX('Balance Inputs'!$K$2:$K$51,MATCH(A204,'Balance Inputs'!$I$2:$I$51,0))</x:f>
        <x:v>136600</x:v>
      </x:c>
      <x:c r="I204" s="38" t="n">
        <x:f>ROUND(INDEX('Balance Inputs'!$L$2:$L$51,MATCH(A204,'Balance Inputs'!$I$2:$I$51,0))*POWER(INDEX('Balance Inputs'!$D$2:$D$7,MATCH(C204,'Balance Inputs'!$A$2:$A$7,0)),F204-1),0)</x:f>
        <x:v>6291</x:v>
      </x:c>
      <x:c r="J204" s="38" t="n">
        <x:f>ROUND(I204*INDEX('Balance Inputs'!$F$2:$F$7,MATCH(C204,'Balance Inputs'!$A$2:$A$7,0)),0)</x:f>
        <x:v>881</x:v>
      </x:c>
      <x:c r="K204" s="38" t="n">
        <x:f>I204-J204</x:f>
        <x:v>5410</x:v>
      </x:c>
      <x:c r="L204" s="38" t="n">
        <x:f>ROUND(INDEX('Balance Inputs'!$M$2:$M$51,MATCH(A204,'Balance Inputs'!$I$2:$I$51,0))*POWER(INDEX('Balance Inputs'!$E$2:$E$7,MATCH(C204,'Balance Inputs'!$A$2:$A$7,0)),F204-1),0)</x:f>
        <x:v>9311</x:v>
      </x:c>
      <x:c r="M204" s="38" t="n">
        <x:f>ROUND(INDEX('Balance Inputs'!$N$2:$N$51,MATCH(A204,'Balance Inputs'!$I$2:$I$51,0))*POWER(INDEX('Balance Inputs'!$G$2:$G$7,MATCH(C204,'Balance Inputs'!$A$2:$A$7,0)),F204-1),0)</x:f>
        <x:v>838</x:v>
      </x:c>
      <x:c r="N204" s="38" t="n">
        <x:f>IF(A204&lt;&gt;A203,H204,N203+H204)</x:f>
        <x:v>136600</x:v>
      </x:c>
      <x:c r="O204" s="42" t="n">
        <x:f>IF(I204=0,0,H204/I204)</x:f>
        <x:v>21.713559052614848</x:v>
      </x:c>
      <x:c r="P204" s="43" t="n">
        <x:f>I204/INDEX('Balance Inputs'!$L$2:$L$51,MATCH(A204,'Balance Inputs'!$I$2:$I$51,0))</x:f>
        <x:v>1</x:v>
      </x:c>
      <x:c r="Q204" s="43" t="n">
        <x:f>L204/INDEX('Balance Inputs'!$M$2:$M$51,MATCH(A204,'Balance Inputs'!$I$2:$I$51,0))</x:f>
        <x:v>1</x:v>
      </x:c>
      <x:c r="R204" s="17"/>
      <x:c r="S204" s="17"/>
      <x:c r="T204" s="17"/>
      <x:c r="U204" s="17"/>
      <x:c r="V204" s="17"/>
      <x:c r="W204" s="17"/>
      <x:c r="X204" s="17"/>
      <x:c r="Y204" s="17"/>
      <x:c r="Z204" s="17"/>
    </x:row>
    <x:row r="205">
      <x:c r="A205" s="17" t="n">
        <x:v>30</x:v>
      </x:c>
      <x:c r="B205" s="17" t="str">
        <x:v>Private Vault Facility</x:v>
      </x:c>
      <x:c r="C205" s="17" t="str">
        <x:v>Growing</x:v>
      </x:c>
      <x:c r="D205" s="17" t="str">
        <x:v>Rare</x:v>
      </x:c>
      <x:c r="E205" s="17" t="n">
        <x:v>30</x:v>
      </x:c>
      <x:c r="F205" s="17" t="n">
        <x:v>2</x:v>
      </x:c>
      <x:c r="G205" s="17" t="str">
        <x:v>Upgrade to Lv2</x:v>
      </x:c>
      <x:c r="H205" s="38" t="n">
        <x:f>ROUND(H204*INDEX('Balance Inputs'!$C$2:$C$7,MATCH(C205,'Balance Inputs'!$A$2:$A$7,0)),0)</x:f>
        <x:v>218560</x:v>
      </x:c>
      <x:c r="I205" s="38" t="n">
        <x:f>ROUND(INDEX('Balance Inputs'!$L$2:$L$51,MATCH(A205,'Balance Inputs'!$I$2:$I$51,0))*POWER(INDEX('Balance Inputs'!$D$2:$D$7,MATCH(C205,'Balance Inputs'!$A$2:$A$7,0)),F205-1),0)</x:f>
        <x:v>8556</x:v>
      </x:c>
      <x:c r="J205" s="38" t="n">
        <x:f>ROUND(I205*INDEX('Balance Inputs'!$F$2:$F$7,MATCH(C205,'Balance Inputs'!$A$2:$A$7,0)),0)</x:f>
        <x:v>1198</x:v>
      </x:c>
      <x:c r="K205" s="38" t="n">
        <x:f>I205-J205</x:f>
        <x:v>7358</x:v>
      </x:c>
      <x:c r="L205" s="38" t="n">
        <x:f>ROUND(INDEX('Balance Inputs'!$M$2:$M$51,MATCH(A205,'Balance Inputs'!$I$2:$I$51,0))*POWER(INDEX('Balance Inputs'!$E$2:$E$7,MATCH(C205,'Balance Inputs'!$A$2:$A$7,0)),F205-1),0)</x:f>
        <x:v>12477</x:v>
      </x:c>
      <x:c r="M205" s="38" t="n">
        <x:f>ROUND(INDEX('Balance Inputs'!$N$2:$N$51,MATCH(A205,'Balance Inputs'!$I$2:$I$51,0))*POWER(INDEX('Balance Inputs'!$G$2:$G$7,MATCH(C205,'Balance Inputs'!$A$2:$A$7,0)),F205-1),0)</x:f>
        <x:v>922</x:v>
      </x:c>
      <x:c r="N205" s="38" t="n">
        <x:f>IF(A205&lt;&gt;A204,H205,N204+H205)</x:f>
        <x:v>355160</x:v>
      </x:c>
      <x:c r="O205" s="42" t="n">
        <x:f>IF(I205=0,0,H205/I205)</x:f>
        <x:v>25.54464703132305</x:v>
      </x:c>
      <x:c r="P205" s="43" t="n">
        <x:f>I205/INDEX('Balance Inputs'!$L$2:$L$51,MATCH(A205,'Balance Inputs'!$I$2:$I$51,0))</x:f>
        <x:v>1.3600381497377205</x:v>
      </x:c>
      <x:c r="Q205" s="43" t="n">
        <x:f>L205/INDEX('Balance Inputs'!$M$2:$M$51,MATCH(A205,'Balance Inputs'!$I$2:$I$51,0))</x:f>
        <x:v>1.3400279239609065</x:v>
      </x:c>
      <x:c r="R205" s="17"/>
      <x:c r="S205" s="17"/>
      <x:c r="T205" s="17"/>
      <x:c r="U205" s="17"/>
      <x:c r="V205" s="17"/>
      <x:c r="W205" s="17"/>
      <x:c r="X205" s="17"/>
      <x:c r="Y205" s="17"/>
      <x:c r="Z205" s="17"/>
    </x:row>
    <x:row r="206">
      <x:c r="A206" s="17" t="n">
        <x:v>30</x:v>
      </x:c>
      <x:c r="B206" s="17" t="str">
        <x:v>Private Vault Facility</x:v>
      </x:c>
      <x:c r="C206" s="17" t="str">
        <x:v>Growing</x:v>
      </x:c>
      <x:c r="D206" s="17" t="str">
        <x:v>Rare</x:v>
      </x:c>
      <x:c r="E206" s="17" t="n">
        <x:v>30</x:v>
      </x:c>
      <x:c r="F206" s="17" t="n">
        <x:v>3</x:v>
      </x:c>
      <x:c r="G206" s="17" t="str">
        <x:v>Upgrade to Lv3</x:v>
      </x:c>
      <x:c r="H206" s="38" t="n">
        <x:f>ROUND(H205*INDEX('Balance Inputs'!$C$2:$C$7,MATCH(C206,'Balance Inputs'!$A$2:$A$7,0)),0)</x:f>
        <x:v>349696</x:v>
      </x:c>
      <x:c r="I206" s="38" t="n">
        <x:f>ROUND(INDEX('Balance Inputs'!$L$2:$L$51,MATCH(A206,'Balance Inputs'!$I$2:$I$51,0))*POWER(INDEX('Balance Inputs'!$D$2:$D$7,MATCH(C206,'Balance Inputs'!$A$2:$A$7,0)),F206-1),0)</x:f>
        <x:v>11636</x:v>
      </x:c>
      <x:c r="J206" s="38" t="n">
        <x:f>ROUND(I206*INDEX('Balance Inputs'!$F$2:$F$7,MATCH(C206,'Balance Inputs'!$A$2:$A$7,0)),0)</x:f>
        <x:v>1629</x:v>
      </x:c>
      <x:c r="K206" s="38" t="n">
        <x:f>I206-J206</x:f>
        <x:v>10007</x:v>
      </x:c>
      <x:c r="L206" s="38" t="n">
        <x:f>ROUND(INDEX('Balance Inputs'!$M$2:$M$51,MATCH(A206,'Balance Inputs'!$I$2:$I$51,0))*POWER(INDEX('Balance Inputs'!$E$2:$E$7,MATCH(C206,'Balance Inputs'!$A$2:$A$7,0)),F206-1),0)</x:f>
        <x:v>16719</x:v>
      </x:c>
      <x:c r="M206" s="38" t="n">
        <x:f>ROUND(INDEX('Balance Inputs'!$N$2:$N$51,MATCH(A206,'Balance Inputs'!$I$2:$I$51,0))*POWER(INDEX('Balance Inputs'!$G$2:$G$7,MATCH(C206,'Balance Inputs'!$A$2:$A$7,0)),F206-1),0)</x:f>
        <x:v>1014</x:v>
      </x:c>
      <x:c r="N206" s="38" t="n">
        <x:f>IF(A206&lt;&gt;A205,H206,N205+H206)</x:f>
        <x:v>704856</x:v>
      </x:c>
      <x:c r="O206" s="42" t="n">
        <x:f>IF(I206=0,0,H206/I206)</x:f>
        <x:v>30.052939154348575</x:v>
      </x:c>
      <x:c r="P206" s="43" t="n">
        <x:f>I206/INDEX('Balance Inputs'!$L$2:$L$51,MATCH(A206,'Balance Inputs'!$I$2:$I$51,0))</x:f>
        <x:v>1.8496264504848197</x:v>
      </x:c>
      <x:c r="Q206" s="43" t="n">
        <x:f>L206/INDEX('Balance Inputs'!$M$2:$M$51,MATCH(A206,'Balance Inputs'!$I$2:$I$51,0))</x:f>
        <x:v>1.7956180861346793</x:v>
      </x:c>
      <x:c r="R206" s="17"/>
      <x:c r="S206" s="17"/>
      <x:c r="T206" s="17"/>
      <x:c r="U206" s="17"/>
      <x:c r="V206" s="17"/>
      <x:c r="W206" s="17"/>
      <x:c r="X206" s="17"/>
      <x:c r="Y206" s="17"/>
      <x:c r="Z206" s="17"/>
    </x:row>
    <x:row r="207">
      <x:c r="A207" s="17" t="n">
        <x:v>30</x:v>
      </x:c>
      <x:c r="B207" s="17" t="str">
        <x:v>Private Vault Facility</x:v>
      </x:c>
      <x:c r="C207" s="17" t="str">
        <x:v>Growing</x:v>
      </x:c>
      <x:c r="D207" s="17" t="str">
        <x:v>Rare</x:v>
      </x:c>
      <x:c r="E207" s="17" t="n">
        <x:v>30</x:v>
      </x:c>
      <x:c r="F207" s="17" t="n">
        <x:v>4</x:v>
      </x:c>
      <x:c r="G207" s="17" t="str">
        <x:v>Upgrade to Lv4</x:v>
      </x:c>
      <x:c r="H207" s="38" t="n">
        <x:f>ROUND(H206*INDEX('Balance Inputs'!$C$2:$C$7,MATCH(C207,'Balance Inputs'!$A$2:$A$7,0)),0)</x:f>
        <x:v>559514</x:v>
      </x:c>
      <x:c r="I207" s="38" t="n">
        <x:f>ROUND(INDEX('Balance Inputs'!$L$2:$L$51,MATCH(A207,'Balance Inputs'!$I$2:$I$51,0))*POWER(INDEX('Balance Inputs'!$D$2:$D$7,MATCH(C207,'Balance Inputs'!$A$2:$A$7,0)),F207-1),0)</x:f>
        <x:v>15825</x:v>
      </x:c>
      <x:c r="J207" s="38" t="n">
        <x:f>ROUND(I207*INDEX('Balance Inputs'!$F$2:$F$7,MATCH(C207,'Balance Inputs'!$A$2:$A$7,0)),0)</x:f>
        <x:v>2216</x:v>
      </x:c>
      <x:c r="K207" s="38" t="n">
        <x:f>I207-J207</x:f>
        <x:v>13609</x:v>
      </x:c>
      <x:c r="L207" s="38" t="n">
        <x:f>ROUND(INDEX('Balance Inputs'!$M$2:$M$51,MATCH(A207,'Balance Inputs'!$I$2:$I$51,0))*POWER(INDEX('Balance Inputs'!$E$2:$E$7,MATCH(C207,'Balance Inputs'!$A$2:$A$7,0)),F207-1),0)</x:f>
        <x:v>22403</x:v>
      </x:c>
      <x:c r="M207" s="38" t="n">
        <x:f>ROUND(INDEX('Balance Inputs'!$N$2:$N$51,MATCH(A207,'Balance Inputs'!$I$2:$I$51,0))*POWER(INDEX('Balance Inputs'!$G$2:$G$7,MATCH(C207,'Balance Inputs'!$A$2:$A$7,0)),F207-1),0)</x:f>
        <x:v>1115</x:v>
      </x:c>
      <x:c r="N207" s="38" t="n">
        <x:f>IF(A207&lt;&gt;A206,H207,N206+H207)</x:f>
        <x:v>1264370</x:v>
      </x:c>
      <x:c r="O207" s="42" t="n">
        <x:f>IF(I207=0,0,H207/I207)</x:f>
        <x:v>35.356334913112164</x:v>
      </x:c>
      <x:c r="P207" s="43" t="n">
        <x:f>I207/INDEX('Balance Inputs'!$L$2:$L$51,MATCH(A207,'Balance Inputs'!$I$2:$I$51,0))</x:f>
        <x:v>2.515498330948975</x:v>
      </x:c>
      <x:c r="Q207" s="43" t="n">
        <x:f>L207/INDEX('Balance Inputs'!$M$2:$M$51,MATCH(A207,'Balance Inputs'!$I$2:$I$51,0))</x:f>
        <x:v>2.4060788314896357</x:v>
      </x:c>
      <x:c r="R207" s="17"/>
      <x:c r="S207" s="17"/>
      <x:c r="T207" s="17"/>
      <x:c r="U207" s="17"/>
      <x:c r="V207" s="17"/>
      <x:c r="W207" s="17"/>
      <x:c r="X207" s="17"/>
      <x:c r="Y207" s="17"/>
      <x:c r="Z207" s="17"/>
    </x:row>
    <x:row r="208">
      <x:c r="A208" s="17" t="n">
        <x:v>30</x:v>
      </x:c>
      <x:c r="B208" s="17" t="str">
        <x:v>Private Vault Facility</x:v>
      </x:c>
      <x:c r="C208" s="17" t="str">
        <x:v>Growing</x:v>
      </x:c>
      <x:c r="D208" s="17" t="str">
        <x:v>Rare</x:v>
      </x:c>
      <x:c r="E208" s="17" t="n">
        <x:v>30</x:v>
      </x:c>
      <x:c r="F208" s="17" t="n">
        <x:v>5</x:v>
      </x:c>
      <x:c r="G208" s="17" t="str">
        <x:v>Upgrade to Lv5</x:v>
      </x:c>
      <x:c r="H208" s="38" t="n">
        <x:f>ROUND(H207*INDEX('Balance Inputs'!$C$2:$C$7,MATCH(C208,'Balance Inputs'!$A$2:$A$7,0)),0)</x:f>
        <x:v>895222</x:v>
      </x:c>
      <x:c r="I208" s="38" t="n">
        <x:f>ROUND(INDEX('Balance Inputs'!$L$2:$L$51,MATCH(A208,'Balance Inputs'!$I$2:$I$51,0))*POWER(INDEX('Balance Inputs'!$D$2:$D$7,MATCH(C208,'Balance Inputs'!$A$2:$A$7,0)),F208-1),0)</x:f>
        <x:v>21522</x:v>
      </x:c>
      <x:c r="J208" s="38" t="n">
        <x:f>ROUND(I208*INDEX('Balance Inputs'!$F$2:$F$7,MATCH(C208,'Balance Inputs'!$A$2:$A$7,0)),0)</x:f>
        <x:v>3013</x:v>
      </x:c>
      <x:c r="K208" s="38" t="n">
        <x:f>I208-J208</x:f>
        <x:v>18509</x:v>
      </x:c>
      <x:c r="L208" s="38" t="n">
        <x:f>ROUND(INDEX('Balance Inputs'!$M$2:$M$51,MATCH(A208,'Balance Inputs'!$I$2:$I$51,0))*POWER(INDEX('Balance Inputs'!$E$2:$E$7,MATCH(C208,'Balance Inputs'!$A$2:$A$7,0)),F208-1),0)</x:f>
        <x:v>30020</x:v>
      </x:c>
      <x:c r="M208" s="38" t="n">
        <x:f>ROUND(INDEX('Balance Inputs'!$N$2:$N$51,MATCH(A208,'Balance Inputs'!$I$2:$I$51,0))*POWER(INDEX('Balance Inputs'!$G$2:$G$7,MATCH(C208,'Balance Inputs'!$A$2:$A$7,0)),F208-1),0)</x:f>
        <x:v>1227</x:v>
      </x:c>
      <x:c r="N208" s="38" t="n">
        <x:f>IF(A208&lt;&gt;A207,H208,N207+H208)</x:f>
        <x:v>2159592</x:v>
      </x:c>
      <x:c r="O208" s="42" t="n">
        <x:f>IF(I208=0,0,H208/I208)</x:f>
        <x:v>41.595669547439826</x:v>
      </x:c>
      <x:c r="P208" s="43" t="n">
        <x:f>I208/INDEX('Balance Inputs'!$L$2:$L$51,MATCH(A208,'Balance Inputs'!$I$2:$I$51,0))</x:f>
        <x:v>3.4210777300906057</x:v>
      </x:c>
      <x:c r="Q208" s="43" t="n">
        <x:f>L208/INDEX('Balance Inputs'!$M$2:$M$51,MATCH(A208,'Balance Inputs'!$I$2:$I$51,0))</x:f>
        <x:v>3.2241434861991194</x:v>
      </x:c>
      <x:c r="R208" s="17"/>
      <x:c r="S208" s="17"/>
      <x:c r="T208" s="17"/>
      <x:c r="U208" s="17"/>
      <x:c r="V208" s="17"/>
      <x:c r="W208" s="17"/>
      <x:c r="X208" s="17"/>
      <x:c r="Y208" s="17"/>
      <x:c r="Z208" s="17"/>
    </x:row>
    <x:row r="209">
      <x:c r="A209" s="17" t="n">
        <x:v>30</x:v>
      </x:c>
      <x:c r="B209" s="17" t="str">
        <x:v>Private Vault Facility</x:v>
      </x:c>
      <x:c r="C209" s="17" t="str">
        <x:v>Growing</x:v>
      </x:c>
      <x:c r="D209" s="17" t="str">
        <x:v>Rare</x:v>
      </x:c>
      <x:c r="E209" s="17" t="n">
        <x:v>30</x:v>
      </x:c>
      <x:c r="F209" s="17" t="n">
        <x:v>6</x:v>
      </x:c>
      <x:c r="G209" s="17" t="str">
        <x:v>Upgrade to Lv6</x:v>
      </x:c>
      <x:c r="H209" s="38" t="n">
        <x:f>ROUND(H208*INDEX('Balance Inputs'!$C$2:$C$7,MATCH(C209,'Balance Inputs'!$A$2:$A$7,0)),0)</x:f>
        <x:v>1432355</x:v>
      </x:c>
      <x:c r="I209" s="38" t="n">
        <x:f>ROUND(INDEX('Balance Inputs'!$L$2:$L$51,MATCH(A209,'Balance Inputs'!$I$2:$I$51,0))*POWER(INDEX('Balance Inputs'!$D$2:$D$7,MATCH(C209,'Balance Inputs'!$A$2:$A$7,0)),F209-1),0)</x:f>
        <x:v>29269</x:v>
      </x:c>
      <x:c r="J209" s="38" t="n">
        <x:f>ROUND(I209*INDEX('Balance Inputs'!$F$2:$F$7,MATCH(C209,'Balance Inputs'!$A$2:$A$7,0)),0)</x:f>
        <x:v>4098</x:v>
      </x:c>
      <x:c r="K209" s="38" t="n">
        <x:f>I209-J209</x:f>
        <x:v>25171</x:v>
      </x:c>
      <x:c r="L209" s="38" t="n">
        <x:f>ROUND(INDEX('Balance Inputs'!$M$2:$M$51,MATCH(A209,'Balance Inputs'!$I$2:$I$51,0))*POWER(INDEX('Balance Inputs'!$E$2:$E$7,MATCH(C209,'Balance Inputs'!$A$2:$A$7,0)),F209-1),0)</x:f>
        <x:v>40227</x:v>
      </x:c>
      <x:c r="M209" s="38" t="n">
        <x:f>ROUND(INDEX('Balance Inputs'!$N$2:$N$51,MATCH(A209,'Balance Inputs'!$I$2:$I$51,0))*POWER(INDEX('Balance Inputs'!$G$2:$G$7,MATCH(C209,'Balance Inputs'!$A$2:$A$7,0)),F209-1),0)</x:f>
        <x:v>1350</x:v>
      </x:c>
      <x:c r="N209" s="38" t="n">
        <x:f>IF(A209&lt;&gt;A208,H209,N208+H209)</x:f>
        <x:v>3591947</x:v>
      </x:c>
      <x:c r="O209" s="42" t="n">
        <x:f>IF(I209=0,0,H209/I209)</x:f>
        <x:v>48.937613174348286</x:v>
      </x:c>
      <x:c r="P209" s="43" t="n">
        <x:f>I209/INDEX('Balance Inputs'!$L$2:$L$51,MATCH(A209,'Balance Inputs'!$I$2:$I$51,0))</x:f>
        <x:v>4.652519472261962</x:v>
      </x:c>
      <x:c r="Q209" s="43" t="n">
        <x:f>L209/INDEX('Balance Inputs'!$M$2:$M$51,MATCH(A209,'Balance Inputs'!$I$2:$I$51,0))</x:f>
        <x:v>4.3203737514767475</x:v>
      </x:c>
      <x:c r="R209" s="17"/>
      <x:c r="S209" s="17"/>
      <x:c r="T209" s="17"/>
      <x:c r="U209" s="17"/>
      <x:c r="V209" s="17"/>
      <x:c r="W209" s="17"/>
      <x:c r="X209" s="17"/>
      <x:c r="Y209" s="17"/>
      <x:c r="Z209" s="17"/>
    </x:row>
    <x:row r="210">
      <x:c r="A210" s="17" t="n">
        <x:v>30</x:v>
      </x:c>
      <x:c r="B210" s="17" t="str">
        <x:v>Private Vault Facility</x:v>
      </x:c>
      <x:c r="C210" s="17" t="str">
        <x:v>Growing</x:v>
      </x:c>
      <x:c r="D210" s="17" t="str">
        <x:v>Rare</x:v>
      </x:c>
      <x:c r="E210" s="17" t="n">
        <x:v>30</x:v>
      </x:c>
      <x:c r="F210" s="17" t="n">
        <x:v>7</x:v>
      </x:c>
      <x:c r="G210" s="17" t="str">
        <x:v>Upgrade to Lv7</x:v>
      </x:c>
      <x:c r="H210" s="38" t="n">
        <x:f>ROUND(H209*INDEX('Balance Inputs'!$C$2:$C$7,MATCH(C210,'Balance Inputs'!$A$2:$A$7,0)),0)</x:f>
        <x:v>2291768</x:v>
      </x:c>
      <x:c r="I210" s="38" t="n">
        <x:f>ROUND(INDEX('Balance Inputs'!$L$2:$L$51,MATCH(A210,'Balance Inputs'!$I$2:$I$51,0))*POWER(INDEX('Balance Inputs'!$D$2:$D$7,MATCH(C210,'Balance Inputs'!$A$2:$A$7,0)),F210-1),0)</x:f>
        <x:v>39806</x:v>
      </x:c>
      <x:c r="J210" s="38" t="n">
        <x:f>ROUND(I210*INDEX('Balance Inputs'!$F$2:$F$7,MATCH(C210,'Balance Inputs'!$A$2:$A$7,0)),0)</x:f>
        <x:v>5573</x:v>
      </x:c>
      <x:c r="K210" s="38" t="n">
        <x:f>I210-J210</x:f>
        <x:v>34233</x:v>
      </x:c>
      <x:c r="L210" s="38" t="n">
        <x:f>ROUND(INDEX('Balance Inputs'!$M$2:$M$51,MATCH(A210,'Balance Inputs'!$I$2:$I$51,0))*POWER(INDEX('Balance Inputs'!$E$2:$E$7,MATCH(C210,'Balance Inputs'!$A$2:$A$7,0)),F210-1),0)</x:f>
        <x:v>53905</x:v>
      </x:c>
      <x:c r="M210" s="38" t="n">
        <x:f>ROUND(INDEX('Balance Inputs'!$N$2:$N$51,MATCH(A210,'Balance Inputs'!$I$2:$I$51,0))*POWER(INDEX('Balance Inputs'!$G$2:$G$7,MATCH(C210,'Balance Inputs'!$A$2:$A$7,0)),F210-1),0)</x:f>
        <x:v>1485</x:v>
      </x:c>
      <x:c r="N210" s="38" t="n">
        <x:f>IF(A210&lt;&gt;A209,H210,N209+H210)</x:f>
        <x:v>5883715</x:v>
      </x:c>
      <x:c r="O210" s="42" t="n">
        <x:f>IF(I210=0,0,H210/I210)</x:f>
        <x:v>57.573431141034014</x:v>
      </x:c>
      <x:c r="P210" s="43" t="n">
        <x:f>I210/INDEX('Balance Inputs'!$L$2:$L$51,MATCH(A210,'Balance Inputs'!$I$2:$I$51,0))</x:f>
        <x:v>6.327451915434748</x:v>
      </x:c>
      <x:c r="Q210" s="43" t="n">
        <x:f>L210/INDEX('Balance Inputs'!$M$2:$M$51,MATCH(A210,'Balance Inputs'!$I$2:$I$51,0))</x:f>
        <x:v>5.789388894855548</x:v>
      </x:c>
      <x:c r="R210" s="17"/>
      <x:c r="S210" s="17"/>
      <x:c r="T210" s="17"/>
      <x:c r="U210" s="17"/>
      <x:c r="V210" s="17"/>
      <x:c r="W210" s="17"/>
      <x:c r="X210" s="17"/>
      <x:c r="Y210" s="17"/>
      <x:c r="Z210" s="17"/>
    </x:row>
    <x:row r="211">
      <x:c r="A211" s="17" t="n">
        <x:v>30</x:v>
      </x:c>
      <x:c r="B211" s="17" t="str">
        <x:v>Private Vault Facility</x:v>
      </x:c>
      <x:c r="C211" s="17" t="str">
        <x:v>Growing</x:v>
      </x:c>
      <x:c r="D211" s="17" t="str">
        <x:v>Rare</x:v>
      </x:c>
      <x:c r="E211" s="17" t="n">
        <x:v>30</x:v>
      </x:c>
      <x:c r="F211" s="17" t="n">
        <x:v>8</x:v>
      </x:c>
      <x:c r="G211" s="17" t="str">
        <x:v>Upgrade to Lv8</x:v>
      </x:c>
      <x:c r="H211" s="38" t="n">
        <x:f>ROUND(H210*INDEX('Balance Inputs'!$C$2:$C$7,MATCH(C211,'Balance Inputs'!$A$2:$A$7,0)),0)</x:f>
        <x:v>3666829</x:v>
      </x:c>
      <x:c r="I211" s="38" t="n">
        <x:f>ROUND(INDEX('Balance Inputs'!$L$2:$L$51,MATCH(A211,'Balance Inputs'!$I$2:$I$51,0))*POWER(INDEX('Balance Inputs'!$D$2:$D$7,MATCH(C211,'Balance Inputs'!$A$2:$A$7,0)),F211-1),0)</x:f>
        <x:v>54137</x:v>
      </x:c>
      <x:c r="J211" s="38" t="n">
        <x:f>ROUND(I211*INDEX('Balance Inputs'!$F$2:$F$7,MATCH(C211,'Balance Inputs'!$A$2:$A$7,0)),0)</x:f>
        <x:v>7579</x:v>
      </x:c>
      <x:c r="K211" s="38" t="n">
        <x:f>I211-J211</x:f>
        <x:v>46558</x:v>
      </x:c>
      <x:c r="L211" s="38" t="n">
        <x:f>ROUND(INDEX('Balance Inputs'!$M$2:$M$51,MATCH(A211,'Balance Inputs'!$I$2:$I$51,0))*POWER(INDEX('Balance Inputs'!$E$2:$E$7,MATCH(C211,'Balance Inputs'!$A$2:$A$7,0)),F211-1),0)</x:f>
        <x:v>72232</x:v>
      </x:c>
      <x:c r="M211" s="38" t="n">
        <x:f>ROUND(INDEX('Balance Inputs'!$N$2:$N$51,MATCH(A211,'Balance Inputs'!$I$2:$I$51,0))*POWER(INDEX('Balance Inputs'!$G$2:$G$7,MATCH(C211,'Balance Inputs'!$A$2:$A$7,0)),F211-1),0)</x:f>
        <x:v>1633</x:v>
      </x:c>
      <x:c r="N211" s="38" t="n">
        <x:f>IF(A211&lt;&gt;A210,H211,N210+H211)</x:f>
        <x:v>9550544</x:v>
      </x:c>
      <x:c r="O211" s="42" t="n">
        <x:f>IF(I211=0,0,H211/I211)</x:f>
        <x:v>67.7324011304653</x:v>
      </x:c>
      <x:c r="P211" s="43" t="n">
        <x:f>I211/INDEX('Balance Inputs'!$L$2:$L$51,MATCH(A211,'Balance Inputs'!$I$2:$I$51,0))</x:f>
        <x:v>8.605468129073278</x:v>
      </x:c>
      <x:c r="Q211" s="43" t="n">
        <x:f>L211/INDEX('Balance Inputs'!$M$2:$M$51,MATCH(A211,'Balance Inputs'!$I$2:$I$51,0))</x:f>
        <x:v>7.757705939211685</x:v>
      </x:c>
      <x:c r="R211" s="17"/>
      <x:c r="S211" s="17"/>
      <x:c r="T211" s="17"/>
      <x:c r="U211" s="17"/>
      <x:c r="V211" s="17"/>
      <x:c r="W211" s="17"/>
      <x:c r="X211" s="17"/>
      <x:c r="Y211" s="17"/>
      <x:c r="Z211" s="17"/>
    </x:row>
    <x:row r="212">
      <x:c r="A212" s="17" t="n">
        <x:v>31</x:v>
      </x:c>
      <x:c r="B212" s="17" t="str">
        <x:v>Regional Bank</x:v>
      </x:c>
      <x:c r="C212" s="17" t="str">
        <x:v>Established</x:v>
      </x:c>
      <x:c r="D212" s="17" t="str">
        <x:v>Epic</x:v>
      </x:c>
      <x:c r="E212" s="17" t="n">
        <x:v>31</x:v>
      </x:c>
      <x:c r="F212" s="17" t="n">
        <x:v>1</x:v>
      </x:c>
      <x:c r="G212" s="17" t="str">
        <x:v>Build</x:v>
      </x:c>
      <x:c r="H212" s="38" t="n">
        <x:f>INDEX('Balance Inputs'!$K$2:$K$51,MATCH(A212,'Balance Inputs'!$I$2:$I$51,0))</x:f>
        <x:v>168710</x:v>
      </x:c>
      <x:c r="I212" s="38" t="n">
        <x:f>ROUND(INDEX('Balance Inputs'!$L$2:$L$51,MATCH(A212,'Balance Inputs'!$I$2:$I$51,0))*POWER(INDEX('Balance Inputs'!$D$2:$D$7,MATCH(C212,'Balance Inputs'!$A$2:$A$7,0)),F212-1),0)</x:f>
        <x:v>10181</x:v>
      </x:c>
      <x:c r="J212" s="38" t="n">
        <x:f>ROUND(I212*INDEX('Balance Inputs'!$F$2:$F$7,MATCH(C212,'Balance Inputs'!$A$2:$A$7,0)),0)</x:f>
        <x:v>1527</x:v>
      </x:c>
      <x:c r="K212" s="38" t="n">
        <x:f>I212-J212</x:f>
        <x:v>8654</x:v>
      </x:c>
      <x:c r="L212" s="38" t="n">
        <x:f>ROUND(INDEX('Balance Inputs'!$M$2:$M$51,MATCH(A212,'Balance Inputs'!$I$2:$I$51,0))*POWER(INDEX('Balance Inputs'!$E$2:$E$7,MATCH(C212,'Balance Inputs'!$A$2:$A$7,0)),F212-1),0)</x:f>
        <x:v>11081</x:v>
      </x:c>
      <x:c r="M212" s="38" t="n">
        <x:f>ROUND(INDEX('Balance Inputs'!$N$2:$N$51,MATCH(A212,'Balance Inputs'!$I$2:$I$51,0))*POWER(INDEX('Balance Inputs'!$G$2:$G$7,MATCH(C212,'Balance Inputs'!$A$2:$A$7,0)),F212-1),0)</x:f>
        <x:v>1330</x:v>
      </x:c>
      <x:c r="N212" s="38" t="n">
        <x:f>IF(A212&lt;&gt;A211,H212,N211+H212)</x:f>
        <x:v>168710</x:v>
      </x:c>
      <x:c r="O212" s="42" t="n">
        <x:f>IF(I212=0,0,H212/I212)</x:f>
        <x:v>16.57106374619389</x:v>
      </x:c>
      <x:c r="P212" s="43" t="n">
        <x:f>I212/INDEX('Balance Inputs'!$L$2:$L$51,MATCH(A212,'Balance Inputs'!$I$2:$I$51,0))</x:f>
        <x:v>1</x:v>
      </x:c>
      <x:c r="Q212" s="43" t="n">
        <x:f>L212/INDEX('Balance Inputs'!$M$2:$M$51,MATCH(A212,'Balance Inputs'!$I$2:$I$51,0))</x:f>
        <x:v>1</x:v>
      </x:c>
      <x:c r="R212" s="17"/>
      <x:c r="S212" s="17"/>
      <x:c r="T212" s="17"/>
      <x:c r="U212" s="17"/>
      <x:c r="V212" s="17"/>
      <x:c r="W212" s="17"/>
      <x:c r="X212" s="17"/>
      <x:c r="Y212" s="17"/>
      <x:c r="Z212" s="17"/>
    </x:row>
    <x:row r="213">
      <x:c r="A213" s="17" t="n">
        <x:v>31</x:v>
      </x:c>
      <x:c r="B213" s="17" t="str">
        <x:v>Regional Bank</x:v>
      </x:c>
      <x:c r="C213" s="17" t="str">
        <x:v>Established</x:v>
      </x:c>
      <x:c r="D213" s="17" t="str">
        <x:v>Epic</x:v>
      </x:c>
      <x:c r="E213" s="17" t="n">
        <x:v>31</x:v>
      </x:c>
      <x:c r="F213" s="17" t="n">
        <x:v>2</x:v>
      </x:c>
      <x:c r="G213" s="17" t="str">
        <x:v>Upgrade to Lv2</x:v>
      </x:c>
      <x:c r="H213" s="38" t="n">
        <x:f>ROUND(H212*INDEX('Balance Inputs'!$C$2:$C$7,MATCH(C213,'Balance Inputs'!$A$2:$A$7,0)),0)</x:f>
        <x:v>273310</x:v>
      </x:c>
      <x:c r="I213" s="38" t="n">
        <x:f>ROUND(INDEX('Balance Inputs'!$L$2:$L$51,MATCH(A213,'Balance Inputs'!$I$2:$I$51,0))*POWER(INDEX('Balance Inputs'!$D$2:$D$7,MATCH(C213,'Balance Inputs'!$A$2:$A$7,0)),F213-1),0)</x:f>
        <x:v>13948</x:v>
      </x:c>
      <x:c r="J213" s="38" t="n">
        <x:f>ROUND(I213*INDEX('Balance Inputs'!$F$2:$F$7,MATCH(C213,'Balance Inputs'!$A$2:$A$7,0)),0)</x:f>
        <x:v>2092</x:v>
      </x:c>
      <x:c r="K213" s="38" t="n">
        <x:f>I213-J213</x:f>
        <x:v>11856</x:v>
      </x:c>
      <x:c r="L213" s="38" t="n">
        <x:f>ROUND(INDEX('Balance Inputs'!$M$2:$M$51,MATCH(A213,'Balance Inputs'!$I$2:$I$51,0))*POWER(INDEX('Balance Inputs'!$E$2:$E$7,MATCH(C213,'Balance Inputs'!$A$2:$A$7,0)),F213-1),0)</x:f>
        <x:v>14959</x:v>
      </x:c>
      <x:c r="M213" s="38" t="n">
        <x:f>ROUND(INDEX('Balance Inputs'!$N$2:$N$51,MATCH(A213,'Balance Inputs'!$I$2:$I$51,0))*POWER(INDEX('Balance Inputs'!$G$2:$G$7,MATCH(C213,'Balance Inputs'!$A$2:$A$7,0)),F213-1),0)</x:f>
        <x:v>1529</x:v>
      </x:c>
      <x:c r="N213" s="38" t="n">
        <x:f>IF(A213&lt;&gt;A212,H213,N212+H213)</x:f>
        <x:v>442020</x:v>
      </x:c>
      <x:c r="O213" s="42" t="n">
        <x:f>IF(I213=0,0,H213/I213)</x:f>
        <x:v>19.594924003441353</x:v>
      </x:c>
      <x:c r="P213" s="43" t="n">
        <x:f>I213/INDEX('Balance Inputs'!$L$2:$L$51,MATCH(A213,'Balance Inputs'!$I$2:$I$51,0))</x:f>
        <x:v>1.370002946665357</x:v>
      </x:c>
      <x:c r="Q213" s="43" t="n">
        <x:f>L213/INDEX('Balance Inputs'!$M$2:$M$51,MATCH(A213,'Balance Inputs'!$I$2:$I$51,0))</x:f>
        <x:v>1.3499684144030322</x:v>
      </x:c>
      <x:c r="R213" s="17"/>
      <x:c r="S213" s="17"/>
      <x:c r="T213" s="17"/>
      <x:c r="U213" s="17"/>
      <x:c r="V213" s="17"/>
      <x:c r="W213" s="17"/>
      <x:c r="X213" s="17"/>
      <x:c r="Y213" s="17"/>
      <x:c r="Z213" s="17"/>
    </x:row>
    <x:row r="214">
      <x:c r="A214" s="17" t="n">
        <x:v>31</x:v>
      </x:c>
      <x:c r="B214" s="17" t="str">
        <x:v>Regional Bank</x:v>
      </x:c>
      <x:c r="C214" s="17" t="str">
        <x:v>Established</x:v>
      </x:c>
      <x:c r="D214" s="17" t="str">
        <x:v>Epic</x:v>
      </x:c>
      <x:c r="E214" s="17" t="n">
        <x:v>31</x:v>
      </x:c>
      <x:c r="F214" s="17" t="n">
        <x:v>3</x:v>
      </x:c>
      <x:c r="G214" s="17" t="str">
        <x:v>Upgrade to Lv3</x:v>
      </x:c>
      <x:c r="H214" s="38" t="n">
        <x:f>ROUND(H213*INDEX('Balance Inputs'!$C$2:$C$7,MATCH(C214,'Balance Inputs'!$A$2:$A$7,0)),0)</x:f>
        <x:v>442762</x:v>
      </x:c>
      <x:c r="I214" s="38" t="n">
        <x:f>ROUND(INDEX('Balance Inputs'!$L$2:$L$51,MATCH(A214,'Balance Inputs'!$I$2:$I$51,0))*POWER(INDEX('Balance Inputs'!$D$2:$D$7,MATCH(C214,'Balance Inputs'!$A$2:$A$7,0)),F214-1),0)</x:f>
        <x:v>19109</x:v>
      </x:c>
      <x:c r="J214" s="38" t="n">
        <x:f>ROUND(I214*INDEX('Balance Inputs'!$F$2:$F$7,MATCH(C214,'Balance Inputs'!$A$2:$A$7,0)),0)</x:f>
        <x:v>2866</x:v>
      </x:c>
      <x:c r="K214" s="38" t="n">
        <x:f>I214-J214</x:f>
        <x:v>16243</x:v>
      </x:c>
      <x:c r="L214" s="38" t="n">
        <x:f>ROUND(INDEX('Balance Inputs'!$M$2:$M$51,MATCH(A214,'Balance Inputs'!$I$2:$I$51,0))*POWER(INDEX('Balance Inputs'!$E$2:$E$7,MATCH(C214,'Balance Inputs'!$A$2:$A$7,0)),F214-1),0)</x:f>
        <x:v>20195</x:v>
      </x:c>
      <x:c r="M214" s="38" t="n">
        <x:f>ROUND(INDEX('Balance Inputs'!$N$2:$N$51,MATCH(A214,'Balance Inputs'!$I$2:$I$51,0))*POWER(INDEX('Balance Inputs'!$G$2:$G$7,MATCH(C214,'Balance Inputs'!$A$2:$A$7,0)),F214-1),0)</x:f>
        <x:v>1759</x:v>
      </x:c>
      <x:c r="N214" s="38" t="n">
        <x:f>IF(A214&lt;&gt;A213,H214,N213+H214)</x:f>
        <x:v>884782</x:v>
      </x:c>
      <x:c r="O214" s="42" t="n">
        <x:f>IF(I214=0,0,H214/I214)</x:f>
        <x:v>23.17033858391334</x:v>
      </x:c>
      <x:c r="P214" s="43" t="n">
        <x:f>I214/INDEX('Balance Inputs'!$L$2:$L$51,MATCH(A214,'Balance Inputs'!$I$2:$I$51,0))</x:f>
        <x:v>1.8769276102543955</x:v>
      </x:c>
      <x:c r="Q214" s="43" t="n">
        <x:f>L214/INDEX('Balance Inputs'!$M$2:$M$51,MATCH(A214,'Balance Inputs'!$I$2:$I$51,0))</x:f>
        <x:v>1.8224889450410613</x:v>
      </x:c>
      <x:c r="R214" s="17"/>
      <x:c r="S214" s="17"/>
      <x:c r="T214" s="17"/>
      <x:c r="U214" s="17"/>
      <x:c r="V214" s="17"/>
      <x:c r="W214" s="17"/>
      <x:c r="X214" s="17"/>
      <x:c r="Y214" s="17"/>
      <x:c r="Z214" s="17"/>
    </x:row>
    <x:row r="215">
      <x:c r="A215" s="17" t="n">
        <x:v>31</x:v>
      </x:c>
      <x:c r="B215" s="17" t="str">
        <x:v>Regional Bank</x:v>
      </x:c>
      <x:c r="C215" s="17" t="str">
        <x:v>Established</x:v>
      </x:c>
      <x:c r="D215" s="17" t="str">
        <x:v>Epic</x:v>
      </x:c>
      <x:c r="E215" s="17" t="n">
        <x:v>31</x:v>
      </x:c>
      <x:c r="F215" s="17" t="n">
        <x:v>4</x:v>
      </x:c>
      <x:c r="G215" s="17" t="str">
        <x:v>Upgrade to Lv4</x:v>
      </x:c>
      <x:c r="H215" s="38" t="n">
        <x:f>ROUND(H214*INDEX('Balance Inputs'!$C$2:$C$7,MATCH(C215,'Balance Inputs'!$A$2:$A$7,0)),0)</x:f>
        <x:v>717274</x:v>
      </x:c>
      <x:c r="I215" s="38" t="n">
        <x:f>ROUND(INDEX('Balance Inputs'!$L$2:$L$51,MATCH(A215,'Balance Inputs'!$I$2:$I$51,0))*POWER(INDEX('Balance Inputs'!$D$2:$D$7,MATCH(C215,'Balance Inputs'!$A$2:$A$7,0)),F215-1),0)</x:f>
        <x:v>26179</x:v>
      </x:c>
      <x:c r="J215" s="38" t="n">
        <x:f>ROUND(I215*INDEX('Balance Inputs'!$F$2:$F$7,MATCH(C215,'Balance Inputs'!$A$2:$A$7,0)),0)</x:f>
        <x:v>3927</x:v>
      </x:c>
      <x:c r="K215" s="38" t="n">
        <x:f>I215-J215</x:f>
        <x:v>22252</x:v>
      </x:c>
      <x:c r="L215" s="38" t="n">
        <x:f>ROUND(INDEX('Balance Inputs'!$M$2:$M$51,MATCH(A215,'Balance Inputs'!$I$2:$I$51,0))*POWER(INDEX('Balance Inputs'!$E$2:$E$7,MATCH(C215,'Balance Inputs'!$A$2:$A$7,0)),F215-1),0)</x:f>
        <x:v>27263</x:v>
      </x:c>
      <x:c r="M215" s="38" t="n">
        <x:f>ROUND(INDEX('Balance Inputs'!$N$2:$N$51,MATCH(A215,'Balance Inputs'!$I$2:$I$51,0))*POWER(INDEX('Balance Inputs'!$G$2:$G$7,MATCH(C215,'Balance Inputs'!$A$2:$A$7,0)),F215-1),0)</x:f>
        <x:v>2023</x:v>
      </x:c>
      <x:c r="N215" s="38" t="n">
        <x:f>IF(A215&lt;&gt;A214,H215,N214+H215)</x:f>
        <x:v>1602056</x:v>
      </x:c>
      <x:c r="O215" s="42" t="n">
        <x:f>IF(I215=0,0,H215/I215)</x:f>
        <x:v>27.398831124183506</x:v>
      </x:c>
      <x:c r="P215" s="43" t="n">
        <x:f>I215/INDEX('Balance Inputs'!$L$2:$L$51,MATCH(A215,'Balance Inputs'!$I$2:$I$51,0))</x:f>
        <x:v>2.5713584127295945</x:v>
      </x:c>
      <x:c r="Q215" s="43" t="n">
        <x:f>L215/INDEX('Balance Inputs'!$M$2:$M$51,MATCH(A215,'Balance Inputs'!$I$2:$I$51,0))</x:f>
        <x:v>2.4603375146647415</x:v>
      </x:c>
      <x:c r="R215" s="17"/>
      <x:c r="S215" s="17"/>
      <x:c r="T215" s="17"/>
      <x:c r="U215" s="17"/>
      <x:c r="V215" s="17"/>
      <x:c r="W215" s="17"/>
      <x:c r="X215" s="17"/>
      <x:c r="Y215" s="17"/>
      <x:c r="Z215" s="17"/>
    </x:row>
    <x:row r="216">
      <x:c r="A216" s="17" t="n">
        <x:v>31</x:v>
      </x:c>
      <x:c r="B216" s="17" t="str">
        <x:v>Regional Bank</x:v>
      </x:c>
      <x:c r="C216" s="17" t="str">
        <x:v>Established</x:v>
      </x:c>
      <x:c r="D216" s="17" t="str">
        <x:v>Epic</x:v>
      </x:c>
      <x:c r="E216" s="17" t="n">
        <x:v>31</x:v>
      </x:c>
      <x:c r="F216" s="17" t="n">
        <x:v>5</x:v>
      </x:c>
      <x:c r="G216" s="17" t="str">
        <x:v>Upgrade to Lv5</x:v>
      </x:c>
      <x:c r="H216" s="38" t="n">
        <x:f>ROUND(H215*INDEX('Balance Inputs'!$C$2:$C$7,MATCH(C216,'Balance Inputs'!$A$2:$A$7,0)),0)</x:f>
        <x:v>1161984</x:v>
      </x:c>
      <x:c r="I216" s="38" t="n">
        <x:f>ROUND(INDEX('Balance Inputs'!$L$2:$L$51,MATCH(A216,'Balance Inputs'!$I$2:$I$51,0))*POWER(INDEX('Balance Inputs'!$D$2:$D$7,MATCH(C216,'Balance Inputs'!$A$2:$A$7,0)),F216-1),0)</x:f>
        <x:v>35865</x:v>
      </x:c>
      <x:c r="J216" s="38" t="n">
        <x:f>ROUND(I216*INDEX('Balance Inputs'!$F$2:$F$7,MATCH(C216,'Balance Inputs'!$A$2:$A$7,0)),0)</x:f>
        <x:v>5380</x:v>
      </x:c>
      <x:c r="K216" s="38" t="n">
        <x:f>I216-J216</x:f>
        <x:v>30485</x:v>
      </x:c>
      <x:c r="L216" s="38" t="n">
        <x:f>ROUND(INDEX('Balance Inputs'!$M$2:$M$51,MATCH(A216,'Balance Inputs'!$I$2:$I$51,0))*POWER(INDEX('Balance Inputs'!$E$2:$E$7,MATCH(C216,'Balance Inputs'!$A$2:$A$7,0)),F216-1),0)</x:f>
        <x:v>36806</x:v>
      </x:c>
      <x:c r="M216" s="38" t="n">
        <x:f>ROUND(INDEX('Balance Inputs'!$N$2:$N$51,MATCH(A216,'Balance Inputs'!$I$2:$I$51,0))*POWER(INDEX('Balance Inputs'!$G$2:$G$7,MATCH(C216,'Balance Inputs'!$A$2:$A$7,0)),F216-1),0)</x:f>
        <x:v>2326</x:v>
      </x:c>
      <x:c r="N216" s="38" t="n">
        <x:f>IF(A216&lt;&gt;A215,H216,N215+H216)</x:f>
        <x:v>2764040</x:v>
      </x:c>
      <x:c r="O216" s="42" t="n">
        <x:f>IF(I216=0,0,H216/I216)</x:f>
        <x:v>32.398828941865325</x:v>
      </x:c>
      <x:c r="P216" s="43" t="n">
        <x:f>I216/INDEX('Balance Inputs'!$L$2:$L$51,MATCH(A216,'Balance Inputs'!$I$2:$I$51,0))</x:f>
        <x:v>3.5227384343384736</x:v>
      </x:c>
      <x:c r="Q216" s="43" t="n">
        <x:f>L216/INDEX('Balance Inputs'!$M$2:$M$51,MATCH(A216,'Balance Inputs'!$I$2:$I$51,0))</x:f>
        <x:v>3.3215413771320277</x:v>
      </x:c>
      <x:c r="R216" s="17"/>
      <x:c r="S216" s="17"/>
      <x:c r="T216" s="17"/>
      <x:c r="U216" s="17"/>
      <x:c r="V216" s="17"/>
      <x:c r="W216" s="17"/>
      <x:c r="X216" s="17"/>
      <x:c r="Y216" s="17"/>
      <x:c r="Z216" s="17"/>
    </x:row>
    <x:row r="217">
      <x:c r="A217" s="17" t="n">
        <x:v>31</x:v>
      </x:c>
      <x:c r="B217" s="17" t="str">
        <x:v>Regional Bank</x:v>
      </x:c>
      <x:c r="C217" s="17" t="str">
        <x:v>Established</x:v>
      </x:c>
      <x:c r="D217" s="17" t="str">
        <x:v>Epic</x:v>
      </x:c>
      <x:c r="E217" s="17" t="n">
        <x:v>31</x:v>
      </x:c>
      <x:c r="F217" s="17" t="n">
        <x:v>6</x:v>
      </x:c>
      <x:c r="G217" s="17" t="str">
        <x:v>Upgrade to Lv6</x:v>
      </x:c>
      <x:c r="H217" s="38" t="n">
        <x:f>ROUND(H216*INDEX('Balance Inputs'!$C$2:$C$7,MATCH(C217,'Balance Inputs'!$A$2:$A$7,0)),0)</x:f>
        <x:v>1882414</x:v>
      </x:c>
      <x:c r="I217" s="38" t="n">
        <x:f>ROUND(INDEX('Balance Inputs'!$L$2:$L$51,MATCH(A217,'Balance Inputs'!$I$2:$I$51,0))*POWER(INDEX('Balance Inputs'!$D$2:$D$7,MATCH(C217,'Balance Inputs'!$A$2:$A$7,0)),F217-1),0)</x:f>
        <x:v>49135</x:v>
      </x:c>
      <x:c r="J217" s="38" t="n">
        <x:f>ROUND(I217*INDEX('Balance Inputs'!$F$2:$F$7,MATCH(C217,'Balance Inputs'!$A$2:$A$7,0)),0)</x:f>
        <x:v>7370</x:v>
      </x:c>
      <x:c r="K217" s="38" t="n">
        <x:f>I217-J217</x:f>
        <x:v>41765</x:v>
      </x:c>
      <x:c r="L217" s="38" t="n">
        <x:f>ROUND(INDEX('Balance Inputs'!$M$2:$M$51,MATCH(A217,'Balance Inputs'!$I$2:$I$51,0))*POWER(INDEX('Balance Inputs'!$E$2:$E$7,MATCH(C217,'Balance Inputs'!$A$2:$A$7,0)),F217-1),0)</x:f>
        <x:v>49688</x:v>
      </x:c>
      <x:c r="M217" s="38" t="n">
        <x:f>ROUND(INDEX('Balance Inputs'!$N$2:$N$51,MATCH(A217,'Balance Inputs'!$I$2:$I$51,0))*POWER(INDEX('Balance Inputs'!$G$2:$G$7,MATCH(C217,'Balance Inputs'!$A$2:$A$7,0)),F217-1),0)</x:f>
        <x:v>2675</x:v>
      </x:c>
      <x:c r="N217" s="38" t="n">
        <x:f>IF(A217&lt;&gt;A216,H217,N216+H217)</x:f>
        <x:v>4646454</x:v>
      </x:c>
      <x:c r="O217" s="42" t="n">
        <x:f>IF(I217=0,0,H217/I217)</x:f>
        <x:v>38.3110613615549</x:v>
      </x:c>
      <x:c r="P217" s="43" t="n">
        <x:f>I217/INDEX('Balance Inputs'!$L$2:$L$51,MATCH(A217,'Balance Inputs'!$I$2:$I$51,0))</x:f>
        <x:v>4.82614674393478</x:v>
      </x:c>
      <x:c r="Q217" s="43" t="n">
        <x:f>L217/INDEX('Balance Inputs'!$M$2:$M$51,MATCH(A217,'Balance Inputs'!$I$2:$I$51,0))</x:f>
        <x:v>4.484071834671961</x:v>
      </x:c>
      <x:c r="R217" s="17"/>
      <x:c r="S217" s="17"/>
      <x:c r="T217" s="17"/>
      <x:c r="U217" s="17"/>
      <x:c r="V217" s="17"/>
      <x:c r="W217" s="17"/>
      <x:c r="X217" s="17"/>
      <x:c r="Y217" s="17"/>
      <x:c r="Z217" s="17"/>
    </x:row>
    <x:row r="218">
      <x:c r="A218" s="17" t="n">
        <x:v>31</x:v>
      </x:c>
      <x:c r="B218" s="17" t="str">
        <x:v>Regional Bank</x:v>
      </x:c>
      <x:c r="C218" s="17" t="str">
        <x:v>Established</x:v>
      </x:c>
      <x:c r="D218" s="17" t="str">
        <x:v>Epic</x:v>
      </x:c>
      <x:c r="E218" s="17" t="n">
        <x:v>31</x:v>
      </x:c>
      <x:c r="F218" s="17" t="n">
        <x:v>7</x:v>
      </x:c>
      <x:c r="G218" s="17" t="str">
        <x:v>Upgrade to Lv7</x:v>
      </x:c>
      <x:c r="H218" s="38" t="n">
        <x:f>ROUND(H217*INDEX('Balance Inputs'!$C$2:$C$7,MATCH(C218,'Balance Inputs'!$A$2:$A$7,0)),0)</x:f>
        <x:v>3049511</x:v>
      </x:c>
      <x:c r="I218" s="38" t="n">
        <x:f>ROUND(INDEX('Balance Inputs'!$L$2:$L$51,MATCH(A218,'Balance Inputs'!$I$2:$I$51,0))*POWER(INDEX('Balance Inputs'!$D$2:$D$7,MATCH(C218,'Balance Inputs'!$A$2:$A$7,0)),F218-1),0)</x:f>
        <x:v>67315</x:v>
      </x:c>
      <x:c r="J218" s="38" t="n">
        <x:f>ROUND(I218*INDEX('Balance Inputs'!$F$2:$F$7,MATCH(C218,'Balance Inputs'!$A$2:$A$7,0)),0)</x:f>
        <x:v>10097</x:v>
      </x:c>
      <x:c r="K218" s="38" t="n">
        <x:f>I218-J218</x:f>
        <x:v>57218</x:v>
      </x:c>
      <x:c r="L218" s="38" t="n">
        <x:f>ROUND(INDEX('Balance Inputs'!$M$2:$M$51,MATCH(A218,'Balance Inputs'!$I$2:$I$51,0))*POWER(INDEX('Balance Inputs'!$E$2:$E$7,MATCH(C218,'Balance Inputs'!$A$2:$A$7,0)),F218-1),0)</x:f>
        <x:v>67078</x:v>
      </x:c>
      <x:c r="M218" s="38" t="n">
        <x:f>ROUND(INDEX('Balance Inputs'!$N$2:$N$51,MATCH(A218,'Balance Inputs'!$I$2:$I$51,0))*POWER(INDEX('Balance Inputs'!$G$2:$G$7,MATCH(C218,'Balance Inputs'!$A$2:$A$7,0)),F218-1),0)</x:f>
        <x:v>3076</x:v>
      </x:c>
      <x:c r="N218" s="38" t="n">
        <x:f>IF(A218&lt;&gt;A217,H218,N217+H218)</x:f>
        <x:v>7695965</x:v>
      </x:c>
      <x:c r="O218" s="42" t="n">
        <x:f>IF(I218=0,0,H218/I218)</x:f>
        <x:v>45.3021020574909</x:v>
      </x:c>
      <x:c r="P218" s="43" t="n">
        <x:f>I218/INDEX('Balance Inputs'!$L$2:$L$51,MATCH(A218,'Balance Inputs'!$I$2:$I$51,0))</x:f>
        <x:v>6.611825950299577</x:v>
      </x:c>
      <x:c r="Q218" s="43" t="n">
        <x:f>L218/INDEX('Balance Inputs'!$M$2:$M$51,MATCH(A218,'Balance Inputs'!$I$2:$I$51,0))</x:f>
        <x:v>6.053424781156935</x:v>
      </x:c>
      <x:c r="R218" s="17"/>
      <x:c r="S218" s="17"/>
      <x:c r="T218" s="17"/>
      <x:c r="U218" s="17"/>
      <x:c r="V218" s="17"/>
      <x:c r="W218" s="17"/>
      <x:c r="X218" s="17"/>
      <x:c r="Y218" s="17"/>
      <x:c r="Z218" s="17"/>
    </x:row>
    <x:row r="219">
      <x:c r="A219" s="17" t="n">
        <x:v>31</x:v>
      </x:c>
      <x:c r="B219" s="17" t="str">
        <x:v>Regional Bank</x:v>
      </x:c>
      <x:c r="C219" s="17" t="str">
        <x:v>Established</x:v>
      </x:c>
      <x:c r="D219" s="17" t="str">
        <x:v>Epic</x:v>
      </x:c>
      <x:c r="E219" s="17" t="n">
        <x:v>31</x:v>
      </x:c>
      <x:c r="F219" s="17" t="n">
        <x:v>8</x:v>
      </x:c>
      <x:c r="G219" s="17" t="str">
        <x:v>Upgrade to Lv8</x:v>
      </x:c>
      <x:c r="H219" s="38" t="n">
        <x:f>ROUND(H218*INDEX('Balance Inputs'!$C$2:$C$7,MATCH(C219,'Balance Inputs'!$A$2:$A$7,0)),0)</x:f>
        <x:v>4940208</x:v>
      </x:c>
      <x:c r="I219" s="38" t="n">
        <x:f>ROUND(INDEX('Balance Inputs'!$L$2:$L$51,MATCH(A219,'Balance Inputs'!$I$2:$I$51,0))*POWER(INDEX('Balance Inputs'!$D$2:$D$7,MATCH(C219,'Balance Inputs'!$A$2:$A$7,0)),F219-1),0)</x:f>
        <x:v>92222</x:v>
      </x:c>
      <x:c r="J219" s="38" t="n">
        <x:f>ROUND(I219*INDEX('Balance Inputs'!$F$2:$F$7,MATCH(C219,'Balance Inputs'!$A$2:$A$7,0)),0)</x:f>
        <x:v>13833</x:v>
      </x:c>
      <x:c r="K219" s="38" t="n">
        <x:f>I219-J219</x:f>
        <x:v>78389</x:v>
      </x:c>
      <x:c r="L219" s="38" t="n">
        <x:f>ROUND(INDEX('Balance Inputs'!$M$2:$M$51,MATCH(A219,'Balance Inputs'!$I$2:$I$51,0))*POWER(INDEX('Balance Inputs'!$E$2:$E$7,MATCH(C219,'Balance Inputs'!$A$2:$A$7,0)),F219-1),0)</x:f>
        <x:v>90556</x:v>
      </x:c>
      <x:c r="M219" s="38" t="n">
        <x:f>ROUND(INDEX('Balance Inputs'!$N$2:$N$51,MATCH(A219,'Balance Inputs'!$I$2:$I$51,0))*POWER(INDEX('Balance Inputs'!$G$2:$G$7,MATCH(C219,'Balance Inputs'!$A$2:$A$7,0)),F219-1),0)</x:f>
        <x:v>3538</x:v>
      </x:c>
      <x:c r="N219" s="38" t="n">
        <x:f>IF(A219&lt;&gt;A218,H219,N218+H219)</x:f>
        <x:v>12636173</x:v>
      </x:c>
      <x:c r="O219" s="42" t="n">
        <x:f>IF(I219=0,0,H219/I219)</x:f>
        <x:v>53.56864956301099</x:v>
      </x:c>
      <x:c r="P219" s="43" t="n">
        <x:f>I219/INDEX('Balance Inputs'!$L$2:$L$51,MATCH(A219,'Balance Inputs'!$I$2:$I$51,0))</x:f>
        <x:v>9.058245751890777</x:v>
      </x:c>
      <x:c r="Q219" s="43" t="n">
        <x:f>L219/INDEX('Balance Inputs'!$M$2:$M$51,MATCH(A219,'Balance Inputs'!$I$2:$I$51,0))</x:f>
        <x:v>8.172186625755797</x:v>
      </x:c>
      <x:c r="R219" s="17"/>
      <x:c r="S219" s="17"/>
      <x:c r="T219" s="17"/>
      <x:c r="U219" s="17"/>
      <x:c r="V219" s="17"/>
      <x:c r="W219" s="17"/>
      <x:c r="X219" s="17"/>
      <x:c r="Y219" s="17"/>
      <x:c r="Z219" s="17"/>
    </x:row>
    <x:row r="220">
      <x:c r="A220" s="17" t="n">
        <x:v>31</x:v>
      </x:c>
      <x:c r="B220" s="17" t="str">
        <x:v>Regional Bank</x:v>
      </x:c>
      <x:c r="C220" s="17" t="str">
        <x:v>Established</x:v>
      </x:c>
      <x:c r="D220" s="17" t="str">
        <x:v>Epic</x:v>
      </x:c>
      <x:c r="E220" s="17" t="n">
        <x:v>31</x:v>
      </x:c>
      <x:c r="F220" s="17" t="n">
        <x:v>9</x:v>
      </x:c>
      <x:c r="G220" s="17" t="str">
        <x:v>Upgrade to Lv9</x:v>
      </x:c>
      <x:c r="H220" s="38" t="n">
        <x:f>ROUND(H219*INDEX('Balance Inputs'!$C$2:$C$7,MATCH(C220,'Balance Inputs'!$A$2:$A$7,0)),0)</x:f>
        <x:v>8003137</x:v>
      </x:c>
      <x:c r="I220" s="38" t="n">
        <x:f>ROUND(INDEX('Balance Inputs'!$L$2:$L$51,MATCH(A220,'Balance Inputs'!$I$2:$I$51,0))*POWER(INDEX('Balance Inputs'!$D$2:$D$7,MATCH(C220,'Balance Inputs'!$A$2:$A$7,0)),F220-1),0)</x:f>
        <x:v>126344</x:v>
      </x:c>
      <x:c r="J220" s="38" t="n">
        <x:f>ROUND(I220*INDEX('Balance Inputs'!$F$2:$F$7,MATCH(C220,'Balance Inputs'!$A$2:$A$7,0)),0)</x:f>
        <x:v>18952</x:v>
      </x:c>
      <x:c r="K220" s="38" t="n">
        <x:f>I220-J220</x:f>
        <x:v>107392</x:v>
      </x:c>
      <x:c r="L220" s="38" t="n">
        <x:f>ROUND(INDEX('Balance Inputs'!$M$2:$M$51,MATCH(A220,'Balance Inputs'!$I$2:$I$51,0))*POWER(INDEX('Balance Inputs'!$E$2:$E$7,MATCH(C220,'Balance Inputs'!$A$2:$A$7,0)),F220-1),0)</x:f>
        <x:v>122250</x:v>
      </x:c>
      <x:c r="M220" s="38" t="n">
        <x:f>ROUND(INDEX('Balance Inputs'!$N$2:$N$51,MATCH(A220,'Balance Inputs'!$I$2:$I$51,0))*POWER(INDEX('Balance Inputs'!$G$2:$G$7,MATCH(C220,'Balance Inputs'!$A$2:$A$7,0)),F220-1),0)</x:f>
        <x:v>4069</x:v>
      </x:c>
      <x:c r="N220" s="38" t="n">
        <x:f>IF(A220&lt;&gt;A219,H220,N219+H220)</x:f>
        <x:v>20639310</x:v>
      </x:c>
      <x:c r="O220" s="42" t="n">
        <x:f>IF(I220=0,0,H220/I220)</x:f>
        <x:v>63.344021085290954</x:v>
      </x:c>
      <x:c r="P220" s="43" t="n">
        <x:f>I220/INDEX('Balance Inputs'!$L$2:$L$51,MATCH(A220,'Balance Inputs'!$I$2:$I$51,0))</x:f>
        <x:v>12.409782928985365</x:v>
      </x:c>
      <x:c r="Q220" s="43" t="n">
        <x:f>L220/INDEX('Balance Inputs'!$M$2:$M$51,MATCH(A220,'Balance Inputs'!$I$2:$I$51,0))</x:f>
        <x:v>11.032397798032669</x:v>
      </x:c>
      <x:c r="R220" s="17"/>
      <x:c r="S220" s="17"/>
      <x:c r="T220" s="17"/>
      <x:c r="U220" s="17"/>
      <x:c r="V220" s="17"/>
      <x:c r="W220" s="17"/>
      <x:c r="X220" s="17"/>
      <x:c r="Y220" s="17"/>
      <x:c r="Z220" s="17"/>
    </x:row>
    <x:row r="221">
      <x:c r="A221" s="17" t="n">
        <x:v>32</x:v>
      </x:c>
      <x:c r="B221" s="17" t="str">
        <x:v>Stock Brokerage Center</x:v>
      </x:c>
      <x:c r="C221" s="17" t="str">
        <x:v>Established</x:v>
      </x:c>
      <x:c r="D221" s="17" t="str">
        <x:v>Epic</x:v>
      </x:c>
      <x:c r="E221" s="17" t="n">
        <x:v>32</x:v>
      </x:c>
      <x:c r="F221" s="17" t="n">
        <x:v>1</x:v>
      </x:c>
      <x:c r="G221" s="17" t="str">
        <x:v>Build</x:v>
      </x:c>
      <x:c r="H221" s="38" t="n">
        <x:f>INDEX('Balance Inputs'!$K$2:$K$51,MATCH(A221,'Balance Inputs'!$I$2:$I$51,0))</x:f>
        <x:v>208350</x:v>
      </x:c>
      <x:c r="I221" s="38" t="n">
        <x:f>ROUND(INDEX('Balance Inputs'!$L$2:$L$51,MATCH(A221,'Balance Inputs'!$I$2:$I$51,0))*POWER(INDEX('Balance Inputs'!$D$2:$D$7,MATCH(C221,'Balance Inputs'!$A$2:$A$7,0)),F221-1),0)</x:f>
        <x:v>12978</x:v>
      </x:c>
      <x:c r="J221" s="38" t="n">
        <x:f>ROUND(I221*INDEX('Balance Inputs'!$F$2:$F$7,MATCH(C221,'Balance Inputs'!$A$2:$A$7,0)),0)</x:f>
        <x:v>1947</x:v>
      </x:c>
      <x:c r="K221" s="38" t="n">
        <x:f>I221-J221</x:f>
        <x:v>11031</x:v>
      </x:c>
      <x:c r="L221" s="38" t="n">
        <x:f>ROUND(INDEX('Balance Inputs'!$M$2:$M$51,MATCH(A221,'Balance Inputs'!$I$2:$I$51,0))*POWER(INDEX('Balance Inputs'!$E$2:$E$7,MATCH(C221,'Balance Inputs'!$A$2:$A$7,0)),F221-1),0)</x:f>
        <x:v>13186</x:v>
      </x:c>
      <x:c r="M221" s="38" t="n">
        <x:f>ROUND(INDEX('Balance Inputs'!$N$2:$N$51,MATCH(A221,'Balance Inputs'!$I$2:$I$51,0))*POWER(INDEX('Balance Inputs'!$G$2:$G$7,MATCH(C221,'Balance Inputs'!$A$2:$A$7,0)),F221-1),0)</x:f>
        <x:v>1820</x:v>
      </x:c>
      <x:c r="N221" s="38" t="n">
        <x:f>IF(A221&lt;&gt;A220,H221,N220+H221)</x:f>
        <x:v>208350</x:v>
      </x:c>
      <x:c r="O221" s="42" t="n">
        <x:f>IF(I221=0,0,H221/I221)</x:f>
        <x:v>16.054091539528432</x:v>
      </x:c>
      <x:c r="P221" s="43" t="n">
        <x:f>I221/INDEX('Balance Inputs'!$L$2:$L$51,MATCH(A221,'Balance Inputs'!$I$2:$I$51,0))</x:f>
        <x:v>1</x:v>
      </x:c>
      <x:c r="Q221" s="43" t="n">
        <x:f>L221/INDEX('Balance Inputs'!$M$2:$M$51,MATCH(A221,'Balance Inputs'!$I$2:$I$51,0))</x:f>
        <x:v>1</x:v>
      </x:c>
      <x:c r="R221" s="17"/>
      <x:c r="S221" s="17"/>
      <x:c r="T221" s="17"/>
      <x:c r="U221" s="17"/>
      <x:c r="V221" s="17"/>
      <x:c r="W221" s="17"/>
      <x:c r="X221" s="17"/>
      <x:c r="Y221" s="17"/>
      <x:c r="Z221" s="17"/>
    </x:row>
    <x:row r="222">
      <x:c r="A222" s="17" t="n">
        <x:v>32</x:v>
      </x:c>
      <x:c r="B222" s="17" t="str">
        <x:v>Stock Brokerage Center</x:v>
      </x:c>
      <x:c r="C222" s="17" t="str">
        <x:v>Established</x:v>
      </x:c>
      <x:c r="D222" s="17" t="str">
        <x:v>Epic</x:v>
      </x:c>
      <x:c r="E222" s="17" t="n">
        <x:v>32</x:v>
      </x:c>
      <x:c r="F222" s="17" t="n">
        <x:v>2</x:v>
      </x:c>
      <x:c r="G222" s="17" t="str">
        <x:v>Upgrade to Lv2</x:v>
      </x:c>
      <x:c r="H222" s="38" t="n">
        <x:f>ROUND(H221*INDEX('Balance Inputs'!$C$2:$C$7,MATCH(C222,'Balance Inputs'!$A$2:$A$7,0)),0)</x:f>
        <x:v>337527</x:v>
      </x:c>
      <x:c r="I222" s="38" t="n">
        <x:f>ROUND(INDEX('Balance Inputs'!$L$2:$L$51,MATCH(A222,'Balance Inputs'!$I$2:$I$51,0))*POWER(INDEX('Balance Inputs'!$D$2:$D$7,MATCH(C222,'Balance Inputs'!$A$2:$A$7,0)),F222-1),0)</x:f>
        <x:v>17780</x:v>
      </x:c>
      <x:c r="J222" s="38" t="n">
        <x:f>ROUND(I222*INDEX('Balance Inputs'!$F$2:$F$7,MATCH(C222,'Balance Inputs'!$A$2:$A$7,0)),0)</x:f>
        <x:v>2667</x:v>
      </x:c>
      <x:c r="K222" s="38" t="n">
        <x:f>I222-J222</x:f>
        <x:v>15113</x:v>
      </x:c>
      <x:c r="L222" s="38" t="n">
        <x:f>ROUND(INDEX('Balance Inputs'!$M$2:$M$51,MATCH(A222,'Balance Inputs'!$I$2:$I$51,0))*POWER(INDEX('Balance Inputs'!$E$2:$E$7,MATCH(C222,'Balance Inputs'!$A$2:$A$7,0)),F222-1),0)</x:f>
        <x:v>17801</x:v>
      </x:c>
      <x:c r="M222" s="38" t="n">
        <x:f>ROUND(INDEX('Balance Inputs'!$N$2:$N$51,MATCH(A222,'Balance Inputs'!$I$2:$I$51,0))*POWER(INDEX('Balance Inputs'!$G$2:$G$7,MATCH(C222,'Balance Inputs'!$A$2:$A$7,0)),F222-1),0)</x:f>
        <x:v>2093</x:v>
      </x:c>
      <x:c r="N222" s="38" t="n">
        <x:f>IF(A222&lt;&gt;A221,H222,N221+H222)</x:f>
        <x:v>545877</x:v>
      </x:c>
      <x:c r="O222" s="42" t="n">
        <x:f>IF(I222=0,0,H222/I222)</x:f>
        <x:v>18.983520809898764</x:v>
      </x:c>
      <x:c r="P222" s="43" t="n">
        <x:f>I222/INDEX('Balance Inputs'!$L$2:$L$51,MATCH(A222,'Balance Inputs'!$I$2:$I$51,0))</x:f>
        <x:v>1.3700107874865157</x:v>
      </x:c>
      <x:c r="Q222" s="43" t="n">
        <x:f>L222/INDEX('Balance Inputs'!$M$2:$M$51,MATCH(A222,'Balance Inputs'!$I$2:$I$51,0))</x:f>
        <x:v>1.349992416198999</x:v>
      </x:c>
      <x:c r="R222" s="17"/>
      <x:c r="S222" s="17"/>
      <x:c r="T222" s="17"/>
      <x:c r="U222" s="17"/>
      <x:c r="V222" s="17"/>
      <x:c r="W222" s="17"/>
      <x:c r="X222" s="17"/>
      <x:c r="Y222" s="17"/>
      <x:c r="Z222" s="17"/>
    </x:row>
    <x:row r="223">
      <x:c r="A223" s="17" t="n">
        <x:v>32</x:v>
      </x:c>
      <x:c r="B223" s="17" t="str">
        <x:v>Stock Brokerage Center</x:v>
      </x:c>
      <x:c r="C223" s="17" t="str">
        <x:v>Established</x:v>
      </x:c>
      <x:c r="D223" s="17" t="str">
        <x:v>Epic</x:v>
      </x:c>
      <x:c r="E223" s="17" t="n">
        <x:v>32</x:v>
      </x:c>
      <x:c r="F223" s="17" t="n">
        <x:v>3</x:v>
      </x:c>
      <x:c r="G223" s="17" t="str">
        <x:v>Upgrade to Lv3</x:v>
      </x:c>
      <x:c r="H223" s="38" t="n">
        <x:f>ROUND(H222*INDEX('Balance Inputs'!$C$2:$C$7,MATCH(C223,'Balance Inputs'!$A$2:$A$7,0)),0)</x:f>
        <x:v>546794</x:v>
      </x:c>
      <x:c r="I223" s="38" t="n">
        <x:f>ROUND(INDEX('Balance Inputs'!$L$2:$L$51,MATCH(A223,'Balance Inputs'!$I$2:$I$51,0))*POWER(INDEX('Balance Inputs'!$D$2:$D$7,MATCH(C223,'Balance Inputs'!$A$2:$A$7,0)),F223-1),0)</x:f>
        <x:v>24358</x:v>
      </x:c>
      <x:c r="J223" s="38" t="n">
        <x:f>ROUND(I223*INDEX('Balance Inputs'!$F$2:$F$7,MATCH(C223,'Balance Inputs'!$A$2:$A$7,0)),0)</x:f>
        <x:v>3654</x:v>
      </x:c>
      <x:c r="K223" s="38" t="n">
        <x:f>I223-J223</x:f>
        <x:v>20704</x:v>
      </x:c>
      <x:c r="L223" s="38" t="n">
        <x:f>ROUND(INDEX('Balance Inputs'!$M$2:$M$51,MATCH(A223,'Balance Inputs'!$I$2:$I$51,0))*POWER(INDEX('Balance Inputs'!$E$2:$E$7,MATCH(C223,'Balance Inputs'!$A$2:$A$7,0)),F223-1),0)</x:f>
        <x:v>24031</x:v>
      </x:c>
      <x:c r="M223" s="38" t="n">
        <x:f>ROUND(INDEX('Balance Inputs'!$N$2:$N$51,MATCH(A223,'Balance Inputs'!$I$2:$I$51,0))*POWER(INDEX('Balance Inputs'!$G$2:$G$7,MATCH(C223,'Balance Inputs'!$A$2:$A$7,0)),F223-1),0)</x:f>
        <x:v>2407</x:v>
      </x:c>
      <x:c r="N223" s="38" t="n">
        <x:f>IF(A223&lt;&gt;A222,H223,N222+H223)</x:f>
        <x:v>1092671</x:v>
      </x:c>
      <x:c r="O223" s="42" t="n">
        <x:f>IF(I223=0,0,H223/I223)</x:f>
        <x:v>22.44823056080138</x:v>
      </x:c>
      <x:c r="P223" s="43" t="n">
        <x:f>I223/INDEX('Balance Inputs'!$L$2:$L$51,MATCH(A223,'Balance Inputs'!$I$2:$I$51,0))</x:f>
        <x:v>1.8768685467714594</x:v>
      </x:c>
      <x:c r="Q223" s="43" t="n">
        <x:f>L223/INDEX('Balance Inputs'!$M$2:$M$51,MATCH(A223,'Balance Inputs'!$I$2:$I$51,0))</x:f>
        <x:v>1.8224632185651448</x:v>
      </x:c>
      <x:c r="R223" s="17"/>
      <x:c r="S223" s="17"/>
      <x:c r="T223" s="17"/>
      <x:c r="U223" s="17"/>
      <x:c r="V223" s="17"/>
      <x:c r="W223" s="17"/>
      <x:c r="X223" s="17"/>
      <x:c r="Y223" s="17"/>
      <x:c r="Z223" s="17"/>
    </x:row>
    <x:row r="224">
      <x:c r="A224" s="17" t="n">
        <x:v>32</x:v>
      </x:c>
      <x:c r="B224" s="17" t="str">
        <x:v>Stock Brokerage Center</x:v>
      </x:c>
      <x:c r="C224" s="17" t="str">
        <x:v>Established</x:v>
      </x:c>
      <x:c r="D224" s="17" t="str">
        <x:v>Epic</x:v>
      </x:c>
      <x:c r="E224" s="17" t="n">
        <x:v>32</x:v>
      </x:c>
      <x:c r="F224" s="17" t="n">
        <x:v>4</x:v>
      </x:c>
      <x:c r="G224" s="17" t="str">
        <x:v>Upgrade to Lv4</x:v>
      </x:c>
      <x:c r="H224" s="38" t="n">
        <x:f>ROUND(H223*INDEX('Balance Inputs'!$C$2:$C$7,MATCH(C224,'Balance Inputs'!$A$2:$A$7,0)),0)</x:f>
        <x:v>885806</x:v>
      </x:c>
      <x:c r="I224" s="38" t="n">
        <x:f>ROUND(INDEX('Balance Inputs'!$L$2:$L$51,MATCH(A224,'Balance Inputs'!$I$2:$I$51,0))*POWER(INDEX('Balance Inputs'!$D$2:$D$7,MATCH(C224,'Balance Inputs'!$A$2:$A$7,0)),F224-1),0)</x:f>
        <x:v>33371</x:v>
      </x:c>
      <x:c r="J224" s="38" t="n">
        <x:f>ROUND(I224*INDEX('Balance Inputs'!$F$2:$F$7,MATCH(C224,'Balance Inputs'!$A$2:$A$7,0)),0)</x:f>
        <x:v>5006</x:v>
      </x:c>
      <x:c r="K224" s="38" t="n">
        <x:f>I224-J224</x:f>
        <x:v>28365</x:v>
      </x:c>
      <x:c r="L224" s="38" t="n">
        <x:f>ROUND(INDEX('Balance Inputs'!$M$2:$M$51,MATCH(A224,'Balance Inputs'!$I$2:$I$51,0))*POWER(INDEX('Balance Inputs'!$E$2:$E$7,MATCH(C224,'Balance Inputs'!$A$2:$A$7,0)),F224-1),0)</x:f>
        <x:v>32443</x:v>
      </x:c>
      <x:c r="M224" s="38" t="n">
        <x:f>ROUND(INDEX('Balance Inputs'!$N$2:$N$51,MATCH(A224,'Balance Inputs'!$I$2:$I$51,0))*POWER(INDEX('Balance Inputs'!$G$2:$G$7,MATCH(C224,'Balance Inputs'!$A$2:$A$7,0)),F224-1),0)</x:f>
        <x:v>2768</x:v>
      </x:c>
      <x:c r="N224" s="38" t="n">
        <x:f>IF(A224&lt;&gt;A223,H224,N223+H224)</x:f>
        <x:v>1978477</x:v>
      </x:c>
      <x:c r="O224" s="42" t="n">
        <x:f>IF(I224=0,0,H224/I224)</x:f>
        <x:v>26.54418507086992</x:v>
      </x:c>
      <x:c r="P224" s="43" t="n">
        <x:f>I224/INDEX('Balance Inputs'!$L$2:$L$51,MATCH(A224,'Balance Inputs'!$I$2:$I$51,0))</x:f>
        <x:v>2.5713515179534596</x:v>
      </x:c>
      <x:c r="Q224" s="43" t="n">
        <x:f>L224/INDEX('Balance Inputs'!$M$2:$M$51,MATCH(A224,'Balance Inputs'!$I$2:$I$51,0))</x:f>
        <x:v>2.4604125587744576</x:v>
      </x:c>
      <x:c r="R224" s="17"/>
      <x:c r="S224" s="17"/>
      <x:c r="T224" s="17"/>
      <x:c r="U224" s="17"/>
      <x:c r="V224" s="17"/>
      <x:c r="W224" s="17"/>
      <x:c r="X224" s="17"/>
      <x:c r="Y224" s="17"/>
      <x:c r="Z224" s="17"/>
    </x:row>
    <x:row r="225">
      <x:c r="A225" s="17" t="n">
        <x:v>32</x:v>
      </x:c>
      <x:c r="B225" s="17" t="str">
        <x:v>Stock Brokerage Center</x:v>
      </x:c>
      <x:c r="C225" s="17" t="str">
        <x:v>Established</x:v>
      </x:c>
      <x:c r="D225" s="17" t="str">
        <x:v>Epic</x:v>
      </x:c>
      <x:c r="E225" s="17" t="n">
        <x:v>32</x:v>
      </x:c>
      <x:c r="F225" s="17" t="n">
        <x:v>5</x:v>
      </x:c>
      <x:c r="G225" s="17" t="str">
        <x:v>Upgrade to Lv5</x:v>
      </x:c>
      <x:c r="H225" s="38" t="n">
        <x:f>ROUND(H224*INDEX('Balance Inputs'!$C$2:$C$7,MATCH(C225,'Balance Inputs'!$A$2:$A$7,0)),0)</x:f>
        <x:v>1435006</x:v>
      </x:c>
      <x:c r="I225" s="38" t="n">
        <x:f>ROUND(INDEX('Balance Inputs'!$L$2:$L$51,MATCH(A225,'Balance Inputs'!$I$2:$I$51,0))*POWER(INDEX('Balance Inputs'!$D$2:$D$7,MATCH(C225,'Balance Inputs'!$A$2:$A$7,0)),F225-1),0)</x:f>
        <x:v>45718</x:v>
      </x:c>
      <x:c r="J225" s="38" t="n">
        <x:f>ROUND(I225*INDEX('Balance Inputs'!$F$2:$F$7,MATCH(C225,'Balance Inputs'!$A$2:$A$7,0)),0)</x:f>
        <x:v>6858</x:v>
      </x:c>
      <x:c r="K225" s="38" t="n">
        <x:f>I225-J225</x:f>
        <x:v>38860</x:v>
      </x:c>
      <x:c r="L225" s="38" t="n">
        <x:f>ROUND(INDEX('Balance Inputs'!$M$2:$M$51,MATCH(A225,'Balance Inputs'!$I$2:$I$51,0))*POWER(INDEX('Balance Inputs'!$E$2:$E$7,MATCH(C225,'Balance Inputs'!$A$2:$A$7,0)),F225-1),0)</x:f>
        <x:v>43797</x:v>
      </x:c>
      <x:c r="M225" s="38" t="n">
        <x:f>ROUND(INDEX('Balance Inputs'!$N$2:$N$51,MATCH(A225,'Balance Inputs'!$I$2:$I$51,0))*POWER(INDEX('Balance Inputs'!$G$2:$G$7,MATCH(C225,'Balance Inputs'!$A$2:$A$7,0)),F225-1),0)</x:f>
        <x:v>3183</x:v>
      </x:c>
      <x:c r="N225" s="38" t="n">
        <x:f>IF(A225&lt;&gt;A224,H225,N224+H225)</x:f>
        <x:v>3413483</x:v>
      </x:c>
      <x:c r="O225" s="42" t="n">
        <x:f>IF(I225=0,0,H225/I225)</x:f>
        <x:v>31.388205958265893</x:v>
      </x:c>
      <x:c r="P225" s="43" t="n">
        <x:f>I225/INDEX('Balance Inputs'!$L$2:$L$51,MATCH(A225,'Balance Inputs'!$I$2:$I$51,0))</x:f>
        <x:v>3.5227307751579597</x:v>
      </x:c>
      <x:c r="Q225" s="43" t="n">
        <x:f>L225/INDEX('Balance Inputs'!$M$2:$M$51,MATCH(A225,'Balance Inputs'!$I$2:$I$51,0))</x:f>
        <x:v>3.3214773244350067</x:v>
      </x:c>
      <x:c r="R225" s="17"/>
      <x:c r="S225" s="17"/>
      <x:c r="T225" s="17"/>
      <x:c r="U225" s="17"/>
      <x:c r="V225" s="17"/>
      <x:c r="W225" s="17"/>
      <x:c r="X225" s="17"/>
      <x:c r="Y225" s="17"/>
      <x:c r="Z225" s="17"/>
    </x:row>
    <x:row r="226">
      <x:c r="A226" s="17" t="n">
        <x:v>32</x:v>
      </x:c>
      <x:c r="B226" s="17" t="str">
        <x:v>Stock Brokerage Center</x:v>
      </x:c>
      <x:c r="C226" s="17" t="str">
        <x:v>Established</x:v>
      </x:c>
      <x:c r="D226" s="17" t="str">
        <x:v>Epic</x:v>
      </x:c>
      <x:c r="E226" s="17" t="n">
        <x:v>32</x:v>
      </x:c>
      <x:c r="F226" s="17" t="n">
        <x:v>6</x:v>
      </x:c>
      <x:c r="G226" s="17" t="str">
        <x:v>Upgrade to Lv6</x:v>
      </x:c>
      <x:c r="H226" s="38" t="n">
        <x:f>ROUND(H225*INDEX('Balance Inputs'!$C$2:$C$7,MATCH(C226,'Balance Inputs'!$A$2:$A$7,0)),0)</x:f>
        <x:v>2324710</x:v>
      </x:c>
      <x:c r="I226" s="38" t="n">
        <x:f>ROUND(INDEX('Balance Inputs'!$L$2:$L$51,MATCH(A226,'Balance Inputs'!$I$2:$I$51,0))*POWER(INDEX('Balance Inputs'!$D$2:$D$7,MATCH(C226,'Balance Inputs'!$A$2:$A$7,0)),F226-1),0)</x:f>
        <x:v>62634</x:v>
      </x:c>
      <x:c r="J226" s="38" t="n">
        <x:f>ROUND(I226*INDEX('Balance Inputs'!$F$2:$F$7,MATCH(C226,'Balance Inputs'!$A$2:$A$7,0)),0)</x:f>
        <x:v>9395</x:v>
      </x:c>
      <x:c r="K226" s="38" t="n">
        <x:f>I226-J226</x:f>
        <x:v>53239</x:v>
      </x:c>
      <x:c r="L226" s="38" t="n">
        <x:f>ROUND(INDEX('Balance Inputs'!$M$2:$M$51,MATCH(A226,'Balance Inputs'!$I$2:$I$51,0))*POWER(INDEX('Balance Inputs'!$E$2:$E$7,MATCH(C226,'Balance Inputs'!$A$2:$A$7,0)),F226-1),0)</x:f>
        <x:v>59126</x:v>
      </x:c>
      <x:c r="M226" s="38" t="n">
        <x:f>ROUND(INDEX('Balance Inputs'!$N$2:$N$51,MATCH(A226,'Balance Inputs'!$I$2:$I$51,0))*POWER(INDEX('Balance Inputs'!$G$2:$G$7,MATCH(C226,'Balance Inputs'!$A$2:$A$7,0)),F226-1),0)</x:f>
        <x:v>3661</x:v>
      </x:c>
      <x:c r="N226" s="38" t="n">
        <x:f>IF(A226&lt;&gt;A225,H226,N225+H226)</x:f>
        <x:v>5738193</x:v>
      </x:c>
      <x:c r="O226" s="42" t="n">
        <x:f>IF(I226=0,0,H226/I226)</x:f>
        <x:v>37.115783759619376</x:v>
      </x:c>
      <x:c r="P226" s="43" t="n">
        <x:f>I226/INDEX('Balance Inputs'!$L$2:$L$51,MATCH(A226,'Balance Inputs'!$I$2:$I$51,0))</x:f>
        <x:v>4.8261673601479425</x:v>
      </x:c>
      <x:c r="Q226" s="43" t="n">
        <x:f>L226/INDEX('Balance Inputs'!$M$2:$M$51,MATCH(A226,'Balance Inputs'!$I$2:$I$51,0))</x:f>
        <x:v>4.4839981798877595</x:v>
      </x:c>
      <x:c r="R226" s="17"/>
      <x:c r="S226" s="17"/>
      <x:c r="T226" s="17"/>
      <x:c r="U226" s="17"/>
      <x:c r="V226" s="17"/>
      <x:c r="W226" s="17"/>
      <x:c r="X226" s="17"/>
      <x:c r="Y226" s="17"/>
      <x:c r="Z226" s="17"/>
    </x:row>
    <x:row r="227">
      <x:c r="A227" s="17" t="n">
        <x:v>32</x:v>
      </x:c>
      <x:c r="B227" s="17" t="str">
        <x:v>Stock Brokerage Center</x:v>
      </x:c>
      <x:c r="C227" s="17" t="str">
        <x:v>Established</x:v>
      </x:c>
      <x:c r="D227" s="17" t="str">
        <x:v>Epic</x:v>
      </x:c>
      <x:c r="E227" s="17" t="n">
        <x:v>32</x:v>
      </x:c>
      <x:c r="F227" s="17" t="n">
        <x:v>7</x:v>
      </x:c>
      <x:c r="G227" s="17" t="str">
        <x:v>Upgrade to Lv7</x:v>
      </x:c>
      <x:c r="H227" s="38" t="n">
        <x:f>ROUND(H226*INDEX('Balance Inputs'!$C$2:$C$7,MATCH(C227,'Balance Inputs'!$A$2:$A$7,0)),0)</x:f>
        <x:v>3766030</x:v>
      </x:c>
      <x:c r="I227" s="38" t="n">
        <x:f>ROUND(INDEX('Balance Inputs'!$L$2:$L$51,MATCH(A227,'Balance Inputs'!$I$2:$I$51,0))*POWER(INDEX('Balance Inputs'!$D$2:$D$7,MATCH(C227,'Balance Inputs'!$A$2:$A$7,0)),F227-1),0)</x:f>
        <x:v>85809</x:v>
      </x:c>
      <x:c r="J227" s="38" t="n">
        <x:f>ROUND(I227*INDEX('Balance Inputs'!$F$2:$F$7,MATCH(C227,'Balance Inputs'!$A$2:$A$7,0)),0)</x:f>
        <x:v>12871</x:v>
      </x:c>
      <x:c r="K227" s="38" t="n">
        <x:f>I227-J227</x:f>
        <x:v>72938</x:v>
      </x:c>
      <x:c r="L227" s="38" t="n">
        <x:f>ROUND(INDEX('Balance Inputs'!$M$2:$M$51,MATCH(A227,'Balance Inputs'!$I$2:$I$51,0))*POWER(INDEX('Balance Inputs'!$E$2:$E$7,MATCH(C227,'Balance Inputs'!$A$2:$A$7,0)),F227-1),0)</x:f>
        <x:v>79821</x:v>
      </x:c>
      <x:c r="M227" s="38" t="n">
        <x:f>ROUND(INDEX('Balance Inputs'!$N$2:$N$51,MATCH(A227,'Balance Inputs'!$I$2:$I$51,0))*POWER(INDEX('Balance Inputs'!$G$2:$G$7,MATCH(C227,'Balance Inputs'!$A$2:$A$7,0)),F227-1),0)</x:f>
        <x:v>4210</x:v>
      </x:c>
      <x:c r="N227" s="38" t="n">
        <x:f>IF(A227&lt;&gt;A226,H227,N226+H227)</x:f>
        <x:v>9504223</x:v>
      </x:c>
      <x:c r="O227" s="42" t="n">
        <x:f>IF(I227=0,0,H227/I227)</x:f>
        <x:v>43.888519852229955</x:v>
      </x:c>
      <x:c r="P227" s="43" t="n">
        <x:f>I227/INDEX('Balance Inputs'!$L$2:$L$51,MATCH(A227,'Balance Inputs'!$I$2:$I$51,0))</x:f>
        <x:v>6.611881645862228</x:v>
      </x:c>
      <x:c r="Q227" s="43" t="n">
        <x:f>L227/INDEX('Balance Inputs'!$M$2:$M$51,MATCH(A227,'Balance Inputs'!$I$2:$I$51,0))</x:f>
        <x:v>6.053465797057485</x:v>
      </x:c>
      <x:c r="R227" s="17"/>
      <x:c r="S227" s="17"/>
      <x:c r="T227" s="17"/>
      <x:c r="U227" s="17"/>
      <x:c r="V227" s="17"/>
      <x:c r="W227" s="17"/>
      <x:c r="X227" s="17"/>
      <x:c r="Y227" s="17"/>
      <x:c r="Z227" s="17"/>
    </x:row>
    <x:row r="228">
      <x:c r="A228" s="17" t="n">
        <x:v>32</x:v>
      </x:c>
      <x:c r="B228" s="17" t="str">
        <x:v>Stock Brokerage Center</x:v>
      </x:c>
      <x:c r="C228" s="17" t="str">
        <x:v>Established</x:v>
      </x:c>
      <x:c r="D228" s="17" t="str">
        <x:v>Epic</x:v>
      </x:c>
      <x:c r="E228" s="17" t="n">
        <x:v>32</x:v>
      </x:c>
      <x:c r="F228" s="17" t="n">
        <x:v>8</x:v>
      </x:c>
      <x:c r="G228" s="17" t="str">
        <x:v>Upgrade to Lv8</x:v>
      </x:c>
      <x:c r="H228" s="38" t="n">
        <x:f>ROUND(H227*INDEX('Balance Inputs'!$C$2:$C$7,MATCH(C228,'Balance Inputs'!$A$2:$A$7,0)),0)</x:f>
        <x:v>6100969</x:v>
      </x:c>
      <x:c r="I228" s="38" t="n">
        <x:f>ROUND(INDEX('Balance Inputs'!$L$2:$L$51,MATCH(A228,'Balance Inputs'!$I$2:$I$51,0))*POWER(INDEX('Balance Inputs'!$D$2:$D$7,MATCH(C228,'Balance Inputs'!$A$2:$A$7,0)),F228-1),0)</x:f>
        <x:v>117558</x:v>
      </x:c>
      <x:c r="J228" s="38" t="n">
        <x:f>ROUND(I228*INDEX('Balance Inputs'!$F$2:$F$7,MATCH(C228,'Balance Inputs'!$A$2:$A$7,0)),0)</x:f>
        <x:v>17634</x:v>
      </x:c>
      <x:c r="K228" s="38" t="n">
        <x:f>I228-J228</x:f>
        <x:v>99924</x:v>
      </x:c>
      <x:c r="L228" s="38" t="n">
        <x:f>ROUND(INDEX('Balance Inputs'!$M$2:$M$51,MATCH(A228,'Balance Inputs'!$I$2:$I$51,0))*POWER(INDEX('Balance Inputs'!$E$2:$E$7,MATCH(C228,'Balance Inputs'!$A$2:$A$7,0)),F228-1),0)</x:f>
        <x:v>107758</x:v>
      </x:c>
      <x:c r="M228" s="38" t="n">
        <x:f>ROUND(INDEX('Balance Inputs'!$N$2:$N$51,MATCH(A228,'Balance Inputs'!$I$2:$I$51,0))*POWER(INDEX('Balance Inputs'!$G$2:$G$7,MATCH(C228,'Balance Inputs'!$A$2:$A$7,0)),F228-1),0)</x:f>
        <x:v>4841</x:v>
      </x:c>
      <x:c r="N228" s="38" t="n">
        <x:f>IF(A228&lt;&gt;A227,H228,N227+H228)</x:f>
        <x:v>15605192</x:v>
      </x:c>
      <x:c r="O228" s="42" t="n">
        <x:f>IF(I228=0,0,H228/I228)</x:f>
        <x:v>51.897522924854115</x:v>
      </x:c>
      <x:c r="P228" s="43" t="n">
        <x:f>I228/INDEX('Balance Inputs'!$L$2:$L$51,MATCH(A228,'Balance Inputs'!$I$2:$I$51,0))</x:f>
        <x:v>9.058252427184467</x:v>
      </x:c>
      <x:c r="Q228" s="43" t="n">
        <x:f>L228/INDEX('Balance Inputs'!$M$2:$M$51,MATCH(A228,'Balance Inputs'!$I$2:$I$51,0))</x:f>
        <x:v>8.1721522827241</x:v>
      </x:c>
      <x:c r="R228" s="17"/>
      <x:c r="S228" s="17"/>
      <x:c r="T228" s="17"/>
      <x:c r="U228" s="17"/>
      <x:c r="V228" s="17"/>
      <x:c r="W228" s="17"/>
      <x:c r="X228" s="17"/>
      <x:c r="Y228" s="17"/>
      <x:c r="Z228" s="17"/>
    </x:row>
    <x:row r="229">
      <x:c r="A229" s="17" t="n">
        <x:v>32</x:v>
      </x:c>
      <x:c r="B229" s="17" t="str">
        <x:v>Stock Brokerage Center</x:v>
      </x:c>
      <x:c r="C229" s="17" t="str">
        <x:v>Established</x:v>
      </x:c>
      <x:c r="D229" s="17" t="str">
        <x:v>Epic</x:v>
      </x:c>
      <x:c r="E229" s="17" t="n">
        <x:v>32</x:v>
      </x:c>
      <x:c r="F229" s="17" t="n">
        <x:v>9</x:v>
      </x:c>
      <x:c r="G229" s="17" t="str">
        <x:v>Upgrade to Lv9</x:v>
      </x:c>
      <x:c r="H229" s="38" t="n">
        <x:f>ROUND(H228*INDEX('Balance Inputs'!$C$2:$C$7,MATCH(C229,'Balance Inputs'!$A$2:$A$7,0)),0)</x:f>
        <x:v>9883570</x:v>
      </x:c>
      <x:c r="I229" s="38" t="n">
        <x:f>ROUND(INDEX('Balance Inputs'!$L$2:$L$51,MATCH(A229,'Balance Inputs'!$I$2:$I$51,0))*POWER(INDEX('Balance Inputs'!$D$2:$D$7,MATCH(C229,'Balance Inputs'!$A$2:$A$7,0)),F229-1),0)</x:f>
        <x:v>161054</x:v>
      </x:c>
      <x:c r="J229" s="38" t="n">
        <x:f>ROUND(I229*INDEX('Balance Inputs'!$F$2:$F$7,MATCH(C229,'Balance Inputs'!$A$2:$A$7,0)),0)</x:f>
        <x:v>24158</x:v>
      </x:c>
      <x:c r="K229" s="38" t="n">
        <x:f>I229-J229</x:f>
        <x:v>136896</x:v>
      </x:c>
      <x:c r="L229" s="38" t="n">
        <x:f>ROUND(INDEX('Balance Inputs'!$M$2:$M$51,MATCH(A229,'Balance Inputs'!$I$2:$I$51,0))*POWER(INDEX('Balance Inputs'!$E$2:$E$7,MATCH(C229,'Balance Inputs'!$A$2:$A$7,0)),F229-1),0)</x:f>
        <x:v>145473</x:v>
      </x:c>
      <x:c r="M229" s="38" t="n">
        <x:f>ROUND(INDEX('Balance Inputs'!$N$2:$N$51,MATCH(A229,'Balance Inputs'!$I$2:$I$51,0))*POWER(INDEX('Balance Inputs'!$G$2:$G$7,MATCH(C229,'Balance Inputs'!$A$2:$A$7,0)),F229-1),0)</x:f>
        <x:v>5567</x:v>
      </x:c>
      <x:c r="N229" s="38" t="n">
        <x:f>IF(A229&lt;&gt;A228,H229,N228+H229)</x:f>
        <x:v>25488762</x:v>
      </x:c>
      <x:c r="O229" s="42" t="n">
        <x:f>IF(I229=0,0,H229/I229)</x:f>
        <x:v>61.368050467545046</x:v>
      </x:c>
      <x:c r="P229" s="43" t="n">
        <x:f>I229/INDEX('Balance Inputs'!$L$2:$L$51,MATCH(A229,'Balance Inputs'!$I$2:$I$51,0))</x:f>
        <x:v>12.409770380644167</x:v>
      </x:c>
      <x:c r="Q229" s="43" t="n">
        <x:f>L229/INDEX('Balance Inputs'!$M$2:$M$51,MATCH(A229,'Balance Inputs'!$I$2:$I$51,0))</x:f>
        <x:v>11.032382830274534</x:v>
      </x:c>
      <x:c r="R229" s="17"/>
      <x:c r="S229" s="17"/>
      <x:c r="T229" s="17"/>
      <x:c r="U229" s="17"/>
      <x:c r="V229" s="17"/>
      <x:c r="W229" s="17"/>
      <x:c r="X229" s="17"/>
      <x:c r="Y229" s="17"/>
      <x:c r="Z229" s="17"/>
    </x:row>
    <x:row r="230">
      <x:c r="A230" s="17" t="n">
        <x:v>33</x:v>
      </x:c>
      <x:c r="B230" s="17" t="str">
        <x:v>Investment Fund HQ</x:v>
      </x:c>
      <x:c r="C230" s="17" t="str">
        <x:v>Established</x:v>
      </x:c>
      <x:c r="D230" s="17" t="str">
        <x:v>Epic</x:v>
      </x:c>
      <x:c r="E230" s="17" t="n">
        <x:v>33</x:v>
      </x:c>
      <x:c r="F230" s="17" t="n">
        <x:v>1</x:v>
      </x:c>
      <x:c r="G230" s="17" t="str">
        <x:v>Build</x:v>
      </x:c>
      <x:c r="H230" s="38" t="n">
        <x:f>INDEX('Balance Inputs'!$K$2:$K$51,MATCH(A230,'Balance Inputs'!$I$2:$I$51,0))</x:f>
        <x:v>257310</x:v>
      </x:c>
      <x:c r="I230" s="38" t="n">
        <x:f>ROUND(INDEX('Balance Inputs'!$L$2:$L$51,MATCH(A230,'Balance Inputs'!$I$2:$I$51,0))*POWER(INDEX('Balance Inputs'!$D$2:$D$7,MATCH(C230,'Balance Inputs'!$A$2:$A$7,0)),F230-1),0)</x:f>
        <x:v>15911</x:v>
      </x:c>
      <x:c r="J230" s="38" t="n">
        <x:f>ROUND(I230*INDEX('Balance Inputs'!$F$2:$F$7,MATCH(C230,'Balance Inputs'!$A$2:$A$7,0)),0)</x:f>
        <x:v>2387</x:v>
      </x:c>
      <x:c r="K230" s="38" t="n">
        <x:f>I230-J230</x:f>
        <x:v>13524</x:v>
      </x:c>
      <x:c r="L230" s="38" t="n">
        <x:f>ROUND(INDEX('Balance Inputs'!$M$2:$M$51,MATCH(A230,'Balance Inputs'!$I$2:$I$51,0))*POWER(INDEX('Balance Inputs'!$E$2:$E$7,MATCH(C230,'Balance Inputs'!$A$2:$A$7,0)),F230-1),0)</x:f>
        <x:v>15691</x:v>
      </x:c>
      <x:c r="M230" s="38" t="n">
        <x:f>ROUND(INDEX('Balance Inputs'!$N$2:$N$51,MATCH(A230,'Balance Inputs'!$I$2:$I$51,0))*POWER(INDEX('Balance Inputs'!$G$2:$G$7,MATCH(C230,'Balance Inputs'!$A$2:$A$7,0)),F230-1),0)</x:f>
        <x:v>1977</x:v>
      </x:c>
      <x:c r="N230" s="38" t="n">
        <x:f>IF(A230&lt;&gt;A229,H230,N229+H230)</x:f>
        <x:v>257310</x:v>
      </x:c>
      <x:c r="O230" s="42" t="n">
        <x:f>IF(I230=0,0,H230/I230)</x:f>
        <x:v>16.171830808874365</x:v>
      </x:c>
      <x:c r="P230" s="43" t="n">
        <x:f>I230/INDEX('Balance Inputs'!$L$2:$L$51,MATCH(A230,'Balance Inputs'!$I$2:$I$51,0))</x:f>
        <x:v>1</x:v>
      </x:c>
      <x:c r="Q230" s="43" t="n">
        <x:f>L230/INDEX('Balance Inputs'!$M$2:$M$51,MATCH(A230,'Balance Inputs'!$I$2:$I$51,0))</x:f>
        <x:v>1</x:v>
      </x:c>
      <x:c r="R230" s="17"/>
      <x:c r="S230" s="17"/>
      <x:c r="T230" s="17"/>
      <x:c r="U230" s="17"/>
      <x:c r="V230" s="17"/>
      <x:c r="W230" s="17"/>
      <x:c r="X230" s="17"/>
      <x:c r="Y230" s="17"/>
      <x:c r="Z230" s="17"/>
    </x:row>
    <x:row r="231">
      <x:c r="A231" s="17" t="n">
        <x:v>33</x:v>
      </x:c>
      <x:c r="B231" s="17" t="str">
        <x:v>Investment Fund HQ</x:v>
      </x:c>
      <x:c r="C231" s="17" t="str">
        <x:v>Established</x:v>
      </x:c>
      <x:c r="D231" s="17" t="str">
        <x:v>Epic</x:v>
      </x:c>
      <x:c r="E231" s="17" t="n">
        <x:v>33</x:v>
      </x:c>
      <x:c r="F231" s="17" t="n">
        <x:v>2</x:v>
      </x:c>
      <x:c r="G231" s="17" t="str">
        <x:v>Upgrade to Lv2</x:v>
      </x:c>
      <x:c r="H231" s="38" t="n">
        <x:f>ROUND(H230*INDEX('Balance Inputs'!$C$2:$C$7,MATCH(C231,'Balance Inputs'!$A$2:$A$7,0)),0)</x:f>
        <x:v>416842</x:v>
      </x:c>
      <x:c r="I231" s="38" t="n">
        <x:f>ROUND(INDEX('Balance Inputs'!$L$2:$L$51,MATCH(A231,'Balance Inputs'!$I$2:$I$51,0))*POWER(INDEX('Balance Inputs'!$D$2:$D$7,MATCH(C231,'Balance Inputs'!$A$2:$A$7,0)),F231-1),0)</x:f>
        <x:v>21798</x:v>
      </x:c>
      <x:c r="J231" s="38" t="n">
        <x:f>ROUND(I231*INDEX('Balance Inputs'!$F$2:$F$7,MATCH(C231,'Balance Inputs'!$A$2:$A$7,0)),0)</x:f>
        <x:v>3270</x:v>
      </x:c>
      <x:c r="K231" s="38" t="n">
        <x:f>I231-J231</x:f>
        <x:v>18528</x:v>
      </x:c>
      <x:c r="L231" s="38" t="n">
        <x:f>ROUND(INDEX('Balance Inputs'!$M$2:$M$51,MATCH(A231,'Balance Inputs'!$I$2:$I$51,0))*POWER(INDEX('Balance Inputs'!$E$2:$E$7,MATCH(C231,'Balance Inputs'!$A$2:$A$7,0)),F231-1),0)</x:f>
        <x:v>21183</x:v>
      </x:c>
      <x:c r="M231" s="38" t="n">
        <x:f>ROUND(INDEX('Balance Inputs'!$N$2:$N$51,MATCH(A231,'Balance Inputs'!$I$2:$I$51,0))*POWER(INDEX('Balance Inputs'!$G$2:$G$7,MATCH(C231,'Balance Inputs'!$A$2:$A$7,0)),F231-1),0)</x:f>
        <x:v>2274</x:v>
      </x:c>
      <x:c r="N231" s="38" t="n">
        <x:f>IF(A231&lt;&gt;A230,H231,N230+H231)</x:f>
        <x:v>674152</x:v>
      </x:c>
      <x:c r="O231" s="42" t="n">
        <x:f>IF(I231=0,0,H231/I231)</x:f>
        <x:v>19.122947059363245</x:v>
      </x:c>
      <x:c r="P231" s="43" t="n">
        <x:f>I231/INDEX('Balance Inputs'!$L$2:$L$51,MATCH(A231,'Balance Inputs'!$I$2:$I$51,0))</x:f>
        <x:v>1.3699956005279366</x:v>
      </x:c>
      <x:c r="Q231" s="43" t="n">
        <x:f>L231/INDEX('Balance Inputs'!$M$2:$M$51,MATCH(A231,'Balance Inputs'!$I$2:$I$51,0))</x:f>
        <x:v>1.3500095596201644</x:v>
      </x:c>
      <x:c r="R231" s="17"/>
      <x:c r="S231" s="17"/>
      <x:c r="T231" s="17"/>
      <x:c r="U231" s="17"/>
      <x:c r="V231" s="17"/>
      <x:c r="W231" s="17"/>
      <x:c r="X231" s="17"/>
      <x:c r="Y231" s="17"/>
      <x:c r="Z231" s="17"/>
    </x:row>
    <x:row r="232">
      <x:c r="A232" s="17" t="n">
        <x:v>33</x:v>
      </x:c>
      <x:c r="B232" s="17" t="str">
        <x:v>Investment Fund HQ</x:v>
      </x:c>
      <x:c r="C232" s="17" t="str">
        <x:v>Established</x:v>
      </x:c>
      <x:c r="D232" s="17" t="str">
        <x:v>Epic</x:v>
      </x:c>
      <x:c r="E232" s="17" t="n">
        <x:v>33</x:v>
      </x:c>
      <x:c r="F232" s="17" t="n">
        <x:v>3</x:v>
      </x:c>
      <x:c r="G232" s="17" t="str">
        <x:v>Upgrade to Lv3</x:v>
      </x:c>
      <x:c r="H232" s="38" t="n">
        <x:f>ROUND(H231*INDEX('Balance Inputs'!$C$2:$C$7,MATCH(C232,'Balance Inputs'!$A$2:$A$7,0)),0)</x:f>
        <x:v>675284</x:v>
      </x:c>
      <x:c r="I232" s="38" t="n">
        <x:f>ROUND(INDEX('Balance Inputs'!$L$2:$L$51,MATCH(A232,'Balance Inputs'!$I$2:$I$51,0))*POWER(INDEX('Balance Inputs'!$D$2:$D$7,MATCH(C232,'Balance Inputs'!$A$2:$A$7,0)),F232-1),0)</x:f>
        <x:v>29863</x:v>
      </x:c>
      <x:c r="J232" s="38" t="n">
        <x:f>ROUND(I232*INDEX('Balance Inputs'!$F$2:$F$7,MATCH(C232,'Balance Inputs'!$A$2:$A$7,0)),0)</x:f>
        <x:v>4479</x:v>
      </x:c>
      <x:c r="K232" s="38" t="n">
        <x:f>I232-J232</x:f>
        <x:v>25384</x:v>
      </x:c>
      <x:c r="L232" s="38" t="n">
        <x:f>ROUND(INDEX('Balance Inputs'!$M$2:$M$51,MATCH(A232,'Balance Inputs'!$I$2:$I$51,0))*POWER(INDEX('Balance Inputs'!$E$2:$E$7,MATCH(C232,'Balance Inputs'!$A$2:$A$7,0)),F232-1),0)</x:f>
        <x:v>28597</x:v>
      </x:c>
      <x:c r="M232" s="38" t="n">
        <x:f>ROUND(INDEX('Balance Inputs'!$N$2:$N$51,MATCH(A232,'Balance Inputs'!$I$2:$I$51,0))*POWER(INDEX('Balance Inputs'!$G$2:$G$7,MATCH(C232,'Balance Inputs'!$A$2:$A$7,0)),F232-1),0)</x:f>
        <x:v>2615</x:v>
      </x:c>
      <x:c r="N232" s="38" t="n">
        <x:f>IF(A232&lt;&gt;A231,H232,N231+H232)</x:f>
        <x:v>1349436</x:v>
      </x:c>
      <x:c r="O232" s="42" t="n">
        <x:f>IF(I232=0,0,H232/I232)</x:f>
        <x:v>22.612731473730033</x:v>
      </x:c>
      <x:c r="P232" s="43" t="n">
        <x:f>I232/INDEX('Balance Inputs'!$L$2:$L$51,MATCH(A232,'Balance Inputs'!$I$2:$I$51,0))</x:f>
        <x:v>1.876877631827038</x:v>
      </x:c>
      <x:c r="Q232" s="43" t="n">
        <x:f>L232/INDEX('Balance Inputs'!$M$2:$M$51,MATCH(A232,'Balance Inputs'!$I$2:$I$51,0))</x:f>
        <x:v>1.822509718947167</x:v>
      </x:c>
      <x:c r="R232" s="17"/>
      <x:c r="S232" s="17"/>
      <x:c r="T232" s="17"/>
      <x:c r="U232" s="17"/>
      <x:c r="V232" s="17"/>
      <x:c r="W232" s="17"/>
      <x:c r="X232" s="17"/>
      <x:c r="Y232" s="17"/>
      <x:c r="Z232" s="17"/>
    </x:row>
    <x:row r="233">
      <x:c r="A233" s="17" t="n">
        <x:v>33</x:v>
      </x:c>
      <x:c r="B233" s="17" t="str">
        <x:v>Investment Fund HQ</x:v>
      </x:c>
      <x:c r="C233" s="17" t="str">
        <x:v>Established</x:v>
      </x:c>
      <x:c r="D233" s="17" t="str">
        <x:v>Epic</x:v>
      </x:c>
      <x:c r="E233" s="17" t="n">
        <x:v>33</x:v>
      </x:c>
      <x:c r="F233" s="17" t="n">
        <x:v>4</x:v>
      </x:c>
      <x:c r="G233" s="17" t="str">
        <x:v>Upgrade to Lv4</x:v>
      </x:c>
      <x:c r="H233" s="38" t="n">
        <x:f>ROUND(H232*INDEX('Balance Inputs'!$C$2:$C$7,MATCH(C233,'Balance Inputs'!$A$2:$A$7,0)),0)</x:f>
        <x:v>1093960</x:v>
      </x:c>
      <x:c r="I233" s="38" t="n">
        <x:f>ROUND(INDEX('Balance Inputs'!$L$2:$L$51,MATCH(A233,'Balance Inputs'!$I$2:$I$51,0))*POWER(INDEX('Balance Inputs'!$D$2:$D$7,MATCH(C233,'Balance Inputs'!$A$2:$A$7,0)),F233-1),0)</x:f>
        <x:v>40913</x:v>
      </x:c>
      <x:c r="J233" s="38" t="n">
        <x:f>ROUND(I233*INDEX('Balance Inputs'!$F$2:$F$7,MATCH(C233,'Balance Inputs'!$A$2:$A$7,0)),0)</x:f>
        <x:v>6137</x:v>
      </x:c>
      <x:c r="K233" s="38" t="n">
        <x:f>I233-J233</x:f>
        <x:v>34776</x:v>
      </x:c>
      <x:c r="L233" s="38" t="n">
        <x:f>ROUND(INDEX('Balance Inputs'!$M$2:$M$51,MATCH(A233,'Balance Inputs'!$I$2:$I$51,0))*POWER(INDEX('Balance Inputs'!$E$2:$E$7,MATCH(C233,'Balance Inputs'!$A$2:$A$7,0)),F233-1),0)</x:f>
        <x:v>38606</x:v>
      </x:c>
      <x:c r="M233" s="38" t="n">
        <x:f>ROUND(INDEX('Balance Inputs'!$N$2:$N$51,MATCH(A233,'Balance Inputs'!$I$2:$I$51,0))*POWER(INDEX('Balance Inputs'!$G$2:$G$7,MATCH(C233,'Balance Inputs'!$A$2:$A$7,0)),F233-1),0)</x:f>
        <x:v>3007</x:v>
      </x:c>
      <x:c r="N233" s="38" t="n">
        <x:f>IF(A233&lt;&gt;A232,H233,N232+H233)</x:f>
        <x:v>2443396</x:v>
      </x:c>
      <x:c r="O233" s="42" t="n">
        <x:f>IF(I233=0,0,H233/I233)</x:f>
        <x:v>26.73868941412265</x:v>
      </x:c>
      <x:c r="P233" s="43" t="n">
        <x:f>I233/INDEX('Balance Inputs'!$L$2:$L$51,MATCH(A233,'Balance Inputs'!$I$2:$I$51,0))</x:f>
        <x:v>2.571365721827666</x:v>
      </x:c>
      <x:c r="Q233" s="43" t="n">
        <x:f>L233/INDEX('Balance Inputs'!$M$2:$M$51,MATCH(A233,'Balance Inputs'!$I$2:$I$51,0))</x:f>
        <x:v>2.4603913071187304</x:v>
      </x:c>
      <x:c r="R233" s="17"/>
      <x:c r="S233" s="17"/>
      <x:c r="T233" s="17"/>
      <x:c r="U233" s="17"/>
      <x:c r="V233" s="17"/>
      <x:c r="W233" s="17"/>
      <x:c r="X233" s="17"/>
      <x:c r="Y233" s="17"/>
      <x:c r="Z233" s="17"/>
    </x:row>
    <x:row r="234">
      <x:c r="A234" s="17" t="n">
        <x:v>33</x:v>
      </x:c>
      <x:c r="B234" s="17" t="str">
        <x:v>Investment Fund HQ</x:v>
      </x:c>
      <x:c r="C234" s="17" t="str">
        <x:v>Established</x:v>
      </x:c>
      <x:c r="D234" s="17" t="str">
        <x:v>Epic</x:v>
      </x:c>
      <x:c r="E234" s="17" t="n">
        <x:v>33</x:v>
      </x:c>
      <x:c r="F234" s="17" t="n">
        <x:v>5</x:v>
      </x:c>
      <x:c r="G234" s="17" t="str">
        <x:v>Upgrade to Lv5</x:v>
      </x:c>
      <x:c r="H234" s="38" t="n">
        <x:f>ROUND(H233*INDEX('Balance Inputs'!$C$2:$C$7,MATCH(C234,'Balance Inputs'!$A$2:$A$7,0)),0)</x:f>
        <x:v>1772215</x:v>
      </x:c>
      <x:c r="I234" s="38" t="n">
        <x:f>ROUND(INDEX('Balance Inputs'!$L$2:$L$51,MATCH(A234,'Balance Inputs'!$I$2:$I$51,0))*POWER(INDEX('Balance Inputs'!$D$2:$D$7,MATCH(C234,'Balance Inputs'!$A$2:$A$7,0)),F234-1),0)</x:f>
        <x:v>56051</x:v>
      </x:c>
      <x:c r="J234" s="38" t="n">
        <x:f>ROUND(I234*INDEX('Balance Inputs'!$F$2:$F$7,MATCH(C234,'Balance Inputs'!$A$2:$A$7,0)),0)</x:f>
        <x:v>8408</x:v>
      </x:c>
      <x:c r="K234" s="38" t="n">
        <x:f>I234-J234</x:f>
        <x:v>47643</x:v>
      </x:c>
      <x:c r="L234" s="38" t="n">
        <x:f>ROUND(INDEX('Balance Inputs'!$M$2:$M$51,MATCH(A234,'Balance Inputs'!$I$2:$I$51,0))*POWER(INDEX('Balance Inputs'!$E$2:$E$7,MATCH(C234,'Balance Inputs'!$A$2:$A$7,0)),F234-1),0)</x:f>
        <x:v>52118</x:v>
      </x:c>
      <x:c r="M234" s="38" t="n">
        <x:f>ROUND(INDEX('Balance Inputs'!$N$2:$N$51,MATCH(A234,'Balance Inputs'!$I$2:$I$51,0))*POWER(INDEX('Balance Inputs'!$G$2:$G$7,MATCH(C234,'Balance Inputs'!$A$2:$A$7,0)),F234-1),0)</x:f>
        <x:v>3458</x:v>
      </x:c>
      <x:c r="N234" s="38" t="n">
        <x:f>IF(A234&lt;&gt;A233,H234,N233+H234)</x:f>
        <x:v>4215611</x:v>
      </x:c>
      <x:c r="O234" s="42" t="n">
        <x:f>IF(I234=0,0,H234/I234)</x:f>
        <x:v>31.617901553941945</x:v>
      </x:c>
      <x:c r="P234" s="43" t="n">
        <x:f>I234/INDEX('Balance Inputs'!$L$2:$L$51,MATCH(A234,'Balance Inputs'!$I$2:$I$51,0))</x:f>
        <x:v>3.522782980328075</x:v>
      </x:c>
      <x:c r="Q234" s="43" t="n">
        <x:f>L234/INDEX('Balance Inputs'!$M$2:$M$51,MATCH(A234,'Balance Inputs'!$I$2:$I$51,0))</x:f>
        <x:v>3.3215218915301765</x:v>
      </x:c>
      <x:c r="R234" s="17"/>
      <x:c r="S234" s="17"/>
      <x:c r="T234" s="17"/>
      <x:c r="U234" s="17"/>
      <x:c r="V234" s="17"/>
      <x:c r="W234" s="17"/>
      <x:c r="X234" s="17"/>
      <x:c r="Y234" s="17"/>
      <x:c r="Z234" s="17"/>
    </x:row>
    <x:row r="235">
      <x:c r="A235" s="17" t="n">
        <x:v>33</x:v>
      </x:c>
      <x:c r="B235" s="17" t="str">
        <x:v>Investment Fund HQ</x:v>
      </x:c>
      <x:c r="C235" s="17" t="str">
        <x:v>Established</x:v>
      </x:c>
      <x:c r="D235" s="17" t="str">
        <x:v>Epic</x:v>
      </x:c>
      <x:c r="E235" s="17" t="n">
        <x:v>33</x:v>
      </x:c>
      <x:c r="F235" s="17" t="n">
        <x:v>6</x:v>
      </x:c>
      <x:c r="G235" s="17" t="str">
        <x:v>Upgrade to Lv6</x:v>
      </x:c>
      <x:c r="H235" s="38" t="n">
        <x:f>ROUND(H234*INDEX('Balance Inputs'!$C$2:$C$7,MATCH(C235,'Balance Inputs'!$A$2:$A$7,0)),0)</x:f>
        <x:v>2870988</x:v>
      </x:c>
      <x:c r="I235" s="38" t="n">
        <x:f>ROUND(INDEX('Balance Inputs'!$L$2:$L$51,MATCH(A235,'Balance Inputs'!$I$2:$I$51,0))*POWER(INDEX('Balance Inputs'!$D$2:$D$7,MATCH(C235,'Balance Inputs'!$A$2:$A$7,0)),F235-1),0)</x:f>
        <x:v>76789</x:v>
      </x:c>
      <x:c r="J235" s="38" t="n">
        <x:f>ROUND(I235*INDEX('Balance Inputs'!$F$2:$F$7,MATCH(C235,'Balance Inputs'!$A$2:$A$7,0)),0)</x:f>
        <x:v>11518</x:v>
      </x:c>
      <x:c r="K235" s="38" t="n">
        <x:f>I235-J235</x:f>
        <x:v>65271</x:v>
      </x:c>
      <x:c r="L235" s="38" t="n">
        <x:f>ROUND(INDEX('Balance Inputs'!$M$2:$M$51,MATCH(A235,'Balance Inputs'!$I$2:$I$51,0))*POWER(INDEX('Balance Inputs'!$E$2:$E$7,MATCH(C235,'Balance Inputs'!$A$2:$A$7,0)),F235-1),0)</x:f>
        <x:v>70359</x:v>
      </x:c>
      <x:c r="M235" s="38" t="n">
        <x:f>ROUND(INDEX('Balance Inputs'!$N$2:$N$51,MATCH(A235,'Balance Inputs'!$I$2:$I$51,0))*POWER(INDEX('Balance Inputs'!$G$2:$G$7,MATCH(C235,'Balance Inputs'!$A$2:$A$7,0)),F235-1),0)</x:f>
        <x:v>3976</x:v>
      </x:c>
      <x:c r="N235" s="38" t="n">
        <x:f>IF(A235&lt;&gt;A234,H235,N234+H235)</x:f>
        <x:v>7086599</x:v>
      </x:c>
      <x:c r="O235" s="42" t="n">
        <x:f>IF(I235=0,0,H235/I235)</x:f>
        <x:v>37.388011303702356</x:v>
      </x:c>
      <x:c r="P235" s="43" t="n">
        <x:f>I235/INDEX('Balance Inputs'!$L$2:$L$51,MATCH(A235,'Balance Inputs'!$I$2:$I$51,0))</x:f>
        <x:v>4.826158003896675</x:v>
      </x:c>
      <x:c r="Q235" s="43" t="n">
        <x:f>L235/INDEX('Balance Inputs'!$M$2:$M$51,MATCH(A235,'Balance Inputs'!$I$2:$I$51,0))</x:f>
        <x:v>4.48403543432541</x:v>
      </x:c>
      <x:c r="R235" s="17"/>
      <x:c r="S235" s="17"/>
      <x:c r="T235" s="17"/>
      <x:c r="U235" s="17"/>
      <x:c r="V235" s="17"/>
      <x:c r="W235" s="17"/>
      <x:c r="X235" s="17"/>
      <x:c r="Y235" s="17"/>
      <x:c r="Z235" s="17"/>
    </x:row>
    <x:row r="236">
      <x:c r="A236" s="17" t="n">
        <x:v>33</x:v>
      </x:c>
      <x:c r="B236" s="17" t="str">
        <x:v>Investment Fund HQ</x:v>
      </x:c>
      <x:c r="C236" s="17" t="str">
        <x:v>Established</x:v>
      </x:c>
      <x:c r="D236" s="17" t="str">
        <x:v>Epic</x:v>
      </x:c>
      <x:c r="E236" s="17" t="n">
        <x:v>33</x:v>
      </x:c>
      <x:c r="F236" s="17" t="n">
        <x:v>7</x:v>
      </x:c>
      <x:c r="G236" s="17" t="str">
        <x:v>Upgrade to Lv7</x:v>
      </x:c>
      <x:c r="H236" s="38" t="n">
        <x:f>ROUND(H235*INDEX('Balance Inputs'!$C$2:$C$7,MATCH(C236,'Balance Inputs'!$A$2:$A$7,0)),0)</x:f>
        <x:v>4651001</x:v>
      </x:c>
      <x:c r="I236" s="38" t="n">
        <x:f>ROUND(INDEX('Balance Inputs'!$L$2:$L$51,MATCH(A236,'Balance Inputs'!$I$2:$I$51,0))*POWER(INDEX('Balance Inputs'!$D$2:$D$7,MATCH(C236,'Balance Inputs'!$A$2:$A$7,0)),F236-1),0)</x:f>
        <x:v>105201</x:v>
      </x:c>
      <x:c r="J236" s="38" t="n">
        <x:f>ROUND(I236*INDEX('Balance Inputs'!$F$2:$F$7,MATCH(C236,'Balance Inputs'!$A$2:$A$7,0)),0)</x:f>
        <x:v>15780</x:v>
      </x:c>
      <x:c r="K236" s="38" t="n">
        <x:f>I236-J236</x:f>
        <x:v>89421</x:v>
      </x:c>
      <x:c r="L236" s="38" t="n">
        <x:f>ROUND(INDEX('Balance Inputs'!$M$2:$M$51,MATCH(A236,'Balance Inputs'!$I$2:$I$51,0))*POWER(INDEX('Balance Inputs'!$E$2:$E$7,MATCH(C236,'Balance Inputs'!$A$2:$A$7,0)),F236-1),0)</x:f>
        <x:v>94985</x:v>
      </x:c>
      <x:c r="M236" s="38" t="n">
        <x:f>ROUND(INDEX('Balance Inputs'!$N$2:$N$51,MATCH(A236,'Balance Inputs'!$I$2:$I$51,0))*POWER(INDEX('Balance Inputs'!$G$2:$G$7,MATCH(C236,'Balance Inputs'!$A$2:$A$7,0)),F236-1),0)</x:f>
        <x:v>4573</x:v>
      </x:c>
      <x:c r="N236" s="38" t="n">
        <x:f>IF(A236&lt;&gt;A235,H236,N235+H236)</x:f>
        <x:v>11737600</x:v>
      </x:c>
      <x:c r="O236" s="42" t="n">
        <x:f>IF(I236=0,0,H236/I236)</x:f>
        <x:v>44.21061586867045</x:v>
      </x:c>
      <x:c r="P236" s="43" t="n">
        <x:f>I236/INDEX('Balance Inputs'!$L$2:$L$51,MATCH(A236,'Balance Inputs'!$I$2:$I$51,0))</x:f>
        <x:v>6.6118408648105085</x:v>
      </x:c>
      <x:c r="Q236" s="43" t="n">
        <x:f>L236/INDEX('Balance Inputs'!$M$2:$M$51,MATCH(A236,'Balance Inputs'!$I$2:$I$51,0))</x:f>
        <x:v>6.053470142119687</x:v>
      </x:c>
      <x:c r="R236" s="17"/>
      <x:c r="S236" s="17"/>
      <x:c r="T236" s="17"/>
      <x:c r="U236" s="17"/>
      <x:c r="V236" s="17"/>
      <x:c r="W236" s="17"/>
      <x:c r="X236" s="17"/>
      <x:c r="Y236" s="17"/>
      <x:c r="Z236" s="17"/>
    </x:row>
    <x:row r="237">
      <x:c r="A237" s="17" t="n">
        <x:v>33</x:v>
      </x:c>
      <x:c r="B237" s="17" t="str">
        <x:v>Investment Fund HQ</x:v>
      </x:c>
      <x:c r="C237" s="17" t="str">
        <x:v>Established</x:v>
      </x:c>
      <x:c r="D237" s="17" t="str">
        <x:v>Epic</x:v>
      </x:c>
      <x:c r="E237" s="17" t="n">
        <x:v>33</x:v>
      </x:c>
      <x:c r="F237" s="17" t="n">
        <x:v>8</x:v>
      </x:c>
      <x:c r="G237" s="17" t="str">
        <x:v>Upgrade to Lv8</x:v>
      </x:c>
      <x:c r="H237" s="38" t="n">
        <x:f>ROUND(H236*INDEX('Balance Inputs'!$C$2:$C$7,MATCH(C237,'Balance Inputs'!$A$2:$A$7,0)),0)</x:f>
        <x:v>7534622</x:v>
      </x:c>
      <x:c r="I237" s="38" t="n">
        <x:f>ROUND(INDEX('Balance Inputs'!$L$2:$L$51,MATCH(A237,'Balance Inputs'!$I$2:$I$51,0))*POWER(INDEX('Balance Inputs'!$D$2:$D$7,MATCH(C237,'Balance Inputs'!$A$2:$A$7,0)),F237-1),0)</x:f>
        <x:v>144126</x:v>
      </x:c>
      <x:c r="J237" s="38" t="n">
        <x:f>ROUND(I237*INDEX('Balance Inputs'!$F$2:$F$7,MATCH(C237,'Balance Inputs'!$A$2:$A$7,0)),0)</x:f>
        <x:v>21619</x:v>
      </x:c>
      <x:c r="K237" s="38" t="n">
        <x:f>I237-J237</x:f>
        <x:v>122507</x:v>
      </x:c>
      <x:c r="L237" s="38" t="n">
        <x:f>ROUND(INDEX('Balance Inputs'!$M$2:$M$51,MATCH(A237,'Balance Inputs'!$I$2:$I$51,0))*POWER(INDEX('Balance Inputs'!$E$2:$E$7,MATCH(C237,'Balance Inputs'!$A$2:$A$7,0)),F237-1),0)</x:f>
        <x:v>128229</x:v>
      </x:c>
      <x:c r="M237" s="38" t="n">
        <x:f>ROUND(INDEX('Balance Inputs'!$N$2:$N$51,MATCH(A237,'Balance Inputs'!$I$2:$I$51,0))*POWER(INDEX('Balance Inputs'!$G$2:$G$7,MATCH(C237,'Balance Inputs'!$A$2:$A$7,0)),F237-1),0)</x:f>
        <x:v>5259</x:v>
      </x:c>
      <x:c r="N237" s="38" t="n">
        <x:f>IF(A237&lt;&gt;A236,H237,N236+H237)</x:f>
        <x:v>19272222</x:v>
      </x:c>
      <x:c r="O237" s="42" t="n">
        <x:f>IF(I237=0,0,H237/I237)</x:f>
        <x:v>52.27802062084565</x:v>
      </x:c>
      <x:c r="P237" s="43" t="n">
        <x:f>I237/INDEX('Balance Inputs'!$L$2:$L$51,MATCH(A237,'Balance Inputs'!$I$2:$I$51,0))</x:f>
        <x:v>9.058261580038966</x:v>
      </x:c>
      <x:c r="Q237" s="43" t="n">
        <x:f>L237/INDEX('Balance Inputs'!$M$2:$M$51,MATCH(A237,'Balance Inputs'!$I$2:$I$51,0))</x:f>
        <x:v>8.172136893760754</x:v>
      </x:c>
      <x:c r="R237" s="17"/>
      <x:c r="S237" s="17"/>
      <x:c r="T237" s="17"/>
      <x:c r="U237" s="17"/>
      <x:c r="V237" s="17"/>
      <x:c r="W237" s="17"/>
      <x:c r="X237" s="17"/>
      <x:c r="Y237" s="17"/>
      <x:c r="Z237" s="17"/>
    </x:row>
    <x:row r="238">
      <x:c r="A238" s="17" t="n">
        <x:v>33</x:v>
      </x:c>
      <x:c r="B238" s="17" t="str">
        <x:v>Investment Fund HQ</x:v>
      </x:c>
      <x:c r="C238" s="17" t="str">
        <x:v>Established</x:v>
      </x:c>
      <x:c r="D238" s="17" t="str">
        <x:v>Epic</x:v>
      </x:c>
      <x:c r="E238" s="17" t="n">
        <x:v>33</x:v>
      </x:c>
      <x:c r="F238" s="17" t="n">
        <x:v>9</x:v>
      </x:c>
      <x:c r="G238" s="17" t="str">
        <x:v>Upgrade to Lv9</x:v>
      </x:c>
      <x:c r="H238" s="38" t="n">
        <x:f>ROUND(H237*INDEX('Balance Inputs'!$C$2:$C$7,MATCH(C238,'Balance Inputs'!$A$2:$A$7,0)),0)</x:f>
        <x:v>12206088</x:v>
      </x:c>
      <x:c r="I238" s="38" t="n">
        <x:f>ROUND(INDEX('Balance Inputs'!$L$2:$L$51,MATCH(A238,'Balance Inputs'!$I$2:$I$51,0))*POWER(INDEX('Balance Inputs'!$D$2:$D$7,MATCH(C238,'Balance Inputs'!$A$2:$A$7,0)),F238-1),0)</x:f>
        <x:v>197452</x:v>
      </x:c>
      <x:c r="J238" s="38" t="n">
        <x:f>ROUND(I238*INDEX('Balance Inputs'!$F$2:$F$7,MATCH(C238,'Balance Inputs'!$A$2:$A$7,0)),0)</x:f>
        <x:v>29618</x:v>
      </x:c>
      <x:c r="K238" s="38" t="n">
        <x:f>I238-J238</x:f>
        <x:v>167834</x:v>
      </x:c>
      <x:c r="L238" s="38" t="n">
        <x:f>ROUND(INDEX('Balance Inputs'!$M$2:$M$51,MATCH(A238,'Balance Inputs'!$I$2:$I$51,0))*POWER(INDEX('Balance Inputs'!$E$2:$E$7,MATCH(C238,'Balance Inputs'!$A$2:$A$7,0)),F238-1),0)</x:f>
        <x:v>173109</x:v>
      </x:c>
      <x:c r="M238" s="38" t="n">
        <x:f>ROUND(INDEX('Balance Inputs'!$N$2:$N$51,MATCH(A238,'Balance Inputs'!$I$2:$I$51,0))*POWER(INDEX('Balance Inputs'!$G$2:$G$7,MATCH(C238,'Balance Inputs'!$A$2:$A$7,0)),F238-1),0)</x:f>
        <x:v>6048</x:v>
      </x:c>
      <x:c r="N238" s="38" t="n">
        <x:f>IF(A238&lt;&gt;A237,H238,N237+H238)</x:f>
        <x:v>31478310</x:v>
      </x:c>
      <x:c r="O238" s="42" t="n">
        <x:f>IF(I238=0,0,H238/I238)</x:f>
        <x:v>61.81800133703381</x:v>
      </x:c>
      <x:c r="P238" s="43" t="n">
        <x:f>I238/INDEX('Balance Inputs'!$L$2:$L$51,MATCH(A238,'Balance Inputs'!$I$2:$I$51,0))</x:f>
        <x:v>12.409779397900824</x:v>
      </x:c>
      <x:c r="Q238" s="43" t="n">
        <x:f>L238/INDEX('Balance Inputs'!$M$2:$M$51,MATCH(A238,'Balance Inputs'!$I$2:$I$51,0))</x:f>
        <x:v>11.032375246956855</x:v>
      </x:c>
      <x:c r="R238" s="17"/>
      <x:c r="S238" s="17"/>
      <x:c r="T238" s="17"/>
      <x:c r="U238" s="17"/>
      <x:c r="V238" s="17"/>
      <x:c r="W238" s="17"/>
      <x:c r="X238" s="17"/>
      <x:c r="Y238" s="17"/>
      <x:c r="Z238" s="17"/>
    </x:row>
    <x:row r="239">
      <x:c r="A239" s="17" t="n">
        <x:v>34</x:v>
      </x:c>
      <x:c r="B239" s="17" t="str">
        <x:v>Insurance Company HQ</x:v>
      </x:c>
      <x:c r="C239" s="17" t="str">
        <x:v>Established</x:v>
      </x:c>
      <x:c r="D239" s="17" t="str">
        <x:v>Epic</x:v>
      </x:c>
      <x:c r="E239" s="17" t="n">
        <x:v>34</x:v>
      </x:c>
      <x:c r="F239" s="17" t="n">
        <x:v>1</x:v>
      </x:c>
      <x:c r="G239" s="17" t="str">
        <x:v>Build</x:v>
      </x:c>
      <x:c r="H239" s="38" t="n">
        <x:f>INDEX('Balance Inputs'!$K$2:$K$51,MATCH(A239,'Balance Inputs'!$I$2:$I$51,0))</x:f>
        <x:v>317780</x:v>
      </x:c>
      <x:c r="I239" s="38" t="n">
        <x:f>ROUND(INDEX('Balance Inputs'!$L$2:$L$51,MATCH(A239,'Balance Inputs'!$I$2:$I$51,0))*POWER(INDEX('Balance Inputs'!$D$2:$D$7,MATCH(C239,'Balance Inputs'!$A$2:$A$7,0)),F239-1),0)</x:f>
        <x:v>16410</x:v>
      </x:c>
      <x:c r="J239" s="38" t="n">
        <x:f>ROUND(I239*INDEX('Balance Inputs'!$F$2:$F$7,MATCH(C239,'Balance Inputs'!$A$2:$A$7,0)),0)</x:f>
        <x:v>2462</x:v>
      </x:c>
      <x:c r="K239" s="38" t="n">
        <x:f>I239-J239</x:f>
        <x:v>13948</x:v>
      </x:c>
      <x:c r="L239" s="38" t="n">
        <x:f>ROUND(INDEX('Balance Inputs'!$M$2:$M$51,MATCH(A239,'Balance Inputs'!$I$2:$I$51,0))*POWER(INDEX('Balance Inputs'!$E$2:$E$7,MATCH(C239,'Balance Inputs'!$A$2:$A$7,0)),F239-1),0)</x:f>
        <x:v>18672</x:v>
      </x:c>
      <x:c r="M239" s="38" t="n">
        <x:f>ROUND(INDEX('Balance Inputs'!$N$2:$N$51,MATCH(A239,'Balance Inputs'!$I$2:$I$51,0))*POWER(INDEX('Balance Inputs'!$G$2:$G$7,MATCH(C239,'Balance Inputs'!$A$2:$A$7,0)),F239-1),0)</x:f>
        <x:v>1905</x:v>
      </x:c>
      <x:c r="N239" s="38" t="n">
        <x:f>IF(A239&lt;&gt;A238,H239,N238+H239)</x:f>
        <x:v>317780</x:v>
      </x:c>
      <x:c r="O239" s="42" t="n">
        <x:f>IF(I239=0,0,H239/I239)</x:f>
        <x:v>19.36502132845826</x:v>
      </x:c>
      <x:c r="P239" s="43" t="n">
        <x:f>I239/INDEX('Balance Inputs'!$L$2:$L$51,MATCH(A239,'Balance Inputs'!$I$2:$I$51,0))</x:f>
        <x:v>1</x:v>
      </x:c>
      <x:c r="Q239" s="43" t="n">
        <x:f>L239/INDEX('Balance Inputs'!$M$2:$M$51,MATCH(A239,'Balance Inputs'!$I$2:$I$51,0))</x:f>
        <x:v>1</x:v>
      </x:c>
      <x:c r="R239" s="17"/>
      <x:c r="S239" s="17"/>
      <x:c r="T239" s="17"/>
      <x:c r="U239" s="17"/>
      <x:c r="V239" s="17"/>
      <x:c r="W239" s="17"/>
      <x:c r="X239" s="17"/>
      <x:c r="Y239" s="17"/>
      <x:c r="Z239" s="17"/>
    </x:row>
    <x:row r="240">
      <x:c r="A240" s="17" t="n">
        <x:v>34</x:v>
      </x:c>
      <x:c r="B240" s="17" t="str">
        <x:v>Insurance Company HQ</x:v>
      </x:c>
      <x:c r="C240" s="17" t="str">
        <x:v>Established</x:v>
      </x:c>
      <x:c r="D240" s="17" t="str">
        <x:v>Epic</x:v>
      </x:c>
      <x:c r="E240" s="17" t="n">
        <x:v>34</x:v>
      </x:c>
      <x:c r="F240" s="17" t="n">
        <x:v>2</x:v>
      </x:c>
      <x:c r="G240" s="17" t="str">
        <x:v>Upgrade to Lv2</x:v>
      </x:c>
      <x:c r="H240" s="38" t="n">
        <x:f>ROUND(H239*INDEX('Balance Inputs'!$C$2:$C$7,MATCH(C240,'Balance Inputs'!$A$2:$A$7,0)),0)</x:f>
        <x:v>514804</x:v>
      </x:c>
      <x:c r="I240" s="38" t="n">
        <x:f>ROUND(INDEX('Balance Inputs'!$L$2:$L$51,MATCH(A240,'Balance Inputs'!$I$2:$I$51,0))*POWER(INDEX('Balance Inputs'!$D$2:$D$7,MATCH(C240,'Balance Inputs'!$A$2:$A$7,0)),F240-1),0)</x:f>
        <x:v>22482</x:v>
      </x:c>
      <x:c r="J240" s="38" t="n">
        <x:f>ROUND(I240*INDEX('Balance Inputs'!$F$2:$F$7,MATCH(C240,'Balance Inputs'!$A$2:$A$7,0)),0)</x:f>
        <x:v>3372</x:v>
      </x:c>
      <x:c r="K240" s="38" t="n">
        <x:f>I240-J240</x:f>
        <x:v>19110</x:v>
      </x:c>
      <x:c r="L240" s="38" t="n">
        <x:f>ROUND(INDEX('Balance Inputs'!$M$2:$M$51,MATCH(A240,'Balance Inputs'!$I$2:$I$51,0))*POWER(INDEX('Balance Inputs'!$E$2:$E$7,MATCH(C240,'Balance Inputs'!$A$2:$A$7,0)),F240-1),0)</x:f>
        <x:v>25207</x:v>
      </x:c>
      <x:c r="M240" s="38" t="n">
        <x:f>ROUND(INDEX('Balance Inputs'!$N$2:$N$51,MATCH(A240,'Balance Inputs'!$I$2:$I$51,0))*POWER(INDEX('Balance Inputs'!$G$2:$G$7,MATCH(C240,'Balance Inputs'!$A$2:$A$7,0)),F240-1),0)</x:f>
        <x:v>2191</x:v>
      </x:c>
      <x:c r="N240" s="38" t="n">
        <x:f>IF(A240&lt;&gt;A239,H240,N239+H240)</x:f>
        <x:v>832584</x:v>
      </x:c>
      <x:c r="O240" s="42" t="n">
        <x:f>IF(I240=0,0,H240/I240)</x:f>
        <x:v>22.898496575037807</x:v>
      </x:c>
      <x:c r="P240" s="43" t="n">
        <x:f>I240/INDEX('Balance Inputs'!$L$2:$L$51,MATCH(A240,'Balance Inputs'!$I$2:$I$51,0))</x:f>
        <x:v>1.370018281535649</x:v>
      </x:c>
      <x:c r="Q240" s="43" t="n">
        <x:f>L240/INDEX('Balance Inputs'!$M$2:$M$51,MATCH(A240,'Balance Inputs'!$I$2:$I$51,0))</x:f>
        <x:v>1.3499892887746359</x:v>
      </x:c>
      <x:c r="R240" s="17"/>
      <x:c r="S240" s="17"/>
      <x:c r="T240" s="17"/>
      <x:c r="U240" s="17"/>
      <x:c r="V240" s="17"/>
      <x:c r="W240" s="17"/>
      <x:c r="X240" s="17"/>
      <x:c r="Y240" s="17"/>
      <x:c r="Z240" s="17"/>
    </x:row>
    <x:row r="241">
      <x:c r="A241" s="17" t="n">
        <x:v>34</x:v>
      </x:c>
      <x:c r="B241" s="17" t="str">
        <x:v>Insurance Company HQ</x:v>
      </x:c>
      <x:c r="C241" s="17" t="str">
        <x:v>Established</x:v>
      </x:c>
      <x:c r="D241" s="17" t="str">
        <x:v>Epic</x:v>
      </x:c>
      <x:c r="E241" s="17" t="n">
        <x:v>34</x:v>
      </x:c>
      <x:c r="F241" s="17" t="n">
        <x:v>3</x:v>
      </x:c>
      <x:c r="G241" s="17" t="str">
        <x:v>Upgrade to Lv3</x:v>
      </x:c>
      <x:c r="H241" s="38" t="n">
        <x:f>ROUND(H240*INDEX('Balance Inputs'!$C$2:$C$7,MATCH(C241,'Balance Inputs'!$A$2:$A$7,0)),0)</x:f>
        <x:v>833982</x:v>
      </x:c>
      <x:c r="I241" s="38" t="n">
        <x:f>ROUND(INDEX('Balance Inputs'!$L$2:$L$51,MATCH(A241,'Balance Inputs'!$I$2:$I$51,0))*POWER(INDEX('Balance Inputs'!$D$2:$D$7,MATCH(C241,'Balance Inputs'!$A$2:$A$7,0)),F241-1),0)</x:f>
        <x:v>30800</x:v>
      </x:c>
      <x:c r="J241" s="38" t="n">
        <x:f>ROUND(I241*INDEX('Balance Inputs'!$F$2:$F$7,MATCH(C241,'Balance Inputs'!$A$2:$A$7,0)),0)</x:f>
        <x:v>4620</x:v>
      </x:c>
      <x:c r="K241" s="38" t="n">
        <x:f>I241-J241</x:f>
        <x:v>26180</x:v>
      </x:c>
      <x:c r="L241" s="38" t="n">
        <x:f>ROUND(INDEX('Balance Inputs'!$M$2:$M$51,MATCH(A241,'Balance Inputs'!$I$2:$I$51,0))*POWER(INDEX('Balance Inputs'!$E$2:$E$7,MATCH(C241,'Balance Inputs'!$A$2:$A$7,0)),F241-1),0)</x:f>
        <x:v>34030</x:v>
      </x:c>
      <x:c r="M241" s="38" t="n">
        <x:f>ROUND(INDEX('Balance Inputs'!$N$2:$N$51,MATCH(A241,'Balance Inputs'!$I$2:$I$51,0))*POWER(INDEX('Balance Inputs'!$G$2:$G$7,MATCH(C241,'Balance Inputs'!$A$2:$A$7,0)),F241-1),0)</x:f>
        <x:v>2519</x:v>
      </x:c>
      <x:c r="N241" s="38" t="n">
        <x:f>IF(A241&lt;&gt;A240,H241,N240+H241)</x:f>
        <x:v>1666566</x:v>
      </x:c>
      <x:c r="O241" s="42" t="n">
        <x:f>IF(I241=0,0,H241/I241)</x:f>
        <x:v>27.077337662337662</x:v>
      </x:c>
      <x:c r="P241" s="43" t="n">
        <x:f>I241/INDEX('Balance Inputs'!$L$2:$L$51,MATCH(A241,'Balance Inputs'!$I$2:$I$51,0))</x:f>
        <x:v>1.8769043266301035</x:v>
      </x:c>
      <x:c r="Q241" s="43" t="n">
        <x:f>L241/INDEX('Balance Inputs'!$M$2:$M$51,MATCH(A241,'Balance Inputs'!$I$2:$I$51,0))</x:f>
        <x:v>1.8225149957155098</x:v>
      </x:c>
      <x:c r="R241" s="17"/>
      <x:c r="S241" s="17"/>
      <x:c r="T241" s="17"/>
      <x:c r="U241" s="17"/>
      <x:c r="V241" s="17"/>
      <x:c r="W241" s="17"/>
      <x:c r="X241" s="17"/>
      <x:c r="Y241" s="17"/>
      <x:c r="Z241" s="17"/>
    </x:row>
    <x:row r="242">
      <x:c r="A242" s="17" t="n">
        <x:v>34</x:v>
      </x:c>
      <x:c r="B242" s="17" t="str">
        <x:v>Insurance Company HQ</x:v>
      </x:c>
      <x:c r="C242" s="17" t="str">
        <x:v>Established</x:v>
      </x:c>
      <x:c r="D242" s="17" t="str">
        <x:v>Epic</x:v>
      </x:c>
      <x:c r="E242" s="17" t="n">
        <x:v>34</x:v>
      </x:c>
      <x:c r="F242" s="17" t="n">
        <x:v>4</x:v>
      </x:c>
      <x:c r="G242" s="17" t="str">
        <x:v>Upgrade to Lv4</x:v>
      </x:c>
      <x:c r="H242" s="38" t="n">
        <x:f>ROUND(H241*INDEX('Balance Inputs'!$C$2:$C$7,MATCH(C242,'Balance Inputs'!$A$2:$A$7,0)),0)</x:f>
        <x:v>1351051</x:v>
      </x:c>
      <x:c r="I242" s="38" t="n">
        <x:f>ROUND(INDEX('Balance Inputs'!$L$2:$L$51,MATCH(A242,'Balance Inputs'!$I$2:$I$51,0))*POWER(INDEX('Balance Inputs'!$D$2:$D$7,MATCH(C242,'Balance Inputs'!$A$2:$A$7,0)),F242-1),0)</x:f>
        <x:v>42196</x:v>
      </x:c>
      <x:c r="J242" s="38" t="n">
        <x:f>ROUND(I242*INDEX('Balance Inputs'!$F$2:$F$7,MATCH(C242,'Balance Inputs'!$A$2:$A$7,0)),0)</x:f>
        <x:v>6329</x:v>
      </x:c>
      <x:c r="K242" s="38" t="n">
        <x:f>I242-J242</x:f>
        <x:v>35867</x:v>
      </x:c>
      <x:c r="L242" s="38" t="n">
        <x:f>ROUND(INDEX('Balance Inputs'!$M$2:$M$51,MATCH(A242,'Balance Inputs'!$I$2:$I$51,0))*POWER(INDEX('Balance Inputs'!$E$2:$E$7,MATCH(C242,'Balance Inputs'!$A$2:$A$7,0)),F242-1),0)</x:f>
        <x:v>45940</x:v>
      </x:c>
      <x:c r="M242" s="38" t="n">
        <x:f>ROUND(INDEX('Balance Inputs'!$N$2:$N$51,MATCH(A242,'Balance Inputs'!$I$2:$I$51,0))*POWER(INDEX('Balance Inputs'!$G$2:$G$7,MATCH(C242,'Balance Inputs'!$A$2:$A$7,0)),F242-1),0)</x:f>
        <x:v>2897</x:v>
      </x:c>
      <x:c r="N242" s="38" t="n">
        <x:f>IF(A242&lt;&gt;A241,H242,N241+H242)</x:f>
        <x:v>3017617</x:v>
      </x:c>
      <x:c r="O242" s="42" t="n">
        <x:f>IF(I242=0,0,H242/I242)</x:f>
        <x:v>32.018461465541755</x:v>
      </x:c>
      <x:c r="P242" s="43" t="n">
        <x:f>I242/INDEX('Balance Inputs'!$L$2:$L$51,MATCH(A242,'Balance Inputs'!$I$2:$I$51,0))</x:f>
        <x:v>2.571358927483242</x:v>
      </x:c>
      <x:c r="Q242" s="43" t="n">
        <x:f>L242/INDEX('Balance Inputs'!$M$2:$M$51,MATCH(A242,'Balance Inputs'!$I$2:$I$51,0))</x:f>
        <x:v>2.460368466152528</x:v>
      </x:c>
      <x:c r="R242" s="17"/>
      <x:c r="S242" s="17"/>
      <x:c r="T242" s="17"/>
      <x:c r="U242" s="17"/>
      <x:c r="V242" s="17"/>
      <x:c r="W242" s="17"/>
      <x:c r="X242" s="17"/>
      <x:c r="Y242" s="17"/>
      <x:c r="Z242" s="17"/>
    </x:row>
    <x:row r="243">
      <x:c r="A243" s="17" t="n">
        <x:v>34</x:v>
      </x:c>
      <x:c r="B243" s="17" t="str">
        <x:v>Insurance Company HQ</x:v>
      </x:c>
      <x:c r="C243" s="17" t="str">
        <x:v>Established</x:v>
      </x:c>
      <x:c r="D243" s="17" t="str">
        <x:v>Epic</x:v>
      </x:c>
      <x:c r="E243" s="17" t="n">
        <x:v>34</x:v>
      </x:c>
      <x:c r="F243" s="17" t="n">
        <x:v>5</x:v>
      </x:c>
      <x:c r="G243" s="17" t="str">
        <x:v>Upgrade to Lv5</x:v>
      </x:c>
      <x:c r="H243" s="38" t="n">
        <x:f>ROUND(H242*INDEX('Balance Inputs'!$C$2:$C$7,MATCH(C243,'Balance Inputs'!$A$2:$A$7,0)),0)</x:f>
        <x:v>2188703</x:v>
      </x:c>
      <x:c r="I243" s="38" t="n">
        <x:f>ROUND(INDEX('Balance Inputs'!$L$2:$L$51,MATCH(A243,'Balance Inputs'!$I$2:$I$51,0))*POWER(INDEX('Balance Inputs'!$D$2:$D$7,MATCH(C243,'Balance Inputs'!$A$2:$A$7,0)),F243-1),0)</x:f>
        <x:v>57808</x:v>
      </x:c>
      <x:c r="J243" s="38" t="n">
        <x:f>ROUND(I243*INDEX('Balance Inputs'!$F$2:$F$7,MATCH(C243,'Balance Inputs'!$A$2:$A$7,0)),0)</x:f>
        <x:v>8671</x:v>
      </x:c>
      <x:c r="K243" s="38" t="n">
        <x:f>I243-J243</x:f>
        <x:v>49137</x:v>
      </x:c>
      <x:c r="L243" s="38" t="n">
        <x:f>ROUND(INDEX('Balance Inputs'!$M$2:$M$51,MATCH(A243,'Balance Inputs'!$I$2:$I$51,0))*POWER(INDEX('Balance Inputs'!$E$2:$E$7,MATCH(C243,'Balance Inputs'!$A$2:$A$7,0)),F243-1),0)</x:f>
        <x:v>62019</x:v>
      </x:c>
      <x:c r="M243" s="38" t="n">
        <x:f>ROUND(INDEX('Balance Inputs'!$N$2:$N$51,MATCH(A243,'Balance Inputs'!$I$2:$I$51,0))*POWER(INDEX('Balance Inputs'!$G$2:$G$7,MATCH(C243,'Balance Inputs'!$A$2:$A$7,0)),F243-1),0)</x:f>
        <x:v>3332</x:v>
      </x:c>
      <x:c r="N243" s="38" t="n">
        <x:f>IF(A243&lt;&gt;A242,H243,N242+H243)</x:f>
        <x:v>5206320</x:v>
      </x:c>
      <x:c r="O243" s="42" t="n">
        <x:f>IF(I243=0,0,H243/I243)</x:f>
        <x:v>37.861593551065596</x:v>
      </x:c>
      <x:c r="P243" s="43" t="n">
        <x:f>I243/INDEX('Balance Inputs'!$L$2:$L$51,MATCH(A243,'Balance Inputs'!$I$2:$I$51,0))</x:f>
        <x:v>3.5227300426569164</x:v>
      </x:c>
      <x:c r="Q243" s="43" t="n">
        <x:f>L243/INDEX('Balance Inputs'!$M$2:$M$51,MATCH(A243,'Balance Inputs'!$I$2:$I$51,0))</x:f>
        <x:v>3.3214974293059125</x:v>
      </x:c>
      <x:c r="R243" s="17"/>
      <x:c r="S243" s="17"/>
      <x:c r="T243" s="17"/>
      <x:c r="U243" s="17"/>
      <x:c r="V243" s="17"/>
      <x:c r="W243" s="17"/>
      <x:c r="X243" s="17"/>
      <x:c r="Y243" s="17"/>
      <x:c r="Z243" s="17"/>
    </x:row>
    <x:row r="244">
      <x:c r="A244" s="17" t="n">
        <x:v>34</x:v>
      </x:c>
      <x:c r="B244" s="17" t="str">
        <x:v>Insurance Company HQ</x:v>
      </x:c>
      <x:c r="C244" s="17" t="str">
        <x:v>Established</x:v>
      </x:c>
      <x:c r="D244" s="17" t="str">
        <x:v>Epic</x:v>
      </x:c>
      <x:c r="E244" s="17" t="n">
        <x:v>34</x:v>
      </x:c>
      <x:c r="F244" s="17" t="n">
        <x:v>6</x:v>
      </x:c>
      <x:c r="G244" s="17" t="str">
        <x:v>Upgrade to Lv6</x:v>
      </x:c>
      <x:c r="H244" s="38" t="n">
        <x:f>ROUND(H243*INDEX('Balance Inputs'!$C$2:$C$7,MATCH(C244,'Balance Inputs'!$A$2:$A$7,0)),0)</x:f>
        <x:v>3545699</x:v>
      </x:c>
      <x:c r="I244" s="38" t="n">
        <x:f>ROUND(INDEX('Balance Inputs'!$L$2:$L$51,MATCH(A244,'Balance Inputs'!$I$2:$I$51,0))*POWER(INDEX('Balance Inputs'!$D$2:$D$7,MATCH(C244,'Balance Inputs'!$A$2:$A$7,0)),F244-1),0)</x:f>
        <x:v>79197</x:v>
      </x:c>
      <x:c r="J244" s="38" t="n">
        <x:f>ROUND(I244*INDEX('Balance Inputs'!$F$2:$F$7,MATCH(C244,'Balance Inputs'!$A$2:$A$7,0)),0)</x:f>
        <x:v>11880</x:v>
      </x:c>
      <x:c r="K244" s="38" t="n">
        <x:f>I244-J244</x:f>
        <x:v>67317</x:v>
      </x:c>
      <x:c r="L244" s="38" t="n">
        <x:f>ROUND(INDEX('Balance Inputs'!$M$2:$M$51,MATCH(A244,'Balance Inputs'!$I$2:$I$51,0))*POWER(INDEX('Balance Inputs'!$E$2:$E$7,MATCH(C244,'Balance Inputs'!$A$2:$A$7,0)),F244-1),0)</x:f>
        <x:v>83726</x:v>
      </x:c>
      <x:c r="M244" s="38" t="n">
        <x:f>ROUND(INDEX('Balance Inputs'!$N$2:$N$51,MATCH(A244,'Balance Inputs'!$I$2:$I$51,0))*POWER(INDEX('Balance Inputs'!$G$2:$G$7,MATCH(C244,'Balance Inputs'!$A$2:$A$7,0)),F244-1),0)</x:f>
        <x:v>3832</x:v>
      </x:c>
      <x:c r="N244" s="38" t="n">
        <x:f>IF(A244&lt;&gt;A243,H244,N243+H244)</x:f>
        <x:v>8752019</x:v>
      </x:c>
      <x:c r="O244" s="42" t="n">
        <x:f>IF(I244=0,0,H244/I244)</x:f>
        <x:v>44.77062262459437</x:v>
      </x:c>
      <x:c r="P244" s="43" t="n">
        <x:f>I244/INDEX('Balance Inputs'!$L$2:$L$51,MATCH(A244,'Balance Inputs'!$I$2:$I$51,0))</x:f>
        <x:v>4.826142595978062</x:v>
      </x:c>
      <x:c r="Q244" s="43" t="n">
        <x:f>L244/INDEX('Balance Inputs'!$M$2:$M$51,MATCH(A244,'Balance Inputs'!$I$2:$I$51,0))</x:f>
        <x:v>4.484040274207369</x:v>
      </x:c>
      <x:c r="R244" s="17"/>
      <x:c r="S244" s="17"/>
      <x:c r="T244" s="17"/>
      <x:c r="U244" s="17"/>
      <x:c r="V244" s="17"/>
      <x:c r="W244" s="17"/>
      <x:c r="X244" s="17"/>
      <x:c r="Y244" s="17"/>
      <x:c r="Z244" s="17"/>
    </x:row>
    <x:row r="245">
      <x:c r="A245" s="17" t="n">
        <x:v>34</x:v>
      </x:c>
      <x:c r="B245" s="17" t="str">
        <x:v>Insurance Company HQ</x:v>
      </x:c>
      <x:c r="C245" s="17" t="str">
        <x:v>Established</x:v>
      </x:c>
      <x:c r="D245" s="17" t="str">
        <x:v>Epic</x:v>
      </x:c>
      <x:c r="E245" s="17" t="n">
        <x:v>34</x:v>
      </x:c>
      <x:c r="F245" s="17" t="n">
        <x:v>7</x:v>
      </x:c>
      <x:c r="G245" s="17" t="str">
        <x:v>Upgrade to Lv7</x:v>
      </x:c>
      <x:c r="H245" s="38" t="n">
        <x:f>ROUND(H244*INDEX('Balance Inputs'!$C$2:$C$7,MATCH(C245,'Balance Inputs'!$A$2:$A$7,0)),0)</x:f>
        <x:v>5744032</x:v>
      </x:c>
      <x:c r="I245" s="38" t="n">
        <x:f>ROUND(INDEX('Balance Inputs'!$L$2:$L$51,MATCH(A245,'Balance Inputs'!$I$2:$I$51,0))*POWER(INDEX('Balance Inputs'!$D$2:$D$7,MATCH(C245,'Balance Inputs'!$A$2:$A$7,0)),F245-1),0)</x:f>
        <x:v>108501</x:v>
      </x:c>
      <x:c r="J245" s="38" t="n">
        <x:f>ROUND(I245*INDEX('Balance Inputs'!$F$2:$F$7,MATCH(C245,'Balance Inputs'!$A$2:$A$7,0)),0)</x:f>
        <x:v>16275</x:v>
      </x:c>
      <x:c r="K245" s="38" t="n">
        <x:f>I245-J245</x:f>
        <x:v>92226</x:v>
      </x:c>
      <x:c r="L245" s="38" t="n">
        <x:f>ROUND(INDEX('Balance Inputs'!$M$2:$M$51,MATCH(A245,'Balance Inputs'!$I$2:$I$51,0))*POWER(INDEX('Balance Inputs'!$E$2:$E$7,MATCH(C245,'Balance Inputs'!$A$2:$A$7,0)),F245-1),0)</x:f>
        <x:v>113030</x:v>
      </x:c>
      <x:c r="M245" s="38" t="n">
        <x:f>ROUND(INDEX('Balance Inputs'!$N$2:$N$51,MATCH(A245,'Balance Inputs'!$I$2:$I$51,0))*POWER(INDEX('Balance Inputs'!$G$2:$G$7,MATCH(C245,'Balance Inputs'!$A$2:$A$7,0)),F245-1),0)</x:f>
        <x:v>4406</x:v>
      </x:c>
      <x:c r="N245" s="38" t="n">
        <x:f>IF(A245&lt;&gt;A244,H245,N244+H245)</x:f>
        <x:v>14496051</x:v>
      </x:c>
      <x:c r="O245" s="42" t="n">
        <x:f>IF(I245=0,0,H245/I245)</x:f>
        <x:v>52.93989917143621</x:v>
      </x:c>
      <x:c r="P245" s="43" t="n">
        <x:f>I245/INDEX('Balance Inputs'!$L$2:$L$51,MATCH(A245,'Balance Inputs'!$I$2:$I$51,0))</x:f>
        <x:v>6.611882998171846</x:v>
      </x:c>
      <x:c r="Q245" s="43" t="n">
        <x:f>L245/INDEX('Balance Inputs'!$M$2:$M$51,MATCH(A245,'Balance Inputs'!$I$2:$I$51,0))</x:f>
        <x:v>6.053449014567266</x:v>
      </x:c>
      <x:c r="R245" s="17"/>
      <x:c r="S245" s="17"/>
      <x:c r="T245" s="17"/>
      <x:c r="U245" s="17"/>
      <x:c r="V245" s="17"/>
      <x:c r="W245" s="17"/>
      <x:c r="X245" s="17"/>
      <x:c r="Y245" s="17"/>
      <x:c r="Z245" s="17"/>
    </x:row>
    <x:row r="246">
      <x:c r="A246" s="17" t="n">
        <x:v>34</x:v>
      </x:c>
      <x:c r="B246" s="17" t="str">
        <x:v>Insurance Company HQ</x:v>
      </x:c>
      <x:c r="C246" s="17" t="str">
        <x:v>Established</x:v>
      </x:c>
      <x:c r="D246" s="17" t="str">
        <x:v>Epic</x:v>
      </x:c>
      <x:c r="E246" s="17" t="n">
        <x:v>34</x:v>
      </x:c>
      <x:c r="F246" s="17" t="n">
        <x:v>8</x:v>
      </x:c>
      <x:c r="G246" s="17" t="str">
        <x:v>Upgrade to Lv8</x:v>
      </x:c>
      <x:c r="H246" s="38" t="n">
        <x:f>ROUND(H245*INDEX('Balance Inputs'!$C$2:$C$7,MATCH(C246,'Balance Inputs'!$A$2:$A$7,0)),0)</x:f>
        <x:v>9305332</x:v>
      </x:c>
      <x:c r="I246" s="38" t="n">
        <x:f>ROUND(INDEX('Balance Inputs'!$L$2:$L$51,MATCH(A246,'Balance Inputs'!$I$2:$I$51,0))*POWER(INDEX('Balance Inputs'!$D$2:$D$7,MATCH(C246,'Balance Inputs'!$A$2:$A$7,0)),F246-1),0)</x:f>
        <x:v>148646</x:v>
      </x:c>
      <x:c r="J246" s="38" t="n">
        <x:f>ROUND(I246*INDEX('Balance Inputs'!$F$2:$F$7,MATCH(C246,'Balance Inputs'!$A$2:$A$7,0)),0)</x:f>
        <x:v>22297</x:v>
      </x:c>
      <x:c r="K246" s="38" t="n">
        <x:f>I246-J246</x:f>
        <x:v>126349</x:v>
      </x:c>
      <x:c r="L246" s="38" t="n">
        <x:f>ROUND(INDEX('Balance Inputs'!$M$2:$M$51,MATCH(A246,'Balance Inputs'!$I$2:$I$51,0))*POWER(INDEX('Balance Inputs'!$E$2:$E$7,MATCH(C246,'Balance Inputs'!$A$2:$A$7,0)),F246-1),0)</x:f>
        <x:v>152590</x:v>
      </x:c>
      <x:c r="M246" s="38" t="n">
        <x:f>ROUND(INDEX('Balance Inputs'!$N$2:$N$51,MATCH(A246,'Balance Inputs'!$I$2:$I$51,0))*POWER(INDEX('Balance Inputs'!$G$2:$G$7,MATCH(C246,'Balance Inputs'!$A$2:$A$7,0)),F246-1),0)</x:f>
        <x:v>5067</x:v>
      </x:c>
      <x:c r="N246" s="38" t="n">
        <x:f>IF(A246&lt;&gt;A245,H246,N245+H246)</x:f>
        <x:v>23801383</x:v>
      </x:c>
      <x:c r="O246" s="42" t="n">
        <x:f>IF(I246=0,0,H246/I246)</x:f>
        <x:v>62.60062161107598</x:v>
      </x:c>
      <x:c r="P246" s="43" t="n">
        <x:f>I246/INDEX('Balance Inputs'!$L$2:$L$51,MATCH(A246,'Balance Inputs'!$I$2:$I$51,0))</x:f>
        <x:v>9.058257160268129</x:v>
      </x:c>
      <x:c r="Q246" s="43" t="n">
        <x:f>L246/INDEX('Balance Inputs'!$M$2:$M$51,MATCH(A246,'Balance Inputs'!$I$2:$I$51,0))</x:f>
        <x:v>8.172129391602398</x:v>
      </x:c>
      <x:c r="R246" s="17"/>
      <x:c r="S246" s="17"/>
      <x:c r="T246" s="17"/>
      <x:c r="U246" s="17"/>
      <x:c r="V246" s="17"/>
      <x:c r="W246" s="17"/>
      <x:c r="X246" s="17"/>
      <x:c r="Y246" s="17"/>
      <x:c r="Z246" s="17"/>
    </x:row>
    <x:row r="247">
      <x:c r="A247" s="17" t="n">
        <x:v>34</x:v>
      </x:c>
      <x:c r="B247" s="17" t="str">
        <x:v>Insurance Company HQ</x:v>
      </x:c>
      <x:c r="C247" s="17" t="str">
        <x:v>Established</x:v>
      </x:c>
      <x:c r="D247" s="17" t="str">
        <x:v>Epic</x:v>
      </x:c>
      <x:c r="E247" s="17" t="n">
        <x:v>34</x:v>
      </x:c>
      <x:c r="F247" s="17" t="n">
        <x:v>9</x:v>
      </x:c>
      <x:c r="G247" s="17" t="str">
        <x:v>Upgrade to Lv9</x:v>
      </x:c>
      <x:c r="H247" s="38" t="n">
        <x:f>ROUND(H246*INDEX('Balance Inputs'!$C$2:$C$7,MATCH(C247,'Balance Inputs'!$A$2:$A$7,0)),0)</x:f>
        <x:v>15074638</x:v>
      </x:c>
      <x:c r="I247" s="38" t="n">
        <x:f>ROUND(INDEX('Balance Inputs'!$L$2:$L$51,MATCH(A247,'Balance Inputs'!$I$2:$I$51,0))*POWER(INDEX('Balance Inputs'!$D$2:$D$7,MATCH(C247,'Balance Inputs'!$A$2:$A$7,0)),F247-1),0)</x:f>
        <x:v>203645</x:v>
      </x:c>
      <x:c r="J247" s="38" t="n">
        <x:f>ROUND(I247*INDEX('Balance Inputs'!$F$2:$F$7,MATCH(C247,'Balance Inputs'!$A$2:$A$7,0)),0)</x:f>
        <x:v>30547</x:v>
      </x:c>
      <x:c r="K247" s="38" t="n">
        <x:f>I247-J247</x:f>
        <x:v>173098</x:v>
      </x:c>
      <x:c r="L247" s="38" t="n">
        <x:f>ROUND(INDEX('Balance Inputs'!$M$2:$M$51,MATCH(A247,'Balance Inputs'!$I$2:$I$51,0))*POWER(INDEX('Balance Inputs'!$E$2:$E$7,MATCH(C247,'Balance Inputs'!$A$2:$A$7,0)),F247-1),0)</x:f>
        <x:v>205997</x:v>
      </x:c>
      <x:c r="M247" s="38" t="n">
        <x:f>ROUND(INDEX('Balance Inputs'!$N$2:$N$51,MATCH(A247,'Balance Inputs'!$I$2:$I$51,0))*POWER(INDEX('Balance Inputs'!$G$2:$G$7,MATCH(C247,'Balance Inputs'!$A$2:$A$7,0)),F247-1),0)</x:f>
        <x:v>5827</x:v>
      </x:c>
      <x:c r="N247" s="38" t="n">
        <x:f>IF(A247&lt;&gt;A246,H247,N246+H247)</x:f>
        <x:v>38876021</x:v>
      </x:c>
      <x:c r="O247" s="42" t="n">
        <x:f>IF(I247=0,0,H247/I247)</x:f>
        <x:v>74.02410076358369</x:v>
      </x:c>
      <x:c r="P247" s="43" t="n">
        <x:f>I247/INDEX('Balance Inputs'!$L$2:$L$51,MATCH(A247,'Balance Inputs'!$I$2:$I$51,0))</x:f>
        <x:v>12.409811090798295</x:v>
      </x:c>
      <x:c r="Q247" s="43" t="n">
        <x:f>L247/INDEX('Balance Inputs'!$M$2:$M$51,MATCH(A247,'Balance Inputs'!$I$2:$I$51,0))</x:f>
        <x:v>11.03240145672665</x:v>
      </x:c>
      <x:c r="R247" s="17"/>
      <x:c r="S247" s="17"/>
      <x:c r="T247" s="17"/>
      <x:c r="U247" s="17"/>
      <x:c r="V247" s="17"/>
      <x:c r="W247" s="17"/>
      <x:c r="X247" s="17"/>
      <x:c r="Y247" s="17"/>
      <x:c r="Z247" s="17"/>
    </x:row>
    <x:row r="248">
      <x:c r="A248" s="17" t="n">
        <x:v>35</x:v>
      </x:c>
      <x:c r="B248" s="17" t="str">
        <x:v>Financial Data Center</x:v>
      </x:c>
      <x:c r="C248" s="17" t="str">
        <x:v>Established</x:v>
      </x:c>
      <x:c r="D248" s="17" t="str">
        <x:v>Epic</x:v>
      </x:c>
      <x:c r="E248" s="17" t="n">
        <x:v>35</x:v>
      </x:c>
      <x:c r="F248" s="17" t="n">
        <x:v>1</x:v>
      </x:c>
      <x:c r="G248" s="17" t="str">
        <x:v>Build</x:v>
      </x:c>
      <x:c r="H248" s="38" t="n">
        <x:f>INDEX('Balance Inputs'!$K$2:$K$51,MATCH(A248,'Balance Inputs'!$I$2:$I$51,0))</x:f>
        <x:v>392460</x:v>
      </x:c>
      <x:c r="I248" s="38" t="n">
        <x:f>ROUND(INDEX('Balance Inputs'!$L$2:$L$51,MATCH(A248,'Balance Inputs'!$I$2:$I$51,0))*POWER(INDEX('Balance Inputs'!$D$2:$D$7,MATCH(C248,'Balance Inputs'!$A$2:$A$7,0)),F248-1),0)</x:f>
        <x:v>17281</x:v>
      </x:c>
      <x:c r="J248" s="38" t="n">
        <x:f>ROUND(I248*INDEX('Balance Inputs'!$F$2:$F$7,MATCH(C248,'Balance Inputs'!$A$2:$A$7,0)),0)</x:f>
        <x:v>2592</x:v>
      </x:c>
      <x:c r="K248" s="38" t="n">
        <x:f>I248-J248</x:f>
        <x:v>14689</x:v>
      </x:c>
      <x:c r="L248" s="38" t="n">
        <x:f>ROUND(INDEX('Balance Inputs'!$M$2:$M$51,MATCH(A248,'Balance Inputs'!$I$2:$I$51,0))*POWER(INDEX('Balance Inputs'!$E$2:$E$7,MATCH(C248,'Balance Inputs'!$A$2:$A$7,0)),F248-1),0)</x:f>
        <x:v>22220</x:v>
      </x:c>
      <x:c r="M248" s="38" t="n">
        <x:f>ROUND(INDEX('Balance Inputs'!$N$2:$N$51,MATCH(A248,'Balance Inputs'!$I$2:$I$51,0))*POWER(INDEX('Balance Inputs'!$G$2:$G$7,MATCH(C248,'Balance Inputs'!$A$2:$A$7,0)),F248-1),0)</x:f>
        <x:v>2400</x:v>
      </x:c>
      <x:c r="N248" s="38" t="n">
        <x:f>IF(A248&lt;&gt;A247,H248,N247+H248)</x:f>
        <x:v>392460</x:v>
      </x:c>
      <x:c r="O248" s="42" t="n">
        <x:f>IF(I248=0,0,H248/I248)</x:f>
        <x:v>22.710491291013252</x:v>
      </x:c>
      <x:c r="P248" s="43" t="n">
        <x:f>I248/INDEX('Balance Inputs'!$L$2:$L$51,MATCH(A248,'Balance Inputs'!$I$2:$I$51,0))</x:f>
        <x:v>1</x:v>
      </x:c>
      <x:c r="Q248" s="43" t="n">
        <x:f>L248/INDEX('Balance Inputs'!$M$2:$M$51,MATCH(A248,'Balance Inputs'!$I$2:$I$51,0))</x:f>
        <x:v>1</x:v>
      </x:c>
      <x:c r="R248" s="17"/>
      <x:c r="S248" s="17"/>
      <x:c r="T248" s="17"/>
      <x:c r="U248" s="17"/>
      <x:c r="V248" s="17"/>
      <x:c r="W248" s="17"/>
      <x:c r="X248" s="17"/>
      <x:c r="Y248" s="17"/>
      <x:c r="Z248" s="17"/>
    </x:row>
    <x:row r="249">
      <x:c r="A249" s="17" t="n">
        <x:v>35</x:v>
      </x:c>
      <x:c r="B249" s="17" t="str">
        <x:v>Financial Data Center</x:v>
      </x:c>
      <x:c r="C249" s="17" t="str">
        <x:v>Established</x:v>
      </x:c>
      <x:c r="D249" s="17" t="str">
        <x:v>Epic</x:v>
      </x:c>
      <x:c r="E249" s="17" t="n">
        <x:v>35</x:v>
      </x:c>
      <x:c r="F249" s="17" t="n">
        <x:v>2</x:v>
      </x:c>
      <x:c r="G249" s="17" t="str">
        <x:v>Upgrade to Lv2</x:v>
      </x:c>
      <x:c r="H249" s="38" t="n">
        <x:f>ROUND(H248*INDEX('Balance Inputs'!$C$2:$C$7,MATCH(C249,'Balance Inputs'!$A$2:$A$7,0)),0)</x:f>
        <x:v>635785</x:v>
      </x:c>
      <x:c r="I249" s="38" t="n">
        <x:f>ROUND(INDEX('Balance Inputs'!$L$2:$L$51,MATCH(A249,'Balance Inputs'!$I$2:$I$51,0))*POWER(INDEX('Balance Inputs'!$D$2:$D$7,MATCH(C249,'Balance Inputs'!$A$2:$A$7,0)),F249-1),0)</x:f>
        <x:v>23675</x:v>
      </x:c>
      <x:c r="J249" s="38" t="n">
        <x:f>ROUND(I249*INDEX('Balance Inputs'!$F$2:$F$7,MATCH(C249,'Balance Inputs'!$A$2:$A$7,0)),0)</x:f>
        <x:v>3551</x:v>
      </x:c>
      <x:c r="K249" s="38" t="n">
        <x:f>I249-J249</x:f>
        <x:v>20124</x:v>
      </x:c>
      <x:c r="L249" s="38" t="n">
        <x:f>ROUND(INDEX('Balance Inputs'!$M$2:$M$51,MATCH(A249,'Balance Inputs'!$I$2:$I$51,0))*POWER(INDEX('Balance Inputs'!$E$2:$E$7,MATCH(C249,'Balance Inputs'!$A$2:$A$7,0)),F249-1),0)</x:f>
        <x:v>29997</x:v>
      </x:c>
      <x:c r="M249" s="38" t="n">
        <x:f>ROUND(INDEX('Balance Inputs'!$N$2:$N$51,MATCH(A249,'Balance Inputs'!$I$2:$I$51,0))*POWER(INDEX('Balance Inputs'!$G$2:$G$7,MATCH(C249,'Balance Inputs'!$A$2:$A$7,0)),F249-1),0)</x:f>
        <x:v>2760</x:v>
      </x:c>
      <x:c r="N249" s="38" t="n">
        <x:f>IF(A249&lt;&gt;A248,H249,N248+H249)</x:f>
        <x:v>1028245</x:v>
      </x:c>
      <x:c r="O249" s="42" t="n">
        <x:f>IF(I249=0,0,H249/I249)</x:f>
        <x:v>26.854699049630412</x:v>
      </x:c>
      <x:c r="P249" s="43" t="n">
        <x:f>I249/INDEX('Balance Inputs'!$L$2:$L$51,MATCH(A249,'Balance Inputs'!$I$2:$I$51,0))</x:f>
        <x:v>1.3700017360106476</x:v>
      </x:c>
      <x:c r="Q249" s="43" t="n">
        <x:f>L249/INDEX('Balance Inputs'!$M$2:$M$51,MATCH(A249,'Balance Inputs'!$I$2:$I$51,0))</x:f>
        <x:v>1.35</x:v>
      </x:c>
      <x:c r="R249" s="17"/>
      <x:c r="S249" s="17"/>
      <x:c r="T249" s="17"/>
      <x:c r="U249" s="17"/>
      <x:c r="V249" s="17"/>
      <x:c r="W249" s="17"/>
      <x:c r="X249" s="17"/>
      <x:c r="Y249" s="17"/>
      <x:c r="Z249" s="17"/>
    </x:row>
    <x:row r="250">
      <x:c r="A250" s="17" t="n">
        <x:v>35</x:v>
      </x:c>
      <x:c r="B250" s="17" t="str">
        <x:v>Financial Data Center</x:v>
      </x:c>
      <x:c r="C250" s="17" t="str">
        <x:v>Established</x:v>
      </x:c>
      <x:c r="D250" s="17" t="str">
        <x:v>Epic</x:v>
      </x:c>
      <x:c r="E250" s="17" t="n">
        <x:v>35</x:v>
      </x:c>
      <x:c r="F250" s="17" t="n">
        <x:v>3</x:v>
      </x:c>
      <x:c r="G250" s="17" t="str">
        <x:v>Upgrade to Lv3</x:v>
      </x:c>
      <x:c r="H250" s="38" t="n">
        <x:f>ROUND(H249*INDEX('Balance Inputs'!$C$2:$C$7,MATCH(C250,'Balance Inputs'!$A$2:$A$7,0)),0)</x:f>
        <x:v>1029972</x:v>
      </x:c>
      <x:c r="I250" s="38" t="n">
        <x:f>ROUND(INDEX('Balance Inputs'!$L$2:$L$51,MATCH(A250,'Balance Inputs'!$I$2:$I$51,0))*POWER(INDEX('Balance Inputs'!$D$2:$D$7,MATCH(C250,'Balance Inputs'!$A$2:$A$7,0)),F250-1),0)</x:f>
        <x:v>32435</x:v>
      </x:c>
      <x:c r="J250" s="38" t="n">
        <x:f>ROUND(I250*INDEX('Balance Inputs'!$F$2:$F$7,MATCH(C250,'Balance Inputs'!$A$2:$A$7,0)),0)</x:f>
        <x:v>4865</x:v>
      </x:c>
      <x:c r="K250" s="38" t="n">
        <x:f>I250-J250</x:f>
        <x:v>27570</x:v>
      </x:c>
      <x:c r="L250" s="38" t="n">
        <x:f>ROUND(INDEX('Balance Inputs'!$M$2:$M$51,MATCH(A250,'Balance Inputs'!$I$2:$I$51,0))*POWER(INDEX('Balance Inputs'!$E$2:$E$7,MATCH(C250,'Balance Inputs'!$A$2:$A$7,0)),F250-1),0)</x:f>
        <x:v>40496</x:v>
      </x:c>
      <x:c r="M250" s="38" t="n">
        <x:f>ROUND(INDEX('Balance Inputs'!$N$2:$N$51,MATCH(A250,'Balance Inputs'!$I$2:$I$51,0))*POWER(INDEX('Balance Inputs'!$G$2:$G$7,MATCH(C250,'Balance Inputs'!$A$2:$A$7,0)),F250-1),0)</x:f>
        <x:v>3174</x:v>
      </x:c>
      <x:c r="N250" s="38" t="n">
        <x:f>IF(A250&lt;&gt;A249,H250,N249+H250)</x:f>
        <x:v>2058217</x:v>
      </x:c>
      <x:c r="O250" s="42" t="n">
        <x:f>IF(I250=0,0,H250/I250)</x:f>
        <x:v>31.75495606597811</x:v>
      </x:c>
      <x:c r="P250" s="43" t="n">
        <x:f>I250/INDEX('Balance Inputs'!$L$2:$L$51,MATCH(A250,'Balance Inputs'!$I$2:$I$51,0))</x:f>
        <x:v>1.8769168450899831</x:v>
      </x:c>
      <x:c r="Q250" s="43" t="n">
        <x:f>L250/INDEX('Balance Inputs'!$M$2:$M$51,MATCH(A250,'Balance Inputs'!$I$2:$I$51,0))</x:f>
        <x:v>1.8225022502250225</x:v>
      </x:c>
      <x:c r="R250" s="17"/>
      <x:c r="S250" s="17"/>
      <x:c r="T250" s="17"/>
      <x:c r="U250" s="17"/>
      <x:c r="V250" s="17"/>
      <x:c r="W250" s="17"/>
      <x:c r="X250" s="17"/>
      <x:c r="Y250" s="17"/>
      <x:c r="Z250" s="17"/>
    </x:row>
    <x:row r="251">
      <x:c r="A251" s="17" t="n">
        <x:v>35</x:v>
      </x:c>
      <x:c r="B251" s="17" t="str">
        <x:v>Financial Data Center</x:v>
      </x:c>
      <x:c r="C251" s="17" t="str">
        <x:v>Established</x:v>
      </x:c>
      <x:c r="D251" s="17" t="str">
        <x:v>Epic</x:v>
      </x:c>
      <x:c r="E251" s="17" t="n">
        <x:v>35</x:v>
      </x:c>
      <x:c r="F251" s="17" t="n">
        <x:v>4</x:v>
      </x:c>
      <x:c r="G251" s="17" t="str">
        <x:v>Upgrade to Lv4</x:v>
      </x:c>
      <x:c r="H251" s="38" t="n">
        <x:f>ROUND(H250*INDEX('Balance Inputs'!$C$2:$C$7,MATCH(C251,'Balance Inputs'!$A$2:$A$7,0)),0)</x:f>
        <x:v>1668555</x:v>
      </x:c>
      <x:c r="I251" s="38" t="n">
        <x:f>ROUND(INDEX('Balance Inputs'!$L$2:$L$51,MATCH(A251,'Balance Inputs'!$I$2:$I$51,0))*POWER(INDEX('Balance Inputs'!$D$2:$D$7,MATCH(C251,'Balance Inputs'!$A$2:$A$7,0)),F251-1),0)</x:f>
        <x:v>44436</x:v>
      </x:c>
      <x:c r="J251" s="38" t="n">
        <x:f>ROUND(I251*INDEX('Balance Inputs'!$F$2:$F$7,MATCH(C251,'Balance Inputs'!$A$2:$A$7,0)),0)</x:f>
        <x:v>6665</x:v>
      </x:c>
      <x:c r="K251" s="38" t="n">
        <x:f>I251-J251</x:f>
        <x:v>37771</x:v>
      </x:c>
      <x:c r="L251" s="38" t="n">
        <x:f>ROUND(INDEX('Balance Inputs'!$M$2:$M$51,MATCH(A251,'Balance Inputs'!$I$2:$I$51,0))*POWER(INDEX('Balance Inputs'!$E$2:$E$7,MATCH(C251,'Balance Inputs'!$A$2:$A$7,0)),F251-1),0)</x:f>
        <x:v>54670</x:v>
      </x:c>
      <x:c r="M251" s="38" t="n">
        <x:f>ROUND(INDEX('Balance Inputs'!$N$2:$N$51,MATCH(A251,'Balance Inputs'!$I$2:$I$51,0))*POWER(INDEX('Balance Inputs'!$G$2:$G$7,MATCH(C251,'Balance Inputs'!$A$2:$A$7,0)),F251-1),0)</x:f>
        <x:v>3650</x:v>
      </x:c>
      <x:c r="N251" s="38" t="n">
        <x:f>IF(A251&lt;&gt;A250,H251,N250+H251)</x:f>
        <x:v>3726772</x:v>
      </x:c>
      <x:c r="O251" s="42" t="n">
        <x:f>IF(I251=0,0,H251/I251)</x:f>
        <x:v>37.54962192816635</x:v>
      </x:c>
      <x:c r="P251" s="43" t="n">
        <x:f>I251/INDEX('Balance Inputs'!$L$2:$L$51,MATCH(A251,'Balance Inputs'!$I$2:$I$51,0))</x:f>
        <x:v>2.571378971124356</x:v>
      </x:c>
      <x:c r="Q251" s="43" t="n">
        <x:f>L251/INDEX('Balance Inputs'!$M$2:$M$51,MATCH(A251,'Balance Inputs'!$I$2:$I$51,0))</x:f>
        <x:v>2.4603960396039604</x:v>
      </x:c>
      <x:c r="R251" s="17"/>
      <x:c r="S251" s="17"/>
      <x:c r="T251" s="17"/>
      <x:c r="U251" s="17"/>
      <x:c r="V251" s="17"/>
      <x:c r="W251" s="17"/>
      <x:c r="X251" s="17"/>
      <x:c r="Y251" s="17"/>
      <x:c r="Z251" s="17"/>
    </x:row>
    <x:row r="252">
      <x:c r="A252" s="17" t="n">
        <x:v>35</x:v>
      </x:c>
      <x:c r="B252" s="17" t="str">
        <x:v>Financial Data Center</x:v>
      </x:c>
      <x:c r="C252" s="17" t="str">
        <x:v>Established</x:v>
      </x:c>
      <x:c r="D252" s="17" t="str">
        <x:v>Epic</x:v>
      </x:c>
      <x:c r="E252" s="17" t="n">
        <x:v>35</x:v>
      </x:c>
      <x:c r="F252" s="17" t="n">
        <x:v>5</x:v>
      </x:c>
      <x:c r="G252" s="17" t="str">
        <x:v>Upgrade to Lv5</x:v>
      </x:c>
      <x:c r="H252" s="38" t="n">
        <x:f>ROUND(H251*INDEX('Balance Inputs'!$C$2:$C$7,MATCH(C252,'Balance Inputs'!$A$2:$A$7,0)),0)</x:f>
        <x:v>2703059</x:v>
      </x:c>
      <x:c r="I252" s="38" t="n">
        <x:f>ROUND(INDEX('Balance Inputs'!$L$2:$L$51,MATCH(A252,'Balance Inputs'!$I$2:$I$51,0))*POWER(INDEX('Balance Inputs'!$D$2:$D$7,MATCH(C252,'Balance Inputs'!$A$2:$A$7,0)),F252-1),0)</x:f>
        <x:v>60877</x:v>
      </x:c>
      <x:c r="J252" s="38" t="n">
        <x:f>ROUND(I252*INDEX('Balance Inputs'!$F$2:$F$7,MATCH(C252,'Balance Inputs'!$A$2:$A$7,0)),0)</x:f>
        <x:v>9132</x:v>
      </x:c>
      <x:c r="K252" s="38" t="n">
        <x:f>I252-J252</x:f>
        <x:v>51745</x:v>
      </x:c>
      <x:c r="L252" s="38" t="n">
        <x:f>ROUND(INDEX('Balance Inputs'!$M$2:$M$51,MATCH(A252,'Balance Inputs'!$I$2:$I$51,0))*POWER(INDEX('Balance Inputs'!$E$2:$E$7,MATCH(C252,'Balance Inputs'!$A$2:$A$7,0)),F252-1),0)</x:f>
        <x:v>73804</x:v>
      </x:c>
      <x:c r="M252" s="38" t="n">
        <x:f>ROUND(INDEX('Balance Inputs'!$N$2:$N$51,MATCH(A252,'Balance Inputs'!$I$2:$I$51,0))*POWER(INDEX('Balance Inputs'!$G$2:$G$7,MATCH(C252,'Balance Inputs'!$A$2:$A$7,0)),F252-1),0)</x:f>
        <x:v>4198</x:v>
      </x:c>
      <x:c r="N252" s="38" t="n">
        <x:f>IF(A252&lt;&gt;A251,H252,N251+H252)</x:f>
        <x:v>6429831</x:v>
      </x:c>
      <x:c r="O252" s="42" t="n">
        <x:f>IF(I252=0,0,H252/I252)</x:f>
        <x:v>44.401974473117924</x:v>
      </x:c>
      <x:c r="P252" s="43" t="n">
        <x:f>I252/INDEX('Balance Inputs'!$L$2:$L$51,MATCH(A252,'Balance Inputs'!$I$2:$I$51,0))</x:f>
        <x:v>3.522770672993461</x:v>
      </x:c>
      <x:c r="Q252" s="43" t="n">
        <x:f>L252/INDEX('Balance Inputs'!$M$2:$M$51,MATCH(A252,'Balance Inputs'!$I$2:$I$51,0))</x:f>
        <x:v>3.3215121512151216</x:v>
      </x:c>
      <x:c r="R252" s="17"/>
      <x:c r="S252" s="17"/>
      <x:c r="T252" s="17"/>
      <x:c r="U252" s="17"/>
      <x:c r="V252" s="17"/>
      <x:c r="W252" s="17"/>
      <x:c r="X252" s="17"/>
      <x:c r="Y252" s="17"/>
      <x:c r="Z252" s="17"/>
    </x:row>
    <x:row r="253">
      <x:c r="A253" s="17" t="n">
        <x:v>35</x:v>
      </x:c>
      <x:c r="B253" s="17" t="str">
        <x:v>Financial Data Center</x:v>
      </x:c>
      <x:c r="C253" s="17" t="str">
        <x:v>Established</x:v>
      </x:c>
      <x:c r="D253" s="17" t="str">
        <x:v>Epic</x:v>
      </x:c>
      <x:c r="E253" s="17" t="n">
        <x:v>35</x:v>
      </x:c>
      <x:c r="F253" s="17" t="n">
        <x:v>6</x:v>
      </x:c>
      <x:c r="G253" s="17" t="str">
        <x:v>Upgrade to Lv6</x:v>
      </x:c>
      <x:c r="H253" s="38" t="n">
        <x:f>ROUND(H252*INDEX('Balance Inputs'!$C$2:$C$7,MATCH(C253,'Balance Inputs'!$A$2:$A$7,0)),0)</x:f>
        <x:v>4378956</x:v>
      </x:c>
      <x:c r="I253" s="38" t="n">
        <x:f>ROUND(INDEX('Balance Inputs'!$L$2:$L$51,MATCH(A253,'Balance Inputs'!$I$2:$I$51,0))*POWER(INDEX('Balance Inputs'!$D$2:$D$7,MATCH(C253,'Balance Inputs'!$A$2:$A$7,0)),F253-1),0)</x:f>
        <x:v>83401</x:v>
      </x:c>
      <x:c r="J253" s="38" t="n">
        <x:f>ROUND(I253*INDEX('Balance Inputs'!$F$2:$F$7,MATCH(C253,'Balance Inputs'!$A$2:$A$7,0)),0)</x:f>
        <x:v>12510</x:v>
      </x:c>
      <x:c r="K253" s="38" t="n">
        <x:f>I253-J253</x:f>
        <x:v>70891</x:v>
      </x:c>
      <x:c r="L253" s="38" t="n">
        <x:f>ROUND(INDEX('Balance Inputs'!$M$2:$M$51,MATCH(A253,'Balance Inputs'!$I$2:$I$51,0))*POWER(INDEX('Balance Inputs'!$E$2:$E$7,MATCH(C253,'Balance Inputs'!$A$2:$A$7,0)),F253-1),0)</x:f>
        <x:v>99635</x:v>
      </x:c>
      <x:c r="M253" s="38" t="n">
        <x:f>ROUND(INDEX('Balance Inputs'!$N$2:$N$51,MATCH(A253,'Balance Inputs'!$I$2:$I$51,0))*POWER(INDEX('Balance Inputs'!$G$2:$G$7,MATCH(C253,'Balance Inputs'!$A$2:$A$7,0)),F253-1),0)</x:f>
        <x:v>4827</x:v>
      </x:c>
      <x:c r="N253" s="38" t="n">
        <x:f>IF(A253&lt;&gt;A252,H253,N252+H253)</x:f>
        <x:v>10808787</x:v>
      </x:c>
      <x:c r="O253" s="42" t="n">
        <x:f>IF(I253=0,0,H253/I253)</x:f>
        <x:v>52.504838071485956</x:v>
      </x:c>
      <x:c r="P253" s="43" t="n">
        <x:f>I253/INDEX('Balance Inputs'!$L$2:$L$51,MATCH(A253,'Balance Inputs'!$I$2:$I$51,0))</x:f>
        <x:v>4.826167467160465</x:v>
      </x:c>
      <x:c r="Q253" s="43" t="n">
        <x:f>L253/INDEX('Balance Inputs'!$M$2:$M$51,MATCH(A253,'Balance Inputs'!$I$2:$I$51,0))</x:f>
        <x:v>4.484023402340234</x:v>
      </x:c>
      <x:c r="R253" s="17"/>
      <x:c r="S253" s="17"/>
      <x:c r="T253" s="17"/>
      <x:c r="U253" s="17"/>
      <x:c r="V253" s="17"/>
      <x:c r="W253" s="17"/>
      <x:c r="X253" s="17"/>
      <x:c r="Y253" s="17"/>
      <x:c r="Z253" s="17"/>
    </x:row>
    <x:row r="254">
      <x:c r="A254" s="17" t="n">
        <x:v>35</x:v>
      </x:c>
      <x:c r="B254" s="17" t="str">
        <x:v>Financial Data Center</x:v>
      </x:c>
      <x:c r="C254" s="17" t="str">
        <x:v>Established</x:v>
      </x:c>
      <x:c r="D254" s="17" t="str">
        <x:v>Epic</x:v>
      </x:c>
      <x:c r="E254" s="17" t="n">
        <x:v>35</x:v>
      </x:c>
      <x:c r="F254" s="17" t="n">
        <x:v>7</x:v>
      </x:c>
      <x:c r="G254" s="17" t="str">
        <x:v>Upgrade to Lv7</x:v>
      </x:c>
      <x:c r="H254" s="38" t="n">
        <x:f>ROUND(H253*INDEX('Balance Inputs'!$C$2:$C$7,MATCH(C254,'Balance Inputs'!$A$2:$A$7,0)),0)</x:f>
        <x:v>7093909</x:v>
      </x:c>
      <x:c r="I254" s="38" t="n">
        <x:f>ROUND(INDEX('Balance Inputs'!$L$2:$L$51,MATCH(A254,'Balance Inputs'!$I$2:$I$51,0))*POWER(INDEX('Balance Inputs'!$D$2:$D$7,MATCH(C254,'Balance Inputs'!$A$2:$A$7,0)),F254-1),0)</x:f>
        <x:v>114259</x:v>
      </x:c>
      <x:c r="J254" s="38" t="n">
        <x:f>ROUND(I254*INDEX('Balance Inputs'!$F$2:$F$7,MATCH(C254,'Balance Inputs'!$A$2:$A$7,0)),0)</x:f>
        <x:v>17139</x:v>
      </x:c>
      <x:c r="K254" s="38" t="n">
        <x:f>I254-J254</x:f>
        <x:v>97120</x:v>
      </x:c>
      <x:c r="L254" s="38" t="n">
        <x:f>ROUND(INDEX('Balance Inputs'!$M$2:$M$51,MATCH(A254,'Balance Inputs'!$I$2:$I$51,0))*POWER(INDEX('Balance Inputs'!$E$2:$E$7,MATCH(C254,'Balance Inputs'!$A$2:$A$7,0)),F254-1),0)</x:f>
        <x:v>134508</x:v>
      </x:c>
      <x:c r="M254" s="38" t="n">
        <x:f>ROUND(INDEX('Balance Inputs'!$N$2:$N$51,MATCH(A254,'Balance Inputs'!$I$2:$I$51,0))*POWER(INDEX('Balance Inputs'!$G$2:$G$7,MATCH(C254,'Balance Inputs'!$A$2:$A$7,0)),F254-1),0)</x:f>
        <x:v>5551</x:v>
      </x:c>
      <x:c r="N254" s="38" t="n">
        <x:f>IF(A254&lt;&gt;A253,H254,N253+H254)</x:f>
        <x:v>17902696</x:v>
      </x:c>
      <x:c r="O254" s="42" t="n">
        <x:f>IF(I254=0,0,H254/I254)</x:f>
        <x:v>62.08621640308422</x:v>
      </x:c>
      <x:c r="P254" s="43" t="n">
        <x:f>I254/INDEX('Balance Inputs'!$L$2:$L$51,MATCH(A254,'Balance Inputs'!$I$2:$I$51,0))</x:f>
        <x:v>6.611828019211851</x:v>
      </x:c>
      <x:c r="Q254" s="43" t="n">
        <x:f>L254/INDEX('Balance Inputs'!$M$2:$M$51,MATCH(A254,'Balance Inputs'!$I$2:$I$51,0))</x:f>
        <x:v>6.0534653465346535</x:v>
      </x:c>
      <x:c r="R254" s="17"/>
      <x:c r="S254" s="17"/>
      <x:c r="T254" s="17"/>
      <x:c r="U254" s="17"/>
      <x:c r="V254" s="17"/>
      <x:c r="W254" s="17"/>
      <x:c r="X254" s="17"/>
      <x:c r="Y254" s="17"/>
      <x:c r="Z254" s="17"/>
    </x:row>
    <x:row r="255">
      <x:c r="A255" s="17" t="n">
        <x:v>35</x:v>
      </x:c>
      <x:c r="B255" s="17" t="str">
        <x:v>Financial Data Center</x:v>
      </x:c>
      <x:c r="C255" s="17" t="str">
        <x:v>Established</x:v>
      </x:c>
      <x:c r="D255" s="17" t="str">
        <x:v>Epic</x:v>
      </x:c>
      <x:c r="E255" s="17" t="n">
        <x:v>35</x:v>
      </x:c>
      <x:c r="F255" s="17" t="n">
        <x:v>8</x:v>
      </x:c>
      <x:c r="G255" s="17" t="str">
        <x:v>Upgrade to Lv8</x:v>
      </x:c>
      <x:c r="H255" s="38" t="n">
        <x:f>ROUND(H254*INDEX('Balance Inputs'!$C$2:$C$7,MATCH(C255,'Balance Inputs'!$A$2:$A$7,0)),0)</x:f>
        <x:v>11492133</x:v>
      </x:c>
      <x:c r="I255" s="38" t="n">
        <x:f>ROUND(INDEX('Balance Inputs'!$L$2:$L$51,MATCH(A255,'Balance Inputs'!$I$2:$I$51,0))*POWER(INDEX('Balance Inputs'!$D$2:$D$7,MATCH(C255,'Balance Inputs'!$A$2:$A$7,0)),F255-1),0)</x:f>
        <x:v>156535</x:v>
      </x:c>
      <x:c r="J255" s="38" t="n">
        <x:f>ROUND(I255*INDEX('Balance Inputs'!$F$2:$F$7,MATCH(C255,'Balance Inputs'!$A$2:$A$7,0)),0)</x:f>
        <x:v>23480</x:v>
      </x:c>
      <x:c r="K255" s="38" t="n">
        <x:f>I255-J255</x:f>
        <x:v>133055</x:v>
      </x:c>
      <x:c r="L255" s="38" t="n">
        <x:f>ROUND(INDEX('Balance Inputs'!$M$2:$M$51,MATCH(A255,'Balance Inputs'!$I$2:$I$51,0))*POWER(INDEX('Balance Inputs'!$E$2:$E$7,MATCH(C255,'Balance Inputs'!$A$2:$A$7,0)),F255-1),0)</x:f>
        <x:v>181585</x:v>
      </x:c>
      <x:c r="M255" s="38" t="n">
        <x:f>ROUND(INDEX('Balance Inputs'!$N$2:$N$51,MATCH(A255,'Balance Inputs'!$I$2:$I$51,0))*POWER(INDEX('Balance Inputs'!$G$2:$G$7,MATCH(C255,'Balance Inputs'!$A$2:$A$7,0)),F255-1),0)</x:f>
        <x:v>6384</x:v>
      </x:c>
      <x:c r="N255" s="38" t="n">
        <x:f>IF(A255&lt;&gt;A254,H255,N254+H255)</x:f>
        <x:v>29394829</x:v>
      </x:c>
      <x:c r="O255" s="42" t="n">
        <x:f>IF(I255=0,0,H255/I255)</x:f>
        <x:v>73.41574088861915</x:v>
      </x:c>
      <x:c r="P255" s="43" t="n">
        <x:f>I255/INDEX('Balance Inputs'!$L$2:$L$51,MATCH(A255,'Balance Inputs'!$I$2:$I$51,0))</x:f>
        <x:v>9.058214223713906</x:v>
      </x:c>
      <x:c r="Q255" s="43" t="n">
        <x:f>L255/INDEX('Balance Inputs'!$M$2:$M$51,MATCH(A255,'Balance Inputs'!$I$2:$I$51,0))</x:f>
        <x:v>8.172142214221422</x:v>
      </x:c>
      <x:c r="R255" s="17"/>
      <x:c r="S255" s="17"/>
      <x:c r="T255" s="17"/>
      <x:c r="U255" s="17"/>
      <x:c r="V255" s="17"/>
      <x:c r="W255" s="17"/>
      <x:c r="X255" s="17"/>
      <x:c r="Y255" s="17"/>
      <x:c r="Z255" s="17"/>
    </x:row>
    <x:row r="256">
      <x:c r="A256" s="17" t="n">
        <x:v>35</x:v>
      </x:c>
      <x:c r="B256" s="17" t="str">
        <x:v>Financial Data Center</x:v>
      </x:c>
      <x:c r="C256" s="17" t="str">
        <x:v>Established</x:v>
      </x:c>
      <x:c r="D256" s="17" t="str">
        <x:v>Epic</x:v>
      </x:c>
      <x:c r="E256" s="17" t="n">
        <x:v>35</x:v>
      </x:c>
      <x:c r="F256" s="17" t="n">
        <x:v>9</x:v>
      </x:c>
      <x:c r="G256" s="17" t="str">
        <x:v>Upgrade to Lv9</x:v>
      </x:c>
      <x:c r="H256" s="38" t="n">
        <x:f>ROUND(H255*INDEX('Balance Inputs'!$C$2:$C$7,MATCH(C256,'Balance Inputs'!$A$2:$A$7,0)),0)</x:f>
        <x:v>18617255</x:v>
      </x:c>
      <x:c r="I256" s="38" t="n">
        <x:f>ROUND(INDEX('Balance Inputs'!$L$2:$L$51,MATCH(A256,'Balance Inputs'!$I$2:$I$51,0))*POWER(INDEX('Balance Inputs'!$D$2:$D$7,MATCH(C256,'Balance Inputs'!$A$2:$A$7,0)),F256-1),0)</x:f>
        <x:v>214454</x:v>
      </x:c>
      <x:c r="J256" s="38" t="n">
        <x:f>ROUND(I256*INDEX('Balance Inputs'!$F$2:$F$7,MATCH(C256,'Balance Inputs'!$A$2:$A$7,0)),0)</x:f>
        <x:v>32168</x:v>
      </x:c>
      <x:c r="K256" s="38" t="n">
        <x:f>I256-J256</x:f>
        <x:v>182286</x:v>
      </x:c>
      <x:c r="L256" s="38" t="n">
        <x:f>ROUND(INDEX('Balance Inputs'!$M$2:$M$51,MATCH(A256,'Balance Inputs'!$I$2:$I$51,0))*POWER(INDEX('Balance Inputs'!$E$2:$E$7,MATCH(C256,'Balance Inputs'!$A$2:$A$7,0)),F256-1),0)</x:f>
        <x:v>245140</x:v>
      </x:c>
      <x:c r="M256" s="38" t="n">
        <x:f>ROUND(INDEX('Balance Inputs'!$N$2:$N$51,MATCH(A256,'Balance Inputs'!$I$2:$I$51,0))*POWER(INDEX('Balance Inputs'!$G$2:$G$7,MATCH(C256,'Balance Inputs'!$A$2:$A$7,0)),F256-1),0)</x:f>
        <x:v>7342</x:v>
      </x:c>
      <x:c r="N256" s="38" t="n">
        <x:f>IF(A256&lt;&gt;A255,H256,N255+H256)</x:f>
        <x:v>48012084</x:v>
      </x:c>
      <x:c r="O256" s="42" t="n">
        <x:f>IF(I256=0,0,H256/I256)</x:f>
        <x:v>86.81234670372201</x:v>
      </x:c>
      <x:c r="P256" s="43" t="n">
        <x:f>I256/INDEX('Balance Inputs'!$L$2:$L$51,MATCH(A256,'Balance Inputs'!$I$2:$I$51,0))</x:f>
        <x:v>12.409814246860714</x:v>
      </x:c>
      <x:c r="Q256" s="43" t="n">
        <x:f>L256/INDEX('Balance Inputs'!$M$2:$M$51,MATCH(A256,'Balance Inputs'!$I$2:$I$51,0))</x:f>
        <x:v>11.032403240324033</x:v>
      </x:c>
      <x:c r="R256" s="17"/>
      <x:c r="S256" s="17"/>
      <x:c r="T256" s="17"/>
      <x:c r="U256" s="17"/>
      <x:c r="V256" s="17"/>
      <x:c r="W256" s="17"/>
      <x:c r="X256" s="17"/>
      <x:c r="Y256" s="17"/>
      <x:c r="Z256" s="17"/>
    </x:row>
    <x:row r="257">
      <x:c r="A257" s="17" t="n">
        <x:v>36</x:v>
      </x:c>
      <x:c r="B257" s="17" t="str">
        <x:v>Market Maker Office</x:v>
      </x:c>
      <x:c r="C257" s="17" t="str">
        <x:v>Established</x:v>
      </x:c>
      <x:c r="D257" s="17" t="str">
        <x:v>Epic</x:v>
      </x:c>
      <x:c r="E257" s="17" t="n">
        <x:v>36</x:v>
      </x:c>
      <x:c r="F257" s="17" t="n">
        <x:v>1</x:v>
      </x:c>
      <x:c r="G257" s="17" t="str">
        <x:v>Build</x:v>
      </x:c>
      <x:c r="H257" s="38" t="n">
        <x:f>INDEX('Balance Inputs'!$K$2:$K$51,MATCH(A257,'Balance Inputs'!$I$2:$I$51,0))</x:f>
        <x:v>484690</x:v>
      </x:c>
      <x:c r="I257" s="38" t="n">
        <x:f>ROUND(INDEX('Balance Inputs'!$L$2:$L$51,MATCH(A257,'Balance Inputs'!$I$2:$I$51,0))*POWER(INDEX('Balance Inputs'!$D$2:$D$7,MATCH(C257,'Balance Inputs'!$A$2:$A$7,0)),F257-1),0)</x:f>
        <x:v>29350</x:v>
      </x:c>
      <x:c r="J257" s="38" t="n">
        <x:f>ROUND(I257*INDEX('Balance Inputs'!$F$2:$F$7,MATCH(C257,'Balance Inputs'!$A$2:$A$7,0)),0)</x:f>
        <x:v>4403</x:v>
      </x:c>
      <x:c r="K257" s="38" t="n">
        <x:f>I257-J257</x:f>
        <x:v>24947</x:v>
      </x:c>
      <x:c r="L257" s="38" t="n">
        <x:f>ROUND(INDEX('Balance Inputs'!$M$2:$M$51,MATCH(A257,'Balance Inputs'!$I$2:$I$51,0))*POWER(INDEX('Balance Inputs'!$E$2:$E$7,MATCH(C257,'Balance Inputs'!$A$2:$A$7,0)),F257-1),0)</x:f>
        <x:v>26442</x:v>
      </x:c>
      <x:c r="M257" s="38" t="n">
        <x:f>ROUND(INDEX('Balance Inputs'!$N$2:$N$51,MATCH(A257,'Balance Inputs'!$I$2:$I$51,0))*POWER(INDEX('Balance Inputs'!$G$2:$G$7,MATCH(C257,'Balance Inputs'!$A$2:$A$7,0)),F257-1),0)</x:f>
        <x:v>3808</x:v>
      </x:c>
      <x:c r="N257" s="38" t="n">
        <x:f>IF(A257&lt;&gt;A256,H257,N256+H257)</x:f>
        <x:v>484690</x:v>
      </x:c>
      <x:c r="O257" s="42" t="n">
        <x:f>IF(I257=0,0,H257/I257)</x:f>
        <x:v>16.514139693356046</x:v>
      </x:c>
      <x:c r="P257" s="43" t="n">
        <x:f>I257/INDEX('Balance Inputs'!$L$2:$L$51,MATCH(A257,'Balance Inputs'!$I$2:$I$51,0))</x:f>
        <x:v>1</x:v>
      </x:c>
      <x:c r="Q257" s="43" t="n">
        <x:f>L257/INDEX('Balance Inputs'!$M$2:$M$51,MATCH(A257,'Balance Inputs'!$I$2:$I$51,0))</x:f>
        <x:v>1</x:v>
      </x:c>
      <x:c r="R257" s="17"/>
      <x:c r="S257" s="17"/>
      <x:c r="T257" s="17"/>
      <x:c r="U257" s="17"/>
      <x:c r="V257" s="17"/>
      <x:c r="W257" s="17"/>
      <x:c r="X257" s="17"/>
      <x:c r="Y257" s="17"/>
      <x:c r="Z257" s="17"/>
    </x:row>
    <x:row r="258">
      <x:c r="A258" s="17" t="n">
        <x:v>36</x:v>
      </x:c>
      <x:c r="B258" s="17" t="str">
        <x:v>Market Maker Office</x:v>
      </x:c>
      <x:c r="C258" s="17" t="str">
        <x:v>Established</x:v>
      </x:c>
      <x:c r="D258" s="17" t="str">
        <x:v>Epic</x:v>
      </x:c>
      <x:c r="E258" s="17" t="n">
        <x:v>36</x:v>
      </x:c>
      <x:c r="F258" s="17" t="n">
        <x:v>2</x:v>
      </x:c>
      <x:c r="G258" s="17" t="str">
        <x:v>Upgrade to Lv2</x:v>
      </x:c>
      <x:c r="H258" s="38" t="n">
        <x:f>ROUND(H257*INDEX('Balance Inputs'!$C$2:$C$7,MATCH(C258,'Balance Inputs'!$A$2:$A$7,0)),0)</x:f>
        <x:v>785198</x:v>
      </x:c>
      <x:c r="I258" s="38" t="n">
        <x:f>ROUND(INDEX('Balance Inputs'!$L$2:$L$51,MATCH(A258,'Balance Inputs'!$I$2:$I$51,0))*POWER(INDEX('Balance Inputs'!$D$2:$D$7,MATCH(C258,'Balance Inputs'!$A$2:$A$7,0)),F258-1),0)</x:f>
        <x:v>40210</x:v>
      </x:c>
      <x:c r="J258" s="38" t="n">
        <x:f>ROUND(I258*INDEX('Balance Inputs'!$F$2:$F$7,MATCH(C258,'Balance Inputs'!$A$2:$A$7,0)),0)</x:f>
        <x:v>6032</x:v>
      </x:c>
      <x:c r="K258" s="38" t="n">
        <x:f>I258-J258</x:f>
        <x:v>34178</x:v>
      </x:c>
      <x:c r="L258" s="38" t="n">
        <x:f>ROUND(INDEX('Balance Inputs'!$M$2:$M$51,MATCH(A258,'Balance Inputs'!$I$2:$I$51,0))*POWER(INDEX('Balance Inputs'!$E$2:$E$7,MATCH(C258,'Balance Inputs'!$A$2:$A$7,0)),F258-1),0)</x:f>
        <x:v>35697</x:v>
      </x:c>
      <x:c r="M258" s="38" t="n">
        <x:f>ROUND(INDEX('Balance Inputs'!$N$2:$N$51,MATCH(A258,'Balance Inputs'!$I$2:$I$51,0))*POWER(INDEX('Balance Inputs'!$G$2:$G$7,MATCH(C258,'Balance Inputs'!$A$2:$A$7,0)),F258-1),0)</x:f>
        <x:v>4379</x:v>
      </x:c>
      <x:c r="N258" s="38" t="n">
        <x:f>IF(A258&lt;&gt;A257,H258,N257+H258)</x:f>
        <x:v>1269888</x:v>
      </x:c>
      <x:c r="O258" s="42" t="n">
        <x:f>IF(I258=0,0,H258/I258)</x:f>
        <x:v>19.52743098731659</x:v>
      </x:c>
      <x:c r="P258" s="43" t="n">
        <x:f>I258/INDEX('Balance Inputs'!$L$2:$L$51,MATCH(A258,'Balance Inputs'!$I$2:$I$51,0))</x:f>
        <x:v>1.3700170357751278</x:v>
      </x:c>
      <x:c r="Q258" s="43" t="n">
        <x:f>L258/INDEX('Balance Inputs'!$M$2:$M$51,MATCH(A258,'Balance Inputs'!$I$2:$I$51,0))</x:f>
        <x:v>1.3500113455865668</x:v>
      </x:c>
      <x:c r="R258" s="17"/>
      <x:c r="S258" s="17"/>
      <x:c r="T258" s="17"/>
      <x:c r="U258" s="17"/>
      <x:c r="V258" s="17"/>
      <x:c r="W258" s="17"/>
      <x:c r="X258" s="17"/>
      <x:c r="Y258" s="17"/>
      <x:c r="Z258" s="17"/>
    </x:row>
    <x:row r="259">
      <x:c r="A259" s="17" t="n">
        <x:v>36</x:v>
      </x:c>
      <x:c r="B259" s="17" t="str">
        <x:v>Market Maker Office</x:v>
      </x:c>
      <x:c r="C259" s="17" t="str">
        <x:v>Established</x:v>
      </x:c>
      <x:c r="D259" s="17" t="str">
        <x:v>Epic</x:v>
      </x:c>
      <x:c r="E259" s="17" t="n">
        <x:v>36</x:v>
      </x:c>
      <x:c r="F259" s="17" t="n">
        <x:v>3</x:v>
      </x:c>
      <x:c r="G259" s="17" t="str">
        <x:v>Upgrade to Lv3</x:v>
      </x:c>
      <x:c r="H259" s="38" t="n">
        <x:f>ROUND(H258*INDEX('Balance Inputs'!$C$2:$C$7,MATCH(C259,'Balance Inputs'!$A$2:$A$7,0)),0)</x:f>
        <x:v>1272021</x:v>
      </x:c>
      <x:c r="I259" s="38" t="n">
        <x:f>ROUND(INDEX('Balance Inputs'!$L$2:$L$51,MATCH(A259,'Balance Inputs'!$I$2:$I$51,0))*POWER(INDEX('Balance Inputs'!$D$2:$D$7,MATCH(C259,'Balance Inputs'!$A$2:$A$7,0)),F259-1),0)</x:f>
        <x:v>55087</x:v>
      </x:c>
      <x:c r="J259" s="38" t="n">
        <x:f>ROUND(I259*INDEX('Balance Inputs'!$F$2:$F$7,MATCH(C259,'Balance Inputs'!$A$2:$A$7,0)),0)</x:f>
        <x:v>8263</x:v>
      </x:c>
      <x:c r="K259" s="38" t="n">
        <x:f>I259-J259</x:f>
        <x:v>46824</x:v>
      </x:c>
      <x:c r="L259" s="38" t="n">
        <x:f>ROUND(INDEX('Balance Inputs'!$M$2:$M$51,MATCH(A259,'Balance Inputs'!$I$2:$I$51,0))*POWER(INDEX('Balance Inputs'!$E$2:$E$7,MATCH(C259,'Balance Inputs'!$A$2:$A$7,0)),F259-1),0)</x:f>
        <x:v>48191</x:v>
      </x:c>
      <x:c r="M259" s="38" t="n">
        <x:f>ROUND(INDEX('Balance Inputs'!$N$2:$N$51,MATCH(A259,'Balance Inputs'!$I$2:$I$51,0))*POWER(INDEX('Balance Inputs'!$G$2:$G$7,MATCH(C259,'Balance Inputs'!$A$2:$A$7,0)),F259-1),0)</x:f>
        <x:v>5036</x:v>
      </x:c>
      <x:c r="N259" s="38" t="n">
        <x:f>IF(A259&lt;&gt;A258,H259,N258+H259)</x:f>
        <x:v>2541909</x:v>
      </x:c>
      <x:c r="O259" s="42" t="n">
        <x:f>IF(I259=0,0,H259/I259)</x:f>
        <x:v>23.09112857843048</x:v>
      </x:c>
      <x:c r="P259" s="43" t="n">
        <x:f>I259/INDEX('Balance Inputs'!$L$2:$L$51,MATCH(A259,'Balance Inputs'!$I$2:$I$51,0))</x:f>
        <x:v>1.876899488926746</x:v>
      </x:c>
      <x:c r="Q259" s="43" t="n">
        <x:f>L259/INDEX('Balance Inputs'!$M$2:$M$51,MATCH(A259,'Balance Inputs'!$I$2:$I$51,0))</x:f>
        <x:v>1.8225172074729596</x:v>
      </x:c>
      <x:c r="R259" s="17"/>
      <x:c r="S259" s="17"/>
      <x:c r="T259" s="17"/>
      <x:c r="U259" s="17"/>
      <x:c r="V259" s="17"/>
      <x:c r="W259" s="17"/>
      <x:c r="X259" s="17"/>
      <x:c r="Y259" s="17"/>
      <x:c r="Z259" s="17"/>
    </x:row>
    <x:row r="260">
      <x:c r="A260" s="17" t="n">
        <x:v>36</x:v>
      </x:c>
      <x:c r="B260" s="17" t="str">
        <x:v>Market Maker Office</x:v>
      </x:c>
      <x:c r="C260" s="17" t="str">
        <x:v>Established</x:v>
      </x:c>
      <x:c r="D260" s="17" t="str">
        <x:v>Epic</x:v>
      </x:c>
      <x:c r="E260" s="17" t="n">
        <x:v>36</x:v>
      </x:c>
      <x:c r="F260" s="17" t="n">
        <x:v>4</x:v>
      </x:c>
      <x:c r="G260" s="17" t="str">
        <x:v>Upgrade to Lv4</x:v>
      </x:c>
      <x:c r="H260" s="38" t="n">
        <x:f>ROUND(H259*INDEX('Balance Inputs'!$C$2:$C$7,MATCH(C260,'Balance Inputs'!$A$2:$A$7,0)),0)</x:f>
        <x:v>2060674</x:v>
      </x:c>
      <x:c r="I260" s="38" t="n">
        <x:f>ROUND(INDEX('Balance Inputs'!$L$2:$L$51,MATCH(A260,'Balance Inputs'!$I$2:$I$51,0))*POWER(INDEX('Balance Inputs'!$D$2:$D$7,MATCH(C260,'Balance Inputs'!$A$2:$A$7,0)),F260-1),0)</x:f>
        <x:v>75469</x:v>
      </x:c>
      <x:c r="J260" s="38" t="n">
        <x:f>ROUND(I260*INDEX('Balance Inputs'!$F$2:$F$7,MATCH(C260,'Balance Inputs'!$A$2:$A$7,0)),0)</x:f>
        <x:v>11320</x:v>
      </x:c>
      <x:c r="K260" s="38" t="n">
        <x:f>I260-J260</x:f>
        <x:v>64149</x:v>
      </x:c>
      <x:c r="L260" s="38" t="n">
        <x:f>ROUND(INDEX('Balance Inputs'!$M$2:$M$51,MATCH(A260,'Balance Inputs'!$I$2:$I$51,0))*POWER(INDEX('Balance Inputs'!$E$2:$E$7,MATCH(C260,'Balance Inputs'!$A$2:$A$7,0)),F260-1),0)</x:f>
        <x:v>65057</x:v>
      </x:c>
      <x:c r="M260" s="38" t="n">
        <x:f>ROUND(INDEX('Balance Inputs'!$N$2:$N$51,MATCH(A260,'Balance Inputs'!$I$2:$I$51,0))*POWER(INDEX('Balance Inputs'!$G$2:$G$7,MATCH(C260,'Balance Inputs'!$A$2:$A$7,0)),F260-1),0)</x:f>
        <x:v>5791</x:v>
      </x:c>
      <x:c r="N260" s="38" t="n">
        <x:f>IF(A260&lt;&gt;A259,H260,N259+H260)</x:f>
        <x:v>4602583</x:v>
      </x:c>
      <x:c r="O260" s="42" t="n">
        <x:f>IF(I260=0,0,H260/I260)</x:f>
        <x:v>27.304906650412754</x:v>
      </x:c>
      <x:c r="P260" s="43" t="n">
        <x:f>I260/INDEX('Balance Inputs'!$L$2:$L$51,MATCH(A260,'Balance Inputs'!$I$2:$I$51,0))</x:f>
        <x:v>2.5713458262350937</x:v>
      </x:c>
      <x:c r="Q260" s="43" t="n">
        <x:f>L260/INDEX('Balance Inputs'!$M$2:$M$51,MATCH(A260,'Balance Inputs'!$I$2:$I$51,0))</x:f>
        <x:v>2.46036608425989</x:v>
      </x:c>
      <x:c r="R260" s="17"/>
      <x:c r="S260" s="17"/>
      <x:c r="T260" s="17"/>
      <x:c r="U260" s="17"/>
      <x:c r="V260" s="17"/>
      <x:c r="W260" s="17"/>
      <x:c r="X260" s="17"/>
      <x:c r="Y260" s="17"/>
      <x:c r="Z260" s="17"/>
    </x:row>
    <x:row r="261">
      <x:c r="A261" s="17" t="n">
        <x:v>36</x:v>
      </x:c>
      <x:c r="B261" s="17" t="str">
        <x:v>Market Maker Office</x:v>
      </x:c>
      <x:c r="C261" s="17" t="str">
        <x:v>Established</x:v>
      </x:c>
      <x:c r="D261" s="17" t="str">
        <x:v>Epic</x:v>
      </x:c>
      <x:c r="E261" s="17" t="n">
        <x:v>36</x:v>
      </x:c>
      <x:c r="F261" s="17" t="n">
        <x:v>5</x:v>
      </x:c>
      <x:c r="G261" s="17" t="str">
        <x:v>Upgrade to Lv5</x:v>
      </x:c>
      <x:c r="H261" s="38" t="n">
        <x:f>ROUND(H260*INDEX('Balance Inputs'!$C$2:$C$7,MATCH(C261,'Balance Inputs'!$A$2:$A$7,0)),0)</x:f>
        <x:v>3338292</x:v>
      </x:c>
      <x:c r="I261" s="38" t="n">
        <x:f>ROUND(INDEX('Balance Inputs'!$L$2:$L$51,MATCH(A261,'Balance Inputs'!$I$2:$I$51,0))*POWER(INDEX('Balance Inputs'!$D$2:$D$7,MATCH(C261,'Balance Inputs'!$A$2:$A$7,0)),F261-1),0)</x:f>
        <x:v>103393</x:v>
      </x:c>
      <x:c r="J261" s="38" t="n">
        <x:f>ROUND(I261*INDEX('Balance Inputs'!$F$2:$F$7,MATCH(C261,'Balance Inputs'!$A$2:$A$7,0)),0)</x:f>
        <x:v>15509</x:v>
      </x:c>
      <x:c r="K261" s="38" t="n">
        <x:f>I261-J261</x:f>
        <x:v>87884</x:v>
      </x:c>
      <x:c r="L261" s="38" t="n">
        <x:f>ROUND(INDEX('Balance Inputs'!$M$2:$M$51,MATCH(A261,'Balance Inputs'!$I$2:$I$51,0))*POWER(INDEX('Balance Inputs'!$E$2:$E$7,MATCH(C261,'Balance Inputs'!$A$2:$A$7,0)),F261-1),0)</x:f>
        <x:v>87827</x:v>
      </x:c>
      <x:c r="M261" s="38" t="n">
        <x:f>ROUND(INDEX('Balance Inputs'!$N$2:$N$51,MATCH(A261,'Balance Inputs'!$I$2:$I$51,0))*POWER(INDEX('Balance Inputs'!$G$2:$G$7,MATCH(C261,'Balance Inputs'!$A$2:$A$7,0)),F261-1),0)</x:f>
        <x:v>6660</x:v>
      </x:c>
      <x:c r="N261" s="38" t="n">
        <x:f>IF(A261&lt;&gt;A260,H261,N260+H261)</x:f>
        <x:v>7940875</x:v>
      </x:c>
      <x:c r="O261" s="42" t="n">
        <x:f>IF(I261=0,0,H261/I261)</x:f>
        <x:v>32.28740823846876</x:v>
      </x:c>
      <x:c r="P261" s="43" t="n">
        <x:f>I261/INDEX('Balance Inputs'!$L$2:$L$51,MATCH(A261,'Balance Inputs'!$I$2:$I$51,0))</x:f>
        <x:v>3.5227597955706984</x:v>
      </x:c>
      <x:c r="Q261" s="43" t="n">
        <x:f>L261/INDEX('Balance Inputs'!$M$2:$M$51,MATCH(A261,'Balance Inputs'!$I$2:$I$51,0))</x:f>
        <x:v>3.3214961046819456</x:v>
      </x:c>
      <x:c r="R261" s="17"/>
      <x:c r="S261" s="17"/>
      <x:c r="T261" s="17"/>
      <x:c r="U261" s="17"/>
      <x:c r="V261" s="17"/>
      <x:c r="W261" s="17"/>
      <x:c r="X261" s="17"/>
      <x:c r="Y261" s="17"/>
      <x:c r="Z261" s="17"/>
    </x:row>
    <x:row r="262">
      <x:c r="A262" s="17" t="n">
        <x:v>36</x:v>
      </x:c>
      <x:c r="B262" s="17" t="str">
        <x:v>Market Maker Office</x:v>
      </x:c>
      <x:c r="C262" s="17" t="str">
        <x:v>Established</x:v>
      </x:c>
      <x:c r="D262" s="17" t="str">
        <x:v>Epic</x:v>
      </x:c>
      <x:c r="E262" s="17" t="n">
        <x:v>36</x:v>
      </x:c>
      <x:c r="F262" s="17" t="n">
        <x:v>6</x:v>
      </x:c>
      <x:c r="G262" s="17" t="str">
        <x:v>Upgrade to Lv6</x:v>
      </x:c>
      <x:c r="H262" s="38" t="n">
        <x:f>ROUND(H261*INDEX('Balance Inputs'!$C$2:$C$7,MATCH(C262,'Balance Inputs'!$A$2:$A$7,0)),0)</x:f>
        <x:v>5408033</x:v>
      </x:c>
      <x:c r="I262" s="38" t="n">
        <x:f>ROUND(INDEX('Balance Inputs'!$L$2:$L$51,MATCH(A262,'Balance Inputs'!$I$2:$I$51,0))*POWER(INDEX('Balance Inputs'!$D$2:$D$7,MATCH(C262,'Balance Inputs'!$A$2:$A$7,0)),F262-1),0)</x:f>
        <x:v>141648</x:v>
      </x:c>
      <x:c r="J262" s="38" t="n">
        <x:f>ROUND(I262*INDEX('Balance Inputs'!$F$2:$F$7,MATCH(C262,'Balance Inputs'!$A$2:$A$7,0)),0)</x:f>
        <x:v>21247</x:v>
      </x:c>
      <x:c r="K262" s="38" t="n">
        <x:f>I262-J262</x:f>
        <x:v>120401</x:v>
      </x:c>
      <x:c r="L262" s="38" t="n">
        <x:f>ROUND(INDEX('Balance Inputs'!$M$2:$M$51,MATCH(A262,'Balance Inputs'!$I$2:$I$51,0))*POWER(INDEX('Balance Inputs'!$E$2:$E$7,MATCH(C262,'Balance Inputs'!$A$2:$A$7,0)),F262-1),0)</x:f>
        <x:v>118567</x:v>
      </x:c>
      <x:c r="M262" s="38" t="n">
        <x:f>ROUND(INDEX('Balance Inputs'!$N$2:$N$51,MATCH(A262,'Balance Inputs'!$I$2:$I$51,0))*POWER(INDEX('Balance Inputs'!$G$2:$G$7,MATCH(C262,'Balance Inputs'!$A$2:$A$7,0)),F262-1),0)</x:f>
        <x:v>7659</x:v>
      </x:c>
      <x:c r="N262" s="38" t="n">
        <x:f>IF(A262&lt;&gt;A261,H262,N261+H262)</x:f>
        <x:v>13348908</x:v>
      </x:c>
      <x:c r="O262" s="42" t="n">
        <x:f>IF(I262=0,0,H262/I262)</x:f>
        <x:v>38.179381283180845</x:v>
      </x:c>
      <x:c r="P262" s="43" t="n">
        <x:f>I262/INDEX('Balance Inputs'!$L$2:$L$51,MATCH(A262,'Balance Inputs'!$I$2:$I$51,0))</x:f>
        <x:v>4.826166950596252</x:v>
      </x:c>
      <x:c r="Q262" s="43" t="n">
        <x:f>L262/INDEX('Balance Inputs'!$M$2:$M$51,MATCH(A262,'Balance Inputs'!$I$2:$I$51,0))</x:f>
        <x:v>4.484040541562665</x:v>
      </x:c>
      <x:c r="R262" s="17"/>
      <x:c r="S262" s="17"/>
      <x:c r="T262" s="17"/>
      <x:c r="U262" s="17"/>
      <x:c r="V262" s="17"/>
      <x:c r="W262" s="17"/>
      <x:c r="X262" s="17"/>
      <x:c r="Y262" s="17"/>
      <x:c r="Z262" s="17"/>
    </x:row>
    <x:row r="263">
      <x:c r="A263" s="17" t="n">
        <x:v>36</x:v>
      </x:c>
      <x:c r="B263" s="17" t="str">
        <x:v>Market Maker Office</x:v>
      </x:c>
      <x:c r="C263" s="17" t="str">
        <x:v>Established</x:v>
      </x:c>
      <x:c r="D263" s="17" t="str">
        <x:v>Epic</x:v>
      </x:c>
      <x:c r="E263" s="17" t="n">
        <x:v>36</x:v>
      </x:c>
      <x:c r="F263" s="17" t="n">
        <x:v>7</x:v>
      </x:c>
      <x:c r="G263" s="17" t="str">
        <x:v>Upgrade to Lv7</x:v>
      </x:c>
      <x:c r="H263" s="38" t="n">
        <x:f>ROUND(H262*INDEX('Balance Inputs'!$C$2:$C$7,MATCH(C263,'Balance Inputs'!$A$2:$A$7,0)),0)</x:f>
        <x:v>8761013</x:v>
      </x:c>
      <x:c r="I263" s="38" t="n">
        <x:f>ROUND(INDEX('Balance Inputs'!$L$2:$L$51,MATCH(A263,'Balance Inputs'!$I$2:$I$51,0))*POWER(INDEX('Balance Inputs'!$D$2:$D$7,MATCH(C263,'Balance Inputs'!$A$2:$A$7,0)),F263-1),0)</x:f>
        <x:v>194058</x:v>
      </x:c>
      <x:c r="J263" s="38" t="n">
        <x:f>ROUND(I263*INDEX('Balance Inputs'!$F$2:$F$7,MATCH(C263,'Balance Inputs'!$A$2:$A$7,0)),0)</x:f>
        <x:v>29109</x:v>
      </x:c>
      <x:c r="K263" s="38" t="n">
        <x:f>I263-J263</x:f>
        <x:v>164949</x:v>
      </x:c>
      <x:c r="L263" s="38" t="n">
        <x:f>ROUND(INDEX('Balance Inputs'!$M$2:$M$51,MATCH(A263,'Balance Inputs'!$I$2:$I$51,0))*POWER(INDEX('Balance Inputs'!$E$2:$E$7,MATCH(C263,'Balance Inputs'!$A$2:$A$7,0)),F263-1),0)</x:f>
        <x:v>160065</x:v>
      </x:c>
      <x:c r="M263" s="38" t="n">
        <x:f>ROUND(INDEX('Balance Inputs'!$N$2:$N$51,MATCH(A263,'Balance Inputs'!$I$2:$I$51,0))*POWER(INDEX('Balance Inputs'!$G$2:$G$7,MATCH(C263,'Balance Inputs'!$A$2:$A$7,0)),F263-1),0)</x:f>
        <x:v>8808</x:v>
      </x:c>
      <x:c r="N263" s="38" t="n">
        <x:f>IF(A263&lt;&gt;A262,H263,N262+H263)</x:f>
        <x:v>22109921</x:v>
      </x:c>
      <x:c r="O263" s="42" t="n">
        <x:f>IF(I263=0,0,H263/I263)</x:f>
        <x:v>45.1463634583475</x:v>
      </x:c>
      <x:c r="P263" s="43" t="n">
        <x:f>I263/INDEX('Balance Inputs'!$L$2:$L$51,MATCH(A263,'Balance Inputs'!$I$2:$I$51,0))</x:f>
        <x:v>6.611856899488926</x:v>
      </x:c>
      <x:c r="Q263" s="43" t="n">
        <x:f>L263/INDEX('Balance Inputs'!$M$2:$M$51,MATCH(A263,'Balance Inputs'!$I$2:$I$51,0))</x:f>
        <x:v>6.053437712729748</x:v>
      </x:c>
      <x:c r="R263" s="17"/>
      <x:c r="S263" s="17"/>
      <x:c r="T263" s="17"/>
      <x:c r="U263" s="17"/>
      <x:c r="V263" s="17"/>
      <x:c r="W263" s="17"/>
      <x:c r="X263" s="17"/>
      <x:c r="Y263" s="17"/>
      <x:c r="Z263" s="17"/>
    </x:row>
    <x:row r="264">
      <x:c r="A264" s="17" t="n">
        <x:v>36</x:v>
      </x:c>
      <x:c r="B264" s="17" t="str">
        <x:v>Market Maker Office</x:v>
      </x:c>
      <x:c r="C264" s="17" t="str">
        <x:v>Established</x:v>
      </x:c>
      <x:c r="D264" s="17" t="str">
        <x:v>Epic</x:v>
      </x:c>
      <x:c r="E264" s="17" t="n">
        <x:v>36</x:v>
      </x:c>
      <x:c r="F264" s="17" t="n">
        <x:v>8</x:v>
      </x:c>
      <x:c r="G264" s="17" t="str">
        <x:v>Upgrade to Lv8</x:v>
      </x:c>
      <x:c r="H264" s="38" t="n">
        <x:f>ROUND(H263*INDEX('Balance Inputs'!$C$2:$C$7,MATCH(C264,'Balance Inputs'!$A$2:$A$7,0)),0)</x:f>
        <x:v>14192841</x:v>
      </x:c>
      <x:c r="I264" s="38" t="n">
        <x:f>ROUND(INDEX('Balance Inputs'!$L$2:$L$51,MATCH(A264,'Balance Inputs'!$I$2:$I$51,0))*POWER(INDEX('Balance Inputs'!$D$2:$D$7,MATCH(C264,'Balance Inputs'!$A$2:$A$7,0)),F264-1),0)</x:f>
        <x:v>265859</x:v>
      </x:c>
      <x:c r="J264" s="38" t="n">
        <x:f>ROUND(I264*INDEX('Balance Inputs'!$F$2:$F$7,MATCH(C264,'Balance Inputs'!$A$2:$A$7,0)),0)</x:f>
        <x:v>39879</x:v>
      </x:c>
      <x:c r="K264" s="38" t="n">
        <x:f>I264-J264</x:f>
        <x:v>225980</x:v>
      </x:c>
      <x:c r="L264" s="38" t="n">
        <x:f>ROUND(INDEX('Balance Inputs'!$M$2:$M$51,MATCH(A264,'Balance Inputs'!$I$2:$I$51,0))*POWER(INDEX('Balance Inputs'!$E$2:$E$7,MATCH(C264,'Balance Inputs'!$A$2:$A$7,0)),F264-1),0)</x:f>
        <x:v>216088</x:v>
      </x:c>
      <x:c r="M264" s="38" t="n">
        <x:f>ROUND(INDEX('Balance Inputs'!$N$2:$N$51,MATCH(A264,'Balance Inputs'!$I$2:$I$51,0))*POWER(INDEX('Balance Inputs'!$G$2:$G$7,MATCH(C264,'Balance Inputs'!$A$2:$A$7,0)),F264-1),0)</x:f>
        <x:v>10129</x:v>
      </x:c>
      <x:c r="N264" s="38" t="n">
        <x:f>IF(A264&lt;&gt;A263,H264,N263+H264)</x:f>
        <x:v>36302762</x:v>
      </x:c>
      <x:c r="O264" s="42" t="n">
        <x:f>IF(I264=0,0,H264/I264)</x:f>
        <x:v>53.3848430935195</x:v>
      </x:c>
      <x:c r="P264" s="43" t="n">
        <x:f>I264/INDEX('Balance Inputs'!$L$2:$L$51,MATCH(A264,'Balance Inputs'!$I$2:$I$51,0))</x:f>
        <x:v>9.058228279386713</x:v>
      </x:c>
      <x:c r="Q264" s="43" t="n">
        <x:f>L264/INDEX('Balance Inputs'!$M$2:$M$51,MATCH(A264,'Balance Inputs'!$I$2:$I$51,0))</x:f>
        <x:v>8.172150366840633</x:v>
      </x:c>
      <x:c r="R264" s="17"/>
      <x:c r="S264" s="17"/>
      <x:c r="T264" s="17"/>
      <x:c r="U264" s="17"/>
      <x:c r="V264" s="17"/>
      <x:c r="W264" s="17"/>
      <x:c r="X264" s="17"/>
      <x:c r="Y264" s="17"/>
      <x:c r="Z264" s="17"/>
    </x:row>
    <x:row r="265">
      <x:c r="A265" s="17" t="n">
        <x:v>36</x:v>
      </x:c>
      <x:c r="B265" s="17" t="str">
        <x:v>Market Maker Office</x:v>
      </x:c>
      <x:c r="C265" s="17" t="str">
        <x:v>Established</x:v>
      </x:c>
      <x:c r="D265" s="17" t="str">
        <x:v>Epic</x:v>
      </x:c>
      <x:c r="E265" s="17" t="n">
        <x:v>36</x:v>
      </x:c>
      <x:c r="F265" s="17" t="n">
        <x:v>9</x:v>
      </x:c>
      <x:c r="G265" s="17" t="str">
        <x:v>Upgrade to Lv9</x:v>
      </x:c>
      <x:c r="H265" s="38" t="n">
        <x:f>ROUND(H264*INDEX('Balance Inputs'!$C$2:$C$7,MATCH(C265,'Balance Inputs'!$A$2:$A$7,0)),0)</x:f>
        <x:v>22992402</x:v>
      </x:c>
      <x:c r="I265" s="38" t="n">
        <x:f>ROUND(INDEX('Balance Inputs'!$L$2:$L$51,MATCH(A265,'Balance Inputs'!$I$2:$I$51,0))*POWER(INDEX('Balance Inputs'!$D$2:$D$7,MATCH(C265,'Balance Inputs'!$A$2:$A$7,0)),F265-1),0)</x:f>
        <x:v>364227</x:v>
      </x:c>
      <x:c r="J265" s="38" t="n">
        <x:f>ROUND(I265*INDEX('Balance Inputs'!$F$2:$F$7,MATCH(C265,'Balance Inputs'!$A$2:$A$7,0)),0)</x:f>
        <x:v>54634</x:v>
      </x:c>
      <x:c r="K265" s="38" t="n">
        <x:f>I265-J265</x:f>
        <x:v>309593</x:v>
      </x:c>
      <x:c r="L265" s="38" t="n">
        <x:f>ROUND(INDEX('Balance Inputs'!$M$2:$M$51,MATCH(A265,'Balance Inputs'!$I$2:$I$51,0))*POWER(INDEX('Balance Inputs'!$E$2:$E$7,MATCH(C265,'Balance Inputs'!$A$2:$A$7,0)),F265-1),0)</x:f>
        <x:v>291719</x:v>
      </x:c>
      <x:c r="M265" s="38" t="n">
        <x:f>ROUND(INDEX('Balance Inputs'!$N$2:$N$51,MATCH(A265,'Balance Inputs'!$I$2:$I$51,0))*POWER(INDEX('Balance Inputs'!$G$2:$G$7,MATCH(C265,'Balance Inputs'!$A$2:$A$7,0)),F265-1),0)</x:f>
        <x:v>11649</x:v>
      </x:c>
      <x:c r="N265" s="38" t="n">
        <x:f>IF(A265&lt;&gt;A264,H265,N264+H265)</x:f>
        <x:v>59295164</x:v>
      </x:c>
      <x:c r="O265" s="42" t="n">
        <x:f>IF(I265=0,0,H265/I265)</x:f>
        <x:v>63.12657216516074</x:v>
      </x:c>
      <x:c r="P265" s="43" t="n">
        <x:f>I265/INDEX('Balance Inputs'!$L$2:$L$51,MATCH(A265,'Balance Inputs'!$I$2:$I$51,0))</x:f>
        <x:v>12.409778534923339</x:v>
      </x:c>
      <x:c r="Q265" s="43" t="n">
        <x:f>L265/INDEX('Balance Inputs'!$M$2:$M$51,MATCH(A265,'Balance Inputs'!$I$2:$I$51,0))</x:f>
        <x:v>11.032410558959231</x:v>
      </x:c>
      <x:c r="R265" s="17"/>
      <x:c r="S265" s="17"/>
      <x:c r="T265" s="17"/>
      <x:c r="U265" s="17"/>
      <x:c r="V265" s="17"/>
      <x:c r="W265" s="17"/>
      <x:c r="X265" s="17"/>
      <x:c r="Y265" s="17"/>
      <x:c r="Z265" s="17"/>
    </x:row>
    <x:row r="266">
      <x:c r="A266" s="17" t="n">
        <x:v>37</x:v>
      </x:c>
      <x:c r="B266" s="17" t="str">
        <x:v>Private Banking Center</x:v>
      </x:c>
      <x:c r="C266" s="17" t="str">
        <x:v>Established</x:v>
      </x:c>
      <x:c r="D266" s="17" t="str">
        <x:v>Epic</x:v>
      </x:c>
      <x:c r="E266" s="17" t="n">
        <x:v>37</x:v>
      </x:c>
      <x:c r="F266" s="17" t="n">
        <x:v>1</x:v>
      </x:c>
      <x:c r="G266" s="17" t="str">
        <x:v>Build</x:v>
      </x:c>
      <x:c r="H266" s="38" t="n">
        <x:f>INDEX('Balance Inputs'!$K$2:$K$51,MATCH(A266,'Balance Inputs'!$I$2:$I$51,0))</x:f>
        <x:v>598590</x:v>
      </x:c>
      <x:c r="I266" s="38" t="n">
        <x:f>ROUND(INDEX('Balance Inputs'!$L$2:$L$51,MATCH(A266,'Balance Inputs'!$I$2:$I$51,0))*POWER(INDEX('Balance Inputs'!$D$2:$D$7,MATCH(C266,'Balance Inputs'!$A$2:$A$7,0)),F266-1),0)</x:f>
        <x:v>34373</x:v>
      </x:c>
      <x:c r="J266" s="38" t="n">
        <x:f>ROUND(I266*INDEX('Balance Inputs'!$F$2:$F$7,MATCH(C266,'Balance Inputs'!$A$2:$A$7,0)),0)</x:f>
        <x:v>5156</x:v>
      </x:c>
      <x:c r="K266" s="38" t="n">
        <x:f>I266-J266</x:f>
        <x:v>29217</x:v>
      </x:c>
      <x:c r="L266" s="38" t="n">
        <x:f>ROUND(INDEX('Balance Inputs'!$M$2:$M$51,MATCH(A266,'Balance Inputs'!$I$2:$I$51,0))*POWER(INDEX('Balance Inputs'!$E$2:$E$7,MATCH(C266,'Balance Inputs'!$A$2:$A$7,0)),F266-1),0)</x:f>
        <x:v>31466</x:v>
      </x:c>
      <x:c r="M266" s="38" t="n">
        <x:f>ROUND(INDEX('Balance Inputs'!$N$2:$N$51,MATCH(A266,'Balance Inputs'!$I$2:$I$51,0))*POWER(INDEX('Balance Inputs'!$G$2:$G$7,MATCH(C266,'Balance Inputs'!$A$2:$A$7,0)),F266-1),0)</x:f>
        <x:v>3398</x:v>
      </x:c>
      <x:c r="N266" s="38" t="n">
        <x:f>IF(A266&lt;&gt;A265,H266,N265+H266)</x:f>
        <x:v>598590</x:v>
      </x:c>
      <x:c r="O266" s="42" t="n">
        <x:f>IF(I266=0,0,H266/I266)</x:f>
        <x:v>17.41454048235534</x:v>
      </x:c>
      <x:c r="P266" s="43" t="n">
        <x:f>I266/INDEX('Balance Inputs'!$L$2:$L$51,MATCH(A266,'Balance Inputs'!$I$2:$I$51,0))</x:f>
        <x:v>1</x:v>
      </x:c>
      <x:c r="Q266" s="43" t="n">
        <x:f>L266/INDEX('Balance Inputs'!$M$2:$M$51,MATCH(A266,'Balance Inputs'!$I$2:$I$51,0))</x:f>
        <x:v>1</x:v>
      </x:c>
      <x:c r="R266" s="17"/>
      <x:c r="S266" s="17"/>
      <x:c r="T266" s="17"/>
      <x:c r="U266" s="17"/>
      <x:c r="V266" s="17"/>
      <x:c r="W266" s="17"/>
      <x:c r="X266" s="17"/>
      <x:c r="Y266" s="17"/>
      <x:c r="Z266" s="17"/>
    </x:row>
    <x:row r="267">
      <x:c r="A267" s="17" t="n">
        <x:v>37</x:v>
      </x:c>
      <x:c r="B267" s="17" t="str">
        <x:v>Private Banking Center</x:v>
      </x:c>
      <x:c r="C267" s="17" t="str">
        <x:v>Established</x:v>
      </x:c>
      <x:c r="D267" s="17" t="str">
        <x:v>Epic</x:v>
      </x:c>
      <x:c r="E267" s="17" t="n">
        <x:v>37</x:v>
      </x:c>
      <x:c r="F267" s="17" t="n">
        <x:v>2</x:v>
      </x:c>
      <x:c r="G267" s="17" t="str">
        <x:v>Upgrade to Lv2</x:v>
      </x:c>
      <x:c r="H267" s="38" t="n">
        <x:f>ROUND(H266*INDEX('Balance Inputs'!$C$2:$C$7,MATCH(C267,'Balance Inputs'!$A$2:$A$7,0)),0)</x:f>
        <x:v>969716</x:v>
      </x:c>
      <x:c r="I267" s="38" t="n">
        <x:f>ROUND(INDEX('Balance Inputs'!$L$2:$L$51,MATCH(A267,'Balance Inputs'!$I$2:$I$51,0))*POWER(INDEX('Balance Inputs'!$D$2:$D$7,MATCH(C267,'Balance Inputs'!$A$2:$A$7,0)),F267-1),0)</x:f>
        <x:v>47091</x:v>
      </x:c>
      <x:c r="J267" s="38" t="n">
        <x:f>ROUND(I267*INDEX('Balance Inputs'!$F$2:$F$7,MATCH(C267,'Balance Inputs'!$A$2:$A$7,0)),0)</x:f>
        <x:v>7064</x:v>
      </x:c>
      <x:c r="K267" s="38" t="n">
        <x:f>I267-J267</x:f>
        <x:v>40027</x:v>
      </x:c>
      <x:c r="L267" s="38" t="n">
        <x:f>ROUND(INDEX('Balance Inputs'!$M$2:$M$51,MATCH(A267,'Balance Inputs'!$I$2:$I$51,0))*POWER(INDEX('Balance Inputs'!$E$2:$E$7,MATCH(C267,'Balance Inputs'!$A$2:$A$7,0)),F267-1),0)</x:f>
        <x:v>42479</x:v>
      </x:c>
      <x:c r="M267" s="38" t="n">
        <x:f>ROUND(INDEX('Balance Inputs'!$N$2:$N$51,MATCH(A267,'Balance Inputs'!$I$2:$I$51,0))*POWER(INDEX('Balance Inputs'!$G$2:$G$7,MATCH(C267,'Balance Inputs'!$A$2:$A$7,0)),F267-1),0)</x:f>
        <x:v>3908</x:v>
      </x:c>
      <x:c r="N267" s="38" t="n">
        <x:f>IF(A267&lt;&gt;A266,H267,N266+H267)</x:f>
        <x:v>1568306</x:v>
      </x:c>
      <x:c r="O267" s="42" t="n">
        <x:f>IF(I267=0,0,H267/I267)</x:f>
        <x:v>20.592384956785796</x:v>
      </x:c>
      <x:c r="P267" s="43" t="n">
        <x:f>I267/INDEX('Balance Inputs'!$L$2:$L$51,MATCH(A267,'Balance Inputs'!$I$2:$I$51,0))</x:f>
        <x:v>1.3699997090739824</x:v>
      </x:c>
      <x:c r="Q267" s="43" t="n">
        <x:f>L267/INDEX('Balance Inputs'!$M$2:$M$51,MATCH(A267,'Balance Inputs'!$I$2:$I$51,0))</x:f>
        <x:v>1.349996821966567</x:v>
      </x:c>
      <x:c r="R267" s="17"/>
      <x:c r="S267" s="17"/>
      <x:c r="T267" s="17"/>
      <x:c r="U267" s="17"/>
      <x:c r="V267" s="17"/>
      <x:c r="W267" s="17"/>
      <x:c r="X267" s="17"/>
      <x:c r="Y267" s="17"/>
      <x:c r="Z267" s="17"/>
    </x:row>
    <x:row r="268">
      <x:c r="A268" s="17" t="n">
        <x:v>37</x:v>
      </x:c>
      <x:c r="B268" s="17" t="str">
        <x:v>Private Banking Center</x:v>
      </x:c>
      <x:c r="C268" s="17" t="str">
        <x:v>Established</x:v>
      </x:c>
      <x:c r="D268" s="17" t="str">
        <x:v>Epic</x:v>
      </x:c>
      <x:c r="E268" s="17" t="n">
        <x:v>37</x:v>
      </x:c>
      <x:c r="F268" s="17" t="n">
        <x:v>3</x:v>
      </x:c>
      <x:c r="G268" s="17" t="str">
        <x:v>Upgrade to Lv3</x:v>
      </x:c>
      <x:c r="H268" s="38" t="n">
        <x:f>ROUND(H267*INDEX('Balance Inputs'!$C$2:$C$7,MATCH(C268,'Balance Inputs'!$A$2:$A$7,0)),0)</x:f>
        <x:v>1570940</x:v>
      </x:c>
      <x:c r="I268" s="38" t="n">
        <x:f>ROUND(INDEX('Balance Inputs'!$L$2:$L$51,MATCH(A268,'Balance Inputs'!$I$2:$I$51,0))*POWER(INDEX('Balance Inputs'!$D$2:$D$7,MATCH(C268,'Balance Inputs'!$A$2:$A$7,0)),F268-1),0)</x:f>
        <x:v>64515</x:v>
      </x:c>
      <x:c r="J268" s="38" t="n">
        <x:f>ROUND(I268*INDEX('Balance Inputs'!$F$2:$F$7,MATCH(C268,'Balance Inputs'!$A$2:$A$7,0)),0)</x:f>
        <x:v>9677</x:v>
      </x:c>
      <x:c r="K268" s="38" t="n">
        <x:f>I268-J268</x:f>
        <x:v>54838</x:v>
      </x:c>
      <x:c r="L268" s="38" t="n">
        <x:f>ROUND(INDEX('Balance Inputs'!$M$2:$M$51,MATCH(A268,'Balance Inputs'!$I$2:$I$51,0))*POWER(INDEX('Balance Inputs'!$E$2:$E$7,MATCH(C268,'Balance Inputs'!$A$2:$A$7,0)),F268-1),0)</x:f>
        <x:v>57347</x:v>
      </x:c>
      <x:c r="M268" s="38" t="n">
        <x:f>ROUND(INDEX('Balance Inputs'!$N$2:$N$51,MATCH(A268,'Balance Inputs'!$I$2:$I$51,0))*POWER(INDEX('Balance Inputs'!$G$2:$G$7,MATCH(C268,'Balance Inputs'!$A$2:$A$7,0)),F268-1),0)</x:f>
        <x:v>4494</x:v>
      </x:c>
      <x:c r="N268" s="38" t="n">
        <x:f>IF(A268&lt;&gt;A267,H268,N267+H268)</x:f>
        <x:v>3139246</x:v>
      </x:c>
      <x:c r="O268" s="42" t="n">
        <x:f>IF(I268=0,0,H268/I268)</x:f>
        <x:v>24.349996124932186</x:v>
      </x:c>
      <x:c r="P268" s="43" t="n">
        <x:f>I268/INDEX('Balance Inputs'!$L$2:$L$51,MATCH(A268,'Balance Inputs'!$I$2:$I$51,0))</x:f>
        <x:v>1.876909201989934</x:v>
      </x:c>
      <x:c r="Q268" s="43" t="n">
        <x:f>L268/INDEX('Balance Inputs'!$M$2:$M$51,MATCH(A268,'Balance Inputs'!$I$2:$I$51,0))</x:f>
        <x:v>1.8225068327718807</x:v>
      </x:c>
      <x:c r="R268" s="17"/>
      <x:c r="S268" s="17"/>
      <x:c r="T268" s="17"/>
      <x:c r="U268" s="17"/>
      <x:c r="V268" s="17"/>
      <x:c r="W268" s="17"/>
      <x:c r="X268" s="17"/>
      <x:c r="Y268" s="17"/>
      <x:c r="Z268" s="17"/>
    </x:row>
    <x:row r="269">
      <x:c r="A269" s="17" t="n">
        <x:v>37</x:v>
      </x:c>
      <x:c r="B269" s="17" t="str">
        <x:v>Private Banking Center</x:v>
      </x:c>
      <x:c r="C269" s="17" t="str">
        <x:v>Established</x:v>
      </x:c>
      <x:c r="D269" s="17" t="str">
        <x:v>Epic</x:v>
      </x:c>
      <x:c r="E269" s="17" t="n">
        <x:v>37</x:v>
      </x:c>
      <x:c r="F269" s="17" t="n">
        <x:v>4</x:v>
      </x:c>
      <x:c r="G269" s="17" t="str">
        <x:v>Upgrade to Lv4</x:v>
      </x:c>
      <x:c r="H269" s="38" t="n">
        <x:f>ROUND(H268*INDEX('Balance Inputs'!$C$2:$C$7,MATCH(C269,'Balance Inputs'!$A$2:$A$7,0)),0)</x:f>
        <x:v>2544923</x:v>
      </x:c>
      <x:c r="I269" s="38" t="n">
        <x:f>ROUND(INDEX('Balance Inputs'!$L$2:$L$51,MATCH(A269,'Balance Inputs'!$I$2:$I$51,0))*POWER(INDEX('Balance Inputs'!$D$2:$D$7,MATCH(C269,'Balance Inputs'!$A$2:$A$7,0)),F269-1),0)</x:f>
        <x:v>88385</x:v>
      </x:c>
      <x:c r="J269" s="38" t="n">
        <x:f>ROUND(I269*INDEX('Balance Inputs'!$F$2:$F$7,MATCH(C269,'Balance Inputs'!$A$2:$A$7,0)),0)</x:f>
        <x:v>13258</x:v>
      </x:c>
      <x:c r="K269" s="38" t="n">
        <x:f>I269-J269</x:f>
        <x:v>75127</x:v>
      </x:c>
      <x:c r="L269" s="38" t="n">
        <x:f>ROUND(INDEX('Balance Inputs'!$M$2:$M$51,MATCH(A269,'Balance Inputs'!$I$2:$I$51,0))*POWER(INDEX('Balance Inputs'!$E$2:$E$7,MATCH(C269,'Balance Inputs'!$A$2:$A$7,0)),F269-1),0)</x:f>
        <x:v>77418</x:v>
      </x:c>
      <x:c r="M269" s="38" t="n">
        <x:f>ROUND(INDEX('Balance Inputs'!$N$2:$N$51,MATCH(A269,'Balance Inputs'!$I$2:$I$51,0))*POWER(INDEX('Balance Inputs'!$G$2:$G$7,MATCH(C269,'Balance Inputs'!$A$2:$A$7,0)),F269-1),0)</x:f>
        <x:v>5168</x:v>
      </x:c>
      <x:c r="N269" s="38" t="n">
        <x:f>IF(A269&lt;&gt;A268,H269,N268+H269)</x:f>
        <x:v>5684169</x:v>
      </x:c>
      <x:c r="O269" s="42" t="n">
        <x:f>IF(I269=0,0,H269/I269)</x:f>
        <x:v>28.793607512586977</x:v>
      </x:c>
      <x:c r="P269" s="43" t="n">
        <x:f>I269/INDEX('Balance Inputs'!$L$2:$L$51,MATCH(A269,'Balance Inputs'!$I$2:$I$51,0))</x:f>
        <x:v>2.571349605795246</x:v>
      </x:c>
      <x:c r="Q269" s="43" t="n">
        <x:f>L269/INDEX('Balance Inputs'!$M$2:$M$51,MATCH(A269,'Balance Inputs'!$I$2:$I$51,0))</x:f>
        <x:v>2.4603699230915907</x:v>
      </x:c>
      <x:c r="R269" s="17"/>
      <x:c r="S269" s="17"/>
      <x:c r="T269" s="17"/>
      <x:c r="U269" s="17"/>
      <x:c r="V269" s="17"/>
      <x:c r="W269" s="17"/>
      <x:c r="X269" s="17"/>
      <x:c r="Y269" s="17"/>
      <x:c r="Z269" s="17"/>
    </x:row>
    <x:row r="270">
      <x:c r="A270" s="17" t="n">
        <x:v>37</x:v>
      </x:c>
      <x:c r="B270" s="17" t="str">
        <x:v>Private Banking Center</x:v>
      </x:c>
      <x:c r="C270" s="17" t="str">
        <x:v>Established</x:v>
      </x:c>
      <x:c r="D270" s="17" t="str">
        <x:v>Epic</x:v>
      </x:c>
      <x:c r="E270" s="17" t="n">
        <x:v>37</x:v>
      </x:c>
      <x:c r="F270" s="17" t="n">
        <x:v>5</x:v>
      </x:c>
      <x:c r="G270" s="17" t="str">
        <x:v>Upgrade to Lv5</x:v>
      </x:c>
      <x:c r="H270" s="38" t="n">
        <x:f>ROUND(H269*INDEX('Balance Inputs'!$C$2:$C$7,MATCH(C270,'Balance Inputs'!$A$2:$A$7,0)),0)</x:f>
        <x:v>4122775</x:v>
      </x:c>
      <x:c r="I270" s="38" t="n">
        <x:f>ROUND(INDEX('Balance Inputs'!$L$2:$L$51,MATCH(A270,'Balance Inputs'!$I$2:$I$51,0))*POWER(INDEX('Balance Inputs'!$D$2:$D$7,MATCH(C270,'Balance Inputs'!$A$2:$A$7,0)),F270-1),0)</x:f>
        <x:v>121088</x:v>
      </x:c>
      <x:c r="J270" s="38" t="n">
        <x:f>ROUND(I270*INDEX('Balance Inputs'!$F$2:$F$7,MATCH(C270,'Balance Inputs'!$A$2:$A$7,0)),0)</x:f>
        <x:v>18163</x:v>
      </x:c>
      <x:c r="K270" s="38" t="n">
        <x:f>I270-J270</x:f>
        <x:v>102925</x:v>
      </x:c>
      <x:c r="L270" s="38" t="n">
        <x:f>ROUND(INDEX('Balance Inputs'!$M$2:$M$51,MATCH(A270,'Balance Inputs'!$I$2:$I$51,0))*POWER(INDEX('Balance Inputs'!$E$2:$E$7,MATCH(C270,'Balance Inputs'!$A$2:$A$7,0)),F270-1),0)</x:f>
        <x:v>104515</x:v>
      </x:c>
      <x:c r="M270" s="38" t="n">
        <x:f>ROUND(INDEX('Balance Inputs'!$N$2:$N$51,MATCH(A270,'Balance Inputs'!$I$2:$I$51,0))*POWER(INDEX('Balance Inputs'!$G$2:$G$7,MATCH(C270,'Balance Inputs'!$A$2:$A$7,0)),F270-1),0)</x:f>
        <x:v>5943</x:v>
      </x:c>
      <x:c r="N270" s="38" t="n">
        <x:f>IF(A270&lt;&gt;A269,H270,N269+H270)</x:f>
        <x:v>9806944</x:v>
      </x:c>
      <x:c r="O270" s="42" t="n">
        <x:f>IF(I270=0,0,H270/I270)</x:f>
        <x:v>34.04775865486258</x:v>
      </x:c>
      <x:c r="P270" s="43" t="n">
        <x:f>I270/INDEX('Balance Inputs'!$L$2:$L$51,MATCH(A270,'Balance Inputs'!$I$2:$I$51,0))</x:f>
        <x:v>3.5227649608704508</x:v>
      </x:c>
      <x:c r="Q270" s="43" t="n">
        <x:f>L270/INDEX('Balance Inputs'!$M$2:$M$51,MATCH(A270,'Balance Inputs'!$I$2:$I$51,0))</x:f>
        <x:v>3.3215216424076783</x:v>
      </x:c>
      <x:c r="R270" s="17"/>
      <x:c r="S270" s="17"/>
      <x:c r="T270" s="17"/>
      <x:c r="U270" s="17"/>
      <x:c r="V270" s="17"/>
      <x:c r="W270" s="17"/>
      <x:c r="X270" s="17"/>
      <x:c r="Y270" s="17"/>
      <x:c r="Z270" s="17"/>
    </x:row>
    <x:row r="271">
      <x:c r="A271" s="17" t="n">
        <x:v>37</x:v>
      </x:c>
      <x:c r="B271" s="17" t="str">
        <x:v>Private Banking Center</x:v>
      </x:c>
      <x:c r="C271" s="17" t="str">
        <x:v>Established</x:v>
      </x:c>
      <x:c r="D271" s="17" t="str">
        <x:v>Epic</x:v>
      </x:c>
      <x:c r="E271" s="17" t="n">
        <x:v>37</x:v>
      </x:c>
      <x:c r="F271" s="17" t="n">
        <x:v>6</x:v>
      </x:c>
      <x:c r="G271" s="17" t="str">
        <x:v>Upgrade to Lv6</x:v>
      </x:c>
      <x:c r="H271" s="38" t="n">
        <x:f>ROUND(H270*INDEX('Balance Inputs'!$C$2:$C$7,MATCH(C271,'Balance Inputs'!$A$2:$A$7,0)),0)</x:f>
        <x:v>6678896</x:v>
      </x:c>
      <x:c r="I271" s="38" t="n">
        <x:f>ROUND(INDEX('Balance Inputs'!$L$2:$L$51,MATCH(A271,'Balance Inputs'!$I$2:$I$51,0))*POWER(INDEX('Balance Inputs'!$D$2:$D$7,MATCH(C271,'Balance Inputs'!$A$2:$A$7,0)),F271-1),0)</x:f>
        <x:v>165890</x:v>
      </x:c>
      <x:c r="J271" s="38" t="n">
        <x:f>ROUND(I271*INDEX('Balance Inputs'!$F$2:$F$7,MATCH(C271,'Balance Inputs'!$A$2:$A$7,0)),0)</x:f>
        <x:v>24884</x:v>
      </x:c>
      <x:c r="K271" s="38" t="n">
        <x:f>I271-J271</x:f>
        <x:v>141006</x:v>
      </x:c>
      <x:c r="L271" s="38" t="n">
        <x:f>ROUND(INDEX('Balance Inputs'!$M$2:$M$51,MATCH(A271,'Balance Inputs'!$I$2:$I$51,0))*POWER(INDEX('Balance Inputs'!$E$2:$E$7,MATCH(C271,'Balance Inputs'!$A$2:$A$7,0)),F271-1),0)</x:f>
        <x:v>141095</x:v>
      </x:c>
      <x:c r="M271" s="38" t="n">
        <x:f>ROUND(INDEX('Balance Inputs'!$N$2:$N$51,MATCH(A271,'Balance Inputs'!$I$2:$I$51,0))*POWER(INDEX('Balance Inputs'!$G$2:$G$7,MATCH(C271,'Balance Inputs'!$A$2:$A$7,0)),F271-1),0)</x:f>
        <x:v>6835</x:v>
      </x:c>
      <x:c r="N271" s="38" t="n">
        <x:f>IF(A271&lt;&gt;A270,H271,N270+H271)</x:f>
        <x:v>16485840</x:v>
      </x:c>
      <x:c r="O271" s="42" t="n">
        <x:f>IF(I271=0,0,H271/I271)</x:f>
        <x:v>40.260992223762734</x:v>
      </x:c>
      <x:c r="P271" s="43" t="n">
        <x:f>I271/INDEX('Balance Inputs'!$L$2:$L$51,MATCH(A271,'Balance Inputs'!$I$2:$I$51,0))</x:f>
        <x:v>4.826171704535537</x:v>
      </x:c>
      <x:c r="Q271" s="43" t="n">
        <x:f>L271/INDEX('Balance Inputs'!$M$2:$M$51,MATCH(A271,'Balance Inputs'!$I$2:$I$51,0))</x:f>
        <x:v>4.4840462721667835</x:v>
      </x:c>
      <x:c r="R271" s="17"/>
      <x:c r="S271" s="17"/>
      <x:c r="T271" s="17"/>
      <x:c r="U271" s="17"/>
      <x:c r="V271" s="17"/>
      <x:c r="W271" s="17"/>
      <x:c r="X271" s="17"/>
      <x:c r="Y271" s="17"/>
      <x:c r="Z271" s="17"/>
    </x:row>
    <x:row r="272">
      <x:c r="A272" s="17" t="n">
        <x:v>37</x:v>
      </x:c>
      <x:c r="B272" s="17" t="str">
        <x:v>Private Banking Center</x:v>
      </x:c>
      <x:c r="C272" s="17" t="str">
        <x:v>Established</x:v>
      </x:c>
      <x:c r="D272" s="17" t="str">
        <x:v>Epic</x:v>
      </x:c>
      <x:c r="E272" s="17" t="n">
        <x:v>37</x:v>
      </x:c>
      <x:c r="F272" s="17" t="n">
        <x:v>7</x:v>
      </x:c>
      <x:c r="G272" s="17" t="str">
        <x:v>Upgrade to Lv7</x:v>
      </x:c>
      <x:c r="H272" s="38" t="n">
        <x:f>ROUND(H271*INDEX('Balance Inputs'!$C$2:$C$7,MATCH(C272,'Balance Inputs'!$A$2:$A$7,0)),0)</x:f>
        <x:v>10819812</x:v>
      </x:c>
      <x:c r="I272" s="38" t="n">
        <x:f>ROUND(INDEX('Balance Inputs'!$L$2:$L$51,MATCH(A272,'Balance Inputs'!$I$2:$I$51,0))*POWER(INDEX('Balance Inputs'!$D$2:$D$7,MATCH(C272,'Balance Inputs'!$A$2:$A$7,0)),F272-1),0)</x:f>
        <x:v>227269</x:v>
      </x:c>
      <x:c r="J272" s="38" t="n">
        <x:f>ROUND(I272*INDEX('Balance Inputs'!$F$2:$F$7,MATCH(C272,'Balance Inputs'!$A$2:$A$7,0)),0)</x:f>
        <x:v>34090</x:v>
      </x:c>
      <x:c r="K272" s="38" t="n">
        <x:f>I272-J272</x:f>
        <x:v>193179</x:v>
      </x:c>
      <x:c r="L272" s="38" t="n">
        <x:f>ROUND(INDEX('Balance Inputs'!$M$2:$M$51,MATCH(A272,'Balance Inputs'!$I$2:$I$51,0))*POWER(INDEX('Balance Inputs'!$E$2:$E$7,MATCH(C272,'Balance Inputs'!$A$2:$A$7,0)),F272-1),0)</x:f>
        <x:v>190478</x:v>
      </x:c>
      <x:c r="M272" s="38" t="n">
        <x:f>ROUND(INDEX('Balance Inputs'!$N$2:$N$51,MATCH(A272,'Balance Inputs'!$I$2:$I$51,0))*POWER(INDEX('Balance Inputs'!$G$2:$G$7,MATCH(C272,'Balance Inputs'!$A$2:$A$7,0)),F272-1),0)</x:f>
        <x:v>7860</x:v>
      </x:c>
      <x:c r="N272" s="38" t="n">
        <x:f>IF(A272&lt;&gt;A271,H272,N271+H272)</x:f>
        <x:v>27305652</x:v>
      </x:c>
      <x:c r="O272" s="42" t="n">
        <x:f>IF(I272=0,0,H272/I272)</x:f>
        <x:v>47.60795357043855</x:v>
      </x:c>
      <x:c r="P272" s="43" t="n">
        <x:f>I272/INDEX('Balance Inputs'!$L$2:$L$51,MATCH(A272,'Balance Inputs'!$I$2:$I$51,0))</x:f>
        <x:v>6.611846507433159</x:v>
      </x:c>
      <x:c r="Q272" s="43" t="n">
        <x:f>L272/INDEX('Balance Inputs'!$M$2:$M$51,MATCH(A272,'Balance Inputs'!$I$2:$I$51,0))</x:f>
        <x:v>6.053454522341575</x:v>
      </x:c>
      <x:c r="R272" s="17"/>
      <x:c r="S272" s="17"/>
      <x:c r="T272" s="17"/>
      <x:c r="U272" s="17"/>
      <x:c r="V272" s="17"/>
      <x:c r="W272" s="17"/>
      <x:c r="X272" s="17"/>
      <x:c r="Y272" s="17"/>
      <x:c r="Z272" s="17"/>
    </x:row>
    <x:row r="273">
      <x:c r="A273" s="17" t="n">
        <x:v>37</x:v>
      </x:c>
      <x:c r="B273" s="17" t="str">
        <x:v>Private Banking Center</x:v>
      </x:c>
      <x:c r="C273" s="17" t="str">
        <x:v>Established</x:v>
      </x:c>
      <x:c r="D273" s="17" t="str">
        <x:v>Epic</x:v>
      </x:c>
      <x:c r="E273" s="17" t="n">
        <x:v>37</x:v>
      </x:c>
      <x:c r="F273" s="17" t="n">
        <x:v>8</x:v>
      </x:c>
      <x:c r="G273" s="17" t="str">
        <x:v>Upgrade to Lv8</x:v>
      </x:c>
      <x:c r="H273" s="38" t="n">
        <x:f>ROUND(H272*INDEX('Balance Inputs'!$C$2:$C$7,MATCH(C273,'Balance Inputs'!$A$2:$A$7,0)),0)</x:f>
        <x:v>17528095</x:v>
      </x:c>
      <x:c r="I273" s="38" t="n">
        <x:f>ROUND(INDEX('Balance Inputs'!$L$2:$L$51,MATCH(A273,'Balance Inputs'!$I$2:$I$51,0))*POWER(INDEX('Balance Inputs'!$D$2:$D$7,MATCH(C273,'Balance Inputs'!$A$2:$A$7,0)),F273-1),0)</x:f>
        <x:v>311359</x:v>
      </x:c>
      <x:c r="J273" s="38" t="n">
        <x:f>ROUND(I273*INDEX('Balance Inputs'!$F$2:$F$7,MATCH(C273,'Balance Inputs'!$A$2:$A$7,0)),0)</x:f>
        <x:v>46704</x:v>
      </x:c>
      <x:c r="K273" s="38" t="n">
        <x:f>I273-J273</x:f>
        <x:v>264655</x:v>
      </x:c>
      <x:c r="L273" s="38" t="n">
        <x:f>ROUND(INDEX('Balance Inputs'!$M$2:$M$51,MATCH(A273,'Balance Inputs'!$I$2:$I$51,0))*POWER(INDEX('Balance Inputs'!$E$2:$E$7,MATCH(C273,'Balance Inputs'!$A$2:$A$7,0)),F273-1),0)</x:f>
        <x:v>257145</x:v>
      </x:c>
      <x:c r="M273" s="38" t="n">
        <x:f>ROUND(INDEX('Balance Inputs'!$N$2:$N$51,MATCH(A273,'Balance Inputs'!$I$2:$I$51,0))*POWER(INDEX('Balance Inputs'!$G$2:$G$7,MATCH(C273,'Balance Inputs'!$A$2:$A$7,0)),F273-1),0)</x:f>
        <x:v>9039</x:v>
      </x:c>
      <x:c r="N273" s="38" t="n">
        <x:f>IF(A273&lt;&gt;A272,H273,N272+H273)</x:f>
        <x:v>44833747</x:v>
      </x:c>
      <x:c r="O273" s="42" t="n">
        <x:f>IF(I273=0,0,H273/I273)</x:f>
        <x:v>56.29544994684592</x:v>
      </x:c>
      <x:c r="P273" s="43" t="n">
        <x:f>I273/INDEX('Balance Inputs'!$L$2:$L$51,MATCH(A273,'Balance Inputs'!$I$2:$I$51,0))</x:f>
        <x:v>9.058243388706252</x:v>
      </x:c>
      <x:c r="Q273" s="43" t="n">
        <x:f>L273/INDEX('Balance Inputs'!$M$2:$M$51,MATCH(A273,'Balance Inputs'!$I$2:$I$51,0))</x:f>
        <x:v>8.172154071060827</x:v>
      </x:c>
      <x:c r="R273" s="17"/>
      <x:c r="S273" s="17"/>
      <x:c r="T273" s="17"/>
      <x:c r="U273" s="17"/>
      <x:c r="V273" s="17"/>
      <x:c r="W273" s="17"/>
      <x:c r="X273" s="17"/>
      <x:c r="Y273" s="17"/>
      <x:c r="Z273" s="17"/>
    </x:row>
    <x:row r="274">
      <x:c r="A274" s="17" t="n">
        <x:v>37</x:v>
      </x:c>
      <x:c r="B274" s="17" t="str">
        <x:v>Private Banking Center</x:v>
      </x:c>
      <x:c r="C274" s="17" t="str">
        <x:v>Established</x:v>
      </x:c>
      <x:c r="D274" s="17" t="str">
        <x:v>Epic</x:v>
      </x:c>
      <x:c r="E274" s="17" t="n">
        <x:v>37</x:v>
      </x:c>
      <x:c r="F274" s="17" t="n">
        <x:v>9</x:v>
      </x:c>
      <x:c r="G274" s="17" t="str">
        <x:v>Upgrade to Lv9</x:v>
      </x:c>
      <x:c r="H274" s="38" t="n">
        <x:f>ROUND(H273*INDEX('Balance Inputs'!$C$2:$C$7,MATCH(C274,'Balance Inputs'!$A$2:$A$7,0)),0)</x:f>
        <x:v>28395514</x:v>
      </x:c>
      <x:c r="I274" s="38" t="n">
        <x:f>ROUND(INDEX('Balance Inputs'!$L$2:$L$51,MATCH(A274,'Balance Inputs'!$I$2:$I$51,0))*POWER(INDEX('Balance Inputs'!$D$2:$D$7,MATCH(C274,'Balance Inputs'!$A$2:$A$7,0)),F274-1),0)</x:f>
        <x:v>426562</x:v>
      </x:c>
      <x:c r="J274" s="38" t="n">
        <x:f>ROUND(I274*INDEX('Balance Inputs'!$F$2:$F$7,MATCH(C274,'Balance Inputs'!$A$2:$A$7,0)),0)</x:f>
        <x:v>63984</x:v>
      </x:c>
      <x:c r="K274" s="38" t="n">
        <x:f>I274-J274</x:f>
        <x:v>362578</x:v>
      </x:c>
      <x:c r="L274" s="38" t="n">
        <x:f>ROUND(INDEX('Balance Inputs'!$M$2:$M$51,MATCH(A274,'Balance Inputs'!$I$2:$I$51,0))*POWER(INDEX('Balance Inputs'!$E$2:$E$7,MATCH(C274,'Balance Inputs'!$A$2:$A$7,0)),F274-1),0)</x:f>
        <x:v>347146</x:v>
      </x:c>
      <x:c r="M274" s="38" t="n">
        <x:f>ROUND(INDEX('Balance Inputs'!$N$2:$N$51,MATCH(A274,'Balance Inputs'!$I$2:$I$51,0))*POWER(INDEX('Balance Inputs'!$G$2:$G$7,MATCH(C274,'Balance Inputs'!$A$2:$A$7,0)),F274-1),0)</x:f>
        <x:v>10395</x:v>
      </x:c>
      <x:c r="N274" s="38" t="n">
        <x:f>IF(A274&lt;&gt;A273,H274,N273+H274)</x:f>
        <x:v>73229261</x:v>
      </x:c>
      <x:c r="O274" s="42" t="n">
        <x:f>IF(I274=0,0,H274/I274)</x:f>
        <x:v>66.56831597751324</x:v>
      </x:c>
      <x:c r="P274" s="43" t="n">
        <x:f>I274/INDEX('Balance Inputs'!$L$2:$L$51,MATCH(A274,'Balance Inputs'!$I$2:$I$51,0))</x:f>
        <x:v>12.409798388269863</x:v>
      </x:c>
      <x:c r="Q274" s="43" t="n">
        <x:f>L274/INDEX('Balance Inputs'!$M$2:$M$51,MATCH(A274,'Balance Inputs'!$I$2:$I$51,0))</x:f>
        <x:v>11.0324159410157</x:v>
      </x:c>
      <x:c r="R274" s="17"/>
      <x:c r="S274" s="17"/>
      <x:c r="T274" s="17"/>
      <x:c r="U274" s="17"/>
      <x:c r="V274" s="17"/>
      <x:c r="W274" s="17"/>
      <x:c r="X274" s="17"/>
      <x:c r="Y274" s="17"/>
      <x:c r="Z274" s="17"/>
    </x:row>
    <x:row r="275">
      <x:c r="A275" s="17" t="n">
        <x:v>38</x:v>
      </x:c>
      <x:c r="B275" s="17" t="str">
        <x:v>Corporate Treasury Center</x:v>
      </x:c>
      <x:c r="C275" s="17" t="str">
        <x:v>Established</x:v>
      </x:c>
      <x:c r="D275" s="17" t="str">
        <x:v>Epic</x:v>
      </x:c>
      <x:c r="E275" s="17" t="n">
        <x:v>38</x:v>
      </x:c>
      <x:c r="F275" s="17" t="n">
        <x:v>1</x:v>
      </x:c>
      <x:c r="G275" s="17" t="str">
        <x:v>Build</x:v>
      </x:c>
      <x:c r="H275" s="38" t="n">
        <x:f>INDEX('Balance Inputs'!$K$2:$K$51,MATCH(A275,'Balance Inputs'!$I$2:$I$51,0))</x:f>
        <x:v>739260</x:v>
      </x:c>
      <x:c r="I275" s="38" t="n">
        <x:f>ROUND(INDEX('Balance Inputs'!$L$2:$L$51,MATCH(A275,'Balance Inputs'!$I$2:$I$51,0))*POWER(INDEX('Balance Inputs'!$D$2:$D$7,MATCH(C275,'Balance Inputs'!$A$2:$A$7,0)),F275-1),0)</x:f>
        <x:v>29854</x:v>
      </x:c>
      <x:c r="J275" s="38" t="n">
        <x:f>ROUND(I275*INDEX('Balance Inputs'!$F$2:$F$7,MATCH(C275,'Balance Inputs'!$A$2:$A$7,0)),0)</x:f>
        <x:v>4478</x:v>
      </x:c>
      <x:c r="K275" s="38" t="n">
        <x:f>I275-J275</x:f>
        <x:v>25376</x:v>
      </x:c>
      <x:c r="L275" s="38" t="n">
        <x:f>ROUND(INDEX('Balance Inputs'!$M$2:$M$51,MATCH(A275,'Balance Inputs'!$I$2:$I$51,0))*POWER(INDEX('Balance Inputs'!$E$2:$E$7,MATCH(C275,'Balance Inputs'!$A$2:$A$7,0)),F275-1),0)</x:f>
        <x:v>37445</x:v>
      </x:c>
      <x:c r="M275" s="38" t="n">
        <x:f>ROUND(INDEX('Balance Inputs'!$N$2:$N$51,MATCH(A275,'Balance Inputs'!$I$2:$I$51,0))*POWER(INDEX('Balance Inputs'!$G$2:$G$7,MATCH(C275,'Balance Inputs'!$A$2:$A$7,0)),F275-1),0)</x:f>
        <x:v>3370</x:v>
      </x:c>
      <x:c r="N275" s="38" t="n">
        <x:f>IF(A275&lt;&gt;A274,H275,N274+H275)</x:f>
        <x:v>739260</x:v>
      </x:c>
      <x:c r="O275" s="42" t="n">
        <x:f>IF(I275=0,0,H275/I275)</x:f>
        <x:v>24.762510886313393</x:v>
      </x:c>
      <x:c r="P275" s="43" t="n">
        <x:f>I275/INDEX('Balance Inputs'!$L$2:$L$51,MATCH(A275,'Balance Inputs'!$I$2:$I$51,0))</x:f>
        <x:v>1</x:v>
      </x:c>
      <x:c r="Q275" s="43" t="n">
        <x:f>L275/INDEX('Balance Inputs'!$M$2:$M$51,MATCH(A275,'Balance Inputs'!$I$2:$I$51,0))</x:f>
        <x:v>1</x:v>
      </x:c>
      <x:c r="R275" s="17"/>
      <x:c r="S275" s="17"/>
      <x:c r="T275" s="17"/>
      <x:c r="U275" s="17"/>
      <x:c r="V275" s="17"/>
      <x:c r="W275" s="17"/>
      <x:c r="X275" s="17"/>
      <x:c r="Y275" s="17"/>
      <x:c r="Z275" s="17"/>
    </x:row>
    <x:row r="276">
      <x:c r="A276" s="17" t="n">
        <x:v>38</x:v>
      </x:c>
      <x:c r="B276" s="17" t="str">
        <x:v>Corporate Treasury Center</x:v>
      </x:c>
      <x:c r="C276" s="17" t="str">
        <x:v>Established</x:v>
      </x:c>
      <x:c r="D276" s="17" t="str">
        <x:v>Epic</x:v>
      </x:c>
      <x:c r="E276" s="17" t="n">
        <x:v>38</x:v>
      </x:c>
      <x:c r="F276" s="17" t="n">
        <x:v>2</x:v>
      </x:c>
      <x:c r="G276" s="17" t="str">
        <x:v>Upgrade to Lv2</x:v>
      </x:c>
      <x:c r="H276" s="38" t="n">
        <x:f>ROUND(H275*INDEX('Balance Inputs'!$C$2:$C$7,MATCH(C276,'Balance Inputs'!$A$2:$A$7,0)),0)</x:f>
        <x:v>1197601</x:v>
      </x:c>
      <x:c r="I276" s="38" t="n">
        <x:f>ROUND(INDEX('Balance Inputs'!$L$2:$L$51,MATCH(A276,'Balance Inputs'!$I$2:$I$51,0))*POWER(INDEX('Balance Inputs'!$D$2:$D$7,MATCH(C276,'Balance Inputs'!$A$2:$A$7,0)),F276-1),0)</x:f>
        <x:v>40900</x:v>
      </x:c>
      <x:c r="J276" s="38" t="n">
        <x:f>ROUND(I276*INDEX('Balance Inputs'!$F$2:$F$7,MATCH(C276,'Balance Inputs'!$A$2:$A$7,0)),0)</x:f>
        <x:v>6135</x:v>
      </x:c>
      <x:c r="K276" s="38" t="n">
        <x:f>I276-J276</x:f>
        <x:v>34765</x:v>
      </x:c>
      <x:c r="L276" s="38" t="n">
        <x:f>ROUND(INDEX('Balance Inputs'!$M$2:$M$51,MATCH(A276,'Balance Inputs'!$I$2:$I$51,0))*POWER(INDEX('Balance Inputs'!$E$2:$E$7,MATCH(C276,'Balance Inputs'!$A$2:$A$7,0)),F276-1),0)</x:f>
        <x:v>50551</x:v>
      </x:c>
      <x:c r="M276" s="38" t="n">
        <x:f>ROUND(INDEX('Balance Inputs'!$N$2:$N$51,MATCH(A276,'Balance Inputs'!$I$2:$I$51,0))*POWER(INDEX('Balance Inputs'!$G$2:$G$7,MATCH(C276,'Balance Inputs'!$A$2:$A$7,0)),F276-1),0)</x:f>
        <x:v>3875</x:v>
      </x:c>
      <x:c r="N276" s="38" t="n">
        <x:f>IF(A276&lt;&gt;A275,H276,N275+H276)</x:f>
        <x:v>1936861</x:v>
      </x:c>
      <x:c r="O276" s="42" t="n">
        <x:f>IF(I276=0,0,H276/I276)</x:f>
        <x:v>29.28119804400978</x:v>
      </x:c>
      <x:c r="P276" s="43" t="n">
        <x:f>I276/INDEX('Balance Inputs'!$L$2:$L$51,MATCH(A276,'Balance Inputs'!$I$2:$I$51,0))</x:f>
        <x:v>1.370000669926978</x:v>
      </x:c>
      <x:c r="Q276" s="43" t="n">
        <x:f>L276/INDEX('Balance Inputs'!$M$2:$M$51,MATCH(A276,'Balance Inputs'!$I$2:$I$51,0))</x:f>
        <x:v>1.3500066764588063</x:v>
      </x:c>
      <x:c r="R276" s="17"/>
      <x:c r="S276" s="17"/>
      <x:c r="T276" s="17"/>
      <x:c r="U276" s="17"/>
      <x:c r="V276" s="17"/>
      <x:c r="W276" s="17"/>
      <x:c r="X276" s="17"/>
      <x:c r="Y276" s="17"/>
      <x:c r="Z276" s="17"/>
    </x:row>
    <x:row r="277">
      <x:c r="A277" s="17" t="n">
        <x:v>38</x:v>
      </x:c>
      <x:c r="B277" s="17" t="str">
        <x:v>Corporate Treasury Center</x:v>
      </x:c>
      <x:c r="C277" s="17" t="str">
        <x:v>Established</x:v>
      </x:c>
      <x:c r="D277" s="17" t="str">
        <x:v>Epic</x:v>
      </x:c>
      <x:c r="E277" s="17" t="n">
        <x:v>38</x:v>
      </x:c>
      <x:c r="F277" s="17" t="n">
        <x:v>3</x:v>
      </x:c>
      <x:c r="G277" s="17" t="str">
        <x:v>Upgrade to Lv3</x:v>
      </x:c>
      <x:c r="H277" s="38" t="n">
        <x:f>ROUND(H276*INDEX('Balance Inputs'!$C$2:$C$7,MATCH(C277,'Balance Inputs'!$A$2:$A$7,0)),0)</x:f>
        <x:v>1940114</x:v>
      </x:c>
      <x:c r="I277" s="38" t="n">
        <x:f>ROUND(INDEX('Balance Inputs'!$L$2:$L$51,MATCH(A277,'Balance Inputs'!$I$2:$I$51,0))*POWER(INDEX('Balance Inputs'!$D$2:$D$7,MATCH(C277,'Balance Inputs'!$A$2:$A$7,0)),F277-1),0)</x:f>
        <x:v>56033</x:v>
      </x:c>
      <x:c r="J277" s="38" t="n">
        <x:f>ROUND(I277*INDEX('Balance Inputs'!$F$2:$F$7,MATCH(C277,'Balance Inputs'!$A$2:$A$7,0)),0)</x:f>
        <x:v>8405</x:v>
      </x:c>
      <x:c r="K277" s="38" t="n">
        <x:f>I277-J277</x:f>
        <x:v>47628</x:v>
      </x:c>
      <x:c r="L277" s="38" t="n">
        <x:f>ROUND(INDEX('Balance Inputs'!$M$2:$M$51,MATCH(A277,'Balance Inputs'!$I$2:$I$51,0))*POWER(INDEX('Balance Inputs'!$E$2:$E$7,MATCH(C277,'Balance Inputs'!$A$2:$A$7,0)),F277-1),0)</x:f>
        <x:v>68244</x:v>
      </x:c>
      <x:c r="M277" s="38" t="n">
        <x:f>ROUND(INDEX('Balance Inputs'!$N$2:$N$51,MATCH(A277,'Balance Inputs'!$I$2:$I$51,0))*POWER(INDEX('Balance Inputs'!$G$2:$G$7,MATCH(C277,'Balance Inputs'!$A$2:$A$7,0)),F277-1),0)</x:f>
        <x:v>4457</x:v>
      </x:c>
      <x:c r="N277" s="38" t="n">
        <x:f>IF(A277&lt;&gt;A276,H277,N276+H277)</x:f>
        <x:v>3876975</x:v>
      </x:c>
      <x:c r="O277" s="42" t="n">
        <x:f>IF(I277=0,0,H277/I277)</x:f>
        <x:v>34.62448914032802</x:v>
      </x:c>
      <x:c r="P277" s="43" t="n">
        <x:f>I277/INDEX('Balance Inputs'!$L$2:$L$51,MATCH(A277,'Balance Inputs'!$I$2:$I$51,0))</x:f>
        <x:v>1.8769009177999598</x:v>
      </x:c>
      <x:c r="Q277" s="43" t="n">
        <x:f>L277/INDEX('Balance Inputs'!$M$2:$M$51,MATCH(A277,'Balance Inputs'!$I$2:$I$51,0))</x:f>
        <x:v>1.8225130190946721</x:v>
      </x:c>
      <x:c r="R277" s="17"/>
      <x:c r="S277" s="17"/>
      <x:c r="T277" s="17"/>
      <x:c r="U277" s="17"/>
      <x:c r="V277" s="17"/>
      <x:c r="W277" s="17"/>
      <x:c r="X277" s="17"/>
      <x:c r="Y277" s="17"/>
      <x:c r="Z277" s="17"/>
    </x:row>
    <x:row r="278">
      <x:c r="A278" s="17" t="n">
        <x:v>38</x:v>
      </x:c>
      <x:c r="B278" s="17" t="str">
        <x:v>Corporate Treasury Center</x:v>
      </x:c>
      <x:c r="C278" s="17" t="str">
        <x:v>Established</x:v>
      </x:c>
      <x:c r="D278" s="17" t="str">
        <x:v>Epic</x:v>
      </x:c>
      <x:c r="E278" s="17" t="n">
        <x:v>38</x:v>
      </x:c>
      <x:c r="F278" s="17" t="n">
        <x:v>4</x:v>
      </x:c>
      <x:c r="G278" s="17" t="str">
        <x:v>Upgrade to Lv4</x:v>
      </x:c>
      <x:c r="H278" s="38" t="n">
        <x:f>ROUND(H277*INDEX('Balance Inputs'!$C$2:$C$7,MATCH(C278,'Balance Inputs'!$A$2:$A$7,0)),0)</x:f>
        <x:v>3142985</x:v>
      </x:c>
      <x:c r="I278" s="38" t="n">
        <x:f>ROUND(INDEX('Balance Inputs'!$L$2:$L$51,MATCH(A278,'Balance Inputs'!$I$2:$I$51,0))*POWER(INDEX('Balance Inputs'!$D$2:$D$7,MATCH(C278,'Balance Inputs'!$A$2:$A$7,0)),F278-1),0)</x:f>
        <x:v>76765</x:v>
      </x:c>
      <x:c r="J278" s="38" t="n">
        <x:f>ROUND(I278*INDEX('Balance Inputs'!$F$2:$F$7,MATCH(C278,'Balance Inputs'!$A$2:$A$7,0)),0)</x:f>
        <x:v>11515</x:v>
      </x:c>
      <x:c r="K278" s="38" t="n">
        <x:f>I278-J278</x:f>
        <x:v>65250</x:v>
      </x:c>
      <x:c r="L278" s="38" t="n">
        <x:f>ROUND(INDEX('Balance Inputs'!$M$2:$M$51,MATCH(A278,'Balance Inputs'!$I$2:$I$51,0))*POWER(INDEX('Balance Inputs'!$E$2:$E$7,MATCH(C278,'Balance Inputs'!$A$2:$A$7,0)),F278-1),0)</x:f>
        <x:v>92129</x:v>
      </x:c>
      <x:c r="M278" s="38" t="n">
        <x:f>ROUND(INDEX('Balance Inputs'!$N$2:$N$51,MATCH(A278,'Balance Inputs'!$I$2:$I$51,0))*POWER(INDEX('Balance Inputs'!$G$2:$G$7,MATCH(C278,'Balance Inputs'!$A$2:$A$7,0)),F278-1),0)</x:f>
        <x:v>5125</x:v>
      </x:c>
      <x:c r="N278" s="38" t="n">
        <x:f>IF(A278&lt;&gt;A277,H278,N277+H278)</x:f>
        <x:v>7019960</x:v>
      </x:c>
      <x:c r="O278" s="42" t="n">
        <x:f>IF(I278=0,0,H278/I278)</x:f>
        <x:v>40.942942747345796</x:v>
      </x:c>
      <x:c r="P278" s="43" t="n">
        <x:f>I278/INDEX('Balance Inputs'!$L$2:$L$51,MATCH(A278,'Balance Inputs'!$I$2:$I$51,0))</x:f>
        <x:v>2.571347223152676</x:v>
      </x:c>
      <x:c r="Q278" s="43" t="n">
        <x:f>L278/INDEX('Balance Inputs'!$M$2:$M$51,MATCH(A278,'Balance Inputs'!$I$2:$I$51,0))</x:f>
        <x:v>2.4603818934437176</x:v>
      </x:c>
      <x:c r="R278" s="17"/>
      <x:c r="S278" s="17"/>
      <x:c r="T278" s="17"/>
      <x:c r="U278" s="17"/>
      <x:c r="V278" s="17"/>
      <x:c r="W278" s="17"/>
      <x:c r="X278" s="17"/>
      <x:c r="Y278" s="17"/>
      <x:c r="Z278" s="17"/>
    </x:row>
    <x:row r="279">
      <x:c r="A279" s="17" t="n">
        <x:v>38</x:v>
      </x:c>
      <x:c r="B279" s="17" t="str">
        <x:v>Corporate Treasury Center</x:v>
      </x:c>
      <x:c r="C279" s="17" t="str">
        <x:v>Established</x:v>
      </x:c>
      <x:c r="D279" s="17" t="str">
        <x:v>Epic</x:v>
      </x:c>
      <x:c r="E279" s="17" t="n">
        <x:v>38</x:v>
      </x:c>
      <x:c r="F279" s="17" t="n">
        <x:v>5</x:v>
      </x:c>
      <x:c r="G279" s="17" t="str">
        <x:v>Upgrade to Lv5</x:v>
      </x:c>
      <x:c r="H279" s="38" t="n">
        <x:f>ROUND(H278*INDEX('Balance Inputs'!$C$2:$C$7,MATCH(C279,'Balance Inputs'!$A$2:$A$7,0)),0)</x:f>
        <x:v>5091636</x:v>
      </x:c>
      <x:c r="I279" s="38" t="n">
        <x:f>ROUND(INDEX('Balance Inputs'!$L$2:$L$51,MATCH(A279,'Balance Inputs'!$I$2:$I$51,0))*POWER(INDEX('Balance Inputs'!$D$2:$D$7,MATCH(C279,'Balance Inputs'!$A$2:$A$7,0)),F279-1),0)</x:f>
        <x:v>105168</x:v>
      </x:c>
      <x:c r="J279" s="38" t="n">
        <x:f>ROUND(I279*INDEX('Balance Inputs'!$F$2:$F$7,MATCH(C279,'Balance Inputs'!$A$2:$A$7,0)),0)</x:f>
        <x:v>15775</x:v>
      </x:c>
      <x:c r="K279" s="38" t="n">
        <x:f>I279-J279</x:f>
        <x:v>89393</x:v>
      </x:c>
      <x:c r="L279" s="38" t="n">
        <x:f>ROUND(INDEX('Balance Inputs'!$M$2:$M$51,MATCH(A279,'Balance Inputs'!$I$2:$I$51,0))*POWER(INDEX('Balance Inputs'!$E$2:$E$7,MATCH(C279,'Balance Inputs'!$A$2:$A$7,0)),F279-1),0)</x:f>
        <x:v>124374</x:v>
      </x:c>
      <x:c r="M279" s="38" t="n">
        <x:f>ROUND(INDEX('Balance Inputs'!$N$2:$N$51,MATCH(A279,'Balance Inputs'!$I$2:$I$51,0))*POWER(INDEX('Balance Inputs'!$G$2:$G$7,MATCH(C279,'Balance Inputs'!$A$2:$A$7,0)),F279-1),0)</x:f>
        <x:v>5894</x:v>
      </x:c>
      <x:c r="N279" s="38" t="n">
        <x:f>IF(A279&lt;&gt;A278,H279,N278+H279)</x:f>
        <x:v>12111596</x:v>
      </x:c>
      <x:c r="O279" s="42" t="n">
        <x:f>IF(I279=0,0,H279/I279)</x:f>
        <x:v>48.41430853491556</x:v>
      </x:c>
      <x:c r="P279" s="43" t="n">
        <x:f>I279/INDEX('Balance Inputs'!$L$2:$L$51,MATCH(A279,'Balance Inputs'!$I$2:$I$51,0))</x:f>
        <x:v>3.5227440209017216</x:v>
      </x:c>
      <x:c r="Q279" s="43" t="n">
        <x:f>L279/INDEX('Balance Inputs'!$M$2:$M$51,MATCH(A279,'Balance Inputs'!$I$2:$I$51,0))</x:f>
        <x:v>3.3215115502737347</x:v>
      </x:c>
      <x:c r="R279" s="17"/>
      <x:c r="S279" s="17"/>
      <x:c r="T279" s="17"/>
      <x:c r="U279" s="17"/>
      <x:c r="V279" s="17"/>
      <x:c r="W279" s="17"/>
      <x:c r="X279" s="17"/>
      <x:c r="Y279" s="17"/>
      <x:c r="Z279" s="17"/>
    </x:row>
    <x:row r="280">
      <x:c r="A280" s="17" t="n">
        <x:v>38</x:v>
      </x:c>
      <x:c r="B280" s="17" t="str">
        <x:v>Corporate Treasury Center</x:v>
      </x:c>
      <x:c r="C280" s="17" t="str">
        <x:v>Established</x:v>
      </x:c>
      <x:c r="D280" s="17" t="str">
        <x:v>Epic</x:v>
      </x:c>
      <x:c r="E280" s="17" t="n">
        <x:v>38</x:v>
      </x:c>
      <x:c r="F280" s="17" t="n">
        <x:v>6</x:v>
      </x:c>
      <x:c r="G280" s="17" t="str">
        <x:v>Upgrade to Lv6</x:v>
      </x:c>
      <x:c r="H280" s="38" t="n">
        <x:f>ROUND(H279*INDEX('Balance Inputs'!$C$2:$C$7,MATCH(C280,'Balance Inputs'!$A$2:$A$7,0)),0)</x:f>
        <x:v>8248450</x:v>
      </x:c>
      <x:c r="I280" s="38" t="n">
        <x:f>ROUND(INDEX('Balance Inputs'!$L$2:$L$51,MATCH(A280,'Balance Inputs'!$I$2:$I$51,0))*POWER(INDEX('Balance Inputs'!$D$2:$D$7,MATCH(C280,'Balance Inputs'!$A$2:$A$7,0)),F280-1),0)</x:f>
        <x:v>144081</x:v>
      </x:c>
      <x:c r="J280" s="38" t="n">
        <x:f>ROUND(I280*INDEX('Balance Inputs'!$F$2:$F$7,MATCH(C280,'Balance Inputs'!$A$2:$A$7,0)),0)</x:f>
        <x:v>21612</x:v>
      </x:c>
      <x:c r="K280" s="38" t="n">
        <x:f>I280-J280</x:f>
        <x:v>122469</x:v>
      </x:c>
      <x:c r="L280" s="38" t="n">
        <x:f>ROUND(INDEX('Balance Inputs'!$M$2:$M$51,MATCH(A280,'Balance Inputs'!$I$2:$I$51,0))*POWER(INDEX('Balance Inputs'!$E$2:$E$7,MATCH(C280,'Balance Inputs'!$A$2:$A$7,0)),F280-1),0)</x:f>
        <x:v>167905</x:v>
      </x:c>
      <x:c r="M280" s="38" t="n">
        <x:f>ROUND(INDEX('Balance Inputs'!$N$2:$N$51,MATCH(A280,'Balance Inputs'!$I$2:$I$51,0))*POWER(INDEX('Balance Inputs'!$G$2:$G$7,MATCH(C280,'Balance Inputs'!$A$2:$A$7,0)),F280-1),0)</x:f>
        <x:v>6778</x:v>
      </x:c>
      <x:c r="N280" s="38" t="n">
        <x:f>IF(A280&lt;&gt;A279,H280,N279+H280)</x:f>
        <x:v>20360046</x:v>
      </x:c>
      <x:c r="O280" s="42" t="n">
        <x:f>IF(I280=0,0,H280/I280)</x:f>
        <x:v>57.24870038381189</x:v>
      </x:c>
      <x:c r="P280" s="43" t="n">
        <x:f>I280/INDEX('Balance Inputs'!$L$2:$L$51,MATCH(A280,'Balance Inputs'!$I$2:$I$51,0))</x:f>
        <x:v>4.826187445568433</x:v>
      </x:c>
      <x:c r="Q280" s="43" t="n">
        <x:f>L280/INDEX('Balance Inputs'!$M$2:$M$51,MATCH(A280,'Balance Inputs'!$I$2:$I$51,0))</x:f>
        <x:v>4.4840432634530645</x:v>
      </x:c>
      <x:c r="R280" s="17"/>
      <x:c r="S280" s="17"/>
      <x:c r="T280" s="17"/>
      <x:c r="U280" s="17"/>
      <x:c r="V280" s="17"/>
      <x:c r="W280" s="17"/>
      <x:c r="X280" s="17"/>
      <x:c r="Y280" s="17"/>
      <x:c r="Z280" s="17"/>
    </x:row>
    <x:row r="281">
      <x:c r="A281" s="17" t="n">
        <x:v>38</x:v>
      </x:c>
      <x:c r="B281" s="17" t="str">
        <x:v>Corporate Treasury Center</x:v>
      </x:c>
      <x:c r="C281" s="17" t="str">
        <x:v>Established</x:v>
      </x:c>
      <x:c r="D281" s="17" t="str">
        <x:v>Epic</x:v>
      </x:c>
      <x:c r="E281" s="17" t="n">
        <x:v>38</x:v>
      </x:c>
      <x:c r="F281" s="17" t="n">
        <x:v>7</x:v>
      </x:c>
      <x:c r="G281" s="17" t="str">
        <x:v>Upgrade to Lv7</x:v>
      </x:c>
      <x:c r="H281" s="38" t="n">
        <x:f>ROUND(H280*INDEX('Balance Inputs'!$C$2:$C$7,MATCH(C281,'Balance Inputs'!$A$2:$A$7,0)),0)</x:f>
        <x:v>13362489</x:v>
      </x:c>
      <x:c r="I281" s="38" t="n">
        <x:f>ROUND(INDEX('Balance Inputs'!$L$2:$L$51,MATCH(A281,'Balance Inputs'!$I$2:$I$51,0))*POWER(INDEX('Balance Inputs'!$D$2:$D$7,MATCH(C281,'Balance Inputs'!$A$2:$A$7,0)),F281-1),0)</x:f>
        <x:v>197390</x:v>
      </x:c>
      <x:c r="J281" s="38" t="n">
        <x:f>ROUND(I281*INDEX('Balance Inputs'!$F$2:$F$7,MATCH(C281,'Balance Inputs'!$A$2:$A$7,0)),0)</x:f>
        <x:v>29609</x:v>
      </x:c>
      <x:c r="K281" s="38" t="n">
        <x:f>I281-J281</x:f>
        <x:v>167781</x:v>
      </x:c>
      <x:c r="L281" s="38" t="n">
        <x:f>ROUND(INDEX('Balance Inputs'!$M$2:$M$51,MATCH(A281,'Balance Inputs'!$I$2:$I$51,0))*POWER(INDEX('Balance Inputs'!$E$2:$E$7,MATCH(C281,'Balance Inputs'!$A$2:$A$7,0)),F281-1),0)</x:f>
        <x:v>226671</x:v>
      </x:c>
      <x:c r="M281" s="38" t="n">
        <x:f>ROUND(INDEX('Balance Inputs'!$N$2:$N$51,MATCH(A281,'Balance Inputs'!$I$2:$I$51,0))*POWER(INDEX('Balance Inputs'!$G$2:$G$7,MATCH(C281,'Balance Inputs'!$A$2:$A$7,0)),F281-1),0)</x:f>
        <x:v>7795</x:v>
      </x:c>
      <x:c r="N281" s="38" t="n">
        <x:f>IF(A281&lt;&gt;A280,H281,N280+H281)</x:f>
        <x:v>33722535</x:v>
      </x:c>
      <x:c r="O281" s="42" t="n">
        <x:f>IF(I281=0,0,H281/I281)</x:f>
        <x:v>67.69587618420385</x:v>
      </x:c>
      <x:c r="P281" s="43" t="n">
        <x:f>I281/INDEX('Balance Inputs'!$L$2:$L$51,MATCH(A281,'Balance Inputs'!$I$2:$I$51,0))</x:f>
        <x:v>6.611844308970322</x:v>
      </x:c>
      <x:c r="Q281" s="43" t="n">
        <x:f>L281/INDEX('Balance Inputs'!$M$2:$M$51,MATCH(A281,'Balance Inputs'!$I$2:$I$51,0))</x:f>
        <x:v>6.053438376285218</x:v>
      </x:c>
      <x:c r="R281" s="17"/>
      <x:c r="S281" s="17"/>
      <x:c r="T281" s="17"/>
      <x:c r="U281" s="17"/>
      <x:c r="V281" s="17"/>
      <x:c r="W281" s="17"/>
      <x:c r="X281" s="17"/>
      <x:c r="Y281" s="17"/>
      <x:c r="Z281" s="17"/>
    </x:row>
    <x:row r="282">
      <x:c r="A282" s="17" t="n">
        <x:v>38</x:v>
      </x:c>
      <x:c r="B282" s="17" t="str">
        <x:v>Corporate Treasury Center</x:v>
      </x:c>
      <x:c r="C282" s="17" t="str">
        <x:v>Established</x:v>
      </x:c>
      <x:c r="D282" s="17" t="str">
        <x:v>Epic</x:v>
      </x:c>
      <x:c r="E282" s="17" t="n">
        <x:v>38</x:v>
      </x:c>
      <x:c r="F282" s="17" t="n">
        <x:v>8</x:v>
      </x:c>
      <x:c r="G282" s="17" t="str">
        <x:v>Upgrade to Lv8</x:v>
      </x:c>
      <x:c r="H282" s="38" t="n">
        <x:f>ROUND(H281*INDEX('Balance Inputs'!$C$2:$C$7,MATCH(C282,'Balance Inputs'!$A$2:$A$7,0)),0)</x:f>
        <x:v>21647232</x:v>
      </x:c>
      <x:c r="I282" s="38" t="n">
        <x:f>ROUND(INDEX('Balance Inputs'!$L$2:$L$51,MATCH(A282,'Balance Inputs'!$I$2:$I$51,0))*POWER(INDEX('Balance Inputs'!$D$2:$D$7,MATCH(C282,'Balance Inputs'!$A$2:$A$7,0)),F282-1),0)</x:f>
        <x:v>270425</x:v>
      </x:c>
      <x:c r="J282" s="38" t="n">
        <x:f>ROUND(I282*INDEX('Balance Inputs'!$F$2:$F$7,MATCH(C282,'Balance Inputs'!$A$2:$A$7,0)),0)</x:f>
        <x:v>40564</x:v>
      </x:c>
      <x:c r="K282" s="38" t="n">
        <x:f>I282-J282</x:f>
        <x:v>229861</x:v>
      </x:c>
      <x:c r="L282" s="38" t="n">
        <x:f>ROUND(INDEX('Balance Inputs'!$M$2:$M$51,MATCH(A282,'Balance Inputs'!$I$2:$I$51,0))*POWER(INDEX('Balance Inputs'!$E$2:$E$7,MATCH(C282,'Balance Inputs'!$A$2:$A$7,0)),F282-1),0)</x:f>
        <x:v>306006</x:v>
      </x:c>
      <x:c r="M282" s="38" t="n">
        <x:f>ROUND(INDEX('Balance Inputs'!$N$2:$N$51,MATCH(A282,'Balance Inputs'!$I$2:$I$51,0))*POWER(INDEX('Balance Inputs'!$G$2:$G$7,MATCH(C282,'Balance Inputs'!$A$2:$A$7,0)),F282-1),0)</x:f>
        <x:v>8964</x:v>
      </x:c>
      <x:c r="N282" s="38" t="n">
        <x:f>IF(A282&lt;&gt;A281,H282,N281+H282)</x:f>
        <x:v>55369767</x:v>
      </x:c>
      <x:c r="O282" s="42" t="n">
        <x:f>IF(I282=0,0,H282/I282)</x:f>
        <x:v>80.04893038735324</x:v>
      </x:c>
      <x:c r="P282" s="43" t="n">
        <x:f>I282/INDEX('Balance Inputs'!$L$2:$L$51,MATCH(A282,'Balance Inputs'!$I$2:$I$51,0))</x:f>
        <x:v>9.05825015073357</x:v>
      </x:c>
      <x:c r="Q282" s="43" t="n">
        <x:f>L282/INDEX('Balance Inputs'!$M$2:$M$51,MATCH(A282,'Balance Inputs'!$I$2:$I$51,0))</x:f>
        <x:v>8.172145813860329</x:v>
      </x:c>
      <x:c r="R282" s="17"/>
      <x:c r="S282" s="17"/>
      <x:c r="T282" s="17"/>
      <x:c r="U282" s="17"/>
      <x:c r="V282" s="17"/>
      <x:c r="W282" s="17"/>
      <x:c r="X282" s="17"/>
      <x:c r="Y282" s="17"/>
      <x:c r="Z282" s="17"/>
    </x:row>
    <x:row r="283">
      <x:c r="A283" s="17" t="n">
        <x:v>38</x:v>
      </x:c>
      <x:c r="B283" s="17" t="str">
        <x:v>Corporate Treasury Center</x:v>
      </x:c>
      <x:c r="C283" s="17" t="str">
        <x:v>Established</x:v>
      </x:c>
      <x:c r="D283" s="17" t="str">
        <x:v>Epic</x:v>
      </x:c>
      <x:c r="E283" s="17" t="n">
        <x:v>38</x:v>
      </x:c>
      <x:c r="F283" s="17" t="n">
        <x:v>9</x:v>
      </x:c>
      <x:c r="G283" s="17" t="str">
        <x:v>Upgrade to Lv9</x:v>
      </x:c>
      <x:c r="H283" s="38" t="n">
        <x:f>ROUND(H282*INDEX('Balance Inputs'!$C$2:$C$7,MATCH(C283,'Balance Inputs'!$A$2:$A$7,0)),0)</x:f>
        <x:v>35068516</x:v>
      </x:c>
      <x:c r="I283" s="38" t="n">
        <x:f>ROUND(INDEX('Balance Inputs'!$L$2:$L$51,MATCH(A283,'Balance Inputs'!$I$2:$I$51,0))*POWER(INDEX('Balance Inputs'!$D$2:$D$7,MATCH(C283,'Balance Inputs'!$A$2:$A$7,0)),F283-1),0)</x:f>
        <x:v>370482</x:v>
      </x:c>
      <x:c r="J283" s="38" t="n">
        <x:f>ROUND(I283*INDEX('Balance Inputs'!$F$2:$F$7,MATCH(C283,'Balance Inputs'!$A$2:$A$7,0)),0)</x:f>
        <x:v>55572</x:v>
      </x:c>
      <x:c r="K283" s="38" t="n">
        <x:f>I283-J283</x:f>
        <x:v>314910</x:v>
      </x:c>
      <x:c r="L283" s="38" t="n">
        <x:f>ROUND(INDEX('Balance Inputs'!$M$2:$M$51,MATCH(A283,'Balance Inputs'!$I$2:$I$51,0))*POWER(INDEX('Balance Inputs'!$E$2:$E$7,MATCH(C283,'Balance Inputs'!$A$2:$A$7,0)),F283-1),0)</x:f>
        <x:v>413108</x:v>
      </x:c>
      <x:c r="M283" s="38" t="n">
        <x:f>ROUND(INDEX('Balance Inputs'!$N$2:$N$51,MATCH(A283,'Balance Inputs'!$I$2:$I$51,0))*POWER(INDEX('Balance Inputs'!$G$2:$G$7,MATCH(C283,'Balance Inputs'!$A$2:$A$7,0)),F283-1),0)</x:f>
        <x:v>10309</x:v>
      </x:c>
      <x:c r="N283" s="38" t="n">
        <x:f>IF(A283&lt;&gt;A282,H283,N282+H283)</x:f>
        <x:v>90438283</x:v>
      </x:c>
      <x:c r="O283" s="42" t="n">
        <x:f>IF(I283=0,0,H283/I283)</x:f>
        <x:v>94.65646374182822</x:v>
      </x:c>
      <x:c r="P283" s="43" t="n">
        <x:f>I283/INDEX('Balance Inputs'!$L$2:$L$51,MATCH(A283,'Balance Inputs'!$I$2:$I$51,0))</x:f>
        <x:v>12.409794332417766</x:v>
      </x:c>
      <x:c r="Q283" s="43" t="n">
        <x:f>L283/INDEX('Balance Inputs'!$M$2:$M$51,MATCH(A283,'Balance Inputs'!$I$2:$I$51,0))</x:f>
        <x:v>11.032394178127921</x:v>
      </x:c>
      <x:c r="R283" s="17"/>
      <x:c r="S283" s="17"/>
      <x:c r="T283" s="17"/>
      <x:c r="U283" s="17"/>
      <x:c r="V283" s="17"/>
      <x:c r="W283" s="17"/>
      <x:c r="X283" s="17"/>
      <x:c r="Y283" s="17"/>
      <x:c r="Z283" s="17"/>
    </x:row>
    <x:row r="284">
      <x:c r="A284" s="17" t="n">
        <x:v>39</x:v>
      </x:c>
      <x:c r="B284" s="17" t="str">
        <x:v>Securities Exchange</x:v>
      </x:c>
      <x:c r="C284" s="17" t="str">
        <x:v>Established</x:v>
      </x:c>
      <x:c r="D284" s="17" t="str">
        <x:v>Epic</x:v>
      </x:c>
      <x:c r="E284" s="17" t="n">
        <x:v>39</x:v>
      </x:c>
      <x:c r="F284" s="17" t="n">
        <x:v>1</x:v>
      </x:c>
      <x:c r="G284" s="17" t="str">
        <x:v>Build</x:v>
      </x:c>
      <x:c r="H284" s="38" t="n">
        <x:f>INDEX('Balance Inputs'!$K$2:$K$51,MATCH(A284,'Balance Inputs'!$I$2:$I$51,0))</x:f>
        <x:v>912990</x:v>
      </x:c>
      <x:c r="I284" s="38" t="n">
        <x:f>ROUND(INDEX('Balance Inputs'!$L$2:$L$51,MATCH(A284,'Balance Inputs'!$I$2:$I$51,0))*POWER(INDEX('Balance Inputs'!$D$2:$D$7,MATCH(C284,'Balance Inputs'!$A$2:$A$7,0)),F284-1),0)</x:f>
        <x:v>54226</x:v>
      </x:c>
      <x:c r="J284" s="38" t="n">
        <x:f>ROUND(I284*INDEX('Balance Inputs'!$F$2:$F$7,MATCH(C284,'Balance Inputs'!$A$2:$A$7,0)),0)</x:f>
        <x:v>8134</x:v>
      </x:c>
      <x:c r="K284" s="38" t="n">
        <x:f>I284-J284</x:f>
        <x:v>46092</x:v>
      </x:c>
      <x:c r="L284" s="38" t="n">
        <x:f>ROUND(INDEX('Balance Inputs'!$M$2:$M$51,MATCH(A284,'Balance Inputs'!$I$2:$I$51,0))*POWER(INDEX('Balance Inputs'!$E$2:$E$7,MATCH(C284,'Balance Inputs'!$A$2:$A$7,0)),F284-1),0)</x:f>
        <x:v>44559</x:v>
      </x:c>
      <x:c r="M284" s="38" t="n">
        <x:f>ROUND(INDEX('Balance Inputs'!$N$2:$N$51,MATCH(A284,'Balance Inputs'!$I$2:$I$51,0))*POWER(INDEX('Balance Inputs'!$G$2:$G$7,MATCH(C284,'Balance Inputs'!$A$2:$A$7,0)),F284-1),0)</x:f>
        <x:v>6684</x:v>
      </x:c>
      <x:c r="N284" s="38" t="n">
        <x:f>IF(A284&lt;&gt;A283,H284,N283+H284)</x:f>
        <x:v>912990</x:v>
      </x:c>
      <x:c r="O284" s="42" t="n">
        <x:f>IF(I284=0,0,H284/I284)</x:f>
        <x:v>16.836757275107882</x:v>
      </x:c>
      <x:c r="P284" s="43" t="n">
        <x:f>I284/INDEX('Balance Inputs'!$L$2:$L$51,MATCH(A284,'Balance Inputs'!$I$2:$I$51,0))</x:f>
        <x:v>1</x:v>
      </x:c>
      <x:c r="Q284" s="43" t="n">
        <x:f>L284/INDEX('Balance Inputs'!$M$2:$M$51,MATCH(A284,'Balance Inputs'!$I$2:$I$51,0))</x:f>
        <x:v>1</x:v>
      </x:c>
      <x:c r="R284" s="17"/>
      <x:c r="S284" s="17"/>
      <x:c r="T284" s="17"/>
      <x:c r="U284" s="17"/>
      <x:c r="V284" s="17"/>
      <x:c r="W284" s="17"/>
      <x:c r="X284" s="17"/>
      <x:c r="Y284" s="17"/>
      <x:c r="Z284" s="17"/>
    </x:row>
    <x:row r="285">
      <x:c r="A285" s="17" t="n">
        <x:v>39</x:v>
      </x:c>
      <x:c r="B285" s="17" t="str">
        <x:v>Securities Exchange</x:v>
      </x:c>
      <x:c r="C285" s="17" t="str">
        <x:v>Established</x:v>
      </x:c>
      <x:c r="D285" s="17" t="str">
        <x:v>Epic</x:v>
      </x:c>
      <x:c r="E285" s="17" t="n">
        <x:v>39</x:v>
      </x:c>
      <x:c r="F285" s="17" t="n">
        <x:v>2</x:v>
      </x:c>
      <x:c r="G285" s="17" t="str">
        <x:v>Upgrade to Lv2</x:v>
      </x:c>
      <x:c r="H285" s="38" t="n">
        <x:f>ROUND(H284*INDEX('Balance Inputs'!$C$2:$C$7,MATCH(C285,'Balance Inputs'!$A$2:$A$7,0)),0)</x:f>
        <x:v>1479044</x:v>
      </x:c>
      <x:c r="I285" s="38" t="n">
        <x:f>ROUND(INDEX('Balance Inputs'!$L$2:$L$51,MATCH(A285,'Balance Inputs'!$I$2:$I$51,0))*POWER(INDEX('Balance Inputs'!$D$2:$D$7,MATCH(C285,'Balance Inputs'!$A$2:$A$7,0)),F285-1),0)</x:f>
        <x:v>74290</x:v>
      </x:c>
      <x:c r="J285" s="38" t="n">
        <x:f>ROUND(I285*INDEX('Balance Inputs'!$F$2:$F$7,MATCH(C285,'Balance Inputs'!$A$2:$A$7,0)),0)</x:f>
        <x:v>11144</x:v>
      </x:c>
      <x:c r="K285" s="38" t="n">
        <x:f>I285-J285</x:f>
        <x:v>63146</x:v>
      </x:c>
      <x:c r="L285" s="38" t="n">
        <x:f>ROUND(INDEX('Balance Inputs'!$M$2:$M$51,MATCH(A285,'Balance Inputs'!$I$2:$I$51,0))*POWER(INDEX('Balance Inputs'!$E$2:$E$7,MATCH(C285,'Balance Inputs'!$A$2:$A$7,0)),F285-1),0)</x:f>
        <x:v>60155</x:v>
      </x:c>
      <x:c r="M285" s="38" t="n">
        <x:f>ROUND(INDEX('Balance Inputs'!$N$2:$N$51,MATCH(A285,'Balance Inputs'!$I$2:$I$51,0))*POWER(INDEX('Balance Inputs'!$G$2:$G$7,MATCH(C285,'Balance Inputs'!$A$2:$A$7,0)),F285-1),0)</x:f>
        <x:v>7687</x:v>
      </x:c>
      <x:c r="N285" s="38" t="n">
        <x:f>IF(A285&lt;&gt;A284,H285,N284+H285)</x:f>
        <x:v>2392034</x:v>
      </x:c>
      <x:c r="O285" s="42" t="n">
        <x:f>IF(I285=0,0,H285/I285)</x:f>
        <x:v>19.90905909274465</x:v>
      </x:c>
      <x:c r="P285" s="43" t="n">
        <x:f>I285/INDEX('Balance Inputs'!$L$2:$L$51,MATCH(A285,'Balance Inputs'!$I$2:$I$51,0))</x:f>
        <x:v>1.3700070077084794</x:v>
      </x:c>
      <x:c r="Q285" s="43" t="n">
        <x:f>L285/INDEX('Balance Inputs'!$M$2:$M$51,MATCH(A285,'Balance Inputs'!$I$2:$I$51,0))</x:f>
        <x:v>1.3500078547543706</x:v>
      </x:c>
      <x:c r="R285" s="17"/>
      <x:c r="S285" s="17"/>
      <x:c r="T285" s="17"/>
      <x:c r="U285" s="17"/>
      <x:c r="V285" s="17"/>
      <x:c r="W285" s="17"/>
      <x:c r="X285" s="17"/>
      <x:c r="Y285" s="17"/>
      <x:c r="Z285" s="17"/>
    </x:row>
    <x:row r="286">
      <x:c r="A286" s="17" t="n">
        <x:v>39</x:v>
      </x:c>
      <x:c r="B286" s="17" t="str">
        <x:v>Securities Exchange</x:v>
      </x:c>
      <x:c r="C286" s="17" t="str">
        <x:v>Established</x:v>
      </x:c>
      <x:c r="D286" s="17" t="str">
        <x:v>Epic</x:v>
      </x:c>
      <x:c r="E286" s="17" t="n">
        <x:v>39</x:v>
      </x:c>
      <x:c r="F286" s="17" t="n">
        <x:v>3</x:v>
      </x:c>
      <x:c r="G286" s="17" t="str">
        <x:v>Upgrade to Lv3</x:v>
      </x:c>
      <x:c r="H286" s="38" t="n">
        <x:f>ROUND(H285*INDEX('Balance Inputs'!$C$2:$C$7,MATCH(C286,'Balance Inputs'!$A$2:$A$7,0)),0)</x:f>
        <x:v>2396051</x:v>
      </x:c>
      <x:c r="I286" s="38" t="n">
        <x:f>ROUND(INDEX('Balance Inputs'!$L$2:$L$51,MATCH(A286,'Balance Inputs'!$I$2:$I$51,0))*POWER(INDEX('Balance Inputs'!$D$2:$D$7,MATCH(C286,'Balance Inputs'!$A$2:$A$7,0)),F286-1),0)</x:f>
        <x:v>101777</x:v>
      </x:c>
      <x:c r="J286" s="38" t="n">
        <x:f>ROUND(I286*INDEX('Balance Inputs'!$F$2:$F$7,MATCH(C286,'Balance Inputs'!$A$2:$A$7,0)),0)</x:f>
        <x:v>15267</x:v>
      </x:c>
      <x:c r="K286" s="38" t="n">
        <x:f>I286-J286</x:f>
        <x:v>86510</x:v>
      </x:c>
      <x:c r="L286" s="38" t="n">
        <x:f>ROUND(INDEX('Balance Inputs'!$M$2:$M$51,MATCH(A286,'Balance Inputs'!$I$2:$I$51,0))*POWER(INDEX('Balance Inputs'!$E$2:$E$7,MATCH(C286,'Balance Inputs'!$A$2:$A$7,0)),F286-1),0)</x:f>
        <x:v>81209</x:v>
      </x:c>
      <x:c r="M286" s="38" t="n">
        <x:f>ROUND(INDEX('Balance Inputs'!$N$2:$N$51,MATCH(A286,'Balance Inputs'!$I$2:$I$51,0))*POWER(INDEX('Balance Inputs'!$G$2:$G$7,MATCH(C286,'Balance Inputs'!$A$2:$A$7,0)),F286-1),0)</x:f>
        <x:v>8840</x:v>
      </x:c>
      <x:c r="N286" s="38" t="n">
        <x:f>IF(A286&lt;&gt;A285,H286,N285+H286)</x:f>
        <x:v>4788085</x:v>
      </x:c>
      <x:c r="O286" s="42" t="n">
        <x:f>IF(I286=0,0,H286/I286)</x:f>
        <x:v>23.54216571524018</x:v>
      </x:c>
      <x:c r="P286" s="43" t="n">
        <x:f>I286/INDEX('Balance Inputs'!$L$2:$L$51,MATCH(A286,'Balance Inputs'!$I$2:$I$51,0))</x:f>
        <x:v>1.8769040681591855</x:v>
      </x:c>
      <x:c r="Q286" s="43" t="n">
        <x:f>L286/INDEX('Balance Inputs'!$M$2:$M$51,MATCH(A286,'Balance Inputs'!$I$2:$I$51,0))</x:f>
        <x:v>1.822504993379564</x:v>
      </x:c>
      <x:c r="R286" s="17"/>
      <x:c r="S286" s="17"/>
      <x:c r="T286" s="17"/>
      <x:c r="U286" s="17"/>
      <x:c r="V286" s="17"/>
      <x:c r="W286" s="17"/>
      <x:c r="X286" s="17"/>
      <x:c r="Y286" s="17"/>
      <x:c r="Z286" s="17"/>
    </x:row>
    <x:row r="287">
      <x:c r="A287" s="17" t="n">
        <x:v>39</x:v>
      </x:c>
      <x:c r="B287" s="17" t="str">
        <x:v>Securities Exchange</x:v>
      </x:c>
      <x:c r="C287" s="17" t="str">
        <x:v>Established</x:v>
      </x:c>
      <x:c r="D287" s="17" t="str">
        <x:v>Epic</x:v>
      </x:c>
      <x:c r="E287" s="17" t="n">
        <x:v>39</x:v>
      </x:c>
      <x:c r="F287" s="17" t="n">
        <x:v>4</x:v>
      </x:c>
      <x:c r="G287" s="17" t="str">
        <x:v>Upgrade to Lv4</x:v>
      </x:c>
      <x:c r="H287" s="38" t="n">
        <x:f>ROUND(H286*INDEX('Balance Inputs'!$C$2:$C$7,MATCH(C287,'Balance Inputs'!$A$2:$A$7,0)),0)</x:f>
        <x:v>3881603</x:v>
      </x:c>
      <x:c r="I287" s="38" t="n">
        <x:f>ROUND(INDEX('Balance Inputs'!$L$2:$L$51,MATCH(A287,'Balance Inputs'!$I$2:$I$51,0))*POWER(INDEX('Balance Inputs'!$D$2:$D$7,MATCH(C287,'Balance Inputs'!$A$2:$A$7,0)),F287-1),0)</x:f>
        <x:v>139434</x:v>
      </x:c>
      <x:c r="J287" s="38" t="n">
        <x:f>ROUND(I287*INDEX('Balance Inputs'!$F$2:$F$7,MATCH(C287,'Balance Inputs'!$A$2:$A$7,0)),0)</x:f>
        <x:v>20915</x:v>
      </x:c>
      <x:c r="K287" s="38" t="n">
        <x:f>I287-J287</x:f>
        <x:v>118519</x:v>
      </x:c>
      <x:c r="L287" s="38" t="n">
        <x:f>ROUND(INDEX('Balance Inputs'!$M$2:$M$51,MATCH(A287,'Balance Inputs'!$I$2:$I$51,0))*POWER(INDEX('Balance Inputs'!$E$2:$E$7,MATCH(C287,'Balance Inputs'!$A$2:$A$7,0)),F287-1),0)</x:f>
        <x:v>109632</x:v>
      </x:c>
      <x:c r="M287" s="38" t="n">
        <x:f>ROUND(INDEX('Balance Inputs'!$N$2:$N$51,MATCH(A287,'Balance Inputs'!$I$2:$I$51,0))*POWER(INDEX('Balance Inputs'!$G$2:$G$7,MATCH(C287,'Balance Inputs'!$A$2:$A$7,0)),F287-1),0)</x:f>
        <x:v>10166</x:v>
      </x:c>
      <x:c r="N287" s="38" t="n">
        <x:f>IF(A287&lt;&gt;A286,H287,N286+H287)</x:f>
        <x:v>8669688</x:v>
      </x:c>
      <x:c r="O287" s="42" t="n">
        <x:f>IF(I287=0,0,H287/I287)</x:f>
        <x:v>27.8382819111551</x:v>
      </x:c>
      <x:c r="P287" s="43" t="n">
        <x:f>I287/INDEX('Balance Inputs'!$L$2:$L$51,MATCH(A287,'Balance Inputs'!$I$2:$I$51,0))</x:f>
        <x:v>2.5713495371224138</x:v>
      </x:c>
      <x:c r="Q287" s="43" t="n">
        <x:f>L287/INDEX('Balance Inputs'!$M$2:$M$51,MATCH(A287,'Balance Inputs'!$I$2:$I$51,0))</x:f>
        <x:v>2.46037837473911</x:v>
      </x:c>
      <x:c r="R287" s="17"/>
      <x:c r="S287" s="17"/>
      <x:c r="T287" s="17"/>
      <x:c r="U287" s="17"/>
      <x:c r="V287" s="17"/>
      <x:c r="W287" s="17"/>
      <x:c r="X287" s="17"/>
      <x:c r="Y287" s="17"/>
      <x:c r="Z287" s="17"/>
    </x:row>
    <x:row r="288">
      <x:c r="A288" s="17" t="n">
        <x:v>39</x:v>
      </x:c>
      <x:c r="B288" s="17" t="str">
        <x:v>Securities Exchange</x:v>
      </x:c>
      <x:c r="C288" s="17" t="str">
        <x:v>Established</x:v>
      </x:c>
      <x:c r="D288" s="17" t="str">
        <x:v>Epic</x:v>
      </x:c>
      <x:c r="E288" s="17" t="n">
        <x:v>39</x:v>
      </x:c>
      <x:c r="F288" s="17" t="n">
        <x:v>5</x:v>
      </x:c>
      <x:c r="G288" s="17" t="str">
        <x:v>Upgrade to Lv5</x:v>
      </x:c>
      <x:c r="H288" s="38" t="n">
        <x:f>ROUND(H287*INDEX('Balance Inputs'!$C$2:$C$7,MATCH(C288,'Balance Inputs'!$A$2:$A$7,0)),0)</x:f>
        <x:v>6288197</x:v>
      </x:c>
      <x:c r="I288" s="38" t="n">
        <x:f>ROUND(INDEX('Balance Inputs'!$L$2:$L$51,MATCH(A288,'Balance Inputs'!$I$2:$I$51,0))*POWER(INDEX('Balance Inputs'!$D$2:$D$7,MATCH(C288,'Balance Inputs'!$A$2:$A$7,0)),F288-1),0)</x:f>
        <x:v>191025</x:v>
      </x:c>
      <x:c r="J288" s="38" t="n">
        <x:f>ROUND(I288*INDEX('Balance Inputs'!$F$2:$F$7,MATCH(C288,'Balance Inputs'!$A$2:$A$7,0)),0)</x:f>
        <x:v>28654</x:v>
      </x:c>
      <x:c r="K288" s="38" t="n">
        <x:f>I288-J288</x:f>
        <x:v>162371</x:v>
      </x:c>
      <x:c r="L288" s="38" t="n">
        <x:f>ROUND(INDEX('Balance Inputs'!$M$2:$M$51,MATCH(A288,'Balance Inputs'!$I$2:$I$51,0))*POWER(INDEX('Balance Inputs'!$E$2:$E$7,MATCH(C288,'Balance Inputs'!$A$2:$A$7,0)),F288-1),0)</x:f>
        <x:v>148003</x:v>
      </x:c>
      <x:c r="M288" s="38" t="n">
        <x:f>ROUND(INDEX('Balance Inputs'!$N$2:$N$51,MATCH(A288,'Balance Inputs'!$I$2:$I$51,0))*POWER(INDEX('Balance Inputs'!$G$2:$G$7,MATCH(C288,'Balance Inputs'!$A$2:$A$7,0)),F288-1),0)</x:f>
        <x:v>11690</x:v>
      </x:c>
      <x:c r="N288" s="38" t="n">
        <x:f>IF(A288&lt;&gt;A287,H288,N287+H288)</x:f>
        <x:v>14957885</x:v>
      </x:c>
      <x:c r="O288" s="42" t="n">
        <x:f>IF(I288=0,0,H288/I288)</x:f>
        <x:v>32.91818871875409</x:v>
      </x:c>
      <x:c r="P288" s="43" t="n">
        <x:f>I288/INDEX('Balance Inputs'!$L$2:$L$51,MATCH(A288,'Balance Inputs'!$I$2:$I$51,0))</x:f>
        <x:v>3.52275661121971</x:v>
      </x:c>
      <x:c r="Q288" s="43" t="n">
        <x:f>L288/INDEX('Balance Inputs'!$M$2:$M$51,MATCH(A288,'Balance Inputs'!$I$2:$I$51,0))</x:f>
        <x:v>3.3215063174667296</x:v>
      </x:c>
      <x:c r="R288" s="17"/>
      <x:c r="S288" s="17"/>
      <x:c r="T288" s="17"/>
      <x:c r="U288" s="17"/>
      <x:c r="V288" s="17"/>
      <x:c r="W288" s="17"/>
      <x:c r="X288" s="17"/>
      <x:c r="Y288" s="17"/>
      <x:c r="Z288" s="17"/>
    </x:row>
    <x:row r="289">
      <x:c r="A289" s="17" t="n">
        <x:v>39</x:v>
      </x:c>
      <x:c r="B289" s="17" t="str">
        <x:v>Securities Exchange</x:v>
      </x:c>
      <x:c r="C289" s="17" t="str">
        <x:v>Established</x:v>
      </x:c>
      <x:c r="D289" s="17" t="str">
        <x:v>Epic</x:v>
      </x:c>
      <x:c r="E289" s="17" t="n">
        <x:v>39</x:v>
      </x:c>
      <x:c r="F289" s="17" t="n">
        <x:v>6</x:v>
      </x:c>
      <x:c r="G289" s="17" t="str">
        <x:v>Upgrade to Lv6</x:v>
      </x:c>
      <x:c r="H289" s="38" t="n">
        <x:f>ROUND(H288*INDEX('Balance Inputs'!$C$2:$C$7,MATCH(C289,'Balance Inputs'!$A$2:$A$7,0)),0)</x:f>
        <x:v>10186879</x:v>
      </x:c>
      <x:c r="I289" s="38" t="n">
        <x:f>ROUND(INDEX('Balance Inputs'!$L$2:$L$51,MATCH(A289,'Balance Inputs'!$I$2:$I$51,0))*POWER(INDEX('Balance Inputs'!$D$2:$D$7,MATCH(C289,'Balance Inputs'!$A$2:$A$7,0)),F289-1),0)</x:f>
        <x:v>261704</x:v>
      </x:c>
      <x:c r="J289" s="38" t="n">
        <x:f>ROUND(I289*INDEX('Balance Inputs'!$F$2:$F$7,MATCH(C289,'Balance Inputs'!$A$2:$A$7,0)),0)</x:f>
        <x:v>39256</x:v>
      </x:c>
      <x:c r="K289" s="38" t="n">
        <x:f>I289-J289</x:f>
        <x:v>222448</x:v>
      </x:c>
      <x:c r="L289" s="38" t="n">
        <x:f>ROUND(INDEX('Balance Inputs'!$M$2:$M$51,MATCH(A289,'Balance Inputs'!$I$2:$I$51,0))*POWER(INDEX('Balance Inputs'!$E$2:$E$7,MATCH(C289,'Balance Inputs'!$A$2:$A$7,0)),F289-1),0)</x:f>
        <x:v>199804</x:v>
      </x:c>
      <x:c r="M289" s="38" t="n">
        <x:f>ROUND(INDEX('Balance Inputs'!$N$2:$N$51,MATCH(A289,'Balance Inputs'!$I$2:$I$51,0))*POWER(INDEX('Balance Inputs'!$G$2:$G$7,MATCH(C289,'Balance Inputs'!$A$2:$A$7,0)),F289-1),0)</x:f>
        <x:v>13444</x:v>
      </x:c>
      <x:c r="N289" s="38" t="n">
        <x:f>IF(A289&lt;&gt;A288,H289,N288+H289)</x:f>
        <x:v>25144764</x:v>
      </x:c>
      <x:c r="O289" s="42" t="n">
        <x:f>IF(I289=0,0,H289/I289)</x:f>
        <x:v>38.925194112432365</x:v>
      </x:c>
      <x:c r="P289" s="43" t="n">
        <x:f>I289/INDEX('Balance Inputs'!$L$2:$L$51,MATCH(A289,'Balance Inputs'!$I$2:$I$51,0))</x:f>
        <x:v>4.826171947036477</x:v>
      </x:c>
      <x:c r="Q289" s="43" t="n">
        <x:f>L289/INDEX('Balance Inputs'!$M$2:$M$51,MATCH(A289,'Balance Inputs'!$I$2:$I$51,0))</x:f>
        <x:v>4.484032406472318</x:v>
      </x:c>
      <x:c r="R289" s="17"/>
      <x:c r="S289" s="17"/>
      <x:c r="T289" s="17"/>
      <x:c r="U289" s="17"/>
      <x:c r="V289" s="17"/>
      <x:c r="W289" s="17"/>
      <x:c r="X289" s="17"/>
      <x:c r="Y289" s="17"/>
      <x:c r="Z289" s="17"/>
    </x:row>
    <x:row r="290">
      <x:c r="A290" s="17" t="n">
        <x:v>39</x:v>
      </x:c>
      <x:c r="B290" s="17" t="str">
        <x:v>Securities Exchange</x:v>
      </x:c>
      <x:c r="C290" s="17" t="str">
        <x:v>Established</x:v>
      </x:c>
      <x:c r="D290" s="17" t="str">
        <x:v>Epic</x:v>
      </x:c>
      <x:c r="E290" s="17" t="n">
        <x:v>39</x:v>
      </x:c>
      <x:c r="F290" s="17" t="n">
        <x:v>7</x:v>
      </x:c>
      <x:c r="G290" s="17" t="str">
        <x:v>Upgrade to Lv7</x:v>
      </x:c>
      <x:c r="H290" s="38" t="n">
        <x:f>ROUND(H289*INDEX('Balance Inputs'!$C$2:$C$7,MATCH(C290,'Balance Inputs'!$A$2:$A$7,0)),0)</x:f>
        <x:v>16502744</x:v>
      </x:c>
      <x:c r="I290" s="38" t="n">
        <x:f>ROUND(INDEX('Balance Inputs'!$L$2:$L$51,MATCH(A290,'Balance Inputs'!$I$2:$I$51,0))*POWER(INDEX('Balance Inputs'!$D$2:$D$7,MATCH(C290,'Balance Inputs'!$A$2:$A$7,0)),F290-1),0)</x:f>
        <x:v>358535</x:v>
      </x:c>
      <x:c r="J290" s="38" t="n">
        <x:f>ROUND(I290*INDEX('Balance Inputs'!$F$2:$F$7,MATCH(C290,'Balance Inputs'!$A$2:$A$7,0)),0)</x:f>
        <x:v>53780</x:v>
      </x:c>
      <x:c r="K290" s="38" t="n">
        <x:f>I290-J290</x:f>
        <x:v>304755</x:v>
      </x:c>
      <x:c r="L290" s="38" t="n">
        <x:f>ROUND(INDEX('Balance Inputs'!$M$2:$M$51,MATCH(A290,'Balance Inputs'!$I$2:$I$51,0))*POWER(INDEX('Balance Inputs'!$E$2:$E$7,MATCH(C290,'Balance Inputs'!$A$2:$A$7,0)),F290-1),0)</x:f>
        <x:v>269735</x:v>
      </x:c>
      <x:c r="M290" s="38" t="n">
        <x:f>ROUND(INDEX('Balance Inputs'!$N$2:$N$51,MATCH(A290,'Balance Inputs'!$I$2:$I$51,0))*POWER(INDEX('Balance Inputs'!$G$2:$G$7,MATCH(C290,'Balance Inputs'!$A$2:$A$7,0)),F290-1),0)</x:f>
        <x:v>15460</x:v>
      </x:c>
      <x:c r="N290" s="38" t="n">
        <x:f>IF(A290&lt;&gt;A289,H290,N289+H290)</x:f>
        <x:v>41647508</x:v>
      </x:c>
      <x:c r="O290" s="42" t="n">
        <x:f>IF(I290=0,0,H290/I290)</x:f>
        <x:v>46.02826502294058</x:v>
      </x:c>
      <x:c r="P290" s="43" t="n">
        <x:f>I290/INDEX('Balance Inputs'!$L$2:$L$51,MATCH(A290,'Balance Inputs'!$I$2:$I$51,0))</x:f>
        <x:v>6.611865156935787</x:v>
      </x:c>
      <x:c r="Q290" s="43" t="n">
        <x:f>L290/INDEX('Balance Inputs'!$M$2:$M$51,MATCH(A290,'Balance Inputs'!$I$2:$I$51,0))</x:f>
        <x:v>6.053434771875491</x:v>
      </x:c>
      <x:c r="R290" s="17"/>
      <x:c r="S290" s="17"/>
      <x:c r="T290" s="17"/>
      <x:c r="U290" s="17"/>
      <x:c r="V290" s="17"/>
      <x:c r="W290" s="17"/>
      <x:c r="X290" s="17"/>
      <x:c r="Y290" s="17"/>
      <x:c r="Z290" s="17"/>
    </x:row>
    <x:row r="291">
      <x:c r="A291" s="17" t="n">
        <x:v>39</x:v>
      </x:c>
      <x:c r="B291" s="17" t="str">
        <x:v>Securities Exchange</x:v>
      </x:c>
      <x:c r="C291" s="17" t="str">
        <x:v>Established</x:v>
      </x:c>
      <x:c r="D291" s="17" t="str">
        <x:v>Epic</x:v>
      </x:c>
      <x:c r="E291" s="17" t="n">
        <x:v>39</x:v>
      </x:c>
      <x:c r="F291" s="17" t="n">
        <x:v>8</x:v>
      </x:c>
      <x:c r="G291" s="17" t="str">
        <x:v>Upgrade to Lv8</x:v>
      </x:c>
      <x:c r="H291" s="38" t="n">
        <x:f>ROUND(H290*INDEX('Balance Inputs'!$C$2:$C$7,MATCH(C291,'Balance Inputs'!$A$2:$A$7,0)),0)</x:f>
        <x:v>26734445</x:v>
      </x:c>
      <x:c r="I291" s="38" t="n">
        <x:f>ROUND(INDEX('Balance Inputs'!$L$2:$L$51,MATCH(A291,'Balance Inputs'!$I$2:$I$51,0))*POWER(INDEX('Balance Inputs'!$D$2:$D$7,MATCH(C291,'Balance Inputs'!$A$2:$A$7,0)),F291-1),0)</x:f>
        <x:v>491192</x:v>
      </x:c>
      <x:c r="J291" s="38" t="n">
        <x:f>ROUND(I291*INDEX('Balance Inputs'!$F$2:$F$7,MATCH(C291,'Balance Inputs'!$A$2:$A$7,0)),0)</x:f>
        <x:v>73679</x:v>
      </x:c>
      <x:c r="K291" s="38" t="n">
        <x:f>I291-J291</x:f>
        <x:v>417513</x:v>
      </x:c>
      <x:c r="L291" s="38" t="n">
        <x:f>ROUND(INDEX('Balance Inputs'!$M$2:$M$51,MATCH(A291,'Balance Inputs'!$I$2:$I$51,0))*POWER(INDEX('Balance Inputs'!$E$2:$E$7,MATCH(C291,'Balance Inputs'!$A$2:$A$7,0)),F291-1),0)</x:f>
        <x:v>364143</x:v>
      </x:c>
      <x:c r="M291" s="38" t="n">
        <x:f>ROUND(INDEX('Balance Inputs'!$N$2:$N$51,MATCH(A291,'Balance Inputs'!$I$2:$I$51,0))*POWER(INDEX('Balance Inputs'!$G$2:$G$7,MATCH(C291,'Balance Inputs'!$A$2:$A$7,0)),F291-1),0)</x:f>
        <x:v>17780</x:v>
      </x:c>
      <x:c r="N291" s="38" t="n">
        <x:f>IF(A291&lt;&gt;A290,H291,N290+H291)</x:f>
        <x:v>68381953</x:v>
      </x:c>
      <x:c r="O291" s="42" t="n">
        <x:f>IF(I291=0,0,H291/I291)</x:f>
        <x:v>54.4276881545302</x:v>
      </x:c>
      <x:c r="P291" s="43" t="n">
        <x:f>I291/INDEX('Balance Inputs'!$L$2:$L$51,MATCH(A291,'Balance Inputs'!$I$2:$I$51,0))</x:f>
        <x:v>9.05823774573083</x:v>
      </x:c>
      <x:c r="Q291" s="43" t="n">
        <x:f>L291/INDEX('Balance Inputs'!$M$2:$M$51,MATCH(A291,'Balance Inputs'!$I$2:$I$51,0))</x:f>
        <x:v>8.172153773648422</x:v>
      </x:c>
      <x:c r="R291" s="17"/>
      <x:c r="S291" s="17"/>
      <x:c r="T291" s="17"/>
      <x:c r="U291" s="17"/>
      <x:c r="V291" s="17"/>
      <x:c r="W291" s="17"/>
      <x:c r="X291" s="17"/>
      <x:c r="Y291" s="17"/>
      <x:c r="Z291" s="17"/>
    </x:row>
    <x:row r="292">
      <x:c r="A292" s="17" t="n">
        <x:v>39</x:v>
      </x:c>
      <x:c r="B292" s="17" t="str">
        <x:v>Securities Exchange</x:v>
      </x:c>
      <x:c r="C292" s="17" t="str">
        <x:v>Established</x:v>
      </x:c>
      <x:c r="D292" s="17" t="str">
        <x:v>Epic</x:v>
      </x:c>
      <x:c r="E292" s="17" t="n">
        <x:v>39</x:v>
      </x:c>
      <x:c r="F292" s="17" t="n">
        <x:v>9</x:v>
      </x:c>
      <x:c r="G292" s="17" t="str">
        <x:v>Upgrade to Lv9</x:v>
      </x:c>
      <x:c r="H292" s="38" t="n">
        <x:f>ROUND(H291*INDEX('Balance Inputs'!$C$2:$C$7,MATCH(C292,'Balance Inputs'!$A$2:$A$7,0)),0)</x:f>
        <x:v>43309801</x:v>
      </x:c>
      <x:c r="I292" s="38" t="n">
        <x:f>ROUND(INDEX('Balance Inputs'!$L$2:$L$51,MATCH(A292,'Balance Inputs'!$I$2:$I$51,0))*POWER(INDEX('Balance Inputs'!$D$2:$D$7,MATCH(C292,'Balance Inputs'!$A$2:$A$7,0)),F292-1),0)</x:f>
        <x:v>672933</x:v>
      </x:c>
      <x:c r="J292" s="38" t="n">
        <x:f>ROUND(I292*INDEX('Balance Inputs'!$F$2:$F$7,MATCH(C292,'Balance Inputs'!$A$2:$A$7,0)),0)</x:f>
        <x:v>100940</x:v>
      </x:c>
      <x:c r="K292" s="38" t="n">
        <x:f>I292-J292</x:f>
        <x:v>571993</x:v>
      </x:c>
      <x:c r="L292" s="38" t="n">
        <x:f>ROUND(INDEX('Balance Inputs'!$M$2:$M$51,MATCH(A292,'Balance Inputs'!$I$2:$I$51,0))*POWER(INDEX('Balance Inputs'!$E$2:$E$7,MATCH(C292,'Balance Inputs'!$A$2:$A$7,0)),F292-1),0)</x:f>
        <x:v>491593</x:v>
      </x:c>
      <x:c r="M292" s="38" t="n">
        <x:f>ROUND(INDEX('Balance Inputs'!$N$2:$N$51,MATCH(A292,'Balance Inputs'!$I$2:$I$51,0))*POWER(INDEX('Balance Inputs'!$G$2:$G$7,MATCH(C292,'Balance Inputs'!$A$2:$A$7,0)),F292-1),0)</x:f>
        <x:v>20447</x:v>
      </x:c>
      <x:c r="N292" s="38" t="n">
        <x:f>IF(A292&lt;&gt;A291,H292,N291+H292)</x:f>
        <x:v>111691754</x:v>
      </x:c>
      <x:c r="O292" s="42" t="n">
        <x:f>IF(I292=0,0,H292/I292)</x:f>
        <x:v>64.35975201097285</x:v>
      </x:c>
      <x:c r="P292" s="43" t="n">
        <x:f>I292/INDEX('Balance Inputs'!$L$2:$L$51,MATCH(A292,'Balance Inputs'!$I$2:$I$51,0))</x:f>
        <x:v>12.409784973997713</x:v>
      </x:c>
      <x:c r="Q292" s="43" t="n">
        <x:f>L292/INDEX('Balance Inputs'!$M$2:$M$51,MATCH(A292,'Balance Inputs'!$I$2:$I$51,0))</x:f>
        <x:v>11.032406472317602</x:v>
      </x:c>
      <x:c r="R292" s="17"/>
      <x:c r="S292" s="17"/>
      <x:c r="T292" s="17"/>
      <x:c r="U292" s="17"/>
      <x:c r="V292" s="17"/>
      <x:c r="W292" s="17"/>
      <x:c r="X292" s="17"/>
      <x:c r="Y292" s="17"/>
      <x:c r="Z292" s="17"/>
    </x:row>
    <x:row r="293">
      <x:c r="A293" s="17" t="n">
        <x:v>40</x:v>
      </x:c>
      <x:c r="B293" s="17" t="str">
        <x:v>Investment Bank</x:v>
      </x:c>
      <x:c r="C293" s="17" t="str">
        <x:v>Established</x:v>
      </x:c>
      <x:c r="D293" s="17" t="str">
        <x:v>Epic</x:v>
      </x:c>
      <x:c r="E293" s="17" t="n">
        <x:v>40</x:v>
      </x:c>
      <x:c r="F293" s="17" t="n">
        <x:v>1</x:v>
      </x:c>
      <x:c r="G293" s="17" t="str">
        <x:v>Build</x:v>
      </x:c>
      <x:c r="H293" s="38" t="n">
        <x:f>INDEX('Balance Inputs'!$K$2:$K$51,MATCH(A293,'Balance Inputs'!$I$2:$I$51,0))</x:f>
        <x:v>1127540</x:v>
      </x:c>
      <x:c r="I293" s="38" t="n">
        <x:f>ROUND(INDEX('Balance Inputs'!$L$2:$L$51,MATCH(A293,'Balance Inputs'!$I$2:$I$51,0))*POWER(INDEX('Balance Inputs'!$D$2:$D$7,MATCH(C293,'Balance Inputs'!$A$2:$A$7,0)),F293-1),0)</x:f>
        <x:v>64791</x:v>
      </x:c>
      <x:c r="J293" s="38" t="n">
        <x:f>ROUND(I293*INDEX('Balance Inputs'!$F$2:$F$7,MATCH(C293,'Balance Inputs'!$A$2:$A$7,0)),0)</x:f>
        <x:v>9719</x:v>
      </x:c>
      <x:c r="K293" s="38" t="n">
        <x:f>I293-J293</x:f>
        <x:v>55072</x:v>
      </x:c>
      <x:c r="L293" s="38" t="n">
        <x:f>ROUND(INDEX('Balance Inputs'!$M$2:$M$51,MATCH(A293,'Balance Inputs'!$I$2:$I$51,0))*POWER(INDEX('Balance Inputs'!$E$2:$E$7,MATCH(C293,'Balance Inputs'!$A$2:$A$7,0)),F293-1),0)</x:f>
        <x:v>53025</x:v>
      </x:c>
      <x:c r="M293" s="38" t="n">
        <x:f>ROUND(INDEX('Balance Inputs'!$N$2:$N$51,MATCH(A293,'Balance Inputs'!$I$2:$I$51,0))*POWER(INDEX('Balance Inputs'!$G$2:$G$7,MATCH(C293,'Balance Inputs'!$A$2:$A$7,0)),F293-1),0)</x:f>
        <x:v>6363</x:v>
      </x:c>
      <x:c r="N293" s="38" t="n">
        <x:f>IF(A293&lt;&gt;A292,H293,N292+H293)</x:f>
        <x:v>1127540</x:v>
      </x:c>
      <x:c r="O293" s="42" t="n">
        <x:f>IF(I293=0,0,H293/I293)</x:f>
        <x:v>17.402725687209642</x:v>
      </x:c>
      <x:c r="P293" s="43" t="n">
        <x:f>I293/INDEX('Balance Inputs'!$L$2:$L$51,MATCH(A293,'Balance Inputs'!$I$2:$I$51,0))</x:f>
        <x:v>1</x:v>
      </x:c>
      <x:c r="Q293" s="43" t="n">
        <x:f>L293/INDEX('Balance Inputs'!$M$2:$M$51,MATCH(A293,'Balance Inputs'!$I$2:$I$51,0))</x:f>
        <x:v>1</x:v>
      </x:c>
      <x:c r="R293" s="17"/>
      <x:c r="S293" s="17"/>
      <x:c r="T293" s="17"/>
      <x:c r="U293" s="17"/>
      <x:c r="V293" s="17"/>
      <x:c r="W293" s="17"/>
      <x:c r="X293" s="17"/>
      <x:c r="Y293" s="17"/>
      <x:c r="Z293" s="17"/>
    </x:row>
    <x:row r="294">
      <x:c r="A294" s="17" t="n">
        <x:v>40</x:v>
      </x:c>
      <x:c r="B294" s="17" t="str">
        <x:v>Investment Bank</x:v>
      </x:c>
      <x:c r="C294" s="17" t="str">
        <x:v>Established</x:v>
      </x:c>
      <x:c r="D294" s="17" t="str">
        <x:v>Epic</x:v>
      </x:c>
      <x:c r="E294" s="17" t="n">
        <x:v>40</x:v>
      </x:c>
      <x:c r="F294" s="17" t="n">
        <x:v>2</x:v>
      </x:c>
      <x:c r="G294" s="17" t="str">
        <x:v>Upgrade to Lv2</x:v>
      </x:c>
      <x:c r="H294" s="38" t="n">
        <x:f>ROUND(H293*INDEX('Balance Inputs'!$C$2:$C$7,MATCH(C294,'Balance Inputs'!$A$2:$A$7,0)),0)</x:f>
        <x:v>1826615</x:v>
      </x:c>
      <x:c r="I294" s="38" t="n">
        <x:f>ROUND(INDEX('Balance Inputs'!$L$2:$L$51,MATCH(A294,'Balance Inputs'!$I$2:$I$51,0))*POWER(INDEX('Balance Inputs'!$D$2:$D$7,MATCH(C294,'Balance Inputs'!$A$2:$A$7,0)),F294-1),0)</x:f>
        <x:v>88764</x:v>
      </x:c>
      <x:c r="J294" s="38" t="n">
        <x:f>ROUND(I294*INDEX('Balance Inputs'!$F$2:$F$7,MATCH(C294,'Balance Inputs'!$A$2:$A$7,0)),0)</x:f>
        <x:v>13315</x:v>
      </x:c>
      <x:c r="K294" s="38" t="n">
        <x:f>I294-J294</x:f>
        <x:v>75449</x:v>
      </x:c>
      <x:c r="L294" s="38" t="n">
        <x:f>ROUND(INDEX('Balance Inputs'!$M$2:$M$51,MATCH(A294,'Balance Inputs'!$I$2:$I$51,0))*POWER(INDEX('Balance Inputs'!$E$2:$E$7,MATCH(C294,'Balance Inputs'!$A$2:$A$7,0)),F294-1),0)</x:f>
        <x:v>71584</x:v>
      </x:c>
      <x:c r="M294" s="38" t="n">
        <x:f>ROUND(INDEX('Balance Inputs'!$N$2:$N$51,MATCH(A294,'Balance Inputs'!$I$2:$I$51,0))*POWER(INDEX('Balance Inputs'!$G$2:$G$7,MATCH(C294,'Balance Inputs'!$A$2:$A$7,0)),F294-1),0)</x:f>
        <x:v>7317</x:v>
      </x:c>
      <x:c r="N294" s="38" t="n">
        <x:f>IF(A294&lt;&gt;A293,H294,N293+H294)</x:f>
        <x:v>2954155</x:v>
      </x:c>
      <x:c r="O294" s="42" t="n">
        <x:f>IF(I294=0,0,H294/I294)</x:f>
        <x:v>20.578331305484205</x:v>
      </x:c>
      <x:c r="P294" s="43" t="n">
        <x:f>I294/INDEX('Balance Inputs'!$L$2:$L$51,MATCH(A294,'Balance Inputs'!$I$2:$I$51,0))</x:f>
        <x:v>1.3700050932999954</x:v>
      </x:c>
      <x:c r="Q294" s="43" t="n">
        <x:f>L294/INDEX('Balance Inputs'!$M$2:$M$51,MATCH(A294,'Balance Inputs'!$I$2:$I$51,0))</x:f>
        <x:v>1.35000471475719</x:v>
      </x:c>
      <x:c r="R294" s="17"/>
      <x:c r="S294" s="17"/>
      <x:c r="T294" s="17"/>
      <x:c r="U294" s="17"/>
      <x:c r="V294" s="17"/>
      <x:c r="W294" s="17"/>
      <x:c r="X294" s="17"/>
      <x:c r="Y294" s="17"/>
      <x:c r="Z294" s="17"/>
    </x:row>
    <x:row r="295">
      <x:c r="A295" s="17" t="n">
        <x:v>40</x:v>
      </x:c>
      <x:c r="B295" s="17" t="str">
        <x:v>Investment Bank</x:v>
      </x:c>
      <x:c r="C295" s="17" t="str">
        <x:v>Established</x:v>
      </x:c>
      <x:c r="D295" s="17" t="str">
        <x:v>Epic</x:v>
      </x:c>
      <x:c r="E295" s="17" t="n">
        <x:v>40</x:v>
      </x:c>
      <x:c r="F295" s="17" t="n">
        <x:v>3</x:v>
      </x:c>
      <x:c r="G295" s="17" t="str">
        <x:v>Upgrade to Lv3</x:v>
      </x:c>
      <x:c r="H295" s="38" t="n">
        <x:f>ROUND(H294*INDEX('Balance Inputs'!$C$2:$C$7,MATCH(C295,'Balance Inputs'!$A$2:$A$7,0)),0)</x:f>
        <x:v>2959116</x:v>
      </x:c>
      <x:c r="I295" s="38" t="n">
        <x:f>ROUND(INDEX('Balance Inputs'!$L$2:$L$51,MATCH(A295,'Balance Inputs'!$I$2:$I$51,0))*POWER(INDEX('Balance Inputs'!$D$2:$D$7,MATCH(C295,'Balance Inputs'!$A$2:$A$7,0)),F295-1),0)</x:f>
        <x:v>121606</x:v>
      </x:c>
      <x:c r="J295" s="38" t="n">
        <x:f>ROUND(I295*INDEX('Balance Inputs'!$F$2:$F$7,MATCH(C295,'Balance Inputs'!$A$2:$A$7,0)),0)</x:f>
        <x:v>18241</x:v>
      </x:c>
      <x:c r="K295" s="38" t="n">
        <x:f>I295-J295</x:f>
        <x:v>103365</x:v>
      </x:c>
      <x:c r="L295" s="38" t="n">
        <x:f>ROUND(INDEX('Balance Inputs'!$M$2:$M$51,MATCH(A295,'Balance Inputs'!$I$2:$I$51,0))*POWER(INDEX('Balance Inputs'!$E$2:$E$7,MATCH(C295,'Balance Inputs'!$A$2:$A$7,0)),F295-1),0)</x:f>
        <x:v>96638</x:v>
      </x:c>
      <x:c r="M295" s="38" t="n">
        <x:f>ROUND(INDEX('Balance Inputs'!$N$2:$N$51,MATCH(A295,'Balance Inputs'!$I$2:$I$51,0))*POWER(INDEX('Balance Inputs'!$G$2:$G$7,MATCH(C295,'Balance Inputs'!$A$2:$A$7,0)),F295-1),0)</x:f>
        <x:v>8415</x:v>
      </x:c>
      <x:c r="N295" s="38" t="n">
        <x:f>IF(A295&lt;&gt;A294,H295,N294+H295)</x:f>
        <x:v>5913271</x:v>
      </x:c>
      <x:c r="O295" s="42" t="n">
        <x:f>IF(I295=0,0,H295/I295)</x:f>
        <x:v>24.333634853543412</x:v>
      </x:c>
      <x:c r="P295" s="43" t="n">
        <x:f>I295/INDEX('Balance Inputs'!$L$2:$L$51,MATCH(A295,'Balance Inputs'!$I$2:$I$51,0))</x:f>
        <x:v>1.8768964825361547</x:v>
      </x:c>
      <x:c r="Q295" s="43" t="n">
        <x:f>L295/INDEX('Balance Inputs'!$M$2:$M$51,MATCH(A295,'Balance Inputs'!$I$2:$I$51,0))</x:f>
        <x:v>1.8224988213107025</x:v>
      </x:c>
      <x:c r="R295" s="17"/>
      <x:c r="S295" s="17"/>
      <x:c r="T295" s="17"/>
      <x:c r="U295" s="17"/>
      <x:c r="V295" s="17"/>
      <x:c r="W295" s="17"/>
      <x:c r="X295" s="17"/>
      <x:c r="Y295" s="17"/>
      <x:c r="Z295" s="17"/>
    </x:row>
    <x:row r="296">
      <x:c r="A296" s="17" t="n">
        <x:v>40</x:v>
      </x:c>
      <x:c r="B296" s="17" t="str">
        <x:v>Investment Bank</x:v>
      </x:c>
      <x:c r="C296" s="17" t="str">
        <x:v>Established</x:v>
      </x:c>
      <x:c r="D296" s="17" t="str">
        <x:v>Epic</x:v>
      </x:c>
      <x:c r="E296" s="17" t="n">
        <x:v>40</x:v>
      </x:c>
      <x:c r="F296" s="17" t="n">
        <x:v>4</x:v>
      </x:c>
      <x:c r="G296" s="17" t="str">
        <x:v>Upgrade to Lv4</x:v>
      </x:c>
      <x:c r="H296" s="38" t="n">
        <x:f>ROUND(H295*INDEX('Balance Inputs'!$C$2:$C$7,MATCH(C296,'Balance Inputs'!$A$2:$A$7,0)),0)</x:f>
        <x:v>4793768</x:v>
      </x:c>
      <x:c r="I296" s="38" t="n">
        <x:f>ROUND(INDEX('Balance Inputs'!$L$2:$L$51,MATCH(A296,'Balance Inputs'!$I$2:$I$51,0))*POWER(INDEX('Balance Inputs'!$D$2:$D$7,MATCH(C296,'Balance Inputs'!$A$2:$A$7,0)),F296-1),0)</x:f>
        <x:v>166601</x:v>
      </x:c>
      <x:c r="J296" s="38" t="n">
        <x:f>ROUND(I296*INDEX('Balance Inputs'!$F$2:$F$7,MATCH(C296,'Balance Inputs'!$A$2:$A$7,0)),0)</x:f>
        <x:v>24990</x:v>
      </x:c>
      <x:c r="K296" s="38" t="n">
        <x:f>I296-J296</x:f>
        <x:v>141611</x:v>
      </x:c>
      <x:c r="L296" s="38" t="n">
        <x:f>ROUND(INDEX('Balance Inputs'!$M$2:$M$51,MATCH(A296,'Balance Inputs'!$I$2:$I$51,0))*POWER(INDEX('Balance Inputs'!$E$2:$E$7,MATCH(C296,'Balance Inputs'!$A$2:$A$7,0)),F296-1),0)</x:f>
        <x:v>130461</x:v>
      </x:c>
      <x:c r="M296" s="38" t="n">
        <x:f>ROUND(INDEX('Balance Inputs'!$N$2:$N$51,MATCH(A296,'Balance Inputs'!$I$2:$I$51,0))*POWER(INDEX('Balance Inputs'!$G$2:$G$7,MATCH(C296,'Balance Inputs'!$A$2:$A$7,0)),F296-1),0)</x:f>
        <x:v>9677</x:v>
      </x:c>
      <x:c r="N296" s="38" t="n">
        <x:f>IF(A296&lt;&gt;A295,H296,N295+H296)</x:f>
        <x:v>10707039</x:v>
      </x:c>
      <x:c r="O296" s="42" t="n">
        <x:f>IF(I296=0,0,H296/I296)</x:f>
        <x:v>28.773944934304115</x:v>
      </x:c>
      <x:c r="P296" s="43" t="n">
        <x:f>I296/INDEX('Balance Inputs'!$L$2:$L$51,MATCH(A296,'Balance Inputs'!$I$2:$I$51,0))</x:f>
        <x:v>2.571360219783612</x:v>
      </x:c>
      <x:c r="Q296" s="43" t="n">
        <x:f>L296/INDEX('Balance Inputs'!$M$2:$M$51,MATCH(A296,'Balance Inputs'!$I$2:$I$51,0))</x:f>
        <x:v>2.4603677510608204</x:v>
      </x:c>
      <x:c r="R296" s="17"/>
      <x:c r="S296" s="17"/>
      <x:c r="T296" s="17"/>
      <x:c r="U296" s="17"/>
      <x:c r="V296" s="17"/>
      <x:c r="W296" s="17"/>
      <x:c r="X296" s="17"/>
      <x:c r="Y296" s="17"/>
      <x:c r="Z296" s="17"/>
    </x:row>
    <x:row r="297">
      <x:c r="A297" s="17" t="n">
        <x:v>40</x:v>
      </x:c>
      <x:c r="B297" s="17" t="str">
        <x:v>Investment Bank</x:v>
      </x:c>
      <x:c r="C297" s="17" t="str">
        <x:v>Established</x:v>
      </x:c>
      <x:c r="D297" s="17" t="str">
        <x:v>Epic</x:v>
      </x:c>
      <x:c r="E297" s="17" t="n">
        <x:v>40</x:v>
      </x:c>
      <x:c r="F297" s="17" t="n">
        <x:v>5</x:v>
      </x:c>
      <x:c r="G297" s="17" t="str">
        <x:v>Upgrade to Lv5</x:v>
      </x:c>
      <x:c r="H297" s="38" t="n">
        <x:f>ROUND(H296*INDEX('Balance Inputs'!$C$2:$C$7,MATCH(C297,'Balance Inputs'!$A$2:$A$7,0)),0)</x:f>
        <x:v>7765904</x:v>
      </x:c>
      <x:c r="I297" s="38" t="n">
        <x:f>ROUND(INDEX('Balance Inputs'!$L$2:$L$51,MATCH(A297,'Balance Inputs'!$I$2:$I$51,0))*POWER(INDEX('Balance Inputs'!$D$2:$D$7,MATCH(C297,'Balance Inputs'!$A$2:$A$7,0)),F297-1),0)</x:f>
        <x:v>228243</x:v>
      </x:c>
      <x:c r="J297" s="38" t="n">
        <x:f>ROUND(I297*INDEX('Balance Inputs'!$F$2:$F$7,MATCH(C297,'Balance Inputs'!$A$2:$A$7,0)),0)</x:f>
        <x:v>34236</x:v>
      </x:c>
      <x:c r="K297" s="38" t="n">
        <x:f>I297-J297</x:f>
        <x:v>194007</x:v>
      </x:c>
      <x:c r="L297" s="38" t="n">
        <x:f>ROUND(INDEX('Balance Inputs'!$M$2:$M$51,MATCH(A297,'Balance Inputs'!$I$2:$I$51,0))*POWER(INDEX('Balance Inputs'!$E$2:$E$7,MATCH(C297,'Balance Inputs'!$A$2:$A$7,0)),F297-1),0)</x:f>
        <x:v>176123</x:v>
      </x:c>
      <x:c r="M297" s="38" t="n">
        <x:f>ROUND(INDEX('Balance Inputs'!$N$2:$N$51,MATCH(A297,'Balance Inputs'!$I$2:$I$51,0))*POWER(INDEX('Balance Inputs'!$G$2:$G$7,MATCH(C297,'Balance Inputs'!$A$2:$A$7,0)),F297-1),0)</x:f>
        <x:v>11129</x:v>
      </x:c>
      <x:c r="N297" s="38" t="n">
        <x:f>IF(A297&lt;&gt;A296,H297,N296+H297)</x:f>
        <x:v>18472943</x:v>
      </x:c>
      <x:c r="O297" s="42" t="n">
        <x:f>IF(I297=0,0,H297/I297)</x:f>
        <x:v>34.02471926849893</x:v>
      </x:c>
      <x:c r="P297" s="43" t="n">
        <x:f>I297/INDEX('Balance Inputs'!$L$2:$L$51,MATCH(A297,'Balance Inputs'!$I$2:$I$51,0))</x:f>
        <x:v>3.5227577904338565</x:v>
      </x:c>
      <x:c r="Q297" s="43" t="n">
        <x:f>L297/INDEX('Balance Inputs'!$M$2:$M$51,MATCH(A297,'Balance Inputs'!$I$2:$I$51,0))</x:f>
        <x:v>3.3215087223008015</x:v>
      </x:c>
      <x:c r="R297" s="17"/>
      <x:c r="S297" s="17"/>
      <x:c r="T297" s="17"/>
      <x:c r="U297" s="17"/>
      <x:c r="V297" s="17"/>
      <x:c r="W297" s="17"/>
      <x:c r="X297" s="17"/>
      <x:c r="Y297" s="17"/>
      <x:c r="Z297" s="17"/>
    </x:row>
    <x:row r="298">
      <x:c r="A298" s="17" t="n">
        <x:v>40</x:v>
      </x:c>
      <x:c r="B298" s="17" t="str">
        <x:v>Investment Bank</x:v>
      </x:c>
      <x:c r="C298" s="17" t="str">
        <x:v>Established</x:v>
      </x:c>
      <x:c r="D298" s="17" t="str">
        <x:v>Epic</x:v>
      </x:c>
      <x:c r="E298" s="17" t="n">
        <x:v>40</x:v>
      </x:c>
      <x:c r="F298" s="17" t="n">
        <x:v>6</x:v>
      </x:c>
      <x:c r="G298" s="17" t="str">
        <x:v>Upgrade to Lv6</x:v>
      </x:c>
      <x:c r="H298" s="38" t="n">
        <x:f>ROUND(H297*INDEX('Balance Inputs'!$C$2:$C$7,MATCH(C298,'Balance Inputs'!$A$2:$A$7,0)),0)</x:f>
        <x:v>12580764</x:v>
      </x:c>
      <x:c r="I298" s="38" t="n">
        <x:f>ROUND(INDEX('Balance Inputs'!$L$2:$L$51,MATCH(A298,'Balance Inputs'!$I$2:$I$51,0))*POWER(INDEX('Balance Inputs'!$D$2:$D$7,MATCH(C298,'Balance Inputs'!$A$2:$A$7,0)),F298-1),0)</x:f>
        <x:v>312693</x:v>
      </x:c>
      <x:c r="J298" s="38" t="n">
        <x:f>ROUND(I298*INDEX('Balance Inputs'!$F$2:$F$7,MATCH(C298,'Balance Inputs'!$A$2:$A$7,0)),0)</x:f>
        <x:v>46904</x:v>
      </x:c>
      <x:c r="K298" s="38" t="n">
        <x:f>I298-J298</x:f>
        <x:v>265789</x:v>
      </x:c>
      <x:c r="L298" s="38" t="n">
        <x:f>ROUND(INDEX('Balance Inputs'!$M$2:$M$51,MATCH(A298,'Balance Inputs'!$I$2:$I$51,0))*POWER(INDEX('Balance Inputs'!$E$2:$E$7,MATCH(C298,'Balance Inputs'!$A$2:$A$7,0)),F298-1),0)</x:f>
        <x:v>237766</x:v>
      </x:c>
      <x:c r="M298" s="38" t="n">
        <x:f>ROUND(INDEX('Balance Inputs'!$N$2:$N$51,MATCH(A298,'Balance Inputs'!$I$2:$I$51,0))*POWER(INDEX('Balance Inputs'!$G$2:$G$7,MATCH(C298,'Balance Inputs'!$A$2:$A$7,0)),F298-1),0)</x:f>
        <x:v>12798</x:v>
      </x:c>
      <x:c r="N298" s="38" t="n">
        <x:f>IF(A298&lt;&gt;A297,H298,N297+H298)</x:f>
        <x:v>31053707</x:v>
      </x:c>
      <x:c r="O298" s="42" t="n">
        <x:f>IF(I298=0,0,H298/I298)</x:f>
        <x:v>40.23359653078259</x:v>
      </x:c>
      <x:c r="P298" s="43" t="n">
        <x:f>I298/INDEX('Balance Inputs'!$L$2:$L$51,MATCH(A298,'Balance Inputs'!$I$2:$I$51,0))</x:f>
        <x:v>4.8261795619762005</x:v>
      </x:c>
      <x:c r="Q298" s="43" t="n">
        <x:f>L298/INDEX('Balance Inputs'!$M$2:$M$51,MATCH(A298,'Balance Inputs'!$I$2:$I$51,0))</x:f>
        <x:v>4.484035832154644</x:v>
      </x:c>
      <x:c r="R298" s="17"/>
      <x:c r="S298" s="17"/>
      <x:c r="T298" s="17"/>
      <x:c r="U298" s="17"/>
      <x:c r="V298" s="17"/>
      <x:c r="W298" s="17"/>
      <x:c r="X298" s="17"/>
      <x:c r="Y298" s="17"/>
      <x:c r="Z298" s="17"/>
    </x:row>
    <x:row r="299">
      <x:c r="A299" s="17" t="n">
        <x:v>40</x:v>
      </x:c>
      <x:c r="B299" s="17" t="str">
        <x:v>Investment Bank</x:v>
      </x:c>
      <x:c r="C299" s="17" t="str">
        <x:v>Established</x:v>
      </x:c>
      <x:c r="D299" s="17" t="str">
        <x:v>Epic</x:v>
      </x:c>
      <x:c r="E299" s="17" t="n">
        <x:v>40</x:v>
      </x:c>
      <x:c r="F299" s="17" t="n">
        <x:v>7</x:v>
      </x:c>
      <x:c r="G299" s="17" t="str">
        <x:v>Upgrade to Lv7</x:v>
      </x:c>
      <x:c r="H299" s="38" t="n">
        <x:f>ROUND(H298*INDEX('Balance Inputs'!$C$2:$C$7,MATCH(C299,'Balance Inputs'!$A$2:$A$7,0)),0)</x:f>
        <x:v>20380838</x:v>
      </x:c>
      <x:c r="I299" s="38" t="n">
        <x:f>ROUND(INDEX('Balance Inputs'!$L$2:$L$51,MATCH(A299,'Balance Inputs'!$I$2:$I$51,0))*POWER(INDEX('Balance Inputs'!$D$2:$D$7,MATCH(C299,'Balance Inputs'!$A$2:$A$7,0)),F299-1),0)</x:f>
        <x:v>428389</x:v>
      </x:c>
      <x:c r="J299" s="38" t="n">
        <x:f>ROUND(I299*INDEX('Balance Inputs'!$F$2:$F$7,MATCH(C299,'Balance Inputs'!$A$2:$A$7,0)),0)</x:f>
        <x:v>64258</x:v>
      </x:c>
      <x:c r="K299" s="38" t="n">
        <x:f>I299-J299</x:f>
        <x:v>364131</x:v>
      </x:c>
      <x:c r="L299" s="38" t="n">
        <x:f>ROUND(INDEX('Balance Inputs'!$M$2:$M$51,MATCH(A299,'Balance Inputs'!$I$2:$I$51,0))*POWER(INDEX('Balance Inputs'!$E$2:$E$7,MATCH(C299,'Balance Inputs'!$A$2:$A$7,0)),F299-1),0)</x:f>
        <x:v>320984</x:v>
      </x:c>
      <x:c r="M299" s="38" t="n">
        <x:f>ROUND(INDEX('Balance Inputs'!$N$2:$N$51,MATCH(A299,'Balance Inputs'!$I$2:$I$51,0))*POWER(INDEX('Balance Inputs'!$G$2:$G$7,MATCH(C299,'Balance Inputs'!$A$2:$A$7,0)),F299-1),0)</x:f>
        <x:v>14718</x:v>
      </x:c>
      <x:c r="N299" s="38" t="n">
        <x:f>IF(A299&lt;&gt;A298,H299,N298+H299)</x:f>
        <x:v>51434545</x:v>
      </x:c>
      <x:c r="O299" s="42" t="n">
        <x:f>IF(I299=0,0,H299/I299)</x:f>
        <x:v>47.575539988188304</x:v>
      </x:c>
      <x:c r="P299" s="43" t="n">
        <x:f>I299/INDEX('Balance Inputs'!$L$2:$L$51,MATCH(A299,'Balance Inputs'!$I$2:$I$51,0))</x:f>
        <x:v>6.6118596718680065</x:v>
      </x:c>
      <x:c r="Q299" s="43" t="n">
        <x:f>L299/INDEX('Balance Inputs'!$M$2:$M$51,MATCH(A299,'Balance Inputs'!$I$2:$I$51,0))</x:f>
        <x:v>6.0534464875058935</x:v>
      </x:c>
      <x:c r="R299" s="17"/>
      <x:c r="S299" s="17"/>
      <x:c r="T299" s="17"/>
      <x:c r="U299" s="17"/>
      <x:c r="V299" s="17"/>
      <x:c r="W299" s="17"/>
      <x:c r="X299" s="17"/>
      <x:c r="Y299" s="17"/>
      <x:c r="Z299" s="17"/>
    </x:row>
    <x:row r="300">
      <x:c r="A300" s="17" t="n">
        <x:v>40</x:v>
      </x:c>
      <x:c r="B300" s="17" t="str">
        <x:v>Investment Bank</x:v>
      </x:c>
      <x:c r="C300" s="17" t="str">
        <x:v>Established</x:v>
      </x:c>
      <x:c r="D300" s="17" t="str">
        <x:v>Epic</x:v>
      </x:c>
      <x:c r="E300" s="17" t="n">
        <x:v>40</x:v>
      </x:c>
      <x:c r="F300" s="17" t="n">
        <x:v>8</x:v>
      </x:c>
      <x:c r="G300" s="17" t="str">
        <x:v>Upgrade to Lv8</x:v>
      </x:c>
      <x:c r="H300" s="38" t="n">
        <x:f>ROUND(H299*INDEX('Balance Inputs'!$C$2:$C$7,MATCH(C300,'Balance Inputs'!$A$2:$A$7,0)),0)</x:f>
        <x:v>33016958</x:v>
      </x:c>
      <x:c r="I300" s="38" t="n">
        <x:f>ROUND(INDEX('Balance Inputs'!$L$2:$L$51,MATCH(A300,'Balance Inputs'!$I$2:$I$51,0))*POWER(INDEX('Balance Inputs'!$D$2:$D$7,MATCH(C300,'Balance Inputs'!$A$2:$A$7,0)),F300-1),0)</x:f>
        <x:v>586893</x:v>
      </x:c>
      <x:c r="J300" s="38" t="n">
        <x:f>ROUND(I300*INDEX('Balance Inputs'!$F$2:$F$7,MATCH(C300,'Balance Inputs'!$A$2:$A$7,0)),0)</x:f>
        <x:v>88034</x:v>
      </x:c>
      <x:c r="K300" s="38" t="n">
        <x:f>I300-J300</x:f>
        <x:v>498859</x:v>
      </x:c>
      <x:c r="L300" s="38" t="n">
        <x:f>ROUND(INDEX('Balance Inputs'!$M$2:$M$51,MATCH(A300,'Balance Inputs'!$I$2:$I$51,0))*POWER(INDEX('Balance Inputs'!$E$2:$E$7,MATCH(C300,'Balance Inputs'!$A$2:$A$7,0)),F300-1),0)</x:f>
        <x:v>433328</x:v>
      </x:c>
      <x:c r="M300" s="38" t="n">
        <x:f>ROUND(INDEX('Balance Inputs'!$N$2:$N$51,MATCH(A300,'Balance Inputs'!$I$2:$I$51,0))*POWER(INDEX('Balance Inputs'!$G$2:$G$7,MATCH(C300,'Balance Inputs'!$A$2:$A$7,0)),F300-1),0)</x:f>
        <x:v>16926</x:v>
      </x:c>
      <x:c r="N300" s="38" t="n">
        <x:f>IF(A300&lt;&gt;A299,H300,N299+H300)</x:f>
        <x:v>84451503</x:v>
      </x:c>
      <x:c r="O300" s="42" t="n">
        <x:f>IF(I300=0,0,H300/I300)</x:f>
        <x:v>56.25720190903623</x:v>
      </x:c>
      <x:c r="P300" s="43" t="n">
        <x:f>I300/INDEX('Balance Inputs'!$L$2:$L$51,MATCH(A300,'Balance Inputs'!$I$2:$I$51,0))</x:f>
        <x:v>9.058248830856137</x:v>
      </x:c>
      <x:c r="Q300" s="43" t="n">
        <x:f>L300/INDEX('Balance Inputs'!$M$2:$M$51,MATCH(A300,'Balance Inputs'!$I$2:$I$51,0))</x:f>
        <x:v>8.172145214521452</x:v>
      </x:c>
      <x:c r="R300" s="17"/>
      <x:c r="S300" s="17"/>
      <x:c r="T300" s="17"/>
      <x:c r="U300" s="17"/>
      <x:c r="V300" s="17"/>
      <x:c r="W300" s="17"/>
      <x:c r="X300" s="17"/>
      <x:c r="Y300" s="17"/>
      <x:c r="Z300" s="17"/>
    </x:row>
    <x:row r="301">
      <x:c r="A301" s="17" t="n">
        <x:v>40</x:v>
      </x:c>
      <x:c r="B301" s="17" t="str">
        <x:v>Investment Bank</x:v>
      </x:c>
      <x:c r="C301" s="17" t="str">
        <x:v>Established</x:v>
      </x:c>
      <x:c r="D301" s="17" t="str">
        <x:v>Epic</x:v>
      </x:c>
      <x:c r="E301" s="17" t="n">
        <x:v>40</x:v>
      </x:c>
      <x:c r="F301" s="17" t="n">
        <x:v>9</x:v>
      </x:c>
      <x:c r="G301" s="17" t="str">
        <x:v>Upgrade to Lv9</x:v>
      </x:c>
      <x:c r="H301" s="38" t="n">
        <x:f>ROUND(H300*INDEX('Balance Inputs'!$C$2:$C$7,MATCH(C301,'Balance Inputs'!$A$2:$A$7,0)),0)</x:f>
        <x:v>53487472</x:v>
      </x:c>
      <x:c r="I301" s="38" t="n">
        <x:f>ROUND(INDEX('Balance Inputs'!$L$2:$L$51,MATCH(A301,'Balance Inputs'!$I$2:$I$51,0))*POWER(INDEX('Balance Inputs'!$D$2:$D$7,MATCH(C301,'Balance Inputs'!$A$2:$A$7,0)),F301-1),0)</x:f>
        <x:v>804043</x:v>
      </x:c>
      <x:c r="J301" s="38" t="n">
        <x:f>ROUND(I301*INDEX('Balance Inputs'!$F$2:$F$7,MATCH(C301,'Balance Inputs'!$A$2:$A$7,0)),0)</x:f>
        <x:v>120606</x:v>
      </x:c>
      <x:c r="K301" s="38" t="n">
        <x:f>I301-J301</x:f>
        <x:v>683437</x:v>
      </x:c>
      <x:c r="L301" s="38" t="n">
        <x:f>ROUND(INDEX('Balance Inputs'!$M$2:$M$51,MATCH(A301,'Balance Inputs'!$I$2:$I$51,0))*POWER(INDEX('Balance Inputs'!$E$2:$E$7,MATCH(C301,'Balance Inputs'!$A$2:$A$7,0)),F301-1),0)</x:f>
        <x:v>584993</x:v>
      </x:c>
      <x:c r="M301" s="38" t="n">
        <x:f>ROUND(INDEX('Balance Inputs'!$N$2:$N$51,MATCH(A301,'Balance Inputs'!$I$2:$I$51,0))*POWER(INDEX('Balance Inputs'!$G$2:$G$7,MATCH(C301,'Balance Inputs'!$A$2:$A$7,0)),F301-1),0)</x:f>
        <x:v>19465</x:v>
      </x:c>
      <x:c r="N301" s="38" t="n">
        <x:f>IF(A301&lt;&gt;A300,H301,N300+H301)</x:f>
        <x:v>137938975</x:v>
      </x:c>
      <x:c r="O301" s="42" t="n">
        <x:f>IF(I301=0,0,H301/I301)</x:f>
        <x:v>66.52314863757286</x:v>
      </x:c>
      <x:c r="P301" s="43" t="n">
        <x:f>I301/INDEX('Balance Inputs'!$L$2:$L$51,MATCH(A301,'Balance Inputs'!$I$2:$I$51,0))</x:f>
        <x:v>12.40979457023352</x:v>
      </x:c>
      <x:c r="Q301" s="43" t="n">
        <x:f>L301/INDEX('Balance Inputs'!$M$2:$M$51,MATCH(A301,'Balance Inputs'!$I$2:$I$51,0))</x:f>
        <x:v>11.032399811409713</x:v>
      </x:c>
      <x:c r="R301" s="17"/>
      <x:c r="S301" s="17"/>
      <x:c r="T301" s="17"/>
      <x:c r="U301" s="17"/>
      <x:c r="V301" s="17"/>
      <x:c r="W301" s="17"/>
      <x:c r="X301" s="17"/>
      <x:c r="Y301" s="17"/>
      <x:c r="Z301" s="17"/>
    </x:row>
    <x:row r="302">
      <x:c r="A302" s="17" t="n">
        <x:v>41</x:v>
      </x:c>
      <x:c r="B302" s="17" t="str">
        <x:v>Global Brokerage Tower</x:v>
      </x:c>
      <x:c r="C302" s="17" t="str">
        <x:v>Elite</x:v>
      </x:c>
      <x:c r="D302" s="17" t="str">
        <x:v>Legendary</x:v>
      </x:c>
      <x:c r="E302" s="17" t="n">
        <x:v>41</x:v>
      </x:c>
      <x:c r="F302" s="17" t="n">
        <x:v>1</x:v>
      </x:c>
      <x:c r="G302" s="17" t="str">
        <x:v>Build</x:v>
      </x:c>
      <x:c r="H302" s="38" t="n">
        <x:f>INDEX('Balance Inputs'!$K$2:$K$51,MATCH(A302,'Balance Inputs'!$I$2:$I$51,0))</x:f>
        <x:v>1392510</x:v>
      </x:c>
      <x:c r="I302" s="38" t="n">
        <x:f>ROUND(INDEX('Balance Inputs'!$L$2:$L$51,MATCH(A302,'Balance Inputs'!$I$2:$I$51,0))*POWER(INDEX('Balance Inputs'!$D$2:$D$7,MATCH(C302,'Balance Inputs'!$A$2:$A$7,0)),F302-1),0)</x:f>
        <x:v>75258</x:v>
      </x:c>
      <x:c r="J302" s="38" t="n">
        <x:f>ROUND(I302*INDEX('Balance Inputs'!$F$2:$F$7,MATCH(C302,'Balance Inputs'!$A$2:$A$7,0)),0)</x:f>
        <x:v>12041</x:v>
      </x:c>
      <x:c r="K302" s="38" t="n">
        <x:f>I302-J302</x:f>
        <x:v>63217</x:v>
      </x:c>
      <x:c r="L302" s="38" t="n">
        <x:f>ROUND(INDEX('Balance Inputs'!$M$2:$M$51,MATCH(A302,'Balance Inputs'!$I$2:$I$51,0))*POWER(INDEX('Balance Inputs'!$E$2:$E$7,MATCH(C302,'Balance Inputs'!$A$2:$A$7,0)),F302-1),0)</x:f>
        <x:v>63100</x:v>
      </x:c>
      <x:c r="M302" s="38" t="n">
        <x:f>ROUND(INDEX('Balance Inputs'!$N$2:$N$51,MATCH(A302,'Balance Inputs'!$I$2:$I$51,0))*POWER(INDEX('Balance Inputs'!$G$2:$G$7,MATCH(C302,'Balance Inputs'!$A$2:$A$7,0)),F302-1),0)</x:f>
        <x:v>8708</x:v>
      </x:c>
      <x:c r="N302" s="38" t="n">
        <x:f>IF(A302&lt;&gt;A301,H302,N301+H302)</x:f>
        <x:v>1392510</x:v>
      </x:c>
      <x:c r="O302" s="42" t="n">
        <x:f>IF(I302=0,0,H302/I302)</x:f>
        <x:v>18.50314916686598</x:v>
      </x:c>
      <x:c r="P302" s="43" t="n">
        <x:f>I302/INDEX('Balance Inputs'!$L$2:$L$51,MATCH(A302,'Balance Inputs'!$I$2:$I$51,0))</x:f>
        <x:v>1</x:v>
      </x:c>
      <x:c r="Q302" s="43" t="n">
        <x:f>L302/INDEX('Balance Inputs'!$M$2:$M$51,MATCH(A302,'Balance Inputs'!$I$2:$I$51,0))</x:f>
        <x:v>1</x:v>
      </x:c>
      <x:c r="R302" s="17"/>
      <x:c r="S302" s="17"/>
      <x:c r="T302" s="17"/>
      <x:c r="U302" s="17"/>
      <x:c r="V302" s="17"/>
      <x:c r="W302" s="17"/>
      <x:c r="X302" s="17"/>
      <x:c r="Y302" s="17"/>
      <x:c r="Z302" s="17"/>
    </x:row>
    <x:row r="303">
      <x:c r="A303" s="17" t="n">
        <x:v>41</x:v>
      </x:c>
      <x:c r="B303" s="17" t="str">
        <x:v>Global Brokerage Tower</x:v>
      </x:c>
      <x:c r="C303" s="17" t="str">
        <x:v>Elite</x:v>
      </x:c>
      <x:c r="D303" s="17" t="str">
        <x:v>Legendary</x:v>
      </x:c>
      <x:c r="E303" s="17" t="n">
        <x:v>41</x:v>
      </x:c>
      <x:c r="F303" s="17" t="n">
        <x:v>2</x:v>
      </x:c>
      <x:c r="G303" s="17" t="str">
        <x:v>Upgrade to Lv2</x:v>
      </x:c>
      <x:c r="H303" s="38" t="n">
        <x:f>ROUND(H302*INDEX('Balance Inputs'!$C$2:$C$7,MATCH(C303,'Balance Inputs'!$A$2:$A$7,0)),0)</x:f>
        <x:v>2283716</x:v>
      </x:c>
      <x:c r="I303" s="38" t="n">
        <x:f>ROUND(INDEX('Balance Inputs'!$L$2:$L$51,MATCH(A303,'Balance Inputs'!$I$2:$I$51,0))*POWER(INDEX('Balance Inputs'!$D$2:$D$7,MATCH(C303,'Balance Inputs'!$A$2:$A$7,0)),F303-1),0)</x:f>
        <x:v>103856</x:v>
      </x:c>
      <x:c r="J303" s="38" t="n">
        <x:f>ROUND(I303*INDEX('Balance Inputs'!$F$2:$F$7,MATCH(C303,'Balance Inputs'!$A$2:$A$7,0)),0)</x:f>
        <x:v>16617</x:v>
      </x:c>
      <x:c r="K303" s="38" t="n">
        <x:f>I303-J303</x:f>
        <x:v>87239</x:v>
      </x:c>
      <x:c r="L303" s="38" t="n">
        <x:f>ROUND(INDEX('Balance Inputs'!$M$2:$M$51,MATCH(A303,'Balance Inputs'!$I$2:$I$51,0))*POWER(INDEX('Balance Inputs'!$E$2:$E$7,MATCH(C303,'Balance Inputs'!$A$2:$A$7,0)),F303-1),0)</x:f>
        <x:v>85816</x:v>
      </x:c>
      <x:c r="M303" s="38" t="n">
        <x:f>ROUND(INDEX('Balance Inputs'!$N$2:$N$51,MATCH(A303,'Balance Inputs'!$I$2:$I$51,0))*POWER(INDEX('Balance Inputs'!$G$2:$G$7,MATCH(C303,'Balance Inputs'!$A$2:$A$7,0)),F303-1),0)</x:f>
        <x:v>10450</x:v>
      </x:c>
      <x:c r="N303" s="38" t="n">
        <x:f>IF(A303&lt;&gt;A302,H303,N302+H303)</x:f>
        <x:v>3676226</x:v>
      </x:c>
      <x:c r="O303" s="42" t="n">
        <x:f>IF(I303=0,0,H303/I303)</x:f>
        <x:v>21.98925435217994</x:v>
      </x:c>
      <x:c r="P303" s="43" t="n">
        <x:f>I303/INDEX('Balance Inputs'!$L$2:$L$51,MATCH(A303,'Balance Inputs'!$I$2:$I$51,0))</x:f>
        <x:v>1.3799994684950436</x:v>
      </x:c>
      <x:c r="Q303" s="43" t="n">
        <x:f>L303/INDEX('Balance Inputs'!$M$2:$M$51,MATCH(A303,'Balance Inputs'!$I$2:$I$51,0))</x:f>
        <x:v>1.36</x:v>
      </x:c>
      <x:c r="R303" s="17"/>
      <x:c r="S303" s="17"/>
      <x:c r="T303" s="17"/>
      <x:c r="U303" s="17"/>
      <x:c r="V303" s="17"/>
      <x:c r="W303" s="17"/>
      <x:c r="X303" s="17"/>
      <x:c r="Y303" s="17"/>
      <x:c r="Z303" s="17"/>
    </x:row>
    <x:row r="304">
      <x:c r="A304" s="17" t="n">
        <x:v>41</x:v>
      </x:c>
      <x:c r="B304" s="17" t="str">
        <x:v>Global Brokerage Tower</x:v>
      </x:c>
      <x:c r="C304" s="17" t="str">
        <x:v>Elite</x:v>
      </x:c>
      <x:c r="D304" s="17" t="str">
        <x:v>Legendary</x:v>
      </x:c>
      <x:c r="E304" s="17" t="n">
        <x:v>41</x:v>
      </x:c>
      <x:c r="F304" s="17" t="n">
        <x:v>3</x:v>
      </x:c>
      <x:c r="G304" s="17" t="str">
        <x:v>Upgrade to Lv3</x:v>
      </x:c>
      <x:c r="H304" s="38" t="n">
        <x:f>ROUND(H303*INDEX('Balance Inputs'!$C$2:$C$7,MATCH(C304,'Balance Inputs'!$A$2:$A$7,0)),0)</x:f>
        <x:v>3745294</x:v>
      </x:c>
      <x:c r="I304" s="38" t="n">
        <x:f>ROUND(INDEX('Balance Inputs'!$L$2:$L$51,MATCH(A304,'Balance Inputs'!$I$2:$I$51,0))*POWER(INDEX('Balance Inputs'!$D$2:$D$7,MATCH(C304,'Balance Inputs'!$A$2:$A$7,0)),F304-1),0)</x:f>
        <x:v>143321</x:v>
      </x:c>
      <x:c r="J304" s="38" t="n">
        <x:f>ROUND(I304*INDEX('Balance Inputs'!$F$2:$F$7,MATCH(C304,'Balance Inputs'!$A$2:$A$7,0)),0)</x:f>
        <x:v>22931</x:v>
      </x:c>
      <x:c r="K304" s="38" t="n">
        <x:f>I304-J304</x:f>
        <x:v>120390</x:v>
      </x:c>
      <x:c r="L304" s="38" t="n">
        <x:f>ROUND(INDEX('Balance Inputs'!$M$2:$M$51,MATCH(A304,'Balance Inputs'!$I$2:$I$51,0))*POWER(INDEX('Balance Inputs'!$E$2:$E$7,MATCH(C304,'Balance Inputs'!$A$2:$A$7,0)),F304-1),0)</x:f>
        <x:v>116710</x:v>
      </x:c>
      <x:c r="M304" s="38" t="n">
        <x:f>ROUND(INDEX('Balance Inputs'!$N$2:$N$51,MATCH(A304,'Balance Inputs'!$I$2:$I$51,0))*POWER(INDEX('Balance Inputs'!$G$2:$G$7,MATCH(C304,'Balance Inputs'!$A$2:$A$7,0)),F304-1),0)</x:f>
        <x:v>12540</x:v>
      </x:c>
      <x:c r="N304" s="38" t="n">
        <x:f>IF(A304&lt;&gt;A303,H304,N303+H304)</x:f>
        <x:v>7421520</x:v>
      </x:c>
      <x:c r="O304" s="42" t="n">
        <x:f>IF(I304=0,0,H304/I304)</x:f>
        <x:v>26.13220672476469</x:v>
      </x:c>
      <x:c r="P304" s="43" t="n">
        <x:f>I304/INDEX('Balance Inputs'!$L$2:$L$51,MATCH(A304,'Balance Inputs'!$I$2:$I$51,0))</x:f>
        <x:v>1.9043955459884663</x:v>
      </x:c>
      <x:c r="Q304" s="43" t="n">
        <x:f>L304/INDEX('Balance Inputs'!$M$2:$M$51,MATCH(A304,'Balance Inputs'!$I$2:$I$51,0))</x:f>
        <x:v>1.8496038034865294</x:v>
      </x:c>
      <x:c r="R304" s="17"/>
      <x:c r="S304" s="17"/>
      <x:c r="T304" s="17"/>
      <x:c r="U304" s="17"/>
      <x:c r="V304" s="17"/>
      <x:c r="W304" s="17"/>
      <x:c r="X304" s="17"/>
      <x:c r="Y304" s="17"/>
      <x:c r="Z304" s="17"/>
    </x:row>
    <x:row r="305">
      <x:c r="A305" s="17" t="n">
        <x:v>41</x:v>
      </x:c>
      <x:c r="B305" s="17" t="str">
        <x:v>Global Brokerage Tower</x:v>
      </x:c>
      <x:c r="C305" s="17" t="str">
        <x:v>Elite</x:v>
      </x:c>
      <x:c r="D305" s="17" t="str">
        <x:v>Legendary</x:v>
      </x:c>
      <x:c r="E305" s="17" t="n">
        <x:v>41</x:v>
      </x:c>
      <x:c r="F305" s="17" t="n">
        <x:v>4</x:v>
      </x:c>
      <x:c r="G305" s="17" t="str">
        <x:v>Upgrade to Lv4</x:v>
      </x:c>
      <x:c r="H305" s="38" t="n">
        <x:f>ROUND(H304*INDEX('Balance Inputs'!$C$2:$C$7,MATCH(C305,'Balance Inputs'!$A$2:$A$7,0)),0)</x:f>
        <x:v>6142282</x:v>
      </x:c>
      <x:c r="I305" s="38" t="n">
        <x:f>ROUND(INDEX('Balance Inputs'!$L$2:$L$51,MATCH(A305,'Balance Inputs'!$I$2:$I$51,0))*POWER(INDEX('Balance Inputs'!$D$2:$D$7,MATCH(C305,'Balance Inputs'!$A$2:$A$7,0)),F305-1),0)</x:f>
        <x:v>197783</x:v>
      </x:c>
      <x:c r="J305" s="38" t="n">
        <x:f>ROUND(I305*INDEX('Balance Inputs'!$F$2:$F$7,MATCH(C305,'Balance Inputs'!$A$2:$A$7,0)),0)</x:f>
        <x:v>31645</x:v>
      </x:c>
      <x:c r="K305" s="38" t="n">
        <x:f>I305-J305</x:f>
        <x:v>166138</x:v>
      </x:c>
      <x:c r="L305" s="38" t="n">
        <x:f>ROUND(INDEX('Balance Inputs'!$M$2:$M$51,MATCH(A305,'Balance Inputs'!$I$2:$I$51,0))*POWER(INDEX('Balance Inputs'!$E$2:$E$7,MATCH(C305,'Balance Inputs'!$A$2:$A$7,0)),F305-1),0)</x:f>
        <x:v>158725</x:v>
      </x:c>
      <x:c r="M305" s="38" t="n">
        <x:f>ROUND(INDEX('Balance Inputs'!$N$2:$N$51,MATCH(A305,'Balance Inputs'!$I$2:$I$51,0))*POWER(INDEX('Balance Inputs'!$G$2:$G$7,MATCH(C305,'Balance Inputs'!$A$2:$A$7,0)),F305-1),0)</x:f>
        <x:v>15047</x:v>
      </x:c>
      <x:c r="N305" s="38" t="n">
        <x:f>IF(A305&lt;&gt;A304,H305,N304+H305)</x:f>
        <x:v>13563802</x:v>
      </x:c>
      <x:c r="O305" s="42" t="n">
        <x:f>IF(I305=0,0,H305/I305)</x:f>
        <x:v>31.055662013418747</x:v>
      </x:c>
      <x:c r="P305" s="43" t="n">
        <x:f>I305/INDEX('Balance Inputs'!$L$2:$L$51,MATCH(A305,'Balance Inputs'!$I$2:$I$51,0))</x:f>
        <x:v>2.6280661192165615</x:v>
      </x:c>
      <x:c r="Q305" s="43" t="n">
        <x:f>L305/INDEX('Balance Inputs'!$M$2:$M$51,MATCH(A305,'Balance Inputs'!$I$2:$I$51,0))</x:f>
        <x:v>2.5154516640253566</x:v>
      </x:c>
      <x:c r="R305" s="17"/>
      <x:c r="S305" s="17"/>
      <x:c r="T305" s="17"/>
      <x:c r="U305" s="17"/>
      <x:c r="V305" s="17"/>
      <x:c r="W305" s="17"/>
      <x:c r="X305" s="17"/>
      <x:c r="Y305" s="17"/>
      <x:c r="Z305" s="17"/>
    </x:row>
    <x:row r="306">
      <x:c r="A306" s="17" t="n">
        <x:v>41</x:v>
      </x:c>
      <x:c r="B306" s="17" t="str">
        <x:v>Global Brokerage Tower</x:v>
      </x:c>
      <x:c r="C306" s="17" t="str">
        <x:v>Elite</x:v>
      </x:c>
      <x:c r="D306" s="17" t="str">
        <x:v>Legendary</x:v>
      </x:c>
      <x:c r="E306" s="17" t="n">
        <x:v>41</x:v>
      </x:c>
      <x:c r="F306" s="17" t="n">
        <x:v>5</x:v>
      </x:c>
      <x:c r="G306" s="17" t="str">
        <x:v>Upgrade to Lv5</x:v>
      </x:c>
      <x:c r="H306" s="38" t="n">
        <x:f>ROUND(H305*INDEX('Balance Inputs'!$C$2:$C$7,MATCH(C306,'Balance Inputs'!$A$2:$A$7,0)),0)</x:f>
        <x:v>10073342</x:v>
      </x:c>
      <x:c r="I306" s="38" t="n">
        <x:f>ROUND(INDEX('Balance Inputs'!$L$2:$L$51,MATCH(A306,'Balance Inputs'!$I$2:$I$51,0))*POWER(INDEX('Balance Inputs'!$D$2:$D$7,MATCH(C306,'Balance Inputs'!$A$2:$A$7,0)),F306-1),0)</x:f>
        <x:v>272941</x:v>
      </x:c>
      <x:c r="J306" s="38" t="n">
        <x:f>ROUND(I306*INDEX('Balance Inputs'!$F$2:$F$7,MATCH(C306,'Balance Inputs'!$A$2:$A$7,0)),0)</x:f>
        <x:v>43671</x:v>
      </x:c>
      <x:c r="K306" s="38" t="n">
        <x:f>I306-J306</x:f>
        <x:v>229270</x:v>
      </x:c>
      <x:c r="L306" s="38" t="n">
        <x:f>ROUND(INDEX('Balance Inputs'!$M$2:$M$51,MATCH(A306,'Balance Inputs'!$I$2:$I$51,0))*POWER(INDEX('Balance Inputs'!$E$2:$E$7,MATCH(C306,'Balance Inputs'!$A$2:$A$7,0)),F306-1),0)</x:f>
        <x:v>215866</x:v>
      </x:c>
      <x:c r="M306" s="38" t="n">
        <x:f>ROUND(INDEX('Balance Inputs'!$N$2:$N$51,MATCH(A306,'Balance Inputs'!$I$2:$I$51,0))*POWER(INDEX('Balance Inputs'!$G$2:$G$7,MATCH(C306,'Balance Inputs'!$A$2:$A$7,0)),F306-1),0)</x:f>
        <x:v>18057</x:v>
      </x:c>
      <x:c r="N306" s="38" t="n">
        <x:f>IF(A306&lt;&gt;A305,H306,N305+H306)</x:f>
        <x:v>23637144</x:v>
      </x:c>
      <x:c r="O306" s="42" t="n">
        <x:f>IF(I306=0,0,H306/I306)</x:f>
        <x:v>36.90666481034363</x:v>
      </x:c>
      <x:c r="P306" s="43" t="n">
        <x:f>I306/INDEX('Balance Inputs'!$L$2:$L$51,MATCH(A306,'Balance Inputs'!$I$2:$I$51,0))</x:f>
        <x:v>3.6267373568258523</x:v>
      </x:c>
      <x:c r="Q306" s="43" t="n">
        <x:f>L306/INDEX('Balance Inputs'!$M$2:$M$51,MATCH(A306,'Balance Inputs'!$I$2:$I$51,0))</x:f>
        <x:v>3.421014263074485</x:v>
      </x:c>
      <x:c r="R306" s="17"/>
      <x:c r="S306" s="17"/>
      <x:c r="T306" s="17"/>
      <x:c r="U306" s="17"/>
      <x:c r="V306" s="17"/>
      <x:c r="W306" s="17"/>
      <x:c r="X306" s="17"/>
      <x:c r="Y306" s="17"/>
      <x:c r="Z306" s="17"/>
    </x:row>
    <x:row r="307">
      <x:c r="A307" s="17" t="n">
        <x:v>41</x:v>
      </x:c>
      <x:c r="B307" s="17" t="str">
        <x:v>Global Brokerage Tower</x:v>
      </x:c>
      <x:c r="C307" s="17" t="str">
        <x:v>Elite</x:v>
      </x:c>
      <x:c r="D307" s="17" t="str">
        <x:v>Legendary</x:v>
      </x:c>
      <x:c r="E307" s="17" t="n">
        <x:v>41</x:v>
      </x:c>
      <x:c r="F307" s="17" t="n">
        <x:v>6</x:v>
      </x:c>
      <x:c r="G307" s="17" t="str">
        <x:v>Upgrade to Lv6</x:v>
      </x:c>
      <x:c r="H307" s="38" t="n">
        <x:f>ROUND(H306*INDEX('Balance Inputs'!$C$2:$C$7,MATCH(C307,'Balance Inputs'!$A$2:$A$7,0)),0)</x:f>
        <x:v>16520281</x:v>
      </x:c>
      <x:c r="I307" s="38" t="n">
        <x:f>ROUND(INDEX('Balance Inputs'!$L$2:$L$51,MATCH(A307,'Balance Inputs'!$I$2:$I$51,0))*POWER(INDEX('Balance Inputs'!$D$2:$D$7,MATCH(C307,'Balance Inputs'!$A$2:$A$7,0)),F307-1),0)</x:f>
        <x:v>376659</x:v>
      </x:c>
      <x:c r="J307" s="38" t="n">
        <x:f>ROUND(I307*INDEX('Balance Inputs'!$F$2:$F$7,MATCH(C307,'Balance Inputs'!$A$2:$A$7,0)),0)</x:f>
        <x:v>60265</x:v>
      </x:c>
      <x:c r="K307" s="38" t="n">
        <x:f>I307-J307</x:f>
        <x:v>316394</x:v>
      </x:c>
      <x:c r="L307" s="38" t="n">
        <x:f>ROUND(INDEX('Balance Inputs'!$M$2:$M$51,MATCH(A307,'Balance Inputs'!$I$2:$I$51,0))*POWER(INDEX('Balance Inputs'!$E$2:$E$7,MATCH(C307,'Balance Inputs'!$A$2:$A$7,0)),F307-1),0)</x:f>
        <x:v>293578</x:v>
      </x:c>
      <x:c r="M307" s="38" t="n">
        <x:f>ROUND(INDEX('Balance Inputs'!$N$2:$N$51,MATCH(A307,'Balance Inputs'!$I$2:$I$51,0))*POWER(INDEX('Balance Inputs'!$G$2:$G$7,MATCH(C307,'Balance Inputs'!$A$2:$A$7,0)),F307-1),0)</x:f>
        <x:v>21668</x:v>
      </x:c>
      <x:c r="N307" s="38" t="n">
        <x:f>IF(A307&lt;&gt;A306,H307,N306+H307)</x:f>
        <x:v>40157425</x:v>
      </x:c>
      <x:c r="O307" s="42" t="n">
        <x:f>IF(I307=0,0,H307/I307)</x:f>
        <x:v>43.86004582394155</x:v>
      </x:c>
      <x:c r="P307" s="43" t="n">
        <x:f>I307/INDEX('Balance Inputs'!$L$2:$L$51,MATCH(A307,'Balance Inputs'!$I$2:$I$51,0))</x:f>
        <x:v>5.004903133221717</x:v>
      </x:c>
      <x:c r="Q307" s="43" t="n">
        <x:f>L307/INDEX('Balance Inputs'!$M$2:$M$51,MATCH(A307,'Balance Inputs'!$I$2:$I$51,0))</x:f>
        <x:v>4.652583201267829</x:v>
      </x:c>
      <x:c r="R307" s="17"/>
      <x:c r="S307" s="17"/>
      <x:c r="T307" s="17"/>
      <x:c r="U307" s="17"/>
      <x:c r="V307" s="17"/>
      <x:c r="W307" s="17"/>
      <x:c r="X307" s="17"/>
      <x:c r="Y307" s="17"/>
      <x:c r="Z307" s="17"/>
    </x:row>
    <x:row r="308">
      <x:c r="A308" s="17" t="n">
        <x:v>41</x:v>
      </x:c>
      <x:c r="B308" s="17" t="str">
        <x:v>Global Brokerage Tower</x:v>
      </x:c>
      <x:c r="C308" s="17" t="str">
        <x:v>Elite</x:v>
      </x:c>
      <x:c r="D308" s="17" t="str">
        <x:v>Legendary</x:v>
      </x:c>
      <x:c r="E308" s="17" t="n">
        <x:v>41</x:v>
      </x:c>
      <x:c r="F308" s="17" t="n">
        <x:v>7</x:v>
      </x:c>
      <x:c r="G308" s="17" t="str">
        <x:v>Upgrade to Lv7</x:v>
      </x:c>
      <x:c r="H308" s="38" t="n">
        <x:f>ROUND(H307*INDEX('Balance Inputs'!$C$2:$C$7,MATCH(C308,'Balance Inputs'!$A$2:$A$7,0)),0)</x:f>
        <x:v>27093261</x:v>
      </x:c>
      <x:c r="I308" s="38" t="n">
        <x:f>ROUND(INDEX('Balance Inputs'!$L$2:$L$51,MATCH(A308,'Balance Inputs'!$I$2:$I$51,0))*POWER(INDEX('Balance Inputs'!$D$2:$D$7,MATCH(C308,'Balance Inputs'!$A$2:$A$7,0)),F308-1),0)</x:f>
        <x:v>519789</x:v>
      </x:c>
      <x:c r="J308" s="38" t="n">
        <x:f>ROUND(I308*INDEX('Balance Inputs'!$F$2:$F$7,MATCH(C308,'Balance Inputs'!$A$2:$A$7,0)),0)</x:f>
        <x:v>83166</x:v>
      </x:c>
      <x:c r="K308" s="38" t="n">
        <x:f>I308-J308</x:f>
        <x:v>436623</x:v>
      </x:c>
      <x:c r="L308" s="38" t="n">
        <x:f>ROUND(INDEX('Balance Inputs'!$M$2:$M$51,MATCH(A308,'Balance Inputs'!$I$2:$I$51,0))*POWER(INDEX('Balance Inputs'!$E$2:$E$7,MATCH(C308,'Balance Inputs'!$A$2:$A$7,0)),F308-1),0)</x:f>
        <x:v>399266</x:v>
      </x:c>
      <x:c r="M308" s="38" t="n">
        <x:f>ROUND(INDEX('Balance Inputs'!$N$2:$N$51,MATCH(A308,'Balance Inputs'!$I$2:$I$51,0))*POWER(INDEX('Balance Inputs'!$G$2:$G$7,MATCH(C308,'Balance Inputs'!$A$2:$A$7,0)),F308-1),0)</x:f>
        <x:v>26002</x:v>
      </x:c>
      <x:c r="N308" s="38" t="n">
        <x:f>IF(A308&lt;&gt;A307,H308,N307+H308)</x:f>
        <x:v>67250686</x:v>
      </x:c>
      <x:c r="O308" s="42" t="n">
        <x:f>IF(I308=0,0,H308/I308)</x:f>
        <x:v>52.12357514299072</x:v>
      </x:c>
      <x:c r="P308" s="43" t="n">
        <x:f>I308/INDEX('Balance Inputs'!$L$2:$L$51,MATCH(A308,'Balance Inputs'!$I$2:$I$51,0))</x:f>
        <x:v>6.906760743043929</x:v>
      </x:c>
      <x:c r="Q308" s="43" t="n">
        <x:f>L308/INDEX('Balance Inputs'!$M$2:$M$51,MATCH(A308,'Balance Inputs'!$I$2:$I$51,0))</x:f>
        <x:v>6.3275118858954045</x:v>
      </x:c>
      <x:c r="R308" s="17"/>
      <x:c r="S308" s="17"/>
      <x:c r="T308" s="17"/>
      <x:c r="U308" s="17"/>
      <x:c r="V308" s="17"/>
      <x:c r="W308" s="17"/>
      <x:c r="X308" s="17"/>
      <x:c r="Y308" s="17"/>
      <x:c r="Z308" s="17"/>
    </x:row>
    <x:row r="309">
      <x:c r="A309" s="17" t="n">
        <x:v>41</x:v>
      </x:c>
      <x:c r="B309" s="17" t="str">
        <x:v>Global Brokerage Tower</x:v>
      </x:c>
      <x:c r="C309" s="17" t="str">
        <x:v>Elite</x:v>
      </x:c>
      <x:c r="D309" s="17" t="str">
        <x:v>Legendary</x:v>
      </x:c>
      <x:c r="E309" s="17" t="n">
        <x:v>41</x:v>
      </x:c>
      <x:c r="F309" s="17" t="n">
        <x:v>8</x:v>
      </x:c>
      <x:c r="G309" s="17" t="str">
        <x:v>Upgrade to Lv8</x:v>
      </x:c>
      <x:c r="H309" s="38" t="n">
        <x:f>ROUND(H308*INDEX('Balance Inputs'!$C$2:$C$7,MATCH(C309,'Balance Inputs'!$A$2:$A$7,0)),0)</x:f>
        <x:v>44432948</x:v>
      </x:c>
      <x:c r="I309" s="38" t="n">
        <x:f>ROUND(INDEX('Balance Inputs'!$L$2:$L$51,MATCH(A309,'Balance Inputs'!$I$2:$I$51,0))*POWER(INDEX('Balance Inputs'!$D$2:$D$7,MATCH(C309,'Balance Inputs'!$A$2:$A$7,0)),F309-1),0)</x:f>
        <x:v>717309</x:v>
      </x:c>
      <x:c r="J309" s="38" t="n">
        <x:f>ROUND(I309*INDEX('Balance Inputs'!$F$2:$F$7,MATCH(C309,'Balance Inputs'!$A$2:$A$7,0)),0)</x:f>
        <x:v>114769</x:v>
      </x:c>
      <x:c r="K309" s="38" t="n">
        <x:f>I309-J309</x:f>
        <x:v>602540</x:v>
      </x:c>
      <x:c r="L309" s="38" t="n">
        <x:f>ROUND(INDEX('Balance Inputs'!$M$2:$M$51,MATCH(A309,'Balance Inputs'!$I$2:$I$51,0))*POWER(INDEX('Balance Inputs'!$E$2:$E$7,MATCH(C309,'Balance Inputs'!$A$2:$A$7,0)),F309-1),0)</x:f>
        <x:v>543002</x:v>
      </x:c>
      <x:c r="M309" s="38" t="n">
        <x:f>ROUND(INDEX('Balance Inputs'!$N$2:$N$51,MATCH(A309,'Balance Inputs'!$I$2:$I$51,0))*POWER(INDEX('Balance Inputs'!$G$2:$G$7,MATCH(C309,'Balance Inputs'!$A$2:$A$7,0)),F309-1),0)</x:f>
        <x:v>31202</x:v>
      </x:c>
      <x:c r="N309" s="38" t="n">
        <x:f>IF(A309&lt;&gt;A308,H309,N308+H309)</x:f>
        <x:v>111683634</x:v>
      </x:c>
      <x:c r="O309" s="42" t="n">
        <x:f>IF(I309=0,0,H309/I309)</x:f>
        <x:v>61.94394326573346</x:v>
      </x:c>
      <x:c r="P309" s="43" t="n">
        <x:f>I309/INDEX('Balance Inputs'!$L$2:$L$51,MATCH(A309,'Balance Inputs'!$I$2:$I$51,0))</x:f>
        <x:v>9.531332217172926</x:v>
      </x:c>
      <x:c r="Q309" s="43" t="n">
        <x:f>L309/INDEX('Balance Inputs'!$M$2:$M$51,MATCH(A309,'Balance Inputs'!$I$2:$I$51,0))</x:f>
        <x:v>8.605419968304279</x:v>
      </x:c>
      <x:c r="R309" s="17"/>
      <x:c r="S309" s="17"/>
      <x:c r="T309" s="17"/>
      <x:c r="U309" s="17"/>
      <x:c r="V309" s="17"/>
      <x:c r="W309" s="17"/>
      <x:c r="X309" s="17"/>
      <x:c r="Y309" s="17"/>
      <x:c r="Z309" s="17"/>
    </x:row>
    <x:row r="310">
      <x:c r="A310" s="17" t="n">
        <x:v>41</x:v>
      </x:c>
      <x:c r="B310" s="17" t="str">
        <x:v>Global Brokerage Tower</x:v>
      </x:c>
      <x:c r="C310" s="17" t="str">
        <x:v>Elite</x:v>
      </x:c>
      <x:c r="D310" s="17" t="str">
        <x:v>Legendary</x:v>
      </x:c>
      <x:c r="E310" s="17" t="n">
        <x:v>41</x:v>
      </x:c>
      <x:c r="F310" s="17" t="n">
        <x:v>9</x:v>
      </x:c>
      <x:c r="G310" s="17" t="str">
        <x:v>Upgrade to Lv9</x:v>
      </x:c>
      <x:c r="H310" s="38" t="n">
        <x:f>ROUND(H309*INDEX('Balance Inputs'!$C$2:$C$7,MATCH(C310,'Balance Inputs'!$A$2:$A$7,0)),0)</x:f>
        <x:v>72870035</x:v>
      </x:c>
      <x:c r="I310" s="38" t="n">
        <x:f>ROUND(INDEX('Balance Inputs'!$L$2:$L$51,MATCH(A310,'Balance Inputs'!$I$2:$I$51,0))*POWER(INDEX('Balance Inputs'!$D$2:$D$7,MATCH(C310,'Balance Inputs'!$A$2:$A$7,0)),F310-1),0)</x:f>
        <x:v>989886</x:v>
      </x:c>
      <x:c r="J310" s="38" t="n">
        <x:f>ROUND(I310*INDEX('Balance Inputs'!$F$2:$F$7,MATCH(C310,'Balance Inputs'!$A$2:$A$7,0)),0)</x:f>
        <x:v>158382</x:v>
      </x:c>
      <x:c r="K310" s="38" t="n">
        <x:f>I310-J310</x:f>
        <x:v>831504</x:v>
      </x:c>
      <x:c r="L310" s="38" t="n">
        <x:f>ROUND(INDEX('Balance Inputs'!$M$2:$M$51,MATCH(A310,'Balance Inputs'!$I$2:$I$51,0))*POWER(INDEX('Balance Inputs'!$E$2:$E$7,MATCH(C310,'Balance Inputs'!$A$2:$A$7,0)),F310-1),0)</x:f>
        <x:v>738483</x:v>
      </x:c>
      <x:c r="M310" s="38" t="n">
        <x:f>ROUND(INDEX('Balance Inputs'!$N$2:$N$51,MATCH(A310,'Balance Inputs'!$I$2:$I$51,0))*POWER(INDEX('Balance Inputs'!$G$2:$G$7,MATCH(C310,'Balance Inputs'!$A$2:$A$7,0)),F310-1),0)</x:f>
        <x:v>37443</x:v>
      </x:c>
      <x:c r="N310" s="38" t="n">
        <x:f>IF(A310&lt;&gt;A309,H310,N309+H310)</x:f>
        <x:v>184553669</x:v>
      </x:c>
      <x:c r="O310" s="42" t="n">
        <x:f>IF(I310=0,0,H310/I310)</x:f>
        <x:v>73.61457278918986</x:v>
      </x:c>
      <x:c r="P310" s="43" t="n">
        <x:f>I310/INDEX('Balance Inputs'!$L$2:$L$51,MATCH(A310,'Balance Inputs'!$I$2:$I$51,0))</x:f>
        <x:v>13.153232878896596</x:v>
      </x:c>
      <x:c r="Q310" s="43" t="n">
        <x:f>L310/INDEX('Balance Inputs'!$M$2:$M$51,MATCH(A310,'Balance Inputs'!$I$2:$I$51,0))</x:f>
        <x:v>11.703375594294771</x:v>
      </x:c>
      <x:c r="R310" s="17"/>
      <x:c r="S310" s="17"/>
      <x:c r="T310" s="17"/>
      <x:c r="U310" s="17"/>
      <x:c r="V310" s="17"/>
      <x:c r="W310" s="17"/>
      <x:c r="X310" s="17"/>
      <x:c r="Y310" s="17"/>
      <x:c r="Z310" s="17"/>
    </x:row>
    <x:row r="311">
      <x:c r="A311" s="17" t="n">
        <x:v>41</x:v>
      </x:c>
      <x:c r="B311" s="17" t="str">
        <x:v>Global Brokerage Tower</x:v>
      </x:c>
      <x:c r="C311" s="17" t="str">
        <x:v>Elite</x:v>
      </x:c>
      <x:c r="D311" s="17" t="str">
        <x:v>Legendary</x:v>
      </x:c>
      <x:c r="E311" s="17" t="n">
        <x:v>41</x:v>
      </x:c>
      <x:c r="F311" s="17" t="n">
        <x:v>10</x:v>
      </x:c>
      <x:c r="G311" s="17" t="str">
        <x:v>Upgrade to Lv10</x:v>
      </x:c>
      <x:c r="H311" s="38" t="n">
        <x:f>ROUND(H310*INDEX('Balance Inputs'!$C$2:$C$7,MATCH(C311,'Balance Inputs'!$A$2:$A$7,0)),0)</x:f>
        <x:v>119506857</x:v>
      </x:c>
      <x:c r="I311" s="38" t="n">
        <x:f>ROUND(INDEX('Balance Inputs'!$L$2:$L$51,MATCH(A311,'Balance Inputs'!$I$2:$I$51,0))*POWER(INDEX('Balance Inputs'!$D$2:$D$7,MATCH(C311,'Balance Inputs'!$A$2:$A$7,0)),F311-1),0)</x:f>
        <x:v>1366043</x:v>
      </x:c>
      <x:c r="J311" s="38" t="n">
        <x:f>ROUND(I311*INDEX('Balance Inputs'!$F$2:$F$7,MATCH(C311,'Balance Inputs'!$A$2:$A$7,0)),0)</x:f>
        <x:v>218567</x:v>
      </x:c>
      <x:c r="K311" s="38" t="n">
        <x:f>I311-J311</x:f>
        <x:v>1147476</x:v>
      </x:c>
      <x:c r="L311" s="38" t="n">
        <x:f>ROUND(INDEX('Balance Inputs'!$M$2:$M$51,MATCH(A311,'Balance Inputs'!$I$2:$I$51,0))*POWER(INDEX('Balance Inputs'!$E$2:$E$7,MATCH(C311,'Balance Inputs'!$A$2:$A$7,0)),F311-1),0)</x:f>
        <x:v>1004337</x:v>
      </x:c>
      <x:c r="M311" s="38" t="n">
        <x:f>ROUND(INDEX('Balance Inputs'!$N$2:$N$51,MATCH(A311,'Balance Inputs'!$I$2:$I$51,0))*POWER(INDEX('Balance Inputs'!$G$2:$G$7,MATCH(C311,'Balance Inputs'!$A$2:$A$7,0)),F311-1),0)</x:f>
        <x:v>44931</x:v>
      </x:c>
      <x:c r="N311" s="38" t="n">
        <x:f>IF(A311&lt;&gt;A310,H311,N310+H311)</x:f>
        <x:v>304060526</x:v>
      </x:c>
      <x:c r="O311" s="42" t="n">
        <x:f>IF(I311=0,0,H311/I311)</x:f>
        <x:v>87.48396426759626</x:v>
      </x:c>
      <x:c r="P311" s="43" t="n">
        <x:f>I311/INDEX('Balance Inputs'!$L$2:$L$51,MATCH(A311,'Balance Inputs'!$I$2:$I$51,0))</x:f>
        <x:v>18.151465624916952</x:v>
      </x:c>
      <x:c r="Q311" s="43" t="n">
        <x:f>L311/INDEX('Balance Inputs'!$M$2:$M$51,MATCH(A311,'Balance Inputs'!$I$2:$I$51,0))</x:f>
        <x:v>15.916592709984153</x:v>
      </x:c>
      <x:c r="R311" s="17"/>
      <x:c r="S311" s="17"/>
      <x:c r="T311" s="17"/>
      <x:c r="U311" s="17"/>
      <x:c r="V311" s="17"/>
      <x:c r="W311" s="17"/>
      <x:c r="X311" s="17"/>
      <x:c r="Y311" s="17"/>
      <x:c r="Z311" s="17"/>
    </x:row>
    <x:row r="312">
      <x:c r="A312" s="17" t="n">
        <x:v>42</x:v>
      </x:c>
      <x:c r="B312" s="17" t="str">
        <x:v>Major Asset Manager</x:v>
      </x:c>
      <x:c r="C312" s="17" t="str">
        <x:v>Elite</x:v>
      </x:c>
      <x:c r="D312" s="17" t="str">
        <x:v>Legendary</x:v>
      </x:c>
      <x:c r="E312" s="17" t="n">
        <x:v>42</x:v>
      </x:c>
      <x:c r="F312" s="17" t="n">
        <x:v>1</x:v>
      </x:c>
      <x:c r="G312" s="17" t="str">
        <x:v>Build</x:v>
      </x:c>
      <x:c r="H312" s="38" t="n">
        <x:f>INDEX('Balance Inputs'!$K$2:$K$51,MATCH(A312,'Balance Inputs'!$I$2:$I$51,0))</x:f>
        <x:v>1719760</x:v>
      </x:c>
      <x:c r="I312" s="38" t="n">
        <x:f>ROUND(INDEX('Balance Inputs'!$L$2:$L$51,MATCH(A312,'Balance Inputs'!$I$2:$I$51,0))*POWER(INDEX('Balance Inputs'!$D$2:$D$7,MATCH(C312,'Balance Inputs'!$A$2:$A$7,0)),F312-1),0)</x:f>
        <x:v>92468</x:v>
      </x:c>
      <x:c r="J312" s="38" t="n">
        <x:f>ROUND(I312*INDEX('Balance Inputs'!$F$2:$F$7,MATCH(C312,'Balance Inputs'!$A$2:$A$7,0)),0)</x:f>
        <x:v>14795</x:v>
      </x:c>
      <x:c r="K312" s="38" t="n">
        <x:f>I312-J312</x:f>
        <x:v>77673</x:v>
      </x:c>
      <x:c r="L312" s="38" t="n">
        <x:f>ROUND(INDEX('Balance Inputs'!$M$2:$M$51,MATCH(A312,'Balance Inputs'!$I$2:$I$51,0))*POWER(INDEX('Balance Inputs'!$E$2:$E$7,MATCH(C312,'Balance Inputs'!$A$2:$A$7,0)),F312-1),0)</x:f>
        <x:v>75089</x:v>
      </x:c>
      <x:c r="M312" s="38" t="n">
        <x:f>ROUND(INDEX('Balance Inputs'!$N$2:$N$51,MATCH(A312,'Balance Inputs'!$I$2:$I$51,0))*POWER(INDEX('Balance Inputs'!$G$2:$G$7,MATCH(C312,'Balance Inputs'!$A$2:$A$7,0)),F312-1),0)</x:f>
        <x:v>9461</x:v>
      </x:c>
      <x:c r="N312" s="38" t="n">
        <x:f>IF(A312&lt;&gt;A311,H312,N311+H312)</x:f>
        <x:v>1719760</x:v>
      </x:c>
      <x:c r="O312" s="42" t="n">
        <x:f>IF(I312=0,0,H312/I312)</x:f>
        <x:v>18.59843405286153</x:v>
      </x:c>
      <x:c r="P312" s="43" t="n">
        <x:f>I312/INDEX('Balance Inputs'!$L$2:$L$51,MATCH(A312,'Balance Inputs'!$I$2:$I$51,0))</x:f>
        <x:v>1</x:v>
      </x:c>
      <x:c r="Q312" s="43" t="n">
        <x:f>L312/INDEX('Balance Inputs'!$M$2:$M$51,MATCH(A312,'Balance Inputs'!$I$2:$I$51,0))</x:f>
        <x:v>1</x:v>
      </x:c>
      <x:c r="R312" s="17"/>
      <x:c r="S312" s="17"/>
      <x:c r="T312" s="17"/>
      <x:c r="U312" s="17"/>
      <x:c r="V312" s="17"/>
      <x:c r="W312" s="17"/>
      <x:c r="X312" s="17"/>
      <x:c r="Y312" s="17"/>
      <x:c r="Z312" s="17"/>
    </x:row>
    <x:row r="313">
      <x:c r="A313" s="17" t="n">
        <x:v>42</x:v>
      </x:c>
      <x:c r="B313" s="17" t="str">
        <x:v>Major Asset Manager</x:v>
      </x:c>
      <x:c r="C313" s="17" t="str">
        <x:v>Elite</x:v>
      </x:c>
      <x:c r="D313" s="17" t="str">
        <x:v>Legendary</x:v>
      </x:c>
      <x:c r="E313" s="17" t="n">
        <x:v>42</x:v>
      </x:c>
      <x:c r="F313" s="17" t="n">
        <x:v>2</x:v>
      </x:c>
      <x:c r="G313" s="17" t="str">
        <x:v>Upgrade to Lv2</x:v>
      </x:c>
      <x:c r="H313" s="38" t="n">
        <x:f>ROUND(H312*INDEX('Balance Inputs'!$C$2:$C$7,MATCH(C313,'Balance Inputs'!$A$2:$A$7,0)),0)</x:f>
        <x:v>2820406</x:v>
      </x:c>
      <x:c r="I313" s="38" t="n">
        <x:f>ROUND(INDEX('Balance Inputs'!$L$2:$L$51,MATCH(A313,'Balance Inputs'!$I$2:$I$51,0))*POWER(INDEX('Balance Inputs'!$D$2:$D$7,MATCH(C313,'Balance Inputs'!$A$2:$A$7,0)),F313-1),0)</x:f>
        <x:v>127606</x:v>
      </x:c>
      <x:c r="J313" s="38" t="n">
        <x:f>ROUND(I313*INDEX('Balance Inputs'!$F$2:$F$7,MATCH(C313,'Balance Inputs'!$A$2:$A$7,0)),0)</x:f>
        <x:v>20417</x:v>
      </x:c>
      <x:c r="K313" s="38" t="n">
        <x:f>I313-J313</x:f>
        <x:v>107189</x:v>
      </x:c>
      <x:c r="L313" s="38" t="n">
        <x:f>ROUND(INDEX('Balance Inputs'!$M$2:$M$51,MATCH(A313,'Balance Inputs'!$I$2:$I$51,0))*POWER(INDEX('Balance Inputs'!$E$2:$E$7,MATCH(C313,'Balance Inputs'!$A$2:$A$7,0)),F313-1),0)</x:f>
        <x:v>102121</x:v>
      </x:c>
      <x:c r="M313" s="38" t="n">
        <x:f>ROUND(INDEX('Balance Inputs'!$N$2:$N$51,MATCH(A313,'Balance Inputs'!$I$2:$I$51,0))*POWER(INDEX('Balance Inputs'!$G$2:$G$7,MATCH(C313,'Balance Inputs'!$A$2:$A$7,0)),F313-1),0)</x:f>
        <x:v>11353</x:v>
      </x:c>
      <x:c r="N313" s="38" t="n">
        <x:f>IF(A313&lt;&gt;A312,H313,N312+H313)</x:f>
        <x:v>4540166</x:v>
      </x:c>
      <x:c r="O313" s="42" t="n">
        <x:f>IF(I313=0,0,H313/I313)</x:f>
        <x:v>22.102455997366896</x:v>
      </x:c>
      <x:c r="P313" s="43" t="n">
        <x:f>I313/INDEX('Balance Inputs'!$L$2:$L$51,MATCH(A313,'Balance Inputs'!$I$2:$I$51,0))</x:f>
        <x:v>1.3800017303283298</x:v>
      </x:c>
      <x:c r="Q313" s="43" t="n">
        <x:f>L313/INDEX('Balance Inputs'!$M$2:$M$51,MATCH(A313,'Balance Inputs'!$I$2:$I$51,0))</x:f>
        <x:v>1.3599994672988054</x:v>
      </x:c>
      <x:c r="R313" s="17"/>
      <x:c r="S313" s="17"/>
      <x:c r="T313" s="17"/>
      <x:c r="U313" s="17"/>
      <x:c r="V313" s="17"/>
      <x:c r="W313" s="17"/>
      <x:c r="X313" s="17"/>
      <x:c r="Y313" s="17"/>
      <x:c r="Z313" s="17"/>
    </x:row>
    <x:row r="314">
      <x:c r="A314" s="17" t="n">
        <x:v>42</x:v>
      </x:c>
      <x:c r="B314" s="17" t="str">
        <x:v>Major Asset Manager</x:v>
      </x:c>
      <x:c r="C314" s="17" t="str">
        <x:v>Elite</x:v>
      </x:c>
      <x:c r="D314" s="17" t="str">
        <x:v>Legendary</x:v>
      </x:c>
      <x:c r="E314" s="17" t="n">
        <x:v>42</x:v>
      </x:c>
      <x:c r="F314" s="17" t="n">
        <x:v>3</x:v>
      </x:c>
      <x:c r="G314" s="17" t="str">
        <x:v>Upgrade to Lv3</x:v>
      </x:c>
      <x:c r="H314" s="38" t="n">
        <x:f>ROUND(H313*INDEX('Balance Inputs'!$C$2:$C$7,MATCH(C314,'Balance Inputs'!$A$2:$A$7,0)),0)</x:f>
        <x:v>4625466</x:v>
      </x:c>
      <x:c r="I314" s="38" t="n">
        <x:f>ROUND(INDEX('Balance Inputs'!$L$2:$L$51,MATCH(A314,'Balance Inputs'!$I$2:$I$51,0))*POWER(INDEX('Balance Inputs'!$D$2:$D$7,MATCH(C314,'Balance Inputs'!$A$2:$A$7,0)),F314-1),0)</x:f>
        <x:v>176096</x:v>
      </x:c>
      <x:c r="J314" s="38" t="n">
        <x:f>ROUND(I314*INDEX('Balance Inputs'!$F$2:$F$7,MATCH(C314,'Balance Inputs'!$A$2:$A$7,0)),0)</x:f>
        <x:v>28175</x:v>
      </x:c>
      <x:c r="K314" s="38" t="n">
        <x:f>I314-J314</x:f>
        <x:v>147921</x:v>
      </x:c>
      <x:c r="L314" s="38" t="n">
        <x:f>ROUND(INDEX('Balance Inputs'!$M$2:$M$51,MATCH(A314,'Balance Inputs'!$I$2:$I$51,0))*POWER(INDEX('Balance Inputs'!$E$2:$E$7,MATCH(C314,'Balance Inputs'!$A$2:$A$7,0)),F314-1),0)</x:f>
        <x:v>138885</x:v>
      </x:c>
      <x:c r="M314" s="38" t="n">
        <x:f>ROUND(INDEX('Balance Inputs'!$N$2:$N$51,MATCH(A314,'Balance Inputs'!$I$2:$I$51,0))*POWER(INDEX('Balance Inputs'!$G$2:$G$7,MATCH(C314,'Balance Inputs'!$A$2:$A$7,0)),F314-1),0)</x:f>
        <x:v>13624</x:v>
      </x:c>
      <x:c r="N314" s="38" t="n">
        <x:f>IF(A314&lt;&gt;A313,H314,N313+H314)</x:f>
        <x:v>9165632</x:v>
      </x:c>
      <x:c r="O314" s="42" t="n">
        <x:f>IF(I314=0,0,H314/I314)</x:f>
        <x:v>26.266729511175722</x:v>
      </x:c>
      <x:c r="P314" s="43" t="n">
        <x:f>I314/INDEX('Balance Inputs'!$L$2:$L$51,MATCH(A314,'Balance Inputs'!$I$2:$I$51,0))</x:f>
        <x:v>1.904399359778518</x:v>
      </x:c>
      <x:c r="Q314" s="43" t="n">
        <x:f>L314/INDEX('Balance Inputs'!$M$2:$M$51,MATCH(A314,'Balance Inputs'!$I$2:$I$51,0))</x:f>
        <x:v>1.8496051352395158</x:v>
      </x:c>
      <x:c r="R314" s="17"/>
      <x:c r="S314" s="17"/>
      <x:c r="T314" s="17"/>
      <x:c r="U314" s="17"/>
      <x:c r="V314" s="17"/>
      <x:c r="W314" s="17"/>
      <x:c r="X314" s="17"/>
      <x:c r="Y314" s="17"/>
      <x:c r="Z314" s="17"/>
    </x:row>
    <x:row r="315">
      <x:c r="A315" s="17" t="n">
        <x:v>42</x:v>
      </x:c>
      <x:c r="B315" s="17" t="str">
        <x:v>Major Asset Manager</x:v>
      </x:c>
      <x:c r="C315" s="17" t="str">
        <x:v>Elite</x:v>
      </x:c>
      <x:c r="D315" s="17" t="str">
        <x:v>Legendary</x:v>
      </x:c>
      <x:c r="E315" s="17" t="n">
        <x:v>42</x:v>
      </x:c>
      <x:c r="F315" s="17" t="n">
        <x:v>4</x:v>
      </x:c>
      <x:c r="G315" s="17" t="str">
        <x:v>Upgrade to Lv4</x:v>
      </x:c>
      <x:c r="H315" s="38" t="n">
        <x:f>ROUND(H314*INDEX('Balance Inputs'!$C$2:$C$7,MATCH(C315,'Balance Inputs'!$A$2:$A$7,0)),0)</x:f>
        <x:v>7585764</x:v>
      </x:c>
      <x:c r="I315" s="38" t="n">
        <x:f>ROUND(INDEX('Balance Inputs'!$L$2:$L$51,MATCH(A315,'Balance Inputs'!$I$2:$I$51,0))*POWER(INDEX('Balance Inputs'!$D$2:$D$7,MATCH(C315,'Balance Inputs'!$A$2:$A$7,0)),F315-1),0)</x:f>
        <x:v>243013</x:v>
      </x:c>
      <x:c r="J315" s="38" t="n">
        <x:f>ROUND(I315*INDEX('Balance Inputs'!$F$2:$F$7,MATCH(C315,'Balance Inputs'!$A$2:$A$7,0)),0)</x:f>
        <x:v>38882</x:v>
      </x:c>
      <x:c r="K315" s="38" t="n">
        <x:f>I315-J315</x:f>
        <x:v>204131</x:v>
      </x:c>
      <x:c r="L315" s="38" t="n">
        <x:f>ROUND(INDEX('Balance Inputs'!$M$2:$M$51,MATCH(A315,'Balance Inputs'!$I$2:$I$51,0))*POWER(INDEX('Balance Inputs'!$E$2:$E$7,MATCH(C315,'Balance Inputs'!$A$2:$A$7,0)),F315-1),0)</x:f>
        <x:v>188883</x:v>
      </x:c>
      <x:c r="M315" s="38" t="n">
        <x:f>ROUND(INDEX('Balance Inputs'!$N$2:$N$51,MATCH(A315,'Balance Inputs'!$I$2:$I$51,0))*POWER(INDEX('Balance Inputs'!$G$2:$G$7,MATCH(C315,'Balance Inputs'!$A$2:$A$7,0)),F315-1),0)</x:f>
        <x:v>16349</x:v>
      </x:c>
      <x:c r="N315" s="38" t="n">
        <x:f>IF(A315&lt;&gt;A314,H315,N314+H315)</x:f>
        <x:v>16751396</x:v>
      </x:c>
      <x:c r="O315" s="42" t="n">
        <x:f>IF(I315=0,0,H315/I315)</x:f>
        <x:v>31.21546583927609</x:v>
      </x:c>
      <x:c r="P315" s="43" t="n">
        <x:f>I315/INDEX('Balance Inputs'!$L$2:$L$51,MATCH(A315,'Balance Inputs'!$I$2:$I$51,0))</x:f>
        <x:v>2.6280767400614264</x:v>
      </x:c>
      <x:c r="Q315" s="43" t="n">
        <x:f>L315/INDEX('Balance Inputs'!$M$2:$M$51,MATCH(A315,'Balance Inputs'!$I$2:$I$51,0))</x:f>
        <x:v>2.5154549934078227</x:v>
      </x:c>
      <x:c r="R315" s="17"/>
      <x:c r="S315" s="17"/>
      <x:c r="T315" s="17"/>
      <x:c r="U315" s="17"/>
      <x:c r="V315" s="17"/>
      <x:c r="W315" s="17"/>
      <x:c r="X315" s="17"/>
      <x:c r="Y315" s="17"/>
      <x:c r="Z315" s="17"/>
    </x:row>
    <x:row r="316">
      <x:c r="A316" s="17" t="n">
        <x:v>42</x:v>
      </x:c>
      <x:c r="B316" s="17" t="str">
        <x:v>Major Asset Manager</x:v>
      </x:c>
      <x:c r="C316" s="17" t="str">
        <x:v>Elite</x:v>
      </x:c>
      <x:c r="D316" s="17" t="str">
        <x:v>Legendary</x:v>
      </x:c>
      <x:c r="E316" s="17" t="n">
        <x:v>42</x:v>
      </x:c>
      <x:c r="F316" s="17" t="n">
        <x:v>5</x:v>
      </x:c>
      <x:c r="G316" s="17" t="str">
        <x:v>Upgrade to Lv5</x:v>
      </x:c>
      <x:c r="H316" s="38" t="n">
        <x:f>ROUND(H315*INDEX('Balance Inputs'!$C$2:$C$7,MATCH(C316,'Balance Inputs'!$A$2:$A$7,0)),0)</x:f>
        <x:v>12440653</x:v>
      </x:c>
      <x:c r="I316" s="38" t="n">
        <x:f>ROUND(INDEX('Balance Inputs'!$L$2:$L$51,MATCH(A316,'Balance Inputs'!$I$2:$I$51,0))*POWER(INDEX('Balance Inputs'!$D$2:$D$7,MATCH(C316,'Balance Inputs'!$A$2:$A$7,0)),F316-1),0)</x:f>
        <x:v>335357</x:v>
      </x:c>
      <x:c r="J316" s="38" t="n">
        <x:f>ROUND(I316*INDEX('Balance Inputs'!$F$2:$F$7,MATCH(C316,'Balance Inputs'!$A$2:$A$7,0)),0)</x:f>
        <x:v>53657</x:v>
      </x:c>
      <x:c r="K316" s="38" t="n">
        <x:f>I316-J316</x:f>
        <x:v>281700</x:v>
      </x:c>
      <x:c r="L316" s="38" t="n">
        <x:f>ROUND(INDEX('Balance Inputs'!$M$2:$M$51,MATCH(A316,'Balance Inputs'!$I$2:$I$51,0))*POWER(INDEX('Balance Inputs'!$E$2:$E$7,MATCH(C316,'Balance Inputs'!$A$2:$A$7,0)),F316-1),0)</x:f>
        <x:v>256881</x:v>
      </x:c>
      <x:c r="M316" s="38" t="n">
        <x:f>ROUND(INDEX('Balance Inputs'!$N$2:$N$51,MATCH(A316,'Balance Inputs'!$I$2:$I$51,0))*POWER(INDEX('Balance Inputs'!$G$2:$G$7,MATCH(C316,'Balance Inputs'!$A$2:$A$7,0)),F316-1),0)</x:f>
        <x:v>19618</x:v>
      </x:c>
      <x:c r="N316" s="38" t="n">
        <x:f>IF(A316&lt;&gt;A315,H316,N315+H316)</x:f>
        <x:v>29192049</x:v>
      </x:c>
      <x:c r="O316" s="42" t="n">
        <x:f>IF(I316=0,0,H316/I316)</x:f>
        <x:v>37.09674466315002</x:v>
      </x:c>
      <x:c r="P316" s="43" t="n">
        <x:f>I316/INDEX('Balance Inputs'!$L$2:$L$51,MATCH(A316,'Balance Inputs'!$I$2:$I$51,0))</x:f>
        <x:v>3.6267357356058314</x:v>
      </x:c>
      <x:c r="Q316" s="43" t="n">
        <x:f>L316/INDEX('Balance Inputs'!$M$2:$M$51,MATCH(A316,'Balance Inputs'!$I$2:$I$51,0))</x:f>
        <x:v>3.4210203891382225</x:v>
      </x:c>
      <x:c r="R316" s="17"/>
      <x:c r="S316" s="17"/>
      <x:c r="T316" s="17"/>
      <x:c r="U316" s="17"/>
      <x:c r="V316" s="17"/>
      <x:c r="W316" s="17"/>
      <x:c r="X316" s="17"/>
      <x:c r="Y316" s="17"/>
      <x:c r="Z316" s="17"/>
    </x:row>
    <x:row r="317">
      <x:c r="A317" s="17" t="n">
        <x:v>42</x:v>
      </x:c>
      <x:c r="B317" s="17" t="str">
        <x:v>Major Asset Manager</x:v>
      </x:c>
      <x:c r="C317" s="17" t="str">
        <x:v>Elite</x:v>
      </x:c>
      <x:c r="D317" s="17" t="str">
        <x:v>Legendary</x:v>
      </x:c>
      <x:c r="E317" s="17" t="n">
        <x:v>42</x:v>
      </x:c>
      <x:c r="F317" s="17" t="n">
        <x:v>6</x:v>
      </x:c>
      <x:c r="G317" s="17" t="str">
        <x:v>Upgrade to Lv6</x:v>
      </x:c>
      <x:c r="H317" s="38" t="n">
        <x:f>ROUND(H316*INDEX('Balance Inputs'!$C$2:$C$7,MATCH(C317,'Balance Inputs'!$A$2:$A$7,0)),0)</x:f>
        <x:v>20402671</x:v>
      </x:c>
      <x:c r="I317" s="38" t="n">
        <x:f>ROUND(INDEX('Balance Inputs'!$L$2:$L$51,MATCH(A317,'Balance Inputs'!$I$2:$I$51,0))*POWER(INDEX('Balance Inputs'!$D$2:$D$7,MATCH(C317,'Balance Inputs'!$A$2:$A$7,0)),F317-1),0)</x:f>
        <x:v>462793</x:v>
      </x:c>
      <x:c r="J317" s="38" t="n">
        <x:f>ROUND(I317*INDEX('Balance Inputs'!$F$2:$F$7,MATCH(C317,'Balance Inputs'!$A$2:$A$7,0)),0)</x:f>
        <x:v>74047</x:v>
      </x:c>
      <x:c r="K317" s="38" t="n">
        <x:f>I317-J317</x:f>
        <x:v>388746</x:v>
      </x:c>
      <x:c r="L317" s="38" t="n">
        <x:f>ROUND(INDEX('Balance Inputs'!$M$2:$M$51,MATCH(A317,'Balance Inputs'!$I$2:$I$51,0))*POWER(INDEX('Balance Inputs'!$E$2:$E$7,MATCH(C317,'Balance Inputs'!$A$2:$A$7,0)),F317-1),0)</x:f>
        <x:v>349358</x:v>
      </x:c>
      <x:c r="M317" s="38" t="n">
        <x:f>ROUND(INDEX('Balance Inputs'!$N$2:$N$51,MATCH(A317,'Balance Inputs'!$I$2:$I$51,0))*POWER(INDEX('Balance Inputs'!$G$2:$G$7,MATCH(C317,'Balance Inputs'!$A$2:$A$7,0)),F317-1),0)</x:f>
        <x:v>23542</x:v>
      </x:c>
      <x:c r="N317" s="38" t="n">
        <x:f>IF(A317&lt;&gt;A316,H317,N316+H317)</x:f>
        <x:v>49594720</x:v>
      </x:c>
      <x:c r="O317" s="42" t="n">
        <x:f>IF(I317=0,0,H317/I317)</x:f>
        <x:v>44.08595419550425</x:v>
      </x:c>
      <x:c r="P317" s="43" t="n">
        <x:f>I317/INDEX('Balance Inputs'!$L$2:$L$51,MATCH(A317,'Balance Inputs'!$I$2:$I$51,0))</x:f>
        <x:v>5.004898992083748</x:v>
      </x:c>
      <x:c r="Q317" s="43" t="n">
        <x:f>L317/INDEX('Balance Inputs'!$M$2:$M$51,MATCH(A317,'Balance Inputs'!$I$2:$I$51,0))</x:f>
        <x:v>4.6525855984232045</x:v>
      </x:c>
      <x:c r="R317" s="17"/>
      <x:c r="S317" s="17"/>
      <x:c r="T317" s="17"/>
      <x:c r="U317" s="17"/>
      <x:c r="V317" s="17"/>
      <x:c r="W317" s="17"/>
      <x:c r="X317" s="17"/>
      <x:c r="Y317" s="17"/>
      <x:c r="Z317" s="17"/>
    </x:row>
    <x:row r="318">
      <x:c r="A318" s="17" t="n">
        <x:v>42</x:v>
      </x:c>
      <x:c r="B318" s="17" t="str">
        <x:v>Major Asset Manager</x:v>
      </x:c>
      <x:c r="C318" s="17" t="str">
        <x:v>Elite</x:v>
      </x:c>
      <x:c r="D318" s="17" t="str">
        <x:v>Legendary</x:v>
      </x:c>
      <x:c r="E318" s="17" t="n">
        <x:v>42</x:v>
      </x:c>
      <x:c r="F318" s="17" t="n">
        <x:v>7</x:v>
      </x:c>
      <x:c r="G318" s="17" t="str">
        <x:v>Upgrade to Lv7</x:v>
      </x:c>
      <x:c r="H318" s="38" t="n">
        <x:f>ROUND(H317*INDEX('Balance Inputs'!$C$2:$C$7,MATCH(C318,'Balance Inputs'!$A$2:$A$7,0)),0)</x:f>
        <x:v>33460380</x:v>
      </x:c>
      <x:c r="I318" s="38" t="n">
        <x:f>ROUND(INDEX('Balance Inputs'!$L$2:$L$51,MATCH(A318,'Balance Inputs'!$I$2:$I$51,0))*POWER(INDEX('Balance Inputs'!$D$2:$D$7,MATCH(C318,'Balance Inputs'!$A$2:$A$7,0)),F318-1),0)</x:f>
        <x:v>638655</x:v>
      </x:c>
      <x:c r="J318" s="38" t="n">
        <x:f>ROUND(I318*INDEX('Balance Inputs'!$F$2:$F$7,MATCH(C318,'Balance Inputs'!$A$2:$A$7,0)),0)</x:f>
        <x:v>102185</x:v>
      </x:c>
      <x:c r="K318" s="38" t="n">
        <x:f>I318-J318</x:f>
        <x:v>536470</x:v>
      </x:c>
      <x:c r="L318" s="38" t="n">
        <x:f>ROUND(INDEX('Balance Inputs'!$M$2:$M$51,MATCH(A318,'Balance Inputs'!$I$2:$I$51,0))*POWER(INDEX('Balance Inputs'!$E$2:$E$7,MATCH(C318,'Balance Inputs'!$A$2:$A$7,0)),F318-1),0)</x:f>
        <x:v>475127</x:v>
      </x:c>
      <x:c r="M318" s="38" t="n">
        <x:f>ROUND(INDEX('Balance Inputs'!$N$2:$N$51,MATCH(A318,'Balance Inputs'!$I$2:$I$51,0))*POWER(INDEX('Balance Inputs'!$G$2:$G$7,MATCH(C318,'Balance Inputs'!$A$2:$A$7,0)),F318-1),0)</x:f>
        <x:v>28250</x:v>
      </x:c>
      <x:c r="N318" s="38" t="n">
        <x:f>IF(A318&lt;&gt;A317,H318,N317+H318)</x:f>
        <x:v>83055100</x:v>
      </x:c>
      <x:c r="O318" s="42" t="n">
        <x:f>IF(I318=0,0,H318/I318)</x:f>
        <x:v>52.39194870469972</x:v>
      </x:c>
      <x:c r="P318" s="43" t="n">
        <x:f>I318/INDEX('Balance Inputs'!$L$2:$L$51,MATCH(A318,'Balance Inputs'!$I$2:$I$51,0))</x:f>
        <x:v>6.906767746679932</x:v>
      </x:c>
      <x:c r="Q318" s="43" t="n">
        <x:f>L318/INDEX('Balance Inputs'!$M$2:$M$51,MATCH(A318,'Balance Inputs'!$I$2:$I$51,0))</x:f>
        <x:v>6.327518011959142</x:v>
      </x:c>
      <x:c r="R318" s="17"/>
      <x:c r="S318" s="17"/>
      <x:c r="T318" s="17"/>
      <x:c r="U318" s="17"/>
      <x:c r="V318" s="17"/>
      <x:c r="W318" s="17"/>
      <x:c r="X318" s="17"/>
      <x:c r="Y318" s="17"/>
      <x:c r="Z318" s="17"/>
    </x:row>
    <x:row r="319">
      <x:c r="A319" s="17" t="n">
        <x:v>42</x:v>
      </x:c>
      <x:c r="B319" s="17" t="str">
        <x:v>Major Asset Manager</x:v>
      </x:c>
      <x:c r="C319" s="17" t="str">
        <x:v>Elite</x:v>
      </x:c>
      <x:c r="D319" s="17" t="str">
        <x:v>Legendary</x:v>
      </x:c>
      <x:c r="E319" s="17" t="n">
        <x:v>42</x:v>
      </x:c>
      <x:c r="F319" s="17" t="n">
        <x:v>8</x:v>
      </x:c>
      <x:c r="G319" s="17" t="str">
        <x:v>Upgrade to Lv8</x:v>
      </x:c>
      <x:c r="H319" s="38" t="n">
        <x:f>ROUND(H318*INDEX('Balance Inputs'!$C$2:$C$7,MATCH(C319,'Balance Inputs'!$A$2:$A$7,0)),0)</x:f>
        <x:v>54875023</x:v>
      </x:c>
      <x:c r="I319" s="38" t="n">
        <x:f>ROUND(INDEX('Balance Inputs'!$L$2:$L$51,MATCH(A319,'Balance Inputs'!$I$2:$I$51,0))*POWER(INDEX('Balance Inputs'!$D$2:$D$7,MATCH(C319,'Balance Inputs'!$A$2:$A$7,0)),F319-1),0)</x:f>
        <x:v>881343</x:v>
      </x:c>
      <x:c r="J319" s="38" t="n">
        <x:f>ROUND(I319*INDEX('Balance Inputs'!$F$2:$F$7,MATCH(C319,'Balance Inputs'!$A$2:$A$7,0)),0)</x:f>
        <x:v>141015</x:v>
      </x:c>
      <x:c r="K319" s="38" t="n">
        <x:f>I319-J319</x:f>
        <x:v>740328</x:v>
      </x:c>
      <x:c r="L319" s="38" t="n">
        <x:f>ROUND(INDEX('Balance Inputs'!$M$2:$M$51,MATCH(A319,'Balance Inputs'!$I$2:$I$51,0))*POWER(INDEX('Balance Inputs'!$E$2:$E$7,MATCH(C319,'Balance Inputs'!$A$2:$A$7,0)),F319-1),0)</x:f>
        <x:v>646173</x:v>
      </x:c>
      <x:c r="M319" s="38" t="n">
        <x:f>ROUND(INDEX('Balance Inputs'!$N$2:$N$51,MATCH(A319,'Balance Inputs'!$I$2:$I$51,0))*POWER(INDEX('Balance Inputs'!$G$2:$G$7,MATCH(C319,'Balance Inputs'!$A$2:$A$7,0)),F319-1),0)</x:f>
        <x:v>33900</x:v>
      </x:c>
      <x:c r="N319" s="38" t="n">
        <x:f>IF(A319&lt;&gt;A318,H319,N318+H319)</x:f>
        <x:v>137930123</x:v>
      </x:c>
      <x:c r="O319" s="42" t="n">
        <x:f>IF(I319=0,0,H319/I319)</x:f>
        <x:v>62.26295891610871</x:v>
      </x:c>
      <x:c r="P319" s="43" t="n">
        <x:f>I319/INDEX('Balance Inputs'!$L$2:$L$51,MATCH(A319,'Balance Inputs'!$I$2:$I$51,0))</x:f>
        <x:v>9.531329757321451</x:v>
      </x:c>
      <x:c r="Q319" s="43" t="n">
        <x:f>L319/INDEX('Balance Inputs'!$M$2:$M$51,MATCH(A319,'Balance Inputs'!$I$2:$I$51,0))</x:f>
        <x:v>8.605428225172796</x:v>
      </x:c>
      <x:c r="R319" s="17"/>
      <x:c r="S319" s="17"/>
      <x:c r="T319" s="17"/>
      <x:c r="U319" s="17"/>
      <x:c r="V319" s="17"/>
      <x:c r="W319" s="17"/>
      <x:c r="X319" s="17"/>
      <x:c r="Y319" s="17"/>
      <x:c r="Z319" s="17"/>
    </x:row>
    <x:row r="320">
      <x:c r="A320" s="17" t="n">
        <x:v>42</x:v>
      </x:c>
      <x:c r="B320" s="17" t="str">
        <x:v>Major Asset Manager</x:v>
      </x:c>
      <x:c r="C320" s="17" t="str">
        <x:v>Elite</x:v>
      </x:c>
      <x:c r="D320" s="17" t="str">
        <x:v>Legendary</x:v>
      </x:c>
      <x:c r="E320" s="17" t="n">
        <x:v>42</x:v>
      </x:c>
      <x:c r="F320" s="17" t="n">
        <x:v>9</x:v>
      </x:c>
      <x:c r="G320" s="17" t="str">
        <x:v>Upgrade to Lv9</x:v>
      </x:c>
      <x:c r="H320" s="38" t="n">
        <x:f>ROUND(H319*INDEX('Balance Inputs'!$C$2:$C$7,MATCH(C320,'Balance Inputs'!$A$2:$A$7,0)),0)</x:f>
        <x:v>89995038</x:v>
      </x:c>
      <x:c r="I320" s="38" t="n">
        <x:f>ROUND(INDEX('Balance Inputs'!$L$2:$L$51,MATCH(A320,'Balance Inputs'!$I$2:$I$51,0))*POWER(INDEX('Balance Inputs'!$D$2:$D$7,MATCH(C320,'Balance Inputs'!$A$2:$A$7,0)),F320-1),0)</x:f>
        <x:v>1216254</x:v>
      </x:c>
      <x:c r="J320" s="38" t="n">
        <x:f>ROUND(I320*INDEX('Balance Inputs'!$F$2:$F$7,MATCH(C320,'Balance Inputs'!$A$2:$A$7,0)),0)</x:f>
        <x:v>194601</x:v>
      </x:c>
      <x:c r="K320" s="38" t="n">
        <x:f>I320-J320</x:f>
        <x:v>1021653</x:v>
      </x:c>
      <x:c r="L320" s="38" t="n">
        <x:f>ROUND(INDEX('Balance Inputs'!$M$2:$M$51,MATCH(A320,'Balance Inputs'!$I$2:$I$51,0))*POWER(INDEX('Balance Inputs'!$E$2:$E$7,MATCH(C320,'Balance Inputs'!$A$2:$A$7,0)),F320-1),0)</x:f>
        <x:v>878795</x:v>
      </x:c>
      <x:c r="M320" s="38" t="n">
        <x:f>ROUND(INDEX('Balance Inputs'!$N$2:$N$51,MATCH(A320,'Balance Inputs'!$I$2:$I$51,0))*POWER(INDEX('Balance Inputs'!$G$2:$G$7,MATCH(C320,'Balance Inputs'!$A$2:$A$7,0)),F320-1),0)</x:f>
        <x:v>40681</x:v>
      </x:c>
      <x:c r="N320" s="38" t="n">
        <x:f>IF(A320&lt;&gt;A319,H320,N319+H320)</x:f>
        <x:v>227925161</x:v>
      </x:c>
      <x:c r="O320" s="42" t="n">
        <x:f>IF(I320=0,0,H320/I320)</x:f>
        <x:v>73.99362139816189</x:v>
      </x:c>
      <x:c r="P320" s="43" t="n">
        <x:f>I320/INDEX('Balance Inputs'!$L$2:$L$51,MATCH(A320,'Balance Inputs'!$I$2:$I$51,0))</x:f>
        <x:v>13.153242202707963</x:v>
      </x:c>
      <x:c r="Q320" s="43" t="n">
        <x:f>L320/INDEX('Balance Inputs'!$M$2:$M$51,MATCH(A320,'Balance Inputs'!$I$2:$I$51,0))</x:f>
        <x:v>11.703378657326638</x:v>
      </x:c>
      <x:c r="R320" s="17"/>
      <x:c r="S320" s="17"/>
      <x:c r="T320" s="17"/>
      <x:c r="U320" s="17"/>
      <x:c r="V320" s="17"/>
      <x:c r="W320" s="17"/>
      <x:c r="X320" s="17"/>
      <x:c r="Y320" s="17"/>
      <x:c r="Z320" s="17"/>
    </x:row>
    <x:row r="321">
      <x:c r="A321" s="17" t="n">
        <x:v>42</x:v>
      </x:c>
      <x:c r="B321" s="17" t="str">
        <x:v>Major Asset Manager</x:v>
      </x:c>
      <x:c r="C321" s="17" t="str">
        <x:v>Elite</x:v>
      </x:c>
      <x:c r="D321" s="17" t="str">
        <x:v>Legendary</x:v>
      </x:c>
      <x:c r="E321" s="17" t="n">
        <x:v>42</x:v>
      </x:c>
      <x:c r="F321" s="17" t="n">
        <x:v>10</x:v>
      </x:c>
      <x:c r="G321" s="17" t="str">
        <x:v>Upgrade to Lv10</x:v>
      </x:c>
      <x:c r="H321" s="38" t="n">
        <x:f>ROUND(H320*INDEX('Balance Inputs'!$C$2:$C$7,MATCH(C321,'Balance Inputs'!$A$2:$A$7,0)),0)</x:f>
        <x:v>147591862</x:v>
      </x:c>
      <x:c r="I321" s="38" t="n">
        <x:f>ROUND(INDEX('Balance Inputs'!$L$2:$L$51,MATCH(A321,'Balance Inputs'!$I$2:$I$51,0))*POWER(INDEX('Balance Inputs'!$D$2:$D$7,MATCH(C321,'Balance Inputs'!$A$2:$A$7,0)),F321-1),0)</x:f>
        <x:v>1678430</x:v>
      </x:c>
      <x:c r="J321" s="38" t="n">
        <x:f>ROUND(I321*INDEX('Balance Inputs'!$F$2:$F$7,MATCH(C321,'Balance Inputs'!$A$2:$A$7,0)),0)</x:f>
        <x:v>268549</x:v>
      </x:c>
      <x:c r="K321" s="38" t="n">
        <x:f>I321-J321</x:f>
        <x:v>1409881</x:v>
      </x:c>
      <x:c r="L321" s="38" t="n">
        <x:f>ROUND(INDEX('Balance Inputs'!$M$2:$M$51,MATCH(A321,'Balance Inputs'!$I$2:$I$51,0))*POWER(INDEX('Balance Inputs'!$E$2:$E$7,MATCH(C321,'Balance Inputs'!$A$2:$A$7,0)),F321-1),0)</x:f>
        <x:v>1195161</x:v>
      </x:c>
      <x:c r="M321" s="38" t="n">
        <x:f>ROUND(INDEX('Balance Inputs'!$N$2:$N$51,MATCH(A321,'Balance Inputs'!$I$2:$I$51,0))*POWER(INDEX('Balance Inputs'!$G$2:$G$7,MATCH(C321,'Balance Inputs'!$A$2:$A$7,0)),F321-1),0)</x:f>
        <x:v>48817</x:v>
      </x:c>
      <x:c r="N321" s="38" t="n">
        <x:f>IF(A321&lt;&gt;A320,H321,N320+H321)</x:f>
        <x:v>375517023</x:v>
      </x:c>
      <x:c r="O321" s="42" t="n">
        <x:f>IF(I321=0,0,H321/I321)</x:f>
        <x:v>87.93447567071608</x:v>
      </x:c>
      <x:c r="P321" s="43" t="n">
        <x:f>I321/INDEX('Balance Inputs'!$L$2:$L$51,MATCH(A321,'Balance Inputs'!$I$2:$I$51,0))</x:f>
        <x:v>18.151468616169918</x:v>
      </x:c>
      <x:c r="Q321" s="43" t="n">
        <x:f>L321/INDEX('Balance Inputs'!$M$2:$M$51,MATCH(A321,'Balance Inputs'!$I$2:$I$51,0))</x:f>
        <x:v>15.916592310458256</x:v>
      </x:c>
      <x:c r="R321" s="17"/>
      <x:c r="S321" s="17"/>
      <x:c r="T321" s="17"/>
      <x:c r="U321" s="17"/>
      <x:c r="V321" s="17"/>
      <x:c r="W321" s="17"/>
      <x:c r="X321" s="17"/>
      <x:c r="Y321" s="17"/>
      <x:c r="Z321" s="17"/>
    </x:row>
    <x:row r="322">
      <x:c r="A322" s="17" t="n">
        <x:v>43</x:v>
      </x:c>
      <x:c r="B322" s="17" t="str">
        <x:v>Institutional Trading Center</x:v>
      </x:c>
      <x:c r="C322" s="17" t="str">
        <x:v>Elite</x:v>
      </x:c>
      <x:c r="D322" s="17" t="str">
        <x:v>Legendary</x:v>
      </x:c>
      <x:c r="E322" s="17" t="n">
        <x:v>43</x:v>
      </x:c>
      <x:c r="F322" s="17" t="n">
        <x:v>1</x:v>
      </x:c>
      <x:c r="G322" s="17" t="str">
        <x:v>Build</x:v>
      </x:c>
      <x:c r="H322" s="38" t="n">
        <x:f>INDEX('Balance Inputs'!$K$2:$K$51,MATCH(A322,'Balance Inputs'!$I$2:$I$51,0))</x:f>
        <x:v>2123900</x:v>
      </x:c>
      <x:c r="I322" s="38" t="n">
        <x:f>ROUND(INDEX('Balance Inputs'!$L$2:$L$51,MATCH(A322,'Balance Inputs'!$I$2:$I$51,0))*POWER(INDEX('Balance Inputs'!$D$2:$D$7,MATCH(C322,'Balance Inputs'!$A$2:$A$7,0)),F322-1),0)</x:f>
        <x:v>116815</x:v>
      </x:c>
      <x:c r="J322" s="38" t="n">
        <x:f>ROUND(I322*INDEX('Balance Inputs'!$F$2:$F$7,MATCH(C322,'Balance Inputs'!$A$2:$A$7,0)),0)</x:f>
        <x:v>18690</x:v>
      </x:c>
      <x:c r="K322" s="38" t="n">
        <x:f>I322-J322</x:f>
        <x:v>98125</x:v>
      </x:c>
      <x:c r="L322" s="38" t="n">
        <x:f>ROUND(INDEX('Balance Inputs'!$M$2:$M$51,MATCH(A322,'Balance Inputs'!$I$2:$I$51,0))*POWER(INDEX('Balance Inputs'!$E$2:$E$7,MATCH(C322,'Balance Inputs'!$A$2:$A$7,0)),F322-1),0)</x:f>
        <x:v>89356</x:v>
      </x:c>
      <x:c r="M322" s="38" t="n">
        <x:f>ROUND(INDEX('Balance Inputs'!$N$2:$N$51,MATCH(A322,'Balance Inputs'!$I$2:$I$51,0))*POWER(INDEX('Balance Inputs'!$G$2:$G$7,MATCH(C322,'Balance Inputs'!$A$2:$A$7,0)),F322-1),0)</x:f>
        <x:v>12867</x:v>
      </x:c>
      <x:c r="N322" s="38" t="n">
        <x:f>IF(A322&lt;&gt;A321,H322,N321+H322)</x:f>
        <x:v>2123900</x:v>
      </x:c>
      <x:c r="O322" s="42" t="n">
        <x:f>IF(I322=0,0,H322/I322)</x:f>
        <x:v>18.181740358686813</x:v>
      </x:c>
      <x:c r="P322" s="43" t="n">
        <x:f>I322/INDEX('Balance Inputs'!$L$2:$L$51,MATCH(A322,'Balance Inputs'!$I$2:$I$51,0))</x:f>
        <x:v>1</x:v>
      </x:c>
      <x:c r="Q322" s="43" t="n">
        <x:f>L322/INDEX('Balance Inputs'!$M$2:$M$51,MATCH(A322,'Balance Inputs'!$I$2:$I$51,0))</x:f>
        <x:v>1</x:v>
      </x:c>
      <x:c r="R322" s="17"/>
      <x:c r="S322" s="17"/>
      <x:c r="T322" s="17"/>
      <x:c r="U322" s="17"/>
      <x:c r="V322" s="17"/>
      <x:c r="W322" s="17"/>
      <x:c r="X322" s="17"/>
      <x:c r="Y322" s="17"/>
      <x:c r="Z322" s="17"/>
    </x:row>
    <x:row r="323">
      <x:c r="A323" s="17" t="n">
        <x:v>43</x:v>
      </x:c>
      <x:c r="B323" s="17" t="str">
        <x:v>Institutional Trading Center</x:v>
      </x:c>
      <x:c r="C323" s="17" t="str">
        <x:v>Elite</x:v>
      </x:c>
      <x:c r="D323" s="17" t="str">
        <x:v>Legendary</x:v>
      </x:c>
      <x:c r="E323" s="17" t="n">
        <x:v>43</x:v>
      </x:c>
      <x:c r="F323" s="17" t="n">
        <x:v>2</x:v>
      </x:c>
      <x:c r="G323" s="17" t="str">
        <x:v>Upgrade to Lv2</x:v>
      </x:c>
      <x:c r="H323" s="38" t="n">
        <x:f>ROUND(H322*INDEX('Balance Inputs'!$C$2:$C$7,MATCH(C323,'Balance Inputs'!$A$2:$A$7,0)),0)</x:f>
        <x:v>3483196</x:v>
      </x:c>
      <x:c r="I323" s="38" t="n">
        <x:f>ROUND(INDEX('Balance Inputs'!$L$2:$L$51,MATCH(A323,'Balance Inputs'!$I$2:$I$51,0))*POWER(INDEX('Balance Inputs'!$D$2:$D$7,MATCH(C323,'Balance Inputs'!$A$2:$A$7,0)),F323-1),0)</x:f>
        <x:v>161205</x:v>
      </x:c>
      <x:c r="J323" s="38" t="n">
        <x:f>ROUND(I323*INDEX('Balance Inputs'!$F$2:$F$7,MATCH(C323,'Balance Inputs'!$A$2:$A$7,0)),0)</x:f>
        <x:v>25793</x:v>
      </x:c>
      <x:c r="K323" s="38" t="n">
        <x:f>I323-J323</x:f>
        <x:v>135412</x:v>
      </x:c>
      <x:c r="L323" s="38" t="n">
        <x:f>ROUND(INDEX('Balance Inputs'!$M$2:$M$51,MATCH(A323,'Balance Inputs'!$I$2:$I$51,0))*POWER(INDEX('Balance Inputs'!$E$2:$E$7,MATCH(C323,'Balance Inputs'!$A$2:$A$7,0)),F323-1),0)</x:f>
        <x:v>121524</x:v>
      </x:c>
      <x:c r="M323" s="38" t="n">
        <x:f>ROUND(INDEX('Balance Inputs'!$N$2:$N$51,MATCH(A323,'Balance Inputs'!$I$2:$I$51,0))*POWER(INDEX('Balance Inputs'!$G$2:$G$7,MATCH(C323,'Balance Inputs'!$A$2:$A$7,0)),F323-1),0)</x:f>
        <x:v>15440</x:v>
      </x:c>
      <x:c r="N323" s="38" t="n">
        <x:f>IF(A323&lt;&gt;A322,H323,N322+H323)</x:f>
        <x:v>5607096</x:v>
      </x:c>
      <x:c r="O323" s="42" t="n">
        <x:f>IF(I323=0,0,H323/I323)</x:f>
        <x:v>21.60724543283397</x:v>
      </x:c>
      <x:c r="P323" s="43" t="n">
        <x:f>I323/INDEX('Balance Inputs'!$L$2:$L$51,MATCH(A323,'Balance Inputs'!$I$2:$I$51,0))</x:f>
        <x:v>1.3800025681633352</x:v>
      </x:c>
      <x:c r="Q323" s="43" t="n">
        <x:f>L323/INDEX('Balance Inputs'!$M$2:$M$51,MATCH(A323,'Balance Inputs'!$I$2:$I$51,0))</x:f>
        <x:v>1.3599982094095528</x:v>
      </x:c>
      <x:c r="R323" s="17"/>
      <x:c r="S323" s="17"/>
      <x:c r="T323" s="17"/>
      <x:c r="U323" s="17"/>
      <x:c r="V323" s="17"/>
      <x:c r="W323" s="17"/>
      <x:c r="X323" s="17"/>
      <x:c r="Y323" s="17"/>
      <x:c r="Z323" s="17"/>
    </x:row>
    <x:row r="324">
      <x:c r="A324" s="17" t="n">
        <x:v>43</x:v>
      </x:c>
      <x:c r="B324" s="17" t="str">
        <x:v>Institutional Trading Center</x:v>
      </x:c>
      <x:c r="C324" s="17" t="str">
        <x:v>Elite</x:v>
      </x:c>
      <x:c r="D324" s="17" t="str">
        <x:v>Legendary</x:v>
      </x:c>
      <x:c r="E324" s="17" t="n">
        <x:v>43</x:v>
      </x:c>
      <x:c r="F324" s="17" t="n">
        <x:v>3</x:v>
      </x:c>
      <x:c r="G324" s="17" t="str">
        <x:v>Upgrade to Lv3</x:v>
      </x:c>
      <x:c r="H324" s="38" t="n">
        <x:f>ROUND(H323*INDEX('Balance Inputs'!$C$2:$C$7,MATCH(C324,'Balance Inputs'!$A$2:$A$7,0)),0)</x:f>
        <x:v>5712441</x:v>
      </x:c>
      <x:c r="I324" s="38" t="n">
        <x:f>ROUND(INDEX('Balance Inputs'!$L$2:$L$51,MATCH(A324,'Balance Inputs'!$I$2:$I$51,0))*POWER(INDEX('Balance Inputs'!$D$2:$D$7,MATCH(C324,'Balance Inputs'!$A$2:$A$7,0)),F324-1),0)</x:f>
        <x:v>222462</x:v>
      </x:c>
      <x:c r="J324" s="38" t="n">
        <x:f>ROUND(I324*INDEX('Balance Inputs'!$F$2:$F$7,MATCH(C324,'Balance Inputs'!$A$2:$A$7,0)),0)</x:f>
        <x:v>35594</x:v>
      </x:c>
      <x:c r="K324" s="38" t="n">
        <x:f>I324-J324</x:f>
        <x:v>186868</x:v>
      </x:c>
      <x:c r="L324" s="38" t="n">
        <x:f>ROUND(INDEX('Balance Inputs'!$M$2:$M$51,MATCH(A324,'Balance Inputs'!$I$2:$I$51,0))*POWER(INDEX('Balance Inputs'!$E$2:$E$7,MATCH(C324,'Balance Inputs'!$A$2:$A$7,0)),F324-1),0)</x:f>
        <x:v>165273</x:v>
      </x:c>
      <x:c r="M324" s="38" t="n">
        <x:f>ROUND(INDEX('Balance Inputs'!$N$2:$N$51,MATCH(A324,'Balance Inputs'!$I$2:$I$51,0))*POWER(INDEX('Balance Inputs'!$G$2:$G$7,MATCH(C324,'Balance Inputs'!$A$2:$A$7,0)),F324-1),0)</x:f>
        <x:v>18528</x:v>
      </x:c>
      <x:c r="N324" s="38" t="n">
        <x:f>IF(A324&lt;&gt;A323,H324,N323+H324)</x:f>
        <x:v>11319537</x:v>
      </x:c>
      <x:c r="O324" s="42" t="n">
        <x:f>IF(I324=0,0,H324/I324)</x:f>
        <x:v>25.678277638428135</x:v>
      </x:c>
      <x:c r="P324" s="43" t="n">
        <x:f>I324/INDEX('Balance Inputs'!$L$2:$L$51,MATCH(A324,'Balance Inputs'!$I$2:$I$51,0))</x:f>
        <x:v>1.904395839575397</x:v>
      </x:c>
      <x:c r="Q324" s="43" t="n">
        <x:f>L324/INDEX('Balance Inputs'!$M$2:$M$51,MATCH(A324,'Balance Inputs'!$I$2:$I$51,0))</x:f>
        <x:v>1.849601593625498</x:v>
      </x:c>
      <x:c r="R324" s="17"/>
      <x:c r="S324" s="17"/>
      <x:c r="T324" s="17"/>
      <x:c r="U324" s="17"/>
      <x:c r="V324" s="17"/>
      <x:c r="W324" s="17"/>
      <x:c r="X324" s="17"/>
      <x:c r="Y324" s="17"/>
      <x:c r="Z324" s="17"/>
    </x:row>
    <x:row r="325">
      <x:c r="A325" s="17" t="n">
        <x:v>43</x:v>
      </x:c>
      <x:c r="B325" s="17" t="str">
        <x:v>Institutional Trading Center</x:v>
      </x:c>
      <x:c r="C325" s="17" t="str">
        <x:v>Elite</x:v>
      </x:c>
      <x:c r="D325" s="17" t="str">
        <x:v>Legendary</x:v>
      </x:c>
      <x:c r="E325" s="17" t="n">
        <x:v>43</x:v>
      </x:c>
      <x:c r="F325" s="17" t="n">
        <x:v>4</x:v>
      </x:c>
      <x:c r="G325" s="17" t="str">
        <x:v>Upgrade to Lv4</x:v>
      </x:c>
      <x:c r="H325" s="38" t="n">
        <x:f>ROUND(H324*INDEX('Balance Inputs'!$C$2:$C$7,MATCH(C325,'Balance Inputs'!$A$2:$A$7,0)),0)</x:f>
        <x:v>9368403</x:v>
      </x:c>
      <x:c r="I325" s="38" t="n">
        <x:f>ROUND(INDEX('Balance Inputs'!$L$2:$L$51,MATCH(A325,'Balance Inputs'!$I$2:$I$51,0))*POWER(INDEX('Balance Inputs'!$D$2:$D$7,MATCH(C325,'Balance Inputs'!$A$2:$A$7,0)),F325-1),0)</x:f>
        <x:v>306998</x:v>
      </x:c>
      <x:c r="J325" s="38" t="n">
        <x:f>ROUND(I325*INDEX('Balance Inputs'!$F$2:$F$7,MATCH(C325,'Balance Inputs'!$A$2:$A$7,0)),0)</x:f>
        <x:v>49120</x:v>
      </x:c>
      <x:c r="K325" s="38" t="n">
        <x:f>I325-J325</x:f>
        <x:v>257878</x:v>
      </x:c>
      <x:c r="L325" s="38" t="n">
        <x:f>ROUND(INDEX('Balance Inputs'!$M$2:$M$51,MATCH(A325,'Balance Inputs'!$I$2:$I$51,0))*POWER(INDEX('Balance Inputs'!$E$2:$E$7,MATCH(C325,'Balance Inputs'!$A$2:$A$7,0)),F325-1),0)</x:f>
        <x:v>224771</x:v>
      </x:c>
      <x:c r="M325" s="38" t="n">
        <x:f>ROUND(INDEX('Balance Inputs'!$N$2:$N$51,MATCH(A325,'Balance Inputs'!$I$2:$I$51,0))*POWER(INDEX('Balance Inputs'!$G$2:$G$7,MATCH(C325,'Balance Inputs'!$A$2:$A$7,0)),F325-1),0)</x:f>
        <x:v>22234</x:v>
      </x:c>
      <x:c r="N325" s="38" t="n">
        <x:f>IF(A325&lt;&gt;A324,H325,N324+H325)</x:f>
        <x:v>20687940</x:v>
      </x:c>
      <x:c r="O325" s="42" t="n">
        <x:f>IF(I325=0,0,H325/I325)</x:f>
        <x:v>30.516169486446167</x:v>
      </x:c>
      <x:c r="P325" s="43" t="n">
        <x:f>I325/INDEX('Balance Inputs'!$L$2:$L$51,MATCH(A325,'Balance Inputs'!$I$2:$I$51,0))</x:f>
        <x:v>2.628070025253606</x:v>
      </x:c>
      <x:c r="Q325" s="43" t="n">
        <x:f>L325/INDEX('Balance Inputs'!$M$2:$M$51,MATCH(A325,'Balance Inputs'!$I$2:$I$51,0))</x:f>
        <x:v>2.515455033797395</x:v>
      </x:c>
      <x:c r="R325" s="17"/>
      <x:c r="S325" s="17"/>
      <x:c r="T325" s="17"/>
      <x:c r="U325" s="17"/>
      <x:c r="V325" s="17"/>
      <x:c r="W325" s="17"/>
      <x:c r="X325" s="17"/>
      <x:c r="Y325" s="17"/>
      <x:c r="Z325" s="17"/>
    </x:row>
    <x:row r="326">
      <x:c r="A326" s="17" t="n">
        <x:v>43</x:v>
      </x:c>
      <x:c r="B326" s="17" t="str">
        <x:v>Institutional Trading Center</x:v>
      </x:c>
      <x:c r="C326" s="17" t="str">
        <x:v>Elite</x:v>
      </x:c>
      <x:c r="D326" s="17" t="str">
        <x:v>Legendary</x:v>
      </x:c>
      <x:c r="E326" s="17" t="n">
        <x:v>43</x:v>
      </x:c>
      <x:c r="F326" s="17" t="n">
        <x:v>5</x:v>
      </x:c>
      <x:c r="G326" s="17" t="str">
        <x:v>Upgrade to Lv5</x:v>
      </x:c>
      <x:c r="H326" s="38" t="n">
        <x:f>ROUND(H325*INDEX('Balance Inputs'!$C$2:$C$7,MATCH(C326,'Balance Inputs'!$A$2:$A$7,0)),0)</x:f>
        <x:v>15364181</x:v>
      </x:c>
      <x:c r="I326" s="38" t="n">
        <x:f>ROUND(INDEX('Balance Inputs'!$L$2:$L$51,MATCH(A326,'Balance Inputs'!$I$2:$I$51,0))*POWER(INDEX('Balance Inputs'!$D$2:$D$7,MATCH(C326,'Balance Inputs'!$A$2:$A$7,0)),F326-1),0)</x:f>
        <x:v>423658</x:v>
      </x:c>
      <x:c r="J326" s="38" t="n">
        <x:f>ROUND(I326*INDEX('Balance Inputs'!$F$2:$F$7,MATCH(C326,'Balance Inputs'!$A$2:$A$7,0)),0)</x:f>
        <x:v>67785</x:v>
      </x:c>
      <x:c r="K326" s="38" t="n">
        <x:f>I326-J326</x:f>
        <x:v>355873</x:v>
      </x:c>
      <x:c r="L326" s="38" t="n">
        <x:f>ROUND(INDEX('Balance Inputs'!$M$2:$M$51,MATCH(A326,'Balance Inputs'!$I$2:$I$51,0))*POWER(INDEX('Balance Inputs'!$E$2:$E$7,MATCH(C326,'Balance Inputs'!$A$2:$A$7,0)),F326-1),0)</x:f>
        <x:v>305689</x:v>
      </x:c>
      <x:c r="M326" s="38" t="n">
        <x:f>ROUND(INDEX('Balance Inputs'!$N$2:$N$51,MATCH(A326,'Balance Inputs'!$I$2:$I$51,0))*POWER(INDEX('Balance Inputs'!$G$2:$G$7,MATCH(C326,'Balance Inputs'!$A$2:$A$7,0)),F326-1),0)</x:f>
        <x:v>26681</x:v>
      </x:c>
      <x:c r="N326" s="38" t="n">
        <x:f>IF(A326&lt;&gt;A325,H326,N325+H326)</x:f>
        <x:v>36052121</x:v>
      </x:c>
      <x:c r="O326" s="42" t="n">
        <x:f>IF(I326=0,0,H326/I326)</x:f>
        <x:v>36.26552785501513</x:v>
      </x:c>
      <x:c r="P326" s="43" t="n">
        <x:f>I326/INDEX('Balance Inputs'!$L$2:$L$51,MATCH(A326,'Balance Inputs'!$I$2:$I$51,0))</x:f>
        <x:v>3.626743140863759</x:v>
      </x:c>
      <x:c r="Q326" s="43" t="n">
        <x:f>L326/INDEX('Balance Inputs'!$M$2:$M$51,MATCH(A326,'Balance Inputs'!$I$2:$I$51,0))</x:f>
        <x:v>3.4210237700881865</x:v>
      </x:c>
      <x:c r="R326" s="17"/>
      <x:c r="S326" s="17"/>
      <x:c r="T326" s="17"/>
      <x:c r="U326" s="17"/>
      <x:c r="V326" s="17"/>
      <x:c r="W326" s="17"/>
      <x:c r="X326" s="17"/>
      <x:c r="Y326" s="17"/>
      <x:c r="Z326" s="17"/>
    </x:row>
    <x:row r="327">
      <x:c r="A327" s="17" t="n">
        <x:v>43</x:v>
      </x:c>
      <x:c r="B327" s="17" t="str">
        <x:v>Institutional Trading Center</x:v>
      </x:c>
      <x:c r="C327" s="17" t="str">
        <x:v>Elite</x:v>
      </x:c>
      <x:c r="D327" s="17" t="str">
        <x:v>Legendary</x:v>
      </x:c>
      <x:c r="E327" s="17" t="n">
        <x:v>43</x:v>
      </x:c>
      <x:c r="F327" s="17" t="n">
        <x:v>6</x:v>
      </x:c>
      <x:c r="G327" s="17" t="str">
        <x:v>Upgrade to Lv6</x:v>
      </x:c>
      <x:c r="H327" s="38" t="n">
        <x:f>ROUND(H326*INDEX('Balance Inputs'!$C$2:$C$7,MATCH(C327,'Balance Inputs'!$A$2:$A$7,0)),0)</x:f>
        <x:v>25197257</x:v>
      </x:c>
      <x:c r="I327" s="38" t="n">
        <x:f>ROUND(INDEX('Balance Inputs'!$L$2:$L$51,MATCH(A327,'Balance Inputs'!$I$2:$I$51,0))*POWER(INDEX('Balance Inputs'!$D$2:$D$7,MATCH(C327,'Balance Inputs'!$A$2:$A$7,0)),F327-1),0)</x:f>
        <x:v>584647</x:v>
      </x:c>
      <x:c r="J327" s="38" t="n">
        <x:f>ROUND(I327*INDEX('Balance Inputs'!$F$2:$F$7,MATCH(C327,'Balance Inputs'!$A$2:$A$7,0)),0)</x:f>
        <x:v>93544</x:v>
      </x:c>
      <x:c r="K327" s="38" t="n">
        <x:f>I327-J327</x:f>
        <x:v>491103</x:v>
      </x:c>
      <x:c r="L327" s="38" t="n">
        <x:f>ROUND(INDEX('Balance Inputs'!$M$2:$M$51,MATCH(A327,'Balance Inputs'!$I$2:$I$51,0))*POWER(INDEX('Balance Inputs'!$E$2:$E$7,MATCH(C327,'Balance Inputs'!$A$2:$A$7,0)),F327-1),0)</x:f>
        <x:v>415737</x:v>
      </x:c>
      <x:c r="M327" s="38" t="n">
        <x:f>ROUND(INDEX('Balance Inputs'!$N$2:$N$51,MATCH(A327,'Balance Inputs'!$I$2:$I$51,0))*POWER(INDEX('Balance Inputs'!$G$2:$G$7,MATCH(C327,'Balance Inputs'!$A$2:$A$7,0)),F327-1),0)</x:f>
        <x:v>32017</x:v>
      </x:c>
      <x:c r="N327" s="38" t="n">
        <x:f>IF(A327&lt;&gt;A326,H327,N326+H327)</x:f>
        <x:v>61249378</x:v>
      </x:c>
      <x:c r="O327" s="42" t="n">
        <x:f>IF(I327=0,0,H327/I327)</x:f>
        <x:v>43.098240476732116</x:v>
      </x:c>
      <x:c r="P327" s="43" t="n">
        <x:f>I327/INDEX('Balance Inputs'!$L$2:$L$51,MATCH(A327,'Balance Inputs'!$I$2:$I$51,0))</x:f>
        <x:v>5.004896631425758</x:v>
      </x:c>
      <x:c r="Q327" s="43" t="n">
        <x:f>L327/INDEX('Balance Inputs'!$M$2:$M$51,MATCH(A327,'Balance Inputs'!$I$2:$I$51,0))</x:f>
        <x:v>4.652591879672322</x:v>
      </x:c>
      <x:c r="R327" s="17"/>
      <x:c r="S327" s="17"/>
      <x:c r="T327" s="17"/>
      <x:c r="U327" s="17"/>
      <x:c r="V327" s="17"/>
      <x:c r="W327" s="17"/>
      <x:c r="X327" s="17"/>
      <x:c r="Y327" s="17"/>
      <x:c r="Z327" s="17"/>
    </x:row>
    <x:row r="328">
      <x:c r="A328" s="17" t="n">
        <x:v>43</x:v>
      </x:c>
      <x:c r="B328" s="17" t="str">
        <x:v>Institutional Trading Center</x:v>
      </x:c>
      <x:c r="C328" s="17" t="str">
        <x:v>Elite</x:v>
      </x:c>
      <x:c r="D328" s="17" t="str">
        <x:v>Legendary</x:v>
      </x:c>
      <x:c r="E328" s="17" t="n">
        <x:v>43</x:v>
      </x:c>
      <x:c r="F328" s="17" t="n">
        <x:v>7</x:v>
      </x:c>
      <x:c r="G328" s="17" t="str">
        <x:v>Upgrade to Lv7</x:v>
      </x:c>
      <x:c r="H328" s="38" t="n">
        <x:f>ROUND(H327*INDEX('Balance Inputs'!$C$2:$C$7,MATCH(C328,'Balance Inputs'!$A$2:$A$7,0)),0)</x:f>
        <x:v>41323501</x:v>
      </x:c>
      <x:c r="I328" s="38" t="n">
        <x:f>ROUND(INDEX('Balance Inputs'!$L$2:$L$51,MATCH(A328,'Balance Inputs'!$I$2:$I$51,0))*POWER(INDEX('Balance Inputs'!$D$2:$D$7,MATCH(C328,'Balance Inputs'!$A$2:$A$7,0)),F328-1),0)</x:f>
        <x:v>806813</x:v>
      </x:c>
      <x:c r="J328" s="38" t="n">
        <x:f>ROUND(I328*INDEX('Balance Inputs'!$F$2:$F$7,MATCH(C328,'Balance Inputs'!$A$2:$A$7,0)),0)</x:f>
        <x:v>129090</x:v>
      </x:c>
      <x:c r="K328" s="38" t="n">
        <x:f>I328-J328</x:f>
        <x:v>677723</x:v>
      </x:c>
      <x:c r="L328" s="38" t="n">
        <x:f>ROUND(INDEX('Balance Inputs'!$M$2:$M$51,MATCH(A328,'Balance Inputs'!$I$2:$I$51,0))*POWER(INDEX('Balance Inputs'!$E$2:$E$7,MATCH(C328,'Balance Inputs'!$A$2:$A$7,0)),F328-1),0)</x:f>
        <x:v>565402</x:v>
      </x:c>
      <x:c r="M328" s="38" t="n">
        <x:f>ROUND(INDEX('Balance Inputs'!$N$2:$N$51,MATCH(A328,'Balance Inputs'!$I$2:$I$51,0))*POWER(INDEX('Balance Inputs'!$G$2:$G$7,MATCH(C328,'Balance Inputs'!$A$2:$A$7,0)),F328-1),0)</x:f>
        <x:v>38421</x:v>
      </x:c>
      <x:c r="N328" s="38" t="n">
        <x:f>IF(A328&lt;&gt;A327,H328,N327+H328)</x:f>
        <x:v>102572879</x:v>
      </x:c>
      <x:c r="O328" s="42" t="n">
        <x:f>IF(I328=0,0,H328/I328)</x:f>
        <x:v>51.21818934499072</x:v>
      </x:c>
      <x:c r="P328" s="43" t="n">
        <x:f>I328/INDEX('Balance Inputs'!$L$2:$L$51,MATCH(A328,'Balance Inputs'!$I$2:$I$51,0))</x:f>
        <x:v>6.9067585498437705</x:v>
      </x:c>
      <x:c r="Q328" s="43" t="n">
        <x:f>L328/INDEX('Balance Inputs'!$M$2:$M$51,MATCH(A328,'Balance Inputs'!$I$2:$I$51,0))</x:f>
        <x:v>6.327521375173464</x:v>
      </x:c>
      <x:c r="R328" s="17"/>
      <x:c r="S328" s="17"/>
      <x:c r="T328" s="17"/>
      <x:c r="U328" s="17"/>
      <x:c r="V328" s="17"/>
      <x:c r="W328" s="17"/>
      <x:c r="X328" s="17"/>
      <x:c r="Y328" s="17"/>
      <x:c r="Z328" s="17"/>
    </x:row>
    <x:row r="329">
      <x:c r="A329" s="17" t="n">
        <x:v>43</x:v>
      </x:c>
      <x:c r="B329" s="17" t="str">
        <x:v>Institutional Trading Center</x:v>
      </x:c>
      <x:c r="C329" s="17" t="str">
        <x:v>Elite</x:v>
      </x:c>
      <x:c r="D329" s="17" t="str">
        <x:v>Legendary</x:v>
      </x:c>
      <x:c r="E329" s="17" t="n">
        <x:v>43</x:v>
      </x:c>
      <x:c r="F329" s="17" t="n">
        <x:v>8</x:v>
      </x:c>
      <x:c r="G329" s="17" t="str">
        <x:v>Upgrade to Lv8</x:v>
      </x:c>
      <x:c r="H329" s="38" t="n">
        <x:f>ROUND(H328*INDEX('Balance Inputs'!$C$2:$C$7,MATCH(C329,'Balance Inputs'!$A$2:$A$7,0)),0)</x:f>
        <x:v>67770542</x:v>
      </x:c>
      <x:c r="I329" s="38" t="n">
        <x:f>ROUND(INDEX('Balance Inputs'!$L$2:$L$51,MATCH(A329,'Balance Inputs'!$I$2:$I$51,0))*POWER(INDEX('Balance Inputs'!$D$2:$D$7,MATCH(C329,'Balance Inputs'!$A$2:$A$7,0)),F329-1),0)</x:f>
        <x:v>1113403</x:v>
      </x:c>
      <x:c r="J329" s="38" t="n">
        <x:f>ROUND(I329*INDEX('Balance Inputs'!$F$2:$F$7,MATCH(C329,'Balance Inputs'!$A$2:$A$7,0)),0)</x:f>
        <x:v>178144</x:v>
      </x:c>
      <x:c r="K329" s="38" t="n">
        <x:f>I329-J329</x:f>
        <x:v>935259</x:v>
      </x:c>
      <x:c r="L329" s="38" t="n">
        <x:f>ROUND(INDEX('Balance Inputs'!$M$2:$M$51,MATCH(A329,'Balance Inputs'!$I$2:$I$51,0))*POWER(INDEX('Balance Inputs'!$E$2:$E$7,MATCH(C329,'Balance Inputs'!$A$2:$A$7,0)),F329-1),0)</x:f>
        <x:v>768946</x:v>
      </x:c>
      <x:c r="M329" s="38" t="n">
        <x:f>ROUND(INDEX('Balance Inputs'!$N$2:$N$51,MATCH(A329,'Balance Inputs'!$I$2:$I$51,0))*POWER(INDEX('Balance Inputs'!$G$2:$G$7,MATCH(C329,'Balance Inputs'!$A$2:$A$7,0)),F329-1),0)</x:f>
        <x:v>46105</x:v>
      </x:c>
      <x:c r="N329" s="38" t="n">
        <x:f>IF(A329&lt;&gt;A328,H329,N328+H329)</x:f>
        <x:v>170343421</x:v>
      </x:c>
      <x:c r="O329" s="42" t="n">
        <x:f>IF(I329=0,0,H329/I329)</x:f>
        <x:v>60.86793550942471</x:v>
      </x:c>
      <x:c r="P329" s="43" t="n">
        <x:f>I329/INDEX('Balance Inputs'!$L$2:$L$51,MATCH(A329,'Balance Inputs'!$I$2:$I$51,0))</x:f>
        <x:v>9.53133587296152</x:v>
      </x:c>
      <x:c r="Q329" s="43" t="n">
        <x:f>L329/INDEX('Balance Inputs'!$M$2:$M$51,MATCH(A329,'Balance Inputs'!$I$2:$I$51,0))</x:f>
        <x:v>8.605421012578898</x:v>
      </x:c>
      <x:c r="R329" s="17"/>
      <x:c r="S329" s="17"/>
      <x:c r="T329" s="17"/>
      <x:c r="U329" s="17"/>
      <x:c r="V329" s="17"/>
      <x:c r="W329" s="17"/>
      <x:c r="X329" s="17"/>
      <x:c r="Y329" s="17"/>
      <x:c r="Z329" s="17"/>
    </x:row>
    <x:row r="330">
      <x:c r="A330" s="17" t="n">
        <x:v>43</x:v>
      </x:c>
      <x:c r="B330" s="17" t="str">
        <x:v>Institutional Trading Center</x:v>
      </x:c>
      <x:c r="C330" s="17" t="str">
        <x:v>Elite</x:v>
      </x:c>
      <x:c r="D330" s="17" t="str">
        <x:v>Legendary</x:v>
      </x:c>
      <x:c r="E330" s="17" t="n">
        <x:v>43</x:v>
      </x:c>
      <x:c r="F330" s="17" t="n">
        <x:v>9</x:v>
      </x:c>
      <x:c r="G330" s="17" t="str">
        <x:v>Upgrade to Lv9</x:v>
      </x:c>
      <x:c r="H330" s="38" t="n">
        <x:f>ROUND(H329*INDEX('Balance Inputs'!$C$2:$C$7,MATCH(C330,'Balance Inputs'!$A$2:$A$7,0)),0)</x:f>
        <x:v>111143689</x:v>
      </x:c>
      <x:c r="I330" s="38" t="n">
        <x:f>ROUND(INDEX('Balance Inputs'!$L$2:$L$51,MATCH(A330,'Balance Inputs'!$I$2:$I$51,0))*POWER(INDEX('Balance Inputs'!$D$2:$D$7,MATCH(C330,'Balance Inputs'!$A$2:$A$7,0)),F330-1),0)</x:f>
        <x:v>1536496</x:v>
      </x:c>
      <x:c r="J330" s="38" t="n">
        <x:f>ROUND(I330*INDEX('Balance Inputs'!$F$2:$F$7,MATCH(C330,'Balance Inputs'!$A$2:$A$7,0)),0)</x:f>
        <x:v>245839</x:v>
      </x:c>
      <x:c r="K330" s="38" t="n">
        <x:f>I330-J330</x:f>
        <x:v>1290657</x:v>
      </x:c>
      <x:c r="L330" s="38" t="n">
        <x:f>ROUND(INDEX('Balance Inputs'!$M$2:$M$51,MATCH(A330,'Balance Inputs'!$I$2:$I$51,0))*POWER(INDEX('Balance Inputs'!$E$2:$E$7,MATCH(C330,'Balance Inputs'!$A$2:$A$7,0)),F330-1),0)</x:f>
        <x:v>1045767</x:v>
      </x:c>
      <x:c r="M330" s="38" t="n">
        <x:f>ROUND(INDEX('Balance Inputs'!$N$2:$N$51,MATCH(A330,'Balance Inputs'!$I$2:$I$51,0))*POWER(INDEX('Balance Inputs'!$G$2:$G$7,MATCH(C330,'Balance Inputs'!$A$2:$A$7,0)),F330-1),0)</x:f>
        <x:v>55326</x:v>
      </x:c>
      <x:c r="N330" s="38" t="n">
        <x:f>IF(A330&lt;&gt;A329,H330,N329+H330)</x:f>
        <x:v>281487110</x:v>
      </x:c>
      <x:c r="O330" s="42" t="n">
        <x:f>IF(I330=0,0,H330/I330)</x:f>
        <x:v>72.33581408607637</x:v>
      </x:c>
      <x:c r="P330" s="43" t="n">
        <x:f>I330/INDEX('Balance Inputs'!$L$2:$L$51,MATCH(A330,'Balance Inputs'!$I$2:$I$51,0))</x:f>
        <x:v>13.153242306210675</x:v>
      </x:c>
      <x:c r="Q330" s="43" t="n">
        <x:f>L330/INDEX('Balance Inputs'!$M$2:$M$51,MATCH(A330,'Balance Inputs'!$I$2:$I$51,0))</x:f>
        <x:v>11.703377501231031</x:v>
      </x:c>
      <x:c r="R330" s="17"/>
      <x:c r="S330" s="17"/>
      <x:c r="T330" s="17"/>
      <x:c r="U330" s="17"/>
      <x:c r="V330" s="17"/>
      <x:c r="W330" s="17"/>
      <x:c r="X330" s="17"/>
      <x:c r="Y330" s="17"/>
      <x:c r="Z330" s="17"/>
    </x:row>
    <x:row r="331">
      <x:c r="A331" s="17" t="n">
        <x:v>43</x:v>
      </x:c>
      <x:c r="B331" s="17" t="str">
        <x:v>Institutional Trading Center</x:v>
      </x:c>
      <x:c r="C331" s="17" t="str">
        <x:v>Elite</x:v>
      </x:c>
      <x:c r="D331" s="17" t="str">
        <x:v>Legendary</x:v>
      </x:c>
      <x:c r="E331" s="17" t="n">
        <x:v>43</x:v>
      </x:c>
      <x:c r="F331" s="17" t="n">
        <x:v>10</x:v>
      </x:c>
      <x:c r="G331" s="17" t="str">
        <x:v>Upgrade to Lv10</x:v>
      </x:c>
      <x:c r="H331" s="38" t="n">
        <x:f>ROUND(H330*INDEX('Balance Inputs'!$C$2:$C$7,MATCH(C331,'Balance Inputs'!$A$2:$A$7,0)),0)</x:f>
        <x:v>182275650</x:v>
      </x:c>
      <x:c r="I331" s="38" t="n">
        <x:f>ROUND(INDEX('Balance Inputs'!$L$2:$L$51,MATCH(A331,'Balance Inputs'!$I$2:$I$51,0))*POWER(INDEX('Balance Inputs'!$D$2:$D$7,MATCH(C331,'Balance Inputs'!$A$2:$A$7,0)),F331-1),0)</x:f>
        <x:v>2120364</x:v>
      </x:c>
      <x:c r="J331" s="38" t="n">
        <x:f>ROUND(I331*INDEX('Balance Inputs'!$F$2:$F$7,MATCH(C331,'Balance Inputs'!$A$2:$A$7,0)),0)</x:f>
        <x:v>339258</x:v>
      </x:c>
      <x:c r="K331" s="38" t="n">
        <x:f>I331-J331</x:f>
        <x:v>1781106</x:v>
      </x:c>
      <x:c r="L331" s="38" t="n">
        <x:f>ROUND(INDEX('Balance Inputs'!$M$2:$M$51,MATCH(A331,'Balance Inputs'!$I$2:$I$51,0))*POWER(INDEX('Balance Inputs'!$E$2:$E$7,MATCH(C331,'Balance Inputs'!$A$2:$A$7,0)),F331-1),0)</x:f>
        <x:v>1422243</x:v>
      </x:c>
      <x:c r="M331" s="38" t="n">
        <x:f>ROUND(INDEX('Balance Inputs'!$N$2:$N$51,MATCH(A331,'Balance Inputs'!$I$2:$I$51,0))*POWER(INDEX('Balance Inputs'!$G$2:$G$7,MATCH(C331,'Balance Inputs'!$A$2:$A$7,0)),F331-1),0)</x:f>
        <x:v>66391</x:v>
      </x:c>
      <x:c r="N331" s="38" t="n">
        <x:f>IF(A331&lt;&gt;A330,H331,N330+H331)</x:f>
        <x:v>463762760</x:v>
      </x:c>
      <x:c r="O331" s="42" t="n">
        <x:f>IF(I331=0,0,H331/I331)</x:f>
        <x:v>85.9643202770845</x:v>
      </x:c>
      <x:c r="P331" s="43" t="n">
        <x:f>I331/INDEX('Balance Inputs'!$L$2:$L$51,MATCH(A331,'Balance Inputs'!$I$2:$I$51,0))</x:f>
        <x:v>18.151470273509396</x:v>
      </x:c>
      <x:c r="Q331" s="43" t="n">
        <x:f>L331/INDEX('Balance Inputs'!$M$2:$M$51,MATCH(A331,'Balance Inputs'!$I$2:$I$51,0))</x:f>
        <x:v>15.916592058731366</x:v>
      </x:c>
      <x:c r="R331" s="17"/>
      <x:c r="S331" s="17"/>
      <x:c r="T331" s="17"/>
      <x:c r="U331" s="17"/>
      <x:c r="V331" s="17"/>
      <x:c r="W331" s="17"/>
      <x:c r="X331" s="17"/>
      <x:c r="Y331" s="17"/>
      <x:c r="Z331" s="17"/>
    </x:row>
    <x:row r="332">
      <x:c r="A332" s="17" t="n">
        <x:v>44</x:v>
      </x:c>
      <x:c r="B332" s="17" t="str">
        <x:v>Global Wealth Center</x:v>
      </x:c>
      <x:c r="C332" s="17" t="str">
        <x:v>Elite</x:v>
      </x:c>
      <x:c r="D332" s="17" t="str">
        <x:v>Legendary</x:v>
      </x:c>
      <x:c r="E332" s="17" t="n">
        <x:v>44</x:v>
      </x:c>
      <x:c r="F332" s="17" t="n">
        <x:v>1</x:v>
      </x:c>
      <x:c r="G332" s="17" t="str">
        <x:v>Build</x:v>
      </x:c>
      <x:c r="H332" s="38" t="n">
        <x:f>INDEX('Balance Inputs'!$K$2:$K$51,MATCH(A332,'Balance Inputs'!$I$2:$I$51,0))</x:f>
        <x:v>2623010</x:v>
      </x:c>
      <x:c r="I332" s="38" t="n">
        <x:f>ROUND(INDEX('Balance Inputs'!$L$2:$L$51,MATCH(A332,'Balance Inputs'!$I$2:$I$51,0))*POWER(INDEX('Balance Inputs'!$D$2:$D$7,MATCH(C332,'Balance Inputs'!$A$2:$A$7,0)),F332-1),0)</x:f>
        <x:v>131889</x:v>
      </x:c>
      <x:c r="J332" s="38" t="n">
        <x:f>ROUND(I332*INDEX('Balance Inputs'!$F$2:$F$7,MATCH(C332,'Balance Inputs'!$A$2:$A$7,0)),0)</x:f>
        <x:v>21102</x:v>
      </x:c>
      <x:c r="K332" s="38" t="n">
        <x:f>I332-J332</x:f>
        <x:v>110787</x:v>
      </x:c>
      <x:c r="L332" s="38" t="n">
        <x:f>ROUND(INDEX('Balance Inputs'!$M$2:$M$51,MATCH(A332,'Balance Inputs'!$I$2:$I$51,0))*POWER(INDEX('Balance Inputs'!$E$2:$E$7,MATCH(C332,'Balance Inputs'!$A$2:$A$7,0)),F332-1),0)</x:f>
        <x:v>106334</x:v>
      </x:c>
      <x:c r="M332" s="38" t="n">
        <x:f>ROUND(INDEX('Balance Inputs'!$N$2:$N$51,MATCH(A332,'Balance Inputs'!$I$2:$I$51,0))*POWER(INDEX('Balance Inputs'!$G$2:$G$7,MATCH(C332,'Balance Inputs'!$A$2:$A$7,0)),F332-1),0)</x:f>
        <x:v>12122</x:v>
      </x:c>
      <x:c r="N332" s="38" t="n">
        <x:f>IF(A332&lt;&gt;A331,H332,N331+H332)</x:f>
        <x:v>2623010</x:v>
      </x:c>
      <x:c r="O332" s="42" t="n">
        <x:f>IF(I332=0,0,H332/I332)</x:f>
        <x:v>19.888011888785268</x:v>
      </x:c>
      <x:c r="P332" s="43" t="n">
        <x:f>I332/INDEX('Balance Inputs'!$L$2:$L$51,MATCH(A332,'Balance Inputs'!$I$2:$I$51,0))</x:f>
        <x:v>1</x:v>
      </x:c>
      <x:c r="Q332" s="43" t="n">
        <x:f>L332/INDEX('Balance Inputs'!$M$2:$M$51,MATCH(A332,'Balance Inputs'!$I$2:$I$51,0))</x:f>
        <x:v>1</x:v>
      </x:c>
      <x:c r="R332" s="17"/>
      <x:c r="S332" s="17"/>
      <x:c r="T332" s="17"/>
      <x:c r="U332" s="17"/>
      <x:c r="V332" s="17"/>
      <x:c r="W332" s="17"/>
      <x:c r="X332" s="17"/>
      <x:c r="Y332" s="17"/>
      <x:c r="Z332" s="17"/>
    </x:row>
    <x:row r="333">
      <x:c r="A333" s="17" t="n">
        <x:v>44</x:v>
      </x:c>
      <x:c r="B333" s="17" t="str">
        <x:v>Global Wealth Center</x:v>
      </x:c>
      <x:c r="C333" s="17" t="str">
        <x:v>Elite</x:v>
      </x:c>
      <x:c r="D333" s="17" t="str">
        <x:v>Legendary</x:v>
      </x:c>
      <x:c r="E333" s="17" t="n">
        <x:v>44</x:v>
      </x:c>
      <x:c r="F333" s="17" t="n">
        <x:v>2</x:v>
      </x:c>
      <x:c r="G333" s="17" t="str">
        <x:v>Upgrade to Lv2</x:v>
      </x:c>
      <x:c r="H333" s="38" t="n">
        <x:f>ROUND(H332*INDEX('Balance Inputs'!$C$2:$C$7,MATCH(C333,'Balance Inputs'!$A$2:$A$7,0)),0)</x:f>
        <x:v>4301736</x:v>
      </x:c>
      <x:c r="I333" s="38" t="n">
        <x:f>ROUND(INDEX('Balance Inputs'!$L$2:$L$51,MATCH(A333,'Balance Inputs'!$I$2:$I$51,0))*POWER(INDEX('Balance Inputs'!$D$2:$D$7,MATCH(C333,'Balance Inputs'!$A$2:$A$7,0)),F333-1),0)</x:f>
        <x:v>182007</x:v>
      </x:c>
      <x:c r="J333" s="38" t="n">
        <x:f>ROUND(I333*INDEX('Balance Inputs'!$F$2:$F$7,MATCH(C333,'Balance Inputs'!$A$2:$A$7,0)),0)</x:f>
        <x:v>29121</x:v>
      </x:c>
      <x:c r="K333" s="38" t="n">
        <x:f>I333-J333</x:f>
        <x:v>152886</x:v>
      </x:c>
      <x:c r="L333" s="38" t="n">
        <x:f>ROUND(INDEX('Balance Inputs'!$M$2:$M$51,MATCH(A333,'Balance Inputs'!$I$2:$I$51,0))*POWER(INDEX('Balance Inputs'!$E$2:$E$7,MATCH(C333,'Balance Inputs'!$A$2:$A$7,0)),F333-1),0)</x:f>
        <x:v>144614</x:v>
      </x:c>
      <x:c r="M333" s="38" t="n">
        <x:f>ROUND(INDEX('Balance Inputs'!$N$2:$N$51,MATCH(A333,'Balance Inputs'!$I$2:$I$51,0))*POWER(INDEX('Balance Inputs'!$G$2:$G$7,MATCH(C333,'Balance Inputs'!$A$2:$A$7,0)),F333-1),0)</x:f>
        <x:v>14546</x:v>
      </x:c>
      <x:c r="N333" s="38" t="n">
        <x:f>IF(A333&lt;&gt;A332,H333,N332+H333)</x:f>
        <x:v>6924746</x:v>
      </x:c>
      <x:c r="O333" s="42" t="n">
        <x:f>IF(I333=0,0,H333/I333)</x:f>
        <x:v>23.635003049333267</x:v>
      </x:c>
      <x:c r="P333" s="43" t="n">
        <x:f>I333/INDEX('Balance Inputs'!$L$2:$L$51,MATCH(A333,'Balance Inputs'!$I$2:$I$51,0))</x:f>
        <x:v>1.380001364784023</x:v>
      </x:c>
      <x:c r="Q333" s="43" t="n">
        <x:f>L333/INDEX('Balance Inputs'!$M$2:$M$51,MATCH(A333,'Balance Inputs'!$I$2:$I$51,0))</x:f>
        <x:v>1.3599977429608592</x:v>
      </x:c>
      <x:c r="R333" s="17"/>
      <x:c r="S333" s="17"/>
      <x:c r="T333" s="17"/>
      <x:c r="U333" s="17"/>
      <x:c r="V333" s="17"/>
      <x:c r="W333" s="17"/>
      <x:c r="X333" s="17"/>
      <x:c r="Y333" s="17"/>
      <x:c r="Z333" s="17"/>
    </x:row>
    <x:row r="334">
      <x:c r="A334" s="17" t="n">
        <x:v>44</x:v>
      </x:c>
      <x:c r="B334" s="17" t="str">
        <x:v>Global Wealth Center</x:v>
      </x:c>
      <x:c r="C334" s="17" t="str">
        <x:v>Elite</x:v>
      </x:c>
      <x:c r="D334" s="17" t="str">
        <x:v>Legendary</x:v>
      </x:c>
      <x:c r="E334" s="17" t="n">
        <x:v>44</x:v>
      </x:c>
      <x:c r="F334" s="17" t="n">
        <x:v>3</x:v>
      </x:c>
      <x:c r="G334" s="17" t="str">
        <x:v>Upgrade to Lv3</x:v>
      </x:c>
      <x:c r="H334" s="38" t="n">
        <x:f>ROUND(H333*INDEX('Balance Inputs'!$C$2:$C$7,MATCH(C334,'Balance Inputs'!$A$2:$A$7,0)),0)</x:f>
        <x:v>7054847</x:v>
      </x:c>
      <x:c r="I334" s="38" t="n">
        <x:f>ROUND(INDEX('Balance Inputs'!$L$2:$L$51,MATCH(A334,'Balance Inputs'!$I$2:$I$51,0))*POWER(INDEX('Balance Inputs'!$D$2:$D$7,MATCH(C334,'Balance Inputs'!$A$2:$A$7,0)),F334-1),0)</x:f>
        <x:v>251169</x:v>
      </x:c>
      <x:c r="J334" s="38" t="n">
        <x:f>ROUND(I334*INDEX('Balance Inputs'!$F$2:$F$7,MATCH(C334,'Balance Inputs'!$A$2:$A$7,0)),0)</x:f>
        <x:v>40187</x:v>
      </x:c>
      <x:c r="K334" s="38" t="n">
        <x:f>I334-J334</x:f>
        <x:v>210982</x:v>
      </x:c>
      <x:c r="L334" s="38" t="n">
        <x:f>ROUND(INDEX('Balance Inputs'!$M$2:$M$51,MATCH(A334,'Balance Inputs'!$I$2:$I$51,0))*POWER(INDEX('Balance Inputs'!$E$2:$E$7,MATCH(C334,'Balance Inputs'!$A$2:$A$7,0)),F334-1),0)</x:f>
        <x:v>196675</x:v>
      </x:c>
      <x:c r="M334" s="38" t="n">
        <x:f>ROUND(INDEX('Balance Inputs'!$N$2:$N$51,MATCH(A334,'Balance Inputs'!$I$2:$I$51,0))*POWER(INDEX('Balance Inputs'!$G$2:$G$7,MATCH(C334,'Balance Inputs'!$A$2:$A$7,0)),F334-1),0)</x:f>
        <x:v>17456</x:v>
      </x:c>
      <x:c r="N334" s="38" t="n">
        <x:f>IF(A334&lt;&gt;A333,H334,N333+H334)</x:f>
        <x:v>13979593</x:v>
      </x:c>
      <x:c r="O334" s="42" t="n">
        <x:f>IF(I334=0,0,H334/I334)</x:f>
        <x:v>28.088048286213667</x:v>
      </x:c>
      <x:c r="P334" s="43" t="n">
        <x:f>I334/INDEX('Balance Inputs'!$L$2:$L$51,MATCH(A334,'Balance Inputs'!$I$2:$I$51,0))</x:f>
        <x:v>1.9043968791938675</x:v>
      </x:c>
      <x:c r="Q334" s="43" t="n">
        <x:f>L334/INDEX('Balance Inputs'!$M$2:$M$51,MATCH(A334,'Balance Inputs'!$I$2:$I$51,0))</x:f>
        <x:v>1.8495965542535784</x:v>
      </x:c>
      <x:c r="R334" s="17"/>
      <x:c r="S334" s="17"/>
      <x:c r="T334" s="17"/>
      <x:c r="U334" s="17"/>
      <x:c r="V334" s="17"/>
      <x:c r="W334" s="17"/>
      <x:c r="X334" s="17"/>
      <x:c r="Y334" s="17"/>
      <x:c r="Z334" s="17"/>
    </x:row>
    <x:row r="335">
      <x:c r="A335" s="17" t="n">
        <x:v>44</x:v>
      </x:c>
      <x:c r="B335" s="17" t="str">
        <x:v>Global Wealth Center</x:v>
      </x:c>
      <x:c r="C335" s="17" t="str">
        <x:v>Elite</x:v>
      </x:c>
      <x:c r="D335" s="17" t="str">
        <x:v>Legendary</x:v>
      </x:c>
      <x:c r="E335" s="17" t="n">
        <x:v>44</x:v>
      </x:c>
      <x:c r="F335" s="17" t="n">
        <x:v>4</x:v>
      </x:c>
      <x:c r="G335" s="17" t="str">
        <x:v>Upgrade to Lv4</x:v>
      </x:c>
      <x:c r="H335" s="38" t="n">
        <x:f>ROUND(H334*INDEX('Balance Inputs'!$C$2:$C$7,MATCH(C335,'Balance Inputs'!$A$2:$A$7,0)),0)</x:f>
        <x:v>11569949</x:v>
      </x:c>
      <x:c r="I335" s="38" t="n">
        <x:f>ROUND(INDEX('Balance Inputs'!$L$2:$L$51,MATCH(A335,'Balance Inputs'!$I$2:$I$51,0))*POWER(INDEX('Balance Inputs'!$D$2:$D$7,MATCH(C335,'Balance Inputs'!$A$2:$A$7,0)),F335-1),0)</x:f>
        <x:v>346614</x:v>
      </x:c>
      <x:c r="J335" s="38" t="n">
        <x:f>ROUND(I335*INDEX('Balance Inputs'!$F$2:$F$7,MATCH(C335,'Balance Inputs'!$A$2:$A$7,0)),0)</x:f>
        <x:v>55458</x:v>
      </x:c>
      <x:c r="K335" s="38" t="n">
        <x:f>I335-J335</x:f>
        <x:v>291156</x:v>
      </x:c>
      <x:c r="L335" s="38" t="n">
        <x:f>ROUND(INDEX('Balance Inputs'!$M$2:$M$51,MATCH(A335,'Balance Inputs'!$I$2:$I$51,0))*POWER(INDEX('Balance Inputs'!$E$2:$E$7,MATCH(C335,'Balance Inputs'!$A$2:$A$7,0)),F335-1),0)</x:f>
        <x:v>267478</x:v>
      </x:c>
      <x:c r="M335" s="38" t="n">
        <x:f>ROUND(INDEX('Balance Inputs'!$N$2:$N$51,MATCH(A335,'Balance Inputs'!$I$2:$I$51,0))*POWER(INDEX('Balance Inputs'!$G$2:$G$7,MATCH(C335,'Balance Inputs'!$A$2:$A$7,0)),F335-1),0)</x:f>
        <x:v>20947</x:v>
      </x:c>
      <x:c r="N335" s="38" t="n">
        <x:f>IF(A335&lt;&gt;A334,H335,N334+H335)</x:f>
        <x:v>25549542</x:v>
      </x:c>
      <x:c r="O335" s="42" t="n">
        <x:f>IF(I335=0,0,H335/I335)</x:f>
        <x:v>33.37992406538686</x:v>
      </x:c>
      <x:c r="P335" s="43" t="n">
        <x:f>I335/INDEX('Balance Inputs'!$L$2:$L$51,MATCH(A335,'Balance Inputs'!$I$2:$I$51,0))</x:f>
        <x:v>2.6280736073516366</x:v>
      </x:c>
      <x:c r="Q335" s="43" t="n">
        <x:f>L335/INDEX('Balance Inputs'!$M$2:$M$51,MATCH(A335,'Balance Inputs'!$I$2:$I$51,0))</x:f>
        <x:v>2.5154513137848666</x:v>
      </x:c>
      <x:c r="R335" s="17"/>
      <x:c r="S335" s="17"/>
      <x:c r="T335" s="17"/>
      <x:c r="U335" s="17"/>
      <x:c r="V335" s="17"/>
      <x:c r="W335" s="17"/>
      <x:c r="X335" s="17"/>
      <x:c r="Y335" s="17"/>
      <x:c r="Z335" s="17"/>
    </x:row>
    <x:row r="336">
      <x:c r="A336" s="17" t="n">
        <x:v>44</x:v>
      </x:c>
      <x:c r="B336" s="17" t="str">
        <x:v>Global Wealth Center</x:v>
      </x:c>
      <x:c r="C336" s="17" t="str">
        <x:v>Elite</x:v>
      </x:c>
      <x:c r="D336" s="17" t="str">
        <x:v>Legendary</x:v>
      </x:c>
      <x:c r="E336" s="17" t="n">
        <x:v>44</x:v>
      </x:c>
      <x:c r="F336" s="17" t="n">
        <x:v>5</x:v>
      </x:c>
      <x:c r="G336" s="17" t="str">
        <x:v>Upgrade to Lv5</x:v>
      </x:c>
      <x:c r="H336" s="38" t="n">
        <x:f>ROUND(H335*INDEX('Balance Inputs'!$C$2:$C$7,MATCH(C336,'Balance Inputs'!$A$2:$A$7,0)),0)</x:f>
        <x:v>18974716</x:v>
      </x:c>
      <x:c r="I336" s="38" t="n">
        <x:f>ROUND(INDEX('Balance Inputs'!$L$2:$L$51,MATCH(A336,'Balance Inputs'!$I$2:$I$51,0))*POWER(INDEX('Balance Inputs'!$D$2:$D$7,MATCH(C336,'Balance Inputs'!$A$2:$A$7,0)),F336-1),0)</x:f>
        <x:v>478327</x:v>
      </x:c>
      <x:c r="J336" s="38" t="n">
        <x:f>ROUND(I336*INDEX('Balance Inputs'!$F$2:$F$7,MATCH(C336,'Balance Inputs'!$A$2:$A$7,0)),0)</x:f>
        <x:v>76532</x:v>
      </x:c>
      <x:c r="K336" s="38" t="n">
        <x:f>I336-J336</x:f>
        <x:v>401795</x:v>
      </x:c>
      <x:c r="L336" s="38" t="n">
        <x:f>ROUND(INDEX('Balance Inputs'!$M$2:$M$51,MATCH(A336,'Balance Inputs'!$I$2:$I$51,0))*POWER(INDEX('Balance Inputs'!$E$2:$E$7,MATCH(C336,'Balance Inputs'!$A$2:$A$7,0)),F336-1),0)</x:f>
        <x:v>363771</x:v>
      </x:c>
      <x:c r="M336" s="38" t="n">
        <x:f>ROUND(INDEX('Balance Inputs'!$N$2:$N$51,MATCH(A336,'Balance Inputs'!$I$2:$I$51,0))*POWER(INDEX('Balance Inputs'!$G$2:$G$7,MATCH(C336,'Balance Inputs'!$A$2:$A$7,0)),F336-1),0)</x:f>
        <x:v>25136</x:v>
      </x:c>
      <x:c r="N336" s="38" t="n">
        <x:f>IF(A336&lt;&gt;A335,H336,N335+H336)</x:f>
        <x:v>44524258</x:v>
      </x:c>
      <x:c r="O336" s="42" t="n">
        <x:f>IF(I336=0,0,H336/I336)</x:f>
        <x:v>39.668921051916364</x:v>
      </x:c>
      <x:c r="P336" s="43" t="n">
        <x:f>I336/INDEX('Balance Inputs'!$L$2:$L$51,MATCH(A336,'Balance Inputs'!$I$2:$I$51,0))</x:f>
        <x:v>3.626739151862551</x:v>
      </x:c>
      <x:c r="Q336" s="43" t="n">
        <x:f>L336/INDEX('Balance Inputs'!$M$2:$M$51,MATCH(A336,'Balance Inputs'!$I$2:$I$51,0))</x:f>
        <x:v>3.4210224387307915</x:v>
      </x:c>
      <x:c r="R336" s="17"/>
      <x:c r="S336" s="17"/>
      <x:c r="T336" s="17"/>
      <x:c r="U336" s="17"/>
      <x:c r="V336" s="17"/>
      <x:c r="W336" s="17"/>
      <x:c r="X336" s="17"/>
      <x:c r="Y336" s="17"/>
      <x:c r="Z336" s="17"/>
    </x:row>
    <x:row r="337">
      <x:c r="A337" s="17" t="n">
        <x:v>44</x:v>
      </x:c>
      <x:c r="B337" s="17" t="str">
        <x:v>Global Wealth Center</x:v>
      </x:c>
      <x:c r="C337" s="17" t="str">
        <x:v>Elite</x:v>
      </x:c>
      <x:c r="D337" s="17" t="str">
        <x:v>Legendary</x:v>
      </x:c>
      <x:c r="E337" s="17" t="n">
        <x:v>44</x:v>
      </x:c>
      <x:c r="F337" s="17" t="n">
        <x:v>6</x:v>
      </x:c>
      <x:c r="G337" s="17" t="str">
        <x:v>Upgrade to Lv6</x:v>
      </x:c>
      <x:c r="H337" s="38" t="n">
        <x:f>ROUND(H336*INDEX('Balance Inputs'!$C$2:$C$7,MATCH(C337,'Balance Inputs'!$A$2:$A$7,0)),0)</x:f>
        <x:v>31118534</x:v>
      </x:c>
      <x:c r="I337" s="38" t="n">
        <x:f>ROUND(INDEX('Balance Inputs'!$L$2:$L$51,MATCH(A337,'Balance Inputs'!$I$2:$I$51,0))*POWER(INDEX('Balance Inputs'!$D$2:$D$7,MATCH(C337,'Balance Inputs'!$A$2:$A$7,0)),F337-1),0)</x:f>
        <x:v>660091</x:v>
      </x:c>
      <x:c r="J337" s="38" t="n">
        <x:f>ROUND(I337*INDEX('Balance Inputs'!$F$2:$F$7,MATCH(C337,'Balance Inputs'!$A$2:$A$7,0)),0)</x:f>
        <x:v>105615</x:v>
      </x:c>
      <x:c r="K337" s="38" t="n">
        <x:f>I337-J337</x:f>
        <x:v>554476</x:v>
      </x:c>
      <x:c r="L337" s="38" t="n">
        <x:f>ROUND(INDEX('Balance Inputs'!$M$2:$M$51,MATCH(A337,'Balance Inputs'!$I$2:$I$51,0))*POWER(INDEX('Balance Inputs'!$E$2:$E$7,MATCH(C337,'Balance Inputs'!$A$2:$A$7,0)),F337-1),0)</x:f>
        <x:v>494728</x:v>
      </x:c>
      <x:c r="M337" s="38" t="n">
        <x:f>ROUND(INDEX('Balance Inputs'!$N$2:$N$51,MATCH(A337,'Balance Inputs'!$I$2:$I$51,0))*POWER(INDEX('Balance Inputs'!$G$2:$G$7,MATCH(C337,'Balance Inputs'!$A$2:$A$7,0)),F337-1),0)</x:f>
        <x:v>30163</x:v>
      </x:c>
      <x:c r="N337" s="38" t="n">
        <x:f>IF(A337&lt;&gt;A336,H337,N336+H337)</x:f>
        <x:v>75642792</x:v>
      </x:c>
      <x:c r="O337" s="42" t="n">
        <x:f>IF(I337=0,0,H337/I337)</x:f>
        <x:v>47.142793948107155</x:v>
      </x:c>
      <x:c r="P337" s="43" t="n">
        <x:f>I337/INDEX('Balance Inputs'!$L$2:$L$51,MATCH(A337,'Balance Inputs'!$I$2:$I$51,0))</x:f>
        <x:v>5.004898058215621</x:v>
      </x:c>
      <x:c r="Q337" s="43" t="n">
        <x:f>L337/INDEX('Balance Inputs'!$M$2:$M$51,MATCH(A337,'Balance Inputs'!$I$2:$I$51,0))</x:f>
        <x:v>4.652585250249214</x:v>
      </x:c>
      <x:c r="R337" s="17"/>
      <x:c r="S337" s="17"/>
      <x:c r="T337" s="17"/>
      <x:c r="U337" s="17"/>
      <x:c r="V337" s="17"/>
      <x:c r="W337" s="17"/>
      <x:c r="X337" s="17"/>
      <x:c r="Y337" s="17"/>
      <x:c r="Z337" s="17"/>
    </x:row>
    <x:row r="338">
      <x:c r="A338" s="17" t="n">
        <x:v>44</x:v>
      </x:c>
      <x:c r="B338" s="17" t="str">
        <x:v>Global Wealth Center</x:v>
      </x:c>
      <x:c r="C338" s="17" t="str">
        <x:v>Elite</x:v>
      </x:c>
      <x:c r="D338" s="17" t="str">
        <x:v>Legendary</x:v>
      </x:c>
      <x:c r="E338" s="17" t="n">
        <x:v>44</x:v>
      </x:c>
      <x:c r="F338" s="17" t="n">
        <x:v>7</x:v>
      </x:c>
      <x:c r="G338" s="17" t="str">
        <x:v>Upgrade to Lv7</x:v>
      </x:c>
      <x:c r="H338" s="38" t="n">
        <x:f>ROUND(H337*INDEX('Balance Inputs'!$C$2:$C$7,MATCH(C338,'Balance Inputs'!$A$2:$A$7,0)),0)</x:f>
        <x:v>51034396</x:v>
      </x:c>
      <x:c r="I338" s="38" t="n">
        <x:f>ROUND(INDEX('Balance Inputs'!$L$2:$L$51,MATCH(A338,'Balance Inputs'!$I$2:$I$51,0))*POWER(INDEX('Balance Inputs'!$D$2:$D$7,MATCH(C338,'Balance Inputs'!$A$2:$A$7,0)),F338-1),0)</x:f>
        <x:v>910926</x:v>
      </x:c>
      <x:c r="J338" s="38" t="n">
        <x:f>ROUND(I338*INDEX('Balance Inputs'!$F$2:$F$7,MATCH(C338,'Balance Inputs'!$A$2:$A$7,0)),0)</x:f>
        <x:v>145748</x:v>
      </x:c>
      <x:c r="K338" s="38" t="n">
        <x:f>I338-J338</x:f>
        <x:v>765178</x:v>
      </x:c>
      <x:c r="L338" s="38" t="n">
        <x:f>ROUND(INDEX('Balance Inputs'!$M$2:$M$51,MATCH(A338,'Balance Inputs'!$I$2:$I$51,0))*POWER(INDEX('Balance Inputs'!$E$2:$E$7,MATCH(C338,'Balance Inputs'!$A$2:$A$7,0)),F338-1),0)</x:f>
        <x:v>672830</x:v>
      </x:c>
      <x:c r="M338" s="38" t="n">
        <x:f>ROUND(INDEX('Balance Inputs'!$N$2:$N$51,MATCH(A338,'Balance Inputs'!$I$2:$I$51,0))*POWER(INDEX('Balance Inputs'!$G$2:$G$7,MATCH(C338,'Balance Inputs'!$A$2:$A$7,0)),F338-1),0)</x:f>
        <x:v>36196</x:v>
      </x:c>
      <x:c r="N338" s="38" t="n">
        <x:f>IF(A338&lt;&gt;A337,H338,N337+H338)</x:f>
        <x:v>126677188</x:v>
      </x:c>
      <x:c r="O338" s="42" t="n">
        <x:f>IF(I338=0,0,H338/I338)</x:f>
        <x:v>56.02474405165732</x:v>
      </x:c>
      <x:c r="P338" s="43" t="n">
        <x:f>I338/INDEX('Balance Inputs'!$L$2:$L$51,MATCH(A338,'Balance Inputs'!$I$2:$I$51,0))</x:f>
        <x:v>6.90676250483361</x:v>
      </x:c>
      <x:c r="Q338" s="43" t="n">
        <x:f>L338/INDEX('Balance Inputs'!$M$2:$M$51,MATCH(A338,'Balance Inputs'!$I$2:$I$51,0))</x:f>
        <x:v>6.327515187992552</x:v>
      </x:c>
      <x:c r="R338" s="17"/>
      <x:c r="S338" s="17"/>
      <x:c r="T338" s="17"/>
      <x:c r="U338" s="17"/>
      <x:c r="V338" s="17"/>
      <x:c r="W338" s="17"/>
      <x:c r="X338" s="17"/>
      <x:c r="Y338" s="17"/>
      <x:c r="Z338" s="17"/>
    </x:row>
    <x:row r="339">
      <x:c r="A339" s="17" t="n">
        <x:v>44</x:v>
      </x:c>
      <x:c r="B339" s="17" t="str">
        <x:v>Global Wealth Center</x:v>
      </x:c>
      <x:c r="C339" s="17" t="str">
        <x:v>Elite</x:v>
      </x:c>
      <x:c r="D339" s="17" t="str">
        <x:v>Legendary</x:v>
      </x:c>
      <x:c r="E339" s="17" t="n">
        <x:v>44</x:v>
      </x:c>
      <x:c r="F339" s="17" t="n">
        <x:v>8</x:v>
      </x:c>
      <x:c r="G339" s="17" t="str">
        <x:v>Upgrade to Lv8</x:v>
      </x:c>
      <x:c r="H339" s="38" t="n">
        <x:f>ROUND(H338*INDEX('Balance Inputs'!$C$2:$C$7,MATCH(C339,'Balance Inputs'!$A$2:$A$7,0)),0)</x:f>
        <x:v>83696409</x:v>
      </x:c>
      <x:c r="I339" s="38" t="n">
        <x:f>ROUND(INDEX('Balance Inputs'!$L$2:$L$51,MATCH(A339,'Balance Inputs'!$I$2:$I$51,0))*POWER(INDEX('Balance Inputs'!$D$2:$D$7,MATCH(C339,'Balance Inputs'!$A$2:$A$7,0)),F339-1),0)</x:f>
        <x:v>1257078</x:v>
      </x:c>
      <x:c r="J339" s="38" t="n">
        <x:f>ROUND(I339*INDEX('Balance Inputs'!$F$2:$F$7,MATCH(C339,'Balance Inputs'!$A$2:$A$7,0)),0)</x:f>
        <x:v>201132</x:v>
      </x:c>
      <x:c r="K339" s="38" t="n">
        <x:f>I339-J339</x:f>
        <x:v>1055946</x:v>
      </x:c>
      <x:c r="L339" s="38" t="n">
        <x:f>ROUND(INDEX('Balance Inputs'!$M$2:$M$51,MATCH(A339,'Balance Inputs'!$I$2:$I$51,0))*POWER(INDEX('Balance Inputs'!$E$2:$E$7,MATCH(C339,'Balance Inputs'!$A$2:$A$7,0)),F339-1),0)</x:f>
        <x:v>915049</x:v>
      </x:c>
      <x:c r="M339" s="38" t="n">
        <x:f>ROUND(INDEX('Balance Inputs'!$N$2:$N$51,MATCH(A339,'Balance Inputs'!$I$2:$I$51,0))*POWER(INDEX('Balance Inputs'!$G$2:$G$7,MATCH(C339,'Balance Inputs'!$A$2:$A$7,0)),F339-1),0)</x:f>
        <x:v>43435</x:v>
      </x:c>
      <x:c r="N339" s="38" t="n">
        <x:f>IF(A339&lt;&gt;A338,H339,N338+H339)</x:f>
        <x:v>210373597</x:v>
      </x:c>
      <x:c r="O339" s="42" t="n">
        <x:f>IF(I339=0,0,H339/I339)</x:f>
        <x:v>66.58012390639244</x:v>
      </x:c>
      <x:c r="P339" s="43" t="n">
        <x:f>I339/INDEX('Balance Inputs'!$L$2:$L$51,MATCH(A339,'Balance Inputs'!$I$2:$I$51,0))</x:f>
        <x:v>9.531333166526398</x:v>
      </x:c>
      <x:c r="Q339" s="43" t="n">
        <x:f>L339/INDEX('Balance Inputs'!$M$2:$M$51,MATCH(A339,'Balance Inputs'!$I$2:$I$51,0))</x:f>
        <x:v>8.605422536535821</x:v>
      </x:c>
      <x:c r="R339" s="17"/>
      <x:c r="S339" s="17"/>
      <x:c r="T339" s="17"/>
      <x:c r="U339" s="17"/>
      <x:c r="V339" s="17"/>
      <x:c r="W339" s="17"/>
      <x:c r="X339" s="17"/>
      <x:c r="Y339" s="17"/>
      <x:c r="Z339" s="17"/>
    </x:row>
    <x:row r="340">
      <x:c r="A340" s="17" t="n">
        <x:v>44</x:v>
      </x:c>
      <x:c r="B340" s="17" t="str">
        <x:v>Global Wealth Center</x:v>
      </x:c>
      <x:c r="C340" s="17" t="str">
        <x:v>Elite</x:v>
      </x:c>
      <x:c r="D340" s="17" t="str">
        <x:v>Legendary</x:v>
      </x:c>
      <x:c r="E340" s="17" t="n">
        <x:v>44</x:v>
      </x:c>
      <x:c r="F340" s="17" t="n">
        <x:v>9</x:v>
      </x:c>
      <x:c r="G340" s="17" t="str">
        <x:v>Upgrade to Lv9</x:v>
      </x:c>
      <x:c r="H340" s="38" t="n">
        <x:f>ROUND(H339*INDEX('Balance Inputs'!$C$2:$C$7,MATCH(C340,'Balance Inputs'!$A$2:$A$7,0)),0)</x:f>
        <x:v>137262111</x:v>
      </x:c>
      <x:c r="I340" s="38" t="n">
        <x:f>ROUND(INDEX('Balance Inputs'!$L$2:$L$51,MATCH(A340,'Balance Inputs'!$I$2:$I$51,0))*POWER(INDEX('Balance Inputs'!$D$2:$D$7,MATCH(C340,'Balance Inputs'!$A$2:$A$7,0)),F340-1),0)</x:f>
        <x:v>1734767</x:v>
      </x:c>
      <x:c r="J340" s="38" t="n">
        <x:f>ROUND(I340*INDEX('Balance Inputs'!$F$2:$F$7,MATCH(C340,'Balance Inputs'!$A$2:$A$7,0)),0)</x:f>
        <x:v>277563</x:v>
      </x:c>
      <x:c r="K340" s="38" t="n">
        <x:f>I340-J340</x:f>
        <x:v>1457204</x:v>
      </x:c>
      <x:c r="L340" s="38" t="n">
        <x:f>ROUND(INDEX('Balance Inputs'!$M$2:$M$51,MATCH(A340,'Balance Inputs'!$I$2:$I$51,0))*POWER(INDEX('Balance Inputs'!$E$2:$E$7,MATCH(C340,'Balance Inputs'!$A$2:$A$7,0)),F340-1),0)</x:f>
        <x:v>1244467</x:v>
      </x:c>
      <x:c r="M340" s="38" t="n">
        <x:f>ROUND(INDEX('Balance Inputs'!$N$2:$N$51,MATCH(A340,'Balance Inputs'!$I$2:$I$51,0))*POWER(INDEX('Balance Inputs'!$G$2:$G$7,MATCH(C340,'Balance Inputs'!$A$2:$A$7,0)),F340-1),0)</x:f>
        <x:v>52122</x:v>
      </x:c>
      <x:c r="N340" s="38" t="n">
        <x:f>IF(A340&lt;&gt;A339,H340,N339+H340)</x:f>
        <x:v>347635708</x:v>
      </x:c>
      <x:c r="O340" s="42" t="n">
        <x:f>IF(I340=0,0,H340/I340)</x:f>
        <x:v>79.12423455138355</x:v>
      </x:c>
      <x:c r="P340" s="43" t="n">
        <x:f>I340/INDEX('Balance Inputs'!$L$2:$L$51,MATCH(A340,'Balance Inputs'!$I$2:$I$51,0))</x:f>
        <x:v>13.153234917241013</x:v>
      </x:c>
      <x:c r="Q340" s="43" t="n">
        <x:f>L340/INDEX('Balance Inputs'!$M$2:$M$51,MATCH(A340,'Balance Inputs'!$I$2:$I$51,0))</x:f>
        <x:v>11.703378035247427</x:v>
      </x:c>
      <x:c r="R340" s="17"/>
      <x:c r="S340" s="17"/>
      <x:c r="T340" s="17"/>
      <x:c r="U340" s="17"/>
      <x:c r="V340" s="17"/>
      <x:c r="W340" s="17"/>
      <x:c r="X340" s="17"/>
      <x:c r="Y340" s="17"/>
      <x:c r="Z340" s="17"/>
    </x:row>
    <x:row r="341">
      <x:c r="A341" s="17" t="n">
        <x:v>44</x:v>
      </x:c>
      <x:c r="B341" s="17" t="str">
        <x:v>Global Wealth Center</x:v>
      </x:c>
      <x:c r="C341" s="17" t="str">
        <x:v>Elite</x:v>
      </x:c>
      <x:c r="D341" s="17" t="str">
        <x:v>Legendary</x:v>
      </x:c>
      <x:c r="E341" s="17" t="n">
        <x:v>44</x:v>
      </x:c>
      <x:c r="F341" s="17" t="n">
        <x:v>10</x:v>
      </x:c>
      <x:c r="G341" s="17" t="str">
        <x:v>Upgrade to Lv10</x:v>
      </x:c>
      <x:c r="H341" s="38" t="n">
        <x:f>ROUND(H340*INDEX('Balance Inputs'!$C$2:$C$7,MATCH(C341,'Balance Inputs'!$A$2:$A$7,0)),0)</x:f>
        <x:v>225109862</x:v>
      </x:c>
      <x:c r="I341" s="38" t="n">
        <x:f>ROUND(INDEX('Balance Inputs'!$L$2:$L$51,MATCH(A341,'Balance Inputs'!$I$2:$I$51,0))*POWER(INDEX('Balance Inputs'!$D$2:$D$7,MATCH(C341,'Balance Inputs'!$A$2:$A$7,0)),F341-1),0)</x:f>
        <x:v>2393979</x:v>
      </x:c>
      <x:c r="J341" s="38" t="n">
        <x:f>ROUND(I341*INDEX('Balance Inputs'!$F$2:$F$7,MATCH(C341,'Balance Inputs'!$A$2:$A$7,0)),0)</x:f>
        <x:v>383037</x:v>
      </x:c>
      <x:c r="K341" s="38" t="n">
        <x:f>I341-J341</x:f>
        <x:v>2010942</x:v>
      </x:c>
      <x:c r="L341" s="38" t="n">
        <x:f>ROUND(INDEX('Balance Inputs'!$M$2:$M$51,MATCH(A341,'Balance Inputs'!$I$2:$I$51,0))*POWER(INDEX('Balance Inputs'!$E$2:$E$7,MATCH(C341,'Balance Inputs'!$A$2:$A$7,0)),F341-1),0)</x:f>
        <x:v>1692475</x:v>
      </x:c>
      <x:c r="M341" s="38" t="n">
        <x:f>ROUND(INDEX('Balance Inputs'!$N$2:$N$51,MATCH(A341,'Balance Inputs'!$I$2:$I$51,0))*POWER(INDEX('Balance Inputs'!$G$2:$G$7,MATCH(C341,'Balance Inputs'!$A$2:$A$7,0)),F341-1),0)</x:f>
        <x:v>62547</x:v>
      </x:c>
      <x:c r="N341" s="38" t="n">
        <x:f>IF(A341&lt;&gt;A340,H341,N340+H341)</x:f>
        <x:v>572745570</x:v>
      </x:c>
      <x:c r="O341" s="42" t="n">
        <x:f>IF(I341=0,0,H341/I341)</x:f>
        <x:v>94.03167780502669</x:v>
      </x:c>
      <x:c r="P341" s="43" t="n">
        <x:f>I341/INDEX('Balance Inputs'!$L$2:$L$51,MATCH(A341,'Balance Inputs'!$I$2:$I$51,0))</x:f>
        <x:v>18.151468280144666</x:v>
      </x:c>
      <x:c r="Q341" s="43" t="n">
        <x:f>L341/INDEX('Balance Inputs'!$M$2:$M$51,MATCH(A341,'Balance Inputs'!$I$2:$I$51,0))</x:f>
        <x:v>15.916592999416931</x:v>
      </x:c>
      <x:c r="R341" s="17"/>
      <x:c r="S341" s="17"/>
      <x:c r="T341" s="17"/>
      <x:c r="U341" s="17"/>
      <x:c r="V341" s="17"/>
      <x:c r="W341" s="17"/>
      <x:c r="X341" s="17"/>
      <x:c r="Y341" s="17"/>
      <x:c r="Z341" s="17"/>
    </x:row>
    <x:row r="342">
      <x:c r="A342" s="17" t="n">
        <x:v>45</x:v>
      </x:c>
      <x:c r="B342" s="17" t="str">
        <x:v>Financial Exchange Tower</x:v>
      </x:c>
      <x:c r="C342" s="17" t="str">
        <x:v>Elite</x:v>
      </x:c>
      <x:c r="D342" s="17" t="str">
        <x:v>Legendary</x:v>
      </x:c>
      <x:c r="E342" s="17" t="n">
        <x:v>45</x:v>
      </x:c>
      <x:c r="F342" s="17" t="n">
        <x:v>1</x:v>
      </x:c>
      <x:c r="G342" s="17" t="str">
        <x:v>Build</x:v>
      </x:c>
      <x:c r="H342" s="38" t="n">
        <x:f>INDEX('Balance Inputs'!$K$2:$K$51,MATCH(A342,'Balance Inputs'!$I$2:$I$51,0))</x:f>
        <x:v>3239420</x:v>
      </x:c>
      <x:c r="I342" s="38" t="n">
        <x:f>ROUND(INDEX('Balance Inputs'!$L$2:$L$51,MATCH(A342,'Balance Inputs'!$I$2:$I$51,0))*POWER(INDEX('Balance Inputs'!$D$2:$D$7,MATCH(C342,'Balance Inputs'!$A$2:$A$7,0)),F342-1),0)</x:f>
        <x:v>176369</x:v>
      </x:c>
      <x:c r="J342" s="38" t="n">
        <x:f>ROUND(I342*INDEX('Balance Inputs'!$F$2:$F$7,MATCH(C342,'Balance Inputs'!$A$2:$A$7,0)),0)</x:f>
        <x:v>28219</x:v>
      </x:c>
      <x:c r="K342" s="38" t="n">
        <x:f>I342-J342</x:f>
        <x:v>148150</x:v>
      </x:c>
      <x:c r="L342" s="38" t="n">
        <x:f>ROUND(INDEX('Balance Inputs'!$M$2:$M$51,MATCH(A342,'Balance Inputs'!$I$2:$I$51,0))*POWER(INDEX('Balance Inputs'!$E$2:$E$7,MATCH(C342,'Balance Inputs'!$A$2:$A$7,0)),F342-1),0)</x:f>
        <x:v>126537</x:v>
      </x:c>
      <x:c r="M342" s="38" t="n">
        <x:f>ROUND(INDEX('Balance Inputs'!$N$2:$N$51,MATCH(A342,'Balance Inputs'!$I$2:$I$51,0))*POWER(INDEX('Balance Inputs'!$G$2:$G$7,MATCH(C342,'Balance Inputs'!$A$2:$A$7,0)),F342-1),0)</x:f>
        <x:v>18981</x:v>
      </x:c>
      <x:c r="N342" s="38" t="n">
        <x:f>IF(A342&lt;&gt;A341,H342,N341+H342)</x:f>
        <x:v>3239420</x:v>
      </x:c>
      <x:c r="O342" s="42" t="n">
        <x:f>IF(I342=0,0,H342/I342)</x:f>
        <x:v>18.367286768082828</x:v>
      </x:c>
      <x:c r="P342" s="43" t="n">
        <x:f>I342/INDEX('Balance Inputs'!$L$2:$L$51,MATCH(A342,'Balance Inputs'!$I$2:$I$51,0))</x:f>
        <x:v>1</x:v>
      </x:c>
      <x:c r="Q342" s="43" t="n">
        <x:f>L342/INDEX('Balance Inputs'!$M$2:$M$51,MATCH(A342,'Balance Inputs'!$I$2:$I$51,0))</x:f>
        <x:v>1</x:v>
      </x:c>
      <x:c r="R342" s="17"/>
      <x:c r="S342" s="17"/>
      <x:c r="T342" s="17"/>
      <x:c r="U342" s="17"/>
      <x:c r="V342" s="17"/>
      <x:c r="W342" s="17"/>
      <x:c r="X342" s="17"/>
      <x:c r="Y342" s="17"/>
      <x:c r="Z342" s="17"/>
    </x:row>
    <x:row r="343">
      <x:c r="A343" s="17" t="n">
        <x:v>45</x:v>
      </x:c>
      <x:c r="B343" s="17" t="str">
        <x:v>Financial Exchange Tower</x:v>
      </x:c>
      <x:c r="C343" s="17" t="str">
        <x:v>Elite</x:v>
      </x:c>
      <x:c r="D343" s="17" t="str">
        <x:v>Legendary</x:v>
      </x:c>
      <x:c r="E343" s="17" t="n">
        <x:v>45</x:v>
      </x:c>
      <x:c r="F343" s="17" t="n">
        <x:v>2</x:v>
      </x:c>
      <x:c r="G343" s="17" t="str">
        <x:v>Upgrade to Lv2</x:v>
      </x:c>
      <x:c r="H343" s="38" t="n">
        <x:f>ROUND(H342*INDEX('Balance Inputs'!$C$2:$C$7,MATCH(C343,'Balance Inputs'!$A$2:$A$7,0)),0)</x:f>
        <x:v>5312649</x:v>
      </x:c>
      <x:c r="I343" s="38" t="n">
        <x:f>ROUND(INDEX('Balance Inputs'!$L$2:$L$51,MATCH(A343,'Balance Inputs'!$I$2:$I$51,0))*POWER(INDEX('Balance Inputs'!$D$2:$D$7,MATCH(C343,'Balance Inputs'!$A$2:$A$7,0)),F343-1),0)</x:f>
        <x:v>243389</x:v>
      </x:c>
      <x:c r="J343" s="38" t="n">
        <x:f>ROUND(I343*INDEX('Balance Inputs'!$F$2:$F$7,MATCH(C343,'Balance Inputs'!$A$2:$A$7,0)),0)</x:f>
        <x:v>38942</x:v>
      </x:c>
      <x:c r="K343" s="38" t="n">
        <x:f>I343-J343</x:f>
        <x:v>204447</x:v>
      </x:c>
      <x:c r="L343" s="38" t="n">
        <x:f>ROUND(INDEX('Balance Inputs'!$M$2:$M$51,MATCH(A343,'Balance Inputs'!$I$2:$I$51,0))*POWER(INDEX('Balance Inputs'!$E$2:$E$7,MATCH(C343,'Balance Inputs'!$A$2:$A$7,0)),F343-1),0)</x:f>
        <x:v>172090</x:v>
      </x:c>
      <x:c r="M343" s="38" t="n">
        <x:f>ROUND(INDEX('Balance Inputs'!$N$2:$N$51,MATCH(A343,'Balance Inputs'!$I$2:$I$51,0))*POWER(INDEX('Balance Inputs'!$G$2:$G$7,MATCH(C343,'Balance Inputs'!$A$2:$A$7,0)),F343-1),0)</x:f>
        <x:v>22777</x:v>
      </x:c>
      <x:c r="N343" s="38" t="n">
        <x:f>IF(A343&lt;&gt;A342,H343,N342+H343)</x:f>
        <x:v>8552069</x:v>
      </x:c>
      <x:c r="O343" s="42" t="n">
        <x:f>IF(I343=0,0,H343/I343)</x:f>
        <x:v>21.827810624144888</x:v>
      </x:c>
      <x:c r="P343" s="43" t="n">
        <x:f>I343/INDEX('Balance Inputs'!$L$2:$L$51,MATCH(A343,'Balance Inputs'!$I$2:$I$51,0))</x:f>
        <x:v>1.3799987526152555</x:v>
      </x:c>
      <x:c r="Q343" s="43" t="n">
        <x:f>L343/INDEX('Balance Inputs'!$M$2:$M$51,MATCH(A343,'Balance Inputs'!$I$2:$I$51,0))</x:f>
        <x:v>1.3599974710954108</x:v>
      </x:c>
      <x:c r="R343" s="17"/>
      <x:c r="S343" s="17"/>
      <x:c r="T343" s="17"/>
      <x:c r="U343" s="17"/>
      <x:c r="V343" s="17"/>
      <x:c r="W343" s="17"/>
      <x:c r="X343" s="17"/>
      <x:c r="Y343" s="17"/>
      <x:c r="Z343" s="17"/>
    </x:row>
    <x:row r="344">
      <x:c r="A344" s="17" t="n">
        <x:v>45</x:v>
      </x:c>
      <x:c r="B344" s="17" t="str">
        <x:v>Financial Exchange Tower</x:v>
      </x:c>
      <x:c r="C344" s="17" t="str">
        <x:v>Elite</x:v>
      </x:c>
      <x:c r="D344" s="17" t="str">
        <x:v>Legendary</x:v>
      </x:c>
      <x:c r="E344" s="17" t="n">
        <x:v>45</x:v>
      </x:c>
      <x:c r="F344" s="17" t="n">
        <x:v>3</x:v>
      </x:c>
      <x:c r="G344" s="17" t="str">
        <x:v>Upgrade to Lv3</x:v>
      </x:c>
      <x:c r="H344" s="38" t="n">
        <x:f>ROUND(H343*INDEX('Balance Inputs'!$C$2:$C$7,MATCH(C344,'Balance Inputs'!$A$2:$A$7,0)),0)</x:f>
        <x:v>8712744</x:v>
      </x:c>
      <x:c r="I344" s="38" t="n">
        <x:f>ROUND(INDEX('Balance Inputs'!$L$2:$L$51,MATCH(A344,'Balance Inputs'!$I$2:$I$51,0))*POWER(INDEX('Balance Inputs'!$D$2:$D$7,MATCH(C344,'Balance Inputs'!$A$2:$A$7,0)),F344-1),0)</x:f>
        <x:v>335877</x:v>
      </x:c>
      <x:c r="J344" s="38" t="n">
        <x:f>ROUND(I344*INDEX('Balance Inputs'!$F$2:$F$7,MATCH(C344,'Balance Inputs'!$A$2:$A$7,0)),0)</x:f>
        <x:v>53740</x:v>
      </x:c>
      <x:c r="K344" s="38" t="n">
        <x:f>I344-J344</x:f>
        <x:v>282137</x:v>
      </x:c>
      <x:c r="L344" s="38" t="n">
        <x:f>ROUND(INDEX('Balance Inputs'!$M$2:$M$51,MATCH(A344,'Balance Inputs'!$I$2:$I$51,0))*POWER(INDEX('Balance Inputs'!$E$2:$E$7,MATCH(C344,'Balance Inputs'!$A$2:$A$7,0)),F344-1),0)</x:f>
        <x:v>234043</x:v>
      </x:c>
      <x:c r="M344" s="38" t="n">
        <x:f>ROUND(INDEX('Balance Inputs'!$N$2:$N$51,MATCH(A344,'Balance Inputs'!$I$2:$I$51,0))*POWER(INDEX('Balance Inputs'!$G$2:$G$7,MATCH(C344,'Balance Inputs'!$A$2:$A$7,0)),F344-1),0)</x:f>
        <x:v>27333</x:v>
      </x:c>
      <x:c r="N344" s="38" t="n">
        <x:f>IF(A344&lt;&gt;A343,H344,N343+H344)</x:f>
        <x:v>17264813</x:v>
      </x:c>
      <x:c r="O344" s="42" t="n">
        <x:f>IF(I344=0,0,H344/I344)</x:f>
        <x:v>25.940281710268938</x:v>
      </x:c>
      <x:c r="P344" s="43" t="n">
        <x:f>I344/INDEX('Balance Inputs'!$L$2:$L$51,MATCH(A344,'Balance Inputs'!$I$2:$I$51,0))</x:f>
        <x:v>1.9043992991965708</x:v>
      </x:c>
      <x:c r="Q344" s="43" t="n">
        <x:f>L344/INDEX('Balance Inputs'!$M$2:$M$51,MATCH(A344,'Balance Inputs'!$I$2:$I$51,0))</x:f>
        <x:v>1.8496013023858635</x:v>
      </x:c>
      <x:c r="R344" s="17"/>
      <x:c r="S344" s="17"/>
      <x:c r="T344" s="17"/>
      <x:c r="U344" s="17"/>
      <x:c r="V344" s="17"/>
      <x:c r="W344" s="17"/>
      <x:c r="X344" s="17"/>
      <x:c r="Y344" s="17"/>
      <x:c r="Z344" s="17"/>
    </x:row>
    <x:row r="345">
      <x:c r="A345" s="17" t="n">
        <x:v>45</x:v>
      </x:c>
      <x:c r="B345" s="17" t="str">
        <x:v>Financial Exchange Tower</x:v>
      </x:c>
      <x:c r="C345" s="17" t="str">
        <x:v>Elite</x:v>
      </x:c>
      <x:c r="D345" s="17" t="str">
        <x:v>Legendary</x:v>
      </x:c>
      <x:c r="E345" s="17" t="n">
        <x:v>45</x:v>
      </x:c>
      <x:c r="F345" s="17" t="n">
        <x:v>4</x:v>
      </x:c>
      <x:c r="G345" s="17" t="str">
        <x:v>Upgrade to Lv4</x:v>
      </x:c>
      <x:c r="H345" s="38" t="n">
        <x:f>ROUND(H344*INDEX('Balance Inputs'!$C$2:$C$7,MATCH(C345,'Balance Inputs'!$A$2:$A$7,0)),0)</x:f>
        <x:v>14288900</x:v>
      </x:c>
      <x:c r="I345" s="38" t="n">
        <x:f>ROUND(INDEX('Balance Inputs'!$L$2:$L$51,MATCH(A345,'Balance Inputs'!$I$2:$I$51,0))*POWER(INDEX('Balance Inputs'!$D$2:$D$7,MATCH(C345,'Balance Inputs'!$A$2:$A$7,0)),F345-1),0)</x:f>
        <x:v>463510</x:v>
      </x:c>
      <x:c r="J345" s="38" t="n">
        <x:f>ROUND(I345*INDEX('Balance Inputs'!$F$2:$F$7,MATCH(C345,'Balance Inputs'!$A$2:$A$7,0)),0)</x:f>
        <x:v>74162</x:v>
      </x:c>
      <x:c r="K345" s="38" t="n">
        <x:f>I345-J345</x:f>
        <x:v>389348</x:v>
      </x:c>
      <x:c r="L345" s="38" t="n">
        <x:f>ROUND(INDEX('Balance Inputs'!$M$2:$M$51,MATCH(A345,'Balance Inputs'!$I$2:$I$51,0))*POWER(INDEX('Balance Inputs'!$E$2:$E$7,MATCH(C345,'Balance Inputs'!$A$2:$A$7,0)),F345-1),0)</x:f>
        <x:v>318298</x:v>
      </x:c>
      <x:c r="M345" s="38" t="n">
        <x:f>ROUND(INDEX('Balance Inputs'!$N$2:$N$51,MATCH(A345,'Balance Inputs'!$I$2:$I$51,0))*POWER(INDEX('Balance Inputs'!$G$2:$G$7,MATCH(C345,'Balance Inputs'!$A$2:$A$7,0)),F345-1),0)</x:f>
        <x:v>32799</x:v>
      </x:c>
      <x:c r="N345" s="38" t="n">
        <x:f>IF(A345&lt;&gt;A344,H345,N344+H345)</x:f>
        <x:v>31553713</x:v>
      </x:c>
      <x:c r="O345" s="42" t="n">
        <x:f>IF(I345=0,0,H345/I345)</x:f>
        <x:v>30.827598110073136</x:v>
      </x:c>
      <x:c r="P345" s="43" t="n">
        <x:f>I345/INDEX('Balance Inputs'!$L$2:$L$51,MATCH(A345,'Balance Inputs'!$I$2:$I$51,0))</x:f>
        <x:v>2.628069558709297</x:v>
      </x:c>
      <x:c r="Q345" s="43" t="n">
        <x:f>L345/INDEX('Balance Inputs'!$M$2:$M$51,MATCH(A345,'Balance Inputs'!$I$2:$I$51,0))</x:f>
        <x:v>2.5154539778878906</x:v>
      </x:c>
      <x:c r="R345" s="17"/>
      <x:c r="S345" s="17"/>
      <x:c r="T345" s="17"/>
      <x:c r="U345" s="17"/>
      <x:c r="V345" s="17"/>
      <x:c r="W345" s="17"/>
      <x:c r="X345" s="17"/>
      <x:c r="Y345" s="17"/>
      <x:c r="Z345" s="17"/>
    </x:row>
    <x:row r="346">
      <x:c r="A346" s="17" t="n">
        <x:v>45</x:v>
      </x:c>
      <x:c r="B346" s="17" t="str">
        <x:v>Financial Exchange Tower</x:v>
      </x:c>
      <x:c r="C346" s="17" t="str">
        <x:v>Elite</x:v>
      </x:c>
      <x:c r="D346" s="17" t="str">
        <x:v>Legendary</x:v>
      </x:c>
      <x:c r="E346" s="17" t="n">
        <x:v>45</x:v>
      </x:c>
      <x:c r="F346" s="17" t="n">
        <x:v>5</x:v>
      </x:c>
      <x:c r="G346" s="17" t="str">
        <x:v>Upgrade to Lv5</x:v>
      </x:c>
      <x:c r="H346" s="38" t="n">
        <x:f>ROUND(H345*INDEX('Balance Inputs'!$C$2:$C$7,MATCH(C346,'Balance Inputs'!$A$2:$A$7,0)),0)</x:f>
        <x:v>23433796</x:v>
      </x:c>
      <x:c r="I346" s="38" t="n">
        <x:f>ROUND(INDEX('Balance Inputs'!$L$2:$L$51,MATCH(A346,'Balance Inputs'!$I$2:$I$51,0))*POWER(INDEX('Balance Inputs'!$D$2:$D$7,MATCH(C346,'Balance Inputs'!$A$2:$A$7,0)),F346-1),0)</x:f>
        <x:v>639644</x:v>
      </x:c>
      <x:c r="J346" s="38" t="n">
        <x:f>ROUND(I346*INDEX('Balance Inputs'!$F$2:$F$7,MATCH(C346,'Balance Inputs'!$A$2:$A$7,0)),0)</x:f>
        <x:v>102343</x:v>
      </x:c>
      <x:c r="K346" s="38" t="n">
        <x:f>I346-J346</x:f>
        <x:v>537301</x:v>
      </x:c>
      <x:c r="L346" s="38" t="n">
        <x:f>ROUND(INDEX('Balance Inputs'!$M$2:$M$51,MATCH(A346,'Balance Inputs'!$I$2:$I$51,0))*POWER(INDEX('Balance Inputs'!$E$2:$E$7,MATCH(C346,'Balance Inputs'!$A$2:$A$7,0)),F346-1),0)</x:f>
        <x:v>432886</x:v>
      </x:c>
      <x:c r="M346" s="38" t="n">
        <x:f>ROUND(INDEX('Balance Inputs'!$N$2:$N$51,MATCH(A346,'Balance Inputs'!$I$2:$I$51,0))*POWER(INDEX('Balance Inputs'!$G$2:$G$7,MATCH(C346,'Balance Inputs'!$A$2:$A$7,0)),F346-1),0)</x:f>
        <x:v>39359</x:v>
      </x:c>
      <x:c r="N346" s="38" t="n">
        <x:f>IF(A346&lt;&gt;A345,H346,N345+H346)</x:f>
        <x:v>54987509</x:v>
      </x:c>
      <x:c r="O346" s="42" t="n">
        <x:f>IF(I346=0,0,H346/I346)</x:f>
        <x:v>36.63568484969765</x:v>
      </x:c>
      <x:c r="P346" s="43" t="n">
        <x:f>I346/INDEX('Balance Inputs'!$L$2:$L$51,MATCH(A346,'Balance Inputs'!$I$2:$I$51,0))</x:f>
        <x:v>3.6267371250049614</x:v>
      </x:c>
      <x:c r="Q346" s="43" t="n">
        <x:f>L346/INDEX('Balance Inputs'!$M$2:$M$51,MATCH(A346,'Balance Inputs'!$I$2:$I$51,0))</x:f>
        <x:v>3.4210230999628566</x:v>
      </x:c>
      <x:c r="R346" s="17"/>
      <x:c r="S346" s="17"/>
      <x:c r="T346" s="17"/>
      <x:c r="U346" s="17"/>
      <x:c r="V346" s="17"/>
      <x:c r="W346" s="17"/>
      <x:c r="X346" s="17"/>
      <x:c r="Y346" s="17"/>
      <x:c r="Z346" s="17"/>
    </x:row>
    <x:row r="347">
      <x:c r="A347" s="17" t="n">
        <x:v>45</x:v>
      </x:c>
      <x:c r="B347" s="17" t="str">
        <x:v>Financial Exchange Tower</x:v>
      </x:c>
      <x:c r="C347" s="17" t="str">
        <x:v>Elite</x:v>
      </x:c>
      <x:c r="D347" s="17" t="str">
        <x:v>Legendary</x:v>
      </x:c>
      <x:c r="E347" s="17" t="n">
        <x:v>45</x:v>
      </x:c>
      <x:c r="F347" s="17" t="n">
        <x:v>6</x:v>
      </x:c>
      <x:c r="G347" s="17" t="str">
        <x:v>Upgrade to Lv6</x:v>
      </x:c>
      <x:c r="H347" s="38" t="n">
        <x:f>ROUND(H346*INDEX('Balance Inputs'!$C$2:$C$7,MATCH(C347,'Balance Inputs'!$A$2:$A$7,0)),0)</x:f>
        <x:v>38431425</x:v>
      </x:c>
      <x:c r="I347" s="38" t="n">
        <x:f>ROUND(INDEX('Balance Inputs'!$L$2:$L$51,MATCH(A347,'Balance Inputs'!$I$2:$I$51,0))*POWER(INDEX('Balance Inputs'!$D$2:$D$7,MATCH(C347,'Balance Inputs'!$A$2:$A$7,0)),F347-1),0)</x:f>
        <x:v>882709</x:v>
      </x:c>
      <x:c r="J347" s="38" t="n">
        <x:f>ROUND(I347*INDEX('Balance Inputs'!$F$2:$F$7,MATCH(C347,'Balance Inputs'!$A$2:$A$7,0)),0)</x:f>
        <x:v>141233</x:v>
      </x:c>
      <x:c r="K347" s="38" t="n">
        <x:f>I347-J347</x:f>
        <x:v>741476</x:v>
      </x:c>
      <x:c r="L347" s="38" t="n">
        <x:f>ROUND(INDEX('Balance Inputs'!$M$2:$M$51,MATCH(A347,'Balance Inputs'!$I$2:$I$51,0))*POWER(INDEX('Balance Inputs'!$E$2:$E$7,MATCH(C347,'Balance Inputs'!$A$2:$A$7,0)),F347-1),0)</x:f>
        <x:v>588724</x:v>
      </x:c>
      <x:c r="M347" s="38" t="n">
        <x:f>ROUND(INDEX('Balance Inputs'!$N$2:$N$51,MATCH(A347,'Balance Inputs'!$I$2:$I$51,0))*POWER(INDEX('Balance Inputs'!$G$2:$G$7,MATCH(C347,'Balance Inputs'!$A$2:$A$7,0)),F347-1),0)</x:f>
        <x:v>47231</x:v>
      </x:c>
      <x:c r="N347" s="38" t="n">
        <x:f>IF(A347&lt;&gt;A346,H347,N346+H347)</x:f>
        <x:v>93418934</x:v>
      </x:c>
      <x:c r="O347" s="42" t="n">
        <x:f>IF(I347=0,0,H347/I347)</x:f>
        <x:v>43.53804594719211</x:v>
      </x:c>
      <x:c r="P347" s="43" t="n">
        <x:f>I347/INDEX('Balance Inputs'!$L$2:$L$51,MATCH(A347,'Balance Inputs'!$I$2:$I$51,0))</x:f>
        <x:v>5.004898820087431</x:v>
      </x:c>
      <x:c r="Q347" s="43" t="n">
        <x:f>L347/INDEX('Balance Inputs'!$M$2:$M$51,MATCH(A347,'Balance Inputs'!$I$2:$I$51,0))</x:f>
        <x:v>4.652583829235717</x:v>
      </x:c>
      <x:c r="R347" s="17"/>
      <x:c r="S347" s="17"/>
      <x:c r="T347" s="17"/>
      <x:c r="U347" s="17"/>
      <x:c r="V347" s="17"/>
      <x:c r="W347" s="17"/>
      <x:c r="X347" s="17"/>
      <x:c r="Y347" s="17"/>
      <x:c r="Z347" s="17"/>
    </x:row>
    <x:row r="348">
      <x:c r="A348" s="17" t="n">
        <x:v>45</x:v>
      </x:c>
      <x:c r="B348" s="17" t="str">
        <x:v>Financial Exchange Tower</x:v>
      </x:c>
      <x:c r="C348" s="17" t="str">
        <x:v>Elite</x:v>
      </x:c>
      <x:c r="D348" s="17" t="str">
        <x:v>Legendary</x:v>
      </x:c>
      <x:c r="E348" s="17" t="n">
        <x:v>45</x:v>
      </x:c>
      <x:c r="F348" s="17" t="n">
        <x:v>7</x:v>
      </x:c>
      <x:c r="G348" s="17" t="str">
        <x:v>Upgrade to Lv7</x:v>
      </x:c>
      <x:c r="H348" s="38" t="n">
        <x:f>ROUND(H347*INDEX('Balance Inputs'!$C$2:$C$7,MATCH(C348,'Balance Inputs'!$A$2:$A$7,0)),0)</x:f>
        <x:v>63027537</x:v>
      </x:c>
      <x:c r="I348" s="38" t="n">
        <x:f>ROUND(INDEX('Balance Inputs'!$L$2:$L$51,MATCH(A348,'Balance Inputs'!$I$2:$I$51,0))*POWER(INDEX('Balance Inputs'!$D$2:$D$7,MATCH(C348,'Balance Inputs'!$A$2:$A$7,0)),F348-1),0)</x:f>
        <x:v>1218139</x:v>
      </x:c>
      <x:c r="J348" s="38" t="n">
        <x:f>ROUND(I348*INDEX('Balance Inputs'!$F$2:$F$7,MATCH(C348,'Balance Inputs'!$A$2:$A$7,0)),0)</x:f>
        <x:v>194902</x:v>
      </x:c>
      <x:c r="K348" s="38" t="n">
        <x:f>I348-J348</x:f>
        <x:v>1023237</x:v>
      </x:c>
      <x:c r="L348" s="38" t="n">
        <x:f>ROUND(INDEX('Balance Inputs'!$M$2:$M$51,MATCH(A348,'Balance Inputs'!$I$2:$I$51,0))*POWER(INDEX('Balance Inputs'!$E$2:$E$7,MATCH(C348,'Balance Inputs'!$A$2:$A$7,0)),F348-1),0)</x:f>
        <x:v>800665</x:v>
      </x:c>
      <x:c r="M348" s="38" t="n">
        <x:f>ROUND(INDEX('Balance Inputs'!$N$2:$N$51,MATCH(A348,'Balance Inputs'!$I$2:$I$51,0))*POWER(INDEX('Balance Inputs'!$G$2:$G$7,MATCH(C348,'Balance Inputs'!$A$2:$A$7,0)),F348-1),0)</x:f>
        <x:v>56677</x:v>
      </x:c>
      <x:c r="N348" s="38" t="n">
        <x:f>IF(A348&lt;&gt;A347,H348,N347+H348)</x:f>
        <x:v>156446471</x:v>
      </x:c>
      <x:c r="O348" s="42" t="n">
        <x:f>IF(I348=0,0,H348/I348)</x:f>
        <x:v>51.740841562416115</x:v>
      </x:c>
      <x:c r="P348" s="43" t="n">
        <x:f>I348/INDEX('Balance Inputs'!$L$2:$L$51,MATCH(A348,'Balance Inputs'!$I$2:$I$51,0))</x:f>
        <x:v>6.9067636602804345</x:v>
      </x:c>
      <x:c r="Q348" s="43" t="n">
        <x:f>L348/INDEX('Balance Inputs'!$M$2:$M$51,MATCH(A348,'Balance Inputs'!$I$2:$I$51,0))</x:f>
        <x:v>6.327516852778238</x:v>
      </x:c>
      <x:c r="R348" s="17"/>
      <x:c r="S348" s="17"/>
      <x:c r="T348" s="17"/>
      <x:c r="U348" s="17"/>
      <x:c r="V348" s="17"/>
      <x:c r="W348" s="17"/>
      <x:c r="X348" s="17"/>
      <x:c r="Y348" s="17"/>
      <x:c r="Z348" s="17"/>
    </x:row>
    <x:row r="349">
      <x:c r="A349" s="17" t="n">
        <x:v>45</x:v>
      </x:c>
      <x:c r="B349" s="17" t="str">
        <x:v>Financial Exchange Tower</x:v>
      </x:c>
      <x:c r="C349" s="17" t="str">
        <x:v>Elite</x:v>
      </x:c>
      <x:c r="D349" s="17" t="str">
        <x:v>Legendary</x:v>
      </x:c>
      <x:c r="E349" s="17" t="n">
        <x:v>45</x:v>
      </x:c>
      <x:c r="F349" s="17" t="n">
        <x:v>8</x:v>
      </x:c>
      <x:c r="G349" s="17" t="str">
        <x:v>Upgrade to Lv8</x:v>
      </x:c>
      <x:c r="H349" s="38" t="n">
        <x:f>ROUND(H348*INDEX('Balance Inputs'!$C$2:$C$7,MATCH(C349,'Balance Inputs'!$A$2:$A$7,0)),0)</x:f>
        <x:v>103365161</x:v>
      </x:c>
      <x:c r="I349" s="38" t="n">
        <x:f>ROUND(INDEX('Balance Inputs'!$L$2:$L$51,MATCH(A349,'Balance Inputs'!$I$2:$I$51,0))*POWER(INDEX('Balance Inputs'!$D$2:$D$7,MATCH(C349,'Balance Inputs'!$A$2:$A$7,0)),F349-1),0)</x:f>
        <x:v>1681032</x:v>
      </x:c>
      <x:c r="J349" s="38" t="n">
        <x:f>ROUND(I349*INDEX('Balance Inputs'!$F$2:$F$7,MATCH(C349,'Balance Inputs'!$A$2:$A$7,0)),0)</x:f>
        <x:v>268965</x:v>
      </x:c>
      <x:c r="K349" s="38" t="n">
        <x:f>I349-J349</x:f>
        <x:v>1412067</x:v>
      </x:c>
      <x:c r="L349" s="38" t="n">
        <x:f>ROUND(INDEX('Balance Inputs'!$M$2:$M$51,MATCH(A349,'Balance Inputs'!$I$2:$I$51,0))*POWER(INDEX('Balance Inputs'!$E$2:$E$7,MATCH(C349,'Balance Inputs'!$A$2:$A$7,0)),F349-1),0)</x:f>
        <x:v>1088905</x:v>
      </x:c>
      <x:c r="M349" s="38" t="n">
        <x:f>ROUND(INDEX('Balance Inputs'!$N$2:$N$51,MATCH(A349,'Balance Inputs'!$I$2:$I$51,0))*POWER(INDEX('Balance Inputs'!$G$2:$G$7,MATCH(C349,'Balance Inputs'!$A$2:$A$7,0)),F349-1),0)</x:f>
        <x:v>68012</x:v>
      </x:c>
      <x:c r="N349" s="38" t="n">
        <x:f>IF(A349&lt;&gt;A348,H349,N348+H349)</x:f>
        <x:v>259811632</x:v>
      </x:c>
      <x:c r="O349" s="42" t="n">
        <x:f>IF(I349=0,0,H349/I349)</x:f>
        <x:v>61.4891096659671</x:v>
      </x:c>
      <x:c r="P349" s="43" t="n">
        <x:f>I349/INDEX('Balance Inputs'!$L$2:$L$51,MATCH(A349,'Balance Inputs'!$I$2:$I$51,0))</x:f>
        <x:v>9.531334871774519</x:v>
      </x:c>
      <x:c r="Q349" s="43" t="n">
        <x:f>L349/INDEX('Balance Inputs'!$M$2:$M$51,MATCH(A349,'Balance Inputs'!$I$2:$I$51,0))</x:f>
        <x:v>8.60542766147451</x:v>
      </x:c>
      <x:c r="R349" s="17"/>
      <x:c r="S349" s="17"/>
      <x:c r="T349" s="17"/>
      <x:c r="U349" s="17"/>
      <x:c r="V349" s="17"/>
      <x:c r="W349" s="17"/>
      <x:c r="X349" s="17"/>
      <x:c r="Y349" s="17"/>
      <x:c r="Z349" s="17"/>
    </x:row>
    <x:row r="350">
      <x:c r="A350" s="17" t="n">
        <x:v>45</x:v>
      </x:c>
      <x:c r="B350" s="17" t="str">
        <x:v>Financial Exchange Tower</x:v>
      </x:c>
      <x:c r="C350" s="17" t="str">
        <x:v>Elite</x:v>
      </x:c>
      <x:c r="D350" s="17" t="str">
        <x:v>Legendary</x:v>
      </x:c>
      <x:c r="E350" s="17" t="n">
        <x:v>45</x:v>
      </x:c>
      <x:c r="F350" s="17" t="n">
        <x:v>9</x:v>
      </x:c>
      <x:c r="G350" s="17" t="str">
        <x:v>Upgrade to Lv9</x:v>
      </x:c>
      <x:c r="H350" s="38" t="n">
        <x:f>ROUND(H349*INDEX('Balance Inputs'!$C$2:$C$7,MATCH(C350,'Balance Inputs'!$A$2:$A$7,0)),0)</x:f>
        <x:v>169518864</x:v>
      </x:c>
      <x:c r="I350" s="38" t="n">
        <x:f>ROUND(INDEX('Balance Inputs'!$L$2:$L$51,MATCH(A350,'Balance Inputs'!$I$2:$I$51,0))*POWER(INDEX('Balance Inputs'!$D$2:$D$7,MATCH(C350,'Balance Inputs'!$A$2:$A$7,0)),F350-1),0)</x:f>
        <x:v>2319824</x:v>
      </x:c>
      <x:c r="J350" s="38" t="n">
        <x:f>ROUND(I350*INDEX('Balance Inputs'!$F$2:$F$7,MATCH(C350,'Balance Inputs'!$A$2:$A$7,0)),0)</x:f>
        <x:v>371172</x:v>
      </x:c>
      <x:c r="K350" s="38" t="n">
        <x:f>I350-J350</x:f>
        <x:v>1948652</x:v>
      </x:c>
      <x:c r="L350" s="38" t="n">
        <x:f>ROUND(INDEX('Balance Inputs'!$M$2:$M$51,MATCH(A350,'Balance Inputs'!$I$2:$I$51,0))*POWER(INDEX('Balance Inputs'!$E$2:$E$7,MATCH(C350,'Balance Inputs'!$A$2:$A$7,0)),F350-1),0)</x:f>
        <x:v>1480910</x:v>
      </x:c>
      <x:c r="M350" s="38" t="n">
        <x:f>ROUND(INDEX('Balance Inputs'!$N$2:$N$51,MATCH(A350,'Balance Inputs'!$I$2:$I$51,0))*POWER(INDEX('Balance Inputs'!$G$2:$G$7,MATCH(C350,'Balance Inputs'!$A$2:$A$7,0)),F350-1),0)</x:f>
        <x:v>81615</x:v>
      </x:c>
      <x:c r="N350" s="38" t="n">
        <x:f>IF(A350&lt;&gt;A349,H350,N349+H350)</x:f>
        <x:v>429330496</x:v>
      </x:c>
      <x:c r="O350" s="42" t="n">
        <x:f>IF(I350=0,0,H350/I350)</x:f>
        <x:v>73.07401940836891</x:v>
      </x:c>
      <x:c r="P350" s="43" t="n">
        <x:f>I350/INDEX('Balance Inputs'!$L$2:$L$51,MATCH(A350,'Balance Inputs'!$I$2:$I$51,0))</x:f>
        <x:v>13.15324121585993</x:v>
      </x:c>
      <x:c r="Q350" s="43" t="n">
        <x:f>L350/INDEX('Balance Inputs'!$M$2:$M$51,MATCH(A350,'Balance Inputs'!$I$2:$I$51,0))</x:f>
        <x:v>11.70337529734386</x:v>
      </x:c>
      <x:c r="R350" s="17"/>
      <x:c r="S350" s="17"/>
      <x:c r="T350" s="17"/>
      <x:c r="U350" s="17"/>
      <x:c r="V350" s="17"/>
      <x:c r="W350" s="17"/>
      <x:c r="X350" s="17"/>
      <x:c r="Y350" s="17"/>
      <x:c r="Z350" s="17"/>
    </x:row>
    <x:row r="351">
      <x:c r="A351" s="17" t="n">
        <x:v>45</x:v>
      </x:c>
      <x:c r="B351" s="17" t="str">
        <x:v>Financial Exchange Tower</x:v>
      </x:c>
      <x:c r="C351" s="17" t="str">
        <x:v>Elite</x:v>
      </x:c>
      <x:c r="D351" s="17" t="str">
        <x:v>Legendary</x:v>
      </x:c>
      <x:c r="E351" s="17" t="n">
        <x:v>45</x:v>
      </x:c>
      <x:c r="F351" s="17" t="n">
        <x:v>10</x:v>
      </x:c>
      <x:c r="G351" s="17" t="str">
        <x:v>Upgrade to Lv10</x:v>
      </x:c>
      <x:c r="H351" s="38" t="n">
        <x:f>ROUND(H350*INDEX('Balance Inputs'!$C$2:$C$7,MATCH(C351,'Balance Inputs'!$A$2:$A$7,0)),0)</x:f>
        <x:v>278010937</x:v>
      </x:c>
      <x:c r="I351" s="38" t="n">
        <x:f>ROUND(INDEX('Balance Inputs'!$L$2:$L$51,MATCH(A351,'Balance Inputs'!$I$2:$I$51,0))*POWER(INDEX('Balance Inputs'!$D$2:$D$7,MATCH(C351,'Balance Inputs'!$A$2:$A$7,0)),F351-1),0)</x:f>
        <x:v>3201356</x:v>
      </x:c>
      <x:c r="J351" s="38" t="n">
        <x:f>ROUND(I351*INDEX('Balance Inputs'!$F$2:$F$7,MATCH(C351,'Balance Inputs'!$A$2:$A$7,0)),0)</x:f>
        <x:v>512217</x:v>
      </x:c>
      <x:c r="K351" s="38" t="n">
        <x:f>I351-J351</x:f>
        <x:v>2689139</x:v>
      </x:c>
      <x:c r="L351" s="38" t="n">
        <x:f>ROUND(INDEX('Balance Inputs'!$M$2:$M$51,MATCH(A351,'Balance Inputs'!$I$2:$I$51,0))*POWER(INDEX('Balance Inputs'!$E$2:$E$7,MATCH(C351,'Balance Inputs'!$A$2:$A$7,0)),F351-1),0)</x:f>
        <x:v>2014038</x:v>
      </x:c>
      <x:c r="M351" s="38" t="n">
        <x:f>ROUND(INDEX('Balance Inputs'!$N$2:$N$51,MATCH(A351,'Balance Inputs'!$I$2:$I$51,0))*POWER(INDEX('Balance Inputs'!$G$2:$G$7,MATCH(C351,'Balance Inputs'!$A$2:$A$7,0)),F351-1),0)</x:f>
        <x:v>97938</x:v>
      </x:c>
      <x:c r="N351" s="38" t="n">
        <x:f>IF(A351&lt;&gt;A350,H351,N350+H351)</x:f>
        <x:v>707341433</x:v>
      </x:c>
      <x:c r="O351" s="42" t="n">
        <x:f>IF(I351=0,0,H351/I351)</x:f>
        <x:v>86.8416186765858</x:v>
      </x:c>
      <x:c r="P351" s="43" t="n">
        <x:f>I351/INDEX('Balance Inputs'!$L$2:$L$51,MATCH(A351,'Balance Inputs'!$I$2:$I$51,0))</x:f>
        <x:v>18.151466527564367</x:v>
      </x:c>
      <x:c r="Q351" s="43" t="n">
        <x:f>L351/INDEX('Balance Inputs'!$M$2:$M$51,MATCH(A351,'Balance Inputs'!$I$2:$I$51,0))</x:f>
        <x:v>15.916593565518387</x:v>
      </x:c>
      <x:c r="R351" s="17"/>
      <x:c r="S351" s="17"/>
      <x:c r="T351" s="17"/>
      <x:c r="U351" s="17"/>
      <x:c r="V351" s="17"/>
      <x:c r="W351" s="17"/>
      <x:c r="X351" s="17"/>
      <x:c r="Y351" s="17"/>
      <x:c r="Z351" s="17"/>
    </x:row>
    <x:row r="352">
      <x:c r="A352" s="17" t="n">
        <x:v>46</x:v>
      </x:c>
      <x:c r="B352" s="17" t="str">
        <x:v>International Bank HQ</x:v>
      </x:c>
      <x:c r="C352" s="17" t="str">
        <x:v>Tycoon</x:v>
      </x:c>
      <x:c r="D352" s="17" t="str">
        <x:v>Mythic</x:v>
      </x:c>
      <x:c r="E352" s="17" t="n">
        <x:v>46</x:v>
      </x:c>
      <x:c r="F352" s="17" t="n">
        <x:v>1</x:v>
      </x:c>
      <x:c r="G352" s="17" t="str">
        <x:v>Build</x:v>
      </x:c>
      <x:c r="H352" s="38" t="n">
        <x:f>INDEX('Balance Inputs'!$K$2:$K$51,MATCH(A352,'Balance Inputs'!$I$2:$I$51,0))</x:f>
        <x:v>4000680</x:v>
      </x:c>
      <x:c r="I352" s="38" t="n">
        <x:f>ROUND(INDEX('Balance Inputs'!$L$2:$L$51,MATCH(A352,'Balance Inputs'!$I$2:$I$51,0))*POWER(INDEX('Balance Inputs'!$D$2:$D$7,MATCH(C352,'Balance Inputs'!$A$2:$A$7,0)),F352-1),0)</x:f>
        <x:v>191814</x:v>
      </x:c>
      <x:c r="J352" s="38" t="n">
        <x:f>ROUND(I352*INDEX('Balance Inputs'!$F$2:$F$7,MATCH(C352,'Balance Inputs'!$A$2:$A$7,0)),0)</x:f>
        <x:v>32608</x:v>
      </x:c>
      <x:c r="K352" s="38" t="n">
        <x:f>I352-J352</x:f>
        <x:v>159206</x:v>
      </x:c>
      <x:c r="L352" s="38" t="n">
        <x:f>ROUND(INDEX('Balance Inputs'!$M$2:$M$51,MATCH(A352,'Balance Inputs'!$I$2:$I$51,0))*POWER(INDEX('Balance Inputs'!$E$2:$E$7,MATCH(C352,'Balance Inputs'!$A$2:$A$7,0)),F352-1),0)</x:f>
        <x:v>150579</x:v>
      </x:c>
      <x:c r="M352" s="38" t="n">
        <x:f>ROUND(INDEX('Balance Inputs'!$N$2:$N$51,MATCH(A352,'Balance Inputs'!$I$2:$I$51,0))*POWER(INDEX('Balance Inputs'!$G$2:$G$7,MATCH(C352,'Balance Inputs'!$A$2:$A$7,0)),F352-1),0)</x:f>
        <x:v>18069</x:v>
      </x:c>
      <x:c r="N352" s="38" t="n">
        <x:f>IF(A352&lt;&gt;A351,H352,N351+H352)</x:f>
        <x:v>4000680</x:v>
      </x:c>
      <x:c r="O352" s="42" t="n">
        <x:f>IF(I352=0,0,H352/I352)</x:f>
        <x:v>20.85708029653727</x:v>
      </x:c>
      <x:c r="P352" s="43" t="n">
        <x:f>I352/INDEX('Balance Inputs'!$L$2:$L$51,MATCH(A352,'Balance Inputs'!$I$2:$I$51,0))</x:f>
        <x:v>1</x:v>
      </x:c>
      <x:c r="Q352" s="43" t="n">
        <x:f>L352/INDEX('Balance Inputs'!$M$2:$M$51,MATCH(A352,'Balance Inputs'!$I$2:$I$51,0))</x:f>
        <x:v>1</x:v>
      </x:c>
      <x:c r="R352" s="17"/>
      <x:c r="S352" s="17"/>
      <x:c r="T352" s="17"/>
      <x:c r="U352" s="17"/>
      <x:c r="V352" s="17"/>
      <x:c r="W352" s="17"/>
      <x:c r="X352" s="17"/>
      <x:c r="Y352" s="17"/>
      <x:c r="Z352" s="17"/>
    </x:row>
    <x:row r="353">
      <x:c r="A353" s="17" t="n">
        <x:v>46</x:v>
      </x:c>
      <x:c r="B353" s="17" t="str">
        <x:v>International Bank HQ</x:v>
      </x:c>
      <x:c r="C353" s="17" t="str">
        <x:v>Tycoon</x:v>
      </x:c>
      <x:c r="D353" s="17" t="str">
        <x:v>Mythic</x:v>
      </x:c>
      <x:c r="E353" s="17" t="n">
        <x:v>46</x:v>
      </x:c>
      <x:c r="F353" s="17" t="n">
        <x:v>2</x:v>
      </x:c>
      <x:c r="G353" s="17" t="str">
        <x:v>Upgrade to Lv2</x:v>
      </x:c>
      <x:c r="H353" s="38" t="n">
        <x:f>ROUND(H352*INDEX('Balance Inputs'!$C$2:$C$7,MATCH(C353,'Balance Inputs'!$A$2:$A$7,0)),0)</x:f>
        <x:v>6641129</x:v>
      </x:c>
      <x:c r="I353" s="38" t="n">
        <x:f>ROUND(INDEX('Balance Inputs'!$L$2:$L$51,MATCH(A353,'Balance Inputs'!$I$2:$I$51,0))*POWER(INDEX('Balance Inputs'!$D$2:$D$7,MATCH(C353,'Balance Inputs'!$A$2:$A$7,0)),F353-1),0)</x:f>
        <x:v>266621</x:v>
      </x:c>
      <x:c r="J353" s="38" t="n">
        <x:f>ROUND(I353*INDEX('Balance Inputs'!$F$2:$F$7,MATCH(C353,'Balance Inputs'!$A$2:$A$7,0)),0)</x:f>
        <x:v>45326</x:v>
      </x:c>
      <x:c r="K353" s="38" t="n">
        <x:f>I353-J353</x:f>
        <x:v>221295</x:v>
      </x:c>
      <x:c r="L353" s="38" t="n">
        <x:f>ROUND(INDEX('Balance Inputs'!$M$2:$M$51,MATCH(A353,'Balance Inputs'!$I$2:$I$51,0))*POWER(INDEX('Balance Inputs'!$E$2:$E$7,MATCH(C353,'Balance Inputs'!$A$2:$A$7,0)),F353-1),0)</x:f>
        <x:v>206293</x:v>
      </x:c>
      <x:c r="M353" s="38" t="n">
        <x:f>ROUND(INDEX('Balance Inputs'!$N$2:$N$51,MATCH(A353,'Balance Inputs'!$I$2:$I$51,0))*POWER(INDEX('Balance Inputs'!$G$2:$G$7,MATCH(C353,'Balance Inputs'!$A$2:$A$7,0)),F353-1),0)</x:f>
        <x:v>22586</x:v>
      </x:c>
      <x:c r="N353" s="38" t="n">
        <x:f>IF(A353&lt;&gt;A352,H353,N352+H353)</x:f>
        <x:v>10641809</x:v>
      </x:c>
      <x:c r="O353" s="42" t="n">
        <x:f>IF(I353=0,0,H353/I353)</x:f>
        <x:v>24.90849933051035</x:v>
      </x:c>
      <x:c r="P353" s="43" t="n">
        <x:f>I353/INDEX('Balance Inputs'!$L$2:$L$51,MATCH(A353,'Balance Inputs'!$I$2:$I$51,0))</x:f>
        <x:v>1.3899976018434526</x:v>
      </x:c>
      <x:c r="Q353" s="43" t="n">
        <x:f>L353/INDEX('Balance Inputs'!$M$2:$M$51,MATCH(A353,'Balance Inputs'!$I$2:$I$51,0))</x:f>
        <x:v>1.3699984725625751</x:v>
      </x:c>
      <x:c r="R353" s="17"/>
      <x:c r="S353" s="17"/>
      <x:c r="T353" s="17"/>
      <x:c r="U353" s="17"/>
      <x:c r="V353" s="17"/>
      <x:c r="W353" s="17"/>
      <x:c r="X353" s="17"/>
      <x:c r="Y353" s="17"/>
      <x:c r="Z353" s="17"/>
    </x:row>
    <x:row r="354">
      <x:c r="A354" s="17" t="n">
        <x:v>46</x:v>
      </x:c>
      <x:c r="B354" s="17" t="str">
        <x:v>International Bank HQ</x:v>
      </x:c>
      <x:c r="C354" s="17" t="str">
        <x:v>Tycoon</x:v>
      </x:c>
      <x:c r="D354" s="17" t="str">
        <x:v>Mythic</x:v>
      </x:c>
      <x:c r="E354" s="17" t="n">
        <x:v>46</x:v>
      </x:c>
      <x:c r="F354" s="17" t="n">
        <x:v>3</x:v>
      </x:c>
      <x:c r="G354" s="17" t="str">
        <x:v>Upgrade to Lv3</x:v>
      </x:c>
      <x:c r="H354" s="38" t="n">
        <x:f>ROUND(H353*INDEX('Balance Inputs'!$C$2:$C$7,MATCH(C354,'Balance Inputs'!$A$2:$A$7,0)),0)</x:f>
        <x:v>11024274</x:v>
      </x:c>
      <x:c r="I354" s="38" t="n">
        <x:f>ROUND(INDEX('Balance Inputs'!$L$2:$L$51,MATCH(A354,'Balance Inputs'!$I$2:$I$51,0))*POWER(INDEX('Balance Inputs'!$D$2:$D$7,MATCH(C354,'Balance Inputs'!$A$2:$A$7,0)),F354-1),0)</x:f>
        <x:v>370604</x:v>
      </x:c>
      <x:c r="J354" s="38" t="n">
        <x:f>ROUND(I354*INDEX('Balance Inputs'!$F$2:$F$7,MATCH(C354,'Balance Inputs'!$A$2:$A$7,0)),0)</x:f>
        <x:v>63003</x:v>
      </x:c>
      <x:c r="K354" s="38" t="n">
        <x:f>I354-J354</x:f>
        <x:v>307601</x:v>
      </x:c>
      <x:c r="L354" s="38" t="n">
        <x:f>ROUND(INDEX('Balance Inputs'!$M$2:$M$51,MATCH(A354,'Balance Inputs'!$I$2:$I$51,0))*POWER(INDEX('Balance Inputs'!$E$2:$E$7,MATCH(C354,'Balance Inputs'!$A$2:$A$7,0)),F354-1),0)</x:f>
        <x:v>282622</x:v>
      </x:c>
      <x:c r="M354" s="38" t="n">
        <x:f>ROUND(INDEX('Balance Inputs'!$N$2:$N$51,MATCH(A354,'Balance Inputs'!$I$2:$I$51,0))*POWER(INDEX('Balance Inputs'!$G$2:$G$7,MATCH(C354,'Balance Inputs'!$A$2:$A$7,0)),F354-1),0)</x:f>
        <x:v>28233</x:v>
      </x:c>
      <x:c r="N354" s="38" t="n">
        <x:f>IF(A354&lt;&gt;A353,H354,N353+H354)</x:f>
        <x:v>21666083</x:v>
      </x:c>
      <x:c r="O354" s="42" t="n">
        <x:f>IF(I354=0,0,H354/I354)</x:f>
        <x:v>29.74677553399316</x:v>
      </x:c>
      <x:c r="P354" s="43" t="n">
        <x:f>I354/INDEX('Balance Inputs'!$L$2:$L$51,MATCH(A354,'Balance Inputs'!$I$2:$I$51,0))</x:f>
        <x:v>1.932100889403276</x:v>
      </x:c>
      <x:c r="Q354" s="43" t="n">
        <x:f>L354/INDEX('Balance Inputs'!$M$2:$M$51,MATCH(A354,'Balance Inputs'!$I$2:$I$51,0))</x:f>
        <x:v>1.8769018256197743</x:v>
      </x:c>
      <x:c r="R354" s="17"/>
      <x:c r="S354" s="17"/>
      <x:c r="T354" s="17"/>
      <x:c r="U354" s="17"/>
      <x:c r="V354" s="17"/>
      <x:c r="W354" s="17"/>
      <x:c r="X354" s="17"/>
      <x:c r="Y354" s="17"/>
      <x:c r="Z354" s="17"/>
    </x:row>
    <x:row r="355">
      <x:c r="A355" s="17" t="n">
        <x:v>46</x:v>
      </x:c>
      <x:c r="B355" s="17" t="str">
        <x:v>International Bank HQ</x:v>
      </x:c>
      <x:c r="C355" s="17" t="str">
        <x:v>Tycoon</x:v>
      </x:c>
      <x:c r="D355" s="17" t="str">
        <x:v>Mythic</x:v>
      </x:c>
      <x:c r="E355" s="17" t="n">
        <x:v>46</x:v>
      </x:c>
      <x:c r="F355" s="17" t="n">
        <x:v>4</x:v>
      </x:c>
      <x:c r="G355" s="17" t="str">
        <x:v>Upgrade to Lv4</x:v>
      </x:c>
      <x:c r="H355" s="38" t="n">
        <x:f>ROUND(H354*INDEX('Balance Inputs'!$C$2:$C$7,MATCH(C355,'Balance Inputs'!$A$2:$A$7,0)),0)</x:f>
        <x:v>18300295</x:v>
      </x:c>
      <x:c r="I355" s="38" t="n">
        <x:f>ROUND(INDEX('Balance Inputs'!$L$2:$L$51,MATCH(A355,'Balance Inputs'!$I$2:$I$51,0))*POWER(INDEX('Balance Inputs'!$D$2:$D$7,MATCH(C355,'Balance Inputs'!$A$2:$A$7,0)),F355-1),0)</x:f>
        <x:v>515139</x:v>
      </x:c>
      <x:c r="J355" s="38" t="n">
        <x:f>ROUND(I355*INDEX('Balance Inputs'!$F$2:$F$7,MATCH(C355,'Balance Inputs'!$A$2:$A$7,0)),0)</x:f>
        <x:v>87574</x:v>
      </x:c>
      <x:c r="K355" s="38" t="n">
        <x:f>I355-J355</x:f>
        <x:v>427565</x:v>
      </x:c>
      <x:c r="L355" s="38" t="n">
        <x:f>ROUND(INDEX('Balance Inputs'!$M$2:$M$51,MATCH(A355,'Balance Inputs'!$I$2:$I$51,0))*POWER(INDEX('Balance Inputs'!$E$2:$E$7,MATCH(C355,'Balance Inputs'!$A$2:$A$7,0)),F355-1),0)</x:f>
        <x:v>387192</x:v>
      </x:c>
      <x:c r="M355" s="38" t="n">
        <x:f>ROUND(INDEX('Balance Inputs'!$N$2:$N$51,MATCH(A355,'Balance Inputs'!$I$2:$I$51,0))*POWER(INDEX('Balance Inputs'!$G$2:$G$7,MATCH(C355,'Balance Inputs'!$A$2:$A$7,0)),F355-1),0)</x:f>
        <x:v>35291</x:v>
      </x:c>
      <x:c r="N355" s="38" t="n">
        <x:f>IF(A355&lt;&gt;A354,H355,N354+H355)</x:f>
        <x:v>39966378</x:v>
      </x:c>
      <x:c r="O355" s="42" t="n">
        <x:f>IF(I355=0,0,H355/I355)</x:f>
        <x:v>35.524965106505235</x:v>
      </x:c>
      <x:c r="P355" s="43" t="n">
        <x:f>I355/INDEX('Balance Inputs'!$L$2:$L$51,MATCH(A355,'Balance Inputs'!$I$2:$I$51,0))</x:f>
        <x:v>2.6856173167756263</x:v>
      </x:c>
      <x:c r="Q355" s="43" t="n">
        <x:f>L355/INDEX('Balance Inputs'!$M$2:$M$51,MATCH(A355,'Balance Inputs'!$I$2:$I$51,0))</x:f>
        <x:v>2.5713545713545716</x:v>
      </x:c>
      <x:c r="R355" s="17"/>
      <x:c r="S355" s="17"/>
      <x:c r="T355" s="17"/>
      <x:c r="U355" s="17"/>
      <x:c r="V355" s="17"/>
      <x:c r="W355" s="17"/>
      <x:c r="X355" s="17"/>
      <x:c r="Y355" s="17"/>
      <x:c r="Z355" s="17"/>
    </x:row>
    <x:row r="356">
      <x:c r="A356" s="17" t="n">
        <x:v>46</x:v>
      </x:c>
      <x:c r="B356" s="17" t="str">
        <x:v>International Bank HQ</x:v>
      </x:c>
      <x:c r="C356" s="17" t="str">
        <x:v>Tycoon</x:v>
      </x:c>
      <x:c r="D356" s="17" t="str">
        <x:v>Mythic</x:v>
      </x:c>
      <x:c r="E356" s="17" t="n">
        <x:v>46</x:v>
      </x:c>
      <x:c r="F356" s="17" t="n">
        <x:v>5</x:v>
      </x:c>
      <x:c r="G356" s="17" t="str">
        <x:v>Upgrade to Lv5</x:v>
      </x:c>
      <x:c r="H356" s="38" t="n">
        <x:f>ROUND(H355*INDEX('Balance Inputs'!$C$2:$C$7,MATCH(C356,'Balance Inputs'!$A$2:$A$7,0)),0)</x:f>
        <x:v>30378490</x:v>
      </x:c>
      <x:c r="I356" s="38" t="n">
        <x:f>ROUND(INDEX('Balance Inputs'!$L$2:$L$51,MATCH(A356,'Balance Inputs'!$I$2:$I$51,0))*POWER(INDEX('Balance Inputs'!$D$2:$D$7,MATCH(C356,'Balance Inputs'!$A$2:$A$7,0)),F356-1),0)</x:f>
        <x:v>716044</x:v>
      </x:c>
      <x:c r="J356" s="38" t="n">
        <x:f>ROUND(I356*INDEX('Balance Inputs'!$F$2:$F$7,MATCH(C356,'Balance Inputs'!$A$2:$A$7,0)),0)</x:f>
        <x:v>121727</x:v>
      </x:c>
      <x:c r="K356" s="38" t="n">
        <x:f>I356-J356</x:f>
        <x:v>594317</x:v>
      </x:c>
      <x:c r="L356" s="38" t="n">
        <x:f>ROUND(INDEX('Balance Inputs'!$M$2:$M$51,MATCH(A356,'Balance Inputs'!$I$2:$I$51,0))*POWER(INDEX('Balance Inputs'!$E$2:$E$7,MATCH(C356,'Balance Inputs'!$A$2:$A$7,0)),F356-1),0)</x:f>
        <x:v>530453</x:v>
      </x:c>
      <x:c r="M356" s="38" t="n">
        <x:f>ROUND(INDEX('Balance Inputs'!$N$2:$N$51,MATCH(A356,'Balance Inputs'!$I$2:$I$51,0))*POWER(INDEX('Balance Inputs'!$G$2:$G$7,MATCH(C356,'Balance Inputs'!$A$2:$A$7,0)),F356-1),0)</x:f>
        <x:v>44114</x:v>
      </x:c>
      <x:c r="N356" s="38" t="n">
        <x:f>IF(A356&lt;&gt;A355,H356,N355+H356)</x:f>
        <x:v>70344868</x:v>
      </x:c>
      <x:c r="O356" s="42" t="n">
        <x:f>IF(I356=0,0,H356/I356)</x:f>
        <x:v>42.42545150856651</x:v>
      </x:c>
      <x:c r="P356" s="43" t="n">
        <x:f>I356/INDEX('Balance Inputs'!$L$2:$L$51,MATCH(A356,'Balance Inputs'!$I$2:$I$51,0))</x:f>
        <x:v>3.7330121888913217</x:v>
      </x:c>
      <x:c r="Q356" s="43" t="n">
        <x:f>L356/INDEX('Balance Inputs'!$M$2:$M$51,MATCH(A356,'Balance Inputs'!$I$2:$I$51,0))</x:f>
        <x:v>3.5227554971144714</x:v>
      </x:c>
      <x:c r="R356" s="17"/>
      <x:c r="S356" s="17"/>
      <x:c r="T356" s="17"/>
      <x:c r="U356" s="17"/>
      <x:c r="V356" s="17"/>
      <x:c r="W356" s="17"/>
      <x:c r="X356" s="17"/>
      <x:c r="Y356" s="17"/>
      <x:c r="Z356" s="17"/>
    </x:row>
    <x:row r="357">
      <x:c r="A357" s="17" t="n">
        <x:v>46</x:v>
      </x:c>
      <x:c r="B357" s="17" t="str">
        <x:v>International Bank HQ</x:v>
      </x:c>
      <x:c r="C357" s="17" t="str">
        <x:v>Tycoon</x:v>
      </x:c>
      <x:c r="D357" s="17" t="str">
        <x:v>Mythic</x:v>
      </x:c>
      <x:c r="E357" s="17" t="n">
        <x:v>46</x:v>
      </x:c>
      <x:c r="F357" s="17" t="n">
        <x:v>6</x:v>
      </x:c>
      <x:c r="G357" s="17" t="str">
        <x:v>Upgrade to Lv6</x:v>
      </x:c>
      <x:c r="H357" s="38" t="n">
        <x:f>ROUND(H356*INDEX('Balance Inputs'!$C$2:$C$7,MATCH(C357,'Balance Inputs'!$A$2:$A$7,0)),0)</x:f>
        <x:v>50428293</x:v>
      </x:c>
      <x:c r="I357" s="38" t="n">
        <x:f>ROUND(INDEX('Balance Inputs'!$L$2:$L$51,MATCH(A357,'Balance Inputs'!$I$2:$I$51,0))*POWER(INDEX('Balance Inputs'!$D$2:$D$7,MATCH(C357,'Balance Inputs'!$A$2:$A$7,0)),F357-1),0)</x:f>
        <x:v>995301</x:v>
      </x:c>
      <x:c r="J357" s="38" t="n">
        <x:f>ROUND(I357*INDEX('Balance Inputs'!$F$2:$F$7,MATCH(C357,'Balance Inputs'!$A$2:$A$7,0)),0)</x:f>
        <x:v>169201</x:v>
      </x:c>
      <x:c r="K357" s="38" t="n">
        <x:f>I357-J357</x:f>
        <x:v>826100</x:v>
      </x:c>
      <x:c r="L357" s="38" t="n">
        <x:f>ROUND(INDEX('Balance Inputs'!$M$2:$M$51,MATCH(A357,'Balance Inputs'!$I$2:$I$51,0))*POWER(INDEX('Balance Inputs'!$E$2:$E$7,MATCH(C357,'Balance Inputs'!$A$2:$A$7,0)),F357-1),0)</x:f>
        <x:v>726720</x:v>
      </x:c>
      <x:c r="M357" s="38" t="n">
        <x:f>ROUND(INDEX('Balance Inputs'!$N$2:$N$51,MATCH(A357,'Balance Inputs'!$I$2:$I$51,0))*POWER(INDEX('Balance Inputs'!$G$2:$G$7,MATCH(C357,'Balance Inputs'!$A$2:$A$7,0)),F357-1),0)</x:f>
        <x:v>55142</x:v>
      </x:c>
      <x:c r="N357" s="38" t="n">
        <x:f>IF(A357&lt;&gt;A356,H357,N356+H357)</x:f>
        <x:v>120773161</x:v>
      </x:c>
      <x:c r="O357" s="42" t="n">
        <x:f>IF(I357=0,0,H357/I357)</x:f>
        <x:v>50.666374292801876</x:v>
      </x:c>
      <x:c r="P357" s="43" t="n">
        <x:f>I357/INDEX('Balance Inputs'!$L$2:$L$51,MATCH(A357,'Balance Inputs'!$I$2:$I$51,0))</x:f>
        <x:v>5.188886108417529</x:v>
      </x:c>
      <x:c r="Q357" s="43" t="n">
        <x:f>L357/INDEX('Balance Inputs'!$M$2:$M$51,MATCH(A357,'Balance Inputs'!$I$2:$I$51,0))</x:f>
        <x:v>4.8261709800171335</x:v>
      </x:c>
      <x:c r="R357" s="17"/>
      <x:c r="S357" s="17"/>
      <x:c r="T357" s="17"/>
      <x:c r="U357" s="17"/>
      <x:c r="V357" s="17"/>
      <x:c r="W357" s="17"/>
      <x:c r="X357" s="17"/>
      <x:c r="Y357" s="17"/>
      <x:c r="Z357" s="17"/>
    </x:row>
    <x:row r="358">
      <x:c r="A358" s="17" t="n">
        <x:v>46</x:v>
      </x:c>
      <x:c r="B358" s="17" t="str">
        <x:v>International Bank HQ</x:v>
      </x:c>
      <x:c r="C358" s="17" t="str">
        <x:v>Tycoon</x:v>
      </x:c>
      <x:c r="D358" s="17" t="str">
        <x:v>Mythic</x:v>
      </x:c>
      <x:c r="E358" s="17" t="n">
        <x:v>46</x:v>
      </x:c>
      <x:c r="F358" s="17" t="n">
        <x:v>7</x:v>
      </x:c>
      <x:c r="G358" s="17" t="str">
        <x:v>Upgrade to Lv7</x:v>
      </x:c>
      <x:c r="H358" s="38" t="n">
        <x:f>ROUND(H357*INDEX('Balance Inputs'!$C$2:$C$7,MATCH(C358,'Balance Inputs'!$A$2:$A$7,0)),0)</x:f>
        <x:v>83710966</x:v>
      </x:c>
      <x:c r="I358" s="38" t="n">
        <x:f>ROUND(INDEX('Balance Inputs'!$L$2:$L$51,MATCH(A358,'Balance Inputs'!$I$2:$I$51,0))*POWER(INDEX('Balance Inputs'!$D$2:$D$7,MATCH(C358,'Balance Inputs'!$A$2:$A$7,0)),F358-1),0)</x:f>
        <x:v>1383468</x:v>
      </x:c>
      <x:c r="J358" s="38" t="n">
        <x:f>ROUND(I358*INDEX('Balance Inputs'!$F$2:$F$7,MATCH(C358,'Balance Inputs'!$A$2:$A$7,0)),0)</x:f>
        <x:v>235190</x:v>
      </x:c>
      <x:c r="K358" s="38" t="n">
        <x:f>I358-J358</x:f>
        <x:v>1148278</x:v>
      </x:c>
      <x:c r="L358" s="38" t="n">
        <x:f>ROUND(INDEX('Balance Inputs'!$M$2:$M$51,MATCH(A358,'Balance Inputs'!$I$2:$I$51,0))*POWER(INDEX('Balance Inputs'!$E$2:$E$7,MATCH(C358,'Balance Inputs'!$A$2:$A$7,0)),F358-1),0)</x:f>
        <x:v>995607</x:v>
      </x:c>
      <x:c r="M358" s="38" t="n">
        <x:f>ROUND(INDEX('Balance Inputs'!$N$2:$N$51,MATCH(A358,'Balance Inputs'!$I$2:$I$51,0))*POWER(INDEX('Balance Inputs'!$G$2:$G$7,MATCH(C358,'Balance Inputs'!$A$2:$A$7,0)),F358-1),0)</x:f>
        <x:v>68928</x:v>
      </x:c>
      <x:c r="N358" s="38" t="n">
        <x:f>IF(A358&lt;&gt;A357,H358,N357+H358)</x:f>
        <x:v>204484127</x:v>
      </x:c>
      <x:c r="O358" s="42" t="n">
        <x:f>IF(I358=0,0,H358/I358)</x:f>
        <x:v>60.50806090202303</x:v>
      </x:c>
      <x:c r="P358" s="43" t="n">
        <x:f>I358/INDEX('Balance Inputs'!$L$2:$L$51,MATCH(A358,'Balance Inputs'!$I$2:$I$51,0))</x:f>
        <x:v>7.212549657480684</x:v>
      </x:c>
      <x:c r="Q358" s="43" t="n">
        <x:f>L358/INDEX('Balance Inputs'!$M$2:$M$51,MATCH(A358,'Balance Inputs'!$I$2:$I$51,0))</x:f>
        <x:v>6.611858227242843</x:v>
      </x:c>
      <x:c r="R358" s="17"/>
      <x:c r="S358" s="17"/>
      <x:c r="T358" s="17"/>
      <x:c r="U358" s="17"/>
      <x:c r="V358" s="17"/>
      <x:c r="W358" s="17"/>
      <x:c r="X358" s="17"/>
      <x:c r="Y358" s="17"/>
      <x:c r="Z358" s="17"/>
    </x:row>
    <x:row r="359">
      <x:c r="A359" s="17" t="n">
        <x:v>46</x:v>
      </x:c>
      <x:c r="B359" s="17" t="str">
        <x:v>International Bank HQ</x:v>
      </x:c>
      <x:c r="C359" s="17" t="str">
        <x:v>Tycoon</x:v>
      </x:c>
      <x:c r="D359" s="17" t="str">
        <x:v>Mythic</x:v>
      </x:c>
      <x:c r="E359" s="17" t="n">
        <x:v>46</x:v>
      </x:c>
      <x:c r="F359" s="17" t="n">
        <x:v>8</x:v>
      </x:c>
      <x:c r="G359" s="17" t="str">
        <x:v>Upgrade to Lv8</x:v>
      </x:c>
      <x:c r="H359" s="38" t="n">
        <x:f>ROUND(H358*INDEX('Balance Inputs'!$C$2:$C$7,MATCH(C359,'Balance Inputs'!$A$2:$A$7,0)),0)</x:f>
        <x:v>138960204</x:v>
      </x:c>
      <x:c r="I359" s="38" t="n">
        <x:f>ROUND(INDEX('Balance Inputs'!$L$2:$L$51,MATCH(A359,'Balance Inputs'!$I$2:$I$51,0))*POWER(INDEX('Balance Inputs'!$D$2:$D$7,MATCH(C359,'Balance Inputs'!$A$2:$A$7,0)),F359-1),0)</x:f>
        <x:v>1923020</x:v>
      </x:c>
      <x:c r="J359" s="38" t="n">
        <x:f>ROUND(I359*INDEX('Balance Inputs'!$F$2:$F$7,MATCH(C359,'Balance Inputs'!$A$2:$A$7,0)),0)</x:f>
        <x:v>326913</x:v>
      </x:c>
      <x:c r="K359" s="38" t="n">
        <x:f>I359-J359</x:f>
        <x:v>1596107</x:v>
      </x:c>
      <x:c r="L359" s="38" t="n">
        <x:f>ROUND(INDEX('Balance Inputs'!$M$2:$M$51,MATCH(A359,'Balance Inputs'!$I$2:$I$51,0))*POWER(INDEX('Balance Inputs'!$E$2:$E$7,MATCH(C359,'Balance Inputs'!$A$2:$A$7,0)),F359-1),0)</x:f>
        <x:v>1363981</x:v>
      </x:c>
      <x:c r="M359" s="38" t="n">
        <x:f>ROUND(INDEX('Balance Inputs'!$N$2:$N$51,MATCH(A359,'Balance Inputs'!$I$2:$I$51,0))*POWER(INDEX('Balance Inputs'!$G$2:$G$7,MATCH(C359,'Balance Inputs'!$A$2:$A$7,0)),F359-1),0)</x:f>
        <x:v>86160</x:v>
      </x:c>
      <x:c r="N359" s="38" t="n">
        <x:f>IF(A359&lt;&gt;A358,H359,N358+H359)</x:f>
        <x:v>343444331</x:v>
      </x:c>
      <x:c r="O359" s="42" t="n">
        <x:f>IF(I359=0,0,H359/I359)</x:f>
        <x:v>72.26144501877256</x:v>
      </x:c>
      <x:c r="P359" s="43" t="n">
        <x:f>I359/INDEX('Balance Inputs'!$L$2:$L$51,MATCH(A359,'Balance Inputs'!$I$2:$I$51,0))</x:f>
        <x:v>10.025441312938575</x:v>
      </x:c>
      <x:c r="Q359" s="43" t="n">
        <x:f>L359/INDEX('Balance Inputs'!$M$2:$M$51,MATCH(A359,'Balance Inputs'!$I$2:$I$51,0))</x:f>
        <x:v>9.058241853113648</x:v>
      </x:c>
      <x:c r="R359" s="17"/>
      <x:c r="S359" s="17"/>
      <x:c r="T359" s="17"/>
      <x:c r="U359" s="17"/>
      <x:c r="V359" s="17"/>
      <x:c r="W359" s="17"/>
      <x:c r="X359" s="17"/>
      <x:c r="Y359" s="17"/>
      <x:c r="Z359" s="17"/>
    </x:row>
    <x:row r="360">
      <x:c r="A360" s="17" t="n">
        <x:v>46</x:v>
      </x:c>
      <x:c r="B360" s="17" t="str">
        <x:v>International Bank HQ</x:v>
      </x:c>
      <x:c r="C360" s="17" t="str">
        <x:v>Tycoon</x:v>
      </x:c>
      <x:c r="D360" s="17" t="str">
        <x:v>Mythic</x:v>
      </x:c>
      <x:c r="E360" s="17" t="n">
        <x:v>46</x:v>
      </x:c>
      <x:c r="F360" s="17" t="n">
        <x:v>9</x:v>
      </x:c>
      <x:c r="G360" s="17" t="str">
        <x:v>Upgrade to Lv9</x:v>
      </x:c>
      <x:c r="H360" s="38" t="n">
        <x:f>ROUND(H359*INDEX('Balance Inputs'!$C$2:$C$7,MATCH(C360,'Balance Inputs'!$A$2:$A$7,0)),0)</x:f>
        <x:v>230673939</x:v>
      </x:c>
      <x:c r="I360" s="38" t="n">
        <x:f>ROUND(INDEX('Balance Inputs'!$L$2:$L$51,MATCH(A360,'Balance Inputs'!$I$2:$I$51,0))*POWER(INDEX('Balance Inputs'!$D$2:$D$7,MATCH(C360,'Balance Inputs'!$A$2:$A$7,0)),F360-1),0)</x:f>
        <x:v>2672998</x:v>
      </x:c>
      <x:c r="J360" s="38" t="n">
        <x:f>ROUND(I360*INDEX('Balance Inputs'!$F$2:$F$7,MATCH(C360,'Balance Inputs'!$A$2:$A$7,0)),0)</x:f>
        <x:v>454410</x:v>
      </x:c>
      <x:c r="K360" s="38" t="n">
        <x:f>I360-J360</x:f>
        <x:v>2218588</x:v>
      </x:c>
      <x:c r="L360" s="38" t="n">
        <x:f>ROUND(INDEX('Balance Inputs'!$M$2:$M$51,MATCH(A360,'Balance Inputs'!$I$2:$I$51,0))*POWER(INDEX('Balance Inputs'!$E$2:$E$7,MATCH(C360,'Balance Inputs'!$A$2:$A$7,0)),F360-1),0)</x:f>
        <x:v>1868654</x:v>
      </x:c>
      <x:c r="M360" s="38" t="n">
        <x:f>ROUND(INDEX('Balance Inputs'!$N$2:$N$51,MATCH(A360,'Balance Inputs'!$I$2:$I$51,0))*POWER(INDEX('Balance Inputs'!$G$2:$G$7,MATCH(C360,'Balance Inputs'!$A$2:$A$7,0)),F360-1),0)</x:f>
        <x:v>107700</x:v>
      </x:c>
      <x:c r="N360" s="38" t="n">
        <x:f>IF(A360&lt;&gt;A359,H360,N359+H360)</x:f>
        <x:v>574118270</x:v>
      </x:c>
      <x:c r="O360" s="42" t="n">
        <x:f>IF(I360=0,0,H360/I360)</x:f>
        <x:v>86.29783449145866</x:v>
      </x:c>
      <x:c r="P360" s="43" t="n">
        <x:f>I360/INDEX('Balance Inputs'!$L$2:$L$51,MATCH(A360,'Balance Inputs'!$I$2:$I$51,0))</x:f>
        <x:v>13.93536446766138</x:v>
      </x:c>
      <x:c r="Q360" s="43" t="n">
        <x:f>L360/INDEX('Balance Inputs'!$M$2:$M$51,MATCH(A360,'Balance Inputs'!$I$2:$I$51,0))</x:f>
        <x:v>12.409791537996666</x:v>
      </x:c>
      <x:c r="R360" s="17"/>
      <x:c r="S360" s="17"/>
      <x:c r="T360" s="17"/>
      <x:c r="U360" s="17"/>
      <x:c r="V360" s="17"/>
      <x:c r="W360" s="17"/>
      <x:c r="X360" s="17"/>
      <x:c r="Y360" s="17"/>
      <x:c r="Z360" s="17"/>
    </x:row>
    <x:row r="361">
      <x:c r="A361" s="17" t="n">
        <x:v>46</x:v>
      </x:c>
      <x:c r="B361" s="17" t="str">
        <x:v>International Bank HQ</x:v>
      </x:c>
      <x:c r="C361" s="17" t="str">
        <x:v>Tycoon</x:v>
      </x:c>
      <x:c r="D361" s="17" t="str">
        <x:v>Mythic</x:v>
      </x:c>
      <x:c r="E361" s="17" t="n">
        <x:v>46</x:v>
      </x:c>
      <x:c r="F361" s="17" t="n">
        <x:v>10</x:v>
      </x:c>
      <x:c r="G361" s="17" t="str">
        <x:v>Upgrade to Lv10</x:v>
      </x:c>
      <x:c r="H361" s="38" t="n">
        <x:f>ROUND(H360*INDEX('Balance Inputs'!$C$2:$C$7,MATCH(C361,'Balance Inputs'!$A$2:$A$7,0)),0)</x:f>
        <x:v>382918739</x:v>
      </x:c>
      <x:c r="I361" s="38" t="n">
        <x:f>ROUND(INDEX('Balance Inputs'!$L$2:$L$51,MATCH(A361,'Balance Inputs'!$I$2:$I$51,0))*POWER(INDEX('Balance Inputs'!$D$2:$D$7,MATCH(C361,'Balance Inputs'!$A$2:$A$7,0)),F361-1),0)</x:f>
        <x:v>3715468</x:v>
      </x:c>
      <x:c r="J361" s="38" t="n">
        <x:f>ROUND(I361*INDEX('Balance Inputs'!$F$2:$F$7,MATCH(C361,'Balance Inputs'!$A$2:$A$7,0)),0)</x:f>
        <x:v>631630</x:v>
      </x:c>
      <x:c r="K361" s="38" t="n">
        <x:f>I361-J361</x:f>
        <x:v>3083838</x:v>
      </x:c>
      <x:c r="L361" s="38" t="n">
        <x:f>ROUND(INDEX('Balance Inputs'!$M$2:$M$51,MATCH(A361,'Balance Inputs'!$I$2:$I$51,0))*POWER(INDEX('Balance Inputs'!$E$2:$E$7,MATCH(C361,'Balance Inputs'!$A$2:$A$7,0)),F361-1),0)</x:f>
        <x:v>2560056</x:v>
      </x:c>
      <x:c r="M361" s="38" t="n">
        <x:f>ROUND(INDEX('Balance Inputs'!$N$2:$N$51,MATCH(A361,'Balance Inputs'!$I$2:$I$51,0))*POWER(INDEX('Balance Inputs'!$G$2:$G$7,MATCH(C361,'Balance Inputs'!$A$2:$A$7,0)),F361-1),0)</x:f>
        <x:v>134625</x:v>
      </x:c>
      <x:c r="N361" s="38" t="n">
        <x:f>IF(A361&lt;&gt;A360,H361,N360+H361)</x:f>
        <x:v>957037009</x:v>
      </x:c>
      <x:c r="O361" s="42" t="n">
        <x:f>IF(I361=0,0,H361/I361)</x:f>
        <x:v>103.06070163973959</x:v>
      </x:c>
      <x:c r="P361" s="43" t="n">
        <x:f>I361/INDEX('Balance Inputs'!$L$2:$L$51,MATCH(A361,'Balance Inputs'!$I$2:$I$51,0))</x:f>
        <x:v>19.37016067648868</x:v>
      </x:c>
      <x:c r="Q361" s="43" t="n">
        <x:f>L361/INDEX('Balance Inputs'!$M$2:$M$51,MATCH(A361,'Balance Inputs'!$I$2:$I$51,0))</x:f>
        <x:v>17.001414539876077</x:v>
      </x:c>
      <x:c r="R361" s="17"/>
      <x:c r="S361" s="17"/>
      <x:c r="T361" s="17"/>
      <x:c r="U361" s="17"/>
      <x:c r="V361" s="17"/>
      <x:c r="W361" s="17"/>
      <x:c r="X361" s="17"/>
      <x:c r="Y361" s="17"/>
      <x:c r="Z361" s="17"/>
    </x:row>
    <x:row r="362">
      <x:c r="A362" s="17" t="n">
        <x:v>46</x:v>
      </x:c>
      <x:c r="B362" s="17" t="str">
        <x:v>International Bank HQ</x:v>
      </x:c>
      <x:c r="C362" s="17" t="str">
        <x:v>Tycoon</x:v>
      </x:c>
      <x:c r="D362" s="17" t="str">
        <x:v>Mythic</x:v>
      </x:c>
      <x:c r="E362" s="17" t="n">
        <x:v>46</x:v>
      </x:c>
      <x:c r="F362" s="17" t="n">
        <x:v>11</x:v>
      </x:c>
      <x:c r="G362" s="17" t="str">
        <x:v>Upgrade to Lv11</x:v>
      </x:c>
      <x:c r="H362" s="38" t="n">
        <x:f>ROUND(H361*INDEX('Balance Inputs'!$C$2:$C$7,MATCH(C362,'Balance Inputs'!$A$2:$A$7,0)),0)</x:f>
        <x:v>635645107</x:v>
      </x:c>
      <x:c r="I362" s="38" t="n">
        <x:f>ROUND(INDEX('Balance Inputs'!$L$2:$L$51,MATCH(A362,'Balance Inputs'!$I$2:$I$51,0))*POWER(INDEX('Balance Inputs'!$D$2:$D$7,MATCH(C362,'Balance Inputs'!$A$2:$A$7,0)),F362-1),0)</x:f>
        <x:v>5164500</x:v>
      </x:c>
      <x:c r="J362" s="38" t="n">
        <x:f>ROUND(I362*INDEX('Balance Inputs'!$F$2:$F$7,MATCH(C362,'Balance Inputs'!$A$2:$A$7,0)),0)</x:f>
        <x:v>877965</x:v>
      </x:c>
      <x:c r="K362" s="38" t="n">
        <x:f>I362-J362</x:f>
        <x:v>4286535</x:v>
      </x:c>
      <x:c r="L362" s="38" t="n">
        <x:f>ROUND(INDEX('Balance Inputs'!$M$2:$M$51,MATCH(A362,'Balance Inputs'!$I$2:$I$51,0))*POWER(INDEX('Balance Inputs'!$E$2:$E$7,MATCH(C362,'Balance Inputs'!$A$2:$A$7,0)),F362-1),0)</x:f>
        <x:v>3507277</x:v>
      </x:c>
      <x:c r="M362" s="38" t="n">
        <x:f>ROUND(INDEX('Balance Inputs'!$N$2:$N$51,MATCH(A362,'Balance Inputs'!$I$2:$I$51,0))*POWER(INDEX('Balance Inputs'!$G$2:$G$7,MATCH(C362,'Balance Inputs'!$A$2:$A$7,0)),F362-1),0)</x:f>
        <x:v>168281</x:v>
      </x:c>
      <x:c r="N362" s="38" t="n">
        <x:f>IF(A362&lt;&gt;A361,H362,N361+H362)</x:f>
        <x:v>1592682116</x:v>
      </x:c>
      <x:c r="O362" s="42" t="n">
        <x:f>IF(I362=0,0,H362/I362)</x:f>
        <x:v>123.079699293252</x:v>
      </x:c>
      <x:c r="P362" s="43" t="n">
        <x:f>I362/INDEX('Balance Inputs'!$L$2:$L$51,MATCH(A362,'Balance Inputs'!$I$2:$I$51,0))</x:f>
        <x:v>26.92452062935969</x:v>
      </x:c>
      <x:c r="Q362" s="43" t="n">
        <x:f>L362/INDEX('Balance Inputs'!$M$2:$M$51,MATCH(A362,'Balance Inputs'!$I$2:$I$51,0))</x:f>
        <x:v>23.291939779119268</x:v>
      </x:c>
      <x:c r="R362" s="17"/>
      <x:c r="S362" s="17"/>
      <x:c r="T362" s="17"/>
      <x:c r="U362" s="17"/>
      <x:c r="V362" s="17"/>
      <x:c r="W362" s="17"/>
      <x:c r="X362" s="17"/>
      <x:c r="Y362" s="17"/>
      <x:c r="Z362" s="17"/>
    </x:row>
    <x:row r="363">
      <x:c r="A363" s="17" t="n">
        <x:v>47</x:v>
      </x:c>
      <x:c r="B363" s="17" t="str">
        <x:v>Global Investment Bank</x:v>
      </x:c>
      <x:c r="C363" s="17" t="str">
        <x:v>Tycoon</x:v>
      </x:c>
      <x:c r="D363" s="17" t="str">
        <x:v>Mythic</x:v>
      </x:c>
      <x:c r="E363" s="17" t="n">
        <x:v>47</x:v>
      </x:c>
      <x:c r="F363" s="17" t="n">
        <x:v>1</x:v>
      </x:c>
      <x:c r="G363" s="17" t="str">
        <x:v>Build</x:v>
      </x:c>
      <x:c r="H363" s="38" t="n">
        <x:f>INDEX('Balance Inputs'!$K$2:$K$51,MATCH(A363,'Balance Inputs'!$I$2:$I$51,0))</x:f>
        <x:v>4940850</x:v>
      </x:c>
      <x:c r="I363" s="38" t="n">
        <x:f>ROUND(INDEX('Balance Inputs'!$L$2:$L$51,MATCH(A363,'Balance Inputs'!$I$2:$I$51,0))*POWER(INDEX('Balance Inputs'!$D$2:$D$7,MATCH(C363,'Balance Inputs'!$A$2:$A$7,0)),F363-1),0)</x:f>
        <x:v>257058</x:v>
      </x:c>
      <x:c r="J363" s="38" t="n">
        <x:f>ROUND(I363*INDEX('Balance Inputs'!$F$2:$F$7,MATCH(C363,'Balance Inputs'!$A$2:$A$7,0)),0)</x:f>
        <x:v>43700</x:v>
      </x:c>
      <x:c r="K363" s="38" t="n">
        <x:f>I363-J363</x:f>
        <x:v>213358</x:v>
      </x:c>
      <x:c r="L363" s="38" t="n">
        <x:f>ROUND(INDEX('Balance Inputs'!$M$2:$M$51,MATCH(A363,'Balance Inputs'!$I$2:$I$51,0))*POWER(INDEX('Balance Inputs'!$E$2:$E$7,MATCH(C363,'Balance Inputs'!$A$2:$A$7,0)),F363-1),0)</x:f>
        <x:v>179189</x:v>
      </x:c>
      <x:c r="M363" s="38" t="n">
        <x:f>ROUND(INDEX('Balance Inputs'!$N$2:$N$51,MATCH(A363,'Balance Inputs'!$I$2:$I$51,0))*POWER(INDEX('Balance Inputs'!$G$2:$G$7,MATCH(C363,'Balance Inputs'!$A$2:$A$7,0)),F363-1),0)</x:f>
        <x:v>21503</x:v>
      </x:c>
      <x:c r="N363" s="38" t="n">
        <x:f>IF(A363&lt;&gt;A362,H363,N362+H363)</x:f>
        <x:v>4940850</x:v>
      </x:c>
      <x:c r="O363" s="42" t="n">
        <x:f>IF(I363=0,0,H363/I363)</x:f>
        <x:v>19.22075951730738</x:v>
      </x:c>
      <x:c r="P363" s="43" t="n">
        <x:f>I363/INDEX('Balance Inputs'!$L$2:$L$51,MATCH(A363,'Balance Inputs'!$I$2:$I$51,0))</x:f>
        <x:v>1</x:v>
      </x:c>
      <x:c r="Q363" s="43" t="n">
        <x:f>L363/INDEX('Balance Inputs'!$M$2:$M$51,MATCH(A363,'Balance Inputs'!$I$2:$I$51,0))</x:f>
        <x:v>1</x:v>
      </x:c>
      <x:c r="R363" s="17"/>
      <x:c r="S363" s="17"/>
      <x:c r="T363" s="17"/>
      <x:c r="U363" s="17"/>
      <x:c r="V363" s="17"/>
      <x:c r="W363" s="17"/>
      <x:c r="X363" s="17"/>
      <x:c r="Y363" s="17"/>
      <x:c r="Z363" s="17"/>
    </x:row>
    <x:row r="364">
      <x:c r="A364" s="17" t="n">
        <x:v>47</x:v>
      </x:c>
      <x:c r="B364" s="17" t="str">
        <x:v>Global Investment Bank</x:v>
      </x:c>
      <x:c r="C364" s="17" t="str">
        <x:v>Tycoon</x:v>
      </x:c>
      <x:c r="D364" s="17" t="str">
        <x:v>Mythic</x:v>
      </x:c>
      <x:c r="E364" s="17" t="n">
        <x:v>47</x:v>
      </x:c>
      <x:c r="F364" s="17" t="n">
        <x:v>2</x:v>
      </x:c>
      <x:c r="G364" s="17" t="str">
        <x:v>Upgrade to Lv2</x:v>
      </x:c>
      <x:c r="H364" s="38" t="n">
        <x:f>ROUND(H363*INDEX('Balance Inputs'!$C$2:$C$7,MATCH(C364,'Balance Inputs'!$A$2:$A$7,0)),0)</x:f>
        <x:v>8201811</x:v>
      </x:c>
      <x:c r="I364" s="38" t="n">
        <x:f>ROUND(INDEX('Balance Inputs'!$L$2:$L$51,MATCH(A364,'Balance Inputs'!$I$2:$I$51,0))*POWER(INDEX('Balance Inputs'!$D$2:$D$7,MATCH(C364,'Balance Inputs'!$A$2:$A$7,0)),F364-1),0)</x:f>
        <x:v>357311</x:v>
      </x:c>
      <x:c r="J364" s="38" t="n">
        <x:f>ROUND(I364*INDEX('Balance Inputs'!$F$2:$F$7,MATCH(C364,'Balance Inputs'!$A$2:$A$7,0)),0)</x:f>
        <x:v>60743</x:v>
      </x:c>
      <x:c r="K364" s="38" t="n">
        <x:f>I364-J364</x:f>
        <x:v>296568</x:v>
      </x:c>
      <x:c r="L364" s="38" t="n">
        <x:f>ROUND(INDEX('Balance Inputs'!$M$2:$M$51,MATCH(A364,'Balance Inputs'!$I$2:$I$51,0))*POWER(INDEX('Balance Inputs'!$E$2:$E$7,MATCH(C364,'Balance Inputs'!$A$2:$A$7,0)),F364-1),0)</x:f>
        <x:v>245489</x:v>
      </x:c>
      <x:c r="M364" s="38" t="n">
        <x:f>ROUND(INDEX('Balance Inputs'!$N$2:$N$51,MATCH(A364,'Balance Inputs'!$I$2:$I$51,0))*POWER(INDEX('Balance Inputs'!$G$2:$G$7,MATCH(C364,'Balance Inputs'!$A$2:$A$7,0)),F364-1),0)</x:f>
        <x:v>26879</x:v>
      </x:c>
      <x:c r="N364" s="38" t="n">
        <x:f>IF(A364&lt;&gt;A363,H364,N363+H364)</x:f>
        <x:v>13142661</x:v>
      </x:c>
      <x:c r="O364" s="42" t="n">
        <x:f>IF(I364=0,0,H364/I364)</x:f>
        <x:v>22.95426393254056</x:v>
      </x:c>
      <x:c r="P364" s="43" t="n">
        <x:f>I364/INDEX('Balance Inputs'!$L$2:$L$51,MATCH(A364,'Balance Inputs'!$I$2:$I$51,0))</x:f>
        <x:v>1.3900014782656054</x:v>
      </x:c>
      <x:c r="Q364" s="43" t="n">
        <x:f>L364/INDEX('Balance Inputs'!$M$2:$M$51,MATCH(A364,'Balance Inputs'!$I$2:$I$51,0))</x:f>
        <x:v>1.3700003906489795</x:v>
      </x:c>
      <x:c r="R364" s="17"/>
      <x:c r="S364" s="17"/>
      <x:c r="T364" s="17"/>
      <x:c r="U364" s="17"/>
      <x:c r="V364" s="17"/>
      <x:c r="W364" s="17"/>
      <x:c r="X364" s="17"/>
      <x:c r="Y364" s="17"/>
      <x:c r="Z364" s="17"/>
    </x:row>
    <x:row r="365">
      <x:c r="A365" s="17" t="n">
        <x:v>47</x:v>
      </x:c>
      <x:c r="B365" s="17" t="str">
        <x:v>Global Investment Bank</x:v>
      </x:c>
      <x:c r="C365" s="17" t="str">
        <x:v>Tycoon</x:v>
      </x:c>
      <x:c r="D365" s="17" t="str">
        <x:v>Mythic</x:v>
      </x:c>
      <x:c r="E365" s="17" t="n">
        <x:v>47</x:v>
      </x:c>
      <x:c r="F365" s="17" t="n">
        <x:v>3</x:v>
      </x:c>
      <x:c r="G365" s="17" t="str">
        <x:v>Upgrade to Lv3</x:v>
      </x:c>
      <x:c r="H365" s="38" t="n">
        <x:f>ROUND(H364*INDEX('Balance Inputs'!$C$2:$C$7,MATCH(C365,'Balance Inputs'!$A$2:$A$7,0)),0)</x:f>
        <x:v>13615006</x:v>
      </x:c>
      <x:c r="I365" s="38" t="n">
        <x:f>ROUND(INDEX('Balance Inputs'!$L$2:$L$51,MATCH(A365,'Balance Inputs'!$I$2:$I$51,0))*POWER(INDEX('Balance Inputs'!$D$2:$D$7,MATCH(C365,'Balance Inputs'!$A$2:$A$7,0)),F365-1),0)</x:f>
        <x:v>496662</x:v>
      </x:c>
      <x:c r="J365" s="38" t="n">
        <x:f>ROUND(I365*INDEX('Balance Inputs'!$F$2:$F$7,MATCH(C365,'Balance Inputs'!$A$2:$A$7,0)),0)</x:f>
        <x:v>84433</x:v>
      </x:c>
      <x:c r="K365" s="38" t="n">
        <x:f>I365-J365</x:f>
        <x:v>412229</x:v>
      </x:c>
      <x:c r="L365" s="38" t="n">
        <x:f>ROUND(INDEX('Balance Inputs'!$M$2:$M$51,MATCH(A365,'Balance Inputs'!$I$2:$I$51,0))*POWER(INDEX('Balance Inputs'!$E$2:$E$7,MATCH(C365,'Balance Inputs'!$A$2:$A$7,0)),F365-1),0)</x:f>
        <x:v>336320</x:v>
      </x:c>
      <x:c r="M365" s="38" t="n">
        <x:f>ROUND(INDEX('Balance Inputs'!$N$2:$N$51,MATCH(A365,'Balance Inputs'!$I$2:$I$51,0))*POWER(INDEX('Balance Inputs'!$G$2:$G$7,MATCH(C365,'Balance Inputs'!$A$2:$A$7,0)),F365-1),0)</x:f>
        <x:v>33598</x:v>
      </x:c>
      <x:c r="N365" s="38" t="n">
        <x:f>IF(A365&lt;&gt;A364,H365,N364+H365)</x:f>
        <x:v>26757667</x:v>
      </x:c>
      <x:c r="O365" s="42" t="n">
        <x:f>IF(I365=0,0,H365/I365)</x:f>
        <x:v>27.41302133040176</x:v>
      </x:c>
      <x:c r="P365" s="43" t="n">
        <x:f>I365/INDEX('Balance Inputs'!$L$2:$L$51,MATCH(A365,'Balance Inputs'!$I$2:$I$51,0))</x:f>
        <x:v>1.9321009266391242</x:v>
      </x:c>
      <x:c r="Q365" s="43" t="n">
        <x:f>L365/INDEX('Balance Inputs'!$M$2:$M$51,MATCH(A365,'Balance Inputs'!$I$2:$I$51,0))</x:f>
        <x:v>1.8769009258380815</x:v>
      </x:c>
      <x:c r="R365" s="17"/>
      <x:c r="S365" s="17"/>
      <x:c r="T365" s="17"/>
      <x:c r="U365" s="17"/>
      <x:c r="V365" s="17"/>
      <x:c r="W365" s="17"/>
      <x:c r="X365" s="17"/>
      <x:c r="Y365" s="17"/>
      <x:c r="Z365" s="17"/>
    </x:row>
    <x:row r="366">
      <x:c r="A366" s="17" t="n">
        <x:v>47</x:v>
      </x:c>
      <x:c r="B366" s="17" t="str">
        <x:v>Global Investment Bank</x:v>
      </x:c>
      <x:c r="C366" s="17" t="str">
        <x:v>Tycoon</x:v>
      </x:c>
      <x:c r="D366" s="17" t="str">
        <x:v>Mythic</x:v>
      </x:c>
      <x:c r="E366" s="17" t="n">
        <x:v>47</x:v>
      </x:c>
      <x:c r="F366" s="17" t="n">
        <x:v>4</x:v>
      </x:c>
      <x:c r="G366" s="17" t="str">
        <x:v>Upgrade to Lv4</x:v>
      </x:c>
      <x:c r="H366" s="38" t="n">
        <x:f>ROUND(H365*INDEX('Balance Inputs'!$C$2:$C$7,MATCH(C366,'Balance Inputs'!$A$2:$A$7,0)),0)</x:f>
        <x:v>22600910</x:v>
      </x:c>
      <x:c r="I366" s="38" t="n">
        <x:f>ROUND(INDEX('Balance Inputs'!$L$2:$L$51,MATCH(A366,'Balance Inputs'!$I$2:$I$51,0))*POWER(INDEX('Balance Inputs'!$D$2:$D$7,MATCH(C366,'Balance Inputs'!$A$2:$A$7,0)),F366-1),0)</x:f>
        <x:v>690360</x:v>
      </x:c>
      <x:c r="J366" s="38" t="n">
        <x:f>ROUND(I366*INDEX('Balance Inputs'!$F$2:$F$7,MATCH(C366,'Balance Inputs'!$A$2:$A$7,0)),0)</x:f>
        <x:v>117361</x:v>
      </x:c>
      <x:c r="K366" s="38" t="n">
        <x:f>I366-J366</x:f>
        <x:v>572999</x:v>
      </x:c>
      <x:c r="L366" s="38" t="n">
        <x:f>ROUND(INDEX('Balance Inputs'!$M$2:$M$51,MATCH(A366,'Balance Inputs'!$I$2:$I$51,0))*POWER(INDEX('Balance Inputs'!$E$2:$E$7,MATCH(C366,'Balance Inputs'!$A$2:$A$7,0)),F366-1),0)</x:f>
        <x:v>460758</x:v>
      </x:c>
      <x:c r="M366" s="38" t="n">
        <x:f>ROUND(INDEX('Balance Inputs'!$N$2:$N$51,MATCH(A366,'Balance Inputs'!$I$2:$I$51,0))*POWER(INDEX('Balance Inputs'!$G$2:$G$7,MATCH(C366,'Balance Inputs'!$A$2:$A$7,0)),F366-1),0)</x:f>
        <x:v>41998</x:v>
      </x:c>
      <x:c r="N366" s="38" t="n">
        <x:f>IF(A366&lt;&gt;A365,H366,N365+H366)</x:f>
        <x:v>49358577</x:v>
      </x:c>
      <x:c r="O366" s="42" t="n">
        <x:f>IF(I366=0,0,H366/I366)</x:f>
        <x:v>32.737861405643436</x:v>
      </x:c>
      <x:c r="P366" s="43" t="n">
        <x:f>I366/INDEX('Balance Inputs'!$L$2:$L$51,MATCH(A366,'Balance Inputs'!$I$2:$I$51,0))</x:f>
        <x:v>2.6856195877973064</x:v>
      </x:c>
      <x:c r="Q366" s="43" t="n">
        <x:f>L366/INDEX('Balance Inputs'!$M$2:$M$51,MATCH(A366,'Balance Inputs'!$I$2:$I$51,0))</x:f>
        <x:v>2.5713520361182884</x:v>
      </x:c>
      <x:c r="R366" s="17"/>
      <x:c r="S366" s="17"/>
      <x:c r="T366" s="17"/>
      <x:c r="U366" s="17"/>
      <x:c r="V366" s="17"/>
      <x:c r="W366" s="17"/>
      <x:c r="X366" s="17"/>
      <x:c r="Y366" s="17"/>
      <x:c r="Z366" s="17"/>
    </x:row>
    <x:row r="367">
      <x:c r="A367" s="17" t="n">
        <x:v>47</x:v>
      </x:c>
      <x:c r="B367" s="17" t="str">
        <x:v>Global Investment Bank</x:v>
      </x:c>
      <x:c r="C367" s="17" t="str">
        <x:v>Tycoon</x:v>
      </x:c>
      <x:c r="D367" s="17" t="str">
        <x:v>Mythic</x:v>
      </x:c>
      <x:c r="E367" s="17" t="n">
        <x:v>47</x:v>
      </x:c>
      <x:c r="F367" s="17" t="n">
        <x:v>5</x:v>
      </x:c>
      <x:c r="G367" s="17" t="str">
        <x:v>Upgrade to Lv5</x:v>
      </x:c>
      <x:c r="H367" s="38" t="n">
        <x:f>ROUND(H366*INDEX('Balance Inputs'!$C$2:$C$7,MATCH(C367,'Balance Inputs'!$A$2:$A$7,0)),0)</x:f>
        <x:v>37517511</x:v>
      </x:c>
      <x:c r="I367" s="38" t="n">
        <x:f>ROUND(INDEX('Balance Inputs'!$L$2:$L$51,MATCH(A367,'Balance Inputs'!$I$2:$I$51,0))*POWER(INDEX('Balance Inputs'!$D$2:$D$7,MATCH(C367,'Balance Inputs'!$A$2:$A$7,0)),F367-1),0)</x:f>
        <x:v>959600</x:v>
      </x:c>
      <x:c r="J367" s="38" t="n">
        <x:f>ROUND(I367*INDEX('Balance Inputs'!$F$2:$F$7,MATCH(C367,'Balance Inputs'!$A$2:$A$7,0)),0)</x:f>
        <x:v>163132</x:v>
      </x:c>
      <x:c r="K367" s="38" t="n">
        <x:f>I367-J367</x:f>
        <x:v>796468</x:v>
      </x:c>
      <x:c r="L367" s="38" t="n">
        <x:f>ROUND(INDEX('Balance Inputs'!$M$2:$M$51,MATCH(A367,'Balance Inputs'!$I$2:$I$51,0))*POWER(INDEX('Balance Inputs'!$E$2:$E$7,MATCH(C367,'Balance Inputs'!$A$2:$A$7,0)),F367-1),0)</x:f>
        <x:v>631239</x:v>
      </x:c>
      <x:c r="M367" s="38" t="n">
        <x:f>ROUND(INDEX('Balance Inputs'!$N$2:$N$51,MATCH(A367,'Balance Inputs'!$I$2:$I$51,0))*POWER(INDEX('Balance Inputs'!$G$2:$G$7,MATCH(C367,'Balance Inputs'!$A$2:$A$7,0)),F367-1),0)</x:f>
        <x:v>52498</x:v>
      </x:c>
      <x:c r="N367" s="38" t="n">
        <x:f>IF(A367&lt;&gt;A366,H367,N366+H367)</x:f>
        <x:v>86876088</x:v>
      </x:c>
      <x:c r="O367" s="42" t="n">
        <x:f>IF(I367=0,0,H367/I367)</x:f>
        <x:v>39.097031054606084</x:v>
      </x:c>
      <x:c r="P367" s="43" t="n">
        <x:f>I367/INDEX('Balance Inputs'!$L$2:$L$51,MATCH(A367,'Balance Inputs'!$I$2:$I$51,0))</x:f>
        <x:v>3.7330096709691976</x:v>
      </x:c>
      <x:c r="Q367" s="43" t="n">
        <x:f>L367/INDEX('Balance Inputs'!$M$2:$M$51,MATCH(A367,'Balance Inputs'!$I$2:$I$51,0))</x:f>
        <x:v>3.5227553030598977</x:v>
      </x:c>
      <x:c r="R367" s="17"/>
      <x:c r="S367" s="17"/>
      <x:c r="T367" s="17"/>
      <x:c r="U367" s="17"/>
      <x:c r="V367" s="17"/>
      <x:c r="W367" s="17"/>
      <x:c r="X367" s="17"/>
      <x:c r="Y367" s="17"/>
      <x:c r="Z367" s="17"/>
    </x:row>
    <x:row r="368">
      <x:c r="A368" s="17" t="n">
        <x:v>47</x:v>
      </x:c>
      <x:c r="B368" s="17" t="str">
        <x:v>Global Investment Bank</x:v>
      </x:c>
      <x:c r="C368" s="17" t="str">
        <x:v>Tycoon</x:v>
      </x:c>
      <x:c r="D368" s="17" t="str">
        <x:v>Mythic</x:v>
      </x:c>
      <x:c r="E368" s="17" t="n">
        <x:v>47</x:v>
      </x:c>
      <x:c r="F368" s="17" t="n">
        <x:v>6</x:v>
      </x:c>
      <x:c r="G368" s="17" t="str">
        <x:v>Upgrade to Lv6</x:v>
      </x:c>
      <x:c r="H368" s="38" t="n">
        <x:f>ROUND(H367*INDEX('Balance Inputs'!$C$2:$C$7,MATCH(C368,'Balance Inputs'!$A$2:$A$7,0)),0)</x:f>
        <x:v>62279068</x:v>
      </x:c>
      <x:c r="I368" s="38" t="n">
        <x:f>ROUND(INDEX('Balance Inputs'!$L$2:$L$51,MATCH(A368,'Balance Inputs'!$I$2:$I$51,0))*POWER(INDEX('Balance Inputs'!$D$2:$D$7,MATCH(C368,'Balance Inputs'!$A$2:$A$7,0)),F368-1),0)</x:f>
        <x:v>1333844</x:v>
      </x:c>
      <x:c r="J368" s="38" t="n">
        <x:f>ROUND(I368*INDEX('Balance Inputs'!$F$2:$F$7,MATCH(C368,'Balance Inputs'!$A$2:$A$7,0)),0)</x:f>
        <x:v>226753</x:v>
      </x:c>
      <x:c r="K368" s="38" t="n">
        <x:f>I368-J368</x:f>
        <x:v>1107091</x:v>
      </x:c>
      <x:c r="L368" s="38" t="n">
        <x:f>ROUND(INDEX('Balance Inputs'!$M$2:$M$51,MATCH(A368,'Balance Inputs'!$I$2:$I$51,0))*POWER(INDEX('Balance Inputs'!$E$2:$E$7,MATCH(C368,'Balance Inputs'!$A$2:$A$7,0)),F368-1),0)</x:f>
        <x:v>864797</x:v>
      </x:c>
      <x:c r="M368" s="38" t="n">
        <x:f>ROUND(INDEX('Balance Inputs'!$N$2:$N$51,MATCH(A368,'Balance Inputs'!$I$2:$I$51,0))*POWER(INDEX('Balance Inputs'!$G$2:$G$7,MATCH(C368,'Balance Inputs'!$A$2:$A$7,0)),F368-1),0)</x:f>
        <x:v>65622</x:v>
      </x:c>
      <x:c r="N368" s="38" t="n">
        <x:f>IF(A368&lt;&gt;A367,H368,N367+H368)</x:f>
        <x:v>149155156</x:v>
      </x:c>
      <x:c r="O368" s="42" t="n">
        <x:f>IF(I368=0,0,H368/I368)</x:f>
        <x:v>46.69141818683444</x:v>
      </x:c>
      <x:c r="P368" s="43" t="n">
        <x:f>I368/INDEX('Balance Inputs'!$L$2:$L$51,MATCH(A368,'Balance Inputs'!$I$2:$I$51,0))</x:f>
        <x:v>5.188883442647184</x:v>
      </x:c>
      <x:c r="Q368" s="43" t="n">
        <x:f>L368/INDEX('Balance Inputs'!$M$2:$M$51,MATCH(A368,'Balance Inputs'!$I$2:$I$51,0))</x:f>
        <x:v>4.8261723654911854</x:v>
      </x:c>
      <x:c r="R368" s="17"/>
      <x:c r="S368" s="17"/>
      <x:c r="T368" s="17"/>
      <x:c r="U368" s="17"/>
      <x:c r="V368" s="17"/>
      <x:c r="W368" s="17"/>
      <x:c r="X368" s="17"/>
      <x:c r="Y368" s="17"/>
      <x:c r="Z368" s="17"/>
    </x:row>
    <x:row r="369">
      <x:c r="A369" s="17" t="n">
        <x:v>47</x:v>
      </x:c>
      <x:c r="B369" s="17" t="str">
        <x:v>Global Investment Bank</x:v>
      </x:c>
      <x:c r="C369" s="17" t="str">
        <x:v>Tycoon</x:v>
      </x:c>
      <x:c r="D369" s="17" t="str">
        <x:v>Mythic</x:v>
      </x:c>
      <x:c r="E369" s="17" t="n">
        <x:v>47</x:v>
      </x:c>
      <x:c r="F369" s="17" t="n">
        <x:v>7</x:v>
      </x:c>
      <x:c r="G369" s="17" t="str">
        <x:v>Upgrade to Lv7</x:v>
      </x:c>
      <x:c r="H369" s="38" t="n">
        <x:f>ROUND(H368*INDEX('Balance Inputs'!$C$2:$C$7,MATCH(C369,'Balance Inputs'!$A$2:$A$7,0)),0)</x:f>
        <x:v>103383253</x:v>
      </x:c>
      <x:c r="I369" s="38" t="n">
        <x:f>ROUND(INDEX('Balance Inputs'!$L$2:$L$51,MATCH(A369,'Balance Inputs'!$I$2:$I$51,0))*POWER(INDEX('Balance Inputs'!$D$2:$D$7,MATCH(C369,'Balance Inputs'!$A$2:$A$7,0)),F369-1),0)</x:f>
        <x:v>1854044</x:v>
      </x:c>
      <x:c r="J369" s="38" t="n">
        <x:f>ROUND(I369*INDEX('Balance Inputs'!$F$2:$F$7,MATCH(C369,'Balance Inputs'!$A$2:$A$7,0)),0)</x:f>
        <x:v>315187</x:v>
      </x:c>
      <x:c r="K369" s="38" t="n">
        <x:f>I369-J369</x:f>
        <x:v>1538857</x:v>
      </x:c>
      <x:c r="L369" s="38" t="n">
        <x:f>ROUND(INDEX('Balance Inputs'!$M$2:$M$51,MATCH(A369,'Balance Inputs'!$I$2:$I$51,0))*POWER(INDEX('Balance Inputs'!$E$2:$E$7,MATCH(C369,'Balance Inputs'!$A$2:$A$7,0)),F369-1),0)</x:f>
        <x:v>1184772</x:v>
      </x:c>
      <x:c r="M369" s="38" t="n">
        <x:f>ROUND(INDEX('Balance Inputs'!$N$2:$N$51,MATCH(A369,'Balance Inputs'!$I$2:$I$51,0))*POWER(INDEX('Balance Inputs'!$G$2:$G$7,MATCH(C369,'Balance Inputs'!$A$2:$A$7,0)),F369-1),0)</x:f>
        <x:v>82027</x:v>
      </x:c>
      <x:c r="N369" s="38" t="n">
        <x:f>IF(A369&lt;&gt;A368,H369,N368+H369)</x:f>
        <x:v>252538409</x:v>
      </x:c>
      <x:c r="O369" s="42" t="n">
        <x:f>IF(I369=0,0,H369/I369)</x:f>
        <x:v>55.760949038965634</x:v>
      </x:c>
      <x:c r="P369" s="43" t="n">
        <x:f>I369/INDEX('Balance Inputs'!$L$2:$L$51,MATCH(A369,'Balance Inputs'!$I$2:$I$51,0))</x:f>
        <x:v>7.21255125302461</x:v>
      </x:c>
      <x:c r="Q369" s="43" t="n">
        <x:f>L369/INDEX('Balance Inputs'!$M$2:$M$51,MATCH(A369,'Balance Inputs'!$I$2:$I$51,0))</x:f>
        <x:v>6.611856754599891</x:v>
      </x:c>
      <x:c r="R369" s="17"/>
      <x:c r="S369" s="17"/>
      <x:c r="T369" s="17"/>
      <x:c r="U369" s="17"/>
      <x:c r="V369" s="17"/>
      <x:c r="W369" s="17"/>
      <x:c r="X369" s="17"/>
      <x:c r="Y369" s="17"/>
      <x:c r="Z369" s="17"/>
    </x:row>
    <x:row r="370">
      <x:c r="A370" s="17" t="n">
        <x:v>47</x:v>
      </x:c>
      <x:c r="B370" s="17" t="str">
        <x:v>Global Investment Bank</x:v>
      </x:c>
      <x:c r="C370" s="17" t="str">
        <x:v>Tycoon</x:v>
      </x:c>
      <x:c r="D370" s="17" t="str">
        <x:v>Mythic</x:v>
      </x:c>
      <x:c r="E370" s="17" t="n">
        <x:v>47</x:v>
      </x:c>
      <x:c r="F370" s="17" t="n">
        <x:v>8</x:v>
      </x:c>
      <x:c r="G370" s="17" t="str">
        <x:v>Upgrade to Lv8</x:v>
      </x:c>
      <x:c r="H370" s="38" t="n">
        <x:f>ROUND(H369*INDEX('Balance Inputs'!$C$2:$C$7,MATCH(C370,'Balance Inputs'!$A$2:$A$7,0)),0)</x:f>
        <x:v>171616200</x:v>
      </x:c>
      <x:c r="I370" s="38" t="n">
        <x:f>ROUND(INDEX('Balance Inputs'!$L$2:$L$51,MATCH(A370,'Balance Inputs'!$I$2:$I$51,0))*POWER(INDEX('Balance Inputs'!$D$2:$D$7,MATCH(C370,'Balance Inputs'!$A$2:$A$7,0)),F370-1),0)</x:f>
        <x:v>2577121</x:v>
      </x:c>
      <x:c r="J370" s="38" t="n">
        <x:f>ROUND(I370*INDEX('Balance Inputs'!$F$2:$F$7,MATCH(C370,'Balance Inputs'!$A$2:$A$7,0)),0)</x:f>
        <x:v>438111</x:v>
      </x:c>
      <x:c r="K370" s="38" t="n">
        <x:f>I370-J370</x:f>
        <x:v>2139010</x:v>
      </x:c>
      <x:c r="L370" s="38" t="n">
        <x:f>ROUND(INDEX('Balance Inputs'!$M$2:$M$51,MATCH(A370,'Balance Inputs'!$I$2:$I$51,0))*POWER(INDEX('Balance Inputs'!$E$2:$E$7,MATCH(C370,'Balance Inputs'!$A$2:$A$7,0)),F370-1),0)</x:f>
        <x:v>1623138</x:v>
      </x:c>
      <x:c r="M370" s="38" t="n">
        <x:f>ROUND(INDEX('Balance Inputs'!$N$2:$N$51,MATCH(A370,'Balance Inputs'!$I$2:$I$51,0))*POWER(INDEX('Balance Inputs'!$G$2:$G$7,MATCH(C370,'Balance Inputs'!$A$2:$A$7,0)),F370-1),0)</x:f>
        <x:v>102534</x:v>
      </x:c>
      <x:c r="N370" s="38" t="n">
        <x:f>IF(A370&lt;&gt;A369,H370,N369+H370)</x:f>
        <x:v>424154609</x:v>
      </x:c>
      <x:c r="O370" s="42" t="n">
        <x:f>IF(I370=0,0,H370/I370)</x:f>
        <x:v>66.59221666347835</x:v>
      </x:c>
      <x:c r="P370" s="43" t="n">
        <x:f>I370/INDEX('Balance Inputs'!$L$2:$L$51,MATCH(A370,'Balance Inputs'!$I$2:$I$51,0))</x:f>
        <x:v>10.025445619276583</x:v>
      </x:c>
      <x:c r="Q370" s="43" t="n">
        <x:f>L370/INDEX('Balance Inputs'!$M$2:$M$51,MATCH(A370,'Balance Inputs'!$I$2:$I$51,0))</x:f>
        <x:v>9.058245762853746</x:v>
      </x:c>
      <x:c r="R370" s="17"/>
      <x:c r="S370" s="17"/>
      <x:c r="T370" s="17"/>
      <x:c r="U370" s="17"/>
      <x:c r="V370" s="17"/>
      <x:c r="W370" s="17"/>
      <x:c r="X370" s="17"/>
      <x:c r="Y370" s="17"/>
      <x:c r="Z370" s="17"/>
    </x:row>
    <x:row r="371">
      <x:c r="A371" s="17" t="n">
        <x:v>47</x:v>
      </x:c>
      <x:c r="B371" s="17" t="str">
        <x:v>Global Investment Bank</x:v>
      </x:c>
      <x:c r="C371" s="17" t="str">
        <x:v>Tycoon</x:v>
      </x:c>
      <x:c r="D371" s="17" t="str">
        <x:v>Mythic</x:v>
      </x:c>
      <x:c r="E371" s="17" t="n">
        <x:v>47</x:v>
      </x:c>
      <x:c r="F371" s="17" t="n">
        <x:v>9</x:v>
      </x:c>
      <x:c r="G371" s="17" t="str">
        <x:v>Upgrade to Lv9</x:v>
      </x:c>
      <x:c r="H371" s="38" t="n">
        <x:f>ROUND(H370*INDEX('Balance Inputs'!$C$2:$C$7,MATCH(C371,'Balance Inputs'!$A$2:$A$7,0)),0)</x:f>
        <x:v>284882892</x:v>
      </x:c>
      <x:c r="I371" s="38" t="n">
        <x:f>ROUND(INDEX('Balance Inputs'!$L$2:$L$51,MATCH(A371,'Balance Inputs'!$I$2:$I$51,0))*POWER(INDEX('Balance Inputs'!$D$2:$D$7,MATCH(C371,'Balance Inputs'!$A$2:$A$7,0)),F371-1),0)</x:f>
        <x:v>3582197</x:v>
      </x:c>
      <x:c r="J371" s="38" t="n">
        <x:f>ROUND(I371*INDEX('Balance Inputs'!$F$2:$F$7,MATCH(C371,'Balance Inputs'!$A$2:$A$7,0)),0)</x:f>
        <x:v>608973</x:v>
      </x:c>
      <x:c r="K371" s="38" t="n">
        <x:f>I371-J371</x:f>
        <x:v>2973224</x:v>
      </x:c>
      <x:c r="L371" s="38" t="n">
        <x:f>ROUND(INDEX('Balance Inputs'!$M$2:$M$51,MATCH(A371,'Balance Inputs'!$I$2:$I$51,0))*POWER(INDEX('Balance Inputs'!$E$2:$E$7,MATCH(C371,'Balance Inputs'!$A$2:$A$7,0)),F371-1),0)</x:f>
        <x:v>2223698</x:v>
      </x:c>
      <x:c r="M371" s="38" t="n">
        <x:f>ROUND(INDEX('Balance Inputs'!$N$2:$N$51,MATCH(A371,'Balance Inputs'!$I$2:$I$51,0))*POWER(INDEX('Balance Inputs'!$G$2:$G$7,MATCH(C371,'Balance Inputs'!$A$2:$A$7,0)),F371-1),0)</x:f>
        <x:v>128168</x:v>
      </x:c>
      <x:c r="N371" s="38" t="n">
        <x:f>IF(A371&lt;&gt;A370,H371,N370+H371)</x:f>
        <x:v>709037501</x:v>
      </x:c>
      <x:c r="O371" s="42" t="n">
        <x:f>IF(I371=0,0,H371/I371)</x:f>
        <x:v>79.5274218587085</x:v>
      </x:c>
      <x:c r="P371" s="43" t="n">
        <x:f>I371/INDEX('Balance Inputs'!$L$2:$L$51,MATCH(A371,'Balance Inputs'!$I$2:$I$51,0))</x:f>
        <x:v>13.935364781489003</x:v>
      </x:c>
      <x:c r="Q371" s="43" t="n">
        <x:f>L371/INDEX('Balance Inputs'!$M$2:$M$51,MATCH(A371,'Balance Inputs'!$I$2:$I$51,0))</x:f>
        <x:v>12.409790779567942</x:v>
      </x:c>
      <x:c r="R371" s="17"/>
      <x:c r="S371" s="17"/>
      <x:c r="T371" s="17"/>
      <x:c r="U371" s="17"/>
      <x:c r="V371" s="17"/>
      <x:c r="W371" s="17"/>
      <x:c r="X371" s="17"/>
      <x:c r="Y371" s="17"/>
      <x:c r="Z371" s="17"/>
    </x:row>
    <x:row r="372">
      <x:c r="A372" s="17" t="n">
        <x:v>47</x:v>
      </x:c>
      <x:c r="B372" s="17" t="str">
        <x:v>Global Investment Bank</x:v>
      </x:c>
      <x:c r="C372" s="17" t="str">
        <x:v>Tycoon</x:v>
      </x:c>
      <x:c r="D372" s="17" t="str">
        <x:v>Mythic</x:v>
      </x:c>
      <x:c r="E372" s="17" t="n">
        <x:v>47</x:v>
      </x:c>
      <x:c r="F372" s="17" t="n">
        <x:v>10</x:v>
      </x:c>
      <x:c r="G372" s="17" t="str">
        <x:v>Upgrade to Lv10</x:v>
      </x:c>
      <x:c r="H372" s="38" t="n">
        <x:f>ROUND(H371*INDEX('Balance Inputs'!$C$2:$C$7,MATCH(C372,'Balance Inputs'!$A$2:$A$7,0)),0)</x:f>
        <x:v>472905601</x:v>
      </x:c>
      <x:c r="I372" s="38" t="n">
        <x:f>ROUND(INDEX('Balance Inputs'!$L$2:$L$51,MATCH(A372,'Balance Inputs'!$I$2:$I$51,0))*POWER(INDEX('Balance Inputs'!$D$2:$D$7,MATCH(C372,'Balance Inputs'!$A$2:$A$7,0)),F372-1),0)</x:f>
        <x:v>4979255</x:v>
      </x:c>
      <x:c r="J372" s="38" t="n">
        <x:f>ROUND(I372*INDEX('Balance Inputs'!$F$2:$F$7,MATCH(C372,'Balance Inputs'!$A$2:$A$7,0)),0)</x:f>
        <x:v>846473</x:v>
      </x:c>
      <x:c r="K372" s="38" t="n">
        <x:f>I372-J372</x:f>
        <x:v>4132782</x:v>
      </x:c>
      <x:c r="L372" s="38" t="n">
        <x:f>ROUND(INDEX('Balance Inputs'!$M$2:$M$51,MATCH(A372,'Balance Inputs'!$I$2:$I$51,0))*POWER(INDEX('Balance Inputs'!$E$2:$E$7,MATCH(C372,'Balance Inputs'!$A$2:$A$7,0)),F372-1),0)</x:f>
        <x:v>3046467</x:v>
      </x:c>
      <x:c r="M372" s="38" t="n">
        <x:f>ROUND(INDEX('Balance Inputs'!$N$2:$N$51,MATCH(A372,'Balance Inputs'!$I$2:$I$51,0))*POWER(INDEX('Balance Inputs'!$G$2:$G$7,MATCH(C372,'Balance Inputs'!$A$2:$A$7,0)),F372-1),0)</x:f>
        <x:v>160210</x:v>
      </x:c>
      <x:c r="N372" s="38" t="n">
        <x:f>IF(A372&lt;&gt;A371,H372,N371+H372)</x:f>
        <x:v>1181943102</x:v>
      </x:c>
      <x:c r="O372" s="42" t="n">
        <x:f>IF(I372=0,0,H372/I372)</x:f>
        <x:v>94.97517218941388</x:v>
      </x:c>
      <x:c r="P372" s="43" t="n">
        <x:f>I372/INDEX('Balance Inputs'!$L$2:$L$51,MATCH(A372,'Balance Inputs'!$I$2:$I$51,0))</x:f>
        <x:v>19.37016159777171</x:v>
      </x:c>
      <x:c r="Q372" s="43" t="n">
        <x:f>L372/INDEX('Balance Inputs'!$M$2:$M$51,MATCH(A372,'Balance Inputs'!$I$2:$I$51,0))</x:f>
        <x:v>17.001417497725864</x:v>
      </x:c>
      <x:c r="R372" s="17"/>
      <x:c r="S372" s="17"/>
      <x:c r="T372" s="17"/>
      <x:c r="U372" s="17"/>
      <x:c r="V372" s="17"/>
      <x:c r="W372" s="17"/>
      <x:c r="X372" s="17"/>
      <x:c r="Y372" s="17"/>
      <x:c r="Z372" s="17"/>
    </x:row>
    <x:row r="373">
      <x:c r="A373" s="17" t="n">
        <x:v>47</x:v>
      </x:c>
      <x:c r="B373" s="17" t="str">
        <x:v>Global Investment Bank</x:v>
      </x:c>
      <x:c r="C373" s="17" t="str">
        <x:v>Tycoon</x:v>
      </x:c>
      <x:c r="D373" s="17" t="str">
        <x:v>Mythic</x:v>
      </x:c>
      <x:c r="E373" s="17" t="n">
        <x:v>47</x:v>
      </x:c>
      <x:c r="F373" s="17" t="n">
        <x:v>11</x:v>
      </x:c>
      <x:c r="G373" s="17" t="str">
        <x:v>Upgrade to Lv11</x:v>
      </x:c>
      <x:c r="H373" s="38" t="n">
        <x:f>ROUND(H372*INDEX('Balance Inputs'!$C$2:$C$7,MATCH(C373,'Balance Inputs'!$A$2:$A$7,0)),0)</x:f>
        <x:v>785023298</x:v>
      </x:c>
      <x:c r="I373" s="38" t="n">
        <x:f>ROUND(INDEX('Balance Inputs'!$L$2:$L$51,MATCH(A373,'Balance Inputs'!$I$2:$I$51,0))*POWER(INDEX('Balance Inputs'!$D$2:$D$7,MATCH(C373,'Balance Inputs'!$A$2:$A$7,0)),F373-1),0)</x:f>
        <x:v>6921164</x:v>
      </x:c>
      <x:c r="J373" s="38" t="n">
        <x:f>ROUND(I373*INDEX('Balance Inputs'!$F$2:$F$7,MATCH(C373,'Balance Inputs'!$A$2:$A$7,0)),0)</x:f>
        <x:v>1176598</x:v>
      </x:c>
      <x:c r="K373" s="38" t="n">
        <x:f>I373-J373</x:f>
        <x:v>5744566</x:v>
      </x:c>
      <x:c r="L373" s="38" t="n">
        <x:f>ROUND(INDEX('Balance Inputs'!$M$2:$M$51,MATCH(A373,'Balance Inputs'!$I$2:$I$51,0))*POWER(INDEX('Balance Inputs'!$E$2:$E$7,MATCH(C373,'Balance Inputs'!$A$2:$A$7,0)),F373-1),0)</x:f>
        <x:v>4173660</x:v>
      </x:c>
      <x:c r="M373" s="38" t="n">
        <x:f>ROUND(INDEX('Balance Inputs'!$N$2:$N$51,MATCH(A373,'Balance Inputs'!$I$2:$I$51,0))*POWER(INDEX('Balance Inputs'!$G$2:$G$7,MATCH(C373,'Balance Inputs'!$A$2:$A$7,0)),F373-1),0)</x:f>
        <x:v>200262</x:v>
      </x:c>
      <x:c r="N373" s="38" t="n">
        <x:f>IF(A373&lt;&gt;A372,H373,N372+H373)</x:f>
        <x:v>1966966400</x:v>
      </x:c>
      <x:c r="O373" s="42" t="n">
        <x:f>IF(I373=0,0,H373/I373)</x:f>
        <x:v>113.42359435493799</x:v>
      </x:c>
      <x:c r="P373" s="43" t="n">
        <x:f>I373/INDEX('Balance Inputs'!$L$2:$L$51,MATCH(A373,'Balance Inputs'!$I$2:$I$51,0))</x:f>
        <x:v>26.924522870324985</x:v>
      </x:c>
      <x:c r="Q373" s="43" t="n">
        <x:f>L373/INDEX('Balance Inputs'!$M$2:$M$51,MATCH(A373,'Balance Inputs'!$I$2:$I$51,0))</x:f>
        <x:v>23.291943143831375</x:v>
      </x:c>
      <x:c r="R373" s="17"/>
      <x:c r="S373" s="17"/>
      <x:c r="T373" s="17"/>
      <x:c r="U373" s="17"/>
      <x:c r="V373" s="17"/>
      <x:c r="W373" s="17"/>
      <x:c r="X373" s="17"/>
      <x:c r="Y373" s="17"/>
      <x:c r="Z373" s="17"/>
    </x:row>
    <x:row r="374">
      <x:c r="A374" s="17" t="n">
        <x:v>48</x:v>
      </x:c>
      <x:c r="B374" s="17" t="str">
        <x:v>Sovereign Fund Tower</x:v>
      </x:c>
      <x:c r="C374" s="17" t="str">
        <x:v>Tycoon</x:v>
      </x:c>
      <x:c r="D374" s="17" t="str">
        <x:v>Mythic</x:v>
      </x:c>
      <x:c r="E374" s="17" t="n">
        <x:v>48</x:v>
      </x:c>
      <x:c r="F374" s="17" t="n">
        <x:v>1</x:v>
      </x:c>
      <x:c r="G374" s="17" t="str">
        <x:v>Build</x:v>
      </x:c>
      <x:c r="H374" s="38" t="n">
        <x:f>INDEX('Balance Inputs'!$K$2:$K$51,MATCH(A374,'Balance Inputs'!$I$2:$I$51,0))</x:f>
        <x:v>6101940</x:v>
      </x:c>
      <x:c r="I374" s="38" t="n">
        <x:f>ROUND(INDEX('Balance Inputs'!$L$2:$L$51,MATCH(A374,'Balance Inputs'!$I$2:$I$51,0))*POWER(INDEX('Balance Inputs'!$D$2:$D$7,MATCH(C374,'Balance Inputs'!$A$2:$A$7,0)),F374-1),0)</x:f>
        <x:v>301842</x:v>
      </x:c>
      <x:c r="J374" s="38" t="n">
        <x:f>ROUND(I374*INDEX('Balance Inputs'!$F$2:$F$7,MATCH(C374,'Balance Inputs'!$A$2:$A$7,0)),0)</x:f>
        <x:v>51313</x:v>
      </x:c>
      <x:c r="K374" s="38" t="n">
        <x:f>I374-J374</x:f>
        <x:v>250529</x:v>
      </x:c>
      <x:c r="L374" s="38" t="n">
        <x:f>ROUND(INDEX('Balance Inputs'!$M$2:$M$51,MATCH(A374,'Balance Inputs'!$I$2:$I$51,0))*POWER(INDEX('Balance Inputs'!$E$2:$E$7,MATCH(C374,'Balance Inputs'!$A$2:$A$7,0)),F374-1),0)</x:f>
        <x:v>213235</x:v>
      </x:c>
      <x:c r="M374" s="38" t="n">
        <x:f>ROUND(INDEX('Balance Inputs'!$N$2:$N$51,MATCH(A374,'Balance Inputs'!$I$2:$I$51,0))*POWER(INDEX('Balance Inputs'!$G$2:$G$7,MATCH(C374,'Balance Inputs'!$A$2:$A$7,0)),F374-1),0)</x:f>
        <x:v>26868</x:v>
      </x:c>
      <x:c r="N374" s="38" t="n">
        <x:f>IF(A374&lt;&gt;A373,H374,N373+H374)</x:f>
        <x:v>6101940</x:v>
      </x:c>
      <x:c r="O374" s="42" t="n">
        <x:f>IF(I374=0,0,H374/I374)</x:f>
        <x:v>20.215675750889538</x:v>
      </x:c>
      <x:c r="P374" s="43" t="n">
        <x:f>I374/INDEX('Balance Inputs'!$L$2:$L$51,MATCH(A374,'Balance Inputs'!$I$2:$I$51,0))</x:f>
        <x:v>1</x:v>
      </x:c>
      <x:c r="Q374" s="43" t="n">
        <x:f>L374/INDEX('Balance Inputs'!$M$2:$M$51,MATCH(A374,'Balance Inputs'!$I$2:$I$51,0))</x:f>
        <x:v>1</x:v>
      </x:c>
      <x:c r="R374" s="17"/>
      <x:c r="S374" s="17"/>
      <x:c r="T374" s="17"/>
      <x:c r="U374" s="17"/>
      <x:c r="V374" s="17"/>
      <x:c r="W374" s="17"/>
      <x:c r="X374" s="17"/>
      <x:c r="Y374" s="17"/>
      <x:c r="Z374" s="17"/>
    </x:row>
    <x:row r="375">
      <x:c r="A375" s="17" t="n">
        <x:v>48</x:v>
      </x:c>
      <x:c r="B375" s="17" t="str">
        <x:v>Sovereign Fund Tower</x:v>
      </x:c>
      <x:c r="C375" s="17" t="str">
        <x:v>Tycoon</x:v>
      </x:c>
      <x:c r="D375" s="17" t="str">
        <x:v>Mythic</x:v>
      </x:c>
      <x:c r="E375" s="17" t="n">
        <x:v>48</x:v>
      </x:c>
      <x:c r="F375" s="17" t="n">
        <x:v>2</x:v>
      </x:c>
      <x:c r="G375" s="17" t="str">
        <x:v>Upgrade to Lv2</x:v>
      </x:c>
      <x:c r="H375" s="38" t="n">
        <x:f>ROUND(H374*INDEX('Balance Inputs'!$C$2:$C$7,MATCH(C375,'Balance Inputs'!$A$2:$A$7,0)),0)</x:f>
        <x:v>10129220</x:v>
      </x:c>
      <x:c r="I375" s="38" t="n">
        <x:f>ROUND(INDEX('Balance Inputs'!$L$2:$L$51,MATCH(A375,'Balance Inputs'!$I$2:$I$51,0))*POWER(INDEX('Balance Inputs'!$D$2:$D$7,MATCH(C375,'Balance Inputs'!$A$2:$A$7,0)),F375-1),0)</x:f>
        <x:v>419560</x:v>
      </x:c>
      <x:c r="J375" s="38" t="n">
        <x:f>ROUND(I375*INDEX('Balance Inputs'!$F$2:$F$7,MATCH(C375,'Balance Inputs'!$A$2:$A$7,0)),0)</x:f>
        <x:v>71325</x:v>
      </x:c>
      <x:c r="K375" s="38" t="n">
        <x:f>I375-J375</x:f>
        <x:v>348235</x:v>
      </x:c>
      <x:c r="L375" s="38" t="n">
        <x:f>ROUND(INDEX('Balance Inputs'!$M$2:$M$51,MATCH(A375,'Balance Inputs'!$I$2:$I$51,0))*POWER(INDEX('Balance Inputs'!$E$2:$E$7,MATCH(C375,'Balance Inputs'!$A$2:$A$7,0)),F375-1),0)</x:f>
        <x:v>292132</x:v>
      </x:c>
      <x:c r="M375" s="38" t="n">
        <x:f>ROUND(INDEX('Balance Inputs'!$N$2:$N$51,MATCH(A375,'Balance Inputs'!$I$2:$I$51,0))*POWER(INDEX('Balance Inputs'!$G$2:$G$7,MATCH(C375,'Balance Inputs'!$A$2:$A$7,0)),F375-1),0)</x:f>
        <x:v>33585</x:v>
      </x:c>
      <x:c r="N375" s="38" t="n">
        <x:f>IF(A375&lt;&gt;A374,H375,N374+H375)</x:f>
        <x:v>16231160</x:v>
      </x:c>
      <x:c r="O375" s="42" t="n">
        <x:f>IF(I375=0,0,H375/I375)</x:f>
        <x:v>24.142482600819907</x:v>
      </x:c>
      <x:c r="P375" s="43" t="n">
        <x:f>I375/INDEX('Balance Inputs'!$L$2:$L$51,MATCH(A375,'Balance Inputs'!$I$2:$I$51,0))</x:f>
        <x:v>1.3899987410632053</x:v>
      </x:c>
      <x:c r="Q375" s="43" t="n">
        <x:f>L375/INDEX('Balance Inputs'!$M$2:$M$51,MATCH(A375,'Balance Inputs'!$I$2:$I$51,0))</x:f>
        <x:v>1.370000234483082</x:v>
      </x:c>
      <x:c r="R375" s="17"/>
      <x:c r="S375" s="17"/>
      <x:c r="T375" s="17"/>
      <x:c r="U375" s="17"/>
      <x:c r="V375" s="17"/>
      <x:c r="W375" s="17"/>
      <x:c r="X375" s="17"/>
      <x:c r="Y375" s="17"/>
      <x:c r="Z375" s="17"/>
    </x:row>
    <x:row r="376">
      <x:c r="A376" s="17" t="n">
        <x:v>48</x:v>
      </x:c>
      <x:c r="B376" s="17" t="str">
        <x:v>Sovereign Fund Tower</x:v>
      </x:c>
      <x:c r="C376" s="17" t="str">
        <x:v>Tycoon</x:v>
      </x:c>
      <x:c r="D376" s="17" t="str">
        <x:v>Mythic</x:v>
      </x:c>
      <x:c r="E376" s="17" t="n">
        <x:v>48</x:v>
      </x:c>
      <x:c r="F376" s="17" t="n">
        <x:v>3</x:v>
      </x:c>
      <x:c r="G376" s="17" t="str">
        <x:v>Upgrade to Lv3</x:v>
      </x:c>
      <x:c r="H376" s="38" t="n">
        <x:f>ROUND(H375*INDEX('Balance Inputs'!$C$2:$C$7,MATCH(C376,'Balance Inputs'!$A$2:$A$7,0)),0)</x:f>
        <x:v>16814505</x:v>
      </x:c>
      <x:c r="I376" s="38" t="n">
        <x:f>ROUND(INDEX('Balance Inputs'!$L$2:$L$51,MATCH(A376,'Balance Inputs'!$I$2:$I$51,0))*POWER(INDEX('Balance Inputs'!$D$2:$D$7,MATCH(C376,'Balance Inputs'!$A$2:$A$7,0)),F376-1),0)</x:f>
        <x:v>583189</x:v>
      </x:c>
      <x:c r="J376" s="38" t="n">
        <x:f>ROUND(I376*INDEX('Balance Inputs'!$F$2:$F$7,MATCH(C376,'Balance Inputs'!$A$2:$A$7,0)),0)</x:f>
        <x:v>99142</x:v>
      </x:c>
      <x:c r="K376" s="38" t="n">
        <x:f>I376-J376</x:f>
        <x:v>484047</x:v>
      </x:c>
      <x:c r="L376" s="38" t="n">
        <x:f>ROUND(INDEX('Balance Inputs'!$M$2:$M$51,MATCH(A376,'Balance Inputs'!$I$2:$I$51,0))*POWER(INDEX('Balance Inputs'!$E$2:$E$7,MATCH(C376,'Balance Inputs'!$A$2:$A$7,0)),F376-1),0)</x:f>
        <x:v>400221</x:v>
      </x:c>
      <x:c r="M376" s="38" t="n">
        <x:f>ROUND(INDEX('Balance Inputs'!$N$2:$N$51,MATCH(A376,'Balance Inputs'!$I$2:$I$51,0))*POWER(INDEX('Balance Inputs'!$G$2:$G$7,MATCH(C376,'Balance Inputs'!$A$2:$A$7,0)),F376-1),0)</x:f>
        <x:v>41981</x:v>
      </x:c>
      <x:c r="N376" s="38" t="n">
        <x:f>IF(A376&lt;&gt;A375,H376,N375+H376)</x:f>
        <x:v>33045665</x:v>
      </x:c>
      <x:c r="O376" s="42" t="n">
        <x:f>IF(I376=0,0,H376/I376)</x:f>
        <x:v>28.831999574751926</x:v>
      </x:c>
      <x:c r="P376" s="43" t="n">
        <x:f>I376/INDEX('Balance Inputs'!$L$2:$L$51,MATCH(A376,'Balance Inputs'!$I$2:$I$51,0))</x:f>
        <x:v>1.9321002378727943</x:v>
      </x:c>
      <x:c r="Q376" s="43" t="n">
        <x:f>L376/INDEX('Balance Inputs'!$M$2:$M$51,MATCH(A376,'Balance Inputs'!$I$2:$I$51,0))</x:f>
        <x:v>1.876901071587685</x:v>
      </x:c>
      <x:c r="R376" s="17"/>
      <x:c r="S376" s="17"/>
      <x:c r="T376" s="17"/>
      <x:c r="U376" s="17"/>
      <x:c r="V376" s="17"/>
      <x:c r="W376" s="17"/>
      <x:c r="X376" s="17"/>
      <x:c r="Y376" s="17"/>
      <x:c r="Z376" s="17"/>
    </x:row>
    <x:row r="377">
      <x:c r="A377" s="17" t="n">
        <x:v>48</x:v>
      </x:c>
      <x:c r="B377" s="17" t="str">
        <x:v>Sovereign Fund Tower</x:v>
      </x:c>
      <x:c r="C377" s="17" t="str">
        <x:v>Tycoon</x:v>
      </x:c>
      <x:c r="D377" s="17" t="str">
        <x:v>Mythic</x:v>
      </x:c>
      <x:c r="E377" s="17" t="n">
        <x:v>48</x:v>
      </x:c>
      <x:c r="F377" s="17" t="n">
        <x:v>4</x:v>
      </x:c>
      <x:c r="G377" s="17" t="str">
        <x:v>Upgrade to Lv4</x:v>
      </x:c>
      <x:c r="H377" s="38" t="n">
        <x:f>ROUND(H376*INDEX('Balance Inputs'!$C$2:$C$7,MATCH(C377,'Balance Inputs'!$A$2:$A$7,0)),0)</x:f>
        <x:v>27912078</x:v>
      </x:c>
      <x:c r="I377" s="38" t="n">
        <x:f>ROUND(INDEX('Balance Inputs'!$L$2:$L$51,MATCH(A377,'Balance Inputs'!$I$2:$I$51,0))*POWER(INDEX('Balance Inputs'!$D$2:$D$7,MATCH(C377,'Balance Inputs'!$A$2:$A$7,0)),F377-1),0)</x:f>
        <x:v>810633</x:v>
      </x:c>
      <x:c r="J377" s="38" t="n">
        <x:f>ROUND(I377*INDEX('Balance Inputs'!$F$2:$F$7,MATCH(C377,'Balance Inputs'!$A$2:$A$7,0)),0)</x:f>
        <x:v>137808</x:v>
      </x:c>
      <x:c r="K377" s="38" t="n">
        <x:f>I377-J377</x:f>
        <x:v>672825</x:v>
      </x:c>
      <x:c r="L377" s="38" t="n">
        <x:f>ROUND(INDEX('Balance Inputs'!$M$2:$M$51,MATCH(A377,'Balance Inputs'!$I$2:$I$51,0))*POWER(INDEX('Balance Inputs'!$E$2:$E$7,MATCH(C377,'Balance Inputs'!$A$2:$A$7,0)),F377-1),0)</x:f>
        <x:v>548302</x:v>
      </x:c>
      <x:c r="M377" s="38" t="n">
        <x:f>ROUND(INDEX('Balance Inputs'!$N$2:$N$51,MATCH(A377,'Balance Inputs'!$I$2:$I$51,0))*POWER(INDEX('Balance Inputs'!$G$2:$G$7,MATCH(C377,'Balance Inputs'!$A$2:$A$7,0)),F377-1),0)</x:f>
        <x:v>52477</x:v>
      </x:c>
      <x:c r="N377" s="38" t="n">
        <x:f>IF(A377&lt;&gt;A376,H377,N376+H377)</x:f>
        <x:v>60957743</x:v>
      </x:c>
      <x:c r="O377" s="42" t="n">
        <x:f>IF(I377=0,0,H377/I377)</x:f>
        <x:v>34.43244723567879</x:v>
      </x:c>
      <x:c r="P377" s="43" t="n">
        <x:f>I377/INDEX('Balance Inputs'!$L$2:$L$51,MATCH(A377,'Balance Inputs'!$I$2:$I$51,0))</x:f>
        <x:v>2.685620291410738</x:v>
      </x:c>
      <x:c r="Q377" s="43" t="n">
        <x:f>L377/INDEX('Balance Inputs'!$M$2:$M$51,MATCH(A377,'Balance Inputs'!$I$2:$I$51,0))</x:f>
        <x:v>2.571350857035665</x:v>
      </x:c>
      <x:c r="R377" s="17"/>
      <x:c r="S377" s="17"/>
      <x:c r="T377" s="17"/>
      <x:c r="U377" s="17"/>
      <x:c r="V377" s="17"/>
      <x:c r="W377" s="17"/>
      <x:c r="X377" s="17"/>
      <x:c r="Y377" s="17"/>
      <x:c r="Z377" s="17"/>
    </x:row>
    <x:row r="378">
      <x:c r="A378" s="17" t="n">
        <x:v>48</x:v>
      </x:c>
      <x:c r="B378" s="17" t="str">
        <x:v>Sovereign Fund Tower</x:v>
      </x:c>
      <x:c r="C378" s="17" t="str">
        <x:v>Tycoon</x:v>
      </x:c>
      <x:c r="D378" s="17" t="str">
        <x:v>Mythic</x:v>
      </x:c>
      <x:c r="E378" s="17" t="n">
        <x:v>48</x:v>
      </x:c>
      <x:c r="F378" s="17" t="n">
        <x:v>5</x:v>
      </x:c>
      <x:c r="G378" s="17" t="str">
        <x:v>Upgrade to Lv5</x:v>
      </x:c>
      <x:c r="H378" s="38" t="n">
        <x:f>ROUND(H377*INDEX('Balance Inputs'!$C$2:$C$7,MATCH(C378,'Balance Inputs'!$A$2:$A$7,0)),0)</x:f>
        <x:v>46334049</x:v>
      </x:c>
      <x:c r="I378" s="38" t="n">
        <x:f>ROUND(INDEX('Balance Inputs'!$L$2:$L$51,MATCH(A378,'Balance Inputs'!$I$2:$I$51,0))*POWER(INDEX('Balance Inputs'!$D$2:$D$7,MATCH(C378,'Balance Inputs'!$A$2:$A$7,0)),F378-1),0)</x:f>
        <x:v>1126779</x:v>
      </x:c>
      <x:c r="J378" s="38" t="n">
        <x:f>ROUND(I378*INDEX('Balance Inputs'!$F$2:$F$7,MATCH(C378,'Balance Inputs'!$A$2:$A$7,0)),0)</x:f>
        <x:v>191552</x:v>
      </x:c>
      <x:c r="K378" s="38" t="n">
        <x:f>I378-J378</x:f>
        <x:v>935227</x:v>
      </x:c>
      <x:c r="L378" s="38" t="n">
        <x:f>ROUND(INDEX('Balance Inputs'!$M$2:$M$51,MATCH(A378,'Balance Inputs'!$I$2:$I$51,0))*POWER(INDEX('Balance Inputs'!$E$2:$E$7,MATCH(C378,'Balance Inputs'!$A$2:$A$7,0)),F378-1),0)</x:f>
        <x:v>751174</x:v>
      </x:c>
      <x:c r="M378" s="38" t="n">
        <x:f>ROUND(INDEX('Balance Inputs'!$N$2:$N$51,MATCH(A378,'Balance Inputs'!$I$2:$I$51,0))*POWER(INDEX('Balance Inputs'!$G$2:$G$7,MATCH(C378,'Balance Inputs'!$A$2:$A$7,0)),F378-1),0)</x:f>
        <x:v>65596</x:v>
      </x:c>
      <x:c r="N378" s="38" t="n">
        <x:f>IF(A378&lt;&gt;A377,H378,N377+H378)</x:f>
        <x:v>107291792</x:v>
      </x:c>
      <x:c r="O378" s="42" t="n">
        <x:f>IF(I378=0,0,H378/I378)</x:f>
        <x:v>41.1207956484812</x:v>
      </x:c>
      <x:c r="P378" s="43" t="n">
        <x:f>I378/INDEX('Balance Inputs'!$L$2:$L$51,MATCH(A378,'Balance Inputs'!$I$2:$I$51,0))</x:f>
        <x:v>3.733009322758264</x:v>
      </x:c>
      <x:c r="Q378" s="43" t="n">
        <x:f>L378/INDEX('Balance Inputs'!$M$2:$M$51,MATCH(A378,'Balance Inputs'!$I$2:$I$51,0))</x:f>
        <x:v>3.5227518934508875</x:v>
      </x:c>
      <x:c r="R378" s="17"/>
      <x:c r="S378" s="17"/>
      <x:c r="T378" s="17"/>
      <x:c r="U378" s="17"/>
      <x:c r="V378" s="17"/>
      <x:c r="W378" s="17"/>
      <x:c r="X378" s="17"/>
      <x:c r="Y378" s="17"/>
      <x:c r="Z378" s="17"/>
    </x:row>
    <x:row r="379">
      <x:c r="A379" s="17" t="n">
        <x:v>48</x:v>
      </x:c>
      <x:c r="B379" s="17" t="str">
        <x:v>Sovereign Fund Tower</x:v>
      </x:c>
      <x:c r="C379" s="17" t="str">
        <x:v>Tycoon</x:v>
      </x:c>
      <x:c r="D379" s="17" t="str">
        <x:v>Mythic</x:v>
      </x:c>
      <x:c r="E379" s="17" t="n">
        <x:v>48</x:v>
      </x:c>
      <x:c r="F379" s="17" t="n">
        <x:v>6</x:v>
      </x:c>
      <x:c r="G379" s="17" t="str">
        <x:v>Upgrade to Lv6</x:v>
      </x:c>
      <x:c r="H379" s="38" t="n">
        <x:f>ROUND(H378*INDEX('Balance Inputs'!$C$2:$C$7,MATCH(C379,'Balance Inputs'!$A$2:$A$7,0)),0)</x:f>
        <x:v>76914521</x:v>
      </x:c>
      <x:c r="I379" s="38" t="n">
        <x:f>ROUND(INDEX('Balance Inputs'!$L$2:$L$51,MATCH(A379,'Balance Inputs'!$I$2:$I$51,0))*POWER(INDEX('Balance Inputs'!$D$2:$D$7,MATCH(C379,'Balance Inputs'!$A$2:$A$7,0)),F379-1),0)</x:f>
        <x:v>1566223</x:v>
      </x:c>
      <x:c r="J379" s="38" t="n">
        <x:f>ROUND(I379*INDEX('Balance Inputs'!$F$2:$F$7,MATCH(C379,'Balance Inputs'!$A$2:$A$7,0)),0)</x:f>
        <x:v>266258</x:v>
      </x:c>
      <x:c r="K379" s="38" t="n">
        <x:f>I379-J379</x:f>
        <x:v>1299965</x:v>
      </x:c>
      <x:c r="L379" s="38" t="n">
        <x:f>ROUND(INDEX('Balance Inputs'!$M$2:$M$51,MATCH(A379,'Balance Inputs'!$I$2:$I$51,0))*POWER(INDEX('Balance Inputs'!$E$2:$E$7,MATCH(C379,'Balance Inputs'!$A$2:$A$7,0)),F379-1),0)</x:f>
        <x:v>1029109</x:v>
      </x:c>
      <x:c r="M379" s="38" t="n">
        <x:f>ROUND(INDEX('Balance Inputs'!$N$2:$N$51,MATCH(A379,'Balance Inputs'!$I$2:$I$51,0))*POWER(INDEX('Balance Inputs'!$G$2:$G$7,MATCH(C379,'Balance Inputs'!$A$2:$A$7,0)),F379-1),0)</x:f>
        <x:v>81995</x:v>
      </x:c>
      <x:c r="N379" s="38" t="n">
        <x:f>IF(A379&lt;&gt;A378,H379,N378+H379)</x:f>
        <x:v>184206313</x:v>
      </x:c>
      <x:c r="O379" s="42" t="n">
        <x:f>IF(I379=0,0,H379/I379)</x:f>
        <x:v>49.10828215394615</x:v>
      </x:c>
      <x:c r="P379" s="43" t="n">
        <x:f>I379/INDEX('Balance Inputs'!$L$2:$L$51,MATCH(A379,'Balance Inputs'!$I$2:$I$51,0))</x:f>
        <x:v>5.188883588102384</x:v>
      </x:c>
      <x:c r="Q379" s="43" t="n">
        <x:f>L379/INDEX('Balance Inputs'!$M$2:$M$51,MATCH(A379,'Balance Inputs'!$I$2:$I$51,0))</x:f>
        <x:v>4.826173001617933</x:v>
      </x:c>
      <x:c r="R379" s="17"/>
      <x:c r="S379" s="17"/>
      <x:c r="T379" s="17"/>
      <x:c r="U379" s="17"/>
      <x:c r="V379" s="17"/>
      <x:c r="W379" s="17"/>
      <x:c r="X379" s="17"/>
      <x:c r="Y379" s="17"/>
      <x:c r="Z379" s="17"/>
    </x:row>
    <x:row r="380">
      <x:c r="A380" s="17" t="n">
        <x:v>48</x:v>
      </x:c>
      <x:c r="B380" s="17" t="str">
        <x:v>Sovereign Fund Tower</x:v>
      </x:c>
      <x:c r="C380" s="17" t="str">
        <x:v>Tycoon</x:v>
      </x:c>
      <x:c r="D380" s="17" t="str">
        <x:v>Mythic</x:v>
      </x:c>
      <x:c r="E380" s="17" t="n">
        <x:v>48</x:v>
      </x:c>
      <x:c r="F380" s="17" t="n">
        <x:v>7</x:v>
      </x:c>
      <x:c r="G380" s="17" t="str">
        <x:v>Upgrade to Lv7</x:v>
      </x:c>
      <x:c r="H380" s="38" t="n">
        <x:f>ROUND(H379*INDEX('Balance Inputs'!$C$2:$C$7,MATCH(C380,'Balance Inputs'!$A$2:$A$7,0)),0)</x:f>
        <x:v>127678105</x:v>
      </x:c>
      <x:c r="I380" s="38" t="n">
        <x:f>ROUND(INDEX('Balance Inputs'!$L$2:$L$51,MATCH(A380,'Balance Inputs'!$I$2:$I$51,0))*POWER(INDEX('Balance Inputs'!$D$2:$D$7,MATCH(C380,'Balance Inputs'!$A$2:$A$7,0)),F380-1),0)</x:f>
        <x:v>2177050</x:v>
      </x:c>
      <x:c r="J380" s="38" t="n">
        <x:f>ROUND(I380*INDEX('Balance Inputs'!$F$2:$F$7,MATCH(C380,'Balance Inputs'!$A$2:$A$7,0)),0)</x:f>
        <x:v>370099</x:v>
      </x:c>
      <x:c r="K380" s="38" t="n">
        <x:f>I380-J380</x:f>
        <x:v>1806951</x:v>
      </x:c>
      <x:c r="L380" s="38" t="n">
        <x:f>ROUND(INDEX('Balance Inputs'!$M$2:$M$51,MATCH(A380,'Balance Inputs'!$I$2:$I$51,0))*POWER(INDEX('Balance Inputs'!$E$2:$E$7,MATCH(C380,'Balance Inputs'!$A$2:$A$7,0)),F380-1),0)</x:f>
        <x:v>1409879</x:v>
      </x:c>
      <x:c r="M380" s="38" t="n">
        <x:f>ROUND(INDEX('Balance Inputs'!$N$2:$N$51,MATCH(A380,'Balance Inputs'!$I$2:$I$51,0))*POWER(INDEX('Balance Inputs'!$G$2:$G$7,MATCH(C380,'Balance Inputs'!$A$2:$A$7,0)),F380-1),0)</x:f>
        <x:v>102493</x:v>
      </x:c>
      <x:c r="N380" s="38" t="n">
        <x:f>IF(A380&lt;&gt;A379,H380,N379+H380)</x:f>
        <x:v>311884418</x:v>
      </x:c>
      <x:c r="O380" s="42" t="n">
        <x:f>IF(I380=0,0,H380/I380)</x:f>
        <x:v>58.64730024574539</x:v>
      </x:c>
      <x:c r="P380" s="43" t="n">
        <x:f>I380/INDEX('Balance Inputs'!$L$2:$L$51,MATCH(A380,'Balance Inputs'!$I$2:$I$51,0))</x:f>
        <x:v>7.212548286852062</x:v>
      </x:c>
      <x:c r="Q380" s="43" t="n">
        <x:f>L380/INDEX('Balance Inputs'!$M$2:$M$51,MATCH(A380,'Balance Inputs'!$I$2:$I$51,0))</x:f>
        <x:v>6.611855464628227</x:v>
      </x:c>
      <x:c r="R380" s="17"/>
      <x:c r="S380" s="17"/>
      <x:c r="T380" s="17"/>
      <x:c r="U380" s="17"/>
      <x:c r="V380" s="17"/>
      <x:c r="W380" s="17"/>
      <x:c r="X380" s="17"/>
      <x:c r="Y380" s="17"/>
      <x:c r="Z380" s="17"/>
    </x:row>
    <x:row r="381">
      <x:c r="A381" s="17" t="n">
        <x:v>48</x:v>
      </x:c>
      <x:c r="B381" s="17" t="str">
        <x:v>Sovereign Fund Tower</x:v>
      </x:c>
      <x:c r="C381" s="17" t="str">
        <x:v>Tycoon</x:v>
      </x:c>
      <x:c r="D381" s="17" t="str">
        <x:v>Mythic</x:v>
      </x:c>
      <x:c r="E381" s="17" t="n">
        <x:v>48</x:v>
      </x:c>
      <x:c r="F381" s="17" t="n">
        <x:v>8</x:v>
      </x:c>
      <x:c r="G381" s="17" t="str">
        <x:v>Upgrade to Lv8</x:v>
      </x:c>
      <x:c r="H381" s="38" t="n">
        <x:f>ROUND(H380*INDEX('Balance Inputs'!$C$2:$C$7,MATCH(C381,'Balance Inputs'!$A$2:$A$7,0)),0)</x:f>
        <x:v>211945654</x:v>
      </x:c>
      <x:c r="I381" s="38" t="n">
        <x:f>ROUND(INDEX('Balance Inputs'!$L$2:$L$51,MATCH(A381,'Balance Inputs'!$I$2:$I$51,0))*POWER(INDEX('Balance Inputs'!$D$2:$D$7,MATCH(C381,'Balance Inputs'!$A$2:$A$7,0)),F381-1),0)</x:f>
        <x:v>3026100</x:v>
      </x:c>
      <x:c r="J381" s="38" t="n">
        <x:f>ROUND(I381*INDEX('Balance Inputs'!$F$2:$F$7,MATCH(C381,'Balance Inputs'!$A$2:$A$7,0)),0)</x:f>
        <x:v>514437</x:v>
      </x:c>
      <x:c r="K381" s="38" t="n">
        <x:f>I381-J381</x:f>
        <x:v>2511663</x:v>
      </x:c>
      <x:c r="L381" s="38" t="n">
        <x:f>ROUND(INDEX('Balance Inputs'!$M$2:$M$51,MATCH(A381,'Balance Inputs'!$I$2:$I$51,0))*POWER(INDEX('Balance Inputs'!$E$2:$E$7,MATCH(C381,'Balance Inputs'!$A$2:$A$7,0)),F381-1),0)</x:f>
        <x:v>1931534</x:v>
      </x:c>
      <x:c r="M381" s="38" t="n">
        <x:f>ROUND(INDEX('Balance Inputs'!$N$2:$N$51,MATCH(A381,'Balance Inputs'!$I$2:$I$51,0))*POWER(INDEX('Balance Inputs'!$G$2:$G$7,MATCH(C381,'Balance Inputs'!$A$2:$A$7,0)),F381-1),0)</x:f>
        <x:v>128117</x:v>
      </x:c>
      <x:c r="N381" s="38" t="n">
        <x:f>IF(A381&lt;&gt;A380,H381,N380+H381)</x:f>
        <x:v>523830072</x:v>
      </x:c>
      <x:c r="O381" s="42" t="n">
        <x:f>IF(I381=0,0,H381/I381)</x:f>
        <x:v>70.03921020455371</x:v>
      </x:c>
      <x:c r="P381" s="43" t="n">
        <x:f>I381/INDEX('Balance Inputs'!$L$2:$L$51,MATCH(A381,'Balance Inputs'!$I$2:$I$51,0))</x:f>
        <x:v>10.025443775220149</x:v>
      </x:c>
      <x:c r="Q381" s="43" t="n">
        <x:f>L381/INDEX('Balance Inputs'!$M$2:$M$51,MATCH(A381,'Balance Inputs'!$I$2:$I$51,0))</x:f>
        <x:v>9.058240907918494</x:v>
      </x:c>
      <x:c r="R381" s="17"/>
      <x:c r="S381" s="17"/>
      <x:c r="T381" s="17"/>
      <x:c r="U381" s="17"/>
      <x:c r="V381" s="17"/>
      <x:c r="W381" s="17"/>
      <x:c r="X381" s="17"/>
      <x:c r="Y381" s="17"/>
      <x:c r="Z381" s="17"/>
    </x:row>
    <x:row r="382">
      <x:c r="A382" s="17" t="n">
        <x:v>48</x:v>
      </x:c>
      <x:c r="B382" s="17" t="str">
        <x:v>Sovereign Fund Tower</x:v>
      </x:c>
      <x:c r="C382" s="17" t="str">
        <x:v>Tycoon</x:v>
      </x:c>
      <x:c r="D382" s="17" t="str">
        <x:v>Mythic</x:v>
      </x:c>
      <x:c r="E382" s="17" t="n">
        <x:v>48</x:v>
      </x:c>
      <x:c r="F382" s="17" t="n">
        <x:v>9</x:v>
      </x:c>
      <x:c r="G382" s="17" t="str">
        <x:v>Upgrade to Lv9</x:v>
      </x:c>
      <x:c r="H382" s="38" t="n">
        <x:f>ROUND(H381*INDEX('Balance Inputs'!$C$2:$C$7,MATCH(C382,'Balance Inputs'!$A$2:$A$7,0)),0)</x:f>
        <x:v>351829786</x:v>
      </x:c>
      <x:c r="I382" s="38" t="n">
        <x:f>ROUND(INDEX('Balance Inputs'!$L$2:$L$51,MATCH(A382,'Balance Inputs'!$I$2:$I$51,0))*POWER(INDEX('Balance Inputs'!$D$2:$D$7,MATCH(C382,'Balance Inputs'!$A$2:$A$7,0)),F382-1),0)</x:f>
        <x:v>4206279</x:v>
      </x:c>
      <x:c r="J382" s="38" t="n">
        <x:f>ROUND(I382*INDEX('Balance Inputs'!$F$2:$F$7,MATCH(C382,'Balance Inputs'!$A$2:$A$7,0)),0)</x:f>
        <x:v>715067</x:v>
      </x:c>
      <x:c r="K382" s="38" t="n">
        <x:f>I382-J382</x:f>
        <x:v>3491212</x:v>
      </x:c>
      <x:c r="L382" s="38" t="n">
        <x:f>ROUND(INDEX('Balance Inputs'!$M$2:$M$51,MATCH(A382,'Balance Inputs'!$I$2:$I$51,0))*POWER(INDEX('Balance Inputs'!$E$2:$E$7,MATCH(C382,'Balance Inputs'!$A$2:$A$7,0)),F382-1),0)</x:f>
        <x:v>2646202</x:v>
      </x:c>
      <x:c r="M382" s="38" t="n">
        <x:f>ROUND(INDEX('Balance Inputs'!$N$2:$N$51,MATCH(A382,'Balance Inputs'!$I$2:$I$51,0))*POWER(INDEX('Balance Inputs'!$G$2:$G$7,MATCH(C382,'Balance Inputs'!$A$2:$A$7,0)),F382-1),0)</x:f>
        <x:v>160146</x:v>
      </x:c>
      <x:c r="N382" s="38" t="n">
        <x:f>IF(A382&lt;&gt;A381,H382,N381+H382)</x:f>
        <x:v>875659858</x:v>
      </x:c>
      <x:c r="O382" s="42" t="n">
        <x:f>IF(I382=0,0,H382/I382)</x:f>
        <x:v>83.64394896296703</x:v>
      </x:c>
      <x:c r="P382" s="43" t="n">
        <x:f>I382/INDEX('Balance Inputs'!$L$2:$L$51,MATCH(A382,'Balance Inputs'!$I$2:$I$51,0))</x:f>
        <x:v>13.935366847556006</x:v>
      </x:c>
      <x:c r="Q382" s="43" t="n">
        <x:f>L382/INDEX('Balance Inputs'!$M$2:$M$51,MATCH(A382,'Balance Inputs'!$I$2:$I$51,0))</x:f>
        <x:v>12.409792013506225</x:v>
      </x:c>
      <x:c r="R382" s="17"/>
      <x:c r="S382" s="17"/>
      <x:c r="T382" s="17"/>
      <x:c r="U382" s="17"/>
      <x:c r="V382" s="17"/>
      <x:c r="W382" s="17"/>
      <x:c r="X382" s="17"/>
      <x:c r="Y382" s="17"/>
      <x:c r="Z382" s="17"/>
    </x:row>
    <x:row r="383">
      <x:c r="A383" s="17" t="n">
        <x:v>48</x:v>
      </x:c>
      <x:c r="B383" s="17" t="str">
        <x:v>Sovereign Fund Tower</x:v>
      </x:c>
      <x:c r="C383" s="17" t="str">
        <x:v>Tycoon</x:v>
      </x:c>
      <x:c r="D383" s="17" t="str">
        <x:v>Mythic</x:v>
      </x:c>
      <x:c r="E383" s="17" t="n">
        <x:v>48</x:v>
      </x:c>
      <x:c r="F383" s="17" t="n">
        <x:v>10</x:v>
      </x:c>
      <x:c r="G383" s="17" t="str">
        <x:v>Upgrade to Lv10</x:v>
      </x:c>
      <x:c r="H383" s="38" t="n">
        <x:f>ROUND(H382*INDEX('Balance Inputs'!$C$2:$C$7,MATCH(C383,'Balance Inputs'!$A$2:$A$7,0)),0)</x:f>
        <x:v>584037445</x:v>
      </x:c>
      <x:c r="I383" s="38" t="n">
        <x:f>ROUND(INDEX('Balance Inputs'!$L$2:$L$51,MATCH(A383,'Balance Inputs'!$I$2:$I$51,0))*POWER(INDEX('Balance Inputs'!$D$2:$D$7,MATCH(C383,'Balance Inputs'!$A$2:$A$7,0)),F383-1),0)</x:f>
        <x:v>5846728</x:v>
      </x:c>
      <x:c r="J383" s="38" t="n">
        <x:f>ROUND(I383*INDEX('Balance Inputs'!$F$2:$F$7,MATCH(C383,'Balance Inputs'!$A$2:$A$7,0)),0)</x:f>
        <x:v>993944</x:v>
      </x:c>
      <x:c r="K383" s="38" t="n">
        <x:f>I383-J383</x:f>
        <x:v>4852784</x:v>
      </x:c>
      <x:c r="L383" s="38" t="n">
        <x:f>ROUND(INDEX('Balance Inputs'!$M$2:$M$51,MATCH(A383,'Balance Inputs'!$I$2:$I$51,0))*POWER(INDEX('Balance Inputs'!$E$2:$E$7,MATCH(C383,'Balance Inputs'!$A$2:$A$7,0)),F383-1),0)</x:f>
        <x:v>3625297</x:v>
      </x:c>
      <x:c r="M383" s="38" t="n">
        <x:f>ROUND(INDEX('Balance Inputs'!$N$2:$N$51,MATCH(A383,'Balance Inputs'!$I$2:$I$51,0))*POWER(INDEX('Balance Inputs'!$G$2:$G$7,MATCH(C383,'Balance Inputs'!$A$2:$A$7,0)),F383-1),0)</x:f>
        <x:v>200182</x:v>
      </x:c>
      <x:c r="N383" s="38" t="n">
        <x:f>IF(A383&lt;&gt;A382,H383,N382+H383)</x:f>
        <x:v>1459697303</x:v>
      </x:c>
      <x:c r="O383" s="42" t="n">
        <x:f>IF(I383=0,0,H383/I383)</x:f>
        <x:v>99.89133152765102</x:v>
      </x:c>
      <x:c r="P383" s="43" t="n">
        <x:f>I383/INDEX('Balance Inputs'!$L$2:$L$51,MATCH(A383,'Balance Inputs'!$I$2:$I$51,0))</x:f>
        <x:v>19.370160547571246</x:v>
      </x:c>
      <x:c r="Q383" s="43" t="n">
        <x:f>L383/INDEX('Balance Inputs'!$M$2:$M$51,MATCH(A383,'Balance Inputs'!$I$2:$I$51,0))</x:f>
        <x:v>17.001416277815554</x:v>
      </x:c>
      <x:c r="R383" s="17"/>
      <x:c r="S383" s="17"/>
      <x:c r="T383" s="17"/>
      <x:c r="U383" s="17"/>
      <x:c r="V383" s="17"/>
      <x:c r="W383" s="17"/>
      <x:c r="X383" s="17"/>
      <x:c r="Y383" s="17"/>
      <x:c r="Z383" s="17"/>
    </x:row>
    <x:row r="384">
      <x:c r="A384" s="17" t="n">
        <x:v>48</x:v>
      </x:c>
      <x:c r="B384" s="17" t="str">
        <x:v>Sovereign Fund Tower</x:v>
      </x:c>
      <x:c r="C384" s="17" t="str">
        <x:v>Tycoon</x:v>
      </x:c>
      <x:c r="D384" s="17" t="str">
        <x:v>Mythic</x:v>
      </x:c>
      <x:c r="E384" s="17" t="n">
        <x:v>48</x:v>
      </x:c>
      <x:c r="F384" s="17" t="n">
        <x:v>11</x:v>
      </x:c>
      <x:c r="G384" s="17" t="str">
        <x:v>Upgrade to Lv11</x:v>
      </x:c>
      <x:c r="H384" s="38" t="n">
        <x:f>ROUND(H383*INDEX('Balance Inputs'!$C$2:$C$7,MATCH(C384,'Balance Inputs'!$A$2:$A$7,0)),0)</x:f>
        <x:v>969502159</x:v>
      </x:c>
      <x:c r="I384" s="38" t="n">
        <x:f>ROUND(INDEX('Balance Inputs'!$L$2:$L$51,MATCH(A384,'Balance Inputs'!$I$2:$I$51,0))*POWER(INDEX('Balance Inputs'!$D$2:$D$7,MATCH(C384,'Balance Inputs'!$A$2:$A$7,0)),F384-1),0)</x:f>
        <x:v>8126952</x:v>
      </x:c>
      <x:c r="J384" s="38" t="n">
        <x:f>ROUND(I384*INDEX('Balance Inputs'!$F$2:$F$7,MATCH(C384,'Balance Inputs'!$A$2:$A$7,0)),0)</x:f>
        <x:v>1381582</x:v>
      </x:c>
      <x:c r="K384" s="38" t="n">
        <x:f>I384-J384</x:f>
        <x:v>6745370</x:v>
      </x:c>
      <x:c r="L384" s="38" t="n">
        <x:f>ROUND(INDEX('Balance Inputs'!$M$2:$M$51,MATCH(A384,'Balance Inputs'!$I$2:$I$51,0))*POWER(INDEX('Balance Inputs'!$E$2:$E$7,MATCH(C384,'Balance Inputs'!$A$2:$A$7,0)),F384-1),0)</x:f>
        <x:v>4966657</x:v>
      </x:c>
      <x:c r="M384" s="38" t="n">
        <x:f>ROUND(INDEX('Balance Inputs'!$N$2:$N$51,MATCH(A384,'Balance Inputs'!$I$2:$I$51,0))*POWER(INDEX('Balance Inputs'!$G$2:$G$7,MATCH(C384,'Balance Inputs'!$A$2:$A$7,0)),F384-1),0)</x:f>
        <x:v>250228</x:v>
      </x:c>
      <x:c r="N384" s="38" t="n">
        <x:f>IF(A384&lt;&gt;A383,H384,N383+H384)</x:f>
        <x:v>2429199462</x:v>
      </x:c>
      <x:c r="O384" s="42" t="n">
        <x:f>IF(I384=0,0,H384/I384)</x:f>
        <x:v>119.29468255749511</x:v>
      </x:c>
      <x:c r="P384" s="43" t="n">
        <x:f>I384/INDEX('Balance Inputs'!$L$2:$L$51,MATCH(A384,'Balance Inputs'!$I$2:$I$51,0))</x:f>
        <x:v>26.924523426163358</x:v>
      </x:c>
      <x:c r="Q384" s="43" t="n">
        <x:f>L384/INDEX('Balance Inputs'!$M$2:$M$51,MATCH(A384,'Balance Inputs'!$I$2:$I$51,0))</x:f>
        <x:v>23.291940816470092</x:v>
      </x:c>
      <x:c r="R384" s="17"/>
      <x:c r="S384" s="17"/>
      <x:c r="T384" s="17"/>
      <x:c r="U384" s="17"/>
      <x:c r="V384" s="17"/>
      <x:c r="W384" s="17"/>
      <x:c r="X384" s="17"/>
      <x:c r="Y384" s="17"/>
      <x:c r="Z384" s="17"/>
    </x:row>
    <x:row r="385">
      <x:c r="A385" s="17" t="n">
        <x:v>49</x:v>
      </x:c>
      <x:c r="B385" s="17" t="str">
        <x:v>World Financial Exchange</x:v>
      </x:c>
      <x:c r="C385" s="17" t="str">
        <x:v>Tycoon</x:v>
      </x:c>
      <x:c r="D385" s="17" t="str">
        <x:v>Mythic</x:v>
      </x:c>
      <x:c r="E385" s="17" t="n">
        <x:v>49</x:v>
      </x:c>
      <x:c r="F385" s="17" t="n">
        <x:v>1</x:v>
      </x:c>
      <x:c r="G385" s="17" t="str">
        <x:v>Build</x:v>
      </x:c>
      <x:c r="H385" s="38" t="n">
        <x:f>INDEX('Balance Inputs'!$K$2:$K$51,MATCH(A385,'Balance Inputs'!$I$2:$I$51,0))</x:f>
        <x:v>7535900</x:v>
      </x:c>
      <x:c r="I385" s="38" t="n">
        <x:f>ROUND(INDEX('Balance Inputs'!$L$2:$L$51,MATCH(A385,'Balance Inputs'!$I$2:$I$51,0))*POWER(INDEX('Balance Inputs'!$D$2:$D$7,MATCH(C385,'Balance Inputs'!$A$2:$A$7,0)),F385-1),0)</x:f>
        <x:v>388694</x:v>
      </x:c>
      <x:c r="J385" s="38" t="n">
        <x:f>ROUND(I385*INDEX('Balance Inputs'!$F$2:$F$7,MATCH(C385,'Balance Inputs'!$A$2:$A$7,0)),0)</x:f>
        <x:v>66078</x:v>
      </x:c>
      <x:c r="K385" s="38" t="n">
        <x:f>I385-J385</x:f>
        <x:v>322616</x:v>
      </x:c>
      <x:c r="L385" s="38" t="n">
        <x:f>ROUND(INDEX('Balance Inputs'!$M$2:$M$51,MATCH(A385,'Balance Inputs'!$I$2:$I$51,0))*POWER(INDEX('Balance Inputs'!$E$2:$E$7,MATCH(C385,'Balance Inputs'!$A$2:$A$7,0)),F385-1),0)</x:f>
        <x:v>253750</x:v>
      </x:c>
      <x:c r="M385" s="38" t="n">
        <x:f>ROUND(INDEX('Balance Inputs'!$N$2:$N$51,MATCH(A385,'Balance Inputs'!$I$2:$I$51,0))*POWER(INDEX('Balance Inputs'!$G$2:$G$7,MATCH(C385,'Balance Inputs'!$A$2:$A$7,0)),F385-1),0)</x:f>
        <x:v>38062</x:v>
      </x:c>
      <x:c r="N385" s="38" t="n">
        <x:f>IF(A385&lt;&gt;A384,H385,N384+H385)</x:f>
        <x:v>7535900</x:v>
      </x:c>
      <x:c r="O385" s="42" t="n">
        <x:f>IF(I385=0,0,H385/I385)</x:f>
        <x:v>19.38774460115155</x:v>
      </x:c>
      <x:c r="P385" s="43" t="n">
        <x:f>I385/INDEX('Balance Inputs'!$L$2:$L$51,MATCH(A385,'Balance Inputs'!$I$2:$I$51,0))</x:f>
        <x:v>1</x:v>
      </x:c>
      <x:c r="Q385" s="43" t="n">
        <x:f>L385/INDEX('Balance Inputs'!$M$2:$M$51,MATCH(A385,'Balance Inputs'!$I$2:$I$51,0))</x:f>
        <x:v>1</x:v>
      </x:c>
      <x:c r="R385" s="17"/>
      <x:c r="S385" s="17"/>
      <x:c r="T385" s="17"/>
      <x:c r="U385" s="17"/>
      <x:c r="V385" s="17"/>
      <x:c r="W385" s="17"/>
      <x:c r="X385" s="17"/>
      <x:c r="Y385" s="17"/>
      <x:c r="Z385" s="17"/>
    </x:row>
    <x:row r="386">
      <x:c r="A386" s="17" t="n">
        <x:v>49</x:v>
      </x:c>
      <x:c r="B386" s="17" t="str">
        <x:v>World Financial Exchange</x:v>
      </x:c>
      <x:c r="C386" s="17" t="str">
        <x:v>Tycoon</x:v>
      </x:c>
      <x:c r="D386" s="17" t="str">
        <x:v>Mythic</x:v>
      </x:c>
      <x:c r="E386" s="17" t="n">
        <x:v>49</x:v>
      </x:c>
      <x:c r="F386" s="17" t="n">
        <x:v>2</x:v>
      </x:c>
      <x:c r="G386" s="17" t="str">
        <x:v>Upgrade to Lv2</x:v>
      </x:c>
      <x:c r="H386" s="38" t="n">
        <x:f>ROUND(H385*INDEX('Balance Inputs'!$C$2:$C$7,MATCH(C386,'Balance Inputs'!$A$2:$A$7,0)),0)</x:f>
        <x:v>12509594</x:v>
      </x:c>
      <x:c r="I386" s="38" t="n">
        <x:f>ROUND(INDEX('Balance Inputs'!$L$2:$L$51,MATCH(A386,'Balance Inputs'!$I$2:$I$51,0))*POWER(INDEX('Balance Inputs'!$D$2:$D$7,MATCH(C386,'Balance Inputs'!$A$2:$A$7,0)),F386-1),0)</x:f>
        <x:v>540285</x:v>
      </x:c>
      <x:c r="J386" s="38" t="n">
        <x:f>ROUND(I386*INDEX('Balance Inputs'!$F$2:$F$7,MATCH(C386,'Balance Inputs'!$A$2:$A$7,0)),0)</x:f>
        <x:v>91848</x:v>
      </x:c>
      <x:c r="K386" s="38" t="n">
        <x:f>I386-J386</x:f>
        <x:v>448437</x:v>
      </x:c>
      <x:c r="L386" s="38" t="n">
        <x:f>ROUND(INDEX('Balance Inputs'!$M$2:$M$51,MATCH(A386,'Balance Inputs'!$I$2:$I$51,0))*POWER(INDEX('Balance Inputs'!$E$2:$E$7,MATCH(C386,'Balance Inputs'!$A$2:$A$7,0)),F386-1),0)</x:f>
        <x:v>347638</x:v>
      </x:c>
      <x:c r="M386" s="38" t="n">
        <x:f>ROUND(INDEX('Balance Inputs'!$N$2:$N$51,MATCH(A386,'Balance Inputs'!$I$2:$I$51,0))*POWER(INDEX('Balance Inputs'!$G$2:$G$7,MATCH(C386,'Balance Inputs'!$A$2:$A$7,0)),F386-1),0)</x:f>
        <x:v>47578</x:v>
      </x:c>
      <x:c r="N386" s="38" t="n">
        <x:f>IF(A386&lt;&gt;A385,H386,N385+H386)</x:f>
        <x:v>20045494</x:v>
      </x:c>
      <x:c r="O386" s="42" t="n">
        <x:f>IF(I386=0,0,H386/I386)</x:f>
        <x:v>23.153694809221058</x:v>
      </x:c>
      <x:c r="P386" s="43" t="n">
        <x:f>I386/INDEX('Balance Inputs'!$L$2:$L$51,MATCH(A386,'Balance Inputs'!$I$2:$I$51,0))</x:f>
        <x:v>1.390000874724076</x:v>
      </x:c>
      <x:c r="Q386" s="43" t="n">
        <x:f>L386/INDEX('Balance Inputs'!$M$2:$M$51,MATCH(A386,'Balance Inputs'!$I$2:$I$51,0))</x:f>
        <x:v>1.3700019704433497</x:v>
      </x:c>
      <x:c r="R386" s="17"/>
      <x:c r="S386" s="17"/>
      <x:c r="T386" s="17"/>
      <x:c r="U386" s="17"/>
      <x:c r="V386" s="17"/>
      <x:c r="W386" s="17"/>
      <x:c r="X386" s="17"/>
      <x:c r="Y386" s="17"/>
      <x:c r="Z386" s="17"/>
    </x:row>
    <x:row r="387">
      <x:c r="A387" s="17" t="n">
        <x:v>49</x:v>
      </x:c>
      <x:c r="B387" s="17" t="str">
        <x:v>World Financial Exchange</x:v>
      </x:c>
      <x:c r="C387" s="17" t="str">
        <x:v>Tycoon</x:v>
      </x:c>
      <x:c r="D387" s="17" t="str">
        <x:v>Mythic</x:v>
      </x:c>
      <x:c r="E387" s="17" t="n">
        <x:v>49</x:v>
      </x:c>
      <x:c r="F387" s="17" t="n">
        <x:v>3</x:v>
      </x:c>
      <x:c r="G387" s="17" t="str">
        <x:v>Upgrade to Lv3</x:v>
      </x:c>
      <x:c r="H387" s="38" t="n">
        <x:f>ROUND(H386*INDEX('Balance Inputs'!$C$2:$C$7,MATCH(C387,'Balance Inputs'!$A$2:$A$7,0)),0)</x:f>
        <x:v>20765926</x:v>
      </x:c>
      <x:c r="I387" s="38" t="n">
        <x:f>ROUND(INDEX('Balance Inputs'!$L$2:$L$51,MATCH(A387,'Balance Inputs'!$I$2:$I$51,0))*POWER(INDEX('Balance Inputs'!$D$2:$D$7,MATCH(C387,'Balance Inputs'!$A$2:$A$7,0)),F387-1),0)</x:f>
        <x:v>750996</x:v>
      </x:c>
      <x:c r="J387" s="38" t="n">
        <x:f>ROUND(I387*INDEX('Balance Inputs'!$F$2:$F$7,MATCH(C387,'Balance Inputs'!$A$2:$A$7,0)),0)</x:f>
        <x:v>127669</x:v>
      </x:c>
      <x:c r="K387" s="38" t="n">
        <x:f>I387-J387</x:f>
        <x:v>623327</x:v>
      </x:c>
      <x:c r="L387" s="38" t="n">
        <x:f>ROUND(INDEX('Balance Inputs'!$M$2:$M$51,MATCH(A387,'Balance Inputs'!$I$2:$I$51,0))*POWER(INDEX('Balance Inputs'!$E$2:$E$7,MATCH(C387,'Balance Inputs'!$A$2:$A$7,0)),F387-1),0)</x:f>
        <x:v>476263</x:v>
      </x:c>
      <x:c r="M387" s="38" t="n">
        <x:f>ROUND(INDEX('Balance Inputs'!$N$2:$N$51,MATCH(A387,'Balance Inputs'!$I$2:$I$51,0))*POWER(INDEX('Balance Inputs'!$G$2:$G$7,MATCH(C387,'Balance Inputs'!$A$2:$A$7,0)),F387-1),0)</x:f>
        <x:v>59472</x:v>
      </x:c>
      <x:c r="N387" s="38" t="n">
        <x:f>IF(A387&lt;&gt;A386,H387,N386+H387)</x:f>
        <x:v>40811420</x:v>
      </x:c>
      <x:c r="O387" s="42" t="n">
        <x:f>IF(I387=0,0,H387/I387)</x:f>
        <x:v>27.651180565542294</x:v>
      </x:c>
      <x:c r="P387" s="43" t="n">
        <x:f>I387/INDEX('Balance Inputs'!$L$2:$L$51,MATCH(A387,'Balance Inputs'!$I$2:$I$51,0))</x:f>
        <x:v>1.932100829958785</x:v>
      </x:c>
      <x:c r="Q387" s="43" t="n">
        <x:f>L387/INDEX('Balance Inputs'!$M$2:$M$51,MATCH(A387,'Balance Inputs'!$I$2:$I$51,0))</x:f>
        <x:v>1.8768985221674876</x:v>
      </x:c>
      <x:c r="R387" s="17"/>
      <x:c r="S387" s="17"/>
      <x:c r="T387" s="17"/>
      <x:c r="U387" s="17"/>
      <x:c r="V387" s="17"/>
      <x:c r="W387" s="17"/>
      <x:c r="X387" s="17"/>
      <x:c r="Y387" s="17"/>
      <x:c r="Z387" s="17"/>
    </x:row>
    <x:row r="388">
      <x:c r="A388" s="17" t="n">
        <x:v>49</x:v>
      </x:c>
      <x:c r="B388" s="17" t="str">
        <x:v>World Financial Exchange</x:v>
      </x:c>
      <x:c r="C388" s="17" t="str">
        <x:v>Tycoon</x:v>
      </x:c>
      <x:c r="D388" s="17" t="str">
        <x:v>Mythic</x:v>
      </x:c>
      <x:c r="E388" s="17" t="n">
        <x:v>49</x:v>
      </x:c>
      <x:c r="F388" s="17" t="n">
        <x:v>4</x:v>
      </x:c>
      <x:c r="G388" s="17" t="str">
        <x:v>Upgrade to Lv4</x:v>
      </x:c>
      <x:c r="H388" s="38" t="n">
        <x:f>ROUND(H387*INDEX('Balance Inputs'!$C$2:$C$7,MATCH(C388,'Balance Inputs'!$A$2:$A$7,0)),0)</x:f>
        <x:v>34471437</x:v>
      </x:c>
      <x:c r="I388" s="38" t="n">
        <x:f>ROUND(INDEX('Balance Inputs'!$L$2:$L$51,MATCH(A388,'Balance Inputs'!$I$2:$I$51,0))*POWER(INDEX('Balance Inputs'!$D$2:$D$7,MATCH(C388,'Balance Inputs'!$A$2:$A$7,0)),F388-1),0)</x:f>
        <x:v>1043884</x:v>
      </x:c>
      <x:c r="J388" s="38" t="n">
        <x:f>ROUND(I388*INDEX('Balance Inputs'!$F$2:$F$7,MATCH(C388,'Balance Inputs'!$A$2:$A$7,0)),0)</x:f>
        <x:v>177460</x:v>
      </x:c>
      <x:c r="K388" s="38" t="n">
        <x:f>I388-J388</x:f>
        <x:v>866424</x:v>
      </x:c>
      <x:c r="L388" s="38" t="n">
        <x:f>ROUND(INDEX('Balance Inputs'!$M$2:$M$51,MATCH(A388,'Balance Inputs'!$I$2:$I$51,0))*POWER(INDEX('Balance Inputs'!$E$2:$E$7,MATCH(C388,'Balance Inputs'!$A$2:$A$7,0)),F388-1),0)</x:f>
        <x:v>652481</x:v>
      </x:c>
      <x:c r="M388" s="38" t="n">
        <x:f>ROUND(INDEX('Balance Inputs'!$N$2:$N$51,MATCH(A388,'Balance Inputs'!$I$2:$I$51,0))*POWER(INDEX('Balance Inputs'!$G$2:$G$7,MATCH(C388,'Balance Inputs'!$A$2:$A$7,0)),F388-1),0)</x:f>
        <x:v>74340</x:v>
      </x:c>
      <x:c r="N388" s="38" t="n">
        <x:f>IF(A388&lt;&gt;A387,H388,N387+H388)</x:f>
        <x:v>75282857</x:v>
      </x:c>
      <x:c r="O388" s="42" t="n">
        <x:f>IF(I388=0,0,H388/I388)</x:f>
        <x:v>33.02228695908741</x:v>
      </x:c>
      <x:c r="P388" s="43" t="n">
        <x:f>I388/INDEX('Balance Inputs'!$L$2:$L$51,MATCH(A388,'Balance Inputs'!$I$2:$I$51,0))</x:f>
        <x:v>2.6856190216468483</x:v>
      </x:c>
      <x:c r="Q388" s="43" t="n">
        <x:f>L388/INDEX('Balance Inputs'!$M$2:$M$51,MATCH(A388,'Balance Inputs'!$I$2:$I$51,0))</x:f>
        <x:v>2.5713536945812807</x:v>
      </x:c>
      <x:c r="R388" s="17"/>
      <x:c r="S388" s="17"/>
      <x:c r="T388" s="17"/>
      <x:c r="U388" s="17"/>
      <x:c r="V388" s="17"/>
      <x:c r="W388" s="17"/>
      <x:c r="X388" s="17"/>
      <x:c r="Y388" s="17"/>
      <x:c r="Z388" s="17"/>
    </x:row>
    <x:row r="389">
      <x:c r="A389" s="17" t="n">
        <x:v>49</x:v>
      </x:c>
      <x:c r="B389" s="17" t="str">
        <x:v>World Financial Exchange</x:v>
      </x:c>
      <x:c r="C389" s="17" t="str">
        <x:v>Tycoon</x:v>
      </x:c>
      <x:c r="D389" s="17" t="str">
        <x:v>Mythic</x:v>
      </x:c>
      <x:c r="E389" s="17" t="n">
        <x:v>49</x:v>
      </x:c>
      <x:c r="F389" s="17" t="n">
        <x:v>5</x:v>
      </x:c>
      <x:c r="G389" s="17" t="str">
        <x:v>Upgrade to Lv5</x:v>
      </x:c>
      <x:c r="H389" s="38" t="n">
        <x:f>ROUND(H388*INDEX('Balance Inputs'!$C$2:$C$7,MATCH(C389,'Balance Inputs'!$A$2:$A$7,0)),0)</x:f>
        <x:v>57222585</x:v>
      </x:c>
      <x:c r="I389" s="38" t="n">
        <x:f>ROUND(INDEX('Balance Inputs'!$L$2:$L$51,MATCH(A389,'Balance Inputs'!$I$2:$I$51,0))*POWER(INDEX('Balance Inputs'!$D$2:$D$7,MATCH(C389,'Balance Inputs'!$A$2:$A$7,0)),F389-1),0)</x:f>
        <x:v>1450999</x:v>
      </x:c>
      <x:c r="J389" s="38" t="n">
        <x:f>ROUND(I389*INDEX('Balance Inputs'!$F$2:$F$7,MATCH(C389,'Balance Inputs'!$A$2:$A$7,0)),0)</x:f>
        <x:v>246670</x:v>
      </x:c>
      <x:c r="K389" s="38" t="n">
        <x:f>I389-J389</x:f>
        <x:v>1204329</x:v>
      </x:c>
      <x:c r="L389" s="38" t="n">
        <x:f>ROUND(INDEX('Balance Inputs'!$M$2:$M$51,MATCH(A389,'Balance Inputs'!$I$2:$I$51,0))*POWER(INDEX('Balance Inputs'!$E$2:$E$7,MATCH(C389,'Balance Inputs'!$A$2:$A$7,0)),F389-1),0)</x:f>
        <x:v>893899</x:v>
      </x:c>
      <x:c r="M389" s="38" t="n">
        <x:f>ROUND(INDEX('Balance Inputs'!$N$2:$N$51,MATCH(A389,'Balance Inputs'!$I$2:$I$51,0))*POWER(INDEX('Balance Inputs'!$G$2:$G$7,MATCH(C389,'Balance Inputs'!$A$2:$A$7,0)),F389-1),0)</x:f>
        <x:v>92925</x:v>
      </x:c>
      <x:c r="N389" s="38" t="n">
        <x:f>IF(A389&lt;&gt;A388,H389,N388+H389)</x:f>
        <x:v>132505442</x:v>
      </x:c>
      <x:c r="O389" s="42" t="n">
        <x:f>IF(I389=0,0,H389/I389)</x:f>
        <x:v>39.43668121066934</x:v>
      </x:c>
      <x:c r="P389" s="43" t="n">
        <x:f>I389/INDEX('Balance Inputs'!$L$2:$L$51,MATCH(A389,'Balance Inputs'!$I$2:$I$51,0))</x:f>
        <x:v>3.733011057541408</x:v>
      </x:c>
      <x:c r="Q389" s="43" t="n">
        <x:f>L389/INDEX('Balance Inputs'!$M$2:$M$51,MATCH(A389,'Balance Inputs'!$I$2:$I$51,0))</x:f>
        <x:v>3.5227546798029556</x:v>
      </x:c>
      <x:c r="R389" s="17"/>
      <x:c r="S389" s="17"/>
      <x:c r="T389" s="17"/>
      <x:c r="U389" s="17"/>
      <x:c r="V389" s="17"/>
      <x:c r="W389" s="17"/>
      <x:c r="X389" s="17"/>
      <x:c r="Y389" s="17"/>
      <x:c r="Z389" s="17"/>
    </x:row>
    <x:row r="390">
      <x:c r="A390" s="17" t="n">
        <x:v>49</x:v>
      </x:c>
      <x:c r="B390" s="17" t="str">
        <x:v>World Financial Exchange</x:v>
      </x:c>
      <x:c r="C390" s="17" t="str">
        <x:v>Tycoon</x:v>
      </x:c>
      <x:c r="D390" s="17" t="str">
        <x:v>Mythic</x:v>
      </x:c>
      <x:c r="E390" s="17" t="n">
        <x:v>49</x:v>
      </x:c>
      <x:c r="F390" s="17" t="n">
        <x:v>6</x:v>
      </x:c>
      <x:c r="G390" s="17" t="str">
        <x:v>Upgrade to Lv6</x:v>
      </x:c>
      <x:c r="H390" s="38" t="n">
        <x:f>ROUND(H389*INDEX('Balance Inputs'!$C$2:$C$7,MATCH(C390,'Balance Inputs'!$A$2:$A$7,0)),0)</x:f>
        <x:v>94989491</x:v>
      </x:c>
      <x:c r="I390" s="38" t="n">
        <x:f>ROUND(INDEX('Balance Inputs'!$L$2:$L$51,MATCH(A390,'Balance Inputs'!$I$2:$I$51,0))*POWER(INDEX('Balance Inputs'!$D$2:$D$7,MATCH(C390,'Balance Inputs'!$A$2:$A$7,0)),F390-1),0)</x:f>
        <x:v>2016888</x:v>
      </x:c>
      <x:c r="J390" s="38" t="n">
        <x:f>ROUND(I390*INDEX('Balance Inputs'!$F$2:$F$7,MATCH(C390,'Balance Inputs'!$A$2:$A$7,0)),0)</x:f>
        <x:v>342871</x:v>
      </x:c>
      <x:c r="K390" s="38" t="n">
        <x:f>I390-J390</x:f>
        <x:v>1674017</x:v>
      </x:c>
      <x:c r="L390" s="38" t="n">
        <x:f>ROUND(INDEX('Balance Inputs'!$M$2:$M$51,MATCH(A390,'Balance Inputs'!$I$2:$I$51,0))*POWER(INDEX('Balance Inputs'!$E$2:$E$7,MATCH(C390,'Balance Inputs'!$A$2:$A$7,0)),F390-1),0)</x:f>
        <x:v>1224641</x:v>
      </x:c>
      <x:c r="M390" s="38" t="n">
        <x:f>ROUND(INDEX('Balance Inputs'!$N$2:$N$51,MATCH(A390,'Balance Inputs'!$I$2:$I$51,0))*POWER(INDEX('Balance Inputs'!$G$2:$G$7,MATCH(C390,'Balance Inputs'!$A$2:$A$7,0)),F390-1),0)</x:f>
        <x:v>116156</x:v>
      </x:c>
      <x:c r="N390" s="38" t="n">
        <x:f>IF(A390&lt;&gt;A389,H390,N389+H390)</x:f>
        <x:v>227494933</x:v>
      </x:c>
      <x:c r="O390" s="42" t="n">
        <x:f>IF(I390=0,0,H390/I390)</x:f>
        <x:v>47.097057942731574</x:v>
      </x:c>
      <x:c r="P390" s="43" t="n">
        <x:f>I390/INDEX('Balance Inputs'!$L$2:$L$51,MATCH(A390,'Balance Inputs'!$I$2:$I$51,0))</x:f>
        <x:v>5.188883800624656</x:v>
      </x:c>
      <x:c r="Q390" s="43" t="n">
        <x:f>L390/INDEX('Balance Inputs'!$M$2:$M$51,MATCH(A390,'Balance Inputs'!$I$2:$I$51,0))</x:f>
        <x:v>4.826171428571429</x:v>
      </x:c>
      <x:c r="R390" s="17"/>
      <x:c r="S390" s="17"/>
      <x:c r="T390" s="17"/>
      <x:c r="U390" s="17"/>
      <x:c r="V390" s="17"/>
      <x:c r="W390" s="17"/>
      <x:c r="X390" s="17"/>
      <x:c r="Y390" s="17"/>
      <x:c r="Z390" s="17"/>
    </x:row>
    <x:row r="391">
      <x:c r="A391" s="17" t="n">
        <x:v>49</x:v>
      </x:c>
      <x:c r="B391" s="17" t="str">
        <x:v>World Financial Exchange</x:v>
      </x:c>
      <x:c r="C391" s="17" t="str">
        <x:v>Tycoon</x:v>
      </x:c>
      <x:c r="D391" s="17" t="str">
        <x:v>Mythic</x:v>
      </x:c>
      <x:c r="E391" s="17" t="n">
        <x:v>49</x:v>
      </x:c>
      <x:c r="F391" s="17" t="n">
        <x:v>7</x:v>
      </x:c>
      <x:c r="G391" s="17" t="str">
        <x:v>Upgrade to Lv7</x:v>
      </x:c>
      <x:c r="H391" s="38" t="n">
        <x:f>ROUND(H390*INDEX('Balance Inputs'!$C$2:$C$7,MATCH(C391,'Balance Inputs'!$A$2:$A$7,0)),0)</x:f>
        <x:v>157682555</x:v>
      </x:c>
      <x:c r="I391" s="38" t="n">
        <x:f>ROUND(INDEX('Balance Inputs'!$L$2:$L$51,MATCH(A391,'Balance Inputs'!$I$2:$I$51,0))*POWER(INDEX('Balance Inputs'!$D$2:$D$7,MATCH(C391,'Balance Inputs'!$A$2:$A$7,0)),F391-1),0)</x:f>
        <x:v>2803475</x:v>
      </x:c>
      <x:c r="J391" s="38" t="n">
        <x:f>ROUND(I391*INDEX('Balance Inputs'!$F$2:$F$7,MATCH(C391,'Balance Inputs'!$A$2:$A$7,0)),0)</x:f>
        <x:v>476591</x:v>
      </x:c>
      <x:c r="K391" s="38" t="n">
        <x:f>I391-J391</x:f>
        <x:v>2326884</x:v>
      </x:c>
      <x:c r="L391" s="38" t="n">
        <x:f>ROUND(INDEX('Balance Inputs'!$M$2:$M$51,MATCH(A391,'Balance Inputs'!$I$2:$I$51,0))*POWER(INDEX('Balance Inputs'!$E$2:$E$7,MATCH(C391,'Balance Inputs'!$A$2:$A$7,0)),F391-1),0)</x:f>
        <x:v>1677759</x:v>
      </x:c>
      <x:c r="M391" s="38" t="n">
        <x:f>ROUND(INDEX('Balance Inputs'!$N$2:$N$51,MATCH(A391,'Balance Inputs'!$I$2:$I$51,0))*POWER(INDEX('Balance Inputs'!$G$2:$G$7,MATCH(C391,'Balance Inputs'!$A$2:$A$7,0)),F391-1),0)</x:f>
        <x:v>145195</x:v>
      </x:c>
      <x:c r="N391" s="38" t="n">
        <x:f>IF(A391&lt;&gt;A390,H391,N390+H391)</x:f>
        <x:v>385177488</x:v>
      </x:c>
      <x:c r="O391" s="42" t="n">
        <x:f>IF(I391=0,0,H391/I391)</x:f>
        <x:v>56.245393663221535</x:v>
      </x:c>
      <x:c r="P391" s="43" t="n">
        <x:f>I391/INDEX('Balance Inputs'!$L$2:$L$51,MATCH(A391,'Balance Inputs'!$I$2:$I$51,0))</x:f>
        <x:v>7.212550232316424</x:v>
      </x:c>
      <x:c r="Q391" s="43" t="n">
        <x:f>L391/INDEX('Balance Inputs'!$M$2:$M$51,MATCH(A391,'Balance Inputs'!$I$2:$I$51,0))</x:f>
        <x:v>6.611858128078818</x:v>
      </x:c>
      <x:c r="R391" s="17"/>
      <x:c r="S391" s="17"/>
      <x:c r="T391" s="17"/>
      <x:c r="U391" s="17"/>
      <x:c r="V391" s="17"/>
      <x:c r="W391" s="17"/>
      <x:c r="X391" s="17"/>
      <x:c r="Y391" s="17"/>
      <x:c r="Z391" s="17"/>
    </x:row>
    <x:row r="392">
      <x:c r="A392" s="17" t="n">
        <x:v>49</x:v>
      </x:c>
      <x:c r="B392" s="17" t="str">
        <x:v>World Financial Exchange</x:v>
      </x:c>
      <x:c r="C392" s="17" t="str">
        <x:v>Tycoon</x:v>
      </x:c>
      <x:c r="D392" s="17" t="str">
        <x:v>Mythic</x:v>
      </x:c>
      <x:c r="E392" s="17" t="n">
        <x:v>49</x:v>
      </x:c>
      <x:c r="F392" s="17" t="n">
        <x:v>8</x:v>
      </x:c>
      <x:c r="G392" s="17" t="str">
        <x:v>Upgrade to Lv8</x:v>
      </x:c>
      <x:c r="H392" s="38" t="n">
        <x:f>ROUND(H391*INDEX('Balance Inputs'!$C$2:$C$7,MATCH(C392,'Balance Inputs'!$A$2:$A$7,0)),0)</x:f>
        <x:v>261753041</x:v>
      </x:c>
      <x:c r="I392" s="38" t="n">
        <x:f>ROUND(INDEX('Balance Inputs'!$L$2:$L$51,MATCH(A392,'Balance Inputs'!$I$2:$I$51,0))*POWER(INDEX('Balance Inputs'!$D$2:$D$7,MATCH(C392,'Balance Inputs'!$A$2:$A$7,0)),F392-1),0)</x:f>
        <x:v>3896830</x:v>
      </x:c>
      <x:c r="J392" s="38" t="n">
        <x:f>ROUND(I392*INDEX('Balance Inputs'!$F$2:$F$7,MATCH(C392,'Balance Inputs'!$A$2:$A$7,0)),0)</x:f>
        <x:v>662461</x:v>
      </x:c>
      <x:c r="K392" s="38" t="n">
        <x:f>I392-J392</x:f>
        <x:v>3234369</x:v>
      </x:c>
      <x:c r="L392" s="38" t="n">
        <x:f>ROUND(INDEX('Balance Inputs'!$M$2:$M$51,MATCH(A392,'Balance Inputs'!$I$2:$I$51,0))*POWER(INDEX('Balance Inputs'!$E$2:$E$7,MATCH(C392,'Balance Inputs'!$A$2:$A$7,0)),F392-1),0)</x:f>
        <x:v>2298529</x:v>
      </x:c>
      <x:c r="M392" s="38" t="n">
        <x:f>ROUND(INDEX('Balance Inputs'!$N$2:$N$51,MATCH(A392,'Balance Inputs'!$I$2:$I$51,0))*POWER(INDEX('Balance Inputs'!$G$2:$G$7,MATCH(C392,'Balance Inputs'!$A$2:$A$7,0)),F392-1),0)</x:f>
        <x:v>181494</x:v>
      </x:c>
      <x:c r="N392" s="38" t="n">
        <x:f>IF(A392&lt;&gt;A391,H392,N391+H392)</x:f>
        <x:v>646930529</x:v>
      </x:c>
      <x:c r="O392" s="42" t="n">
        <x:f>IF(I392=0,0,H392/I392)</x:f>
        <x:v>67.17076213229728</x:v>
      </x:c>
      <x:c r="P392" s="43" t="n">
        <x:f>I392/INDEX('Balance Inputs'!$L$2:$L$51,MATCH(A392,'Balance Inputs'!$I$2:$I$51,0))</x:f>
        <x:v>10.025444179740362</x:v>
      </x:c>
      <x:c r="Q392" s="43" t="n">
        <x:f>L392/INDEX('Balance Inputs'!$M$2:$M$51,MATCH(A392,'Balance Inputs'!$I$2:$I$51,0))</x:f>
        <x:v>9.05824236453202</x:v>
      </x:c>
      <x:c r="R392" s="17"/>
      <x:c r="S392" s="17"/>
      <x:c r="T392" s="17"/>
      <x:c r="U392" s="17"/>
      <x:c r="V392" s="17"/>
      <x:c r="W392" s="17"/>
      <x:c r="X392" s="17"/>
      <x:c r="Y392" s="17"/>
      <x:c r="Z392" s="17"/>
    </x:row>
    <x:row r="393">
      <x:c r="A393" s="17" t="n">
        <x:v>49</x:v>
      </x:c>
      <x:c r="B393" s="17" t="str">
        <x:v>World Financial Exchange</x:v>
      </x:c>
      <x:c r="C393" s="17" t="str">
        <x:v>Tycoon</x:v>
      </x:c>
      <x:c r="D393" s="17" t="str">
        <x:v>Mythic</x:v>
      </x:c>
      <x:c r="E393" s="17" t="n">
        <x:v>49</x:v>
      </x:c>
      <x:c r="F393" s="17" t="n">
        <x:v>9</x:v>
      </x:c>
      <x:c r="G393" s="17" t="str">
        <x:v>Upgrade to Lv9</x:v>
      </x:c>
      <x:c r="H393" s="38" t="n">
        <x:f>ROUND(H392*INDEX('Balance Inputs'!$C$2:$C$7,MATCH(C393,'Balance Inputs'!$A$2:$A$7,0)),0)</x:f>
        <x:v>434510048</x:v>
      </x:c>
      <x:c r="I393" s="38" t="n">
        <x:f>ROUND(INDEX('Balance Inputs'!$L$2:$L$51,MATCH(A393,'Balance Inputs'!$I$2:$I$51,0))*POWER(INDEX('Balance Inputs'!$D$2:$D$7,MATCH(C393,'Balance Inputs'!$A$2:$A$7,0)),F393-1),0)</x:f>
        <x:v>5416593</x:v>
      </x:c>
      <x:c r="J393" s="38" t="n">
        <x:f>ROUND(I393*INDEX('Balance Inputs'!$F$2:$F$7,MATCH(C393,'Balance Inputs'!$A$2:$A$7,0)),0)</x:f>
        <x:v>920821</x:v>
      </x:c>
      <x:c r="K393" s="38" t="n">
        <x:f>I393-J393</x:f>
        <x:v>4495772</x:v>
      </x:c>
      <x:c r="L393" s="38" t="n">
        <x:f>ROUND(INDEX('Balance Inputs'!$M$2:$M$51,MATCH(A393,'Balance Inputs'!$I$2:$I$51,0))*POWER(INDEX('Balance Inputs'!$E$2:$E$7,MATCH(C393,'Balance Inputs'!$A$2:$A$7,0)),F393-1),0)</x:f>
        <x:v>3148985</x:v>
      </x:c>
      <x:c r="M393" s="38" t="n">
        <x:f>ROUND(INDEX('Balance Inputs'!$N$2:$N$51,MATCH(A393,'Balance Inputs'!$I$2:$I$51,0))*POWER(INDEX('Balance Inputs'!$G$2:$G$7,MATCH(C393,'Balance Inputs'!$A$2:$A$7,0)),F393-1),0)</x:f>
        <x:v>226867</x:v>
      </x:c>
      <x:c r="N393" s="38" t="n">
        <x:f>IF(A393&lt;&gt;A392,H393,N392+H393)</x:f>
        <x:v>1081440577</x:v>
      </x:c>
      <x:c r="O393" s="42" t="n">
        <x:f>IF(I393=0,0,H393/I393)</x:f>
        <x:v>80.21833060006539</x:v>
      </x:c>
      <x:c r="P393" s="43" t="n">
        <x:f>I393/INDEX('Balance Inputs'!$L$2:$L$51,MATCH(A393,'Balance Inputs'!$I$2:$I$51,0))</x:f>
        <x:v>13.935365608936593</x:v>
      </x:c>
      <x:c r="Q393" s="43" t="n">
        <x:f>L393/INDEX('Balance Inputs'!$M$2:$M$51,MATCH(A393,'Balance Inputs'!$I$2:$I$51,0))</x:f>
        <x:v>12.409793103448276</x:v>
      </x:c>
      <x:c r="R393" s="17"/>
      <x:c r="S393" s="17"/>
      <x:c r="T393" s="17"/>
      <x:c r="U393" s="17"/>
      <x:c r="V393" s="17"/>
      <x:c r="W393" s="17"/>
      <x:c r="X393" s="17"/>
      <x:c r="Y393" s="17"/>
      <x:c r="Z393" s="17"/>
    </x:row>
    <x:row r="394">
      <x:c r="A394" s="17" t="n">
        <x:v>49</x:v>
      </x:c>
      <x:c r="B394" s="17" t="str">
        <x:v>World Financial Exchange</x:v>
      </x:c>
      <x:c r="C394" s="17" t="str">
        <x:v>Tycoon</x:v>
      </x:c>
      <x:c r="D394" s="17" t="str">
        <x:v>Mythic</x:v>
      </x:c>
      <x:c r="E394" s="17" t="n">
        <x:v>49</x:v>
      </x:c>
      <x:c r="F394" s="17" t="n">
        <x:v>10</x:v>
      </x:c>
      <x:c r="G394" s="17" t="str">
        <x:v>Upgrade to Lv10</x:v>
      </x:c>
      <x:c r="H394" s="38" t="n">
        <x:f>ROUND(H393*INDEX('Balance Inputs'!$C$2:$C$7,MATCH(C394,'Balance Inputs'!$A$2:$A$7,0)),0)</x:f>
        <x:v>721286680</x:v>
      </x:c>
      <x:c r="I394" s="38" t="n">
        <x:f>ROUND(INDEX('Balance Inputs'!$L$2:$L$51,MATCH(A394,'Balance Inputs'!$I$2:$I$51,0))*POWER(INDEX('Balance Inputs'!$D$2:$D$7,MATCH(C394,'Balance Inputs'!$A$2:$A$7,0)),F394-1),0)</x:f>
        <x:v>7529065</x:v>
      </x:c>
      <x:c r="J394" s="38" t="n">
        <x:f>ROUND(I394*INDEX('Balance Inputs'!$F$2:$F$7,MATCH(C394,'Balance Inputs'!$A$2:$A$7,0)),0)</x:f>
        <x:v>1279941</x:v>
      </x:c>
      <x:c r="K394" s="38" t="n">
        <x:f>I394-J394</x:f>
        <x:v>6249124</x:v>
      </x:c>
      <x:c r="L394" s="38" t="n">
        <x:f>ROUND(INDEX('Balance Inputs'!$M$2:$M$51,MATCH(A394,'Balance Inputs'!$I$2:$I$51,0))*POWER(INDEX('Balance Inputs'!$E$2:$E$7,MATCH(C394,'Balance Inputs'!$A$2:$A$7,0)),F394-1),0)</x:f>
        <x:v>4314109</x:v>
      </x:c>
      <x:c r="M394" s="38" t="n">
        <x:f>ROUND(INDEX('Balance Inputs'!$N$2:$N$51,MATCH(A394,'Balance Inputs'!$I$2:$I$51,0))*POWER(INDEX('Balance Inputs'!$G$2:$G$7,MATCH(C394,'Balance Inputs'!$A$2:$A$7,0)),F394-1),0)</x:f>
        <x:v>283584</x:v>
      </x:c>
      <x:c r="N394" s="38" t="n">
        <x:f>IF(A394&lt;&gt;A393,H394,N393+H394)</x:f>
        <x:v>1802727257</x:v>
      </x:c>
      <x:c r="O394" s="42" t="n">
        <x:f>IF(I394=0,0,H394/I394)</x:f>
        <x:v>95.80029924034392</x:v>
      </x:c>
      <x:c r="P394" s="43" t="n">
        <x:f>I394/INDEX('Balance Inputs'!$L$2:$L$51,MATCH(A394,'Balance Inputs'!$I$2:$I$51,0))</x:f>
        <x:v>19.37016007450591</x:v>
      </x:c>
      <x:c r="Q394" s="43" t="n">
        <x:f>L394/INDEX('Balance Inputs'!$M$2:$M$51,MATCH(A394,'Balance Inputs'!$I$2:$I$51,0))</x:f>
        <x:v>17.001414778325124</x:v>
      </x:c>
      <x:c r="R394" s="17"/>
      <x:c r="S394" s="17"/>
      <x:c r="T394" s="17"/>
      <x:c r="U394" s="17"/>
      <x:c r="V394" s="17"/>
      <x:c r="W394" s="17"/>
      <x:c r="X394" s="17"/>
      <x:c r="Y394" s="17"/>
      <x:c r="Z394" s="17"/>
    </x:row>
    <x:row r="395">
      <x:c r="A395" s="17" t="n">
        <x:v>49</x:v>
      </x:c>
      <x:c r="B395" s="17" t="str">
        <x:v>World Financial Exchange</x:v>
      </x:c>
      <x:c r="C395" s="17" t="str">
        <x:v>Tycoon</x:v>
      </x:c>
      <x:c r="D395" s="17" t="str">
        <x:v>Mythic</x:v>
      </x:c>
      <x:c r="E395" s="17" t="n">
        <x:v>49</x:v>
      </x:c>
      <x:c r="F395" s="17" t="n">
        <x:v>11</x:v>
      </x:c>
      <x:c r="G395" s="17" t="str">
        <x:v>Upgrade to Lv11</x:v>
      </x:c>
      <x:c r="H395" s="38" t="n">
        <x:f>ROUND(H394*INDEX('Balance Inputs'!$C$2:$C$7,MATCH(C395,'Balance Inputs'!$A$2:$A$7,0)),0)</x:f>
        <x:v>1197335889</x:v>
      </x:c>
      <x:c r="I395" s="38" t="n">
        <x:f>ROUND(INDEX('Balance Inputs'!$L$2:$L$51,MATCH(A395,'Balance Inputs'!$I$2:$I$51,0))*POWER(INDEX('Balance Inputs'!$D$2:$D$7,MATCH(C395,'Balance Inputs'!$A$2:$A$7,0)),F395-1),0)</x:f>
        <x:v>10465400</x:v>
      </x:c>
      <x:c r="J395" s="38" t="n">
        <x:f>ROUND(I395*INDEX('Balance Inputs'!$F$2:$F$7,MATCH(C395,'Balance Inputs'!$A$2:$A$7,0)),0)</x:f>
        <x:v>1779118</x:v>
      </x:c>
      <x:c r="K395" s="38" t="n">
        <x:f>I395-J395</x:f>
        <x:v>8686282</x:v>
      </x:c>
      <x:c r="L395" s="38" t="n">
        <x:f>ROUND(INDEX('Balance Inputs'!$M$2:$M$51,MATCH(A395,'Balance Inputs'!$I$2:$I$51,0))*POWER(INDEX('Balance Inputs'!$E$2:$E$7,MATCH(C395,'Balance Inputs'!$A$2:$A$7,0)),F395-1),0)</x:f>
        <x:v>5910330</x:v>
      </x:c>
      <x:c r="M395" s="38" t="n">
        <x:f>ROUND(INDEX('Balance Inputs'!$N$2:$N$51,MATCH(A395,'Balance Inputs'!$I$2:$I$51,0))*POWER(INDEX('Balance Inputs'!$G$2:$G$7,MATCH(C395,'Balance Inputs'!$A$2:$A$7,0)),F395-1),0)</x:f>
        <x:v>354480</x:v>
      </x:c>
      <x:c r="N395" s="38" t="n">
        <x:f>IF(A395&lt;&gt;A394,H395,N394+H395)</x:f>
        <x:v>3000063146</x:v>
      </x:c>
      <x:c r="O395" s="42" t="n">
        <x:f>IF(I395=0,0,H395/I395)</x:f>
        <x:v>114.40899430504328</x:v>
      </x:c>
      <x:c r="P395" s="43" t="n">
        <x:f>I395/INDEX('Balance Inputs'!$L$2:$L$51,MATCH(A395,'Balance Inputs'!$I$2:$I$51,0))</x:f>
        <x:v>26.92452160311196</x:v>
      </x:c>
      <x:c r="Q395" s="43" t="n">
        <x:f>L395/INDEX('Balance Inputs'!$M$2:$M$51,MATCH(A395,'Balance Inputs'!$I$2:$I$51,0))</x:f>
        <x:v>23.291940886699507</x:v>
      </x:c>
      <x:c r="R395" s="17"/>
      <x:c r="S395" s="17"/>
      <x:c r="T395" s="17"/>
      <x:c r="U395" s="17"/>
      <x:c r="V395" s="17"/>
      <x:c r="W395" s="17"/>
      <x:c r="X395" s="17"/>
      <x:c r="Y395" s="17"/>
      <x:c r="Z395" s="17"/>
    </x:row>
    <x:row r="396">
      <x:c r="A396" s="17" t="n">
        <x:v>50</x:v>
      </x:c>
      <x:c r="B396" s="17" t="str">
        <x:v>Financial Empire Headquarters</x:v>
      </x:c>
      <x:c r="C396" s="17" t="str">
        <x:v>Tycoon</x:v>
      </x:c>
      <x:c r="D396" s="17" t="str">
        <x:v>Mythic</x:v>
      </x:c>
      <x:c r="E396" s="17" t="n">
        <x:v>50</x:v>
      </x:c>
      <x:c r="F396" s="17" t="n">
        <x:v>1</x:v>
      </x:c>
      <x:c r="G396" s="17" t="str">
        <x:v>Build</x:v>
      </x:c>
      <x:c r="H396" s="38" t="n">
        <x:f>INDEX('Balance Inputs'!$K$2:$K$51,MATCH(A396,'Balance Inputs'!$I$2:$I$51,0))</x:f>
        <x:v>9306840</x:v>
      </x:c>
      <x:c r="I396" s="38" t="n">
        <x:f>ROUND(INDEX('Balance Inputs'!$L$2:$L$51,MATCH(A396,'Balance Inputs'!$I$2:$I$51,0))*POWER(INDEX('Balance Inputs'!$D$2:$D$7,MATCH(C396,'Balance Inputs'!$A$2:$A$7,0)),F396-1),0)</x:f>
        <x:v>456881</x:v>
      </x:c>
      <x:c r="J396" s="38" t="n">
        <x:f>ROUND(I396*INDEX('Balance Inputs'!$F$2:$F$7,MATCH(C396,'Balance Inputs'!$A$2:$A$7,0)),0)</x:f>
        <x:v>77670</x:v>
      </x:c>
      <x:c r="K396" s="38" t="n">
        <x:f>I396-J396</x:f>
        <x:v>379211</x:v>
      </x:c>
      <x:c r="L396" s="38" t="n">
        <x:f>ROUND(INDEX('Balance Inputs'!$M$2:$M$51,MATCH(A396,'Balance Inputs'!$I$2:$I$51,0))*POWER(INDEX('Balance Inputs'!$E$2:$E$7,MATCH(C396,'Balance Inputs'!$A$2:$A$7,0)),F396-1),0)</x:f>
        <x:v>301962</x:v>
      </x:c>
      <x:c r="M396" s="38" t="n">
        <x:f>ROUND(INDEX('Balance Inputs'!$N$2:$N$51,MATCH(A396,'Balance Inputs'!$I$2:$I$51,0))*POWER(INDEX('Balance Inputs'!$G$2:$G$7,MATCH(C396,'Balance Inputs'!$A$2:$A$7,0)),F396-1),0)</x:f>
        <x:v>39859</x:v>
      </x:c>
      <x:c r="N396" s="38" t="n">
        <x:f>IF(A396&lt;&gt;A395,H396,N395+H396)</x:f>
        <x:v>9306840</x:v>
      </x:c>
      <x:c r="O396" s="42" t="n">
        <x:f>IF(I396=0,0,H396/I396)</x:f>
        <x:v>20.37038090881433</x:v>
      </x:c>
      <x:c r="P396" s="43" t="n">
        <x:f>I396/INDEX('Balance Inputs'!$L$2:$L$51,MATCH(A396,'Balance Inputs'!$I$2:$I$51,0))</x:f>
        <x:v>1</x:v>
      </x:c>
      <x:c r="Q396" s="43" t="n">
        <x:f>L396/INDEX('Balance Inputs'!$M$2:$M$51,MATCH(A396,'Balance Inputs'!$I$2:$I$51,0))</x:f>
        <x:v>1</x:v>
      </x:c>
      <x:c r="R396" s="17"/>
      <x:c r="S396" s="17"/>
      <x:c r="T396" s="17"/>
      <x:c r="U396" s="17"/>
      <x:c r="V396" s="17"/>
      <x:c r="W396" s="17"/>
      <x:c r="X396" s="17"/>
      <x:c r="Y396" s="17"/>
      <x:c r="Z396" s="17"/>
    </x:row>
    <x:row r="397">
      <x:c r="A397" s="17" t="n">
        <x:v>50</x:v>
      </x:c>
      <x:c r="B397" s="17" t="str">
        <x:v>Financial Empire Headquarters</x:v>
      </x:c>
      <x:c r="C397" s="17" t="str">
        <x:v>Tycoon</x:v>
      </x:c>
      <x:c r="D397" s="17" t="str">
        <x:v>Mythic</x:v>
      </x:c>
      <x:c r="E397" s="17" t="n">
        <x:v>50</x:v>
      </x:c>
      <x:c r="F397" s="17" t="n">
        <x:v>2</x:v>
      </x:c>
      <x:c r="G397" s="17" t="str">
        <x:v>Upgrade to Lv2</x:v>
      </x:c>
      <x:c r="H397" s="38" t="n">
        <x:f>ROUND(H396*INDEX('Balance Inputs'!$C$2:$C$7,MATCH(C397,'Balance Inputs'!$A$2:$A$7,0)),0)</x:f>
        <x:v>15449354</x:v>
      </x:c>
      <x:c r="I397" s="38" t="n">
        <x:f>ROUND(INDEX('Balance Inputs'!$L$2:$L$51,MATCH(A397,'Balance Inputs'!$I$2:$I$51,0))*POWER(INDEX('Balance Inputs'!$D$2:$D$7,MATCH(C397,'Balance Inputs'!$A$2:$A$7,0)),F397-1),0)</x:f>
        <x:v>635065</x:v>
      </x:c>
      <x:c r="J397" s="38" t="n">
        <x:f>ROUND(I397*INDEX('Balance Inputs'!$F$2:$F$7,MATCH(C397,'Balance Inputs'!$A$2:$A$7,0)),0)</x:f>
        <x:v>107961</x:v>
      </x:c>
      <x:c r="K397" s="38" t="n">
        <x:f>I397-J397</x:f>
        <x:v>527104</x:v>
      </x:c>
      <x:c r="L397" s="38" t="n">
        <x:f>ROUND(INDEX('Balance Inputs'!$M$2:$M$51,MATCH(A397,'Balance Inputs'!$I$2:$I$51,0))*POWER(INDEX('Balance Inputs'!$E$2:$E$7,MATCH(C397,'Balance Inputs'!$A$2:$A$7,0)),F397-1),0)</x:f>
        <x:v>413688</x:v>
      </x:c>
      <x:c r="M397" s="38" t="n">
        <x:f>ROUND(INDEX('Balance Inputs'!$N$2:$N$51,MATCH(A397,'Balance Inputs'!$I$2:$I$51,0))*POWER(INDEX('Balance Inputs'!$G$2:$G$7,MATCH(C397,'Balance Inputs'!$A$2:$A$7,0)),F397-1),0)</x:f>
        <x:v>49824</x:v>
      </x:c>
      <x:c r="N397" s="38" t="n">
        <x:f>IF(A397&lt;&gt;A396,H397,N396+H397)</x:f>
        <x:v>24756194</x:v>
      </x:c>
      <x:c r="O397" s="42" t="n">
        <x:f>IF(I397=0,0,H397/I397)</x:f>
        <x:v>24.32720115263792</x:v>
      </x:c>
      <x:c r="P397" s="43" t="n">
        <x:f>I397/INDEX('Balance Inputs'!$L$2:$L$51,MATCH(A397,'Balance Inputs'!$I$2:$I$51,0))</x:f>
        <x:v>1.3900008973890357</x:v>
      </x:c>
      <x:c r="Q397" s="43" t="n">
        <x:f>L397/INDEX('Balance Inputs'!$M$2:$M$51,MATCH(A397,'Balance Inputs'!$I$2:$I$51,0))</x:f>
        <x:v>1.3700001987004988</x:v>
      </x:c>
      <x:c r="R397" s="17"/>
      <x:c r="S397" s="17"/>
      <x:c r="T397" s="17"/>
      <x:c r="U397" s="17"/>
      <x:c r="V397" s="17"/>
      <x:c r="W397" s="17"/>
      <x:c r="X397" s="17"/>
      <x:c r="Y397" s="17"/>
      <x:c r="Z397" s="17"/>
    </x:row>
    <x:row r="398">
      <x:c r="A398" s="17" t="n">
        <x:v>50</x:v>
      </x:c>
      <x:c r="B398" s="17" t="str">
        <x:v>Financial Empire Headquarters</x:v>
      </x:c>
      <x:c r="C398" s="17" t="str">
        <x:v>Tycoon</x:v>
      </x:c>
      <x:c r="D398" s="17" t="str">
        <x:v>Mythic</x:v>
      </x:c>
      <x:c r="E398" s="17" t="n">
        <x:v>50</x:v>
      </x:c>
      <x:c r="F398" s="17" t="n">
        <x:v>3</x:v>
      </x:c>
      <x:c r="G398" s="17" t="str">
        <x:v>Upgrade to Lv3</x:v>
      </x:c>
      <x:c r="H398" s="38" t="n">
        <x:f>ROUND(H397*INDEX('Balance Inputs'!$C$2:$C$7,MATCH(C398,'Balance Inputs'!$A$2:$A$7,0)),0)</x:f>
        <x:v>25645928</x:v>
      </x:c>
      <x:c r="I398" s="38" t="n">
        <x:f>ROUND(INDEX('Balance Inputs'!$L$2:$L$51,MATCH(A398,'Balance Inputs'!$I$2:$I$51,0))*POWER(INDEX('Balance Inputs'!$D$2:$D$7,MATCH(C398,'Balance Inputs'!$A$2:$A$7,0)),F398-1),0)</x:f>
        <x:v>882740</x:v>
      </x:c>
      <x:c r="J398" s="38" t="n">
        <x:f>ROUND(I398*INDEX('Balance Inputs'!$F$2:$F$7,MATCH(C398,'Balance Inputs'!$A$2:$A$7,0)),0)</x:f>
        <x:v>150066</x:v>
      </x:c>
      <x:c r="K398" s="38" t="n">
        <x:f>I398-J398</x:f>
        <x:v>732674</x:v>
      </x:c>
      <x:c r="L398" s="38" t="n">
        <x:f>ROUND(INDEX('Balance Inputs'!$M$2:$M$51,MATCH(A398,'Balance Inputs'!$I$2:$I$51,0))*POWER(INDEX('Balance Inputs'!$E$2:$E$7,MATCH(C398,'Balance Inputs'!$A$2:$A$7,0)),F398-1),0)</x:f>
        <x:v>566752</x:v>
      </x:c>
      <x:c r="M398" s="38" t="n">
        <x:f>ROUND(INDEX('Balance Inputs'!$N$2:$N$51,MATCH(A398,'Balance Inputs'!$I$2:$I$51,0))*POWER(INDEX('Balance Inputs'!$G$2:$G$7,MATCH(C398,'Balance Inputs'!$A$2:$A$7,0)),F398-1),0)</x:f>
        <x:v>62280</x:v>
      </x:c>
      <x:c r="N398" s="38" t="n">
        <x:f>IF(A398&lt;&gt;A397,H398,N397+H398)</x:f>
        <x:v>50402122</x:v>
      </x:c>
      <x:c r="O398" s="42" t="n">
        <x:f>IF(I398=0,0,H398/I398)</x:f>
        <x:v>29.052640641638536</x:v>
      </x:c>
      <x:c r="P398" s="43" t="n">
        <x:f>I398/INDEX('Balance Inputs'!$L$2:$L$51,MATCH(A398,'Balance Inputs'!$I$2:$I$51,0))</x:f>
        <x:v>1.9321004813069487</x:v>
      </x:c>
      <x:c r="Q398" s="43" t="n">
        <x:f>L398/INDEX('Balance Inputs'!$M$2:$M$51,MATCH(A398,'Balance Inputs'!$I$2:$I$51,0))</x:f>
        <x:v>1.876898417681695</x:v>
      </x:c>
      <x:c r="R398" s="17"/>
      <x:c r="S398" s="17"/>
      <x:c r="T398" s="17"/>
      <x:c r="U398" s="17"/>
      <x:c r="V398" s="17"/>
      <x:c r="W398" s="17"/>
      <x:c r="X398" s="17"/>
      <x:c r="Y398" s="17"/>
      <x:c r="Z398" s="17"/>
    </x:row>
    <x:row r="399">
      <x:c r="A399" s="17" t="n">
        <x:v>50</x:v>
      </x:c>
      <x:c r="B399" s="17" t="str">
        <x:v>Financial Empire Headquarters</x:v>
      </x:c>
      <x:c r="C399" s="17" t="str">
        <x:v>Tycoon</x:v>
      </x:c>
      <x:c r="D399" s="17" t="str">
        <x:v>Mythic</x:v>
      </x:c>
      <x:c r="E399" s="17" t="n">
        <x:v>50</x:v>
      </x:c>
      <x:c r="F399" s="17" t="n">
        <x:v>4</x:v>
      </x:c>
      <x:c r="G399" s="17" t="str">
        <x:v>Upgrade to Lv4</x:v>
      </x:c>
      <x:c r="H399" s="38" t="n">
        <x:f>ROUND(H398*INDEX('Balance Inputs'!$C$2:$C$7,MATCH(C399,'Balance Inputs'!$A$2:$A$7,0)),0)</x:f>
        <x:v>42572240</x:v>
      </x:c>
      <x:c r="I399" s="38" t="n">
        <x:f>ROUND(INDEX('Balance Inputs'!$L$2:$L$51,MATCH(A399,'Balance Inputs'!$I$2:$I$51,0))*POWER(INDEX('Balance Inputs'!$D$2:$D$7,MATCH(C399,'Balance Inputs'!$A$2:$A$7,0)),F399-1),0)</x:f>
        <x:v>1227008</x:v>
      </x:c>
      <x:c r="J399" s="38" t="n">
        <x:f>ROUND(I399*INDEX('Balance Inputs'!$F$2:$F$7,MATCH(C399,'Balance Inputs'!$A$2:$A$7,0)),0)</x:f>
        <x:v>208591</x:v>
      </x:c>
      <x:c r="K399" s="38" t="n">
        <x:f>I399-J399</x:f>
        <x:v>1018417</x:v>
      </x:c>
      <x:c r="L399" s="38" t="n">
        <x:f>ROUND(INDEX('Balance Inputs'!$M$2:$M$51,MATCH(A399,'Balance Inputs'!$I$2:$I$51,0))*POWER(INDEX('Balance Inputs'!$E$2:$E$7,MATCH(C399,'Balance Inputs'!$A$2:$A$7,0)),F399-1),0)</x:f>
        <x:v>776451</x:v>
      </x:c>
      <x:c r="M399" s="38" t="n">
        <x:f>ROUND(INDEX('Balance Inputs'!$N$2:$N$51,MATCH(A399,'Balance Inputs'!$I$2:$I$51,0))*POWER(INDEX('Balance Inputs'!$G$2:$G$7,MATCH(C399,'Balance Inputs'!$A$2:$A$7,0)),F399-1),0)</x:f>
        <x:v>77850</x:v>
      </x:c>
      <x:c r="N399" s="38" t="n">
        <x:f>IF(A399&lt;&gt;A398,H399,N398+H399)</x:f>
        <x:v>92974362</x:v>
      </x:c>
      <x:c r="O399" s="42" t="n">
        <x:f>IF(I399=0,0,H399/I399)</x:f>
        <x:v>34.6959759023576</x:v>
      </x:c>
      <x:c r="P399" s="43" t="n">
        <x:f>I399/INDEX('Balance Inputs'!$L$2:$L$51,MATCH(A399,'Balance Inputs'!$I$2:$I$51,0))</x:f>
        <x:v>2.685618355764411</x:v>
      </x:c>
      <x:c r="Q399" s="43" t="n">
        <x:f>L399/INDEX('Balance Inputs'!$M$2:$M$51,MATCH(A399,'Balance Inputs'!$I$2:$I$51,0))</x:f>
        <x:v>2.5713533490969063</x:v>
      </x:c>
      <x:c r="R399" s="17"/>
      <x:c r="S399" s="17"/>
      <x:c r="T399" s="17"/>
      <x:c r="U399" s="17"/>
      <x:c r="V399" s="17"/>
      <x:c r="W399" s="17"/>
      <x:c r="X399" s="17"/>
      <x:c r="Y399" s="17"/>
      <x:c r="Z399" s="17"/>
    </x:row>
    <x:row r="400">
      <x:c r="A400" s="17" t="n">
        <x:v>50</x:v>
      </x:c>
      <x:c r="B400" s="17" t="str">
        <x:v>Financial Empire Headquarters</x:v>
      </x:c>
      <x:c r="C400" s="17" t="str">
        <x:v>Tycoon</x:v>
      </x:c>
      <x:c r="D400" s="17" t="str">
        <x:v>Mythic</x:v>
      </x:c>
      <x:c r="E400" s="17" t="n">
        <x:v>50</x:v>
      </x:c>
      <x:c r="F400" s="17" t="n">
        <x:v>5</x:v>
      </x:c>
      <x:c r="G400" s="17" t="str">
        <x:v>Upgrade to Lv5</x:v>
      </x:c>
      <x:c r="H400" s="38" t="n">
        <x:f>ROUND(H399*INDEX('Balance Inputs'!$C$2:$C$7,MATCH(C400,'Balance Inputs'!$A$2:$A$7,0)),0)</x:f>
        <x:v>70669918</x:v>
      </x:c>
      <x:c r="I400" s="38" t="n">
        <x:f>ROUND(INDEX('Balance Inputs'!$L$2:$L$51,MATCH(A400,'Balance Inputs'!$I$2:$I$51,0))*POWER(INDEX('Balance Inputs'!$D$2:$D$7,MATCH(C400,'Balance Inputs'!$A$2:$A$7,0)),F400-1),0)</x:f>
        <x:v>1705542</x:v>
      </x:c>
      <x:c r="J400" s="38" t="n">
        <x:f>ROUND(I400*INDEX('Balance Inputs'!$F$2:$F$7,MATCH(C400,'Balance Inputs'!$A$2:$A$7,0)),0)</x:f>
        <x:v>289942</x:v>
      </x:c>
      <x:c r="K400" s="38" t="n">
        <x:f>I400-J400</x:f>
        <x:v>1415600</x:v>
      </x:c>
      <x:c r="L400" s="38" t="n">
        <x:f>ROUND(INDEX('Balance Inputs'!$M$2:$M$51,MATCH(A400,'Balance Inputs'!$I$2:$I$51,0))*POWER(INDEX('Balance Inputs'!$E$2:$E$7,MATCH(C400,'Balance Inputs'!$A$2:$A$7,0)),F400-1),0)</x:f>
        <x:v>1063738</x:v>
      </x:c>
      <x:c r="M400" s="38" t="n">
        <x:f>ROUND(INDEX('Balance Inputs'!$N$2:$N$51,MATCH(A400,'Balance Inputs'!$I$2:$I$51,0))*POWER(INDEX('Balance Inputs'!$G$2:$G$7,MATCH(C400,'Balance Inputs'!$A$2:$A$7,0)),F400-1),0)</x:f>
        <x:v>97312</x:v>
      </x:c>
      <x:c r="N400" s="38" t="n">
        <x:f>IF(A400&lt;&gt;A399,H400,N399+H400)</x:f>
        <x:v>163644280</x:v>
      </x:c>
      <x:c r="O400" s="42" t="n">
        <x:f>IF(I400=0,0,H400/I400)</x:f>
        <x:v>41.435460399098936</x:v>
      </x:c>
      <x:c r="P400" s="43" t="n">
        <x:f>I400/INDEX('Balance Inputs'!$L$2:$L$51,MATCH(A400,'Balance Inputs'!$I$2:$I$51,0))</x:f>
        <x:v>3.7330114406158277</x:v>
      </x:c>
      <x:c r="Q400" s="43" t="n">
        <x:f>L400/INDEX('Balance Inputs'!$M$2:$M$51,MATCH(A400,'Balance Inputs'!$I$2:$I$51,0))</x:f>
        <x:v>3.5227545187805087</x:v>
      </x:c>
      <x:c r="R400" s="17"/>
      <x:c r="S400" s="17"/>
      <x:c r="T400" s="17"/>
      <x:c r="U400" s="17"/>
      <x:c r="V400" s="17"/>
      <x:c r="W400" s="17"/>
      <x:c r="X400" s="17"/>
      <x:c r="Y400" s="17"/>
      <x:c r="Z400" s="17"/>
    </x:row>
    <x:row r="401">
      <x:c r="A401" s="17" t="n">
        <x:v>50</x:v>
      </x:c>
      <x:c r="B401" s="17" t="str">
        <x:v>Financial Empire Headquarters</x:v>
      </x:c>
      <x:c r="C401" s="17" t="str">
        <x:v>Tycoon</x:v>
      </x:c>
      <x:c r="D401" s="17" t="str">
        <x:v>Mythic</x:v>
      </x:c>
      <x:c r="E401" s="17" t="n">
        <x:v>50</x:v>
      </x:c>
      <x:c r="F401" s="17" t="n">
        <x:v>6</x:v>
      </x:c>
      <x:c r="G401" s="17" t="str">
        <x:v>Upgrade to Lv6</x:v>
      </x:c>
      <x:c r="H401" s="38" t="n">
        <x:f>ROUND(H400*INDEX('Balance Inputs'!$C$2:$C$7,MATCH(C401,'Balance Inputs'!$A$2:$A$7,0)),0)</x:f>
        <x:v>117312064</x:v>
      </x:c>
      <x:c r="I401" s="38" t="n">
        <x:f>ROUND(INDEX('Balance Inputs'!$L$2:$L$51,MATCH(A401,'Balance Inputs'!$I$2:$I$51,0))*POWER(INDEX('Balance Inputs'!$D$2:$D$7,MATCH(C401,'Balance Inputs'!$A$2:$A$7,0)),F401-1),0)</x:f>
        <x:v>2370703</x:v>
      </x:c>
      <x:c r="J401" s="38" t="n">
        <x:f>ROUND(I401*INDEX('Balance Inputs'!$F$2:$F$7,MATCH(C401,'Balance Inputs'!$A$2:$A$7,0)),0)</x:f>
        <x:v>403020</x:v>
      </x:c>
      <x:c r="K401" s="38" t="n">
        <x:f>I401-J401</x:f>
        <x:v>1967683</x:v>
      </x:c>
      <x:c r="L401" s="38" t="n">
        <x:f>ROUND(INDEX('Balance Inputs'!$M$2:$M$51,MATCH(A401,'Balance Inputs'!$I$2:$I$51,0))*POWER(INDEX('Balance Inputs'!$E$2:$E$7,MATCH(C401,'Balance Inputs'!$A$2:$A$7,0)),F401-1),0)</x:f>
        <x:v>1457321</x:v>
      </x:c>
      <x:c r="M401" s="38" t="n">
        <x:f>ROUND(INDEX('Balance Inputs'!$N$2:$N$51,MATCH(A401,'Balance Inputs'!$I$2:$I$51,0))*POWER(INDEX('Balance Inputs'!$G$2:$G$7,MATCH(C401,'Balance Inputs'!$A$2:$A$7,0)),F401-1),0)</x:f>
        <x:v>121640</x:v>
      </x:c>
      <x:c r="N401" s="38" t="n">
        <x:f>IF(A401&lt;&gt;A400,H401,N400+H401)</x:f>
        <x:v>280956344</x:v>
      </x:c>
      <x:c r="O401" s="42" t="n">
        <x:f>IF(I401=0,0,H401/I401)</x:f>
        <x:v>49.48408299141647</x:v>
      </x:c>
      <x:c r="P401" s="43" t="n">
        <x:f>I401/INDEX('Balance Inputs'!$L$2:$L$51,MATCH(A401,'Balance Inputs'!$I$2:$I$51,0))</x:f>
        <x:v>5.188885070729578</x:v>
      </x:c>
      <x:c r="Q401" s="43" t="n">
        <x:f>L401/INDEX('Balance Inputs'!$M$2:$M$51,MATCH(A401,'Balance Inputs'!$I$2:$I$51,0))</x:f>
        <x:v>4.826173492028798</x:v>
      </x:c>
      <x:c r="R401" s="17"/>
      <x:c r="S401" s="17"/>
      <x:c r="T401" s="17"/>
      <x:c r="U401" s="17"/>
      <x:c r="V401" s="17"/>
      <x:c r="W401" s="17"/>
      <x:c r="X401" s="17"/>
      <x:c r="Y401" s="17"/>
      <x:c r="Z401" s="17"/>
    </x:row>
    <x:row r="402">
      <x:c r="A402" s="17" t="n">
        <x:v>50</x:v>
      </x:c>
      <x:c r="B402" s="17" t="str">
        <x:v>Financial Empire Headquarters</x:v>
      </x:c>
      <x:c r="C402" s="17" t="str">
        <x:v>Tycoon</x:v>
      </x:c>
      <x:c r="D402" s="17" t="str">
        <x:v>Mythic</x:v>
      </x:c>
      <x:c r="E402" s="17" t="n">
        <x:v>50</x:v>
      </x:c>
      <x:c r="F402" s="17" t="n">
        <x:v>7</x:v>
      </x:c>
      <x:c r="G402" s="17" t="str">
        <x:v>Upgrade to Lv7</x:v>
      </x:c>
      <x:c r="H402" s="38" t="n">
        <x:f>ROUND(H401*INDEX('Balance Inputs'!$C$2:$C$7,MATCH(C402,'Balance Inputs'!$A$2:$A$7,0)),0)</x:f>
        <x:v>194738026</x:v>
      </x:c>
      <x:c r="I402" s="38" t="n">
        <x:f>ROUND(INDEX('Balance Inputs'!$L$2:$L$51,MATCH(A402,'Balance Inputs'!$I$2:$I$51,0))*POWER(INDEX('Balance Inputs'!$D$2:$D$7,MATCH(C402,'Balance Inputs'!$A$2:$A$7,0)),F402-1),0)</x:f>
        <x:v>3295277</x:v>
      </x:c>
      <x:c r="J402" s="38" t="n">
        <x:f>ROUND(I402*INDEX('Balance Inputs'!$F$2:$F$7,MATCH(C402,'Balance Inputs'!$A$2:$A$7,0)),0)</x:f>
        <x:v>560197</x:v>
      </x:c>
      <x:c r="K402" s="38" t="n">
        <x:f>I402-J402</x:f>
        <x:v>2735080</x:v>
      </x:c>
      <x:c r="L402" s="38" t="n">
        <x:f>ROUND(INDEX('Balance Inputs'!$M$2:$M$51,MATCH(A402,'Balance Inputs'!$I$2:$I$51,0))*POWER(INDEX('Balance Inputs'!$E$2:$E$7,MATCH(C402,'Balance Inputs'!$A$2:$A$7,0)),F402-1),0)</x:f>
        <x:v>1996529</x:v>
      </x:c>
      <x:c r="M402" s="38" t="n">
        <x:f>ROUND(INDEX('Balance Inputs'!$N$2:$N$51,MATCH(A402,'Balance Inputs'!$I$2:$I$51,0))*POWER(INDEX('Balance Inputs'!$G$2:$G$7,MATCH(C402,'Balance Inputs'!$A$2:$A$7,0)),F402-1),0)</x:f>
        <x:v>152050</x:v>
      </x:c>
      <x:c r="N402" s="38" t="n">
        <x:f>IF(A402&lt;&gt;A401,H402,N401+H402)</x:f>
        <x:v>475694370</x:v>
      </x:c>
      <x:c r="O402" s="42" t="n">
        <x:f>IF(I402=0,0,H402/I402)</x:f>
        <x:v>59.09610208792766</x:v>
      </x:c>
      <x:c r="P402" s="43" t="n">
        <x:f>I402/INDEX('Balance Inputs'!$L$2:$L$51,MATCH(A402,'Balance Inputs'!$I$2:$I$51,0))</x:f>
        <x:v>7.212549876225975</x:v>
      </x:c>
      <x:c r="Q402" s="43" t="n">
        <x:f>L402/INDEX('Balance Inputs'!$M$2:$M$51,MATCH(A402,'Balance Inputs'!$I$2:$I$51,0))</x:f>
        <x:v>6.61185513408972</x:v>
      </x:c>
      <x:c r="R402" s="17"/>
      <x:c r="S402" s="17"/>
      <x:c r="T402" s="17"/>
      <x:c r="U402" s="17"/>
      <x:c r="V402" s="17"/>
      <x:c r="W402" s="17"/>
      <x:c r="X402" s="17"/>
      <x:c r="Y402" s="17"/>
      <x:c r="Z402" s="17"/>
    </x:row>
    <x:row r="403">
      <x:c r="A403" s="17" t="n">
        <x:v>50</x:v>
      </x:c>
      <x:c r="B403" s="17" t="str">
        <x:v>Financial Empire Headquarters</x:v>
      </x:c>
      <x:c r="C403" s="17" t="str">
        <x:v>Tycoon</x:v>
      </x:c>
      <x:c r="D403" s="17" t="str">
        <x:v>Mythic</x:v>
      </x:c>
      <x:c r="E403" s="17" t="n">
        <x:v>50</x:v>
      </x:c>
      <x:c r="F403" s="17" t="n">
        <x:v>8</x:v>
      </x:c>
      <x:c r="G403" s="17" t="str">
        <x:v>Upgrade to Lv8</x:v>
      </x:c>
      <x:c r="H403" s="38" t="n">
        <x:f>ROUND(H402*INDEX('Balance Inputs'!$C$2:$C$7,MATCH(C403,'Balance Inputs'!$A$2:$A$7,0)),0)</x:f>
        <x:v>323265123</x:v>
      </x:c>
      <x:c r="I403" s="38" t="n">
        <x:f>ROUND(INDEX('Balance Inputs'!$L$2:$L$51,MATCH(A403,'Balance Inputs'!$I$2:$I$51,0))*POWER(INDEX('Balance Inputs'!$D$2:$D$7,MATCH(C403,'Balance Inputs'!$A$2:$A$7,0)),F403-1),0)</x:f>
        <x:v>4580435</x:v>
      </x:c>
      <x:c r="J403" s="38" t="n">
        <x:f>ROUND(I403*INDEX('Balance Inputs'!$F$2:$F$7,MATCH(C403,'Balance Inputs'!$A$2:$A$7,0)),0)</x:f>
        <x:v>778674</x:v>
      </x:c>
      <x:c r="K403" s="38" t="n">
        <x:f>I403-J403</x:f>
        <x:v>3801761</x:v>
      </x:c>
      <x:c r="L403" s="38" t="n">
        <x:f>ROUND(INDEX('Balance Inputs'!$M$2:$M$51,MATCH(A403,'Balance Inputs'!$I$2:$I$51,0))*POWER(INDEX('Balance Inputs'!$E$2:$E$7,MATCH(C403,'Balance Inputs'!$A$2:$A$7,0)),F403-1),0)</x:f>
        <x:v>2735245</x:v>
      </x:c>
      <x:c r="M403" s="38" t="n">
        <x:f>ROUND(INDEX('Balance Inputs'!$N$2:$N$51,MATCH(A403,'Balance Inputs'!$I$2:$I$51,0))*POWER(INDEX('Balance Inputs'!$G$2:$G$7,MATCH(C403,'Balance Inputs'!$A$2:$A$7,0)),F403-1),0)</x:f>
        <x:v>190063</x:v>
      </x:c>
      <x:c r="N403" s="38" t="n">
        <x:f>IF(A403&lt;&gt;A402,H403,N402+H403)</x:f>
        <x:v>798959493</x:v>
      </x:c>
      <x:c r="O403" s="42" t="n">
        <x:f>IF(I403=0,0,H403/I403)</x:f>
        <x:v>70.57520148195532</x:v>
      </x:c>
      <x:c r="P403" s="43" t="n">
        <x:f>I403/INDEX('Balance Inputs'!$L$2:$L$51,MATCH(A403,'Balance Inputs'!$I$2:$I$51,0))</x:f>
        <x:v>10.025444262291494</x:v>
      </x:c>
      <x:c r="Q403" s="43" t="n">
        <x:f>L403/INDEX('Balance Inputs'!$M$2:$M$51,MATCH(A403,'Balance Inputs'!$I$2:$I$51,0))</x:f>
        <x:v>9.058242427855161</x:v>
      </x:c>
      <x:c r="R403" s="17"/>
      <x:c r="S403" s="17"/>
      <x:c r="T403" s="17"/>
      <x:c r="U403" s="17"/>
      <x:c r="V403" s="17"/>
      <x:c r="W403" s="17"/>
      <x:c r="X403" s="17"/>
      <x:c r="Y403" s="17"/>
      <x:c r="Z403" s="17"/>
    </x:row>
    <x:row r="404">
      <x:c r="A404" s="17" t="n">
        <x:v>50</x:v>
      </x:c>
      <x:c r="B404" s="17" t="str">
        <x:v>Financial Empire Headquarters</x:v>
      </x:c>
      <x:c r="C404" s="17" t="str">
        <x:v>Tycoon</x:v>
      </x:c>
      <x:c r="D404" s="17" t="str">
        <x:v>Mythic</x:v>
      </x:c>
      <x:c r="E404" s="17" t="n">
        <x:v>50</x:v>
      </x:c>
      <x:c r="F404" s="17" t="n">
        <x:v>9</x:v>
      </x:c>
      <x:c r="G404" s="17" t="str">
        <x:v>Upgrade to Lv9</x:v>
      </x:c>
      <x:c r="H404" s="38" t="n">
        <x:f>ROUND(H403*INDEX('Balance Inputs'!$C$2:$C$7,MATCH(C404,'Balance Inputs'!$A$2:$A$7,0)),0)</x:f>
        <x:v>536620104</x:v>
      </x:c>
      <x:c r="I404" s="38" t="n">
        <x:f>ROUND(INDEX('Balance Inputs'!$L$2:$L$51,MATCH(A404,'Balance Inputs'!$I$2:$I$51,0))*POWER(INDEX('Balance Inputs'!$D$2:$D$7,MATCH(C404,'Balance Inputs'!$A$2:$A$7,0)),F404-1),0)</x:f>
        <x:v>6366804</x:v>
      </x:c>
      <x:c r="J404" s="38" t="n">
        <x:f>ROUND(I404*INDEX('Balance Inputs'!$F$2:$F$7,MATCH(C404,'Balance Inputs'!$A$2:$A$7,0)),0)</x:f>
        <x:v>1082357</x:v>
      </x:c>
      <x:c r="K404" s="38" t="n">
        <x:f>I404-J404</x:f>
        <x:v>5284447</x:v>
      </x:c>
      <x:c r="L404" s="38" t="n">
        <x:f>ROUND(INDEX('Balance Inputs'!$M$2:$M$51,MATCH(A404,'Balance Inputs'!$I$2:$I$51,0))*POWER(INDEX('Balance Inputs'!$E$2:$E$7,MATCH(C404,'Balance Inputs'!$A$2:$A$7,0)),F404-1),0)</x:f>
        <x:v>3747286</x:v>
      </x:c>
      <x:c r="M404" s="38" t="n">
        <x:f>ROUND(INDEX('Balance Inputs'!$N$2:$N$51,MATCH(A404,'Balance Inputs'!$I$2:$I$51,0))*POWER(INDEX('Balance Inputs'!$G$2:$G$7,MATCH(C404,'Balance Inputs'!$A$2:$A$7,0)),F404-1),0)</x:f>
        <x:v>237578</x:v>
      </x:c>
      <x:c r="N404" s="38" t="n">
        <x:f>IF(A404&lt;&gt;A403,H404,N403+H404)</x:f>
        <x:v>1335579597</x:v>
      </x:c>
      <x:c r="O404" s="42" t="n">
        <x:f>IF(I404=0,0,H404/I404)</x:f>
        <x:v>84.2840621448375</x:v>
      </x:c>
      <x:c r="P404" s="43" t="n">
        <x:f>I404/INDEX('Balance Inputs'!$L$2:$L$51,MATCH(A404,'Balance Inputs'!$I$2:$I$51,0))</x:f>
        <x:v>13.935366101895243</x:v>
      </x:c>
      <x:c r="Q404" s="43" t="n">
        <x:f>L404/INDEX('Balance Inputs'!$M$2:$M$51,MATCH(A404,'Balance Inputs'!$I$2:$I$51,0))</x:f>
        <x:v>12.409793285247813</x:v>
      </x:c>
      <x:c r="R404" s="17"/>
      <x:c r="S404" s="17"/>
      <x:c r="T404" s="17"/>
      <x:c r="U404" s="17"/>
      <x:c r="V404" s="17"/>
      <x:c r="W404" s="17"/>
      <x:c r="X404" s="17"/>
      <x:c r="Y404" s="17"/>
      <x:c r="Z404" s="17"/>
    </x:row>
    <x:row r="405">
      <x:c r="A405" s="17" t="n">
        <x:v>50</x:v>
      </x:c>
      <x:c r="B405" s="17" t="str">
        <x:v>Financial Empire Headquarters</x:v>
      </x:c>
      <x:c r="C405" s="17" t="str">
        <x:v>Tycoon</x:v>
      </x:c>
      <x:c r="D405" s="17" t="str">
        <x:v>Mythic</x:v>
      </x:c>
      <x:c r="E405" s="17" t="n">
        <x:v>50</x:v>
      </x:c>
      <x:c r="F405" s="17" t="n">
        <x:v>10</x:v>
      </x:c>
      <x:c r="G405" s="17" t="str">
        <x:v>Upgrade to Lv10</x:v>
      </x:c>
      <x:c r="H405" s="38" t="n">
        <x:f>ROUND(H404*INDEX('Balance Inputs'!$C$2:$C$7,MATCH(C405,'Balance Inputs'!$A$2:$A$7,0)),0)</x:f>
        <x:v>890789373</x:v>
      </x:c>
      <x:c r="I405" s="38" t="n">
        <x:f>ROUND(INDEX('Balance Inputs'!$L$2:$L$51,MATCH(A405,'Balance Inputs'!$I$2:$I$51,0))*POWER(INDEX('Balance Inputs'!$D$2:$D$7,MATCH(C405,'Balance Inputs'!$A$2:$A$7,0)),F405-1),0)</x:f>
        <x:v>8849858</x:v>
      </x:c>
      <x:c r="J405" s="38" t="n">
        <x:f>ROUND(I405*INDEX('Balance Inputs'!$F$2:$F$7,MATCH(C405,'Balance Inputs'!$A$2:$A$7,0)),0)</x:f>
        <x:v>1504476</x:v>
      </x:c>
      <x:c r="K405" s="38" t="n">
        <x:f>I405-J405</x:f>
        <x:v>7345382</x:v>
      </x:c>
      <x:c r="L405" s="38" t="n">
        <x:f>ROUND(INDEX('Balance Inputs'!$M$2:$M$51,MATCH(A405,'Balance Inputs'!$I$2:$I$51,0))*POWER(INDEX('Balance Inputs'!$E$2:$E$7,MATCH(C405,'Balance Inputs'!$A$2:$A$7,0)),F405-1),0)</x:f>
        <x:v>5133782</x:v>
      </x:c>
      <x:c r="M405" s="38" t="n">
        <x:f>ROUND(INDEX('Balance Inputs'!$N$2:$N$51,MATCH(A405,'Balance Inputs'!$I$2:$I$51,0))*POWER(INDEX('Balance Inputs'!$G$2:$G$7,MATCH(C405,'Balance Inputs'!$A$2:$A$7,0)),F405-1),0)</x:f>
        <x:v>296973</x:v>
      </x:c>
      <x:c r="N405" s="38" t="n">
        <x:f>IF(A405&lt;&gt;A404,H405,N404+H405)</x:f>
        <x:v>2226368970</x:v>
      </x:c>
      <x:c r="O405" s="42" t="n">
        <x:f>IF(I405=0,0,H405/I405)</x:f>
        <x:v>100.65578148259554</x:v>
      </x:c>
      <x:c r="P405" s="43" t="n">
        <x:f>I405/INDEX('Balance Inputs'!$L$2:$L$51,MATCH(A405,'Balance Inputs'!$I$2:$I$51,0))</x:f>
        <x:v>19.370159844686036</x:v>
      </x:c>
      <x:c r="Q405" s="43" t="n">
        <x:f>L405/INDEX('Balance Inputs'!$M$2:$M$51,MATCH(A405,'Balance Inputs'!$I$2:$I$51,0))</x:f>
        <x:v>17.001417396891</x:v>
      </x:c>
      <x:c r="R405" s="17"/>
      <x:c r="S405" s="17"/>
      <x:c r="T405" s="17"/>
      <x:c r="U405" s="17"/>
      <x:c r="V405" s="17"/>
      <x:c r="W405" s="17"/>
      <x:c r="X405" s="17"/>
      <x:c r="Y405" s="17"/>
      <x:c r="Z405" s="17"/>
    </x:row>
    <x:row r="406">
      <x:c r="A406" s="17" t="n">
        <x:v>50</x:v>
      </x:c>
      <x:c r="B406" s="17" t="str">
        <x:v>Financial Empire Headquarters</x:v>
      </x:c>
      <x:c r="C406" s="17" t="str">
        <x:v>Tycoon</x:v>
      </x:c>
      <x:c r="D406" s="17" t="str">
        <x:v>Mythic</x:v>
      </x:c>
      <x:c r="E406" s="17" t="n">
        <x:v>50</x:v>
      </x:c>
      <x:c r="F406" s="17" t="n">
        <x:v>11</x:v>
      </x:c>
      <x:c r="G406" s="17" t="str">
        <x:v>Upgrade to Lv11</x:v>
      </x:c>
      <x:c r="H406" s="38" t="n">
        <x:f>ROUND(H405*INDEX('Balance Inputs'!$C$2:$C$7,MATCH(C406,'Balance Inputs'!$A$2:$A$7,0)),0)</x:f>
        <x:v>1478710359</x:v>
      </x:c>
      <x:c r="I406" s="38" t="n">
        <x:f>ROUND(INDEX('Balance Inputs'!$L$2:$L$51,MATCH(A406,'Balance Inputs'!$I$2:$I$51,0))*POWER(INDEX('Balance Inputs'!$D$2:$D$7,MATCH(C406,'Balance Inputs'!$A$2:$A$7,0)),F406-1),0)</x:f>
        <x:v>12301303</x:v>
      </x:c>
      <x:c r="J406" s="38" t="n">
        <x:f>ROUND(I406*INDEX('Balance Inputs'!$F$2:$F$7,MATCH(C406,'Balance Inputs'!$A$2:$A$7,0)),0)</x:f>
        <x:v>2091222</x:v>
      </x:c>
      <x:c r="K406" s="38" t="n">
        <x:f>I406-J406</x:f>
        <x:v>10210081</x:v>
      </x:c>
      <x:c r="L406" s="38" t="n">
        <x:f>ROUND(INDEX('Balance Inputs'!$M$2:$M$51,MATCH(A406,'Balance Inputs'!$I$2:$I$51,0))*POWER(INDEX('Balance Inputs'!$E$2:$E$7,MATCH(C406,'Balance Inputs'!$A$2:$A$7,0)),F406-1),0)</x:f>
        <x:v>7033281</x:v>
      </x:c>
      <x:c r="M406" s="38" t="n">
        <x:f>ROUND(INDEX('Balance Inputs'!$N$2:$N$51,MATCH(A406,'Balance Inputs'!$I$2:$I$51,0))*POWER(INDEX('Balance Inputs'!$G$2:$G$7,MATCH(C406,'Balance Inputs'!$A$2:$A$7,0)),F406-1),0)</x:f>
        <x:v>371216</x:v>
      </x:c>
      <x:c r="N406" s="38" t="n">
        <x:f>IF(A406&lt;&gt;A405,H406,N405+H406)</x:f>
        <x:v>3705079329</x:v>
      </x:c>
      <x:c r="O406" s="42" t="n">
        <x:f>IF(I406=0,0,H406/I406)</x:f>
        <x:v>120.2076202008844</x:v>
      </x:c>
      <x:c r="P406" s="43" t="n">
        <x:f>I406/INDEX('Balance Inputs'!$L$2:$L$51,MATCH(A406,'Balance Inputs'!$I$2:$I$51,0))</x:f>
        <x:v>26.924523015840013</x:v>
      </x:c>
      <x:c r="Q406" s="43" t="n">
        <x:f>L406/INDEX('Balance Inputs'!$M$2:$M$51,MATCH(A406,'Balance Inputs'!$I$2:$I$51,0))</x:f>
        <x:v>23.291940707771175</x:v>
      </x:c>
      <x:c r="R406" s="17"/>
      <x:c r="S406" s="17"/>
      <x:c r="T406" s="17"/>
      <x:c r="U406" s="17"/>
      <x:c r="V406" s="17"/>
      <x:c r="W406" s="17"/>
      <x:c r="X406" s="17"/>
      <x:c r="Y406" s="17"/>
      <x:c r="Z406" s="17"/>
    </x:row>
    <x:row r="407">
      <x:c r="A407" s="17"/>
      <x:c r="B407" s="17"/>
      <x:c r="C407" s="17"/>
      <x:c r="D407" s="17"/>
      <x:c r="E407" s="17"/>
      <x:c r="F407" s="17"/>
      <x:c r="G407" s="17"/>
      <x:c r="H407" s="17"/>
      <x:c r="I407" s="17"/>
      <x:c r="J407" s="17"/>
      <x:c r="K407" s="17"/>
      <x:c r="L407" s="17"/>
      <x:c r="M407" s="17"/>
      <x:c r="N407" s="17"/>
      <x:c r="O407" s="17"/>
      <x:c r="P407" s="17"/>
      <x:c r="Q407" s="17"/>
      <x:c r="R407" s="17"/>
      <x:c r="S407" s="17"/>
      <x:c r="T407" s="17"/>
      <x:c r="U407" s="17"/>
      <x:c r="V407" s="17"/>
      <x:c r="W407" s="17"/>
      <x:c r="X407" s="17"/>
      <x:c r="Y407" s="17"/>
      <x:c r="Z407" s="17"/>
    </x:row>
    <x:row r="408">
      <x:c r="A408" s="17"/>
      <x:c r="B408" s="17"/>
      <x:c r="C408" s="17"/>
      <x:c r="D408" s="17"/>
      <x:c r="E408" s="17"/>
      <x:c r="F408" s="17"/>
      <x:c r="G408" s="17"/>
      <x:c r="H408" s="17"/>
      <x:c r="I408" s="17"/>
      <x:c r="J408" s="17"/>
      <x:c r="K408" s="17"/>
      <x:c r="L408" s="17"/>
      <x:c r="M408" s="17"/>
      <x:c r="N408" s="17"/>
      <x:c r="O408" s="17"/>
      <x:c r="P408" s="17"/>
      <x:c r="Q408" s="17"/>
      <x:c r="R408" s="17"/>
      <x:c r="S408" s="17"/>
      <x:c r="T408" s="17"/>
      <x:c r="U408" s="17"/>
      <x:c r="V408" s="17"/>
      <x:c r="W408" s="17"/>
      <x:c r="X408" s="17"/>
      <x:c r="Y408" s="17"/>
      <x:c r="Z408" s="17"/>
    </x:row>
    <x:row r="409">
      <x:c r="A409" s="17"/>
      <x:c r="B409" s="17"/>
      <x:c r="C409" s="17"/>
      <x:c r="D409" s="17"/>
      <x:c r="E409" s="17"/>
      <x:c r="F409" s="17"/>
      <x:c r="G409" s="17"/>
      <x:c r="H409" s="17"/>
      <x:c r="I409" s="17"/>
      <x:c r="J409" s="17"/>
      <x:c r="K409" s="17"/>
      <x:c r="L409" s="17"/>
      <x:c r="M409" s="17"/>
      <x:c r="N409" s="17"/>
      <x:c r="O409" s="17"/>
      <x:c r="P409" s="17"/>
      <x:c r="Q409" s="17"/>
      <x:c r="R409" s="17"/>
      <x:c r="S409" s="17"/>
      <x:c r="T409" s="17"/>
      <x:c r="U409" s="17"/>
      <x:c r="V409" s="17"/>
      <x:c r="W409" s="17"/>
      <x:c r="X409" s="17"/>
      <x:c r="Y409" s="17"/>
      <x:c r="Z409" s="17"/>
    </x:row>
    <x:row r="410">
      <x:c r="A410" s="17"/>
      <x:c r="B410" s="17"/>
      <x:c r="C410" s="17"/>
      <x:c r="D410" s="17"/>
      <x:c r="E410" s="17"/>
      <x:c r="F410" s="17"/>
      <x:c r="G410" s="17"/>
      <x:c r="H410" s="17"/>
      <x:c r="I410" s="17"/>
      <x:c r="J410" s="17"/>
      <x:c r="K410" s="17"/>
      <x:c r="L410" s="17"/>
      <x:c r="M410" s="17"/>
      <x:c r="N410" s="17"/>
      <x:c r="O410" s="17"/>
      <x:c r="P410" s="17"/>
      <x:c r="Q410" s="17"/>
      <x:c r="R410" s="17"/>
      <x:c r="S410" s="17"/>
      <x:c r="T410" s="17"/>
      <x:c r="U410" s="17"/>
      <x:c r="V410" s="17"/>
      <x:c r="W410" s="17"/>
      <x:c r="X410" s="17"/>
      <x:c r="Y410" s="17"/>
      <x:c r="Z410" s="17"/>
    </x:row>
    <x:row r="411">
      <x:c r="A411" s="17"/>
      <x:c r="B411" s="17"/>
      <x:c r="C411" s="17"/>
      <x:c r="D411" s="17"/>
      <x:c r="E411" s="17"/>
      <x:c r="F411" s="17"/>
      <x:c r="G411" s="17"/>
      <x:c r="H411" s="17"/>
      <x:c r="I411" s="17"/>
      <x:c r="J411" s="17"/>
      <x:c r="K411" s="17"/>
      <x:c r="L411" s="17"/>
      <x:c r="M411" s="17"/>
      <x:c r="N411" s="17"/>
      <x:c r="O411" s="17"/>
      <x:c r="P411" s="17"/>
      <x:c r="Q411" s="17"/>
      <x:c r="R411" s="17"/>
      <x:c r="S411" s="17"/>
      <x:c r="T411" s="17"/>
      <x:c r="U411" s="17"/>
      <x:c r="V411" s="17"/>
      <x:c r="W411" s="17"/>
      <x:c r="X411" s="17"/>
      <x:c r="Y411" s="17"/>
      <x:c r="Z411" s="17"/>
    </x:row>
    <x:row r="412">
      <x:c r="A412" s="17"/>
      <x:c r="B412" s="17"/>
      <x:c r="C412" s="17"/>
      <x:c r="D412" s="17"/>
      <x:c r="E412" s="17"/>
      <x:c r="F412" s="17"/>
      <x:c r="G412" s="17"/>
      <x:c r="H412" s="17"/>
      <x:c r="I412" s="17"/>
      <x:c r="J412" s="17"/>
      <x:c r="K412" s="17"/>
      <x:c r="L412" s="17"/>
      <x:c r="M412" s="17"/>
      <x:c r="N412" s="17"/>
      <x:c r="O412" s="17"/>
      <x:c r="P412" s="17"/>
      <x:c r="Q412" s="17"/>
      <x:c r="R412" s="17"/>
      <x:c r="S412" s="17"/>
      <x:c r="T412" s="17"/>
      <x:c r="U412" s="17"/>
      <x:c r="V412" s="17"/>
      <x:c r="W412" s="17"/>
      <x:c r="X412" s="17"/>
      <x:c r="Y412" s="17"/>
      <x:c r="Z412" s="17"/>
    </x:row>
    <x:row r="413">
      <x:c r="A413" s="17"/>
      <x:c r="B413" s="17"/>
      <x:c r="C413" s="17"/>
      <x:c r="D413" s="17"/>
      <x:c r="E413" s="17"/>
      <x:c r="F413" s="17"/>
      <x:c r="G413" s="17"/>
      <x:c r="H413" s="17"/>
      <x:c r="I413" s="17"/>
      <x:c r="J413" s="17"/>
      <x:c r="K413" s="17"/>
      <x:c r="L413" s="17"/>
      <x:c r="M413" s="17"/>
      <x:c r="N413" s="17"/>
      <x:c r="O413" s="17"/>
      <x:c r="P413" s="17"/>
      <x:c r="Q413" s="17"/>
      <x:c r="R413" s="17"/>
      <x:c r="S413" s="17"/>
      <x:c r="T413" s="17"/>
      <x:c r="U413" s="17"/>
      <x:c r="V413" s="17"/>
      <x:c r="W413" s="17"/>
      <x:c r="X413" s="17"/>
      <x:c r="Y413" s="17"/>
      <x:c r="Z413" s="17"/>
    </x:row>
    <x:row r="414">
      <x:c r="A414" s="17"/>
      <x:c r="B414" s="17"/>
      <x:c r="C414" s="17"/>
      <x:c r="D414" s="17"/>
      <x:c r="E414" s="17"/>
      <x:c r="F414" s="17"/>
      <x:c r="G414" s="17"/>
      <x:c r="H414" s="17"/>
      <x:c r="I414" s="17"/>
      <x:c r="J414" s="17"/>
      <x:c r="K414" s="17"/>
      <x:c r="L414" s="17"/>
      <x:c r="M414" s="17"/>
      <x:c r="N414" s="17"/>
      <x:c r="O414" s="17"/>
      <x:c r="P414" s="17"/>
      <x:c r="Q414" s="17"/>
      <x:c r="R414" s="17"/>
      <x:c r="S414" s="17"/>
      <x:c r="T414" s="17"/>
      <x:c r="U414" s="17"/>
      <x:c r="V414" s="17"/>
      <x:c r="W414" s="17"/>
      <x:c r="X414" s="17"/>
      <x:c r="Y414" s="17"/>
      <x:c r="Z414" s="17"/>
    </x:row>
    <x:row r="415">
      <x:c r="A415" s="17"/>
      <x:c r="B415" s="17"/>
      <x:c r="C415" s="17"/>
      <x:c r="D415" s="17"/>
      <x:c r="E415" s="17"/>
      <x:c r="F415" s="17"/>
      <x:c r="G415" s="17"/>
      <x:c r="H415" s="17"/>
      <x:c r="I415" s="17"/>
      <x:c r="J415" s="17"/>
      <x:c r="K415" s="17"/>
      <x:c r="L415" s="17"/>
      <x:c r="M415" s="17"/>
      <x:c r="N415" s="17"/>
      <x:c r="O415" s="17"/>
      <x:c r="P415" s="17"/>
      <x:c r="Q415" s="17"/>
      <x:c r="R415" s="17"/>
      <x:c r="S415" s="17"/>
      <x:c r="T415" s="17"/>
      <x:c r="U415" s="17"/>
      <x:c r="V415" s="17"/>
      <x:c r="W415" s="17"/>
      <x:c r="X415" s="17"/>
      <x:c r="Y415" s="17"/>
      <x:c r="Z415" s="17"/>
    </x:row>
    <x:row r="416">
      <x:c r="A416" s="17"/>
      <x:c r="B416" s="17"/>
      <x:c r="C416" s="17"/>
      <x:c r="D416" s="17"/>
      <x:c r="E416" s="17"/>
      <x:c r="F416" s="17"/>
      <x:c r="G416" s="17"/>
      <x:c r="H416" s="17"/>
      <x:c r="I416" s="17"/>
      <x:c r="J416" s="17"/>
      <x:c r="K416" s="17"/>
      <x:c r="L416" s="17"/>
      <x:c r="M416" s="17"/>
      <x:c r="N416" s="17"/>
      <x:c r="O416" s="17"/>
      <x:c r="P416" s="17"/>
      <x:c r="Q416" s="17"/>
      <x:c r="R416" s="17"/>
      <x:c r="S416" s="17"/>
      <x:c r="T416" s="17"/>
      <x:c r="U416" s="17"/>
      <x:c r="V416" s="17"/>
      <x:c r="W416" s="17"/>
      <x:c r="X416" s="17"/>
      <x:c r="Y416" s="17"/>
      <x:c r="Z416" s="17"/>
    </x:row>
    <x:row r="417">
      <x:c r="A417" s="17"/>
      <x:c r="B417" s="17"/>
      <x:c r="C417" s="17"/>
      <x:c r="D417" s="17"/>
      <x:c r="E417" s="17"/>
      <x:c r="F417" s="17"/>
      <x:c r="G417" s="17"/>
      <x:c r="H417" s="17"/>
      <x:c r="I417" s="17"/>
      <x:c r="J417" s="17"/>
      <x:c r="K417" s="17"/>
      <x:c r="L417" s="17"/>
      <x:c r="M417" s="17"/>
      <x:c r="N417" s="17"/>
      <x:c r="O417" s="17"/>
      <x:c r="P417" s="17"/>
      <x:c r="Q417" s="17"/>
      <x:c r="R417" s="17"/>
      <x:c r="S417" s="17"/>
      <x:c r="T417" s="17"/>
      <x:c r="U417" s="17"/>
      <x:c r="V417" s="17"/>
      <x:c r="W417" s="17"/>
      <x:c r="X417" s="17"/>
      <x:c r="Y417" s="17"/>
      <x:c r="Z417" s="17"/>
    </x:row>
    <x:row r="418">
      <x:c r="A418" s="17"/>
      <x:c r="B418" s="17"/>
      <x:c r="C418" s="17"/>
      <x:c r="D418" s="17"/>
      <x:c r="E418" s="17"/>
      <x:c r="F418" s="17"/>
      <x:c r="G418" s="17"/>
      <x:c r="H418" s="17"/>
      <x:c r="I418" s="17"/>
      <x:c r="J418" s="17"/>
      <x:c r="K418" s="17"/>
      <x:c r="L418" s="17"/>
      <x:c r="M418" s="17"/>
      <x:c r="N418" s="17"/>
      <x:c r="O418" s="17"/>
      <x:c r="P418" s="17"/>
      <x:c r="Q418" s="17"/>
      <x:c r="R418" s="17"/>
      <x:c r="S418" s="17"/>
      <x:c r="T418" s="17"/>
      <x:c r="U418" s="17"/>
      <x:c r="V418" s="17"/>
      <x:c r="W418" s="17"/>
      <x:c r="X418" s="17"/>
      <x:c r="Y418" s="17"/>
      <x:c r="Z418" s="17"/>
    </x:row>
    <x:row r="419">
      <x:c r="A419" s="17"/>
      <x:c r="B419" s="17"/>
      <x:c r="C419" s="17"/>
      <x:c r="D419" s="17"/>
      <x:c r="E419" s="17"/>
      <x:c r="F419" s="17"/>
      <x:c r="G419" s="17"/>
      <x:c r="H419" s="17"/>
      <x:c r="I419" s="17"/>
      <x:c r="J419" s="17"/>
      <x:c r="K419" s="17"/>
      <x:c r="L419" s="17"/>
      <x:c r="M419" s="17"/>
      <x:c r="N419" s="17"/>
      <x:c r="O419" s="17"/>
      <x:c r="P419" s="17"/>
      <x:c r="Q419" s="17"/>
      <x:c r="R419" s="17"/>
      <x:c r="S419" s="17"/>
      <x:c r="T419" s="17"/>
      <x:c r="U419" s="17"/>
      <x:c r="V419" s="17"/>
      <x:c r="W419" s="17"/>
      <x:c r="X419" s="17"/>
      <x:c r="Y419" s="17"/>
      <x:c r="Z419" s="17"/>
    </x:row>
    <x:row r="420">
      <x:c r="A420" s="17"/>
      <x:c r="B420" s="17"/>
      <x:c r="C420" s="17"/>
      <x:c r="D420" s="17"/>
      <x:c r="E420" s="17"/>
      <x:c r="F420" s="17"/>
      <x:c r="G420" s="17"/>
      <x:c r="H420" s="17"/>
      <x:c r="I420" s="17"/>
      <x:c r="J420" s="17"/>
      <x:c r="K420" s="17"/>
      <x:c r="L420" s="17"/>
      <x:c r="M420" s="17"/>
      <x:c r="N420" s="17"/>
      <x:c r="O420" s="17"/>
      <x:c r="P420" s="17"/>
      <x:c r="Q420" s="17"/>
      <x:c r="R420" s="17"/>
      <x:c r="S420" s="17"/>
      <x:c r="T420" s="17"/>
      <x:c r="U420" s="17"/>
      <x:c r="V420" s="17"/>
      <x:c r="W420" s="17"/>
      <x:c r="X420" s="17"/>
      <x:c r="Y420" s="17"/>
      <x:c r="Z420" s="17"/>
    </x:row>
    <x:row r="421">
      <x:c r="A421" s="17"/>
      <x:c r="B421" s="17"/>
      <x:c r="C421" s="17"/>
      <x:c r="D421" s="17"/>
      <x:c r="E421" s="17"/>
      <x:c r="F421" s="17"/>
      <x:c r="G421" s="17"/>
      <x:c r="H421" s="17"/>
      <x:c r="I421" s="17"/>
      <x:c r="J421" s="17"/>
      <x:c r="K421" s="17"/>
      <x:c r="L421" s="17"/>
      <x:c r="M421" s="17"/>
      <x:c r="N421" s="17"/>
      <x:c r="O421" s="17"/>
      <x:c r="P421" s="17"/>
      <x:c r="Q421" s="17"/>
      <x:c r="R421" s="17"/>
      <x:c r="S421" s="17"/>
      <x:c r="T421" s="17"/>
      <x:c r="U421" s="17"/>
      <x:c r="V421" s="17"/>
      <x:c r="W421" s="17"/>
      <x:c r="X421" s="17"/>
      <x:c r="Y421" s="17"/>
      <x:c r="Z421" s="17"/>
    </x:row>
    <x:row r="422">
      <x:c r="A422" s="17"/>
      <x:c r="B422" s="17"/>
      <x:c r="C422" s="17"/>
      <x:c r="D422" s="17"/>
      <x:c r="E422" s="17"/>
      <x:c r="F422" s="17"/>
      <x:c r="G422" s="17"/>
      <x:c r="H422" s="17"/>
      <x:c r="I422" s="17"/>
      <x:c r="J422" s="17"/>
      <x:c r="K422" s="17"/>
      <x:c r="L422" s="17"/>
      <x:c r="M422" s="17"/>
      <x:c r="N422" s="17"/>
      <x:c r="O422" s="17"/>
      <x:c r="P422" s="17"/>
      <x:c r="Q422" s="17"/>
      <x:c r="R422" s="17"/>
      <x:c r="S422" s="17"/>
      <x:c r="T422" s="17"/>
      <x:c r="U422" s="17"/>
      <x:c r="V422" s="17"/>
      <x:c r="W422" s="17"/>
      <x:c r="X422" s="17"/>
      <x:c r="Y422" s="17"/>
      <x:c r="Z422" s="17"/>
    </x:row>
    <x:row r="423">
      <x:c r="A423" s="17"/>
      <x:c r="B423" s="17"/>
      <x:c r="C423" s="17"/>
      <x:c r="D423" s="17"/>
      <x:c r="E423" s="17"/>
      <x:c r="F423" s="17"/>
      <x:c r="G423" s="17"/>
      <x:c r="H423" s="17"/>
      <x:c r="I423" s="17"/>
      <x:c r="J423" s="17"/>
      <x:c r="K423" s="17"/>
      <x:c r="L423" s="17"/>
      <x:c r="M423" s="17"/>
      <x:c r="N423" s="17"/>
      <x:c r="O423" s="17"/>
      <x:c r="P423" s="17"/>
      <x:c r="Q423" s="17"/>
      <x:c r="R423" s="17"/>
      <x:c r="S423" s="17"/>
      <x:c r="T423" s="17"/>
      <x:c r="U423" s="17"/>
      <x:c r="V423" s="17"/>
      <x:c r="W423" s="17"/>
      <x:c r="X423" s="17"/>
      <x:c r="Y423" s="17"/>
      <x:c r="Z423" s="17"/>
    </x:row>
    <x:row r="424">
      <x:c r="A424" s="17"/>
      <x:c r="B424" s="17"/>
      <x:c r="C424" s="17"/>
      <x:c r="D424" s="17"/>
      <x:c r="E424" s="17"/>
      <x:c r="F424" s="17"/>
      <x:c r="G424" s="17"/>
      <x:c r="H424" s="17"/>
      <x:c r="I424" s="17"/>
      <x:c r="J424" s="17"/>
      <x:c r="K424" s="17"/>
      <x:c r="L424" s="17"/>
      <x:c r="M424" s="17"/>
      <x:c r="N424" s="17"/>
      <x:c r="O424" s="17"/>
      <x:c r="P424" s="17"/>
      <x:c r="Q424" s="17"/>
      <x:c r="R424" s="17"/>
      <x:c r="S424" s="17"/>
      <x:c r="T424" s="17"/>
      <x:c r="U424" s="17"/>
      <x:c r="V424" s="17"/>
      <x:c r="W424" s="17"/>
      <x:c r="X424" s="17"/>
      <x:c r="Y424" s="17"/>
      <x:c r="Z424" s="17"/>
    </x:row>
    <x:row r="425">
      <x:c r="A425" s="17"/>
      <x:c r="B425" s="17"/>
      <x:c r="C425" s="17"/>
      <x:c r="D425" s="17"/>
      <x:c r="E425" s="17"/>
      <x:c r="F425" s="17"/>
      <x:c r="G425" s="17"/>
      <x:c r="H425" s="17"/>
      <x:c r="I425" s="17"/>
      <x:c r="J425" s="17"/>
      <x:c r="K425" s="17"/>
      <x:c r="L425" s="17"/>
      <x:c r="M425" s="17"/>
      <x:c r="N425" s="17"/>
      <x:c r="O425" s="17"/>
      <x:c r="P425" s="17"/>
      <x:c r="Q425" s="17"/>
      <x:c r="R425" s="17"/>
      <x:c r="S425" s="17"/>
      <x:c r="T425" s="17"/>
      <x:c r="U425" s="17"/>
      <x:c r="V425" s="17"/>
      <x:c r="W425" s="17"/>
      <x:c r="X425" s="17"/>
      <x:c r="Y425" s="17"/>
      <x:c r="Z425" s="17"/>
    </x:row>
    <x:row r="426">
      <x:c r="A426" s="17"/>
      <x:c r="B426" s="17"/>
      <x:c r="C426" s="17"/>
      <x:c r="D426" s="17"/>
      <x:c r="E426" s="17"/>
      <x:c r="F426" s="17"/>
      <x:c r="G426" s="17"/>
      <x:c r="H426" s="17"/>
      <x:c r="I426" s="17"/>
      <x:c r="J426" s="17"/>
      <x:c r="K426" s="17"/>
      <x:c r="L426" s="17"/>
      <x:c r="M426" s="17"/>
      <x:c r="N426" s="17"/>
      <x:c r="O426" s="17"/>
      <x:c r="P426" s="17"/>
      <x:c r="Q426" s="17"/>
      <x:c r="R426" s="17"/>
      <x:c r="S426" s="17"/>
      <x:c r="T426" s="17"/>
      <x:c r="U426" s="17"/>
      <x:c r="V426" s="17"/>
      <x:c r="W426" s="17"/>
      <x:c r="X426" s="17"/>
      <x:c r="Y426" s="17"/>
      <x:c r="Z426" s="17"/>
    </x:row>
    <x:row r="427">
      <x:c r="A427" s="17"/>
      <x:c r="B427" s="17"/>
      <x:c r="C427" s="17"/>
      <x:c r="D427" s="17"/>
      <x:c r="E427" s="17"/>
      <x:c r="F427" s="17"/>
      <x:c r="G427" s="17"/>
      <x:c r="H427" s="17"/>
      <x:c r="I427" s="17"/>
      <x:c r="J427" s="17"/>
      <x:c r="K427" s="17"/>
      <x:c r="L427" s="17"/>
      <x:c r="M427" s="17"/>
      <x:c r="N427" s="17"/>
      <x:c r="O427" s="17"/>
      <x:c r="P427" s="17"/>
      <x:c r="Q427" s="17"/>
      <x:c r="R427" s="17"/>
      <x:c r="S427" s="17"/>
      <x:c r="T427" s="17"/>
      <x:c r="U427" s="17"/>
      <x:c r="V427" s="17"/>
      <x:c r="W427" s="17"/>
      <x:c r="X427" s="17"/>
      <x:c r="Y427" s="17"/>
      <x:c r="Z427" s="17"/>
    </x:row>
    <x:row r="428">
      <x:c r="A428" s="17"/>
      <x:c r="B428" s="17"/>
      <x:c r="C428" s="17"/>
      <x:c r="D428" s="17"/>
      <x:c r="E428" s="17"/>
      <x:c r="F428" s="17"/>
      <x:c r="G428" s="17"/>
      <x:c r="H428" s="17"/>
      <x:c r="I428" s="17"/>
      <x:c r="J428" s="17"/>
      <x:c r="K428" s="17"/>
      <x:c r="L428" s="17"/>
      <x:c r="M428" s="17"/>
      <x:c r="N428" s="17"/>
      <x:c r="O428" s="17"/>
      <x:c r="P428" s="17"/>
      <x:c r="Q428" s="17"/>
      <x:c r="R428" s="17"/>
      <x:c r="S428" s="17"/>
      <x:c r="T428" s="17"/>
      <x:c r="U428" s="17"/>
      <x:c r="V428" s="17"/>
      <x:c r="W428" s="17"/>
      <x:c r="X428" s="17"/>
      <x:c r="Y428" s="17"/>
      <x:c r="Z428" s="17"/>
    </x:row>
    <x:row r="429">
      <x:c r="A429" s="17"/>
      <x:c r="B429" s="17"/>
      <x:c r="C429" s="17"/>
      <x:c r="D429" s="17"/>
      <x:c r="E429" s="17"/>
      <x:c r="F429" s="17"/>
      <x:c r="G429" s="17"/>
      <x:c r="H429" s="17"/>
      <x:c r="I429" s="17"/>
      <x:c r="J429" s="17"/>
      <x:c r="K429" s="17"/>
      <x:c r="L429" s="17"/>
      <x:c r="M429" s="17"/>
      <x:c r="N429" s="17"/>
      <x:c r="O429" s="17"/>
      <x:c r="P429" s="17"/>
      <x:c r="Q429" s="17"/>
      <x:c r="R429" s="17"/>
      <x:c r="S429" s="17"/>
      <x:c r="T429" s="17"/>
      <x:c r="U429" s="17"/>
      <x:c r="V429" s="17"/>
      <x:c r="W429" s="17"/>
      <x:c r="X429" s="17"/>
      <x:c r="Y429" s="17"/>
      <x:c r="Z429" s="17"/>
    </x:row>
    <x:row r="430">
      <x:c r="A430" s="17"/>
      <x:c r="B430" s="17"/>
      <x:c r="C430" s="17"/>
      <x:c r="D430" s="17"/>
      <x:c r="E430" s="17"/>
      <x:c r="F430" s="17"/>
      <x:c r="G430" s="17"/>
      <x:c r="H430" s="17"/>
      <x:c r="I430" s="17"/>
      <x:c r="J430" s="17"/>
      <x:c r="K430" s="17"/>
      <x:c r="L430" s="17"/>
      <x:c r="M430" s="17"/>
      <x:c r="N430" s="17"/>
      <x:c r="O430" s="17"/>
      <x:c r="P430" s="17"/>
      <x:c r="Q430" s="17"/>
      <x:c r="R430" s="17"/>
      <x:c r="S430" s="17"/>
      <x:c r="T430" s="17"/>
      <x:c r="U430" s="17"/>
      <x:c r="V430" s="17"/>
      <x:c r="W430" s="17"/>
      <x:c r="X430" s="17"/>
      <x:c r="Y430" s="17"/>
      <x:c r="Z430" s="17"/>
    </x:row>
    <x:row r="431">
      <x:c r="A431" s="17"/>
      <x:c r="B431" s="17"/>
      <x:c r="C431" s="17"/>
      <x:c r="D431" s="17"/>
      <x:c r="E431" s="17"/>
      <x:c r="F431" s="17"/>
      <x:c r="G431" s="17"/>
      <x:c r="H431" s="17"/>
      <x:c r="I431" s="17"/>
      <x:c r="J431" s="17"/>
      <x:c r="K431" s="17"/>
      <x:c r="L431" s="17"/>
      <x:c r="M431" s="17"/>
      <x:c r="N431" s="17"/>
      <x:c r="O431" s="17"/>
      <x:c r="P431" s="17"/>
      <x:c r="Q431" s="17"/>
      <x:c r="R431" s="17"/>
      <x:c r="S431" s="17"/>
      <x:c r="T431" s="17"/>
      <x:c r="U431" s="17"/>
      <x:c r="V431" s="17"/>
      <x:c r="W431" s="17"/>
      <x:c r="X431" s="17"/>
      <x:c r="Y431" s="17"/>
      <x:c r="Z431" s="17"/>
    </x:row>
    <x:row r="432">
      <x:c r="A432" s="17"/>
      <x:c r="B432" s="17"/>
      <x:c r="C432" s="17"/>
      <x:c r="D432" s="17"/>
      <x:c r="E432" s="17"/>
      <x:c r="F432" s="17"/>
      <x:c r="G432" s="17"/>
      <x:c r="H432" s="17"/>
      <x:c r="I432" s="17"/>
      <x:c r="J432" s="17"/>
      <x:c r="K432" s="17"/>
      <x:c r="L432" s="17"/>
      <x:c r="M432" s="17"/>
      <x:c r="N432" s="17"/>
      <x:c r="O432" s="17"/>
      <x:c r="P432" s="17"/>
      <x:c r="Q432" s="17"/>
      <x:c r="R432" s="17"/>
      <x:c r="S432" s="17"/>
      <x:c r="T432" s="17"/>
      <x:c r="U432" s="17"/>
      <x:c r="V432" s="17"/>
      <x:c r="W432" s="17"/>
      <x:c r="X432" s="17"/>
      <x:c r="Y432" s="17"/>
      <x:c r="Z432" s="17"/>
    </x:row>
    <x:row r="433">
      <x:c r="A433" s="17"/>
      <x:c r="B433" s="17"/>
      <x:c r="C433" s="17"/>
      <x:c r="D433" s="17"/>
      <x:c r="E433" s="17"/>
      <x:c r="F433" s="17"/>
      <x:c r="G433" s="17"/>
      <x:c r="H433" s="17"/>
      <x:c r="I433" s="17"/>
      <x:c r="J433" s="17"/>
      <x:c r="K433" s="17"/>
      <x:c r="L433" s="17"/>
      <x:c r="M433" s="17"/>
      <x:c r="N433" s="17"/>
      <x:c r="O433" s="17"/>
      <x:c r="P433" s="17"/>
      <x:c r="Q433" s="17"/>
      <x:c r="R433" s="17"/>
      <x:c r="S433" s="17"/>
      <x:c r="T433" s="17"/>
      <x:c r="U433" s="17"/>
      <x:c r="V433" s="17"/>
      <x:c r="W433" s="17"/>
      <x:c r="X433" s="17"/>
      <x:c r="Y433" s="17"/>
      <x:c r="Z433" s="17"/>
    </x:row>
    <x:row r="434">
      <x:c r="A434" s="17"/>
      <x:c r="B434" s="17"/>
      <x:c r="C434" s="17"/>
      <x:c r="D434" s="17"/>
      <x:c r="E434" s="17"/>
      <x:c r="F434" s="17"/>
      <x:c r="G434" s="17"/>
      <x:c r="H434" s="17"/>
      <x:c r="I434" s="17"/>
      <x:c r="J434" s="17"/>
      <x:c r="K434" s="17"/>
      <x:c r="L434" s="17"/>
      <x:c r="M434" s="17"/>
      <x:c r="N434" s="17"/>
      <x:c r="O434" s="17"/>
      <x:c r="P434" s="17"/>
      <x:c r="Q434" s="17"/>
      <x:c r="R434" s="17"/>
      <x:c r="S434" s="17"/>
      <x:c r="T434" s="17"/>
      <x:c r="U434" s="17"/>
      <x:c r="V434" s="17"/>
      <x:c r="W434" s="17"/>
      <x:c r="X434" s="17"/>
      <x:c r="Y434" s="17"/>
      <x:c r="Z434" s="17"/>
    </x:row>
    <x:row r="435">
      <x:c r="A435" s="17"/>
      <x:c r="B435" s="17"/>
      <x:c r="C435" s="17"/>
      <x:c r="D435" s="17"/>
      <x:c r="E435" s="17"/>
      <x:c r="F435" s="17"/>
      <x:c r="G435" s="17"/>
      <x:c r="H435" s="17"/>
      <x:c r="I435" s="17"/>
      <x:c r="J435" s="17"/>
      <x:c r="K435" s="17"/>
      <x:c r="L435" s="17"/>
      <x:c r="M435" s="17"/>
      <x:c r="N435" s="17"/>
      <x:c r="O435" s="17"/>
      <x:c r="P435" s="17"/>
      <x:c r="Q435" s="17"/>
      <x:c r="R435" s="17"/>
      <x:c r="S435" s="17"/>
      <x:c r="T435" s="17"/>
      <x:c r="U435" s="17"/>
      <x:c r="V435" s="17"/>
      <x:c r="W435" s="17"/>
      <x:c r="X435" s="17"/>
      <x:c r="Y435" s="17"/>
      <x:c r="Z435" s="17"/>
    </x:row>
    <x:row r="436">
      <x:c r="A436" s="17"/>
      <x:c r="B436" s="17"/>
      <x:c r="C436" s="17"/>
      <x:c r="D436" s="17"/>
      <x:c r="E436" s="17"/>
      <x:c r="F436" s="17"/>
      <x:c r="G436" s="17"/>
      <x:c r="H436" s="17"/>
      <x:c r="I436" s="17"/>
      <x:c r="J436" s="17"/>
      <x:c r="K436" s="17"/>
      <x:c r="L436" s="17"/>
      <x:c r="M436" s="17"/>
      <x:c r="N436" s="17"/>
      <x:c r="O436" s="17"/>
      <x:c r="P436" s="17"/>
      <x:c r="Q436" s="17"/>
      <x:c r="R436" s="17"/>
      <x:c r="S436" s="17"/>
      <x:c r="T436" s="17"/>
      <x:c r="U436" s="17"/>
      <x:c r="V436" s="17"/>
      <x:c r="W436" s="17"/>
      <x:c r="X436" s="17"/>
      <x:c r="Y436" s="17"/>
      <x:c r="Z436" s="17"/>
    </x:row>
    <x:row r="437">
      <x:c r="A437" s="17"/>
      <x:c r="B437" s="17"/>
      <x:c r="C437" s="17"/>
      <x:c r="D437" s="17"/>
      <x:c r="E437" s="17"/>
      <x:c r="F437" s="17"/>
      <x:c r="G437" s="17"/>
      <x:c r="H437" s="17"/>
      <x:c r="I437" s="17"/>
      <x:c r="J437" s="17"/>
      <x:c r="K437" s="17"/>
      <x:c r="L437" s="17"/>
      <x:c r="M437" s="17"/>
      <x:c r="N437" s="17"/>
      <x:c r="O437" s="17"/>
      <x:c r="P437" s="17"/>
      <x:c r="Q437" s="17"/>
      <x:c r="R437" s="17"/>
      <x:c r="S437" s="17"/>
      <x:c r="T437" s="17"/>
      <x:c r="U437" s="17"/>
      <x:c r="V437" s="17"/>
      <x:c r="W437" s="17"/>
      <x:c r="X437" s="17"/>
      <x:c r="Y437" s="17"/>
      <x:c r="Z437" s="17"/>
    </x:row>
    <x:row r="438">
      <x:c r="A438" s="17"/>
      <x:c r="B438" s="17"/>
      <x:c r="C438" s="17"/>
      <x:c r="D438" s="17"/>
      <x:c r="E438" s="17"/>
      <x:c r="F438" s="17"/>
      <x:c r="G438" s="17"/>
      <x:c r="H438" s="17"/>
      <x:c r="I438" s="17"/>
      <x:c r="J438" s="17"/>
      <x:c r="K438" s="17"/>
      <x:c r="L438" s="17"/>
      <x:c r="M438" s="17"/>
      <x:c r="N438" s="17"/>
      <x:c r="O438" s="17"/>
      <x:c r="P438" s="17"/>
      <x:c r="Q438" s="17"/>
      <x:c r="R438" s="17"/>
      <x:c r="S438" s="17"/>
      <x:c r="T438" s="17"/>
      <x:c r="U438" s="17"/>
      <x:c r="V438" s="17"/>
      <x:c r="W438" s="17"/>
      <x:c r="X438" s="17"/>
      <x:c r="Y438" s="17"/>
      <x:c r="Z438" s="17"/>
    </x:row>
    <x:row r="439">
      <x:c r="A439" s="17"/>
      <x:c r="B439" s="17"/>
      <x:c r="C439" s="17"/>
      <x:c r="D439" s="17"/>
      <x:c r="E439" s="17"/>
      <x:c r="F439" s="17"/>
      <x:c r="G439" s="17"/>
      <x:c r="H439" s="17"/>
      <x:c r="I439" s="17"/>
      <x:c r="J439" s="17"/>
      <x:c r="K439" s="17"/>
      <x:c r="L439" s="17"/>
      <x:c r="M439" s="17"/>
      <x:c r="N439" s="17"/>
      <x:c r="O439" s="17"/>
      <x:c r="P439" s="17"/>
      <x:c r="Q439" s="17"/>
      <x:c r="R439" s="17"/>
      <x:c r="S439" s="17"/>
      <x:c r="T439" s="17"/>
      <x:c r="U439" s="17"/>
      <x:c r="V439" s="17"/>
      <x:c r="W439" s="17"/>
      <x:c r="X439" s="17"/>
      <x:c r="Y439" s="17"/>
      <x:c r="Z439" s="17"/>
    </x:row>
    <x:row r="440">
      <x:c r="A440" s="17"/>
      <x:c r="B440" s="17"/>
      <x:c r="C440" s="17"/>
      <x:c r="D440" s="17"/>
      <x:c r="E440" s="17"/>
      <x:c r="F440" s="17"/>
      <x:c r="G440" s="17"/>
      <x:c r="H440" s="17"/>
      <x:c r="I440" s="17"/>
      <x:c r="J440" s="17"/>
      <x:c r="K440" s="17"/>
      <x:c r="L440" s="17"/>
      <x:c r="M440" s="17"/>
      <x:c r="N440" s="17"/>
      <x:c r="O440" s="17"/>
      <x:c r="P440" s="17"/>
      <x:c r="Q440" s="17"/>
      <x:c r="R440" s="17"/>
      <x:c r="S440" s="17"/>
      <x:c r="T440" s="17"/>
      <x:c r="U440" s="17"/>
      <x:c r="V440" s="17"/>
      <x:c r="W440" s="17"/>
      <x:c r="X440" s="17"/>
      <x:c r="Y440" s="17"/>
      <x:c r="Z440" s="17"/>
    </x:row>
    <x:row r="441">
      <x:c r="A441" s="17"/>
      <x:c r="B441" s="17"/>
      <x:c r="C441" s="17"/>
      <x:c r="D441" s="17"/>
      <x:c r="E441" s="17"/>
      <x:c r="F441" s="17"/>
      <x:c r="G441" s="17"/>
      <x:c r="H441" s="17"/>
      <x:c r="I441" s="17"/>
      <x:c r="J441" s="17"/>
      <x:c r="K441" s="17"/>
      <x:c r="L441" s="17"/>
      <x:c r="M441" s="17"/>
      <x:c r="N441" s="17"/>
      <x:c r="O441" s="17"/>
      <x:c r="P441" s="17"/>
      <x:c r="Q441" s="17"/>
      <x:c r="R441" s="17"/>
      <x:c r="S441" s="17"/>
      <x:c r="T441" s="17"/>
      <x:c r="U441" s="17"/>
      <x:c r="V441" s="17"/>
      <x:c r="W441" s="17"/>
      <x:c r="X441" s="17"/>
      <x:c r="Y441" s="17"/>
      <x:c r="Z441" s="17"/>
    </x:row>
    <x:row r="442">
      <x:c r="A442" s="17"/>
      <x:c r="B442" s="17"/>
      <x:c r="C442" s="17"/>
      <x:c r="D442" s="17"/>
      <x:c r="E442" s="17"/>
      <x:c r="F442" s="17"/>
      <x:c r="G442" s="17"/>
      <x:c r="H442" s="17"/>
      <x:c r="I442" s="17"/>
      <x:c r="J442" s="17"/>
      <x:c r="K442" s="17"/>
      <x:c r="L442" s="17"/>
      <x:c r="M442" s="17"/>
      <x:c r="N442" s="17"/>
      <x:c r="O442" s="17"/>
      <x:c r="P442" s="17"/>
      <x:c r="Q442" s="17"/>
      <x:c r="R442" s="17"/>
      <x:c r="S442" s="17"/>
      <x:c r="T442" s="17"/>
      <x:c r="U442" s="17"/>
      <x:c r="V442" s="17"/>
      <x:c r="W442" s="17"/>
      <x:c r="X442" s="17"/>
      <x:c r="Y442" s="17"/>
      <x:c r="Z442" s="17"/>
    </x:row>
    <x:row r="443">
      <x:c r="A443" s="17"/>
      <x:c r="B443" s="17"/>
      <x:c r="C443" s="17"/>
      <x:c r="D443" s="17"/>
      <x:c r="E443" s="17"/>
      <x:c r="F443" s="17"/>
      <x:c r="G443" s="17"/>
      <x:c r="H443" s="17"/>
      <x:c r="I443" s="17"/>
      <x:c r="J443" s="17"/>
      <x:c r="K443" s="17"/>
      <x:c r="L443" s="17"/>
      <x:c r="M443" s="17"/>
      <x:c r="N443" s="17"/>
      <x:c r="O443" s="17"/>
      <x:c r="P443" s="17"/>
      <x:c r="Q443" s="17"/>
      <x:c r="R443" s="17"/>
      <x:c r="S443" s="17"/>
      <x:c r="T443" s="17"/>
      <x:c r="U443" s="17"/>
      <x:c r="V443" s="17"/>
      <x:c r="W443" s="17"/>
      <x:c r="X443" s="17"/>
      <x:c r="Y443" s="17"/>
      <x:c r="Z443" s="17"/>
    </x:row>
    <x:row r="444">
      <x:c r="A444" s="17"/>
      <x:c r="B444" s="17"/>
      <x:c r="C444" s="17"/>
      <x:c r="D444" s="17"/>
      <x:c r="E444" s="17"/>
      <x:c r="F444" s="17"/>
      <x:c r="G444" s="17"/>
      <x:c r="H444" s="17"/>
      <x:c r="I444" s="17"/>
      <x:c r="J444" s="17"/>
      <x:c r="K444" s="17"/>
      <x:c r="L444" s="17"/>
      <x:c r="M444" s="17"/>
      <x:c r="N444" s="17"/>
      <x:c r="O444" s="17"/>
      <x:c r="P444" s="17"/>
      <x:c r="Q444" s="17"/>
      <x:c r="R444" s="17"/>
      <x:c r="S444" s="17"/>
      <x:c r="T444" s="17"/>
      <x:c r="U444" s="17"/>
      <x:c r="V444" s="17"/>
      <x:c r="W444" s="17"/>
      <x:c r="X444" s="17"/>
      <x:c r="Y444" s="17"/>
      <x:c r="Z444" s="17"/>
    </x:row>
    <x:row r="445">
      <x:c r="A445" s="17"/>
      <x:c r="B445" s="17"/>
      <x:c r="C445" s="17"/>
      <x:c r="D445" s="17"/>
      <x:c r="E445" s="17"/>
      <x:c r="F445" s="17"/>
      <x:c r="G445" s="17"/>
      <x:c r="H445" s="17"/>
      <x:c r="I445" s="17"/>
      <x:c r="J445" s="17"/>
      <x:c r="K445" s="17"/>
      <x:c r="L445" s="17"/>
      <x:c r="M445" s="17"/>
      <x:c r="N445" s="17"/>
      <x:c r="O445" s="17"/>
      <x:c r="P445" s="17"/>
      <x:c r="Q445" s="17"/>
      <x:c r="R445" s="17"/>
      <x:c r="S445" s="17"/>
      <x:c r="T445" s="17"/>
      <x:c r="U445" s="17"/>
      <x:c r="V445" s="17"/>
      <x:c r="W445" s="17"/>
      <x:c r="X445" s="17"/>
      <x:c r="Y445" s="17"/>
      <x:c r="Z445" s="17"/>
    </x:row>
    <x:row r="446">
      <x:c r="A446" s="17"/>
      <x:c r="B446" s="17"/>
      <x:c r="C446" s="17"/>
      <x:c r="D446" s="17"/>
      <x:c r="E446" s="17"/>
      <x:c r="F446" s="17"/>
      <x:c r="G446" s="17"/>
      <x:c r="H446" s="17"/>
      <x:c r="I446" s="17"/>
      <x:c r="J446" s="17"/>
      <x:c r="K446" s="17"/>
      <x:c r="L446" s="17"/>
      <x:c r="M446" s="17"/>
      <x:c r="N446" s="17"/>
      <x:c r="O446" s="17"/>
      <x:c r="P446" s="17"/>
      <x:c r="Q446" s="17"/>
      <x:c r="R446" s="17"/>
      <x:c r="S446" s="17"/>
      <x:c r="T446" s="17"/>
      <x:c r="U446" s="17"/>
      <x:c r="V446" s="17"/>
      <x:c r="W446" s="17"/>
      <x:c r="X446" s="17"/>
      <x:c r="Y446" s="17"/>
      <x:c r="Z446" s="17"/>
    </x:row>
    <x:row r="447">
      <x:c r="A447" s="17"/>
      <x:c r="B447" s="17"/>
      <x:c r="C447" s="17"/>
      <x:c r="D447" s="17"/>
      <x:c r="E447" s="17"/>
      <x:c r="F447" s="17"/>
      <x:c r="G447" s="17"/>
      <x:c r="H447" s="17"/>
      <x:c r="I447" s="17"/>
      <x:c r="J447" s="17"/>
      <x:c r="K447" s="17"/>
      <x:c r="L447" s="17"/>
      <x:c r="M447" s="17"/>
      <x:c r="N447" s="17"/>
      <x:c r="O447" s="17"/>
      <x:c r="P447" s="17"/>
      <x:c r="Q447" s="17"/>
      <x:c r="R447" s="17"/>
      <x:c r="S447" s="17"/>
      <x:c r="T447" s="17"/>
      <x:c r="U447" s="17"/>
      <x:c r="V447" s="17"/>
      <x:c r="W447" s="17"/>
      <x:c r="X447" s="17"/>
      <x:c r="Y447" s="17"/>
      <x:c r="Z447" s="17"/>
    </x:row>
    <x:row r="448">
      <x:c r="A448" s="17"/>
      <x:c r="B448" s="17"/>
      <x:c r="C448" s="17"/>
      <x:c r="D448" s="17"/>
      <x:c r="E448" s="17"/>
      <x:c r="F448" s="17"/>
      <x:c r="G448" s="17"/>
      <x:c r="H448" s="17"/>
      <x:c r="I448" s="17"/>
      <x:c r="J448" s="17"/>
      <x:c r="K448" s="17"/>
      <x:c r="L448" s="17"/>
      <x:c r="M448" s="17"/>
      <x:c r="N448" s="17"/>
      <x:c r="O448" s="17"/>
      <x:c r="P448" s="17"/>
      <x:c r="Q448" s="17"/>
      <x:c r="R448" s="17"/>
      <x:c r="S448" s="17"/>
      <x:c r="T448" s="17"/>
      <x:c r="U448" s="17"/>
      <x:c r="V448" s="17"/>
      <x:c r="W448" s="17"/>
      <x:c r="X448" s="17"/>
      <x:c r="Y448" s="17"/>
      <x:c r="Z448" s="17"/>
    </x:row>
    <x:row r="449">
      <x:c r="A449" s="17"/>
      <x:c r="B449" s="17"/>
      <x:c r="C449" s="17"/>
      <x:c r="D449" s="17"/>
      <x:c r="E449" s="17"/>
      <x:c r="F449" s="17"/>
      <x:c r="G449" s="17"/>
      <x:c r="H449" s="17"/>
      <x:c r="I449" s="17"/>
      <x:c r="J449" s="17"/>
      <x:c r="K449" s="17"/>
      <x:c r="L449" s="17"/>
      <x:c r="M449" s="17"/>
      <x:c r="N449" s="17"/>
      <x:c r="O449" s="17"/>
      <x:c r="P449" s="17"/>
      <x:c r="Q449" s="17"/>
      <x:c r="R449" s="17"/>
      <x:c r="S449" s="17"/>
      <x:c r="T449" s="17"/>
      <x:c r="U449" s="17"/>
      <x:c r="V449" s="17"/>
      <x:c r="W449" s="17"/>
      <x:c r="X449" s="17"/>
      <x:c r="Y449" s="17"/>
      <x:c r="Z449" s="17"/>
    </x:row>
    <x:row r="450">
      <x:c r="A450" s="17"/>
      <x:c r="B450" s="17"/>
      <x:c r="C450" s="17"/>
      <x:c r="D450" s="17"/>
      <x:c r="E450" s="17"/>
      <x:c r="F450" s="17"/>
      <x:c r="G450" s="17"/>
      <x:c r="H450" s="17"/>
      <x:c r="I450" s="17"/>
      <x:c r="J450" s="17"/>
      <x:c r="K450" s="17"/>
      <x:c r="L450" s="17"/>
      <x:c r="M450" s="17"/>
      <x:c r="N450" s="17"/>
      <x:c r="O450" s="17"/>
      <x:c r="P450" s="17"/>
      <x:c r="Q450" s="17"/>
      <x:c r="R450" s="17"/>
      <x:c r="S450" s="17"/>
      <x:c r="T450" s="17"/>
      <x:c r="U450" s="17"/>
      <x:c r="V450" s="17"/>
      <x:c r="W450" s="17"/>
      <x:c r="X450" s="17"/>
      <x:c r="Y450" s="17"/>
      <x:c r="Z450" s="17"/>
    </x:row>
    <x:row r="451">
      <x:c r="A451" s="17"/>
      <x:c r="B451" s="17"/>
      <x:c r="C451" s="17"/>
      <x:c r="D451" s="17"/>
      <x:c r="E451" s="17"/>
      <x:c r="F451" s="17"/>
      <x:c r="G451" s="17"/>
      <x:c r="H451" s="17"/>
      <x:c r="I451" s="17"/>
      <x:c r="J451" s="17"/>
      <x:c r="K451" s="17"/>
      <x:c r="L451" s="17"/>
      <x:c r="M451" s="17"/>
      <x:c r="N451" s="17"/>
      <x:c r="O451" s="17"/>
      <x:c r="P451" s="17"/>
      <x:c r="Q451" s="17"/>
      <x:c r="R451" s="17"/>
      <x:c r="S451" s="17"/>
      <x:c r="T451" s="17"/>
      <x:c r="U451" s="17"/>
      <x:c r="V451" s="17"/>
      <x:c r="W451" s="17"/>
      <x:c r="X451" s="17"/>
      <x:c r="Y451" s="17"/>
      <x:c r="Z451" s="17"/>
    </x:row>
    <x:row r="452">
      <x:c r="A452" s="17"/>
      <x:c r="B452" s="17"/>
      <x:c r="C452" s="17"/>
      <x:c r="D452" s="17"/>
      <x:c r="E452" s="17"/>
      <x:c r="F452" s="17"/>
      <x:c r="G452" s="17"/>
      <x:c r="H452" s="17"/>
      <x:c r="I452" s="17"/>
      <x:c r="J452" s="17"/>
      <x:c r="K452" s="17"/>
      <x:c r="L452" s="17"/>
      <x:c r="M452" s="17"/>
      <x:c r="N452" s="17"/>
      <x:c r="O452" s="17"/>
      <x:c r="P452" s="17"/>
      <x:c r="Q452" s="17"/>
      <x:c r="R452" s="17"/>
      <x:c r="S452" s="17"/>
      <x:c r="T452" s="17"/>
      <x:c r="U452" s="17"/>
      <x:c r="V452" s="17"/>
      <x:c r="W452" s="17"/>
      <x:c r="X452" s="17"/>
      <x:c r="Y452" s="17"/>
      <x:c r="Z452" s="17"/>
    </x:row>
    <x:row r="453">
      <x:c r="A453" s="17"/>
      <x:c r="B453" s="17"/>
      <x:c r="C453" s="17"/>
      <x:c r="D453" s="17"/>
      <x:c r="E453" s="17"/>
      <x:c r="F453" s="17"/>
      <x:c r="G453" s="17"/>
      <x:c r="H453" s="17"/>
      <x:c r="I453" s="17"/>
      <x:c r="J453" s="17"/>
      <x:c r="K453" s="17"/>
      <x:c r="L453" s="17"/>
      <x:c r="M453" s="17"/>
      <x:c r="N453" s="17"/>
      <x:c r="O453" s="17"/>
      <x:c r="P453" s="17"/>
      <x:c r="Q453" s="17"/>
      <x:c r="R453" s="17"/>
      <x:c r="S453" s="17"/>
      <x:c r="T453" s="17"/>
      <x:c r="U453" s="17"/>
      <x:c r="V453" s="17"/>
      <x:c r="W453" s="17"/>
      <x:c r="X453" s="17"/>
      <x:c r="Y453" s="17"/>
      <x:c r="Z453" s="17"/>
    </x:row>
    <x:row r="454">
      <x:c r="A454" s="17"/>
      <x:c r="B454" s="17"/>
      <x:c r="C454" s="17"/>
      <x:c r="D454" s="17"/>
      <x:c r="E454" s="17"/>
      <x:c r="F454" s="17"/>
      <x:c r="G454" s="17"/>
      <x:c r="H454" s="17"/>
      <x:c r="I454" s="17"/>
      <x:c r="J454" s="17"/>
      <x:c r="K454" s="17"/>
      <x:c r="L454" s="17"/>
      <x:c r="M454" s="17"/>
      <x:c r="N454" s="17"/>
      <x:c r="O454" s="17"/>
      <x:c r="P454" s="17"/>
      <x:c r="Q454" s="17"/>
      <x:c r="R454" s="17"/>
      <x:c r="S454" s="17"/>
      <x:c r="T454" s="17"/>
      <x:c r="U454" s="17"/>
      <x:c r="V454" s="17"/>
      <x:c r="W454" s="17"/>
      <x:c r="X454" s="17"/>
      <x:c r="Y454" s="17"/>
      <x:c r="Z454" s="17"/>
    </x:row>
    <x:row r="455">
      <x:c r="A455" s="17"/>
      <x:c r="B455" s="17"/>
      <x:c r="C455" s="17"/>
      <x:c r="D455" s="17"/>
      <x:c r="E455" s="17"/>
      <x:c r="F455" s="17"/>
      <x:c r="G455" s="17"/>
      <x:c r="H455" s="17"/>
      <x:c r="I455" s="17"/>
      <x:c r="J455" s="17"/>
      <x:c r="K455" s="17"/>
      <x:c r="L455" s="17"/>
      <x:c r="M455" s="17"/>
      <x:c r="N455" s="17"/>
      <x:c r="O455" s="17"/>
      <x:c r="P455" s="17"/>
      <x:c r="Q455" s="17"/>
      <x:c r="R455" s="17"/>
      <x:c r="S455" s="17"/>
      <x:c r="T455" s="17"/>
      <x:c r="U455" s="17"/>
      <x:c r="V455" s="17"/>
      <x:c r="W455" s="17"/>
      <x:c r="X455" s="17"/>
      <x:c r="Y455" s="17"/>
      <x:c r="Z455" s="17"/>
    </x:row>
    <x:row r="456">
      <x:c r="A456" s="17"/>
      <x:c r="B456" s="17"/>
      <x:c r="C456" s="17"/>
      <x:c r="D456" s="17"/>
      <x:c r="E456" s="17"/>
      <x:c r="F456" s="17"/>
      <x:c r="G456" s="17"/>
      <x:c r="H456" s="17"/>
      <x:c r="I456" s="17"/>
      <x:c r="J456" s="17"/>
      <x:c r="K456" s="17"/>
      <x:c r="L456" s="17"/>
      <x:c r="M456" s="17"/>
      <x:c r="N456" s="17"/>
      <x:c r="O456" s="17"/>
      <x:c r="P456" s="17"/>
      <x:c r="Q456" s="17"/>
      <x:c r="R456" s="17"/>
      <x:c r="S456" s="17"/>
      <x:c r="T456" s="17"/>
      <x:c r="U456" s="17"/>
      <x:c r="V456" s="17"/>
      <x:c r="W456" s="17"/>
      <x:c r="X456" s="17"/>
      <x:c r="Y456" s="17"/>
      <x:c r="Z456" s="17"/>
    </x:row>
    <x:row r="457">
      <x:c r="A457" s="17"/>
      <x:c r="B457" s="17"/>
      <x:c r="C457" s="17"/>
      <x:c r="D457" s="17"/>
      <x:c r="E457" s="17"/>
      <x:c r="F457" s="17"/>
      <x:c r="G457" s="17"/>
      <x:c r="H457" s="17"/>
      <x:c r="I457" s="17"/>
      <x:c r="J457" s="17"/>
      <x:c r="K457" s="17"/>
      <x:c r="L457" s="17"/>
      <x:c r="M457" s="17"/>
      <x:c r="N457" s="17"/>
      <x:c r="O457" s="17"/>
      <x:c r="P457" s="17"/>
      <x:c r="Q457" s="17"/>
      <x:c r="R457" s="17"/>
      <x:c r="S457" s="17"/>
      <x:c r="T457" s="17"/>
      <x:c r="U457" s="17"/>
      <x:c r="V457" s="17"/>
      <x:c r="W457" s="17"/>
      <x:c r="X457" s="17"/>
      <x:c r="Y457" s="17"/>
      <x:c r="Z457" s="17"/>
    </x:row>
    <x:row r="458">
      <x:c r="A458" s="17"/>
      <x:c r="B458" s="17"/>
      <x:c r="C458" s="17"/>
      <x:c r="D458" s="17"/>
      <x:c r="E458" s="17"/>
      <x:c r="F458" s="17"/>
      <x:c r="G458" s="17"/>
      <x:c r="H458" s="17"/>
      <x:c r="I458" s="17"/>
      <x:c r="J458" s="17"/>
      <x:c r="K458" s="17"/>
      <x:c r="L458" s="17"/>
      <x:c r="M458" s="17"/>
      <x:c r="N458" s="17"/>
      <x:c r="O458" s="17"/>
      <x:c r="P458" s="17"/>
      <x:c r="Q458" s="17"/>
      <x:c r="R458" s="17"/>
      <x:c r="S458" s="17"/>
      <x:c r="T458" s="17"/>
      <x:c r="U458" s="17"/>
      <x:c r="V458" s="17"/>
      <x:c r="W458" s="17"/>
      <x:c r="X458" s="17"/>
      <x:c r="Y458" s="17"/>
      <x:c r="Z458" s="17"/>
    </x:row>
    <x:row r="459">
      <x:c r="A459" s="17"/>
      <x:c r="B459" s="17"/>
      <x:c r="C459" s="17"/>
      <x:c r="D459" s="17"/>
      <x:c r="E459" s="17"/>
      <x:c r="F459" s="17"/>
      <x:c r="G459" s="17"/>
      <x:c r="H459" s="17"/>
      <x:c r="I459" s="17"/>
      <x:c r="J459" s="17"/>
      <x:c r="K459" s="17"/>
      <x:c r="L459" s="17"/>
      <x:c r="M459" s="17"/>
      <x:c r="N459" s="17"/>
      <x:c r="O459" s="17"/>
      <x:c r="P459" s="17"/>
      <x:c r="Q459" s="17"/>
      <x:c r="R459" s="17"/>
      <x:c r="S459" s="17"/>
      <x:c r="T459" s="17"/>
      <x:c r="U459" s="17"/>
      <x:c r="V459" s="17"/>
      <x:c r="W459" s="17"/>
      <x:c r="X459" s="17"/>
      <x:c r="Y459" s="17"/>
      <x:c r="Z459" s="17"/>
    </x:row>
    <x:row r="460">
      <x:c r="A460" s="17"/>
      <x:c r="B460" s="17"/>
      <x:c r="C460" s="17"/>
      <x:c r="D460" s="17"/>
      <x:c r="E460" s="17"/>
      <x:c r="F460" s="17"/>
      <x:c r="G460" s="17"/>
      <x:c r="H460" s="17"/>
      <x:c r="I460" s="17"/>
      <x:c r="J460" s="17"/>
      <x:c r="K460" s="17"/>
      <x:c r="L460" s="17"/>
      <x:c r="M460" s="17"/>
      <x:c r="N460" s="17"/>
      <x:c r="O460" s="17"/>
      <x:c r="P460" s="17"/>
      <x:c r="Q460" s="17"/>
      <x:c r="R460" s="17"/>
      <x:c r="S460" s="17"/>
      <x:c r="T460" s="17"/>
      <x:c r="U460" s="17"/>
      <x:c r="V460" s="17"/>
      <x:c r="W460" s="17"/>
      <x:c r="X460" s="17"/>
      <x:c r="Y460" s="17"/>
      <x:c r="Z460" s="17"/>
    </x:row>
    <x:row r="461">
      <x:c r="A461" s="17"/>
      <x:c r="B461" s="17"/>
      <x:c r="C461" s="17"/>
      <x:c r="D461" s="17"/>
      <x:c r="E461" s="17"/>
      <x:c r="F461" s="17"/>
      <x:c r="G461" s="17"/>
      <x:c r="H461" s="17"/>
      <x:c r="I461" s="17"/>
      <x:c r="J461" s="17"/>
      <x:c r="K461" s="17"/>
      <x:c r="L461" s="17"/>
      <x:c r="M461" s="17"/>
      <x:c r="N461" s="17"/>
      <x:c r="O461" s="17"/>
      <x:c r="P461" s="17"/>
      <x:c r="Q461" s="17"/>
      <x:c r="R461" s="17"/>
      <x:c r="S461" s="17"/>
      <x:c r="T461" s="17"/>
      <x:c r="U461" s="17"/>
      <x:c r="V461" s="17"/>
      <x:c r="W461" s="17"/>
      <x:c r="X461" s="17"/>
      <x:c r="Y461" s="17"/>
      <x:c r="Z461" s="17"/>
    </x:row>
    <x:row r="462">
      <x:c r="A462" s="17"/>
      <x:c r="B462" s="17"/>
      <x:c r="C462" s="17"/>
      <x:c r="D462" s="17"/>
      <x:c r="E462" s="17"/>
      <x:c r="F462" s="17"/>
      <x:c r="G462" s="17"/>
      <x:c r="H462" s="17"/>
      <x:c r="I462" s="17"/>
      <x:c r="J462" s="17"/>
      <x:c r="K462" s="17"/>
      <x:c r="L462" s="17"/>
      <x:c r="M462" s="17"/>
      <x:c r="N462" s="17"/>
      <x:c r="O462" s="17"/>
      <x:c r="P462" s="17"/>
      <x:c r="Q462" s="17"/>
      <x:c r="R462" s="17"/>
      <x:c r="S462" s="17"/>
      <x:c r="T462" s="17"/>
      <x:c r="U462" s="17"/>
      <x:c r="V462" s="17"/>
      <x:c r="W462" s="17"/>
      <x:c r="X462" s="17"/>
      <x:c r="Y462" s="17"/>
      <x:c r="Z462" s="17"/>
    </x:row>
    <x:row r="463">
      <x:c r="A463" s="17"/>
      <x:c r="B463" s="17"/>
      <x:c r="C463" s="17"/>
      <x:c r="D463" s="17"/>
      <x:c r="E463" s="17"/>
      <x:c r="F463" s="17"/>
      <x:c r="G463" s="17"/>
      <x:c r="H463" s="17"/>
      <x:c r="I463" s="17"/>
      <x:c r="J463" s="17"/>
      <x:c r="K463" s="17"/>
      <x:c r="L463" s="17"/>
      <x:c r="M463" s="17"/>
      <x:c r="N463" s="17"/>
      <x:c r="O463" s="17"/>
      <x:c r="P463" s="17"/>
      <x:c r="Q463" s="17"/>
      <x:c r="R463" s="17"/>
      <x:c r="S463" s="17"/>
      <x:c r="T463" s="17"/>
      <x:c r="U463" s="17"/>
      <x:c r="V463" s="17"/>
      <x:c r="W463" s="17"/>
      <x:c r="X463" s="17"/>
      <x:c r="Y463" s="17"/>
      <x:c r="Z463" s="17"/>
    </x:row>
    <x:row r="464">
      <x:c r="A464" s="17"/>
      <x:c r="B464" s="17"/>
      <x:c r="C464" s="17"/>
      <x:c r="D464" s="17"/>
      <x:c r="E464" s="17"/>
      <x:c r="F464" s="17"/>
      <x:c r="G464" s="17"/>
      <x:c r="H464" s="17"/>
      <x:c r="I464" s="17"/>
      <x:c r="J464" s="17"/>
      <x:c r="K464" s="17"/>
      <x:c r="L464" s="17"/>
      <x:c r="M464" s="17"/>
      <x:c r="N464" s="17"/>
      <x:c r="O464" s="17"/>
      <x:c r="P464" s="17"/>
      <x:c r="Q464" s="17"/>
      <x:c r="R464" s="17"/>
      <x:c r="S464" s="17"/>
      <x:c r="T464" s="17"/>
      <x:c r="U464" s="17"/>
      <x:c r="V464" s="17"/>
      <x:c r="W464" s="17"/>
      <x:c r="X464" s="17"/>
      <x:c r="Y464" s="17"/>
      <x:c r="Z464" s="17"/>
    </x:row>
    <x:row r="465">
      <x:c r="A465" s="17"/>
      <x:c r="B465" s="17"/>
      <x:c r="C465" s="17"/>
      <x:c r="D465" s="17"/>
      <x:c r="E465" s="17"/>
      <x:c r="F465" s="17"/>
      <x:c r="G465" s="17"/>
      <x:c r="H465" s="17"/>
      <x:c r="I465" s="17"/>
      <x:c r="J465" s="17"/>
      <x:c r="K465" s="17"/>
      <x:c r="L465" s="17"/>
      <x:c r="M465" s="17"/>
      <x:c r="N465" s="17"/>
      <x:c r="O465" s="17"/>
      <x:c r="P465" s="17"/>
      <x:c r="Q465" s="17"/>
      <x:c r="R465" s="17"/>
      <x:c r="S465" s="17"/>
      <x:c r="T465" s="17"/>
      <x:c r="U465" s="17"/>
      <x:c r="V465" s="17"/>
      <x:c r="W465" s="17"/>
      <x:c r="X465" s="17"/>
      <x:c r="Y465" s="17"/>
      <x:c r="Z465" s="17"/>
    </x:row>
    <x:row r="466">
      <x:c r="A466" s="17"/>
      <x:c r="B466" s="17"/>
      <x:c r="C466" s="17"/>
      <x:c r="D466" s="17"/>
      <x:c r="E466" s="17"/>
      <x:c r="F466" s="17"/>
      <x:c r="G466" s="17"/>
      <x:c r="H466" s="17"/>
      <x:c r="I466" s="17"/>
      <x:c r="J466" s="17"/>
      <x:c r="K466" s="17"/>
      <x:c r="L466" s="17"/>
      <x:c r="M466" s="17"/>
      <x:c r="N466" s="17"/>
      <x:c r="O466" s="17"/>
      <x:c r="P466" s="17"/>
      <x:c r="Q466" s="17"/>
      <x:c r="R466" s="17"/>
      <x:c r="S466" s="17"/>
      <x:c r="T466" s="17"/>
      <x:c r="U466" s="17"/>
      <x:c r="V466" s="17"/>
      <x:c r="W466" s="17"/>
      <x:c r="X466" s="17"/>
      <x:c r="Y466" s="17"/>
      <x:c r="Z466" s="17"/>
    </x:row>
    <x:row r="467">
      <x:c r="A467" s="17"/>
      <x:c r="B467" s="17"/>
      <x:c r="C467" s="17"/>
      <x:c r="D467" s="17"/>
      <x:c r="E467" s="17"/>
      <x:c r="F467" s="17"/>
      <x:c r="G467" s="17"/>
      <x:c r="H467" s="17"/>
      <x:c r="I467" s="17"/>
      <x:c r="J467" s="17"/>
      <x:c r="K467" s="17"/>
      <x:c r="L467" s="17"/>
      <x:c r="M467" s="17"/>
      <x:c r="N467" s="17"/>
      <x:c r="O467" s="17"/>
      <x:c r="P467" s="17"/>
      <x:c r="Q467" s="17"/>
      <x:c r="R467" s="17"/>
      <x:c r="S467" s="17"/>
      <x:c r="T467" s="17"/>
      <x:c r="U467" s="17"/>
      <x:c r="V467" s="17"/>
      <x:c r="W467" s="17"/>
      <x:c r="X467" s="17"/>
      <x:c r="Y467" s="17"/>
      <x:c r="Z467" s="17"/>
    </x:row>
    <x:row r="468">
      <x:c r="A468" s="17"/>
      <x:c r="B468" s="17"/>
      <x:c r="C468" s="17"/>
      <x:c r="D468" s="17"/>
      <x:c r="E468" s="17"/>
      <x:c r="F468" s="17"/>
      <x:c r="G468" s="17"/>
      <x:c r="H468" s="17"/>
      <x:c r="I468" s="17"/>
      <x:c r="J468" s="17"/>
      <x:c r="K468" s="17"/>
      <x:c r="L468" s="17"/>
      <x:c r="M468" s="17"/>
      <x:c r="N468" s="17"/>
      <x:c r="O468" s="17"/>
      <x:c r="P468" s="17"/>
      <x:c r="Q468" s="17"/>
      <x:c r="R468" s="17"/>
      <x:c r="S468" s="17"/>
      <x:c r="T468" s="17"/>
      <x:c r="U468" s="17"/>
      <x:c r="V468" s="17"/>
      <x:c r="W468" s="17"/>
      <x:c r="X468" s="17"/>
      <x:c r="Y468" s="17"/>
      <x:c r="Z468" s="17"/>
    </x:row>
    <x:row r="469">
      <x:c r="A469" s="17"/>
      <x:c r="B469" s="17"/>
      <x:c r="C469" s="17"/>
      <x:c r="D469" s="17"/>
      <x:c r="E469" s="17"/>
      <x:c r="F469" s="17"/>
      <x:c r="G469" s="17"/>
      <x:c r="H469" s="17"/>
      <x:c r="I469" s="17"/>
      <x:c r="J469" s="17"/>
      <x:c r="K469" s="17"/>
      <x:c r="L469" s="17"/>
      <x:c r="M469" s="17"/>
      <x:c r="N469" s="17"/>
      <x:c r="O469" s="17"/>
      <x:c r="P469" s="17"/>
      <x:c r="Q469" s="17"/>
      <x:c r="R469" s="17"/>
      <x:c r="S469" s="17"/>
      <x:c r="T469" s="17"/>
      <x:c r="U469" s="17"/>
      <x:c r="V469" s="17"/>
      <x:c r="W469" s="17"/>
      <x:c r="X469" s="17"/>
      <x:c r="Y469" s="17"/>
      <x:c r="Z469" s="17"/>
    </x:row>
    <x:row r="470">
      <x:c r="A470" s="17"/>
      <x:c r="B470" s="17"/>
      <x:c r="C470" s="17"/>
      <x:c r="D470" s="17"/>
      <x:c r="E470" s="17"/>
      <x:c r="F470" s="17"/>
      <x:c r="G470" s="17"/>
      <x:c r="H470" s="17"/>
      <x:c r="I470" s="17"/>
      <x:c r="J470" s="17"/>
      <x:c r="K470" s="17"/>
      <x:c r="L470" s="17"/>
      <x:c r="M470" s="17"/>
      <x:c r="N470" s="17"/>
      <x:c r="O470" s="17"/>
      <x:c r="P470" s="17"/>
      <x:c r="Q470" s="17"/>
      <x:c r="R470" s="17"/>
      <x:c r="S470" s="17"/>
      <x:c r="T470" s="17"/>
      <x:c r="U470" s="17"/>
      <x:c r="V470" s="17"/>
      <x:c r="W470" s="17"/>
      <x:c r="X470" s="17"/>
      <x:c r="Y470" s="17"/>
      <x:c r="Z470" s="17"/>
    </x:row>
    <x:row r="471">
      <x:c r="A471" s="17"/>
      <x:c r="B471" s="17"/>
      <x:c r="C471" s="17"/>
      <x:c r="D471" s="17"/>
      <x:c r="E471" s="17"/>
      <x:c r="F471" s="17"/>
      <x:c r="G471" s="17"/>
      <x:c r="H471" s="17"/>
      <x:c r="I471" s="17"/>
      <x:c r="J471" s="17"/>
      <x:c r="K471" s="17"/>
      <x:c r="L471" s="17"/>
      <x:c r="M471" s="17"/>
      <x:c r="N471" s="17"/>
      <x:c r="O471" s="17"/>
      <x:c r="P471" s="17"/>
      <x:c r="Q471" s="17"/>
      <x:c r="R471" s="17"/>
      <x:c r="S471" s="17"/>
      <x:c r="T471" s="17"/>
      <x:c r="U471" s="17"/>
      <x:c r="V471" s="17"/>
      <x:c r="W471" s="17"/>
      <x:c r="X471" s="17"/>
      <x:c r="Y471" s="17"/>
      <x:c r="Z471" s="17"/>
    </x:row>
    <x:row r="472">
      <x:c r="A472" s="17"/>
      <x:c r="B472" s="17"/>
      <x:c r="C472" s="17"/>
      <x:c r="D472" s="17"/>
      <x:c r="E472" s="17"/>
      <x:c r="F472" s="17"/>
      <x:c r="G472" s="17"/>
      <x:c r="H472" s="17"/>
      <x:c r="I472" s="17"/>
      <x:c r="J472" s="17"/>
      <x:c r="K472" s="17"/>
      <x:c r="L472" s="17"/>
      <x:c r="M472" s="17"/>
      <x:c r="N472" s="17"/>
      <x:c r="O472" s="17"/>
      <x:c r="P472" s="17"/>
      <x:c r="Q472" s="17"/>
      <x:c r="R472" s="17"/>
      <x:c r="S472" s="17"/>
      <x:c r="T472" s="17"/>
      <x:c r="U472" s="17"/>
      <x:c r="V472" s="17"/>
      <x:c r="W472" s="17"/>
      <x:c r="X472" s="17"/>
      <x:c r="Y472" s="17"/>
      <x:c r="Z472" s="17"/>
    </x:row>
    <x:row r="473">
      <x:c r="A473" s="17"/>
      <x:c r="B473" s="17"/>
      <x:c r="C473" s="17"/>
      <x:c r="D473" s="17"/>
      <x:c r="E473" s="17"/>
      <x:c r="F473" s="17"/>
      <x:c r="G473" s="17"/>
      <x:c r="H473" s="17"/>
      <x:c r="I473" s="17"/>
      <x:c r="J473" s="17"/>
      <x:c r="K473" s="17"/>
      <x:c r="L473" s="17"/>
      <x:c r="M473" s="17"/>
      <x:c r="N473" s="17"/>
      <x:c r="O473" s="17"/>
      <x:c r="P473" s="17"/>
      <x:c r="Q473" s="17"/>
      <x:c r="R473" s="17"/>
      <x:c r="S473" s="17"/>
      <x:c r="T473" s="17"/>
      <x:c r="U473" s="17"/>
      <x:c r="V473" s="17"/>
      <x:c r="W473" s="17"/>
      <x:c r="X473" s="17"/>
      <x:c r="Y473" s="17"/>
      <x:c r="Z473" s="17"/>
    </x:row>
    <x:row r="474">
      <x:c r="A474" s="17"/>
      <x:c r="B474" s="17"/>
      <x:c r="C474" s="17"/>
      <x:c r="D474" s="17"/>
      <x:c r="E474" s="17"/>
      <x:c r="F474" s="17"/>
      <x:c r="G474" s="17"/>
      <x:c r="H474" s="17"/>
      <x:c r="I474" s="17"/>
      <x:c r="J474" s="17"/>
      <x:c r="K474" s="17"/>
      <x:c r="L474" s="17"/>
      <x:c r="M474" s="17"/>
      <x:c r="N474" s="17"/>
      <x:c r="O474" s="17"/>
      <x:c r="P474" s="17"/>
      <x:c r="Q474" s="17"/>
      <x:c r="R474" s="17"/>
      <x:c r="S474" s="17"/>
      <x:c r="T474" s="17"/>
      <x:c r="U474" s="17"/>
      <x:c r="V474" s="17"/>
      <x:c r="W474" s="17"/>
      <x:c r="X474" s="17"/>
      <x:c r="Y474" s="17"/>
      <x:c r="Z474" s="17"/>
    </x:row>
    <x:row r="475">
      <x:c r="A475" s="17"/>
      <x:c r="B475" s="17"/>
      <x:c r="C475" s="17"/>
      <x:c r="D475" s="17"/>
      <x:c r="E475" s="17"/>
      <x:c r="F475" s="17"/>
      <x:c r="G475" s="17"/>
      <x:c r="H475" s="17"/>
      <x:c r="I475" s="17"/>
      <x:c r="J475" s="17"/>
      <x:c r="K475" s="17"/>
      <x:c r="L475" s="17"/>
      <x:c r="M475" s="17"/>
      <x:c r="N475" s="17"/>
      <x:c r="O475" s="17"/>
      <x:c r="P475" s="17"/>
      <x:c r="Q475" s="17"/>
      <x:c r="R475" s="17"/>
      <x:c r="S475" s="17"/>
      <x:c r="T475" s="17"/>
      <x:c r="U475" s="17"/>
      <x:c r="V475" s="17"/>
      <x:c r="W475" s="17"/>
      <x:c r="X475" s="17"/>
      <x:c r="Y475" s="17"/>
      <x:c r="Z475" s="17"/>
    </x:row>
    <x:row r="476">
      <x:c r="A476" s="17"/>
      <x:c r="B476" s="17"/>
      <x:c r="C476" s="17"/>
      <x:c r="D476" s="17"/>
      <x:c r="E476" s="17"/>
      <x:c r="F476" s="17"/>
      <x:c r="G476" s="17"/>
      <x:c r="H476" s="17"/>
      <x:c r="I476" s="17"/>
      <x:c r="J476" s="17"/>
      <x:c r="K476" s="17"/>
      <x:c r="L476" s="17"/>
      <x:c r="M476" s="17"/>
      <x:c r="N476" s="17"/>
      <x:c r="O476" s="17"/>
      <x:c r="P476" s="17"/>
      <x:c r="Q476" s="17"/>
      <x:c r="R476" s="17"/>
      <x:c r="S476" s="17"/>
      <x:c r="T476" s="17"/>
      <x:c r="U476" s="17"/>
      <x:c r="V476" s="17"/>
      <x:c r="W476" s="17"/>
      <x:c r="X476" s="17"/>
      <x:c r="Y476" s="17"/>
      <x:c r="Z476" s="17"/>
    </x:row>
    <x:row r="477">
      <x:c r="A477" s="17"/>
      <x:c r="B477" s="17"/>
      <x:c r="C477" s="17"/>
      <x:c r="D477" s="17"/>
      <x:c r="E477" s="17"/>
      <x:c r="F477" s="17"/>
      <x:c r="G477" s="17"/>
      <x:c r="H477" s="17"/>
      <x:c r="I477" s="17"/>
      <x:c r="J477" s="17"/>
      <x:c r="K477" s="17"/>
      <x:c r="L477" s="17"/>
      <x:c r="M477" s="17"/>
      <x:c r="N477" s="17"/>
      <x:c r="O477" s="17"/>
      <x:c r="P477" s="17"/>
      <x:c r="Q477" s="17"/>
      <x:c r="R477" s="17"/>
      <x:c r="S477" s="17"/>
      <x:c r="T477" s="17"/>
      <x:c r="U477" s="17"/>
      <x:c r="V477" s="17"/>
      <x:c r="W477" s="17"/>
      <x:c r="X477" s="17"/>
      <x:c r="Y477" s="17"/>
      <x:c r="Z477" s="17"/>
    </x:row>
    <x:row r="478">
      <x:c r="A478" s="17"/>
      <x:c r="B478" s="17"/>
      <x:c r="C478" s="17"/>
      <x:c r="D478" s="17"/>
      <x:c r="E478" s="17"/>
      <x:c r="F478" s="17"/>
      <x:c r="G478" s="17"/>
      <x:c r="H478" s="17"/>
      <x:c r="I478" s="17"/>
      <x:c r="J478" s="17"/>
      <x:c r="K478" s="17"/>
      <x:c r="L478" s="17"/>
      <x:c r="M478" s="17"/>
      <x:c r="N478" s="17"/>
      <x:c r="O478" s="17"/>
      <x:c r="P478" s="17"/>
      <x:c r="Q478" s="17"/>
      <x:c r="R478" s="17"/>
      <x:c r="S478" s="17"/>
      <x:c r="T478" s="17"/>
      <x:c r="U478" s="17"/>
      <x:c r="V478" s="17"/>
      <x:c r="W478" s="17"/>
      <x:c r="X478" s="17"/>
      <x:c r="Y478" s="17"/>
      <x:c r="Z478" s="17"/>
    </x:row>
    <x:row r="479">
      <x:c r="A479" s="17"/>
      <x:c r="B479" s="17"/>
      <x:c r="C479" s="17"/>
      <x:c r="D479" s="17"/>
      <x:c r="E479" s="17"/>
      <x:c r="F479" s="17"/>
      <x:c r="G479" s="17"/>
      <x:c r="H479" s="17"/>
      <x:c r="I479" s="17"/>
      <x:c r="J479" s="17"/>
      <x:c r="K479" s="17"/>
      <x:c r="L479" s="17"/>
      <x:c r="M479" s="17"/>
      <x:c r="N479" s="17"/>
      <x:c r="O479" s="17"/>
      <x:c r="P479" s="17"/>
      <x:c r="Q479" s="17"/>
      <x:c r="R479" s="17"/>
      <x:c r="S479" s="17"/>
      <x:c r="T479" s="17"/>
      <x:c r="U479" s="17"/>
      <x:c r="V479" s="17"/>
      <x:c r="W479" s="17"/>
      <x:c r="X479" s="17"/>
      <x:c r="Y479" s="17"/>
      <x:c r="Z479" s="17"/>
    </x:row>
    <x:row r="480">
      <x:c r="A480" s="17"/>
      <x:c r="B480" s="17"/>
      <x:c r="C480" s="17"/>
      <x:c r="D480" s="17"/>
      <x:c r="E480" s="17"/>
      <x:c r="F480" s="17"/>
      <x:c r="G480" s="17"/>
      <x:c r="H480" s="17"/>
      <x:c r="I480" s="17"/>
      <x:c r="J480" s="17"/>
      <x:c r="K480" s="17"/>
      <x:c r="L480" s="17"/>
      <x:c r="M480" s="17"/>
      <x:c r="N480" s="17"/>
      <x:c r="O480" s="17"/>
      <x:c r="P480" s="17"/>
      <x:c r="Q480" s="17"/>
      <x:c r="R480" s="17"/>
      <x:c r="S480" s="17"/>
      <x:c r="T480" s="17"/>
      <x:c r="U480" s="17"/>
      <x:c r="V480" s="17"/>
      <x:c r="W480" s="17"/>
      <x:c r="X480" s="17"/>
      <x:c r="Y480" s="17"/>
      <x:c r="Z480" s="17"/>
    </x:row>
    <x:row r="481">
      <x:c r="A481" s="17"/>
      <x:c r="B481" s="17"/>
      <x:c r="C481" s="17"/>
      <x:c r="D481" s="17"/>
      <x:c r="E481" s="17"/>
      <x:c r="F481" s="17"/>
      <x:c r="G481" s="17"/>
      <x:c r="H481" s="17"/>
      <x:c r="I481" s="17"/>
      <x:c r="J481" s="17"/>
      <x:c r="K481" s="17"/>
      <x:c r="L481" s="17"/>
      <x:c r="M481" s="17"/>
      <x:c r="N481" s="17"/>
      <x:c r="O481" s="17"/>
      <x:c r="P481" s="17"/>
      <x:c r="Q481" s="17"/>
      <x:c r="R481" s="17"/>
      <x:c r="S481" s="17"/>
      <x:c r="T481" s="17"/>
      <x:c r="U481" s="17"/>
      <x:c r="V481" s="17"/>
      <x:c r="W481" s="17"/>
      <x:c r="X481" s="17"/>
      <x:c r="Y481" s="17"/>
      <x:c r="Z481" s="17"/>
    </x:row>
    <x:row r="482">
      <x:c r="A482" s="17"/>
      <x:c r="B482" s="17"/>
      <x:c r="C482" s="17"/>
      <x:c r="D482" s="17"/>
      <x:c r="E482" s="17"/>
      <x:c r="F482" s="17"/>
      <x:c r="G482" s="17"/>
      <x:c r="H482" s="17"/>
      <x:c r="I482" s="17"/>
      <x:c r="J482" s="17"/>
      <x:c r="K482" s="17"/>
      <x:c r="L482" s="17"/>
      <x:c r="M482" s="17"/>
      <x:c r="N482" s="17"/>
      <x:c r="O482" s="17"/>
      <x:c r="P482" s="17"/>
      <x:c r="Q482" s="17"/>
      <x:c r="R482" s="17"/>
      <x:c r="S482" s="17"/>
      <x:c r="T482" s="17"/>
      <x:c r="U482" s="17"/>
      <x:c r="V482" s="17"/>
      <x:c r="W482" s="17"/>
      <x:c r="X482" s="17"/>
      <x:c r="Y482" s="17"/>
      <x:c r="Z482" s="17"/>
    </x:row>
    <x:row r="483">
      <x:c r="A483" s="17"/>
      <x:c r="B483" s="17"/>
      <x:c r="C483" s="17"/>
      <x:c r="D483" s="17"/>
      <x:c r="E483" s="17"/>
      <x:c r="F483" s="17"/>
      <x:c r="G483" s="17"/>
      <x:c r="H483" s="17"/>
      <x:c r="I483" s="17"/>
      <x:c r="J483" s="17"/>
      <x:c r="K483" s="17"/>
      <x:c r="L483" s="17"/>
      <x:c r="M483" s="17"/>
      <x:c r="N483" s="17"/>
      <x:c r="O483" s="17"/>
      <x:c r="P483" s="17"/>
      <x:c r="Q483" s="17"/>
      <x:c r="R483" s="17"/>
      <x:c r="S483" s="17"/>
      <x:c r="T483" s="17"/>
      <x:c r="U483" s="17"/>
      <x:c r="V483" s="17"/>
      <x:c r="W483" s="17"/>
      <x:c r="X483" s="17"/>
      <x:c r="Y483" s="17"/>
      <x:c r="Z483" s="17"/>
    </x:row>
    <x:row r="484">
      <x:c r="A484" s="17"/>
      <x:c r="B484" s="17"/>
      <x:c r="C484" s="17"/>
      <x:c r="D484" s="17"/>
      <x:c r="E484" s="17"/>
      <x:c r="F484" s="17"/>
      <x:c r="G484" s="17"/>
      <x:c r="H484" s="17"/>
      <x:c r="I484" s="17"/>
      <x:c r="J484" s="17"/>
      <x:c r="K484" s="17"/>
      <x:c r="L484" s="17"/>
      <x:c r="M484" s="17"/>
      <x:c r="N484" s="17"/>
      <x:c r="O484" s="17"/>
      <x:c r="P484" s="17"/>
      <x:c r="Q484" s="17"/>
      <x:c r="R484" s="17"/>
      <x:c r="S484" s="17"/>
      <x:c r="T484" s="17"/>
      <x:c r="U484" s="17"/>
      <x:c r="V484" s="17"/>
      <x:c r="W484" s="17"/>
      <x:c r="X484" s="17"/>
      <x:c r="Y484" s="17"/>
      <x:c r="Z484" s="17"/>
    </x:row>
    <x:row r="485">
      <x:c r="A485" s="17"/>
      <x:c r="B485" s="17"/>
      <x:c r="C485" s="17"/>
      <x:c r="D485" s="17"/>
      <x:c r="E485" s="17"/>
      <x:c r="F485" s="17"/>
      <x:c r="G485" s="17"/>
      <x:c r="H485" s="17"/>
      <x:c r="I485" s="17"/>
      <x:c r="J485" s="17"/>
      <x:c r="K485" s="17"/>
      <x:c r="L485" s="17"/>
      <x:c r="M485" s="17"/>
      <x:c r="N485" s="17"/>
      <x:c r="O485" s="17"/>
      <x:c r="P485" s="17"/>
      <x:c r="Q485" s="17"/>
      <x:c r="R485" s="17"/>
      <x:c r="S485" s="17"/>
      <x:c r="T485" s="17"/>
      <x:c r="U485" s="17"/>
      <x:c r="V485" s="17"/>
      <x:c r="W485" s="17"/>
      <x:c r="X485" s="17"/>
      <x:c r="Y485" s="17"/>
      <x:c r="Z485" s="17"/>
    </x:row>
    <x:row r="486">
      <x:c r="A486" s="17"/>
      <x:c r="B486" s="17"/>
      <x:c r="C486" s="17"/>
      <x:c r="D486" s="17"/>
      <x:c r="E486" s="17"/>
      <x:c r="F486" s="17"/>
      <x:c r="G486" s="17"/>
      <x:c r="H486" s="17"/>
      <x:c r="I486" s="17"/>
      <x:c r="J486" s="17"/>
      <x:c r="K486" s="17"/>
      <x:c r="L486" s="17"/>
      <x:c r="M486" s="17"/>
      <x:c r="N486" s="17"/>
      <x:c r="O486" s="17"/>
      <x:c r="P486" s="17"/>
      <x:c r="Q486" s="17"/>
      <x:c r="R486" s="17"/>
      <x:c r="S486" s="17"/>
      <x:c r="T486" s="17"/>
      <x:c r="U486" s="17"/>
      <x:c r="V486" s="17"/>
      <x:c r="W486" s="17"/>
      <x:c r="X486" s="17"/>
      <x:c r="Y486" s="17"/>
      <x:c r="Z486" s="17"/>
    </x:row>
    <x:row r="487">
      <x:c r="A487" s="17"/>
      <x:c r="B487" s="17"/>
      <x:c r="C487" s="17"/>
      <x:c r="D487" s="17"/>
      <x:c r="E487" s="17"/>
      <x:c r="F487" s="17"/>
      <x:c r="G487" s="17"/>
      <x:c r="H487" s="17"/>
      <x:c r="I487" s="17"/>
      <x:c r="J487" s="17"/>
      <x:c r="K487" s="17"/>
      <x:c r="L487" s="17"/>
      <x:c r="M487" s="17"/>
      <x:c r="N487" s="17"/>
      <x:c r="O487" s="17"/>
      <x:c r="P487" s="17"/>
      <x:c r="Q487" s="17"/>
      <x:c r="R487" s="17"/>
      <x:c r="S487" s="17"/>
      <x:c r="T487" s="17"/>
      <x:c r="U487" s="17"/>
      <x:c r="V487" s="17"/>
      <x:c r="W487" s="17"/>
      <x:c r="X487" s="17"/>
      <x:c r="Y487" s="17"/>
      <x:c r="Z487" s="17"/>
    </x:row>
    <x:row r="488">
      <x:c r="A488" s="17"/>
      <x:c r="B488" s="17"/>
      <x:c r="C488" s="17"/>
      <x:c r="D488" s="17"/>
      <x:c r="E488" s="17"/>
      <x:c r="F488" s="17"/>
      <x:c r="G488" s="17"/>
      <x:c r="H488" s="17"/>
      <x:c r="I488" s="17"/>
      <x:c r="J488" s="17"/>
      <x:c r="K488" s="17"/>
      <x:c r="L488" s="17"/>
      <x:c r="M488" s="17"/>
      <x:c r="N488" s="17"/>
      <x:c r="O488" s="17"/>
      <x:c r="P488" s="17"/>
      <x:c r="Q488" s="17"/>
      <x:c r="R488" s="17"/>
      <x:c r="S488" s="17"/>
      <x:c r="T488" s="17"/>
      <x:c r="U488" s="17"/>
      <x:c r="V488" s="17"/>
      <x:c r="W488" s="17"/>
      <x:c r="X488" s="17"/>
      <x:c r="Y488" s="17"/>
      <x:c r="Z488" s="17"/>
    </x:row>
    <x:row r="489">
      <x:c r="A489" s="17"/>
      <x:c r="B489" s="17"/>
      <x:c r="C489" s="17"/>
      <x:c r="D489" s="17"/>
      <x:c r="E489" s="17"/>
      <x:c r="F489" s="17"/>
      <x:c r="G489" s="17"/>
      <x:c r="H489" s="17"/>
      <x:c r="I489" s="17"/>
      <x:c r="J489" s="17"/>
      <x:c r="K489" s="17"/>
      <x:c r="L489" s="17"/>
      <x:c r="M489" s="17"/>
      <x:c r="N489" s="17"/>
      <x:c r="O489" s="17"/>
      <x:c r="P489" s="17"/>
      <x:c r="Q489" s="17"/>
      <x:c r="R489" s="17"/>
      <x:c r="S489" s="17"/>
      <x:c r="T489" s="17"/>
      <x:c r="U489" s="17"/>
      <x:c r="V489" s="17"/>
      <x:c r="W489" s="17"/>
      <x:c r="X489" s="17"/>
      <x:c r="Y489" s="17"/>
      <x:c r="Z489" s="17"/>
    </x:row>
    <x:row r="490">
      <x:c r="A490" s="17"/>
      <x:c r="B490" s="17"/>
      <x:c r="C490" s="17"/>
      <x:c r="D490" s="17"/>
      <x:c r="E490" s="17"/>
      <x:c r="F490" s="17"/>
      <x:c r="G490" s="17"/>
      <x:c r="H490" s="17"/>
      <x:c r="I490" s="17"/>
      <x:c r="J490" s="17"/>
      <x:c r="K490" s="17"/>
      <x:c r="L490" s="17"/>
      <x:c r="M490" s="17"/>
      <x:c r="N490" s="17"/>
      <x:c r="O490" s="17"/>
      <x:c r="P490" s="17"/>
      <x:c r="Q490" s="17"/>
      <x:c r="R490" s="17"/>
      <x:c r="S490" s="17"/>
      <x:c r="T490" s="17"/>
      <x:c r="U490" s="17"/>
      <x:c r="V490" s="17"/>
      <x:c r="W490" s="17"/>
      <x:c r="X490" s="17"/>
      <x:c r="Y490" s="17"/>
      <x:c r="Z490" s="17"/>
    </x:row>
    <x:row r="491">
      <x:c r="A491" s="17"/>
      <x:c r="B491" s="17"/>
      <x:c r="C491" s="17"/>
      <x:c r="D491" s="17"/>
      <x:c r="E491" s="17"/>
      <x:c r="F491" s="17"/>
      <x:c r="G491" s="17"/>
      <x:c r="H491" s="17"/>
      <x:c r="I491" s="17"/>
      <x:c r="J491" s="17"/>
      <x:c r="K491" s="17"/>
      <x:c r="L491" s="17"/>
      <x:c r="M491" s="17"/>
      <x:c r="N491" s="17"/>
      <x:c r="O491" s="17"/>
      <x:c r="P491" s="17"/>
      <x:c r="Q491" s="17"/>
      <x:c r="R491" s="17"/>
      <x:c r="S491" s="17"/>
      <x:c r="T491" s="17"/>
      <x:c r="U491" s="17"/>
      <x:c r="V491" s="17"/>
      <x:c r="W491" s="17"/>
      <x:c r="X491" s="17"/>
      <x:c r="Y491" s="17"/>
      <x:c r="Z491" s="17"/>
    </x:row>
    <x:row r="492">
      <x:c r="A492" s="17"/>
      <x:c r="B492" s="17"/>
      <x:c r="C492" s="17"/>
      <x:c r="D492" s="17"/>
      <x:c r="E492" s="17"/>
      <x:c r="F492" s="17"/>
      <x:c r="G492" s="17"/>
      <x:c r="H492" s="17"/>
      <x:c r="I492" s="17"/>
      <x:c r="J492" s="17"/>
      <x:c r="K492" s="17"/>
      <x:c r="L492" s="17"/>
      <x:c r="M492" s="17"/>
      <x:c r="N492" s="17"/>
      <x:c r="O492" s="17"/>
      <x:c r="P492" s="17"/>
      <x:c r="Q492" s="17"/>
      <x:c r="R492" s="17"/>
      <x:c r="S492" s="17"/>
      <x:c r="T492" s="17"/>
      <x:c r="U492" s="17"/>
      <x:c r="V492" s="17"/>
      <x:c r="W492" s="17"/>
      <x:c r="X492" s="17"/>
      <x:c r="Y492" s="17"/>
      <x:c r="Z492" s="17"/>
    </x:row>
    <x:row r="493">
      <x:c r="A493" s="17"/>
      <x:c r="B493" s="17"/>
      <x:c r="C493" s="17"/>
      <x:c r="D493" s="17"/>
      <x:c r="E493" s="17"/>
      <x:c r="F493" s="17"/>
      <x:c r="G493" s="17"/>
      <x:c r="H493" s="17"/>
      <x:c r="I493" s="17"/>
      <x:c r="J493" s="17"/>
      <x:c r="K493" s="17"/>
      <x:c r="L493" s="17"/>
      <x:c r="M493" s="17"/>
      <x:c r="N493" s="17"/>
      <x:c r="O493" s="17"/>
      <x:c r="P493" s="17"/>
      <x:c r="Q493" s="17"/>
      <x:c r="R493" s="17"/>
      <x:c r="S493" s="17"/>
      <x:c r="T493" s="17"/>
      <x:c r="U493" s="17"/>
      <x:c r="V493" s="17"/>
      <x:c r="W493" s="17"/>
      <x:c r="X493" s="17"/>
      <x:c r="Y493" s="17"/>
      <x:c r="Z493" s="17"/>
    </x:row>
    <x:row r="494">
      <x:c r="A494" s="17"/>
      <x:c r="B494" s="17"/>
      <x:c r="C494" s="17"/>
      <x:c r="D494" s="17"/>
      <x:c r="E494" s="17"/>
      <x:c r="F494" s="17"/>
      <x:c r="G494" s="17"/>
      <x:c r="H494" s="17"/>
      <x:c r="I494" s="17"/>
      <x:c r="J494" s="17"/>
      <x:c r="K494" s="17"/>
      <x:c r="L494" s="17"/>
      <x:c r="M494" s="17"/>
      <x:c r="N494" s="17"/>
      <x:c r="O494" s="17"/>
      <x:c r="P494" s="17"/>
      <x:c r="Q494" s="17"/>
      <x:c r="R494" s="17"/>
      <x:c r="S494" s="17"/>
      <x:c r="T494" s="17"/>
      <x:c r="U494" s="17"/>
      <x:c r="V494" s="17"/>
      <x:c r="W494" s="17"/>
      <x:c r="X494" s="17"/>
      <x:c r="Y494" s="17"/>
      <x:c r="Z494" s="17"/>
    </x:row>
    <x:row r="495">
      <x:c r="A495" s="17"/>
      <x:c r="B495" s="17"/>
      <x:c r="C495" s="17"/>
      <x:c r="D495" s="17"/>
      <x:c r="E495" s="17"/>
      <x:c r="F495" s="17"/>
      <x:c r="G495" s="17"/>
      <x:c r="H495" s="17"/>
      <x:c r="I495" s="17"/>
      <x:c r="J495" s="17"/>
      <x:c r="K495" s="17"/>
      <x:c r="L495" s="17"/>
      <x:c r="M495" s="17"/>
      <x:c r="N495" s="17"/>
      <x:c r="O495" s="17"/>
      <x:c r="P495" s="17"/>
      <x:c r="Q495" s="17"/>
      <x:c r="R495" s="17"/>
      <x:c r="S495" s="17"/>
      <x:c r="T495" s="17"/>
      <x:c r="U495" s="17"/>
      <x:c r="V495" s="17"/>
      <x:c r="W495" s="17"/>
      <x:c r="X495" s="17"/>
      <x:c r="Y495" s="17"/>
      <x:c r="Z495" s="17"/>
    </x:row>
    <x:row r="496">
      <x:c r="A496" s="17"/>
      <x:c r="B496" s="17"/>
      <x:c r="C496" s="17"/>
      <x:c r="D496" s="17"/>
      <x:c r="E496" s="17"/>
      <x:c r="F496" s="17"/>
      <x:c r="G496" s="17"/>
      <x:c r="H496" s="17"/>
      <x:c r="I496" s="17"/>
      <x:c r="J496" s="17"/>
      <x:c r="K496" s="17"/>
      <x:c r="L496" s="17"/>
      <x:c r="M496" s="17"/>
      <x:c r="N496" s="17"/>
      <x:c r="O496" s="17"/>
      <x:c r="P496" s="17"/>
      <x:c r="Q496" s="17"/>
      <x:c r="R496" s="17"/>
      <x:c r="S496" s="17"/>
      <x:c r="T496" s="17"/>
      <x:c r="U496" s="17"/>
      <x:c r="V496" s="17"/>
      <x:c r="W496" s="17"/>
      <x:c r="X496" s="17"/>
      <x:c r="Y496" s="17"/>
      <x:c r="Z496" s="17"/>
    </x:row>
    <x:row r="497">
      <x:c r="A497" s="17"/>
      <x:c r="B497" s="17"/>
      <x:c r="C497" s="17"/>
      <x:c r="D497" s="17"/>
      <x:c r="E497" s="17"/>
      <x:c r="F497" s="17"/>
      <x:c r="G497" s="17"/>
      <x:c r="H497" s="17"/>
      <x:c r="I497" s="17"/>
      <x:c r="J497" s="17"/>
      <x:c r="K497" s="17"/>
      <x:c r="L497" s="17"/>
      <x:c r="M497" s="17"/>
      <x:c r="N497" s="17"/>
      <x:c r="O497" s="17"/>
      <x:c r="P497" s="17"/>
      <x:c r="Q497" s="17"/>
      <x:c r="R497" s="17"/>
      <x:c r="S497" s="17"/>
      <x:c r="T497" s="17"/>
      <x:c r="U497" s="17"/>
      <x:c r="V497" s="17"/>
      <x:c r="W497" s="17"/>
      <x:c r="X497" s="17"/>
      <x:c r="Y497" s="17"/>
      <x:c r="Z497" s="17"/>
    </x:row>
    <x:row r="498">
      <x:c r="A498" s="17"/>
      <x:c r="B498" s="17"/>
      <x:c r="C498" s="17"/>
      <x:c r="D498" s="17"/>
      <x:c r="E498" s="17"/>
      <x:c r="F498" s="17"/>
      <x:c r="G498" s="17"/>
      <x:c r="H498" s="17"/>
      <x:c r="I498" s="17"/>
      <x:c r="J498" s="17"/>
      <x:c r="K498" s="17"/>
      <x:c r="L498" s="17"/>
      <x:c r="M498" s="17"/>
      <x:c r="N498" s="17"/>
      <x:c r="O498" s="17"/>
      <x:c r="P498" s="17"/>
      <x:c r="Q498" s="17"/>
      <x:c r="R498" s="17"/>
      <x:c r="S498" s="17"/>
      <x:c r="T498" s="17"/>
      <x:c r="U498" s="17"/>
      <x:c r="V498" s="17"/>
      <x:c r="W498" s="17"/>
      <x:c r="X498" s="17"/>
      <x:c r="Y498" s="17"/>
      <x:c r="Z498" s="17"/>
    </x:row>
    <x:row r="499">
      <x:c r="A499" s="17"/>
      <x:c r="B499" s="17"/>
      <x:c r="C499" s="17"/>
      <x:c r="D499" s="17"/>
      <x:c r="E499" s="17"/>
      <x:c r="F499" s="17"/>
      <x:c r="G499" s="17"/>
      <x:c r="H499" s="17"/>
      <x:c r="I499" s="17"/>
      <x:c r="J499" s="17"/>
      <x:c r="K499" s="17"/>
      <x:c r="L499" s="17"/>
      <x:c r="M499" s="17"/>
      <x:c r="N499" s="17"/>
      <x:c r="O499" s="17"/>
      <x:c r="P499" s="17"/>
      <x:c r="Q499" s="17"/>
      <x:c r="R499" s="17"/>
      <x:c r="S499" s="17"/>
      <x:c r="T499" s="17"/>
      <x:c r="U499" s="17"/>
      <x:c r="V499" s="17"/>
      <x:c r="W499" s="17"/>
      <x:c r="X499" s="17"/>
      <x:c r="Y499" s="17"/>
      <x:c r="Z499" s="17"/>
    </x:row>
    <x:row r="500">
      <x:c r="A500" s="17"/>
      <x:c r="B500" s="17"/>
      <x:c r="C500" s="17"/>
      <x:c r="D500" s="17"/>
      <x:c r="E500" s="17"/>
      <x:c r="F500" s="17"/>
      <x:c r="G500" s="17"/>
      <x:c r="H500" s="17"/>
      <x:c r="I500" s="17"/>
      <x:c r="J500" s="17"/>
      <x:c r="K500" s="17"/>
      <x:c r="L500" s="17"/>
      <x:c r="M500" s="17"/>
      <x:c r="N500" s="17"/>
      <x:c r="O500" s="17"/>
      <x:c r="P500" s="17"/>
      <x:c r="Q500" s="17"/>
      <x:c r="R500" s="17"/>
      <x:c r="S500" s="17"/>
      <x:c r="T500" s="17"/>
      <x:c r="U500" s="17"/>
      <x:c r="V500" s="17"/>
      <x:c r="W500" s="17"/>
      <x:c r="X500" s="17"/>
      <x:c r="Y500" s="17"/>
      <x:c r="Z500" s="17"/>
    </x:row>
    <x:row r="501">
      <x:c r="A501" s="17"/>
      <x:c r="B501" s="17"/>
      <x:c r="C501" s="17"/>
      <x:c r="D501" s="17"/>
      <x:c r="E501" s="17"/>
      <x:c r="F501" s="17"/>
      <x:c r="G501" s="17"/>
      <x:c r="H501" s="17"/>
      <x:c r="I501" s="17"/>
      <x:c r="J501" s="17"/>
      <x:c r="K501" s="17"/>
      <x:c r="L501" s="17"/>
      <x:c r="M501" s="17"/>
      <x:c r="N501" s="17"/>
      <x:c r="O501" s="17"/>
      <x:c r="P501" s="17"/>
      <x:c r="Q501" s="17"/>
      <x:c r="R501" s="17"/>
      <x:c r="S501" s="17"/>
      <x:c r="T501" s="17"/>
      <x:c r="U501" s="17"/>
      <x:c r="V501" s="17"/>
      <x:c r="W501" s="17"/>
      <x:c r="X501" s="17"/>
      <x:c r="Y501" s="17"/>
      <x:c r="Z501" s="17"/>
    </x:row>
    <x:row r="502">
      <x:c r="A502" s="17"/>
      <x:c r="B502" s="17"/>
      <x:c r="C502" s="17"/>
      <x:c r="D502" s="17"/>
      <x:c r="E502" s="17"/>
      <x:c r="F502" s="17"/>
      <x:c r="G502" s="17"/>
      <x:c r="H502" s="17"/>
      <x:c r="I502" s="17"/>
      <x:c r="J502" s="17"/>
      <x:c r="K502" s="17"/>
      <x:c r="L502" s="17"/>
      <x:c r="M502" s="17"/>
      <x:c r="N502" s="17"/>
      <x:c r="O502" s="17"/>
      <x:c r="P502" s="17"/>
      <x:c r="Q502" s="17"/>
      <x:c r="R502" s="17"/>
      <x:c r="S502" s="17"/>
      <x:c r="T502" s="17"/>
      <x:c r="U502" s="17"/>
      <x:c r="V502" s="17"/>
      <x:c r="W502" s="17"/>
      <x:c r="X502" s="17"/>
      <x:c r="Y502" s="17"/>
      <x:c r="Z502" s="17"/>
    </x:row>
    <x:row r="503">
      <x:c r="A503" s="17"/>
      <x:c r="B503" s="17"/>
      <x:c r="C503" s="17"/>
      <x:c r="D503" s="17"/>
      <x:c r="E503" s="17"/>
      <x:c r="F503" s="17"/>
      <x:c r="G503" s="17"/>
      <x:c r="H503" s="17"/>
      <x:c r="I503" s="17"/>
      <x:c r="J503" s="17"/>
      <x:c r="K503" s="17"/>
      <x:c r="L503" s="17"/>
      <x:c r="M503" s="17"/>
      <x:c r="N503" s="17"/>
      <x:c r="O503" s="17"/>
      <x:c r="P503" s="17"/>
      <x:c r="Q503" s="17"/>
      <x:c r="R503" s="17"/>
      <x:c r="S503" s="17"/>
      <x:c r="T503" s="17"/>
      <x:c r="U503" s="17"/>
      <x:c r="V503" s="17"/>
      <x:c r="W503" s="17"/>
      <x:c r="X503" s="17"/>
      <x:c r="Y503" s="17"/>
      <x:c r="Z503" s="17"/>
    </x:row>
    <x:row r="504">
      <x:c r="A504" s="17"/>
      <x:c r="B504" s="17"/>
      <x:c r="C504" s="17"/>
      <x:c r="D504" s="17"/>
      <x:c r="E504" s="17"/>
      <x:c r="F504" s="17"/>
      <x:c r="G504" s="17"/>
      <x:c r="H504" s="17"/>
      <x:c r="I504" s="17"/>
      <x:c r="J504" s="17"/>
      <x:c r="K504" s="17"/>
      <x:c r="L504" s="17"/>
      <x:c r="M504" s="17"/>
      <x:c r="N504" s="17"/>
      <x:c r="O504" s="17"/>
      <x:c r="P504" s="17"/>
      <x:c r="Q504" s="17"/>
      <x:c r="R504" s="17"/>
      <x:c r="S504" s="17"/>
      <x:c r="T504" s="17"/>
      <x:c r="U504" s="17"/>
      <x:c r="V504" s="17"/>
      <x:c r="W504" s="17"/>
      <x:c r="X504" s="17"/>
      <x:c r="Y504" s="17"/>
      <x:c r="Z504" s="17"/>
    </x:row>
    <x:row r="505">
      <x:c r="A505" s="17"/>
      <x:c r="B505" s="17"/>
      <x:c r="C505" s="17"/>
      <x:c r="D505" s="17"/>
      <x:c r="E505" s="17"/>
      <x:c r="F505" s="17"/>
      <x:c r="G505" s="17"/>
      <x:c r="H505" s="17"/>
      <x:c r="I505" s="17"/>
      <x:c r="J505" s="17"/>
      <x:c r="K505" s="17"/>
      <x:c r="L505" s="17"/>
      <x:c r="M505" s="17"/>
      <x:c r="N505" s="17"/>
      <x:c r="O505" s="17"/>
      <x:c r="P505" s="17"/>
      <x:c r="Q505" s="17"/>
      <x:c r="R505" s="17"/>
      <x:c r="S505" s="17"/>
      <x:c r="T505" s="17"/>
      <x:c r="U505" s="17"/>
      <x:c r="V505" s="17"/>
      <x:c r="W505" s="17"/>
      <x:c r="X505" s="17"/>
      <x:c r="Y505" s="17"/>
      <x:c r="Z505" s="17"/>
    </x:row>
    <x:row r="506">
      <x:c r="A506" s="17"/>
      <x:c r="B506" s="17"/>
      <x:c r="C506" s="17"/>
      <x:c r="D506" s="17"/>
      <x:c r="E506" s="17"/>
      <x:c r="F506" s="17"/>
      <x:c r="G506" s="17"/>
      <x:c r="H506" s="17"/>
      <x:c r="I506" s="17"/>
      <x:c r="J506" s="17"/>
      <x:c r="K506" s="17"/>
      <x:c r="L506" s="17"/>
      <x:c r="M506" s="17"/>
      <x:c r="N506" s="17"/>
      <x:c r="O506" s="17"/>
      <x:c r="P506" s="17"/>
      <x:c r="Q506" s="17"/>
      <x:c r="R506" s="17"/>
      <x:c r="S506" s="17"/>
      <x:c r="T506" s="17"/>
      <x:c r="U506" s="17"/>
      <x:c r="V506" s="17"/>
      <x:c r="W506" s="17"/>
      <x:c r="X506" s="17"/>
      <x:c r="Y506" s="17"/>
      <x:c r="Z506" s="17"/>
    </x:row>
    <x:row r="507">
      <x:c r="A507" s="17"/>
      <x:c r="B507" s="17"/>
      <x:c r="C507" s="17"/>
      <x:c r="D507" s="17"/>
      <x:c r="E507" s="17"/>
      <x:c r="F507" s="17"/>
      <x:c r="G507" s="17"/>
      <x:c r="H507" s="17"/>
      <x:c r="I507" s="17"/>
      <x:c r="J507" s="17"/>
      <x:c r="K507" s="17"/>
      <x:c r="L507" s="17"/>
      <x:c r="M507" s="17"/>
      <x:c r="N507" s="17"/>
      <x:c r="O507" s="17"/>
      <x:c r="P507" s="17"/>
      <x:c r="Q507" s="17"/>
      <x:c r="R507" s="17"/>
      <x:c r="S507" s="17"/>
      <x:c r="T507" s="17"/>
      <x:c r="U507" s="17"/>
      <x:c r="V507" s="17"/>
      <x:c r="W507" s="17"/>
      <x:c r="X507" s="17"/>
      <x:c r="Y507" s="17"/>
      <x:c r="Z507" s="17"/>
    </x:row>
    <x:row r="508">
      <x:c r="A508" s="17"/>
      <x:c r="B508" s="17"/>
      <x:c r="C508" s="17"/>
      <x:c r="D508" s="17"/>
      <x:c r="E508" s="17"/>
      <x:c r="F508" s="17"/>
      <x:c r="G508" s="17"/>
      <x:c r="H508" s="17"/>
      <x:c r="I508" s="17"/>
      <x:c r="J508" s="17"/>
      <x:c r="K508" s="17"/>
      <x:c r="L508" s="17"/>
      <x:c r="M508" s="17"/>
      <x:c r="N508" s="17"/>
      <x:c r="O508" s="17"/>
      <x:c r="P508" s="17"/>
      <x:c r="Q508" s="17"/>
      <x:c r="R508" s="17"/>
      <x:c r="S508" s="17"/>
      <x:c r="T508" s="17"/>
      <x:c r="U508" s="17"/>
      <x:c r="V508" s="17"/>
      <x:c r="W508" s="17"/>
      <x:c r="X508" s="17"/>
      <x:c r="Y508" s="17"/>
      <x:c r="Z508" s="17"/>
    </x:row>
    <x:row r="509">
      <x:c r="A509" s="17"/>
      <x:c r="B509" s="17"/>
      <x:c r="C509" s="17"/>
      <x:c r="D509" s="17"/>
      <x:c r="E509" s="17"/>
      <x:c r="F509" s="17"/>
      <x:c r="G509" s="17"/>
      <x:c r="H509" s="17"/>
      <x:c r="I509" s="17"/>
      <x:c r="J509" s="17"/>
      <x:c r="K509" s="17"/>
      <x:c r="L509" s="17"/>
      <x:c r="M509" s="17"/>
      <x:c r="N509" s="17"/>
      <x:c r="O509" s="17"/>
      <x:c r="P509" s="17"/>
      <x:c r="Q509" s="17"/>
      <x:c r="R509" s="17"/>
      <x:c r="S509" s="17"/>
      <x:c r="T509" s="17"/>
      <x:c r="U509" s="17"/>
      <x:c r="V509" s="17"/>
      <x:c r="W509" s="17"/>
      <x:c r="X509" s="17"/>
      <x:c r="Y509" s="17"/>
      <x:c r="Z509" s="17"/>
    </x:row>
    <x:row r="510">
      <x:c r="A510" s="17"/>
      <x:c r="B510" s="17"/>
      <x:c r="C510" s="17"/>
      <x:c r="D510" s="17"/>
      <x:c r="E510" s="17"/>
      <x:c r="F510" s="17"/>
      <x:c r="G510" s="17"/>
      <x:c r="H510" s="17"/>
      <x:c r="I510" s="17"/>
      <x:c r="J510" s="17"/>
      <x:c r="K510" s="17"/>
      <x:c r="L510" s="17"/>
      <x:c r="M510" s="17"/>
      <x:c r="N510" s="17"/>
      <x:c r="O510" s="17"/>
      <x:c r="P510" s="17"/>
      <x:c r="Q510" s="17"/>
      <x:c r="R510" s="17"/>
      <x:c r="S510" s="17"/>
      <x:c r="T510" s="17"/>
      <x:c r="U510" s="17"/>
      <x:c r="V510" s="17"/>
      <x:c r="W510" s="17"/>
      <x:c r="X510" s="17"/>
      <x:c r="Y510" s="17"/>
      <x:c r="Z510" s="17"/>
    </x:row>
    <x:row r="511">
      <x:c r="A511" s="17"/>
      <x:c r="B511" s="17"/>
      <x:c r="C511" s="17"/>
      <x:c r="D511" s="17"/>
      <x:c r="E511" s="17"/>
      <x:c r="F511" s="17"/>
      <x:c r="G511" s="17"/>
      <x:c r="H511" s="17"/>
      <x:c r="I511" s="17"/>
      <x:c r="J511" s="17"/>
      <x:c r="K511" s="17"/>
      <x:c r="L511" s="17"/>
      <x:c r="M511" s="17"/>
      <x:c r="N511" s="17"/>
      <x:c r="O511" s="17"/>
      <x:c r="P511" s="17"/>
      <x:c r="Q511" s="17"/>
      <x:c r="R511" s="17"/>
      <x:c r="S511" s="17"/>
      <x:c r="T511" s="17"/>
      <x:c r="U511" s="17"/>
      <x:c r="V511" s="17"/>
      <x:c r="W511" s="17"/>
      <x:c r="X511" s="17"/>
      <x:c r="Y511" s="17"/>
      <x:c r="Z511" s="17"/>
    </x:row>
    <x:row r="512">
      <x:c r="A512" s="17"/>
      <x:c r="B512" s="17"/>
      <x:c r="C512" s="17"/>
      <x:c r="D512" s="17"/>
      <x:c r="E512" s="17"/>
      <x:c r="F512" s="17"/>
      <x:c r="G512" s="17"/>
      <x:c r="H512" s="17"/>
      <x:c r="I512" s="17"/>
      <x:c r="J512" s="17"/>
      <x:c r="K512" s="17"/>
      <x:c r="L512" s="17"/>
      <x:c r="M512" s="17"/>
      <x:c r="N512" s="17"/>
      <x:c r="O512" s="17"/>
      <x:c r="P512" s="17"/>
      <x:c r="Q512" s="17"/>
      <x:c r="R512" s="17"/>
      <x:c r="S512" s="17"/>
      <x:c r="T512" s="17"/>
      <x:c r="U512" s="17"/>
      <x:c r="V512" s="17"/>
      <x:c r="W512" s="17"/>
      <x:c r="X512" s="17"/>
      <x:c r="Y512" s="17"/>
      <x:c r="Z512" s="17"/>
    </x:row>
    <x:row r="513">
      <x:c r="A513" s="17"/>
      <x:c r="B513" s="17"/>
      <x:c r="C513" s="17"/>
      <x:c r="D513" s="17"/>
      <x:c r="E513" s="17"/>
      <x:c r="F513" s="17"/>
      <x:c r="G513" s="17"/>
      <x:c r="H513" s="17"/>
      <x:c r="I513" s="17"/>
      <x:c r="J513" s="17"/>
      <x:c r="K513" s="17"/>
      <x:c r="L513" s="17"/>
      <x:c r="M513" s="17"/>
      <x:c r="N513" s="17"/>
      <x:c r="O513" s="17"/>
      <x:c r="P513" s="17"/>
      <x:c r="Q513" s="17"/>
      <x:c r="R513" s="17"/>
      <x:c r="S513" s="17"/>
      <x:c r="T513" s="17"/>
      <x:c r="U513" s="17"/>
      <x:c r="V513" s="17"/>
      <x:c r="W513" s="17"/>
      <x:c r="X513" s="17"/>
      <x:c r="Y513" s="17"/>
      <x:c r="Z513" s="17"/>
    </x:row>
    <x:row r="514">
      <x:c r="A514" s="17"/>
      <x:c r="B514" s="17"/>
      <x:c r="C514" s="17"/>
      <x:c r="D514" s="17"/>
      <x:c r="E514" s="17"/>
      <x:c r="F514" s="17"/>
      <x:c r="G514" s="17"/>
      <x:c r="H514" s="17"/>
      <x:c r="I514" s="17"/>
      <x:c r="J514" s="17"/>
      <x:c r="K514" s="17"/>
      <x:c r="L514" s="17"/>
      <x:c r="M514" s="17"/>
      <x:c r="N514" s="17"/>
      <x:c r="O514" s="17"/>
      <x:c r="P514" s="17"/>
      <x:c r="Q514" s="17"/>
      <x:c r="R514" s="17"/>
      <x:c r="S514" s="17"/>
      <x:c r="T514" s="17"/>
      <x:c r="U514" s="17"/>
      <x:c r="V514" s="17"/>
      <x:c r="W514" s="17"/>
      <x:c r="X514" s="17"/>
      <x:c r="Y514" s="17"/>
      <x:c r="Z514" s="17"/>
    </x:row>
    <x:row r="515">
      <x:c r="A515" s="17"/>
      <x:c r="B515" s="17"/>
      <x:c r="C515" s="17"/>
      <x:c r="D515" s="17"/>
      <x:c r="E515" s="17"/>
      <x:c r="F515" s="17"/>
      <x:c r="G515" s="17"/>
      <x:c r="H515" s="17"/>
      <x:c r="I515" s="17"/>
      <x:c r="J515" s="17"/>
      <x:c r="K515" s="17"/>
      <x:c r="L515" s="17"/>
      <x:c r="M515" s="17"/>
      <x:c r="N515" s="17"/>
      <x:c r="O515" s="17"/>
      <x:c r="P515" s="17"/>
      <x:c r="Q515" s="17"/>
      <x:c r="R515" s="17"/>
      <x:c r="S515" s="17"/>
      <x:c r="T515" s="17"/>
      <x:c r="U515" s="17"/>
      <x:c r="V515" s="17"/>
      <x:c r="W515" s="17"/>
      <x:c r="X515" s="17"/>
      <x:c r="Y515" s="17"/>
      <x:c r="Z515" s="17"/>
    </x:row>
    <x:row r="516">
      <x:c r="A516" s="17"/>
      <x:c r="B516" s="17"/>
      <x:c r="C516" s="17"/>
      <x:c r="D516" s="17"/>
      <x:c r="E516" s="17"/>
      <x:c r="F516" s="17"/>
      <x:c r="G516" s="17"/>
      <x:c r="H516" s="17"/>
      <x:c r="I516" s="17"/>
      <x:c r="J516" s="17"/>
      <x:c r="K516" s="17"/>
      <x:c r="L516" s="17"/>
      <x:c r="M516" s="17"/>
      <x:c r="N516" s="17"/>
      <x:c r="O516" s="17"/>
      <x:c r="P516" s="17"/>
      <x:c r="Q516" s="17"/>
      <x:c r="R516" s="17"/>
      <x:c r="S516" s="17"/>
      <x:c r="T516" s="17"/>
      <x:c r="U516" s="17"/>
      <x:c r="V516" s="17"/>
      <x:c r="W516" s="17"/>
      <x:c r="X516" s="17"/>
      <x:c r="Y516" s="17"/>
      <x:c r="Z516" s="17"/>
    </x:row>
    <x:row r="517">
      <x:c r="A517" s="17"/>
      <x:c r="B517" s="17"/>
      <x:c r="C517" s="17"/>
      <x:c r="D517" s="17"/>
      <x:c r="E517" s="17"/>
      <x:c r="F517" s="17"/>
      <x:c r="G517" s="17"/>
      <x:c r="H517" s="17"/>
      <x:c r="I517" s="17"/>
      <x:c r="J517" s="17"/>
      <x:c r="K517" s="17"/>
      <x:c r="L517" s="17"/>
      <x:c r="M517" s="17"/>
      <x:c r="N517" s="17"/>
      <x:c r="O517" s="17"/>
      <x:c r="P517" s="17"/>
      <x:c r="Q517" s="17"/>
      <x:c r="R517" s="17"/>
      <x:c r="S517" s="17"/>
      <x:c r="T517" s="17"/>
      <x:c r="U517" s="17"/>
      <x:c r="V517" s="17"/>
      <x:c r="W517" s="17"/>
      <x:c r="X517" s="17"/>
      <x:c r="Y517" s="17"/>
      <x:c r="Z517" s="17"/>
    </x:row>
    <x:row r="518">
      <x:c r="A518" s="17"/>
      <x:c r="B518" s="17"/>
      <x:c r="C518" s="17"/>
      <x:c r="D518" s="17"/>
      <x:c r="E518" s="17"/>
      <x:c r="F518" s="17"/>
      <x:c r="G518" s="17"/>
      <x:c r="H518" s="17"/>
      <x:c r="I518" s="17"/>
      <x:c r="J518" s="17"/>
      <x:c r="K518" s="17"/>
      <x:c r="L518" s="17"/>
      <x:c r="M518" s="17"/>
      <x:c r="N518" s="17"/>
      <x:c r="O518" s="17"/>
      <x:c r="P518" s="17"/>
      <x:c r="Q518" s="17"/>
      <x:c r="R518" s="17"/>
      <x:c r="S518" s="17"/>
      <x:c r="T518" s="17"/>
      <x:c r="U518" s="17"/>
      <x:c r="V518" s="17"/>
      <x:c r="W518" s="17"/>
      <x:c r="X518" s="17"/>
      <x:c r="Y518" s="17"/>
      <x:c r="Z518" s="17"/>
    </x:row>
    <x:row r="519">
      <x:c r="A519" s="17"/>
      <x:c r="B519" s="17"/>
      <x:c r="C519" s="17"/>
      <x:c r="D519" s="17"/>
      <x:c r="E519" s="17"/>
      <x:c r="F519" s="17"/>
      <x:c r="G519" s="17"/>
      <x:c r="H519" s="17"/>
      <x:c r="I519" s="17"/>
      <x:c r="J519" s="17"/>
      <x:c r="K519" s="17"/>
      <x:c r="L519" s="17"/>
      <x:c r="M519" s="17"/>
      <x:c r="N519" s="17"/>
      <x:c r="O519" s="17"/>
      <x:c r="P519" s="17"/>
      <x:c r="Q519" s="17"/>
      <x:c r="R519" s="17"/>
      <x:c r="S519" s="17"/>
      <x:c r="T519" s="17"/>
      <x:c r="U519" s="17"/>
      <x:c r="V519" s="17"/>
      <x:c r="W519" s="17"/>
      <x:c r="X519" s="17"/>
      <x:c r="Y519" s="17"/>
      <x:c r="Z519" s="17"/>
    </x:row>
    <x:row r="520">
      <x:c r="A520" s="17"/>
      <x:c r="B520" s="17"/>
      <x:c r="C520" s="17"/>
      <x:c r="D520" s="17"/>
      <x:c r="E520" s="17"/>
      <x:c r="F520" s="17"/>
      <x:c r="G520" s="17"/>
      <x:c r="H520" s="17"/>
      <x:c r="I520" s="17"/>
      <x:c r="J520" s="17"/>
      <x:c r="K520" s="17"/>
      <x:c r="L520" s="17"/>
      <x:c r="M520" s="17"/>
      <x:c r="N520" s="17"/>
      <x:c r="O520" s="17"/>
      <x:c r="P520" s="17"/>
      <x:c r="Q520" s="17"/>
      <x:c r="R520" s="17"/>
      <x:c r="S520" s="17"/>
      <x:c r="T520" s="17"/>
      <x:c r="U520" s="17"/>
      <x:c r="V520" s="17"/>
      <x:c r="W520" s="17"/>
      <x:c r="X520" s="17"/>
      <x:c r="Y520" s="17"/>
      <x:c r="Z520" s="17"/>
    </x:row>
    <x:row r="521">
      <x:c r="A521" s="17"/>
      <x:c r="B521" s="17"/>
      <x:c r="C521" s="17"/>
      <x:c r="D521" s="17"/>
      <x:c r="E521" s="17"/>
      <x:c r="F521" s="17"/>
      <x:c r="G521" s="17"/>
      <x:c r="H521" s="17"/>
      <x:c r="I521" s="17"/>
      <x:c r="J521" s="17"/>
      <x:c r="K521" s="17"/>
      <x:c r="L521" s="17"/>
      <x:c r="M521" s="17"/>
      <x:c r="N521" s="17"/>
      <x:c r="O521" s="17"/>
      <x:c r="P521" s="17"/>
      <x:c r="Q521" s="17"/>
      <x:c r="R521" s="17"/>
      <x:c r="S521" s="17"/>
      <x:c r="T521" s="17"/>
      <x:c r="U521" s="17"/>
      <x:c r="V521" s="17"/>
      <x:c r="W521" s="17"/>
      <x:c r="X521" s="17"/>
      <x:c r="Y521" s="17"/>
      <x:c r="Z521" s="17"/>
    </x:row>
    <x:row r="522">
      <x:c r="A522" s="17"/>
      <x:c r="B522" s="17"/>
      <x:c r="C522" s="17"/>
      <x:c r="D522" s="17"/>
      <x:c r="E522" s="17"/>
      <x:c r="F522" s="17"/>
      <x:c r="G522" s="17"/>
      <x:c r="H522" s="17"/>
      <x:c r="I522" s="17"/>
      <x:c r="J522" s="17"/>
      <x:c r="K522" s="17"/>
      <x:c r="L522" s="17"/>
      <x:c r="M522" s="17"/>
      <x:c r="N522" s="17"/>
      <x:c r="O522" s="17"/>
      <x:c r="P522" s="17"/>
      <x:c r="Q522" s="17"/>
      <x:c r="R522" s="17"/>
      <x:c r="S522" s="17"/>
      <x:c r="T522" s="17"/>
      <x:c r="U522" s="17"/>
      <x:c r="V522" s="17"/>
      <x:c r="W522" s="17"/>
      <x:c r="X522" s="17"/>
      <x:c r="Y522" s="17"/>
      <x:c r="Z522" s="17"/>
    </x:row>
    <x:row r="523">
      <x:c r="A523" s="17"/>
      <x:c r="B523" s="17"/>
      <x:c r="C523" s="17"/>
      <x:c r="D523" s="17"/>
      <x:c r="E523" s="17"/>
      <x:c r="F523" s="17"/>
      <x:c r="G523" s="17"/>
      <x:c r="H523" s="17"/>
      <x:c r="I523" s="17"/>
      <x:c r="J523" s="17"/>
      <x:c r="K523" s="17"/>
      <x:c r="L523" s="17"/>
      <x:c r="M523" s="17"/>
      <x:c r="N523" s="17"/>
      <x:c r="O523" s="17"/>
      <x:c r="P523" s="17"/>
      <x:c r="Q523" s="17"/>
      <x:c r="R523" s="17"/>
      <x:c r="S523" s="17"/>
      <x:c r="T523" s="17"/>
      <x:c r="U523" s="17"/>
      <x:c r="V523" s="17"/>
      <x:c r="W523" s="17"/>
      <x:c r="X523" s="17"/>
      <x:c r="Y523" s="17"/>
      <x:c r="Z523" s="17"/>
    </x:row>
    <x:row r="524">
      <x:c r="A524" s="17"/>
      <x:c r="B524" s="17"/>
      <x:c r="C524" s="17"/>
      <x:c r="D524" s="17"/>
      <x:c r="E524" s="17"/>
      <x:c r="F524" s="17"/>
      <x:c r="G524" s="17"/>
      <x:c r="H524" s="17"/>
      <x:c r="I524" s="17"/>
      <x:c r="J524" s="17"/>
      <x:c r="K524" s="17"/>
      <x:c r="L524" s="17"/>
      <x:c r="M524" s="17"/>
      <x:c r="N524" s="17"/>
      <x:c r="O524" s="17"/>
      <x:c r="P524" s="17"/>
      <x:c r="Q524" s="17"/>
      <x:c r="R524" s="17"/>
      <x:c r="S524" s="17"/>
      <x:c r="T524" s="17"/>
      <x:c r="U524" s="17"/>
      <x:c r="V524" s="17"/>
      <x:c r="W524" s="17"/>
      <x:c r="X524" s="17"/>
      <x:c r="Y524" s="17"/>
      <x:c r="Z524" s="17"/>
    </x:row>
    <x:row r="525">
      <x:c r="A525" s="17"/>
      <x:c r="B525" s="17"/>
      <x:c r="C525" s="17"/>
      <x:c r="D525" s="17"/>
      <x:c r="E525" s="17"/>
      <x:c r="F525" s="17"/>
      <x:c r="G525" s="17"/>
      <x:c r="H525" s="17"/>
      <x:c r="I525" s="17"/>
      <x:c r="J525" s="17"/>
      <x:c r="K525" s="17"/>
      <x:c r="L525" s="17"/>
      <x:c r="M525" s="17"/>
      <x:c r="N525" s="17"/>
      <x:c r="O525" s="17"/>
      <x:c r="P525" s="17"/>
      <x:c r="Q525" s="17"/>
      <x:c r="R525" s="17"/>
      <x:c r="S525" s="17"/>
      <x:c r="T525" s="17"/>
      <x:c r="U525" s="17"/>
      <x:c r="V525" s="17"/>
      <x:c r="W525" s="17"/>
      <x:c r="X525" s="17"/>
      <x:c r="Y525" s="17"/>
      <x:c r="Z525" s="17"/>
    </x:row>
    <x:row r="526">
      <x:c r="A526" s="17"/>
      <x:c r="B526" s="17"/>
      <x:c r="C526" s="17"/>
      <x:c r="D526" s="17"/>
      <x:c r="E526" s="17"/>
      <x:c r="F526" s="17"/>
      <x:c r="G526" s="17"/>
      <x:c r="H526" s="17"/>
      <x:c r="I526" s="17"/>
      <x:c r="J526" s="17"/>
      <x:c r="K526" s="17"/>
      <x:c r="L526" s="17"/>
      <x:c r="M526" s="17"/>
      <x:c r="N526" s="17"/>
      <x:c r="O526" s="17"/>
      <x:c r="P526" s="17"/>
      <x:c r="Q526" s="17"/>
      <x:c r="R526" s="17"/>
      <x:c r="S526" s="17"/>
      <x:c r="T526" s="17"/>
      <x:c r="U526" s="17"/>
      <x:c r="V526" s="17"/>
      <x:c r="W526" s="17"/>
      <x:c r="X526" s="17"/>
      <x:c r="Y526" s="17"/>
      <x:c r="Z526" s="17"/>
    </x:row>
    <x:row r="527">
      <x:c r="A527" s="17"/>
      <x:c r="B527" s="17"/>
      <x:c r="C527" s="17"/>
      <x:c r="D527" s="17"/>
      <x:c r="E527" s="17"/>
      <x:c r="F527" s="17"/>
      <x:c r="G527" s="17"/>
      <x:c r="H527" s="17"/>
      <x:c r="I527" s="17"/>
      <x:c r="J527" s="17"/>
      <x:c r="K527" s="17"/>
      <x:c r="L527" s="17"/>
      <x:c r="M527" s="17"/>
      <x:c r="N527" s="17"/>
      <x:c r="O527" s="17"/>
      <x:c r="P527" s="17"/>
      <x:c r="Q527" s="17"/>
      <x:c r="R527" s="17"/>
      <x:c r="S527" s="17"/>
      <x:c r="T527" s="17"/>
      <x:c r="U527" s="17"/>
      <x:c r="V527" s="17"/>
      <x:c r="W527" s="17"/>
      <x:c r="X527" s="17"/>
      <x:c r="Y527" s="17"/>
      <x:c r="Z527" s="17"/>
    </x:row>
    <x:row r="528">
      <x:c r="A528" s="17"/>
      <x:c r="B528" s="17"/>
      <x:c r="C528" s="17"/>
      <x:c r="D528" s="17"/>
      <x:c r="E528" s="17"/>
      <x:c r="F528" s="17"/>
      <x:c r="G528" s="17"/>
      <x:c r="H528" s="17"/>
      <x:c r="I528" s="17"/>
      <x:c r="J528" s="17"/>
      <x:c r="K528" s="17"/>
      <x:c r="L528" s="17"/>
      <x:c r="M528" s="17"/>
      <x:c r="N528" s="17"/>
      <x:c r="O528" s="17"/>
      <x:c r="P528" s="17"/>
      <x:c r="Q528" s="17"/>
      <x:c r="R528" s="17"/>
      <x:c r="S528" s="17"/>
      <x:c r="T528" s="17"/>
      <x:c r="U528" s="17"/>
      <x:c r="V528" s="17"/>
      <x:c r="W528" s="17"/>
      <x:c r="X528" s="17"/>
      <x:c r="Y528" s="17"/>
      <x:c r="Z528" s="17"/>
    </x:row>
    <x:row r="529">
      <x:c r="A529" s="17"/>
      <x:c r="B529" s="17"/>
      <x:c r="C529" s="17"/>
      <x:c r="D529" s="17"/>
      <x:c r="E529" s="17"/>
      <x:c r="F529" s="17"/>
      <x:c r="G529" s="17"/>
      <x:c r="H529" s="17"/>
      <x:c r="I529" s="17"/>
      <x:c r="J529" s="17"/>
      <x:c r="K529" s="17"/>
      <x:c r="L529" s="17"/>
      <x:c r="M529" s="17"/>
      <x:c r="N529" s="17"/>
      <x:c r="O529" s="17"/>
      <x:c r="P529" s="17"/>
      <x:c r="Q529" s="17"/>
      <x:c r="R529" s="17"/>
      <x:c r="S529" s="17"/>
      <x:c r="T529" s="17"/>
      <x:c r="U529" s="17"/>
      <x:c r="V529" s="17"/>
      <x:c r="W529" s="17"/>
      <x:c r="X529" s="17"/>
      <x:c r="Y529" s="17"/>
      <x:c r="Z529" s="17"/>
    </x:row>
    <x:row r="530">
      <x:c r="A530" s="17"/>
      <x:c r="B530" s="17"/>
      <x:c r="C530" s="17"/>
      <x:c r="D530" s="17"/>
      <x:c r="E530" s="17"/>
      <x:c r="F530" s="17"/>
      <x:c r="G530" s="17"/>
      <x:c r="H530" s="17"/>
      <x:c r="I530" s="17"/>
      <x:c r="J530" s="17"/>
      <x:c r="K530" s="17"/>
      <x:c r="L530" s="17"/>
      <x:c r="M530" s="17"/>
      <x:c r="N530" s="17"/>
      <x:c r="O530" s="17"/>
      <x:c r="P530" s="17"/>
      <x:c r="Q530" s="17"/>
      <x:c r="R530" s="17"/>
      <x:c r="S530" s="17"/>
      <x:c r="T530" s="17"/>
      <x:c r="U530" s="17"/>
      <x:c r="V530" s="17"/>
      <x:c r="W530" s="17"/>
      <x:c r="X530" s="17"/>
      <x:c r="Y530" s="17"/>
      <x:c r="Z530" s="17"/>
    </x:row>
    <x:row r="531">
      <x:c r="A531" s="17"/>
      <x:c r="B531" s="17"/>
      <x:c r="C531" s="17"/>
      <x:c r="D531" s="17"/>
      <x:c r="E531" s="17"/>
      <x:c r="F531" s="17"/>
      <x:c r="G531" s="17"/>
      <x:c r="H531" s="17"/>
      <x:c r="I531" s="17"/>
      <x:c r="J531" s="17"/>
      <x:c r="K531" s="17"/>
      <x:c r="L531" s="17"/>
      <x:c r="M531" s="17"/>
      <x:c r="N531" s="17"/>
      <x:c r="O531" s="17"/>
      <x:c r="P531" s="17"/>
      <x:c r="Q531" s="17"/>
      <x:c r="R531" s="17"/>
      <x:c r="S531" s="17"/>
      <x:c r="T531" s="17"/>
      <x:c r="U531" s="17"/>
      <x:c r="V531" s="17"/>
      <x:c r="W531" s="17"/>
      <x:c r="X531" s="17"/>
      <x:c r="Y531" s="17"/>
      <x:c r="Z531" s="17"/>
    </x:row>
    <x:row r="532">
      <x:c r="A532" s="17"/>
      <x:c r="B532" s="17"/>
      <x:c r="C532" s="17"/>
      <x:c r="D532" s="17"/>
      <x:c r="E532" s="17"/>
      <x:c r="F532" s="17"/>
      <x:c r="G532" s="17"/>
      <x:c r="H532" s="17"/>
      <x:c r="I532" s="17"/>
      <x:c r="J532" s="17"/>
      <x:c r="K532" s="17"/>
      <x:c r="L532" s="17"/>
      <x:c r="M532" s="17"/>
      <x:c r="N532" s="17"/>
      <x:c r="O532" s="17"/>
      <x:c r="P532" s="17"/>
      <x:c r="Q532" s="17"/>
      <x:c r="R532" s="17"/>
      <x:c r="S532" s="17"/>
      <x:c r="T532" s="17"/>
      <x:c r="U532" s="17"/>
      <x:c r="V532" s="17"/>
      <x:c r="W532" s="17"/>
      <x:c r="X532" s="17"/>
      <x:c r="Y532" s="17"/>
      <x:c r="Z532" s="17"/>
    </x:row>
    <x:row r="533">
      <x:c r="A533" s="17"/>
      <x:c r="B533" s="17"/>
      <x:c r="C533" s="17"/>
      <x:c r="D533" s="17"/>
      <x:c r="E533" s="17"/>
      <x:c r="F533" s="17"/>
      <x:c r="G533" s="17"/>
      <x:c r="H533" s="17"/>
      <x:c r="I533" s="17"/>
      <x:c r="J533" s="17"/>
      <x:c r="K533" s="17"/>
      <x:c r="L533" s="17"/>
      <x:c r="M533" s="17"/>
      <x:c r="N533" s="17"/>
      <x:c r="O533" s="17"/>
      <x:c r="P533" s="17"/>
      <x:c r="Q533" s="17"/>
      <x:c r="R533" s="17"/>
      <x:c r="S533" s="17"/>
      <x:c r="T533" s="17"/>
      <x:c r="U533" s="17"/>
      <x:c r="V533" s="17"/>
      <x:c r="W533" s="17"/>
      <x:c r="X533" s="17"/>
      <x:c r="Y533" s="17"/>
      <x:c r="Z533" s="17"/>
    </x:row>
    <x:row r="534">
      <x:c r="A534" s="17"/>
      <x:c r="B534" s="17"/>
      <x:c r="C534" s="17"/>
      <x:c r="D534" s="17"/>
      <x:c r="E534" s="17"/>
      <x:c r="F534" s="17"/>
      <x:c r="G534" s="17"/>
      <x:c r="H534" s="17"/>
      <x:c r="I534" s="17"/>
      <x:c r="J534" s="17"/>
      <x:c r="K534" s="17"/>
      <x:c r="L534" s="17"/>
      <x:c r="M534" s="17"/>
      <x:c r="N534" s="17"/>
      <x:c r="O534" s="17"/>
      <x:c r="P534" s="17"/>
      <x:c r="Q534" s="17"/>
      <x:c r="R534" s="17"/>
      <x:c r="S534" s="17"/>
      <x:c r="T534" s="17"/>
      <x:c r="U534" s="17"/>
      <x:c r="V534" s="17"/>
      <x:c r="W534" s="17"/>
      <x:c r="X534" s="17"/>
      <x:c r="Y534" s="17"/>
      <x:c r="Z534" s="17"/>
    </x:row>
    <x:row r="535">
      <x:c r="A535" s="17"/>
      <x:c r="B535" s="17"/>
      <x:c r="C535" s="17"/>
      <x:c r="D535" s="17"/>
      <x:c r="E535" s="17"/>
      <x:c r="F535" s="17"/>
      <x:c r="G535" s="17"/>
      <x:c r="H535" s="17"/>
      <x:c r="I535" s="17"/>
      <x:c r="J535" s="17"/>
      <x:c r="K535" s="17"/>
      <x:c r="L535" s="17"/>
      <x:c r="M535" s="17"/>
      <x:c r="N535" s="17"/>
      <x:c r="O535" s="17"/>
      <x:c r="P535" s="17"/>
      <x:c r="Q535" s="17"/>
      <x:c r="R535" s="17"/>
      <x:c r="S535" s="17"/>
      <x:c r="T535" s="17"/>
      <x:c r="U535" s="17"/>
      <x:c r="V535" s="17"/>
      <x:c r="W535" s="17"/>
      <x:c r="X535" s="17"/>
      <x:c r="Y535" s="17"/>
      <x:c r="Z535" s="17"/>
    </x:row>
    <x:row r="536">
      <x:c r="A536" s="17"/>
      <x:c r="B536" s="17"/>
      <x:c r="C536" s="17"/>
      <x:c r="D536" s="17"/>
      <x:c r="E536" s="17"/>
      <x:c r="F536" s="17"/>
      <x:c r="G536" s="17"/>
      <x:c r="H536" s="17"/>
      <x:c r="I536" s="17"/>
      <x:c r="J536" s="17"/>
      <x:c r="K536" s="17"/>
      <x:c r="L536" s="17"/>
      <x:c r="M536" s="17"/>
      <x:c r="N536" s="17"/>
      <x:c r="O536" s="17"/>
      <x:c r="P536" s="17"/>
      <x:c r="Q536" s="17"/>
      <x:c r="R536" s="17"/>
      <x:c r="S536" s="17"/>
      <x:c r="T536" s="17"/>
      <x:c r="U536" s="17"/>
      <x:c r="V536" s="17"/>
      <x:c r="W536" s="17"/>
      <x:c r="X536" s="17"/>
      <x:c r="Y536" s="17"/>
      <x:c r="Z536" s="17"/>
    </x:row>
    <x:row r="537">
      <x:c r="A537" s="17"/>
      <x:c r="B537" s="17"/>
      <x:c r="C537" s="17"/>
      <x:c r="D537" s="17"/>
      <x:c r="E537" s="17"/>
      <x:c r="F537" s="17"/>
      <x:c r="G537" s="17"/>
      <x:c r="H537" s="17"/>
      <x:c r="I537" s="17"/>
      <x:c r="J537" s="17"/>
      <x:c r="K537" s="17"/>
      <x:c r="L537" s="17"/>
      <x:c r="M537" s="17"/>
      <x:c r="N537" s="17"/>
      <x:c r="O537" s="17"/>
      <x:c r="P537" s="17"/>
      <x:c r="Q537" s="17"/>
      <x:c r="R537" s="17"/>
      <x:c r="S537" s="17"/>
      <x:c r="T537" s="17"/>
      <x:c r="U537" s="17"/>
      <x:c r="V537" s="17"/>
      <x:c r="W537" s="17"/>
      <x:c r="X537" s="17"/>
      <x:c r="Y537" s="17"/>
      <x:c r="Z537" s="17"/>
    </x:row>
    <x:row r="538">
      <x:c r="A538" s="17"/>
      <x:c r="B538" s="17"/>
      <x:c r="C538" s="17"/>
      <x:c r="D538" s="17"/>
      <x:c r="E538" s="17"/>
      <x:c r="F538" s="17"/>
      <x:c r="G538" s="17"/>
      <x:c r="H538" s="17"/>
      <x:c r="I538" s="17"/>
      <x:c r="J538" s="17"/>
      <x:c r="K538" s="17"/>
      <x:c r="L538" s="17"/>
      <x:c r="M538" s="17"/>
      <x:c r="N538" s="17"/>
      <x:c r="O538" s="17"/>
      <x:c r="P538" s="17"/>
      <x:c r="Q538" s="17"/>
      <x:c r="R538" s="17"/>
      <x:c r="S538" s="17"/>
      <x:c r="T538" s="17"/>
      <x:c r="U538" s="17"/>
      <x:c r="V538" s="17"/>
      <x:c r="W538" s="17"/>
      <x:c r="X538" s="17"/>
      <x:c r="Y538" s="17"/>
      <x:c r="Z538" s="17"/>
    </x:row>
    <x:row r="539">
      <x:c r="A539" s="17"/>
      <x:c r="B539" s="17"/>
      <x:c r="C539" s="17"/>
      <x:c r="D539" s="17"/>
      <x:c r="E539" s="17"/>
      <x:c r="F539" s="17"/>
      <x:c r="G539" s="17"/>
      <x:c r="H539" s="17"/>
      <x:c r="I539" s="17"/>
      <x:c r="J539" s="17"/>
      <x:c r="K539" s="17"/>
      <x:c r="L539" s="17"/>
      <x:c r="M539" s="17"/>
      <x:c r="N539" s="17"/>
      <x:c r="O539" s="17"/>
      <x:c r="P539" s="17"/>
      <x:c r="Q539" s="17"/>
      <x:c r="R539" s="17"/>
      <x:c r="S539" s="17"/>
      <x:c r="T539" s="17"/>
      <x:c r="U539" s="17"/>
      <x:c r="V539" s="17"/>
      <x:c r="W539" s="17"/>
      <x:c r="X539" s="17"/>
      <x:c r="Y539" s="17"/>
      <x:c r="Z539" s="17"/>
    </x:row>
    <x:row r="540">
      <x:c r="A540" s="17"/>
      <x:c r="B540" s="17"/>
      <x:c r="C540" s="17"/>
      <x:c r="D540" s="17"/>
      <x:c r="E540" s="17"/>
      <x:c r="F540" s="17"/>
      <x:c r="G540" s="17"/>
      <x:c r="H540" s="17"/>
      <x:c r="I540" s="17"/>
      <x:c r="J540" s="17"/>
      <x:c r="K540" s="17"/>
      <x:c r="L540" s="17"/>
      <x:c r="M540" s="17"/>
      <x:c r="N540" s="17"/>
      <x:c r="O540" s="17"/>
      <x:c r="P540" s="17"/>
      <x:c r="Q540" s="17"/>
      <x:c r="R540" s="17"/>
      <x:c r="S540" s="17"/>
      <x:c r="T540" s="17"/>
      <x:c r="U540" s="17"/>
      <x:c r="V540" s="17"/>
      <x:c r="W540" s="17"/>
      <x:c r="X540" s="17"/>
      <x:c r="Y540" s="17"/>
      <x:c r="Z540" s="17"/>
    </x:row>
    <x:row r="541">
      <x:c r="A541" s="17"/>
      <x:c r="B541" s="17"/>
      <x:c r="C541" s="17"/>
      <x:c r="D541" s="17"/>
      <x:c r="E541" s="17"/>
      <x:c r="F541" s="17"/>
      <x:c r="G541" s="17"/>
      <x:c r="H541" s="17"/>
      <x:c r="I541" s="17"/>
      <x:c r="J541" s="17"/>
      <x:c r="K541" s="17"/>
      <x:c r="L541" s="17"/>
      <x:c r="M541" s="17"/>
      <x:c r="N541" s="17"/>
      <x:c r="O541" s="17"/>
      <x:c r="P541" s="17"/>
      <x:c r="Q541" s="17"/>
      <x:c r="R541" s="17"/>
      <x:c r="S541" s="17"/>
      <x:c r="T541" s="17"/>
      <x:c r="U541" s="17"/>
      <x:c r="V541" s="17"/>
      <x:c r="W541" s="17"/>
      <x:c r="X541" s="17"/>
      <x:c r="Y541" s="17"/>
      <x:c r="Z541" s="17"/>
    </x:row>
    <x:row r="542">
      <x:c r="A542" s="17"/>
      <x:c r="B542" s="17"/>
      <x:c r="C542" s="17"/>
      <x:c r="D542" s="17"/>
      <x:c r="E542" s="17"/>
      <x:c r="F542" s="17"/>
      <x:c r="G542" s="17"/>
      <x:c r="H542" s="17"/>
      <x:c r="I542" s="17"/>
      <x:c r="J542" s="17"/>
      <x:c r="K542" s="17"/>
      <x:c r="L542" s="17"/>
      <x:c r="M542" s="17"/>
      <x:c r="N542" s="17"/>
      <x:c r="O542" s="17"/>
      <x:c r="P542" s="17"/>
      <x:c r="Q542" s="17"/>
      <x:c r="R542" s="17"/>
      <x:c r="S542" s="17"/>
      <x:c r="T542" s="17"/>
      <x:c r="U542" s="17"/>
      <x:c r="V542" s="17"/>
      <x:c r="W542" s="17"/>
      <x:c r="X542" s="17"/>
      <x:c r="Y542" s="17"/>
      <x:c r="Z542" s="17"/>
    </x:row>
    <x:row r="543">
      <x:c r="A543" s="17"/>
      <x:c r="B543" s="17"/>
      <x:c r="C543" s="17"/>
      <x:c r="D543" s="17"/>
      <x:c r="E543" s="17"/>
      <x:c r="F543" s="17"/>
      <x:c r="G543" s="17"/>
      <x:c r="H543" s="17"/>
      <x:c r="I543" s="17"/>
      <x:c r="J543" s="17"/>
      <x:c r="K543" s="17"/>
      <x:c r="L543" s="17"/>
      <x:c r="M543" s="17"/>
      <x:c r="N543" s="17"/>
      <x:c r="O543" s="17"/>
      <x:c r="P543" s="17"/>
      <x:c r="Q543" s="17"/>
      <x:c r="R543" s="17"/>
      <x:c r="S543" s="17"/>
      <x:c r="T543" s="17"/>
      <x:c r="U543" s="17"/>
      <x:c r="V543" s="17"/>
      <x:c r="W543" s="17"/>
      <x:c r="X543" s="17"/>
      <x:c r="Y543" s="17"/>
      <x:c r="Z543" s="17"/>
    </x:row>
    <x:row r="544">
      <x:c r="A544" s="17"/>
      <x:c r="B544" s="17"/>
      <x:c r="C544" s="17"/>
      <x:c r="D544" s="17"/>
      <x:c r="E544" s="17"/>
      <x:c r="F544" s="17"/>
      <x:c r="G544" s="17"/>
      <x:c r="H544" s="17"/>
      <x:c r="I544" s="17"/>
      <x:c r="J544" s="17"/>
      <x:c r="K544" s="17"/>
      <x:c r="L544" s="17"/>
      <x:c r="M544" s="17"/>
      <x:c r="N544" s="17"/>
      <x:c r="O544" s="17"/>
      <x:c r="P544" s="17"/>
      <x:c r="Q544" s="17"/>
      <x:c r="R544" s="17"/>
      <x:c r="S544" s="17"/>
      <x:c r="T544" s="17"/>
      <x:c r="U544" s="17"/>
      <x:c r="V544" s="17"/>
      <x:c r="W544" s="17"/>
      <x:c r="X544" s="17"/>
      <x:c r="Y544" s="17"/>
      <x:c r="Z544" s="17"/>
    </x:row>
    <x:row r="545">
      <x:c r="A545" s="17"/>
      <x:c r="B545" s="17"/>
      <x:c r="C545" s="17"/>
      <x:c r="D545" s="17"/>
      <x:c r="E545" s="17"/>
      <x:c r="F545" s="17"/>
      <x:c r="G545" s="17"/>
      <x:c r="H545" s="17"/>
      <x:c r="I545" s="17"/>
      <x:c r="J545" s="17"/>
      <x:c r="K545" s="17"/>
      <x:c r="L545" s="17"/>
      <x:c r="M545" s="17"/>
      <x:c r="N545" s="17"/>
      <x:c r="O545" s="17"/>
      <x:c r="P545" s="17"/>
      <x:c r="Q545" s="17"/>
      <x:c r="R545" s="17"/>
      <x:c r="S545" s="17"/>
      <x:c r="T545" s="17"/>
      <x:c r="U545" s="17"/>
      <x:c r="V545" s="17"/>
      <x:c r="W545" s="17"/>
      <x:c r="X545" s="17"/>
      <x:c r="Y545" s="17"/>
      <x:c r="Z545" s="17"/>
    </x:row>
    <x:row r="546">
      <x:c r="A546" s="17"/>
      <x:c r="B546" s="17"/>
      <x:c r="C546" s="17"/>
      <x:c r="D546" s="17"/>
      <x:c r="E546" s="17"/>
      <x:c r="F546" s="17"/>
      <x:c r="G546" s="17"/>
      <x:c r="H546" s="17"/>
      <x:c r="I546" s="17"/>
      <x:c r="J546" s="17"/>
      <x:c r="K546" s="17"/>
      <x:c r="L546" s="17"/>
      <x:c r="M546" s="17"/>
      <x:c r="N546" s="17"/>
      <x:c r="O546" s="17"/>
      <x:c r="P546" s="17"/>
      <x:c r="Q546" s="17"/>
      <x:c r="R546" s="17"/>
      <x:c r="S546" s="17"/>
      <x:c r="T546" s="17"/>
      <x:c r="U546" s="17"/>
      <x:c r="V546" s="17"/>
      <x:c r="W546" s="17"/>
      <x:c r="X546" s="17"/>
      <x:c r="Y546" s="17"/>
      <x:c r="Z546" s="17"/>
    </x:row>
    <x:row r="547">
      <x:c r="A547" s="17"/>
      <x:c r="B547" s="17"/>
      <x:c r="C547" s="17"/>
      <x:c r="D547" s="17"/>
      <x:c r="E547" s="17"/>
      <x:c r="F547" s="17"/>
      <x:c r="G547" s="17"/>
      <x:c r="H547" s="17"/>
      <x:c r="I547" s="17"/>
      <x:c r="J547" s="17"/>
      <x:c r="K547" s="17"/>
      <x:c r="L547" s="17"/>
      <x:c r="M547" s="17"/>
      <x:c r="N547" s="17"/>
      <x:c r="O547" s="17"/>
      <x:c r="P547" s="17"/>
      <x:c r="Q547" s="17"/>
      <x:c r="R547" s="17"/>
      <x:c r="S547" s="17"/>
      <x:c r="T547" s="17"/>
      <x:c r="U547" s="17"/>
      <x:c r="V547" s="17"/>
      <x:c r="W547" s="17"/>
      <x:c r="X547" s="17"/>
      <x:c r="Y547" s="17"/>
      <x:c r="Z547" s="17"/>
    </x:row>
    <x:row r="548">
      <x:c r="A548" s="17"/>
      <x:c r="B548" s="17"/>
      <x:c r="C548" s="17"/>
      <x:c r="D548" s="17"/>
      <x:c r="E548" s="17"/>
      <x:c r="F548" s="17"/>
      <x:c r="G548" s="17"/>
      <x:c r="H548" s="17"/>
      <x:c r="I548" s="17"/>
      <x:c r="J548" s="17"/>
      <x:c r="K548" s="17"/>
      <x:c r="L548" s="17"/>
      <x:c r="M548" s="17"/>
      <x:c r="N548" s="17"/>
      <x:c r="O548" s="17"/>
      <x:c r="P548" s="17"/>
      <x:c r="Q548" s="17"/>
      <x:c r="R548" s="17"/>
      <x:c r="S548" s="17"/>
      <x:c r="T548" s="17"/>
      <x:c r="U548" s="17"/>
      <x:c r="V548" s="17"/>
      <x:c r="W548" s="17"/>
      <x:c r="X548" s="17"/>
      <x:c r="Y548" s="17"/>
      <x:c r="Z548" s="17"/>
    </x:row>
    <x:row r="549">
      <x:c r="A549" s="17"/>
      <x:c r="B549" s="17"/>
      <x:c r="C549" s="17"/>
      <x:c r="D549" s="17"/>
      <x:c r="E549" s="17"/>
      <x:c r="F549" s="17"/>
      <x:c r="G549" s="17"/>
      <x:c r="H549" s="17"/>
      <x:c r="I549" s="17"/>
      <x:c r="J549" s="17"/>
      <x:c r="K549" s="17"/>
      <x:c r="L549" s="17"/>
      <x:c r="M549" s="17"/>
      <x:c r="N549" s="17"/>
      <x:c r="O549" s="17"/>
      <x:c r="P549" s="17"/>
      <x:c r="Q549" s="17"/>
      <x:c r="R549" s="17"/>
      <x:c r="S549" s="17"/>
      <x:c r="T549" s="17"/>
      <x:c r="U549" s="17"/>
      <x:c r="V549" s="17"/>
      <x:c r="W549" s="17"/>
      <x:c r="X549" s="17"/>
      <x:c r="Y549" s="17"/>
      <x:c r="Z549" s="17"/>
    </x:row>
    <x:row r="550">
      <x:c r="A550" s="17"/>
      <x:c r="B550" s="17"/>
      <x:c r="C550" s="17"/>
      <x:c r="D550" s="17"/>
      <x:c r="E550" s="17"/>
      <x:c r="F550" s="17"/>
      <x:c r="G550" s="17"/>
      <x:c r="H550" s="17"/>
      <x:c r="I550" s="17"/>
      <x:c r="J550" s="17"/>
      <x:c r="K550" s="17"/>
      <x:c r="L550" s="17"/>
      <x:c r="M550" s="17"/>
      <x:c r="N550" s="17"/>
      <x:c r="O550" s="17"/>
      <x:c r="P550" s="17"/>
      <x:c r="Q550" s="17"/>
      <x:c r="R550" s="17"/>
      <x:c r="S550" s="17"/>
      <x:c r="T550" s="17"/>
      <x:c r="U550" s="17"/>
      <x:c r="V550" s="17"/>
      <x:c r="W550" s="17"/>
      <x:c r="X550" s="17"/>
      <x:c r="Y550" s="17"/>
      <x:c r="Z550" s="17"/>
    </x:row>
    <x:row r="551">
      <x:c r="A551" s="17"/>
      <x:c r="B551" s="17"/>
      <x:c r="C551" s="17"/>
      <x:c r="D551" s="17"/>
      <x:c r="E551" s="17"/>
      <x:c r="F551" s="17"/>
      <x:c r="G551" s="17"/>
      <x:c r="H551" s="17"/>
      <x:c r="I551" s="17"/>
      <x:c r="J551" s="17"/>
      <x:c r="K551" s="17"/>
      <x:c r="L551" s="17"/>
      <x:c r="M551" s="17"/>
      <x:c r="N551" s="17"/>
      <x:c r="O551" s="17"/>
      <x:c r="P551" s="17"/>
      <x:c r="Q551" s="17"/>
      <x:c r="R551" s="17"/>
      <x:c r="S551" s="17"/>
      <x:c r="T551" s="17"/>
      <x:c r="U551" s="17"/>
      <x:c r="V551" s="17"/>
      <x:c r="W551" s="17"/>
      <x:c r="X551" s="17"/>
      <x:c r="Y551" s="17"/>
      <x:c r="Z551" s="17"/>
    </x:row>
    <x:row r="552">
      <x:c r="A552" s="17"/>
      <x:c r="B552" s="17"/>
      <x:c r="C552" s="17"/>
      <x:c r="D552" s="17"/>
      <x:c r="E552" s="17"/>
      <x:c r="F552" s="17"/>
      <x:c r="G552" s="17"/>
      <x:c r="H552" s="17"/>
      <x:c r="I552" s="17"/>
      <x:c r="J552" s="17"/>
      <x:c r="K552" s="17"/>
      <x:c r="L552" s="17"/>
      <x:c r="M552" s="17"/>
      <x:c r="N552" s="17"/>
      <x:c r="O552" s="17"/>
      <x:c r="P552" s="17"/>
      <x:c r="Q552" s="17"/>
      <x:c r="R552" s="17"/>
      <x:c r="S552" s="17"/>
      <x:c r="T552" s="17"/>
      <x:c r="U552" s="17"/>
      <x:c r="V552" s="17"/>
      <x:c r="W552" s="17"/>
      <x:c r="X552" s="17"/>
      <x:c r="Y552" s="17"/>
      <x:c r="Z552" s="17"/>
    </x:row>
    <x:row r="553">
      <x:c r="A553" s="17"/>
      <x:c r="B553" s="17"/>
      <x:c r="C553" s="17"/>
      <x:c r="D553" s="17"/>
      <x:c r="E553" s="17"/>
      <x:c r="F553" s="17"/>
      <x:c r="G553" s="17"/>
      <x:c r="H553" s="17"/>
      <x:c r="I553" s="17"/>
      <x:c r="J553" s="17"/>
      <x:c r="K553" s="17"/>
      <x:c r="L553" s="17"/>
      <x:c r="M553" s="17"/>
      <x:c r="N553" s="17"/>
      <x:c r="O553" s="17"/>
      <x:c r="P553" s="17"/>
      <x:c r="Q553" s="17"/>
      <x:c r="R553" s="17"/>
      <x:c r="S553" s="17"/>
      <x:c r="T553" s="17"/>
      <x:c r="U553" s="17"/>
      <x:c r="V553" s="17"/>
      <x:c r="W553" s="17"/>
      <x:c r="X553" s="17"/>
      <x:c r="Y553" s="17"/>
      <x:c r="Z553" s="17"/>
    </x:row>
    <x:row r="554">
      <x:c r="A554" s="17"/>
      <x:c r="B554" s="17"/>
      <x:c r="C554" s="17"/>
      <x:c r="D554" s="17"/>
      <x:c r="E554" s="17"/>
      <x:c r="F554" s="17"/>
      <x:c r="G554" s="17"/>
      <x:c r="H554" s="17"/>
      <x:c r="I554" s="17"/>
      <x:c r="J554" s="17"/>
      <x:c r="K554" s="17"/>
      <x:c r="L554" s="17"/>
      <x:c r="M554" s="17"/>
      <x:c r="N554" s="17"/>
      <x:c r="O554" s="17"/>
      <x:c r="P554" s="17"/>
      <x:c r="Q554" s="17"/>
      <x:c r="R554" s="17"/>
      <x:c r="S554" s="17"/>
      <x:c r="T554" s="17"/>
      <x:c r="U554" s="17"/>
      <x:c r="V554" s="17"/>
      <x:c r="W554" s="17"/>
      <x:c r="X554" s="17"/>
      <x:c r="Y554" s="17"/>
      <x:c r="Z554" s="17"/>
    </x:row>
    <x:row r="555">
      <x:c r="A555" s="17"/>
      <x:c r="B555" s="17"/>
      <x:c r="C555" s="17"/>
      <x:c r="D555" s="17"/>
      <x:c r="E555" s="17"/>
      <x:c r="F555" s="17"/>
      <x:c r="G555" s="17"/>
      <x:c r="H555" s="17"/>
      <x:c r="I555" s="17"/>
      <x:c r="J555" s="17"/>
      <x:c r="K555" s="17"/>
      <x:c r="L555" s="17"/>
      <x:c r="M555" s="17"/>
      <x:c r="N555" s="17"/>
      <x:c r="O555" s="17"/>
      <x:c r="P555" s="17"/>
      <x:c r="Q555" s="17"/>
      <x:c r="R555" s="17"/>
      <x:c r="S555" s="17"/>
      <x:c r="T555" s="17"/>
      <x:c r="U555" s="17"/>
      <x:c r="V555" s="17"/>
      <x:c r="W555" s="17"/>
      <x:c r="X555" s="17"/>
      <x:c r="Y555" s="17"/>
      <x:c r="Z555" s="17"/>
    </x:row>
    <x:row r="556">
      <x:c r="A556" s="17"/>
      <x:c r="B556" s="17"/>
      <x:c r="C556" s="17"/>
      <x:c r="D556" s="17"/>
      <x:c r="E556" s="17"/>
      <x:c r="F556" s="17"/>
      <x:c r="G556" s="17"/>
      <x:c r="H556" s="17"/>
      <x:c r="I556" s="17"/>
      <x:c r="J556" s="17"/>
      <x:c r="K556" s="17"/>
      <x:c r="L556" s="17"/>
      <x:c r="M556" s="17"/>
      <x:c r="N556" s="17"/>
      <x:c r="O556" s="17"/>
      <x:c r="P556" s="17"/>
      <x:c r="Q556" s="17"/>
      <x:c r="R556" s="17"/>
      <x:c r="S556" s="17"/>
      <x:c r="T556" s="17"/>
      <x:c r="U556" s="17"/>
      <x:c r="V556" s="17"/>
      <x:c r="W556" s="17"/>
      <x:c r="X556" s="17"/>
      <x:c r="Y556" s="17"/>
      <x:c r="Z556" s="17"/>
    </x:row>
    <x:row r="557">
      <x:c r="A557" s="17"/>
      <x:c r="B557" s="17"/>
      <x:c r="C557" s="17"/>
      <x:c r="D557" s="17"/>
      <x:c r="E557" s="17"/>
      <x:c r="F557" s="17"/>
      <x:c r="G557" s="17"/>
      <x:c r="H557" s="17"/>
      <x:c r="I557" s="17"/>
      <x:c r="J557" s="17"/>
      <x:c r="K557" s="17"/>
      <x:c r="L557" s="17"/>
      <x:c r="M557" s="17"/>
      <x:c r="N557" s="17"/>
      <x:c r="O557" s="17"/>
      <x:c r="P557" s="17"/>
      <x:c r="Q557" s="17"/>
      <x:c r="R557" s="17"/>
      <x:c r="S557" s="17"/>
      <x:c r="T557" s="17"/>
      <x:c r="U557" s="17"/>
      <x:c r="V557" s="17"/>
      <x:c r="W557" s="17"/>
      <x:c r="X557" s="17"/>
      <x:c r="Y557" s="17"/>
      <x:c r="Z557" s="17"/>
    </x:row>
    <x:row r="558">
      <x:c r="A558" s="17"/>
      <x:c r="B558" s="17"/>
      <x:c r="C558" s="17"/>
      <x:c r="D558" s="17"/>
      <x:c r="E558" s="17"/>
      <x:c r="F558" s="17"/>
      <x:c r="G558" s="17"/>
      <x:c r="H558" s="17"/>
      <x:c r="I558" s="17"/>
      <x:c r="J558" s="17"/>
      <x:c r="K558" s="17"/>
      <x:c r="L558" s="17"/>
      <x:c r="M558" s="17"/>
      <x:c r="N558" s="17"/>
      <x:c r="O558" s="17"/>
      <x:c r="P558" s="17"/>
      <x:c r="Q558" s="17"/>
      <x:c r="R558" s="17"/>
      <x:c r="S558" s="17"/>
      <x:c r="T558" s="17"/>
      <x:c r="U558" s="17"/>
      <x:c r="V558" s="17"/>
      <x:c r="W558" s="17"/>
      <x:c r="X558" s="17"/>
      <x:c r="Y558" s="17"/>
      <x:c r="Z558" s="17"/>
    </x:row>
    <x:row r="559">
      <x:c r="A559" s="17"/>
      <x:c r="B559" s="17"/>
      <x:c r="C559" s="17"/>
      <x:c r="D559" s="17"/>
      <x:c r="E559" s="17"/>
      <x:c r="F559" s="17"/>
      <x:c r="G559" s="17"/>
      <x:c r="H559" s="17"/>
      <x:c r="I559" s="17"/>
      <x:c r="J559" s="17"/>
      <x:c r="K559" s="17"/>
      <x:c r="L559" s="17"/>
      <x:c r="M559" s="17"/>
      <x:c r="N559" s="17"/>
      <x:c r="O559" s="17"/>
      <x:c r="P559" s="17"/>
      <x:c r="Q559" s="17"/>
      <x:c r="R559" s="17"/>
      <x:c r="S559" s="17"/>
      <x:c r="T559" s="17"/>
      <x:c r="U559" s="17"/>
      <x:c r="V559" s="17"/>
      <x:c r="W559" s="17"/>
      <x:c r="X559" s="17"/>
      <x:c r="Y559" s="17"/>
      <x:c r="Z559" s="17"/>
    </x:row>
    <x:row r="560">
      <x:c r="A560" s="17"/>
      <x:c r="B560" s="17"/>
      <x:c r="C560" s="17"/>
      <x:c r="D560" s="17"/>
      <x:c r="E560" s="17"/>
      <x:c r="F560" s="17"/>
      <x:c r="G560" s="17"/>
      <x:c r="H560" s="17"/>
      <x:c r="I560" s="17"/>
      <x:c r="J560" s="17"/>
      <x:c r="K560" s="17"/>
      <x:c r="L560" s="17"/>
      <x:c r="M560" s="17"/>
      <x:c r="N560" s="17"/>
      <x:c r="O560" s="17"/>
      <x:c r="P560" s="17"/>
      <x:c r="Q560" s="17"/>
      <x:c r="R560" s="17"/>
      <x:c r="S560" s="17"/>
      <x:c r="T560" s="17"/>
      <x:c r="U560" s="17"/>
      <x:c r="V560" s="17"/>
      <x:c r="W560" s="17"/>
      <x:c r="X560" s="17"/>
      <x:c r="Y560" s="17"/>
      <x:c r="Z560" s="17"/>
    </x:row>
    <x:row r="561">
      <x:c r="A561" s="17"/>
      <x:c r="B561" s="17"/>
      <x:c r="C561" s="17"/>
      <x:c r="D561" s="17"/>
      <x:c r="E561" s="17"/>
      <x:c r="F561" s="17"/>
      <x:c r="G561" s="17"/>
      <x:c r="H561" s="17"/>
      <x:c r="I561" s="17"/>
      <x:c r="J561" s="17"/>
      <x:c r="K561" s="17"/>
      <x:c r="L561" s="17"/>
      <x:c r="M561" s="17"/>
      <x:c r="N561" s="17"/>
      <x:c r="O561" s="17"/>
      <x:c r="P561" s="17"/>
      <x:c r="Q561" s="17"/>
      <x:c r="R561" s="17"/>
      <x:c r="S561" s="17"/>
      <x:c r="T561" s="17"/>
      <x:c r="U561" s="17"/>
      <x:c r="V561" s="17"/>
      <x:c r="W561" s="17"/>
      <x:c r="X561" s="17"/>
      <x:c r="Y561" s="17"/>
      <x:c r="Z561" s="17"/>
    </x:row>
    <x:row r="562">
      <x:c r="A562" s="17"/>
      <x:c r="B562" s="17"/>
      <x:c r="C562" s="17"/>
      <x:c r="D562" s="17"/>
      <x:c r="E562" s="17"/>
      <x:c r="F562" s="17"/>
      <x:c r="G562" s="17"/>
      <x:c r="H562" s="17"/>
      <x:c r="I562" s="17"/>
      <x:c r="J562" s="17"/>
      <x:c r="K562" s="17"/>
      <x:c r="L562" s="17"/>
      <x:c r="M562" s="17"/>
      <x:c r="N562" s="17"/>
      <x:c r="O562" s="17"/>
      <x:c r="P562" s="17"/>
      <x:c r="Q562" s="17"/>
      <x:c r="R562" s="17"/>
      <x:c r="S562" s="17"/>
      <x:c r="T562" s="17"/>
      <x:c r="U562" s="17"/>
      <x:c r="V562" s="17"/>
      <x:c r="W562" s="17"/>
      <x:c r="X562" s="17"/>
      <x:c r="Y562" s="17"/>
      <x:c r="Z562" s="17"/>
    </x:row>
    <x:row r="563">
      <x:c r="A563" s="17"/>
      <x:c r="B563" s="17"/>
      <x:c r="C563" s="17"/>
      <x:c r="D563" s="17"/>
      <x:c r="E563" s="17"/>
      <x:c r="F563" s="17"/>
      <x:c r="G563" s="17"/>
      <x:c r="H563" s="17"/>
      <x:c r="I563" s="17"/>
      <x:c r="J563" s="17"/>
      <x:c r="K563" s="17"/>
      <x:c r="L563" s="17"/>
      <x:c r="M563" s="17"/>
      <x:c r="N563" s="17"/>
      <x:c r="O563" s="17"/>
      <x:c r="P563" s="17"/>
      <x:c r="Q563" s="17"/>
      <x:c r="R563" s="17"/>
      <x:c r="S563" s="17"/>
      <x:c r="T563" s="17"/>
      <x:c r="U563" s="17"/>
      <x:c r="V563" s="17"/>
      <x:c r="W563" s="17"/>
      <x:c r="X563" s="17"/>
      <x:c r="Y563" s="17"/>
      <x:c r="Z563" s="17"/>
    </x:row>
    <x:row r="564">
      <x:c r="A564" s="17"/>
      <x:c r="B564" s="17"/>
      <x:c r="C564" s="17"/>
      <x:c r="D564" s="17"/>
      <x:c r="E564" s="17"/>
      <x:c r="F564" s="17"/>
      <x:c r="G564" s="17"/>
      <x:c r="H564" s="17"/>
      <x:c r="I564" s="17"/>
      <x:c r="J564" s="17"/>
      <x:c r="K564" s="17"/>
      <x:c r="L564" s="17"/>
      <x:c r="M564" s="17"/>
      <x:c r="N564" s="17"/>
      <x:c r="O564" s="17"/>
      <x:c r="P564" s="17"/>
      <x:c r="Q564" s="17"/>
      <x:c r="R564" s="17"/>
      <x:c r="S564" s="17"/>
      <x:c r="T564" s="17"/>
      <x:c r="U564" s="17"/>
      <x:c r="V564" s="17"/>
      <x:c r="W564" s="17"/>
      <x:c r="X564" s="17"/>
      <x:c r="Y564" s="17"/>
      <x:c r="Z564" s="17"/>
    </x:row>
    <x:row r="565">
      <x:c r="A565" s="17"/>
      <x:c r="B565" s="17"/>
      <x:c r="C565" s="17"/>
      <x:c r="D565" s="17"/>
      <x:c r="E565" s="17"/>
      <x:c r="F565" s="17"/>
      <x:c r="G565" s="17"/>
      <x:c r="H565" s="17"/>
      <x:c r="I565" s="17"/>
      <x:c r="J565" s="17"/>
      <x:c r="K565" s="17"/>
      <x:c r="L565" s="17"/>
      <x:c r="M565" s="17"/>
      <x:c r="N565" s="17"/>
      <x:c r="O565" s="17"/>
      <x:c r="P565" s="17"/>
      <x:c r="Q565" s="17"/>
      <x:c r="R565" s="17"/>
      <x:c r="S565" s="17"/>
      <x:c r="T565" s="17"/>
      <x:c r="U565" s="17"/>
      <x:c r="V565" s="17"/>
      <x:c r="W565" s="17"/>
      <x:c r="X565" s="17"/>
      <x:c r="Y565" s="17"/>
      <x:c r="Z565" s="17"/>
    </x:row>
    <x:row r="566">
      <x:c r="A566" s="17"/>
      <x:c r="B566" s="17"/>
      <x:c r="C566" s="17"/>
      <x:c r="D566" s="17"/>
      <x:c r="E566" s="17"/>
      <x:c r="F566" s="17"/>
      <x:c r="G566" s="17"/>
      <x:c r="H566" s="17"/>
      <x:c r="I566" s="17"/>
      <x:c r="J566" s="17"/>
      <x:c r="K566" s="17"/>
      <x:c r="L566" s="17"/>
      <x:c r="M566" s="17"/>
      <x:c r="N566" s="17"/>
      <x:c r="O566" s="17"/>
      <x:c r="P566" s="17"/>
      <x:c r="Q566" s="17"/>
      <x:c r="R566" s="17"/>
      <x:c r="S566" s="17"/>
      <x:c r="T566" s="17"/>
      <x:c r="U566" s="17"/>
      <x:c r="V566" s="17"/>
      <x:c r="W566" s="17"/>
      <x:c r="X566" s="17"/>
      <x:c r="Y566" s="17"/>
      <x:c r="Z566" s="17"/>
    </x:row>
    <x:row r="567">
      <x:c r="A567" s="17"/>
      <x:c r="B567" s="17"/>
      <x:c r="C567" s="17"/>
      <x:c r="D567" s="17"/>
      <x:c r="E567" s="17"/>
      <x:c r="F567" s="17"/>
      <x:c r="G567" s="17"/>
      <x:c r="H567" s="17"/>
      <x:c r="I567" s="17"/>
      <x:c r="J567" s="17"/>
      <x:c r="K567" s="17"/>
      <x:c r="L567" s="17"/>
      <x:c r="M567" s="17"/>
      <x:c r="N567" s="17"/>
      <x:c r="O567" s="17"/>
      <x:c r="P567" s="17"/>
      <x:c r="Q567" s="17"/>
      <x:c r="R567" s="17"/>
      <x:c r="S567" s="17"/>
      <x:c r="T567" s="17"/>
      <x:c r="U567" s="17"/>
      <x:c r="V567" s="17"/>
      <x:c r="W567" s="17"/>
      <x:c r="X567" s="17"/>
      <x:c r="Y567" s="17"/>
      <x:c r="Z567" s="17"/>
    </x:row>
    <x:row r="568">
      <x:c r="A568" s="17"/>
      <x:c r="B568" s="17"/>
      <x:c r="C568" s="17"/>
      <x:c r="D568" s="17"/>
      <x:c r="E568" s="17"/>
      <x:c r="F568" s="17"/>
      <x:c r="G568" s="17"/>
      <x:c r="H568" s="17"/>
      <x:c r="I568" s="17"/>
      <x:c r="J568" s="17"/>
      <x:c r="K568" s="17"/>
      <x:c r="L568" s="17"/>
      <x:c r="M568" s="17"/>
      <x:c r="N568" s="17"/>
      <x:c r="O568" s="17"/>
      <x:c r="P568" s="17"/>
      <x:c r="Q568" s="17"/>
      <x:c r="R568" s="17"/>
      <x:c r="S568" s="17"/>
      <x:c r="T568" s="17"/>
      <x:c r="U568" s="17"/>
      <x:c r="V568" s="17"/>
      <x:c r="W568" s="17"/>
      <x:c r="X568" s="17"/>
      <x:c r="Y568" s="17"/>
      <x:c r="Z568" s="17"/>
    </x:row>
    <x:row r="569">
      <x:c r="A569" s="17"/>
      <x:c r="B569" s="17"/>
      <x:c r="C569" s="17"/>
      <x:c r="D569" s="17"/>
      <x:c r="E569" s="17"/>
      <x:c r="F569" s="17"/>
      <x:c r="G569" s="17"/>
      <x:c r="H569" s="17"/>
      <x:c r="I569" s="17"/>
      <x:c r="J569" s="17"/>
      <x:c r="K569" s="17"/>
      <x:c r="L569" s="17"/>
      <x:c r="M569" s="17"/>
      <x:c r="N569" s="17"/>
      <x:c r="O569" s="17"/>
      <x:c r="P569" s="17"/>
      <x:c r="Q569" s="17"/>
      <x:c r="R569" s="17"/>
      <x:c r="S569" s="17"/>
      <x:c r="T569" s="17"/>
      <x:c r="U569" s="17"/>
      <x:c r="V569" s="17"/>
      <x:c r="W569" s="17"/>
      <x:c r="X569" s="17"/>
      <x:c r="Y569" s="17"/>
      <x:c r="Z569" s="17"/>
    </x:row>
    <x:row r="570">
      <x:c r="A570" s="17"/>
      <x:c r="B570" s="17"/>
      <x:c r="C570" s="17"/>
      <x:c r="D570" s="17"/>
      <x:c r="E570" s="17"/>
      <x:c r="F570" s="17"/>
      <x:c r="G570" s="17"/>
      <x:c r="H570" s="17"/>
      <x:c r="I570" s="17"/>
      <x:c r="J570" s="17"/>
      <x:c r="K570" s="17"/>
      <x:c r="L570" s="17"/>
      <x:c r="M570" s="17"/>
      <x:c r="N570" s="17"/>
      <x:c r="O570" s="17"/>
      <x:c r="P570" s="17"/>
      <x:c r="Q570" s="17"/>
      <x:c r="R570" s="17"/>
      <x:c r="S570" s="17"/>
      <x:c r="T570" s="17"/>
      <x:c r="U570" s="17"/>
      <x:c r="V570" s="17"/>
      <x:c r="W570" s="17"/>
      <x:c r="X570" s="17"/>
      <x:c r="Y570" s="17"/>
      <x:c r="Z570" s="17"/>
    </x:row>
    <x:row r="571">
      <x:c r="A571" s="17"/>
      <x:c r="B571" s="17"/>
      <x:c r="C571" s="17"/>
      <x:c r="D571" s="17"/>
      <x:c r="E571" s="17"/>
      <x:c r="F571" s="17"/>
      <x:c r="G571" s="17"/>
      <x:c r="H571" s="17"/>
      <x:c r="I571" s="17"/>
      <x:c r="J571" s="17"/>
      <x:c r="K571" s="17"/>
      <x:c r="L571" s="17"/>
      <x:c r="M571" s="17"/>
      <x:c r="N571" s="17"/>
      <x:c r="O571" s="17"/>
      <x:c r="P571" s="17"/>
      <x:c r="Q571" s="17"/>
      <x:c r="R571" s="17"/>
      <x:c r="S571" s="17"/>
      <x:c r="T571" s="17"/>
      <x:c r="U571" s="17"/>
      <x:c r="V571" s="17"/>
      <x:c r="W571" s="17"/>
      <x:c r="X571" s="17"/>
      <x:c r="Y571" s="17"/>
      <x:c r="Z571" s="17"/>
    </x:row>
    <x:row r="572">
      <x:c r="A572" s="17"/>
      <x:c r="B572" s="17"/>
      <x:c r="C572" s="17"/>
      <x:c r="D572" s="17"/>
      <x:c r="E572" s="17"/>
      <x:c r="F572" s="17"/>
      <x:c r="G572" s="17"/>
      <x:c r="H572" s="17"/>
      <x:c r="I572" s="17"/>
      <x:c r="J572" s="17"/>
      <x:c r="K572" s="17"/>
      <x:c r="L572" s="17"/>
      <x:c r="M572" s="17"/>
      <x:c r="N572" s="17"/>
      <x:c r="O572" s="17"/>
      <x:c r="P572" s="17"/>
      <x:c r="Q572" s="17"/>
      <x:c r="R572" s="17"/>
      <x:c r="S572" s="17"/>
      <x:c r="T572" s="17"/>
      <x:c r="U572" s="17"/>
      <x:c r="V572" s="17"/>
      <x:c r="W572" s="17"/>
      <x:c r="X572" s="17"/>
      <x:c r="Y572" s="17"/>
      <x:c r="Z572" s="17"/>
    </x:row>
    <x:row r="573">
      <x:c r="A573" s="17"/>
      <x:c r="B573" s="17"/>
      <x:c r="C573" s="17"/>
      <x:c r="D573" s="17"/>
      <x:c r="E573" s="17"/>
      <x:c r="F573" s="17"/>
      <x:c r="G573" s="17"/>
      <x:c r="H573" s="17"/>
      <x:c r="I573" s="17"/>
      <x:c r="J573" s="17"/>
      <x:c r="K573" s="17"/>
      <x:c r="L573" s="17"/>
      <x:c r="M573" s="17"/>
      <x:c r="N573" s="17"/>
      <x:c r="O573" s="17"/>
      <x:c r="P573" s="17"/>
      <x:c r="Q573" s="17"/>
      <x:c r="R573" s="17"/>
      <x:c r="S573" s="17"/>
      <x:c r="T573" s="17"/>
      <x:c r="U573" s="17"/>
      <x:c r="V573" s="17"/>
      <x:c r="W573" s="17"/>
      <x:c r="X573" s="17"/>
      <x:c r="Y573" s="17"/>
      <x:c r="Z573" s="17"/>
    </x:row>
    <x:row r="574">
      <x:c r="A574" s="17"/>
      <x:c r="B574" s="17"/>
      <x:c r="C574" s="17"/>
      <x:c r="D574" s="17"/>
      <x:c r="E574" s="17"/>
      <x:c r="F574" s="17"/>
      <x:c r="G574" s="17"/>
      <x:c r="H574" s="17"/>
      <x:c r="I574" s="17"/>
      <x:c r="J574" s="17"/>
      <x:c r="K574" s="17"/>
      <x:c r="L574" s="17"/>
      <x:c r="M574" s="17"/>
      <x:c r="N574" s="17"/>
      <x:c r="O574" s="17"/>
      <x:c r="P574" s="17"/>
      <x:c r="Q574" s="17"/>
      <x:c r="R574" s="17"/>
      <x:c r="S574" s="17"/>
      <x:c r="T574" s="17"/>
      <x:c r="U574" s="17"/>
      <x:c r="V574" s="17"/>
      <x:c r="W574" s="17"/>
      <x:c r="X574" s="17"/>
      <x:c r="Y574" s="17"/>
      <x:c r="Z574" s="17"/>
    </x:row>
    <x:row r="575">
      <x:c r="A575" s="17"/>
      <x:c r="B575" s="17"/>
      <x:c r="C575" s="17"/>
      <x:c r="D575" s="17"/>
      <x:c r="E575" s="17"/>
      <x:c r="F575" s="17"/>
      <x:c r="G575" s="17"/>
      <x:c r="H575" s="17"/>
      <x:c r="I575" s="17"/>
      <x:c r="J575" s="17"/>
      <x:c r="K575" s="17"/>
      <x:c r="L575" s="17"/>
      <x:c r="M575" s="17"/>
      <x:c r="N575" s="17"/>
      <x:c r="O575" s="17"/>
      <x:c r="P575" s="17"/>
      <x:c r="Q575" s="17"/>
      <x:c r="R575" s="17"/>
      <x:c r="S575" s="17"/>
      <x:c r="T575" s="17"/>
      <x:c r="U575" s="17"/>
      <x:c r="V575" s="17"/>
      <x:c r="W575" s="17"/>
      <x:c r="X575" s="17"/>
      <x:c r="Y575" s="17"/>
      <x:c r="Z575" s="17"/>
    </x:row>
    <x:row r="576">
      <x:c r="A576" s="17"/>
      <x:c r="B576" s="17"/>
      <x:c r="C576" s="17"/>
      <x:c r="D576" s="17"/>
      <x:c r="E576" s="17"/>
      <x:c r="F576" s="17"/>
      <x:c r="G576" s="17"/>
      <x:c r="H576" s="17"/>
      <x:c r="I576" s="17"/>
      <x:c r="J576" s="17"/>
      <x:c r="K576" s="17"/>
      <x:c r="L576" s="17"/>
      <x:c r="M576" s="17"/>
      <x:c r="N576" s="17"/>
      <x:c r="O576" s="17"/>
      <x:c r="P576" s="17"/>
      <x:c r="Q576" s="17"/>
      <x:c r="R576" s="17"/>
      <x:c r="S576" s="17"/>
      <x:c r="T576" s="17"/>
      <x:c r="U576" s="17"/>
      <x:c r="V576" s="17"/>
      <x:c r="W576" s="17"/>
      <x:c r="X576" s="17"/>
      <x:c r="Y576" s="17"/>
      <x:c r="Z576" s="17"/>
    </x:row>
    <x:row r="577">
      <x:c r="A577" s="17"/>
      <x:c r="B577" s="17"/>
      <x:c r="C577" s="17"/>
      <x:c r="D577" s="17"/>
      <x:c r="E577" s="17"/>
      <x:c r="F577" s="17"/>
      <x:c r="G577" s="17"/>
      <x:c r="H577" s="17"/>
      <x:c r="I577" s="17"/>
      <x:c r="J577" s="17"/>
      <x:c r="K577" s="17"/>
      <x:c r="L577" s="17"/>
      <x:c r="M577" s="17"/>
      <x:c r="N577" s="17"/>
      <x:c r="O577" s="17"/>
      <x:c r="P577" s="17"/>
      <x:c r="Q577" s="17"/>
      <x:c r="R577" s="17"/>
      <x:c r="S577" s="17"/>
      <x:c r="T577" s="17"/>
      <x:c r="U577" s="17"/>
      <x:c r="V577" s="17"/>
      <x:c r="W577" s="17"/>
      <x:c r="X577" s="17"/>
      <x:c r="Y577" s="17"/>
      <x:c r="Z577" s="17"/>
    </x:row>
    <x:row r="578">
      <x:c r="A578" s="17"/>
      <x:c r="B578" s="17"/>
      <x:c r="C578" s="17"/>
      <x:c r="D578" s="17"/>
      <x:c r="E578" s="17"/>
      <x:c r="F578" s="17"/>
      <x:c r="G578" s="17"/>
      <x:c r="H578" s="17"/>
      <x:c r="I578" s="17"/>
      <x:c r="J578" s="17"/>
      <x:c r="K578" s="17"/>
      <x:c r="L578" s="17"/>
      <x:c r="M578" s="17"/>
      <x:c r="N578" s="17"/>
      <x:c r="O578" s="17"/>
      <x:c r="P578" s="17"/>
      <x:c r="Q578" s="17"/>
      <x:c r="R578" s="17"/>
      <x:c r="S578" s="17"/>
      <x:c r="T578" s="17"/>
      <x:c r="U578" s="17"/>
      <x:c r="V578" s="17"/>
      <x:c r="W578" s="17"/>
      <x:c r="X578" s="17"/>
      <x:c r="Y578" s="17"/>
      <x:c r="Z578" s="17"/>
    </x:row>
    <x:row r="579">
      <x:c r="A579" s="17"/>
      <x:c r="B579" s="17"/>
      <x:c r="C579" s="17"/>
      <x:c r="D579" s="17"/>
      <x:c r="E579" s="17"/>
      <x:c r="F579" s="17"/>
      <x:c r="G579" s="17"/>
      <x:c r="H579" s="17"/>
      <x:c r="I579" s="17"/>
      <x:c r="J579" s="17"/>
      <x:c r="K579" s="17"/>
      <x:c r="L579" s="17"/>
      <x:c r="M579" s="17"/>
      <x:c r="N579" s="17"/>
      <x:c r="O579" s="17"/>
      <x:c r="P579" s="17"/>
      <x:c r="Q579" s="17"/>
      <x:c r="R579" s="17"/>
      <x:c r="S579" s="17"/>
      <x:c r="T579" s="17"/>
      <x:c r="U579" s="17"/>
      <x:c r="V579" s="17"/>
      <x:c r="W579" s="17"/>
      <x:c r="X579" s="17"/>
      <x:c r="Y579" s="17"/>
      <x:c r="Z579" s="17"/>
    </x:row>
    <x:row r="580">
      <x:c r="A580" s="17"/>
      <x:c r="B580" s="17"/>
      <x:c r="C580" s="17"/>
      <x:c r="D580" s="17"/>
      <x:c r="E580" s="17"/>
      <x:c r="F580" s="17"/>
      <x:c r="G580" s="17"/>
      <x:c r="H580" s="17"/>
      <x:c r="I580" s="17"/>
      <x:c r="J580" s="17"/>
      <x:c r="K580" s="17"/>
      <x:c r="L580" s="17"/>
      <x:c r="M580" s="17"/>
      <x:c r="N580" s="17"/>
      <x:c r="O580" s="17"/>
      <x:c r="P580" s="17"/>
      <x:c r="Q580" s="17"/>
      <x:c r="R580" s="17"/>
      <x:c r="S580" s="17"/>
      <x:c r="T580" s="17"/>
      <x:c r="U580" s="17"/>
      <x:c r="V580" s="17"/>
      <x:c r="W580" s="17"/>
      <x:c r="X580" s="17"/>
      <x:c r="Y580" s="17"/>
      <x:c r="Z580" s="17"/>
    </x:row>
    <x:row r="581">
      <x:c r="A581" s="17"/>
      <x:c r="B581" s="17"/>
      <x:c r="C581" s="17"/>
      <x:c r="D581" s="17"/>
      <x:c r="E581" s="17"/>
      <x:c r="F581" s="17"/>
      <x:c r="G581" s="17"/>
      <x:c r="H581" s="17"/>
      <x:c r="I581" s="17"/>
      <x:c r="J581" s="17"/>
      <x:c r="K581" s="17"/>
      <x:c r="L581" s="17"/>
      <x:c r="M581" s="17"/>
      <x:c r="N581" s="17"/>
      <x:c r="O581" s="17"/>
      <x:c r="P581" s="17"/>
      <x:c r="Q581" s="17"/>
      <x:c r="R581" s="17"/>
      <x:c r="S581" s="17"/>
      <x:c r="T581" s="17"/>
      <x:c r="U581" s="17"/>
      <x:c r="V581" s="17"/>
      <x:c r="W581" s="17"/>
      <x:c r="X581" s="17"/>
      <x:c r="Y581" s="17"/>
      <x:c r="Z581" s="17"/>
    </x:row>
    <x:row r="582">
      <x:c r="A582" s="17"/>
      <x:c r="B582" s="17"/>
      <x:c r="C582" s="17"/>
      <x:c r="D582" s="17"/>
      <x:c r="E582" s="17"/>
      <x:c r="F582" s="17"/>
      <x:c r="G582" s="17"/>
      <x:c r="H582" s="17"/>
      <x:c r="I582" s="17"/>
      <x:c r="J582" s="17"/>
      <x:c r="K582" s="17"/>
      <x:c r="L582" s="17"/>
      <x:c r="M582" s="17"/>
      <x:c r="N582" s="17"/>
      <x:c r="O582" s="17"/>
      <x:c r="P582" s="17"/>
      <x:c r="Q582" s="17"/>
      <x:c r="R582" s="17"/>
      <x:c r="S582" s="17"/>
      <x:c r="T582" s="17"/>
      <x:c r="U582" s="17"/>
      <x:c r="V582" s="17"/>
      <x:c r="W582" s="17"/>
      <x:c r="X582" s="17"/>
      <x:c r="Y582" s="17"/>
      <x:c r="Z582" s="17"/>
    </x:row>
    <x:row r="583">
      <x:c r="A583" s="17"/>
      <x:c r="B583" s="17"/>
      <x:c r="C583" s="17"/>
      <x:c r="D583" s="17"/>
      <x:c r="E583" s="17"/>
      <x:c r="F583" s="17"/>
      <x:c r="G583" s="17"/>
      <x:c r="H583" s="17"/>
      <x:c r="I583" s="17"/>
      <x:c r="J583" s="17"/>
      <x:c r="K583" s="17"/>
      <x:c r="L583" s="17"/>
      <x:c r="M583" s="17"/>
      <x:c r="N583" s="17"/>
      <x:c r="O583" s="17"/>
      <x:c r="P583" s="17"/>
      <x:c r="Q583" s="17"/>
      <x:c r="R583" s="17"/>
      <x:c r="S583" s="17"/>
      <x:c r="T583" s="17"/>
      <x:c r="U583" s="17"/>
      <x:c r="V583" s="17"/>
      <x:c r="W583" s="17"/>
      <x:c r="X583" s="17"/>
      <x:c r="Y583" s="17"/>
      <x:c r="Z583" s="17"/>
    </x:row>
    <x:row r="584">
      <x:c r="A584" s="17"/>
      <x:c r="B584" s="17"/>
      <x:c r="C584" s="17"/>
      <x:c r="D584" s="17"/>
      <x:c r="E584" s="17"/>
      <x:c r="F584" s="17"/>
      <x:c r="G584" s="17"/>
      <x:c r="H584" s="17"/>
      <x:c r="I584" s="17"/>
      <x:c r="J584" s="17"/>
      <x:c r="K584" s="17"/>
      <x:c r="L584" s="17"/>
      <x:c r="M584" s="17"/>
      <x:c r="N584" s="17"/>
      <x:c r="O584" s="17"/>
      <x:c r="P584" s="17"/>
      <x:c r="Q584" s="17"/>
      <x:c r="R584" s="17"/>
      <x:c r="S584" s="17"/>
      <x:c r="T584" s="17"/>
      <x:c r="U584" s="17"/>
      <x:c r="V584" s="17"/>
      <x:c r="W584" s="17"/>
      <x:c r="X584" s="17"/>
      <x:c r="Y584" s="17"/>
      <x:c r="Z584" s="17"/>
    </x:row>
    <x:row r="585">
      <x:c r="A585" s="17"/>
      <x:c r="B585" s="17"/>
      <x:c r="C585" s="17"/>
      <x:c r="D585" s="17"/>
      <x:c r="E585" s="17"/>
      <x:c r="F585" s="17"/>
      <x:c r="G585" s="17"/>
      <x:c r="H585" s="17"/>
      <x:c r="I585" s="17"/>
      <x:c r="J585" s="17"/>
      <x:c r="K585" s="17"/>
      <x:c r="L585" s="17"/>
      <x:c r="M585" s="17"/>
      <x:c r="N585" s="17"/>
      <x:c r="O585" s="17"/>
      <x:c r="P585" s="17"/>
      <x:c r="Q585" s="17"/>
      <x:c r="R585" s="17"/>
      <x:c r="S585" s="17"/>
      <x:c r="T585" s="17"/>
      <x:c r="U585" s="17"/>
      <x:c r="V585" s="17"/>
      <x:c r="W585" s="17"/>
      <x:c r="X585" s="17"/>
      <x:c r="Y585" s="17"/>
      <x:c r="Z585" s="17"/>
    </x:row>
    <x:row r="586">
      <x:c r="A586" s="17"/>
      <x:c r="B586" s="17"/>
      <x:c r="C586" s="17"/>
      <x:c r="D586" s="17"/>
      <x:c r="E586" s="17"/>
      <x:c r="F586" s="17"/>
      <x:c r="G586" s="17"/>
      <x:c r="H586" s="17"/>
      <x:c r="I586" s="17"/>
      <x:c r="J586" s="17"/>
      <x:c r="K586" s="17"/>
      <x:c r="L586" s="17"/>
      <x:c r="M586" s="17"/>
      <x:c r="N586" s="17"/>
      <x:c r="O586" s="17"/>
      <x:c r="P586" s="17"/>
      <x:c r="Q586" s="17"/>
      <x:c r="R586" s="17"/>
      <x:c r="S586" s="17"/>
      <x:c r="T586" s="17"/>
      <x:c r="U586" s="17"/>
      <x:c r="V586" s="17"/>
      <x:c r="W586" s="17"/>
      <x:c r="X586" s="17"/>
      <x:c r="Y586" s="17"/>
      <x:c r="Z586" s="17"/>
    </x:row>
    <x:row r="587">
      <x:c r="A587" s="17"/>
      <x:c r="B587" s="17"/>
      <x:c r="C587" s="17"/>
      <x:c r="D587" s="17"/>
      <x:c r="E587" s="17"/>
      <x:c r="F587" s="17"/>
      <x:c r="G587" s="17"/>
      <x:c r="H587" s="17"/>
      <x:c r="I587" s="17"/>
      <x:c r="J587" s="17"/>
      <x:c r="K587" s="17"/>
      <x:c r="L587" s="17"/>
      <x:c r="M587" s="17"/>
      <x:c r="N587" s="17"/>
      <x:c r="O587" s="17"/>
      <x:c r="P587" s="17"/>
      <x:c r="Q587" s="17"/>
      <x:c r="R587" s="17"/>
      <x:c r="S587" s="17"/>
      <x:c r="T587" s="17"/>
      <x:c r="U587" s="17"/>
      <x:c r="V587" s="17"/>
      <x:c r="W587" s="17"/>
      <x:c r="X587" s="17"/>
      <x:c r="Y587" s="17"/>
      <x:c r="Z587" s="17"/>
    </x:row>
    <x:row r="588">
      <x:c r="A588" s="17"/>
      <x:c r="B588" s="17"/>
      <x:c r="C588" s="17"/>
      <x:c r="D588" s="17"/>
      <x:c r="E588" s="17"/>
      <x:c r="F588" s="17"/>
      <x:c r="G588" s="17"/>
      <x:c r="H588" s="17"/>
      <x:c r="I588" s="17"/>
      <x:c r="J588" s="17"/>
      <x:c r="K588" s="17"/>
      <x:c r="L588" s="17"/>
      <x:c r="M588" s="17"/>
      <x:c r="N588" s="17"/>
      <x:c r="O588" s="17"/>
      <x:c r="P588" s="17"/>
      <x:c r="Q588" s="17"/>
      <x:c r="R588" s="17"/>
      <x:c r="S588" s="17"/>
      <x:c r="T588" s="17"/>
      <x:c r="U588" s="17"/>
      <x:c r="V588" s="17"/>
      <x:c r="W588" s="17"/>
      <x:c r="X588" s="17"/>
      <x:c r="Y588" s="17"/>
      <x:c r="Z588" s="17"/>
    </x:row>
    <x:row r="589">
      <x:c r="A589" s="17"/>
      <x:c r="B589" s="17"/>
      <x:c r="C589" s="17"/>
      <x:c r="D589" s="17"/>
      <x:c r="E589" s="17"/>
      <x:c r="F589" s="17"/>
      <x:c r="G589" s="17"/>
      <x:c r="H589" s="17"/>
      <x:c r="I589" s="17"/>
      <x:c r="J589" s="17"/>
      <x:c r="K589" s="17"/>
      <x:c r="L589" s="17"/>
      <x:c r="M589" s="17"/>
      <x:c r="N589" s="17"/>
      <x:c r="O589" s="17"/>
      <x:c r="P589" s="17"/>
      <x:c r="Q589" s="17"/>
      <x:c r="R589" s="17"/>
      <x:c r="S589" s="17"/>
      <x:c r="T589" s="17"/>
      <x:c r="U589" s="17"/>
      <x:c r="V589" s="17"/>
      <x:c r="W589" s="17"/>
      <x:c r="X589" s="17"/>
      <x:c r="Y589" s="17"/>
      <x:c r="Z589" s="17"/>
    </x:row>
    <x:row r="590">
      <x:c r="A590" s="17"/>
      <x:c r="B590" s="17"/>
      <x:c r="C590" s="17"/>
      <x:c r="D590" s="17"/>
      <x:c r="E590" s="17"/>
      <x:c r="F590" s="17"/>
      <x:c r="G590" s="17"/>
      <x:c r="H590" s="17"/>
      <x:c r="I590" s="17"/>
      <x:c r="J590" s="17"/>
      <x:c r="K590" s="17"/>
      <x:c r="L590" s="17"/>
      <x:c r="M590" s="17"/>
      <x:c r="N590" s="17"/>
      <x:c r="O590" s="17"/>
      <x:c r="P590" s="17"/>
      <x:c r="Q590" s="17"/>
      <x:c r="R590" s="17"/>
      <x:c r="S590" s="17"/>
      <x:c r="T590" s="17"/>
      <x:c r="U590" s="17"/>
      <x:c r="V590" s="17"/>
      <x:c r="W590" s="17"/>
      <x:c r="X590" s="17"/>
      <x:c r="Y590" s="17"/>
      <x:c r="Z590" s="17"/>
    </x:row>
    <x:row r="591">
      <x:c r="A591" s="17"/>
      <x:c r="B591" s="17"/>
      <x:c r="C591" s="17"/>
      <x:c r="D591" s="17"/>
      <x:c r="E591" s="17"/>
      <x:c r="F591" s="17"/>
      <x:c r="G591" s="17"/>
      <x:c r="H591" s="17"/>
      <x:c r="I591" s="17"/>
      <x:c r="J591" s="17"/>
      <x:c r="K591" s="17"/>
      <x:c r="L591" s="17"/>
      <x:c r="M591" s="17"/>
      <x:c r="N591" s="17"/>
      <x:c r="O591" s="17"/>
      <x:c r="P591" s="17"/>
      <x:c r="Q591" s="17"/>
      <x:c r="R591" s="17"/>
      <x:c r="S591" s="17"/>
      <x:c r="T591" s="17"/>
      <x:c r="U591" s="17"/>
      <x:c r="V591" s="17"/>
      <x:c r="W591" s="17"/>
      <x:c r="X591" s="17"/>
      <x:c r="Y591" s="17"/>
      <x:c r="Z591" s="17"/>
    </x:row>
    <x:row r="592">
      <x:c r="A592" s="17"/>
      <x:c r="B592" s="17"/>
      <x:c r="C592" s="17"/>
      <x:c r="D592" s="17"/>
      <x:c r="E592" s="17"/>
      <x:c r="F592" s="17"/>
      <x:c r="G592" s="17"/>
      <x:c r="H592" s="17"/>
      <x:c r="I592" s="17"/>
      <x:c r="J592" s="17"/>
      <x:c r="K592" s="17"/>
      <x:c r="L592" s="17"/>
      <x:c r="M592" s="17"/>
      <x:c r="N592" s="17"/>
      <x:c r="O592" s="17"/>
      <x:c r="P592" s="17"/>
      <x:c r="Q592" s="17"/>
      <x:c r="R592" s="17"/>
      <x:c r="S592" s="17"/>
      <x:c r="T592" s="17"/>
      <x:c r="U592" s="17"/>
      <x:c r="V592" s="17"/>
      <x:c r="W592" s="17"/>
      <x:c r="X592" s="17"/>
      <x:c r="Y592" s="17"/>
      <x:c r="Z592" s="17"/>
    </x:row>
    <x:row r="593">
      <x:c r="A593" s="17"/>
      <x:c r="B593" s="17"/>
      <x:c r="C593" s="17"/>
      <x:c r="D593" s="17"/>
      <x:c r="E593" s="17"/>
      <x:c r="F593" s="17"/>
      <x:c r="G593" s="17"/>
      <x:c r="H593" s="17"/>
      <x:c r="I593" s="17"/>
      <x:c r="J593" s="17"/>
      <x:c r="K593" s="17"/>
      <x:c r="L593" s="17"/>
      <x:c r="M593" s="17"/>
      <x:c r="N593" s="17"/>
      <x:c r="O593" s="17"/>
      <x:c r="P593" s="17"/>
      <x:c r="Q593" s="17"/>
      <x:c r="R593" s="17"/>
      <x:c r="S593" s="17"/>
      <x:c r="T593" s="17"/>
      <x:c r="U593" s="17"/>
      <x:c r="V593" s="17"/>
      <x:c r="W593" s="17"/>
      <x:c r="X593" s="17"/>
      <x:c r="Y593" s="17"/>
      <x:c r="Z593" s="17"/>
    </x:row>
    <x:row r="594">
      <x:c r="A594" s="17"/>
      <x:c r="B594" s="17"/>
      <x:c r="C594" s="17"/>
      <x:c r="D594" s="17"/>
      <x:c r="E594" s="17"/>
      <x:c r="F594" s="17"/>
      <x:c r="G594" s="17"/>
      <x:c r="H594" s="17"/>
      <x:c r="I594" s="17"/>
      <x:c r="J594" s="17"/>
      <x:c r="K594" s="17"/>
      <x:c r="L594" s="17"/>
      <x:c r="M594" s="17"/>
      <x:c r="N594" s="17"/>
      <x:c r="O594" s="17"/>
      <x:c r="P594" s="17"/>
      <x:c r="Q594" s="17"/>
      <x:c r="R594" s="17"/>
      <x:c r="S594" s="17"/>
      <x:c r="T594" s="17"/>
      <x:c r="U594" s="17"/>
      <x:c r="V594" s="17"/>
      <x:c r="W594" s="17"/>
      <x:c r="X594" s="17"/>
      <x:c r="Y594" s="17"/>
      <x:c r="Z594" s="17"/>
    </x:row>
    <x:row r="595">
      <x:c r="A595" s="17"/>
      <x:c r="B595" s="17"/>
      <x:c r="C595" s="17"/>
      <x:c r="D595" s="17"/>
      <x:c r="E595" s="17"/>
      <x:c r="F595" s="17"/>
      <x:c r="G595" s="17"/>
      <x:c r="H595" s="17"/>
      <x:c r="I595" s="17"/>
      <x:c r="J595" s="17"/>
      <x:c r="K595" s="17"/>
      <x:c r="L595" s="17"/>
      <x:c r="M595" s="17"/>
      <x:c r="N595" s="17"/>
      <x:c r="O595" s="17"/>
      <x:c r="P595" s="17"/>
      <x:c r="Q595" s="17"/>
      <x:c r="R595" s="17"/>
      <x:c r="S595" s="17"/>
      <x:c r="T595" s="17"/>
      <x:c r="U595" s="17"/>
      <x:c r="V595" s="17"/>
      <x:c r="W595" s="17"/>
      <x:c r="X595" s="17"/>
      <x:c r="Y595" s="17"/>
      <x:c r="Z595" s="17"/>
    </x:row>
    <x:row r="596">
      <x:c r="A596" s="17"/>
      <x:c r="B596" s="17"/>
      <x:c r="C596" s="17"/>
      <x:c r="D596" s="17"/>
      <x:c r="E596" s="17"/>
      <x:c r="F596" s="17"/>
      <x:c r="G596" s="17"/>
      <x:c r="H596" s="17"/>
      <x:c r="I596" s="17"/>
      <x:c r="J596" s="17"/>
      <x:c r="K596" s="17"/>
      <x:c r="L596" s="17"/>
      <x:c r="M596" s="17"/>
      <x:c r="N596" s="17"/>
      <x:c r="O596" s="17"/>
      <x:c r="P596" s="17"/>
      <x:c r="Q596" s="17"/>
      <x:c r="R596" s="17"/>
      <x:c r="S596" s="17"/>
      <x:c r="T596" s="17"/>
      <x:c r="U596" s="17"/>
      <x:c r="V596" s="17"/>
      <x:c r="W596" s="17"/>
      <x:c r="X596" s="17"/>
      <x:c r="Y596" s="17"/>
      <x:c r="Z596" s="17"/>
    </x:row>
    <x:row r="597">
      <x:c r="A597" s="17"/>
      <x:c r="B597" s="17"/>
      <x:c r="C597" s="17"/>
      <x:c r="D597" s="17"/>
      <x:c r="E597" s="17"/>
      <x:c r="F597" s="17"/>
      <x:c r="G597" s="17"/>
      <x:c r="H597" s="17"/>
      <x:c r="I597" s="17"/>
      <x:c r="J597" s="17"/>
      <x:c r="K597" s="17"/>
      <x:c r="L597" s="17"/>
      <x:c r="M597" s="17"/>
      <x:c r="N597" s="17"/>
      <x:c r="O597" s="17"/>
      <x:c r="P597" s="17"/>
      <x:c r="Q597" s="17"/>
      <x:c r="R597" s="17"/>
      <x:c r="S597" s="17"/>
      <x:c r="T597" s="17"/>
      <x:c r="U597" s="17"/>
      <x:c r="V597" s="17"/>
      <x:c r="W597" s="17"/>
      <x:c r="X597" s="17"/>
      <x:c r="Y597" s="17"/>
      <x:c r="Z597" s="17"/>
    </x:row>
    <x:row r="598">
      <x:c r="A598" s="17"/>
      <x:c r="B598" s="17"/>
      <x:c r="C598" s="17"/>
      <x:c r="D598" s="17"/>
      <x:c r="E598" s="17"/>
      <x:c r="F598" s="17"/>
      <x:c r="G598" s="17"/>
      <x:c r="H598" s="17"/>
      <x:c r="I598" s="17"/>
      <x:c r="J598" s="17"/>
      <x:c r="K598" s="17"/>
      <x:c r="L598" s="17"/>
      <x:c r="M598" s="17"/>
      <x:c r="N598" s="17"/>
      <x:c r="O598" s="17"/>
      <x:c r="P598" s="17"/>
      <x:c r="Q598" s="17"/>
      <x:c r="R598" s="17"/>
      <x:c r="S598" s="17"/>
      <x:c r="T598" s="17"/>
      <x:c r="U598" s="17"/>
      <x:c r="V598" s="17"/>
      <x:c r="W598" s="17"/>
      <x:c r="X598" s="17"/>
      <x:c r="Y598" s="17"/>
      <x:c r="Z598" s="17"/>
    </x:row>
    <x:row r="599">
      <x:c r="A599" s="17"/>
      <x:c r="B599" s="17"/>
      <x:c r="C599" s="17"/>
      <x:c r="D599" s="17"/>
      <x:c r="E599" s="17"/>
      <x:c r="F599" s="17"/>
      <x:c r="G599" s="17"/>
      <x:c r="H599" s="17"/>
      <x:c r="I599" s="17"/>
      <x:c r="J599" s="17"/>
      <x:c r="K599" s="17"/>
      <x:c r="L599" s="17"/>
      <x:c r="M599" s="17"/>
      <x:c r="N599" s="17"/>
      <x:c r="O599" s="17"/>
      <x:c r="P599" s="17"/>
      <x:c r="Q599" s="17"/>
      <x:c r="R599" s="17"/>
      <x:c r="S599" s="17"/>
      <x:c r="T599" s="17"/>
      <x:c r="U599" s="17"/>
      <x:c r="V599" s="17"/>
      <x:c r="W599" s="17"/>
      <x:c r="X599" s="17"/>
      <x:c r="Y599" s="17"/>
      <x:c r="Z599" s="17"/>
    </x:row>
    <x:row r="600">
      <x:c r="A600" s="17"/>
      <x:c r="B600" s="17"/>
      <x:c r="C600" s="17"/>
      <x:c r="D600" s="17"/>
      <x:c r="E600" s="17"/>
      <x:c r="F600" s="17"/>
      <x:c r="G600" s="17"/>
      <x:c r="H600" s="17"/>
      <x:c r="I600" s="17"/>
      <x:c r="J600" s="17"/>
      <x:c r="K600" s="17"/>
      <x:c r="L600" s="17"/>
      <x:c r="M600" s="17"/>
      <x:c r="N600" s="17"/>
      <x:c r="O600" s="17"/>
      <x:c r="P600" s="17"/>
      <x:c r="Q600" s="17"/>
      <x:c r="R600" s="17"/>
      <x:c r="S600" s="17"/>
      <x:c r="T600" s="17"/>
      <x:c r="U600" s="17"/>
      <x:c r="V600" s="17"/>
      <x:c r="W600" s="17"/>
      <x:c r="X600" s="17"/>
      <x:c r="Y600" s="17"/>
      <x:c r="Z600" s="17"/>
    </x:row>
  </x:sheetData>
  <x:pageMargins left="0.7" right="0.7" top="0.75" bottom="0.75" header="0.3" footer="0.3"/>
  <x:tableParts count="1">
    <x:tablePart xmlns:r="http://schemas.openxmlformats.org/officeDocument/2006/relationships" r:id="Rb1fe79b77490430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3" hidden="0" customWidth="1"/>
    <x:col min="4" max="4" width="12" hidden="0" customWidth="1"/>
    <x:col min="5" max="5" width="10" hidden="0" customWidth="1"/>
    <x:col min="6" max="6" width="52" hidden="0" customWidth="1"/>
    <x:col min="7" max="7" width="48" hidden="0" customWidth="1"/>
  </x:cols>
  <x:sheetData>
    <x:row r="1">
      <x:c r="A1" s="24" t="str">
        <x:v>Empire Level</x:v>
      </x:c>
      <x:c r="B1" s="24" t="str">
        <x:v>Building</x:v>
      </x:c>
      <x:c r="C1" s="24" t="str">
        <x:v>Stage</x:v>
      </x:c>
      <x:c r="D1" s="24" t="str">
        <x:v>Rarity</x:v>
      </x:c>
      <x:c r="E1" s="24" t="str">
        <x:v>Footprint</x:v>
      </x:c>
      <x:c r="F1" s="24" t="str">
        <x:v>What This Unlock Adds</x:v>
      </x:c>
      <x:c r="G1" s="24" t="str">
        <x:v>Expected Player State</x:v>
      </x:c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</x:row>
    <x:row r="2">
      <x:c r="A2" s="17" t="n">
        <x:v>1</x:v>
      </x:c>
      <x:c r="B2" s="17" t="str">
        <x:v>Cash Kiosk</x:v>
      </x:c>
      <x:c r="C2" s="17" t="str">
        <x:v>Humble</x:v>
      </x:c>
      <x:c r="D2" s="46" t="str">
        <x:v>Common</x:v>
      </x:c>
      <x:c r="E2" s="17" t="str">
        <x:v>1x1</x:v>
      </x:c>
      <x:c r="F2" s="17" t="str">
        <x:v>First micro-businesses; learn placement, customers and Cash.</x:v>
      </x:c>
      <x:c r="G2" s="17" t="str">
        <x:v>Sparse board; low capital; learning basic loops.</x:v>
      </x:c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</x:row>
    <x:row r="3">
      <x:c r="A3" s="17" t="n">
        <x:v>2</x:v>
      </x:c>
      <x:c r="B3" s="17" t="str">
        <x:v>Trading Booth</x:v>
      </x:c>
      <x:c r="C3" s="17" t="str">
        <x:v>Humble</x:v>
      </x:c>
      <x:c r="D3" s="46" t="str">
        <x:v>Common</x:v>
      </x:c>
      <x:c r="E3" s="17" t="str">
        <x:v>1x1</x:v>
      </x:c>
      <x:c r="F3" s="17" t="str">
        <x:v>First micro-businesses; learn placement, customers and Cash.</x:v>
      </x:c>
      <x:c r="G3" s="17" t="str">
        <x:v>Sparse board; low capital; learning basic loops.</x:v>
      </x:c>
      <x:c r="H3" s="17"/>
      <x:c r="I3" s="17"/>
      <x:c r="J3" s="17"/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  <x:c r="Z3" s="17"/>
    </x:row>
    <x:row r="4">
      <x:c r="A4" s="17" t="n">
        <x:v>3</x:v>
      </x:c>
      <x:c r="B4" s="17" t="str">
        <x:v>Savings Stand</x:v>
      </x:c>
      <x:c r="C4" s="17" t="str">
        <x:v>Humble</x:v>
      </x:c>
      <x:c r="D4" s="46" t="str">
        <x:v>Common</x:v>
      </x:c>
      <x:c r="E4" s="17" t="str">
        <x:v>1x1</x:v>
      </x:c>
      <x:c r="F4" s="17" t="str">
        <x:v>First micro-businesses; learn placement, customers and Cash.</x:v>
      </x:c>
      <x:c r="G4" s="17" t="str">
        <x:v>Sparse board; low capital; learning basic loops.</x:v>
      </x:c>
      <x:c r="H4" s="17"/>
      <x:c r="I4" s="17"/>
      <x:c r="J4" s="17"/>
      <x:c r="K4" s="17"/>
      <x:c r="L4" s="17"/>
      <x:c r="M4" s="17"/>
      <x:c r="N4" s="17"/>
      <x:c r="O4" s="17"/>
      <x:c r="P4" s="17"/>
      <x:c r="Q4" s="17"/>
      <x:c r="R4" s="17"/>
      <x:c r="S4" s="17"/>
      <x:c r="T4" s="17"/>
      <x:c r="U4" s="17"/>
      <x:c r="V4" s="17"/>
      <x:c r="W4" s="17"/>
      <x:c r="X4" s="17"/>
      <x:c r="Y4" s="17"/>
      <x:c r="Z4" s="17"/>
    </x:row>
    <x:row r="5">
      <x:c r="A5" s="17" t="n">
        <x:v>4</x:v>
      </x:c>
      <x:c r="B5" s="17" t="str">
        <x:v>Mini Brokerage Desk</x:v>
      </x:c>
      <x:c r="C5" s="17" t="str">
        <x:v>Humble</x:v>
      </x:c>
      <x:c r="D5" s="46" t="str">
        <x:v>Common</x:v>
      </x:c>
      <x:c r="E5" s="17" t="str">
        <x:v>1x1</x:v>
      </x:c>
      <x:c r="F5" s="17" t="str">
        <x:v>First micro-businesses; learn placement, customers and Cash.</x:v>
      </x:c>
      <x:c r="G5" s="17" t="str">
        <x:v>Sparse board; low capital; learning basic loops.</x:v>
      </x:c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</x:row>
    <x:row r="6">
      <x:c r="A6" s="17" t="n">
        <x:v>5</x:v>
      </x:c>
      <x:c r="B6" s="17" t="str">
        <x:v>Market Info Kiosk</x:v>
      </x:c>
      <x:c r="C6" s="17" t="str">
        <x:v>Humble</x:v>
      </x:c>
      <x:c r="D6" s="46" t="str">
        <x:v>Common</x:v>
      </x:c>
      <x:c r="E6" s="17" t="str">
        <x:v>1x1</x:v>
      </x:c>
      <x:c r="F6" s="17" t="str">
        <x:v>First micro-businesses; learn placement, customers and Cash.</x:v>
      </x:c>
      <x:c r="G6" s="17" t="str">
        <x:v>Sparse board; low capital; learning basic loops.</x:v>
      </x:c>
      <x:c r="H6" s="17"/>
      <x:c r="I6" s="17"/>
      <x:c r="J6" s="17"/>
      <x:c r="K6" s="17"/>
      <x:c r="L6" s="17"/>
      <x:c r="M6" s="17"/>
      <x:c r="N6" s="17"/>
      <x:c r="O6" s="17"/>
      <x:c r="P6" s="17"/>
      <x:c r="Q6" s="17"/>
      <x:c r="R6" s="17"/>
      <x:c r="S6" s="17"/>
      <x:c r="T6" s="17"/>
      <x:c r="U6" s="17"/>
      <x:c r="V6" s="17"/>
      <x:c r="W6" s="17"/>
      <x:c r="X6" s="17"/>
      <x:c r="Y6" s="17"/>
      <x:c r="Z6" s="17"/>
    </x:row>
    <x:row r="7">
      <x:c r="A7" s="17" t="n">
        <x:v>6</x:v>
      </x:c>
      <x:c r="B7" s="17" t="str">
        <x:v>Micro Loan Booth</x:v>
      </x:c>
      <x:c r="C7" s="17" t="str">
        <x:v>Humble</x:v>
      </x:c>
      <x:c r="D7" s="46" t="str">
        <x:v>Common</x:v>
      </x:c>
      <x:c r="E7" s="17" t="str">
        <x:v>1x1</x:v>
      </x:c>
      <x:c r="F7" s="17" t="str">
        <x:v>First micro-businesses; learn placement, customers and Cash.</x:v>
      </x:c>
      <x:c r="G7" s="17" t="str">
        <x:v>Sparse board; low capital; learning basic loops.</x:v>
      </x:c>
      <x:c r="H7" s="17"/>
      <x:c r="I7" s="17"/>
      <x:c r="J7" s="17"/>
      <x:c r="K7" s="17"/>
      <x:c r="L7" s="17"/>
      <x:c r="M7" s="17"/>
      <x:c r="N7" s="17"/>
      <x:c r="O7" s="17"/>
      <x:c r="P7" s="17"/>
      <x:c r="Q7" s="17"/>
      <x:c r="R7" s="17"/>
      <x:c r="S7" s="17"/>
      <x:c r="T7" s="17"/>
      <x:c r="U7" s="17"/>
      <x:c r="V7" s="17"/>
      <x:c r="W7" s="17"/>
      <x:c r="X7" s="17"/>
      <x:c r="Y7" s="17"/>
      <x:c r="Z7" s="17"/>
    </x:row>
    <x:row r="8">
      <x:c r="A8" s="17" t="n">
        <x:v>7</x:v>
      </x:c>
      <x:c r="B8" s="17" t="str">
        <x:v>Currency Exchange Stand</x:v>
      </x:c>
      <x:c r="C8" s="17" t="str">
        <x:v>Humble</x:v>
      </x:c>
      <x:c r="D8" s="46" t="str">
        <x:v>Common</x:v>
      </x:c>
      <x:c r="E8" s="17" t="str">
        <x:v>1x1</x:v>
      </x:c>
      <x:c r="F8" s="17" t="str">
        <x:v>First micro-businesses; learn placement, customers and Cash.</x:v>
      </x:c>
      <x:c r="G8" s="17" t="str">
        <x:v>Sparse board; low capital; learning basic loops.</x:v>
      </x:c>
      <x:c r="H8" s="17"/>
      <x:c r="I8" s="17"/>
      <x:c r="J8" s="17"/>
      <x:c r="K8" s="17"/>
      <x:c r="L8" s="17"/>
      <x:c r="M8" s="17"/>
      <x:c r="N8" s="17"/>
      <x:c r="O8" s="17"/>
      <x:c r="P8" s="17"/>
      <x:c r="Q8" s="17"/>
      <x:c r="R8" s="17"/>
      <x:c r="S8" s="17"/>
      <x:c r="T8" s="17"/>
      <x:c r="U8" s="17"/>
      <x:c r="V8" s="17"/>
      <x:c r="W8" s="17"/>
      <x:c r="X8" s="17"/>
      <x:c r="Y8" s="17"/>
      <x:c r="Z8" s="17"/>
    </x:row>
    <x:row r="9">
      <x:c r="A9" s="17" t="n">
        <x:v>8</x:v>
      </x:c>
      <x:c r="B9" s="17" t="str">
        <x:v>Insurance Desk</x:v>
      </x:c>
      <x:c r="C9" s="17" t="str">
        <x:v>Humble</x:v>
      </x:c>
      <x:c r="D9" s="46" t="str">
        <x:v>Common</x:v>
      </x:c>
      <x:c r="E9" s="17" t="str">
        <x:v>1x1</x:v>
      </x:c>
      <x:c r="F9" s="17" t="str">
        <x:v>First micro-businesses; learn placement, customers and Cash.</x:v>
      </x:c>
      <x:c r="G9" s="17" t="str">
        <x:v>Sparse board; low capital; learning basic loops.</x:v>
      </x:c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</x:row>
    <x:row r="10">
      <x:c r="A10" s="17" t="n">
        <x:v>9</x:v>
      </x:c>
      <x:c r="B10" s="17" t="str">
        <x:v>Investment Advice Booth</x:v>
      </x:c>
      <x:c r="C10" s="17" t="str">
        <x:v>Humble</x:v>
      </x:c>
      <x:c r="D10" s="46" t="str">
        <x:v>Common</x:v>
      </x:c>
      <x:c r="E10" s="17" t="str">
        <x:v>1x1</x:v>
      </x:c>
      <x:c r="F10" s="17" t="str">
        <x:v>First micro-businesses; learn placement, customers and Cash.</x:v>
      </x:c>
      <x:c r="G10" s="17" t="str">
        <x:v>Sparse board; low capital; learning basic loops.</x:v>
      </x:c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</x:row>
    <x:row r="11">
      <x:c r="A11" s="17" t="n">
        <x:v>10</x:v>
      </x:c>
      <x:c r="B11" s="17" t="str">
        <x:v>Secure Cash Locker</x:v>
      </x:c>
      <x:c r="C11" s="17" t="str">
        <x:v>Humble</x:v>
      </x:c>
      <x:c r="D11" s="46" t="str">
        <x:v>Common</x:v>
      </x:c>
      <x:c r="E11" s="17" t="str">
        <x:v>1x1</x:v>
      </x:c>
      <x:c r="F11" s="17" t="str">
        <x:v>First micro-businesses; learn placement, customers and Cash.</x:v>
      </x:c>
      <x:c r="G11" s="17" t="str">
        <x:v>Sparse board; low capital; learning basic loops.</x:v>
      </x:c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</x:row>
    <x:row r="12">
      <x:c r="A12" s="17" t="n">
        <x:v>11</x:v>
      </x:c>
      <x:c r="B12" s="17" t="str">
        <x:v>Neighborhood Finance Shop</x:v>
      </x:c>
      <x:c r="C12" s="17" t="str">
        <x:v>Starter</x:v>
      </x:c>
      <x:c r="D12" s="48" t="str">
        <x:v>Uncommon</x:v>
      </x:c>
      <x:c r="E12" s="17" t="str">
        <x:v>1x2</x:v>
      </x:c>
      <x:c r="F12" s="17" t="str">
        <x:v>Small offices; start combining complementary businesses.</x:v>
      </x:c>
      <x:c r="G12" s="17" t="str">
        <x:v>Multiple businesses; first meaningful stock hunts.</x:v>
      </x:c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</x:row>
    <x:row r="13">
      <x:c r="A13" s="17" t="n">
        <x:v>12</x:v>
      </x:c>
      <x:c r="B13" s="17" t="str">
        <x:v>Small Brokerage Office</x:v>
      </x:c>
      <x:c r="C13" s="17" t="str">
        <x:v>Starter</x:v>
      </x:c>
      <x:c r="D13" s="48" t="str">
        <x:v>Uncommon</x:v>
      </x:c>
      <x:c r="E13" s="17" t="str">
        <x:v>1x2</x:v>
      </x:c>
      <x:c r="F13" s="17" t="str">
        <x:v>Small offices; start combining complementary businesses.</x:v>
      </x:c>
      <x:c r="G13" s="17" t="str">
        <x:v>Multiple businesses; first meaningful stock hunts.</x:v>
      </x:c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</x:row>
    <x:row r="14">
      <x:c r="A14" s="17" t="n">
        <x:v>13</x:v>
      </x:c>
      <x:c r="B14" s="17" t="str">
        <x:v>Local Savings Office</x:v>
      </x:c>
      <x:c r="C14" s="17" t="str">
        <x:v>Starter</x:v>
      </x:c>
      <x:c r="D14" s="48" t="str">
        <x:v>Uncommon</x:v>
      </x:c>
      <x:c r="E14" s="17" t="str">
        <x:v>1x2</x:v>
      </x:c>
      <x:c r="F14" s="17" t="str">
        <x:v>Small offices; start combining complementary businesses.</x:v>
      </x:c>
      <x:c r="G14" s="17" t="str">
        <x:v>Multiple businesses; first meaningful stock hunts.</x:v>
      </x:c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</x:row>
    <x:row r="15">
      <x:c r="A15" s="17" t="n">
        <x:v>14</x:v>
      </x:c>
      <x:c r="B15" s="17" t="str">
        <x:v>Microfinance Office</x:v>
      </x:c>
      <x:c r="C15" s="17" t="str">
        <x:v>Starter</x:v>
      </x:c>
      <x:c r="D15" s="48" t="str">
        <x:v>Uncommon</x:v>
      </x:c>
      <x:c r="E15" s="17" t="str">
        <x:v>1x2</x:v>
      </x:c>
      <x:c r="F15" s="17" t="str">
        <x:v>Small offices; start combining complementary businesses.</x:v>
      </x:c>
      <x:c r="G15" s="17" t="str">
        <x:v>Multiple businesses; first meaningful stock hunts.</x:v>
      </x:c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</x:row>
    <x:row r="16">
      <x:c r="A16" s="17" t="n">
        <x:v>15</x:v>
      </x:c>
      <x:c r="B16" s="17" t="str">
        <x:v>Trading Room</x:v>
      </x:c>
      <x:c r="C16" s="17" t="str">
        <x:v>Starter</x:v>
      </x:c>
      <x:c r="D16" s="48" t="str">
        <x:v>Uncommon</x:v>
      </x:c>
      <x:c r="E16" s="17" t="str">
        <x:v>1x2</x:v>
      </x:c>
      <x:c r="F16" s="17" t="str">
        <x:v>Small offices; start combining complementary businesses.</x:v>
      </x:c>
      <x:c r="G16" s="17" t="str">
        <x:v>Multiple businesses; first meaningful stock hunts.</x:v>
      </x:c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</x:row>
    <x:row r="17">
      <x:c r="A17" s="17" t="n">
        <x:v>16</x:v>
      </x:c>
      <x:c r="B17" s="17" t="str">
        <x:v>Small Research Office</x:v>
      </x:c>
      <x:c r="C17" s="17" t="str">
        <x:v>Starter</x:v>
      </x:c>
      <x:c r="D17" s="48" t="str">
        <x:v>Uncommon</x:v>
      </x:c>
      <x:c r="E17" s="17" t="str">
        <x:v>1x2</x:v>
      </x:c>
      <x:c r="F17" s="17" t="str">
        <x:v>Small offices; start combining complementary businesses.</x:v>
      </x:c>
      <x:c r="G17" s="17" t="str">
        <x:v>Multiple businesses; first meaningful stock hunts.</x:v>
      </x:c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</x:row>
    <x:row r="18">
      <x:c r="A18" s="17" t="n">
        <x:v>17</x:v>
      </x:c>
      <x:c r="B18" s="17" t="str">
        <x:v>Local Insurance Office</x:v>
      </x:c>
      <x:c r="C18" s="17" t="str">
        <x:v>Starter</x:v>
      </x:c>
      <x:c r="D18" s="48" t="str">
        <x:v>Uncommon</x:v>
      </x:c>
      <x:c r="E18" s="17" t="str">
        <x:v>1x2</x:v>
      </x:c>
      <x:c r="F18" s="17" t="str">
        <x:v>Small offices; start combining complementary businesses.</x:v>
      </x:c>
      <x:c r="G18" s="17" t="str">
        <x:v>Multiple businesses; first meaningful stock hunts.</x:v>
      </x:c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</x:row>
    <x:row r="19">
      <x:c r="A19" s="17" t="n">
        <x:v>18</x:v>
      </x:c>
      <x:c r="B19" s="17" t="str">
        <x:v>Treasury Office</x:v>
      </x:c>
      <x:c r="C19" s="17" t="str">
        <x:v>Starter</x:v>
      </x:c>
      <x:c r="D19" s="48" t="str">
        <x:v>Uncommon</x:v>
      </x:c>
      <x:c r="E19" s="17" t="str">
        <x:v>1x2</x:v>
      </x:c>
      <x:c r="F19" s="17" t="str">
        <x:v>Small offices; start combining complementary businesses.</x:v>
      </x:c>
      <x:c r="G19" s="17" t="str">
        <x:v>Multiple businesses; first meaningful stock hunts.</x:v>
      </x:c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</x:row>
    <x:row r="20">
      <x:c r="A20" s="17" t="n">
        <x:v>19</x:v>
      </x:c>
      <x:c r="B20" s="17" t="str">
        <x:v>Small Fund Office</x:v>
      </x:c>
      <x:c r="C20" s="17" t="str">
        <x:v>Starter</x:v>
      </x:c>
      <x:c r="D20" s="48" t="str">
        <x:v>Uncommon</x:v>
      </x:c>
      <x:c r="E20" s="17" t="str">
        <x:v>2x2</x:v>
      </x:c>
      <x:c r="F20" s="17" t="str">
        <x:v>Small offices; start combining complementary businesses.</x:v>
      </x:c>
      <x:c r="G20" s="17" t="str">
        <x:v>Multiple businesses; first meaningful stock hunts.</x:v>
      </x:c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</x:row>
    <x:row r="21">
      <x:c r="A21" s="17" t="n">
        <x:v>20</x:v>
      </x:c>
      <x:c r="B21" s="17" t="str">
        <x:v>Financial Services Hub</x:v>
      </x:c>
      <x:c r="C21" s="17" t="str">
        <x:v>Starter</x:v>
      </x:c>
      <x:c r="D21" s="48" t="str">
        <x:v>Uncommon</x:v>
      </x:c>
      <x:c r="E21" s="17" t="str">
        <x:v>2x2</x:v>
      </x:c>
      <x:c r="F21" s="17" t="str">
        <x:v>Small offices; start combining complementary businesses.</x:v>
      </x:c>
      <x:c r="G21" s="17" t="str">
        <x:v>Multiple businesses; first meaningful stock hunts.</x:v>
      </x:c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</x:row>
    <x:row r="22">
      <x:c r="A22" s="17" t="n">
        <x:v>21</x:v>
      </x:c>
      <x:c r="B22" s="17" t="str">
        <x:v>Community Bank Branch</x:v>
      </x:c>
      <x:c r="C22" s="17" t="str">
        <x:v>Growing</x:v>
      </x:c>
      <x:c r="D22" s="50" t="str">
        <x:v>Rare</x:v>
      </x:c>
      <x:c r="E22" s="17" t="str">
        <x:v>2x2</x:v>
      </x:c>
      <x:c r="F22" s="17" t="str">
        <x:v>Meaningful specialization, larger customer segments and stronger synergies.</x:v>
      </x:c>
      <x:c r="G22" s="17" t="str">
        <x:v>Specialized district; customer/capacity management matters.</x:v>
      </x:c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</x:row>
    <x:row r="23">
      <x:c r="A23" s="17" t="n">
        <x:v>22</x:v>
      </x:c>
      <x:c r="B23" s="17" t="str">
        <x:v>Brokerage House</x:v>
      </x:c>
      <x:c r="C23" s="17" t="str">
        <x:v>Growing</x:v>
      </x:c>
      <x:c r="D23" s="50" t="str">
        <x:v>Rare</x:v>
      </x:c>
      <x:c r="E23" s="17" t="str">
        <x:v>2x2</x:v>
      </x:c>
      <x:c r="F23" s="17" t="str">
        <x:v>Meaningful specialization, larger customer segments and stronger synergies.</x:v>
      </x:c>
      <x:c r="G23" s="17" t="str">
        <x:v>Specialized district; customer/capacity management matters.</x:v>
      </x:c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</x:row>
    <x:row r="24">
      <x:c r="A24" s="17" t="n">
        <x:v>23</x:v>
      </x:c>
      <x:c r="B24" s="17" t="str">
        <x:v>Investment Advisory Firm</x:v>
      </x:c>
      <x:c r="C24" s="17" t="str">
        <x:v>Growing</x:v>
      </x:c>
      <x:c r="D24" s="50" t="str">
        <x:v>Rare</x:v>
      </x:c>
      <x:c r="E24" s="17" t="str">
        <x:v>2x2</x:v>
      </x:c>
      <x:c r="F24" s="17" t="str">
        <x:v>Meaningful specialization, larger customer segments and stronger synergies.</x:v>
      </x:c>
      <x:c r="G24" s="17" t="str">
        <x:v>Specialized district; customer/capacity management matters.</x:v>
      </x:c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</x:row>
    <x:row r="25">
      <x:c r="A25" s="17" t="n">
        <x:v>24</x:v>
      </x:c>
      <x:c r="B25" s="17" t="str">
        <x:v>Asset Management Office</x:v>
      </x:c>
      <x:c r="C25" s="17" t="str">
        <x:v>Growing</x:v>
      </x:c>
      <x:c r="D25" s="50" t="str">
        <x:v>Rare</x:v>
      </x:c>
      <x:c r="E25" s="17" t="str">
        <x:v>2x2</x:v>
      </x:c>
      <x:c r="F25" s="17" t="str">
        <x:v>Meaningful specialization, larger customer segments and stronger synergies.</x:v>
      </x:c>
      <x:c r="G25" s="17" t="str">
        <x:v>Specialized district; customer/capacity management matters.</x:v>
      </x:c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</x:row>
    <x:row r="26">
      <x:c r="A26" s="17" t="n">
        <x:v>25</x:v>
      </x:c>
      <x:c r="B26" s="17" t="str">
        <x:v>Market Research Center</x:v>
      </x:c>
      <x:c r="C26" s="17" t="str">
        <x:v>Growing</x:v>
      </x:c>
      <x:c r="D26" s="50" t="str">
        <x:v>Rare</x:v>
      </x:c>
      <x:c r="E26" s="17" t="str">
        <x:v>2x2</x:v>
      </x:c>
      <x:c r="F26" s="17" t="str">
        <x:v>Meaningful specialization, larger customer segments and stronger synergies.</x:v>
      </x:c>
      <x:c r="G26" s="17" t="str">
        <x:v>Specialized district; customer/capacity management matters.</x:v>
      </x:c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</x:row>
    <x:row r="27">
      <x:c r="A27" s="17" t="n">
        <x:v>26</x:v>
      </x:c>
      <x:c r="B27" s="17" t="str">
        <x:v>Lending Center</x:v>
      </x:c>
      <x:c r="C27" s="17" t="str">
        <x:v>Growing</x:v>
      </x:c>
      <x:c r="D27" s="50" t="str">
        <x:v>Rare</x:v>
      </x:c>
      <x:c r="E27" s="17" t="str">
        <x:v>2x2</x:v>
      </x:c>
      <x:c r="F27" s="17" t="str">
        <x:v>Meaningful specialization, larger customer segments and stronger synergies.</x:v>
      </x:c>
      <x:c r="G27" s="17" t="str">
        <x:v>Specialized district; customer/capacity management matters.</x:v>
      </x:c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</x:row>
    <x:row r="28">
      <x:c r="A28" s="17" t="n">
        <x:v>27</x:v>
      </x:c>
      <x:c r="B28" s="17" t="str">
        <x:v>Wealth Management Office</x:v>
      </x:c>
      <x:c r="C28" s="17" t="str">
        <x:v>Growing</x:v>
      </x:c>
      <x:c r="D28" s="50" t="str">
        <x:v>Rare</x:v>
      </x:c>
      <x:c r="E28" s="17" t="str">
        <x:v>2x2</x:v>
      </x:c>
      <x:c r="F28" s="17" t="str">
        <x:v>Meaningful specialization, larger customer segments and stronger synergies.</x:v>
      </x:c>
      <x:c r="G28" s="17" t="str">
        <x:v>Specialized district; customer/capacity management matters.</x:v>
      </x:c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</x:row>
    <x:row r="29">
      <x:c r="A29" s="17" t="n">
        <x:v>28</x:v>
      </x:c>
      <x:c r="B29" s="17" t="str">
        <x:v>Digital Finance Hub</x:v>
      </x:c>
      <x:c r="C29" s="17" t="str">
        <x:v>Growing</x:v>
      </x:c>
      <x:c r="D29" s="50" t="str">
        <x:v>Rare</x:v>
      </x:c>
      <x:c r="E29" s="17" t="str">
        <x:v>2x2</x:v>
      </x:c>
      <x:c r="F29" s="17" t="str">
        <x:v>Meaningful specialization, larger customer segments and stronger synergies.</x:v>
      </x:c>
      <x:c r="G29" s="17" t="str">
        <x:v>Specialized district; customer/capacity management matters.</x:v>
      </x:c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</x:row>
    <x:row r="30">
      <x:c r="A30" s="17" t="n">
        <x:v>29</x:v>
      </x:c>
      <x:c r="B30" s="17" t="str">
        <x:v>Trading House</x:v>
      </x:c>
      <x:c r="C30" s="17" t="str">
        <x:v>Growing</x:v>
      </x:c>
      <x:c r="D30" s="50" t="str">
        <x:v>Rare</x:v>
      </x:c>
      <x:c r="E30" s="17" t="str">
        <x:v>2x3</x:v>
      </x:c>
      <x:c r="F30" s="17" t="str">
        <x:v>Meaningful specialization, larger customer segments and stronger synergies.</x:v>
      </x:c>
      <x:c r="G30" s="17" t="str">
        <x:v>Specialized district; customer/capacity management matters.</x:v>
      </x:c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</x:row>
    <x:row r="31">
      <x:c r="A31" s="17" t="n">
        <x:v>30</x:v>
      </x:c>
      <x:c r="B31" s="17" t="str">
        <x:v>Private Vault Facility</x:v>
      </x:c>
      <x:c r="C31" s="17" t="str">
        <x:v>Growing</x:v>
      </x:c>
      <x:c r="D31" s="50" t="str">
        <x:v>Rare</x:v>
      </x:c>
      <x:c r="E31" s="17" t="str">
        <x:v>2x2</x:v>
      </x:c>
      <x:c r="F31" s="17" t="str">
        <x:v>Meaningful specialization, larger customer segments and stronger synergies.</x:v>
      </x:c>
      <x:c r="G31" s="17" t="str">
        <x:v>Specialized district; customer/capacity management matters.</x:v>
      </x:c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</x:row>
    <x:row r="32">
      <x:c r="A32" s="17" t="n">
        <x:v>31</x:v>
      </x:c>
      <x:c r="B32" s="17" t="str">
        <x:v>Regional Bank</x:v>
      </x:c>
      <x:c r="C32" s="17" t="str">
        <x:v>Established</x:v>
      </x:c>
      <x:c r="D32" s="52" t="str">
        <x:v>Epic</x:v>
      </x:c>
      <x:c r="E32" s="17" t="str">
        <x:v>2x3</x:v>
      </x:c>
      <x:c r="F32" s="17" t="str">
        <x:v>Institutional finance; advanced activity and higher-value clients.</x:v>
      </x:c>
      <x:c r="G32" s="17" t="str">
        <x:v>Dense financial district; events and risk matter more.</x:v>
      </x:c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</x:row>
    <x:row r="33">
      <x:c r="A33" s="17" t="n">
        <x:v>32</x:v>
      </x:c>
      <x:c r="B33" s="17" t="str">
        <x:v>Stock Brokerage Center</x:v>
      </x:c>
      <x:c r="C33" s="17" t="str">
        <x:v>Established</x:v>
      </x:c>
      <x:c r="D33" s="52" t="str">
        <x:v>Epic</x:v>
      </x:c>
      <x:c r="E33" s="17" t="str">
        <x:v>2x3</x:v>
      </x:c>
      <x:c r="F33" s="17" t="str">
        <x:v>Institutional finance; advanced activity and higher-value clients.</x:v>
      </x:c>
      <x:c r="G33" s="17" t="str">
        <x:v>Dense financial district; events and risk matter more.</x:v>
      </x:c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</x:row>
    <x:row r="34">
      <x:c r="A34" s="17" t="n">
        <x:v>33</x:v>
      </x:c>
      <x:c r="B34" s="17" t="str">
        <x:v>Investment Fund HQ</x:v>
      </x:c>
      <x:c r="C34" s="17" t="str">
        <x:v>Established</x:v>
      </x:c>
      <x:c r="D34" s="52" t="str">
        <x:v>Epic</x:v>
      </x:c>
      <x:c r="E34" s="17" t="str">
        <x:v>2x3</x:v>
      </x:c>
      <x:c r="F34" s="17" t="str">
        <x:v>Institutional finance; advanced activity and higher-value clients.</x:v>
      </x:c>
      <x:c r="G34" s="17" t="str">
        <x:v>Dense financial district; events and risk matter more.</x:v>
      </x:c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</x:row>
    <x:row r="35">
      <x:c r="A35" s="17" t="n">
        <x:v>34</x:v>
      </x:c>
      <x:c r="B35" s="17" t="str">
        <x:v>Insurance Company HQ</x:v>
      </x:c>
      <x:c r="C35" s="17" t="str">
        <x:v>Established</x:v>
      </x:c>
      <x:c r="D35" s="52" t="str">
        <x:v>Epic</x:v>
      </x:c>
      <x:c r="E35" s="17" t="str">
        <x:v>2x3</x:v>
      </x:c>
      <x:c r="F35" s="17" t="str">
        <x:v>Institutional finance; advanced activity and higher-value clients.</x:v>
      </x:c>
      <x:c r="G35" s="17" t="str">
        <x:v>Dense financial district; events and risk matter more.</x:v>
      </x:c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</x:row>
    <x:row r="36">
      <x:c r="A36" s="17" t="n">
        <x:v>35</x:v>
      </x:c>
      <x:c r="B36" s="17" t="str">
        <x:v>Financial Data Center</x:v>
      </x:c>
      <x:c r="C36" s="17" t="str">
        <x:v>Established</x:v>
      </x:c>
      <x:c r="D36" s="52" t="str">
        <x:v>Epic</x:v>
      </x:c>
      <x:c r="E36" s="17" t="str">
        <x:v>2x3</x:v>
      </x:c>
      <x:c r="F36" s="17" t="str">
        <x:v>Institutional finance; advanced activity and higher-value clients.</x:v>
      </x:c>
      <x:c r="G36" s="17" t="str">
        <x:v>Dense financial district; events and risk matter more.</x:v>
      </x:c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</x:row>
    <x:row r="37">
      <x:c r="A37" s="17" t="n">
        <x:v>36</x:v>
      </x:c>
      <x:c r="B37" s="17" t="str">
        <x:v>Market Maker Office</x:v>
      </x:c>
      <x:c r="C37" s="17" t="str">
        <x:v>Established</x:v>
      </x:c>
      <x:c r="D37" s="52" t="str">
        <x:v>Epic</x:v>
      </x:c>
      <x:c r="E37" s="17" t="str">
        <x:v>2x3</x:v>
      </x:c>
      <x:c r="F37" s="17" t="str">
        <x:v>Institutional finance; advanced activity and higher-value clients.</x:v>
      </x:c>
      <x:c r="G37" s="17" t="str">
        <x:v>Dense financial district; events and risk matter more.</x:v>
      </x:c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</x:row>
    <x:row r="38">
      <x:c r="A38" s="17" t="n">
        <x:v>37</x:v>
      </x:c>
      <x:c r="B38" s="17" t="str">
        <x:v>Private Banking Center</x:v>
      </x:c>
      <x:c r="C38" s="17" t="str">
        <x:v>Established</x:v>
      </x:c>
      <x:c r="D38" s="52" t="str">
        <x:v>Epic</x:v>
      </x:c>
      <x:c r="E38" s="17" t="str">
        <x:v>2x3</x:v>
      </x:c>
      <x:c r="F38" s="17" t="str">
        <x:v>Institutional finance; advanced activity and higher-value clients.</x:v>
      </x:c>
      <x:c r="G38" s="17" t="str">
        <x:v>Dense financial district; events and risk matter more.</x:v>
      </x:c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</x:row>
    <x:row r="39">
      <x:c r="A39" s="17" t="n">
        <x:v>38</x:v>
      </x:c>
      <x:c r="B39" s="17" t="str">
        <x:v>Corporate Treasury Center</x:v>
      </x:c>
      <x:c r="C39" s="17" t="str">
        <x:v>Established</x:v>
      </x:c>
      <x:c r="D39" s="52" t="str">
        <x:v>Epic</x:v>
      </x:c>
      <x:c r="E39" s="17" t="str">
        <x:v>2x3</x:v>
      </x:c>
      <x:c r="F39" s="17" t="str">
        <x:v>Institutional finance; advanced activity and higher-value clients.</x:v>
      </x:c>
      <x:c r="G39" s="17" t="str">
        <x:v>Dense financial district; events and risk matter more.</x:v>
      </x:c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</x:row>
    <x:row r="40">
      <x:c r="A40" s="17" t="n">
        <x:v>39</x:v>
      </x:c>
      <x:c r="B40" s="17" t="str">
        <x:v>Securities Exchange</x:v>
      </x:c>
      <x:c r="C40" s="17" t="str">
        <x:v>Established</x:v>
      </x:c>
      <x:c r="D40" s="52" t="str">
        <x:v>Epic</x:v>
      </x:c>
      <x:c r="E40" s="17" t="str">
        <x:v>3x3</x:v>
      </x:c>
      <x:c r="F40" s="17" t="str">
        <x:v>Institutional finance; advanced activity and higher-value clients.</x:v>
      </x:c>
      <x:c r="G40" s="17" t="str">
        <x:v>Dense financial district; events and risk matter more.</x:v>
      </x:c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</x:row>
    <x:row r="41">
      <x:c r="A41" s="17" t="n">
        <x:v>40</x:v>
      </x:c>
      <x:c r="B41" s="17" t="str">
        <x:v>Investment Bank</x:v>
      </x:c>
      <x:c r="C41" s="17" t="str">
        <x:v>Established</x:v>
      </x:c>
      <x:c r="D41" s="52" t="str">
        <x:v>Epic</x:v>
      </x:c>
      <x:c r="E41" s="17" t="str">
        <x:v>3x3</x:v>
      </x:c>
      <x:c r="F41" s="17" t="str">
        <x:v>Institutional finance; advanced activity and higher-value clients.</x:v>
      </x:c>
      <x:c r="G41" s="17" t="str">
        <x:v>Dense financial district; events and risk matter more.</x:v>
      </x:c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</x:row>
    <x:row r="42">
      <x:c r="A42" s="17" t="n">
        <x:v>41</x:v>
      </x:c>
      <x:c r="B42" s="17" t="str">
        <x:v>Global Brokerage Tower</x:v>
      </x:c>
      <x:c r="C42" s="17" t="str">
        <x:v>Elite</x:v>
      </x:c>
      <x:c r="D42" s="54" t="str">
        <x:v>Legendary</x:v>
      </x:c>
      <x:c r="E42" s="17" t="str">
        <x:v>3x3</x:v>
      </x:c>
      <x:c r="F42" s="17" t="str">
        <x:v>High-throughput global businesses and prestige progression.</x:v>
      </x:c>
      <x:c r="G42" s="17" t="str">
        <x:v>High-value district; competition and optimization dominate.</x:v>
      </x:c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</x:row>
    <x:row r="43">
      <x:c r="A43" s="17" t="n">
        <x:v>42</x:v>
      </x:c>
      <x:c r="B43" s="17" t="str">
        <x:v>Major Asset Manager</x:v>
      </x:c>
      <x:c r="C43" s="17" t="str">
        <x:v>Elite</x:v>
      </x:c>
      <x:c r="D43" s="54" t="str">
        <x:v>Legendary</x:v>
      </x:c>
      <x:c r="E43" s="17" t="str">
        <x:v>3x3</x:v>
      </x:c>
      <x:c r="F43" s="17" t="str">
        <x:v>High-throughput global businesses and prestige progression.</x:v>
      </x:c>
      <x:c r="G43" s="17" t="str">
        <x:v>High-value district; competition and optimization dominate.</x:v>
      </x:c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</x:row>
    <x:row r="44">
      <x:c r="A44" s="17" t="n">
        <x:v>43</x:v>
      </x:c>
      <x:c r="B44" s="17" t="str">
        <x:v>Institutional Trading Center</x:v>
      </x:c>
      <x:c r="C44" s="17" t="str">
        <x:v>Elite</x:v>
      </x:c>
      <x:c r="D44" s="54" t="str">
        <x:v>Legendary</x:v>
      </x:c>
      <x:c r="E44" s="17" t="str">
        <x:v>3x3</x:v>
      </x:c>
      <x:c r="F44" s="17" t="str">
        <x:v>High-throughput global businesses and prestige progression.</x:v>
      </x:c>
      <x:c r="G44" s="17" t="str">
        <x:v>High-value district; competition and optimization dominate.</x:v>
      </x:c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</x:row>
    <x:row r="45">
      <x:c r="A45" s="17" t="n">
        <x:v>44</x:v>
      </x:c>
      <x:c r="B45" s="17" t="str">
        <x:v>Global Wealth Center</x:v>
      </x:c>
      <x:c r="C45" s="17" t="str">
        <x:v>Elite</x:v>
      </x:c>
      <x:c r="D45" s="54" t="str">
        <x:v>Legendary</x:v>
      </x:c>
      <x:c r="E45" s="17" t="str">
        <x:v>3x3</x:v>
      </x:c>
      <x:c r="F45" s="17" t="str">
        <x:v>High-throughput global businesses and prestige progression.</x:v>
      </x:c>
      <x:c r="G45" s="17" t="str">
        <x:v>High-value district; competition and optimization dominate.</x:v>
      </x:c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</x:row>
    <x:row r="46">
      <x:c r="A46" s="17" t="n">
        <x:v>45</x:v>
      </x:c>
      <x:c r="B46" s="17" t="str">
        <x:v>Financial Exchange Tower</x:v>
      </x:c>
      <x:c r="C46" s="17" t="str">
        <x:v>Elite</x:v>
      </x:c>
      <x:c r="D46" s="54" t="str">
        <x:v>Legendary</x:v>
      </x:c>
      <x:c r="E46" s="17" t="str">
        <x:v>3x3</x:v>
      </x:c>
      <x:c r="F46" s="17" t="str">
        <x:v>High-throughput global businesses and prestige progression.</x:v>
      </x:c>
      <x:c r="G46" s="17" t="str">
        <x:v>High-value district; competition and optimization dominate.</x:v>
      </x:c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</x:row>
    <x:row r="47">
      <x:c r="A47" s="17" t="n">
        <x:v>46</x:v>
      </x:c>
      <x:c r="B47" s="17" t="str">
        <x:v>International Bank HQ</x:v>
      </x:c>
      <x:c r="C47" s="17" t="str">
        <x:v>Tycoon</x:v>
      </x:c>
      <x:c r="D47" s="56" t="str">
        <x:v>Mythic</x:v>
      </x:c>
      <x:c r="E47" s="17" t="str">
        <x:v>4x4</x:v>
      </x:c>
      <x:c r="F47" s="17" t="str">
        <x:v>Endgame institutions, large footprints and empire-defining capacity.</x:v>
      </x:c>
      <x:c r="G47" s="17" t="str">
        <x:v>Large/merged plots; prestige, score efficiency and seasonal competition.</x:v>
      </x:c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</x:row>
    <x:row r="48">
      <x:c r="A48" s="17" t="n">
        <x:v>47</x:v>
      </x:c>
      <x:c r="B48" s="17" t="str">
        <x:v>Global Investment Bank</x:v>
      </x:c>
      <x:c r="C48" s="17" t="str">
        <x:v>Tycoon</x:v>
      </x:c>
      <x:c r="D48" s="56" t="str">
        <x:v>Mythic</x:v>
      </x:c>
      <x:c r="E48" s="17" t="str">
        <x:v>4x4</x:v>
      </x:c>
      <x:c r="F48" s="17" t="str">
        <x:v>Endgame institutions, large footprints and empire-defining capacity.</x:v>
      </x:c>
      <x:c r="G48" s="17" t="str">
        <x:v>Large/merged plots; prestige, score efficiency and seasonal competition.</x:v>
      </x:c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</x:row>
    <x:row r="49">
      <x:c r="A49" s="17" t="n">
        <x:v>48</x:v>
      </x:c>
      <x:c r="B49" s="17" t="str">
        <x:v>Sovereign Fund Tower</x:v>
      </x:c>
      <x:c r="C49" s="17" t="str">
        <x:v>Tycoon</x:v>
      </x:c>
      <x:c r="D49" s="56" t="str">
        <x:v>Mythic</x:v>
      </x:c>
      <x:c r="E49" s="17" t="str">
        <x:v>4x4</x:v>
      </x:c>
      <x:c r="F49" s="17" t="str">
        <x:v>Endgame institutions, large footprints and empire-defining capacity.</x:v>
      </x:c>
      <x:c r="G49" s="17" t="str">
        <x:v>Large/merged plots; prestige, score efficiency and seasonal competition.</x:v>
      </x:c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</x:row>
    <x:row r="50">
      <x:c r="A50" s="17" t="n">
        <x:v>49</x:v>
      </x:c>
      <x:c r="B50" s="17" t="str">
        <x:v>World Financial Exchange</x:v>
      </x:c>
      <x:c r="C50" s="17" t="str">
        <x:v>Tycoon</x:v>
      </x:c>
      <x:c r="D50" s="56" t="str">
        <x:v>Mythic</x:v>
      </x:c>
      <x:c r="E50" s="17" t="str">
        <x:v>4x4</x:v>
      </x:c>
      <x:c r="F50" s="17" t="str">
        <x:v>Endgame institutions, large footprints and empire-defining capacity.</x:v>
      </x:c>
      <x:c r="G50" s="17" t="str">
        <x:v>Large/merged plots; prestige, score efficiency and seasonal competition.</x:v>
      </x:c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</x:row>
    <x:row r="51">
      <x:c r="A51" s="17" t="n">
        <x:v>50</x:v>
      </x:c>
      <x:c r="B51" s="17" t="str">
        <x:v>Financial Empire Headquarters</x:v>
      </x:c>
      <x:c r="C51" s="17" t="str">
        <x:v>Tycoon</x:v>
      </x:c>
      <x:c r="D51" s="56" t="str">
        <x:v>Mythic</x:v>
      </x:c>
      <x:c r="E51" s="17" t="str">
        <x:v>4x4</x:v>
      </x:c>
      <x:c r="F51" s="17" t="str">
        <x:v>Endgame institutions, large footprints and empire-defining capacity.</x:v>
      </x:c>
      <x:c r="G51" s="17" t="str">
        <x:v>Large/merged plots; prestige, score efficiency and seasonal competition.</x:v>
      </x:c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</x:row>
    <x:row r="20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  <x:c r="O201" s="17"/>
      <x:c r="P201" s="17"/>
      <x:c r="Q201" s="17"/>
      <x:c r="R201" s="17"/>
      <x:c r="S201" s="17"/>
      <x:c r="T201" s="17"/>
      <x:c r="U201" s="17"/>
      <x:c r="V201" s="17"/>
      <x:c r="W201" s="17"/>
      <x:c r="X201" s="17"/>
      <x:c r="Y201" s="17"/>
      <x:c r="Z201" s="17"/>
    </x:row>
    <x:row r="202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  <x:c r="O202" s="17"/>
      <x:c r="P202" s="17"/>
      <x:c r="Q202" s="17"/>
      <x:c r="R202" s="17"/>
      <x:c r="S202" s="17"/>
      <x:c r="T202" s="17"/>
      <x:c r="U202" s="17"/>
      <x:c r="V202" s="17"/>
      <x:c r="W202" s="17"/>
      <x:c r="X202" s="17"/>
      <x:c r="Y202" s="17"/>
      <x:c r="Z202" s="17"/>
    </x:row>
    <x:row r="203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  <x:c r="O203" s="17"/>
      <x:c r="P203" s="17"/>
      <x:c r="Q203" s="17"/>
      <x:c r="R203" s="17"/>
      <x:c r="S203" s="17"/>
      <x:c r="T203" s="17"/>
      <x:c r="U203" s="17"/>
      <x:c r="V203" s="17"/>
      <x:c r="W203" s="17"/>
      <x:c r="X203" s="17"/>
      <x:c r="Y203" s="17"/>
      <x:c r="Z203" s="17"/>
    </x:row>
    <x:row r="204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  <x:c r="O204" s="17"/>
      <x:c r="P204" s="17"/>
      <x:c r="Q204" s="17"/>
      <x:c r="R204" s="17"/>
      <x:c r="S204" s="17"/>
      <x:c r="T204" s="17"/>
      <x:c r="U204" s="17"/>
      <x:c r="V204" s="17"/>
      <x:c r="W204" s="17"/>
      <x:c r="X204" s="17"/>
      <x:c r="Y204" s="17"/>
      <x:c r="Z204" s="17"/>
    </x:row>
    <x:row r="205">
      <x:c r="A205" s="17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  <x:c r="O205" s="17"/>
      <x:c r="P205" s="17"/>
      <x:c r="Q205" s="17"/>
      <x:c r="R205" s="17"/>
      <x:c r="S205" s="17"/>
      <x:c r="T205" s="17"/>
      <x:c r="U205" s="17"/>
      <x:c r="V205" s="17"/>
      <x:c r="W205" s="17"/>
      <x:c r="X205" s="17"/>
      <x:c r="Y205" s="17"/>
      <x:c r="Z205" s="17"/>
    </x:row>
    <x:row r="206">
      <x:c r="A206" s="17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  <x:c r="O206" s="17"/>
      <x:c r="P206" s="17"/>
      <x:c r="Q206" s="17"/>
      <x:c r="R206" s="17"/>
      <x:c r="S206" s="17"/>
      <x:c r="T206" s="17"/>
      <x:c r="U206" s="17"/>
      <x:c r="V206" s="17"/>
      <x:c r="W206" s="17"/>
      <x:c r="X206" s="17"/>
      <x:c r="Y206" s="17"/>
      <x:c r="Z206" s="17"/>
    </x:row>
    <x:row r="207">
      <x:c r="A207" s="17"/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  <x:c r="O207" s="17"/>
      <x:c r="P207" s="17"/>
      <x:c r="Q207" s="17"/>
      <x:c r="R207" s="17"/>
      <x:c r="S207" s="17"/>
      <x:c r="T207" s="17"/>
      <x:c r="U207" s="17"/>
      <x:c r="V207" s="17"/>
      <x:c r="W207" s="17"/>
      <x:c r="X207" s="17"/>
      <x:c r="Y207" s="17"/>
      <x:c r="Z207" s="17"/>
    </x:row>
    <x:row r="208">
      <x:c r="A208" s="17"/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  <x:c r="O208" s="17"/>
      <x:c r="P208" s="17"/>
      <x:c r="Q208" s="17"/>
      <x:c r="R208" s="17"/>
      <x:c r="S208" s="17"/>
      <x:c r="T208" s="17"/>
      <x:c r="U208" s="17"/>
      <x:c r="V208" s="17"/>
      <x:c r="W208" s="17"/>
      <x:c r="X208" s="17"/>
      <x:c r="Y208" s="17"/>
      <x:c r="Z208" s="17"/>
    </x:row>
    <x:row r="209">
      <x:c r="A209" s="17"/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  <x:c r="O209" s="17"/>
      <x:c r="P209" s="17"/>
      <x:c r="Q209" s="17"/>
      <x:c r="R209" s="17"/>
      <x:c r="S209" s="17"/>
      <x:c r="T209" s="17"/>
      <x:c r="U209" s="17"/>
      <x:c r="V209" s="17"/>
      <x:c r="W209" s="17"/>
      <x:c r="X209" s="17"/>
      <x:c r="Y209" s="17"/>
      <x:c r="Z209" s="17"/>
    </x:row>
    <x:row r="210">
      <x:c r="A210" s="17"/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  <x:c r="O210" s="17"/>
      <x:c r="P210" s="17"/>
      <x:c r="Q210" s="17"/>
      <x:c r="R210" s="17"/>
      <x:c r="S210" s="17"/>
      <x:c r="T210" s="17"/>
      <x:c r="U210" s="17"/>
      <x:c r="V210" s="17"/>
      <x:c r="W210" s="17"/>
      <x:c r="X210" s="17"/>
      <x:c r="Y210" s="17"/>
      <x:c r="Z210" s="17"/>
    </x:row>
    <x:row r="211">
      <x:c r="A211" s="17"/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  <x:c r="O211" s="17"/>
      <x:c r="P211" s="17"/>
      <x:c r="Q211" s="17"/>
      <x:c r="R211" s="17"/>
      <x:c r="S211" s="17"/>
      <x:c r="T211" s="17"/>
      <x:c r="U211" s="17"/>
      <x:c r="V211" s="17"/>
      <x:c r="W211" s="17"/>
      <x:c r="X211" s="17"/>
      <x:c r="Y211" s="17"/>
      <x:c r="Z211" s="17"/>
    </x:row>
    <x:row r="212">
      <x:c r="A212" s="17"/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  <x:c r="O212" s="17"/>
      <x:c r="P212" s="17"/>
      <x:c r="Q212" s="17"/>
      <x:c r="R212" s="17"/>
      <x:c r="S212" s="17"/>
      <x:c r="T212" s="17"/>
      <x:c r="U212" s="17"/>
      <x:c r="V212" s="17"/>
      <x:c r="W212" s="17"/>
      <x:c r="X212" s="17"/>
      <x:c r="Y212" s="17"/>
      <x:c r="Z212" s="17"/>
    </x:row>
    <x:row r="213">
      <x:c r="A213" s="17"/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  <x:c r="O213" s="17"/>
      <x:c r="P213" s="17"/>
      <x:c r="Q213" s="17"/>
      <x:c r="R213" s="17"/>
      <x:c r="S213" s="17"/>
      <x:c r="T213" s="17"/>
      <x:c r="U213" s="17"/>
      <x:c r="V213" s="17"/>
      <x:c r="W213" s="17"/>
      <x:c r="X213" s="17"/>
      <x:c r="Y213" s="17"/>
      <x:c r="Z213" s="17"/>
    </x:row>
    <x:row r="214">
      <x:c r="A214" s="17"/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  <x:c r="O214" s="17"/>
      <x:c r="P214" s="17"/>
      <x:c r="Q214" s="17"/>
      <x:c r="R214" s="17"/>
      <x:c r="S214" s="17"/>
      <x:c r="T214" s="17"/>
      <x:c r="U214" s="17"/>
      <x:c r="V214" s="17"/>
      <x:c r="W214" s="17"/>
      <x:c r="X214" s="17"/>
      <x:c r="Y214" s="17"/>
      <x:c r="Z214" s="17"/>
    </x:row>
    <x:row r="215">
      <x:c r="A215" s="17"/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  <x:c r="O215" s="17"/>
      <x:c r="P215" s="17"/>
      <x:c r="Q215" s="17"/>
      <x:c r="R215" s="17"/>
      <x:c r="S215" s="17"/>
      <x:c r="T215" s="17"/>
      <x:c r="U215" s="17"/>
      <x:c r="V215" s="17"/>
      <x:c r="W215" s="17"/>
      <x:c r="X215" s="17"/>
      <x:c r="Y215" s="17"/>
      <x:c r="Z215" s="17"/>
    </x:row>
    <x:row r="216">
      <x:c r="A216" s="17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  <x:c r="O216" s="17"/>
      <x:c r="P216" s="17"/>
      <x:c r="Q216" s="17"/>
      <x:c r="R216" s="17"/>
      <x:c r="S216" s="17"/>
      <x:c r="T216" s="17"/>
      <x:c r="U216" s="17"/>
      <x:c r="V216" s="17"/>
      <x:c r="W216" s="17"/>
      <x:c r="X216" s="17"/>
      <x:c r="Y216" s="17"/>
      <x:c r="Z216" s="17"/>
    </x:row>
    <x:row r="217">
      <x:c r="A217" s="17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  <x:c r="O217" s="17"/>
      <x:c r="P217" s="17"/>
      <x:c r="Q217" s="17"/>
      <x:c r="R217" s="17"/>
      <x:c r="S217" s="17"/>
      <x:c r="T217" s="17"/>
      <x:c r="U217" s="17"/>
      <x:c r="V217" s="17"/>
      <x:c r="W217" s="17"/>
      <x:c r="X217" s="17"/>
      <x:c r="Y217" s="17"/>
      <x:c r="Z217" s="17"/>
    </x:row>
    <x:row r="218">
      <x:c r="A218" s="17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  <x:c r="O218" s="17"/>
      <x:c r="P218" s="17"/>
      <x:c r="Q218" s="17"/>
      <x:c r="R218" s="17"/>
      <x:c r="S218" s="17"/>
      <x:c r="T218" s="17"/>
      <x:c r="U218" s="17"/>
      <x:c r="V218" s="17"/>
      <x:c r="W218" s="17"/>
      <x:c r="X218" s="17"/>
      <x:c r="Y218" s="17"/>
      <x:c r="Z218" s="17"/>
    </x:row>
    <x:row r="219">
      <x:c r="A219" s="17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  <x:c r="O219" s="17"/>
      <x:c r="P219" s="17"/>
      <x:c r="Q219" s="17"/>
      <x:c r="R219" s="17"/>
      <x:c r="S219" s="17"/>
      <x:c r="T219" s="17"/>
      <x:c r="U219" s="17"/>
      <x:c r="V219" s="17"/>
      <x:c r="W219" s="17"/>
      <x:c r="X219" s="17"/>
      <x:c r="Y219" s="17"/>
      <x:c r="Z219" s="17"/>
    </x:row>
    <x:row r="220">
      <x:c r="A220" s="17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  <x:c r="O220" s="17"/>
      <x:c r="P220" s="17"/>
      <x:c r="Q220" s="17"/>
      <x:c r="R220" s="17"/>
      <x:c r="S220" s="17"/>
      <x:c r="T220" s="17"/>
      <x:c r="U220" s="17"/>
      <x:c r="V220" s="17"/>
      <x:c r="W220" s="17"/>
      <x:c r="X220" s="17"/>
      <x:c r="Y220" s="17"/>
      <x:c r="Z220" s="17"/>
    </x:row>
    <x:row r="221">
      <x:c r="A221" s="17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  <x:c r="O221" s="17"/>
      <x:c r="P221" s="17"/>
      <x:c r="Q221" s="17"/>
      <x:c r="R221" s="17"/>
      <x:c r="S221" s="17"/>
      <x:c r="T221" s="17"/>
      <x:c r="U221" s="17"/>
      <x:c r="V221" s="17"/>
      <x:c r="W221" s="17"/>
      <x:c r="X221" s="17"/>
      <x:c r="Y221" s="17"/>
      <x:c r="Z221" s="17"/>
    </x:row>
    <x:row r="222">
      <x:c r="A222" s="17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  <x:c r="O222" s="17"/>
      <x:c r="P222" s="17"/>
      <x:c r="Q222" s="17"/>
      <x:c r="R222" s="17"/>
      <x:c r="S222" s="17"/>
      <x:c r="T222" s="17"/>
      <x:c r="U222" s="17"/>
      <x:c r="V222" s="17"/>
      <x:c r="W222" s="17"/>
      <x:c r="X222" s="17"/>
      <x:c r="Y222" s="17"/>
      <x:c r="Z222" s="17"/>
    </x:row>
    <x:row r="223">
      <x:c r="A223" s="17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  <x:c r="O223" s="17"/>
      <x:c r="P223" s="17"/>
      <x:c r="Q223" s="17"/>
      <x:c r="R223" s="17"/>
      <x:c r="S223" s="17"/>
      <x:c r="T223" s="17"/>
      <x:c r="U223" s="17"/>
      <x:c r="V223" s="17"/>
      <x:c r="W223" s="17"/>
      <x:c r="X223" s="17"/>
      <x:c r="Y223" s="17"/>
      <x:c r="Z223" s="17"/>
    </x:row>
    <x:row r="224">
      <x:c r="A224" s="17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  <x:c r="O224" s="17"/>
      <x:c r="P224" s="17"/>
      <x:c r="Q224" s="17"/>
      <x:c r="R224" s="17"/>
      <x:c r="S224" s="17"/>
      <x:c r="T224" s="17"/>
      <x:c r="U224" s="17"/>
      <x:c r="V224" s="17"/>
      <x:c r="W224" s="17"/>
      <x:c r="X224" s="17"/>
      <x:c r="Y224" s="17"/>
      <x:c r="Z224" s="17"/>
    </x:row>
    <x:row r="225">
      <x:c r="A225" s="17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  <x:c r="O225" s="17"/>
      <x:c r="P225" s="17"/>
      <x:c r="Q225" s="17"/>
      <x:c r="R225" s="17"/>
      <x:c r="S225" s="17"/>
      <x:c r="T225" s="17"/>
      <x:c r="U225" s="17"/>
      <x:c r="V225" s="17"/>
      <x:c r="W225" s="17"/>
      <x:c r="X225" s="17"/>
      <x:c r="Y225" s="17"/>
      <x:c r="Z225" s="17"/>
    </x:row>
    <x:row r="226">
      <x:c r="A226" s="17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  <x:c r="O226" s="17"/>
      <x:c r="P226" s="17"/>
      <x:c r="Q226" s="17"/>
      <x:c r="R226" s="17"/>
      <x:c r="S226" s="17"/>
      <x:c r="T226" s="17"/>
      <x:c r="U226" s="17"/>
      <x:c r="V226" s="17"/>
      <x:c r="W226" s="17"/>
      <x:c r="X226" s="17"/>
      <x:c r="Y226" s="17"/>
      <x:c r="Z226" s="17"/>
    </x:row>
    <x:row r="227">
      <x:c r="A227" s="17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  <x:c r="O227" s="17"/>
      <x:c r="P227" s="17"/>
      <x:c r="Q227" s="17"/>
      <x:c r="R227" s="17"/>
      <x:c r="S227" s="17"/>
      <x:c r="T227" s="17"/>
      <x:c r="U227" s="17"/>
      <x:c r="V227" s="17"/>
      <x:c r="W227" s="17"/>
      <x:c r="X227" s="17"/>
      <x:c r="Y227" s="17"/>
      <x:c r="Z227" s="17"/>
    </x:row>
    <x:row r="228">
      <x:c r="A228" s="17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  <x:c r="O228" s="17"/>
      <x:c r="P228" s="17"/>
      <x:c r="Q228" s="17"/>
      <x:c r="R228" s="17"/>
      <x:c r="S228" s="17"/>
      <x:c r="T228" s="17"/>
      <x:c r="U228" s="17"/>
      <x:c r="V228" s="17"/>
      <x:c r="W228" s="17"/>
      <x:c r="X228" s="17"/>
      <x:c r="Y228" s="17"/>
      <x:c r="Z228" s="17"/>
    </x:row>
    <x:row r="229">
      <x:c r="A229" s="17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  <x:c r="O229" s="17"/>
      <x:c r="P229" s="17"/>
      <x:c r="Q229" s="17"/>
      <x:c r="R229" s="17"/>
      <x:c r="S229" s="17"/>
      <x:c r="T229" s="17"/>
      <x:c r="U229" s="17"/>
      <x:c r="V229" s="17"/>
      <x:c r="W229" s="17"/>
      <x:c r="X229" s="17"/>
      <x:c r="Y229" s="17"/>
      <x:c r="Z229" s="17"/>
    </x:row>
    <x:row r="230">
      <x:c r="A230" s="17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  <x:c r="O230" s="17"/>
      <x:c r="P230" s="17"/>
      <x:c r="Q230" s="17"/>
      <x:c r="R230" s="17"/>
      <x:c r="S230" s="17"/>
      <x:c r="T230" s="17"/>
      <x:c r="U230" s="17"/>
      <x:c r="V230" s="17"/>
      <x:c r="W230" s="17"/>
      <x:c r="X230" s="17"/>
      <x:c r="Y230" s="17"/>
      <x:c r="Z230" s="17"/>
    </x:row>
    <x:row r="231">
      <x:c r="A231" s="17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  <x:c r="O231" s="17"/>
      <x:c r="P231" s="17"/>
      <x:c r="Q231" s="17"/>
      <x:c r="R231" s="17"/>
      <x:c r="S231" s="17"/>
      <x:c r="T231" s="17"/>
      <x:c r="U231" s="17"/>
      <x:c r="V231" s="17"/>
      <x:c r="W231" s="17"/>
      <x:c r="X231" s="17"/>
      <x:c r="Y231" s="17"/>
      <x:c r="Z231" s="17"/>
    </x:row>
    <x:row r="232">
      <x:c r="A232" s="17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  <x:c r="O232" s="17"/>
      <x:c r="P232" s="17"/>
      <x:c r="Q232" s="17"/>
      <x:c r="R232" s="17"/>
      <x:c r="S232" s="17"/>
      <x:c r="T232" s="17"/>
      <x:c r="U232" s="17"/>
      <x:c r="V232" s="17"/>
      <x:c r="W232" s="17"/>
      <x:c r="X232" s="17"/>
      <x:c r="Y232" s="17"/>
      <x:c r="Z232" s="17"/>
    </x:row>
    <x:row r="233">
      <x:c r="A233" s="17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  <x:c r="O233" s="17"/>
      <x:c r="P233" s="17"/>
      <x:c r="Q233" s="17"/>
      <x:c r="R233" s="17"/>
      <x:c r="S233" s="17"/>
      <x:c r="T233" s="17"/>
      <x:c r="U233" s="17"/>
      <x:c r="V233" s="17"/>
      <x:c r="W233" s="17"/>
      <x:c r="X233" s="17"/>
      <x:c r="Y233" s="17"/>
      <x:c r="Z233" s="17"/>
    </x:row>
    <x:row r="234">
      <x:c r="A234" s="17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  <x:c r="O234" s="17"/>
      <x:c r="P234" s="17"/>
      <x:c r="Q234" s="17"/>
      <x:c r="R234" s="17"/>
      <x:c r="S234" s="17"/>
      <x:c r="T234" s="17"/>
      <x:c r="U234" s="17"/>
      <x:c r="V234" s="17"/>
      <x:c r="W234" s="17"/>
      <x:c r="X234" s="17"/>
      <x:c r="Y234" s="17"/>
      <x:c r="Z234" s="17"/>
    </x:row>
    <x:row r="235">
      <x:c r="A235" s="17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  <x:c r="O235" s="17"/>
      <x:c r="P235" s="17"/>
      <x:c r="Q235" s="17"/>
      <x:c r="R235" s="17"/>
      <x:c r="S235" s="17"/>
      <x:c r="T235" s="17"/>
      <x:c r="U235" s="17"/>
      <x:c r="V235" s="17"/>
      <x:c r="W235" s="17"/>
      <x:c r="X235" s="17"/>
      <x:c r="Y235" s="17"/>
      <x:c r="Z235" s="17"/>
    </x:row>
    <x:row r="236">
      <x:c r="A236" s="17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  <x:c r="O236" s="17"/>
      <x:c r="P236" s="17"/>
      <x:c r="Q236" s="17"/>
      <x:c r="R236" s="17"/>
      <x:c r="S236" s="17"/>
      <x:c r="T236" s="17"/>
      <x:c r="U236" s="17"/>
      <x:c r="V236" s="17"/>
      <x:c r="W236" s="17"/>
      <x:c r="X236" s="17"/>
      <x:c r="Y236" s="17"/>
      <x:c r="Z236" s="17"/>
    </x:row>
    <x:row r="237">
      <x:c r="A237" s="17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  <x:c r="O237" s="17"/>
      <x:c r="P237" s="17"/>
      <x:c r="Q237" s="17"/>
      <x:c r="R237" s="17"/>
      <x:c r="S237" s="17"/>
      <x:c r="T237" s="17"/>
      <x:c r="U237" s="17"/>
      <x:c r="V237" s="17"/>
      <x:c r="W237" s="17"/>
      <x:c r="X237" s="17"/>
      <x:c r="Y237" s="17"/>
      <x:c r="Z237" s="17"/>
    </x:row>
    <x:row r="238">
      <x:c r="A238" s="17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  <x:c r="O238" s="17"/>
      <x:c r="P238" s="17"/>
      <x:c r="Q238" s="17"/>
      <x:c r="R238" s="17"/>
      <x:c r="S238" s="17"/>
      <x:c r="T238" s="17"/>
      <x:c r="U238" s="17"/>
      <x:c r="V238" s="17"/>
      <x:c r="W238" s="17"/>
      <x:c r="X238" s="17"/>
      <x:c r="Y238" s="17"/>
      <x:c r="Z238" s="17"/>
    </x:row>
    <x:row r="239">
      <x:c r="A239" s="17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  <x:c r="O239" s="17"/>
      <x:c r="P239" s="17"/>
      <x:c r="Q239" s="17"/>
      <x:c r="R239" s="17"/>
      <x:c r="S239" s="17"/>
      <x:c r="T239" s="17"/>
      <x:c r="U239" s="17"/>
      <x:c r="V239" s="17"/>
      <x:c r="W239" s="17"/>
      <x:c r="X239" s="17"/>
      <x:c r="Y239" s="17"/>
      <x:c r="Z239" s="17"/>
    </x:row>
    <x:row r="240">
      <x:c r="A240" s="17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  <x:c r="O240" s="17"/>
      <x:c r="P240" s="17"/>
      <x:c r="Q240" s="17"/>
      <x:c r="R240" s="17"/>
      <x:c r="S240" s="17"/>
      <x:c r="T240" s="17"/>
      <x:c r="U240" s="17"/>
      <x:c r="V240" s="17"/>
      <x:c r="W240" s="17"/>
      <x:c r="X240" s="17"/>
      <x:c r="Y240" s="17"/>
      <x:c r="Z240" s="17"/>
    </x:row>
    <x:row r="241">
      <x:c r="A241" s="17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  <x:c r="O241" s="17"/>
      <x:c r="P241" s="17"/>
      <x:c r="Q241" s="17"/>
      <x:c r="R241" s="17"/>
      <x:c r="S241" s="17"/>
      <x:c r="T241" s="17"/>
      <x:c r="U241" s="17"/>
      <x:c r="V241" s="17"/>
      <x:c r="W241" s="17"/>
      <x:c r="X241" s="17"/>
      <x:c r="Y241" s="17"/>
      <x:c r="Z241" s="17"/>
    </x:row>
    <x:row r="242">
      <x:c r="A242" s="17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  <x:c r="O242" s="17"/>
      <x:c r="P242" s="17"/>
      <x:c r="Q242" s="17"/>
      <x:c r="R242" s="17"/>
      <x:c r="S242" s="17"/>
      <x:c r="T242" s="17"/>
      <x:c r="U242" s="17"/>
      <x:c r="V242" s="17"/>
      <x:c r="W242" s="17"/>
      <x:c r="X242" s="17"/>
      <x:c r="Y242" s="17"/>
      <x:c r="Z242" s="17"/>
    </x:row>
    <x:row r="243">
      <x:c r="A243" s="17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  <x:c r="O243" s="17"/>
      <x:c r="P243" s="17"/>
      <x:c r="Q243" s="17"/>
      <x:c r="R243" s="17"/>
      <x:c r="S243" s="17"/>
      <x:c r="T243" s="17"/>
      <x:c r="U243" s="17"/>
      <x:c r="V243" s="17"/>
      <x:c r="W243" s="17"/>
      <x:c r="X243" s="17"/>
      <x:c r="Y243" s="17"/>
      <x:c r="Z243" s="17"/>
    </x:row>
    <x:row r="244">
      <x:c r="A244" s="17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  <x:c r="O244" s="17"/>
      <x:c r="P244" s="17"/>
      <x:c r="Q244" s="17"/>
      <x:c r="R244" s="17"/>
      <x:c r="S244" s="17"/>
      <x:c r="T244" s="17"/>
      <x:c r="U244" s="17"/>
      <x:c r="V244" s="17"/>
      <x:c r="W244" s="17"/>
      <x:c r="X244" s="17"/>
      <x:c r="Y244" s="17"/>
      <x:c r="Z244" s="17"/>
    </x:row>
    <x:row r="245">
      <x:c r="A245" s="17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  <x:c r="O245" s="17"/>
      <x:c r="P245" s="17"/>
      <x:c r="Q245" s="17"/>
      <x:c r="R245" s="17"/>
      <x:c r="S245" s="17"/>
      <x:c r="T245" s="17"/>
      <x:c r="U245" s="17"/>
      <x:c r="V245" s="17"/>
      <x:c r="W245" s="17"/>
      <x:c r="X245" s="17"/>
      <x:c r="Y245" s="17"/>
      <x:c r="Z245" s="17"/>
    </x:row>
    <x:row r="246">
      <x:c r="A246" s="17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  <x:c r="O246" s="17"/>
      <x:c r="P246" s="17"/>
      <x:c r="Q246" s="17"/>
      <x:c r="R246" s="17"/>
      <x:c r="S246" s="17"/>
      <x:c r="T246" s="17"/>
      <x:c r="U246" s="17"/>
      <x:c r="V246" s="17"/>
      <x:c r="W246" s="17"/>
      <x:c r="X246" s="17"/>
      <x:c r="Y246" s="17"/>
      <x:c r="Z246" s="17"/>
    </x:row>
    <x:row r="247">
      <x:c r="A247" s="17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  <x:c r="O247" s="17"/>
      <x:c r="P247" s="17"/>
      <x:c r="Q247" s="17"/>
      <x:c r="R247" s="17"/>
      <x:c r="S247" s="17"/>
      <x:c r="T247" s="17"/>
      <x:c r="U247" s="17"/>
      <x:c r="V247" s="17"/>
      <x:c r="W247" s="17"/>
      <x:c r="X247" s="17"/>
      <x:c r="Y247" s="17"/>
      <x:c r="Z247" s="17"/>
    </x:row>
    <x:row r="248">
      <x:c r="A248" s="17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  <x:c r="O248" s="17"/>
      <x:c r="P248" s="17"/>
      <x:c r="Q248" s="17"/>
      <x:c r="R248" s="17"/>
      <x:c r="S248" s="17"/>
      <x:c r="T248" s="17"/>
      <x:c r="U248" s="17"/>
      <x:c r="V248" s="17"/>
      <x:c r="W248" s="17"/>
      <x:c r="X248" s="17"/>
      <x:c r="Y248" s="17"/>
      <x:c r="Z248" s="17"/>
    </x:row>
    <x:row r="249">
      <x:c r="A249" s="17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  <x:c r="O249" s="17"/>
      <x:c r="P249" s="17"/>
      <x:c r="Q249" s="17"/>
      <x:c r="R249" s="17"/>
      <x:c r="S249" s="17"/>
      <x:c r="T249" s="17"/>
      <x:c r="U249" s="17"/>
      <x:c r="V249" s="17"/>
      <x:c r="W249" s="17"/>
      <x:c r="X249" s="17"/>
      <x:c r="Y249" s="17"/>
      <x:c r="Z249" s="17"/>
    </x:row>
    <x:row r="250">
      <x:c r="A250" s="17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  <x:c r="O250" s="17"/>
      <x:c r="P250" s="17"/>
      <x:c r="Q250" s="17"/>
      <x:c r="R250" s="17"/>
      <x:c r="S250" s="17"/>
      <x:c r="T250" s="17"/>
      <x:c r="U250" s="17"/>
      <x:c r="V250" s="17"/>
      <x:c r="W250" s="17"/>
      <x:c r="X250" s="17"/>
      <x:c r="Y250" s="17"/>
      <x:c r="Z250" s="17"/>
    </x:row>
    <x:row r="251">
      <x:c r="A251" s="17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  <x:c r="O251" s="17"/>
      <x:c r="P251" s="17"/>
      <x:c r="Q251" s="17"/>
      <x:c r="R251" s="17"/>
      <x:c r="S251" s="17"/>
      <x:c r="T251" s="17"/>
      <x:c r="U251" s="17"/>
      <x:c r="V251" s="17"/>
      <x:c r="W251" s="17"/>
      <x:c r="X251" s="17"/>
      <x:c r="Y251" s="17"/>
      <x:c r="Z251" s="17"/>
    </x:row>
    <x:row r="252">
      <x:c r="A252" s="17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  <x:c r="O252" s="17"/>
      <x:c r="P252" s="17"/>
      <x:c r="Q252" s="17"/>
      <x:c r="R252" s="17"/>
      <x:c r="S252" s="17"/>
      <x:c r="T252" s="17"/>
      <x:c r="U252" s="17"/>
      <x:c r="V252" s="17"/>
      <x:c r="W252" s="17"/>
      <x:c r="X252" s="17"/>
      <x:c r="Y252" s="17"/>
      <x:c r="Z252" s="17"/>
    </x:row>
    <x:row r="253">
      <x:c r="A253" s="17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  <x:c r="O253" s="17"/>
      <x:c r="P253" s="17"/>
      <x:c r="Q253" s="17"/>
      <x:c r="R253" s="17"/>
      <x:c r="S253" s="17"/>
      <x:c r="T253" s="17"/>
      <x:c r="U253" s="17"/>
      <x:c r="V253" s="17"/>
      <x:c r="W253" s="17"/>
      <x:c r="X253" s="17"/>
      <x:c r="Y253" s="17"/>
      <x:c r="Z253" s="17"/>
    </x:row>
    <x:row r="254">
      <x:c r="A254" s="17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  <x:c r="O254" s="17"/>
      <x:c r="P254" s="17"/>
      <x:c r="Q254" s="17"/>
      <x:c r="R254" s="17"/>
      <x:c r="S254" s="17"/>
      <x:c r="T254" s="17"/>
      <x:c r="U254" s="17"/>
      <x:c r="V254" s="17"/>
      <x:c r="W254" s="17"/>
      <x:c r="X254" s="17"/>
      <x:c r="Y254" s="17"/>
      <x:c r="Z254" s="17"/>
    </x:row>
    <x:row r="255">
      <x:c r="A255" s="17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  <x:c r="O255" s="17"/>
      <x:c r="P255" s="17"/>
      <x:c r="Q255" s="17"/>
      <x:c r="R255" s="17"/>
      <x:c r="S255" s="17"/>
      <x:c r="T255" s="17"/>
      <x:c r="U255" s="17"/>
      <x:c r="V255" s="17"/>
      <x:c r="W255" s="17"/>
      <x:c r="X255" s="17"/>
      <x:c r="Y255" s="17"/>
      <x:c r="Z255" s="17"/>
    </x:row>
    <x:row r="256">
      <x:c r="A256" s="17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  <x:c r="O256" s="17"/>
      <x:c r="P256" s="17"/>
      <x:c r="Q256" s="17"/>
      <x:c r="R256" s="17"/>
      <x:c r="S256" s="17"/>
      <x:c r="T256" s="17"/>
      <x:c r="U256" s="17"/>
      <x:c r="V256" s="17"/>
      <x:c r="W256" s="17"/>
      <x:c r="X256" s="17"/>
      <x:c r="Y256" s="17"/>
      <x:c r="Z256" s="17"/>
    </x:row>
    <x:row r="257">
      <x:c r="A257" s="17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  <x:c r="O257" s="17"/>
      <x:c r="P257" s="17"/>
      <x:c r="Q257" s="17"/>
      <x:c r="R257" s="17"/>
      <x:c r="S257" s="17"/>
      <x:c r="T257" s="17"/>
      <x:c r="U257" s="17"/>
      <x:c r="V257" s="17"/>
      <x:c r="W257" s="17"/>
      <x:c r="X257" s="17"/>
      <x:c r="Y257" s="17"/>
      <x:c r="Z257" s="17"/>
    </x:row>
    <x:row r="258">
      <x:c r="A258" s="17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  <x:c r="O258" s="17"/>
      <x:c r="P258" s="17"/>
      <x:c r="Q258" s="17"/>
      <x:c r="R258" s="17"/>
      <x:c r="S258" s="17"/>
      <x:c r="T258" s="17"/>
      <x:c r="U258" s="17"/>
      <x:c r="V258" s="17"/>
      <x:c r="W258" s="17"/>
      <x:c r="X258" s="17"/>
      <x:c r="Y258" s="17"/>
      <x:c r="Z258" s="17"/>
    </x:row>
    <x:row r="259">
      <x:c r="A259" s="17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  <x:c r="O259" s="17"/>
      <x:c r="P259" s="17"/>
      <x:c r="Q259" s="17"/>
      <x:c r="R259" s="17"/>
      <x:c r="S259" s="17"/>
      <x:c r="T259" s="17"/>
      <x:c r="U259" s="17"/>
      <x:c r="V259" s="17"/>
      <x:c r="W259" s="17"/>
      <x:c r="X259" s="17"/>
      <x:c r="Y259" s="17"/>
      <x:c r="Z259" s="17"/>
    </x:row>
    <x:row r="260">
      <x:c r="A260" s="17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  <x:c r="O260" s="17"/>
      <x:c r="P260" s="17"/>
      <x:c r="Q260" s="17"/>
      <x:c r="R260" s="17"/>
      <x:c r="S260" s="17"/>
      <x:c r="T260" s="17"/>
      <x:c r="U260" s="17"/>
      <x:c r="V260" s="17"/>
      <x:c r="W260" s="17"/>
      <x:c r="X260" s="17"/>
      <x:c r="Y260" s="17"/>
      <x:c r="Z260" s="17"/>
    </x:row>
    <x:row r="261">
      <x:c r="A261" s="17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  <x:c r="O261" s="17"/>
      <x:c r="P261" s="17"/>
      <x:c r="Q261" s="17"/>
      <x:c r="R261" s="17"/>
      <x:c r="S261" s="17"/>
      <x:c r="T261" s="17"/>
      <x:c r="U261" s="17"/>
      <x:c r="V261" s="17"/>
      <x:c r="W261" s="17"/>
      <x:c r="X261" s="17"/>
      <x:c r="Y261" s="17"/>
      <x:c r="Z261" s="17"/>
    </x:row>
    <x:row r="262">
      <x:c r="A262" s="17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  <x:c r="O262" s="17"/>
      <x:c r="P262" s="17"/>
      <x:c r="Q262" s="17"/>
      <x:c r="R262" s="17"/>
      <x:c r="S262" s="17"/>
      <x:c r="T262" s="17"/>
      <x:c r="U262" s="17"/>
      <x:c r="V262" s="17"/>
      <x:c r="W262" s="17"/>
      <x:c r="X262" s="17"/>
      <x:c r="Y262" s="17"/>
      <x:c r="Z262" s="17"/>
    </x:row>
    <x:row r="263">
      <x:c r="A263" s="17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  <x:c r="O263" s="17"/>
      <x:c r="P263" s="17"/>
      <x:c r="Q263" s="17"/>
      <x:c r="R263" s="17"/>
      <x:c r="S263" s="17"/>
      <x:c r="T263" s="17"/>
      <x:c r="U263" s="17"/>
      <x:c r="V263" s="17"/>
      <x:c r="W263" s="17"/>
      <x:c r="X263" s="17"/>
      <x:c r="Y263" s="17"/>
      <x:c r="Z263" s="17"/>
    </x:row>
    <x:row r="264">
      <x:c r="A264" s="17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  <x:c r="O264" s="17"/>
      <x:c r="P264" s="17"/>
      <x:c r="Q264" s="17"/>
      <x:c r="R264" s="17"/>
      <x:c r="S264" s="17"/>
      <x:c r="T264" s="17"/>
      <x:c r="U264" s="17"/>
      <x:c r="V264" s="17"/>
      <x:c r="W264" s="17"/>
      <x:c r="X264" s="17"/>
      <x:c r="Y264" s="17"/>
      <x:c r="Z264" s="17"/>
    </x:row>
    <x:row r="265">
      <x:c r="A265" s="17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  <x:c r="O265" s="17"/>
      <x:c r="P265" s="17"/>
      <x:c r="Q265" s="17"/>
      <x:c r="R265" s="17"/>
      <x:c r="S265" s="17"/>
      <x:c r="T265" s="17"/>
      <x:c r="U265" s="17"/>
      <x:c r="V265" s="17"/>
      <x:c r="W265" s="17"/>
      <x:c r="X265" s="17"/>
      <x:c r="Y265" s="17"/>
      <x:c r="Z265" s="17"/>
    </x:row>
    <x:row r="266">
      <x:c r="A266" s="17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  <x:c r="O266" s="17"/>
      <x:c r="P266" s="17"/>
      <x:c r="Q266" s="17"/>
      <x:c r="R266" s="17"/>
      <x:c r="S266" s="17"/>
      <x:c r="T266" s="17"/>
      <x:c r="U266" s="17"/>
      <x:c r="V266" s="17"/>
      <x:c r="W266" s="17"/>
      <x:c r="X266" s="17"/>
      <x:c r="Y266" s="17"/>
      <x:c r="Z266" s="17"/>
    </x:row>
    <x:row r="267">
      <x:c r="A267" s="17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  <x:c r="O267" s="17"/>
      <x:c r="P267" s="17"/>
      <x:c r="Q267" s="17"/>
      <x:c r="R267" s="17"/>
      <x:c r="S267" s="17"/>
      <x:c r="T267" s="17"/>
      <x:c r="U267" s="17"/>
      <x:c r="V267" s="17"/>
      <x:c r="W267" s="17"/>
      <x:c r="X267" s="17"/>
      <x:c r="Y267" s="17"/>
      <x:c r="Z267" s="17"/>
    </x:row>
    <x:row r="268">
      <x:c r="A268" s="17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  <x:c r="O268" s="17"/>
      <x:c r="P268" s="17"/>
      <x:c r="Q268" s="17"/>
      <x:c r="R268" s="17"/>
      <x:c r="S268" s="17"/>
      <x:c r="T268" s="17"/>
      <x:c r="U268" s="17"/>
      <x:c r="V268" s="17"/>
      <x:c r="W268" s="17"/>
      <x:c r="X268" s="17"/>
      <x:c r="Y268" s="17"/>
      <x:c r="Z268" s="17"/>
    </x:row>
    <x:row r="269">
      <x:c r="A269" s="17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  <x:c r="O269" s="17"/>
      <x:c r="P269" s="17"/>
      <x:c r="Q269" s="17"/>
      <x:c r="R269" s="17"/>
      <x:c r="S269" s="17"/>
      <x:c r="T269" s="17"/>
      <x:c r="U269" s="17"/>
      <x:c r="V269" s="17"/>
      <x:c r="W269" s="17"/>
      <x:c r="X269" s="17"/>
      <x:c r="Y269" s="17"/>
      <x:c r="Z269" s="17"/>
    </x:row>
    <x:row r="270">
      <x:c r="A270" s="17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  <x:c r="O270" s="17"/>
      <x:c r="P270" s="17"/>
      <x:c r="Q270" s="17"/>
      <x:c r="R270" s="17"/>
      <x:c r="S270" s="17"/>
      <x:c r="T270" s="17"/>
      <x:c r="U270" s="17"/>
      <x:c r="V270" s="17"/>
      <x:c r="W270" s="17"/>
      <x:c r="X270" s="17"/>
      <x:c r="Y270" s="17"/>
      <x:c r="Z270" s="17"/>
    </x:row>
    <x:row r="271">
      <x:c r="A271" s="17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  <x:c r="O271" s="17"/>
      <x:c r="P271" s="17"/>
      <x:c r="Q271" s="17"/>
      <x:c r="R271" s="17"/>
      <x:c r="S271" s="17"/>
      <x:c r="T271" s="17"/>
      <x:c r="U271" s="17"/>
      <x:c r="V271" s="17"/>
      <x:c r="W271" s="17"/>
      <x:c r="X271" s="17"/>
      <x:c r="Y271" s="17"/>
      <x:c r="Z271" s="17"/>
    </x:row>
    <x:row r="272">
      <x:c r="A272" s="17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  <x:c r="O272" s="17"/>
      <x:c r="P272" s="17"/>
      <x:c r="Q272" s="17"/>
      <x:c r="R272" s="17"/>
      <x:c r="S272" s="17"/>
      <x:c r="T272" s="17"/>
      <x:c r="U272" s="17"/>
      <x:c r="V272" s="17"/>
      <x:c r="W272" s="17"/>
      <x:c r="X272" s="17"/>
      <x:c r="Y272" s="17"/>
      <x:c r="Z272" s="17"/>
    </x:row>
    <x:row r="273">
      <x:c r="A273" s="17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  <x:c r="O273" s="17"/>
      <x:c r="P273" s="17"/>
      <x:c r="Q273" s="17"/>
      <x:c r="R273" s="17"/>
      <x:c r="S273" s="17"/>
      <x:c r="T273" s="17"/>
      <x:c r="U273" s="17"/>
      <x:c r="V273" s="17"/>
      <x:c r="W273" s="17"/>
      <x:c r="X273" s="17"/>
      <x:c r="Y273" s="17"/>
      <x:c r="Z273" s="17"/>
    </x:row>
    <x:row r="274">
      <x:c r="A274" s="17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  <x:c r="O274" s="17"/>
      <x:c r="P274" s="17"/>
      <x:c r="Q274" s="17"/>
      <x:c r="R274" s="17"/>
      <x:c r="S274" s="17"/>
      <x:c r="T274" s="17"/>
      <x:c r="U274" s="17"/>
      <x:c r="V274" s="17"/>
      <x:c r="W274" s="17"/>
      <x:c r="X274" s="17"/>
      <x:c r="Y274" s="17"/>
      <x:c r="Z274" s="17"/>
    </x:row>
    <x:row r="275">
      <x:c r="A275" s="17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  <x:c r="O275" s="17"/>
      <x:c r="P275" s="17"/>
      <x:c r="Q275" s="17"/>
      <x:c r="R275" s="17"/>
      <x:c r="S275" s="17"/>
      <x:c r="T275" s="17"/>
      <x:c r="U275" s="17"/>
      <x:c r="V275" s="17"/>
      <x:c r="W275" s="17"/>
      <x:c r="X275" s="17"/>
      <x:c r="Y275" s="17"/>
      <x:c r="Z275" s="17"/>
    </x:row>
    <x:row r="276">
      <x:c r="A276" s="17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  <x:c r="O276" s="17"/>
      <x:c r="P276" s="17"/>
      <x:c r="Q276" s="17"/>
      <x:c r="R276" s="17"/>
      <x:c r="S276" s="17"/>
      <x:c r="T276" s="17"/>
      <x:c r="U276" s="17"/>
      <x:c r="V276" s="17"/>
      <x:c r="W276" s="17"/>
      <x:c r="X276" s="17"/>
      <x:c r="Y276" s="17"/>
      <x:c r="Z276" s="17"/>
    </x:row>
    <x:row r="277">
      <x:c r="A277" s="17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  <x:c r="O277" s="17"/>
      <x:c r="P277" s="17"/>
      <x:c r="Q277" s="17"/>
      <x:c r="R277" s="17"/>
      <x:c r="S277" s="17"/>
      <x:c r="T277" s="17"/>
      <x:c r="U277" s="17"/>
      <x:c r="V277" s="17"/>
      <x:c r="W277" s="17"/>
      <x:c r="X277" s="17"/>
      <x:c r="Y277" s="17"/>
      <x:c r="Z277" s="17"/>
    </x:row>
    <x:row r="278">
      <x:c r="A278" s="17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  <x:c r="O278" s="17"/>
      <x:c r="P278" s="17"/>
      <x:c r="Q278" s="17"/>
      <x:c r="R278" s="17"/>
      <x:c r="S278" s="17"/>
      <x:c r="T278" s="17"/>
      <x:c r="U278" s="17"/>
      <x:c r="V278" s="17"/>
      <x:c r="W278" s="17"/>
      <x:c r="X278" s="17"/>
      <x:c r="Y278" s="17"/>
      <x:c r="Z278" s="17"/>
    </x:row>
    <x:row r="279">
      <x:c r="A279" s="17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  <x:c r="O279" s="17"/>
      <x:c r="P279" s="17"/>
      <x:c r="Q279" s="17"/>
      <x:c r="R279" s="17"/>
      <x:c r="S279" s="17"/>
      <x:c r="T279" s="17"/>
      <x:c r="U279" s="17"/>
      <x:c r="V279" s="17"/>
      <x:c r="W279" s="17"/>
      <x:c r="X279" s="17"/>
      <x:c r="Y279" s="17"/>
      <x:c r="Z279" s="17"/>
    </x:row>
    <x:row r="280">
      <x:c r="A280" s="17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  <x:c r="O280" s="17"/>
      <x:c r="P280" s="17"/>
      <x:c r="Q280" s="17"/>
      <x:c r="R280" s="17"/>
      <x:c r="S280" s="17"/>
      <x:c r="T280" s="17"/>
      <x:c r="U280" s="17"/>
      <x:c r="V280" s="17"/>
      <x:c r="W280" s="17"/>
      <x:c r="X280" s="17"/>
      <x:c r="Y280" s="17"/>
      <x:c r="Z280" s="17"/>
    </x:row>
    <x:row r="281">
      <x:c r="A281" s="17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  <x:c r="O281" s="17"/>
      <x:c r="P281" s="17"/>
      <x:c r="Q281" s="17"/>
      <x:c r="R281" s="17"/>
      <x:c r="S281" s="17"/>
      <x:c r="T281" s="17"/>
      <x:c r="U281" s="17"/>
      <x:c r="V281" s="17"/>
      <x:c r="W281" s="17"/>
      <x:c r="X281" s="17"/>
      <x:c r="Y281" s="17"/>
      <x:c r="Z281" s="17"/>
    </x:row>
    <x:row r="282">
      <x:c r="A282" s="17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  <x:c r="O282" s="17"/>
      <x:c r="P282" s="17"/>
      <x:c r="Q282" s="17"/>
      <x:c r="R282" s="17"/>
      <x:c r="S282" s="17"/>
      <x:c r="T282" s="17"/>
      <x:c r="U282" s="17"/>
      <x:c r="V282" s="17"/>
      <x:c r="W282" s="17"/>
      <x:c r="X282" s="17"/>
      <x:c r="Y282" s="17"/>
      <x:c r="Z282" s="17"/>
    </x:row>
    <x:row r="283">
      <x:c r="A283" s="17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  <x:c r="O283" s="17"/>
      <x:c r="P283" s="17"/>
      <x:c r="Q283" s="17"/>
      <x:c r="R283" s="17"/>
      <x:c r="S283" s="17"/>
      <x:c r="T283" s="17"/>
      <x:c r="U283" s="17"/>
      <x:c r="V283" s="17"/>
      <x:c r="W283" s="17"/>
      <x:c r="X283" s="17"/>
      <x:c r="Y283" s="17"/>
      <x:c r="Z283" s="17"/>
    </x:row>
    <x:row r="284">
      <x:c r="A284" s="17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  <x:c r="O284" s="17"/>
      <x:c r="P284" s="17"/>
      <x:c r="Q284" s="17"/>
      <x:c r="R284" s="17"/>
      <x:c r="S284" s="17"/>
      <x:c r="T284" s="17"/>
      <x:c r="U284" s="17"/>
      <x:c r="V284" s="17"/>
      <x:c r="W284" s="17"/>
      <x:c r="X284" s="17"/>
      <x:c r="Y284" s="17"/>
      <x:c r="Z284" s="17"/>
    </x:row>
    <x:row r="285">
      <x:c r="A285" s="17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  <x:c r="O285" s="17"/>
      <x:c r="P285" s="17"/>
      <x:c r="Q285" s="17"/>
      <x:c r="R285" s="17"/>
      <x:c r="S285" s="17"/>
      <x:c r="T285" s="17"/>
      <x:c r="U285" s="17"/>
      <x:c r="V285" s="17"/>
      <x:c r="W285" s="17"/>
      <x:c r="X285" s="17"/>
      <x:c r="Y285" s="17"/>
      <x:c r="Z285" s="17"/>
    </x:row>
    <x:row r="286">
      <x:c r="A286" s="17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  <x:c r="O286" s="17"/>
      <x:c r="P286" s="17"/>
      <x:c r="Q286" s="17"/>
      <x:c r="R286" s="17"/>
      <x:c r="S286" s="17"/>
      <x:c r="T286" s="17"/>
      <x:c r="U286" s="17"/>
      <x:c r="V286" s="17"/>
      <x:c r="W286" s="17"/>
      <x:c r="X286" s="17"/>
      <x:c r="Y286" s="17"/>
      <x:c r="Z286" s="17"/>
    </x:row>
    <x:row r="287">
      <x:c r="A287" s="17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  <x:c r="O287" s="17"/>
      <x:c r="P287" s="17"/>
      <x:c r="Q287" s="17"/>
      <x:c r="R287" s="17"/>
      <x:c r="S287" s="17"/>
      <x:c r="T287" s="17"/>
      <x:c r="U287" s="17"/>
      <x:c r="V287" s="17"/>
      <x:c r="W287" s="17"/>
      <x:c r="X287" s="17"/>
      <x:c r="Y287" s="17"/>
      <x:c r="Z287" s="17"/>
    </x:row>
    <x:row r="288">
      <x:c r="A288" s="17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  <x:c r="O288" s="17"/>
      <x:c r="P288" s="17"/>
      <x:c r="Q288" s="17"/>
      <x:c r="R288" s="17"/>
      <x:c r="S288" s="17"/>
      <x:c r="T288" s="17"/>
      <x:c r="U288" s="17"/>
      <x:c r="V288" s="17"/>
      <x:c r="W288" s="17"/>
      <x:c r="X288" s="17"/>
      <x:c r="Y288" s="17"/>
      <x:c r="Z288" s="17"/>
    </x:row>
    <x:row r="289">
      <x:c r="A289" s="17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  <x:c r="O289" s="17"/>
      <x:c r="P289" s="17"/>
      <x:c r="Q289" s="17"/>
      <x:c r="R289" s="17"/>
      <x:c r="S289" s="17"/>
      <x:c r="T289" s="17"/>
      <x:c r="U289" s="17"/>
      <x:c r="V289" s="17"/>
      <x:c r="W289" s="17"/>
      <x:c r="X289" s="17"/>
      <x:c r="Y289" s="17"/>
      <x:c r="Z289" s="17"/>
    </x:row>
    <x:row r="290">
      <x:c r="A290" s="17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  <x:c r="O290" s="17"/>
      <x:c r="P290" s="17"/>
      <x:c r="Q290" s="17"/>
      <x:c r="R290" s="17"/>
      <x:c r="S290" s="17"/>
      <x:c r="T290" s="17"/>
      <x:c r="U290" s="17"/>
      <x:c r="V290" s="17"/>
      <x:c r="W290" s="17"/>
      <x:c r="X290" s="17"/>
      <x:c r="Y290" s="17"/>
      <x:c r="Z290" s="17"/>
    </x:row>
    <x:row r="291">
      <x:c r="A291" s="17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  <x:c r="O291" s="17"/>
      <x:c r="P291" s="17"/>
      <x:c r="Q291" s="17"/>
      <x:c r="R291" s="17"/>
      <x:c r="S291" s="17"/>
      <x:c r="T291" s="17"/>
      <x:c r="U291" s="17"/>
      <x:c r="V291" s="17"/>
      <x:c r="W291" s="17"/>
      <x:c r="X291" s="17"/>
      <x:c r="Y291" s="17"/>
      <x:c r="Z291" s="17"/>
    </x:row>
    <x:row r="292">
      <x:c r="A292" s="17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  <x:c r="O292" s="17"/>
      <x:c r="P292" s="17"/>
      <x:c r="Q292" s="17"/>
      <x:c r="R292" s="17"/>
      <x:c r="S292" s="17"/>
      <x:c r="T292" s="17"/>
      <x:c r="U292" s="17"/>
      <x:c r="V292" s="17"/>
      <x:c r="W292" s="17"/>
      <x:c r="X292" s="17"/>
      <x:c r="Y292" s="17"/>
      <x:c r="Z292" s="17"/>
    </x:row>
    <x:row r="293">
      <x:c r="A293" s="17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  <x:c r="O293" s="17"/>
      <x:c r="P293" s="17"/>
      <x:c r="Q293" s="17"/>
      <x:c r="R293" s="17"/>
      <x:c r="S293" s="17"/>
      <x:c r="T293" s="17"/>
      <x:c r="U293" s="17"/>
      <x:c r="V293" s="17"/>
      <x:c r="W293" s="17"/>
      <x:c r="X293" s="17"/>
      <x:c r="Y293" s="17"/>
      <x:c r="Z293" s="17"/>
    </x:row>
    <x:row r="294">
      <x:c r="A294" s="17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  <x:c r="O294" s="17"/>
      <x:c r="P294" s="17"/>
      <x:c r="Q294" s="17"/>
      <x:c r="R294" s="17"/>
      <x:c r="S294" s="17"/>
      <x:c r="T294" s="17"/>
      <x:c r="U294" s="17"/>
      <x:c r="V294" s="17"/>
      <x:c r="W294" s="17"/>
      <x:c r="X294" s="17"/>
      <x:c r="Y294" s="17"/>
      <x:c r="Z294" s="17"/>
    </x:row>
    <x:row r="295">
      <x:c r="A295" s="17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  <x:c r="O295" s="17"/>
      <x:c r="P295" s="17"/>
      <x:c r="Q295" s="17"/>
      <x:c r="R295" s="17"/>
      <x:c r="S295" s="17"/>
      <x:c r="T295" s="17"/>
      <x:c r="U295" s="17"/>
      <x:c r="V295" s="17"/>
      <x:c r="W295" s="17"/>
      <x:c r="X295" s="17"/>
      <x:c r="Y295" s="17"/>
      <x:c r="Z295" s="17"/>
    </x:row>
    <x:row r="296">
      <x:c r="A296" s="17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  <x:c r="O296" s="17"/>
      <x:c r="P296" s="17"/>
      <x:c r="Q296" s="17"/>
      <x:c r="R296" s="17"/>
      <x:c r="S296" s="17"/>
      <x:c r="T296" s="17"/>
      <x:c r="U296" s="17"/>
      <x:c r="V296" s="17"/>
      <x:c r="W296" s="17"/>
      <x:c r="X296" s="17"/>
      <x:c r="Y296" s="17"/>
      <x:c r="Z296" s="17"/>
    </x:row>
    <x:row r="297">
      <x:c r="A297" s="17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  <x:c r="O297" s="17"/>
      <x:c r="P297" s="17"/>
      <x:c r="Q297" s="17"/>
      <x:c r="R297" s="17"/>
      <x:c r="S297" s="17"/>
      <x:c r="T297" s="17"/>
      <x:c r="U297" s="17"/>
      <x:c r="V297" s="17"/>
      <x:c r="W297" s="17"/>
      <x:c r="X297" s="17"/>
      <x:c r="Y297" s="17"/>
      <x:c r="Z297" s="17"/>
    </x:row>
    <x:row r="298">
      <x:c r="A298" s="17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  <x:c r="O298" s="17"/>
      <x:c r="P298" s="17"/>
      <x:c r="Q298" s="17"/>
      <x:c r="R298" s="17"/>
      <x:c r="S298" s="17"/>
      <x:c r="T298" s="17"/>
      <x:c r="U298" s="17"/>
      <x:c r="V298" s="17"/>
      <x:c r="W298" s="17"/>
      <x:c r="X298" s="17"/>
      <x:c r="Y298" s="17"/>
      <x:c r="Z298" s="17"/>
    </x:row>
    <x:row r="299">
      <x:c r="A299" s="17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  <x:c r="O299" s="17"/>
      <x:c r="P299" s="17"/>
      <x:c r="Q299" s="17"/>
      <x:c r="R299" s="17"/>
      <x:c r="S299" s="17"/>
      <x:c r="T299" s="17"/>
      <x:c r="U299" s="17"/>
      <x:c r="V299" s="17"/>
      <x:c r="W299" s="17"/>
      <x:c r="X299" s="17"/>
      <x:c r="Y299" s="17"/>
      <x:c r="Z299" s="17"/>
    </x:row>
    <x:row r="300">
      <x:c r="A300" s="17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  <x:c r="O300" s="17"/>
      <x:c r="P300" s="17"/>
      <x:c r="Q300" s="17"/>
      <x:c r="R300" s="17"/>
      <x:c r="S300" s="17"/>
      <x:c r="T300" s="17"/>
      <x:c r="U300" s="17"/>
      <x:c r="V300" s="17"/>
      <x:c r="W300" s="17"/>
      <x:c r="X300" s="17"/>
      <x:c r="Y300" s="17"/>
      <x:c r="Z300" s="17"/>
    </x:row>
    <x:row r="301">
      <x:c r="A301" s="17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  <x:c r="O301" s="17"/>
      <x:c r="P301" s="17"/>
      <x:c r="Q301" s="17"/>
      <x:c r="R301" s="17"/>
      <x:c r="S301" s="17"/>
      <x:c r="T301" s="17"/>
      <x:c r="U301" s="17"/>
      <x:c r="V301" s="17"/>
      <x:c r="W301" s="17"/>
      <x:c r="X301" s="17"/>
      <x:c r="Y301" s="17"/>
      <x:c r="Z301" s="17"/>
    </x:row>
    <x:row r="302">
      <x:c r="A302" s="17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  <x:c r="O302" s="17"/>
      <x:c r="P302" s="17"/>
      <x:c r="Q302" s="17"/>
      <x:c r="R302" s="17"/>
      <x:c r="S302" s="17"/>
      <x:c r="T302" s="17"/>
      <x:c r="U302" s="17"/>
      <x:c r="V302" s="17"/>
      <x:c r="W302" s="17"/>
      <x:c r="X302" s="17"/>
      <x:c r="Y302" s="17"/>
      <x:c r="Z302" s="17"/>
    </x:row>
    <x:row r="303">
      <x:c r="A303" s="17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  <x:c r="O303" s="17"/>
      <x:c r="P303" s="17"/>
      <x:c r="Q303" s="17"/>
      <x:c r="R303" s="17"/>
      <x:c r="S303" s="17"/>
      <x:c r="T303" s="17"/>
      <x:c r="U303" s="17"/>
      <x:c r="V303" s="17"/>
      <x:c r="W303" s="17"/>
      <x:c r="X303" s="17"/>
      <x:c r="Y303" s="17"/>
      <x:c r="Z303" s="17"/>
    </x:row>
    <x:row r="304">
      <x:c r="A304" s="17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  <x:c r="O304" s="17"/>
      <x:c r="P304" s="17"/>
      <x:c r="Q304" s="17"/>
      <x:c r="R304" s="17"/>
      <x:c r="S304" s="17"/>
      <x:c r="T304" s="17"/>
      <x:c r="U304" s="17"/>
      <x:c r="V304" s="17"/>
      <x:c r="W304" s="17"/>
      <x:c r="X304" s="17"/>
      <x:c r="Y304" s="17"/>
      <x:c r="Z304" s="17"/>
    </x:row>
    <x:row r="305">
      <x:c r="A305" s="17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  <x:c r="O305" s="17"/>
      <x:c r="P305" s="17"/>
      <x:c r="Q305" s="17"/>
      <x:c r="R305" s="17"/>
      <x:c r="S305" s="17"/>
      <x:c r="T305" s="17"/>
      <x:c r="U305" s="17"/>
      <x:c r="V305" s="17"/>
      <x:c r="W305" s="17"/>
      <x:c r="X305" s="17"/>
      <x:c r="Y305" s="17"/>
      <x:c r="Z305" s="17"/>
    </x:row>
    <x:row r="306">
      <x:c r="A306" s="17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  <x:c r="O306" s="17"/>
      <x:c r="P306" s="17"/>
      <x:c r="Q306" s="17"/>
      <x:c r="R306" s="17"/>
      <x:c r="S306" s="17"/>
      <x:c r="T306" s="17"/>
      <x:c r="U306" s="17"/>
      <x:c r="V306" s="17"/>
      <x:c r="W306" s="17"/>
      <x:c r="X306" s="17"/>
      <x:c r="Y306" s="17"/>
      <x:c r="Z306" s="17"/>
    </x:row>
    <x:row r="307">
      <x:c r="A307" s="17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  <x:c r="O307" s="17"/>
      <x:c r="P307" s="17"/>
      <x:c r="Q307" s="17"/>
      <x:c r="R307" s="17"/>
      <x:c r="S307" s="17"/>
      <x:c r="T307" s="17"/>
      <x:c r="U307" s="17"/>
      <x:c r="V307" s="17"/>
      <x:c r="W307" s="17"/>
      <x:c r="X307" s="17"/>
      <x:c r="Y307" s="17"/>
      <x:c r="Z307" s="17"/>
    </x:row>
    <x:row r="308">
      <x:c r="A308" s="17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  <x:c r="O308" s="17"/>
      <x:c r="P308" s="17"/>
      <x:c r="Q308" s="17"/>
      <x:c r="R308" s="17"/>
      <x:c r="S308" s="17"/>
      <x:c r="T308" s="17"/>
      <x:c r="U308" s="17"/>
      <x:c r="V308" s="17"/>
      <x:c r="W308" s="17"/>
      <x:c r="X308" s="17"/>
      <x:c r="Y308" s="17"/>
      <x:c r="Z308" s="17"/>
    </x:row>
    <x:row r="309">
      <x:c r="A309" s="17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  <x:c r="O309" s="17"/>
      <x:c r="P309" s="17"/>
      <x:c r="Q309" s="17"/>
      <x:c r="R309" s="17"/>
      <x:c r="S309" s="17"/>
      <x:c r="T309" s="17"/>
      <x:c r="U309" s="17"/>
      <x:c r="V309" s="17"/>
      <x:c r="W309" s="17"/>
      <x:c r="X309" s="17"/>
      <x:c r="Y309" s="17"/>
      <x:c r="Z309" s="17"/>
    </x:row>
    <x:row r="310">
      <x:c r="A310" s="17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  <x:c r="O310" s="17"/>
      <x:c r="P310" s="17"/>
      <x:c r="Q310" s="17"/>
      <x:c r="R310" s="17"/>
      <x:c r="S310" s="17"/>
      <x:c r="T310" s="17"/>
      <x:c r="U310" s="17"/>
      <x:c r="V310" s="17"/>
      <x:c r="W310" s="17"/>
      <x:c r="X310" s="17"/>
      <x:c r="Y310" s="17"/>
      <x:c r="Z310" s="17"/>
    </x:row>
    <x:row r="311">
      <x:c r="A311" s="17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  <x:c r="O311" s="17"/>
      <x:c r="P311" s="17"/>
      <x:c r="Q311" s="17"/>
      <x:c r="R311" s="17"/>
      <x:c r="S311" s="17"/>
      <x:c r="T311" s="17"/>
      <x:c r="U311" s="17"/>
      <x:c r="V311" s="17"/>
      <x:c r="W311" s="17"/>
      <x:c r="X311" s="17"/>
      <x:c r="Y311" s="17"/>
      <x:c r="Z311" s="17"/>
    </x:row>
    <x:row r="312">
      <x:c r="A312" s="17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  <x:c r="O312" s="17"/>
      <x:c r="P312" s="17"/>
      <x:c r="Q312" s="17"/>
      <x:c r="R312" s="17"/>
      <x:c r="S312" s="17"/>
      <x:c r="T312" s="17"/>
      <x:c r="U312" s="17"/>
      <x:c r="V312" s="17"/>
      <x:c r="W312" s="17"/>
      <x:c r="X312" s="17"/>
      <x:c r="Y312" s="17"/>
      <x:c r="Z312" s="17"/>
    </x:row>
    <x:row r="313">
      <x:c r="A313" s="17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  <x:c r="O313" s="17"/>
      <x:c r="P313" s="17"/>
      <x:c r="Q313" s="17"/>
      <x:c r="R313" s="17"/>
      <x:c r="S313" s="17"/>
      <x:c r="T313" s="17"/>
      <x:c r="U313" s="17"/>
      <x:c r="V313" s="17"/>
      <x:c r="W313" s="17"/>
      <x:c r="X313" s="17"/>
      <x:c r="Y313" s="17"/>
      <x:c r="Z313" s="17"/>
    </x:row>
    <x:row r="314">
      <x:c r="A314" s="17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  <x:c r="O314" s="17"/>
      <x:c r="P314" s="17"/>
      <x:c r="Q314" s="17"/>
      <x:c r="R314" s="17"/>
      <x:c r="S314" s="17"/>
      <x:c r="T314" s="17"/>
      <x:c r="U314" s="17"/>
      <x:c r="V314" s="17"/>
      <x:c r="W314" s="17"/>
      <x:c r="X314" s="17"/>
      <x:c r="Y314" s="17"/>
      <x:c r="Z314" s="17"/>
    </x:row>
    <x:row r="315">
      <x:c r="A315" s="17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  <x:c r="O315" s="17"/>
      <x:c r="P315" s="17"/>
      <x:c r="Q315" s="17"/>
      <x:c r="R315" s="17"/>
      <x:c r="S315" s="17"/>
      <x:c r="T315" s="17"/>
      <x:c r="U315" s="17"/>
      <x:c r="V315" s="17"/>
      <x:c r="W315" s="17"/>
      <x:c r="X315" s="17"/>
      <x:c r="Y315" s="17"/>
      <x:c r="Z315" s="17"/>
    </x:row>
    <x:row r="316">
      <x:c r="A316" s="17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  <x:c r="O316" s="17"/>
      <x:c r="P316" s="17"/>
      <x:c r="Q316" s="17"/>
      <x:c r="R316" s="17"/>
      <x:c r="S316" s="17"/>
      <x:c r="T316" s="17"/>
      <x:c r="U316" s="17"/>
      <x:c r="V316" s="17"/>
      <x:c r="W316" s="17"/>
      <x:c r="X316" s="17"/>
      <x:c r="Y316" s="17"/>
      <x:c r="Z316" s="17"/>
    </x:row>
    <x:row r="317">
      <x:c r="A317" s="17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  <x:c r="O317" s="17"/>
      <x:c r="P317" s="17"/>
      <x:c r="Q317" s="17"/>
      <x:c r="R317" s="17"/>
      <x:c r="S317" s="17"/>
      <x:c r="T317" s="17"/>
      <x:c r="U317" s="17"/>
      <x:c r="V317" s="17"/>
      <x:c r="W317" s="17"/>
      <x:c r="X317" s="17"/>
      <x:c r="Y317" s="17"/>
      <x:c r="Z317" s="17"/>
    </x:row>
    <x:row r="318">
      <x:c r="A318" s="17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  <x:c r="O318" s="17"/>
      <x:c r="P318" s="17"/>
      <x:c r="Q318" s="17"/>
      <x:c r="R318" s="17"/>
      <x:c r="S318" s="17"/>
      <x:c r="T318" s="17"/>
      <x:c r="U318" s="17"/>
      <x:c r="V318" s="17"/>
      <x:c r="W318" s="17"/>
      <x:c r="X318" s="17"/>
      <x:c r="Y318" s="17"/>
      <x:c r="Z318" s="17"/>
    </x:row>
    <x:row r="319">
      <x:c r="A319" s="17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  <x:c r="O319" s="17"/>
      <x:c r="P319" s="17"/>
      <x:c r="Q319" s="17"/>
      <x:c r="R319" s="17"/>
      <x:c r="S319" s="17"/>
      <x:c r="T319" s="17"/>
      <x:c r="U319" s="17"/>
      <x:c r="V319" s="17"/>
      <x:c r="W319" s="17"/>
      <x:c r="X319" s="17"/>
      <x:c r="Y319" s="17"/>
      <x:c r="Z319" s="17"/>
    </x:row>
    <x:row r="320">
      <x:c r="A320" s="17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  <x:c r="O320" s="17"/>
      <x:c r="P320" s="17"/>
      <x:c r="Q320" s="17"/>
      <x:c r="R320" s="17"/>
      <x:c r="S320" s="17"/>
      <x:c r="T320" s="17"/>
      <x:c r="U320" s="17"/>
      <x:c r="V320" s="17"/>
      <x:c r="W320" s="17"/>
      <x:c r="X320" s="17"/>
      <x:c r="Y320" s="17"/>
      <x:c r="Z320" s="17"/>
    </x:row>
    <x:row r="321">
      <x:c r="A321" s="17"/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  <x:c r="O321" s="17"/>
      <x:c r="P321" s="17"/>
      <x:c r="Q321" s="17"/>
      <x:c r="R321" s="17"/>
      <x:c r="S321" s="17"/>
      <x:c r="T321" s="17"/>
      <x:c r="U321" s="17"/>
      <x:c r="V321" s="17"/>
      <x:c r="W321" s="17"/>
      <x:c r="X321" s="17"/>
      <x:c r="Y321" s="17"/>
      <x:c r="Z321" s="17"/>
    </x:row>
    <x:row r="322">
      <x:c r="A322" s="17"/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  <x:c r="O322" s="17"/>
      <x:c r="P322" s="17"/>
      <x:c r="Q322" s="17"/>
      <x:c r="R322" s="17"/>
      <x:c r="S322" s="17"/>
      <x:c r="T322" s="17"/>
      <x:c r="U322" s="17"/>
      <x:c r="V322" s="17"/>
      <x:c r="W322" s="17"/>
      <x:c r="X322" s="17"/>
      <x:c r="Y322" s="17"/>
      <x:c r="Z322" s="17"/>
    </x:row>
    <x:row r="323">
      <x:c r="A323" s="17"/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  <x:c r="O323" s="17"/>
      <x:c r="P323" s="17"/>
      <x:c r="Q323" s="17"/>
      <x:c r="R323" s="17"/>
      <x:c r="S323" s="17"/>
      <x:c r="T323" s="17"/>
      <x:c r="U323" s="17"/>
      <x:c r="V323" s="17"/>
      <x:c r="W323" s="17"/>
      <x:c r="X323" s="17"/>
      <x:c r="Y323" s="17"/>
      <x:c r="Z323" s="17"/>
    </x:row>
    <x:row r="324">
      <x:c r="A324" s="17"/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  <x:c r="O324" s="17"/>
      <x:c r="P324" s="17"/>
      <x:c r="Q324" s="17"/>
      <x:c r="R324" s="17"/>
      <x:c r="S324" s="17"/>
      <x:c r="T324" s="17"/>
      <x:c r="U324" s="17"/>
      <x:c r="V324" s="17"/>
      <x:c r="W324" s="17"/>
      <x:c r="X324" s="17"/>
      <x:c r="Y324" s="17"/>
      <x:c r="Z324" s="17"/>
    </x:row>
    <x:row r="325">
      <x:c r="A325" s="17"/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  <x:c r="O325" s="17"/>
      <x:c r="P325" s="17"/>
      <x:c r="Q325" s="17"/>
      <x:c r="R325" s="17"/>
      <x:c r="S325" s="17"/>
      <x:c r="T325" s="17"/>
      <x:c r="U325" s="17"/>
      <x:c r="V325" s="17"/>
      <x:c r="W325" s="17"/>
      <x:c r="X325" s="17"/>
      <x:c r="Y325" s="17"/>
      <x:c r="Z325" s="17"/>
    </x:row>
    <x:row r="326">
      <x:c r="A326" s="17"/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  <x:c r="O326" s="17"/>
      <x:c r="P326" s="17"/>
      <x:c r="Q326" s="17"/>
      <x:c r="R326" s="17"/>
      <x:c r="S326" s="17"/>
      <x:c r="T326" s="17"/>
      <x:c r="U326" s="17"/>
      <x:c r="V326" s="17"/>
      <x:c r="W326" s="17"/>
      <x:c r="X326" s="17"/>
      <x:c r="Y326" s="17"/>
      <x:c r="Z326" s="17"/>
    </x:row>
    <x:row r="327">
      <x:c r="A327" s="17"/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  <x:c r="O327" s="17"/>
      <x:c r="P327" s="17"/>
      <x:c r="Q327" s="17"/>
      <x:c r="R327" s="17"/>
      <x:c r="S327" s="17"/>
      <x:c r="T327" s="17"/>
      <x:c r="U327" s="17"/>
      <x:c r="V327" s="17"/>
      <x:c r="W327" s="17"/>
      <x:c r="X327" s="17"/>
      <x:c r="Y327" s="17"/>
      <x:c r="Z327" s="17"/>
    </x:row>
    <x:row r="328">
      <x:c r="A328" s="17"/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  <x:c r="O328" s="17"/>
      <x:c r="P328" s="17"/>
      <x:c r="Q328" s="17"/>
      <x:c r="R328" s="17"/>
      <x:c r="S328" s="17"/>
      <x:c r="T328" s="17"/>
      <x:c r="U328" s="17"/>
      <x:c r="V328" s="17"/>
      <x:c r="W328" s="17"/>
      <x:c r="X328" s="17"/>
      <x:c r="Y328" s="17"/>
      <x:c r="Z328" s="17"/>
    </x:row>
    <x:row r="329">
      <x:c r="A329" s="17"/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  <x:c r="O329" s="17"/>
      <x:c r="P329" s="17"/>
      <x:c r="Q329" s="17"/>
      <x:c r="R329" s="17"/>
      <x:c r="S329" s="17"/>
      <x:c r="T329" s="17"/>
      <x:c r="U329" s="17"/>
      <x:c r="V329" s="17"/>
      <x:c r="W329" s="17"/>
      <x:c r="X329" s="17"/>
      <x:c r="Y329" s="17"/>
      <x:c r="Z329" s="17"/>
    </x:row>
    <x:row r="330">
      <x:c r="A330" s="17"/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  <x:c r="O330" s="17"/>
      <x:c r="P330" s="17"/>
      <x:c r="Q330" s="17"/>
      <x:c r="R330" s="17"/>
      <x:c r="S330" s="17"/>
      <x:c r="T330" s="17"/>
      <x:c r="U330" s="17"/>
      <x:c r="V330" s="17"/>
      <x:c r="W330" s="17"/>
      <x:c r="X330" s="17"/>
      <x:c r="Y330" s="17"/>
      <x:c r="Z330" s="17"/>
    </x:row>
    <x:row r="331">
      <x:c r="A331" s="17"/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  <x:c r="O331" s="17"/>
      <x:c r="P331" s="17"/>
      <x:c r="Q331" s="17"/>
      <x:c r="R331" s="17"/>
      <x:c r="S331" s="17"/>
      <x:c r="T331" s="17"/>
      <x:c r="U331" s="17"/>
      <x:c r="V331" s="17"/>
      <x:c r="W331" s="17"/>
      <x:c r="X331" s="17"/>
      <x:c r="Y331" s="17"/>
      <x:c r="Z331" s="17"/>
    </x:row>
    <x:row r="332">
      <x:c r="A332" s="17"/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  <x:c r="O332" s="17"/>
      <x:c r="P332" s="17"/>
      <x:c r="Q332" s="17"/>
      <x:c r="R332" s="17"/>
      <x:c r="S332" s="17"/>
      <x:c r="T332" s="17"/>
      <x:c r="U332" s="17"/>
      <x:c r="V332" s="17"/>
      <x:c r="W332" s="17"/>
      <x:c r="X332" s="17"/>
      <x:c r="Y332" s="17"/>
      <x:c r="Z332" s="17"/>
    </x:row>
    <x:row r="333">
      <x:c r="A333" s="17"/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  <x:c r="O333" s="17"/>
      <x:c r="P333" s="17"/>
      <x:c r="Q333" s="17"/>
      <x:c r="R333" s="17"/>
      <x:c r="S333" s="17"/>
      <x:c r="T333" s="17"/>
      <x:c r="U333" s="17"/>
      <x:c r="V333" s="17"/>
      <x:c r="W333" s="17"/>
      <x:c r="X333" s="17"/>
      <x:c r="Y333" s="17"/>
      <x:c r="Z333" s="17"/>
    </x:row>
    <x:row r="334">
      <x:c r="A334" s="17"/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  <x:c r="O334" s="17"/>
      <x:c r="P334" s="17"/>
      <x:c r="Q334" s="17"/>
      <x:c r="R334" s="17"/>
      <x:c r="S334" s="17"/>
      <x:c r="T334" s="17"/>
      <x:c r="U334" s="17"/>
      <x:c r="V334" s="17"/>
      <x:c r="W334" s="17"/>
      <x:c r="X334" s="17"/>
      <x:c r="Y334" s="17"/>
      <x:c r="Z334" s="17"/>
    </x:row>
    <x:row r="335">
      <x:c r="A335" s="17"/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  <x:c r="O335" s="17"/>
      <x:c r="P335" s="17"/>
      <x:c r="Q335" s="17"/>
      <x:c r="R335" s="17"/>
      <x:c r="S335" s="17"/>
      <x:c r="T335" s="17"/>
      <x:c r="U335" s="17"/>
      <x:c r="V335" s="17"/>
      <x:c r="W335" s="17"/>
      <x:c r="X335" s="17"/>
      <x:c r="Y335" s="17"/>
      <x:c r="Z335" s="17"/>
    </x:row>
    <x:row r="336">
      <x:c r="A336" s="17"/>
      <x:c r="B336" s="17"/>
      <x:c r="C336" s="17"/>
      <x:c r="D336" s="17"/>
      <x:c r="E336" s="17"/>
      <x:c r="F336" s="17"/>
      <x:c r="G336" s="17"/>
      <x:c r="H336" s="17"/>
      <x:c r="I336" s="17"/>
      <x:c r="J336" s="17"/>
      <x:c r="K336" s="17"/>
      <x:c r="L336" s="17"/>
      <x:c r="M336" s="17"/>
      <x:c r="N336" s="17"/>
      <x:c r="O336" s="17"/>
      <x:c r="P336" s="17"/>
      <x:c r="Q336" s="17"/>
      <x:c r="R336" s="17"/>
      <x:c r="S336" s="17"/>
      <x:c r="T336" s="17"/>
      <x:c r="U336" s="17"/>
      <x:c r="V336" s="17"/>
      <x:c r="W336" s="17"/>
      <x:c r="X336" s="17"/>
      <x:c r="Y336" s="17"/>
      <x:c r="Z336" s="17"/>
    </x:row>
    <x:row r="337">
      <x:c r="A337" s="17"/>
      <x:c r="B337" s="17"/>
      <x:c r="C337" s="17"/>
      <x:c r="D337" s="17"/>
      <x:c r="E337" s="17"/>
      <x:c r="F337" s="17"/>
      <x:c r="G337" s="17"/>
      <x:c r="H337" s="17"/>
      <x:c r="I337" s="17"/>
      <x:c r="J337" s="17"/>
      <x:c r="K337" s="17"/>
      <x:c r="L337" s="17"/>
      <x:c r="M337" s="17"/>
      <x:c r="N337" s="17"/>
      <x:c r="O337" s="17"/>
      <x:c r="P337" s="17"/>
      <x:c r="Q337" s="17"/>
      <x:c r="R337" s="17"/>
      <x:c r="S337" s="17"/>
      <x:c r="T337" s="17"/>
      <x:c r="U337" s="17"/>
      <x:c r="V337" s="17"/>
      <x:c r="W337" s="17"/>
      <x:c r="X337" s="17"/>
      <x:c r="Y337" s="17"/>
      <x:c r="Z337" s="17"/>
    </x:row>
    <x:row r="338">
      <x:c r="A338" s="17"/>
      <x:c r="B338" s="17"/>
      <x:c r="C338" s="17"/>
      <x:c r="D338" s="17"/>
      <x:c r="E338" s="17"/>
      <x:c r="F338" s="17"/>
      <x:c r="G338" s="17"/>
      <x:c r="H338" s="17"/>
      <x:c r="I338" s="17"/>
      <x:c r="J338" s="17"/>
      <x:c r="K338" s="17"/>
      <x:c r="L338" s="17"/>
      <x:c r="M338" s="17"/>
      <x:c r="N338" s="17"/>
      <x:c r="O338" s="17"/>
      <x:c r="P338" s="17"/>
      <x:c r="Q338" s="17"/>
      <x:c r="R338" s="17"/>
      <x:c r="S338" s="17"/>
      <x:c r="T338" s="17"/>
      <x:c r="U338" s="17"/>
      <x:c r="V338" s="17"/>
      <x:c r="W338" s="17"/>
      <x:c r="X338" s="17"/>
      <x:c r="Y338" s="17"/>
      <x:c r="Z338" s="17"/>
    </x:row>
    <x:row r="339">
      <x:c r="A339" s="17"/>
      <x:c r="B339" s="17"/>
      <x:c r="C339" s="17"/>
      <x:c r="D339" s="17"/>
      <x:c r="E339" s="17"/>
      <x:c r="F339" s="17"/>
      <x:c r="G339" s="17"/>
      <x:c r="H339" s="17"/>
      <x:c r="I339" s="17"/>
      <x:c r="J339" s="17"/>
      <x:c r="K339" s="17"/>
      <x:c r="L339" s="17"/>
      <x:c r="M339" s="17"/>
      <x:c r="N339" s="17"/>
      <x:c r="O339" s="17"/>
      <x:c r="P339" s="17"/>
      <x:c r="Q339" s="17"/>
      <x:c r="R339" s="17"/>
      <x:c r="S339" s="17"/>
      <x:c r="T339" s="17"/>
      <x:c r="U339" s="17"/>
      <x:c r="V339" s="17"/>
      <x:c r="W339" s="17"/>
      <x:c r="X339" s="17"/>
      <x:c r="Y339" s="17"/>
      <x:c r="Z339" s="17"/>
    </x:row>
    <x:row r="340">
      <x:c r="A340" s="17"/>
      <x:c r="B340" s="17"/>
      <x:c r="C340" s="17"/>
      <x:c r="D340" s="17"/>
      <x:c r="E340" s="17"/>
      <x:c r="F340" s="17"/>
      <x:c r="G340" s="17"/>
      <x:c r="H340" s="17"/>
      <x:c r="I340" s="17"/>
      <x:c r="J340" s="17"/>
      <x:c r="K340" s="17"/>
      <x:c r="L340" s="17"/>
      <x:c r="M340" s="17"/>
      <x:c r="N340" s="17"/>
      <x:c r="O340" s="17"/>
      <x:c r="P340" s="17"/>
      <x:c r="Q340" s="17"/>
      <x:c r="R340" s="17"/>
      <x:c r="S340" s="17"/>
      <x:c r="T340" s="17"/>
      <x:c r="U340" s="17"/>
      <x:c r="V340" s="17"/>
      <x:c r="W340" s="17"/>
      <x:c r="X340" s="17"/>
      <x:c r="Y340" s="17"/>
      <x:c r="Z340" s="17"/>
    </x:row>
    <x:row r="341">
      <x:c r="A341" s="17"/>
      <x:c r="B341" s="17"/>
      <x:c r="C341" s="17"/>
      <x:c r="D341" s="17"/>
      <x:c r="E341" s="17"/>
      <x:c r="F341" s="17"/>
      <x:c r="G341" s="17"/>
      <x:c r="H341" s="17"/>
      <x:c r="I341" s="17"/>
      <x:c r="J341" s="17"/>
      <x:c r="K341" s="17"/>
      <x:c r="L341" s="17"/>
      <x:c r="M341" s="17"/>
      <x:c r="N341" s="17"/>
      <x:c r="O341" s="17"/>
      <x:c r="P341" s="17"/>
      <x:c r="Q341" s="17"/>
      <x:c r="R341" s="17"/>
      <x:c r="S341" s="17"/>
      <x:c r="T341" s="17"/>
      <x:c r="U341" s="17"/>
      <x:c r="V341" s="17"/>
      <x:c r="W341" s="17"/>
      <x:c r="X341" s="17"/>
      <x:c r="Y341" s="17"/>
      <x:c r="Z341" s="17"/>
    </x:row>
    <x:row r="342">
      <x:c r="A342" s="17"/>
      <x:c r="B342" s="17"/>
      <x:c r="C342" s="17"/>
      <x:c r="D342" s="17"/>
      <x:c r="E342" s="17"/>
      <x:c r="F342" s="17"/>
      <x:c r="G342" s="17"/>
      <x:c r="H342" s="17"/>
      <x:c r="I342" s="17"/>
      <x:c r="J342" s="17"/>
      <x:c r="K342" s="17"/>
      <x:c r="L342" s="17"/>
      <x:c r="M342" s="17"/>
      <x:c r="N342" s="17"/>
      <x:c r="O342" s="17"/>
      <x:c r="P342" s="17"/>
      <x:c r="Q342" s="17"/>
      <x:c r="R342" s="17"/>
      <x:c r="S342" s="17"/>
      <x:c r="T342" s="17"/>
      <x:c r="U342" s="17"/>
      <x:c r="V342" s="17"/>
      <x:c r="W342" s="17"/>
      <x:c r="X342" s="17"/>
      <x:c r="Y342" s="17"/>
      <x:c r="Z342" s="17"/>
    </x:row>
    <x:row r="343">
      <x:c r="A343" s="17"/>
      <x:c r="B343" s="17"/>
      <x:c r="C343" s="17"/>
      <x:c r="D343" s="17"/>
      <x:c r="E343" s="17"/>
      <x:c r="F343" s="17"/>
      <x:c r="G343" s="17"/>
      <x:c r="H343" s="17"/>
      <x:c r="I343" s="17"/>
      <x:c r="J343" s="17"/>
      <x:c r="K343" s="17"/>
      <x:c r="L343" s="17"/>
      <x:c r="M343" s="17"/>
      <x:c r="N343" s="17"/>
      <x:c r="O343" s="17"/>
      <x:c r="P343" s="17"/>
      <x:c r="Q343" s="17"/>
      <x:c r="R343" s="17"/>
      <x:c r="S343" s="17"/>
      <x:c r="T343" s="17"/>
      <x:c r="U343" s="17"/>
      <x:c r="V343" s="17"/>
      <x:c r="W343" s="17"/>
      <x:c r="X343" s="17"/>
      <x:c r="Y343" s="17"/>
      <x:c r="Z343" s="17"/>
    </x:row>
    <x:row r="344">
      <x:c r="A344" s="17"/>
      <x:c r="B344" s="17"/>
      <x:c r="C344" s="17"/>
      <x:c r="D344" s="17"/>
      <x:c r="E344" s="17"/>
      <x:c r="F344" s="17"/>
      <x:c r="G344" s="17"/>
      <x:c r="H344" s="17"/>
      <x:c r="I344" s="17"/>
      <x:c r="J344" s="17"/>
      <x:c r="K344" s="17"/>
      <x:c r="L344" s="17"/>
      <x:c r="M344" s="17"/>
      <x:c r="N344" s="17"/>
      <x:c r="O344" s="17"/>
      <x:c r="P344" s="17"/>
      <x:c r="Q344" s="17"/>
      <x:c r="R344" s="17"/>
      <x:c r="S344" s="17"/>
      <x:c r="T344" s="17"/>
      <x:c r="U344" s="17"/>
      <x:c r="V344" s="17"/>
      <x:c r="W344" s="17"/>
      <x:c r="X344" s="17"/>
      <x:c r="Y344" s="17"/>
      <x:c r="Z344" s="17"/>
    </x:row>
    <x:row r="345">
      <x:c r="A345" s="17"/>
      <x:c r="B345" s="17"/>
      <x:c r="C345" s="17"/>
      <x:c r="D345" s="17"/>
      <x:c r="E345" s="17"/>
      <x:c r="F345" s="17"/>
      <x:c r="G345" s="17"/>
      <x:c r="H345" s="17"/>
      <x:c r="I345" s="17"/>
      <x:c r="J345" s="17"/>
      <x:c r="K345" s="17"/>
      <x:c r="L345" s="17"/>
      <x:c r="M345" s="17"/>
      <x:c r="N345" s="17"/>
      <x:c r="O345" s="17"/>
      <x:c r="P345" s="17"/>
      <x:c r="Q345" s="17"/>
      <x:c r="R345" s="17"/>
      <x:c r="S345" s="17"/>
      <x:c r="T345" s="17"/>
      <x:c r="U345" s="17"/>
      <x:c r="V345" s="17"/>
      <x:c r="W345" s="17"/>
      <x:c r="X345" s="17"/>
      <x:c r="Y345" s="17"/>
      <x:c r="Z345" s="17"/>
    </x:row>
    <x:row r="346">
      <x:c r="A346" s="17"/>
      <x:c r="B346" s="17"/>
      <x:c r="C346" s="17"/>
      <x:c r="D346" s="17"/>
      <x:c r="E346" s="17"/>
      <x:c r="F346" s="17"/>
      <x:c r="G346" s="17"/>
      <x:c r="H346" s="17"/>
      <x:c r="I346" s="17"/>
      <x:c r="J346" s="17"/>
      <x:c r="K346" s="17"/>
      <x:c r="L346" s="17"/>
      <x:c r="M346" s="17"/>
      <x:c r="N346" s="17"/>
      <x:c r="O346" s="17"/>
      <x:c r="P346" s="17"/>
      <x:c r="Q346" s="17"/>
      <x:c r="R346" s="17"/>
      <x:c r="S346" s="17"/>
      <x:c r="T346" s="17"/>
      <x:c r="U346" s="17"/>
      <x:c r="V346" s="17"/>
      <x:c r="W346" s="17"/>
      <x:c r="X346" s="17"/>
      <x:c r="Y346" s="17"/>
      <x:c r="Z346" s="17"/>
    </x:row>
    <x:row r="347">
      <x:c r="A347" s="17"/>
      <x:c r="B347" s="17"/>
      <x:c r="C347" s="17"/>
      <x:c r="D347" s="17"/>
      <x:c r="E347" s="17"/>
      <x:c r="F347" s="17"/>
      <x:c r="G347" s="17"/>
      <x:c r="H347" s="17"/>
      <x:c r="I347" s="17"/>
      <x:c r="J347" s="17"/>
      <x:c r="K347" s="17"/>
      <x:c r="L347" s="17"/>
      <x:c r="M347" s="17"/>
      <x:c r="N347" s="17"/>
      <x:c r="O347" s="17"/>
      <x:c r="P347" s="17"/>
      <x:c r="Q347" s="17"/>
      <x:c r="R347" s="17"/>
      <x:c r="S347" s="17"/>
      <x:c r="T347" s="17"/>
      <x:c r="U347" s="17"/>
      <x:c r="V347" s="17"/>
      <x:c r="W347" s="17"/>
      <x:c r="X347" s="17"/>
      <x:c r="Y347" s="17"/>
      <x:c r="Z347" s="17"/>
    </x:row>
    <x:row r="348">
      <x:c r="A348" s="17"/>
      <x:c r="B348" s="17"/>
      <x:c r="C348" s="17"/>
      <x:c r="D348" s="17"/>
      <x:c r="E348" s="17"/>
      <x:c r="F348" s="17"/>
      <x:c r="G348" s="17"/>
      <x:c r="H348" s="17"/>
      <x:c r="I348" s="17"/>
      <x:c r="J348" s="17"/>
      <x:c r="K348" s="17"/>
      <x:c r="L348" s="17"/>
      <x:c r="M348" s="17"/>
      <x:c r="N348" s="17"/>
      <x:c r="O348" s="17"/>
      <x:c r="P348" s="17"/>
      <x:c r="Q348" s="17"/>
      <x:c r="R348" s="17"/>
      <x:c r="S348" s="17"/>
      <x:c r="T348" s="17"/>
      <x:c r="U348" s="17"/>
      <x:c r="V348" s="17"/>
      <x:c r="W348" s="17"/>
      <x:c r="X348" s="17"/>
      <x:c r="Y348" s="17"/>
      <x:c r="Z348" s="17"/>
    </x:row>
    <x:row r="349">
      <x:c r="A349" s="17"/>
      <x:c r="B349" s="17"/>
      <x:c r="C349" s="17"/>
      <x:c r="D349" s="17"/>
      <x:c r="E349" s="17"/>
      <x:c r="F349" s="17"/>
      <x:c r="G349" s="17"/>
      <x:c r="H349" s="17"/>
      <x:c r="I349" s="17"/>
      <x:c r="J349" s="17"/>
      <x:c r="K349" s="17"/>
      <x:c r="L349" s="17"/>
      <x:c r="M349" s="17"/>
      <x:c r="N349" s="17"/>
      <x:c r="O349" s="17"/>
      <x:c r="P349" s="17"/>
      <x:c r="Q349" s="17"/>
      <x:c r="R349" s="17"/>
      <x:c r="S349" s="17"/>
      <x:c r="T349" s="17"/>
      <x:c r="U349" s="17"/>
      <x:c r="V349" s="17"/>
      <x:c r="W349" s="17"/>
      <x:c r="X349" s="17"/>
      <x:c r="Y349" s="17"/>
      <x:c r="Z349" s="17"/>
    </x:row>
    <x:row r="350">
      <x:c r="A350" s="17"/>
      <x:c r="B350" s="17"/>
      <x:c r="C350" s="17"/>
      <x:c r="D350" s="17"/>
      <x:c r="E350" s="17"/>
      <x:c r="F350" s="17"/>
      <x:c r="G350" s="17"/>
      <x:c r="H350" s="17"/>
      <x:c r="I350" s="17"/>
      <x:c r="J350" s="17"/>
      <x:c r="K350" s="17"/>
      <x:c r="L350" s="17"/>
      <x:c r="M350" s="17"/>
      <x:c r="N350" s="17"/>
      <x:c r="O350" s="17"/>
      <x:c r="P350" s="17"/>
      <x:c r="Q350" s="17"/>
      <x:c r="R350" s="17"/>
      <x:c r="S350" s="17"/>
      <x:c r="T350" s="17"/>
      <x:c r="U350" s="17"/>
      <x:c r="V350" s="17"/>
      <x:c r="W350" s="17"/>
      <x:c r="X350" s="17"/>
      <x:c r="Y350" s="17"/>
      <x:c r="Z350" s="17"/>
    </x:row>
    <x:row r="351">
      <x:c r="A351" s="17"/>
      <x:c r="B351" s="17"/>
      <x:c r="C351" s="17"/>
      <x:c r="D351" s="17"/>
      <x:c r="E351" s="17"/>
      <x:c r="F351" s="17"/>
      <x:c r="G351" s="17"/>
      <x:c r="H351" s="17"/>
      <x:c r="I351" s="17"/>
      <x:c r="J351" s="17"/>
      <x:c r="K351" s="17"/>
      <x:c r="L351" s="17"/>
      <x:c r="M351" s="17"/>
      <x:c r="N351" s="17"/>
      <x:c r="O351" s="17"/>
      <x:c r="P351" s="17"/>
      <x:c r="Q351" s="17"/>
      <x:c r="R351" s="17"/>
      <x:c r="S351" s="17"/>
      <x:c r="T351" s="17"/>
      <x:c r="U351" s="17"/>
      <x:c r="V351" s="17"/>
      <x:c r="W351" s="17"/>
      <x:c r="X351" s="17"/>
      <x:c r="Y351" s="17"/>
      <x:c r="Z351" s="17"/>
    </x:row>
    <x:row r="352">
      <x:c r="A352" s="17"/>
      <x:c r="B352" s="17"/>
      <x:c r="C352" s="17"/>
      <x:c r="D352" s="17"/>
      <x:c r="E352" s="17"/>
      <x:c r="F352" s="17"/>
      <x:c r="G352" s="17"/>
      <x:c r="H352" s="17"/>
      <x:c r="I352" s="17"/>
      <x:c r="J352" s="17"/>
      <x:c r="K352" s="17"/>
      <x:c r="L352" s="17"/>
      <x:c r="M352" s="17"/>
      <x:c r="N352" s="17"/>
      <x:c r="O352" s="17"/>
      <x:c r="P352" s="17"/>
      <x:c r="Q352" s="17"/>
      <x:c r="R352" s="17"/>
      <x:c r="S352" s="17"/>
      <x:c r="T352" s="17"/>
      <x:c r="U352" s="17"/>
      <x:c r="V352" s="17"/>
      <x:c r="W352" s="17"/>
      <x:c r="X352" s="17"/>
      <x:c r="Y352" s="17"/>
      <x:c r="Z352" s="17"/>
    </x:row>
    <x:row r="353">
      <x:c r="A353" s="17"/>
      <x:c r="B353" s="17"/>
      <x:c r="C353" s="17"/>
      <x:c r="D353" s="17"/>
      <x:c r="E353" s="17"/>
      <x:c r="F353" s="17"/>
      <x:c r="G353" s="17"/>
      <x:c r="H353" s="17"/>
      <x:c r="I353" s="17"/>
      <x:c r="J353" s="17"/>
      <x:c r="K353" s="17"/>
      <x:c r="L353" s="17"/>
      <x:c r="M353" s="17"/>
      <x:c r="N353" s="17"/>
      <x:c r="O353" s="17"/>
      <x:c r="P353" s="17"/>
      <x:c r="Q353" s="17"/>
      <x:c r="R353" s="17"/>
      <x:c r="S353" s="17"/>
      <x:c r="T353" s="17"/>
      <x:c r="U353" s="17"/>
      <x:c r="V353" s="17"/>
      <x:c r="W353" s="17"/>
      <x:c r="X353" s="17"/>
      <x:c r="Y353" s="17"/>
      <x:c r="Z353" s="17"/>
    </x:row>
    <x:row r="354">
      <x:c r="A354" s="17"/>
      <x:c r="B354" s="17"/>
      <x:c r="C354" s="17"/>
      <x:c r="D354" s="17"/>
      <x:c r="E354" s="17"/>
      <x:c r="F354" s="17"/>
      <x:c r="G354" s="17"/>
      <x:c r="H354" s="17"/>
      <x:c r="I354" s="17"/>
      <x:c r="J354" s="17"/>
      <x:c r="K354" s="17"/>
      <x:c r="L354" s="17"/>
      <x:c r="M354" s="17"/>
      <x:c r="N354" s="17"/>
      <x:c r="O354" s="17"/>
      <x:c r="P354" s="17"/>
      <x:c r="Q354" s="17"/>
      <x:c r="R354" s="17"/>
      <x:c r="S354" s="17"/>
      <x:c r="T354" s="17"/>
      <x:c r="U354" s="17"/>
      <x:c r="V354" s="17"/>
      <x:c r="W354" s="17"/>
      <x:c r="X354" s="17"/>
      <x:c r="Y354" s="17"/>
      <x:c r="Z354" s="17"/>
    </x:row>
    <x:row r="355">
      <x:c r="A355" s="17"/>
      <x:c r="B355" s="17"/>
      <x:c r="C355" s="17"/>
      <x:c r="D355" s="17"/>
      <x:c r="E355" s="17"/>
      <x:c r="F355" s="17"/>
      <x:c r="G355" s="17"/>
      <x:c r="H355" s="17"/>
      <x:c r="I355" s="17"/>
      <x:c r="J355" s="17"/>
      <x:c r="K355" s="17"/>
      <x:c r="L355" s="17"/>
      <x:c r="M355" s="17"/>
      <x:c r="N355" s="17"/>
      <x:c r="O355" s="17"/>
      <x:c r="P355" s="17"/>
      <x:c r="Q355" s="17"/>
      <x:c r="R355" s="17"/>
      <x:c r="S355" s="17"/>
      <x:c r="T355" s="17"/>
      <x:c r="U355" s="17"/>
      <x:c r="V355" s="17"/>
      <x:c r="W355" s="17"/>
      <x:c r="X355" s="17"/>
      <x:c r="Y355" s="17"/>
      <x:c r="Z355" s="17"/>
    </x:row>
    <x:row r="356">
      <x:c r="A356" s="17"/>
      <x:c r="B356" s="17"/>
      <x:c r="C356" s="17"/>
      <x:c r="D356" s="17"/>
      <x:c r="E356" s="17"/>
      <x:c r="F356" s="17"/>
      <x:c r="G356" s="17"/>
      <x:c r="H356" s="17"/>
      <x:c r="I356" s="17"/>
      <x:c r="J356" s="17"/>
      <x:c r="K356" s="17"/>
      <x:c r="L356" s="17"/>
      <x:c r="M356" s="17"/>
      <x:c r="N356" s="17"/>
      <x:c r="O356" s="17"/>
      <x:c r="P356" s="17"/>
      <x:c r="Q356" s="17"/>
      <x:c r="R356" s="17"/>
      <x:c r="S356" s="17"/>
      <x:c r="T356" s="17"/>
      <x:c r="U356" s="17"/>
      <x:c r="V356" s="17"/>
      <x:c r="W356" s="17"/>
      <x:c r="X356" s="17"/>
      <x:c r="Y356" s="17"/>
      <x:c r="Z356" s="17"/>
    </x:row>
    <x:row r="357">
      <x:c r="A357" s="17"/>
      <x:c r="B357" s="17"/>
      <x:c r="C357" s="17"/>
      <x:c r="D357" s="17"/>
      <x:c r="E357" s="17"/>
      <x:c r="F357" s="17"/>
      <x:c r="G357" s="17"/>
      <x:c r="H357" s="17"/>
      <x:c r="I357" s="17"/>
      <x:c r="J357" s="17"/>
      <x:c r="K357" s="17"/>
      <x:c r="L357" s="17"/>
      <x:c r="M357" s="17"/>
      <x:c r="N357" s="17"/>
      <x:c r="O357" s="17"/>
      <x:c r="P357" s="17"/>
      <x:c r="Q357" s="17"/>
      <x:c r="R357" s="17"/>
      <x:c r="S357" s="17"/>
      <x:c r="T357" s="17"/>
      <x:c r="U357" s="17"/>
      <x:c r="V357" s="17"/>
      <x:c r="W357" s="17"/>
      <x:c r="X357" s="17"/>
      <x:c r="Y357" s="17"/>
      <x:c r="Z357" s="17"/>
    </x:row>
    <x:row r="358">
      <x:c r="A358" s="17"/>
      <x:c r="B358" s="17"/>
      <x:c r="C358" s="17"/>
      <x:c r="D358" s="17"/>
      <x:c r="E358" s="17"/>
      <x:c r="F358" s="17"/>
      <x:c r="G358" s="17"/>
      <x:c r="H358" s="17"/>
      <x:c r="I358" s="17"/>
      <x:c r="J358" s="17"/>
      <x:c r="K358" s="17"/>
      <x:c r="L358" s="17"/>
      <x:c r="M358" s="17"/>
      <x:c r="N358" s="17"/>
      <x:c r="O358" s="17"/>
      <x:c r="P358" s="17"/>
      <x:c r="Q358" s="17"/>
      <x:c r="R358" s="17"/>
      <x:c r="S358" s="17"/>
      <x:c r="T358" s="17"/>
      <x:c r="U358" s="17"/>
      <x:c r="V358" s="17"/>
      <x:c r="W358" s="17"/>
      <x:c r="X358" s="17"/>
      <x:c r="Y358" s="17"/>
      <x:c r="Z358" s="17"/>
    </x:row>
    <x:row r="359">
      <x:c r="A359" s="17"/>
      <x:c r="B359" s="17"/>
      <x:c r="C359" s="17"/>
      <x:c r="D359" s="17"/>
      <x:c r="E359" s="17"/>
      <x:c r="F359" s="17"/>
      <x:c r="G359" s="17"/>
      <x:c r="H359" s="17"/>
      <x:c r="I359" s="17"/>
      <x:c r="J359" s="17"/>
      <x:c r="K359" s="17"/>
      <x:c r="L359" s="17"/>
      <x:c r="M359" s="17"/>
      <x:c r="N359" s="17"/>
      <x:c r="O359" s="17"/>
      <x:c r="P359" s="17"/>
      <x:c r="Q359" s="17"/>
      <x:c r="R359" s="17"/>
      <x:c r="S359" s="17"/>
      <x:c r="T359" s="17"/>
      <x:c r="U359" s="17"/>
      <x:c r="V359" s="17"/>
      <x:c r="W359" s="17"/>
      <x:c r="X359" s="17"/>
      <x:c r="Y359" s="17"/>
      <x:c r="Z359" s="17"/>
    </x:row>
    <x:row r="360">
      <x:c r="A360" s="17"/>
      <x:c r="B360" s="17"/>
      <x:c r="C360" s="17"/>
      <x:c r="D360" s="17"/>
      <x:c r="E360" s="17"/>
      <x:c r="F360" s="17"/>
      <x:c r="G360" s="17"/>
      <x:c r="H360" s="17"/>
      <x:c r="I360" s="17"/>
      <x:c r="J360" s="17"/>
      <x:c r="K360" s="17"/>
      <x:c r="L360" s="17"/>
      <x:c r="M360" s="17"/>
      <x:c r="N360" s="17"/>
      <x:c r="O360" s="17"/>
      <x:c r="P360" s="17"/>
      <x:c r="Q360" s="17"/>
      <x:c r="R360" s="17"/>
      <x:c r="S360" s="17"/>
      <x:c r="T360" s="17"/>
      <x:c r="U360" s="17"/>
      <x:c r="V360" s="17"/>
      <x:c r="W360" s="17"/>
      <x:c r="X360" s="17"/>
      <x:c r="Y360" s="17"/>
      <x:c r="Z360" s="17"/>
    </x:row>
    <x:row r="361">
      <x:c r="A361" s="17"/>
      <x:c r="B361" s="17"/>
      <x:c r="C361" s="17"/>
      <x:c r="D361" s="17"/>
      <x:c r="E361" s="17"/>
      <x:c r="F361" s="17"/>
      <x:c r="G361" s="17"/>
      <x:c r="H361" s="17"/>
      <x:c r="I361" s="17"/>
      <x:c r="J361" s="17"/>
      <x:c r="K361" s="17"/>
      <x:c r="L361" s="17"/>
      <x:c r="M361" s="17"/>
      <x:c r="N361" s="17"/>
      <x:c r="O361" s="17"/>
      <x:c r="P361" s="17"/>
      <x:c r="Q361" s="17"/>
      <x:c r="R361" s="17"/>
      <x:c r="S361" s="17"/>
      <x:c r="T361" s="17"/>
      <x:c r="U361" s="17"/>
      <x:c r="V361" s="17"/>
      <x:c r="W361" s="17"/>
      <x:c r="X361" s="17"/>
      <x:c r="Y361" s="17"/>
      <x:c r="Z361" s="17"/>
    </x:row>
    <x:row r="362">
      <x:c r="A362" s="17"/>
      <x:c r="B362" s="17"/>
      <x:c r="C362" s="17"/>
      <x:c r="D362" s="17"/>
      <x:c r="E362" s="17"/>
      <x:c r="F362" s="17"/>
      <x:c r="G362" s="17"/>
      <x:c r="H362" s="17"/>
      <x:c r="I362" s="17"/>
      <x:c r="J362" s="17"/>
      <x:c r="K362" s="17"/>
      <x:c r="L362" s="17"/>
      <x:c r="M362" s="17"/>
      <x:c r="N362" s="17"/>
      <x:c r="O362" s="17"/>
      <x:c r="P362" s="17"/>
      <x:c r="Q362" s="17"/>
      <x:c r="R362" s="17"/>
      <x:c r="S362" s="17"/>
      <x:c r="T362" s="17"/>
      <x:c r="U362" s="17"/>
      <x:c r="V362" s="17"/>
      <x:c r="W362" s="17"/>
      <x:c r="X362" s="17"/>
      <x:c r="Y362" s="17"/>
      <x:c r="Z362" s="17"/>
    </x:row>
    <x:row r="363">
      <x:c r="A363" s="17"/>
      <x:c r="B363" s="17"/>
      <x:c r="C363" s="17"/>
      <x:c r="D363" s="17"/>
      <x:c r="E363" s="17"/>
      <x:c r="F363" s="17"/>
      <x:c r="G363" s="17"/>
      <x:c r="H363" s="17"/>
      <x:c r="I363" s="17"/>
      <x:c r="J363" s="17"/>
      <x:c r="K363" s="17"/>
      <x:c r="L363" s="17"/>
      <x:c r="M363" s="17"/>
      <x:c r="N363" s="17"/>
      <x:c r="O363" s="17"/>
      <x:c r="P363" s="17"/>
      <x:c r="Q363" s="17"/>
      <x:c r="R363" s="17"/>
      <x:c r="S363" s="17"/>
      <x:c r="T363" s="17"/>
      <x:c r="U363" s="17"/>
      <x:c r="V363" s="17"/>
      <x:c r="W363" s="17"/>
      <x:c r="X363" s="17"/>
      <x:c r="Y363" s="17"/>
      <x:c r="Z363" s="17"/>
    </x:row>
    <x:row r="364">
      <x:c r="A364" s="17"/>
      <x:c r="B364" s="17"/>
      <x:c r="C364" s="17"/>
      <x:c r="D364" s="17"/>
      <x:c r="E364" s="17"/>
      <x:c r="F364" s="17"/>
      <x:c r="G364" s="17"/>
      <x:c r="H364" s="17"/>
      <x:c r="I364" s="17"/>
      <x:c r="J364" s="17"/>
      <x:c r="K364" s="17"/>
      <x:c r="L364" s="17"/>
      <x:c r="M364" s="17"/>
      <x:c r="N364" s="17"/>
      <x:c r="O364" s="17"/>
      <x:c r="P364" s="17"/>
      <x:c r="Q364" s="17"/>
      <x:c r="R364" s="17"/>
      <x:c r="S364" s="17"/>
      <x:c r="T364" s="17"/>
      <x:c r="U364" s="17"/>
      <x:c r="V364" s="17"/>
      <x:c r="W364" s="17"/>
      <x:c r="X364" s="17"/>
      <x:c r="Y364" s="17"/>
      <x:c r="Z364" s="17"/>
    </x:row>
    <x:row r="365">
      <x:c r="A365" s="17"/>
      <x:c r="B365" s="17"/>
      <x:c r="C365" s="17"/>
      <x:c r="D365" s="17"/>
      <x:c r="E365" s="17"/>
      <x:c r="F365" s="17"/>
      <x:c r="G365" s="17"/>
      <x:c r="H365" s="17"/>
      <x:c r="I365" s="17"/>
      <x:c r="J365" s="17"/>
      <x:c r="K365" s="17"/>
      <x:c r="L365" s="17"/>
      <x:c r="M365" s="17"/>
      <x:c r="N365" s="17"/>
      <x:c r="O365" s="17"/>
      <x:c r="P365" s="17"/>
      <x:c r="Q365" s="17"/>
      <x:c r="R365" s="17"/>
      <x:c r="S365" s="17"/>
      <x:c r="T365" s="17"/>
      <x:c r="U365" s="17"/>
      <x:c r="V365" s="17"/>
      <x:c r="W365" s="17"/>
      <x:c r="X365" s="17"/>
      <x:c r="Y365" s="17"/>
      <x:c r="Z365" s="17"/>
    </x:row>
    <x:row r="366">
      <x:c r="A366" s="17"/>
      <x:c r="B366" s="17"/>
      <x:c r="C366" s="17"/>
      <x:c r="D366" s="17"/>
      <x:c r="E366" s="17"/>
      <x:c r="F366" s="17"/>
      <x:c r="G366" s="17"/>
      <x:c r="H366" s="17"/>
      <x:c r="I366" s="17"/>
      <x:c r="J366" s="17"/>
      <x:c r="K366" s="17"/>
      <x:c r="L366" s="17"/>
      <x:c r="M366" s="17"/>
      <x:c r="N366" s="17"/>
      <x:c r="O366" s="17"/>
      <x:c r="P366" s="17"/>
      <x:c r="Q366" s="17"/>
      <x:c r="R366" s="17"/>
      <x:c r="S366" s="17"/>
      <x:c r="T366" s="17"/>
      <x:c r="U366" s="17"/>
      <x:c r="V366" s="17"/>
      <x:c r="W366" s="17"/>
      <x:c r="X366" s="17"/>
      <x:c r="Y366" s="17"/>
      <x:c r="Z366" s="17"/>
    </x:row>
    <x:row r="367">
      <x:c r="A367" s="17"/>
      <x:c r="B367" s="17"/>
      <x:c r="C367" s="17"/>
      <x:c r="D367" s="17"/>
      <x:c r="E367" s="17"/>
      <x:c r="F367" s="17"/>
      <x:c r="G367" s="17"/>
      <x:c r="H367" s="17"/>
      <x:c r="I367" s="17"/>
      <x:c r="J367" s="17"/>
      <x:c r="K367" s="17"/>
      <x:c r="L367" s="17"/>
      <x:c r="M367" s="17"/>
      <x:c r="N367" s="17"/>
      <x:c r="O367" s="17"/>
      <x:c r="P367" s="17"/>
      <x:c r="Q367" s="17"/>
      <x:c r="R367" s="17"/>
      <x:c r="S367" s="17"/>
      <x:c r="T367" s="17"/>
      <x:c r="U367" s="17"/>
      <x:c r="V367" s="17"/>
      <x:c r="W367" s="17"/>
      <x:c r="X367" s="17"/>
      <x:c r="Y367" s="17"/>
      <x:c r="Z367" s="17"/>
    </x:row>
    <x:row r="368">
      <x:c r="A368" s="17"/>
      <x:c r="B368" s="17"/>
      <x:c r="C368" s="17"/>
      <x:c r="D368" s="17"/>
      <x:c r="E368" s="17"/>
      <x:c r="F368" s="17"/>
      <x:c r="G368" s="17"/>
      <x:c r="H368" s="17"/>
      <x:c r="I368" s="17"/>
      <x:c r="J368" s="17"/>
      <x:c r="K368" s="17"/>
      <x:c r="L368" s="17"/>
      <x:c r="M368" s="17"/>
      <x:c r="N368" s="17"/>
      <x:c r="O368" s="17"/>
      <x:c r="P368" s="17"/>
      <x:c r="Q368" s="17"/>
      <x:c r="R368" s="17"/>
      <x:c r="S368" s="17"/>
      <x:c r="T368" s="17"/>
      <x:c r="U368" s="17"/>
      <x:c r="V368" s="17"/>
      <x:c r="W368" s="17"/>
      <x:c r="X368" s="17"/>
      <x:c r="Y368" s="17"/>
      <x:c r="Z368" s="17"/>
    </x:row>
    <x:row r="369">
      <x:c r="A369" s="17"/>
      <x:c r="B369" s="17"/>
      <x:c r="C369" s="17"/>
      <x:c r="D369" s="17"/>
      <x:c r="E369" s="17"/>
      <x:c r="F369" s="17"/>
      <x:c r="G369" s="17"/>
      <x:c r="H369" s="17"/>
      <x:c r="I369" s="17"/>
      <x:c r="J369" s="17"/>
      <x:c r="K369" s="17"/>
      <x:c r="L369" s="17"/>
      <x:c r="M369" s="17"/>
      <x:c r="N369" s="17"/>
      <x:c r="O369" s="17"/>
      <x:c r="P369" s="17"/>
      <x:c r="Q369" s="17"/>
      <x:c r="R369" s="17"/>
      <x:c r="S369" s="17"/>
      <x:c r="T369" s="17"/>
      <x:c r="U369" s="17"/>
      <x:c r="V369" s="17"/>
      <x:c r="W369" s="17"/>
      <x:c r="X369" s="17"/>
      <x:c r="Y369" s="17"/>
      <x:c r="Z369" s="17"/>
    </x:row>
    <x:row r="370">
      <x:c r="A370" s="17"/>
      <x:c r="B370" s="17"/>
      <x:c r="C370" s="17"/>
      <x:c r="D370" s="17"/>
      <x:c r="E370" s="17"/>
      <x:c r="F370" s="17"/>
      <x:c r="G370" s="17"/>
      <x:c r="H370" s="17"/>
      <x:c r="I370" s="17"/>
      <x:c r="J370" s="17"/>
      <x:c r="K370" s="17"/>
      <x:c r="L370" s="17"/>
      <x:c r="M370" s="17"/>
      <x:c r="N370" s="17"/>
      <x:c r="O370" s="17"/>
      <x:c r="P370" s="17"/>
      <x:c r="Q370" s="17"/>
      <x:c r="R370" s="17"/>
      <x:c r="S370" s="17"/>
      <x:c r="T370" s="17"/>
      <x:c r="U370" s="17"/>
      <x:c r="V370" s="17"/>
      <x:c r="W370" s="17"/>
      <x:c r="X370" s="17"/>
      <x:c r="Y370" s="17"/>
      <x:c r="Z370" s="17"/>
    </x:row>
    <x:row r="371">
      <x:c r="A371" s="17"/>
      <x:c r="B371" s="17"/>
      <x:c r="C371" s="17"/>
      <x:c r="D371" s="17"/>
      <x:c r="E371" s="17"/>
      <x:c r="F371" s="17"/>
      <x:c r="G371" s="17"/>
      <x:c r="H371" s="17"/>
      <x:c r="I371" s="17"/>
      <x:c r="J371" s="17"/>
      <x:c r="K371" s="17"/>
      <x:c r="L371" s="17"/>
      <x:c r="M371" s="17"/>
      <x:c r="N371" s="17"/>
      <x:c r="O371" s="17"/>
      <x:c r="P371" s="17"/>
      <x:c r="Q371" s="17"/>
      <x:c r="R371" s="17"/>
      <x:c r="S371" s="17"/>
      <x:c r="T371" s="17"/>
      <x:c r="U371" s="17"/>
      <x:c r="V371" s="17"/>
      <x:c r="W371" s="17"/>
      <x:c r="X371" s="17"/>
      <x:c r="Y371" s="17"/>
      <x:c r="Z371" s="17"/>
    </x:row>
    <x:row r="372">
      <x:c r="A372" s="17"/>
      <x:c r="B372" s="17"/>
      <x:c r="C372" s="17"/>
      <x:c r="D372" s="17"/>
      <x:c r="E372" s="17"/>
      <x:c r="F372" s="17"/>
      <x:c r="G372" s="17"/>
      <x:c r="H372" s="17"/>
      <x:c r="I372" s="17"/>
      <x:c r="J372" s="17"/>
      <x:c r="K372" s="17"/>
      <x:c r="L372" s="17"/>
      <x:c r="M372" s="17"/>
      <x:c r="N372" s="17"/>
      <x:c r="O372" s="17"/>
      <x:c r="P372" s="17"/>
      <x:c r="Q372" s="17"/>
      <x:c r="R372" s="17"/>
      <x:c r="S372" s="17"/>
      <x:c r="T372" s="17"/>
      <x:c r="U372" s="17"/>
      <x:c r="V372" s="17"/>
      <x:c r="W372" s="17"/>
      <x:c r="X372" s="17"/>
      <x:c r="Y372" s="17"/>
      <x:c r="Z372" s="17"/>
    </x:row>
    <x:row r="373">
      <x:c r="A373" s="17"/>
      <x:c r="B373" s="17"/>
      <x:c r="C373" s="17"/>
      <x:c r="D373" s="17"/>
      <x:c r="E373" s="17"/>
      <x:c r="F373" s="17"/>
      <x:c r="G373" s="17"/>
      <x:c r="H373" s="17"/>
      <x:c r="I373" s="17"/>
      <x:c r="J373" s="17"/>
      <x:c r="K373" s="17"/>
      <x:c r="L373" s="17"/>
      <x:c r="M373" s="17"/>
      <x:c r="N373" s="17"/>
      <x:c r="O373" s="17"/>
      <x:c r="P373" s="17"/>
      <x:c r="Q373" s="17"/>
      <x:c r="R373" s="17"/>
      <x:c r="S373" s="17"/>
      <x:c r="T373" s="17"/>
      <x:c r="U373" s="17"/>
      <x:c r="V373" s="17"/>
      <x:c r="W373" s="17"/>
      <x:c r="X373" s="17"/>
      <x:c r="Y373" s="17"/>
      <x:c r="Z373" s="17"/>
    </x:row>
    <x:row r="374">
      <x:c r="A374" s="17"/>
      <x:c r="B374" s="17"/>
      <x:c r="C374" s="17"/>
      <x:c r="D374" s="17"/>
      <x:c r="E374" s="17"/>
      <x:c r="F374" s="17"/>
      <x:c r="G374" s="17"/>
      <x:c r="H374" s="17"/>
      <x:c r="I374" s="17"/>
      <x:c r="J374" s="17"/>
      <x:c r="K374" s="17"/>
      <x:c r="L374" s="17"/>
      <x:c r="M374" s="17"/>
      <x:c r="N374" s="17"/>
      <x:c r="O374" s="17"/>
      <x:c r="P374" s="17"/>
      <x:c r="Q374" s="17"/>
      <x:c r="R374" s="17"/>
      <x:c r="S374" s="17"/>
      <x:c r="T374" s="17"/>
      <x:c r="U374" s="17"/>
      <x:c r="V374" s="17"/>
      <x:c r="W374" s="17"/>
      <x:c r="X374" s="17"/>
      <x:c r="Y374" s="17"/>
      <x:c r="Z374" s="17"/>
    </x:row>
    <x:row r="375">
      <x:c r="A375" s="17"/>
      <x:c r="B375" s="17"/>
      <x:c r="C375" s="17"/>
      <x:c r="D375" s="17"/>
      <x:c r="E375" s="17"/>
      <x:c r="F375" s="17"/>
      <x:c r="G375" s="17"/>
      <x:c r="H375" s="17"/>
      <x:c r="I375" s="17"/>
      <x:c r="J375" s="17"/>
      <x:c r="K375" s="17"/>
      <x:c r="L375" s="17"/>
      <x:c r="M375" s="17"/>
      <x:c r="N375" s="17"/>
      <x:c r="O375" s="17"/>
      <x:c r="P375" s="17"/>
      <x:c r="Q375" s="17"/>
      <x:c r="R375" s="17"/>
      <x:c r="S375" s="17"/>
      <x:c r="T375" s="17"/>
      <x:c r="U375" s="17"/>
      <x:c r="V375" s="17"/>
      <x:c r="W375" s="17"/>
      <x:c r="X375" s="17"/>
      <x:c r="Y375" s="17"/>
      <x:c r="Z375" s="17"/>
    </x:row>
    <x:row r="376">
      <x:c r="A376" s="17"/>
      <x:c r="B376" s="17"/>
      <x:c r="C376" s="17"/>
      <x:c r="D376" s="17"/>
      <x:c r="E376" s="17"/>
      <x:c r="F376" s="17"/>
      <x:c r="G376" s="17"/>
      <x:c r="H376" s="17"/>
      <x:c r="I376" s="17"/>
      <x:c r="J376" s="17"/>
      <x:c r="K376" s="17"/>
      <x:c r="L376" s="17"/>
      <x:c r="M376" s="17"/>
      <x:c r="N376" s="17"/>
      <x:c r="O376" s="17"/>
      <x:c r="P376" s="17"/>
      <x:c r="Q376" s="17"/>
      <x:c r="R376" s="17"/>
      <x:c r="S376" s="17"/>
      <x:c r="T376" s="17"/>
      <x:c r="U376" s="17"/>
      <x:c r="V376" s="17"/>
      <x:c r="W376" s="17"/>
      <x:c r="X376" s="17"/>
      <x:c r="Y376" s="17"/>
      <x:c r="Z376" s="17"/>
    </x:row>
    <x:row r="377">
      <x:c r="A377" s="17"/>
      <x:c r="B377" s="17"/>
      <x:c r="C377" s="17"/>
      <x:c r="D377" s="17"/>
      <x:c r="E377" s="17"/>
      <x:c r="F377" s="17"/>
      <x:c r="G377" s="17"/>
      <x:c r="H377" s="17"/>
      <x:c r="I377" s="17"/>
      <x:c r="J377" s="17"/>
      <x:c r="K377" s="17"/>
      <x:c r="L377" s="17"/>
      <x:c r="M377" s="17"/>
      <x:c r="N377" s="17"/>
      <x:c r="O377" s="17"/>
      <x:c r="P377" s="17"/>
      <x:c r="Q377" s="17"/>
      <x:c r="R377" s="17"/>
      <x:c r="S377" s="17"/>
      <x:c r="T377" s="17"/>
      <x:c r="U377" s="17"/>
      <x:c r="V377" s="17"/>
      <x:c r="W377" s="17"/>
      <x:c r="X377" s="17"/>
      <x:c r="Y377" s="17"/>
      <x:c r="Z377" s="17"/>
    </x:row>
    <x:row r="378">
      <x:c r="A378" s="17"/>
      <x:c r="B378" s="17"/>
      <x:c r="C378" s="17"/>
      <x:c r="D378" s="17"/>
      <x:c r="E378" s="17"/>
      <x:c r="F378" s="17"/>
      <x:c r="G378" s="17"/>
      <x:c r="H378" s="17"/>
      <x:c r="I378" s="17"/>
      <x:c r="J378" s="17"/>
      <x:c r="K378" s="17"/>
      <x:c r="L378" s="17"/>
      <x:c r="M378" s="17"/>
      <x:c r="N378" s="17"/>
      <x:c r="O378" s="17"/>
      <x:c r="P378" s="17"/>
      <x:c r="Q378" s="17"/>
      <x:c r="R378" s="17"/>
      <x:c r="S378" s="17"/>
      <x:c r="T378" s="17"/>
      <x:c r="U378" s="17"/>
      <x:c r="V378" s="17"/>
      <x:c r="W378" s="17"/>
      <x:c r="X378" s="17"/>
      <x:c r="Y378" s="17"/>
      <x:c r="Z378" s="17"/>
    </x:row>
    <x:row r="379">
      <x:c r="A379" s="17"/>
      <x:c r="B379" s="17"/>
      <x:c r="C379" s="17"/>
      <x:c r="D379" s="17"/>
      <x:c r="E379" s="17"/>
      <x:c r="F379" s="17"/>
      <x:c r="G379" s="17"/>
      <x:c r="H379" s="17"/>
      <x:c r="I379" s="17"/>
      <x:c r="J379" s="17"/>
      <x:c r="K379" s="17"/>
      <x:c r="L379" s="17"/>
      <x:c r="M379" s="17"/>
      <x:c r="N379" s="17"/>
      <x:c r="O379" s="17"/>
      <x:c r="P379" s="17"/>
      <x:c r="Q379" s="17"/>
      <x:c r="R379" s="17"/>
      <x:c r="S379" s="17"/>
      <x:c r="T379" s="17"/>
      <x:c r="U379" s="17"/>
      <x:c r="V379" s="17"/>
      <x:c r="W379" s="17"/>
      <x:c r="X379" s="17"/>
      <x:c r="Y379" s="17"/>
      <x:c r="Z379" s="17"/>
    </x:row>
    <x:row r="380">
      <x:c r="A380" s="17"/>
      <x:c r="B380" s="17"/>
      <x:c r="C380" s="17"/>
      <x:c r="D380" s="17"/>
      <x:c r="E380" s="17"/>
      <x:c r="F380" s="17"/>
      <x:c r="G380" s="17"/>
      <x:c r="H380" s="17"/>
      <x:c r="I380" s="17"/>
      <x:c r="J380" s="17"/>
      <x:c r="K380" s="17"/>
      <x:c r="L380" s="17"/>
      <x:c r="M380" s="17"/>
      <x:c r="N380" s="17"/>
      <x:c r="O380" s="17"/>
      <x:c r="P380" s="17"/>
      <x:c r="Q380" s="17"/>
      <x:c r="R380" s="17"/>
      <x:c r="S380" s="17"/>
      <x:c r="T380" s="17"/>
      <x:c r="U380" s="17"/>
      <x:c r="V380" s="17"/>
      <x:c r="W380" s="17"/>
      <x:c r="X380" s="17"/>
      <x:c r="Y380" s="17"/>
      <x:c r="Z380" s="17"/>
    </x:row>
    <x:row r="381">
      <x:c r="A381" s="17"/>
      <x:c r="B381" s="17"/>
      <x:c r="C381" s="17"/>
      <x:c r="D381" s="17"/>
      <x:c r="E381" s="17"/>
      <x:c r="F381" s="17"/>
      <x:c r="G381" s="17"/>
      <x:c r="H381" s="17"/>
      <x:c r="I381" s="17"/>
      <x:c r="J381" s="17"/>
      <x:c r="K381" s="17"/>
      <x:c r="L381" s="17"/>
      <x:c r="M381" s="17"/>
      <x:c r="N381" s="17"/>
      <x:c r="O381" s="17"/>
      <x:c r="P381" s="17"/>
      <x:c r="Q381" s="17"/>
      <x:c r="R381" s="17"/>
      <x:c r="S381" s="17"/>
      <x:c r="T381" s="17"/>
      <x:c r="U381" s="17"/>
      <x:c r="V381" s="17"/>
      <x:c r="W381" s="17"/>
      <x:c r="X381" s="17"/>
      <x:c r="Y381" s="17"/>
      <x:c r="Z381" s="17"/>
    </x:row>
    <x:row r="382">
      <x:c r="A382" s="17"/>
      <x:c r="B382" s="17"/>
      <x:c r="C382" s="17"/>
      <x:c r="D382" s="17"/>
      <x:c r="E382" s="17"/>
      <x:c r="F382" s="17"/>
      <x:c r="G382" s="17"/>
      <x:c r="H382" s="17"/>
      <x:c r="I382" s="17"/>
      <x:c r="J382" s="17"/>
      <x:c r="K382" s="17"/>
      <x:c r="L382" s="17"/>
      <x:c r="M382" s="17"/>
      <x:c r="N382" s="17"/>
      <x:c r="O382" s="17"/>
      <x:c r="P382" s="17"/>
      <x:c r="Q382" s="17"/>
      <x:c r="R382" s="17"/>
      <x:c r="S382" s="17"/>
      <x:c r="T382" s="17"/>
      <x:c r="U382" s="17"/>
      <x:c r="V382" s="17"/>
      <x:c r="W382" s="17"/>
      <x:c r="X382" s="17"/>
      <x:c r="Y382" s="17"/>
      <x:c r="Z382" s="17"/>
    </x:row>
    <x:row r="383">
      <x:c r="A383" s="17"/>
      <x:c r="B383" s="17"/>
      <x:c r="C383" s="17"/>
      <x:c r="D383" s="17"/>
      <x:c r="E383" s="17"/>
      <x:c r="F383" s="17"/>
      <x:c r="G383" s="17"/>
      <x:c r="H383" s="17"/>
      <x:c r="I383" s="17"/>
      <x:c r="J383" s="17"/>
      <x:c r="K383" s="17"/>
      <x:c r="L383" s="17"/>
      <x:c r="M383" s="17"/>
      <x:c r="N383" s="17"/>
      <x:c r="O383" s="17"/>
      <x:c r="P383" s="17"/>
      <x:c r="Q383" s="17"/>
      <x:c r="R383" s="17"/>
      <x:c r="S383" s="17"/>
      <x:c r="T383" s="17"/>
      <x:c r="U383" s="17"/>
      <x:c r="V383" s="17"/>
      <x:c r="W383" s="17"/>
      <x:c r="X383" s="17"/>
      <x:c r="Y383" s="17"/>
      <x:c r="Z383" s="17"/>
    </x:row>
    <x:row r="384">
      <x:c r="A384" s="17"/>
      <x:c r="B384" s="17"/>
      <x:c r="C384" s="17"/>
      <x:c r="D384" s="17"/>
      <x:c r="E384" s="17"/>
      <x:c r="F384" s="17"/>
      <x:c r="G384" s="17"/>
      <x:c r="H384" s="17"/>
      <x:c r="I384" s="17"/>
      <x:c r="J384" s="17"/>
      <x:c r="K384" s="17"/>
      <x:c r="L384" s="17"/>
      <x:c r="M384" s="17"/>
      <x:c r="N384" s="17"/>
      <x:c r="O384" s="17"/>
      <x:c r="P384" s="17"/>
      <x:c r="Q384" s="17"/>
      <x:c r="R384" s="17"/>
      <x:c r="S384" s="17"/>
      <x:c r="T384" s="17"/>
      <x:c r="U384" s="17"/>
      <x:c r="V384" s="17"/>
      <x:c r="W384" s="17"/>
      <x:c r="X384" s="17"/>
      <x:c r="Y384" s="17"/>
      <x:c r="Z384" s="17"/>
    </x:row>
    <x:row r="385">
      <x:c r="A385" s="17"/>
      <x:c r="B385" s="17"/>
      <x:c r="C385" s="17"/>
      <x:c r="D385" s="17"/>
      <x:c r="E385" s="17"/>
      <x:c r="F385" s="17"/>
      <x:c r="G385" s="17"/>
      <x:c r="H385" s="17"/>
      <x:c r="I385" s="17"/>
      <x:c r="J385" s="17"/>
      <x:c r="K385" s="17"/>
      <x:c r="L385" s="17"/>
      <x:c r="M385" s="17"/>
      <x:c r="N385" s="17"/>
      <x:c r="O385" s="17"/>
      <x:c r="P385" s="17"/>
      <x:c r="Q385" s="17"/>
      <x:c r="R385" s="17"/>
      <x:c r="S385" s="17"/>
      <x:c r="T385" s="17"/>
      <x:c r="U385" s="17"/>
      <x:c r="V385" s="17"/>
      <x:c r="W385" s="17"/>
      <x:c r="X385" s="17"/>
      <x:c r="Y385" s="17"/>
      <x:c r="Z385" s="17"/>
    </x:row>
    <x:row r="386">
      <x:c r="A386" s="17"/>
      <x:c r="B386" s="17"/>
      <x:c r="C386" s="17"/>
      <x:c r="D386" s="17"/>
      <x:c r="E386" s="17"/>
      <x:c r="F386" s="17"/>
      <x:c r="G386" s="17"/>
      <x:c r="H386" s="17"/>
      <x:c r="I386" s="17"/>
      <x:c r="J386" s="17"/>
      <x:c r="K386" s="17"/>
      <x:c r="L386" s="17"/>
      <x:c r="M386" s="17"/>
      <x:c r="N386" s="17"/>
      <x:c r="O386" s="17"/>
      <x:c r="P386" s="17"/>
      <x:c r="Q386" s="17"/>
      <x:c r="R386" s="17"/>
      <x:c r="S386" s="17"/>
      <x:c r="T386" s="17"/>
      <x:c r="U386" s="17"/>
      <x:c r="V386" s="17"/>
      <x:c r="W386" s="17"/>
      <x:c r="X386" s="17"/>
      <x:c r="Y386" s="17"/>
      <x:c r="Z386" s="17"/>
    </x:row>
    <x:row r="387">
      <x:c r="A387" s="17"/>
      <x:c r="B387" s="17"/>
      <x:c r="C387" s="17"/>
      <x:c r="D387" s="17"/>
      <x:c r="E387" s="17"/>
      <x:c r="F387" s="17"/>
      <x:c r="G387" s="17"/>
      <x:c r="H387" s="17"/>
      <x:c r="I387" s="17"/>
      <x:c r="J387" s="17"/>
      <x:c r="K387" s="17"/>
      <x:c r="L387" s="17"/>
      <x:c r="M387" s="17"/>
      <x:c r="N387" s="17"/>
      <x:c r="O387" s="17"/>
      <x:c r="P387" s="17"/>
      <x:c r="Q387" s="17"/>
      <x:c r="R387" s="17"/>
      <x:c r="S387" s="17"/>
      <x:c r="T387" s="17"/>
      <x:c r="U387" s="17"/>
      <x:c r="V387" s="17"/>
      <x:c r="W387" s="17"/>
      <x:c r="X387" s="17"/>
      <x:c r="Y387" s="17"/>
      <x:c r="Z387" s="17"/>
    </x:row>
    <x:row r="388">
      <x:c r="A388" s="17"/>
      <x:c r="B388" s="17"/>
      <x:c r="C388" s="17"/>
      <x:c r="D388" s="17"/>
      <x:c r="E388" s="17"/>
      <x:c r="F388" s="17"/>
      <x:c r="G388" s="17"/>
      <x:c r="H388" s="17"/>
      <x:c r="I388" s="17"/>
      <x:c r="J388" s="17"/>
      <x:c r="K388" s="17"/>
      <x:c r="L388" s="17"/>
      <x:c r="M388" s="17"/>
      <x:c r="N388" s="17"/>
      <x:c r="O388" s="17"/>
      <x:c r="P388" s="17"/>
      <x:c r="Q388" s="17"/>
      <x:c r="R388" s="17"/>
      <x:c r="S388" s="17"/>
      <x:c r="T388" s="17"/>
      <x:c r="U388" s="17"/>
      <x:c r="V388" s="17"/>
      <x:c r="W388" s="17"/>
      <x:c r="X388" s="17"/>
      <x:c r="Y388" s="17"/>
      <x:c r="Z388" s="17"/>
    </x:row>
    <x:row r="389">
      <x:c r="A389" s="17"/>
      <x:c r="B389" s="17"/>
      <x:c r="C389" s="17"/>
      <x:c r="D389" s="17"/>
      <x:c r="E389" s="17"/>
      <x:c r="F389" s="17"/>
      <x:c r="G389" s="17"/>
      <x:c r="H389" s="17"/>
      <x:c r="I389" s="17"/>
      <x:c r="J389" s="17"/>
      <x:c r="K389" s="17"/>
      <x:c r="L389" s="17"/>
      <x:c r="M389" s="17"/>
      <x:c r="N389" s="17"/>
      <x:c r="O389" s="17"/>
      <x:c r="P389" s="17"/>
      <x:c r="Q389" s="17"/>
      <x:c r="R389" s="17"/>
      <x:c r="S389" s="17"/>
      <x:c r="T389" s="17"/>
      <x:c r="U389" s="17"/>
      <x:c r="V389" s="17"/>
      <x:c r="W389" s="17"/>
      <x:c r="X389" s="17"/>
      <x:c r="Y389" s="17"/>
      <x:c r="Z389" s="17"/>
    </x:row>
    <x:row r="390">
      <x:c r="A390" s="17"/>
      <x:c r="B390" s="17"/>
      <x:c r="C390" s="17"/>
      <x:c r="D390" s="17"/>
      <x:c r="E390" s="17"/>
      <x:c r="F390" s="17"/>
      <x:c r="G390" s="17"/>
      <x:c r="H390" s="17"/>
      <x:c r="I390" s="17"/>
      <x:c r="J390" s="17"/>
      <x:c r="K390" s="17"/>
      <x:c r="L390" s="17"/>
      <x:c r="M390" s="17"/>
      <x:c r="N390" s="17"/>
      <x:c r="O390" s="17"/>
      <x:c r="P390" s="17"/>
      <x:c r="Q390" s="17"/>
      <x:c r="R390" s="17"/>
      <x:c r="S390" s="17"/>
      <x:c r="T390" s="17"/>
      <x:c r="U390" s="17"/>
      <x:c r="V390" s="17"/>
      <x:c r="W390" s="17"/>
      <x:c r="X390" s="17"/>
      <x:c r="Y390" s="17"/>
      <x:c r="Z390" s="17"/>
    </x:row>
    <x:row r="391">
      <x:c r="A391" s="17"/>
      <x:c r="B391" s="17"/>
      <x:c r="C391" s="17"/>
      <x:c r="D391" s="17"/>
      <x:c r="E391" s="17"/>
      <x:c r="F391" s="17"/>
      <x:c r="G391" s="17"/>
      <x:c r="H391" s="17"/>
      <x:c r="I391" s="17"/>
      <x:c r="J391" s="17"/>
      <x:c r="K391" s="17"/>
      <x:c r="L391" s="17"/>
      <x:c r="M391" s="17"/>
      <x:c r="N391" s="17"/>
      <x:c r="O391" s="17"/>
      <x:c r="P391" s="17"/>
      <x:c r="Q391" s="17"/>
      <x:c r="R391" s="17"/>
      <x:c r="S391" s="17"/>
      <x:c r="T391" s="17"/>
      <x:c r="U391" s="17"/>
      <x:c r="V391" s="17"/>
      <x:c r="W391" s="17"/>
      <x:c r="X391" s="17"/>
      <x:c r="Y391" s="17"/>
      <x:c r="Z391" s="17"/>
    </x:row>
    <x:row r="392">
      <x:c r="A392" s="17"/>
      <x:c r="B392" s="17"/>
      <x:c r="C392" s="17"/>
      <x:c r="D392" s="17"/>
      <x:c r="E392" s="17"/>
      <x:c r="F392" s="17"/>
      <x:c r="G392" s="17"/>
      <x:c r="H392" s="17"/>
      <x:c r="I392" s="17"/>
      <x:c r="J392" s="17"/>
      <x:c r="K392" s="17"/>
      <x:c r="L392" s="17"/>
      <x:c r="M392" s="17"/>
      <x:c r="N392" s="17"/>
      <x:c r="O392" s="17"/>
      <x:c r="P392" s="17"/>
      <x:c r="Q392" s="17"/>
      <x:c r="R392" s="17"/>
      <x:c r="S392" s="17"/>
      <x:c r="T392" s="17"/>
      <x:c r="U392" s="17"/>
      <x:c r="V392" s="17"/>
      <x:c r="W392" s="17"/>
      <x:c r="X392" s="17"/>
      <x:c r="Y392" s="17"/>
      <x:c r="Z392" s="17"/>
    </x:row>
    <x:row r="393">
      <x:c r="A393" s="17"/>
      <x:c r="B393" s="17"/>
      <x:c r="C393" s="17"/>
      <x:c r="D393" s="17"/>
      <x:c r="E393" s="17"/>
      <x:c r="F393" s="17"/>
      <x:c r="G393" s="17"/>
      <x:c r="H393" s="17"/>
      <x:c r="I393" s="17"/>
      <x:c r="J393" s="17"/>
      <x:c r="K393" s="17"/>
      <x:c r="L393" s="17"/>
      <x:c r="M393" s="17"/>
      <x:c r="N393" s="17"/>
      <x:c r="O393" s="17"/>
      <x:c r="P393" s="17"/>
      <x:c r="Q393" s="17"/>
      <x:c r="R393" s="17"/>
      <x:c r="S393" s="17"/>
      <x:c r="T393" s="17"/>
      <x:c r="U393" s="17"/>
      <x:c r="V393" s="17"/>
      <x:c r="W393" s="17"/>
      <x:c r="X393" s="17"/>
      <x:c r="Y393" s="17"/>
      <x:c r="Z393" s="17"/>
    </x:row>
    <x:row r="394">
      <x:c r="A394" s="17"/>
      <x:c r="B394" s="17"/>
      <x:c r="C394" s="17"/>
      <x:c r="D394" s="17"/>
      <x:c r="E394" s="17"/>
      <x:c r="F394" s="17"/>
      <x:c r="G394" s="17"/>
      <x:c r="H394" s="17"/>
      <x:c r="I394" s="17"/>
      <x:c r="J394" s="17"/>
      <x:c r="K394" s="17"/>
      <x:c r="L394" s="17"/>
      <x:c r="M394" s="17"/>
      <x:c r="N394" s="17"/>
      <x:c r="O394" s="17"/>
      <x:c r="P394" s="17"/>
      <x:c r="Q394" s="17"/>
      <x:c r="R394" s="17"/>
      <x:c r="S394" s="17"/>
      <x:c r="T394" s="17"/>
      <x:c r="U394" s="17"/>
      <x:c r="V394" s="17"/>
      <x:c r="W394" s="17"/>
      <x:c r="X394" s="17"/>
      <x:c r="Y394" s="17"/>
      <x:c r="Z394" s="17"/>
    </x:row>
    <x:row r="395">
      <x:c r="A395" s="17"/>
      <x:c r="B395" s="17"/>
      <x:c r="C395" s="17"/>
      <x:c r="D395" s="17"/>
      <x:c r="E395" s="17"/>
      <x:c r="F395" s="17"/>
      <x:c r="G395" s="17"/>
      <x:c r="H395" s="17"/>
      <x:c r="I395" s="17"/>
      <x:c r="J395" s="17"/>
      <x:c r="K395" s="17"/>
      <x:c r="L395" s="17"/>
      <x:c r="M395" s="17"/>
      <x:c r="N395" s="17"/>
      <x:c r="O395" s="17"/>
      <x:c r="P395" s="17"/>
      <x:c r="Q395" s="17"/>
      <x:c r="R395" s="17"/>
      <x:c r="S395" s="17"/>
      <x:c r="T395" s="17"/>
      <x:c r="U395" s="17"/>
      <x:c r="V395" s="17"/>
      <x:c r="W395" s="17"/>
      <x:c r="X395" s="17"/>
      <x:c r="Y395" s="17"/>
      <x:c r="Z395" s="17"/>
    </x:row>
    <x:row r="396">
      <x:c r="A396" s="17"/>
      <x:c r="B396" s="17"/>
      <x:c r="C396" s="17"/>
      <x:c r="D396" s="17"/>
      <x:c r="E396" s="17"/>
      <x:c r="F396" s="17"/>
      <x:c r="G396" s="17"/>
      <x:c r="H396" s="17"/>
      <x:c r="I396" s="17"/>
      <x:c r="J396" s="17"/>
      <x:c r="K396" s="17"/>
      <x:c r="L396" s="17"/>
      <x:c r="M396" s="17"/>
      <x:c r="N396" s="17"/>
      <x:c r="O396" s="17"/>
      <x:c r="P396" s="17"/>
      <x:c r="Q396" s="17"/>
      <x:c r="R396" s="17"/>
      <x:c r="S396" s="17"/>
      <x:c r="T396" s="17"/>
      <x:c r="U396" s="17"/>
      <x:c r="V396" s="17"/>
      <x:c r="W396" s="17"/>
      <x:c r="X396" s="17"/>
      <x:c r="Y396" s="17"/>
      <x:c r="Z396" s="17"/>
    </x:row>
    <x:row r="397">
      <x:c r="A397" s="17"/>
      <x:c r="B397" s="17"/>
      <x:c r="C397" s="17"/>
      <x:c r="D397" s="17"/>
      <x:c r="E397" s="17"/>
      <x:c r="F397" s="17"/>
      <x:c r="G397" s="17"/>
      <x:c r="H397" s="17"/>
      <x:c r="I397" s="17"/>
      <x:c r="J397" s="17"/>
      <x:c r="K397" s="17"/>
      <x:c r="L397" s="17"/>
      <x:c r="M397" s="17"/>
      <x:c r="N397" s="17"/>
      <x:c r="O397" s="17"/>
      <x:c r="P397" s="17"/>
      <x:c r="Q397" s="17"/>
      <x:c r="R397" s="17"/>
      <x:c r="S397" s="17"/>
      <x:c r="T397" s="17"/>
      <x:c r="U397" s="17"/>
      <x:c r="V397" s="17"/>
      <x:c r="W397" s="17"/>
      <x:c r="X397" s="17"/>
      <x:c r="Y397" s="17"/>
      <x:c r="Z397" s="17"/>
    </x:row>
    <x:row r="398">
      <x:c r="A398" s="17"/>
      <x:c r="B398" s="17"/>
      <x:c r="C398" s="17"/>
      <x:c r="D398" s="17"/>
      <x:c r="E398" s="17"/>
      <x:c r="F398" s="17"/>
      <x:c r="G398" s="17"/>
      <x:c r="H398" s="17"/>
      <x:c r="I398" s="17"/>
      <x:c r="J398" s="17"/>
      <x:c r="K398" s="17"/>
      <x:c r="L398" s="17"/>
      <x:c r="M398" s="17"/>
      <x:c r="N398" s="17"/>
      <x:c r="O398" s="17"/>
      <x:c r="P398" s="17"/>
      <x:c r="Q398" s="17"/>
      <x:c r="R398" s="17"/>
      <x:c r="S398" s="17"/>
      <x:c r="T398" s="17"/>
      <x:c r="U398" s="17"/>
      <x:c r="V398" s="17"/>
      <x:c r="W398" s="17"/>
      <x:c r="X398" s="17"/>
      <x:c r="Y398" s="17"/>
      <x:c r="Z398" s="17"/>
    </x:row>
    <x:row r="399">
      <x:c r="A399" s="17"/>
      <x:c r="B399" s="17"/>
      <x:c r="C399" s="17"/>
      <x:c r="D399" s="17"/>
      <x:c r="E399" s="17"/>
      <x:c r="F399" s="17"/>
      <x:c r="G399" s="17"/>
      <x:c r="H399" s="17"/>
      <x:c r="I399" s="17"/>
      <x:c r="J399" s="17"/>
      <x:c r="K399" s="17"/>
      <x:c r="L399" s="17"/>
      <x:c r="M399" s="17"/>
      <x:c r="N399" s="17"/>
      <x:c r="O399" s="17"/>
      <x:c r="P399" s="17"/>
      <x:c r="Q399" s="17"/>
      <x:c r="R399" s="17"/>
      <x:c r="S399" s="17"/>
      <x:c r="T399" s="17"/>
      <x:c r="U399" s="17"/>
      <x:c r="V399" s="17"/>
      <x:c r="W399" s="17"/>
      <x:c r="X399" s="17"/>
      <x:c r="Y399" s="17"/>
      <x:c r="Z399" s="17"/>
    </x:row>
    <x:row r="400">
      <x:c r="A400" s="17"/>
      <x:c r="B400" s="17"/>
      <x:c r="C400" s="17"/>
      <x:c r="D400" s="17"/>
      <x:c r="E400" s="17"/>
      <x:c r="F400" s="17"/>
      <x:c r="G400" s="17"/>
      <x:c r="H400" s="17"/>
      <x:c r="I400" s="17"/>
      <x:c r="J400" s="17"/>
      <x:c r="K400" s="17"/>
      <x:c r="L400" s="17"/>
      <x:c r="M400" s="17"/>
      <x:c r="N400" s="17"/>
      <x:c r="O400" s="17"/>
      <x:c r="P400" s="17"/>
      <x:c r="Q400" s="17"/>
      <x:c r="R400" s="17"/>
      <x:c r="S400" s="17"/>
      <x:c r="T400" s="17"/>
      <x:c r="U400" s="17"/>
      <x:c r="V400" s="17"/>
      <x:c r="W400" s="17"/>
      <x:c r="X400" s="17"/>
      <x:c r="Y400" s="17"/>
      <x:c r="Z400" s="17"/>
    </x:row>
    <x:row r="401">
      <x:c r="A401" s="17"/>
      <x:c r="B401" s="17"/>
      <x:c r="C401" s="17"/>
      <x:c r="D401" s="17"/>
      <x:c r="E401" s="17"/>
      <x:c r="F401" s="17"/>
      <x:c r="G401" s="17"/>
      <x:c r="H401" s="17"/>
      <x:c r="I401" s="17"/>
      <x:c r="J401" s="17"/>
      <x:c r="K401" s="17"/>
      <x:c r="L401" s="17"/>
      <x:c r="M401" s="17"/>
      <x:c r="N401" s="17"/>
      <x:c r="O401" s="17"/>
      <x:c r="P401" s="17"/>
      <x:c r="Q401" s="17"/>
      <x:c r="R401" s="17"/>
      <x:c r="S401" s="17"/>
      <x:c r="T401" s="17"/>
      <x:c r="U401" s="17"/>
      <x:c r="V401" s="17"/>
      <x:c r="W401" s="17"/>
      <x:c r="X401" s="17"/>
      <x:c r="Y401" s="17"/>
      <x:c r="Z401" s="17"/>
    </x:row>
    <x:row r="402">
      <x:c r="A402" s="17"/>
      <x:c r="B402" s="17"/>
      <x:c r="C402" s="17"/>
      <x:c r="D402" s="17"/>
      <x:c r="E402" s="17"/>
      <x:c r="F402" s="17"/>
      <x:c r="G402" s="17"/>
      <x:c r="H402" s="17"/>
      <x:c r="I402" s="17"/>
      <x:c r="J402" s="17"/>
      <x:c r="K402" s="17"/>
      <x:c r="L402" s="17"/>
      <x:c r="M402" s="17"/>
      <x:c r="N402" s="17"/>
      <x:c r="O402" s="17"/>
      <x:c r="P402" s="17"/>
      <x:c r="Q402" s="17"/>
      <x:c r="R402" s="17"/>
      <x:c r="S402" s="17"/>
      <x:c r="T402" s="17"/>
      <x:c r="U402" s="17"/>
      <x:c r="V402" s="17"/>
      <x:c r="W402" s="17"/>
      <x:c r="X402" s="17"/>
      <x:c r="Y402" s="17"/>
      <x:c r="Z402" s="17"/>
    </x:row>
    <x:row r="403">
      <x:c r="A403" s="17"/>
      <x:c r="B403" s="17"/>
      <x:c r="C403" s="17"/>
      <x:c r="D403" s="17"/>
      <x:c r="E403" s="17"/>
      <x:c r="F403" s="17"/>
      <x:c r="G403" s="17"/>
      <x:c r="H403" s="17"/>
      <x:c r="I403" s="17"/>
      <x:c r="J403" s="17"/>
      <x:c r="K403" s="17"/>
      <x:c r="L403" s="17"/>
      <x:c r="M403" s="17"/>
      <x:c r="N403" s="17"/>
      <x:c r="O403" s="17"/>
      <x:c r="P403" s="17"/>
      <x:c r="Q403" s="17"/>
      <x:c r="R403" s="17"/>
      <x:c r="S403" s="17"/>
      <x:c r="T403" s="17"/>
      <x:c r="U403" s="17"/>
      <x:c r="V403" s="17"/>
      <x:c r="W403" s="17"/>
      <x:c r="X403" s="17"/>
      <x:c r="Y403" s="17"/>
      <x:c r="Z403" s="17"/>
    </x:row>
    <x:row r="404">
      <x:c r="A404" s="17"/>
      <x:c r="B404" s="17"/>
      <x:c r="C404" s="17"/>
      <x:c r="D404" s="17"/>
      <x:c r="E404" s="17"/>
      <x:c r="F404" s="17"/>
      <x:c r="G404" s="17"/>
      <x:c r="H404" s="17"/>
      <x:c r="I404" s="17"/>
      <x:c r="J404" s="17"/>
      <x:c r="K404" s="17"/>
      <x:c r="L404" s="17"/>
      <x:c r="M404" s="17"/>
      <x:c r="N404" s="17"/>
      <x:c r="O404" s="17"/>
      <x:c r="P404" s="17"/>
      <x:c r="Q404" s="17"/>
      <x:c r="R404" s="17"/>
      <x:c r="S404" s="17"/>
      <x:c r="T404" s="17"/>
      <x:c r="U404" s="17"/>
      <x:c r="V404" s="17"/>
      <x:c r="W404" s="17"/>
      <x:c r="X404" s="17"/>
      <x:c r="Y404" s="17"/>
      <x:c r="Z404" s="17"/>
    </x:row>
    <x:row r="405">
      <x:c r="A405" s="17"/>
      <x:c r="B405" s="17"/>
      <x:c r="C405" s="17"/>
      <x:c r="D405" s="17"/>
      <x:c r="E405" s="17"/>
      <x:c r="F405" s="17"/>
      <x:c r="G405" s="17"/>
      <x:c r="H405" s="17"/>
      <x:c r="I405" s="17"/>
      <x:c r="J405" s="17"/>
      <x:c r="K405" s="17"/>
      <x:c r="L405" s="17"/>
      <x:c r="M405" s="17"/>
      <x:c r="N405" s="17"/>
      <x:c r="O405" s="17"/>
      <x:c r="P405" s="17"/>
      <x:c r="Q405" s="17"/>
      <x:c r="R405" s="17"/>
      <x:c r="S405" s="17"/>
      <x:c r="T405" s="17"/>
      <x:c r="U405" s="17"/>
      <x:c r="V405" s="17"/>
      <x:c r="W405" s="17"/>
      <x:c r="X405" s="17"/>
      <x:c r="Y405" s="17"/>
      <x:c r="Z405" s="17"/>
    </x:row>
    <x:row r="406">
      <x:c r="A406" s="17"/>
      <x:c r="B406" s="17"/>
      <x:c r="C406" s="17"/>
      <x:c r="D406" s="17"/>
      <x:c r="E406" s="17"/>
      <x:c r="F406" s="17"/>
      <x:c r="G406" s="17"/>
      <x:c r="H406" s="17"/>
      <x:c r="I406" s="17"/>
      <x:c r="J406" s="17"/>
      <x:c r="K406" s="17"/>
      <x:c r="L406" s="17"/>
      <x:c r="M406" s="17"/>
      <x:c r="N406" s="17"/>
      <x:c r="O406" s="17"/>
      <x:c r="P406" s="17"/>
      <x:c r="Q406" s="17"/>
      <x:c r="R406" s="17"/>
      <x:c r="S406" s="17"/>
      <x:c r="T406" s="17"/>
      <x:c r="U406" s="17"/>
      <x:c r="V406" s="17"/>
      <x:c r="W406" s="17"/>
      <x:c r="X406" s="17"/>
      <x:c r="Y406" s="17"/>
      <x:c r="Z406" s="17"/>
    </x:row>
    <x:row r="407">
      <x:c r="A407" s="17"/>
      <x:c r="B407" s="17"/>
      <x:c r="C407" s="17"/>
      <x:c r="D407" s="17"/>
      <x:c r="E407" s="17"/>
      <x:c r="F407" s="17"/>
      <x:c r="G407" s="17"/>
      <x:c r="H407" s="17"/>
      <x:c r="I407" s="17"/>
      <x:c r="J407" s="17"/>
      <x:c r="K407" s="17"/>
      <x:c r="L407" s="17"/>
      <x:c r="M407" s="17"/>
      <x:c r="N407" s="17"/>
      <x:c r="O407" s="17"/>
      <x:c r="P407" s="17"/>
      <x:c r="Q407" s="17"/>
      <x:c r="R407" s="17"/>
      <x:c r="S407" s="17"/>
      <x:c r="T407" s="17"/>
      <x:c r="U407" s="17"/>
      <x:c r="V407" s="17"/>
      <x:c r="W407" s="17"/>
      <x:c r="X407" s="17"/>
      <x:c r="Y407" s="17"/>
      <x:c r="Z407" s="17"/>
    </x:row>
    <x:row r="408">
      <x:c r="A408" s="17"/>
      <x:c r="B408" s="17"/>
      <x:c r="C408" s="17"/>
      <x:c r="D408" s="17"/>
      <x:c r="E408" s="17"/>
      <x:c r="F408" s="17"/>
      <x:c r="G408" s="17"/>
      <x:c r="H408" s="17"/>
      <x:c r="I408" s="17"/>
      <x:c r="J408" s="17"/>
      <x:c r="K408" s="17"/>
      <x:c r="L408" s="17"/>
      <x:c r="M408" s="17"/>
      <x:c r="N408" s="17"/>
      <x:c r="O408" s="17"/>
      <x:c r="P408" s="17"/>
      <x:c r="Q408" s="17"/>
      <x:c r="R408" s="17"/>
      <x:c r="S408" s="17"/>
      <x:c r="T408" s="17"/>
      <x:c r="U408" s="17"/>
      <x:c r="V408" s="17"/>
      <x:c r="W408" s="17"/>
      <x:c r="X408" s="17"/>
      <x:c r="Y408" s="17"/>
      <x:c r="Z408" s="17"/>
    </x:row>
    <x:row r="409">
      <x:c r="A409" s="17"/>
      <x:c r="B409" s="17"/>
      <x:c r="C409" s="17"/>
      <x:c r="D409" s="17"/>
      <x:c r="E409" s="17"/>
      <x:c r="F409" s="17"/>
      <x:c r="G409" s="17"/>
      <x:c r="H409" s="17"/>
      <x:c r="I409" s="17"/>
      <x:c r="J409" s="17"/>
      <x:c r="K409" s="17"/>
      <x:c r="L409" s="17"/>
      <x:c r="M409" s="17"/>
      <x:c r="N409" s="17"/>
      <x:c r="O409" s="17"/>
      <x:c r="P409" s="17"/>
      <x:c r="Q409" s="17"/>
      <x:c r="R409" s="17"/>
      <x:c r="S409" s="17"/>
      <x:c r="T409" s="17"/>
      <x:c r="U409" s="17"/>
      <x:c r="V409" s="17"/>
      <x:c r="W409" s="17"/>
      <x:c r="X409" s="17"/>
      <x:c r="Y409" s="17"/>
      <x:c r="Z409" s="17"/>
    </x:row>
    <x:row r="410">
      <x:c r="A410" s="17"/>
      <x:c r="B410" s="17"/>
      <x:c r="C410" s="17"/>
      <x:c r="D410" s="17"/>
      <x:c r="E410" s="17"/>
      <x:c r="F410" s="17"/>
      <x:c r="G410" s="17"/>
      <x:c r="H410" s="17"/>
      <x:c r="I410" s="17"/>
      <x:c r="J410" s="17"/>
      <x:c r="K410" s="17"/>
      <x:c r="L410" s="17"/>
      <x:c r="M410" s="17"/>
      <x:c r="N410" s="17"/>
      <x:c r="O410" s="17"/>
      <x:c r="P410" s="17"/>
      <x:c r="Q410" s="17"/>
      <x:c r="R410" s="17"/>
      <x:c r="S410" s="17"/>
      <x:c r="T410" s="17"/>
      <x:c r="U410" s="17"/>
      <x:c r="V410" s="17"/>
      <x:c r="W410" s="17"/>
      <x:c r="X410" s="17"/>
      <x:c r="Y410" s="17"/>
      <x:c r="Z410" s="17"/>
    </x:row>
    <x:row r="411">
      <x:c r="A411" s="17"/>
      <x:c r="B411" s="17"/>
      <x:c r="C411" s="17"/>
      <x:c r="D411" s="17"/>
      <x:c r="E411" s="17"/>
      <x:c r="F411" s="17"/>
      <x:c r="G411" s="17"/>
      <x:c r="H411" s="17"/>
      <x:c r="I411" s="17"/>
      <x:c r="J411" s="17"/>
      <x:c r="K411" s="17"/>
      <x:c r="L411" s="17"/>
      <x:c r="M411" s="17"/>
      <x:c r="N411" s="17"/>
      <x:c r="O411" s="17"/>
      <x:c r="P411" s="17"/>
      <x:c r="Q411" s="17"/>
      <x:c r="R411" s="17"/>
      <x:c r="S411" s="17"/>
      <x:c r="T411" s="17"/>
      <x:c r="U411" s="17"/>
      <x:c r="V411" s="17"/>
      <x:c r="W411" s="17"/>
      <x:c r="X411" s="17"/>
      <x:c r="Y411" s="17"/>
      <x:c r="Z411" s="17"/>
    </x:row>
    <x:row r="412">
      <x:c r="A412" s="17"/>
      <x:c r="B412" s="17"/>
      <x:c r="C412" s="17"/>
      <x:c r="D412" s="17"/>
      <x:c r="E412" s="17"/>
      <x:c r="F412" s="17"/>
      <x:c r="G412" s="17"/>
      <x:c r="H412" s="17"/>
      <x:c r="I412" s="17"/>
      <x:c r="J412" s="17"/>
      <x:c r="K412" s="17"/>
      <x:c r="L412" s="17"/>
      <x:c r="M412" s="17"/>
      <x:c r="N412" s="17"/>
      <x:c r="O412" s="17"/>
      <x:c r="P412" s="17"/>
      <x:c r="Q412" s="17"/>
      <x:c r="R412" s="17"/>
      <x:c r="S412" s="17"/>
      <x:c r="T412" s="17"/>
      <x:c r="U412" s="17"/>
      <x:c r="V412" s="17"/>
      <x:c r="W412" s="17"/>
      <x:c r="X412" s="17"/>
      <x:c r="Y412" s="17"/>
      <x:c r="Z412" s="17"/>
    </x:row>
    <x:row r="413">
      <x:c r="A413" s="17"/>
      <x:c r="B413" s="17"/>
      <x:c r="C413" s="17"/>
      <x:c r="D413" s="17"/>
      <x:c r="E413" s="17"/>
      <x:c r="F413" s="17"/>
      <x:c r="G413" s="17"/>
      <x:c r="H413" s="17"/>
      <x:c r="I413" s="17"/>
      <x:c r="J413" s="17"/>
      <x:c r="K413" s="17"/>
      <x:c r="L413" s="17"/>
      <x:c r="M413" s="17"/>
      <x:c r="N413" s="17"/>
      <x:c r="O413" s="17"/>
      <x:c r="P413" s="17"/>
      <x:c r="Q413" s="17"/>
      <x:c r="R413" s="17"/>
      <x:c r="S413" s="17"/>
      <x:c r="T413" s="17"/>
      <x:c r="U413" s="17"/>
      <x:c r="V413" s="17"/>
      <x:c r="W413" s="17"/>
      <x:c r="X413" s="17"/>
      <x:c r="Y413" s="17"/>
      <x:c r="Z413" s="17"/>
    </x:row>
    <x:row r="414">
      <x:c r="A414" s="17"/>
      <x:c r="B414" s="17"/>
      <x:c r="C414" s="17"/>
      <x:c r="D414" s="17"/>
      <x:c r="E414" s="17"/>
      <x:c r="F414" s="17"/>
      <x:c r="G414" s="17"/>
      <x:c r="H414" s="17"/>
      <x:c r="I414" s="17"/>
      <x:c r="J414" s="17"/>
      <x:c r="K414" s="17"/>
      <x:c r="L414" s="17"/>
      <x:c r="M414" s="17"/>
      <x:c r="N414" s="17"/>
      <x:c r="O414" s="17"/>
      <x:c r="P414" s="17"/>
      <x:c r="Q414" s="17"/>
      <x:c r="R414" s="17"/>
      <x:c r="S414" s="17"/>
      <x:c r="T414" s="17"/>
      <x:c r="U414" s="17"/>
      <x:c r="V414" s="17"/>
      <x:c r="W414" s="17"/>
      <x:c r="X414" s="17"/>
      <x:c r="Y414" s="17"/>
      <x:c r="Z414" s="17"/>
    </x:row>
    <x:row r="415">
      <x:c r="A415" s="17"/>
      <x:c r="B415" s="17"/>
      <x:c r="C415" s="17"/>
      <x:c r="D415" s="17"/>
      <x:c r="E415" s="17"/>
      <x:c r="F415" s="17"/>
      <x:c r="G415" s="17"/>
      <x:c r="H415" s="17"/>
      <x:c r="I415" s="17"/>
      <x:c r="J415" s="17"/>
      <x:c r="K415" s="17"/>
      <x:c r="L415" s="17"/>
      <x:c r="M415" s="17"/>
      <x:c r="N415" s="17"/>
      <x:c r="O415" s="17"/>
      <x:c r="P415" s="17"/>
      <x:c r="Q415" s="17"/>
      <x:c r="R415" s="17"/>
      <x:c r="S415" s="17"/>
      <x:c r="T415" s="17"/>
      <x:c r="U415" s="17"/>
      <x:c r="V415" s="17"/>
      <x:c r="W415" s="17"/>
      <x:c r="X415" s="17"/>
      <x:c r="Y415" s="17"/>
      <x:c r="Z415" s="17"/>
    </x:row>
    <x:row r="416">
      <x:c r="A416" s="17"/>
      <x:c r="B416" s="17"/>
      <x:c r="C416" s="17"/>
      <x:c r="D416" s="17"/>
      <x:c r="E416" s="17"/>
      <x:c r="F416" s="17"/>
      <x:c r="G416" s="17"/>
      <x:c r="H416" s="17"/>
      <x:c r="I416" s="17"/>
      <x:c r="J416" s="17"/>
      <x:c r="K416" s="17"/>
      <x:c r="L416" s="17"/>
      <x:c r="M416" s="17"/>
      <x:c r="N416" s="17"/>
      <x:c r="O416" s="17"/>
      <x:c r="P416" s="17"/>
      <x:c r="Q416" s="17"/>
      <x:c r="R416" s="17"/>
      <x:c r="S416" s="17"/>
      <x:c r="T416" s="17"/>
      <x:c r="U416" s="17"/>
      <x:c r="V416" s="17"/>
      <x:c r="W416" s="17"/>
      <x:c r="X416" s="17"/>
      <x:c r="Y416" s="17"/>
      <x:c r="Z416" s="17"/>
    </x:row>
    <x:row r="417">
      <x:c r="A417" s="17"/>
      <x:c r="B417" s="17"/>
      <x:c r="C417" s="17"/>
      <x:c r="D417" s="17"/>
      <x:c r="E417" s="17"/>
      <x:c r="F417" s="17"/>
      <x:c r="G417" s="17"/>
      <x:c r="H417" s="17"/>
      <x:c r="I417" s="17"/>
      <x:c r="J417" s="17"/>
      <x:c r="K417" s="17"/>
      <x:c r="L417" s="17"/>
      <x:c r="M417" s="17"/>
      <x:c r="N417" s="17"/>
      <x:c r="O417" s="17"/>
      <x:c r="P417" s="17"/>
      <x:c r="Q417" s="17"/>
      <x:c r="R417" s="17"/>
      <x:c r="S417" s="17"/>
      <x:c r="T417" s="17"/>
      <x:c r="U417" s="17"/>
      <x:c r="V417" s="17"/>
      <x:c r="W417" s="17"/>
      <x:c r="X417" s="17"/>
      <x:c r="Y417" s="17"/>
      <x:c r="Z417" s="17"/>
    </x:row>
    <x:row r="418">
      <x:c r="A418" s="17"/>
      <x:c r="B418" s="17"/>
      <x:c r="C418" s="17"/>
      <x:c r="D418" s="17"/>
      <x:c r="E418" s="17"/>
      <x:c r="F418" s="17"/>
      <x:c r="G418" s="17"/>
      <x:c r="H418" s="17"/>
      <x:c r="I418" s="17"/>
      <x:c r="J418" s="17"/>
      <x:c r="K418" s="17"/>
      <x:c r="L418" s="17"/>
      <x:c r="M418" s="17"/>
      <x:c r="N418" s="17"/>
      <x:c r="O418" s="17"/>
      <x:c r="P418" s="17"/>
      <x:c r="Q418" s="17"/>
      <x:c r="R418" s="17"/>
      <x:c r="S418" s="17"/>
      <x:c r="T418" s="17"/>
      <x:c r="U418" s="17"/>
      <x:c r="V418" s="17"/>
      <x:c r="W418" s="17"/>
      <x:c r="X418" s="17"/>
      <x:c r="Y418" s="17"/>
      <x:c r="Z418" s="17"/>
    </x:row>
    <x:row r="419">
      <x:c r="A419" s="17"/>
      <x:c r="B419" s="17"/>
      <x:c r="C419" s="17"/>
      <x:c r="D419" s="17"/>
      <x:c r="E419" s="17"/>
      <x:c r="F419" s="17"/>
      <x:c r="G419" s="17"/>
      <x:c r="H419" s="17"/>
      <x:c r="I419" s="17"/>
      <x:c r="J419" s="17"/>
      <x:c r="K419" s="17"/>
      <x:c r="L419" s="17"/>
      <x:c r="M419" s="17"/>
      <x:c r="N419" s="17"/>
      <x:c r="O419" s="17"/>
      <x:c r="P419" s="17"/>
      <x:c r="Q419" s="17"/>
      <x:c r="R419" s="17"/>
      <x:c r="S419" s="17"/>
      <x:c r="T419" s="17"/>
      <x:c r="U419" s="17"/>
      <x:c r="V419" s="17"/>
      <x:c r="W419" s="17"/>
      <x:c r="X419" s="17"/>
      <x:c r="Y419" s="17"/>
      <x:c r="Z419" s="17"/>
    </x:row>
    <x:row r="420">
      <x:c r="A420" s="17"/>
      <x:c r="B420" s="17"/>
      <x:c r="C420" s="17"/>
      <x:c r="D420" s="17"/>
      <x:c r="E420" s="17"/>
      <x:c r="F420" s="17"/>
      <x:c r="G420" s="17"/>
      <x:c r="H420" s="17"/>
      <x:c r="I420" s="17"/>
      <x:c r="J420" s="17"/>
      <x:c r="K420" s="17"/>
      <x:c r="L420" s="17"/>
      <x:c r="M420" s="17"/>
      <x:c r="N420" s="17"/>
      <x:c r="O420" s="17"/>
      <x:c r="P420" s="17"/>
      <x:c r="Q420" s="17"/>
      <x:c r="R420" s="17"/>
      <x:c r="S420" s="17"/>
      <x:c r="T420" s="17"/>
      <x:c r="U420" s="17"/>
      <x:c r="V420" s="17"/>
      <x:c r="W420" s="17"/>
      <x:c r="X420" s="17"/>
      <x:c r="Y420" s="17"/>
      <x:c r="Z420" s="17"/>
    </x:row>
    <x:row r="421">
      <x:c r="A421" s="17"/>
      <x:c r="B421" s="17"/>
      <x:c r="C421" s="17"/>
      <x:c r="D421" s="17"/>
      <x:c r="E421" s="17"/>
      <x:c r="F421" s="17"/>
      <x:c r="G421" s="17"/>
      <x:c r="H421" s="17"/>
      <x:c r="I421" s="17"/>
      <x:c r="J421" s="17"/>
      <x:c r="K421" s="17"/>
      <x:c r="L421" s="17"/>
      <x:c r="M421" s="17"/>
      <x:c r="N421" s="17"/>
      <x:c r="O421" s="17"/>
      <x:c r="P421" s="17"/>
      <x:c r="Q421" s="17"/>
      <x:c r="R421" s="17"/>
      <x:c r="S421" s="17"/>
      <x:c r="T421" s="17"/>
      <x:c r="U421" s="17"/>
      <x:c r="V421" s="17"/>
      <x:c r="W421" s="17"/>
      <x:c r="X421" s="17"/>
      <x:c r="Y421" s="17"/>
      <x:c r="Z421" s="17"/>
    </x:row>
    <x:row r="422">
      <x:c r="A422" s="17"/>
      <x:c r="B422" s="17"/>
      <x:c r="C422" s="17"/>
      <x:c r="D422" s="17"/>
      <x:c r="E422" s="17"/>
      <x:c r="F422" s="17"/>
      <x:c r="G422" s="17"/>
      <x:c r="H422" s="17"/>
      <x:c r="I422" s="17"/>
      <x:c r="J422" s="17"/>
      <x:c r="K422" s="17"/>
      <x:c r="L422" s="17"/>
      <x:c r="M422" s="17"/>
      <x:c r="N422" s="17"/>
      <x:c r="O422" s="17"/>
      <x:c r="P422" s="17"/>
      <x:c r="Q422" s="17"/>
      <x:c r="R422" s="17"/>
      <x:c r="S422" s="17"/>
      <x:c r="T422" s="17"/>
      <x:c r="U422" s="17"/>
      <x:c r="V422" s="17"/>
      <x:c r="W422" s="17"/>
      <x:c r="X422" s="17"/>
      <x:c r="Y422" s="17"/>
      <x:c r="Z422" s="17"/>
    </x:row>
    <x:row r="423">
      <x:c r="A423" s="17"/>
      <x:c r="B423" s="17"/>
      <x:c r="C423" s="17"/>
      <x:c r="D423" s="17"/>
      <x:c r="E423" s="17"/>
      <x:c r="F423" s="17"/>
      <x:c r="G423" s="17"/>
      <x:c r="H423" s="17"/>
      <x:c r="I423" s="17"/>
      <x:c r="J423" s="17"/>
      <x:c r="K423" s="17"/>
      <x:c r="L423" s="17"/>
      <x:c r="M423" s="17"/>
      <x:c r="N423" s="17"/>
      <x:c r="O423" s="17"/>
      <x:c r="P423" s="17"/>
      <x:c r="Q423" s="17"/>
      <x:c r="R423" s="17"/>
      <x:c r="S423" s="17"/>
      <x:c r="T423" s="17"/>
      <x:c r="U423" s="17"/>
      <x:c r="V423" s="17"/>
      <x:c r="W423" s="17"/>
      <x:c r="X423" s="17"/>
      <x:c r="Y423" s="17"/>
      <x:c r="Z423" s="17"/>
    </x:row>
    <x:row r="424">
      <x:c r="A424" s="17"/>
      <x:c r="B424" s="17"/>
      <x:c r="C424" s="17"/>
      <x:c r="D424" s="17"/>
      <x:c r="E424" s="17"/>
      <x:c r="F424" s="17"/>
      <x:c r="G424" s="17"/>
      <x:c r="H424" s="17"/>
      <x:c r="I424" s="17"/>
      <x:c r="J424" s="17"/>
      <x:c r="K424" s="17"/>
      <x:c r="L424" s="17"/>
      <x:c r="M424" s="17"/>
      <x:c r="N424" s="17"/>
      <x:c r="O424" s="17"/>
      <x:c r="P424" s="17"/>
      <x:c r="Q424" s="17"/>
      <x:c r="R424" s="17"/>
      <x:c r="S424" s="17"/>
      <x:c r="T424" s="17"/>
      <x:c r="U424" s="17"/>
      <x:c r="V424" s="17"/>
      <x:c r="W424" s="17"/>
      <x:c r="X424" s="17"/>
      <x:c r="Y424" s="17"/>
      <x:c r="Z424" s="17"/>
    </x:row>
    <x:row r="425">
      <x:c r="A425" s="17"/>
      <x:c r="B425" s="17"/>
      <x:c r="C425" s="17"/>
      <x:c r="D425" s="17"/>
      <x:c r="E425" s="17"/>
      <x:c r="F425" s="17"/>
      <x:c r="G425" s="17"/>
      <x:c r="H425" s="17"/>
      <x:c r="I425" s="17"/>
      <x:c r="J425" s="17"/>
      <x:c r="K425" s="17"/>
      <x:c r="L425" s="17"/>
      <x:c r="M425" s="17"/>
      <x:c r="N425" s="17"/>
      <x:c r="O425" s="17"/>
      <x:c r="P425" s="17"/>
      <x:c r="Q425" s="17"/>
      <x:c r="R425" s="17"/>
      <x:c r="S425" s="17"/>
      <x:c r="T425" s="17"/>
      <x:c r="U425" s="17"/>
      <x:c r="V425" s="17"/>
      <x:c r="W425" s="17"/>
      <x:c r="X425" s="17"/>
      <x:c r="Y425" s="17"/>
      <x:c r="Z425" s="17"/>
    </x:row>
    <x:row r="426">
      <x:c r="A426" s="17"/>
      <x:c r="B426" s="17"/>
      <x:c r="C426" s="17"/>
      <x:c r="D426" s="17"/>
      <x:c r="E426" s="17"/>
      <x:c r="F426" s="17"/>
      <x:c r="G426" s="17"/>
      <x:c r="H426" s="17"/>
      <x:c r="I426" s="17"/>
      <x:c r="J426" s="17"/>
      <x:c r="K426" s="17"/>
      <x:c r="L426" s="17"/>
      <x:c r="M426" s="17"/>
      <x:c r="N426" s="17"/>
      <x:c r="O426" s="17"/>
      <x:c r="P426" s="17"/>
      <x:c r="Q426" s="17"/>
      <x:c r="R426" s="17"/>
      <x:c r="S426" s="17"/>
      <x:c r="T426" s="17"/>
      <x:c r="U426" s="17"/>
      <x:c r="V426" s="17"/>
      <x:c r="W426" s="17"/>
      <x:c r="X426" s="17"/>
      <x:c r="Y426" s="17"/>
      <x:c r="Z426" s="17"/>
    </x:row>
    <x:row r="427">
      <x:c r="A427" s="17"/>
      <x:c r="B427" s="17"/>
      <x:c r="C427" s="17"/>
      <x:c r="D427" s="17"/>
      <x:c r="E427" s="17"/>
      <x:c r="F427" s="17"/>
      <x:c r="G427" s="17"/>
      <x:c r="H427" s="17"/>
      <x:c r="I427" s="17"/>
      <x:c r="J427" s="17"/>
      <x:c r="K427" s="17"/>
      <x:c r="L427" s="17"/>
      <x:c r="M427" s="17"/>
      <x:c r="N427" s="17"/>
      <x:c r="O427" s="17"/>
      <x:c r="P427" s="17"/>
      <x:c r="Q427" s="17"/>
      <x:c r="R427" s="17"/>
      <x:c r="S427" s="17"/>
      <x:c r="T427" s="17"/>
      <x:c r="U427" s="17"/>
      <x:c r="V427" s="17"/>
      <x:c r="W427" s="17"/>
      <x:c r="X427" s="17"/>
      <x:c r="Y427" s="17"/>
      <x:c r="Z427" s="17"/>
    </x:row>
    <x:row r="428">
      <x:c r="A428" s="17"/>
      <x:c r="B428" s="17"/>
      <x:c r="C428" s="17"/>
      <x:c r="D428" s="17"/>
      <x:c r="E428" s="17"/>
      <x:c r="F428" s="17"/>
      <x:c r="G428" s="17"/>
      <x:c r="H428" s="17"/>
      <x:c r="I428" s="17"/>
      <x:c r="J428" s="17"/>
      <x:c r="K428" s="17"/>
      <x:c r="L428" s="17"/>
      <x:c r="M428" s="17"/>
      <x:c r="N428" s="17"/>
      <x:c r="O428" s="17"/>
      <x:c r="P428" s="17"/>
      <x:c r="Q428" s="17"/>
      <x:c r="R428" s="17"/>
      <x:c r="S428" s="17"/>
      <x:c r="T428" s="17"/>
      <x:c r="U428" s="17"/>
      <x:c r="V428" s="17"/>
      <x:c r="W428" s="17"/>
      <x:c r="X428" s="17"/>
      <x:c r="Y428" s="17"/>
      <x:c r="Z428" s="17"/>
    </x:row>
    <x:row r="429">
      <x:c r="A429" s="17"/>
      <x:c r="B429" s="17"/>
      <x:c r="C429" s="17"/>
      <x:c r="D429" s="17"/>
      <x:c r="E429" s="17"/>
      <x:c r="F429" s="17"/>
      <x:c r="G429" s="17"/>
      <x:c r="H429" s="17"/>
      <x:c r="I429" s="17"/>
      <x:c r="J429" s="17"/>
      <x:c r="K429" s="17"/>
      <x:c r="L429" s="17"/>
      <x:c r="M429" s="17"/>
      <x:c r="N429" s="17"/>
      <x:c r="O429" s="17"/>
      <x:c r="P429" s="17"/>
      <x:c r="Q429" s="17"/>
      <x:c r="R429" s="17"/>
      <x:c r="S429" s="17"/>
      <x:c r="T429" s="17"/>
      <x:c r="U429" s="17"/>
      <x:c r="V429" s="17"/>
      <x:c r="W429" s="17"/>
      <x:c r="X429" s="17"/>
      <x:c r="Y429" s="17"/>
      <x:c r="Z429" s="17"/>
    </x:row>
    <x:row r="430">
      <x:c r="A430" s="17"/>
      <x:c r="B430" s="17"/>
      <x:c r="C430" s="17"/>
      <x:c r="D430" s="17"/>
      <x:c r="E430" s="17"/>
      <x:c r="F430" s="17"/>
      <x:c r="G430" s="17"/>
      <x:c r="H430" s="17"/>
      <x:c r="I430" s="17"/>
      <x:c r="J430" s="17"/>
      <x:c r="K430" s="17"/>
      <x:c r="L430" s="17"/>
      <x:c r="M430" s="17"/>
      <x:c r="N430" s="17"/>
      <x:c r="O430" s="17"/>
      <x:c r="P430" s="17"/>
      <x:c r="Q430" s="17"/>
      <x:c r="R430" s="17"/>
      <x:c r="S430" s="17"/>
      <x:c r="T430" s="17"/>
      <x:c r="U430" s="17"/>
      <x:c r="V430" s="17"/>
      <x:c r="W430" s="17"/>
      <x:c r="X430" s="17"/>
      <x:c r="Y430" s="17"/>
      <x:c r="Z430" s="17"/>
    </x:row>
    <x:row r="431">
      <x:c r="A431" s="17"/>
      <x:c r="B431" s="17"/>
      <x:c r="C431" s="17"/>
      <x:c r="D431" s="17"/>
      <x:c r="E431" s="17"/>
      <x:c r="F431" s="17"/>
      <x:c r="G431" s="17"/>
      <x:c r="H431" s="17"/>
      <x:c r="I431" s="17"/>
      <x:c r="J431" s="17"/>
      <x:c r="K431" s="17"/>
      <x:c r="L431" s="17"/>
      <x:c r="M431" s="17"/>
      <x:c r="N431" s="17"/>
      <x:c r="O431" s="17"/>
      <x:c r="P431" s="17"/>
      <x:c r="Q431" s="17"/>
      <x:c r="R431" s="17"/>
      <x:c r="S431" s="17"/>
      <x:c r="T431" s="17"/>
      <x:c r="U431" s="17"/>
      <x:c r="V431" s="17"/>
      <x:c r="W431" s="17"/>
      <x:c r="X431" s="17"/>
      <x:c r="Y431" s="17"/>
      <x:c r="Z431" s="17"/>
    </x:row>
    <x:row r="432">
      <x:c r="A432" s="17"/>
      <x:c r="B432" s="17"/>
      <x:c r="C432" s="17"/>
      <x:c r="D432" s="17"/>
      <x:c r="E432" s="17"/>
      <x:c r="F432" s="17"/>
      <x:c r="G432" s="17"/>
      <x:c r="H432" s="17"/>
      <x:c r="I432" s="17"/>
      <x:c r="J432" s="17"/>
      <x:c r="K432" s="17"/>
      <x:c r="L432" s="17"/>
      <x:c r="M432" s="17"/>
      <x:c r="N432" s="17"/>
      <x:c r="O432" s="17"/>
      <x:c r="P432" s="17"/>
      <x:c r="Q432" s="17"/>
      <x:c r="R432" s="17"/>
      <x:c r="S432" s="17"/>
      <x:c r="T432" s="17"/>
      <x:c r="U432" s="17"/>
      <x:c r="V432" s="17"/>
      <x:c r="W432" s="17"/>
      <x:c r="X432" s="17"/>
      <x:c r="Y432" s="17"/>
      <x:c r="Z432" s="17"/>
    </x:row>
    <x:row r="433">
      <x:c r="A433" s="17"/>
      <x:c r="B433" s="17"/>
      <x:c r="C433" s="17"/>
      <x:c r="D433" s="17"/>
      <x:c r="E433" s="17"/>
      <x:c r="F433" s="17"/>
      <x:c r="G433" s="17"/>
      <x:c r="H433" s="17"/>
      <x:c r="I433" s="17"/>
      <x:c r="J433" s="17"/>
      <x:c r="K433" s="17"/>
      <x:c r="L433" s="17"/>
      <x:c r="M433" s="17"/>
      <x:c r="N433" s="17"/>
      <x:c r="O433" s="17"/>
      <x:c r="P433" s="17"/>
      <x:c r="Q433" s="17"/>
      <x:c r="R433" s="17"/>
      <x:c r="S433" s="17"/>
      <x:c r="T433" s="17"/>
      <x:c r="U433" s="17"/>
      <x:c r="V433" s="17"/>
      <x:c r="W433" s="17"/>
      <x:c r="X433" s="17"/>
      <x:c r="Y433" s="17"/>
      <x:c r="Z433" s="17"/>
    </x:row>
    <x:row r="434">
      <x:c r="A434" s="17"/>
      <x:c r="B434" s="17"/>
      <x:c r="C434" s="17"/>
      <x:c r="D434" s="17"/>
      <x:c r="E434" s="17"/>
      <x:c r="F434" s="17"/>
      <x:c r="G434" s="17"/>
      <x:c r="H434" s="17"/>
      <x:c r="I434" s="17"/>
      <x:c r="J434" s="17"/>
      <x:c r="K434" s="17"/>
      <x:c r="L434" s="17"/>
      <x:c r="M434" s="17"/>
      <x:c r="N434" s="17"/>
      <x:c r="O434" s="17"/>
      <x:c r="P434" s="17"/>
      <x:c r="Q434" s="17"/>
      <x:c r="R434" s="17"/>
      <x:c r="S434" s="17"/>
      <x:c r="T434" s="17"/>
      <x:c r="U434" s="17"/>
      <x:c r="V434" s="17"/>
      <x:c r="W434" s="17"/>
      <x:c r="X434" s="17"/>
      <x:c r="Y434" s="17"/>
      <x:c r="Z434" s="17"/>
    </x:row>
    <x:row r="435">
      <x:c r="A435" s="17"/>
      <x:c r="B435" s="17"/>
      <x:c r="C435" s="17"/>
      <x:c r="D435" s="17"/>
      <x:c r="E435" s="17"/>
      <x:c r="F435" s="17"/>
      <x:c r="G435" s="17"/>
      <x:c r="H435" s="17"/>
      <x:c r="I435" s="17"/>
      <x:c r="J435" s="17"/>
      <x:c r="K435" s="17"/>
      <x:c r="L435" s="17"/>
      <x:c r="M435" s="17"/>
      <x:c r="N435" s="17"/>
      <x:c r="O435" s="17"/>
      <x:c r="P435" s="17"/>
      <x:c r="Q435" s="17"/>
      <x:c r="R435" s="17"/>
      <x:c r="S435" s="17"/>
      <x:c r="T435" s="17"/>
      <x:c r="U435" s="17"/>
      <x:c r="V435" s="17"/>
      <x:c r="W435" s="17"/>
      <x:c r="X435" s="17"/>
      <x:c r="Y435" s="17"/>
      <x:c r="Z435" s="17"/>
    </x:row>
    <x:row r="436">
      <x:c r="A436" s="17"/>
      <x:c r="B436" s="17"/>
      <x:c r="C436" s="17"/>
      <x:c r="D436" s="17"/>
      <x:c r="E436" s="17"/>
      <x:c r="F436" s="17"/>
      <x:c r="G436" s="17"/>
      <x:c r="H436" s="17"/>
      <x:c r="I436" s="17"/>
      <x:c r="J436" s="17"/>
      <x:c r="K436" s="17"/>
      <x:c r="L436" s="17"/>
      <x:c r="M436" s="17"/>
      <x:c r="N436" s="17"/>
      <x:c r="O436" s="17"/>
      <x:c r="P436" s="17"/>
      <x:c r="Q436" s="17"/>
      <x:c r="R436" s="17"/>
      <x:c r="S436" s="17"/>
      <x:c r="T436" s="17"/>
      <x:c r="U436" s="17"/>
      <x:c r="V436" s="17"/>
      <x:c r="W436" s="17"/>
      <x:c r="X436" s="17"/>
      <x:c r="Y436" s="17"/>
      <x:c r="Z436" s="17"/>
    </x:row>
    <x:row r="437">
      <x:c r="A437" s="17"/>
      <x:c r="B437" s="17"/>
      <x:c r="C437" s="17"/>
      <x:c r="D437" s="17"/>
      <x:c r="E437" s="17"/>
      <x:c r="F437" s="17"/>
      <x:c r="G437" s="17"/>
      <x:c r="H437" s="17"/>
      <x:c r="I437" s="17"/>
      <x:c r="J437" s="17"/>
      <x:c r="K437" s="17"/>
      <x:c r="L437" s="17"/>
      <x:c r="M437" s="17"/>
      <x:c r="N437" s="17"/>
      <x:c r="O437" s="17"/>
      <x:c r="P437" s="17"/>
      <x:c r="Q437" s="17"/>
      <x:c r="R437" s="17"/>
      <x:c r="S437" s="17"/>
      <x:c r="T437" s="17"/>
      <x:c r="U437" s="17"/>
      <x:c r="V437" s="17"/>
      <x:c r="W437" s="17"/>
      <x:c r="X437" s="17"/>
      <x:c r="Y437" s="17"/>
      <x:c r="Z437" s="17"/>
    </x:row>
    <x:row r="438">
      <x:c r="A438" s="17"/>
      <x:c r="B438" s="17"/>
      <x:c r="C438" s="17"/>
      <x:c r="D438" s="17"/>
      <x:c r="E438" s="17"/>
      <x:c r="F438" s="17"/>
      <x:c r="G438" s="17"/>
      <x:c r="H438" s="17"/>
      <x:c r="I438" s="17"/>
      <x:c r="J438" s="17"/>
      <x:c r="K438" s="17"/>
      <x:c r="L438" s="17"/>
      <x:c r="M438" s="17"/>
      <x:c r="N438" s="17"/>
      <x:c r="O438" s="17"/>
      <x:c r="P438" s="17"/>
      <x:c r="Q438" s="17"/>
      <x:c r="R438" s="17"/>
      <x:c r="S438" s="17"/>
      <x:c r="T438" s="17"/>
      <x:c r="U438" s="17"/>
      <x:c r="V438" s="17"/>
      <x:c r="W438" s="17"/>
      <x:c r="X438" s="17"/>
      <x:c r="Y438" s="17"/>
      <x:c r="Z438" s="17"/>
    </x:row>
    <x:row r="439">
      <x:c r="A439" s="17"/>
      <x:c r="B439" s="17"/>
      <x:c r="C439" s="17"/>
      <x:c r="D439" s="17"/>
      <x:c r="E439" s="17"/>
      <x:c r="F439" s="17"/>
      <x:c r="G439" s="17"/>
      <x:c r="H439" s="17"/>
      <x:c r="I439" s="17"/>
      <x:c r="J439" s="17"/>
      <x:c r="K439" s="17"/>
      <x:c r="L439" s="17"/>
      <x:c r="M439" s="17"/>
      <x:c r="N439" s="17"/>
      <x:c r="O439" s="17"/>
      <x:c r="P439" s="17"/>
      <x:c r="Q439" s="17"/>
      <x:c r="R439" s="17"/>
      <x:c r="S439" s="17"/>
      <x:c r="T439" s="17"/>
      <x:c r="U439" s="17"/>
      <x:c r="V439" s="17"/>
      <x:c r="W439" s="17"/>
      <x:c r="X439" s="17"/>
      <x:c r="Y439" s="17"/>
      <x:c r="Z439" s="17"/>
    </x:row>
    <x:row r="440">
      <x:c r="A440" s="17"/>
      <x:c r="B440" s="17"/>
      <x:c r="C440" s="17"/>
      <x:c r="D440" s="17"/>
      <x:c r="E440" s="17"/>
      <x:c r="F440" s="17"/>
      <x:c r="G440" s="17"/>
      <x:c r="H440" s="17"/>
      <x:c r="I440" s="17"/>
      <x:c r="J440" s="17"/>
      <x:c r="K440" s="17"/>
      <x:c r="L440" s="17"/>
      <x:c r="M440" s="17"/>
      <x:c r="N440" s="17"/>
      <x:c r="O440" s="17"/>
      <x:c r="P440" s="17"/>
      <x:c r="Q440" s="17"/>
      <x:c r="R440" s="17"/>
      <x:c r="S440" s="17"/>
      <x:c r="T440" s="17"/>
      <x:c r="U440" s="17"/>
      <x:c r="V440" s="17"/>
      <x:c r="W440" s="17"/>
      <x:c r="X440" s="17"/>
      <x:c r="Y440" s="17"/>
      <x:c r="Z440" s="17"/>
    </x:row>
    <x:row r="441">
      <x:c r="A441" s="17"/>
      <x:c r="B441" s="17"/>
      <x:c r="C441" s="17"/>
      <x:c r="D441" s="17"/>
      <x:c r="E441" s="17"/>
      <x:c r="F441" s="17"/>
      <x:c r="G441" s="17"/>
      <x:c r="H441" s="17"/>
      <x:c r="I441" s="17"/>
      <x:c r="J441" s="17"/>
      <x:c r="K441" s="17"/>
      <x:c r="L441" s="17"/>
      <x:c r="M441" s="17"/>
      <x:c r="N441" s="17"/>
      <x:c r="O441" s="17"/>
      <x:c r="P441" s="17"/>
      <x:c r="Q441" s="17"/>
      <x:c r="R441" s="17"/>
      <x:c r="S441" s="17"/>
      <x:c r="T441" s="17"/>
      <x:c r="U441" s="17"/>
      <x:c r="V441" s="17"/>
      <x:c r="W441" s="17"/>
      <x:c r="X441" s="17"/>
      <x:c r="Y441" s="17"/>
      <x:c r="Z441" s="17"/>
    </x:row>
    <x:row r="442">
      <x:c r="A442" s="17"/>
      <x:c r="B442" s="17"/>
      <x:c r="C442" s="17"/>
      <x:c r="D442" s="17"/>
      <x:c r="E442" s="17"/>
      <x:c r="F442" s="17"/>
      <x:c r="G442" s="17"/>
      <x:c r="H442" s="17"/>
      <x:c r="I442" s="17"/>
      <x:c r="J442" s="17"/>
      <x:c r="K442" s="17"/>
      <x:c r="L442" s="17"/>
      <x:c r="M442" s="17"/>
      <x:c r="N442" s="17"/>
      <x:c r="O442" s="17"/>
      <x:c r="P442" s="17"/>
      <x:c r="Q442" s="17"/>
      <x:c r="R442" s="17"/>
      <x:c r="S442" s="17"/>
      <x:c r="T442" s="17"/>
      <x:c r="U442" s="17"/>
      <x:c r="V442" s="17"/>
      <x:c r="W442" s="17"/>
      <x:c r="X442" s="17"/>
      <x:c r="Y442" s="17"/>
      <x:c r="Z442" s="17"/>
    </x:row>
    <x:row r="443">
      <x:c r="A443" s="17"/>
      <x:c r="B443" s="17"/>
      <x:c r="C443" s="17"/>
      <x:c r="D443" s="17"/>
      <x:c r="E443" s="17"/>
      <x:c r="F443" s="17"/>
      <x:c r="G443" s="17"/>
      <x:c r="H443" s="17"/>
      <x:c r="I443" s="17"/>
      <x:c r="J443" s="17"/>
      <x:c r="K443" s="17"/>
      <x:c r="L443" s="17"/>
      <x:c r="M443" s="17"/>
      <x:c r="N443" s="17"/>
      <x:c r="O443" s="17"/>
      <x:c r="P443" s="17"/>
      <x:c r="Q443" s="17"/>
      <x:c r="R443" s="17"/>
      <x:c r="S443" s="17"/>
      <x:c r="T443" s="17"/>
      <x:c r="U443" s="17"/>
      <x:c r="V443" s="17"/>
      <x:c r="W443" s="17"/>
      <x:c r="X443" s="17"/>
      <x:c r="Y443" s="17"/>
      <x:c r="Z443" s="17"/>
    </x:row>
    <x:row r="444">
      <x:c r="A444" s="17"/>
      <x:c r="B444" s="17"/>
      <x:c r="C444" s="17"/>
      <x:c r="D444" s="17"/>
      <x:c r="E444" s="17"/>
      <x:c r="F444" s="17"/>
      <x:c r="G444" s="17"/>
      <x:c r="H444" s="17"/>
      <x:c r="I444" s="17"/>
      <x:c r="J444" s="17"/>
      <x:c r="K444" s="17"/>
      <x:c r="L444" s="17"/>
      <x:c r="M444" s="17"/>
      <x:c r="N444" s="17"/>
      <x:c r="O444" s="17"/>
      <x:c r="P444" s="17"/>
      <x:c r="Q444" s="17"/>
      <x:c r="R444" s="17"/>
      <x:c r="S444" s="17"/>
      <x:c r="T444" s="17"/>
      <x:c r="U444" s="17"/>
      <x:c r="V444" s="17"/>
      <x:c r="W444" s="17"/>
      <x:c r="X444" s="17"/>
      <x:c r="Y444" s="17"/>
      <x:c r="Z444" s="17"/>
    </x:row>
    <x:row r="445">
      <x:c r="A445" s="17"/>
      <x:c r="B445" s="17"/>
      <x:c r="C445" s="17"/>
      <x:c r="D445" s="17"/>
      <x:c r="E445" s="17"/>
      <x:c r="F445" s="17"/>
      <x:c r="G445" s="17"/>
      <x:c r="H445" s="17"/>
      <x:c r="I445" s="17"/>
      <x:c r="J445" s="17"/>
      <x:c r="K445" s="17"/>
      <x:c r="L445" s="17"/>
      <x:c r="M445" s="17"/>
      <x:c r="N445" s="17"/>
      <x:c r="O445" s="17"/>
      <x:c r="P445" s="17"/>
      <x:c r="Q445" s="17"/>
      <x:c r="R445" s="17"/>
      <x:c r="S445" s="17"/>
      <x:c r="T445" s="17"/>
      <x:c r="U445" s="17"/>
      <x:c r="V445" s="17"/>
      <x:c r="W445" s="17"/>
      <x:c r="X445" s="17"/>
      <x:c r="Y445" s="17"/>
      <x:c r="Z445" s="17"/>
    </x:row>
    <x:row r="446">
      <x:c r="A446" s="17"/>
      <x:c r="B446" s="17"/>
      <x:c r="C446" s="17"/>
      <x:c r="D446" s="17"/>
      <x:c r="E446" s="17"/>
      <x:c r="F446" s="17"/>
      <x:c r="G446" s="17"/>
      <x:c r="H446" s="17"/>
      <x:c r="I446" s="17"/>
      <x:c r="J446" s="17"/>
      <x:c r="K446" s="17"/>
      <x:c r="L446" s="17"/>
      <x:c r="M446" s="17"/>
      <x:c r="N446" s="17"/>
      <x:c r="O446" s="17"/>
      <x:c r="P446" s="17"/>
      <x:c r="Q446" s="17"/>
      <x:c r="R446" s="17"/>
      <x:c r="S446" s="17"/>
      <x:c r="T446" s="17"/>
      <x:c r="U446" s="17"/>
      <x:c r="V446" s="17"/>
      <x:c r="W446" s="17"/>
      <x:c r="X446" s="17"/>
      <x:c r="Y446" s="17"/>
      <x:c r="Z446" s="17"/>
    </x:row>
    <x:row r="447">
      <x:c r="A447" s="17"/>
      <x:c r="B447" s="17"/>
      <x:c r="C447" s="17"/>
      <x:c r="D447" s="17"/>
      <x:c r="E447" s="17"/>
      <x:c r="F447" s="17"/>
      <x:c r="G447" s="17"/>
      <x:c r="H447" s="17"/>
      <x:c r="I447" s="17"/>
      <x:c r="J447" s="17"/>
      <x:c r="K447" s="17"/>
      <x:c r="L447" s="17"/>
      <x:c r="M447" s="17"/>
      <x:c r="N447" s="17"/>
      <x:c r="O447" s="17"/>
      <x:c r="P447" s="17"/>
      <x:c r="Q447" s="17"/>
      <x:c r="R447" s="17"/>
      <x:c r="S447" s="17"/>
      <x:c r="T447" s="17"/>
      <x:c r="U447" s="17"/>
      <x:c r="V447" s="17"/>
      <x:c r="W447" s="17"/>
      <x:c r="X447" s="17"/>
      <x:c r="Y447" s="17"/>
      <x:c r="Z447" s="17"/>
    </x:row>
    <x:row r="448">
      <x:c r="A448" s="17"/>
      <x:c r="B448" s="17"/>
      <x:c r="C448" s="17"/>
      <x:c r="D448" s="17"/>
      <x:c r="E448" s="17"/>
      <x:c r="F448" s="17"/>
      <x:c r="G448" s="17"/>
      <x:c r="H448" s="17"/>
      <x:c r="I448" s="17"/>
      <x:c r="J448" s="17"/>
      <x:c r="K448" s="17"/>
      <x:c r="L448" s="17"/>
      <x:c r="M448" s="17"/>
      <x:c r="N448" s="17"/>
      <x:c r="O448" s="17"/>
      <x:c r="P448" s="17"/>
      <x:c r="Q448" s="17"/>
      <x:c r="R448" s="17"/>
      <x:c r="S448" s="17"/>
      <x:c r="T448" s="17"/>
      <x:c r="U448" s="17"/>
      <x:c r="V448" s="17"/>
      <x:c r="W448" s="17"/>
      <x:c r="X448" s="17"/>
      <x:c r="Y448" s="17"/>
      <x:c r="Z448" s="17"/>
    </x:row>
    <x:row r="449">
      <x:c r="A449" s="17"/>
      <x:c r="B449" s="17"/>
      <x:c r="C449" s="17"/>
      <x:c r="D449" s="17"/>
      <x:c r="E449" s="17"/>
      <x:c r="F449" s="17"/>
      <x:c r="G449" s="17"/>
      <x:c r="H449" s="17"/>
      <x:c r="I449" s="17"/>
      <x:c r="J449" s="17"/>
      <x:c r="K449" s="17"/>
      <x:c r="L449" s="17"/>
      <x:c r="M449" s="17"/>
      <x:c r="N449" s="17"/>
      <x:c r="O449" s="17"/>
      <x:c r="P449" s="17"/>
      <x:c r="Q449" s="17"/>
      <x:c r="R449" s="17"/>
      <x:c r="S449" s="17"/>
      <x:c r="T449" s="17"/>
      <x:c r="U449" s="17"/>
      <x:c r="V449" s="17"/>
      <x:c r="W449" s="17"/>
      <x:c r="X449" s="17"/>
      <x:c r="Y449" s="17"/>
      <x:c r="Z449" s="17"/>
    </x:row>
    <x:row r="450">
      <x:c r="A450" s="17"/>
      <x:c r="B450" s="17"/>
      <x:c r="C450" s="17"/>
      <x:c r="D450" s="17"/>
      <x:c r="E450" s="17"/>
      <x:c r="F450" s="17"/>
      <x:c r="G450" s="17"/>
      <x:c r="H450" s="17"/>
      <x:c r="I450" s="17"/>
      <x:c r="J450" s="17"/>
      <x:c r="K450" s="17"/>
      <x:c r="L450" s="17"/>
      <x:c r="M450" s="17"/>
      <x:c r="N450" s="17"/>
      <x:c r="O450" s="17"/>
      <x:c r="P450" s="17"/>
      <x:c r="Q450" s="17"/>
      <x:c r="R450" s="17"/>
      <x:c r="S450" s="17"/>
      <x:c r="T450" s="17"/>
      <x:c r="U450" s="17"/>
      <x:c r="V450" s="17"/>
      <x:c r="W450" s="17"/>
      <x:c r="X450" s="17"/>
      <x:c r="Y450" s="17"/>
      <x:c r="Z450" s="17"/>
    </x:row>
    <x:row r="451">
      <x:c r="A451" s="17"/>
      <x:c r="B451" s="17"/>
      <x:c r="C451" s="17"/>
      <x:c r="D451" s="17"/>
      <x:c r="E451" s="17"/>
      <x:c r="F451" s="17"/>
      <x:c r="G451" s="17"/>
      <x:c r="H451" s="17"/>
      <x:c r="I451" s="17"/>
      <x:c r="J451" s="17"/>
      <x:c r="K451" s="17"/>
      <x:c r="L451" s="17"/>
      <x:c r="M451" s="17"/>
      <x:c r="N451" s="17"/>
      <x:c r="O451" s="17"/>
      <x:c r="P451" s="17"/>
      <x:c r="Q451" s="17"/>
      <x:c r="R451" s="17"/>
      <x:c r="S451" s="17"/>
      <x:c r="T451" s="17"/>
      <x:c r="U451" s="17"/>
      <x:c r="V451" s="17"/>
      <x:c r="W451" s="17"/>
      <x:c r="X451" s="17"/>
      <x:c r="Y451" s="17"/>
      <x:c r="Z451" s="17"/>
    </x:row>
    <x:row r="452">
      <x:c r="A452" s="17"/>
      <x:c r="B452" s="17"/>
      <x:c r="C452" s="17"/>
      <x:c r="D452" s="17"/>
      <x:c r="E452" s="17"/>
      <x:c r="F452" s="17"/>
      <x:c r="G452" s="17"/>
      <x:c r="H452" s="17"/>
      <x:c r="I452" s="17"/>
      <x:c r="J452" s="17"/>
      <x:c r="K452" s="17"/>
      <x:c r="L452" s="17"/>
      <x:c r="M452" s="17"/>
      <x:c r="N452" s="17"/>
      <x:c r="O452" s="17"/>
      <x:c r="P452" s="17"/>
      <x:c r="Q452" s="17"/>
      <x:c r="R452" s="17"/>
      <x:c r="S452" s="17"/>
      <x:c r="T452" s="17"/>
      <x:c r="U452" s="17"/>
      <x:c r="V452" s="17"/>
      <x:c r="W452" s="17"/>
      <x:c r="X452" s="17"/>
      <x:c r="Y452" s="17"/>
      <x:c r="Z452" s="17"/>
    </x:row>
    <x:row r="453">
      <x:c r="A453" s="17"/>
      <x:c r="B453" s="17"/>
      <x:c r="C453" s="17"/>
      <x:c r="D453" s="17"/>
      <x:c r="E453" s="17"/>
      <x:c r="F453" s="17"/>
      <x:c r="G453" s="17"/>
      <x:c r="H453" s="17"/>
      <x:c r="I453" s="17"/>
      <x:c r="J453" s="17"/>
      <x:c r="K453" s="17"/>
      <x:c r="L453" s="17"/>
      <x:c r="M453" s="17"/>
      <x:c r="N453" s="17"/>
      <x:c r="O453" s="17"/>
      <x:c r="P453" s="17"/>
      <x:c r="Q453" s="17"/>
      <x:c r="R453" s="17"/>
      <x:c r="S453" s="17"/>
      <x:c r="T453" s="17"/>
      <x:c r="U453" s="17"/>
      <x:c r="V453" s="17"/>
      <x:c r="W453" s="17"/>
      <x:c r="X453" s="17"/>
      <x:c r="Y453" s="17"/>
      <x:c r="Z453" s="17"/>
    </x:row>
    <x:row r="454">
      <x:c r="A454" s="17"/>
      <x:c r="B454" s="17"/>
      <x:c r="C454" s="17"/>
      <x:c r="D454" s="17"/>
      <x:c r="E454" s="17"/>
      <x:c r="F454" s="17"/>
      <x:c r="G454" s="17"/>
      <x:c r="H454" s="17"/>
      <x:c r="I454" s="17"/>
      <x:c r="J454" s="17"/>
      <x:c r="K454" s="17"/>
      <x:c r="L454" s="17"/>
      <x:c r="M454" s="17"/>
      <x:c r="N454" s="17"/>
      <x:c r="O454" s="17"/>
      <x:c r="P454" s="17"/>
      <x:c r="Q454" s="17"/>
      <x:c r="R454" s="17"/>
      <x:c r="S454" s="17"/>
      <x:c r="T454" s="17"/>
      <x:c r="U454" s="17"/>
      <x:c r="V454" s="17"/>
      <x:c r="W454" s="17"/>
      <x:c r="X454" s="17"/>
      <x:c r="Y454" s="17"/>
      <x:c r="Z454" s="17"/>
    </x:row>
    <x:row r="455">
      <x:c r="A455" s="17"/>
      <x:c r="B455" s="17"/>
      <x:c r="C455" s="17"/>
      <x:c r="D455" s="17"/>
      <x:c r="E455" s="17"/>
      <x:c r="F455" s="17"/>
      <x:c r="G455" s="17"/>
      <x:c r="H455" s="17"/>
      <x:c r="I455" s="17"/>
      <x:c r="J455" s="17"/>
      <x:c r="K455" s="17"/>
      <x:c r="L455" s="17"/>
      <x:c r="M455" s="17"/>
      <x:c r="N455" s="17"/>
      <x:c r="O455" s="17"/>
      <x:c r="P455" s="17"/>
      <x:c r="Q455" s="17"/>
      <x:c r="R455" s="17"/>
      <x:c r="S455" s="17"/>
      <x:c r="T455" s="17"/>
      <x:c r="U455" s="17"/>
      <x:c r="V455" s="17"/>
      <x:c r="W455" s="17"/>
      <x:c r="X455" s="17"/>
      <x:c r="Y455" s="17"/>
      <x:c r="Z455" s="17"/>
    </x:row>
    <x:row r="456">
      <x:c r="A456" s="17"/>
      <x:c r="B456" s="17"/>
      <x:c r="C456" s="17"/>
      <x:c r="D456" s="17"/>
      <x:c r="E456" s="17"/>
      <x:c r="F456" s="17"/>
      <x:c r="G456" s="17"/>
      <x:c r="H456" s="17"/>
      <x:c r="I456" s="17"/>
      <x:c r="J456" s="17"/>
      <x:c r="K456" s="17"/>
      <x:c r="L456" s="17"/>
      <x:c r="M456" s="17"/>
      <x:c r="N456" s="17"/>
      <x:c r="O456" s="17"/>
      <x:c r="P456" s="17"/>
      <x:c r="Q456" s="17"/>
      <x:c r="R456" s="17"/>
      <x:c r="S456" s="17"/>
      <x:c r="T456" s="17"/>
      <x:c r="U456" s="17"/>
      <x:c r="V456" s="17"/>
      <x:c r="W456" s="17"/>
      <x:c r="X456" s="17"/>
      <x:c r="Y456" s="17"/>
      <x:c r="Z456" s="17"/>
    </x:row>
    <x:row r="457">
      <x:c r="A457" s="17"/>
      <x:c r="B457" s="17"/>
      <x:c r="C457" s="17"/>
      <x:c r="D457" s="17"/>
      <x:c r="E457" s="17"/>
      <x:c r="F457" s="17"/>
      <x:c r="G457" s="17"/>
      <x:c r="H457" s="17"/>
      <x:c r="I457" s="17"/>
      <x:c r="J457" s="17"/>
      <x:c r="K457" s="17"/>
      <x:c r="L457" s="17"/>
      <x:c r="M457" s="17"/>
      <x:c r="N457" s="17"/>
      <x:c r="O457" s="17"/>
      <x:c r="P457" s="17"/>
      <x:c r="Q457" s="17"/>
      <x:c r="R457" s="17"/>
      <x:c r="S457" s="17"/>
      <x:c r="T457" s="17"/>
      <x:c r="U457" s="17"/>
      <x:c r="V457" s="17"/>
      <x:c r="W457" s="17"/>
      <x:c r="X457" s="17"/>
      <x:c r="Y457" s="17"/>
      <x:c r="Z457" s="17"/>
    </x:row>
    <x:row r="458">
      <x:c r="A458" s="17"/>
      <x:c r="B458" s="17"/>
      <x:c r="C458" s="17"/>
      <x:c r="D458" s="17"/>
      <x:c r="E458" s="17"/>
      <x:c r="F458" s="17"/>
      <x:c r="G458" s="17"/>
      <x:c r="H458" s="17"/>
      <x:c r="I458" s="17"/>
      <x:c r="J458" s="17"/>
      <x:c r="K458" s="17"/>
      <x:c r="L458" s="17"/>
      <x:c r="M458" s="17"/>
      <x:c r="N458" s="17"/>
      <x:c r="O458" s="17"/>
      <x:c r="P458" s="17"/>
      <x:c r="Q458" s="17"/>
      <x:c r="R458" s="17"/>
      <x:c r="S458" s="17"/>
      <x:c r="T458" s="17"/>
      <x:c r="U458" s="17"/>
      <x:c r="V458" s="17"/>
      <x:c r="W458" s="17"/>
      <x:c r="X458" s="17"/>
      <x:c r="Y458" s="17"/>
      <x:c r="Z458" s="17"/>
    </x:row>
    <x:row r="459">
      <x:c r="A459" s="17"/>
      <x:c r="B459" s="17"/>
      <x:c r="C459" s="17"/>
      <x:c r="D459" s="17"/>
      <x:c r="E459" s="17"/>
      <x:c r="F459" s="17"/>
      <x:c r="G459" s="17"/>
      <x:c r="H459" s="17"/>
      <x:c r="I459" s="17"/>
      <x:c r="J459" s="17"/>
      <x:c r="K459" s="17"/>
      <x:c r="L459" s="17"/>
      <x:c r="M459" s="17"/>
      <x:c r="N459" s="17"/>
      <x:c r="O459" s="17"/>
      <x:c r="P459" s="17"/>
      <x:c r="Q459" s="17"/>
      <x:c r="R459" s="17"/>
      <x:c r="S459" s="17"/>
      <x:c r="T459" s="17"/>
      <x:c r="U459" s="17"/>
      <x:c r="V459" s="17"/>
      <x:c r="W459" s="17"/>
      <x:c r="X459" s="17"/>
      <x:c r="Y459" s="17"/>
      <x:c r="Z459" s="17"/>
    </x:row>
    <x:row r="460">
      <x:c r="A460" s="17"/>
      <x:c r="B460" s="17"/>
      <x:c r="C460" s="17"/>
      <x:c r="D460" s="17"/>
      <x:c r="E460" s="17"/>
      <x:c r="F460" s="17"/>
      <x:c r="G460" s="17"/>
      <x:c r="H460" s="17"/>
      <x:c r="I460" s="17"/>
      <x:c r="J460" s="17"/>
      <x:c r="K460" s="17"/>
      <x:c r="L460" s="17"/>
      <x:c r="M460" s="17"/>
      <x:c r="N460" s="17"/>
      <x:c r="O460" s="17"/>
      <x:c r="P460" s="17"/>
      <x:c r="Q460" s="17"/>
      <x:c r="R460" s="17"/>
      <x:c r="S460" s="17"/>
      <x:c r="T460" s="17"/>
      <x:c r="U460" s="17"/>
      <x:c r="V460" s="17"/>
      <x:c r="W460" s="17"/>
      <x:c r="X460" s="17"/>
      <x:c r="Y460" s="17"/>
      <x:c r="Z460" s="17"/>
    </x:row>
    <x:row r="461">
      <x:c r="A461" s="17"/>
      <x:c r="B461" s="17"/>
      <x:c r="C461" s="17"/>
      <x:c r="D461" s="17"/>
      <x:c r="E461" s="17"/>
      <x:c r="F461" s="17"/>
      <x:c r="G461" s="17"/>
      <x:c r="H461" s="17"/>
      <x:c r="I461" s="17"/>
      <x:c r="J461" s="17"/>
      <x:c r="K461" s="17"/>
      <x:c r="L461" s="17"/>
      <x:c r="M461" s="17"/>
      <x:c r="N461" s="17"/>
      <x:c r="O461" s="17"/>
      <x:c r="P461" s="17"/>
      <x:c r="Q461" s="17"/>
      <x:c r="R461" s="17"/>
      <x:c r="S461" s="17"/>
      <x:c r="T461" s="17"/>
      <x:c r="U461" s="17"/>
      <x:c r="V461" s="17"/>
      <x:c r="W461" s="17"/>
      <x:c r="X461" s="17"/>
      <x:c r="Y461" s="17"/>
      <x:c r="Z461" s="17"/>
    </x:row>
    <x:row r="462">
      <x:c r="A462" s="17"/>
      <x:c r="B462" s="17"/>
      <x:c r="C462" s="17"/>
      <x:c r="D462" s="17"/>
      <x:c r="E462" s="17"/>
      <x:c r="F462" s="17"/>
      <x:c r="G462" s="17"/>
      <x:c r="H462" s="17"/>
      <x:c r="I462" s="17"/>
      <x:c r="J462" s="17"/>
      <x:c r="K462" s="17"/>
      <x:c r="L462" s="17"/>
      <x:c r="M462" s="17"/>
      <x:c r="N462" s="17"/>
      <x:c r="O462" s="17"/>
      <x:c r="P462" s="17"/>
      <x:c r="Q462" s="17"/>
      <x:c r="R462" s="17"/>
      <x:c r="S462" s="17"/>
      <x:c r="T462" s="17"/>
      <x:c r="U462" s="17"/>
      <x:c r="V462" s="17"/>
      <x:c r="W462" s="17"/>
      <x:c r="X462" s="17"/>
      <x:c r="Y462" s="17"/>
      <x:c r="Z462" s="17"/>
    </x:row>
    <x:row r="463">
      <x:c r="A463" s="17"/>
      <x:c r="B463" s="17"/>
      <x:c r="C463" s="17"/>
      <x:c r="D463" s="17"/>
      <x:c r="E463" s="17"/>
      <x:c r="F463" s="17"/>
      <x:c r="G463" s="17"/>
      <x:c r="H463" s="17"/>
      <x:c r="I463" s="17"/>
      <x:c r="J463" s="17"/>
      <x:c r="K463" s="17"/>
      <x:c r="L463" s="17"/>
      <x:c r="M463" s="17"/>
      <x:c r="N463" s="17"/>
      <x:c r="O463" s="17"/>
      <x:c r="P463" s="17"/>
      <x:c r="Q463" s="17"/>
      <x:c r="R463" s="17"/>
      <x:c r="S463" s="17"/>
      <x:c r="T463" s="17"/>
      <x:c r="U463" s="17"/>
      <x:c r="V463" s="17"/>
      <x:c r="W463" s="17"/>
      <x:c r="X463" s="17"/>
      <x:c r="Y463" s="17"/>
      <x:c r="Z463" s="17"/>
    </x:row>
    <x:row r="464">
      <x:c r="A464" s="17"/>
      <x:c r="B464" s="17"/>
      <x:c r="C464" s="17"/>
      <x:c r="D464" s="17"/>
      <x:c r="E464" s="17"/>
      <x:c r="F464" s="17"/>
      <x:c r="G464" s="17"/>
      <x:c r="H464" s="17"/>
      <x:c r="I464" s="17"/>
      <x:c r="J464" s="17"/>
      <x:c r="K464" s="17"/>
      <x:c r="L464" s="17"/>
      <x:c r="M464" s="17"/>
      <x:c r="N464" s="17"/>
      <x:c r="O464" s="17"/>
      <x:c r="P464" s="17"/>
      <x:c r="Q464" s="17"/>
      <x:c r="R464" s="17"/>
      <x:c r="S464" s="17"/>
      <x:c r="T464" s="17"/>
      <x:c r="U464" s="17"/>
      <x:c r="V464" s="17"/>
      <x:c r="W464" s="17"/>
      <x:c r="X464" s="17"/>
      <x:c r="Y464" s="17"/>
      <x:c r="Z464" s="17"/>
    </x:row>
    <x:row r="465">
      <x:c r="A465" s="17"/>
      <x:c r="B465" s="17"/>
      <x:c r="C465" s="17"/>
      <x:c r="D465" s="17"/>
      <x:c r="E465" s="17"/>
      <x:c r="F465" s="17"/>
      <x:c r="G465" s="17"/>
      <x:c r="H465" s="17"/>
      <x:c r="I465" s="17"/>
      <x:c r="J465" s="17"/>
      <x:c r="K465" s="17"/>
      <x:c r="L465" s="17"/>
      <x:c r="M465" s="17"/>
      <x:c r="N465" s="17"/>
      <x:c r="O465" s="17"/>
      <x:c r="P465" s="17"/>
      <x:c r="Q465" s="17"/>
      <x:c r="R465" s="17"/>
      <x:c r="S465" s="17"/>
      <x:c r="T465" s="17"/>
      <x:c r="U465" s="17"/>
      <x:c r="V465" s="17"/>
      <x:c r="W465" s="17"/>
      <x:c r="X465" s="17"/>
      <x:c r="Y465" s="17"/>
      <x:c r="Z465" s="17"/>
    </x:row>
    <x:row r="466">
      <x:c r="A466" s="17"/>
      <x:c r="B466" s="17"/>
      <x:c r="C466" s="17"/>
      <x:c r="D466" s="17"/>
      <x:c r="E466" s="17"/>
      <x:c r="F466" s="17"/>
      <x:c r="G466" s="17"/>
      <x:c r="H466" s="17"/>
      <x:c r="I466" s="17"/>
      <x:c r="J466" s="17"/>
      <x:c r="K466" s="17"/>
      <x:c r="L466" s="17"/>
      <x:c r="M466" s="17"/>
      <x:c r="N466" s="17"/>
      <x:c r="O466" s="17"/>
      <x:c r="P466" s="17"/>
      <x:c r="Q466" s="17"/>
      <x:c r="R466" s="17"/>
      <x:c r="S466" s="17"/>
      <x:c r="T466" s="17"/>
      <x:c r="U466" s="17"/>
      <x:c r="V466" s="17"/>
      <x:c r="W466" s="17"/>
      <x:c r="X466" s="17"/>
      <x:c r="Y466" s="17"/>
      <x:c r="Z466" s="17"/>
    </x:row>
    <x:row r="467">
      <x:c r="A467" s="17"/>
      <x:c r="B467" s="17"/>
      <x:c r="C467" s="17"/>
      <x:c r="D467" s="17"/>
      <x:c r="E467" s="17"/>
      <x:c r="F467" s="17"/>
      <x:c r="G467" s="17"/>
      <x:c r="H467" s="17"/>
      <x:c r="I467" s="17"/>
      <x:c r="J467" s="17"/>
      <x:c r="K467" s="17"/>
      <x:c r="L467" s="17"/>
      <x:c r="M467" s="17"/>
      <x:c r="N467" s="17"/>
      <x:c r="O467" s="17"/>
      <x:c r="P467" s="17"/>
      <x:c r="Q467" s="17"/>
      <x:c r="R467" s="17"/>
      <x:c r="S467" s="17"/>
      <x:c r="T467" s="17"/>
      <x:c r="U467" s="17"/>
      <x:c r="V467" s="17"/>
      <x:c r="W467" s="17"/>
      <x:c r="X467" s="17"/>
      <x:c r="Y467" s="17"/>
      <x:c r="Z467" s="17"/>
    </x:row>
    <x:row r="468">
      <x:c r="A468" s="17"/>
      <x:c r="B468" s="17"/>
      <x:c r="C468" s="17"/>
      <x:c r="D468" s="17"/>
      <x:c r="E468" s="17"/>
      <x:c r="F468" s="17"/>
      <x:c r="G468" s="17"/>
      <x:c r="H468" s="17"/>
      <x:c r="I468" s="17"/>
      <x:c r="J468" s="17"/>
      <x:c r="K468" s="17"/>
      <x:c r="L468" s="17"/>
      <x:c r="M468" s="17"/>
      <x:c r="N468" s="17"/>
      <x:c r="O468" s="17"/>
      <x:c r="P468" s="17"/>
      <x:c r="Q468" s="17"/>
      <x:c r="R468" s="17"/>
      <x:c r="S468" s="17"/>
      <x:c r="T468" s="17"/>
      <x:c r="U468" s="17"/>
      <x:c r="V468" s="17"/>
      <x:c r="W468" s="17"/>
      <x:c r="X468" s="17"/>
      <x:c r="Y468" s="17"/>
      <x:c r="Z468" s="17"/>
    </x:row>
    <x:row r="469">
      <x:c r="A469" s="17"/>
      <x:c r="B469" s="17"/>
      <x:c r="C469" s="17"/>
      <x:c r="D469" s="17"/>
      <x:c r="E469" s="17"/>
      <x:c r="F469" s="17"/>
      <x:c r="G469" s="17"/>
      <x:c r="H469" s="17"/>
      <x:c r="I469" s="17"/>
      <x:c r="J469" s="17"/>
      <x:c r="K469" s="17"/>
      <x:c r="L469" s="17"/>
      <x:c r="M469" s="17"/>
      <x:c r="N469" s="17"/>
      <x:c r="O469" s="17"/>
      <x:c r="P469" s="17"/>
      <x:c r="Q469" s="17"/>
      <x:c r="R469" s="17"/>
      <x:c r="S469" s="17"/>
      <x:c r="T469" s="17"/>
      <x:c r="U469" s="17"/>
      <x:c r="V469" s="17"/>
      <x:c r="W469" s="17"/>
      <x:c r="X469" s="17"/>
      <x:c r="Y469" s="17"/>
      <x:c r="Z469" s="17"/>
    </x:row>
    <x:row r="470">
      <x:c r="A470" s="17"/>
      <x:c r="B470" s="17"/>
      <x:c r="C470" s="17"/>
      <x:c r="D470" s="17"/>
      <x:c r="E470" s="17"/>
      <x:c r="F470" s="17"/>
      <x:c r="G470" s="17"/>
      <x:c r="H470" s="17"/>
      <x:c r="I470" s="17"/>
      <x:c r="J470" s="17"/>
      <x:c r="K470" s="17"/>
      <x:c r="L470" s="17"/>
      <x:c r="M470" s="17"/>
      <x:c r="N470" s="17"/>
      <x:c r="O470" s="17"/>
      <x:c r="P470" s="17"/>
      <x:c r="Q470" s="17"/>
      <x:c r="R470" s="17"/>
      <x:c r="S470" s="17"/>
      <x:c r="T470" s="17"/>
      <x:c r="U470" s="17"/>
      <x:c r="V470" s="17"/>
      <x:c r="W470" s="17"/>
      <x:c r="X470" s="17"/>
      <x:c r="Y470" s="17"/>
      <x:c r="Z470" s="17"/>
    </x:row>
    <x:row r="471">
      <x:c r="A471" s="17"/>
      <x:c r="B471" s="17"/>
      <x:c r="C471" s="17"/>
      <x:c r="D471" s="17"/>
      <x:c r="E471" s="17"/>
      <x:c r="F471" s="17"/>
      <x:c r="G471" s="17"/>
      <x:c r="H471" s="17"/>
      <x:c r="I471" s="17"/>
      <x:c r="J471" s="17"/>
      <x:c r="K471" s="17"/>
      <x:c r="L471" s="17"/>
      <x:c r="M471" s="17"/>
      <x:c r="N471" s="17"/>
      <x:c r="O471" s="17"/>
      <x:c r="P471" s="17"/>
      <x:c r="Q471" s="17"/>
      <x:c r="R471" s="17"/>
      <x:c r="S471" s="17"/>
      <x:c r="T471" s="17"/>
      <x:c r="U471" s="17"/>
      <x:c r="V471" s="17"/>
      <x:c r="W471" s="17"/>
      <x:c r="X471" s="17"/>
      <x:c r="Y471" s="17"/>
      <x:c r="Z471" s="17"/>
    </x:row>
    <x:row r="472">
      <x:c r="A472" s="17"/>
      <x:c r="B472" s="17"/>
      <x:c r="C472" s="17"/>
      <x:c r="D472" s="17"/>
      <x:c r="E472" s="17"/>
      <x:c r="F472" s="17"/>
      <x:c r="G472" s="17"/>
      <x:c r="H472" s="17"/>
      <x:c r="I472" s="17"/>
      <x:c r="J472" s="17"/>
      <x:c r="K472" s="17"/>
      <x:c r="L472" s="17"/>
      <x:c r="M472" s="17"/>
      <x:c r="N472" s="17"/>
      <x:c r="O472" s="17"/>
      <x:c r="P472" s="17"/>
      <x:c r="Q472" s="17"/>
      <x:c r="R472" s="17"/>
      <x:c r="S472" s="17"/>
      <x:c r="T472" s="17"/>
      <x:c r="U472" s="17"/>
      <x:c r="V472" s="17"/>
      <x:c r="W472" s="17"/>
      <x:c r="X472" s="17"/>
      <x:c r="Y472" s="17"/>
      <x:c r="Z472" s="17"/>
    </x:row>
    <x:row r="473">
      <x:c r="A473" s="17"/>
      <x:c r="B473" s="17"/>
      <x:c r="C473" s="17"/>
      <x:c r="D473" s="17"/>
      <x:c r="E473" s="17"/>
      <x:c r="F473" s="17"/>
      <x:c r="G473" s="17"/>
      <x:c r="H473" s="17"/>
      <x:c r="I473" s="17"/>
      <x:c r="J473" s="17"/>
      <x:c r="K473" s="17"/>
      <x:c r="L473" s="17"/>
      <x:c r="M473" s="17"/>
      <x:c r="N473" s="17"/>
      <x:c r="O473" s="17"/>
      <x:c r="P473" s="17"/>
      <x:c r="Q473" s="17"/>
      <x:c r="R473" s="17"/>
      <x:c r="S473" s="17"/>
      <x:c r="T473" s="17"/>
      <x:c r="U473" s="17"/>
      <x:c r="V473" s="17"/>
      <x:c r="W473" s="17"/>
      <x:c r="X473" s="17"/>
      <x:c r="Y473" s="17"/>
      <x:c r="Z473" s="17"/>
    </x:row>
    <x:row r="474">
      <x:c r="A474" s="17"/>
      <x:c r="B474" s="17"/>
      <x:c r="C474" s="17"/>
      <x:c r="D474" s="17"/>
      <x:c r="E474" s="17"/>
      <x:c r="F474" s="17"/>
      <x:c r="G474" s="17"/>
      <x:c r="H474" s="17"/>
      <x:c r="I474" s="17"/>
      <x:c r="J474" s="17"/>
      <x:c r="K474" s="17"/>
      <x:c r="L474" s="17"/>
      <x:c r="M474" s="17"/>
      <x:c r="N474" s="17"/>
      <x:c r="O474" s="17"/>
      <x:c r="P474" s="17"/>
      <x:c r="Q474" s="17"/>
      <x:c r="R474" s="17"/>
      <x:c r="S474" s="17"/>
      <x:c r="T474" s="17"/>
      <x:c r="U474" s="17"/>
      <x:c r="V474" s="17"/>
      <x:c r="W474" s="17"/>
      <x:c r="X474" s="17"/>
      <x:c r="Y474" s="17"/>
      <x:c r="Z474" s="17"/>
    </x:row>
    <x:row r="475">
      <x:c r="A475" s="17"/>
      <x:c r="B475" s="17"/>
      <x:c r="C475" s="17"/>
      <x:c r="D475" s="17"/>
      <x:c r="E475" s="17"/>
      <x:c r="F475" s="17"/>
      <x:c r="G475" s="17"/>
      <x:c r="H475" s="17"/>
      <x:c r="I475" s="17"/>
      <x:c r="J475" s="17"/>
      <x:c r="K475" s="17"/>
      <x:c r="L475" s="17"/>
      <x:c r="M475" s="17"/>
      <x:c r="N475" s="17"/>
      <x:c r="O475" s="17"/>
      <x:c r="P475" s="17"/>
      <x:c r="Q475" s="17"/>
      <x:c r="R475" s="17"/>
      <x:c r="S475" s="17"/>
      <x:c r="T475" s="17"/>
      <x:c r="U475" s="17"/>
      <x:c r="V475" s="17"/>
      <x:c r="W475" s="17"/>
      <x:c r="X475" s="17"/>
      <x:c r="Y475" s="17"/>
      <x:c r="Z475" s="17"/>
    </x:row>
    <x:row r="476">
      <x:c r="A476" s="17"/>
      <x:c r="B476" s="17"/>
      <x:c r="C476" s="17"/>
      <x:c r="D476" s="17"/>
      <x:c r="E476" s="17"/>
      <x:c r="F476" s="17"/>
      <x:c r="G476" s="17"/>
      <x:c r="H476" s="17"/>
      <x:c r="I476" s="17"/>
      <x:c r="J476" s="17"/>
      <x:c r="K476" s="17"/>
      <x:c r="L476" s="17"/>
      <x:c r="M476" s="17"/>
      <x:c r="N476" s="17"/>
      <x:c r="O476" s="17"/>
      <x:c r="P476" s="17"/>
      <x:c r="Q476" s="17"/>
      <x:c r="R476" s="17"/>
      <x:c r="S476" s="17"/>
      <x:c r="T476" s="17"/>
      <x:c r="U476" s="17"/>
      <x:c r="V476" s="17"/>
      <x:c r="W476" s="17"/>
      <x:c r="X476" s="17"/>
      <x:c r="Y476" s="17"/>
      <x:c r="Z476" s="17"/>
    </x:row>
    <x:row r="477">
      <x:c r="A477" s="17"/>
      <x:c r="B477" s="17"/>
      <x:c r="C477" s="17"/>
      <x:c r="D477" s="17"/>
      <x:c r="E477" s="17"/>
      <x:c r="F477" s="17"/>
      <x:c r="G477" s="17"/>
      <x:c r="H477" s="17"/>
      <x:c r="I477" s="17"/>
      <x:c r="J477" s="17"/>
      <x:c r="K477" s="17"/>
      <x:c r="L477" s="17"/>
      <x:c r="M477" s="17"/>
      <x:c r="N477" s="17"/>
      <x:c r="O477" s="17"/>
      <x:c r="P477" s="17"/>
      <x:c r="Q477" s="17"/>
      <x:c r="R477" s="17"/>
      <x:c r="S477" s="17"/>
      <x:c r="T477" s="17"/>
      <x:c r="U477" s="17"/>
      <x:c r="V477" s="17"/>
      <x:c r="W477" s="17"/>
      <x:c r="X477" s="17"/>
      <x:c r="Y477" s="17"/>
      <x:c r="Z477" s="17"/>
    </x:row>
    <x:row r="478">
      <x:c r="A478" s="17"/>
      <x:c r="B478" s="17"/>
      <x:c r="C478" s="17"/>
      <x:c r="D478" s="17"/>
      <x:c r="E478" s="17"/>
      <x:c r="F478" s="17"/>
      <x:c r="G478" s="17"/>
      <x:c r="H478" s="17"/>
      <x:c r="I478" s="17"/>
      <x:c r="J478" s="17"/>
      <x:c r="K478" s="17"/>
      <x:c r="L478" s="17"/>
      <x:c r="M478" s="17"/>
      <x:c r="N478" s="17"/>
      <x:c r="O478" s="17"/>
      <x:c r="P478" s="17"/>
      <x:c r="Q478" s="17"/>
      <x:c r="R478" s="17"/>
      <x:c r="S478" s="17"/>
      <x:c r="T478" s="17"/>
      <x:c r="U478" s="17"/>
      <x:c r="V478" s="17"/>
      <x:c r="W478" s="17"/>
      <x:c r="X478" s="17"/>
      <x:c r="Y478" s="17"/>
      <x:c r="Z478" s="17"/>
    </x:row>
    <x:row r="479">
      <x:c r="A479" s="17"/>
      <x:c r="B479" s="17"/>
      <x:c r="C479" s="17"/>
      <x:c r="D479" s="17"/>
      <x:c r="E479" s="17"/>
      <x:c r="F479" s="17"/>
      <x:c r="G479" s="17"/>
      <x:c r="H479" s="17"/>
      <x:c r="I479" s="17"/>
      <x:c r="J479" s="17"/>
      <x:c r="K479" s="17"/>
      <x:c r="L479" s="17"/>
      <x:c r="M479" s="17"/>
      <x:c r="N479" s="17"/>
      <x:c r="O479" s="17"/>
      <x:c r="P479" s="17"/>
      <x:c r="Q479" s="17"/>
      <x:c r="R479" s="17"/>
      <x:c r="S479" s="17"/>
      <x:c r="T479" s="17"/>
      <x:c r="U479" s="17"/>
      <x:c r="V479" s="17"/>
      <x:c r="W479" s="17"/>
      <x:c r="X479" s="17"/>
      <x:c r="Y479" s="17"/>
      <x:c r="Z479" s="17"/>
    </x:row>
    <x:row r="480">
      <x:c r="A480" s="17"/>
      <x:c r="B480" s="17"/>
      <x:c r="C480" s="17"/>
      <x:c r="D480" s="17"/>
      <x:c r="E480" s="17"/>
      <x:c r="F480" s="17"/>
      <x:c r="G480" s="17"/>
      <x:c r="H480" s="17"/>
      <x:c r="I480" s="17"/>
      <x:c r="J480" s="17"/>
      <x:c r="K480" s="17"/>
      <x:c r="L480" s="17"/>
      <x:c r="M480" s="17"/>
      <x:c r="N480" s="17"/>
      <x:c r="O480" s="17"/>
      <x:c r="P480" s="17"/>
      <x:c r="Q480" s="17"/>
      <x:c r="R480" s="17"/>
      <x:c r="S480" s="17"/>
      <x:c r="T480" s="17"/>
      <x:c r="U480" s="17"/>
      <x:c r="V480" s="17"/>
      <x:c r="W480" s="17"/>
      <x:c r="X480" s="17"/>
      <x:c r="Y480" s="17"/>
      <x:c r="Z480" s="17"/>
    </x:row>
    <x:row r="481">
      <x:c r="A481" s="17"/>
      <x:c r="B481" s="17"/>
      <x:c r="C481" s="17"/>
      <x:c r="D481" s="17"/>
      <x:c r="E481" s="17"/>
      <x:c r="F481" s="17"/>
      <x:c r="G481" s="17"/>
      <x:c r="H481" s="17"/>
      <x:c r="I481" s="17"/>
      <x:c r="J481" s="17"/>
      <x:c r="K481" s="17"/>
      <x:c r="L481" s="17"/>
      <x:c r="M481" s="17"/>
      <x:c r="N481" s="17"/>
      <x:c r="O481" s="17"/>
      <x:c r="P481" s="17"/>
      <x:c r="Q481" s="17"/>
      <x:c r="R481" s="17"/>
      <x:c r="S481" s="17"/>
      <x:c r="T481" s="17"/>
      <x:c r="U481" s="17"/>
      <x:c r="V481" s="17"/>
      <x:c r="W481" s="17"/>
      <x:c r="X481" s="17"/>
      <x:c r="Y481" s="17"/>
      <x:c r="Z481" s="17"/>
    </x:row>
    <x:row r="482">
      <x:c r="A482" s="17"/>
      <x:c r="B482" s="17"/>
      <x:c r="C482" s="17"/>
      <x:c r="D482" s="17"/>
      <x:c r="E482" s="17"/>
      <x:c r="F482" s="17"/>
      <x:c r="G482" s="17"/>
      <x:c r="H482" s="17"/>
      <x:c r="I482" s="17"/>
      <x:c r="J482" s="17"/>
      <x:c r="K482" s="17"/>
      <x:c r="L482" s="17"/>
      <x:c r="M482" s="17"/>
      <x:c r="N482" s="17"/>
      <x:c r="O482" s="17"/>
      <x:c r="P482" s="17"/>
      <x:c r="Q482" s="17"/>
      <x:c r="R482" s="17"/>
      <x:c r="S482" s="17"/>
      <x:c r="T482" s="17"/>
      <x:c r="U482" s="17"/>
      <x:c r="V482" s="17"/>
      <x:c r="W482" s="17"/>
      <x:c r="X482" s="17"/>
      <x:c r="Y482" s="17"/>
      <x:c r="Z482" s="17"/>
    </x:row>
    <x:row r="483">
      <x:c r="A483" s="17"/>
      <x:c r="B483" s="17"/>
      <x:c r="C483" s="17"/>
      <x:c r="D483" s="17"/>
      <x:c r="E483" s="17"/>
      <x:c r="F483" s="17"/>
      <x:c r="G483" s="17"/>
      <x:c r="H483" s="17"/>
      <x:c r="I483" s="17"/>
      <x:c r="J483" s="17"/>
      <x:c r="K483" s="17"/>
      <x:c r="L483" s="17"/>
      <x:c r="M483" s="17"/>
      <x:c r="N483" s="17"/>
      <x:c r="O483" s="17"/>
      <x:c r="P483" s="17"/>
      <x:c r="Q483" s="17"/>
      <x:c r="R483" s="17"/>
      <x:c r="S483" s="17"/>
      <x:c r="T483" s="17"/>
      <x:c r="U483" s="17"/>
      <x:c r="V483" s="17"/>
      <x:c r="W483" s="17"/>
      <x:c r="X483" s="17"/>
      <x:c r="Y483" s="17"/>
      <x:c r="Z483" s="17"/>
    </x:row>
    <x:row r="484">
      <x:c r="A484" s="17"/>
      <x:c r="B484" s="17"/>
      <x:c r="C484" s="17"/>
      <x:c r="D484" s="17"/>
      <x:c r="E484" s="17"/>
      <x:c r="F484" s="17"/>
      <x:c r="G484" s="17"/>
      <x:c r="H484" s="17"/>
      <x:c r="I484" s="17"/>
      <x:c r="J484" s="17"/>
      <x:c r="K484" s="17"/>
      <x:c r="L484" s="17"/>
      <x:c r="M484" s="17"/>
      <x:c r="N484" s="17"/>
      <x:c r="O484" s="17"/>
      <x:c r="P484" s="17"/>
      <x:c r="Q484" s="17"/>
      <x:c r="R484" s="17"/>
      <x:c r="S484" s="17"/>
      <x:c r="T484" s="17"/>
      <x:c r="U484" s="17"/>
      <x:c r="V484" s="17"/>
      <x:c r="W484" s="17"/>
      <x:c r="X484" s="17"/>
      <x:c r="Y484" s="17"/>
      <x:c r="Z484" s="17"/>
    </x:row>
    <x:row r="485">
      <x:c r="A485" s="17"/>
      <x:c r="B485" s="17"/>
      <x:c r="C485" s="17"/>
      <x:c r="D485" s="17"/>
      <x:c r="E485" s="17"/>
      <x:c r="F485" s="17"/>
      <x:c r="G485" s="17"/>
      <x:c r="H485" s="17"/>
      <x:c r="I485" s="17"/>
      <x:c r="J485" s="17"/>
      <x:c r="K485" s="17"/>
      <x:c r="L485" s="17"/>
      <x:c r="M485" s="17"/>
      <x:c r="N485" s="17"/>
      <x:c r="O485" s="17"/>
      <x:c r="P485" s="17"/>
      <x:c r="Q485" s="17"/>
      <x:c r="R485" s="17"/>
      <x:c r="S485" s="17"/>
      <x:c r="T485" s="17"/>
      <x:c r="U485" s="17"/>
      <x:c r="V485" s="17"/>
      <x:c r="W485" s="17"/>
      <x:c r="X485" s="17"/>
      <x:c r="Y485" s="17"/>
      <x:c r="Z485" s="17"/>
    </x:row>
    <x:row r="486">
      <x:c r="A486" s="17"/>
      <x:c r="B486" s="17"/>
      <x:c r="C486" s="17"/>
      <x:c r="D486" s="17"/>
      <x:c r="E486" s="17"/>
      <x:c r="F486" s="17"/>
      <x:c r="G486" s="17"/>
      <x:c r="H486" s="17"/>
      <x:c r="I486" s="17"/>
      <x:c r="J486" s="17"/>
      <x:c r="K486" s="17"/>
      <x:c r="L486" s="17"/>
      <x:c r="M486" s="17"/>
      <x:c r="N486" s="17"/>
      <x:c r="O486" s="17"/>
      <x:c r="P486" s="17"/>
      <x:c r="Q486" s="17"/>
      <x:c r="R486" s="17"/>
      <x:c r="S486" s="17"/>
      <x:c r="T486" s="17"/>
      <x:c r="U486" s="17"/>
      <x:c r="V486" s="17"/>
      <x:c r="W486" s="17"/>
      <x:c r="X486" s="17"/>
      <x:c r="Y486" s="17"/>
      <x:c r="Z486" s="17"/>
    </x:row>
    <x:row r="487">
      <x:c r="A487" s="17"/>
      <x:c r="B487" s="17"/>
      <x:c r="C487" s="17"/>
      <x:c r="D487" s="17"/>
      <x:c r="E487" s="17"/>
      <x:c r="F487" s="17"/>
      <x:c r="G487" s="17"/>
      <x:c r="H487" s="17"/>
      <x:c r="I487" s="17"/>
      <x:c r="J487" s="17"/>
      <x:c r="K487" s="17"/>
      <x:c r="L487" s="17"/>
      <x:c r="M487" s="17"/>
      <x:c r="N487" s="17"/>
      <x:c r="O487" s="17"/>
      <x:c r="P487" s="17"/>
      <x:c r="Q487" s="17"/>
      <x:c r="R487" s="17"/>
      <x:c r="S487" s="17"/>
      <x:c r="T487" s="17"/>
      <x:c r="U487" s="17"/>
      <x:c r="V487" s="17"/>
      <x:c r="W487" s="17"/>
      <x:c r="X487" s="17"/>
      <x:c r="Y487" s="17"/>
      <x:c r="Z487" s="17"/>
    </x:row>
    <x:row r="488">
      <x:c r="A488" s="17"/>
      <x:c r="B488" s="17"/>
      <x:c r="C488" s="17"/>
      <x:c r="D488" s="17"/>
      <x:c r="E488" s="17"/>
      <x:c r="F488" s="17"/>
      <x:c r="G488" s="17"/>
      <x:c r="H488" s="17"/>
      <x:c r="I488" s="17"/>
      <x:c r="J488" s="17"/>
      <x:c r="K488" s="17"/>
      <x:c r="L488" s="17"/>
      <x:c r="M488" s="17"/>
      <x:c r="N488" s="17"/>
      <x:c r="O488" s="17"/>
      <x:c r="P488" s="17"/>
      <x:c r="Q488" s="17"/>
      <x:c r="R488" s="17"/>
      <x:c r="S488" s="17"/>
      <x:c r="T488" s="17"/>
      <x:c r="U488" s="17"/>
      <x:c r="V488" s="17"/>
      <x:c r="W488" s="17"/>
      <x:c r="X488" s="17"/>
      <x:c r="Y488" s="17"/>
      <x:c r="Z488" s="17"/>
    </x:row>
    <x:row r="489">
      <x:c r="A489" s="17"/>
      <x:c r="B489" s="17"/>
      <x:c r="C489" s="17"/>
      <x:c r="D489" s="17"/>
      <x:c r="E489" s="17"/>
      <x:c r="F489" s="17"/>
      <x:c r="G489" s="17"/>
      <x:c r="H489" s="17"/>
      <x:c r="I489" s="17"/>
      <x:c r="J489" s="17"/>
      <x:c r="K489" s="17"/>
      <x:c r="L489" s="17"/>
      <x:c r="M489" s="17"/>
      <x:c r="N489" s="17"/>
      <x:c r="O489" s="17"/>
      <x:c r="P489" s="17"/>
      <x:c r="Q489" s="17"/>
      <x:c r="R489" s="17"/>
      <x:c r="S489" s="17"/>
      <x:c r="T489" s="17"/>
      <x:c r="U489" s="17"/>
      <x:c r="V489" s="17"/>
      <x:c r="W489" s="17"/>
      <x:c r="X489" s="17"/>
      <x:c r="Y489" s="17"/>
      <x:c r="Z489" s="17"/>
    </x:row>
    <x:row r="490">
      <x:c r="A490" s="17"/>
      <x:c r="B490" s="17"/>
      <x:c r="C490" s="17"/>
      <x:c r="D490" s="17"/>
      <x:c r="E490" s="17"/>
      <x:c r="F490" s="17"/>
      <x:c r="G490" s="17"/>
      <x:c r="H490" s="17"/>
      <x:c r="I490" s="17"/>
      <x:c r="J490" s="17"/>
      <x:c r="K490" s="17"/>
      <x:c r="L490" s="17"/>
      <x:c r="M490" s="17"/>
      <x:c r="N490" s="17"/>
      <x:c r="O490" s="17"/>
      <x:c r="P490" s="17"/>
      <x:c r="Q490" s="17"/>
      <x:c r="R490" s="17"/>
      <x:c r="S490" s="17"/>
      <x:c r="T490" s="17"/>
      <x:c r="U490" s="17"/>
      <x:c r="V490" s="17"/>
      <x:c r="W490" s="17"/>
      <x:c r="X490" s="17"/>
      <x:c r="Y490" s="17"/>
      <x:c r="Z490" s="17"/>
    </x:row>
    <x:row r="491">
      <x:c r="A491" s="17"/>
      <x:c r="B491" s="17"/>
      <x:c r="C491" s="17"/>
      <x:c r="D491" s="17"/>
      <x:c r="E491" s="17"/>
      <x:c r="F491" s="17"/>
      <x:c r="G491" s="17"/>
      <x:c r="H491" s="17"/>
      <x:c r="I491" s="17"/>
      <x:c r="J491" s="17"/>
      <x:c r="K491" s="17"/>
      <x:c r="L491" s="17"/>
      <x:c r="M491" s="17"/>
      <x:c r="N491" s="17"/>
      <x:c r="O491" s="17"/>
      <x:c r="P491" s="17"/>
      <x:c r="Q491" s="17"/>
      <x:c r="R491" s="17"/>
      <x:c r="S491" s="17"/>
      <x:c r="T491" s="17"/>
      <x:c r="U491" s="17"/>
      <x:c r="V491" s="17"/>
      <x:c r="W491" s="17"/>
      <x:c r="X491" s="17"/>
      <x:c r="Y491" s="17"/>
      <x:c r="Z491" s="17"/>
    </x:row>
    <x:row r="492">
      <x:c r="A492" s="17"/>
      <x:c r="B492" s="17"/>
      <x:c r="C492" s="17"/>
      <x:c r="D492" s="17"/>
      <x:c r="E492" s="17"/>
      <x:c r="F492" s="17"/>
      <x:c r="G492" s="17"/>
      <x:c r="H492" s="17"/>
      <x:c r="I492" s="17"/>
      <x:c r="J492" s="17"/>
      <x:c r="K492" s="17"/>
      <x:c r="L492" s="17"/>
      <x:c r="M492" s="17"/>
      <x:c r="N492" s="17"/>
      <x:c r="O492" s="17"/>
      <x:c r="P492" s="17"/>
      <x:c r="Q492" s="17"/>
      <x:c r="R492" s="17"/>
      <x:c r="S492" s="17"/>
      <x:c r="T492" s="17"/>
      <x:c r="U492" s="17"/>
      <x:c r="V492" s="17"/>
      <x:c r="W492" s="17"/>
      <x:c r="X492" s="17"/>
      <x:c r="Y492" s="17"/>
      <x:c r="Z492" s="17"/>
    </x:row>
    <x:row r="493">
      <x:c r="A493" s="17"/>
      <x:c r="B493" s="17"/>
      <x:c r="C493" s="17"/>
      <x:c r="D493" s="17"/>
      <x:c r="E493" s="17"/>
      <x:c r="F493" s="17"/>
      <x:c r="G493" s="17"/>
      <x:c r="H493" s="17"/>
      <x:c r="I493" s="17"/>
      <x:c r="J493" s="17"/>
      <x:c r="K493" s="17"/>
      <x:c r="L493" s="17"/>
      <x:c r="M493" s="17"/>
      <x:c r="N493" s="17"/>
      <x:c r="O493" s="17"/>
      <x:c r="P493" s="17"/>
      <x:c r="Q493" s="17"/>
      <x:c r="R493" s="17"/>
      <x:c r="S493" s="17"/>
      <x:c r="T493" s="17"/>
      <x:c r="U493" s="17"/>
      <x:c r="V493" s="17"/>
      <x:c r="W493" s="17"/>
      <x:c r="X493" s="17"/>
      <x:c r="Y493" s="17"/>
      <x:c r="Z493" s="17"/>
    </x:row>
    <x:row r="494">
      <x:c r="A494" s="17"/>
      <x:c r="B494" s="17"/>
      <x:c r="C494" s="17"/>
      <x:c r="D494" s="17"/>
      <x:c r="E494" s="17"/>
      <x:c r="F494" s="17"/>
      <x:c r="G494" s="17"/>
      <x:c r="H494" s="17"/>
      <x:c r="I494" s="17"/>
      <x:c r="J494" s="17"/>
      <x:c r="K494" s="17"/>
      <x:c r="L494" s="17"/>
      <x:c r="M494" s="17"/>
      <x:c r="N494" s="17"/>
      <x:c r="O494" s="17"/>
      <x:c r="P494" s="17"/>
      <x:c r="Q494" s="17"/>
      <x:c r="R494" s="17"/>
      <x:c r="S494" s="17"/>
      <x:c r="T494" s="17"/>
      <x:c r="U494" s="17"/>
      <x:c r="V494" s="17"/>
      <x:c r="W494" s="17"/>
      <x:c r="X494" s="17"/>
      <x:c r="Y494" s="17"/>
      <x:c r="Z494" s="17"/>
    </x:row>
    <x:row r="495">
      <x:c r="A495" s="17"/>
      <x:c r="B495" s="17"/>
      <x:c r="C495" s="17"/>
      <x:c r="D495" s="17"/>
      <x:c r="E495" s="17"/>
      <x:c r="F495" s="17"/>
      <x:c r="G495" s="17"/>
      <x:c r="H495" s="17"/>
      <x:c r="I495" s="17"/>
      <x:c r="J495" s="17"/>
      <x:c r="K495" s="17"/>
      <x:c r="L495" s="17"/>
      <x:c r="M495" s="17"/>
      <x:c r="N495" s="17"/>
      <x:c r="O495" s="17"/>
      <x:c r="P495" s="17"/>
      <x:c r="Q495" s="17"/>
      <x:c r="R495" s="17"/>
      <x:c r="S495" s="17"/>
      <x:c r="T495" s="17"/>
      <x:c r="U495" s="17"/>
      <x:c r="V495" s="17"/>
      <x:c r="W495" s="17"/>
      <x:c r="X495" s="17"/>
      <x:c r="Y495" s="17"/>
      <x:c r="Z495" s="17"/>
    </x:row>
    <x:row r="496">
      <x:c r="A496" s="17"/>
      <x:c r="B496" s="17"/>
      <x:c r="C496" s="17"/>
      <x:c r="D496" s="17"/>
      <x:c r="E496" s="17"/>
      <x:c r="F496" s="17"/>
      <x:c r="G496" s="17"/>
      <x:c r="H496" s="17"/>
      <x:c r="I496" s="17"/>
      <x:c r="J496" s="17"/>
      <x:c r="K496" s="17"/>
      <x:c r="L496" s="17"/>
      <x:c r="M496" s="17"/>
      <x:c r="N496" s="17"/>
      <x:c r="O496" s="17"/>
      <x:c r="P496" s="17"/>
      <x:c r="Q496" s="17"/>
      <x:c r="R496" s="17"/>
      <x:c r="S496" s="17"/>
      <x:c r="T496" s="17"/>
      <x:c r="U496" s="17"/>
      <x:c r="V496" s="17"/>
      <x:c r="W496" s="17"/>
      <x:c r="X496" s="17"/>
      <x:c r="Y496" s="17"/>
      <x:c r="Z496" s="17"/>
    </x:row>
    <x:row r="497">
      <x:c r="A497" s="17"/>
      <x:c r="B497" s="17"/>
      <x:c r="C497" s="17"/>
      <x:c r="D497" s="17"/>
      <x:c r="E497" s="17"/>
      <x:c r="F497" s="17"/>
      <x:c r="G497" s="17"/>
      <x:c r="H497" s="17"/>
      <x:c r="I497" s="17"/>
      <x:c r="J497" s="17"/>
      <x:c r="K497" s="17"/>
      <x:c r="L497" s="17"/>
      <x:c r="M497" s="17"/>
      <x:c r="N497" s="17"/>
      <x:c r="O497" s="17"/>
      <x:c r="P497" s="17"/>
      <x:c r="Q497" s="17"/>
      <x:c r="R497" s="17"/>
      <x:c r="S497" s="17"/>
      <x:c r="T497" s="17"/>
      <x:c r="U497" s="17"/>
      <x:c r="V497" s="17"/>
      <x:c r="W497" s="17"/>
      <x:c r="X497" s="17"/>
      <x:c r="Y497" s="17"/>
      <x:c r="Z497" s="17"/>
    </x:row>
    <x:row r="498">
      <x:c r="A498" s="17"/>
      <x:c r="B498" s="17"/>
      <x:c r="C498" s="17"/>
      <x:c r="D498" s="17"/>
      <x:c r="E498" s="17"/>
      <x:c r="F498" s="17"/>
      <x:c r="G498" s="17"/>
      <x:c r="H498" s="17"/>
      <x:c r="I498" s="17"/>
      <x:c r="J498" s="17"/>
      <x:c r="K498" s="17"/>
      <x:c r="L498" s="17"/>
      <x:c r="M498" s="17"/>
      <x:c r="N498" s="17"/>
      <x:c r="O498" s="17"/>
      <x:c r="P498" s="17"/>
      <x:c r="Q498" s="17"/>
      <x:c r="R498" s="17"/>
      <x:c r="S498" s="17"/>
      <x:c r="T498" s="17"/>
      <x:c r="U498" s="17"/>
      <x:c r="V498" s="17"/>
      <x:c r="W498" s="17"/>
      <x:c r="X498" s="17"/>
      <x:c r="Y498" s="17"/>
      <x:c r="Z498" s="17"/>
    </x:row>
    <x:row r="499">
      <x:c r="A499" s="17"/>
      <x:c r="B499" s="17"/>
      <x:c r="C499" s="17"/>
      <x:c r="D499" s="17"/>
      <x:c r="E499" s="17"/>
      <x:c r="F499" s="17"/>
      <x:c r="G499" s="17"/>
      <x:c r="H499" s="17"/>
      <x:c r="I499" s="17"/>
      <x:c r="J499" s="17"/>
      <x:c r="K499" s="17"/>
      <x:c r="L499" s="17"/>
      <x:c r="M499" s="17"/>
      <x:c r="N499" s="17"/>
      <x:c r="O499" s="17"/>
      <x:c r="P499" s="17"/>
      <x:c r="Q499" s="17"/>
      <x:c r="R499" s="17"/>
      <x:c r="S499" s="17"/>
      <x:c r="T499" s="17"/>
      <x:c r="U499" s="17"/>
      <x:c r="V499" s="17"/>
      <x:c r="W499" s="17"/>
      <x:c r="X499" s="17"/>
      <x:c r="Y499" s="17"/>
      <x:c r="Z499" s="17"/>
    </x:row>
    <x:row r="500">
      <x:c r="A500" s="17"/>
      <x:c r="B500" s="17"/>
      <x:c r="C500" s="17"/>
      <x:c r="D500" s="17"/>
      <x:c r="E500" s="17"/>
      <x:c r="F500" s="17"/>
      <x:c r="G500" s="17"/>
      <x:c r="H500" s="17"/>
      <x:c r="I500" s="17"/>
      <x:c r="J500" s="17"/>
      <x:c r="K500" s="17"/>
      <x:c r="L500" s="17"/>
      <x:c r="M500" s="17"/>
      <x:c r="N500" s="17"/>
      <x:c r="O500" s="17"/>
      <x:c r="P500" s="17"/>
      <x:c r="Q500" s="17"/>
      <x:c r="R500" s="17"/>
      <x:c r="S500" s="17"/>
      <x:c r="T500" s="17"/>
      <x:c r="U500" s="17"/>
      <x:c r="V500" s="17"/>
      <x:c r="W500" s="17"/>
      <x:c r="X500" s="17"/>
      <x:c r="Y500" s="17"/>
      <x:c r="Z500" s="17"/>
    </x:row>
    <x:row r="501">
      <x:c r="A501" s="17"/>
      <x:c r="B501" s="17"/>
      <x:c r="C501" s="17"/>
      <x:c r="D501" s="17"/>
      <x:c r="E501" s="17"/>
      <x:c r="F501" s="17"/>
      <x:c r="G501" s="17"/>
      <x:c r="H501" s="17"/>
      <x:c r="I501" s="17"/>
      <x:c r="J501" s="17"/>
      <x:c r="K501" s="17"/>
      <x:c r="L501" s="17"/>
      <x:c r="M501" s="17"/>
      <x:c r="N501" s="17"/>
      <x:c r="O501" s="17"/>
      <x:c r="P501" s="17"/>
      <x:c r="Q501" s="17"/>
      <x:c r="R501" s="17"/>
      <x:c r="S501" s="17"/>
      <x:c r="T501" s="17"/>
      <x:c r="U501" s="17"/>
      <x:c r="V501" s="17"/>
      <x:c r="W501" s="17"/>
      <x:c r="X501" s="17"/>
      <x:c r="Y501" s="17"/>
      <x:c r="Z501" s="17"/>
    </x:row>
    <x:row r="502">
      <x:c r="A502" s="17"/>
      <x:c r="B502" s="17"/>
      <x:c r="C502" s="17"/>
      <x:c r="D502" s="17"/>
      <x:c r="E502" s="17"/>
      <x:c r="F502" s="17"/>
      <x:c r="G502" s="17"/>
      <x:c r="H502" s="17"/>
      <x:c r="I502" s="17"/>
      <x:c r="J502" s="17"/>
      <x:c r="K502" s="17"/>
      <x:c r="L502" s="17"/>
      <x:c r="M502" s="17"/>
      <x:c r="N502" s="17"/>
      <x:c r="O502" s="17"/>
      <x:c r="P502" s="17"/>
      <x:c r="Q502" s="17"/>
      <x:c r="R502" s="17"/>
      <x:c r="S502" s="17"/>
      <x:c r="T502" s="17"/>
      <x:c r="U502" s="17"/>
      <x:c r="V502" s="17"/>
      <x:c r="W502" s="17"/>
      <x:c r="X502" s="17"/>
      <x:c r="Y502" s="17"/>
      <x:c r="Z502" s="17"/>
    </x:row>
    <x:row r="503">
      <x:c r="A503" s="17"/>
      <x:c r="B503" s="17"/>
      <x:c r="C503" s="17"/>
      <x:c r="D503" s="17"/>
      <x:c r="E503" s="17"/>
      <x:c r="F503" s="17"/>
      <x:c r="G503" s="17"/>
      <x:c r="H503" s="17"/>
      <x:c r="I503" s="17"/>
      <x:c r="J503" s="17"/>
      <x:c r="K503" s="17"/>
      <x:c r="L503" s="17"/>
      <x:c r="M503" s="17"/>
      <x:c r="N503" s="17"/>
      <x:c r="O503" s="17"/>
      <x:c r="P503" s="17"/>
      <x:c r="Q503" s="17"/>
      <x:c r="R503" s="17"/>
      <x:c r="S503" s="17"/>
      <x:c r="T503" s="17"/>
      <x:c r="U503" s="17"/>
      <x:c r="V503" s="17"/>
      <x:c r="W503" s="17"/>
      <x:c r="X503" s="17"/>
      <x:c r="Y503" s="17"/>
      <x:c r="Z503" s="17"/>
    </x:row>
    <x:row r="504">
      <x:c r="A504" s="17"/>
      <x:c r="B504" s="17"/>
      <x:c r="C504" s="17"/>
      <x:c r="D504" s="17"/>
      <x:c r="E504" s="17"/>
      <x:c r="F504" s="17"/>
      <x:c r="G504" s="17"/>
      <x:c r="H504" s="17"/>
      <x:c r="I504" s="17"/>
      <x:c r="J504" s="17"/>
      <x:c r="K504" s="17"/>
      <x:c r="L504" s="17"/>
      <x:c r="M504" s="17"/>
      <x:c r="N504" s="17"/>
      <x:c r="O504" s="17"/>
      <x:c r="P504" s="17"/>
      <x:c r="Q504" s="17"/>
      <x:c r="R504" s="17"/>
      <x:c r="S504" s="17"/>
      <x:c r="T504" s="17"/>
      <x:c r="U504" s="17"/>
      <x:c r="V504" s="17"/>
      <x:c r="W504" s="17"/>
      <x:c r="X504" s="17"/>
      <x:c r="Y504" s="17"/>
      <x:c r="Z504" s="17"/>
    </x:row>
    <x:row r="505">
      <x:c r="A505" s="17"/>
      <x:c r="B505" s="17"/>
      <x:c r="C505" s="17"/>
      <x:c r="D505" s="17"/>
      <x:c r="E505" s="17"/>
      <x:c r="F505" s="17"/>
      <x:c r="G505" s="17"/>
      <x:c r="H505" s="17"/>
      <x:c r="I505" s="17"/>
      <x:c r="J505" s="17"/>
      <x:c r="K505" s="17"/>
      <x:c r="L505" s="17"/>
      <x:c r="M505" s="17"/>
      <x:c r="N505" s="17"/>
      <x:c r="O505" s="17"/>
      <x:c r="P505" s="17"/>
      <x:c r="Q505" s="17"/>
      <x:c r="R505" s="17"/>
      <x:c r="S505" s="17"/>
      <x:c r="T505" s="17"/>
      <x:c r="U505" s="17"/>
      <x:c r="V505" s="17"/>
      <x:c r="W505" s="17"/>
      <x:c r="X505" s="17"/>
      <x:c r="Y505" s="17"/>
      <x:c r="Z505" s="17"/>
    </x:row>
    <x:row r="506">
      <x:c r="A506" s="17"/>
      <x:c r="B506" s="17"/>
      <x:c r="C506" s="17"/>
      <x:c r="D506" s="17"/>
      <x:c r="E506" s="17"/>
      <x:c r="F506" s="17"/>
      <x:c r="G506" s="17"/>
      <x:c r="H506" s="17"/>
      <x:c r="I506" s="17"/>
      <x:c r="J506" s="17"/>
      <x:c r="K506" s="17"/>
      <x:c r="L506" s="17"/>
      <x:c r="M506" s="17"/>
      <x:c r="N506" s="17"/>
      <x:c r="O506" s="17"/>
      <x:c r="P506" s="17"/>
      <x:c r="Q506" s="17"/>
      <x:c r="R506" s="17"/>
      <x:c r="S506" s="17"/>
      <x:c r="T506" s="17"/>
      <x:c r="U506" s="17"/>
      <x:c r="V506" s="17"/>
      <x:c r="W506" s="17"/>
      <x:c r="X506" s="17"/>
      <x:c r="Y506" s="17"/>
      <x:c r="Z506" s="17"/>
    </x:row>
    <x:row r="507">
      <x:c r="A507" s="17"/>
      <x:c r="B507" s="17"/>
      <x:c r="C507" s="17"/>
      <x:c r="D507" s="17"/>
      <x:c r="E507" s="17"/>
      <x:c r="F507" s="17"/>
      <x:c r="G507" s="17"/>
      <x:c r="H507" s="17"/>
      <x:c r="I507" s="17"/>
      <x:c r="J507" s="17"/>
      <x:c r="K507" s="17"/>
      <x:c r="L507" s="17"/>
      <x:c r="M507" s="17"/>
      <x:c r="N507" s="17"/>
      <x:c r="O507" s="17"/>
      <x:c r="P507" s="17"/>
      <x:c r="Q507" s="17"/>
      <x:c r="R507" s="17"/>
      <x:c r="S507" s="17"/>
      <x:c r="T507" s="17"/>
      <x:c r="U507" s="17"/>
      <x:c r="V507" s="17"/>
      <x:c r="W507" s="17"/>
      <x:c r="X507" s="17"/>
      <x:c r="Y507" s="17"/>
      <x:c r="Z507" s="17"/>
    </x:row>
    <x:row r="508">
      <x:c r="A508" s="17"/>
      <x:c r="B508" s="17"/>
      <x:c r="C508" s="17"/>
      <x:c r="D508" s="17"/>
      <x:c r="E508" s="17"/>
      <x:c r="F508" s="17"/>
      <x:c r="G508" s="17"/>
      <x:c r="H508" s="17"/>
      <x:c r="I508" s="17"/>
      <x:c r="J508" s="17"/>
      <x:c r="K508" s="17"/>
      <x:c r="L508" s="17"/>
      <x:c r="M508" s="17"/>
      <x:c r="N508" s="17"/>
      <x:c r="O508" s="17"/>
      <x:c r="P508" s="17"/>
      <x:c r="Q508" s="17"/>
      <x:c r="R508" s="17"/>
      <x:c r="S508" s="17"/>
      <x:c r="T508" s="17"/>
      <x:c r="U508" s="17"/>
      <x:c r="V508" s="17"/>
      <x:c r="W508" s="17"/>
      <x:c r="X508" s="17"/>
      <x:c r="Y508" s="17"/>
      <x:c r="Z508" s="17"/>
    </x:row>
    <x:row r="509">
      <x:c r="A509" s="17"/>
      <x:c r="B509" s="17"/>
      <x:c r="C509" s="17"/>
      <x:c r="D509" s="17"/>
      <x:c r="E509" s="17"/>
      <x:c r="F509" s="17"/>
      <x:c r="G509" s="17"/>
      <x:c r="H509" s="17"/>
      <x:c r="I509" s="17"/>
      <x:c r="J509" s="17"/>
      <x:c r="K509" s="17"/>
      <x:c r="L509" s="17"/>
      <x:c r="M509" s="17"/>
      <x:c r="N509" s="17"/>
      <x:c r="O509" s="17"/>
      <x:c r="P509" s="17"/>
      <x:c r="Q509" s="17"/>
      <x:c r="R509" s="17"/>
      <x:c r="S509" s="17"/>
      <x:c r="T509" s="17"/>
      <x:c r="U509" s="17"/>
      <x:c r="V509" s="17"/>
      <x:c r="W509" s="17"/>
      <x:c r="X509" s="17"/>
      <x:c r="Y509" s="17"/>
      <x:c r="Z509" s="17"/>
    </x:row>
    <x:row r="510">
      <x:c r="A510" s="17"/>
      <x:c r="B510" s="17"/>
      <x:c r="C510" s="17"/>
      <x:c r="D510" s="17"/>
      <x:c r="E510" s="17"/>
      <x:c r="F510" s="17"/>
      <x:c r="G510" s="17"/>
      <x:c r="H510" s="17"/>
      <x:c r="I510" s="17"/>
      <x:c r="J510" s="17"/>
      <x:c r="K510" s="17"/>
      <x:c r="L510" s="17"/>
      <x:c r="M510" s="17"/>
      <x:c r="N510" s="17"/>
      <x:c r="O510" s="17"/>
      <x:c r="P510" s="17"/>
      <x:c r="Q510" s="17"/>
      <x:c r="R510" s="17"/>
      <x:c r="S510" s="17"/>
      <x:c r="T510" s="17"/>
      <x:c r="U510" s="17"/>
      <x:c r="V510" s="17"/>
      <x:c r="W510" s="17"/>
      <x:c r="X510" s="17"/>
      <x:c r="Y510" s="17"/>
      <x:c r="Z510" s="17"/>
    </x:row>
    <x:row r="511">
      <x:c r="A511" s="17"/>
      <x:c r="B511" s="17"/>
      <x:c r="C511" s="17"/>
      <x:c r="D511" s="17"/>
      <x:c r="E511" s="17"/>
      <x:c r="F511" s="17"/>
      <x:c r="G511" s="17"/>
      <x:c r="H511" s="17"/>
      <x:c r="I511" s="17"/>
      <x:c r="J511" s="17"/>
      <x:c r="K511" s="17"/>
      <x:c r="L511" s="17"/>
      <x:c r="M511" s="17"/>
      <x:c r="N511" s="17"/>
      <x:c r="O511" s="17"/>
      <x:c r="P511" s="17"/>
      <x:c r="Q511" s="17"/>
      <x:c r="R511" s="17"/>
      <x:c r="S511" s="17"/>
      <x:c r="T511" s="17"/>
      <x:c r="U511" s="17"/>
      <x:c r="V511" s="17"/>
      <x:c r="W511" s="17"/>
      <x:c r="X511" s="17"/>
      <x:c r="Y511" s="17"/>
      <x:c r="Z511" s="17"/>
    </x:row>
    <x:row r="512">
      <x:c r="A512" s="17"/>
      <x:c r="B512" s="17"/>
      <x:c r="C512" s="17"/>
      <x:c r="D512" s="17"/>
      <x:c r="E512" s="17"/>
      <x:c r="F512" s="17"/>
      <x:c r="G512" s="17"/>
      <x:c r="H512" s="17"/>
      <x:c r="I512" s="17"/>
      <x:c r="J512" s="17"/>
      <x:c r="K512" s="17"/>
      <x:c r="L512" s="17"/>
      <x:c r="M512" s="17"/>
      <x:c r="N512" s="17"/>
      <x:c r="O512" s="17"/>
      <x:c r="P512" s="17"/>
      <x:c r="Q512" s="17"/>
      <x:c r="R512" s="17"/>
      <x:c r="S512" s="17"/>
      <x:c r="T512" s="17"/>
      <x:c r="U512" s="17"/>
      <x:c r="V512" s="17"/>
      <x:c r="W512" s="17"/>
      <x:c r="X512" s="17"/>
      <x:c r="Y512" s="17"/>
      <x:c r="Z512" s="17"/>
    </x:row>
    <x:row r="513">
      <x:c r="A513" s="17"/>
      <x:c r="B513" s="17"/>
      <x:c r="C513" s="17"/>
      <x:c r="D513" s="17"/>
      <x:c r="E513" s="17"/>
      <x:c r="F513" s="17"/>
      <x:c r="G513" s="17"/>
      <x:c r="H513" s="17"/>
      <x:c r="I513" s="17"/>
      <x:c r="J513" s="17"/>
      <x:c r="K513" s="17"/>
      <x:c r="L513" s="17"/>
      <x:c r="M513" s="17"/>
      <x:c r="N513" s="17"/>
      <x:c r="O513" s="17"/>
      <x:c r="P513" s="17"/>
      <x:c r="Q513" s="17"/>
      <x:c r="R513" s="17"/>
      <x:c r="S513" s="17"/>
      <x:c r="T513" s="17"/>
      <x:c r="U513" s="17"/>
      <x:c r="V513" s="17"/>
      <x:c r="W513" s="17"/>
      <x:c r="X513" s="17"/>
      <x:c r="Y513" s="17"/>
      <x:c r="Z513" s="17"/>
    </x:row>
    <x:row r="514">
      <x:c r="A514" s="17"/>
      <x:c r="B514" s="17"/>
      <x:c r="C514" s="17"/>
      <x:c r="D514" s="17"/>
      <x:c r="E514" s="17"/>
      <x:c r="F514" s="17"/>
      <x:c r="G514" s="17"/>
      <x:c r="H514" s="17"/>
      <x:c r="I514" s="17"/>
      <x:c r="J514" s="17"/>
      <x:c r="K514" s="17"/>
      <x:c r="L514" s="17"/>
      <x:c r="M514" s="17"/>
      <x:c r="N514" s="17"/>
      <x:c r="O514" s="17"/>
      <x:c r="P514" s="17"/>
      <x:c r="Q514" s="17"/>
      <x:c r="R514" s="17"/>
      <x:c r="S514" s="17"/>
      <x:c r="T514" s="17"/>
      <x:c r="U514" s="17"/>
      <x:c r="V514" s="17"/>
      <x:c r="W514" s="17"/>
      <x:c r="X514" s="17"/>
      <x:c r="Y514" s="17"/>
      <x:c r="Z514" s="17"/>
    </x:row>
    <x:row r="515">
      <x:c r="A515" s="17"/>
      <x:c r="B515" s="17"/>
      <x:c r="C515" s="17"/>
      <x:c r="D515" s="17"/>
      <x:c r="E515" s="17"/>
      <x:c r="F515" s="17"/>
      <x:c r="G515" s="17"/>
      <x:c r="H515" s="17"/>
      <x:c r="I515" s="17"/>
      <x:c r="J515" s="17"/>
      <x:c r="K515" s="17"/>
      <x:c r="L515" s="17"/>
      <x:c r="M515" s="17"/>
      <x:c r="N515" s="17"/>
      <x:c r="O515" s="17"/>
      <x:c r="P515" s="17"/>
      <x:c r="Q515" s="17"/>
      <x:c r="R515" s="17"/>
      <x:c r="S515" s="17"/>
      <x:c r="T515" s="17"/>
      <x:c r="U515" s="17"/>
      <x:c r="V515" s="17"/>
      <x:c r="W515" s="17"/>
      <x:c r="X515" s="17"/>
      <x:c r="Y515" s="17"/>
      <x:c r="Z515" s="17"/>
    </x:row>
    <x:row r="516">
      <x:c r="A516" s="17"/>
      <x:c r="B516" s="17"/>
      <x:c r="C516" s="17"/>
      <x:c r="D516" s="17"/>
      <x:c r="E516" s="17"/>
      <x:c r="F516" s="17"/>
      <x:c r="G516" s="17"/>
      <x:c r="H516" s="17"/>
      <x:c r="I516" s="17"/>
      <x:c r="J516" s="17"/>
      <x:c r="K516" s="17"/>
      <x:c r="L516" s="17"/>
      <x:c r="M516" s="17"/>
      <x:c r="N516" s="17"/>
      <x:c r="O516" s="17"/>
      <x:c r="P516" s="17"/>
      <x:c r="Q516" s="17"/>
      <x:c r="R516" s="17"/>
      <x:c r="S516" s="17"/>
      <x:c r="T516" s="17"/>
      <x:c r="U516" s="17"/>
      <x:c r="V516" s="17"/>
      <x:c r="W516" s="17"/>
      <x:c r="X516" s="17"/>
      <x:c r="Y516" s="17"/>
      <x:c r="Z516" s="17"/>
    </x:row>
    <x:row r="517">
      <x:c r="A517" s="17"/>
      <x:c r="B517" s="17"/>
      <x:c r="C517" s="17"/>
      <x:c r="D517" s="17"/>
      <x:c r="E517" s="17"/>
      <x:c r="F517" s="17"/>
      <x:c r="G517" s="17"/>
      <x:c r="H517" s="17"/>
      <x:c r="I517" s="17"/>
      <x:c r="J517" s="17"/>
      <x:c r="K517" s="17"/>
      <x:c r="L517" s="17"/>
      <x:c r="M517" s="17"/>
      <x:c r="N517" s="17"/>
      <x:c r="O517" s="17"/>
      <x:c r="P517" s="17"/>
      <x:c r="Q517" s="17"/>
      <x:c r="R517" s="17"/>
      <x:c r="S517" s="17"/>
      <x:c r="T517" s="17"/>
      <x:c r="U517" s="17"/>
      <x:c r="V517" s="17"/>
      <x:c r="W517" s="17"/>
      <x:c r="X517" s="17"/>
      <x:c r="Y517" s="17"/>
      <x:c r="Z517" s="17"/>
    </x:row>
    <x:row r="518">
      <x:c r="A518" s="17"/>
      <x:c r="B518" s="17"/>
      <x:c r="C518" s="17"/>
      <x:c r="D518" s="17"/>
      <x:c r="E518" s="17"/>
      <x:c r="F518" s="17"/>
      <x:c r="G518" s="17"/>
      <x:c r="H518" s="17"/>
      <x:c r="I518" s="17"/>
      <x:c r="J518" s="17"/>
      <x:c r="K518" s="17"/>
      <x:c r="L518" s="17"/>
      <x:c r="M518" s="17"/>
      <x:c r="N518" s="17"/>
      <x:c r="O518" s="17"/>
      <x:c r="P518" s="17"/>
      <x:c r="Q518" s="17"/>
      <x:c r="R518" s="17"/>
      <x:c r="S518" s="17"/>
      <x:c r="T518" s="17"/>
      <x:c r="U518" s="17"/>
      <x:c r="V518" s="17"/>
      <x:c r="W518" s="17"/>
      <x:c r="X518" s="17"/>
      <x:c r="Y518" s="17"/>
      <x:c r="Z518" s="17"/>
    </x:row>
    <x:row r="519">
      <x:c r="A519" s="17"/>
      <x:c r="B519" s="17"/>
      <x:c r="C519" s="17"/>
      <x:c r="D519" s="17"/>
      <x:c r="E519" s="17"/>
      <x:c r="F519" s="17"/>
      <x:c r="G519" s="17"/>
      <x:c r="H519" s="17"/>
      <x:c r="I519" s="17"/>
      <x:c r="J519" s="17"/>
      <x:c r="K519" s="17"/>
      <x:c r="L519" s="17"/>
      <x:c r="M519" s="17"/>
      <x:c r="N519" s="17"/>
      <x:c r="O519" s="17"/>
      <x:c r="P519" s="17"/>
      <x:c r="Q519" s="17"/>
      <x:c r="R519" s="17"/>
      <x:c r="S519" s="17"/>
      <x:c r="T519" s="17"/>
      <x:c r="U519" s="17"/>
      <x:c r="V519" s="17"/>
      <x:c r="W519" s="17"/>
      <x:c r="X519" s="17"/>
      <x:c r="Y519" s="17"/>
      <x:c r="Z519" s="17"/>
    </x:row>
    <x:row r="520">
      <x:c r="A520" s="17"/>
      <x:c r="B520" s="17"/>
      <x:c r="C520" s="17"/>
      <x:c r="D520" s="17"/>
      <x:c r="E520" s="17"/>
      <x:c r="F520" s="17"/>
      <x:c r="G520" s="17"/>
      <x:c r="H520" s="17"/>
      <x:c r="I520" s="17"/>
      <x:c r="J520" s="17"/>
      <x:c r="K520" s="17"/>
      <x:c r="L520" s="17"/>
      <x:c r="M520" s="17"/>
      <x:c r="N520" s="17"/>
      <x:c r="O520" s="17"/>
      <x:c r="P520" s="17"/>
      <x:c r="Q520" s="17"/>
      <x:c r="R520" s="17"/>
      <x:c r="S520" s="17"/>
      <x:c r="T520" s="17"/>
      <x:c r="U520" s="17"/>
      <x:c r="V520" s="17"/>
      <x:c r="W520" s="17"/>
      <x:c r="X520" s="17"/>
      <x:c r="Y520" s="17"/>
      <x:c r="Z520" s="17"/>
    </x:row>
    <x:row r="521">
      <x:c r="A521" s="17"/>
      <x:c r="B521" s="17"/>
      <x:c r="C521" s="17"/>
      <x:c r="D521" s="17"/>
      <x:c r="E521" s="17"/>
      <x:c r="F521" s="17"/>
      <x:c r="G521" s="17"/>
      <x:c r="H521" s="17"/>
      <x:c r="I521" s="17"/>
      <x:c r="J521" s="17"/>
      <x:c r="K521" s="17"/>
      <x:c r="L521" s="17"/>
      <x:c r="M521" s="17"/>
      <x:c r="N521" s="17"/>
      <x:c r="O521" s="17"/>
      <x:c r="P521" s="17"/>
      <x:c r="Q521" s="17"/>
      <x:c r="R521" s="17"/>
      <x:c r="S521" s="17"/>
      <x:c r="T521" s="17"/>
      <x:c r="U521" s="17"/>
      <x:c r="V521" s="17"/>
      <x:c r="W521" s="17"/>
      <x:c r="X521" s="17"/>
      <x:c r="Y521" s="17"/>
      <x:c r="Z521" s="17"/>
    </x:row>
    <x:row r="522">
      <x:c r="A522" s="17"/>
      <x:c r="B522" s="17"/>
      <x:c r="C522" s="17"/>
      <x:c r="D522" s="17"/>
      <x:c r="E522" s="17"/>
      <x:c r="F522" s="17"/>
      <x:c r="G522" s="17"/>
      <x:c r="H522" s="17"/>
      <x:c r="I522" s="17"/>
      <x:c r="J522" s="17"/>
      <x:c r="K522" s="17"/>
      <x:c r="L522" s="17"/>
      <x:c r="M522" s="17"/>
      <x:c r="N522" s="17"/>
      <x:c r="O522" s="17"/>
      <x:c r="P522" s="17"/>
      <x:c r="Q522" s="17"/>
      <x:c r="R522" s="17"/>
      <x:c r="S522" s="17"/>
      <x:c r="T522" s="17"/>
      <x:c r="U522" s="17"/>
      <x:c r="V522" s="17"/>
      <x:c r="W522" s="17"/>
      <x:c r="X522" s="17"/>
      <x:c r="Y522" s="17"/>
      <x:c r="Z522" s="17"/>
    </x:row>
    <x:row r="523">
      <x:c r="A523" s="17"/>
      <x:c r="B523" s="17"/>
      <x:c r="C523" s="17"/>
      <x:c r="D523" s="17"/>
      <x:c r="E523" s="17"/>
      <x:c r="F523" s="17"/>
      <x:c r="G523" s="17"/>
      <x:c r="H523" s="17"/>
      <x:c r="I523" s="17"/>
      <x:c r="J523" s="17"/>
      <x:c r="K523" s="17"/>
      <x:c r="L523" s="17"/>
      <x:c r="M523" s="17"/>
      <x:c r="N523" s="17"/>
      <x:c r="O523" s="17"/>
      <x:c r="P523" s="17"/>
      <x:c r="Q523" s="17"/>
      <x:c r="R523" s="17"/>
      <x:c r="S523" s="17"/>
      <x:c r="T523" s="17"/>
      <x:c r="U523" s="17"/>
      <x:c r="V523" s="17"/>
      <x:c r="W523" s="17"/>
      <x:c r="X523" s="17"/>
      <x:c r="Y523" s="17"/>
      <x:c r="Z523" s="17"/>
    </x:row>
    <x:row r="524">
      <x:c r="A524" s="17"/>
      <x:c r="B524" s="17"/>
      <x:c r="C524" s="17"/>
      <x:c r="D524" s="17"/>
      <x:c r="E524" s="17"/>
      <x:c r="F524" s="17"/>
      <x:c r="G524" s="17"/>
      <x:c r="H524" s="17"/>
      <x:c r="I524" s="17"/>
      <x:c r="J524" s="17"/>
      <x:c r="K524" s="17"/>
      <x:c r="L524" s="17"/>
      <x:c r="M524" s="17"/>
      <x:c r="N524" s="17"/>
      <x:c r="O524" s="17"/>
      <x:c r="P524" s="17"/>
      <x:c r="Q524" s="17"/>
      <x:c r="R524" s="17"/>
      <x:c r="S524" s="17"/>
      <x:c r="T524" s="17"/>
      <x:c r="U524" s="17"/>
      <x:c r="V524" s="17"/>
      <x:c r="W524" s="17"/>
      <x:c r="X524" s="17"/>
      <x:c r="Y524" s="17"/>
      <x:c r="Z524" s="17"/>
    </x:row>
    <x:row r="525">
      <x:c r="A525" s="17"/>
      <x:c r="B525" s="17"/>
      <x:c r="C525" s="17"/>
      <x:c r="D525" s="17"/>
      <x:c r="E525" s="17"/>
      <x:c r="F525" s="17"/>
      <x:c r="G525" s="17"/>
      <x:c r="H525" s="17"/>
      <x:c r="I525" s="17"/>
      <x:c r="J525" s="17"/>
      <x:c r="K525" s="17"/>
      <x:c r="L525" s="17"/>
      <x:c r="M525" s="17"/>
      <x:c r="N525" s="17"/>
      <x:c r="O525" s="17"/>
      <x:c r="P525" s="17"/>
      <x:c r="Q525" s="17"/>
      <x:c r="R525" s="17"/>
      <x:c r="S525" s="17"/>
      <x:c r="T525" s="17"/>
      <x:c r="U525" s="17"/>
      <x:c r="V525" s="17"/>
      <x:c r="W525" s="17"/>
      <x:c r="X525" s="17"/>
      <x:c r="Y525" s="17"/>
      <x:c r="Z525" s="17"/>
    </x:row>
    <x:row r="526">
      <x:c r="A526" s="17"/>
      <x:c r="B526" s="17"/>
      <x:c r="C526" s="17"/>
      <x:c r="D526" s="17"/>
      <x:c r="E526" s="17"/>
      <x:c r="F526" s="17"/>
      <x:c r="G526" s="17"/>
      <x:c r="H526" s="17"/>
      <x:c r="I526" s="17"/>
      <x:c r="J526" s="17"/>
      <x:c r="K526" s="17"/>
      <x:c r="L526" s="17"/>
      <x:c r="M526" s="17"/>
      <x:c r="N526" s="17"/>
      <x:c r="O526" s="17"/>
      <x:c r="P526" s="17"/>
      <x:c r="Q526" s="17"/>
      <x:c r="R526" s="17"/>
      <x:c r="S526" s="17"/>
      <x:c r="T526" s="17"/>
      <x:c r="U526" s="17"/>
      <x:c r="V526" s="17"/>
      <x:c r="W526" s="17"/>
      <x:c r="X526" s="17"/>
      <x:c r="Y526" s="17"/>
      <x:c r="Z526" s="17"/>
    </x:row>
    <x:row r="527">
      <x:c r="A527" s="17"/>
      <x:c r="B527" s="17"/>
      <x:c r="C527" s="17"/>
      <x:c r="D527" s="17"/>
      <x:c r="E527" s="17"/>
      <x:c r="F527" s="17"/>
      <x:c r="G527" s="17"/>
      <x:c r="H527" s="17"/>
      <x:c r="I527" s="17"/>
      <x:c r="J527" s="17"/>
      <x:c r="K527" s="17"/>
      <x:c r="L527" s="17"/>
      <x:c r="M527" s="17"/>
      <x:c r="N527" s="17"/>
      <x:c r="O527" s="17"/>
      <x:c r="P527" s="17"/>
      <x:c r="Q527" s="17"/>
      <x:c r="R527" s="17"/>
      <x:c r="S527" s="17"/>
      <x:c r="T527" s="17"/>
      <x:c r="U527" s="17"/>
      <x:c r="V527" s="17"/>
      <x:c r="W527" s="17"/>
      <x:c r="X527" s="17"/>
      <x:c r="Y527" s="17"/>
      <x:c r="Z527" s="17"/>
    </x:row>
    <x:row r="528">
      <x:c r="A528" s="17"/>
      <x:c r="B528" s="17"/>
      <x:c r="C528" s="17"/>
      <x:c r="D528" s="17"/>
      <x:c r="E528" s="17"/>
      <x:c r="F528" s="17"/>
      <x:c r="G528" s="17"/>
      <x:c r="H528" s="17"/>
      <x:c r="I528" s="17"/>
      <x:c r="J528" s="17"/>
      <x:c r="K528" s="17"/>
      <x:c r="L528" s="17"/>
      <x:c r="M528" s="17"/>
      <x:c r="N528" s="17"/>
      <x:c r="O528" s="17"/>
      <x:c r="P528" s="17"/>
      <x:c r="Q528" s="17"/>
      <x:c r="R528" s="17"/>
      <x:c r="S528" s="17"/>
      <x:c r="T528" s="17"/>
      <x:c r="U528" s="17"/>
      <x:c r="V528" s="17"/>
      <x:c r="W528" s="17"/>
      <x:c r="X528" s="17"/>
      <x:c r="Y528" s="17"/>
      <x:c r="Z528" s="17"/>
    </x:row>
    <x:row r="529">
      <x:c r="A529" s="17"/>
      <x:c r="B529" s="17"/>
      <x:c r="C529" s="17"/>
      <x:c r="D529" s="17"/>
      <x:c r="E529" s="17"/>
      <x:c r="F529" s="17"/>
      <x:c r="G529" s="17"/>
      <x:c r="H529" s="17"/>
      <x:c r="I529" s="17"/>
      <x:c r="J529" s="17"/>
      <x:c r="K529" s="17"/>
      <x:c r="L529" s="17"/>
      <x:c r="M529" s="17"/>
      <x:c r="N529" s="17"/>
      <x:c r="O529" s="17"/>
      <x:c r="P529" s="17"/>
      <x:c r="Q529" s="17"/>
      <x:c r="R529" s="17"/>
      <x:c r="S529" s="17"/>
      <x:c r="T529" s="17"/>
      <x:c r="U529" s="17"/>
      <x:c r="V529" s="17"/>
      <x:c r="W529" s="17"/>
      <x:c r="X529" s="17"/>
      <x:c r="Y529" s="17"/>
      <x:c r="Z529" s="17"/>
    </x:row>
    <x:row r="530">
      <x:c r="A530" s="17"/>
      <x:c r="B530" s="17"/>
      <x:c r="C530" s="17"/>
      <x:c r="D530" s="17"/>
      <x:c r="E530" s="17"/>
      <x:c r="F530" s="17"/>
      <x:c r="G530" s="17"/>
      <x:c r="H530" s="17"/>
      <x:c r="I530" s="17"/>
      <x:c r="J530" s="17"/>
      <x:c r="K530" s="17"/>
      <x:c r="L530" s="17"/>
      <x:c r="M530" s="17"/>
      <x:c r="N530" s="17"/>
      <x:c r="O530" s="17"/>
      <x:c r="P530" s="17"/>
      <x:c r="Q530" s="17"/>
      <x:c r="R530" s="17"/>
      <x:c r="S530" s="17"/>
      <x:c r="T530" s="17"/>
      <x:c r="U530" s="17"/>
      <x:c r="V530" s="17"/>
      <x:c r="W530" s="17"/>
      <x:c r="X530" s="17"/>
      <x:c r="Y530" s="17"/>
      <x:c r="Z530" s="17"/>
    </x:row>
    <x:row r="531">
      <x:c r="A531" s="17"/>
      <x:c r="B531" s="17"/>
      <x:c r="C531" s="17"/>
      <x:c r="D531" s="17"/>
      <x:c r="E531" s="17"/>
      <x:c r="F531" s="17"/>
      <x:c r="G531" s="17"/>
      <x:c r="H531" s="17"/>
      <x:c r="I531" s="17"/>
      <x:c r="J531" s="17"/>
      <x:c r="K531" s="17"/>
      <x:c r="L531" s="17"/>
      <x:c r="M531" s="17"/>
      <x:c r="N531" s="17"/>
      <x:c r="O531" s="17"/>
      <x:c r="P531" s="17"/>
      <x:c r="Q531" s="17"/>
      <x:c r="R531" s="17"/>
      <x:c r="S531" s="17"/>
      <x:c r="T531" s="17"/>
      <x:c r="U531" s="17"/>
      <x:c r="V531" s="17"/>
      <x:c r="W531" s="17"/>
      <x:c r="X531" s="17"/>
      <x:c r="Y531" s="17"/>
      <x:c r="Z531" s="17"/>
    </x:row>
    <x:row r="532">
      <x:c r="A532" s="17"/>
      <x:c r="B532" s="17"/>
      <x:c r="C532" s="17"/>
      <x:c r="D532" s="17"/>
      <x:c r="E532" s="17"/>
      <x:c r="F532" s="17"/>
      <x:c r="G532" s="17"/>
      <x:c r="H532" s="17"/>
      <x:c r="I532" s="17"/>
      <x:c r="J532" s="17"/>
      <x:c r="K532" s="17"/>
      <x:c r="L532" s="17"/>
      <x:c r="M532" s="17"/>
      <x:c r="N532" s="17"/>
      <x:c r="O532" s="17"/>
      <x:c r="P532" s="17"/>
      <x:c r="Q532" s="17"/>
      <x:c r="R532" s="17"/>
      <x:c r="S532" s="17"/>
      <x:c r="T532" s="17"/>
      <x:c r="U532" s="17"/>
      <x:c r="V532" s="17"/>
      <x:c r="W532" s="17"/>
      <x:c r="X532" s="17"/>
      <x:c r="Y532" s="17"/>
      <x:c r="Z532" s="17"/>
    </x:row>
    <x:row r="533">
      <x:c r="A533" s="17"/>
      <x:c r="B533" s="17"/>
      <x:c r="C533" s="17"/>
      <x:c r="D533" s="17"/>
      <x:c r="E533" s="17"/>
      <x:c r="F533" s="17"/>
      <x:c r="G533" s="17"/>
      <x:c r="H533" s="17"/>
      <x:c r="I533" s="17"/>
      <x:c r="J533" s="17"/>
      <x:c r="K533" s="17"/>
      <x:c r="L533" s="17"/>
      <x:c r="M533" s="17"/>
      <x:c r="N533" s="17"/>
      <x:c r="O533" s="17"/>
      <x:c r="P533" s="17"/>
      <x:c r="Q533" s="17"/>
      <x:c r="R533" s="17"/>
      <x:c r="S533" s="17"/>
      <x:c r="T533" s="17"/>
      <x:c r="U533" s="17"/>
      <x:c r="V533" s="17"/>
      <x:c r="W533" s="17"/>
      <x:c r="X533" s="17"/>
      <x:c r="Y533" s="17"/>
      <x:c r="Z533" s="17"/>
    </x:row>
    <x:row r="534">
      <x:c r="A534" s="17"/>
      <x:c r="B534" s="17"/>
      <x:c r="C534" s="17"/>
      <x:c r="D534" s="17"/>
      <x:c r="E534" s="17"/>
      <x:c r="F534" s="17"/>
      <x:c r="G534" s="17"/>
      <x:c r="H534" s="17"/>
      <x:c r="I534" s="17"/>
      <x:c r="J534" s="17"/>
      <x:c r="K534" s="17"/>
      <x:c r="L534" s="17"/>
      <x:c r="M534" s="17"/>
      <x:c r="N534" s="17"/>
      <x:c r="O534" s="17"/>
      <x:c r="P534" s="17"/>
      <x:c r="Q534" s="17"/>
      <x:c r="R534" s="17"/>
      <x:c r="S534" s="17"/>
      <x:c r="T534" s="17"/>
      <x:c r="U534" s="17"/>
      <x:c r="V534" s="17"/>
      <x:c r="W534" s="17"/>
      <x:c r="X534" s="17"/>
      <x:c r="Y534" s="17"/>
      <x:c r="Z534" s="17"/>
    </x:row>
    <x:row r="535">
      <x:c r="A535" s="17"/>
      <x:c r="B535" s="17"/>
      <x:c r="C535" s="17"/>
      <x:c r="D535" s="17"/>
      <x:c r="E535" s="17"/>
      <x:c r="F535" s="17"/>
      <x:c r="G535" s="17"/>
      <x:c r="H535" s="17"/>
      <x:c r="I535" s="17"/>
      <x:c r="J535" s="17"/>
      <x:c r="K535" s="17"/>
      <x:c r="L535" s="17"/>
      <x:c r="M535" s="17"/>
      <x:c r="N535" s="17"/>
      <x:c r="O535" s="17"/>
      <x:c r="P535" s="17"/>
      <x:c r="Q535" s="17"/>
      <x:c r="R535" s="17"/>
      <x:c r="S535" s="17"/>
      <x:c r="T535" s="17"/>
      <x:c r="U535" s="17"/>
      <x:c r="V535" s="17"/>
      <x:c r="W535" s="17"/>
      <x:c r="X535" s="17"/>
      <x:c r="Y535" s="17"/>
      <x:c r="Z535" s="17"/>
    </x:row>
    <x:row r="536">
      <x:c r="A536" s="17"/>
      <x:c r="B536" s="17"/>
      <x:c r="C536" s="17"/>
      <x:c r="D536" s="17"/>
      <x:c r="E536" s="17"/>
      <x:c r="F536" s="17"/>
      <x:c r="G536" s="17"/>
      <x:c r="H536" s="17"/>
      <x:c r="I536" s="17"/>
      <x:c r="J536" s="17"/>
      <x:c r="K536" s="17"/>
      <x:c r="L536" s="17"/>
      <x:c r="M536" s="17"/>
      <x:c r="N536" s="17"/>
      <x:c r="O536" s="17"/>
      <x:c r="P536" s="17"/>
      <x:c r="Q536" s="17"/>
      <x:c r="R536" s="17"/>
      <x:c r="S536" s="17"/>
      <x:c r="T536" s="17"/>
      <x:c r="U536" s="17"/>
      <x:c r="V536" s="17"/>
      <x:c r="W536" s="17"/>
      <x:c r="X536" s="17"/>
      <x:c r="Y536" s="17"/>
      <x:c r="Z536" s="17"/>
    </x:row>
    <x:row r="537">
      <x:c r="A537" s="17"/>
      <x:c r="B537" s="17"/>
      <x:c r="C537" s="17"/>
      <x:c r="D537" s="17"/>
      <x:c r="E537" s="17"/>
      <x:c r="F537" s="17"/>
      <x:c r="G537" s="17"/>
      <x:c r="H537" s="17"/>
      <x:c r="I537" s="17"/>
      <x:c r="J537" s="17"/>
      <x:c r="K537" s="17"/>
      <x:c r="L537" s="17"/>
      <x:c r="M537" s="17"/>
      <x:c r="N537" s="17"/>
      <x:c r="O537" s="17"/>
      <x:c r="P537" s="17"/>
      <x:c r="Q537" s="17"/>
      <x:c r="R537" s="17"/>
      <x:c r="S537" s="17"/>
      <x:c r="T537" s="17"/>
      <x:c r="U537" s="17"/>
      <x:c r="V537" s="17"/>
      <x:c r="W537" s="17"/>
      <x:c r="X537" s="17"/>
      <x:c r="Y537" s="17"/>
      <x:c r="Z537" s="17"/>
    </x:row>
    <x:row r="538">
      <x:c r="A538" s="17"/>
      <x:c r="B538" s="17"/>
      <x:c r="C538" s="17"/>
      <x:c r="D538" s="17"/>
      <x:c r="E538" s="17"/>
      <x:c r="F538" s="17"/>
      <x:c r="G538" s="17"/>
      <x:c r="H538" s="17"/>
      <x:c r="I538" s="17"/>
      <x:c r="J538" s="17"/>
      <x:c r="K538" s="17"/>
      <x:c r="L538" s="17"/>
      <x:c r="M538" s="17"/>
      <x:c r="N538" s="17"/>
      <x:c r="O538" s="17"/>
      <x:c r="P538" s="17"/>
      <x:c r="Q538" s="17"/>
      <x:c r="R538" s="17"/>
      <x:c r="S538" s="17"/>
      <x:c r="T538" s="17"/>
      <x:c r="U538" s="17"/>
      <x:c r="V538" s="17"/>
      <x:c r="W538" s="17"/>
      <x:c r="X538" s="17"/>
      <x:c r="Y538" s="17"/>
      <x:c r="Z538" s="17"/>
    </x:row>
    <x:row r="539">
      <x:c r="A539" s="17"/>
      <x:c r="B539" s="17"/>
      <x:c r="C539" s="17"/>
      <x:c r="D539" s="17"/>
      <x:c r="E539" s="17"/>
      <x:c r="F539" s="17"/>
      <x:c r="G539" s="17"/>
      <x:c r="H539" s="17"/>
      <x:c r="I539" s="17"/>
      <x:c r="J539" s="17"/>
      <x:c r="K539" s="17"/>
      <x:c r="L539" s="17"/>
      <x:c r="M539" s="17"/>
      <x:c r="N539" s="17"/>
      <x:c r="O539" s="17"/>
      <x:c r="P539" s="17"/>
      <x:c r="Q539" s="17"/>
      <x:c r="R539" s="17"/>
      <x:c r="S539" s="17"/>
      <x:c r="T539" s="17"/>
      <x:c r="U539" s="17"/>
      <x:c r="V539" s="17"/>
      <x:c r="W539" s="17"/>
      <x:c r="X539" s="17"/>
      <x:c r="Y539" s="17"/>
      <x:c r="Z539" s="17"/>
    </x:row>
    <x:row r="540">
      <x:c r="A540" s="17"/>
      <x:c r="B540" s="17"/>
      <x:c r="C540" s="17"/>
      <x:c r="D540" s="17"/>
      <x:c r="E540" s="17"/>
      <x:c r="F540" s="17"/>
      <x:c r="G540" s="17"/>
      <x:c r="H540" s="17"/>
      <x:c r="I540" s="17"/>
      <x:c r="J540" s="17"/>
      <x:c r="K540" s="17"/>
      <x:c r="L540" s="17"/>
      <x:c r="M540" s="17"/>
      <x:c r="N540" s="17"/>
      <x:c r="O540" s="17"/>
      <x:c r="P540" s="17"/>
      <x:c r="Q540" s="17"/>
      <x:c r="R540" s="17"/>
      <x:c r="S540" s="17"/>
      <x:c r="T540" s="17"/>
      <x:c r="U540" s="17"/>
      <x:c r="V540" s="17"/>
      <x:c r="W540" s="17"/>
      <x:c r="X540" s="17"/>
      <x:c r="Y540" s="17"/>
      <x:c r="Z540" s="17"/>
    </x:row>
    <x:row r="541">
      <x:c r="A541" s="17"/>
      <x:c r="B541" s="17"/>
      <x:c r="C541" s="17"/>
      <x:c r="D541" s="17"/>
      <x:c r="E541" s="17"/>
      <x:c r="F541" s="17"/>
      <x:c r="G541" s="17"/>
      <x:c r="H541" s="17"/>
      <x:c r="I541" s="17"/>
      <x:c r="J541" s="17"/>
      <x:c r="K541" s="17"/>
      <x:c r="L541" s="17"/>
      <x:c r="M541" s="17"/>
      <x:c r="N541" s="17"/>
      <x:c r="O541" s="17"/>
      <x:c r="P541" s="17"/>
      <x:c r="Q541" s="17"/>
      <x:c r="R541" s="17"/>
      <x:c r="S541" s="17"/>
      <x:c r="T541" s="17"/>
      <x:c r="U541" s="17"/>
      <x:c r="V541" s="17"/>
      <x:c r="W541" s="17"/>
      <x:c r="X541" s="17"/>
      <x:c r="Y541" s="17"/>
      <x:c r="Z541" s="17"/>
    </x:row>
    <x:row r="542">
      <x:c r="A542" s="17"/>
      <x:c r="B542" s="17"/>
      <x:c r="C542" s="17"/>
      <x:c r="D542" s="17"/>
      <x:c r="E542" s="17"/>
      <x:c r="F542" s="17"/>
      <x:c r="G542" s="17"/>
      <x:c r="H542" s="17"/>
      <x:c r="I542" s="17"/>
      <x:c r="J542" s="17"/>
      <x:c r="K542" s="17"/>
      <x:c r="L542" s="17"/>
      <x:c r="M542" s="17"/>
      <x:c r="N542" s="17"/>
      <x:c r="O542" s="17"/>
      <x:c r="P542" s="17"/>
      <x:c r="Q542" s="17"/>
      <x:c r="R542" s="17"/>
      <x:c r="S542" s="17"/>
      <x:c r="T542" s="17"/>
      <x:c r="U542" s="17"/>
      <x:c r="V542" s="17"/>
      <x:c r="W542" s="17"/>
      <x:c r="X542" s="17"/>
      <x:c r="Y542" s="17"/>
      <x:c r="Z542" s="17"/>
    </x:row>
    <x:row r="543">
      <x:c r="A543" s="17"/>
      <x:c r="B543" s="17"/>
      <x:c r="C543" s="17"/>
      <x:c r="D543" s="17"/>
      <x:c r="E543" s="17"/>
      <x:c r="F543" s="17"/>
      <x:c r="G543" s="17"/>
      <x:c r="H543" s="17"/>
      <x:c r="I543" s="17"/>
      <x:c r="J543" s="17"/>
      <x:c r="K543" s="17"/>
      <x:c r="L543" s="17"/>
      <x:c r="M543" s="17"/>
      <x:c r="N543" s="17"/>
      <x:c r="O543" s="17"/>
      <x:c r="P543" s="17"/>
      <x:c r="Q543" s="17"/>
      <x:c r="R543" s="17"/>
      <x:c r="S543" s="17"/>
      <x:c r="T543" s="17"/>
      <x:c r="U543" s="17"/>
      <x:c r="V543" s="17"/>
      <x:c r="W543" s="17"/>
      <x:c r="X543" s="17"/>
      <x:c r="Y543" s="17"/>
      <x:c r="Z543" s="17"/>
    </x:row>
    <x:row r="544">
      <x:c r="A544" s="17"/>
      <x:c r="B544" s="17"/>
      <x:c r="C544" s="17"/>
      <x:c r="D544" s="17"/>
      <x:c r="E544" s="17"/>
      <x:c r="F544" s="17"/>
      <x:c r="G544" s="17"/>
      <x:c r="H544" s="17"/>
      <x:c r="I544" s="17"/>
      <x:c r="J544" s="17"/>
      <x:c r="K544" s="17"/>
      <x:c r="L544" s="17"/>
      <x:c r="M544" s="17"/>
      <x:c r="N544" s="17"/>
      <x:c r="O544" s="17"/>
      <x:c r="P544" s="17"/>
      <x:c r="Q544" s="17"/>
      <x:c r="R544" s="17"/>
      <x:c r="S544" s="17"/>
      <x:c r="T544" s="17"/>
      <x:c r="U544" s="17"/>
      <x:c r="V544" s="17"/>
      <x:c r="W544" s="17"/>
      <x:c r="X544" s="17"/>
      <x:c r="Y544" s="17"/>
      <x:c r="Z544" s="17"/>
    </x:row>
    <x:row r="545">
      <x:c r="A545" s="17"/>
      <x:c r="B545" s="17"/>
      <x:c r="C545" s="17"/>
      <x:c r="D545" s="17"/>
      <x:c r="E545" s="17"/>
      <x:c r="F545" s="17"/>
      <x:c r="G545" s="17"/>
      <x:c r="H545" s="17"/>
      <x:c r="I545" s="17"/>
      <x:c r="J545" s="17"/>
      <x:c r="K545" s="17"/>
      <x:c r="L545" s="17"/>
      <x:c r="M545" s="17"/>
      <x:c r="N545" s="17"/>
      <x:c r="O545" s="17"/>
      <x:c r="P545" s="17"/>
      <x:c r="Q545" s="17"/>
      <x:c r="R545" s="17"/>
      <x:c r="S545" s="17"/>
      <x:c r="T545" s="17"/>
      <x:c r="U545" s="17"/>
      <x:c r="V545" s="17"/>
      <x:c r="W545" s="17"/>
      <x:c r="X545" s="17"/>
      <x:c r="Y545" s="17"/>
      <x:c r="Z545" s="17"/>
    </x:row>
    <x:row r="546">
      <x:c r="A546" s="17"/>
      <x:c r="B546" s="17"/>
      <x:c r="C546" s="17"/>
      <x:c r="D546" s="17"/>
      <x:c r="E546" s="17"/>
      <x:c r="F546" s="17"/>
      <x:c r="G546" s="17"/>
      <x:c r="H546" s="17"/>
      <x:c r="I546" s="17"/>
      <x:c r="J546" s="17"/>
      <x:c r="K546" s="17"/>
      <x:c r="L546" s="17"/>
      <x:c r="M546" s="17"/>
      <x:c r="N546" s="17"/>
      <x:c r="O546" s="17"/>
      <x:c r="P546" s="17"/>
      <x:c r="Q546" s="17"/>
      <x:c r="R546" s="17"/>
      <x:c r="S546" s="17"/>
      <x:c r="T546" s="17"/>
      <x:c r="U546" s="17"/>
      <x:c r="V546" s="17"/>
      <x:c r="W546" s="17"/>
      <x:c r="X546" s="17"/>
      <x:c r="Y546" s="17"/>
      <x:c r="Z546" s="17"/>
    </x:row>
    <x:row r="547">
      <x:c r="A547" s="17"/>
      <x:c r="B547" s="17"/>
      <x:c r="C547" s="17"/>
      <x:c r="D547" s="17"/>
      <x:c r="E547" s="17"/>
      <x:c r="F547" s="17"/>
      <x:c r="G547" s="17"/>
      <x:c r="H547" s="17"/>
      <x:c r="I547" s="17"/>
      <x:c r="J547" s="17"/>
      <x:c r="K547" s="17"/>
      <x:c r="L547" s="17"/>
      <x:c r="M547" s="17"/>
      <x:c r="N547" s="17"/>
      <x:c r="O547" s="17"/>
      <x:c r="P547" s="17"/>
      <x:c r="Q547" s="17"/>
      <x:c r="R547" s="17"/>
      <x:c r="S547" s="17"/>
      <x:c r="T547" s="17"/>
      <x:c r="U547" s="17"/>
      <x:c r="V547" s="17"/>
      <x:c r="W547" s="17"/>
      <x:c r="X547" s="17"/>
      <x:c r="Y547" s="17"/>
      <x:c r="Z547" s="17"/>
    </x:row>
    <x:row r="548">
      <x:c r="A548" s="17"/>
      <x:c r="B548" s="17"/>
      <x:c r="C548" s="17"/>
      <x:c r="D548" s="17"/>
      <x:c r="E548" s="17"/>
      <x:c r="F548" s="17"/>
      <x:c r="G548" s="17"/>
      <x:c r="H548" s="17"/>
      <x:c r="I548" s="17"/>
      <x:c r="J548" s="17"/>
      <x:c r="K548" s="17"/>
      <x:c r="L548" s="17"/>
      <x:c r="M548" s="17"/>
      <x:c r="N548" s="17"/>
      <x:c r="O548" s="17"/>
      <x:c r="P548" s="17"/>
      <x:c r="Q548" s="17"/>
      <x:c r="R548" s="17"/>
      <x:c r="S548" s="17"/>
      <x:c r="T548" s="17"/>
      <x:c r="U548" s="17"/>
      <x:c r="V548" s="17"/>
      <x:c r="W548" s="17"/>
      <x:c r="X548" s="17"/>
      <x:c r="Y548" s="17"/>
      <x:c r="Z548" s="17"/>
    </x:row>
    <x:row r="549">
      <x:c r="A549" s="17"/>
      <x:c r="B549" s="17"/>
      <x:c r="C549" s="17"/>
      <x:c r="D549" s="17"/>
      <x:c r="E549" s="17"/>
      <x:c r="F549" s="17"/>
      <x:c r="G549" s="17"/>
      <x:c r="H549" s="17"/>
      <x:c r="I549" s="17"/>
      <x:c r="J549" s="17"/>
      <x:c r="K549" s="17"/>
      <x:c r="L549" s="17"/>
      <x:c r="M549" s="17"/>
      <x:c r="N549" s="17"/>
      <x:c r="O549" s="17"/>
      <x:c r="P549" s="17"/>
      <x:c r="Q549" s="17"/>
      <x:c r="R549" s="17"/>
      <x:c r="S549" s="17"/>
      <x:c r="T549" s="17"/>
      <x:c r="U549" s="17"/>
      <x:c r="V549" s="17"/>
      <x:c r="W549" s="17"/>
      <x:c r="X549" s="17"/>
      <x:c r="Y549" s="17"/>
      <x:c r="Z549" s="17"/>
    </x:row>
    <x:row r="550">
      <x:c r="A550" s="17"/>
      <x:c r="B550" s="17"/>
      <x:c r="C550" s="17"/>
      <x:c r="D550" s="17"/>
      <x:c r="E550" s="17"/>
      <x:c r="F550" s="17"/>
      <x:c r="G550" s="17"/>
      <x:c r="H550" s="17"/>
      <x:c r="I550" s="17"/>
      <x:c r="J550" s="17"/>
      <x:c r="K550" s="17"/>
      <x:c r="L550" s="17"/>
      <x:c r="M550" s="17"/>
      <x:c r="N550" s="17"/>
      <x:c r="O550" s="17"/>
      <x:c r="P550" s="17"/>
      <x:c r="Q550" s="17"/>
      <x:c r="R550" s="17"/>
      <x:c r="S550" s="17"/>
      <x:c r="T550" s="17"/>
      <x:c r="U550" s="17"/>
      <x:c r="V550" s="17"/>
      <x:c r="W550" s="17"/>
      <x:c r="X550" s="17"/>
      <x:c r="Y550" s="17"/>
      <x:c r="Z550" s="17"/>
    </x:row>
    <x:row r="551">
      <x:c r="A551" s="17"/>
      <x:c r="B551" s="17"/>
      <x:c r="C551" s="17"/>
      <x:c r="D551" s="17"/>
      <x:c r="E551" s="17"/>
      <x:c r="F551" s="17"/>
      <x:c r="G551" s="17"/>
      <x:c r="H551" s="17"/>
      <x:c r="I551" s="17"/>
      <x:c r="J551" s="17"/>
      <x:c r="K551" s="17"/>
      <x:c r="L551" s="17"/>
      <x:c r="M551" s="17"/>
      <x:c r="N551" s="17"/>
      <x:c r="O551" s="17"/>
      <x:c r="P551" s="17"/>
      <x:c r="Q551" s="17"/>
      <x:c r="R551" s="17"/>
      <x:c r="S551" s="17"/>
      <x:c r="T551" s="17"/>
      <x:c r="U551" s="17"/>
      <x:c r="V551" s="17"/>
      <x:c r="W551" s="17"/>
      <x:c r="X551" s="17"/>
      <x:c r="Y551" s="17"/>
      <x:c r="Z551" s="17"/>
    </x:row>
    <x:row r="552">
      <x:c r="A552" s="17"/>
      <x:c r="B552" s="17"/>
      <x:c r="C552" s="17"/>
      <x:c r="D552" s="17"/>
      <x:c r="E552" s="17"/>
      <x:c r="F552" s="17"/>
      <x:c r="G552" s="17"/>
      <x:c r="H552" s="17"/>
      <x:c r="I552" s="17"/>
      <x:c r="J552" s="17"/>
      <x:c r="K552" s="17"/>
      <x:c r="L552" s="17"/>
      <x:c r="M552" s="17"/>
      <x:c r="N552" s="17"/>
      <x:c r="O552" s="17"/>
      <x:c r="P552" s="17"/>
      <x:c r="Q552" s="17"/>
      <x:c r="R552" s="17"/>
      <x:c r="S552" s="17"/>
      <x:c r="T552" s="17"/>
      <x:c r="U552" s="17"/>
      <x:c r="V552" s="17"/>
      <x:c r="W552" s="17"/>
      <x:c r="X552" s="17"/>
      <x:c r="Y552" s="17"/>
      <x:c r="Z552" s="17"/>
    </x:row>
    <x:row r="553">
      <x:c r="A553" s="17"/>
      <x:c r="B553" s="17"/>
      <x:c r="C553" s="17"/>
      <x:c r="D553" s="17"/>
      <x:c r="E553" s="17"/>
      <x:c r="F553" s="17"/>
      <x:c r="G553" s="17"/>
      <x:c r="H553" s="17"/>
      <x:c r="I553" s="17"/>
      <x:c r="J553" s="17"/>
      <x:c r="K553" s="17"/>
      <x:c r="L553" s="17"/>
      <x:c r="M553" s="17"/>
      <x:c r="N553" s="17"/>
      <x:c r="O553" s="17"/>
      <x:c r="P553" s="17"/>
      <x:c r="Q553" s="17"/>
      <x:c r="R553" s="17"/>
      <x:c r="S553" s="17"/>
      <x:c r="T553" s="17"/>
      <x:c r="U553" s="17"/>
      <x:c r="V553" s="17"/>
      <x:c r="W553" s="17"/>
      <x:c r="X553" s="17"/>
      <x:c r="Y553" s="17"/>
      <x:c r="Z553" s="17"/>
    </x:row>
    <x:row r="554">
      <x:c r="A554" s="17"/>
      <x:c r="B554" s="17"/>
      <x:c r="C554" s="17"/>
      <x:c r="D554" s="17"/>
      <x:c r="E554" s="17"/>
      <x:c r="F554" s="17"/>
      <x:c r="G554" s="17"/>
      <x:c r="H554" s="17"/>
      <x:c r="I554" s="17"/>
      <x:c r="J554" s="17"/>
      <x:c r="K554" s="17"/>
      <x:c r="L554" s="17"/>
      <x:c r="M554" s="17"/>
      <x:c r="N554" s="17"/>
      <x:c r="O554" s="17"/>
      <x:c r="P554" s="17"/>
      <x:c r="Q554" s="17"/>
      <x:c r="R554" s="17"/>
      <x:c r="S554" s="17"/>
      <x:c r="T554" s="17"/>
      <x:c r="U554" s="17"/>
      <x:c r="V554" s="17"/>
      <x:c r="W554" s="17"/>
      <x:c r="X554" s="17"/>
      <x:c r="Y554" s="17"/>
      <x:c r="Z554" s="17"/>
    </x:row>
    <x:row r="555">
      <x:c r="A555" s="17"/>
      <x:c r="B555" s="17"/>
      <x:c r="C555" s="17"/>
      <x:c r="D555" s="17"/>
      <x:c r="E555" s="17"/>
      <x:c r="F555" s="17"/>
      <x:c r="G555" s="17"/>
      <x:c r="H555" s="17"/>
      <x:c r="I555" s="17"/>
      <x:c r="J555" s="17"/>
      <x:c r="K555" s="17"/>
      <x:c r="L555" s="17"/>
      <x:c r="M555" s="17"/>
      <x:c r="N555" s="17"/>
      <x:c r="O555" s="17"/>
      <x:c r="P555" s="17"/>
      <x:c r="Q555" s="17"/>
      <x:c r="R555" s="17"/>
      <x:c r="S555" s="17"/>
      <x:c r="T555" s="17"/>
      <x:c r="U555" s="17"/>
      <x:c r="V555" s="17"/>
      <x:c r="W555" s="17"/>
      <x:c r="X555" s="17"/>
      <x:c r="Y555" s="17"/>
      <x:c r="Z555" s="17"/>
    </x:row>
    <x:row r="556">
      <x:c r="A556" s="17"/>
      <x:c r="B556" s="17"/>
      <x:c r="C556" s="17"/>
      <x:c r="D556" s="17"/>
      <x:c r="E556" s="17"/>
      <x:c r="F556" s="17"/>
      <x:c r="G556" s="17"/>
      <x:c r="H556" s="17"/>
      <x:c r="I556" s="17"/>
      <x:c r="J556" s="17"/>
      <x:c r="K556" s="17"/>
      <x:c r="L556" s="17"/>
      <x:c r="M556" s="17"/>
      <x:c r="N556" s="17"/>
      <x:c r="O556" s="17"/>
      <x:c r="P556" s="17"/>
      <x:c r="Q556" s="17"/>
      <x:c r="R556" s="17"/>
      <x:c r="S556" s="17"/>
      <x:c r="T556" s="17"/>
      <x:c r="U556" s="17"/>
      <x:c r="V556" s="17"/>
      <x:c r="W556" s="17"/>
      <x:c r="X556" s="17"/>
      <x:c r="Y556" s="17"/>
      <x:c r="Z556" s="17"/>
    </x:row>
    <x:row r="557">
      <x:c r="A557" s="17"/>
      <x:c r="B557" s="17"/>
      <x:c r="C557" s="17"/>
      <x:c r="D557" s="17"/>
      <x:c r="E557" s="17"/>
      <x:c r="F557" s="17"/>
      <x:c r="G557" s="17"/>
      <x:c r="H557" s="17"/>
      <x:c r="I557" s="17"/>
      <x:c r="J557" s="17"/>
      <x:c r="K557" s="17"/>
      <x:c r="L557" s="17"/>
      <x:c r="M557" s="17"/>
      <x:c r="N557" s="17"/>
      <x:c r="O557" s="17"/>
      <x:c r="P557" s="17"/>
      <x:c r="Q557" s="17"/>
      <x:c r="R557" s="17"/>
      <x:c r="S557" s="17"/>
      <x:c r="T557" s="17"/>
      <x:c r="U557" s="17"/>
      <x:c r="V557" s="17"/>
      <x:c r="W557" s="17"/>
      <x:c r="X557" s="17"/>
      <x:c r="Y557" s="17"/>
      <x:c r="Z557" s="17"/>
    </x:row>
    <x:row r="558">
      <x:c r="A558" s="17"/>
      <x:c r="B558" s="17"/>
      <x:c r="C558" s="17"/>
      <x:c r="D558" s="17"/>
      <x:c r="E558" s="17"/>
      <x:c r="F558" s="17"/>
      <x:c r="G558" s="17"/>
      <x:c r="H558" s="17"/>
      <x:c r="I558" s="17"/>
      <x:c r="J558" s="17"/>
      <x:c r="K558" s="17"/>
      <x:c r="L558" s="17"/>
      <x:c r="M558" s="17"/>
      <x:c r="N558" s="17"/>
      <x:c r="O558" s="17"/>
      <x:c r="P558" s="17"/>
      <x:c r="Q558" s="17"/>
      <x:c r="R558" s="17"/>
      <x:c r="S558" s="17"/>
      <x:c r="T558" s="17"/>
      <x:c r="U558" s="17"/>
      <x:c r="V558" s="17"/>
      <x:c r="W558" s="17"/>
      <x:c r="X558" s="17"/>
      <x:c r="Y558" s="17"/>
      <x:c r="Z558" s="17"/>
    </x:row>
    <x:row r="559">
      <x:c r="A559" s="17"/>
      <x:c r="B559" s="17"/>
      <x:c r="C559" s="17"/>
      <x:c r="D559" s="17"/>
      <x:c r="E559" s="17"/>
      <x:c r="F559" s="17"/>
      <x:c r="G559" s="17"/>
      <x:c r="H559" s="17"/>
      <x:c r="I559" s="17"/>
      <x:c r="J559" s="17"/>
      <x:c r="K559" s="17"/>
      <x:c r="L559" s="17"/>
      <x:c r="M559" s="17"/>
      <x:c r="N559" s="17"/>
      <x:c r="O559" s="17"/>
      <x:c r="P559" s="17"/>
      <x:c r="Q559" s="17"/>
      <x:c r="R559" s="17"/>
      <x:c r="S559" s="17"/>
      <x:c r="T559" s="17"/>
      <x:c r="U559" s="17"/>
      <x:c r="V559" s="17"/>
      <x:c r="W559" s="17"/>
      <x:c r="X559" s="17"/>
      <x:c r="Y559" s="17"/>
      <x:c r="Z559" s="17"/>
    </x:row>
    <x:row r="560">
      <x:c r="A560" s="17"/>
      <x:c r="B560" s="17"/>
      <x:c r="C560" s="17"/>
      <x:c r="D560" s="17"/>
      <x:c r="E560" s="17"/>
      <x:c r="F560" s="17"/>
      <x:c r="G560" s="17"/>
      <x:c r="H560" s="17"/>
      <x:c r="I560" s="17"/>
      <x:c r="J560" s="17"/>
      <x:c r="K560" s="17"/>
      <x:c r="L560" s="17"/>
      <x:c r="M560" s="17"/>
      <x:c r="N560" s="17"/>
      <x:c r="O560" s="17"/>
      <x:c r="P560" s="17"/>
      <x:c r="Q560" s="17"/>
      <x:c r="R560" s="17"/>
      <x:c r="S560" s="17"/>
      <x:c r="T560" s="17"/>
      <x:c r="U560" s="17"/>
      <x:c r="V560" s="17"/>
      <x:c r="W560" s="17"/>
      <x:c r="X560" s="17"/>
      <x:c r="Y560" s="17"/>
      <x:c r="Z560" s="17"/>
    </x:row>
    <x:row r="561">
      <x:c r="A561" s="17"/>
      <x:c r="B561" s="17"/>
      <x:c r="C561" s="17"/>
      <x:c r="D561" s="17"/>
      <x:c r="E561" s="17"/>
      <x:c r="F561" s="17"/>
      <x:c r="G561" s="17"/>
      <x:c r="H561" s="17"/>
      <x:c r="I561" s="17"/>
      <x:c r="J561" s="17"/>
      <x:c r="K561" s="17"/>
      <x:c r="L561" s="17"/>
      <x:c r="M561" s="17"/>
      <x:c r="N561" s="17"/>
      <x:c r="O561" s="17"/>
      <x:c r="P561" s="17"/>
      <x:c r="Q561" s="17"/>
      <x:c r="R561" s="17"/>
      <x:c r="S561" s="17"/>
      <x:c r="T561" s="17"/>
      <x:c r="U561" s="17"/>
      <x:c r="V561" s="17"/>
      <x:c r="W561" s="17"/>
      <x:c r="X561" s="17"/>
      <x:c r="Y561" s="17"/>
      <x:c r="Z561" s="17"/>
    </x:row>
    <x:row r="562">
      <x:c r="A562" s="17"/>
      <x:c r="B562" s="17"/>
      <x:c r="C562" s="17"/>
      <x:c r="D562" s="17"/>
      <x:c r="E562" s="17"/>
      <x:c r="F562" s="17"/>
      <x:c r="G562" s="17"/>
      <x:c r="H562" s="17"/>
      <x:c r="I562" s="17"/>
      <x:c r="J562" s="17"/>
      <x:c r="K562" s="17"/>
      <x:c r="L562" s="17"/>
      <x:c r="M562" s="17"/>
      <x:c r="N562" s="17"/>
      <x:c r="O562" s="17"/>
      <x:c r="P562" s="17"/>
      <x:c r="Q562" s="17"/>
      <x:c r="R562" s="17"/>
      <x:c r="S562" s="17"/>
      <x:c r="T562" s="17"/>
      <x:c r="U562" s="17"/>
      <x:c r="V562" s="17"/>
      <x:c r="W562" s="17"/>
      <x:c r="X562" s="17"/>
      <x:c r="Y562" s="17"/>
      <x:c r="Z562" s="17"/>
    </x:row>
    <x:row r="563">
      <x:c r="A563" s="17"/>
      <x:c r="B563" s="17"/>
      <x:c r="C563" s="17"/>
      <x:c r="D563" s="17"/>
      <x:c r="E563" s="17"/>
      <x:c r="F563" s="17"/>
      <x:c r="G563" s="17"/>
      <x:c r="H563" s="17"/>
      <x:c r="I563" s="17"/>
      <x:c r="J563" s="17"/>
      <x:c r="K563" s="17"/>
      <x:c r="L563" s="17"/>
      <x:c r="M563" s="17"/>
      <x:c r="N563" s="17"/>
      <x:c r="O563" s="17"/>
      <x:c r="P563" s="17"/>
      <x:c r="Q563" s="17"/>
      <x:c r="R563" s="17"/>
      <x:c r="S563" s="17"/>
      <x:c r="T563" s="17"/>
      <x:c r="U563" s="17"/>
      <x:c r="V563" s="17"/>
      <x:c r="W563" s="17"/>
      <x:c r="X563" s="17"/>
      <x:c r="Y563" s="17"/>
      <x:c r="Z563" s="17"/>
    </x:row>
    <x:row r="564">
      <x:c r="A564" s="17"/>
      <x:c r="B564" s="17"/>
      <x:c r="C564" s="17"/>
      <x:c r="D564" s="17"/>
      <x:c r="E564" s="17"/>
      <x:c r="F564" s="17"/>
      <x:c r="G564" s="17"/>
      <x:c r="H564" s="17"/>
      <x:c r="I564" s="17"/>
      <x:c r="J564" s="17"/>
      <x:c r="K564" s="17"/>
      <x:c r="L564" s="17"/>
      <x:c r="M564" s="17"/>
      <x:c r="N564" s="17"/>
      <x:c r="O564" s="17"/>
      <x:c r="P564" s="17"/>
      <x:c r="Q564" s="17"/>
      <x:c r="R564" s="17"/>
      <x:c r="S564" s="17"/>
      <x:c r="T564" s="17"/>
      <x:c r="U564" s="17"/>
      <x:c r="V564" s="17"/>
      <x:c r="W564" s="17"/>
      <x:c r="X564" s="17"/>
      <x:c r="Y564" s="17"/>
      <x:c r="Z564" s="17"/>
    </x:row>
    <x:row r="565">
      <x:c r="A565" s="17"/>
      <x:c r="B565" s="17"/>
      <x:c r="C565" s="17"/>
      <x:c r="D565" s="17"/>
      <x:c r="E565" s="17"/>
      <x:c r="F565" s="17"/>
      <x:c r="G565" s="17"/>
      <x:c r="H565" s="17"/>
      <x:c r="I565" s="17"/>
      <x:c r="J565" s="17"/>
      <x:c r="K565" s="17"/>
      <x:c r="L565" s="17"/>
      <x:c r="M565" s="17"/>
      <x:c r="N565" s="17"/>
      <x:c r="O565" s="17"/>
      <x:c r="P565" s="17"/>
      <x:c r="Q565" s="17"/>
      <x:c r="R565" s="17"/>
      <x:c r="S565" s="17"/>
      <x:c r="T565" s="17"/>
      <x:c r="U565" s="17"/>
      <x:c r="V565" s="17"/>
      <x:c r="W565" s="17"/>
      <x:c r="X565" s="17"/>
      <x:c r="Y565" s="17"/>
      <x:c r="Z565" s="17"/>
    </x:row>
    <x:row r="566">
      <x:c r="A566" s="17"/>
      <x:c r="B566" s="17"/>
      <x:c r="C566" s="17"/>
      <x:c r="D566" s="17"/>
      <x:c r="E566" s="17"/>
      <x:c r="F566" s="17"/>
      <x:c r="G566" s="17"/>
      <x:c r="H566" s="17"/>
      <x:c r="I566" s="17"/>
      <x:c r="J566" s="17"/>
      <x:c r="K566" s="17"/>
      <x:c r="L566" s="17"/>
      <x:c r="M566" s="17"/>
      <x:c r="N566" s="17"/>
      <x:c r="O566" s="17"/>
      <x:c r="P566" s="17"/>
      <x:c r="Q566" s="17"/>
      <x:c r="R566" s="17"/>
      <x:c r="S566" s="17"/>
      <x:c r="T566" s="17"/>
      <x:c r="U566" s="17"/>
      <x:c r="V566" s="17"/>
      <x:c r="W566" s="17"/>
      <x:c r="X566" s="17"/>
      <x:c r="Y566" s="17"/>
      <x:c r="Z566" s="17"/>
    </x:row>
    <x:row r="567">
      <x:c r="A567" s="17"/>
      <x:c r="B567" s="17"/>
      <x:c r="C567" s="17"/>
      <x:c r="D567" s="17"/>
      <x:c r="E567" s="17"/>
      <x:c r="F567" s="17"/>
      <x:c r="G567" s="17"/>
      <x:c r="H567" s="17"/>
      <x:c r="I567" s="17"/>
      <x:c r="J567" s="17"/>
      <x:c r="K567" s="17"/>
      <x:c r="L567" s="17"/>
      <x:c r="M567" s="17"/>
      <x:c r="N567" s="17"/>
      <x:c r="O567" s="17"/>
      <x:c r="P567" s="17"/>
      <x:c r="Q567" s="17"/>
      <x:c r="R567" s="17"/>
      <x:c r="S567" s="17"/>
      <x:c r="T567" s="17"/>
      <x:c r="U567" s="17"/>
      <x:c r="V567" s="17"/>
      <x:c r="W567" s="17"/>
      <x:c r="X567" s="17"/>
      <x:c r="Y567" s="17"/>
      <x:c r="Z567" s="17"/>
    </x:row>
    <x:row r="568">
      <x:c r="A568" s="17"/>
      <x:c r="B568" s="17"/>
      <x:c r="C568" s="17"/>
      <x:c r="D568" s="17"/>
      <x:c r="E568" s="17"/>
      <x:c r="F568" s="17"/>
      <x:c r="G568" s="17"/>
      <x:c r="H568" s="17"/>
      <x:c r="I568" s="17"/>
      <x:c r="J568" s="17"/>
      <x:c r="K568" s="17"/>
      <x:c r="L568" s="17"/>
      <x:c r="M568" s="17"/>
      <x:c r="N568" s="17"/>
      <x:c r="O568" s="17"/>
      <x:c r="P568" s="17"/>
      <x:c r="Q568" s="17"/>
      <x:c r="R568" s="17"/>
      <x:c r="S568" s="17"/>
      <x:c r="T568" s="17"/>
      <x:c r="U568" s="17"/>
      <x:c r="V568" s="17"/>
      <x:c r="W568" s="17"/>
      <x:c r="X568" s="17"/>
      <x:c r="Y568" s="17"/>
      <x:c r="Z568" s="17"/>
    </x:row>
    <x:row r="569">
      <x:c r="A569" s="17"/>
      <x:c r="B569" s="17"/>
      <x:c r="C569" s="17"/>
      <x:c r="D569" s="17"/>
      <x:c r="E569" s="17"/>
      <x:c r="F569" s="17"/>
      <x:c r="G569" s="17"/>
      <x:c r="H569" s="17"/>
      <x:c r="I569" s="17"/>
      <x:c r="J569" s="17"/>
      <x:c r="K569" s="17"/>
      <x:c r="L569" s="17"/>
      <x:c r="M569" s="17"/>
      <x:c r="N569" s="17"/>
      <x:c r="O569" s="17"/>
      <x:c r="P569" s="17"/>
      <x:c r="Q569" s="17"/>
      <x:c r="R569" s="17"/>
      <x:c r="S569" s="17"/>
      <x:c r="T569" s="17"/>
      <x:c r="U569" s="17"/>
      <x:c r="V569" s="17"/>
      <x:c r="W569" s="17"/>
      <x:c r="X569" s="17"/>
      <x:c r="Y569" s="17"/>
      <x:c r="Z569" s="17"/>
    </x:row>
    <x:row r="570">
      <x:c r="A570" s="17"/>
      <x:c r="B570" s="17"/>
      <x:c r="C570" s="17"/>
      <x:c r="D570" s="17"/>
      <x:c r="E570" s="17"/>
      <x:c r="F570" s="17"/>
      <x:c r="G570" s="17"/>
      <x:c r="H570" s="17"/>
      <x:c r="I570" s="17"/>
      <x:c r="J570" s="17"/>
      <x:c r="K570" s="17"/>
      <x:c r="L570" s="17"/>
      <x:c r="M570" s="17"/>
      <x:c r="N570" s="17"/>
      <x:c r="O570" s="17"/>
      <x:c r="P570" s="17"/>
      <x:c r="Q570" s="17"/>
      <x:c r="R570" s="17"/>
      <x:c r="S570" s="17"/>
      <x:c r="T570" s="17"/>
      <x:c r="U570" s="17"/>
      <x:c r="V570" s="17"/>
      <x:c r="W570" s="17"/>
      <x:c r="X570" s="17"/>
      <x:c r="Y570" s="17"/>
      <x:c r="Z570" s="17"/>
    </x:row>
    <x:row r="571">
      <x:c r="A571" s="17"/>
      <x:c r="B571" s="17"/>
      <x:c r="C571" s="17"/>
      <x:c r="D571" s="17"/>
      <x:c r="E571" s="17"/>
      <x:c r="F571" s="17"/>
      <x:c r="G571" s="17"/>
      <x:c r="H571" s="17"/>
      <x:c r="I571" s="17"/>
      <x:c r="J571" s="17"/>
      <x:c r="K571" s="17"/>
      <x:c r="L571" s="17"/>
      <x:c r="M571" s="17"/>
      <x:c r="N571" s="17"/>
      <x:c r="O571" s="17"/>
      <x:c r="P571" s="17"/>
      <x:c r="Q571" s="17"/>
      <x:c r="R571" s="17"/>
      <x:c r="S571" s="17"/>
      <x:c r="T571" s="17"/>
      <x:c r="U571" s="17"/>
      <x:c r="V571" s="17"/>
      <x:c r="W571" s="17"/>
      <x:c r="X571" s="17"/>
      <x:c r="Y571" s="17"/>
      <x:c r="Z571" s="17"/>
    </x:row>
    <x:row r="572">
      <x:c r="A572" s="17"/>
      <x:c r="B572" s="17"/>
      <x:c r="C572" s="17"/>
      <x:c r="D572" s="17"/>
      <x:c r="E572" s="17"/>
      <x:c r="F572" s="17"/>
      <x:c r="G572" s="17"/>
      <x:c r="H572" s="17"/>
      <x:c r="I572" s="17"/>
      <x:c r="J572" s="17"/>
      <x:c r="K572" s="17"/>
      <x:c r="L572" s="17"/>
      <x:c r="M572" s="17"/>
      <x:c r="N572" s="17"/>
      <x:c r="O572" s="17"/>
      <x:c r="P572" s="17"/>
      <x:c r="Q572" s="17"/>
      <x:c r="R572" s="17"/>
      <x:c r="S572" s="17"/>
      <x:c r="T572" s="17"/>
      <x:c r="U572" s="17"/>
      <x:c r="V572" s="17"/>
      <x:c r="W572" s="17"/>
      <x:c r="X572" s="17"/>
      <x:c r="Y572" s="17"/>
      <x:c r="Z572" s="17"/>
    </x:row>
    <x:row r="573">
      <x:c r="A573" s="17"/>
      <x:c r="B573" s="17"/>
      <x:c r="C573" s="17"/>
      <x:c r="D573" s="17"/>
      <x:c r="E573" s="17"/>
      <x:c r="F573" s="17"/>
      <x:c r="G573" s="17"/>
      <x:c r="H573" s="17"/>
      <x:c r="I573" s="17"/>
      <x:c r="J573" s="17"/>
      <x:c r="K573" s="17"/>
      <x:c r="L573" s="17"/>
      <x:c r="M573" s="17"/>
      <x:c r="N573" s="17"/>
      <x:c r="O573" s="17"/>
      <x:c r="P573" s="17"/>
      <x:c r="Q573" s="17"/>
      <x:c r="R573" s="17"/>
      <x:c r="S573" s="17"/>
      <x:c r="T573" s="17"/>
      <x:c r="U573" s="17"/>
      <x:c r="V573" s="17"/>
      <x:c r="W573" s="17"/>
      <x:c r="X573" s="17"/>
      <x:c r="Y573" s="17"/>
      <x:c r="Z573" s="17"/>
    </x:row>
    <x:row r="574">
      <x:c r="A574" s="17"/>
      <x:c r="B574" s="17"/>
      <x:c r="C574" s="17"/>
      <x:c r="D574" s="17"/>
      <x:c r="E574" s="17"/>
      <x:c r="F574" s="17"/>
      <x:c r="G574" s="17"/>
      <x:c r="H574" s="17"/>
      <x:c r="I574" s="17"/>
      <x:c r="J574" s="17"/>
      <x:c r="K574" s="17"/>
      <x:c r="L574" s="17"/>
      <x:c r="M574" s="17"/>
      <x:c r="N574" s="17"/>
      <x:c r="O574" s="17"/>
      <x:c r="P574" s="17"/>
      <x:c r="Q574" s="17"/>
      <x:c r="R574" s="17"/>
      <x:c r="S574" s="17"/>
      <x:c r="T574" s="17"/>
      <x:c r="U574" s="17"/>
      <x:c r="V574" s="17"/>
      <x:c r="W574" s="17"/>
      <x:c r="X574" s="17"/>
      <x:c r="Y574" s="17"/>
      <x:c r="Z574" s="17"/>
    </x:row>
    <x:row r="575">
      <x:c r="A575" s="17"/>
      <x:c r="B575" s="17"/>
      <x:c r="C575" s="17"/>
      <x:c r="D575" s="17"/>
      <x:c r="E575" s="17"/>
      <x:c r="F575" s="17"/>
      <x:c r="G575" s="17"/>
      <x:c r="H575" s="17"/>
      <x:c r="I575" s="17"/>
      <x:c r="J575" s="17"/>
      <x:c r="K575" s="17"/>
      <x:c r="L575" s="17"/>
      <x:c r="M575" s="17"/>
      <x:c r="N575" s="17"/>
      <x:c r="O575" s="17"/>
      <x:c r="P575" s="17"/>
      <x:c r="Q575" s="17"/>
      <x:c r="R575" s="17"/>
      <x:c r="S575" s="17"/>
      <x:c r="T575" s="17"/>
      <x:c r="U575" s="17"/>
      <x:c r="V575" s="17"/>
      <x:c r="W575" s="17"/>
      <x:c r="X575" s="17"/>
      <x:c r="Y575" s="17"/>
      <x:c r="Z575" s="17"/>
    </x:row>
    <x:row r="576">
      <x:c r="A576" s="17"/>
      <x:c r="B576" s="17"/>
      <x:c r="C576" s="17"/>
      <x:c r="D576" s="17"/>
      <x:c r="E576" s="17"/>
      <x:c r="F576" s="17"/>
      <x:c r="G576" s="17"/>
      <x:c r="H576" s="17"/>
      <x:c r="I576" s="17"/>
      <x:c r="J576" s="17"/>
      <x:c r="K576" s="17"/>
      <x:c r="L576" s="17"/>
      <x:c r="M576" s="17"/>
      <x:c r="N576" s="17"/>
      <x:c r="O576" s="17"/>
      <x:c r="P576" s="17"/>
      <x:c r="Q576" s="17"/>
      <x:c r="R576" s="17"/>
      <x:c r="S576" s="17"/>
      <x:c r="T576" s="17"/>
      <x:c r="U576" s="17"/>
      <x:c r="V576" s="17"/>
      <x:c r="W576" s="17"/>
      <x:c r="X576" s="17"/>
      <x:c r="Y576" s="17"/>
      <x:c r="Z576" s="17"/>
    </x:row>
    <x:row r="577">
      <x:c r="A577" s="17"/>
      <x:c r="B577" s="17"/>
      <x:c r="C577" s="17"/>
      <x:c r="D577" s="17"/>
      <x:c r="E577" s="17"/>
      <x:c r="F577" s="17"/>
      <x:c r="G577" s="17"/>
      <x:c r="H577" s="17"/>
      <x:c r="I577" s="17"/>
      <x:c r="J577" s="17"/>
      <x:c r="K577" s="17"/>
      <x:c r="L577" s="17"/>
      <x:c r="M577" s="17"/>
      <x:c r="N577" s="17"/>
      <x:c r="O577" s="17"/>
      <x:c r="P577" s="17"/>
      <x:c r="Q577" s="17"/>
      <x:c r="R577" s="17"/>
      <x:c r="S577" s="17"/>
      <x:c r="T577" s="17"/>
      <x:c r="U577" s="17"/>
      <x:c r="V577" s="17"/>
      <x:c r="W577" s="17"/>
      <x:c r="X577" s="17"/>
      <x:c r="Y577" s="17"/>
      <x:c r="Z577" s="17"/>
    </x:row>
    <x:row r="578">
      <x:c r="A578" s="17"/>
      <x:c r="B578" s="17"/>
      <x:c r="C578" s="17"/>
      <x:c r="D578" s="17"/>
      <x:c r="E578" s="17"/>
      <x:c r="F578" s="17"/>
      <x:c r="G578" s="17"/>
      <x:c r="H578" s="17"/>
      <x:c r="I578" s="17"/>
      <x:c r="J578" s="17"/>
      <x:c r="K578" s="17"/>
      <x:c r="L578" s="17"/>
      <x:c r="M578" s="17"/>
      <x:c r="N578" s="17"/>
      <x:c r="O578" s="17"/>
      <x:c r="P578" s="17"/>
      <x:c r="Q578" s="17"/>
      <x:c r="R578" s="17"/>
      <x:c r="S578" s="17"/>
      <x:c r="T578" s="17"/>
      <x:c r="U578" s="17"/>
      <x:c r="V578" s="17"/>
      <x:c r="W578" s="17"/>
      <x:c r="X578" s="17"/>
      <x:c r="Y578" s="17"/>
      <x:c r="Z578" s="17"/>
    </x:row>
    <x:row r="579">
      <x:c r="A579" s="17"/>
      <x:c r="B579" s="17"/>
      <x:c r="C579" s="17"/>
      <x:c r="D579" s="17"/>
      <x:c r="E579" s="17"/>
      <x:c r="F579" s="17"/>
      <x:c r="G579" s="17"/>
      <x:c r="H579" s="17"/>
      <x:c r="I579" s="17"/>
      <x:c r="J579" s="17"/>
      <x:c r="K579" s="17"/>
      <x:c r="L579" s="17"/>
      <x:c r="M579" s="17"/>
      <x:c r="N579" s="17"/>
      <x:c r="O579" s="17"/>
      <x:c r="P579" s="17"/>
      <x:c r="Q579" s="17"/>
      <x:c r="R579" s="17"/>
      <x:c r="S579" s="17"/>
      <x:c r="T579" s="17"/>
      <x:c r="U579" s="17"/>
      <x:c r="V579" s="17"/>
      <x:c r="W579" s="17"/>
      <x:c r="X579" s="17"/>
      <x:c r="Y579" s="17"/>
      <x:c r="Z579" s="17"/>
    </x:row>
    <x:row r="580">
      <x:c r="A580" s="17"/>
      <x:c r="B580" s="17"/>
      <x:c r="C580" s="17"/>
      <x:c r="D580" s="17"/>
      <x:c r="E580" s="17"/>
      <x:c r="F580" s="17"/>
      <x:c r="G580" s="17"/>
      <x:c r="H580" s="17"/>
      <x:c r="I580" s="17"/>
      <x:c r="J580" s="17"/>
      <x:c r="K580" s="17"/>
      <x:c r="L580" s="17"/>
      <x:c r="M580" s="17"/>
      <x:c r="N580" s="17"/>
      <x:c r="O580" s="17"/>
      <x:c r="P580" s="17"/>
      <x:c r="Q580" s="17"/>
      <x:c r="R580" s="17"/>
      <x:c r="S580" s="17"/>
      <x:c r="T580" s="17"/>
      <x:c r="U580" s="17"/>
      <x:c r="V580" s="17"/>
      <x:c r="W580" s="17"/>
      <x:c r="X580" s="17"/>
      <x:c r="Y580" s="17"/>
      <x:c r="Z580" s="17"/>
    </x:row>
    <x:row r="581">
      <x:c r="A581" s="17"/>
      <x:c r="B581" s="17"/>
      <x:c r="C581" s="17"/>
      <x:c r="D581" s="17"/>
      <x:c r="E581" s="17"/>
      <x:c r="F581" s="17"/>
      <x:c r="G581" s="17"/>
      <x:c r="H581" s="17"/>
      <x:c r="I581" s="17"/>
      <x:c r="J581" s="17"/>
      <x:c r="K581" s="17"/>
      <x:c r="L581" s="17"/>
      <x:c r="M581" s="17"/>
      <x:c r="N581" s="17"/>
      <x:c r="O581" s="17"/>
      <x:c r="P581" s="17"/>
      <x:c r="Q581" s="17"/>
      <x:c r="R581" s="17"/>
      <x:c r="S581" s="17"/>
      <x:c r="T581" s="17"/>
      <x:c r="U581" s="17"/>
      <x:c r="V581" s="17"/>
      <x:c r="W581" s="17"/>
      <x:c r="X581" s="17"/>
      <x:c r="Y581" s="17"/>
      <x:c r="Z581" s="17"/>
    </x:row>
    <x:row r="582">
      <x:c r="A582" s="17"/>
      <x:c r="B582" s="17"/>
      <x:c r="C582" s="17"/>
      <x:c r="D582" s="17"/>
      <x:c r="E582" s="17"/>
      <x:c r="F582" s="17"/>
      <x:c r="G582" s="17"/>
      <x:c r="H582" s="17"/>
      <x:c r="I582" s="17"/>
      <x:c r="J582" s="17"/>
      <x:c r="K582" s="17"/>
      <x:c r="L582" s="17"/>
      <x:c r="M582" s="17"/>
      <x:c r="N582" s="17"/>
      <x:c r="O582" s="17"/>
      <x:c r="P582" s="17"/>
      <x:c r="Q582" s="17"/>
      <x:c r="R582" s="17"/>
      <x:c r="S582" s="17"/>
      <x:c r="T582" s="17"/>
      <x:c r="U582" s="17"/>
      <x:c r="V582" s="17"/>
      <x:c r="W582" s="17"/>
      <x:c r="X582" s="17"/>
      <x:c r="Y582" s="17"/>
      <x:c r="Z582" s="17"/>
    </x:row>
    <x:row r="583">
      <x:c r="A583" s="17"/>
      <x:c r="B583" s="17"/>
      <x:c r="C583" s="17"/>
      <x:c r="D583" s="17"/>
      <x:c r="E583" s="17"/>
      <x:c r="F583" s="17"/>
      <x:c r="G583" s="17"/>
      <x:c r="H583" s="17"/>
      <x:c r="I583" s="17"/>
      <x:c r="J583" s="17"/>
      <x:c r="K583" s="17"/>
      <x:c r="L583" s="17"/>
      <x:c r="M583" s="17"/>
      <x:c r="N583" s="17"/>
      <x:c r="O583" s="17"/>
      <x:c r="P583" s="17"/>
      <x:c r="Q583" s="17"/>
      <x:c r="R583" s="17"/>
      <x:c r="S583" s="17"/>
      <x:c r="T583" s="17"/>
      <x:c r="U583" s="17"/>
      <x:c r="V583" s="17"/>
      <x:c r="W583" s="17"/>
      <x:c r="X583" s="17"/>
      <x:c r="Y583" s="17"/>
      <x:c r="Z583" s="17"/>
    </x:row>
    <x:row r="584">
      <x:c r="A584" s="17"/>
      <x:c r="B584" s="17"/>
      <x:c r="C584" s="17"/>
      <x:c r="D584" s="17"/>
      <x:c r="E584" s="17"/>
      <x:c r="F584" s="17"/>
      <x:c r="G584" s="17"/>
      <x:c r="H584" s="17"/>
      <x:c r="I584" s="17"/>
      <x:c r="J584" s="17"/>
      <x:c r="K584" s="17"/>
      <x:c r="L584" s="17"/>
      <x:c r="M584" s="17"/>
      <x:c r="N584" s="17"/>
      <x:c r="O584" s="17"/>
      <x:c r="P584" s="17"/>
      <x:c r="Q584" s="17"/>
      <x:c r="R584" s="17"/>
      <x:c r="S584" s="17"/>
      <x:c r="T584" s="17"/>
      <x:c r="U584" s="17"/>
      <x:c r="V584" s="17"/>
      <x:c r="W584" s="17"/>
      <x:c r="X584" s="17"/>
      <x:c r="Y584" s="17"/>
      <x:c r="Z584" s="17"/>
    </x:row>
    <x:row r="585">
      <x:c r="A585" s="17"/>
      <x:c r="B585" s="17"/>
      <x:c r="C585" s="17"/>
      <x:c r="D585" s="17"/>
      <x:c r="E585" s="17"/>
      <x:c r="F585" s="17"/>
      <x:c r="G585" s="17"/>
      <x:c r="H585" s="17"/>
      <x:c r="I585" s="17"/>
      <x:c r="J585" s="17"/>
      <x:c r="K585" s="17"/>
      <x:c r="L585" s="17"/>
      <x:c r="M585" s="17"/>
      <x:c r="N585" s="17"/>
      <x:c r="O585" s="17"/>
      <x:c r="P585" s="17"/>
      <x:c r="Q585" s="17"/>
      <x:c r="R585" s="17"/>
      <x:c r="S585" s="17"/>
      <x:c r="T585" s="17"/>
      <x:c r="U585" s="17"/>
      <x:c r="V585" s="17"/>
      <x:c r="W585" s="17"/>
      <x:c r="X585" s="17"/>
      <x:c r="Y585" s="17"/>
      <x:c r="Z585" s="17"/>
    </x:row>
    <x:row r="586">
      <x:c r="A586" s="17"/>
      <x:c r="B586" s="17"/>
      <x:c r="C586" s="17"/>
      <x:c r="D586" s="17"/>
      <x:c r="E586" s="17"/>
      <x:c r="F586" s="17"/>
      <x:c r="G586" s="17"/>
      <x:c r="H586" s="17"/>
      <x:c r="I586" s="17"/>
      <x:c r="J586" s="17"/>
      <x:c r="K586" s="17"/>
      <x:c r="L586" s="17"/>
      <x:c r="M586" s="17"/>
      <x:c r="N586" s="17"/>
      <x:c r="O586" s="17"/>
      <x:c r="P586" s="17"/>
      <x:c r="Q586" s="17"/>
      <x:c r="R586" s="17"/>
      <x:c r="S586" s="17"/>
      <x:c r="T586" s="17"/>
      <x:c r="U586" s="17"/>
      <x:c r="V586" s="17"/>
      <x:c r="W586" s="17"/>
      <x:c r="X586" s="17"/>
      <x:c r="Y586" s="17"/>
      <x:c r="Z586" s="17"/>
    </x:row>
    <x:row r="587">
      <x:c r="A587" s="17"/>
      <x:c r="B587" s="17"/>
      <x:c r="C587" s="17"/>
      <x:c r="D587" s="17"/>
      <x:c r="E587" s="17"/>
      <x:c r="F587" s="17"/>
      <x:c r="G587" s="17"/>
      <x:c r="H587" s="17"/>
      <x:c r="I587" s="17"/>
      <x:c r="J587" s="17"/>
      <x:c r="K587" s="17"/>
      <x:c r="L587" s="17"/>
      <x:c r="M587" s="17"/>
      <x:c r="N587" s="17"/>
      <x:c r="O587" s="17"/>
      <x:c r="P587" s="17"/>
      <x:c r="Q587" s="17"/>
      <x:c r="R587" s="17"/>
      <x:c r="S587" s="17"/>
      <x:c r="T587" s="17"/>
      <x:c r="U587" s="17"/>
      <x:c r="V587" s="17"/>
      <x:c r="W587" s="17"/>
      <x:c r="X587" s="17"/>
      <x:c r="Y587" s="17"/>
      <x:c r="Z587" s="17"/>
    </x:row>
    <x:row r="588">
      <x:c r="A588" s="17"/>
      <x:c r="B588" s="17"/>
      <x:c r="C588" s="17"/>
      <x:c r="D588" s="17"/>
      <x:c r="E588" s="17"/>
      <x:c r="F588" s="17"/>
      <x:c r="G588" s="17"/>
      <x:c r="H588" s="17"/>
      <x:c r="I588" s="17"/>
      <x:c r="J588" s="17"/>
      <x:c r="K588" s="17"/>
      <x:c r="L588" s="17"/>
      <x:c r="M588" s="17"/>
      <x:c r="N588" s="17"/>
      <x:c r="O588" s="17"/>
      <x:c r="P588" s="17"/>
      <x:c r="Q588" s="17"/>
      <x:c r="R588" s="17"/>
      <x:c r="S588" s="17"/>
      <x:c r="T588" s="17"/>
      <x:c r="U588" s="17"/>
      <x:c r="V588" s="17"/>
      <x:c r="W588" s="17"/>
      <x:c r="X588" s="17"/>
      <x:c r="Y588" s="17"/>
      <x:c r="Z588" s="17"/>
    </x:row>
    <x:row r="589">
      <x:c r="A589" s="17"/>
      <x:c r="B589" s="17"/>
      <x:c r="C589" s="17"/>
      <x:c r="D589" s="17"/>
      <x:c r="E589" s="17"/>
      <x:c r="F589" s="17"/>
      <x:c r="G589" s="17"/>
      <x:c r="H589" s="17"/>
      <x:c r="I589" s="17"/>
      <x:c r="J589" s="17"/>
      <x:c r="K589" s="17"/>
      <x:c r="L589" s="17"/>
      <x:c r="M589" s="17"/>
      <x:c r="N589" s="17"/>
      <x:c r="O589" s="17"/>
      <x:c r="P589" s="17"/>
      <x:c r="Q589" s="17"/>
      <x:c r="R589" s="17"/>
      <x:c r="S589" s="17"/>
      <x:c r="T589" s="17"/>
      <x:c r="U589" s="17"/>
      <x:c r="V589" s="17"/>
      <x:c r="W589" s="17"/>
      <x:c r="X589" s="17"/>
      <x:c r="Y589" s="17"/>
      <x:c r="Z589" s="17"/>
    </x:row>
    <x:row r="590">
      <x:c r="A590" s="17"/>
      <x:c r="B590" s="17"/>
      <x:c r="C590" s="17"/>
      <x:c r="D590" s="17"/>
      <x:c r="E590" s="17"/>
      <x:c r="F590" s="17"/>
      <x:c r="G590" s="17"/>
      <x:c r="H590" s="17"/>
      <x:c r="I590" s="17"/>
      <x:c r="J590" s="17"/>
      <x:c r="K590" s="17"/>
      <x:c r="L590" s="17"/>
      <x:c r="M590" s="17"/>
      <x:c r="N590" s="17"/>
      <x:c r="O590" s="17"/>
      <x:c r="P590" s="17"/>
      <x:c r="Q590" s="17"/>
      <x:c r="R590" s="17"/>
      <x:c r="S590" s="17"/>
      <x:c r="T590" s="17"/>
      <x:c r="U590" s="17"/>
      <x:c r="V590" s="17"/>
      <x:c r="W590" s="17"/>
      <x:c r="X590" s="17"/>
      <x:c r="Y590" s="17"/>
      <x:c r="Z590" s="17"/>
    </x:row>
    <x:row r="591">
      <x:c r="A591" s="17"/>
      <x:c r="B591" s="17"/>
      <x:c r="C591" s="17"/>
      <x:c r="D591" s="17"/>
      <x:c r="E591" s="17"/>
      <x:c r="F591" s="17"/>
      <x:c r="G591" s="17"/>
      <x:c r="H591" s="17"/>
      <x:c r="I591" s="17"/>
      <x:c r="J591" s="17"/>
      <x:c r="K591" s="17"/>
      <x:c r="L591" s="17"/>
      <x:c r="M591" s="17"/>
      <x:c r="N591" s="17"/>
      <x:c r="O591" s="17"/>
      <x:c r="P591" s="17"/>
      <x:c r="Q591" s="17"/>
      <x:c r="R591" s="17"/>
      <x:c r="S591" s="17"/>
      <x:c r="T591" s="17"/>
      <x:c r="U591" s="17"/>
      <x:c r="V591" s="17"/>
      <x:c r="W591" s="17"/>
      <x:c r="X591" s="17"/>
      <x:c r="Y591" s="17"/>
      <x:c r="Z591" s="17"/>
    </x:row>
    <x:row r="592">
      <x:c r="A592" s="17"/>
      <x:c r="B592" s="17"/>
      <x:c r="C592" s="17"/>
      <x:c r="D592" s="17"/>
      <x:c r="E592" s="17"/>
      <x:c r="F592" s="17"/>
      <x:c r="G592" s="17"/>
      <x:c r="H592" s="17"/>
      <x:c r="I592" s="17"/>
      <x:c r="J592" s="17"/>
      <x:c r="K592" s="17"/>
      <x:c r="L592" s="17"/>
      <x:c r="M592" s="17"/>
      <x:c r="N592" s="17"/>
      <x:c r="O592" s="17"/>
      <x:c r="P592" s="17"/>
      <x:c r="Q592" s="17"/>
      <x:c r="R592" s="17"/>
      <x:c r="S592" s="17"/>
      <x:c r="T592" s="17"/>
      <x:c r="U592" s="17"/>
      <x:c r="V592" s="17"/>
      <x:c r="W592" s="17"/>
      <x:c r="X592" s="17"/>
      <x:c r="Y592" s="17"/>
      <x:c r="Z592" s="17"/>
    </x:row>
    <x:row r="593">
      <x:c r="A593" s="17"/>
      <x:c r="B593" s="17"/>
      <x:c r="C593" s="17"/>
      <x:c r="D593" s="17"/>
      <x:c r="E593" s="17"/>
      <x:c r="F593" s="17"/>
      <x:c r="G593" s="17"/>
      <x:c r="H593" s="17"/>
      <x:c r="I593" s="17"/>
      <x:c r="J593" s="17"/>
      <x:c r="K593" s="17"/>
      <x:c r="L593" s="17"/>
      <x:c r="M593" s="17"/>
      <x:c r="N593" s="17"/>
      <x:c r="O593" s="17"/>
      <x:c r="P593" s="17"/>
      <x:c r="Q593" s="17"/>
      <x:c r="R593" s="17"/>
      <x:c r="S593" s="17"/>
      <x:c r="T593" s="17"/>
      <x:c r="U593" s="17"/>
      <x:c r="V593" s="17"/>
      <x:c r="W593" s="17"/>
      <x:c r="X593" s="17"/>
      <x:c r="Y593" s="17"/>
      <x:c r="Z593" s="17"/>
    </x:row>
    <x:row r="594">
      <x:c r="A594" s="17"/>
      <x:c r="B594" s="17"/>
      <x:c r="C594" s="17"/>
      <x:c r="D594" s="17"/>
      <x:c r="E594" s="17"/>
      <x:c r="F594" s="17"/>
      <x:c r="G594" s="17"/>
      <x:c r="H594" s="17"/>
      <x:c r="I594" s="17"/>
      <x:c r="J594" s="17"/>
      <x:c r="K594" s="17"/>
      <x:c r="L594" s="17"/>
      <x:c r="M594" s="17"/>
      <x:c r="N594" s="17"/>
      <x:c r="O594" s="17"/>
      <x:c r="P594" s="17"/>
      <x:c r="Q594" s="17"/>
      <x:c r="R594" s="17"/>
      <x:c r="S594" s="17"/>
      <x:c r="T594" s="17"/>
      <x:c r="U594" s="17"/>
      <x:c r="V594" s="17"/>
      <x:c r="W594" s="17"/>
      <x:c r="X594" s="17"/>
      <x:c r="Y594" s="17"/>
      <x:c r="Z594" s="17"/>
    </x:row>
    <x:row r="595">
      <x:c r="A595" s="17"/>
      <x:c r="B595" s="17"/>
      <x:c r="C595" s="17"/>
      <x:c r="D595" s="17"/>
      <x:c r="E595" s="17"/>
      <x:c r="F595" s="17"/>
      <x:c r="G595" s="17"/>
      <x:c r="H595" s="17"/>
      <x:c r="I595" s="17"/>
      <x:c r="J595" s="17"/>
      <x:c r="K595" s="17"/>
      <x:c r="L595" s="17"/>
      <x:c r="M595" s="17"/>
      <x:c r="N595" s="17"/>
      <x:c r="O595" s="17"/>
      <x:c r="P595" s="17"/>
      <x:c r="Q595" s="17"/>
      <x:c r="R595" s="17"/>
      <x:c r="S595" s="17"/>
      <x:c r="T595" s="17"/>
      <x:c r="U595" s="17"/>
      <x:c r="V595" s="17"/>
      <x:c r="W595" s="17"/>
      <x:c r="X595" s="17"/>
      <x:c r="Y595" s="17"/>
      <x:c r="Z595" s="17"/>
    </x:row>
    <x:row r="596">
      <x:c r="A596" s="17"/>
      <x:c r="B596" s="17"/>
      <x:c r="C596" s="17"/>
      <x:c r="D596" s="17"/>
      <x:c r="E596" s="17"/>
      <x:c r="F596" s="17"/>
      <x:c r="G596" s="17"/>
      <x:c r="H596" s="17"/>
      <x:c r="I596" s="17"/>
      <x:c r="J596" s="17"/>
      <x:c r="K596" s="17"/>
      <x:c r="L596" s="17"/>
      <x:c r="M596" s="17"/>
      <x:c r="N596" s="17"/>
      <x:c r="O596" s="17"/>
      <x:c r="P596" s="17"/>
      <x:c r="Q596" s="17"/>
      <x:c r="R596" s="17"/>
      <x:c r="S596" s="17"/>
      <x:c r="T596" s="17"/>
      <x:c r="U596" s="17"/>
      <x:c r="V596" s="17"/>
      <x:c r="W596" s="17"/>
      <x:c r="X596" s="17"/>
      <x:c r="Y596" s="17"/>
      <x:c r="Z596" s="17"/>
    </x:row>
    <x:row r="597">
      <x:c r="A597" s="17"/>
      <x:c r="B597" s="17"/>
      <x:c r="C597" s="17"/>
      <x:c r="D597" s="17"/>
      <x:c r="E597" s="17"/>
      <x:c r="F597" s="17"/>
      <x:c r="G597" s="17"/>
      <x:c r="H597" s="17"/>
      <x:c r="I597" s="17"/>
      <x:c r="J597" s="17"/>
      <x:c r="K597" s="17"/>
      <x:c r="L597" s="17"/>
      <x:c r="M597" s="17"/>
      <x:c r="N597" s="17"/>
      <x:c r="O597" s="17"/>
      <x:c r="P597" s="17"/>
      <x:c r="Q597" s="17"/>
      <x:c r="R597" s="17"/>
      <x:c r="S597" s="17"/>
      <x:c r="T597" s="17"/>
      <x:c r="U597" s="17"/>
      <x:c r="V597" s="17"/>
      <x:c r="W597" s="17"/>
      <x:c r="X597" s="17"/>
      <x:c r="Y597" s="17"/>
      <x:c r="Z597" s="17"/>
    </x:row>
    <x:row r="598">
      <x:c r="A598" s="17"/>
      <x:c r="B598" s="17"/>
      <x:c r="C598" s="17"/>
      <x:c r="D598" s="17"/>
      <x:c r="E598" s="17"/>
      <x:c r="F598" s="17"/>
      <x:c r="G598" s="17"/>
      <x:c r="H598" s="17"/>
      <x:c r="I598" s="17"/>
      <x:c r="J598" s="17"/>
      <x:c r="K598" s="17"/>
      <x:c r="L598" s="17"/>
      <x:c r="M598" s="17"/>
      <x:c r="N598" s="17"/>
      <x:c r="O598" s="17"/>
      <x:c r="P598" s="17"/>
      <x:c r="Q598" s="17"/>
      <x:c r="R598" s="17"/>
      <x:c r="S598" s="17"/>
      <x:c r="T598" s="17"/>
      <x:c r="U598" s="17"/>
      <x:c r="V598" s="17"/>
      <x:c r="W598" s="17"/>
      <x:c r="X598" s="17"/>
      <x:c r="Y598" s="17"/>
      <x:c r="Z598" s="17"/>
    </x:row>
    <x:row r="599">
      <x:c r="A599" s="17"/>
      <x:c r="B599" s="17"/>
      <x:c r="C599" s="17"/>
      <x:c r="D599" s="17"/>
      <x:c r="E599" s="17"/>
      <x:c r="F599" s="17"/>
      <x:c r="G599" s="17"/>
      <x:c r="H599" s="17"/>
      <x:c r="I599" s="17"/>
      <x:c r="J599" s="17"/>
      <x:c r="K599" s="17"/>
      <x:c r="L599" s="17"/>
      <x:c r="M599" s="17"/>
      <x:c r="N599" s="17"/>
      <x:c r="O599" s="17"/>
      <x:c r="P599" s="17"/>
      <x:c r="Q599" s="17"/>
      <x:c r="R599" s="17"/>
      <x:c r="S599" s="17"/>
      <x:c r="T599" s="17"/>
      <x:c r="U599" s="17"/>
      <x:c r="V599" s="17"/>
      <x:c r="W599" s="17"/>
      <x:c r="X599" s="17"/>
      <x:c r="Y599" s="17"/>
      <x:c r="Z599" s="17"/>
    </x:row>
    <x:row r="600">
      <x:c r="A600" s="17"/>
      <x:c r="B600" s="17"/>
      <x:c r="C600" s="17"/>
      <x:c r="D600" s="17"/>
      <x:c r="E600" s="17"/>
      <x:c r="F600" s="17"/>
      <x:c r="G600" s="17"/>
      <x:c r="H600" s="17"/>
      <x:c r="I600" s="17"/>
      <x:c r="J600" s="17"/>
      <x:c r="K600" s="17"/>
      <x:c r="L600" s="17"/>
      <x:c r="M600" s="17"/>
      <x:c r="N600" s="17"/>
      <x:c r="O600" s="17"/>
      <x:c r="P600" s="17"/>
      <x:c r="Q600" s="17"/>
      <x:c r="R600" s="17"/>
      <x:c r="S600" s="17"/>
      <x:c r="T600" s="17"/>
      <x:c r="U600" s="17"/>
      <x:c r="V600" s="17"/>
      <x:c r="W600" s="17"/>
      <x:c r="X600" s="17"/>
      <x:c r="Y600" s="17"/>
      <x:c r="Z600" s="17"/>
    </x:row>
  </x:sheetData>
  <x:pageMargins left="0.7" right="0.7" top="0.75" bottom="0.75" header="0.3" footer="0.3"/>
  <x:tableParts count="1">
    <x:tablePart xmlns:r="http://schemas.openxmlformats.org/officeDocument/2006/relationships" r:id="Rc62c5ab87f76423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6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9" max="9" width="6" hidden="0" customWidth="1"/>
    <x:col min="10" max="10" width="28" hidden="0" customWidth="1"/>
    <x:col min="11" max="11" width="14" hidden="0" customWidth="1"/>
    <x:col min="12" max="12" width="18" hidden="0" customWidth="1"/>
    <x:col min="13" max="13" width="14" hidden="0" customWidth="1"/>
    <x:col min="14" max="14" width="18" hidden="0" customWidth="1"/>
  </x:cols>
  <x:sheetData>
    <x:row r="1">
      <x:c r="A1" s="24" t="str">
        <x:v>Stage</x:v>
      </x:c>
      <x:c r="B1" s="24" t="str">
        <x:v>Upgrade Steps</x:v>
      </x:c>
      <x:c r="C1" s="24" t="str">
        <x:v>Cost Multiplier</x:v>
      </x:c>
      <x:c r="D1" s="24" t="str">
        <x:v>Production Multiplier</x:v>
      </x:c>
      <x:c r="E1" s="24" t="str">
        <x:v>Capacity Multiplier</x:v>
      </x:c>
      <x:c r="F1" s="24" t="str">
        <x:v>Operating Cost %</x:v>
      </x:c>
      <x:c r="G1" s="24" t="str">
        <x:v>Activity Multiplier</x:v>
      </x:c>
      <x:c r="H1" s="17"/>
      <x:c r="I1" s="24" t="str">
        <x:v>ID</x:v>
      </x:c>
      <x:c r="J1" s="24" t="str">
        <x:v>Building</x:v>
      </x:c>
      <x:c r="K1" s="24" t="str">
        <x:v>Base Cost</x:v>
      </x:c>
      <x:c r="L1" s="24" t="str">
        <x:v>Base Gross Cash/h</x:v>
      </x:c>
      <x:c r="M1" s="24" t="str">
        <x:v>Base Capacity</x:v>
      </x:c>
      <x:c r="N1" s="24" t="str">
        <x:v>Base Activity Pts/h</x:v>
      </x:c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</x:row>
    <x:row r="2">
      <x:c r="A2" s="17" t="str">
        <x:v>Humble</x:v>
      </x:c>
      <x:c r="B2" s="17" t="n">
        <x:v>5</x:v>
      </x:c>
      <x:c r="C2" s="43" t="n">
        <x:v>1.55</x:v>
      </x:c>
      <x:c r="D2" s="43" t="n">
        <x:v>1.34</x:v>
      </x:c>
      <x:c r="E2" s="43" t="n">
        <x:v>1.32</x:v>
      </x:c>
      <x:c r="F2" s="39" t="n">
        <x:v>0.12</x:v>
      </x:c>
      <x:c r="G2" s="43" t="n">
        <x:v>1</x:v>
      </x:c>
      <x:c r="H2" s="17"/>
      <x:c r="I2" s="17" t="n">
        <x:v>1</x:v>
      </x:c>
      <x:c r="J2" s="17" t="str">
        <x:v>Cash Kiosk</x:v>
      </x:c>
      <x:c r="K2" s="17" t="n">
        <x:v>300</x:v>
      </x:c>
      <x:c r="L2" s="17" t="n">
        <x:v>35</x:v>
      </x:c>
      <x:c r="M2" s="17" t="n">
        <x:v>60</x:v>
      </x:c>
      <x:c r="N2" s="17" t="n">
        <x:v>6</x:v>
      </x:c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</x:row>
    <x:row r="3">
      <x:c r="A3" s="17" t="str">
        <x:v>Starter</x:v>
      </x:c>
      <x:c r="B3" s="17" t="n">
        <x:v>6</x:v>
      </x:c>
      <x:c r="C3" s="43" t="n">
        <x:v>1.58</x:v>
      </x:c>
      <x:c r="D3" s="43" t="n">
        <x:v>1.35</x:v>
      </x:c>
      <x:c r="E3" s="43" t="n">
        <x:v>1.33</x:v>
      </x:c>
      <x:c r="F3" s="39" t="n">
        <x:v>0.13</x:v>
      </x:c>
      <x:c r="G3" s="43" t="n">
        <x:v>1.05</x:v>
      </x:c>
      <x:c r="H3" s="17"/>
      <x:c r="I3" s="17" t="n">
        <x:v>2</x:v>
      </x:c>
      <x:c r="J3" s="17" t="str">
        <x:v>Trading Booth</x:v>
      </x:c>
      <x:c r="K3" s="17" t="n">
        <x:v>370</x:v>
      </x:c>
      <x:c r="L3" s="17" t="n">
        <x:v>50</x:v>
      </x:c>
      <x:c r="M3" s="17" t="n">
        <x:v>71</x:v>
      </x:c>
      <x:c r="N3" s="17" t="n">
        <x:v>10</x:v>
      </x:c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  <x:c r="Z3" s="17"/>
    </x:row>
    <x:row r="4">
      <x:c r="A4" s="17" t="str">
        <x:v>Growing</x:v>
      </x:c>
      <x:c r="B4" s="17" t="n">
        <x:v>7</x:v>
      </x:c>
      <x:c r="C4" s="43" t="n">
        <x:v>1.6</x:v>
      </x:c>
      <x:c r="D4" s="43" t="n">
        <x:v>1.36</x:v>
      </x:c>
      <x:c r="E4" s="43" t="n">
        <x:v>1.34</x:v>
      </x:c>
      <x:c r="F4" s="39" t="n">
        <x:v>0.14</x:v>
      </x:c>
      <x:c r="G4" s="43" t="n">
        <x:v>1.1</x:v>
      </x:c>
      <x:c r="H4" s="17"/>
      <x:c r="I4" s="17" t="n">
        <x:v>3</x:v>
      </x:c>
      <x:c r="J4" s="17" t="str">
        <x:v>Savings Stand</x:v>
      </x:c>
      <x:c r="K4" s="17" t="n">
        <x:v>460</x:v>
      </x:c>
      <x:c r="L4" s="17" t="n">
        <x:v>53</x:v>
      </x:c>
      <x:c r="M4" s="17" t="n">
        <x:v>85</x:v>
      </x:c>
      <x:c r="N4" s="17" t="n">
        <x:v>10</x:v>
      </x:c>
      <x:c r="O4" s="17"/>
      <x:c r="P4" s="17"/>
      <x:c r="Q4" s="17"/>
      <x:c r="R4" s="17"/>
      <x:c r="S4" s="17"/>
      <x:c r="T4" s="17"/>
      <x:c r="U4" s="17"/>
      <x:c r="V4" s="17"/>
      <x:c r="W4" s="17"/>
      <x:c r="X4" s="17"/>
      <x:c r="Y4" s="17"/>
      <x:c r="Z4" s="17"/>
    </x:row>
    <x:row r="5">
      <x:c r="A5" s="17" t="str">
        <x:v>Established</x:v>
      </x:c>
      <x:c r="B5" s="17" t="n">
        <x:v>8</x:v>
      </x:c>
      <x:c r="C5" s="43" t="n">
        <x:v>1.62</x:v>
      </x:c>
      <x:c r="D5" s="43" t="n">
        <x:v>1.37</x:v>
      </x:c>
      <x:c r="E5" s="43" t="n">
        <x:v>1.35</x:v>
      </x:c>
      <x:c r="F5" s="39" t="n">
        <x:v>0.15</x:v>
      </x:c>
      <x:c r="G5" s="43" t="n">
        <x:v>1.15</x:v>
      </x:c>
      <x:c r="H5" s="17"/>
      <x:c r="I5" s="17" t="n">
        <x:v>4</x:v>
      </x:c>
      <x:c r="J5" s="17" t="str">
        <x:v>Mini Brokerage Desk</x:v>
      </x:c>
      <x:c r="K5" s="17" t="n">
        <x:v>560</x:v>
      </x:c>
      <x:c r="L5" s="17" t="n">
        <x:v>67</x:v>
      </x:c>
      <x:c r="M5" s="17" t="n">
        <x:v>101</x:v>
      </x:c>
      <x:c r="N5" s="17" t="n">
        <x:v>14</x:v>
      </x:c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</x:row>
    <x:row r="6">
      <x:c r="A6" s="17" t="str">
        <x:v>Elite</x:v>
      </x:c>
      <x:c r="B6" s="17" t="n">
        <x:v>9</x:v>
      </x:c>
      <x:c r="C6" s="43" t="n">
        <x:v>1.64</x:v>
      </x:c>
      <x:c r="D6" s="43" t="n">
        <x:v>1.38</x:v>
      </x:c>
      <x:c r="E6" s="43" t="n">
        <x:v>1.36</x:v>
      </x:c>
      <x:c r="F6" s="39" t="n">
        <x:v>0.16</x:v>
      </x:c>
      <x:c r="G6" s="43" t="n">
        <x:v>1.2</x:v>
      </x:c>
      <x:c r="H6" s="17"/>
      <x:c r="I6" s="17" t="n">
        <x:v>5</x:v>
      </x:c>
      <x:c r="J6" s="17" t="str">
        <x:v>Market Info Kiosk</x:v>
      </x:c>
      <x:c r="K6" s="17" t="n">
        <x:v>700</x:v>
      </x:c>
      <x:c r="L6" s="17" t="n">
        <x:v>55</x:v>
      </x:c>
      <x:c r="M6" s="17" t="n">
        <x:v>120</x:v>
      </x:c>
      <x:c r="N6" s="17" t="n">
        <x:v>12</x:v>
      </x:c>
      <x:c r="O6" s="17"/>
      <x:c r="P6" s="17"/>
      <x:c r="Q6" s="17"/>
      <x:c r="R6" s="17"/>
      <x:c r="S6" s="17"/>
      <x:c r="T6" s="17"/>
      <x:c r="U6" s="17"/>
      <x:c r="V6" s="17"/>
      <x:c r="W6" s="17"/>
      <x:c r="X6" s="17"/>
      <x:c r="Y6" s="17"/>
      <x:c r="Z6" s="17"/>
    </x:row>
    <x:row r="7">
      <x:c r="A7" s="17" t="str">
        <x:v>Tycoon</x:v>
      </x:c>
      <x:c r="B7" s="17" t="n">
        <x:v>10</x:v>
      </x:c>
      <x:c r="C7" s="43" t="n">
        <x:v>1.66</x:v>
      </x:c>
      <x:c r="D7" s="43" t="n">
        <x:v>1.39</x:v>
      </x:c>
      <x:c r="E7" s="43" t="n">
        <x:v>1.37</x:v>
      </x:c>
      <x:c r="F7" s="39" t="n">
        <x:v>0.17</x:v>
      </x:c>
      <x:c r="G7" s="43" t="n">
        <x:v>1.25</x:v>
      </x:c>
      <x:c r="H7" s="17"/>
      <x:c r="I7" s="17" t="n">
        <x:v>6</x:v>
      </x:c>
      <x:c r="J7" s="17" t="str">
        <x:v>Micro Loan Booth</x:v>
      </x:c>
      <x:c r="K7" s="17" t="n">
        <x:v>860</x:v>
      </x:c>
      <x:c r="L7" s="17" t="n">
        <x:v>94</x:v>
      </x:c>
      <x:c r="M7" s="17" t="n">
        <x:v>143</x:v>
      </x:c>
      <x:c r="N7" s="17" t="n">
        <x:v>17</x:v>
      </x:c>
      <x:c r="O7" s="17"/>
      <x:c r="P7" s="17"/>
      <x:c r="Q7" s="17"/>
      <x:c r="R7" s="17"/>
      <x:c r="S7" s="17"/>
      <x:c r="T7" s="17"/>
      <x:c r="U7" s="17"/>
      <x:c r="V7" s="17"/>
      <x:c r="W7" s="17"/>
      <x:c r="X7" s="17"/>
      <x:c r="Y7" s="17"/>
      <x:c r="Z7" s="17"/>
    </x:row>
    <x:row r="8">
      <x:c r="A8" s="17"/>
      <x:c r="B8" s="17"/>
      <x:c r="C8" s="17"/>
      <x:c r="D8" s="17"/>
      <x:c r="E8" s="17"/>
      <x:c r="F8" s="17"/>
      <x:c r="G8" s="17"/>
      <x:c r="H8" s="17"/>
      <x:c r="I8" s="17" t="n">
        <x:v>7</x:v>
      </x:c>
      <x:c r="J8" s="17" t="str">
        <x:v>Currency Exchange Stand</x:v>
      </x:c>
      <x:c r="K8" s="17" t="n">
        <x:v>1060</x:v>
      </x:c>
      <x:c r="L8" s="17" t="n">
        <x:v>114</x:v>
      </x:c>
      <x:c r="M8" s="17" t="n">
        <x:v>170</x:v>
      </x:c>
      <x:c r="N8" s="17" t="n">
        <x:v>22</x:v>
      </x:c>
      <x:c r="O8" s="17"/>
      <x:c r="P8" s="17"/>
      <x:c r="Q8" s="17"/>
      <x:c r="R8" s="17"/>
      <x:c r="S8" s="17"/>
      <x:c r="T8" s="17"/>
      <x:c r="U8" s="17"/>
      <x:c r="V8" s="17"/>
      <x:c r="W8" s="17"/>
      <x:c r="X8" s="17"/>
      <x:c r="Y8" s="17"/>
      <x:c r="Z8" s="17"/>
    </x:row>
    <x:row r="9">
      <x:c r="A9" s="17"/>
      <x:c r="B9" s="17"/>
      <x:c r="C9" s="17"/>
      <x:c r="D9" s="17"/>
      <x:c r="E9" s="17"/>
      <x:c r="F9" s="17"/>
      <x:c r="G9" s="17"/>
      <x:c r="H9" s="17"/>
      <x:c r="I9" s="17" t="n">
        <x:v>8</x:v>
      </x:c>
      <x:c r="J9" s="17" t="str">
        <x:v>Insurance Desk</x:v>
      </x:c>
      <x:c r="K9" s="17" t="n">
        <x:v>1320</x:v>
      </x:c>
      <x:c r="L9" s="17" t="n">
        <x:v>119</x:v>
      </x:c>
      <x:c r="M9" s="17" t="n">
        <x:v>203</x:v>
      </x:c>
      <x:c r="N9" s="17" t="n">
        <x:v>21</x:v>
      </x:c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</x:row>
    <x:row r="10">
      <x:c r="A10" s="17"/>
      <x:c r="B10" s="17"/>
      <x:c r="C10" s="17"/>
      <x:c r="D10" s="17"/>
      <x:c r="E10" s="17"/>
      <x:c r="F10" s="17"/>
      <x:c r="G10" s="17"/>
      <x:c r="H10" s="17"/>
      <x:c r="I10" s="17" t="n">
        <x:v>9</x:v>
      </x:c>
      <x:c r="J10" s="17" t="str">
        <x:v>Investment Advice Booth</x:v>
      </x:c>
      <x:c r="K10" s="17" t="n">
        <x:v>1620</x:v>
      </x:c>
      <x:c r="L10" s="17" t="n">
        <x:v>139</x:v>
      </x:c>
      <x:c r="M10" s="17" t="n">
        <x:v>241</x:v>
      </x:c>
      <x:c r="N10" s="17" t="n">
        <x:v>26</x:v>
      </x:c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</x:row>
    <x:row r="11">
      <x:c r="A11" s="17"/>
      <x:c r="B11" s="17"/>
      <x:c r="C11" s="17"/>
      <x:c r="D11" s="17"/>
      <x:c r="E11" s="17"/>
      <x:c r="F11" s="17"/>
      <x:c r="G11" s="17"/>
      <x:c r="H11" s="17"/>
      <x:c r="I11" s="17" t="n">
        <x:v>10</x:v>
      </x:c>
      <x:c r="J11" s="17" t="str">
        <x:v>Secure Cash Locker</x:v>
      </x:c>
      <x:c r="K11" s="17" t="n">
        <x:v>2000</x:v>
      </x:c>
      <x:c r="L11" s="17" t="n">
        <x:v>142</x:v>
      </x:c>
      <x:c r="M11" s="17" t="n">
        <x:v>287</x:v>
      </x:c>
      <x:c r="N11" s="17" t="n">
        <x:v>26</x:v>
      </x:c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</x:row>
    <x:row r="12">
      <x:c r="A12" s="17"/>
      <x:c r="B12" s="17"/>
      <x:c r="C12" s="17"/>
      <x:c r="D12" s="17"/>
      <x:c r="E12" s="17"/>
      <x:c r="F12" s="17"/>
      <x:c r="G12" s="17"/>
      <x:c r="H12" s="17"/>
      <x:c r="I12" s="17" t="n">
        <x:v>11</x:v>
      </x:c>
      <x:c r="J12" s="17" t="str">
        <x:v>Neighborhood Finance Shop</x:v>
      </x:c>
      <x:c r="K12" s="17" t="n">
        <x:v>2480</x:v>
      </x:c>
      <x:c r="L12" s="17" t="n">
        <x:v>228</x:v>
      </x:c>
      <x:c r="M12" s="17" t="n">
        <x:v>342</x:v>
      </x:c>
      <x:c r="N12" s="17" t="n">
        <x:v>41</x:v>
      </x:c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</x:row>
    <x:row r="13">
      <x:c r="A13" s="17"/>
      <x:c r="B13" s="17"/>
      <x:c r="C13" s="17"/>
      <x:c r="D13" s="17"/>
      <x:c r="E13" s="17"/>
      <x:c r="F13" s="17"/>
      <x:c r="G13" s="17"/>
      <x:c r="H13" s="17"/>
      <x:c r="I13" s="17" t="n">
        <x:v>12</x:v>
      </x:c>
      <x:c r="J13" s="17" t="str">
        <x:v>Small Brokerage Office</x:v>
      </x:c>
      <x:c r="K13" s="17" t="n">
        <x:v>3060</x:v>
      </x:c>
      <x:c r="L13" s="17" t="n">
        <x:v>288</x:v>
      </x:c>
      <x:c r="M13" s="17" t="n">
        <x:v>407</x:v>
      </x:c>
      <x:c r="N13" s="17" t="n">
        <x:v>56</x:v>
      </x:c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</x:row>
    <x:row r="14">
      <x:c r="A14" s="17"/>
      <x:c r="B14" s="17"/>
      <x:c r="C14" s="17"/>
      <x:c r="D14" s="17"/>
      <x:c r="E14" s="17"/>
      <x:c r="F14" s="17"/>
      <x:c r="G14" s="17"/>
      <x:c r="H14" s="17"/>
      <x:c r="I14" s="17" t="n">
        <x:v>13</x:v>
      </x:c>
      <x:c r="J14" s="17" t="str">
        <x:v>Local Savings Office</x:v>
      </x:c>
      <x:c r="K14" s="17" t="n">
        <x:v>3780</x:v>
      </x:c>
      <x:c r="L14" s="17" t="n">
        <x:v>330</x:v>
      </x:c>
      <x:c r="M14" s="17" t="n">
        <x:v>484</x:v>
      </x:c>
      <x:c r="N14" s="17" t="n">
        <x:v>58</x:v>
      </x:c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 t="n">
        <x:v>14</x:v>
      </x:c>
      <x:c r="J15" s="17" t="str">
        <x:v>Microfinance Office</x:v>
      </x:c>
      <x:c r="K15" s="17" t="n">
        <x:v>4660</x:v>
      </x:c>
      <x:c r="L15" s="17" t="n">
        <x:v>410</x:v>
      </x:c>
      <x:c r="M15" s="17" t="n">
        <x:v>576</x:v>
      </x:c>
      <x:c r="N15" s="17" t="n">
        <x:v>69</x:v>
      </x:c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 t="n">
        <x:v>15</x:v>
      </x:c>
      <x:c r="J16" s="17" t="str">
        <x:v>Trading Room</x:v>
      </x:c>
      <x:c r="K16" s="17" t="n">
        <x:v>5760</x:v>
      </x:c>
      <x:c r="L16" s="17" t="n">
        <x:v>528</x:v>
      </x:c>
      <x:c r="M16" s="17" t="n">
        <x:v>685</x:v>
      </x:c>
      <x:c r="N16" s="17" t="n">
        <x:v>99</x:v>
      </x:c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 t="n">
        <x:v>16</x:v>
      </x:c>
      <x:c r="J17" s="17" t="str">
        <x:v>Small Research Office</x:v>
      </x:c>
      <x:c r="K17" s="17" t="n">
        <x:v>7110</x:v>
      </x:c>
      <x:c r="L17" s="17" t="n">
        <x:v>417</x:v>
      </x:c>
      <x:c r="M17" s="17" t="n">
        <x:v>815</x:v>
      </x:c>
      <x:c r="N17" s="17" t="n">
        <x:v>78</x:v>
      </x:c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 t="n">
        <x:v>17</x:v>
      </x:c>
      <x:c r="J18" s="17" t="str">
        <x:v>Local Insurance Office</x:v>
      </x:c>
      <x:c r="K18" s="17" t="n">
        <x:v>8790</x:v>
      </x:c>
      <x:c r="L18" s="17" t="n">
        <x:v>629</x:v>
      </x:c>
      <x:c r="M18" s="17" t="n">
        <x:v>970</x:v>
      </x:c>
      <x:c r="N18" s="17" t="n">
        <x:v>99</x:v>
      </x:c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 t="n">
        <x:v>18</x:v>
      </x:c>
      <x:c r="J19" s="17" t="str">
        <x:v>Treasury Office</x:v>
      </x:c>
      <x:c r="K19" s="17" t="n">
        <x:v>10850</x:v>
      </x:c>
      <x:c r="L19" s="17" t="n">
        <x:v>633</x:v>
      </x:c>
      <x:c r="M19" s="17" t="n">
        <x:v>1155</x:v>
      </x:c>
      <x:c r="N19" s="17" t="n">
        <x:v>104</x:v>
      </x:c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 t="n">
        <x:v>19</x:v>
      </x:c>
      <x:c r="J20" s="17" t="str">
        <x:v>Small Fund Office</x:v>
      </x:c>
      <x:c r="K20" s="17" t="n">
        <x:v>13400</x:v>
      </x:c>
      <x:c r="L20" s="17" t="n">
        <x:v>1081</x:v>
      </x:c>
      <x:c r="M20" s="17" t="n">
        <x:v>1374</x:v>
      </x:c>
      <x:c r="N20" s="17" t="n">
        <x:v>173</x:v>
      </x:c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 t="n">
        <x:v>20</x:v>
      </x:c>
      <x:c r="J21" s="17" t="str">
        <x:v>Financial Services Hub</x:v>
      </x:c>
      <x:c r="K21" s="17" t="n">
        <x:v>16550</x:v>
      </x:c>
      <x:c r="L21" s="17" t="n">
        <x:v>1331</x:v>
      </x:c>
      <x:c r="M21" s="17" t="n">
        <x:v>1635</x:v>
      </x:c>
      <x:c r="N21" s="17" t="n">
        <x:v>216</x:v>
      </x:c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 t="n">
        <x:v>21</x:v>
      </x:c>
      <x:c r="J22" s="17" t="str">
        <x:v>Community Bank Branch</x:v>
      </x:c>
      <x:c r="K22" s="17" t="n">
        <x:v>20440</x:v>
      </x:c>
      <x:c r="L22" s="17" t="n">
        <x:v>1490</x:v>
      </x:c>
      <x:c r="M22" s="17" t="n">
        <x:v>1946</x:v>
      </x:c>
      <x:c r="N22" s="17" t="n">
        <x:v>234</x:v>
      </x:c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 t="n">
        <x:v>22</x:v>
      </x:c>
      <x:c r="J23" s="17" t="str">
        <x:v>Brokerage House</x:v>
      </x:c>
      <x:c r="K23" s="17" t="n">
        <x:v>25240</x:v>
      </x:c>
      <x:c r="L23" s="17" t="n">
        <x:v>1893</x:v>
      </x:c>
      <x:c r="M23" s="17" t="n">
        <x:v>2315</x:v>
      </x:c>
      <x:c r="N23" s="17" t="n">
        <x:v>319</x:v>
      </x:c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 t="n">
        <x:v>23</x:v>
      </x:c>
      <x:c r="J24" s="17" t="str">
        <x:v>Investment Advisory Firm</x:v>
      </x:c>
      <x:c r="K24" s="17" t="n">
        <x:v>31170</x:v>
      </x:c>
      <x:c r="L24" s="17" t="n">
        <x:v>1920</x:v>
      </x:c>
      <x:c r="M24" s="17" t="n">
        <x:v>2755</x:v>
      </x:c>
      <x:c r="N24" s="17" t="n">
        <x:v>298</x:v>
      </x:c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 t="n">
        <x:v>24</x:v>
      </x:c>
      <x:c r="J25" s="17" t="str">
        <x:v>Asset Management Office</x:v>
      </x:c>
      <x:c r="K25" s="17" t="n">
        <x:v>38500</x:v>
      </x:c>
      <x:c r="L25" s="17" t="n">
        <x:v>2801</x:v>
      </x:c>
      <x:c r="M25" s="17" t="n">
        <x:v>3279</x:v>
      </x:c>
      <x:c r="N25" s="17" t="n">
        <x:v>413</x:v>
      </x:c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 t="n">
        <x:v>25</x:v>
      </x:c>
      <x:c r="J26" s="17" t="str">
        <x:v>Market Research Center</x:v>
      </x:c>
      <x:c r="K26" s="17" t="n">
        <x:v>47550</x:v>
      </x:c>
      <x:c r="L26" s="17" t="n">
        <x:v>2304</x:v>
      </x:c>
      <x:c r="M26" s="17" t="n">
        <x:v>3902</x:v>
      </x:c>
      <x:c r="N26" s="17" t="n">
        <x:v>375</x:v>
      </x:c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 t="n">
        <x:v>26</x:v>
      </x:c>
      <x:c r="J27" s="17" t="str">
        <x:v>Lending Center</x:v>
      </x:c>
      <x:c r="K27" s="17" t="n">
        <x:v>58720</x:v>
      </x:c>
      <x:c r="L27" s="17" t="n">
        <x:v>3994</x:v>
      </x:c>
      <x:c r="M27" s="17" t="n">
        <x:v>4643</x:v>
      </x:c>
      <x:c r="N27" s="17" t="n">
        <x:v>557</x:v>
      </x:c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 t="n">
        <x:v>27</x:v>
      </x:c>
      <x:c r="J28" s="17" t="str">
        <x:v>Wealth Management Office</x:v>
      </x:c>
      <x:c r="K28" s="17" t="n">
        <x:v>72520</x:v>
      </x:c>
      <x:c r="L28" s="17" t="n">
        <x:v>4794</x:v>
      </x:c>
      <x:c r="M28" s="17" t="n">
        <x:v>5526</x:v>
      </x:c>
      <x:c r="N28" s="17" t="n">
        <x:v>630</x:v>
      </x:c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 t="n">
        <x:v>28</x:v>
      </x:c>
      <x:c r="J29" s="17" t="str">
        <x:v>Digital Finance Hub</x:v>
      </x:c>
      <x:c r="K29" s="17" t="n">
        <x:v>89560</x:v>
      </x:c>
      <x:c r="L29" s="17" t="n">
        <x:v>5585</x:v>
      </x:c>
      <x:c r="M29" s="17" t="n">
        <x:v>6575</x:v>
      </x:c>
      <x:c r="N29" s="17" t="n">
        <x:v>907</x:v>
      </x:c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 t="n">
        <x:v>29</x:v>
      </x:c>
      <x:c r="J30" s="17" t="str">
        <x:v>Trading House</x:v>
      </x:c>
      <x:c r="K30" s="17" t="n">
        <x:v>110610</x:v>
      </x:c>
      <x:c r="L30" s="17" t="n">
        <x:v>7604</x:v>
      </x:c>
      <x:c r="M30" s="17" t="n">
        <x:v>7825</x:v>
      </x:c>
      <x:c r="N30" s="17" t="n">
        <x:v>1127</x:v>
      </x:c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 t="n">
        <x:v>30</x:v>
      </x:c>
      <x:c r="J31" s="17" t="str">
        <x:v>Private Vault Facility</x:v>
      </x:c>
      <x:c r="K31" s="17" t="n">
        <x:v>136600</x:v>
      </x:c>
      <x:c r="L31" s="17" t="n">
        <x:v>6291</x:v>
      </x:c>
      <x:c r="M31" s="17" t="n">
        <x:v>9311</x:v>
      </x:c>
      <x:c r="N31" s="17" t="n">
        <x:v>838</x:v>
      </x:c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 t="n">
        <x:v>31</x:v>
      </x:c>
      <x:c r="J32" s="17" t="str">
        <x:v>Regional Bank</x:v>
      </x:c>
      <x:c r="K32" s="17" t="n">
        <x:v>168710</x:v>
      </x:c>
      <x:c r="L32" s="17" t="n">
        <x:v>10181</x:v>
      </x:c>
      <x:c r="M32" s="17" t="n">
        <x:v>11081</x:v>
      </x:c>
      <x:c r="N32" s="17" t="n">
        <x:v>1330</x:v>
      </x:c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 t="n">
        <x:v>32</x:v>
      </x:c>
      <x:c r="J33" s="17" t="str">
        <x:v>Stock Brokerage Center</x:v>
      </x:c>
      <x:c r="K33" s="17" t="n">
        <x:v>208350</x:v>
      </x:c>
      <x:c r="L33" s="17" t="n">
        <x:v>12978</x:v>
      </x:c>
      <x:c r="M33" s="17" t="n">
        <x:v>13186</x:v>
      </x:c>
      <x:c r="N33" s="17" t="n">
        <x:v>1820</x:v>
      </x:c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 t="n">
        <x:v>33</x:v>
      </x:c>
      <x:c r="J34" s="17" t="str">
        <x:v>Investment Fund HQ</x:v>
      </x:c>
      <x:c r="K34" s="17" t="n">
        <x:v>257310</x:v>
      </x:c>
      <x:c r="L34" s="17" t="n">
        <x:v>15911</x:v>
      </x:c>
      <x:c r="M34" s="17" t="n">
        <x:v>15691</x:v>
      </x:c>
      <x:c r="N34" s="17" t="n">
        <x:v>1977</x:v>
      </x:c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 t="n">
        <x:v>34</x:v>
      </x:c>
      <x:c r="J35" s="17" t="str">
        <x:v>Insurance Company HQ</x:v>
      </x:c>
      <x:c r="K35" s="17" t="n">
        <x:v>317780</x:v>
      </x:c>
      <x:c r="L35" s="17" t="n">
        <x:v>16410</x:v>
      </x:c>
      <x:c r="M35" s="17" t="n">
        <x:v>18672</x:v>
      </x:c>
      <x:c r="N35" s="17" t="n">
        <x:v>1905</x:v>
      </x:c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 t="n">
        <x:v>35</x:v>
      </x:c>
      <x:c r="J36" s="17" t="str">
        <x:v>Financial Data Center</x:v>
      </x:c>
      <x:c r="K36" s="17" t="n">
        <x:v>392460</x:v>
      </x:c>
      <x:c r="L36" s="17" t="n">
        <x:v>17281</x:v>
      </x:c>
      <x:c r="M36" s="17" t="n">
        <x:v>22220</x:v>
      </x:c>
      <x:c r="N36" s="17" t="n">
        <x:v>2400</x:v>
      </x:c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 t="n">
        <x:v>36</x:v>
      </x:c>
      <x:c r="J37" s="17" t="str">
        <x:v>Market Maker Office</x:v>
      </x:c>
      <x:c r="K37" s="17" t="n">
        <x:v>484690</x:v>
      </x:c>
      <x:c r="L37" s="17" t="n">
        <x:v>29350</x:v>
      </x:c>
      <x:c r="M37" s="17" t="n">
        <x:v>26442</x:v>
      </x:c>
      <x:c r="N37" s="17" t="n">
        <x:v>3808</x:v>
      </x:c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 t="n">
        <x:v>37</x:v>
      </x:c>
      <x:c r="J38" s="17" t="str">
        <x:v>Private Banking Center</x:v>
      </x:c>
      <x:c r="K38" s="17" t="n">
        <x:v>598590</x:v>
      </x:c>
      <x:c r="L38" s="17" t="n">
        <x:v>34373</x:v>
      </x:c>
      <x:c r="M38" s="17" t="n">
        <x:v>31466</x:v>
      </x:c>
      <x:c r="N38" s="17" t="n">
        <x:v>3398</x:v>
      </x:c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 t="n">
        <x:v>38</x:v>
      </x:c>
      <x:c r="J39" s="17" t="str">
        <x:v>Corporate Treasury Center</x:v>
      </x:c>
      <x:c r="K39" s="17" t="n">
        <x:v>739260</x:v>
      </x:c>
      <x:c r="L39" s="17" t="n">
        <x:v>29854</x:v>
      </x:c>
      <x:c r="M39" s="17" t="n">
        <x:v>37445</x:v>
      </x:c>
      <x:c r="N39" s="17" t="n">
        <x:v>3370</x:v>
      </x:c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 t="n">
        <x:v>39</x:v>
      </x:c>
      <x:c r="J40" s="17" t="str">
        <x:v>Securities Exchange</x:v>
      </x:c>
      <x:c r="K40" s="17" t="n">
        <x:v>912990</x:v>
      </x:c>
      <x:c r="L40" s="17" t="n">
        <x:v>54226</x:v>
      </x:c>
      <x:c r="M40" s="17" t="n">
        <x:v>44559</x:v>
      </x:c>
      <x:c r="N40" s="17" t="n">
        <x:v>6684</x:v>
      </x:c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 t="n">
        <x:v>40</x:v>
      </x:c>
      <x:c r="J41" s="17" t="str">
        <x:v>Investment Bank</x:v>
      </x:c>
      <x:c r="K41" s="17" t="n">
        <x:v>1127540</x:v>
      </x:c>
      <x:c r="L41" s="17" t="n">
        <x:v>64791</x:v>
      </x:c>
      <x:c r="M41" s="17" t="n">
        <x:v>53025</x:v>
      </x:c>
      <x:c r="N41" s="17" t="n">
        <x:v>6363</x:v>
      </x:c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 t="n">
        <x:v>41</x:v>
      </x:c>
      <x:c r="J42" s="17" t="str">
        <x:v>Global Brokerage Tower</x:v>
      </x:c>
      <x:c r="K42" s="17" t="n">
        <x:v>1392510</x:v>
      </x:c>
      <x:c r="L42" s="17" t="n">
        <x:v>75258</x:v>
      </x:c>
      <x:c r="M42" s="17" t="n">
        <x:v>63100</x:v>
      </x:c>
      <x:c r="N42" s="17" t="n">
        <x:v>8708</x:v>
      </x:c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 t="n">
        <x:v>42</x:v>
      </x:c>
      <x:c r="J43" s="17" t="str">
        <x:v>Major Asset Manager</x:v>
      </x:c>
      <x:c r="K43" s="17" t="n">
        <x:v>1719760</x:v>
      </x:c>
      <x:c r="L43" s="17" t="n">
        <x:v>92468</x:v>
      </x:c>
      <x:c r="M43" s="17" t="n">
        <x:v>75089</x:v>
      </x:c>
      <x:c r="N43" s="17" t="n">
        <x:v>9461</x:v>
      </x:c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 t="n">
        <x:v>43</x:v>
      </x:c>
      <x:c r="J44" s="17" t="str">
        <x:v>Institutional Trading Center</x:v>
      </x:c>
      <x:c r="K44" s="17" t="n">
        <x:v>2123900</x:v>
      </x:c>
      <x:c r="L44" s="17" t="n">
        <x:v>116815</x:v>
      </x:c>
      <x:c r="M44" s="17" t="n">
        <x:v>89356</x:v>
      </x:c>
      <x:c r="N44" s="17" t="n">
        <x:v>12867</x:v>
      </x:c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 t="n">
        <x:v>44</x:v>
      </x:c>
      <x:c r="J45" s="17" t="str">
        <x:v>Global Wealth Center</x:v>
      </x:c>
      <x:c r="K45" s="17" t="n">
        <x:v>2623010</x:v>
      </x:c>
      <x:c r="L45" s="17" t="n">
        <x:v>131889</x:v>
      </x:c>
      <x:c r="M45" s="17" t="n">
        <x:v>106334</x:v>
      </x:c>
      <x:c r="N45" s="17" t="n">
        <x:v>12122</x:v>
      </x:c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 t="n">
        <x:v>45</x:v>
      </x:c>
      <x:c r="J46" s="17" t="str">
        <x:v>Financial Exchange Tower</x:v>
      </x:c>
      <x:c r="K46" s="17" t="n">
        <x:v>3239420</x:v>
      </x:c>
      <x:c r="L46" s="17" t="n">
        <x:v>176369</x:v>
      </x:c>
      <x:c r="M46" s="17" t="n">
        <x:v>126537</x:v>
      </x:c>
      <x:c r="N46" s="17" t="n">
        <x:v>18981</x:v>
      </x:c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 t="n">
        <x:v>46</x:v>
      </x:c>
      <x:c r="J47" s="17" t="str">
        <x:v>International Bank HQ</x:v>
      </x:c>
      <x:c r="K47" s="17" t="n">
        <x:v>4000680</x:v>
      </x:c>
      <x:c r="L47" s="17" t="n">
        <x:v>191814</x:v>
      </x:c>
      <x:c r="M47" s="17" t="n">
        <x:v>150579</x:v>
      </x:c>
      <x:c r="N47" s="17" t="n">
        <x:v>18069</x:v>
      </x:c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 t="n">
        <x:v>47</x:v>
      </x:c>
      <x:c r="J48" s="17" t="str">
        <x:v>Global Investment Bank</x:v>
      </x:c>
      <x:c r="K48" s="17" t="n">
        <x:v>4940850</x:v>
      </x:c>
      <x:c r="L48" s="17" t="n">
        <x:v>257058</x:v>
      </x:c>
      <x:c r="M48" s="17" t="n">
        <x:v>179189</x:v>
      </x:c>
      <x:c r="N48" s="17" t="n">
        <x:v>21503</x:v>
      </x:c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 t="n">
        <x:v>48</x:v>
      </x:c>
      <x:c r="J49" s="17" t="str">
        <x:v>Sovereign Fund Tower</x:v>
      </x:c>
      <x:c r="K49" s="17" t="n">
        <x:v>6101940</x:v>
      </x:c>
      <x:c r="L49" s="17" t="n">
        <x:v>301842</x:v>
      </x:c>
      <x:c r="M49" s="17" t="n">
        <x:v>213235</x:v>
      </x:c>
      <x:c r="N49" s="17" t="n">
        <x:v>26868</x:v>
      </x:c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 t="n">
        <x:v>49</x:v>
      </x:c>
      <x:c r="J50" s="17" t="str">
        <x:v>World Financial Exchange</x:v>
      </x:c>
      <x:c r="K50" s="17" t="n">
        <x:v>7535900</x:v>
      </x:c>
      <x:c r="L50" s="17" t="n">
        <x:v>388694</x:v>
      </x:c>
      <x:c r="M50" s="17" t="n">
        <x:v>253750</x:v>
      </x:c>
      <x:c r="N50" s="17" t="n">
        <x:v>38062</x:v>
      </x:c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 t="n">
        <x:v>50</x:v>
      </x:c>
      <x:c r="J51" s="17" t="str">
        <x:v>Financial Empire Headquarters</x:v>
      </x:c>
      <x:c r="K51" s="17" t="n">
        <x:v>9306840</x:v>
      </x:c>
      <x:c r="L51" s="17" t="n">
        <x:v>456881</x:v>
      </x:c>
      <x:c r="M51" s="17" t="n">
        <x:v>301962</x:v>
      </x:c>
      <x:c r="N51" s="17" t="n">
        <x:v>39859</x:v>
      </x:c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</x:row>
    <x:row r="20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  <x:c r="O201" s="17"/>
      <x:c r="P201" s="17"/>
      <x:c r="Q201" s="17"/>
      <x:c r="R201" s="17"/>
      <x:c r="S201" s="17"/>
      <x:c r="T201" s="17"/>
      <x:c r="U201" s="17"/>
      <x:c r="V201" s="17"/>
      <x:c r="W201" s="17"/>
      <x:c r="X201" s="17"/>
      <x:c r="Y201" s="17"/>
      <x:c r="Z201" s="17"/>
    </x:row>
    <x:row r="202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  <x:c r="O202" s="17"/>
      <x:c r="P202" s="17"/>
      <x:c r="Q202" s="17"/>
      <x:c r="R202" s="17"/>
      <x:c r="S202" s="17"/>
      <x:c r="T202" s="17"/>
      <x:c r="U202" s="17"/>
      <x:c r="V202" s="17"/>
      <x:c r="W202" s="17"/>
      <x:c r="X202" s="17"/>
      <x:c r="Y202" s="17"/>
      <x:c r="Z202" s="17"/>
    </x:row>
    <x:row r="203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  <x:c r="O203" s="17"/>
      <x:c r="P203" s="17"/>
      <x:c r="Q203" s="17"/>
      <x:c r="R203" s="17"/>
      <x:c r="S203" s="17"/>
      <x:c r="T203" s="17"/>
      <x:c r="U203" s="17"/>
      <x:c r="V203" s="17"/>
      <x:c r="W203" s="17"/>
      <x:c r="X203" s="17"/>
      <x:c r="Y203" s="17"/>
      <x:c r="Z203" s="17"/>
    </x:row>
    <x:row r="204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  <x:c r="O204" s="17"/>
      <x:c r="P204" s="17"/>
      <x:c r="Q204" s="17"/>
      <x:c r="R204" s="17"/>
      <x:c r="S204" s="17"/>
      <x:c r="T204" s="17"/>
      <x:c r="U204" s="17"/>
      <x:c r="V204" s="17"/>
      <x:c r="W204" s="17"/>
      <x:c r="X204" s="17"/>
      <x:c r="Y204" s="17"/>
      <x:c r="Z204" s="17"/>
    </x:row>
    <x:row r="205">
      <x:c r="A205" s="17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  <x:c r="O205" s="17"/>
      <x:c r="P205" s="17"/>
      <x:c r="Q205" s="17"/>
      <x:c r="R205" s="17"/>
      <x:c r="S205" s="17"/>
      <x:c r="T205" s="17"/>
      <x:c r="U205" s="17"/>
      <x:c r="V205" s="17"/>
      <x:c r="W205" s="17"/>
      <x:c r="X205" s="17"/>
      <x:c r="Y205" s="17"/>
      <x:c r="Z205" s="17"/>
    </x:row>
    <x:row r="206">
      <x:c r="A206" s="17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  <x:c r="O206" s="17"/>
      <x:c r="P206" s="17"/>
      <x:c r="Q206" s="17"/>
      <x:c r="R206" s="17"/>
      <x:c r="S206" s="17"/>
      <x:c r="T206" s="17"/>
      <x:c r="U206" s="17"/>
      <x:c r="V206" s="17"/>
      <x:c r="W206" s="17"/>
      <x:c r="X206" s="17"/>
      <x:c r="Y206" s="17"/>
      <x:c r="Z206" s="17"/>
    </x:row>
    <x:row r="207">
      <x:c r="A207" s="17"/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  <x:c r="O207" s="17"/>
      <x:c r="P207" s="17"/>
      <x:c r="Q207" s="17"/>
      <x:c r="R207" s="17"/>
      <x:c r="S207" s="17"/>
      <x:c r="T207" s="17"/>
      <x:c r="U207" s="17"/>
      <x:c r="V207" s="17"/>
      <x:c r="W207" s="17"/>
      <x:c r="X207" s="17"/>
      <x:c r="Y207" s="17"/>
      <x:c r="Z207" s="17"/>
    </x:row>
    <x:row r="208">
      <x:c r="A208" s="17"/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  <x:c r="O208" s="17"/>
      <x:c r="P208" s="17"/>
      <x:c r="Q208" s="17"/>
      <x:c r="R208" s="17"/>
      <x:c r="S208" s="17"/>
      <x:c r="T208" s="17"/>
      <x:c r="U208" s="17"/>
      <x:c r="V208" s="17"/>
      <x:c r="W208" s="17"/>
      <x:c r="X208" s="17"/>
      <x:c r="Y208" s="17"/>
      <x:c r="Z208" s="17"/>
    </x:row>
    <x:row r="209">
      <x:c r="A209" s="17"/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  <x:c r="O209" s="17"/>
      <x:c r="P209" s="17"/>
      <x:c r="Q209" s="17"/>
      <x:c r="R209" s="17"/>
      <x:c r="S209" s="17"/>
      <x:c r="T209" s="17"/>
      <x:c r="U209" s="17"/>
      <x:c r="V209" s="17"/>
      <x:c r="W209" s="17"/>
      <x:c r="X209" s="17"/>
      <x:c r="Y209" s="17"/>
      <x:c r="Z209" s="17"/>
    </x:row>
    <x:row r="210">
      <x:c r="A210" s="17"/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  <x:c r="O210" s="17"/>
      <x:c r="P210" s="17"/>
      <x:c r="Q210" s="17"/>
      <x:c r="R210" s="17"/>
      <x:c r="S210" s="17"/>
      <x:c r="T210" s="17"/>
      <x:c r="U210" s="17"/>
      <x:c r="V210" s="17"/>
      <x:c r="W210" s="17"/>
      <x:c r="X210" s="17"/>
      <x:c r="Y210" s="17"/>
      <x:c r="Z210" s="17"/>
    </x:row>
    <x:row r="211">
      <x:c r="A211" s="17"/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  <x:c r="O211" s="17"/>
      <x:c r="P211" s="17"/>
      <x:c r="Q211" s="17"/>
      <x:c r="R211" s="17"/>
      <x:c r="S211" s="17"/>
      <x:c r="T211" s="17"/>
      <x:c r="U211" s="17"/>
      <x:c r="V211" s="17"/>
      <x:c r="W211" s="17"/>
      <x:c r="X211" s="17"/>
      <x:c r="Y211" s="17"/>
      <x:c r="Z211" s="17"/>
    </x:row>
    <x:row r="212">
      <x:c r="A212" s="17"/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  <x:c r="O212" s="17"/>
      <x:c r="P212" s="17"/>
      <x:c r="Q212" s="17"/>
      <x:c r="R212" s="17"/>
      <x:c r="S212" s="17"/>
      <x:c r="T212" s="17"/>
      <x:c r="U212" s="17"/>
      <x:c r="V212" s="17"/>
      <x:c r="W212" s="17"/>
      <x:c r="X212" s="17"/>
      <x:c r="Y212" s="17"/>
      <x:c r="Z212" s="17"/>
    </x:row>
    <x:row r="213">
      <x:c r="A213" s="17"/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  <x:c r="O213" s="17"/>
      <x:c r="P213" s="17"/>
      <x:c r="Q213" s="17"/>
      <x:c r="R213" s="17"/>
      <x:c r="S213" s="17"/>
      <x:c r="T213" s="17"/>
      <x:c r="U213" s="17"/>
      <x:c r="V213" s="17"/>
      <x:c r="W213" s="17"/>
      <x:c r="X213" s="17"/>
      <x:c r="Y213" s="17"/>
      <x:c r="Z213" s="17"/>
    </x:row>
    <x:row r="214">
      <x:c r="A214" s="17"/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  <x:c r="O214" s="17"/>
      <x:c r="P214" s="17"/>
      <x:c r="Q214" s="17"/>
      <x:c r="R214" s="17"/>
      <x:c r="S214" s="17"/>
      <x:c r="T214" s="17"/>
      <x:c r="U214" s="17"/>
      <x:c r="V214" s="17"/>
      <x:c r="W214" s="17"/>
      <x:c r="X214" s="17"/>
      <x:c r="Y214" s="17"/>
      <x:c r="Z214" s="17"/>
    </x:row>
    <x:row r="215">
      <x:c r="A215" s="17"/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  <x:c r="O215" s="17"/>
      <x:c r="P215" s="17"/>
      <x:c r="Q215" s="17"/>
      <x:c r="R215" s="17"/>
      <x:c r="S215" s="17"/>
      <x:c r="T215" s="17"/>
      <x:c r="U215" s="17"/>
      <x:c r="V215" s="17"/>
      <x:c r="W215" s="17"/>
      <x:c r="X215" s="17"/>
      <x:c r="Y215" s="17"/>
      <x:c r="Z215" s="17"/>
    </x:row>
    <x:row r="216">
      <x:c r="A216" s="17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  <x:c r="O216" s="17"/>
      <x:c r="P216" s="17"/>
      <x:c r="Q216" s="17"/>
      <x:c r="R216" s="17"/>
      <x:c r="S216" s="17"/>
      <x:c r="T216" s="17"/>
      <x:c r="U216" s="17"/>
      <x:c r="V216" s="17"/>
      <x:c r="W216" s="17"/>
      <x:c r="X216" s="17"/>
      <x:c r="Y216" s="17"/>
      <x:c r="Z216" s="17"/>
    </x:row>
    <x:row r="217">
      <x:c r="A217" s="17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  <x:c r="O217" s="17"/>
      <x:c r="P217" s="17"/>
      <x:c r="Q217" s="17"/>
      <x:c r="R217" s="17"/>
      <x:c r="S217" s="17"/>
      <x:c r="T217" s="17"/>
      <x:c r="U217" s="17"/>
      <x:c r="V217" s="17"/>
      <x:c r="W217" s="17"/>
      <x:c r="X217" s="17"/>
      <x:c r="Y217" s="17"/>
      <x:c r="Z217" s="17"/>
    </x:row>
    <x:row r="218">
      <x:c r="A218" s="17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  <x:c r="O218" s="17"/>
      <x:c r="P218" s="17"/>
      <x:c r="Q218" s="17"/>
      <x:c r="R218" s="17"/>
      <x:c r="S218" s="17"/>
      <x:c r="T218" s="17"/>
      <x:c r="U218" s="17"/>
      <x:c r="V218" s="17"/>
      <x:c r="W218" s="17"/>
      <x:c r="X218" s="17"/>
      <x:c r="Y218" s="17"/>
      <x:c r="Z218" s="17"/>
    </x:row>
    <x:row r="219">
      <x:c r="A219" s="17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  <x:c r="O219" s="17"/>
      <x:c r="P219" s="17"/>
      <x:c r="Q219" s="17"/>
      <x:c r="R219" s="17"/>
      <x:c r="S219" s="17"/>
      <x:c r="T219" s="17"/>
      <x:c r="U219" s="17"/>
      <x:c r="V219" s="17"/>
      <x:c r="W219" s="17"/>
      <x:c r="X219" s="17"/>
      <x:c r="Y219" s="17"/>
      <x:c r="Z219" s="17"/>
    </x:row>
    <x:row r="220">
      <x:c r="A220" s="17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  <x:c r="O220" s="17"/>
      <x:c r="P220" s="17"/>
      <x:c r="Q220" s="17"/>
      <x:c r="R220" s="17"/>
      <x:c r="S220" s="17"/>
      <x:c r="T220" s="17"/>
      <x:c r="U220" s="17"/>
      <x:c r="V220" s="17"/>
      <x:c r="W220" s="17"/>
      <x:c r="X220" s="17"/>
      <x:c r="Y220" s="17"/>
      <x:c r="Z220" s="17"/>
    </x:row>
    <x:row r="221">
      <x:c r="A221" s="17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  <x:c r="O221" s="17"/>
      <x:c r="P221" s="17"/>
      <x:c r="Q221" s="17"/>
      <x:c r="R221" s="17"/>
      <x:c r="S221" s="17"/>
      <x:c r="T221" s="17"/>
      <x:c r="U221" s="17"/>
      <x:c r="V221" s="17"/>
      <x:c r="W221" s="17"/>
      <x:c r="X221" s="17"/>
      <x:c r="Y221" s="17"/>
      <x:c r="Z221" s="17"/>
    </x:row>
    <x:row r="222">
      <x:c r="A222" s="17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  <x:c r="O222" s="17"/>
      <x:c r="P222" s="17"/>
      <x:c r="Q222" s="17"/>
      <x:c r="R222" s="17"/>
      <x:c r="S222" s="17"/>
      <x:c r="T222" s="17"/>
      <x:c r="U222" s="17"/>
      <x:c r="V222" s="17"/>
      <x:c r="W222" s="17"/>
      <x:c r="X222" s="17"/>
      <x:c r="Y222" s="17"/>
      <x:c r="Z222" s="17"/>
    </x:row>
    <x:row r="223">
      <x:c r="A223" s="17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  <x:c r="O223" s="17"/>
      <x:c r="P223" s="17"/>
      <x:c r="Q223" s="17"/>
      <x:c r="R223" s="17"/>
      <x:c r="S223" s="17"/>
      <x:c r="T223" s="17"/>
      <x:c r="U223" s="17"/>
      <x:c r="V223" s="17"/>
      <x:c r="W223" s="17"/>
      <x:c r="X223" s="17"/>
      <x:c r="Y223" s="17"/>
      <x:c r="Z223" s="17"/>
    </x:row>
    <x:row r="224">
      <x:c r="A224" s="17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  <x:c r="O224" s="17"/>
      <x:c r="P224" s="17"/>
      <x:c r="Q224" s="17"/>
      <x:c r="R224" s="17"/>
      <x:c r="S224" s="17"/>
      <x:c r="T224" s="17"/>
      <x:c r="U224" s="17"/>
      <x:c r="V224" s="17"/>
      <x:c r="W224" s="17"/>
      <x:c r="X224" s="17"/>
      <x:c r="Y224" s="17"/>
      <x:c r="Z224" s="17"/>
    </x:row>
    <x:row r="225">
      <x:c r="A225" s="17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  <x:c r="O225" s="17"/>
      <x:c r="P225" s="17"/>
      <x:c r="Q225" s="17"/>
      <x:c r="R225" s="17"/>
      <x:c r="S225" s="17"/>
      <x:c r="T225" s="17"/>
      <x:c r="U225" s="17"/>
      <x:c r="V225" s="17"/>
      <x:c r="W225" s="17"/>
      <x:c r="X225" s="17"/>
      <x:c r="Y225" s="17"/>
      <x:c r="Z225" s="17"/>
    </x:row>
    <x:row r="226">
      <x:c r="A226" s="17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  <x:c r="O226" s="17"/>
      <x:c r="P226" s="17"/>
      <x:c r="Q226" s="17"/>
      <x:c r="R226" s="17"/>
      <x:c r="S226" s="17"/>
      <x:c r="T226" s="17"/>
      <x:c r="U226" s="17"/>
      <x:c r="V226" s="17"/>
      <x:c r="W226" s="17"/>
      <x:c r="X226" s="17"/>
      <x:c r="Y226" s="17"/>
      <x:c r="Z226" s="17"/>
    </x:row>
    <x:row r="227">
      <x:c r="A227" s="17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  <x:c r="O227" s="17"/>
      <x:c r="P227" s="17"/>
      <x:c r="Q227" s="17"/>
      <x:c r="R227" s="17"/>
      <x:c r="S227" s="17"/>
      <x:c r="T227" s="17"/>
      <x:c r="U227" s="17"/>
      <x:c r="V227" s="17"/>
      <x:c r="W227" s="17"/>
      <x:c r="X227" s="17"/>
      <x:c r="Y227" s="17"/>
      <x:c r="Z227" s="17"/>
    </x:row>
    <x:row r="228">
      <x:c r="A228" s="17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  <x:c r="O228" s="17"/>
      <x:c r="P228" s="17"/>
      <x:c r="Q228" s="17"/>
      <x:c r="R228" s="17"/>
      <x:c r="S228" s="17"/>
      <x:c r="T228" s="17"/>
      <x:c r="U228" s="17"/>
      <x:c r="V228" s="17"/>
      <x:c r="W228" s="17"/>
      <x:c r="X228" s="17"/>
      <x:c r="Y228" s="17"/>
      <x:c r="Z228" s="17"/>
    </x:row>
    <x:row r="229">
      <x:c r="A229" s="17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  <x:c r="O229" s="17"/>
      <x:c r="P229" s="17"/>
      <x:c r="Q229" s="17"/>
      <x:c r="R229" s="17"/>
      <x:c r="S229" s="17"/>
      <x:c r="T229" s="17"/>
      <x:c r="U229" s="17"/>
      <x:c r="V229" s="17"/>
      <x:c r="W229" s="17"/>
      <x:c r="X229" s="17"/>
      <x:c r="Y229" s="17"/>
      <x:c r="Z229" s="17"/>
    </x:row>
    <x:row r="230">
      <x:c r="A230" s="17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  <x:c r="O230" s="17"/>
      <x:c r="P230" s="17"/>
      <x:c r="Q230" s="17"/>
      <x:c r="R230" s="17"/>
      <x:c r="S230" s="17"/>
      <x:c r="T230" s="17"/>
      <x:c r="U230" s="17"/>
      <x:c r="V230" s="17"/>
      <x:c r="W230" s="17"/>
      <x:c r="X230" s="17"/>
      <x:c r="Y230" s="17"/>
      <x:c r="Z230" s="17"/>
    </x:row>
    <x:row r="231">
      <x:c r="A231" s="17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  <x:c r="O231" s="17"/>
      <x:c r="P231" s="17"/>
      <x:c r="Q231" s="17"/>
      <x:c r="R231" s="17"/>
      <x:c r="S231" s="17"/>
      <x:c r="T231" s="17"/>
      <x:c r="U231" s="17"/>
      <x:c r="V231" s="17"/>
      <x:c r="W231" s="17"/>
      <x:c r="X231" s="17"/>
      <x:c r="Y231" s="17"/>
      <x:c r="Z231" s="17"/>
    </x:row>
    <x:row r="232">
      <x:c r="A232" s="17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  <x:c r="O232" s="17"/>
      <x:c r="P232" s="17"/>
      <x:c r="Q232" s="17"/>
      <x:c r="R232" s="17"/>
      <x:c r="S232" s="17"/>
      <x:c r="T232" s="17"/>
      <x:c r="U232" s="17"/>
      <x:c r="V232" s="17"/>
      <x:c r="W232" s="17"/>
      <x:c r="X232" s="17"/>
      <x:c r="Y232" s="17"/>
      <x:c r="Z232" s="17"/>
    </x:row>
    <x:row r="233">
      <x:c r="A233" s="17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  <x:c r="O233" s="17"/>
      <x:c r="P233" s="17"/>
      <x:c r="Q233" s="17"/>
      <x:c r="R233" s="17"/>
      <x:c r="S233" s="17"/>
      <x:c r="T233" s="17"/>
      <x:c r="U233" s="17"/>
      <x:c r="V233" s="17"/>
      <x:c r="W233" s="17"/>
      <x:c r="X233" s="17"/>
      <x:c r="Y233" s="17"/>
      <x:c r="Z233" s="17"/>
    </x:row>
    <x:row r="234">
      <x:c r="A234" s="17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  <x:c r="O234" s="17"/>
      <x:c r="P234" s="17"/>
      <x:c r="Q234" s="17"/>
      <x:c r="R234" s="17"/>
      <x:c r="S234" s="17"/>
      <x:c r="T234" s="17"/>
      <x:c r="U234" s="17"/>
      <x:c r="V234" s="17"/>
      <x:c r="W234" s="17"/>
      <x:c r="X234" s="17"/>
      <x:c r="Y234" s="17"/>
      <x:c r="Z234" s="17"/>
    </x:row>
    <x:row r="235">
      <x:c r="A235" s="17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  <x:c r="O235" s="17"/>
      <x:c r="P235" s="17"/>
      <x:c r="Q235" s="17"/>
      <x:c r="R235" s="17"/>
      <x:c r="S235" s="17"/>
      <x:c r="T235" s="17"/>
      <x:c r="U235" s="17"/>
      <x:c r="V235" s="17"/>
      <x:c r="W235" s="17"/>
      <x:c r="X235" s="17"/>
      <x:c r="Y235" s="17"/>
      <x:c r="Z235" s="17"/>
    </x:row>
    <x:row r="236">
      <x:c r="A236" s="17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  <x:c r="O236" s="17"/>
      <x:c r="P236" s="17"/>
      <x:c r="Q236" s="17"/>
      <x:c r="R236" s="17"/>
      <x:c r="S236" s="17"/>
      <x:c r="T236" s="17"/>
      <x:c r="U236" s="17"/>
      <x:c r="V236" s="17"/>
      <x:c r="W236" s="17"/>
      <x:c r="X236" s="17"/>
      <x:c r="Y236" s="17"/>
      <x:c r="Z236" s="17"/>
    </x:row>
    <x:row r="237">
      <x:c r="A237" s="17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  <x:c r="O237" s="17"/>
      <x:c r="P237" s="17"/>
      <x:c r="Q237" s="17"/>
      <x:c r="R237" s="17"/>
      <x:c r="S237" s="17"/>
      <x:c r="T237" s="17"/>
      <x:c r="U237" s="17"/>
      <x:c r="V237" s="17"/>
      <x:c r="W237" s="17"/>
      <x:c r="X237" s="17"/>
      <x:c r="Y237" s="17"/>
      <x:c r="Z237" s="17"/>
    </x:row>
    <x:row r="238">
      <x:c r="A238" s="17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  <x:c r="O238" s="17"/>
      <x:c r="P238" s="17"/>
      <x:c r="Q238" s="17"/>
      <x:c r="R238" s="17"/>
      <x:c r="S238" s="17"/>
      <x:c r="T238" s="17"/>
      <x:c r="U238" s="17"/>
      <x:c r="V238" s="17"/>
      <x:c r="W238" s="17"/>
      <x:c r="X238" s="17"/>
      <x:c r="Y238" s="17"/>
      <x:c r="Z238" s="17"/>
    </x:row>
    <x:row r="239">
      <x:c r="A239" s="17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  <x:c r="O239" s="17"/>
      <x:c r="P239" s="17"/>
      <x:c r="Q239" s="17"/>
      <x:c r="R239" s="17"/>
      <x:c r="S239" s="17"/>
      <x:c r="T239" s="17"/>
      <x:c r="U239" s="17"/>
      <x:c r="V239" s="17"/>
      <x:c r="W239" s="17"/>
      <x:c r="X239" s="17"/>
      <x:c r="Y239" s="17"/>
      <x:c r="Z239" s="17"/>
    </x:row>
    <x:row r="240">
      <x:c r="A240" s="17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  <x:c r="O240" s="17"/>
      <x:c r="P240" s="17"/>
      <x:c r="Q240" s="17"/>
      <x:c r="R240" s="17"/>
      <x:c r="S240" s="17"/>
      <x:c r="T240" s="17"/>
      <x:c r="U240" s="17"/>
      <x:c r="V240" s="17"/>
      <x:c r="W240" s="17"/>
      <x:c r="X240" s="17"/>
      <x:c r="Y240" s="17"/>
      <x:c r="Z240" s="17"/>
    </x:row>
    <x:row r="241">
      <x:c r="A241" s="17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  <x:c r="O241" s="17"/>
      <x:c r="P241" s="17"/>
      <x:c r="Q241" s="17"/>
      <x:c r="R241" s="17"/>
      <x:c r="S241" s="17"/>
      <x:c r="T241" s="17"/>
      <x:c r="U241" s="17"/>
      <x:c r="V241" s="17"/>
      <x:c r="W241" s="17"/>
      <x:c r="X241" s="17"/>
      <x:c r="Y241" s="17"/>
      <x:c r="Z241" s="17"/>
    </x:row>
    <x:row r="242">
      <x:c r="A242" s="17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  <x:c r="O242" s="17"/>
      <x:c r="P242" s="17"/>
      <x:c r="Q242" s="17"/>
      <x:c r="R242" s="17"/>
      <x:c r="S242" s="17"/>
      <x:c r="T242" s="17"/>
      <x:c r="U242" s="17"/>
      <x:c r="V242" s="17"/>
      <x:c r="W242" s="17"/>
      <x:c r="X242" s="17"/>
      <x:c r="Y242" s="17"/>
      <x:c r="Z242" s="17"/>
    </x:row>
    <x:row r="243">
      <x:c r="A243" s="17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  <x:c r="O243" s="17"/>
      <x:c r="P243" s="17"/>
      <x:c r="Q243" s="17"/>
      <x:c r="R243" s="17"/>
      <x:c r="S243" s="17"/>
      <x:c r="T243" s="17"/>
      <x:c r="U243" s="17"/>
      <x:c r="V243" s="17"/>
      <x:c r="W243" s="17"/>
      <x:c r="X243" s="17"/>
      <x:c r="Y243" s="17"/>
      <x:c r="Z243" s="17"/>
    </x:row>
    <x:row r="244">
      <x:c r="A244" s="17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  <x:c r="O244" s="17"/>
      <x:c r="P244" s="17"/>
      <x:c r="Q244" s="17"/>
      <x:c r="R244" s="17"/>
      <x:c r="S244" s="17"/>
      <x:c r="T244" s="17"/>
      <x:c r="U244" s="17"/>
      <x:c r="V244" s="17"/>
      <x:c r="W244" s="17"/>
      <x:c r="X244" s="17"/>
      <x:c r="Y244" s="17"/>
      <x:c r="Z244" s="17"/>
    </x:row>
    <x:row r="245">
      <x:c r="A245" s="17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  <x:c r="O245" s="17"/>
      <x:c r="P245" s="17"/>
      <x:c r="Q245" s="17"/>
      <x:c r="R245" s="17"/>
      <x:c r="S245" s="17"/>
      <x:c r="T245" s="17"/>
      <x:c r="U245" s="17"/>
      <x:c r="V245" s="17"/>
      <x:c r="W245" s="17"/>
      <x:c r="X245" s="17"/>
      <x:c r="Y245" s="17"/>
      <x:c r="Z245" s="17"/>
    </x:row>
    <x:row r="246">
      <x:c r="A246" s="17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  <x:c r="O246" s="17"/>
      <x:c r="P246" s="17"/>
      <x:c r="Q246" s="17"/>
      <x:c r="R246" s="17"/>
      <x:c r="S246" s="17"/>
      <x:c r="T246" s="17"/>
      <x:c r="U246" s="17"/>
      <x:c r="V246" s="17"/>
      <x:c r="W246" s="17"/>
      <x:c r="X246" s="17"/>
      <x:c r="Y246" s="17"/>
      <x:c r="Z246" s="17"/>
    </x:row>
    <x:row r="247">
      <x:c r="A247" s="17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  <x:c r="O247" s="17"/>
      <x:c r="P247" s="17"/>
      <x:c r="Q247" s="17"/>
      <x:c r="R247" s="17"/>
      <x:c r="S247" s="17"/>
      <x:c r="T247" s="17"/>
      <x:c r="U247" s="17"/>
      <x:c r="V247" s="17"/>
      <x:c r="W247" s="17"/>
      <x:c r="X247" s="17"/>
      <x:c r="Y247" s="17"/>
      <x:c r="Z247" s="17"/>
    </x:row>
    <x:row r="248">
      <x:c r="A248" s="17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  <x:c r="O248" s="17"/>
      <x:c r="P248" s="17"/>
      <x:c r="Q248" s="17"/>
      <x:c r="R248" s="17"/>
      <x:c r="S248" s="17"/>
      <x:c r="T248" s="17"/>
      <x:c r="U248" s="17"/>
      <x:c r="V248" s="17"/>
      <x:c r="W248" s="17"/>
      <x:c r="X248" s="17"/>
      <x:c r="Y248" s="17"/>
      <x:c r="Z248" s="17"/>
    </x:row>
    <x:row r="249">
      <x:c r="A249" s="17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  <x:c r="O249" s="17"/>
      <x:c r="P249" s="17"/>
      <x:c r="Q249" s="17"/>
      <x:c r="R249" s="17"/>
      <x:c r="S249" s="17"/>
      <x:c r="T249" s="17"/>
      <x:c r="U249" s="17"/>
      <x:c r="V249" s="17"/>
      <x:c r="W249" s="17"/>
      <x:c r="X249" s="17"/>
      <x:c r="Y249" s="17"/>
      <x:c r="Z249" s="17"/>
    </x:row>
    <x:row r="250">
      <x:c r="A250" s="17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  <x:c r="O250" s="17"/>
      <x:c r="P250" s="17"/>
      <x:c r="Q250" s="17"/>
      <x:c r="R250" s="17"/>
      <x:c r="S250" s="17"/>
      <x:c r="T250" s="17"/>
      <x:c r="U250" s="17"/>
      <x:c r="V250" s="17"/>
      <x:c r="W250" s="17"/>
      <x:c r="X250" s="17"/>
      <x:c r="Y250" s="17"/>
      <x:c r="Z250" s="17"/>
    </x:row>
    <x:row r="251">
      <x:c r="A251" s="17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  <x:c r="O251" s="17"/>
      <x:c r="P251" s="17"/>
      <x:c r="Q251" s="17"/>
      <x:c r="R251" s="17"/>
      <x:c r="S251" s="17"/>
      <x:c r="T251" s="17"/>
      <x:c r="U251" s="17"/>
      <x:c r="V251" s="17"/>
      <x:c r="W251" s="17"/>
      <x:c r="X251" s="17"/>
      <x:c r="Y251" s="17"/>
      <x:c r="Z251" s="17"/>
    </x:row>
    <x:row r="252">
      <x:c r="A252" s="17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  <x:c r="O252" s="17"/>
      <x:c r="P252" s="17"/>
      <x:c r="Q252" s="17"/>
      <x:c r="R252" s="17"/>
      <x:c r="S252" s="17"/>
      <x:c r="T252" s="17"/>
      <x:c r="U252" s="17"/>
      <x:c r="V252" s="17"/>
      <x:c r="W252" s="17"/>
      <x:c r="X252" s="17"/>
      <x:c r="Y252" s="17"/>
      <x:c r="Z252" s="17"/>
    </x:row>
    <x:row r="253">
      <x:c r="A253" s="17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  <x:c r="O253" s="17"/>
      <x:c r="P253" s="17"/>
      <x:c r="Q253" s="17"/>
      <x:c r="R253" s="17"/>
      <x:c r="S253" s="17"/>
      <x:c r="T253" s="17"/>
      <x:c r="U253" s="17"/>
      <x:c r="V253" s="17"/>
      <x:c r="W253" s="17"/>
      <x:c r="X253" s="17"/>
      <x:c r="Y253" s="17"/>
      <x:c r="Z253" s="17"/>
    </x:row>
    <x:row r="254">
      <x:c r="A254" s="17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  <x:c r="O254" s="17"/>
      <x:c r="P254" s="17"/>
      <x:c r="Q254" s="17"/>
      <x:c r="R254" s="17"/>
      <x:c r="S254" s="17"/>
      <x:c r="T254" s="17"/>
      <x:c r="U254" s="17"/>
      <x:c r="V254" s="17"/>
      <x:c r="W254" s="17"/>
      <x:c r="X254" s="17"/>
      <x:c r="Y254" s="17"/>
      <x:c r="Z254" s="17"/>
    </x:row>
    <x:row r="255">
      <x:c r="A255" s="17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  <x:c r="O255" s="17"/>
      <x:c r="P255" s="17"/>
      <x:c r="Q255" s="17"/>
      <x:c r="R255" s="17"/>
      <x:c r="S255" s="17"/>
      <x:c r="T255" s="17"/>
      <x:c r="U255" s="17"/>
      <x:c r="V255" s="17"/>
      <x:c r="W255" s="17"/>
      <x:c r="X255" s="17"/>
      <x:c r="Y255" s="17"/>
      <x:c r="Z255" s="17"/>
    </x:row>
    <x:row r="256">
      <x:c r="A256" s="17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  <x:c r="O256" s="17"/>
      <x:c r="P256" s="17"/>
      <x:c r="Q256" s="17"/>
      <x:c r="R256" s="17"/>
      <x:c r="S256" s="17"/>
      <x:c r="T256" s="17"/>
      <x:c r="U256" s="17"/>
      <x:c r="V256" s="17"/>
      <x:c r="W256" s="17"/>
      <x:c r="X256" s="17"/>
      <x:c r="Y256" s="17"/>
      <x:c r="Z256" s="17"/>
    </x:row>
    <x:row r="257">
      <x:c r="A257" s="17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  <x:c r="O257" s="17"/>
      <x:c r="P257" s="17"/>
      <x:c r="Q257" s="17"/>
      <x:c r="R257" s="17"/>
      <x:c r="S257" s="17"/>
      <x:c r="T257" s="17"/>
      <x:c r="U257" s="17"/>
      <x:c r="V257" s="17"/>
      <x:c r="W257" s="17"/>
      <x:c r="X257" s="17"/>
      <x:c r="Y257" s="17"/>
      <x:c r="Z257" s="17"/>
    </x:row>
    <x:row r="258">
      <x:c r="A258" s="17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  <x:c r="O258" s="17"/>
      <x:c r="P258" s="17"/>
      <x:c r="Q258" s="17"/>
      <x:c r="R258" s="17"/>
      <x:c r="S258" s="17"/>
      <x:c r="T258" s="17"/>
      <x:c r="U258" s="17"/>
      <x:c r="V258" s="17"/>
      <x:c r="W258" s="17"/>
      <x:c r="X258" s="17"/>
      <x:c r="Y258" s="17"/>
      <x:c r="Z258" s="17"/>
    </x:row>
    <x:row r="259">
      <x:c r="A259" s="17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  <x:c r="O259" s="17"/>
      <x:c r="P259" s="17"/>
      <x:c r="Q259" s="17"/>
      <x:c r="R259" s="17"/>
      <x:c r="S259" s="17"/>
      <x:c r="T259" s="17"/>
      <x:c r="U259" s="17"/>
      <x:c r="V259" s="17"/>
      <x:c r="W259" s="17"/>
      <x:c r="X259" s="17"/>
      <x:c r="Y259" s="17"/>
      <x:c r="Z259" s="17"/>
    </x:row>
    <x:row r="260">
      <x:c r="A260" s="17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  <x:c r="O260" s="17"/>
      <x:c r="P260" s="17"/>
      <x:c r="Q260" s="17"/>
      <x:c r="R260" s="17"/>
      <x:c r="S260" s="17"/>
      <x:c r="T260" s="17"/>
      <x:c r="U260" s="17"/>
      <x:c r="V260" s="17"/>
      <x:c r="W260" s="17"/>
      <x:c r="X260" s="17"/>
      <x:c r="Y260" s="17"/>
      <x:c r="Z260" s="17"/>
    </x:row>
    <x:row r="261">
      <x:c r="A261" s="17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  <x:c r="O261" s="17"/>
      <x:c r="P261" s="17"/>
      <x:c r="Q261" s="17"/>
      <x:c r="R261" s="17"/>
      <x:c r="S261" s="17"/>
      <x:c r="T261" s="17"/>
      <x:c r="U261" s="17"/>
      <x:c r="V261" s="17"/>
      <x:c r="W261" s="17"/>
      <x:c r="X261" s="17"/>
      <x:c r="Y261" s="17"/>
      <x:c r="Z261" s="17"/>
    </x:row>
    <x:row r="262">
      <x:c r="A262" s="17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  <x:c r="O262" s="17"/>
      <x:c r="P262" s="17"/>
      <x:c r="Q262" s="17"/>
      <x:c r="R262" s="17"/>
      <x:c r="S262" s="17"/>
      <x:c r="T262" s="17"/>
      <x:c r="U262" s="17"/>
      <x:c r="V262" s="17"/>
      <x:c r="W262" s="17"/>
      <x:c r="X262" s="17"/>
      <x:c r="Y262" s="17"/>
      <x:c r="Z262" s="17"/>
    </x:row>
    <x:row r="263">
      <x:c r="A263" s="17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  <x:c r="O263" s="17"/>
      <x:c r="P263" s="17"/>
      <x:c r="Q263" s="17"/>
      <x:c r="R263" s="17"/>
      <x:c r="S263" s="17"/>
      <x:c r="T263" s="17"/>
      <x:c r="U263" s="17"/>
      <x:c r="V263" s="17"/>
      <x:c r="W263" s="17"/>
      <x:c r="X263" s="17"/>
      <x:c r="Y263" s="17"/>
      <x:c r="Z263" s="17"/>
    </x:row>
    <x:row r="264">
      <x:c r="A264" s="17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  <x:c r="O264" s="17"/>
      <x:c r="P264" s="17"/>
      <x:c r="Q264" s="17"/>
      <x:c r="R264" s="17"/>
      <x:c r="S264" s="17"/>
      <x:c r="T264" s="17"/>
      <x:c r="U264" s="17"/>
      <x:c r="V264" s="17"/>
      <x:c r="W264" s="17"/>
      <x:c r="X264" s="17"/>
      <x:c r="Y264" s="17"/>
      <x:c r="Z264" s="17"/>
    </x:row>
    <x:row r="265">
      <x:c r="A265" s="17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  <x:c r="O265" s="17"/>
      <x:c r="P265" s="17"/>
      <x:c r="Q265" s="17"/>
      <x:c r="R265" s="17"/>
      <x:c r="S265" s="17"/>
      <x:c r="T265" s="17"/>
      <x:c r="U265" s="17"/>
      <x:c r="V265" s="17"/>
      <x:c r="W265" s="17"/>
      <x:c r="X265" s="17"/>
      <x:c r="Y265" s="17"/>
      <x:c r="Z265" s="17"/>
    </x:row>
    <x:row r="266">
      <x:c r="A266" s="17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  <x:c r="O266" s="17"/>
      <x:c r="P266" s="17"/>
      <x:c r="Q266" s="17"/>
      <x:c r="R266" s="17"/>
      <x:c r="S266" s="17"/>
      <x:c r="T266" s="17"/>
      <x:c r="U266" s="17"/>
      <x:c r="V266" s="17"/>
      <x:c r="W266" s="17"/>
      <x:c r="X266" s="17"/>
      <x:c r="Y266" s="17"/>
      <x:c r="Z266" s="17"/>
    </x:row>
    <x:row r="267">
      <x:c r="A267" s="17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  <x:c r="O267" s="17"/>
      <x:c r="P267" s="17"/>
      <x:c r="Q267" s="17"/>
      <x:c r="R267" s="17"/>
      <x:c r="S267" s="17"/>
      <x:c r="T267" s="17"/>
      <x:c r="U267" s="17"/>
      <x:c r="V267" s="17"/>
      <x:c r="W267" s="17"/>
      <x:c r="X267" s="17"/>
      <x:c r="Y267" s="17"/>
      <x:c r="Z267" s="17"/>
    </x:row>
    <x:row r="268">
      <x:c r="A268" s="17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  <x:c r="O268" s="17"/>
      <x:c r="P268" s="17"/>
      <x:c r="Q268" s="17"/>
      <x:c r="R268" s="17"/>
      <x:c r="S268" s="17"/>
      <x:c r="T268" s="17"/>
      <x:c r="U268" s="17"/>
      <x:c r="V268" s="17"/>
      <x:c r="W268" s="17"/>
      <x:c r="X268" s="17"/>
      <x:c r="Y268" s="17"/>
      <x:c r="Z268" s="17"/>
    </x:row>
    <x:row r="269">
      <x:c r="A269" s="17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  <x:c r="O269" s="17"/>
      <x:c r="P269" s="17"/>
      <x:c r="Q269" s="17"/>
      <x:c r="R269" s="17"/>
      <x:c r="S269" s="17"/>
      <x:c r="T269" s="17"/>
      <x:c r="U269" s="17"/>
      <x:c r="V269" s="17"/>
      <x:c r="W269" s="17"/>
      <x:c r="X269" s="17"/>
      <x:c r="Y269" s="17"/>
      <x:c r="Z269" s="17"/>
    </x:row>
    <x:row r="270">
      <x:c r="A270" s="17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  <x:c r="O270" s="17"/>
      <x:c r="P270" s="17"/>
      <x:c r="Q270" s="17"/>
      <x:c r="R270" s="17"/>
      <x:c r="S270" s="17"/>
      <x:c r="T270" s="17"/>
      <x:c r="U270" s="17"/>
      <x:c r="V270" s="17"/>
      <x:c r="W270" s="17"/>
      <x:c r="X270" s="17"/>
      <x:c r="Y270" s="17"/>
      <x:c r="Z270" s="17"/>
    </x:row>
    <x:row r="271">
      <x:c r="A271" s="17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  <x:c r="O271" s="17"/>
      <x:c r="P271" s="17"/>
      <x:c r="Q271" s="17"/>
      <x:c r="R271" s="17"/>
      <x:c r="S271" s="17"/>
      <x:c r="T271" s="17"/>
      <x:c r="U271" s="17"/>
      <x:c r="V271" s="17"/>
      <x:c r="W271" s="17"/>
      <x:c r="X271" s="17"/>
      <x:c r="Y271" s="17"/>
      <x:c r="Z271" s="17"/>
    </x:row>
    <x:row r="272">
      <x:c r="A272" s="17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  <x:c r="O272" s="17"/>
      <x:c r="P272" s="17"/>
      <x:c r="Q272" s="17"/>
      <x:c r="R272" s="17"/>
      <x:c r="S272" s="17"/>
      <x:c r="T272" s="17"/>
      <x:c r="U272" s="17"/>
      <x:c r="V272" s="17"/>
      <x:c r="W272" s="17"/>
      <x:c r="X272" s="17"/>
      <x:c r="Y272" s="17"/>
      <x:c r="Z272" s="17"/>
    </x:row>
    <x:row r="273">
      <x:c r="A273" s="17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  <x:c r="O273" s="17"/>
      <x:c r="P273" s="17"/>
      <x:c r="Q273" s="17"/>
      <x:c r="R273" s="17"/>
      <x:c r="S273" s="17"/>
      <x:c r="T273" s="17"/>
      <x:c r="U273" s="17"/>
      <x:c r="V273" s="17"/>
      <x:c r="W273" s="17"/>
      <x:c r="X273" s="17"/>
      <x:c r="Y273" s="17"/>
      <x:c r="Z273" s="17"/>
    </x:row>
    <x:row r="274">
      <x:c r="A274" s="17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  <x:c r="O274" s="17"/>
      <x:c r="P274" s="17"/>
      <x:c r="Q274" s="17"/>
      <x:c r="R274" s="17"/>
      <x:c r="S274" s="17"/>
      <x:c r="T274" s="17"/>
      <x:c r="U274" s="17"/>
      <x:c r="V274" s="17"/>
      <x:c r="W274" s="17"/>
      <x:c r="X274" s="17"/>
      <x:c r="Y274" s="17"/>
      <x:c r="Z274" s="17"/>
    </x:row>
    <x:row r="275">
      <x:c r="A275" s="17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  <x:c r="O275" s="17"/>
      <x:c r="P275" s="17"/>
      <x:c r="Q275" s="17"/>
      <x:c r="R275" s="17"/>
      <x:c r="S275" s="17"/>
      <x:c r="T275" s="17"/>
      <x:c r="U275" s="17"/>
      <x:c r="V275" s="17"/>
      <x:c r="W275" s="17"/>
      <x:c r="X275" s="17"/>
      <x:c r="Y275" s="17"/>
      <x:c r="Z275" s="17"/>
    </x:row>
    <x:row r="276">
      <x:c r="A276" s="17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  <x:c r="O276" s="17"/>
      <x:c r="P276" s="17"/>
      <x:c r="Q276" s="17"/>
      <x:c r="R276" s="17"/>
      <x:c r="S276" s="17"/>
      <x:c r="T276" s="17"/>
      <x:c r="U276" s="17"/>
      <x:c r="V276" s="17"/>
      <x:c r="W276" s="17"/>
      <x:c r="X276" s="17"/>
      <x:c r="Y276" s="17"/>
      <x:c r="Z276" s="17"/>
    </x:row>
    <x:row r="277">
      <x:c r="A277" s="17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  <x:c r="O277" s="17"/>
      <x:c r="P277" s="17"/>
      <x:c r="Q277" s="17"/>
      <x:c r="R277" s="17"/>
      <x:c r="S277" s="17"/>
      <x:c r="T277" s="17"/>
      <x:c r="U277" s="17"/>
      <x:c r="V277" s="17"/>
      <x:c r="W277" s="17"/>
      <x:c r="X277" s="17"/>
      <x:c r="Y277" s="17"/>
      <x:c r="Z277" s="17"/>
    </x:row>
    <x:row r="278">
      <x:c r="A278" s="17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  <x:c r="O278" s="17"/>
      <x:c r="P278" s="17"/>
      <x:c r="Q278" s="17"/>
      <x:c r="R278" s="17"/>
      <x:c r="S278" s="17"/>
      <x:c r="T278" s="17"/>
      <x:c r="U278" s="17"/>
      <x:c r="V278" s="17"/>
      <x:c r="W278" s="17"/>
      <x:c r="X278" s="17"/>
      <x:c r="Y278" s="17"/>
      <x:c r="Z278" s="17"/>
    </x:row>
    <x:row r="279">
      <x:c r="A279" s="17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  <x:c r="O279" s="17"/>
      <x:c r="P279" s="17"/>
      <x:c r="Q279" s="17"/>
      <x:c r="R279" s="17"/>
      <x:c r="S279" s="17"/>
      <x:c r="T279" s="17"/>
      <x:c r="U279" s="17"/>
      <x:c r="V279" s="17"/>
      <x:c r="W279" s="17"/>
      <x:c r="X279" s="17"/>
      <x:c r="Y279" s="17"/>
      <x:c r="Z279" s="17"/>
    </x:row>
    <x:row r="280">
      <x:c r="A280" s="17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  <x:c r="O280" s="17"/>
      <x:c r="P280" s="17"/>
      <x:c r="Q280" s="17"/>
      <x:c r="R280" s="17"/>
      <x:c r="S280" s="17"/>
      <x:c r="T280" s="17"/>
      <x:c r="U280" s="17"/>
      <x:c r="V280" s="17"/>
      <x:c r="W280" s="17"/>
      <x:c r="X280" s="17"/>
      <x:c r="Y280" s="17"/>
      <x:c r="Z280" s="17"/>
    </x:row>
    <x:row r="281">
      <x:c r="A281" s="17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  <x:c r="O281" s="17"/>
      <x:c r="P281" s="17"/>
      <x:c r="Q281" s="17"/>
      <x:c r="R281" s="17"/>
      <x:c r="S281" s="17"/>
      <x:c r="T281" s="17"/>
      <x:c r="U281" s="17"/>
      <x:c r="V281" s="17"/>
      <x:c r="W281" s="17"/>
      <x:c r="X281" s="17"/>
      <x:c r="Y281" s="17"/>
      <x:c r="Z281" s="17"/>
    </x:row>
    <x:row r="282">
      <x:c r="A282" s="17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  <x:c r="O282" s="17"/>
      <x:c r="P282" s="17"/>
      <x:c r="Q282" s="17"/>
      <x:c r="R282" s="17"/>
      <x:c r="S282" s="17"/>
      <x:c r="T282" s="17"/>
      <x:c r="U282" s="17"/>
      <x:c r="V282" s="17"/>
      <x:c r="W282" s="17"/>
      <x:c r="X282" s="17"/>
      <x:c r="Y282" s="17"/>
      <x:c r="Z282" s="17"/>
    </x:row>
    <x:row r="283">
      <x:c r="A283" s="17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  <x:c r="O283" s="17"/>
      <x:c r="P283" s="17"/>
      <x:c r="Q283" s="17"/>
      <x:c r="R283" s="17"/>
      <x:c r="S283" s="17"/>
      <x:c r="T283" s="17"/>
      <x:c r="U283" s="17"/>
      <x:c r="V283" s="17"/>
      <x:c r="W283" s="17"/>
      <x:c r="X283" s="17"/>
      <x:c r="Y283" s="17"/>
      <x:c r="Z283" s="17"/>
    </x:row>
    <x:row r="284">
      <x:c r="A284" s="17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  <x:c r="O284" s="17"/>
      <x:c r="P284" s="17"/>
      <x:c r="Q284" s="17"/>
      <x:c r="R284" s="17"/>
      <x:c r="S284" s="17"/>
      <x:c r="T284" s="17"/>
      <x:c r="U284" s="17"/>
      <x:c r="V284" s="17"/>
      <x:c r="W284" s="17"/>
      <x:c r="X284" s="17"/>
      <x:c r="Y284" s="17"/>
      <x:c r="Z284" s="17"/>
    </x:row>
    <x:row r="285">
      <x:c r="A285" s="17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  <x:c r="O285" s="17"/>
      <x:c r="P285" s="17"/>
      <x:c r="Q285" s="17"/>
      <x:c r="R285" s="17"/>
      <x:c r="S285" s="17"/>
      <x:c r="T285" s="17"/>
      <x:c r="U285" s="17"/>
      <x:c r="V285" s="17"/>
      <x:c r="W285" s="17"/>
      <x:c r="X285" s="17"/>
      <x:c r="Y285" s="17"/>
      <x:c r="Z285" s="17"/>
    </x:row>
    <x:row r="286">
      <x:c r="A286" s="17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  <x:c r="O286" s="17"/>
      <x:c r="P286" s="17"/>
      <x:c r="Q286" s="17"/>
      <x:c r="R286" s="17"/>
      <x:c r="S286" s="17"/>
      <x:c r="T286" s="17"/>
      <x:c r="U286" s="17"/>
      <x:c r="V286" s="17"/>
      <x:c r="W286" s="17"/>
      <x:c r="X286" s="17"/>
      <x:c r="Y286" s="17"/>
      <x:c r="Z286" s="17"/>
    </x:row>
    <x:row r="287">
      <x:c r="A287" s="17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  <x:c r="O287" s="17"/>
      <x:c r="P287" s="17"/>
      <x:c r="Q287" s="17"/>
      <x:c r="R287" s="17"/>
      <x:c r="S287" s="17"/>
      <x:c r="T287" s="17"/>
      <x:c r="U287" s="17"/>
      <x:c r="V287" s="17"/>
      <x:c r="W287" s="17"/>
      <x:c r="X287" s="17"/>
      <x:c r="Y287" s="17"/>
      <x:c r="Z287" s="17"/>
    </x:row>
    <x:row r="288">
      <x:c r="A288" s="17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  <x:c r="O288" s="17"/>
      <x:c r="P288" s="17"/>
      <x:c r="Q288" s="17"/>
      <x:c r="R288" s="17"/>
      <x:c r="S288" s="17"/>
      <x:c r="T288" s="17"/>
      <x:c r="U288" s="17"/>
      <x:c r="V288" s="17"/>
      <x:c r="W288" s="17"/>
      <x:c r="X288" s="17"/>
      <x:c r="Y288" s="17"/>
      <x:c r="Z288" s="17"/>
    </x:row>
    <x:row r="289">
      <x:c r="A289" s="17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  <x:c r="O289" s="17"/>
      <x:c r="P289" s="17"/>
      <x:c r="Q289" s="17"/>
      <x:c r="R289" s="17"/>
      <x:c r="S289" s="17"/>
      <x:c r="T289" s="17"/>
      <x:c r="U289" s="17"/>
      <x:c r="V289" s="17"/>
      <x:c r="W289" s="17"/>
      <x:c r="X289" s="17"/>
      <x:c r="Y289" s="17"/>
      <x:c r="Z289" s="17"/>
    </x:row>
    <x:row r="290">
      <x:c r="A290" s="17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  <x:c r="O290" s="17"/>
      <x:c r="P290" s="17"/>
      <x:c r="Q290" s="17"/>
      <x:c r="R290" s="17"/>
      <x:c r="S290" s="17"/>
      <x:c r="T290" s="17"/>
      <x:c r="U290" s="17"/>
      <x:c r="V290" s="17"/>
      <x:c r="W290" s="17"/>
      <x:c r="X290" s="17"/>
      <x:c r="Y290" s="17"/>
      <x:c r="Z290" s="17"/>
    </x:row>
    <x:row r="291">
      <x:c r="A291" s="17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  <x:c r="O291" s="17"/>
      <x:c r="P291" s="17"/>
      <x:c r="Q291" s="17"/>
      <x:c r="R291" s="17"/>
      <x:c r="S291" s="17"/>
      <x:c r="T291" s="17"/>
      <x:c r="U291" s="17"/>
      <x:c r="V291" s="17"/>
      <x:c r="W291" s="17"/>
      <x:c r="X291" s="17"/>
      <x:c r="Y291" s="17"/>
      <x:c r="Z291" s="17"/>
    </x:row>
    <x:row r="292">
      <x:c r="A292" s="17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  <x:c r="O292" s="17"/>
      <x:c r="P292" s="17"/>
      <x:c r="Q292" s="17"/>
      <x:c r="R292" s="17"/>
      <x:c r="S292" s="17"/>
      <x:c r="T292" s="17"/>
      <x:c r="U292" s="17"/>
      <x:c r="V292" s="17"/>
      <x:c r="W292" s="17"/>
      <x:c r="X292" s="17"/>
      <x:c r="Y292" s="17"/>
      <x:c r="Z292" s="17"/>
    </x:row>
    <x:row r="293">
      <x:c r="A293" s="17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  <x:c r="O293" s="17"/>
      <x:c r="P293" s="17"/>
      <x:c r="Q293" s="17"/>
      <x:c r="R293" s="17"/>
      <x:c r="S293" s="17"/>
      <x:c r="T293" s="17"/>
      <x:c r="U293" s="17"/>
      <x:c r="V293" s="17"/>
      <x:c r="W293" s="17"/>
      <x:c r="X293" s="17"/>
      <x:c r="Y293" s="17"/>
      <x:c r="Z293" s="17"/>
    </x:row>
    <x:row r="294">
      <x:c r="A294" s="17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  <x:c r="O294" s="17"/>
      <x:c r="P294" s="17"/>
      <x:c r="Q294" s="17"/>
      <x:c r="R294" s="17"/>
      <x:c r="S294" s="17"/>
      <x:c r="T294" s="17"/>
      <x:c r="U294" s="17"/>
      <x:c r="V294" s="17"/>
      <x:c r="W294" s="17"/>
      <x:c r="X294" s="17"/>
      <x:c r="Y294" s="17"/>
      <x:c r="Z294" s="17"/>
    </x:row>
    <x:row r="295">
      <x:c r="A295" s="17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  <x:c r="O295" s="17"/>
      <x:c r="P295" s="17"/>
      <x:c r="Q295" s="17"/>
      <x:c r="R295" s="17"/>
      <x:c r="S295" s="17"/>
      <x:c r="T295" s="17"/>
      <x:c r="U295" s="17"/>
      <x:c r="V295" s="17"/>
      <x:c r="W295" s="17"/>
      <x:c r="X295" s="17"/>
      <x:c r="Y295" s="17"/>
      <x:c r="Z295" s="17"/>
    </x:row>
    <x:row r="296">
      <x:c r="A296" s="17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  <x:c r="O296" s="17"/>
      <x:c r="P296" s="17"/>
      <x:c r="Q296" s="17"/>
      <x:c r="R296" s="17"/>
      <x:c r="S296" s="17"/>
      <x:c r="T296" s="17"/>
      <x:c r="U296" s="17"/>
      <x:c r="V296" s="17"/>
      <x:c r="W296" s="17"/>
      <x:c r="X296" s="17"/>
      <x:c r="Y296" s="17"/>
      <x:c r="Z296" s="17"/>
    </x:row>
    <x:row r="297">
      <x:c r="A297" s="17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  <x:c r="O297" s="17"/>
      <x:c r="P297" s="17"/>
      <x:c r="Q297" s="17"/>
      <x:c r="R297" s="17"/>
      <x:c r="S297" s="17"/>
      <x:c r="T297" s="17"/>
      <x:c r="U297" s="17"/>
      <x:c r="V297" s="17"/>
      <x:c r="W297" s="17"/>
      <x:c r="X297" s="17"/>
      <x:c r="Y297" s="17"/>
      <x:c r="Z297" s="17"/>
    </x:row>
    <x:row r="298">
      <x:c r="A298" s="17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  <x:c r="O298" s="17"/>
      <x:c r="P298" s="17"/>
      <x:c r="Q298" s="17"/>
      <x:c r="R298" s="17"/>
      <x:c r="S298" s="17"/>
      <x:c r="T298" s="17"/>
      <x:c r="U298" s="17"/>
      <x:c r="V298" s="17"/>
      <x:c r="W298" s="17"/>
      <x:c r="X298" s="17"/>
      <x:c r="Y298" s="17"/>
      <x:c r="Z298" s="17"/>
    </x:row>
    <x:row r="299">
      <x:c r="A299" s="17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  <x:c r="O299" s="17"/>
      <x:c r="P299" s="17"/>
      <x:c r="Q299" s="17"/>
      <x:c r="R299" s="17"/>
      <x:c r="S299" s="17"/>
      <x:c r="T299" s="17"/>
      <x:c r="U299" s="17"/>
      <x:c r="V299" s="17"/>
      <x:c r="W299" s="17"/>
      <x:c r="X299" s="17"/>
      <x:c r="Y299" s="17"/>
      <x:c r="Z299" s="17"/>
    </x:row>
    <x:row r="300">
      <x:c r="A300" s="17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  <x:c r="O300" s="17"/>
      <x:c r="P300" s="17"/>
      <x:c r="Q300" s="17"/>
      <x:c r="R300" s="17"/>
      <x:c r="S300" s="17"/>
      <x:c r="T300" s="17"/>
      <x:c r="U300" s="17"/>
      <x:c r="V300" s="17"/>
      <x:c r="W300" s="17"/>
      <x:c r="X300" s="17"/>
      <x:c r="Y300" s="17"/>
      <x:c r="Z300" s="17"/>
    </x:row>
    <x:row r="301">
      <x:c r="A301" s="17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  <x:c r="O301" s="17"/>
      <x:c r="P301" s="17"/>
      <x:c r="Q301" s="17"/>
      <x:c r="R301" s="17"/>
      <x:c r="S301" s="17"/>
      <x:c r="T301" s="17"/>
      <x:c r="U301" s="17"/>
      <x:c r="V301" s="17"/>
      <x:c r="W301" s="17"/>
      <x:c r="X301" s="17"/>
      <x:c r="Y301" s="17"/>
      <x:c r="Z301" s="17"/>
    </x:row>
    <x:row r="302">
      <x:c r="A302" s="17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  <x:c r="O302" s="17"/>
      <x:c r="P302" s="17"/>
      <x:c r="Q302" s="17"/>
      <x:c r="R302" s="17"/>
      <x:c r="S302" s="17"/>
      <x:c r="T302" s="17"/>
      <x:c r="U302" s="17"/>
      <x:c r="V302" s="17"/>
      <x:c r="W302" s="17"/>
      <x:c r="X302" s="17"/>
      <x:c r="Y302" s="17"/>
      <x:c r="Z302" s="17"/>
    </x:row>
    <x:row r="303">
      <x:c r="A303" s="17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  <x:c r="O303" s="17"/>
      <x:c r="P303" s="17"/>
      <x:c r="Q303" s="17"/>
      <x:c r="R303" s="17"/>
      <x:c r="S303" s="17"/>
      <x:c r="T303" s="17"/>
      <x:c r="U303" s="17"/>
      <x:c r="V303" s="17"/>
      <x:c r="W303" s="17"/>
      <x:c r="X303" s="17"/>
      <x:c r="Y303" s="17"/>
      <x:c r="Z303" s="17"/>
    </x:row>
    <x:row r="304">
      <x:c r="A304" s="17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  <x:c r="O304" s="17"/>
      <x:c r="P304" s="17"/>
      <x:c r="Q304" s="17"/>
      <x:c r="R304" s="17"/>
      <x:c r="S304" s="17"/>
      <x:c r="T304" s="17"/>
      <x:c r="U304" s="17"/>
      <x:c r="V304" s="17"/>
      <x:c r="W304" s="17"/>
      <x:c r="X304" s="17"/>
      <x:c r="Y304" s="17"/>
      <x:c r="Z304" s="17"/>
    </x:row>
    <x:row r="305">
      <x:c r="A305" s="17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  <x:c r="O305" s="17"/>
      <x:c r="P305" s="17"/>
      <x:c r="Q305" s="17"/>
      <x:c r="R305" s="17"/>
      <x:c r="S305" s="17"/>
      <x:c r="T305" s="17"/>
      <x:c r="U305" s="17"/>
      <x:c r="V305" s="17"/>
      <x:c r="W305" s="17"/>
      <x:c r="X305" s="17"/>
      <x:c r="Y305" s="17"/>
      <x:c r="Z305" s="17"/>
    </x:row>
    <x:row r="306">
      <x:c r="A306" s="17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  <x:c r="O306" s="17"/>
      <x:c r="P306" s="17"/>
      <x:c r="Q306" s="17"/>
      <x:c r="R306" s="17"/>
      <x:c r="S306" s="17"/>
      <x:c r="T306" s="17"/>
      <x:c r="U306" s="17"/>
      <x:c r="V306" s="17"/>
      <x:c r="W306" s="17"/>
      <x:c r="X306" s="17"/>
      <x:c r="Y306" s="17"/>
      <x:c r="Z306" s="17"/>
    </x:row>
    <x:row r="307">
      <x:c r="A307" s="17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  <x:c r="O307" s="17"/>
      <x:c r="P307" s="17"/>
      <x:c r="Q307" s="17"/>
      <x:c r="R307" s="17"/>
      <x:c r="S307" s="17"/>
      <x:c r="T307" s="17"/>
      <x:c r="U307" s="17"/>
      <x:c r="V307" s="17"/>
      <x:c r="W307" s="17"/>
      <x:c r="X307" s="17"/>
      <x:c r="Y307" s="17"/>
      <x:c r="Z307" s="17"/>
    </x:row>
    <x:row r="308">
      <x:c r="A308" s="17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  <x:c r="O308" s="17"/>
      <x:c r="P308" s="17"/>
      <x:c r="Q308" s="17"/>
      <x:c r="R308" s="17"/>
      <x:c r="S308" s="17"/>
      <x:c r="T308" s="17"/>
      <x:c r="U308" s="17"/>
      <x:c r="V308" s="17"/>
      <x:c r="W308" s="17"/>
      <x:c r="X308" s="17"/>
      <x:c r="Y308" s="17"/>
      <x:c r="Z308" s="17"/>
    </x:row>
    <x:row r="309">
      <x:c r="A309" s="17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  <x:c r="O309" s="17"/>
      <x:c r="P309" s="17"/>
      <x:c r="Q309" s="17"/>
      <x:c r="R309" s="17"/>
      <x:c r="S309" s="17"/>
      <x:c r="T309" s="17"/>
      <x:c r="U309" s="17"/>
      <x:c r="V309" s="17"/>
      <x:c r="W309" s="17"/>
      <x:c r="X309" s="17"/>
      <x:c r="Y309" s="17"/>
      <x:c r="Z309" s="17"/>
    </x:row>
    <x:row r="310">
      <x:c r="A310" s="17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  <x:c r="O310" s="17"/>
      <x:c r="P310" s="17"/>
      <x:c r="Q310" s="17"/>
      <x:c r="R310" s="17"/>
      <x:c r="S310" s="17"/>
      <x:c r="T310" s="17"/>
      <x:c r="U310" s="17"/>
      <x:c r="V310" s="17"/>
      <x:c r="W310" s="17"/>
      <x:c r="X310" s="17"/>
      <x:c r="Y310" s="17"/>
      <x:c r="Z310" s="17"/>
    </x:row>
    <x:row r="311">
      <x:c r="A311" s="17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  <x:c r="O311" s="17"/>
      <x:c r="P311" s="17"/>
      <x:c r="Q311" s="17"/>
      <x:c r="R311" s="17"/>
      <x:c r="S311" s="17"/>
      <x:c r="T311" s="17"/>
      <x:c r="U311" s="17"/>
      <x:c r="V311" s="17"/>
      <x:c r="W311" s="17"/>
      <x:c r="X311" s="17"/>
      <x:c r="Y311" s="17"/>
      <x:c r="Z311" s="17"/>
    </x:row>
    <x:row r="312">
      <x:c r="A312" s="17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  <x:c r="O312" s="17"/>
      <x:c r="P312" s="17"/>
      <x:c r="Q312" s="17"/>
      <x:c r="R312" s="17"/>
      <x:c r="S312" s="17"/>
      <x:c r="T312" s="17"/>
      <x:c r="U312" s="17"/>
      <x:c r="V312" s="17"/>
      <x:c r="W312" s="17"/>
      <x:c r="X312" s="17"/>
      <x:c r="Y312" s="17"/>
      <x:c r="Z312" s="17"/>
    </x:row>
    <x:row r="313">
      <x:c r="A313" s="17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  <x:c r="O313" s="17"/>
      <x:c r="P313" s="17"/>
      <x:c r="Q313" s="17"/>
      <x:c r="R313" s="17"/>
      <x:c r="S313" s="17"/>
      <x:c r="T313" s="17"/>
      <x:c r="U313" s="17"/>
      <x:c r="V313" s="17"/>
      <x:c r="W313" s="17"/>
      <x:c r="X313" s="17"/>
      <x:c r="Y313" s="17"/>
      <x:c r="Z313" s="17"/>
    </x:row>
    <x:row r="314">
      <x:c r="A314" s="17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  <x:c r="O314" s="17"/>
      <x:c r="P314" s="17"/>
      <x:c r="Q314" s="17"/>
      <x:c r="R314" s="17"/>
      <x:c r="S314" s="17"/>
      <x:c r="T314" s="17"/>
      <x:c r="U314" s="17"/>
      <x:c r="V314" s="17"/>
      <x:c r="W314" s="17"/>
      <x:c r="X314" s="17"/>
      <x:c r="Y314" s="17"/>
      <x:c r="Z314" s="17"/>
    </x:row>
    <x:row r="315">
      <x:c r="A315" s="17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  <x:c r="O315" s="17"/>
      <x:c r="P315" s="17"/>
      <x:c r="Q315" s="17"/>
      <x:c r="R315" s="17"/>
      <x:c r="S315" s="17"/>
      <x:c r="T315" s="17"/>
      <x:c r="U315" s="17"/>
      <x:c r="V315" s="17"/>
      <x:c r="W315" s="17"/>
      <x:c r="X315" s="17"/>
      <x:c r="Y315" s="17"/>
      <x:c r="Z315" s="17"/>
    </x:row>
    <x:row r="316">
      <x:c r="A316" s="17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  <x:c r="O316" s="17"/>
      <x:c r="P316" s="17"/>
      <x:c r="Q316" s="17"/>
      <x:c r="R316" s="17"/>
      <x:c r="S316" s="17"/>
      <x:c r="T316" s="17"/>
      <x:c r="U316" s="17"/>
      <x:c r="V316" s="17"/>
      <x:c r="W316" s="17"/>
      <x:c r="X316" s="17"/>
      <x:c r="Y316" s="17"/>
      <x:c r="Z316" s="17"/>
    </x:row>
    <x:row r="317">
      <x:c r="A317" s="17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  <x:c r="O317" s="17"/>
      <x:c r="P317" s="17"/>
      <x:c r="Q317" s="17"/>
      <x:c r="R317" s="17"/>
      <x:c r="S317" s="17"/>
      <x:c r="T317" s="17"/>
      <x:c r="U317" s="17"/>
      <x:c r="V317" s="17"/>
      <x:c r="W317" s="17"/>
      <x:c r="X317" s="17"/>
      <x:c r="Y317" s="17"/>
      <x:c r="Z317" s="17"/>
    </x:row>
    <x:row r="318">
      <x:c r="A318" s="17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  <x:c r="O318" s="17"/>
      <x:c r="P318" s="17"/>
      <x:c r="Q318" s="17"/>
      <x:c r="R318" s="17"/>
      <x:c r="S318" s="17"/>
      <x:c r="T318" s="17"/>
      <x:c r="U318" s="17"/>
      <x:c r="V318" s="17"/>
      <x:c r="W318" s="17"/>
      <x:c r="X318" s="17"/>
      <x:c r="Y318" s="17"/>
      <x:c r="Z318" s="17"/>
    </x:row>
    <x:row r="319">
      <x:c r="A319" s="17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  <x:c r="O319" s="17"/>
      <x:c r="P319" s="17"/>
      <x:c r="Q319" s="17"/>
      <x:c r="R319" s="17"/>
      <x:c r="S319" s="17"/>
      <x:c r="T319" s="17"/>
      <x:c r="U319" s="17"/>
      <x:c r="V319" s="17"/>
      <x:c r="W319" s="17"/>
      <x:c r="X319" s="17"/>
      <x:c r="Y319" s="17"/>
      <x:c r="Z319" s="17"/>
    </x:row>
    <x:row r="320">
      <x:c r="A320" s="17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  <x:c r="O320" s="17"/>
      <x:c r="P320" s="17"/>
      <x:c r="Q320" s="17"/>
      <x:c r="R320" s="17"/>
      <x:c r="S320" s="17"/>
      <x:c r="T320" s="17"/>
      <x:c r="U320" s="17"/>
      <x:c r="V320" s="17"/>
      <x:c r="W320" s="17"/>
      <x:c r="X320" s="17"/>
      <x:c r="Y320" s="17"/>
      <x:c r="Z320" s="17"/>
    </x:row>
    <x:row r="321">
      <x:c r="A321" s="17"/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  <x:c r="O321" s="17"/>
      <x:c r="P321" s="17"/>
      <x:c r="Q321" s="17"/>
      <x:c r="R321" s="17"/>
      <x:c r="S321" s="17"/>
      <x:c r="T321" s="17"/>
      <x:c r="U321" s="17"/>
      <x:c r="V321" s="17"/>
      <x:c r="W321" s="17"/>
      <x:c r="X321" s="17"/>
      <x:c r="Y321" s="17"/>
      <x:c r="Z321" s="17"/>
    </x:row>
    <x:row r="322">
      <x:c r="A322" s="17"/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  <x:c r="O322" s="17"/>
      <x:c r="P322" s="17"/>
      <x:c r="Q322" s="17"/>
      <x:c r="R322" s="17"/>
      <x:c r="S322" s="17"/>
      <x:c r="T322" s="17"/>
      <x:c r="U322" s="17"/>
      <x:c r="V322" s="17"/>
      <x:c r="W322" s="17"/>
      <x:c r="X322" s="17"/>
      <x:c r="Y322" s="17"/>
      <x:c r="Z322" s="17"/>
    </x:row>
    <x:row r="323">
      <x:c r="A323" s="17"/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  <x:c r="O323" s="17"/>
      <x:c r="P323" s="17"/>
      <x:c r="Q323" s="17"/>
      <x:c r="R323" s="17"/>
      <x:c r="S323" s="17"/>
      <x:c r="T323" s="17"/>
      <x:c r="U323" s="17"/>
      <x:c r="V323" s="17"/>
      <x:c r="W323" s="17"/>
      <x:c r="X323" s="17"/>
      <x:c r="Y323" s="17"/>
      <x:c r="Z323" s="17"/>
    </x:row>
    <x:row r="324">
      <x:c r="A324" s="17"/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  <x:c r="O324" s="17"/>
      <x:c r="P324" s="17"/>
      <x:c r="Q324" s="17"/>
      <x:c r="R324" s="17"/>
      <x:c r="S324" s="17"/>
      <x:c r="T324" s="17"/>
      <x:c r="U324" s="17"/>
      <x:c r="V324" s="17"/>
      <x:c r="W324" s="17"/>
      <x:c r="X324" s="17"/>
      <x:c r="Y324" s="17"/>
      <x:c r="Z324" s="17"/>
    </x:row>
    <x:row r="325">
      <x:c r="A325" s="17"/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  <x:c r="O325" s="17"/>
      <x:c r="P325" s="17"/>
      <x:c r="Q325" s="17"/>
      <x:c r="R325" s="17"/>
      <x:c r="S325" s="17"/>
      <x:c r="T325" s="17"/>
      <x:c r="U325" s="17"/>
      <x:c r="V325" s="17"/>
      <x:c r="W325" s="17"/>
      <x:c r="X325" s="17"/>
      <x:c r="Y325" s="17"/>
      <x:c r="Z325" s="17"/>
    </x:row>
    <x:row r="326">
      <x:c r="A326" s="17"/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  <x:c r="O326" s="17"/>
      <x:c r="P326" s="17"/>
      <x:c r="Q326" s="17"/>
      <x:c r="R326" s="17"/>
      <x:c r="S326" s="17"/>
      <x:c r="T326" s="17"/>
      <x:c r="U326" s="17"/>
      <x:c r="V326" s="17"/>
      <x:c r="W326" s="17"/>
      <x:c r="X326" s="17"/>
      <x:c r="Y326" s="17"/>
      <x:c r="Z326" s="17"/>
    </x:row>
    <x:row r="327">
      <x:c r="A327" s="17"/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  <x:c r="O327" s="17"/>
      <x:c r="P327" s="17"/>
      <x:c r="Q327" s="17"/>
      <x:c r="R327" s="17"/>
      <x:c r="S327" s="17"/>
      <x:c r="T327" s="17"/>
      <x:c r="U327" s="17"/>
      <x:c r="V327" s="17"/>
      <x:c r="W327" s="17"/>
      <x:c r="X327" s="17"/>
      <x:c r="Y327" s="17"/>
      <x:c r="Z327" s="17"/>
    </x:row>
    <x:row r="328">
      <x:c r="A328" s="17"/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  <x:c r="O328" s="17"/>
      <x:c r="P328" s="17"/>
      <x:c r="Q328" s="17"/>
      <x:c r="R328" s="17"/>
      <x:c r="S328" s="17"/>
      <x:c r="T328" s="17"/>
      <x:c r="U328" s="17"/>
      <x:c r="V328" s="17"/>
      <x:c r="W328" s="17"/>
      <x:c r="X328" s="17"/>
      <x:c r="Y328" s="17"/>
      <x:c r="Z328" s="17"/>
    </x:row>
    <x:row r="329">
      <x:c r="A329" s="17"/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  <x:c r="O329" s="17"/>
      <x:c r="P329" s="17"/>
      <x:c r="Q329" s="17"/>
      <x:c r="R329" s="17"/>
      <x:c r="S329" s="17"/>
      <x:c r="T329" s="17"/>
      <x:c r="U329" s="17"/>
      <x:c r="V329" s="17"/>
      <x:c r="W329" s="17"/>
      <x:c r="X329" s="17"/>
      <x:c r="Y329" s="17"/>
      <x:c r="Z329" s="17"/>
    </x:row>
    <x:row r="330">
      <x:c r="A330" s="17"/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  <x:c r="O330" s="17"/>
      <x:c r="P330" s="17"/>
      <x:c r="Q330" s="17"/>
      <x:c r="R330" s="17"/>
      <x:c r="S330" s="17"/>
      <x:c r="T330" s="17"/>
      <x:c r="U330" s="17"/>
      <x:c r="V330" s="17"/>
      <x:c r="W330" s="17"/>
      <x:c r="X330" s="17"/>
      <x:c r="Y330" s="17"/>
      <x:c r="Z330" s="17"/>
    </x:row>
    <x:row r="331">
      <x:c r="A331" s="17"/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  <x:c r="O331" s="17"/>
      <x:c r="P331" s="17"/>
      <x:c r="Q331" s="17"/>
      <x:c r="R331" s="17"/>
      <x:c r="S331" s="17"/>
      <x:c r="T331" s="17"/>
      <x:c r="U331" s="17"/>
      <x:c r="V331" s="17"/>
      <x:c r="W331" s="17"/>
      <x:c r="X331" s="17"/>
      <x:c r="Y331" s="17"/>
      <x:c r="Z331" s="17"/>
    </x:row>
    <x:row r="332">
      <x:c r="A332" s="17"/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  <x:c r="O332" s="17"/>
      <x:c r="P332" s="17"/>
      <x:c r="Q332" s="17"/>
      <x:c r="R332" s="17"/>
      <x:c r="S332" s="17"/>
      <x:c r="T332" s="17"/>
      <x:c r="U332" s="17"/>
      <x:c r="V332" s="17"/>
      <x:c r="W332" s="17"/>
      <x:c r="X332" s="17"/>
      <x:c r="Y332" s="17"/>
      <x:c r="Z332" s="17"/>
    </x:row>
    <x:row r="333">
      <x:c r="A333" s="17"/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  <x:c r="O333" s="17"/>
      <x:c r="P333" s="17"/>
      <x:c r="Q333" s="17"/>
      <x:c r="R333" s="17"/>
      <x:c r="S333" s="17"/>
      <x:c r="T333" s="17"/>
      <x:c r="U333" s="17"/>
      <x:c r="V333" s="17"/>
      <x:c r="W333" s="17"/>
      <x:c r="X333" s="17"/>
      <x:c r="Y333" s="17"/>
      <x:c r="Z333" s="17"/>
    </x:row>
    <x:row r="334">
      <x:c r="A334" s="17"/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  <x:c r="O334" s="17"/>
      <x:c r="P334" s="17"/>
      <x:c r="Q334" s="17"/>
      <x:c r="R334" s="17"/>
      <x:c r="S334" s="17"/>
      <x:c r="T334" s="17"/>
      <x:c r="U334" s="17"/>
      <x:c r="V334" s="17"/>
      <x:c r="W334" s="17"/>
      <x:c r="X334" s="17"/>
      <x:c r="Y334" s="17"/>
      <x:c r="Z334" s="17"/>
    </x:row>
    <x:row r="335">
      <x:c r="A335" s="17"/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  <x:c r="O335" s="17"/>
      <x:c r="P335" s="17"/>
      <x:c r="Q335" s="17"/>
      <x:c r="R335" s="17"/>
      <x:c r="S335" s="17"/>
      <x:c r="T335" s="17"/>
      <x:c r="U335" s="17"/>
      <x:c r="V335" s="17"/>
      <x:c r="W335" s="17"/>
      <x:c r="X335" s="17"/>
      <x:c r="Y335" s="17"/>
      <x:c r="Z335" s="17"/>
    </x:row>
    <x:row r="336">
      <x:c r="A336" s="17"/>
      <x:c r="B336" s="17"/>
      <x:c r="C336" s="17"/>
      <x:c r="D336" s="17"/>
      <x:c r="E336" s="17"/>
      <x:c r="F336" s="17"/>
      <x:c r="G336" s="17"/>
      <x:c r="H336" s="17"/>
      <x:c r="I336" s="17"/>
      <x:c r="J336" s="17"/>
      <x:c r="K336" s="17"/>
      <x:c r="L336" s="17"/>
      <x:c r="M336" s="17"/>
      <x:c r="N336" s="17"/>
      <x:c r="O336" s="17"/>
      <x:c r="P336" s="17"/>
      <x:c r="Q336" s="17"/>
      <x:c r="R336" s="17"/>
      <x:c r="S336" s="17"/>
      <x:c r="T336" s="17"/>
      <x:c r="U336" s="17"/>
      <x:c r="V336" s="17"/>
      <x:c r="W336" s="17"/>
      <x:c r="X336" s="17"/>
      <x:c r="Y336" s="17"/>
      <x:c r="Z336" s="17"/>
    </x:row>
    <x:row r="337">
      <x:c r="A337" s="17"/>
      <x:c r="B337" s="17"/>
      <x:c r="C337" s="17"/>
      <x:c r="D337" s="17"/>
      <x:c r="E337" s="17"/>
      <x:c r="F337" s="17"/>
      <x:c r="G337" s="17"/>
      <x:c r="H337" s="17"/>
      <x:c r="I337" s="17"/>
      <x:c r="J337" s="17"/>
      <x:c r="K337" s="17"/>
      <x:c r="L337" s="17"/>
      <x:c r="M337" s="17"/>
      <x:c r="N337" s="17"/>
      <x:c r="O337" s="17"/>
      <x:c r="P337" s="17"/>
      <x:c r="Q337" s="17"/>
      <x:c r="R337" s="17"/>
      <x:c r="S337" s="17"/>
      <x:c r="T337" s="17"/>
      <x:c r="U337" s="17"/>
      <x:c r="V337" s="17"/>
      <x:c r="W337" s="17"/>
      <x:c r="X337" s="17"/>
      <x:c r="Y337" s="17"/>
      <x:c r="Z337" s="17"/>
    </x:row>
    <x:row r="338">
      <x:c r="A338" s="17"/>
      <x:c r="B338" s="17"/>
      <x:c r="C338" s="17"/>
      <x:c r="D338" s="17"/>
      <x:c r="E338" s="17"/>
      <x:c r="F338" s="17"/>
      <x:c r="G338" s="17"/>
      <x:c r="H338" s="17"/>
      <x:c r="I338" s="17"/>
      <x:c r="J338" s="17"/>
      <x:c r="K338" s="17"/>
      <x:c r="L338" s="17"/>
      <x:c r="M338" s="17"/>
      <x:c r="N338" s="17"/>
      <x:c r="O338" s="17"/>
      <x:c r="P338" s="17"/>
      <x:c r="Q338" s="17"/>
      <x:c r="R338" s="17"/>
      <x:c r="S338" s="17"/>
      <x:c r="T338" s="17"/>
      <x:c r="U338" s="17"/>
      <x:c r="V338" s="17"/>
      <x:c r="W338" s="17"/>
      <x:c r="X338" s="17"/>
      <x:c r="Y338" s="17"/>
      <x:c r="Z338" s="17"/>
    </x:row>
    <x:row r="339">
      <x:c r="A339" s="17"/>
      <x:c r="B339" s="17"/>
      <x:c r="C339" s="17"/>
      <x:c r="D339" s="17"/>
      <x:c r="E339" s="17"/>
      <x:c r="F339" s="17"/>
      <x:c r="G339" s="17"/>
      <x:c r="H339" s="17"/>
      <x:c r="I339" s="17"/>
      <x:c r="J339" s="17"/>
      <x:c r="K339" s="17"/>
      <x:c r="L339" s="17"/>
      <x:c r="M339" s="17"/>
      <x:c r="N339" s="17"/>
      <x:c r="O339" s="17"/>
      <x:c r="P339" s="17"/>
      <x:c r="Q339" s="17"/>
      <x:c r="R339" s="17"/>
      <x:c r="S339" s="17"/>
      <x:c r="T339" s="17"/>
      <x:c r="U339" s="17"/>
      <x:c r="V339" s="17"/>
      <x:c r="W339" s="17"/>
      <x:c r="X339" s="17"/>
      <x:c r="Y339" s="17"/>
      <x:c r="Z339" s="17"/>
    </x:row>
    <x:row r="340">
      <x:c r="A340" s="17"/>
      <x:c r="B340" s="17"/>
      <x:c r="C340" s="17"/>
      <x:c r="D340" s="17"/>
      <x:c r="E340" s="17"/>
      <x:c r="F340" s="17"/>
      <x:c r="G340" s="17"/>
      <x:c r="H340" s="17"/>
      <x:c r="I340" s="17"/>
      <x:c r="J340" s="17"/>
      <x:c r="K340" s="17"/>
      <x:c r="L340" s="17"/>
      <x:c r="M340" s="17"/>
      <x:c r="N340" s="17"/>
      <x:c r="O340" s="17"/>
      <x:c r="P340" s="17"/>
      <x:c r="Q340" s="17"/>
      <x:c r="R340" s="17"/>
      <x:c r="S340" s="17"/>
      <x:c r="T340" s="17"/>
      <x:c r="U340" s="17"/>
      <x:c r="V340" s="17"/>
      <x:c r="W340" s="17"/>
      <x:c r="X340" s="17"/>
      <x:c r="Y340" s="17"/>
      <x:c r="Z340" s="17"/>
    </x:row>
    <x:row r="341">
      <x:c r="A341" s="17"/>
      <x:c r="B341" s="17"/>
      <x:c r="C341" s="17"/>
      <x:c r="D341" s="17"/>
      <x:c r="E341" s="17"/>
      <x:c r="F341" s="17"/>
      <x:c r="G341" s="17"/>
      <x:c r="H341" s="17"/>
      <x:c r="I341" s="17"/>
      <x:c r="J341" s="17"/>
      <x:c r="K341" s="17"/>
      <x:c r="L341" s="17"/>
      <x:c r="M341" s="17"/>
      <x:c r="N341" s="17"/>
      <x:c r="O341" s="17"/>
      <x:c r="P341" s="17"/>
      <x:c r="Q341" s="17"/>
      <x:c r="R341" s="17"/>
      <x:c r="S341" s="17"/>
      <x:c r="T341" s="17"/>
      <x:c r="U341" s="17"/>
      <x:c r="V341" s="17"/>
      <x:c r="W341" s="17"/>
      <x:c r="X341" s="17"/>
      <x:c r="Y341" s="17"/>
      <x:c r="Z341" s="17"/>
    </x:row>
    <x:row r="342">
      <x:c r="A342" s="17"/>
      <x:c r="B342" s="17"/>
      <x:c r="C342" s="17"/>
      <x:c r="D342" s="17"/>
      <x:c r="E342" s="17"/>
      <x:c r="F342" s="17"/>
      <x:c r="G342" s="17"/>
      <x:c r="H342" s="17"/>
      <x:c r="I342" s="17"/>
      <x:c r="J342" s="17"/>
      <x:c r="K342" s="17"/>
      <x:c r="L342" s="17"/>
      <x:c r="M342" s="17"/>
      <x:c r="N342" s="17"/>
      <x:c r="O342" s="17"/>
      <x:c r="P342" s="17"/>
      <x:c r="Q342" s="17"/>
      <x:c r="R342" s="17"/>
      <x:c r="S342" s="17"/>
      <x:c r="T342" s="17"/>
      <x:c r="U342" s="17"/>
      <x:c r="V342" s="17"/>
      <x:c r="W342" s="17"/>
      <x:c r="X342" s="17"/>
      <x:c r="Y342" s="17"/>
      <x:c r="Z342" s="17"/>
    </x:row>
    <x:row r="343">
      <x:c r="A343" s="17"/>
      <x:c r="B343" s="17"/>
      <x:c r="C343" s="17"/>
      <x:c r="D343" s="17"/>
      <x:c r="E343" s="17"/>
      <x:c r="F343" s="17"/>
      <x:c r="G343" s="17"/>
      <x:c r="H343" s="17"/>
      <x:c r="I343" s="17"/>
      <x:c r="J343" s="17"/>
      <x:c r="K343" s="17"/>
      <x:c r="L343" s="17"/>
      <x:c r="M343" s="17"/>
      <x:c r="N343" s="17"/>
      <x:c r="O343" s="17"/>
      <x:c r="P343" s="17"/>
      <x:c r="Q343" s="17"/>
      <x:c r="R343" s="17"/>
      <x:c r="S343" s="17"/>
      <x:c r="T343" s="17"/>
      <x:c r="U343" s="17"/>
      <x:c r="V343" s="17"/>
      <x:c r="W343" s="17"/>
      <x:c r="X343" s="17"/>
      <x:c r="Y343" s="17"/>
      <x:c r="Z343" s="17"/>
    </x:row>
    <x:row r="344">
      <x:c r="A344" s="17"/>
      <x:c r="B344" s="17"/>
      <x:c r="C344" s="17"/>
      <x:c r="D344" s="17"/>
      <x:c r="E344" s="17"/>
      <x:c r="F344" s="17"/>
      <x:c r="G344" s="17"/>
      <x:c r="H344" s="17"/>
      <x:c r="I344" s="17"/>
      <x:c r="J344" s="17"/>
      <x:c r="K344" s="17"/>
      <x:c r="L344" s="17"/>
      <x:c r="M344" s="17"/>
      <x:c r="N344" s="17"/>
      <x:c r="O344" s="17"/>
      <x:c r="P344" s="17"/>
      <x:c r="Q344" s="17"/>
      <x:c r="R344" s="17"/>
      <x:c r="S344" s="17"/>
      <x:c r="T344" s="17"/>
      <x:c r="U344" s="17"/>
      <x:c r="V344" s="17"/>
      <x:c r="W344" s="17"/>
      <x:c r="X344" s="17"/>
      <x:c r="Y344" s="17"/>
      <x:c r="Z344" s="17"/>
    </x:row>
    <x:row r="345">
      <x:c r="A345" s="17"/>
      <x:c r="B345" s="17"/>
      <x:c r="C345" s="17"/>
      <x:c r="D345" s="17"/>
      <x:c r="E345" s="17"/>
      <x:c r="F345" s="17"/>
      <x:c r="G345" s="17"/>
      <x:c r="H345" s="17"/>
      <x:c r="I345" s="17"/>
      <x:c r="J345" s="17"/>
      <x:c r="K345" s="17"/>
      <x:c r="L345" s="17"/>
      <x:c r="M345" s="17"/>
      <x:c r="N345" s="17"/>
      <x:c r="O345" s="17"/>
      <x:c r="P345" s="17"/>
      <x:c r="Q345" s="17"/>
      <x:c r="R345" s="17"/>
      <x:c r="S345" s="17"/>
      <x:c r="T345" s="17"/>
      <x:c r="U345" s="17"/>
      <x:c r="V345" s="17"/>
      <x:c r="W345" s="17"/>
      <x:c r="X345" s="17"/>
      <x:c r="Y345" s="17"/>
      <x:c r="Z345" s="17"/>
    </x:row>
    <x:row r="346">
      <x:c r="A346" s="17"/>
      <x:c r="B346" s="17"/>
      <x:c r="C346" s="17"/>
      <x:c r="D346" s="17"/>
      <x:c r="E346" s="17"/>
      <x:c r="F346" s="17"/>
      <x:c r="G346" s="17"/>
      <x:c r="H346" s="17"/>
      <x:c r="I346" s="17"/>
      <x:c r="J346" s="17"/>
      <x:c r="K346" s="17"/>
      <x:c r="L346" s="17"/>
      <x:c r="M346" s="17"/>
      <x:c r="N346" s="17"/>
      <x:c r="O346" s="17"/>
      <x:c r="P346" s="17"/>
      <x:c r="Q346" s="17"/>
      <x:c r="R346" s="17"/>
      <x:c r="S346" s="17"/>
      <x:c r="T346" s="17"/>
      <x:c r="U346" s="17"/>
      <x:c r="V346" s="17"/>
      <x:c r="W346" s="17"/>
      <x:c r="X346" s="17"/>
      <x:c r="Y346" s="17"/>
      <x:c r="Z346" s="17"/>
    </x:row>
    <x:row r="347">
      <x:c r="A347" s="17"/>
      <x:c r="B347" s="17"/>
      <x:c r="C347" s="17"/>
      <x:c r="D347" s="17"/>
      <x:c r="E347" s="17"/>
      <x:c r="F347" s="17"/>
      <x:c r="G347" s="17"/>
      <x:c r="H347" s="17"/>
      <x:c r="I347" s="17"/>
      <x:c r="J347" s="17"/>
      <x:c r="K347" s="17"/>
      <x:c r="L347" s="17"/>
      <x:c r="M347" s="17"/>
      <x:c r="N347" s="17"/>
      <x:c r="O347" s="17"/>
      <x:c r="P347" s="17"/>
      <x:c r="Q347" s="17"/>
      <x:c r="R347" s="17"/>
      <x:c r="S347" s="17"/>
      <x:c r="T347" s="17"/>
      <x:c r="U347" s="17"/>
      <x:c r="V347" s="17"/>
      <x:c r="W347" s="17"/>
      <x:c r="X347" s="17"/>
      <x:c r="Y347" s="17"/>
      <x:c r="Z347" s="17"/>
    </x:row>
    <x:row r="348">
      <x:c r="A348" s="17"/>
      <x:c r="B348" s="17"/>
      <x:c r="C348" s="17"/>
      <x:c r="D348" s="17"/>
      <x:c r="E348" s="17"/>
      <x:c r="F348" s="17"/>
      <x:c r="G348" s="17"/>
      <x:c r="H348" s="17"/>
      <x:c r="I348" s="17"/>
      <x:c r="J348" s="17"/>
      <x:c r="K348" s="17"/>
      <x:c r="L348" s="17"/>
      <x:c r="M348" s="17"/>
      <x:c r="N348" s="17"/>
      <x:c r="O348" s="17"/>
      <x:c r="P348" s="17"/>
      <x:c r="Q348" s="17"/>
      <x:c r="R348" s="17"/>
      <x:c r="S348" s="17"/>
      <x:c r="T348" s="17"/>
      <x:c r="U348" s="17"/>
      <x:c r="V348" s="17"/>
      <x:c r="W348" s="17"/>
      <x:c r="X348" s="17"/>
      <x:c r="Y348" s="17"/>
      <x:c r="Z348" s="17"/>
    </x:row>
    <x:row r="349">
      <x:c r="A349" s="17"/>
      <x:c r="B349" s="17"/>
      <x:c r="C349" s="17"/>
      <x:c r="D349" s="17"/>
      <x:c r="E349" s="17"/>
      <x:c r="F349" s="17"/>
      <x:c r="G349" s="17"/>
      <x:c r="H349" s="17"/>
      <x:c r="I349" s="17"/>
      <x:c r="J349" s="17"/>
      <x:c r="K349" s="17"/>
      <x:c r="L349" s="17"/>
      <x:c r="M349" s="17"/>
      <x:c r="N349" s="17"/>
      <x:c r="O349" s="17"/>
      <x:c r="P349" s="17"/>
      <x:c r="Q349" s="17"/>
      <x:c r="R349" s="17"/>
      <x:c r="S349" s="17"/>
      <x:c r="T349" s="17"/>
      <x:c r="U349" s="17"/>
      <x:c r="V349" s="17"/>
      <x:c r="W349" s="17"/>
      <x:c r="X349" s="17"/>
      <x:c r="Y349" s="17"/>
      <x:c r="Z349" s="17"/>
    </x:row>
    <x:row r="350">
      <x:c r="A350" s="17"/>
      <x:c r="B350" s="17"/>
      <x:c r="C350" s="17"/>
      <x:c r="D350" s="17"/>
      <x:c r="E350" s="17"/>
      <x:c r="F350" s="17"/>
      <x:c r="G350" s="17"/>
      <x:c r="H350" s="17"/>
      <x:c r="I350" s="17"/>
      <x:c r="J350" s="17"/>
      <x:c r="K350" s="17"/>
      <x:c r="L350" s="17"/>
      <x:c r="M350" s="17"/>
      <x:c r="N350" s="17"/>
      <x:c r="O350" s="17"/>
      <x:c r="P350" s="17"/>
      <x:c r="Q350" s="17"/>
      <x:c r="R350" s="17"/>
      <x:c r="S350" s="17"/>
      <x:c r="T350" s="17"/>
      <x:c r="U350" s="17"/>
      <x:c r="V350" s="17"/>
      <x:c r="W350" s="17"/>
      <x:c r="X350" s="17"/>
      <x:c r="Y350" s="17"/>
      <x:c r="Z350" s="17"/>
    </x:row>
    <x:row r="351">
      <x:c r="A351" s="17"/>
      <x:c r="B351" s="17"/>
      <x:c r="C351" s="17"/>
      <x:c r="D351" s="17"/>
      <x:c r="E351" s="17"/>
      <x:c r="F351" s="17"/>
      <x:c r="G351" s="17"/>
      <x:c r="H351" s="17"/>
      <x:c r="I351" s="17"/>
      <x:c r="J351" s="17"/>
      <x:c r="K351" s="17"/>
      <x:c r="L351" s="17"/>
      <x:c r="M351" s="17"/>
      <x:c r="N351" s="17"/>
      <x:c r="O351" s="17"/>
      <x:c r="P351" s="17"/>
      <x:c r="Q351" s="17"/>
      <x:c r="R351" s="17"/>
      <x:c r="S351" s="17"/>
      <x:c r="T351" s="17"/>
      <x:c r="U351" s="17"/>
      <x:c r="V351" s="17"/>
      <x:c r="W351" s="17"/>
      <x:c r="X351" s="17"/>
      <x:c r="Y351" s="17"/>
      <x:c r="Z351" s="17"/>
    </x:row>
    <x:row r="352">
      <x:c r="A352" s="17"/>
      <x:c r="B352" s="17"/>
      <x:c r="C352" s="17"/>
      <x:c r="D352" s="17"/>
      <x:c r="E352" s="17"/>
      <x:c r="F352" s="17"/>
      <x:c r="G352" s="17"/>
      <x:c r="H352" s="17"/>
      <x:c r="I352" s="17"/>
      <x:c r="J352" s="17"/>
      <x:c r="K352" s="17"/>
      <x:c r="L352" s="17"/>
      <x:c r="M352" s="17"/>
      <x:c r="N352" s="17"/>
      <x:c r="O352" s="17"/>
      <x:c r="P352" s="17"/>
      <x:c r="Q352" s="17"/>
      <x:c r="R352" s="17"/>
      <x:c r="S352" s="17"/>
      <x:c r="T352" s="17"/>
      <x:c r="U352" s="17"/>
      <x:c r="V352" s="17"/>
      <x:c r="W352" s="17"/>
      <x:c r="X352" s="17"/>
      <x:c r="Y352" s="17"/>
      <x:c r="Z352" s="17"/>
    </x:row>
    <x:row r="353">
      <x:c r="A353" s="17"/>
      <x:c r="B353" s="17"/>
      <x:c r="C353" s="17"/>
      <x:c r="D353" s="17"/>
      <x:c r="E353" s="17"/>
      <x:c r="F353" s="17"/>
      <x:c r="G353" s="17"/>
      <x:c r="H353" s="17"/>
      <x:c r="I353" s="17"/>
      <x:c r="J353" s="17"/>
      <x:c r="K353" s="17"/>
      <x:c r="L353" s="17"/>
      <x:c r="M353" s="17"/>
      <x:c r="N353" s="17"/>
      <x:c r="O353" s="17"/>
      <x:c r="P353" s="17"/>
      <x:c r="Q353" s="17"/>
      <x:c r="R353" s="17"/>
      <x:c r="S353" s="17"/>
      <x:c r="T353" s="17"/>
      <x:c r="U353" s="17"/>
      <x:c r="V353" s="17"/>
      <x:c r="W353" s="17"/>
      <x:c r="X353" s="17"/>
      <x:c r="Y353" s="17"/>
      <x:c r="Z353" s="17"/>
    </x:row>
    <x:row r="354">
      <x:c r="A354" s="17"/>
      <x:c r="B354" s="17"/>
      <x:c r="C354" s="17"/>
      <x:c r="D354" s="17"/>
      <x:c r="E354" s="17"/>
      <x:c r="F354" s="17"/>
      <x:c r="G354" s="17"/>
      <x:c r="H354" s="17"/>
      <x:c r="I354" s="17"/>
      <x:c r="J354" s="17"/>
      <x:c r="K354" s="17"/>
      <x:c r="L354" s="17"/>
      <x:c r="M354" s="17"/>
      <x:c r="N354" s="17"/>
      <x:c r="O354" s="17"/>
      <x:c r="P354" s="17"/>
      <x:c r="Q354" s="17"/>
      <x:c r="R354" s="17"/>
      <x:c r="S354" s="17"/>
      <x:c r="T354" s="17"/>
      <x:c r="U354" s="17"/>
      <x:c r="V354" s="17"/>
      <x:c r="W354" s="17"/>
      <x:c r="X354" s="17"/>
      <x:c r="Y354" s="17"/>
      <x:c r="Z354" s="17"/>
    </x:row>
    <x:row r="355">
      <x:c r="A355" s="17"/>
      <x:c r="B355" s="17"/>
      <x:c r="C355" s="17"/>
      <x:c r="D355" s="17"/>
      <x:c r="E355" s="17"/>
      <x:c r="F355" s="17"/>
      <x:c r="G355" s="17"/>
      <x:c r="H355" s="17"/>
      <x:c r="I355" s="17"/>
      <x:c r="J355" s="17"/>
      <x:c r="K355" s="17"/>
      <x:c r="L355" s="17"/>
      <x:c r="M355" s="17"/>
      <x:c r="N355" s="17"/>
      <x:c r="O355" s="17"/>
      <x:c r="P355" s="17"/>
      <x:c r="Q355" s="17"/>
      <x:c r="R355" s="17"/>
      <x:c r="S355" s="17"/>
      <x:c r="T355" s="17"/>
      <x:c r="U355" s="17"/>
      <x:c r="V355" s="17"/>
      <x:c r="W355" s="17"/>
      <x:c r="X355" s="17"/>
      <x:c r="Y355" s="17"/>
      <x:c r="Z355" s="17"/>
    </x:row>
    <x:row r="356">
      <x:c r="A356" s="17"/>
      <x:c r="B356" s="17"/>
      <x:c r="C356" s="17"/>
      <x:c r="D356" s="17"/>
      <x:c r="E356" s="17"/>
      <x:c r="F356" s="17"/>
      <x:c r="G356" s="17"/>
      <x:c r="H356" s="17"/>
      <x:c r="I356" s="17"/>
      <x:c r="J356" s="17"/>
      <x:c r="K356" s="17"/>
      <x:c r="L356" s="17"/>
      <x:c r="M356" s="17"/>
      <x:c r="N356" s="17"/>
      <x:c r="O356" s="17"/>
      <x:c r="P356" s="17"/>
      <x:c r="Q356" s="17"/>
      <x:c r="R356" s="17"/>
      <x:c r="S356" s="17"/>
      <x:c r="T356" s="17"/>
      <x:c r="U356" s="17"/>
      <x:c r="V356" s="17"/>
      <x:c r="W356" s="17"/>
      <x:c r="X356" s="17"/>
      <x:c r="Y356" s="17"/>
      <x:c r="Z356" s="17"/>
    </x:row>
    <x:row r="357">
      <x:c r="A357" s="17"/>
      <x:c r="B357" s="17"/>
      <x:c r="C357" s="17"/>
      <x:c r="D357" s="17"/>
      <x:c r="E357" s="17"/>
      <x:c r="F357" s="17"/>
      <x:c r="G357" s="17"/>
      <x:c r="H357" s="17"/>
      <x:c r="I357" s="17"/>
      <x:c r="J357" s="17"/>
      <x:c r="K357" s="17"/>
      <x:c r="L357" s="17"/>
      <x:c r="M357" s="17"/>
      <x:c r="N357" s="17"/>
      <x:c r="O357" s="17"/>
      <x:c r="P357" s="17"/>
      <x:c r="Q357" s="17"/>
      <x:c r="R357" s="17"/>
      <x:c r="S357" s="17"/>
      <x:c r="T357" s="17"/>
      <x:c r="U357" s="17"/>
      <x:c r="V357" s="17"/>
      <x:c r="W357" s="17"/>
      <x:c r="X357" s="17"/>
      <x:c r="Y357" s="17"/>
      <x:c r="Z357" s="17"/>
    </x:row>
    <x:row r="358">
      <x:c r="A358" s="17"/>
      <x:c r="B358" s="17"/>
      <x:c r="C358" s="17"/>
      <x:c r="D358" s="17"/>
      <x:c r="E358" s="17"/>
      <x:c r="F358" s="17"/>
      <x:c r="G358" s="17"/>
      <x:c r="H358" s="17"/>
      <x:c r="I358" s="17"/>
      <x:c r="J358" s="17"/>
      <x:c r="K358" s="17"/>
      <x:c r="L358" s="17"/>
      <x:c r="M358" s="17"/>
      <x:c r="N358" s="17"/>
      <x:c r="O358" s="17"/>
      <x:c r="P358" s="17"/>
      <x:c r="Q358" s="17"/>
      <x:c r="R358" s="17"/>
      <x:c r="S358" s="17"/>
      <x:c r="T358" s="17"/>
      <x:c r="U358" s="17"/>
      <x:c r="V358" s="17"/>
      <x:c r="W358" s="17"/>
      <x:c r="X358" s="17"/>
      <x:c r="Y358" s="17"/>
      <x:c r="Z358" s="17"/>
    </x:row>
    <x:row r="359">
      <x:c r="A359" s="17"/>
      <x:c r="B359" s="17"/>
      <x:c r="C359" s="17"/>
      <x:c r="D359" s="17"/>
      <x:c r="E359" s="17"/>
      <x:c r="F359" s="17"/>
      <x:c r="G359" s="17"/>
      <x:c r="H359" s="17"/>
      <x:c r="I359" s="17"/>
      <x:c r="J359" s="17"/>
      <x:c r="K359" s="17"/>
      <x:c r="L359" s="17"/>
      <x:c r="M359" s="17"/>
      <x:c r="N359" s="17"/>
      <x:c r="O359" s="17"/>
      <x:c r="P359" s="17"/>
      <x:c r="Q359" s="17"/>
      <x:c r="R359" s="17"/>
      <x:c r="S359" s="17"/>
      <x:c r="T359" s="17"/>
      <x:c r="U359" s="17"/>
      <x:c r="V359" s="17"/>
      <x:c r="W359" s="17"/>
      <x:c r="X359" s="17"/>
      <x:c r="Y359" s="17"/>
      <x:c r="Z359" s="17"/>
    </x:row>
    <x:row r="360">
      <x:c r="A360" s="17"/>
      <x:c r="B360" s="17"/>
      <x:c r="C360" s="17"/>
      <x:c r="D360" s="17"/>
      <x:c r="E360" s="17"/>
      <x:c r="F360" s="17"/>
      <x:c r="G360" s="17"/>
      <x:c r="H360" s="17"/>
      <x:c r="I360" s="17"/>
      <x:c r="J360" s="17"/>
      <x:c r="K360" s="17"/>
      <x:c r="L360" s="17"/>
      <x:c r="M360" s="17"/>
      <x:c r="N360" s="17"/>
      <x:c r="O360" s="17"/>
      <x:c r="P360" s="17"/>
      <x:c r="Q360" s="17"/>
      <x:c r="R360" s="17"/>
      <x:c r="S360" s="17"/>
      <x:c r="T360" s="17"/>
      <x:c r="U360" s="17"/>
      <x:c r="V360" s="17"/>
      <x:c r="W360" s="17"/>
      <x:c r="X360" s="17"/>
      <x:c r="Y360" s="17"/>
      <x:c r="Z360" s="17"/>
    </x:row>
    <x:row r="361">
      <x:c r="A361" s="17"/>
      <x:c r="B361" s="17"/>
      <x:c r="C361" s="17"/>
      <x:c r="D361" s="17"/>
      <x:c r="E361" s="17"/>
      <x:c r="F361" s="17"/>
      <x:c r="G361" s="17"/>
      <x:c r="H361" s="17"/>
      <x:c r="I361" s="17"/>
      <x:c r="J361" s="17"/>
      <x:c r="K361" s="17"/>
      <x:c r="L361" s="17"/>
      <x:c r="M361" s="17"/>
      <x:c r="N361" s="17"/>
      <x:c r="O361" s="17"/>
      <x:c r="P361" s="17"/>
      <x:c r="Q361" s="17"/>
      <x:c r="R361" s="17"/>
      <x:c r="S361" s="17"/>
      <x:c r="T361" s="17"/>
      <x:c r="U361" s="17"/>
      <x:c r="V361" s="17"/>
      <x:c r="W361" s="17"/>
      <x:c r="X361" s="17"/>
      <x:c r="Y361" s="17"/>
      <x:c r="Z361" s="17"/>
    </x:row>
    <x:row r="362">
      <x:c r="A362" s="17"/>
      <x:c r="B362" s="17"/>
      <x:c r="C362" s="17"/>
      <x:c r="D362" s="17"/>
      <x:c r="E362" s="17"/>
      <x:c r="F362" s="17"/>
      <x:c r="G362" s="17"/>
      <x:c r="H362" s="17"/>
      <x:c r="I362" s="17"/>
      <x:c r="J362" s="17"/>
      <x:c r="K362" s="17"/>
      <x:c r="L362" s="17"/>
      <x:c r="M362" s="17"/>
      <x:c r="N362" s="17"/>
      <x:c r="O362" s="17"/>
      <x:c r="P362" s="17"/>
      <x:c r="Q362" s="17"/>
      <x:c r="R362" s="17"/>
      <x:c r="S362" s="17"/>
      <x:c r="T362" s="17"/>
      <x:c r="U362" s="17"/>
      <x:c r="V362" s="17"/>
      <x:c r="W362" s="17"/>
      <x:c r="X362" s="17"/>
      <x:c r="Y362" s="17"/>
      <x:c r="Z362" s="17"/>
    </x:row>
    <x:row r="363">
      <x:c r="A363" s="17"/>
      <x:c r="B363" s="17"/>
      <x:c r="C363" s="17"/>
      <x:c r="D363" s="17"/>
      <x:c r="E363" s="17"/>
      <x:c r="F363" s="17"/>
      <x:c r="G363" s="17"/>
      <x:c r="H363" s="17"/>
      <x:c r="I363" s="17"/>
      <x:c r="J363" s="17"/>
      <x:c r="K363" s="17"/>
      <x:c r="L363" s="17"/>
      <x:c r="M363" s="17"/>
      <x:c r="N363" s="17"/>
      <x:c r="O363" s="17"/>
      <x:c r="P363" s="17"/>
      <x:c r="Q363" s="17"/>
      <x:c r="R363" s="17"/>
      <x:c r="S363" s="17"/>
      <x:c r="T363" s="17"/>
      <x:c r="U363" s="17"/>
      <x:c r="V363" s="17"/>
      <x:c r="W363" s="17"/>
      <x:c r="X363" s="17"/>
      <x:c r="Y363" s="17"/>
      <x:c r="Z363" s="17"/>
    </x:row>
    <x:row r="364">
      <x:c r="A364" s="17"/>
      <x:c r="B364" s="17"/>
      <x:c r="C364" s="17"/>
      <x:c r="D364" s="17"/>
      <x:c r="E364" s="17"/>
      <x:c r="F364" s="17"/>
      <x:c r="G364" s="17"/>
      <x:c r="H364" s="17"/>
      <x:c r="I364" s="17"/>
      <x:c r="J364" s="17"/>
      <x:c r="K364" s="17"/>
      <x:c r="L364" s="17"/>
      <x:c r="M364" s="17"/>
      <x:c r="N364" s="17"/>
      <x:c r="O364" s="17"/>
      <x:c r="P364" s="17"/>
      <x:c r="Q364" s="17"/>
      <x:c r="R364" s="17"/>
      <x:c r="S364" s="17"/>
      <x:c r="T364" s="17"/>
      <x:c r="U364" s="17"/>
      <x:c r="V364" s="17"/>
      <x:c r="W364" s="17"/>
      <x:c r="X364" s="17"/>
      <x:c r="Y364" s="17"/>
      <x:c r="Z364" s="17"/>
    </x:row>
    <x:row r="365">
      <x:c r="A365" s="17"/>
      <x:c r="B365" s="17"/>
      <x:c r="C365" s="17"/>
      <x:c r="D365" s="17"/>
      <x:c r="E365" s="17"/>
      <x:c r="F365" s="17"/>
      <x:c r="G365" s="17"/>
      <x:c r="H365" s="17"/>
      <x:c r="I365" s="17"/>
      <x:c r="J365" s="17"/>
      <x:c r="K365" s="17"/>
      <x:c r="L365" s="17"/>
      <x:c r="M365" s="17"/>
      <x:c r="N365" s="17"/>
      <x:c r="O365" s="17"/>
      <x:c r="P365" s="17"/>
      <x:c r="Q365" s="17"/>
      <x:c r="R365" s="17"/>
      <x:c r="S365" s="17"/>
      <x:c r="T365" s="17"/>
      <x:c r="U365" s="17"/>
      <x:c r="V365" s="17"/>
      <x:c r="W365" s="17"/>
      <x:c r="X365" s="17"/>
      <x:c r="Y365" s="17"/>
      <x:c r="Z365" s="17"/>
    </x:row>
    <x:row r="366">
      <x:c r="A366" s="17"/>
      <x:c r="B366" s="17"/>
      <x:c r="C366" s="17"/>
      <x:c r="D366" s="17"/>
      <x:c r="E366" s="17"/>
      <x:c r="F366" s="17"/>
      <x:c r="G366" s="17"/>
      <x:c r="H366" s="17"/>
      <x:c r="I366" s="17"/>
      <x:c r="J366" s="17"/>
      <x:c r="K366" s="17"/>
      <x:c r="L366" s="17"/>
      <x:c r="M366" s="17"/>
      <x:c r="N366" s="17"/>
      <x:c r="O366" s="17"/>
      <x:c r="P366" s="17"/>
      <x:c r="Q366" s="17"/>
      <x:c r="R366" s="17"/>
      <x:c r="S366" s="17"/>
      <x:c r="T366" s="17"/>
      <x:c r="U366" s="17"/>
      <x:c r="V366" s="17"/>
      <x:c r="W366" s="17"/>
      <x:c r="X366" s="17"/>
      <x:c r="Y366" s="17"/>
      <x:c r="Z366" s="17"/>
    </x:row>
    <x:row r="367">
      <x:c r="A367" s="17"/>
      <x:c r="B367" s="17"/>
      <x:c r="C367" s="17"/>
      <x:c r="D367" s="17"/>
      <x:c r="E367" s="17"/>
      <x:c r="F367" s="17"/>
      <x:c r="G367" s="17"/>
      <x:c r="H367" s="17"/>
      <x:c r="I367" s="17"/>
      <x:c r="J367" s="17"/>
      <x:c r="K367" s="17"/>
      <x:c r="L367" s="17"/>
      <x:c r="M367" s="17"/>
      <x:c r="N367" s="17"/>
      <x:c r="O367" s="17"/>
      <x:c r="P367" s="17"/>
      <x:c r="Q367" s="17"/>
      <x:c r="R367" s="17"/>
      <x:c r="S367" s="17"/>
      <x:c r="T367" s="17"/>
      <x:c r="U367" s="17"/>
      <x:c r="V367" s="17"/>
      <x:c r="W367" s="17"/>
      <x:c r="X367" s="17"/>
      <x:c r="Y367" s="17"/>
      <x:c r="Z367" s="17"/>
    </x:row>
    <x:row r="368">
      <x:c r="A368" s="17"/>
      <x:c r="B368" s="17"/>
      <x:c r="C368" s="17"/>
      <x:c r="D368" s="17"/>
      <x:c r="E368" s="17"/>
      <x:c r="F368" s="17"/>
      <x:c r="G368" s="17"/>
      <x:c r="H368" s="17"/>
      <x:c r="I368" s="17"/>
      <x:c r="J368" s="17"/>
      <x:c r="K368" s="17"/>
      <x:c r="L368" s="17"/>
      <x:c r="M368" s="17"/>
      <x:c r="N368" s="17"/>
      <x:c r="O368" s="17"/>
      <x:c r="P368" s="17"/>
      <x:c r="Q368" s="17"/>
      <x:c r="R368" s="17"/>
      <x:c r="S368" s="17"/>
      <x:c r="T368" s="17"/>
      <x:c r="U368" s="17"/>
      <x:c r="V368" s="17"/>
      <x:c r="W368" s="17"/>
      <x:c r="X368" s="17"/>
      <x:c r="Y368" s="17"/>
      <x:c r="Z368" s="17"/>
    </x:row>
    <x:row r="369">
      <x:c r="A369" s="17"/>
      <x:c r="B369" s="17"/>
      <x:c r="C369" s="17"/>
      <x:c r="D369" s="17"/>
      <x:c r="E369" s="17"/>
      <x:c r="F369" s="17"/>
      <x:c r="G369" s="17"/>
      <x:c r="H369" s="17"/>
      <x:c r="I369" s="17"/>
      <x:c r="J369" s="17"/>
      <x:c r="K369" s="17"/>
      <x:c r="L369" s="17"/>
      <x:c r="M369" s="17"/>
      <x:c r="N369" s="17"/>
      <x:c r="O369" s="17"/>
      <x:c r="P369" s="17"/>
      <x:c r="Q369" s="17"/>
      <x:c r="R369" s="17"/>
      <x:c r="S369" s="17"/>
      <x:c r="T369" s="17"/>
      <x:c r="U369" s="17"/>
      <x:c r="V369" s="17"/>
      <x:c r="W369" s="17"/>
      <x:c r="X369" s="17"/>
      <x:c r="Y369" s="17"/>
      <x:c r="Z369" s="17"/>
    </x:row>
    <x:row r="370">
      <x:c r="A370" s="17"/>
      <x:c r="B370" s="17"/>
      <x:c r="C370" s="17"/>
      <x:c r="D370" s="17"/>
      <x:c r="E370" s="17"/>
      <x:c r="F370" s="17"/>
      <x:c r="G370" s="17"/>
      <x:c r="H370" s="17"/>
      <x:c r="I370" s="17"/>
      <x:c r="J370" s="17"/>
      <x:c r="K370" s="17"/>
      <x:c r="L370" s="17"/>
      <x:c r="M370" s="17"/>
      <x:c r="N370" s="17"/>
      <x:c r="O370" s="17"/>
      <x:c r="P370" s="17"/>
      <x:c r="Q370" s="17"/>
      <x:c r="R370" s="17"/>
      <x:c r="S370" s="17"/>
      <x:c r="T370" s="17"/>
      <x:c r="U370" s="17"/>
      <x:c r="V370" s="17"/>
      <x:c r="W370" s="17"/>
      <x:c r="X370" s="17"/>
      <x:c r="Y370" s="17"/>
      <x:c r="Z370" s="17"/>
    </x:row>
    <x:row r="371">
      <x:c r="A371" s="17"/>
      <x:c r="B371" s="17"/>
      <x:c r="C371" s="17"/>
      <x:c r="D371" s="17"/>
      <x:c r="E371" s="17"/>
      <x:c r="F371" s="17"/>
      <x:c r="G371" s="17"/>
      <x:c r="H371" s="17"/>
      <x:c r="I371" s="17"/>
      <x:c r="J371" s="17"/>
      <x:c r="K371" s="17"/>
      <x:c r="L371" s="17"/>
      <x:c r="M371" s="17"/>
      <x:c r="N371" s="17"/>
      <x:c r="O371" s="17"/>
      <x:c r="P371" s="17"/>
      <x:c r="Q371" s="17"/>
      <x:c r="R371" s="17"/>
      <x:c r="S371" s="17"/>
      <x:c r="T371" s="17"/>
      <x:c r="U371" s="17"/>
      <x:c r="V371" s="17"/>
      <x:c r="W371" s="17"/>
      <x:c r="X371" s="17"/>
      <x:c r="Y371" s="17"/>
      <x:c r="Z371" s="17"/>
    </x:row>
    <x:row r="372">
      <x:c r="A372" s="17"/>
      <x:c r="B372" s="17"/>
      <x:c r="C372" s="17"/>
      <x:c r="D372" s="17"/>
      <x:c r="E372" s="17"/>
      <x:c r="F372" s="17"/>
      <x:c r="G372" s="17"/>
      <x:c r="H372" s="17"/>
      <x:c r="I372" s="17"/>
      <x:c r="J372" s="17"/>
      <x:c r="K372" s="17"/>
      <x:c r="L372" s="17"/>
      <x:c r="M372" s="17"/>
      <x:c r="N372" s="17"/>
      <x:c r="O372" s="17"/>
      <x:c r="P372" s="17"/>
      <x:c r="Q372" s="17"/>
      <x:c r="R372" s="17"/>
      <x:c r="S372" s="17"/>
      <x:c r="T372" s="17"/>
      <x:c r="U372" s="17"/>
      <x:c r="V372" s="17"/>
      <x:c r="W372" s="17"/>
      <x:c r="X372" s="17"/>
      <x:c r="Y372" s="17"/>
      <x:c r="Z372" s="17"/>
    </x:row>
    <x:row r="373">
      <x:c r="A373" s="17"/>
      <x:c r="B373" s="17"/>
      <x:c r="C373" s="17"/>
      <x:c r="D373" s="17"/>
      <x:c r="E373" s="17"/>
      <x:c r="F373" s="17"/>
      <x:c r="G373" s="17"/>
      <x:c r="H373" s="17"/>
      <x:c r="I373" s="17"/>
      <x:c r="J373" s="17"/>
      <x:c r="K373" s="17"/>
      <x:c r="L373" s="17"/>
      <x:c r="M373" s="17"/>
      <x:c r="N373" s="17"/>
      <x:c r="O373" s="17"/>
      <x:c r="P373" s="17"/>
      <x:c r="Q373" s="17"/>
      <x:c r="R373" s="17"/>
      <x:c r="S373" s="17"/>
      <x:c r="T373" s="17"/>
      <x:c r="U373" s="17"/>
      <x:c r="V373" s="17"/>
      <x:c r="W373" s="17"/>
      <x:c r="X373" s="17"/>
      <x:c r="Y373" s="17"/>
      <x:c r="Z373" s="17"/>
    </x:row>
    <x:row r="374">
      <x:c r="A374" s="17"/>
      <x:c r="B374" s="17"/>
      <x:c r="C374" s="17"/>
      <x:c r="D374" s="17"/>
      <x:c r="E374" s="17"/>
      <x:c r="F374" s="17"/>
      <x:c r="G374" s="17"/>
      <x:c r="H374" s="17"/>
      <x:c r="I374" s="17"/>
      <x:c r="J374" s="17"/>
      <x:c r="K374" s="17"/>
      <x:c r="L374" s="17"/>
      <x:c r="M374" s="17"/>
      <x:c r="N374" s="17"/>
      <x:c r="O374" s="17"/>
      <x:c r="P374" s="17"/>
      <x:c r="Q374" s="17"/>
      <x:c r="R374" s="17"/>
      <x:c r="S374" s="17"/>
      <x:c r="T374" s="17"/>
      <x:c r="U374" s="17"/>
      <x:c r="V374" s="17"/>
      <x:c r="W374" s="17"/>
      <x:c r="X374" s="17"/>
      <x:c r="Y374" s="17"/>
      <x:c r="Z374" s="17"/>
    </x:row>
    <x:row r="375">
      <x:c r="A375" s="17"/>
      <x:c r="B375" s="17"/>
      <x:c r="C375" s="17"/>
      <x:c r="D375" s="17"/>
      <x:c r="E375" s="17"/>
      <x:c r="F375" s="17"/>
      <x:c r="G375" s="17"/>
      <x:c r="H375" s="17"/>
      <x:c r="I375" s="17"/>
      <x:c r="J375" s="17"/>
      <x:c r="K375" s="17"/>
      <x:c r="L375" s="17"/>
      <x:c r="M375" s="17"/>
      <x:c r="N375" s="17"/>
      <x:c r="O375" s="17"/>
      <x:c r="P375" s="17"/>
      <x:c r="Q375" s="17"/>
      <x:c r="R375" s="17"/>
      <x:c r="S375" s="17"/>
      <x:c r="T375" s="17"/>
      <x:c r="U375" s="17"/>
      <x:c r="V375" s="17"/>
      <x:c r="W375" s="17"/>
      <x:c r="X375" s="17"/>
      <x:c r="Y375" s="17"/>
      <x:c r="Z375" s="17"/>
    </x:row>
    <x:row r="376">
      <x:c r="A376" s="17"/>
      <x:c r="B376" s="17"/>
      <x:c r="C376" s="17"/>
      <x:c r="D376" s="17"/>
      <x:c r="E376" s="17"/>
      <x:c r="F376" s="17"/>
      <x:c r="G376" s="17"/>
      <x:c r="H376" s="17"/>
      <x:c r="I376" s="17"/>
      <x:c r="J376" s="17"/>
      <x:c r="K376" s="17"/>
      <x:c r="L376" s="17"/>
      <x:c r="M376" s="17"/>
      <x:c r="N376" s="17"/>
      <x:c r="O376" s="17"/>
      <x:c r="P376" s="17"/>
      <x:c r="Q376" s="17"/>
      <x:c r="R376" s="17"/>
      <x:c r="S376" s="17"/>
      <x:c r="T376" s="17"/>
      <x:c r="U376" s="17"/>
      <x:c r="V376" s="17"/>
      <x:c r="W376" s="17"/>
      <x:c r="X376" s="17"/>
      <x:c r="Y376" s="17"/>
      <x:c r="Z376" s="17"/>
    </x:row>
    <x:row r="377">
      <x:c r="A377" s="17"/>
      <x:c r="B377" s="17"/>
      <x:c r="C377" s="17"/>
      <x:c r="D377" s="17"/>
      <x:c r="E377" s="17"/>
      <x:c r="F377" s="17"/>
      <x:c r="G377" s="17"/>
      <x:c r="H377" s="17"/>
      <x:c r="I377" s="17"/>
      <x:c r="J377" s="17"/>
      <x:c r="K377" s="17"/>
      <x:c r="L377" s="17"/>
      <x:c r="M377" s="17"/>
      <x:c r="N377" s="17"/>
      <x:c r="O377" s="17"/>
      <x:c r="P377" s="17"/>
      <x:c r="Q377" s="17"/>
      <x:c r="R377" s="17"/>
      <x:c r="S377" s="17"/>
      <x:c r="T377" s="17"/>
      <x:c r="U377" s="17"/>
      <x:c r="V377" s="17"/>
      <x:c r="W377" s="17"/>
      <x:c r="X377" s="17"/>
      <x:c r="Y377" s="17"/>
      <x:c r="Z377" s="17"/>
    </x:row>
    <x:row r="378">
      <x:c r="A378" s="17"/>
      <x:c r="B378" s="17"/>
      <x:c r="C378" s="17"/>
      <x:c r="D378" s="17"/>
      <x:c r="E378" s="17"/>
      <x:c r="F378" s="17"/>
      <x:c r="G378" s="17"/>
      <x:c r="H378" s="17"/>
      <x:c r="I378" s="17"/>
      <x:c r="J378" s="17"/>
      <x:c r="K378" s="17"/>
      <x:c r="L378" s="17"/>
      <x:c r="M378" s="17"/>
      <x:c r="N378" s="17"/>
      <x:c r="O378" s="17"/>
      <x:c r="P378" s="17"/>
      <x:c r="Q378" s="17"/>
      <x:c r="R378" s="17"/>
      <x:c r="S378" s="17"/>
      <x:c r="T378" s="17"/>
      <x:c r="U378" s="17"/>
      <x:c r="V378" s="17"/>
      <x:c r="W378" s="17"/>
      <x:c r="X378" s="17"/>
      <x:c r="Y378" s="17"/>
      <x:c r="Z378" s="17"/>
    </x:row>
    <x:row r="379">
      <x:c r="A379" s="17"/>
      <x:c r="B379" s="17"/>
      <x:c r="C379" s="17"/>
      <x:c r="D379" s="17"/>
      <x:c r="E379" s="17"/>
      <x:c r="F379" s="17"/>
      <x:c r="G379" s="17"/>
      <x:c r="H379" s="17"/>
      <x:c r="I379" s="17"/>
      <x:c r="J379" s="17"/>
      <x:c r="K379" s="17"/>
      <x:c r="L379" s="17"/>
      <x:c r="M379" s="17"/>
      <x:c r="N379" s="17"/>
      <x:c r="O379" s="17"/>
      <x:c r="P379" s="17"/>
      <x:c r="Q379" s="17"/>
      <x:c r="R379" s="17"/>
      <x:c r="S379" s="17"/>
      <x:c r="T379" s="17"/>
      <x:c r="U379" s="17"/>
      <x:c r="V379" s="17"/>
      <x:c r="W379" s="17"/>
      <x:c r="X379" s="17"/>
      <x:c r="Y379" s="17"/>
      <x:c r="Z379" s="17"/>
    </x:row>
    <x:row r="380">
      <x:c r="A380" s="17"/>
      <x:c r="B380" s="17"/>
      <x:c r="C380" s="17"/>
      <x:c r="D380" s="17"/>
      <x:c r="E380" s="17"/>
      <x:c r="F380" s="17"/>
      <x:c r="G380" s="17"/>
      <x:c r="H380" s="17"/>
      <x:c r="I380" s="17"/>
      <x:c r="J380" s="17"/>
      <x:c r="K380" s="17"/>
      <x:c r="L380" s="17"/>
      <x:c r="M380" s="17"/>
      <x:c r="N380" s="17"/>
      <x:c r="O380" s="17"/>
      <x:c r="P380" s="17"/>
      <x:c r="Q380" s="17"/>
      <x:c r="R380" s="17"/>
      <x:c r="S380" s="17"/>
      <x:c r="T380" s="17"/>
      <x:c r="U380" s="17"/>
      <x:c r="V380" s="17"/>
      <x:c r="W380" s="17"/>
      <x:c r="X380" s="17"/>
      <x:c r="Y380" s="17"/>
      <x:c r="Z380" s="17"/>
    </x:row>
    <x:row r="381">
      <x:c r="A381" s="17"/>
      <x:c r="B381" s="17"/>
      <x:c r="C381" s="17"/>
      <x:c r="D381" s="17"/>
      <x:c r="E381" s="17"/>
      <x:c r="F381" s="17"/>
      <x:c r="G381" s="17"/>
      <x:c r="H381" s="17"/>
      <x:c r="I381" s="17"/>
      <x:c r="J381" s="17"/>
      <x:c r="K381" s="17"/>
      <x:c r="L381" s="17"/>
      <x:c r="M381" s="17"/>
      <x:c r="N381" s="17"/>
      <x:c r="O381" s="17"/>
      <x:c r="P381" s="17"/>
      <x:c r="Q381" s="17"/>
      <x:c r="R381" s="17"/>
      <x:c r="S381" s="17"/>
      <x:c r="T381" s="17"/>
      <x:c r="U381" s="17"/>
      <x:c r="V381" s="17"/>
      <x:c r="W381" s="17"/>
      <x:c r="X381" s="17"/>
      <x:c r="Y381" s="17"/>
      <x:c r="Z381" s="17"/>
    </x:row>
    <x:row r="382">
      <x:c r="A382" s="17"/>
      <x:c r="B382" s="17"/>
      <x:c r="C382" s="17"/>
      <x:c r="D382" s="17"/>
      <x:c r="E382" s="17"/>
      <x:c r="F382" s="17"/>
      <x:c r="G382" s="17"/>
      <x:c r="H382" s="17"/>
      <x:c r="I382" s="17"/>
      <x:c r="J382" s="17"/>
      <x:c r="K382" s="17"/>
      <x:c r="L382" s="17"/>
      <x:c r="M382" s="17"/>
      <x:c r="N382" s="17"/>
      <x:c r="O382" s="17"/>
      <x:c r="P382" s="17"/>
      <x:c r="Q382" s="17"/>
      <x:c r="R382" s="17"/>
      <x:c r="S382" s="17"/>
      <x:c r="T382" s="17"/>
      <x:c r="U382" s="17"/>
      <x:c r="V382" s="17"/>
      <x:c r="W382" s="17"/>
      <x:c r="X382" s="17"/>
      <x:c r="Y382" s="17"/>
      <x:c r="Z382" s="17"/>
    </x:row>
    <x:row r="383">
      <x:c r="A383" s="17"/>
      <x:c r="B383" s="17"/>
      <x:c r="C383" s="17"/>
      <x:c r="D383" s="17"/>
      <x:c r="E383" s="17"/>
      <x:c r="F383" s="17"/>
      <x:c r="G383" s="17"/>
      <x:c r="H383" s="17"/>
      <x:c r="I383" s="17"/>
      <x:c r="J383" s="17"/>
      <x:c r="K383" s="17"/>
      <x:c r="L383" s="17"/>
      <x:c r="M383" s="17"/>
      <x:c r="N383" s="17"/>
      <x:c r="O383" s="17"/>
      <x:c r="P383" s="17"/>
      <x:c r="Q383" s="17"/>
      <x:c r="R383" s="17"/>
      <x:c r="S383" s="17"/>
      <x:c r="T383" s="17"/>
      <x:c r="U383" s="17"/>
      <x:c r="V383" s="17"/>
      <x:c r="W383" s="17"/>
      <x:c r="X383" s="17"/>
      <x:c r="Y383" s="17"/>
      <x:c r="Z383" s="17"/>
    </x:row>
    <x:row r="384">
      <x:c r="A384" s="17"/>
      <x:c r="B384" s="17"/>
      <x:c r="C384" s="17"/>
      <x:c r="D384" s="17"/>
      <x:c r="E384" s="17"/>
      <x:c r="F384" s="17"/>
      <x:c r="G384" s="17"/>
      <x:c r="H384" s="17"/>
      <x:c r="I384" s="17"/>
      <x:c r="J384" s="17"/>
      <x:c r="K384" s="17"/>
      <x:c r="L384" s="17"/>
      <x:c r="M384" s="17"/>
      <x:c r="N384" s="17"/>
      <x:c r="O384" s="17"/>
      <x:c r="P384" s="17"/>
      <x:c r="Q384" s="17"/>
      <x:c r="R384" s="17"/>
      <x:c r="S384" s="17"/>
      <x:c r="T384" s="17"/>
      <x:c r="U384" s="17"/>
      <x:c r="V384" s="17"/>
      <x:c r="W384" s="17"/>
      <x:c r="X384" s="17"/>
      <x:c r="Y384" s="17"/>
      <x:c r="Z384" s="17"/>
    </x:row>
    <x:row r="385">
      <x:c r="A385" s="17"/>
      <x:c r="B385" s="17"/>
      <x:c r="C385" s="17"/>
      <x:c r="D385" s="17"/>
      <x:c r="E385" s="17"/>
      <x:c r="F385" s="17"/>
      <x:c r="G385" s="17"/>
      <x:c r="H385" s="17"/>
      <x:c r="I385" s="17"/>
      <x:c r="J385" s="17"/>
      <x:c r="K385" s="17"/>
      <x:c r="L385" s="17"/>
      <x:c r="M385" s="17"/>
      <x:c r="N385" s="17"/>
      <x:c r="O385" s="17"/>
      <x:c r="P385" s="17"/>
      <x:c r="Q385" s="17"/>
      <x:c r="R385" s="17"/>
      <x:c r="S385" s="17"/>
      <x:c r="T385" s="17"/>
      <x:c r="U385" s="17"/>
      <x:c r="V385" s="17"/>
      <x:c r="W385" s="17"/>
      <x:c r="X385" s="17"/>
      <x:c r="Y385" s="17"/>
      <x:c r="Z385" s="17"/>
    </x:row>
    <x:row r="386">
      <x:c r="A386" s="17"/>
      <x:c r="B386" s="17"/>
      <x:c r="C386" s="17"/>
      <x:c r="D386" s="17"/>
      <x:c r="E386" s="17"/>
      <x:c r="F386" s="17"/>
      <x:c r="G386" s="17"/>
      <x:c r="H386" s="17"/>
      <x:c r="I386" s="17"/>
      <x:c r="J386" s="17"/>
      <x:c r="K386" s="17"/>
      <x:c r="L386" s="17"/>
      <x:c r="M386" s="17"/>
      <x:c r="N386" s="17"/>
      <x:c r="O386" s="17"/>
      <x:c r="P386" s="17"/>
      <x:c r="Q386" s="17"/>
      <x:c r="R386" s="17"/>
      <x:c r="S386" s="17"/>
      <x:c r="T386" s="17"/>
      <x:c r="U386" s="17"/>
      <x:c r="V386" s="17"/>
      <x:c r="W386" s="17"/>
      <x:c r="X386" s="17"/>
      <x:c r="Y386" s="17"/>
      <x:c r="Z386" s="17"/>
    </x:row>
    <x:row r="387">
      <x:c r="A387" s="17"/>
      <x:c r="B387" s="17"/>
      <x:c r="C387" s="17"/>
      <x:c r="D387" s="17"/>
      <x:c r="E387" s="17"/>
      <x:c r="F387" s="17"/>
      <x:c r="G387" s="17"/>
      <x:c r="H387" s="17"/>
      <x:c r="I387" s="17"/>
      <x:c r="J387" s="17"/>
      <x:c r="K387" s="17"/>
      <x:c r="L387" s="17"/>
      <x:c r="M387" s="17"/>
      <x:c r="N387" s="17"/>
      <x:c r="O387" s="17"/>
      <x:c r="P387" s="17"/>
      <x:c r="Q387" s="17"/>
      <x:c r="R387" s="17"/>
      <x:c r="S387" s="17"/>
      <x:c r="T387" s="17"/>
      <x:c r="U387" s="17"/>
      <x:c r="V387" s="17"/>
      <x:c r="W387" s="17"/>
      <x:c r="X387" s="17"/>
      <x:c r="Y387" s="17"/>
      <x:c r="Z387" s="17"/>
    </x:row>
    <x:row r="388">
      <x:c r="A388" s="17"/>
      <x:c r="B388" s="17"/>
      <x:c r="C388" s="17"/>
      <x:c r="D388" s="17"/>
      <x:c r="E388" s="17"/>
      <x:c r="F388" s="17"/>
      <x:c r="G388" s="17"/>
      <x:c r="H388" s="17"/>
      <x:c r="I388" s="17"/>
      <x:c r="J388" s="17"/>
      <x:c r="K388" s="17"/>
      <x:c r="L388" s="17"/>
      <x:c r="M388" s="17"/>
      <x:c r="N388" s="17"/>
      <x:c r="O388" s="17"/>
      <x:c r="P388" s="17"/>
      <x:c r="Q388" s="17"/>
      <x:c r="R388" s="17"/>
      <x:c r="S388" s="17"/>
      <x:c r="T388" s="17"/>
      <x:c r="U388" s="17"/>
      <x:c r="V388" s="17"/>
      <x:c r="W388" s="17"/>
      <x:c r="X388" s="17"/>
      <x:c r="Y388" s="17"/>
      <x:c r="Z388" s="17"/>
    </x:row>
    <x:row r="389">
      <x:c r="A389" s="17"/>
      <x:c r="B389" s="17"/>
      <x:c r="C389" s="17"/>
      <x:c r="D389" s="17"/>
      <x:c r="E389" s="17"/>
      <x:c r="F389" s="17"/>
      <x:c r="G389" s="17"/>
      <x:c r="H389" s="17"/>
      <x:c r="I389" s="17"/>
      <x:c r="J389" s="17"/>
      <x:c r="K389" s="17"/>
      <x:c r="L389" s="17"/>
      <x:c r="M389" s="17"/>
      <x:c r="N389" s="17"/>
      <x:c r="O389" s="17"/>
      <x:c r="P389" s="17"/>
      <x:c r="Q389" s="17"/>
      <x:c r="R389" s="17"/>
      <x:c r="S389" s="17"/>
      <x:c r="T389" s="17"/>
      <x:c r="U389" s="17"/>
      <x:c r="V389" s="17"/>
      <x:c r="W389" s="17"/>
      <x:c r="X389" s="17"/>
      <x:c r="Y389" s="17"/>
      <x:c r="Z389" s="17"/>
    </x:row>
    <x:row r="390">
      <x:c r="A390" s="17"/>
      <x:c r="B390" s="17"/>
      <x:c r="C390" s="17"/>
      <x:c r="D390" s="17"/>
      <x:c r="E390" s="17"/>
      <x:c r="F390" s="17"/>
      <x:c r="G390" s="17"/>
      <x:c r="H390" s="17"/>
      <x:c r="I390" s="17"/>
      <x:c r="J390" s="17"/>
      <x:c r="K390" s="17"/>
      <x:c r="L390" s="17"/>
      <x:c r="M390" s="17"/>
      <x:c r="N390" s="17"/>
      <x:c r="O390" s="17"/>
      <x:c r="P390" s="17"/>
      <x:c r="Q390" s="17"/>
      <x:c r="R390" s="17"/>
      <x:c r="S390" s="17"/>
      <x:c r="T390" s="17"/>
      <x:c r="U390" s="17"/>
      <x:c r="V390" s="17"/>
      <x:c r="W390" s="17"/>
      <x:c r="X390" s="17"/>
      <x:c r="Y390" s="17"/>
      <x:c r="Z390" s="17"/>
    </x:row>
    <x:row r="391">
      <x:c r="A391" s="17"/>
      <x:c r="B391" s="17"/>
      <x:c r="C391" s="17"/>
      <x:c r="D391" s="17"/>
      <x:c r="E391" s="17"/>
      <x:c r="F391" s="17"/>
      <x:c r="G391" s="17"/>
      <x:c r="H391" s="17"/>
      <x:c r="I391" s="17"/>
      <x:c r="J391" s="17"/>
      <x:c r="K391" s="17"/>
      <x:c r="L391" s="17"/>
      <x:c r="M391" s="17"/>
      <x:c r="N391" s="17"/>
      <x:c r="O391" s="17"/>
      <x:c r="P391" s="17"/>
      <x:c r="Q391" s="17"/>
      <x:c r="R391" s="17"/>
      <x:c r="S391" s="17"/>
      <x:c r="T391" s="17"/>
      <x:c r="U391" s="17"/>
      <x:c r="V391" s="17"/>
      <x:c r="W391" s="17"/>
      <x:c r="X391" s="17"/>
      <x:c r="Y391" s="17"/>
      <x:c r="Z391" s="17"/>
    </x:row>
    <x:row r="392">
      <x:c r="A392" s="17"/>
      <x:c r="B392" s="17"/>
      <x:c r="C392" s="17"/>
      <x:c r="D392" s="17"/>
      <x:c r="E392" s="17"/>
      <x:c r="F392" s="17"/>
      <x:c r="G392" s="17"/>
      <x:c r="H392" s="17"/>
      <x:c r="I392" s="17"/>
      <x:c r="J392" s="17"/>
      <x:c r="K392" s="17"/>
      <x:c r="L392" s="17"/>
      <x:c r="M392" s="17"/>
      <x:c r="N392" s="17"/>
      <x:c r="O392" s="17"/>
      <x:c r="P392" s="17"/>
      <x:c r="Q392" s="17"/>
      <x:c r="R392" s="17"/>
      <x:c r="S392" s="17"/>
      <x:c r="T392" s="17"/>
      <x:c r="U392" s="17"/>
      <x:c r="V392" s="17"/>
      <x:c r="W392" s="17"/>
      <x:c r="X392" s="17"/>
      <x:c r="Y392" s="17"/>
      <x:c r="Z392" s="17"/>
    </x:row>
    <x:row r="393">
      <x:c r="A393" s="17"/>
      <x:c r="B393" s="17"/>
      <x:c r="C393" s="17"/>
      <x:c r="D393" s="17"/>
      <x:c r="E393" s="17"/>
      <x:c r="F393" s="17"/>
      <x:c r="G393" s="17"/>
      <x:c r="H393" s="17"/>
      <x:c r="I393" s="17"/>
      <x:c r="J393" s="17"/>
      <x:c r="K393" s="17"/>
      <x:c r="L393" s="17"/>
      <x:c r="M393" s="17"/>
      <x:c r="N393" s="17"/>
      <x:c r="O393" s="17"/>
      <x:c r="P393" s="17"/>
      <x:c r="Q393" s="17"/>
      <x:c r="R393" s="17"/>
      <x:c r="S393" s="17"/>
      <x:c r="T393" s="17"/>
      <x:c r="U393" s="17"/>
      <x:c r="V393" s="17"/>
      <x:c r="W393" s="17"/>
      <x:c r="X393" s="17"/>
      <x:c r="Y393" s="17"/>
      <x:c r="Z393" s="17"/>
    </x:row>
    <x:row r="394">
      <x:c r="A394" s="17"/>
      <x:c r="B394" s="17"/>
      <x:c r="C394" s="17"/>
      <x:c r="D394" s="17"/>
      <x:c r="E394" s="17"/>
      <x:c r="F394" s="17"/>
      <x:c r="G394" s="17"/>
      <x:c r="H394" s="17"/>
      <x:c r="I394" s="17"/>
      <x:c r="J394" s="17"/>
      <x:c r="K394" s="17"/>
      <x:c r="L394" s="17"/>
      <x:c r="M394" s="17"/>
      <x:c r="N394" s="17"/>
      <x:c r="O394" s="17"/>
      <x:c r="P394" s="17"/>
      <x:c r="Q394" s="17"/>
      <x:c r="R394" s="17"/>
      <x:c r="S394" s="17"/>
      <x:c r="T394" s="17"/>
      <x:c r="U394" s="17"/>
      <x:c r="V394" s="17"/>
      <x:c r="W394" s="17"/>
      <x:c r="X394" s="17"/>
      <x:c r="Y394" s="17"/>
      <x:c r="Z394" s="17"/>
    </x:row>
    <x:row r="395">
      <x:c r="A395" s="17"/>
      <x:c r="B395" s="17"/>
      <x:c r="C395" s="17"/>
      <x:c r="D395" s="17"/>
      <x:c r="E395" s="17"/>
      <x:c r="F395" s="17"/>
      <x:c r="G395" s="17"/>
      <x:c r="H395" s="17"/>
      <x:c r="I395" s="17"/>
      <x:c r="J395" s="17"/>
      <x:c r="K395" s="17"/>
      <x:c r="L395" s="17"/>
      <x:c r="M395" s="17"/>
      <x:c r="N395" s="17"/>
      <x:c r="O395" s="17"/>
      <x:c r="P395" s="17"/>
      <x:c r="Q395" s="17"/>
      <x:c r="R395" s="17"/>
      <x:c r="S395" s="17"/>
      <x:c r="T395" s="17"/>
      <x:c r="U395" s="17"/>
      <x:c r="V395" s="17"/>
      <x:c r="W395" s="17"/>
      <x:c r="X395" s="17"/>
      <x:c r="Y395" s="17"/>
      <x:c r="Z395" s="17"/>
    </x:row>
    <x:row r="396">
      <x:c r="A396" s="17"/>
      <x:c r="B396" s="17"/>
      <x:c r="C396" s="17"/>
      <x:c r="D396" s="17"/>
      <x:c r="E396" s="17"/>
      <x:c r="F396" s="17"/>
      <x:c r="G396" s="17"/>
      <x:c r="H396" s="17"/>
      <x:c r="I396" s="17"/>
      <x:c r="J396" s="17"/>
      <x:c r="K396" s="17"/>
      <x:c r="L396" s="17"/>
      <x:c r="M396" s="17"/>
      <x:c r="N396" s="17"/>
      <x:c r="O396" s="17"/>
      <x:c r="P396" s="17"/>
      <x:c r="Q396" s="17"/>
      <x:c r="R396" s="17"/>
      <x:c r="S396" s="17"/>
      <x:c r="T396" s="17"/>
      <x:c r="U396" s="17"/>
      <x:c r="V396" s="17"/>
      <x:c r="W396" s="17"/>
      <x:c r="X396" s="17"/>
      <x:c r="Y396" s="17"/>
      <x:c r="Z396" s="17"/>
    </x:row>
    <x:row r="397">
      <x:c r="A397" s="17"/>
      <x:c r="B397" s="17"/>
      <x:c r="C397" s="17"/>
      <x:c r="D397" s="17"/>
      <x:c r="E397" s="17"/>
      <x:c r="F397" s="17"/>
      <x:c r="G397" s="17"/>
      <x:c r="H397" s="17"/>
      <x:c r="I397" s="17"/>
      <x:c r="J397" s="17"/>
      <x:c r="K397" s="17"/>
      <x:c r="L397" s="17"/>
      <x:c r="M397" s="17"/>
      <x:c r="N397" s="17"/>
      <x:c r="O397" s="17"/>
      <x:c r="P397" s="17"/>
      <x:c r="Q397" s="17"/>
      <x:c r="R397" s="17"/>
      <x:c r="S397" s="17"/>
      <x:c r="T397" s="17"/>
      <x:c r="U397" s="17"/>
      <x:c r="V397" s="17"/>
      <x:c r="W397" s="17"/>
      <x:c r="X397" s="17"/>
      <x:c r="Y397" s="17"/>
      <x:c r="Z397" s="17"/>
    </x:row>
    <x:row r="398">
      <x:c r="A398" s="17"/>
      <x:c r="B398" s="17"/>
      <x:c r="C398" s="17"/>
      <x:c r="D398" s="17"/>
      <x:c r="E398" s="17"/>
      <x:c r="F398" s="17"/>
      <x:c r="G398" s="17"/>
      <x:c r="H398" s="17"/>
      <x:c r="I398" s="17"/>
      <x:c r="J398" s="17"/>
      <x:c r="K398" s="17"/>
      <x:c r="L398" s="17"/>
      <x:c r="M398" s="17"/>
      <x:c r="N398" s="17"/>
      <x:c r="O398" s="17"/>
      <x:c r="P398" s="17"/>
      <x:c r="Q398" s="17"/>
      <x:c r="R398" s="17"/>
      <x:c r="S398" s="17"/>
      <x:c r="T398" s="17"/>
      <x:c r="U398" s="17"/>
      <x:c r="V398" s="17"/>
      <x:c r="W398" s="17"/>
      <x:c r="X398" s="17"/>
      <x:c r="Y398" s="17"/>
      <x:c r="Z398" s="17"/>
    </x:row>
    <x:row r="399">
      <x:c r="A399" s="17"/>
      <x:c r="B399" s="17"/>
      <x:c r="C399" s="17"/>
      <x:c r="D399" s="17"/>
      <x:c r="E399" s="17"/>
      <x:c r="F399" s="17"/>
      <x:c r="G399" s="17"/>
      <x:c r="H399" s="17"/>
      <x:c r="I399" s="17"/>
      <x:c r="J399" s="17"/>
      <x:c r="K399" s="17"/>
      <x:c r="L399" s="17"/>
      <x:c r="M399" s="17"/>
      <x:c r="N399" s="17"/>
      <x:c r="O399" s="17"/>
      <x:c r="P399" s="17"/>
      <x:c r="Q399" s="17"/>
      <x:c r="R399" s="17"/>
      <x:c r="S399" s="17"/>
      <x:c r="T399" s="17"/>
      <x:c r="U399" s="17"/>
      <x:c r="V399" s="17"/>
      <x:c r="W399" s="17"/>
      <x:c r="X399" s="17"/>
      <x:c r="Y399" s="17"/>
      <x:c r="Z399" s="17"/>
    </x:row>
    <x:row r="400">
      <x:c r="A400" s="17"/>
      <x:c r="B400" s="17"/>
      <x:c r="C400" s="17"/>
      <x:c r="D400" s="17"/>
      <x:c r="E400" s="17"/>
      <x:c r="F400" s="17"/>
      <x:c r="G400" s="17"/>
      <x:c r="H400" s="17"/>
      <x:c r="I400" s="17"/>
      <x:c r="J400" s="17"/>
      <x:c r="K400" s="17"/>
      <x:c r="L400" s="17"/>
      <x:c r="M400" s="17"/>
      <x:c r="N400" s="17"/>
      <x:c r="O400" s="17"/>
      <x:c r="P400" s="17"/>
      <x:c r="Q400" s="17"/>
      <x:c r="R400" s="17"/>
      <x:c r="S400" s="17"/>
      <x:c r="T400" s="17"/>
      <x:c r="U400" s="17"/>
      <x:c r="V400" s="17"/>
      <x:c r="W400" s="17"/>
      <x:c r="X400" s="17"/>
      <x:c r="Y400" s="17"/>
      <x:c r="Z400" s="17"/>
    </x:row>
    <x:row r="401">
      <x:c r="A401" s="17"/>
      <x:c r="B401" s="17"/>
      <x:c r="C401" s="17"/>
      <x:c r="D401" s="17"/>
      <x:c r="E401" s="17"/>
      <x:c r="F401" s="17"/>
      <x:c r="G401" s="17"/>
      <x:c r="H401" s="17"/>
      <x:c r="I401" s="17"/>
      <x:c r="J401" s="17"/>
      <x:c r="K401" s="17"/>
      <x:c r="L401" s="17"/>
      <x:c r="M401" s="17"/>
      <x:c r="N401" s="17"/>
      <x:c r="O401" s="17"/>
      <x:c r="P401" s="17"/>
      <x:c r="Q401" s="17"/>
      <x:c r="R401" s="17"/>
      <x:c r="S401" s="17"/>
      <x:c r="T401" s="17"/>
      <x:c r="U401" s="17"/>
      <x:c r="V401" s="17"/>
      <x:c r="W401" s="17"/>
      <x:c r="X401" s="17"/>
      <x:c r="Y401" s="17"/>
      <x:c r="Z401" s="17"/>
    </x:row>
    <x:row r="402">
      <x:c r="A402" s="17"/>
      <x:c r="B402" s="17"/>
      <x:c r="C402" s="17"/>
      <x:c r="D402" s="17"/>
      <x:c r="E402" s="17"/>
      <x:c r="F402" s="17"/>
      <x:c r="G402" s="17"/>
      <x:c r="H402" s="17"/>
      <x:c r="I402" s="17"/>
      <x:c r="J402" s="17"/>
      <x:c r="K402" s="17"/>
      <x:c r="L402" s="17"/>
      <x:c r="M402" s="17"/>
      <x:c r="N402" s="17"/>
      <x:c r="O402" s="17"/>
      <x:c r="P402" s="17"/>
      <x:c r="Q402" s="17"/>
      <x:c r="R402" s="17"/>
      <x:c r="S402" s="17"/>
      <x:c r="T402" s="17"/>
      <x:c r="U402" s="17"/>
      <x:c r="V402" s="17"/>
      <x:c r="W402" s="17"/>
      <x:c r="X402" s="17"/>
      <x:c r="Y402" s="17"/>
      <x:c r="Z402" s="17"/>
    </x:row>
    <x:row r="403">
      <x:c r="A403" s="17"/>
      <x:c r="B403" s="17"/>
      <x:c r="C403" s="17"/>
      <x:c r="D403" s="17"/>
      <x:c r="E403" s="17"/>
      <x:c r="F403" s="17"/>
      <x:c r="G403" s="17"/>
      <x:c r="H403" s="17"/>
      <x:c r="I403" s="17"/>
      <x:c r="J403" s="17"/>
      <x:c r="K403" s="17"/>
      <x:c r="L403" s="17"/>
      <x:c r="M403" s="17"/>
      <x:c r="N403" s="17"/>
      <x:c r="O403" s="17"/>
      <x:c r="P403" s="17"/>
      <x:c r="Q403" s="17"/>
      <x:c r="R403" s="17"/>
      <x:c r="S403" s="17"/>
      <x:c r="T403" s="17"/>
      <x:c r="U403" s="17"/>
      <x:c r="V403" s="17"/>
      <x:c r="W403" s="17"/>
      <x:c r="X403" s="17"/>
      <x:c r="Y403" s="17"/>
      <x:c r="Z403" s="17"/>
    </x:row>
    <x:row r="404">
      <x:c r="A404" s="17"/>
      <x:c r="B404" s="17"/>
      <x:c r="C404" s="17"/>
      <x:c r="D404" s="17"/>
      <x:c r="E404" s="17"/>
      <x:c r="F404" s="17"/>
      <x:c r="G404" s="17"/>
      <x:c r="H404" s="17"/>
      <x:c r="I404" s="17"/>
      <x:c r="J404" s="17"/>
      <x:c r="K404" s="17"/>
      <x:c r="L404" s="17"/>
      <x:c r="M404" s="17"/>
      <x:c r="N404" s="17"/>
      <x:c r="O404" s="17"/>
      <x:c r="P404" s="17"/>
      <x:c r="Q404" s="17"/>
      <x:c r="R404" s="17"/>
      <x:c r="S404" s="17"/>
      <x:c r="T404" s="17"/>
      <x:c r="U404" s="17"/>
      <x:c r="V404" s="17"/>
      <x:c r="W404" s="17"/>
      <x:c r="X404" s="17"/>
      <x:c r="Y404" s="17"/>
      <x:c r="Z404" s="17"/>
    </x:row>
    <x:row r="405">
      <x:c r="A405" s="17"/>
      <x:c r="B405" s="17"/>
      <x:c r="C405" s="17"/>
      <x:c r="D405" s="17"/>
      <x:c r="E405" s="17"/>
      <x:c r="F405" s="17"/>
      <x:c r="G405" s="17"/>
      <x:c r="H405" s="17"/>
      <x:c r="I405" s="17"/>
      <x:c r="J405" s="17"/>
      <x:c r="K405" s="17"/>
      <x:c r="L405" s="17"/>
      <x:c r="M405" s="17"/>
      <x:c r="N405" s="17"/>
      <x:c r="O405" s="17"/>
      <x:c r="P405" s="17"/>
      <x:c r="Q405" s="17"/>
      <x:c r="R405" s="17"/>
      <x:c r="S405" s="17"/>
      <x:c r="T405" s="17"/>
      <x:c r="U405" s="17"/>
      <x:c r="V405" s="17"/>
      <x:c r="W405" s="17"/>
      <x:c r="X405" s="17"/>
      <x:c r="Y405" s="17"/>
      <x:c r="Z405" s="17"/>
    </x:row>
    <x:row r="406">
      <x:c r="A406" s="17"/>
      <x:c r="B406" s="17"/>
      <x:c r="C406" s="17"/>
      <x:c r="D406" s="17"/>
      <x:c r="E406" s="17"/>
      <x:c r="F406" s="17"/>
      <x:c r="G406" s="17"/>
      <x:c r="H406" s="17"/>
      <x:c r="I406" s="17"/>
      <x:c r="J406" s="17"/>
      <x:c r="K406" s="17"/>
      <x:c r="L406" s="17"/>
      <x:c r="M406" s="17"/>
      <x:c r="N406" s="17"/>
      <x:c r="O406" s="17"/>
      <x:c r="P406" s="17"/>
      <x:c r="Q406" s="17"/>
      <x:c r="R406" s="17"/>
      <x:c r="S406" s="17"/>
      <x:c r="T406" s="17"/>
      <x:c r="U406" s="17"/>
      <x:c r="V406" s="17"/>
      <x:c r="W406" s="17"/>
      <x:c r="X406" s="17"/>
      <x:c r="Y406" s="17"/>
      <x:c r="Z406" s="17"/>
    </x:row>
    <x:row r="407">
      <x:c r="A407" s="17"/>
      <x:c r="B407" s="17"/>
      <x:c r="C407" s="17"/>
      <x:c r="D407" s="17"/>
      <x:c r="E407" s="17"/>
      <x:c r="F407" s="17"/>
      <x:c r="G407" s="17"/>
      <x:c r="H407" s="17"/>
      <x:c r="I407" s="17"/>
      <x:c r="J407" s="17"/>
      <x:c r="K407" s="17"/>
      <x:c r="L407" s="17"/>
      <x:c r="M407" s="17"/>
      <x:c r="N407" s="17"/>
      <x:c r="O407" s="17"/>
      <x:c r="P407" s="17"/>
      <x:c r="Q407" s="17"/>
      <x:c r="R407" s="17"/>
      <x:c r="S407" s="17"/>
      <x:c r="T407" s="17"/>
      <x:c r="U407" s="17"/>
      <x:c r="V407" s="17"/>
      <x:c r="W407" s="17"/>
      <x:c r="X407" s="17"/>
      <x:c r="Y407" s="17"/>
      <x:c r="Z407" s="17"/>
    </x:row>
    <x:row r="408">
      <x:c r="A408" s="17"/>
      <x:c r="B408" s="17"/>
      <x:c r="C408" s="17"/>
      <x:c r="D408" s="17"/>
      <x:c r="E408" s="17"/>
      <x:c r="F408" s="17"/>
      <x:c r="G408" s="17"/>
      <x:c r="H408" s="17"/>
      <x:c r="I408" s="17"/>
      <x:c r="J408" s="17"/>
      <x:c r="K408" s="17"/>
      <x:c r="L408" s="17"/>
      <x:c r="M408" s="17"/>
      <x:c r="N408" s="17"/>
      <x:c r="O408" s="17"/>
      <x:c r="P408" s="17"/>
      <x:c r="Q408" s="17"/>
      <x:c r="R408" s="17"/>
      <x:c r="S408" s="17"/>
      <x:c r="T408" s="17"/>
      <x:c r="U408" s="17"/>
      <x:c r="V408" s="17"/>
      <x:c r="W408" s="17"/>
      <x:c r="X408" s="17"/>
      <x:c r="Y408" s="17"/>
      <x:c r="Z408" s="17"/>
    </x:row>
    <x:row r="409">
      <x:c r="A409" s="17"/>
      <x:c r="B409" s="17"/>
      <x:c r="C409" s="17"/>
      <x:c r="D409" s="17"/>
      <x:c r="E409" s="17"/>
      <x:c r="F409" s="17"/>
      <x:c r="G409" s="17"/>
      <x:c r="H409" s="17"/>
      <x:c r="I409" s="17"/>
      <x:c r="J409" s="17"/>
      <x:c r="K409" s="17"/>
      <x:c r="L409" s="17"/>
      <x:c r="M409" s="17"/>
      <x:c r="N409" s="17"/>
      <x:c r="O409" s="17"/>
      <x:c r="P409" s="17"/>
      <x:c r="Q409" s="17"/>
      <x:c r="R409" s="17"/>
      <x:c r="S409" s="17"/>
      <x:c r="T409" s="17"/>
      <x:c r="U409" s="17"/>
      <x:c r="V409" s="17"/>
      <x:c r="W409" s="17"/>
      <x:c r="X409" s="17"/>
      <x:c r="Y409" s="17"/>
      <x:c r="Z409" s="17"/>
    </x:row>
    <x:row r="410">
      <x:c r="A410" s="17"/>
      <x:c r="B410" s="17"/>
      <x:c r="C410" s="17"/>
      <x:c r="D410" s="17"/>
      <x:c r="E410" s="17"/>
      <x:c r="F410" s="17"/>
      <x:c r="G410" s="17"/>
      <x:c r="H410" s="17"/>
      <x:c r="I410" s="17"/>
      <x:c r="J410" s="17"/>
      <x:c r="K410" s="17"/>
      <x:c r="L410" s="17"/>
      <x:c r="M410" s="17"/>
      <x:c r="N410" s="17"/>
      <x:c r="O410" s="17"/>
      <x:c r="P410" s="17"/>
      <x:c r="Q410" s="17"/>
      <x:c r="R410" s="17"/>
      <x:c r="S410" s="17"/>
      <x:c r="T410" s="17"/>
      <x:c r="U410" s="17"/>
      <x:c r="V410" s="17"/>
      <x:c r="W410" s="17"/>
      <x:c r="X410" s="17"/>
      <x:c r="Y410" s="17"/>
      <x:c r="Z410" s="17"/>
    </x:row>
    <x:row r="411">
      <x:c r="A411" s="17"/>
      <x:c r="B411" s="17"/>
      <x:c r="C411" s="17"/>
      <x:c r="D411" s="17"/>
      <x:c r="E411" s="17"/>
      <x:c r="F411" s="17"/>
      <x:c r="G411" s="17"/>
      <x:c r="H411" s="17"/>
      <x:c r="I411" s="17"/>
      <x:c r="J411" s="17"/>
      <x:c r="K411" s="17"/>
      <x:c r="L411" s="17"/>
      <x:c r="M411" s="17"/>
      <x:c r="N411" s="17"/>
      <x:c r="O411" s="17"/>
      <x:c r="P411" s="17"/>
      <x:c r="Q411" s="17"/>
      <x:c r="R411" s="17"/>
      <x:c r="S411" s="17"/>
      <x:c r="T411" s="17"/>
      <x:c r="U411" s="17"/>
      <x:c r="V411" s="17"/>
      <x:c r="W411" s="17"/>
      <x:c r="X411" s="17"/>
      <x:c r="Y411" s="17"/>
      <x:c r="Z411" s="17"/>
    </x:row>
    <x:row r="412">
      <x:c r="A412" s="17"/>
      <x:c r="B412" s="17"/>
      <x:c r="C412" s="17"/>
      <x:c r="D412" s="17"/>
      <x:c r="E412" s="17"/>
      <x:c r="F412" s="17"/>
      <x:c r="G412" s="17"/>
      <x:c r="H412" s="17"/>
      <x:c r="I412" s="17"/>
      <x:c r="J412" s="17"/>
      <x:c r="K412" s="17"/>
      <x:c r="L412" s="17"/>
      <x:c r="M412" s="17"/>
      <x:c r="N412" s="17"/>
      <x:c r="O412" s="17"/>
      <x:c r="P412" s="17"/>
      <x:c r="Q412" s="17"/>
      <x:c r="R412" s="17"/>
      <x:c r="S412" s="17"/>
      <x:c r="T412" s="17"/>
      <x:c r="U412" s="17"/>
      <x:c r="V412" s="17"/>
      <x:c r="W412" s="17"/>
      <x:c r="X412" s="17"/>
      <x:c r="Y412" s="17"/>
      <x:c r="Z412" s="17"/>
    </x:row>
    <x:row r="413">
      <x:c r="A413" s="17"/>
      <x:c r="B413" s="17"/>
      <x:c r="C413" s="17"/>
      <x:c r="D413" s="17"/>
      <x:c r="E413" s="17"/>
      <x:c r="F413" s="17"/>
      <x:c r="G413" s="17"/>
      <x:c r="H413" s="17"/>
      <x:c r="I413" s="17"/>
      <x:c r="J413" s="17"/>
      <x:c r="K413" s="17"/>
      <x:c r="L413" s="17"/>
      <x:c r="M413" s="17"/>
      <x:c r="N413" s="17"/>
      <x:c r="O413" s="17"/>
      <x:c r="P413" s="17"/>
      <x:c r="Q413" s="17"/>
      <x:c r="R413" s="17"/>
      <x:c r="S413" s="17"/>
      <x:c r="T413" s="17"/>
      <x:c r="U413" s="17"/>
      <x:c r="V413" s="17"/>
      <x:c r="W413" s="17"/>
      <x:c r="X413" s="17"/>
      <x:c r="Y413" s="17"/>
      <x:c r="Z413" s="17"/>
    </x:row>
    <x:row r="414">
      <x:c r="A414" s="17"/>
      <x:c r="B414" s="17"/>
      <x:c r="C414" s="17"/>
      <x:c r="D414" s="17"/>
      <x:c r="E414" s="17"/>
      <x:c r="F414" s="17"/>
      <x:c r="G414" s="17"/>
      <x:c r="H414" s="17"/>
      <x:c r="I414" s="17"/>
      <x:c r="J414" s="17"/>
      <x:c r="K414" s="17"/>
      <x:c r="L414" s="17"/>
      <x:c r="M414" s="17"/>
      <x:c r="N414" s="17"/>
      <x:c r="O414" s="17"/>
      <x:c r="P414" s="17"/>
      <x:c r="Q414" s="17"/>
      <x:c r="R414" s="17"/>
      <x:c r="S414" s="17"/>
      <x:c r="T414" s="17"/>
      <x:c r="U414" s="17"/>
      <x:c r="V414" s="17"/>
      <x:c r="W414" s="17"/>
      <x:c r="X414" s="17"/>
      <x:c r="Y414" s="17"/>
      <x:c r="Z414" s="17"/>
    </x:row>
    <x:row r="415">
      <x:c r="A415" s="17"/>
      <x:c r="B415" s="17"/>
      <x:c r="C415" s="17"/>
      <x:c r="D415" s="17"/>
      <x:c r="E415" s="17"/>
      <x:c r="F415" s="17"/>
      <x:c r="G415" s="17"/>
      <x:c r="H415" s="17"/>
      <x:c r="I415" s="17"/>
      <x:c r="J415" s="17"/>
      <x:c r="K415" s="17"/>
      <x:c r="L415" s="17"/>
      <x:c r="M415" s="17"/>
      <x:c r="N415" s="17"/>
      <x:c r="O415" s="17"/>
      <x:c r="P415" s="17"/>
      <x:c r="Q415" s="17"/>
      <x:c r="R415" s="17"/>
      <x:c r="S415" s="17"/>
      <x:c r="T415" s="17"/>
      <x:c r="U415" s="17"/>
      <x:c r="V415" s="17"/>
      <x:c r="W415" s="17"/>
      <x:c r="X415" s="17"/>
      <x:c r="Y415" s="17"/>
      <x:c r="Z415" s="17"/>
    </x:row>
    <x:row r="416">
      <x:c r="A416" s="17"/>
      <x:c r="B416" s="17"/>
      <x:c r="C416" s="17"/>
      <x:c r="D416" s="17"/>
      <x:c r="E416" s="17"/>
      <x:c r="F416" s="17"/>
      <x:c r="G416" s="17"/>
      <x:c r="H416" s="17"/>
      <x:c r="I416" s="17"/>
      <x:c r="J416" s="17"/>
      <x:c r="K416" s="17"/>
      <x:c r="L416" s="17"/>
      <x:c r="M416" s="17"/>
      <x:c r="N416" s="17"/>
      <x:c r="O416" s="17"/>
      <x:c r="P416" s="17"/>
      <x:c r="Q416" s="17"/>
      <x:c r="R416" s="17"/>
      <x:c r="S416" s="17"/>
      <x:c r="T416" s="17"/>
      <x:c r="U416" s="17"/>
      <x:c r="V416" s="17"/>
      <x:c r="W416" s="17"/>
      <x:c r="X416" s="17"/>
      <x:c r="Y416" s="17"/>
      <x:c r="Z416" s="17"/>
    </x:row>
    <x:row r="417">
      <x:c r="A417" s="17"/>
      <x:c r="B417" s="17"/>
      <x:c r="C417" s="17"/>
      <x:c r="D417" s="17"/>
      <x:c r="E417" s="17"/>
      <x:c r="F417" s="17"/>
      <x:c r="G417" s="17"/>
      <x:c r="H417" s="17"/>
      <x:c r="I417" s="17"/>
      <x:c r="J417" s="17"/>
      <x:c r="K417" s="17"/>
      <x:c r="L417" s="17"/>
      <x:c r="M417" s="17"/>
      <x:c r="N417" s="17"/>
      <x:c r="O417" s="17"/>
      <x:c r="P417" s="17"/>
      <x:c r="Q417" s="17"/>
      <x:c r="R417" s="17"/>
      <x:c r="S417" s="17"/>
      <x:c r="T417" s="17"/>
      <x:c r="U417" s="17"/>
      <x:c r="V417" s="17"/>
      <x:c r="W417" s="17"/>
      <x:c r="X417" s="17"/>
      <x:c r="Y417" s="17"/>
      <x:c r="Z417" s="17"/>
    </x:row>
    <x:row r="418">
      <x:c r="A418" s="17"/>
      <x:c r="B418" s="17"/>
      <x:c r="C418" s="17"/>
      <x:c r="D418" s="17"/>
      <x:c r="E418" s="17"/>
      <x:c r="F418" s="17"/>
      <x:c r="G418" s="17"/>
      <x:c r="H418" s="17"/>
      <x:c r="I418" s="17"/>
      <x:c r="J418" s="17"/>
      <x:c r="K418" s="17"/>
      <x:c r="L418" s="17"/>
      <x:c r="M418" s="17"/>
      <x:c r="N418" s="17"/>
      <x:c r="O418" s="17"/>
      <x:c r="P418" s="17"/>
      <x:c r="Q418" s="17"/>
      <x:c r="R418" s="17"/>
      <x:c r="S418" s="17"/>
      <x:c r="T418" s="17"/>
      <x:c r="U418" s="17"/>
      <x:c r="V418" s="17"/>
      <x:c r="W418" s="17"/>
      <x:c r="X418" s="17"/>
      <x:c r="Y418" s="17"/>
      <x:c r="Z418" s="17"/>
    </x:row>
    <x:row r="419">
      <x:c r="A419" s="17"/>
      <x:c r="B419" s="17"/>
      <x:c r="C419" s="17"/>
      <x:c r="D419" s="17"/>
      <x:c r="E419" s="17"/>
      <x:c r="F419" s="17"/>
      <x:c r="G419" s="17"/>
      <x:c r="H419" s="17"/>
      <x:c r="I419" s="17"/>
      <x:c r="J419" s="17"/>
      <x:c r="K419" s="17"/>
      <x:c r="L419" s="17"/>
      <x:c r="M419" s="17"/>
      <x:c r="N419" s="17"/>
      <x:c r="O419" s="17"/>
      <x:c r="P419" s="17"/>
      <x:c r="Q419" s="17"/>
      <x:c r="R419" s="17"/>
      <x:c r="S419" s="17"/>
      <x:c r="T419" s="17"/>
      <x:c r="U419" s="17"/>
      <x:c r="V419" s="17"/>
      <x:c r="W419" s="17"/>
      <x:c r="X419" s="17"/>
      <x:c r="Y419" s="17"/>
      <x:c r="Z419" s="17"/>
    </x:row>
    <x:row r="420">
      <x:c r="A420" s="17"/>
      <x:c r="B420" s="17"/>
      <x:c r="C420" s="17"/>
      <x:c r="D420" s="17"/>
      <x:c r="E420" s="17"/>
      <x:c r="F420" s="17"/>
      <x:c r="G420" s="17"/>
      <x:c r="H420" s="17"/>
      <x:c r="I420" s="17"/>
      <x:c r="J420" s="17"/>
      <x:c r="K420" s="17"/>
      <x:c r="L420" s="17"/>
      <x:c r="M420" s="17"/>
      <x:c r="N420" s="17"/>
      <x:c r="O420" s="17"/>
      <x:c r="P420" s="17"/>
      <x:c r="Q420" s="17"/>
      <x:c r="R420" s="17"/>
      <x:c r="S420" s="17"/>
      <x:c r="T420" s="17"/>
      <x:c r="U420" s="17"/>
      <x:c r="V420" s="17"/>
      <x:c r="W420" s="17"/>
      <x:c r="X420" s="17"/>
      <x:c r="Y420" s="17"/>
      <x:c r="Z420" s="17"/>
    </x:row>
    <x:row r="421">
      <x:c r="A421" s="17"/>
      <x:c r="B421" s="17"/>
      <x:c r="C421" s="17"/>
      <x:c r="D421" s="17"/>
      <x:c r="E421" s="17"/>
      <x:c r="F421" s="17"/>
      <x:c r="G421" s="17"/>
      <x:c r="H421" s="17"/>
      <x:c r="I421" s="17"/>
      <x:c r="J421" s="17"/>
      <x:c r="K421" s="17"/>
      <x:c r="L421" s="17"/>
      <x:c r="M421" s="17"/>
      <x:c r="N421" s="17"/>
      <x:c r="O421" s="17"/>
      <x:c r="P421" s="17"/>
      <x:c r="Q421" s="17"/>
      <x:c r="R421" s="17"/>
      <x:c r="S421" s="17"/>
      <x:c r="T421" s="17"/>
      <x:c r="U421" s="17"/>
      <x:c r="V421" s="17"/>
      <x:c r="W421" s="17"/>
      <x:c r="X421" s="17"/>
      <x:c r="Y421" s="17"/>
      <x:c r="Z421" s="17"/>
    </x:row>
    <x:row r="422">
      <x:c r="A422" s="17"/>
      <x:c r="B422" s="17"/>
      <x:c r="C422" s="17"/>
      <x:c r="D422" s="17"/>
      <x:c r="E422" s="17"/>
      <x:c r="F422" s="17"/>
      <x:c r="G422" s="17"/>
      <x:c r="H422" s="17"/>
      <x:c r="I422" s="17"/>
      <x:c r="J422" s="17"/>
      <x:c r="K422" s="17"/>
      <x:c r="L422" s="17"/>
      <x:c r="M422" s="17"/>
      <x:c r="N422" s="17"/>
      <x:c r="O422" s="17"/>
      <x:c r="P422" s="17"/>
      <x:c r="Q422" s="17"/>
      <x:c r="R422" s="17"/>
      <x:c r="S422" s="17"/>
      <x:c r="T422" s="17"/>
      <x:c r="U422" s="17"/>
      <x:c r="V422" s="17"/>
      <x:c r="W422" s="17"/>
      <x:c r="X422" s="17"/>
      <x:c r="Y422" s="17"/>
      <x:c r="Z422" s="17"/>
    </x:row>
    <x:row r="423">
      <x:c r="A423" s="17"/>
      <x:c r="B423" s="17"/>
      <x:c r="C423" s="17"/>
      <x:c r="D423" s="17"/>
      <x:c r="E423" s="17"/>
      <x:c r="F423" s="17"/>
      <x:c r="G423" s="17"/>
      <x:c r="H423" s="17"/>
      <x:c r="I423" s="17"/>
      <x:c r="J423" s="17"/>
      <x:c r="K423" s="17"/>
      <x:c r="L423" s="17"/>
      <x:c r="M423" s="17"/>
      <x:c r="N423" s="17"/>
      <x:c r="O423" s="17"/>
      <x:c r="P423" s="17"/>
      <x:c r="Q423" s="17"/>
      <x:c r="R423" s="17"/>
      <x:c r="S423" s="17"/>
      <x:c r="T423" s="17"/>
      <x:c r="U423" s="17"/>
      <x:c r="V423" s="17"/>
      <x:c r="W423" s="17"/>
      <x:c r="X423" s="17"/>
      <x:c r="Y423" s="17"/>
      <x:c r="Z423" s="17"/>
    </x:row>
    <x:row r="424">
      <x:c r="A424" s="17"/>
      <x:c r="B424" s="17"/>
      <x:c r="C424" s="17"/>
      <x:c r="D424" s="17"/>
      <x:c r="E424" s="17"/>
      <x:c r="F424" s="17"/>
      <x:c r="G424" s="17"/>
      <x:c r="H424" s="17"/>
      <x:c r="I424" s="17"/>
      <x:c r="J424" s="17"/>
      <x:c r="K424" s="17"/>
      <x:c r="L424" s="17"/>
      <x:c r="M424" s="17"/>
      <x:c r="N424" s="17"/>
      <x:c r="O424" s="17"/>
      <x:c r="P424" s="17"/>
      <x:c r="Q424" s="17"/>
      <x:c r="R424" s="17"/>
      <x:c r="S424" s="17"/>
      <x:c r="T424" s="17"/>
      <x:c r="U424" s="17"/>
      <x:c r="V424" s="17"/>
      <x:c r="W424" s="17"/>
      <x:c r="X424" s="17"/>
      <x:c r="Y424" s="17"/>
      <x:c r="Z424" s="17"/>
    </x:row>
    <x:row r="425">
      <x:c r="A425" s="17"/>
      <x:c r="B425" s="17"/>
      <x:c r="C425" s="17"/>
      <x:c r="D425" s="17"/>
      <x:c r="E425" s="17"/>
      <x:c r="F425" s="17"/>
      <x:c r="G425" s="17"/>
      <x:c r="H425" s="17"/>
      <x:c r="I425" s="17"/>
      <x:c r="J425" s="17"/>
      <x:c r="K425" s="17"/>
      <x:c r="L425" s="17"/>
      <x:c r="M425" s="17"/>
      <x:c r="N425" s="17"/>
      <x:c r="O425" s="17"/>
      <x:c r="P425" s="17"/>
      <x:c r="Q425" s="17"/>
      <x:c r="R425" s="17"/>
      <x:c r="S425" s="17"/>
      <x:c r="T425" s="17"/>
      <x:c r="U425" s="17"/>
      <x:c r="V425" s="17"/>
      <x:c r="W425" s="17"/>
      <x:c r="X425" s="17"/>
      <x:c r="Y425" s="17"/>
      <x:c r="Z425" s="17"/>
    </x:row>
    <x:row r="426">
      <x:c r="A426" s="17"/>
      <x:c r="B426" s="17"/>
      <x:c r="C426" s="17"/>
      <x:c r="D426" s="17"/>
      <x:c r="E426" s="17"/>
      <x:c r="F426" s="17"/>
      <x:c r="G426" s="17"/>
      <x:c r="H426" s="17"/>
      <x:c r="I426" s="17"/>
      <x:c r="J426" s="17"/>
      <x:c r="K426" s="17"/>
      <x:c r="L426" s="17"/>
      <x:c r="M426" s="17"/>
      <x:c r="N426" s="17"/>
      <x:c r="O426" s="17"/>
      <x:c r="P426" s="17"/>
      <x:c r="Q426" s="17"/>
      <x:c r="R426" s="17"/>
      <x:c r="S426" s="17"/>
      <x:c r="T426" s="17"/>
      <x:c r="U426" s="17"/>
      <x:c r="V426" s="17"/>
      <x:c r="W426" s="17"/>
      <x:c r="X426" s="17"/>
      <x:c r="Y426" s="17"/>
      <x:c r="Z426" s="17"/>
    </x:row>
    <x:row r="427">
      <x:c r="A427" s="17"/>
      <x:c r="B427" s="17"/>
      <x:c r="C427" s="17"/>
      <x:c r="D427" s="17"/>
      <x:c r="E427" s="17"/>
      <x:c r="F427" s="17"/>
      <x:c r="G427" s="17"/>
      <x:c r="H427" s="17"/>
      <x:c r="I427" s="17"/>
      <x:c r="J427" s="17"/>
      <x:c r="K427" s="17"/>
      <x:c r="L427" s="17"/>
      <x:c r="M427" s="17"/>
      <x:c r="N427" s="17"/>
      <x:c r="O427" s="17"/>
      <x:c r="P427" s="17"/>
      <x:c r="Q427" s="17"/>
      <x:c r="R427" s="17"/>
      <x:c r="S427" s="17"/>
      <x:c r="T427" s="17"/>
      <x:c r="U427" s="17"/>
      <x:c r="V427" s="17"/>
      <x:c r="W427" s="17"/>
      <x:c r="X427" s="17"/>
      <x:c r="Y427" s="17"/>
      <x:c r="Z427" s="17"/>
    </x:row>
    <x:row r="428">
      <x:c r="A428" s="17"/>
      <x:c r="B428" s="17"/>
      <x:c r="C428" s="17"/>
      <x:c r="D428" s="17"/>
      <x:c r="E428" s="17"/>
      <x:c r="F428" s="17"/>
      <x:c r="G428" s="17"/>
      <x:c r="H428" s="17"/>
      <x:c r="I428" s="17"/>
      <x:c r="J428" s="17"/>
      <x:c r="K428" s="17"/>
      <x:c r="L428" s="17"/>
      <x:c r="M428" s="17"/>
      <x:c r="N428" s="17"/>
      <x:c r="O428" s="17"/>
      <x:c r="P428" s="17"/>
      <x:c r="Q428" s="17"/>
      <x:c r="R428" s="17"/>
      <x:c r="S428" s="17"/>
      <x:c r="T428" s="17"/>
      <x:c r="U428" s="17"/>
      <x:c r="V428" s="17"/>
      <x:c r="W428" s="17"/>
      <x:c r="X428" s="17"/>
      <x:c r="Y428" s="17"/>
      <x:c r="Z428" s="17"/>
    </x:row>
    <x:row r="429">
      <x:c r="A429" s="17"/>
      <x:c r="B429" s="17"/>
      <x:c r="C429" s="17"/>
      <x:c r="D429" s="17"/>
      <x:c r="E429" s="17"/>
      <x:c r="F429" s="17"/>
      <x:c r="G429" s="17"/>
      <x:c r="H429" s="17"/>
      <x:c r="I429" s="17"/>
      <x:c r="J429" s="17"/>
      <x:c r="K429" s="17"/>
      <x:c r="L429" s="17"/>
      <x:c r="M429" s="17"/>
      <x:c r="N429" s="17"/>
      <x:c r="O429" s="17"/>
      <x:c r="P429" s="17"/>
      <x:c r="Q429" s="17"/>
      <x:c r="R429" s="17"/>
      <x:c r="S429" s="17"/>
      <x:c r="T429" s="17"/>
      <x:c r="U429" s="17"/>
      <x:c r="V429" s="17"/>
      <x:c r="W429" s="17"/>
      <x:c r="X429" s="17"/>
      <x:c r="Y429" s="17"/>
      <x:c r="Z429" s="17"/>
    </x:row>
    <x:row r="430">
      <x:c r="A430" s="17"/>
      <x:c r="B430" s="17"/>
      <x:c r="C430" s="17"/>
      <x:c r="D430" s="17"/>
      <x:c r="E430" s="17"/>
      <x:c r="F430" s="17"/>
      <x:c r="G430" s="17"/>
      <x:c r="H430" s="17"/>
      <x:c r="I430" s="17"/>
      <x:c r="J430" s="17"/>
      <x:c r="K430" s="17"/>
      <x:c r="L430" s="17"/>
      <x:c r="M430" s="17"/>
      <x:c r="N430" s="17"/>
      <x:c r="O430" s="17"/>
      <x:c r="P430" s="17"/>
      <x:c r="Q430" s="17"/>
      <x:c r="R430" s="17"/>
      <x:c r="S430" s="17"/>
      <x:c r="T430" s="17"/>
      <x:c r="U430" s="17"/>
      <x:c r="V430" s="17"/>
      <x:c r="W430" s="17"/>
      <x:c r="X430" s="17"/>
      <x:c r="Y430" s="17"/>
      <x:c r="Z430" s="17"/>
    </x:row>
    <x:row r="431">
      <x:c r="A431" s="17"/>
      <x:c r="B431" s="17"/>
      <x:c r="C431" s="17"/>
      <x:c r="D431" s="17"/>
      <x:c r="E431" s="17"/>
      <x:c r="F431" s="17"/>
      <x:c r="G431" s="17"/>
      <x:c r="H431" s="17"/>
      <x:c r="I431" s="17"/>
      <x:c r="J431" s="17"/>
      <x:c r="K431" s="17"/>
      <x:c r="L431" s="17"/>
      <x:c r="M431" s="17"/>
      <x:c r="N431" s="17"/>
      <x:c r="O431" s="17"/>
      <x:c r="P431" s="17"/>
      <x:c r="Q431" s="17"/>
      <x:c r="R431" s="17"/>
      <x:c r="S431" s="17"/>
      <x:c r="T431" s="17"/>
      <x:c r="U431" s="17"/>
      <x:c r="V431" s="17"/>
      <x:c r="W431" s="17"/>
      <x:c r="X431" s="17"/>
      <x:c r="Y431" s="17"/>
      <x:c r="Z431" s="17"/>
    </x:row>
    <x:row r="432">
      <x:c r="A432" s="17"/>
      <x:c r="B432" s="17"/>
      <x:c r="C432" s="17"/>
      <x:c r="D432" s="17"/>
      <x:c r="E432" s="17"/>
      <x:c r="F432" s="17"/>
      <x:c r="G432" s="17"/>
      <x:c r="H432" s="17"/>
      <x:c r="I432" s="17"/>
      <x:c r="J432" s="17"/>
      <x:c r="K432" s="17"/>
      <x:c r="L432" s="17"/>
      <x:c r="M432" s="17"/>
      <x:c r="N432" s="17"/>
      <x:c r="O432" s="17"/>
      <x:c r="P432" s="17"/>
      <x:c r="Q432" s="17"/>
      <x:c r="R432" s="17"/>
      <x:c r="S432" s="17"/>
      <x:c r="T432" s="17"/>
      <x:c r="U432" s="17"/>
      <x:c r="V432" s="17"/>
      <x:c r="W432" s="17"/>
      <x:c r="X432" s="17"/>
      <x:c r="Y432" s="17"/>
      <x:c r="Z432" s="17"/>
    </x:row>
    <x:row r="433">
      <x:c r="A433" s="17"/>
      <x:c r="B433" s="17"/>
      <x:c r="C433" s="17"/>
      <x:c r="D433" s="17"/>
      <x:c r="E433" s="17"/>
      <x:c r="F433" s="17"/>
      <x:c r="G433" s="17"/>
      <x:c r="H433" s="17"/>
      <x:c r="I433" s="17"/>
      <x:c r="J433" s="17"/>
      <x:c r="K433" s="17"/>
      <x:c r="L433" s="17"/>
      <x:c r="M433" s="17"/>
      <x:c r="N433" s="17"/>
      <x:c r="O433" s="17"/>
      <x:c r="P433" s="17"/>
      <x:c r="Q433" s="17"/>
      <x:c r="R433" s="17"/>
      <x:c r="S433" s="17"/>
      <x:c r="T433" s="17"/>
      <x:c r="U433" s="17"/>
      <x:c r="V433" s="17"/>
      <x:c r="W433" s="17"/>
      <x:c r="X433" s="17"/>
      <x:c r="Y433" s="17"/>
      <x:c r="Z433" s="17"/>
    </x:row>
    <x:row r="434">
      <x:c r="A434" s="17"/>
      <x:c r="B434" s="17"/>
      <x:c r="C434" s="17"/>
      <x:c r="D434" s="17"/>
      <x:c r="E434" s="17"/>
      <x:c r="F434" s="17"/>
      <x:c r="G434" s="17"/>
      <x:c r="H434" s="17"/>
      <x:c r="I434" s="17"/>
      <x:c r="J434" s="17"/>
      <x:c r="K434" s="17"/>
      <x:c r="L434" s="17"/>
      <x:c r="M434" s="17"/>
      <x:c r="N434" s="17"/>
      <x:c r="O434" s="17"/>
      <x:c r="P434" s="17"/>
      <x:c r="Q434" s="17"/>
      <x:c r="R434" s="17"/>
      <x:c r="S434" s="17"/>
      <x:c r="T434" s="17"/>
      <x:c r="U434" s="17"/>
      <x:c r="V434" s="17"/>
      <x:c r="W434" s="17"/>
      <x:c r="X434" s="17"/>
      <x:c r="Y434" s="17"/>
      <x:c r="Z434" s="17"/>
    </x:row>
    <x:row r="435">
      <x:c r="A435" s="17"/>
      <x:c r="B435" s="17"/>
      <x:c r="C435" s="17"/>
      <x:c r="D435" s="17"/>
      <x:c r="E435" s="17"/>
      <x:c r="F435" s="17"/>
      <x:c r="G435" s="17"/>
      <x:c r="H435" s="17"/>
      <x:c r="I435" s="17"/>
      <x:c r="J435" s="17"/>
      <x:c r="K435" s="17"/>
      <x:c r="L435" s="17"/>
      <x:c r="M435" s="17"/>
      <x:c r="N435" s="17"/>
      <x:c r="O435" s="17"/>
      <x:c r="P435" s="17"/>
      <x:c r="Q435" s="17"/>
      <x:c r="R435" s="17"/>
      <x:c r="S435" s="17"/>
      <x:c r="T435" s="17"/>
      <x:c r="U435" s="17"/>
      <x:c r="V435" s="17"/>
      <x:c r="W435" s="17"/>
      <x:c r="X435" s="17"/>
      <x:c r="Y435" s="17"/>
      <x:c r="Z435" s="17"/>
    </x:row>
    <x:row r="436">
      <x:c r="A436" s="17"/>
      <x:c r="B436" s="17"/>
      <x:c r="C436" s="17"/>
      <x:c r="D436" s="17"/>
      <x:c r="E436" s="17"/>
      <x:c r="F436" s="17"/>
      <x:c r="G436" s="17"/>
      <x:c r="H436" s="17"/>
      <x:c r="I436" s="17"/>
      <x:c r="J436" s="17"/>
      <x:c r="K436" s="17"/>
      <x:c r="L436" s="17"/>
      <x:c r="M436" s="17"/>
      <x:c r="N436" s="17"/>
      <x:c r="O436" s="17"/>
      <x:c r="P436" s="17"/>
      <x:c r="Q436" s="17"/>
      <x:c r="R436" s="17"/>
      <x:c r="S436" s="17"/>
      <x:c r="T436" s="17"/>
      <x:c r="U436" s="17"/>
      <x:c r="V436" s="17"/>
      <x:c r="W436" s="17"/>
      <x:c r="X436" s="17"/>
      <x:c r="Y436" s="17"/>
      <x:c r="Z436" s="17"/>
    </x:row>
    <x:row r="437">
      <x:c r="A437" s="17"/>
      <x:c r="B437" s="17"/>
      <x:c r="C437" s="17"/>
      <x:c r="D437" s="17"/>
      <x:c r="E437" s="17"/>
      <x:c r="F437" s="17"/>
      <x:c r="G437" s="17"/>
      <x:c r="H437" s="17"/>
      <x:c r="I437" s="17"/>
      <x:c r="J437" s="17"/>
      <x:c r="K437" s="17"/>
      <x:c r="L437" s="17"/>
      <x:c r="M437" s="17"/>
      <x:c r="N437" s="17"/>
      <x:c r="O437" s="17"/>
      <x:c r="P437" s="17"/>
      <x:c r="Q437" s="17"/>
      <x:c r="R437" s="17"/>
      <x:c r="S437" s="17"/>
      <x:c r="T437" s="17"/>
      <x:c r="U437" s="17"/>
      <x:c r="V437" s="17"/>
      <x:c r="W437" s="17"/>
      <x:c r="X437" s="17"/>
      <x:c r="Y437" s="17"/>
      <x:c r="Z437" s="17"/>
    </x:row>
    <x:row r="438">
      <x:c r="A438" s="17"/>
      <x:c r="B438" s="17"/>
      <x:c r="C438" s="17"/>
      <x:c r="D438" s="17"/>
      <x:c r="E438" s="17"/>
      <x:c r="F438" s="17"/>
      <x:c r="G438" s="17"/>
      <x:c r="H438" s="17"/>
      <x:c r="I438" s="17"/>
      <x:c r="J438" s="17"/>
      <x:c r="K438" s="17"/>
      <x:c r="L438" s="17"/>
      <x:c r="M438" s="17"/>
      <x:c r="N438" s="17"/>
      <x:c r="O438" s="17"/>
      <x:c r="P438" s="17"/>
      <x:c r="Q438" s="17"/>
      <x:c r="R438" s="17"/>
      <x:c r="S438" s="17"/>
      <x:c r="T438" s="17"/>
      <x:c r="U438" s="17"/>
      <x:c r="V438" s="17"/>
      <x:c r="W438" s="17"/>
      <x:c r="X438" s="17"/>
      <x:c r="Y438" s="17"/>
      <x:c r="Z438" s="17"/>
    </x:row>
    <x:row r="439">
      <x:c r="A439" s="17"/>
      <x:c r="B439" s="17"/>
      <x:c r="C439" s="17"/>
      <x:c r="D439" s="17"/>
      <x:c r="E439" s="17"/>
      <x:c r="F439" s="17"/>
      <x:c r="G439" s="17"/>
      <x:c r="H439" s="17"/>
      <x:c r="I439" s="17"/>
      <x:c r="J439" s="17"/>
      <x:c r="K439" s="17"/>
      <x:c r="L439" s="17"/>
      <x:c r="M439" s="17"/>
      <x:c r="N439" s="17"/>
      <x:c r="O439" s="17"/>
      <x:c r="P439" s="17"/>
      <x:c r="Q439" s="17"/>
      <x:c r="R439" s="17"/>
      <x:c r="S439" s="17"/>
      <x:c r="T439" s="17"/>
      <x:c r="U439" s="17"/>
      <x:c r="V439" s="17"/>
      <x:c r="W439" s="17"/>
      <x:c r="X439" s="17"/>
      <x:c r="Y439" s="17"/>
      <x:c r="Z439" s="17"/>
    </x:row>
    <x:row r="440">
      <x:c r="A440" s="17"/>
      <x:c r="B440" s="17"/>
      <x:c r="C440" s="17"/>
      <x:c r="D440" s="17"/>
      <x:c r="E440" s="17"/>
      <x:c r="F440" s="17"/>
      <x:c r="G440" s="17"/>
      <x:c r="H440" s="17"/>
      <x:c r="I440" s="17"/>
      <x:c r="J440" s="17"/>
      <x:c r="K440" s="17"/>
      <x:c r="L440" s="17"/>
      <x:c r="M440" s="17"/>
      <x:c r="N440" s="17"/>
      <x:c r="O440" s="17"/>
      <x:c r="P440" s="17"/>
      <x:c r="Q440" s="17"/>
      <x:c r="R440" s="17"/>
      <x:c r="S440" s="17"/>
      <x:c r="T440" s="17"/>
      <x:c r="U440" s="17"/>
      <x:c r="V440" s="17"/>
      <x:c r="W440" s="17"/>
      <x:c r="X440" s="17"/>
      <x:c r="Y440" s="17"/>
      <x:c r="Z440" s="17"/>
    </x:row>
    <x:row r="441">
      <x:c r="A441" s="17"/>
      <x:c r="B441" s="17"/>
      <x:c r="C441" s="17"/>
      <x:c r="D441" s="17"/>
      <x:c r="E441" s="17"/>
      <x:c r="F441" s="17"/>
      <x:c r="G441" s="17"/>
      <x:c r="H441" s="17"/>
      <x:c r="I441" s="17"/>
      <x:c r="J441" s="17"/>
      <x:c r="K441" s="17"/>
      <x:c r="L441" s="17"/>
      <x:c r="M441" s="17"/>
      <x:c r="N441" s="17"/>
      <x:c r="O441" s="17"/>
      <x:c r="P441" s="17"/>
      <x:c r="Q441" s="17"/>
      <x:c r="R441" s="17"/>
      <x:c r="S441" s="17"/>
      <x:c r="T441" s="17"/>
      <x:c r="U441" s="17"/>
      <x:c r="V441" s="17"/>
      <x:c r="W441" s="17"/>
      <x:c r="X441" s="17"/>
      <x:c r="Y441" s="17"/>
      <x:c r="Z441" s="17"/>
    </x:row>
    <x:row r="442">
      <x:c r="A442" s="17"/>
      <x:c r="B442" s="17"/>
      <x:c r="C442" s="17"/>
      <x:c r="D442" s="17"/>
      <x:c r="E442" s="17"/>
      <x:c r="F442" s="17"/>
      <x:c r="G442" s="17"/>
      <x:c r="H442" s="17"/>
      <x:c r="I442" s="17"/>
      <x:c r="J442" s="17"/>
      <x:c r="K442" s="17"/>
      <x:c r="L442" s="17"/>
      <x:c r="M442" s="17"/>
      <x:c r="N442" s="17"/>
      <x:c r="O442" s="17"/>
      <x:c r="P442" s="17"/>
      <x:c r="Q442" s="17"/>
      <x:c r="R442" s="17"/>
      <x:c r="S442" s="17"/>
      <x:c r="T442" s="17"/>
      <x:c r="U442" s="17"/>
      <x:c r="V442" s="17"/>
      <x:c r="W442" s="17"/>
      <x:c r="X442" s="17"/>
      <x:c r="Y442" s="17"/>
      <x:c r="Z442" s="17"/>
    </x:row>
    <x:row r="443">
      <x:c r="A443" s="17"/>
      <x:c r="B443" s="17"/>
      <x:c r="C443" s="17"/>
      <x:c r="D443" s="17"/>
      <x:c r="E443" s="17"/>
      <x:c r="F443" s="17"/>
      <x:c r="G443" s="17"/>
      <x:c r="H443" s="17"/>
      <x:c r="I443" s="17"/>
      <x:c r="J443" s="17"/>
      <x:c r="K443" s="17"/>
      <x:c r="L443" s="17"/>
      <x:c r="M443" s="17"/>
      <x:c r="N443" s="17"/>
      <x:c r="O443" s="17"/>
      <x:c r="P443" s="17"/>
      <x:c r="Q443" s="17"/>
      <x:c r="R443" s="17"/>
      <x:c r="S443" s="17"/>
      <x:c r="T443" s="17"/>
      <x:c r="U443" s="17"/>
      <x:c r="V443" s="17"/>
      <x:c r="W443" s="17"/>
      <x:c r="X443" s="17"/>
      <x:c r="Y443" s="17"/>
      <x:c r="Z443" s="17"/>
    </x:row>
    <x:row r="444">
      <x:c r="A444" s="17"/>
      <x:c r="B444" s="17"/>
      <x:c r="C444" s="17"/>
      <x:c r="D444" s="17"/>
      <x:c r="E444" s="17"/>
      <x:c r="F444" s="17"/>
      <x:c r="G444" s="17"/>
      <x:c r="H444" s="17"/>
      <x:c r="I444" s="17"/>
      <x:c r="J444" s="17"/>
      <x:c r="K444" s="17"/>
      <x:c r="L444" s="17"/>
      <x:c r="M444" s="17"/>
      <x:c r="N444" s="17"/>
      <x:c r="O444" s="17"/>
      <x:c r="P444" s="17"/>
      <x:c r="Q444" s="17"/>
      <x:c r="R444" s="17"/>
      <x:c r="S444" s="17"/>
      <x:c r="T444" s="17"/>
      <x:c r="U444" s="17"/>
      <x:c r="V444" s="17"/>
      <x:c r="W444" s="17"/>
      <x:c r="X444" s="17"/>
      <x:c r="Y444" s="17"/>
      <x:c r="Z444" s="17"/>
    </x:row>
    <x:row r="445">
      <x:c r="A445" s="17"/>
      <x:c r="B445" s="17"/>
      <x:c r="C445" s="17"/>
      <x:c r="D445" s="17"/>
      <x:c r="E445" s="17"/>
      <x:c r="F445" s="17"/>
      <x:c r="G445" s="17"/>
      <x:c r="H445" s="17"/>
      <x:c r="I445" s="17"/>
      <x:c r="J445" s="17"/>
      <x:c r="K445" s="17"/>
      <x:c r="L445" s="17"/>
      <x:c r="M445" s="17"/>
      <x:c r="N445" s="17"/>
      <x:c r="O445" s="17"/>
      <x:c r="P445" s="17"/>
      <x:c r="Q445" s="17"/>
      <x:c r="R445" s="17"/>
      <x:c r="S445" s="17"/>
      <x:c r="T445" s="17"/>
      <x:c r="U445" s="17"/>
      <x:c r="V445" s="17"/>
      <x:c r="W445" s="17"/>
      <x:c r="X445" s="17"/>
      <x:c r="Y445" s="17"/>
      <x:c r="Z445" s="17"/>
    </x:row>
    <x:row r="446">
      <x:c r="A446" s="17"/>
      <x:c r="B446" s="17"/>
      <x:c r="C446" s="17"/>
      <x:c r="D446" s="17"/>
      <x:c r="E446" s="17"/>
      <x:c r="F446" s="17"/>
      <x:c r="G446" s="17"/>
      <x:c r="H446" s="17"/>
      <x:c r="I446" s="17"/>
      <x:c r="J446" s="17"/>
      <x:c r="K446" s="17"/>
      <x:c r="L446" s="17"/>
      <x:c r="M446" s="17"/>
      <x:c r="N446" s="17"/>
      <x:c r="O446" s="17"/>
      <x:c r="P446" s="17"/>
      <x:c r="Q446" s="17"/>
      <x:c r="R446" s="17"/>
      <x:c r="S446" s="17"/>
      <x:c r="T446" s="17"/>
      <x:c r="U446" s="17"/>
      <x:c r="V446" s="17"/>
      <x:c r="W446" s="17"/>
      <x:c r="X446" s="17"/>
      <x:c r="Y446" s="17"/>
      <x:c r="Z446" s="17"/>
    </x:row>
    <x:row r="447">
      <x:c r="A447" s="17"/>
      <x:c r="B447" s="17"/>
      <x:c r="C447" s="17"/>
      <x:c r="D447" s="17"/>
      <x:c r="E447" s="17"/>
      <x:c r="F447" s="17"/>
      <x:c r="G447" s="17"/>
      <x:c r="H447" s="17"/>
      <x:c r="I447" s="17"/>
      <x:c r="J447" s="17"/>
      <x:c r="K447" s="17"/>
      <x:c r="L447" s="17"/>
      <x:c r="M447" s="17"/>
      <x:c r="N447" s="17"/>
      <x:c r="O447" s="17"/>
      <x:c r="P447" s="17"/>
      <x:c r="Q447" s="17"/>
      <x:c r="R447" s="17"/>
      <x:c r="S447" s="17"/>
      <x:c r="T447" s="17"/>
      <x:c r="U447" s="17"/>
      <x:c r="V447" s="17"/>
      <x:c r="W447" s="17"/>
      <x:c r="X447" s="17"/>
      <x:c r="Y447" s="17"/>
      <x:c r="Z447" s="17"/>
    </x:row>
    <x:row r="448">
      <x:c r="A448" s="17"/>
      <x:c r="B448" s="17"/>
      <x:c r="C448" s="17"/>
      <x:c r="D448" s="17"/>
      <x:c r="E448" s="17"/>
      <x:c r="F448" s="17"/>
      <x:c r="G448" s="17"/>
      <x:c r="H448" s="17"/>
      <x:c r="I448" s="17"/>
      <x:c r="J448" s="17"/>
      <x:c r="K448" s="17"/>
      <x:c r="L448" s="17"/>
      <x:c r="M448" s="17"/>
      <x:c r="N448" s="17"/>
      <x:c r="O448" s="17"/>
      <x:c r="P448" s="17"/>
      <x:c r="Q448" s="17"/>
      <x:c r="R448" s="17"/>
      <x:c r="S448" s="17"/>
      <x:c r="T448" s="17"/>
      <x:c r="U448" s="17"/>
      <x:c r="V448" s="17"/>
      <x:c r="W448" s="17"/>
      <x:c r="X448" s="17"/>
      <x:c r="Y448" s="17"/>
      <x:c r="Z448" s="17"/>
    </x:row>
    <x:row r="449">
      <x:c r="A449" s="17"/>
      <x:c r="B449" s="17"/>
      <x:c r="C449" s="17"/>
      <x:c r="D449" s="17"/>
      <x:c r="E449" s="17"/>
      <x:c r="F449" s="17"/>
      <x:c r="G449" s="17"/>
      <x:c r="H449" s="17"/>
      <x:c r="I449" s="17"/>
      <x:c r="J449" s="17"/>
      <x:c r="K449" s="17"/>
      <x:c r="L449" s="17"/>
      <x:c r="M449" s="17"/>
      <x:c r="N449" s="17"/>
      <x:c r="O449" s="17"/>
      <x:c r="P449" s="17"/>
      <x:c r="Q449" s="17"/>
      <x:c r="R449" s="17"/>
      <x:c r="S449" s="17"/>
      <x:c r="T449" s="17"/>
      <x:c r="U449" s="17"/>
      <x:c r="V449" s="17"/>
      <x:c r="W449" s="17"/>
      <x:c r="X449" s="17"/>
      <x:c r="Y449" s="17"/>
      <x:c r="Z449" s="17"/>
    </x:row>
    <x:row r="450">
      <x:c r="A450" s="17"/>
      <x:c r="B450" s="17"/>
      <x:c r="C450" s="17"/>
      <x:c r="D450" s="17"/>
      <x:c r="E450" s="17"/>
      <x:c r="F450" s="17"/>
      <x:c r="G450" s="17"/>
      <x:c r="H450" s="17"/>
      <x:c r="I450" s="17"/>
      <x:c r="J450" s="17"/>
      <x:c r="K450" s="17"/>
      <x:c r="L450" s="17"/>
      <x:c r="M450" s="17"/>
      <x:c r="N450" s="17"/>
      <x:c r="O450" s="17"/>
      <x:c r="P450" s="17"/>
      <x:c r="Q450" s="17"/>
      <x:c r="R450" s="17"/>
      <x:c r="S450" s="17"/>
      <x:c r="T450" s="17"/>
      <x:c r="U450" s="17"/>
      <x:c r="V450" s="17"/>
      <x:c r="W450" s="17"/>
      <x:c r="X450" s="17"/>
      <x:c r="Y450" s="17"/>
      <x:c r="Z450" s="17"/>
    </x:row>
    <x:row r="451">
      <x:c r="A451" s="17"/>
      <x:c r="B451" s="17"/>
      <x:c r="C451" s="17"/>
      <x:c r="D451" s="17"/>
      <x:c r="E451" s="17"/>
      <x:c r="F451" s="17"/>
      <x:c r="G451" s="17"/>
      <x:c r="H451" s="17"/>
      <x:c r="I451" s="17"/>
      <x:c r="J451" s="17"/>
      <x:c r="K451" s="17"/>
      <x:c r="L451" s="17"/>
      <x:c r="M451" s="17"/>
      <x:c r="N451" s="17"/>
      <x:c r="O451" s="17"/>
      <x:c r="P451" s="17"/>
      <x:c r="Q451" s="17"/>
      <x:c r="R451" s="17"/>
      <x:c r="S451" s="17"/>
      <x:c r="T451" s="17"/>
      <x:c r="U451" s="17"/>
      <x:c r="V451" s="17"/>
      <x:c r="W451" s="17"/>
      <x:c r="X451" s="17"/>
      <x:c r="Y451" s="17"/>
      <x:c r="Z451" s="17"/>
    </x:row>
    <x:row r="452">
      <x:c r="A452" s="17"/>
      <x:c r="B452" s="17"/>
      <x:c r="C452" s="17"/>
      <x:c r="D452" s="17"/>
      <x:c r="E452" s="17"/>
      <x:c r="F452" s="17"/>
      <x:c r="G452" s="17"/>
      <x:c r="H452" s="17"/>
      <x:c r="I452" s="17"/>
      <x:c r="J452" s="17"/>
      <x:c r="K452" s="17"/>
      <x:c r="L452" s="17"/>
      <x:c r="M452" s="17"/>
      <x:c r="N452" s="17"/>
      <x:c r="O452" s="17"/>
      <x:c r="P452" s="17"/>
      <x:c r="Q452" s="17"/>
      <x:c r="R452" s="17"/>
      <x:c r="S452" s="17"/>
      <x:c r="T452" s="17"/>
      <x:c r="U452" s="17"/>
      <x:c r="V452" s="17"/>
      <x:c r="W452" s="17"/>
      <x:c r="X452" s="17"/>
      <x:c r="Y452" s="17"/>
      <x:c r="Z452" s="17"/>
    </x:row>
    <x:row r="453">
      <x:c r="A453" s="17"/>
      <x:c r="B453" s="17"/>
      <x:c r="C453" s="17"/>
      <x:c r="D453" s="17"/>
      <x:c r="E453" s="17"/>
      <x:c r="F453" s="17"/>
      <x:c r="G453" s="17"/>
      <x:c r="H453" s="17"/>
      <x:c r="I453" s="17"/>
      <x:c r="J453" s="17"/>
      <x:c r="K453" s="17"/>
      <x:c r="L453" s="17"/>
      <x:c r="M453" s="17"/>
      <x:c r="N453" s="17"/>
      <x:c r="O453" s="17"/>
      <x:c r="P453" s="17"/>
      <x:c r="Q453" s="17"/>
      <x:c r="R453" s="17"/>
      <x:c r="S453" s="17"/>
      <x:c r="T453" s="17"/>
      <x:c r="U453" s="17"/>
      <x:c r="V453" s="17"/>
      <x:c r="W453" s="17"/>
      <x:c r="X453" s="17"/>
      <x:c r="Y453" s="17"/>
      <x:c r="Z453" s="17"/>
    </x:row>
    <x:row r="454">
      <x:c r="A454" s="17"/>
      <x:c r="B454" s="17"/>
      <x:c r="C454" s="17"/>
      <x:c r="D454" s="17"/>
      <x:c r="E454" s="17"/>
      <x:c r="F454" s="17"/>
      <x:c r="G454" s="17"/>
      <x:c r="H454" s="17"/>
      <x:c r="I454" s="17"/>
      <x:c r="J454" s="17"/>
      <x:c r="K454" s="17"/>
      <x:c r="L454" s="17"/>
      <x:c r="M454" s="17"/>
      <x:c r="N454" s="17"/>
      <x:c r="O454" s="17"/>
      <x:c r="P454" s="17"/>
      <x:c r="Q454" s="17"/>
      <x:c r="R454" s="17"/>
      <x:c r="S454" s="17"/>
      <x:c r="T454" s="17"/>
      <x:c r="U454" s="17"/>
      <x:c r="V454" s="17"/>
      <x:c r="W454" s="17"/>
      <x:c r="X454" s="17"/>
      <x:c r="Y454" s="17"/>
      <x:c r="Z454" s="17"/>
    </x:row>
    <x:row r="455">
      <x:c r="A455" s="17"/>
      <x:c r="B455" s="17"/>
      <x:c r="C455" s="17"/>
      <x:c r="D455" s="17"/>
      <x:c r="E455" s="17"/>
      <x:c r="F455" s="17"/>
      <x:c r="G455" s="17"/>
      <x:c r="H455" s="17"/>
      <x:c r="I455" s="17"/>
      <x:c r="J455" s="17"/>
      <x:c r="K455" s="17"/>
      <x:c r="L455" s="17"/>
      <x:c r="M455" s="17"/>
      <x:c r="N455" s="17"/>
      <x:c r="O455" s="17"/>
      <x:c r="P455" s="17"/>
      <x:c r="Q455" s="17"/>
      <x:c r="R455" s="17"/>
      <x:c r="S455" s="17"/>
      <x:c r="T455" s="17"/>
      <x:c r="U455" s="17"/>
      <x:c r="V455" s="17"/>
      <x:c r="W455" s="17"/>
      <x:c r="X455" s="17"/>
      <x:c r="Y455" s="17"/>
      <x:c r="Z455" s="17"/>
    </x:row>
    <x:row r="456">
      <x:c r="A456" s="17"/>
      <x:c r="B456" s="17"/>
      <x:c r="C456" s="17"/>
      <x:c r="D456" s="17"/>
      <x:c r="E456" s="17"/>
      <x:c r="F456" s="17"/>
      <x:c r="G456" s="17"/>
      <x:c r="H456" s="17"/>
      <x:c r="I456" s="17"/>
      <x:c r="J456" s="17"/>
      <x:c r="K456" s="17"/>
      <x:c r="L456" s="17"/>
      <x:c r="M456" s="17"/>
      <x:c r="N456" s="17"/>
      <x:c r="O456" s="17"/>
      <x:c r="P456" s="17"/>
      <x:c r="Q456" s="17"/>
      <x:c r="R456" s="17"/>
      <x:c r="S456" s="17"/>
      <x:c r="T456" s="17"/>
      <x:c r="U456" s="17"/>
      <x:c r="V456" s="17"/>
      <x:c r="W456" s="17"/>
      <x:c r="X456" s="17"/>
      <x:c r="Y456" s="17"/>
      <x:c r="Z456" s="17"/>
    </x:row>
    <x:row r="457">
      <x:c r="A457" s="17"/>
      <x:c r="B457" s="17"/>
      <x:c r="C457" s="17"/>
      <x:c r="D457" s="17"/>
      <x:c r="E457" s="17"/>
      <x:c r="F457" s="17"/>
      <x:c r="G457" s="17"/>
      <x:c r="H457" s="17"/>
      <x:c r="I457" s="17"/>
      <x:c r="J457" s="17"/>
      <x:c r="K457" s="17"/>
      <x:c r="L457" s="17"/>
      <x:c r="M457" s="17"/>
      <x:c r="N457" s="17"/>
      <x:c r="O457" s="17"/>
      <x:c r="P457" s="17"/>
      <x:c r="Q457" s="17"/>
      <x:c r="R457" s="17"/>
      <x:c r="S457" s="17"/>
      <x:c r="T457" s="17"/>
      <x:c r="U457" s="17"/>
      <x:c r="V457" s="17"/>
      <x:c r="W457" s="17"/>
      <x:c r="X457" s="17"/>
      <x:c r="Y457" s="17"/>
      <x:c r="Z457" s="17"/>
    </x:row>
    <x:row r="458">
      <x:c r="A458" s="17"/>
      <x:c r="B458" s="17"/>
      <x:c r="C458" s="17"/>
      <x:c r="D458" s="17"/>
      <x:c r="E458" s="17"/>
      <x:c r="F458" s="17"/>
      <x:c r="G458" s="17"/>
      <x:c r="H458" s="17"/>
      <x:c r="I458" s="17"/>
      <x:c r="J458" s="17"/>
      <x:c r="K458" s="17"/>
      <x:c r="L458" s="17"/>
      <x:c r="M458" s="17"/>
      <x:c r="N458" s="17"/>
      <x:c r="O458" s="17"/>
      <x:c r="P458" s="17"/>
      <x:c r="Q458" s="17"/>
      <x:c r="R458" s="17"/>
      <x:c r="S458" s="17"/>
      <x:c r="T458" s="17"/>
      <x:c r="U458" s="17"/>
      <x:c r="V458" s="17"/>
      <x:c r="W458" s="17"/>
      <x:c r="X458" s="17"/>
      <x:c r="Y458" s="17"/>
      <x:c r="Z458" s="17"/>
    </x:row>
    <x:row r="459">
      <x:c r="A459" s="17"/>
      <x:c r="B459" s="17"/>
      <x:c r="C459" s="17"/>
      <x:c r="D459" s="17"/>
      <x:c r="E459" s="17"/>
      <x:c r="F459" s="17"/>
      <x:c r="G459" s="17"/>
      <x:c r="H459" s="17"/>
      <x:c r="I459" s="17"/>
      <x:c r="J459" s="17"/>
      <x:c r="K459" s="17"/>
      <x:c r="L459" s="17"/>
      <x:c r="M459" s="17"/>
      <x:c r="N459" s="17"/>
      <x:c r="O459" s="17"/>
      <x:c r="P459" s="17"/>
      <x:c r="Q459" s="17"/>
      <x:c r="R459" s="17"/>
      <x:c r="S459" s="17"/>
      <x:c r="T459" s="17"/>
      <x:c r="U459" s="17"/>
      <x:c r="V459" s="17"/>
      <x:c r="W459" s="17"/>
      <x:c r="X459" s="17"/>
      <x:c r="Y459" s="17"/>
      <x:c r="Z459" s="17"/>
    </x:row>
    <x:row r="460">
      <x:c r="A460" s="17"/>
      <x:c r="B460" s="17"/>
      <x:c r="C460" s="17"/>
      <x:c r="D460" s="17"/>
      <x:c r="E460" s="17"/>
      <x:c r="F460" s="17"/>
      <x:c r="G460" s="17"/>
      <x:c r="H460" s="17"/>
      <x:c r="I460" s="17"/>
      <x:c r="J460" s="17"/>
      <x:c r="K460" s="17"/>
      <x:c r="L460" s="17"/>
      <x:c r="M460" s="17"/>
      <x:c r="N460" s="17"/>
      <x:c r="O460" s="17"/>
      <x:c r="P460" s="17"/>
      <x:c r="Q460" s="17"/>
      <x:c r="R460" s="17"/>
      <x:c r="S460" s="17"/>
      <x:c r="T460" s="17"/>
      <x:c r="U460" s="17"/>
      <x:c r="V460" s="17"/>
      <x:c r="W460" s="17"/>
      <x:c r="X460" s="17"/>
      <x:c r="Y460" s="17"/>
      <x:c r="Z460" s="17"/>
    </x:row>
    <x:row r="461">
      <x:c r="A461" s="17"/>
      <x:c r="B461" s="17"/>
      <x:c r="C461" s="17"/>
      <x:c r="D461" s="17"/>
      <x:c r="E461" s="17"/>
      <x:c r="F461" s="17"/>
      <x:c r="G461" s="17"/>
      <x:c r="H461" s="17"/>
      <x:c r="I461" s="17"/>
      <x:c r="J461" s="17"/>
      <x:c r="K461" s="17"/>
      <x:c r="L461" s="17"/>
      <x:c r="M461" s="17"/>
      <x:c r="N461" s="17"/>
      <x:c r="O461" s="17"/>
      <x:c r="P461" s="17"/>
      <x:c r="Q461" s="17"/>
      <x:c r="R461" s="17"/>
      <x:c r="S461" s="17"/>
      <x:c r="T461" s="17"/>
      <x:c r="U461" s="17"/>
      <x:c r="V461" s="17"/>
      <x:c r="W461" s="17"/>
      <x:c r="X461" s="17"/>
      <x:c r="Y461" s="17"/>
      <x:c r="Z461" s="17"/>
    </x:row>
    <x:row r="462">
      <x:c r="A462" s="17"/>
      <x:c r="B462" s="17"/>
      <x:c r="C462" s="17"/>
      <x:c r="D462" s="17"/>
      <x:c r="E462" s="17"/>
      <x:c r="F462" s="17"/>
      <x:c r="G462" s="17"/>
      <x:c r="H462" s="17"/>
      <x:c r="I462" s="17"/>
      <x:c r="J462" s="17"/>
      <x:c r="K462" s="17"/>
      <x:c r="L462" s="17"/>
      <x:c r="M462" s="17"/>
      <x:c r="N462" s="17"/>
      <x:c r="O462" s="17"/>
      <x:c r="P462" s="17"/>
      <x:c r="Q462" s="17"/>
      <x:c r="R462" s="17"/>
      <x:c r="S462" s="17"/>
      <x:c r="T462" s="17"/>
      <x:c r="U462" s="17"/>
      <x:c r="V462" s="17"/>
      <x:c r="W462" s="17"/>
      <x:c r="X462" s="17"/>
      <x:c r="Y462" s="17"/>
      <x:c r="Z462" s="17"/>
    </x:row>
    <x:row r="463">
      <x:c r="A463" s="17"/>
      <x:c r="B463" s="17"/>
      <x:c r="C463" s="17"/>
      <x:c r="D463" s="17"/>
      <x:c r="E463" s="17"/>
      <x:c r="F463" s="17"/>
      <x:c r="G463" s="17"/>
      <x:c r="H463" s="17"/>
      <x:c r="I463" s="17"/>
      <x:c r="J463" s="17"/>
      <x:c r="K463" s="17"/>
      <x:c r="L463" s="17"/>
      <x:c r="M463" s="17"/>
      <x:c r="N463" s="17"/>
      <x:c r="O463" s="17"/>
      <x:c r="P463" s="17"/>
      <x:c r="Q463" s="17"/>
      <x:c r="R463" s="17"/>
      <x:c r="S463" s="17"/>
      <x:c r="T463" s="17"/>
      <x:c r="U463" s="17"/>
      <x:c r="V463" s="17"/>
      <x:c r="W463" s="17"/>
      <x:c r="X463" s="17"/>
      <x:c r="Y463" s="17"/>
      <x:c r="Z463" s="17"/>
    </x:row>
    <x:row r="464">
      <x:c r="A464" s="17"/>
      <x:c r="B464" s="17"/>
      <x:c r="C464" s="17"/>
      <x:c r="D464" s="17"/>
      <x:c r="E464" s="17"/>
      <x:c r="F464" s="17"/>
      <x:c r="G464" s="17"/>
      <x:c r="H464" s="17"/>
      <x:c r="I464" s="17"/>
      <x:c r="J464" s="17"/>
      <x:c r="K464" s="17"/>
      <x:c r="L464" s="17"/>
      <x:c r="M464" s="17"/>
      <x:c r="N464" s="17"/>
      <x:c r="O464" s="17"/>
      <x:c r="P464" s="17"/>
      <x:c r="Q464" s="17"/>
      <x:c r="R464" s="17"/>
      <x:c r="S464" s="17"/>
      <x:c r="T464" s="17"/>
      <x:c r="U464" s="17"/>
      <x:c r="V464" s="17"/>
      <x:c r="W464" s="17"/>
      <x:c r="X464" s="17"/>
      <x:c r="Y464" s="17"/>
      <x:c r="Z464" s="17"/>
    </x:row>
    <x:row r="465">
      <x:c r="A465" s="17"/>
      <x:c r="B465" s="17"/>
      <x:c r="C465" s="17"/>
      <x:c r="D465" s="17"/>
      <x:c r="E465" s="17"/>
      <x:c r="F465" s="17"/>
      <x:c r="G465" s="17"/>
      <x:c r="H465" s="17"/>
      <x:c r="I465" s="17"/>
      <x:c r="J465" s="17"/>
      <x:c r="K465" s="17"/>
      <x:c r="L465" s="17"/>
      <x:c r="M465" s="17"/>
      <x:c r="N465" s="17"/>
      <x:c r="O465" s="17"/>
      <x:c r="P465" s="17"/>
      <x:c r="Q465" s="17"/>
      <x:c r="R465" s="17"/>
      <x:c r="S465" s="17"/>
      <x:c r="T465" s="17"/>
      <x:c r="U465" s="17"/>
      <x:c r="V465" s="17"/>
      <x:c r="W465" s="17"/>
      <x:c r="X465" s="17"/>
      <x:c r="Y465" s="17"/>
      <x:c r="Z465" s="17"/>
    </x:row>
    <x:row r="466">
      <x:c r="A466" s="17"/>
      <x:c r="B466" s="17"/>
      <x:c r="C466" s="17"/>
      <x:c r="D466" s="17"/>
      <x:c r="E466" s="17"/>
      <x:c r="F466" s="17"/>
      <x:c r="G466" s="17"/>
      <x:c r="H466" s="17"/>
      <x:c r="I466" s="17"/>
      <x:c r="J466" s="17"/>
      <x:c r="K466" s="17"/>
      <x:c r="L466" s="17"/>
      <x:c r="M466" s="17"/>
      <x:c r="N466" s="17"/>
      <x:c r="O466" s="17"/>
      <x:c r="P466" s="17"/>
      <x:c r="Q466" s="17"/>
      <x:c r="R466" s="17"/>
      <x:c r="S466" s="17"/>
      <x:c r="T466" s="17"/>
      <x:c r="U466" s="17"/>
      <x:c r="V466" s="17"/>
      <x:c r="W466" s="17"/>
      <x:c r="X466" s="17"/>
      <x:c r="Y466" s="17"/>
      <x:c r="Z466" s="17"/>
    </x:row>
    <x:row r="467">
      <x:c r="A467" s="17"/>
      <x:c r="B467" s="17"/>
      <x:c r="C467" s="17"/>
      <x:c r="D467" s="17"/>
      <x:c r="E467" s="17"/>
      <x:c r="F467" s="17"/>
      <x:c r="G467" s="17"/>
      <x:c r="H467" s="17"/>
      <x:c r="I467" s="17"/>
      <x:c r="J467" s="17"/>
      <x:c r="K467" s="17"/>
      <x:c r="L467" s="17"/>
      <x:c r="M467" s="17"/>
      <x:c r="N467" s="17"/>
      <x:c r="O467" s="17"/>
      <x:c r="P467" s="17"/>
      <x:c r="Q467" s="17"/>
      <x:c r="R467" s="17"/>
      <x:c r="S467" s="17"/>
      <x:c r="T467" s="17"/>
      <x:c r="U467" s="17"/>
      <x:c r="V467" s="17"/>
      <x:c r="W467" s="17"/>
      <x:c r="X467" s="17"/>
      <x:c r="Y467" s="17"/>
      <x:c r="Z467" s="17"/>
    </x:row>
    <x:row r="468">
      <x:c r="A468" s="17"/>
      <x:c r="B468" s="17"/>
      <x:c r="C468" s="17"/>
      <x:c r="D468" s="17"/>
      <x:c r="E468" s="17"/>
      <x:c r="F468" s="17"/>
      <x:c r="G468" s="17"/>
      <x:c r="H468" s="17"/>
      <x:c r="I468" s="17"/>
      <x:c r="J468" s="17"/>
      <x:c r="K468" s="17"/>
      <x:c r="L468" s="17"/>
      <x:c r="M468" s="17"/>
      <x:c r="N468" s="17"/>
      <x:c r="O468" s="17"/>
      <x:c r="P468" s="17"/>
      <x:c r="Q468" s="17"/>
      <x:c r="R468" s="17"/>
      <x:c r="S468" s="17"/>
      <x:c r="T468" s="17"/>
      <x:c r="U468" s="17"/>
      <x:c r="V468" s="17"/>
      <x:c r="W468" s="17"/>
      <x:c r="X468" s="17"/>
      <x:c r="Y468" s="17"/>
      <x:c r="Z468" s="17"/>
    </x:row>
    <x:row r="469">
      <x:c r="A469" s="17"/>
      <x:c r="B469" s="17"/>
      <x:c r="C469" s="17"/>
      <x:c r="D469" s="17"/>
      <x:c r="E469" s="17"/>
      <x:c r="F469" s="17"/>
      <x:c r="G469" s="17"/>
      <x:c r="H469" s="17"/>
      <x:c r="I469" s="17"/>
      <x:c r="J469" s="17"/>
      <x:c r="K469" s="17"/>
      <x:c r="L469" s="17"/>
      <x:c r="M469" s="17"/>
      <x:c r="N469" s="17"/>
      <x:c r="O469" s="17"/>
      <x:c r="P469" s="17"/>
      <x:c r="Q469" s="17"/>
      <x:c r="R469" s="17"/>
      <x:c r="S469" s="17"/>
      <x:c r="T469" s="17"/>
      <x:c r="U469" s="17"/>
      <x:c r="V469" s="17"/>
      <x:c r="W469" s="17"/>
      <x:c r="X469" s="17"/>
      <x:c r="Y469" s="17"/>
      <x:c r="Z469" s="17"/>
    </x:row>
    <x:row r="470">
      <x:c r="A470" s="17"/>
      <x:c r="B470" s="17"/>
      <x:c r="C470" s="17"/>
      <x:c r="D470" s="17"/>
      <x:c r="E470" s="17"/>
      <x:c r="F470" s="17"/>
      <x:c r="G470" s="17"/>
      <x:c r="H470" s="17"/>
      <x:c r="I470" s="17"/>
      <x:c r="J470" s="17"/>
      <x:c r="K470" s="17"/>
      <x:c r="L470" s="17"/>
      <x:c r="M470" s="17"/>
      <x:c r="N470" s="17"/>
      <x:c r="O470" s="17"/>
      <x:c r="P470" s="17"/>
      <x:c r="Q470" s="17"/>
      <x:c r="R470" s="17"/>
      <x:c r="S470" s="17"/>
      <x:c r="T470" s="17"/>
      <x:c r="U470" s="17"/>
      <x:c r="V470" s="17"/>
      <x:c r="W470" s="17"/>
      <x:c r="X470" s="17"/>
      <x:c r="Y470" s="17"/>
      <x:c r="Z470" s="17"/>
    </x:row>
    <x:row r="471">
      <x:c r="A471" s="17"/>
      <x:c r="B471" s="17"/>
      <x:c r="C471" s="17"/>
      <x:c r="D471" s="17"/>
      <x:c r="E471" s="17"/>
      <x:c r="F471" s="17"/>
      <x:c r="G471" s="17"/>
      <x:c r="H471" s="17"/>
      <x:c r="I471" s="17"/>
      <x:c r="J471" s="17"/>
      <x:c r="K471" s="17"/>
      <x:c r="L471" s="17"/>
      <x:c r="M471" s="17"/>
      <x:c r="N471" s="17"/>
      <x:c r="O471" s="17"/>
      <x:c r="P471" s="17"/>
      <x:c r="Q471" s="17"/>
      <x:c r="R471" s="17"/>
      <x:c r="S471" s="17"/>
      <x:c r="T471" s="17"/>
      <x:c r="U471" s="17"/>
      <x:c r="V471" s="17"/>
      <x:c r="W471" s="17"/>
      <x:c r="X471" s="17"/>
      <x:c r="Y471" s="17"/>
      <x:c r="Z471" s="17"/>
    </x:row>
    <x:row r="472">
      <x:c r="A472" s="17"/>
      <x:c r="B472" s="17"/>
      <x:c r="C472" s="17"/>
      <x:c r="D472" s="17"/>
      <x:c r="E472" s="17"/>
      <x:c r="F472" s="17"/>
      <x:c r="G472" s="17"/>
      <x:c r="H472" s="17"/>
      <x:c r="I472" s="17"/>
      <x:c r="J472" s="17"/>
      <x:c r="K472" s="17"/>
      <x:c r="L472" s="17"/>
      <x:c r="M472" s="17"/>
      <x:c r="N472" s="17"/>
      <x:c r="O472" s="17"/>
      <x:c r="P472" s="17"/>
      <x:c r="Q472" s="17"/>
      <x:c r="R472" s="17"/>
      <x:c r="S472" s="17"/>
      <x:c r="T472" s="17"/>
      <x:c r="U472" s="17"/>
      <x:c r="V472" s="17"/>
      <x:c r="W472" s="17"/>
      <x:c r="X472" s="17"/>
      <x:c r="Y472" s="17"/>
      <x:c r="Z472" s="17"/>
    </x:row>
    <x:row r="473">
      <x:c r="A473" s="17"/>
      <x:c r="B473" s="17"/>
      <x:c r="C473" s="17"/>
      <x:c r="D473" s="17"/>
      <x:c r="E473" s="17"/>
      <x:c r="F473" s="17"/>
      <x:c r="G473" s="17"/>
      <x:c r="H473" s="17"/>
      <x:c r="I473" s="17"/>
      <x:c r="J473" s="17"/>
      <x:c r="K473" s="17"/>
      <x:c r="L473" s="17"/>
      <x:c r="M473" s="17"/>
      <x:c r="N473" s="17"/>
      <x:c r="O473" s="17"/>
      <x:c r="P473" s="17"/>
      <x:c r="Q473" s="17"/>
      <x:c r="R473" s="17"/>
      <x:c r="S473" s="17"/>
      <x:c r="T473" s="17"/>
      <x:c r="U473" s="17"/>
      <x:c r="V473" s="17"/>
      <x:c r="W473" s="17"/>
      <x:c r="X473" s="17"/>
      <x:c r="Y473" s="17"/>
      <x:c r="Z473" s="17"/>
    </x:row>
    <x:row r="474">
      <x:c r="A474" s="17"/>
      <x:c r="B474" s="17"/>
      <x:c r="C474" s="17"/>
      <x:c r="D474" s="17"/>
      <x:c r="E474" s="17"/>
      <x:c r="F474" s="17"/>
      <x:c r="G474" s="17"/>
      <x:c r="H474" s="17"/>
      <x:c r="I474" s="17"/>
      <x:c r="J474" s="17"/>
      <x:c r="K474" s="17"/>
      <x:c r="L474" s="17"/>
      <x:c r="M474" s="17"/>
      <x:c r="N474" s="17"/>
      <x:c r="O474" s="17"/>
      <x:c r="P474" s="17"/>
      <x:c r="Q474" s="17"/>
      <x:c r="R474" s="17"/>
      <x:c r="S474" s="17"/>
      <x:c r="T474" s="17"/>
      <x:c r="U474" s="17"/>
      <x:c r="V474" s="17"/>
      <x:c r="W474" s="17"/>
      <x:c r="X474" s="17"/>
      <x:c r="Y474" s="17"/>
      <x:c r="Z474" s="17"/>
    </x:row>
    <x:row r="475">
      <x:c r="A475" s="17"/>
      <x:c r="B475" s="17"/>
      <x:c r="C475" s="17"/>
      <x:c r="D475" s="17"/>
      <x:c r="E475" s="17"/>
      <x:c r="F475" s="17"/>
      <x:c r="G475" s="17"/>
      <x:c r="H475" s="17"/>
      <x:c r="I475" s="17"/>
      <x:c r="J475" s="17"/>
      <x:c r="K475" s="17"/>
      <x:c r="L475" s="17"/>
      <x:c r="M475" s="17"/>
      <x:c r="N475" s="17"/>
      <x:c r="O475" s="17"/>
      <x:c r="P475" s="17"/>
      <x:c r="Q475" s="17"/>
      <x:c r="R475" s="17"/>
      <x:c r="S475" s="17"/>
      <x:c r="T475" s="17"/>
      <x:c r="U475" s="17"/>
      <x:c r="V475" s="17"/>
      <x:c r="W475" s="17"/>
      <x:c r="X475" s="17"/>
      <x:c r="Y475" s="17"/>
      <x:c r="Z475" s="17"/>
    </x:row>
    <x:row r="476">
      <x:c r="A476" s="17"/>
      <x:c r="B476" s="17"/>
      <x:c r="C476" s="17"/>
      <x:c r="D476" s="17"/>
      <x:c r="E476" s="17"/>
      <x:c r="F476" s="17"/>
      <x:c r="G476" s="17"/>
      <x:c r="H476" s="17"/>
      <x:c r="I476" s="17"/>
      <x:c r="J476" s="17"/>
      <x:c r="K476" s="17"/>
      <x:c r="L476" s="17"/>
      <x:c r="M476" s="17"/>
      <x:c r="N476" s="17"/>
      <x:c r="O476" s="17"/>
      <x:c r="P476" s="17"/>
      <x:c r="Q476" s="17"/>
      <x:c r="R476" s="17"/>
      <x:c r="S476" s="17"/>
      <x:c r="T476" s="17"/>
      <x:c r="U476" s="17"/>
      <x:c r="V476" s="17"/>
      <x:c r="W476" s="17"/>
      <x:c r="X476" s="17"/>
      <x:c r="Y476" s="17"/>
      <x:c r="Z476" s="17"/>
    </x:row>
    <x:row r="477">
      <x:c r="A477" s="17"/>
      <x:c r="B477" s="17"/>
      <x:c r="C477" s="17"/>
      <x:c r="D477" s="17"/>
      <x:c r="E477" s="17"/>
      <x:c r="F477" s="17"/>
      <x:c r="G477" s="17"/>
      <x:c r="H477" s="17"/>
      <x:c r="I477" s="17"/>
      <x:c r="J477" s="17"/>
      <x:c r="K477" s="17"/>
      <x:c r="L477" s="17"/>
      <x:c r="M477" s="17"/>
      <x:c r="N477" s="17"/>
      <x:c r="O477" s="17"/>
      <x:c r="P477" s="17"/>
      <x:c r="Q477" s="17"/>
      <x:c r="R477" s="17"/>
      <x:c r="S477" s="17"/>
      <x:c r="T477" s="17"/>
      <x:c r="U477" s="17"/>
      <x:c r="V477" s="17"/>
      <x:c r="W477" s="17"/>
      <x:c r="X477" s="17"/>
      <x:c r="Y477" s="17"/>
      <x:c r="Z477" s="17"/>
    </x:row>
    <x:row r="478">
      <x:c r="A478" s="17"/>
      <x:c r="B478" s="17"/>
      <x:c r="C478" s="17"/>
      <x:c r="D478" s="17"/>
      <x:c r="E478" s="17"/>
      <x:c r="F478" s="17"/>
      <x:c r="G478" s="17"/>
      <x:c r="H478" s="17"/>
      <x:c r="I478" s="17"/>
      <x:c r="J478" s="17"/>
      <x:c r="K478" s="17"/>
      <x:c r="L478" s="17"/>
      <x:c r="M478" s="17"/>
      <x:c r="N478" s="17"/>
      <x:c r="O478" s="17"/>
      <x:c r="P478" s="17"/>
      <x:c r="Q478" s="17"/>
      <x:c r="R478" s="17"/>
      <x:c r="S478" s="17"/>
      <x:c r="T478" s="17"/>
      <x:c r="U478" s="17"/>
      <x:c r="V478" s="17"/>
      <x:c r="W478" s="17"/>
      <x:c r="X478" s="17"/>
      <x:c r="Y478" s="17"/>
      <x:c r="Z478" s="17"/>
    </x:row>
    <x:row r="479">
      <x:c r="A479" s="17"/>
      <x:c r="B479" s="17"/>
      <x:c r="C479" s="17"/>
      <x:c r="D479" s="17"/>
      <x:c r="E479" s="17"/>
      <x:c r="F479" s="17"/>
      <x:c r="G479" s="17"/>
      <x:c r="H479" s="17"/>
      <x:c r="I479" s="17"/>
      <x:c r="J479" s="17"/>
      <x:c r="K479" s="17"/>
      <x:c r="L479" s="17"/>
      <x:c r="M479" s="17"/>
      <x:c r="N479" s="17"/>
      <x:c r="O479" s="17"/>
      <x:c r="P479" s="17"/>
      <x:c r="Q479" s="17"/>
      <x:c r="R479" s="17"/>
      <x:c r="S479" s="17"/>
      <x:c r="T479" s="17"/>
      <x:c r="U479" s="17"/>
      <x:c r="V479" s="17"/>
      <x:c r="W479" s="17"/>
      <x:c r="X479" s="17"/>
      <x:c r="Y479" s="17"/>
      <x:c r="Z479" s="17"/>
    </x:row>
    <x:row r="480">
      <x:c r="A480" s="17"/>
      <x:c r="B480" s="17"/>
      <x:c r="C480" s="17"/>
      <x:c r="D480" s="17"/>
      <x:c r="E480" s="17"/>
      <x:c r="F480" s="17"/>
      <x:c r="G480" s="17"/>
      <x:c r="H480" s="17"/>
      <x:c r="I480" s="17"/>
      <x:c r="J480" s="17"/>
      <x:c r="K480" s="17"/>
      <x:c r="L480" s="17"/>
      <x:c r="M480" s="17"/>
      <x:c r="N480" s="17"/>
      <x:c r="O480" s="17"/>
      <x:c r="P480" s="17"/>
      <x:c r="Q480" s="17"/>
      <x:c r="R480" s="17"/>
      <x:c r="S480" s="17"/>
      <x:c r="T480" s="17"/>
      <x:c r="U480" s="17"/>
      <x:c r="V480" s="17"/>
      <x:c r="W480" s="17"/>
      <x:c r="X480" s="17"/>
      <x:c r="Y480" s="17"/>
      <x:c r="Z480" s="17"/>
    </x:row>
    <x:row r="481">
      <x:c r="A481" s="17"/>
      <x:c r="B481" s="17"/>
      <x:c r="C481" s="17"/>
      <x:c r="D481" s="17"/>
      <x:c r="E481" s="17"/>
      <x:c r="F481" s="17"/>
      <x:c r="G481" s="17"/>
      <x:c r="H481" s="17"/>
      <x:c r="I481" s="17"/>
      <x:c r="J481" s="17"/>
      <x:c r="K481" s="17"/>
      <x:c r="L481" s="17"/>
      <x:c r="M481" s="17"/>
      <x:c r="N481" s="17"/>
      <x:c r="O481" s="17"/>
      <x:c r="P481" s="17"/>
      <x:c r="Q481" s="17"/>
      <x:c r="R481" s="17"/>
      <x:c r="S481" s="17"/>
      <x:c r="T481" s="17"/>
      <x:c r="U481" s="17"/>
      <x:c r="V481" s="17"/>
      <x:c r="W481" s="17"/>
      <x:c r="X481" s="17"/>
      <x:c r="Y481" s="17"/>
      <x:c r="Z481" s="17"/>
    </x:row>
    <x:row r="482">
      <x:c r="A482" s="17"/>
      <x:c r="B482" s="17"/>
      <x:c r="C482" s="17"/>
      <x:c r="D482" s="17"/>
      <x:c r="E482" s="17"/>
      <x:c r="F482" s="17"/>
      <x:c r="G482" s="17"/>
      <x:c r="H482" s="17"/>
      <x:c r="I482" s="17"/>
      <x:c r="J482" s="17"/>
      <x:c r="K482" s="17"/>
      <x:c r="L482" s="17"/>
      <x:c r="M482" s="17"/>
      <x:c r="N482" s="17"/>
      <x:c r="O482" s="17"/>
      <x:c r="P482" s="17"/>
      <x:c r="Q482" s="17"/>
      <x:c r="R482" s="17"/>
      <x:c r="S482" s="17"/>
      <x:c r="T482" s="17"/>
      <x:c r="U482" s="17"/>
      <x:c r="V482" s="17"/>
      <x:c r="W482" s="17"/>
      <x:c r="X482" s="17"/>
      <x:c r="Y482" s="17"/>
      <x:c r="Z482" s="17"/>
    </x:row>
    <x:row r="483">
      <x:c r="A483" s="17"/>
      <x:c r="B483" s="17"/>
      <x:c r="C483" s="17"/>
      <x:c r="D483" s="17"/>
      <x:c r="E483" s="17"/>
      <x:c r="F483" s="17"/>
      <x:c r="G483" s="17"/>
      <x:c r="H483" s="17"/>
      <x:c r="I483" s="17"/>
      <x:c r="J483" s="17"/>
      <x:c r="K483" s="17"/>
      <x:c r="L483" s="17"/>
      <x:c r="M483" s="17"/>
      <x:c r="N483" s="17"/>
      <x:c r="O483" s="17"/>
      <x:c r="P483" s="17"/>
      <x:c r="Q483" s="17"/>
      <x:c r="R483" s="17"/>
      <x:c r="S483" s="17"/>
      <x:c r="T483" s="17"/>
      <x:c r="U483" s="17"/>
      <x:c r="V483" s="17"/>
      <x:c r="W483" s="17"/>
      <x:c r="X483" s="17"/>
      <x:c r="Y483" s="17"/>
      <x:c r="Z483" s="17"/>
    </x:row>
    <x:row r="484">
      <x:c r="A484" s="17"/>
      <x:c r="B484" s="17"/>
      <x:c r="C484" s="17"/>
      <x:c r="D484" s="17"/>
      <x:c r="E484" s="17"/>
      <x:c r="F484" s="17"/>
      <x:c r="G484" s="17"/>
      <x:c r="H484" s="17"/>
      <x:c r="I484" s="17"/>
      <x:c r="J484" s="17"/>
      <x:c r="K484" s="17"/>
      <x:c r="L484" s="17"/>
      <x:c r="M484" s="17"/>
      <x:c r="N484" s="17"/>
      <x:c r="O484" s="17"/>
      <x:c r="P484" s="17"/>
      <x:c r="Q484" s="17"/>
      <x:c r="R484" s="17"/>
      <x:c r="S484" s="17"/>
      <x:c r="T484" s="17"/>
      <x:c r="U484" s="17"/>
      <x:c r="V484" s="17"/>
      <x:c r="W484" s="17"/>
      <x:c r="X484" s="17"/>
      <x:c r="Y484" s="17"/>
      <x:c r="Z484" s="17"/>
    </x:row>
    <x:row r="485">
      <x:c r="A485" s="17"/>
      <x:c r="B485" s="17"/>
      <x:c r="C485" s="17"/>
      <x:c r="D485" s="17"/>
      <x:c r="E485" s="17"/>
      <x:c r="F485" s="17"/>
      <x:c r="G485" s="17"/>
      <x:c r="H485" s="17"/>
      <x:c r="I485" s="17"/>
      <x:c r="J485" s="17"/>
      <x:c r="K485" s="17"/>
      <x:c r="L485" s="17"/>
      <x:c r="M485" s="17"/>
      <x:c r="N485" s="17"/>
      <x:c r="O485" s="17"/>
      <x:c r="P485" s="17"/>
      <x:c r="Q485" s="17"/>
      <x:c r="R485" s="17"/>
      <x:c r="S485" s="17"/>
      <x:c r="T485" s="17"/>
      <x:c r="U485" s="17"/>
      <x:c r="V485" s="17"/>
      <x:c r="W485" s="17"/>
      <x:c r="X485" s="17"/>
      <x:c r="Y485" s="17"/>
      <x:c r="Z485" s="17"/>
    </x:row>
    <x:row r="486">
      <x:c r="A486" s="17"/>
      <x:c r="B486" s="17"/>
      <x:c r="C486" s="17"/>
      <x:c r="D486" s="17"/>
      <x:c r="E486" s="17"/>
      <x:c r="F486" s="17"/>
      <x:c r="G486" s="17"/>
      <x:c r="H486" s="17"/>
      <x:c r="I486" s="17"/>
      <x:c r="J486" s="17"/>
      <x:c r="K486" s="17"/>
      <x:c r="L486" s="17"/>
      <x:c r="M486" s="17"/>
      <x:c r="N486" s="17"/>
      <x:c r="O486" s="17"/>
      <x:c r="P486" s="17"/>
      <x:c r="Q486" s="17"/>
      <x:c r="R486" s="17"/>
      <x:c r="S486" s="17"/>
      <x:c r="T486" s="17"/>
      <x:c r="U486" s="17"/>
      <x:c r="V486" s="17"/>
      <x:c r="W486" s="17"/>
      <x:c r="X486" s="17"/>
      <x:c r="Y486" s="17"/>
      <x:c r="Z486" s="17"/>
    </x:row>
    <x:row r="487">
      <x:c r="A487" s="17"/>
      <x:c r="B487" s="17"/>
      <x:c r="C487" s="17"/>
      <x:c r="D487" s="17"/>
      <x:c r="E487" s="17"/>
      <x:c r="F487" s="17"/>
      <x:c r="G487" s="17"/>
      <x:c r="H487" s="17"/>
      <x:c r="I487" s="17"/>
      <x:c r="J487" s="17"/>
      <x:c r="K487" s="17"/>
      <x:c r="L487" s="17"/>
      <x:c r="M487" s="17"/>
      <x:c r="N487" s="17"/>
      <x:c r="O487" s="17"/>
      <x:c r="P487" s="17"/>
      <x:c r="Q487" s="17"/>
      <x:c r="R487" s="17"/>
      <x:c r="S487" s="17"/>
      <x:c r="T487" s="17"/>
      <x:c r="U487" s="17"/>
      <x:c r="V487" s="17"/>
      <x:c r="W487" s="17"/>
      <x:c r="X487" s="17"/>
      <x:c r="Y487" s="17"/>
      <x:c r="Z487" s="17"/>
    </x:row>
    <x:row r="488">
      <x:c r="A488" s="17"/>
      <x:c r="B488" s="17"/>
      <x:c r="C488" s="17"/>
      <x:c r="D488" s="17"/>
      <x:c r="E488" s="17"/>
      <x:c r="F488" s="17"/>
      <x:c r="G488" s="17"/>
      <x:c r="H488" s="17"/>
      <x:c r="I488" s="17"/>
      <x:c r="J488" s="17"/>
      <x:c r="K488" s="17"/>
      <x:c r="L488" s="17"/>
      <x:c r="M488" s="17"/>
      <x:c r="N488" s="17"/>
      <x:c r="O488" s="17"/>
      <x:c r="P488" s="17"/>
      <x:c r="Q488" s="17"/>
      <x:c r="R488" s="17"/>
      <x:c r="S488" s="17"/>
      <x:c r="T488" s="17"/>
      <x:c r="U488" s="17"/>
      <x:c r="V488" s="17"/>
      <x:c r="W488" s="17"/>
      <x:c r="X488" s="17"/>
      <x:c r="Y488" s="17"/>
      <x:c r="Z488" s="17"/>
    </x:row>
    <x:row r="489">
      <x:c r="A489" s="17"/>
      <x:c r="B489" s="17"/>
      <x:c r="C489" s="17"/>
      <x:c r="D489" s="17"/>
      <x:c r="E489" s="17"/>
      <x:c r="F489" s="17"/>
      <x:c r="G489" s="17"/>
      <x:c r="H489" s="17"/>
      <x:c r="I489" s="17"/>
      <x:c r="J489" s="17"/>
      <x:c r="K489" s="17"/>
      <x:c r="L489" s="17"/>
      <x:c r="M489" s="17"/>
      <x:c r="N489" s="17"/>
      <x:c r="O489" s="17"/>
      <x:c r="P489" s="17"/>
      <x:c r="Q489" s="17"/>
      <x:c r="R489" s="17"/>
      <x:c r="S489" s="17"/>
      <x:c r="T489" s="17"/>
      <x:c r="U489" s="17"/>
      <x:c r="V489" s="17"/>
      <x:c r="W489" s="17"/>
      <x:c r="X489" s="17"/>
      <x:c r="Y489" s="17"/>
      <x:c r="Z489" s="17"/>
    </x:row>
    <x:row r="490">
      <x:c r="A490" s="17"/>
      <x:c r="B490" s="17"/>
      <x:c r="C490" s="17"/>
      <x:c r="D490" s="17"/>
      <x:c r="E490" s="17"/>
      <x:c r="F490" s="17"/>
      <x:c r="G490" s="17"/>
      <x:c r="H490" s="17"/>
      <x:c r="I490" s="17"/>
      <x:c r="J490" s="17"/>
      <x:c r="K490" s="17"/>
      <x:c r="L490" s="17"/>
      <x:c r="M490" s="17"/>
      <x:c r="N490" s="17"/>
      <x:c r="O490" s="17"/>
      <x:c r="P490" s="17"/>
      <x:c r="Q490" s="17"/>
      <x:c r="R490" s="17"/>
      <x:c r="S490" s="17"/>
      <x:c r="T490" s="17"/>
      <x:c r="U490" s="17"/>
      <x:c r="V490" s="17"/>
      <x:c r="W490" s="17"/>
      <x:c r="X490" s="17"/>
      <x:c r="Y490" s="17"/>
      <x:c r="Z490" s="17"/>
    </x:row>
    <x:row r="491">
      <x:c r="A491" s="17"/>
      <x:c r="B491" s="17"/>
      <x:c r="C491" s="17"/>
      <x:c r="D491" s="17"/>
      <x:c r="E491" s="17"/>
      <x:c r="F491" s="17"/>
      <x:c r="G491" s="17"/>
      <x:c r="H491" s="17"/>
      <x:c r="I491" s="17"/>
      <x:c r="J491" s="17"/>
      <x:c r="K491" s="17"/>
      <x:c r="L491" s="17"/>
      <x:c r="M491" s="17"/>
      <x:c r="N491" s="17"/>
      <x:c r="O491" s="17"/>
      <x:c r="P491" s="17"/>
      <x:c r="Q491" s="17"/>
      <x:c r="R491" s="17"/>
      <x:c r="S491" s="17"/>
      <x:c r="T491" s="17"/>
      <x:c r="U491" s="17"/>
      <x:c r="V491" s="17"/>
      <x:c r="W491" s="17"/>
      <x:c r="X491" s="17"/>
      <x:c r="Y491" s="17"/>
      <x:c r="Z491" s="17"/>
    </x:row>
    <x:row r="492">
      <x:c r="A492" s="17"/>
      <x:c r="B492" s="17"/>
      <x:c r="C492" s="17"/>
      <x:c r="D492" s="17"/>
      <x:c r="E492" s="17"/>
      <x:c r="F492" s="17"/>
      <x:c r="G492" s="17"/>
      <x:c r="H492" s="17"/>
      <x:c r="I492" s="17"/>
      <x:c r="J492" s="17"/>
      <x:c r="K492" s="17"/>
      <x:c r="L492" s="17"/>
      <x:c r="M492" s="17"/>
      <x:c r="N492" s="17"/>
      <x:c r="O492" s="17"/>
      <x:c r="P492" s="17"/>
      <x:c r="Q492" s="17"/>
      <x:c r="R492" s="17"/>
      <x:c r="S492" s="17"/>
      <x:c r="T492" s="17"/>
      <x:c r="U492" s="17"/>
      <x:c r="V492" s="17"/>
      <x:c r="W492" s="17"/>
      <x:c r="X492" s="17"/>
      <x:c r="Y492" s="17"/>
      <x:c r="Z492" s="17"/>
    </x:row>
    <x:row r="493">
      <x:c r="A493" s="17"/>
      <x:c r="B493" s="17"/>
      <x:c r="C493" s="17"/>
      <x:c r="D493" s="17"/>
      <x:c r="E493" s="17"/>
      <x:c r="F493" s="17"/>
      <x:c r="G493" s="17"/>
      <x:c r="H493" s="17"/>
      <x:c r="I493" s="17"/>
      <x:c r="J493" s="17"/>
      <x:c r="K493" s="17"/>
      <x:c r="L493" s="17"/>
      <x:c r="M493" s="17"/>
      <x:c r="N493" s="17"/>
      <x:c r="O493" s="17"/>
      <x:c r="P493" s="17"/>
      <x:c r="Q493" s="17"/>
      <x:c r="R493" s="17"/>
      <x:c r="S493" s="17"/>
      <x:c r="T493" s="17"/>
      <x:c r="U493" s="17"/>
      <x:c r="V493" s="17"/>
      <x:c r="W493" s="17"/>
      <x:c r="X493" s="17"/>
      <x:c r="Y493" s="17"/>
      <x:c r="Z493" s="17"/>
    </x:row>
    <x:row r="494">
      <x:c r="A494" s="17"/>
      <x:c r="B494" s="17"/>
      <x:c r="C494" s="17"/>
      <x:c r="D494" s="17"/>
      <x:c r="E494" s="17"/>
      <x:c r="F494" s="17"/>
      <x:c r="G494" s="17"/>
      <x:c r="H494" s="17"/>
      <x:c r="I494" s="17"/>
      <x:c r="J494" s="17"/>
      <x:c r="K494" s="17"/>
      <x:c r="L494" s="17"/>
      <x:c r="M494" s="17"/>
      <x:c r="N494" s="17"/>
      <x:c r="O494" s="17"/>
      <x:c r="P494" s="17"/>
      <x:c r="Q494" s="17"/>
      <x:c r="R494" s="17"/>
      <x:c r="S494" s="17"/>
      <x:c r="T494" s="17"/>
      <x:c r="U494" s="17"/>
      <x:c r="V494" s="17"/>
      <x:c r="W494" s="17"/>
      <x:c r="X494" s="17"/>
      <x:c r="Y494" s="17"/>
      <x:c r="Z494" s="17"/>
    </x:row>
    <x:row r="495">
      <x:c r="A495" s="17"/>
      <x:c r="B495" s="17"/>
      <x:c r="C495" s="17"/>
      <x:c r="D495" s="17"/>
      <x:c r="E495" s="17"/>
      <x:c r="F495" s="17"/>
      <x:c r="G495" s="17"/>
      <x:c r="H495" s="17"/>
      <x:c r="I495" s="17"/>
      <x:c r="J495" s="17"/>
      <x:c r="K495" s="17"/>
      <x:c r="L495" s="17"/>
      <x:c r="M495" s="17"/>
      <x:c r="N495" s="17"/>
      <x:c r="O495" s="17"/>
      <x:c r="P495" s="17"/>
      <x:c r="Q495" s="17"/>
      <x:c r="R495" s="17"/>
      <x:c r="S495" s="17"/>
      <x:c r="T495" s="17"/>
      <x:c r="U495" s="17"/>
      <x:c r="V495" s="17"/>
      <x:c r="W495" s="17"/>
      <x:c r="X495" s="17"/>
      <x:c r="Y495" s="17"/>
      <x:c r="Z495" s="17"/>
    </x:row>
    <x:row r="496">
      <x:c r="A496" s="17"/>
      <x:c r="B496" s="17"/>
      <x:c r="C496" s="17"/>
      <x:c r="D496" s="17"/>
      <x:c r="E496" s="17"/>
      <x:c r="F496" s="17"/>
      <x:c r="G496" s="17"/>
      <x:c r="H496" s="17"/>
      <x:c r="I496" s="17"/>
      <x:c r="J496" s="17"/>
      <x:c r="K496" s="17"/>
      <x:c r="L496" s="17"/>
      <x:c r="M496" s="17"/>
      <x:c r="N496" s="17"/>
      <x:c r="O496" s="17"/>
      <x:c r="P496" s="17"/>
      <x:c r="Q496" s="17"/>
      <x:c r="R496" s="17"/>
      <x:c r="S496" s="17"/>
      <x:c r="T496" s="17"/>
      <x:c r="U496" s="17"/>
      <x:c r="V496" s="17"/>
      <x:c r="W496" s="17"/>
      <x:c r="X496" s="17"/>
      <x:c r="Y496" s="17"/>
      <x:c r="Z496" s="17"/>
    </x:row>
    <x:row r="497">
      <x:c r="A497" s="17"/>
      <x:c r="B497" s="17"/>
      <x:c r="C497" s="17"/>
      <x:c r="D497" s="17"/>
      <x:c r="E497" s="17"/>
      <x:c r="F497" s="17"/>
      <x:c r="G497" s="17"/>
      <x:c r="H497" s="17"/>
      <x:c r="I497" s="17"/>
      <x:c r="J497" s="17"/>
      <x:c r="K497" s="17"/>
      <x:c r="L497" s="17"/>
      <x:c r="M497" s="17"/>
      <x:c r="N497" s="17"/>
      <x:c r="O497" s="17"/>
      <x:c r="P497" s="17"/>
      <x:c r="Q497" s="17"/>
      <x:c r="R497" s="17"/>
      <x:c r="S497" s="17"/>
      <x:c r="T497" s="17"/>
      <x:c r="U497" s="17"/>
      <x:c r="V497" s="17"/>
      <x:c r="W497" s="17"/>
      <x:c r="X497" s="17"/>
      <x:c r="Y497" s="17"/>
      <x:c r="Z497" s="17"/>
    </x:row>
    <x:row r="498">
      <x:c r="A498" s="17"/>
      <x:c r="B498" s="17"/>
      <x:c r="C498" s="17"/>
      <x:c r="D498" s="17"/>
      <x:c r="E498" s="17"/>
      <x:c r="F498" s="17"/>
      <x:c r="G498" s="17"/>
      <x:c r="H498" s="17"/>
      <x:c r="I498" s="17"/>
      <x:c r="J498" s="17"/>
      <x:c r="K498" s="17"/>
      <x:c r="L498" s="17"/>
      <x:c r="M498" s="17"/>
      <x:c r="N498" s="17"/>
      <x:c r="O498" s="17"/>
      <x:c r="P498" s="17"/>
      <x:c r="Q498" s="17"/>
      <x:c r="R498" s="17"/>
      <x:c r="S498" s="17"/>
      <x:c r="T498" s="17"/>
      <x:c r="U498" s="17"/>
      <x:c r="V498" s="17"/>
      <x:c r="W498" s="17"/>
      <x:c r="X498" s="17"/>
      <x:c r="Y498" s="17"/>
      <x:c r="Z498" s="17"/>
    </x:row>
    <x:row r="499">
      <x:c r="A499" s="17"/>
      <x:c r="B499" s="17"/>
      <x:c r="C499" s="17"/>
      <x:c r="D499" s="17"/>
      <x:c r="E499" s="17"/>
      <x:c r="F499" s="17"/>
      <x:c r="G499" s="17"/>
      <x:c r="H499" s="17"/>
      <x:c r="I499" s="17"/>
      <x:c r="J499" s="17"/>
      <x:c r="K499" s="17"/>
      <x:c r="L499" s="17"/>
      <x:c r="M499" s="17"/>
      <x:c r="N499" s="17"/>
      <x:c r="O499" s="17"/>
      <x:c r="P499" s="17"/>
      <x:c r="Q499" s="17"/>
      <x:c r="R499" s="17"/>
      <x:c r="S499" s="17"/>
      <x:c r="T499" s="17"/>
      <x:c r="U499" s="17"/>
      <x:c r="V499" s="17"/>
      <x:c r="W499" s="17"/>
      <x:c r="X499" s="17"/>
      <x:c r="Y499" s="17"/>
      <x:c r="Z499" s="17"/>
    </x:row>
    <x:row r="500">
      <x:c r="A500" s="17"/>
      <x:c r="B500" s="17"/>
      <x:c r="C500" s="17"/>
      <x:c r="D500" s="17"/>
      <x:c r="E500" s="17"/>
      <x:c r="F500" s="17"/>
      <x:c r="G500" s="17"/>
      <x:c r="H500" s="17"/>
      <x:c r="I500" s="17"/>
      <x:c r="J500" s="17"/>
      <x:c r="K500" s="17"/>
      <x:c r="L500" s="17"/>
      <x:c r="M500" s="17"/>
      <x:c r="N500" s="17"/>
      <x:c r="O500" s="17"/>
      <x:c r="P500" s="17"/>
      <x:c r="Q500" s="17"/>
      <x:c r="R500" s="17"/>
      <x:c r="S500" s="17"/>
      <x:c r="T500" s="17"/>
      <x:c r="U500" s="17"/>
      <x:c r="V500" s="17"/>
      <x:c r="W500" s="17"/>
      <x:c r="X500" s="17"/>
      <x:c r="Y500" s="17"/>
      <x:c r="Z500" s="17"/>
    </x:row>
    <x:row r="501">
      <x:c r="A501" s="17"/>
      <x:c r="B501" s="17"/>
      <x:c r="C501" s="17"/>
      <x:c r="D501" s="17"/>
      <x:c r="E501" s="17"/>
      <x:c r="F501" s="17"/>
      <x:c r="G501" s="17"/>
      <x:c r="H501" s="17"/>
      <x:c r="I501" s="17"/>
      <x:c r="J501" s="17"/>
      <x:c r="K501" s="17"/>
      <x:c r="L501" s="17"/>
      <x:c r="M501" s="17"/>
      <x:c r="N501" s="17"/>
      <x:c r="O501" s="17"/>
      <x:c r="P501" s="17"/>
      <x:c r="Q501" s="17"/>
      <x:c r="R501" s="17"/>
      <x:c r="S501" s="17"/>
      <x:c r="T501" s="17"/>
      <x:c r="U501" s="17"/>
      <x:c r="V501" s="17"/>
      <x:c r="W501" s="17"/>
      <x:c r="X501" s="17"/>
      <x:c r="Y501" s="17"/>
      <x:c r="Z501" s="17"/>
    </x:row>
    <x:row r="502">
      <x:c r="A502" s="17"/>
      <x:c r="B502" s="17"/>
      <x:c r="C502" s="17"/>
      <x:c r="D502" s="17"/>
      <x:c r="E502" s="17"/>
      <x:c r="F502" s="17"/>
      <x:c r="G502" s="17"/>
      <x:c r="H502" s="17"/>
      <x:c r="I502" s="17"/>
      <x:c r="J502" s="17"/>
      <x:c r="K502" s="17"/>
      <x:c r="L502" s="17"/>
      <x:c r="M502" s="17"/>
      <x:c r="N502" s="17"/>
      <x:c r="O502" s="17"/>
      <x:c r="P502" s="17"/>
      <x:c r="Q502" s="17"/>
      <x:c r="R502" s="17"/>
      <x:c r="S502" s="17"/>
      <x:c r="T502" s="17"/>
      <x:c r="U502" s="17"/>
      <x:c r="V502" s="17"/>
      <x:c r="W502" s="17"/>
      <x:c r="X502" s="17"/>
      <x:c r="Y502" s="17"/>
      <x:c r="Z502" s="17"/>
    </x:row>
    <x:row r="503">
      <x:c r="A503" s="17"/>
      <x:c r="B503" s="17"/>
      <x:c r="C503" s="17"/>
      <x:c r="D503" s="17"/>
      <x:c r="E503" s="17"/>
      <x:c r="F503" s="17"/>
      <x:c r="G503" s="17"/>
      <x:c r="H503" s="17"/>
      <x:c r="I503" s="17"/>
      <x:c r="J503" s="17"/>
      <x:c r="K503" s="17"/>
      <x:c r="L503" s="17"/>
      <x:c r="M503" s="17"/>
      <x:c r="N503" s="17"/>
      <x:c r="O503" s="17"/>
      <x:c r="P503" s="17"/>
      <x:c r="Q503" s="17"/>
      <x:c r="R503" s="17"/>
      <x:c r="S503" s="17"/>
      <x:c r="T503" s="17"/>
      <x:c r="U503" s="17"/>
      <x:c r="V503" s="17"/>
      <x:c r="W503" s="17"/>
      <x:c r="X503" s="17"/>
      <x:c r="Y503" s="17"/>
      <x:c r="Z503" s="17"/>
    </x:row>
    <x:row r="504">
      <x:c r="A504" s="17"/>
      <x:c r="B504" s="17"/>
      <x:c r="C504" s="17"/>
      <x:c r="D504" s="17"/>
      <x:c r="E504" s="17"/>
      <x:c r="F504" s="17"/>
      <x:c r="G504" s="17"/>
      <x:c r="H504" s="17"/>
      <x:c r="I504" s="17"/>
      <x:c r="J504" s="17"/>
      <x:c r="K504" s="17"/>
      <x:c r="L504" s="17"/>
      <x:c r="M504" s="17"/>
      <x:c r="N504" s="17"/>
      <x:c r="O504" s="17"/>
      <x:c r="P504" s="17"/>
      <x:c r="Q504" s="17"/>
      <x:c r="R504" s="17"/>
      <x:c r="S504" s="17"/>
      <x:c r="T504" s="17"/>
      <x:c r="U504" s="17"/>
      <x:c r="V504" s="17"/>
      <x:c r="W504" s="17"/>
      <x:c r="X504" s="17"/>
      <x:c r="Y504" s="17"/>
      <x:c r="Z504" s="17"/>
    </x:row>
    <x:row r="505">
      <x:c r="A505" s="17"/>
      <x:c r="B505" s="17"/>
      <x:c r="C505" s="17"/>
      <x:c r="D505" s="17"/>
      <x:c r="E505" s="17"/>
      <x:c r="F505" s="17"/>
      <x:c r="G505" s="17"/>
      <x:c r="H505" s="17"/>
      <x:c r="I505" s="17"/>
      <x:c r="J505" s="17"/>
      <x:c r="K505" s="17"/>
      <x:c r="L505" s="17"/>
      <x:c r="M505" s="17"/>
      <x:c r="N505" s="17"/>
      <x:c r="O505" s="17"/>
      <x:c r="P505" s="17"/>
      <x:c r="Q505" s="17"/>
      <x:c r="R505" s="17"/>
      <x:c r="S505" s="17"/>
      <x:c r="T505" s="17"/>
      <x:c r="U505" s="17"/>
      <x:c r="V505" s="17"/>
      <x:c r="W505" s="17"/>
      <x:c r="X505" s="17"/>
      <x:c r="Y505" s="17"/>
      <x:c r="Z505" s="17"/>
    </x:row>
    <x:row r="506">
      <x:c r="A506" s="17"/>
      <x:c r="B506" s="17"/>
      <x:c r="C506" s="17"/>
      <x:c r="D506" s="17"/>
      <x:c r="E506" s="17"/>
      <x:c r="F506" s="17"/>
      <x:c r="G506" s="17"/>
      <x:c r="H506" s="17"/>
      <x:c r="I506" s="17"/>
      <x:c r="J506" s="17"/>
      <x:c r="K506" s="17"/>
      <x:c r="L506" s="17"/>
      <x:c r="M506" s="17"/>
      <x:c r="N506" s="17"/>
      <x:c r="O506" s="17"/>
      <x:c r="P506" s="17"/>
      <x:c r="Q506" s="17"/>
      <x:c r="R506" s="17"/>
      <x:c r="S506" s="17"/>
      <x:c r="T506" s="17"/>
      <x:c r="U506" s="17"/>
      <x:c r="V506" s="17"/>
      <x:c r="W506" s="17"/>
      <x:c r="X506" s="17"/>
      <x:c r="Y506" s="17"/>
      <x:c r="Z506" s="17"/>
    </x:row>
    <x:row r="507">
      <x:c r="A507" s="17"/>
      <x:c r="B507" s="17"/>
      <x:c r="C507" s="17"/>
      <x:c r="D507" s="17"/>
      <x:c r="E507" s="17"/>
      <x:c r="F507" s="17"/>
      <x:c r="G507" s="17"/>
      <x:c r="H507" s="17"/>
      <x:c r="I507" s="17"/>
      <x:c r="J507" s="17"/>
      <x:c r="K507" s="17"/>
      <x:c r="L507" s="17"/>
      <x:c r="M507" s="17"/>
      <x:c r="N507" s="17"/>
      <x:c r="O507" s="17"/>
      <x:c r="P507" s="17"/>
      <x:c r="Q507" s="17"/>
      <x:c r="R507" s="17"/>
      <x:c r="S507" s="17"/>
      <x:c r="T507" s="17"/>
      <x:c r="U507" s="17"/>
      <x:c r="V507" s="17"/>
      <x:c r="W507" s="17"/>
      <x:c r="X507" s="17"/>
      <x:c r="Y507" s="17"/>
      <x:c r="Z507" s="17"/>
    </x:row>
    <x:row r="508">
      <x:c r="A508" s="17"/>
      <x:c r="B508" s="17"/>
      <x:c r="C508" s="17"/>
      <x:c r="D508" s="17"/>
      <x:c r="E508" s="17"/>
      <x:c r="F508" s="17"/>
      <x:c r="G508" s="17"/>
      <x:c r="H508" s="17"/>
      <x:c r="I508" s="17"/>
      <x:c r="J508" s="17"/>
      <x:c r="K508" s="17"/>
      <x:c r="L508" s="17"/>
      <x:c r="M508" s="17"/>
      <x:c r="N508" s="17"/>
      <x:c r="O508" s="17"/>
      <x:c r="P508" s="17"/>
      <x:c r="Q508" s="17"/>
      <x:c r="R508" s="17"/>
      <x:c r="S508" s="17"/>
      <x:c r="T508" s="17"/>
      <x:c r="U508" s="17"/>
      <x:c r="V508" s="17"/>
      <x:c r="W508" s="17"/>
      <x:c r="X508" s="17"/>
      <x:c r="Y508" s="17"/>
      <x:c r="Z508" s="17"/>
    </x:row>
    <x:row r="509">
      <x:c r="A509" s="17"/>
      <x:c r="B509" s="17"/>
      <x:c r="C509" s="17"/>
      <x:c r="D509" s="17"/>
      <x:c r="E509" s="17"/>
      <x:c r="F509" s="17"/>
      <x:c r="G509" s="17"/>
      <x:c r="H509" s="17"/>
      <x:c r="I509" s="17"/>
      <x:c r="J509" s="17"/>
      <x:c r="K509" s="17"/>
      <x:c r="L509" s="17"/>
      <x:c r="M509" s="17"/>
      <x:c r="N509" s="17"/>
      <x:c r="O509" s="17"/>
      <x:c r="P509" s="17"/>
      <x:c r="Q509" s="17"/>
      <x:c r="R509" s="17"/>
      <x:c r="S509" s="17"/>
      <x:c r="T509" s="17"/>
      <x:c r="U509" s="17"/>
      <x:c r="V509" s="17"/>
      <x:c r="W509" s="17"/>
      <x:c r="X509" s="17"/>
      <x:c r="Y509" s="17"/>
      <x:c r="Z509" s="17"/>
    </x:row>
    <x:row r="510">
      <x:c r="A510" s="17"/>
      <x:c r="B510" s="17"/>
      <x:c r="C510" s="17"/>
      <x:c r="D510" s="17"/>
      <x:c r="E510" s="17"/>
      <x:c r="F510" s="17"/>
      <x:c r="G510" s="17"/>
      <x:c r="H510" s="17"/>
      <x:c r="I510" s="17"/>
      <x:c r="J510" s="17"/>
      <x:c r="K510" s="17"/>
      <x:c r="L510" s="17"/>
      <x:c r="M510" s="17"/>
      <x:c r="N510" s="17"/>
      <x:c r="O510" s="17"/>
      <x:c r="P510" s="17"/>
      <x:c r="Q510" s="17"/>
      <x:c r="R510" s="17"/>
      <x:c r="S510" s="17"/>
      <x:c r="T510" s="17"/>
      <x:c r="U510" s="17"/>
      <x:c r="V510" s="17"/>
      <x:c r="W510" s="17"/>
      <x:c r="X510" s="17"/>
      <x:c r="Y510" s="17"/>
      <x:c r="Z510" s="17"/>
    </x:row>
    <x:row r="511">
      <x:c r="A511" s="17"/>
      <x:c r="B511" s="17"/>
      <x:c r="C511" s="17"/>
      <x:c r="D511" s="17"/>
      <x:c r="E511" s="17"/>
      <x:c r="F511" s="17"/>
      <x:c r="G511" s="17"/>
      <x:c r="H511" s="17"/>
      <x:c r="I511" s="17"/>
      <x:c r="J511" s="17"/>
      <x:c r="K511" s="17"/>
      <x:c r="L511" s="17"/>
      <x:c r="M511" s="17"/>
      <x:c r="N511" s="17"/>
      <x:c r="O511" s="17"/>
      <x:c r="P511" s="17"/>
      <x:c r="Q511" s="17"/>
      <x:c r="R511" s="17"/>
      <x:c r="S511" s="17"/>
      <x:c r="T511" s="17"/>
      <x:c r="U511" s="17"/>
      <x:c r="V511" s="17"/>
      <x:c r="W511" s="17"/>
      <x:c r="X511" s="17"/>
      <x:c r="Y511" s="17"/>
      <x:c r="Z511" s="17"/>
    </x:row>
    <x:row r="512">
      <x:c r="A512" s="17"/>
      <x:c r="B512" s="17"/>
      <x:c r="C512" s="17"/>
      <x:c r="D512" s="17"/>
      <x:c r="E512" s="17"/>
      <x:c r="F512" s="17"/>
      <x:c r="G512" s="17"/>
      <x:c r="H512" s="17"/>
      <x:c r="I512" s="17"/>
      <x:c r="J512" s="17"/>
      <x:c r="K512" s="17"/>
      <x:c r="L512" s="17"/>
      <x:c r="M512" s="17"/>
      <x:c r="N512" s="17"/>
      <x:c r="O512" s="17"/>
      <x:c r="P512" s="17"/>
      <x:c r="Q512" s="17"/>
      <x:c r="R512" s="17"/>
      <x:c r="S512" s="17"/>
      <x:c r="T512" s="17"/>
      <x:c r="U512" s="17"/>
      <x:c r="V512" s="17"/>
      <x:c r="W512" s="17"/>
      <x:c r="X512" s="17"/>
      <x:c r="Y512" s="17"/>
      <x:c r="Z512" s="17"/>
    </x:row>
    <x:row r="513">
      <x:c r="A513" s="17"/>
      <x:c r="B513" s="17"/>
      <x:c r="C513" s="17"/>
      <x:c r="D513" s="17"/>
      <x:c r="E513" s="17"/>
      <x:c r="F513" s="17"/>
      <x:c r="G513" s="17"/>
      <x:c r="H513" s="17"/>
      <x:c r="I513" s="17"/>
      <x:c r="J513" s="17"/>
      <x:c r="K513" s="17"/>
      <x:c r="L513" s="17"/>
      <x:c r="M513" s="17"/>
      <x:c r="N513" s="17"/>
      <x:c r="O513" s="17"/>
      <x:c r="P513" s="17"/>
      <x:c r="Q513" s="17"/>
      <x:c r="R513" s="17"/>
      <x:c r="S513" s="17"/>
      <x:c r="T513" s="17"/>
      <x:c r="U513" s="17"/>
      <x:c r="V513" s="17"/>
      <x:c r="W513" s="17"/>
      <x:c r="X513" s="17"/>
      <x:c r="Y513" s="17"/>
      <x:c r="Z513" s="17"/>
    </x:row>
    <x:row r="514">
      <x:c r="A514" s="17"/>
      <x:c r="B514" s="17"/>
      <x:c r="C514" s="17"/>
      <x:c r="D514" s="17"/>
      <x:c r="E514" s="17"/>
      <x:c r="F514" s="17"/>
      <x:c r="G514" s="17"/>
      <x:c r="H514" s="17"/>
      <x:c r="I514" s="17"/>
      <x:c r="J514" s="17"/>
      <x:c r="K514" s="17"/>
      <x:c r="L514" s="17"/>
      <x:c r="M514" s="17"/>
      <x:c r="N514" s="17"/>
      <x:c r="O514" s="17"/>
      <x:c r="P514" s="17"/>
      <x:c r="Q514" s="17"/>
      <x:c r="R514" s="17"/>
      <x:c r="S514" s="17"/>
      <x:c r="T514" s="17"/>
      <x:c r="U514" s="17"/>
      <x:c r="V514" s="17"/>
      <x:c r="W514" s="17"/>
      <x:c r="X514" s="17"/>
      <x:c r="Y514" s="17"/>
      <x:c r="Z514" s="17"/>
    </x:row>
    <x:row r="515">
      <x:c r="A515" s="17"/>
      <x:c r="B515" s="17"/>
      <x:c r="C515" s="17"/>
      <x:c r="D515" s="17"/>
      <x:c r="E515" s="17"/>
      <x:c r="F515" s="17"/>
      <x:c r="G515" s="17"/>
      <x:c r="H515" s="17"/>
      <x:c r="I515" s="17"/>
      <x:c r="J515" s="17"/>
      <x:c r="K515" s="17"/>
      <x:c r="L515" s="17"/>
      <x:c r="M515" s="17"/>
      <x:c r="N515" s="17"/>
      <x:c r="O515" s="17"/>
      <x:c r="P515" s="17"/>
      <x:c r="Q515" s="17"/>
      <x:c r="R515" s="17"/>
      <x:c r="S515" s="17"/>
      <x:c r="T515" s="17"/>
      <x:c r="U515" s="17"/>
      <x:c r="V515" s="17"/>
      <x:c r="W515" s="17"/>
      <x:c r="X515" s="17"/>
      <x:c r="Y515" s="17"/>
      <x:c r="Z515" s="17"/>
    </x:row>
    <x:row r="516">
      <x:c r="A516" s="17"/>
      <x:c r="B516" s="17"/>
      <x:c r="C516" s="17"/>
      <x:c r="D516" s="17"/>
      <x:c r="E516" s="17"/>
      <x:c r="F516" s="17"/>
      <x:c r="G516" s="17"/>
      <x:c r="H516" s="17"/>
      <x:c r="I516" s="17"/>
      <x:c r="J516" s="17"/>
      <x:c r="K516" s="17"/>
      <x:c r="L516" s="17"/>
      <x:c r="M516" s="17"/>
      <x:c r="N516" s="17"/>
      <x:c r="O516" s="17"/>
      <x:c r="P516" s="17"/>
      <x:c r="Q516" s="17"/>
      <x:c r="R516" s="17"/>
      <x:c r="S516" s="17"/>
      <x:c r="T516" s="17"/>
      <x:c r="U516" s="17"/>
      <x:c r="V516" s="17"/>
      <x:c r="W516" s="17"/>
      <x:c r="X516" s="17"/>
      <x:c r="Y516" s="17"/>
      <x:c r="Z516" s="17"/>
    </x:row>
    <x:row r="517">
      <x:c r="A517" s="17"/>
      <x:c r="B517" s="17"/>
      <x:c r="C517" s="17"/>
      <x:c r="D517" s="17"/>
      <x:c r="E517" s="17"/>
      <x:c r="F517" s="17"/>
      <x:c r="G517" s="17"/>
      <x:c r="H517" s="17"/>
      <x:c r="I517" s="17"/>
      <x:c r="J517" s="17"/>
      <x:c r="K517" s="17"/>
      <x:c r="L517" s="17"/>
      <x:c r="M517" s="17"/>
      <x:c r="N517" s="17"/>
      <x:c r="O517" s="17"/>
      <x:c r="P517" s="17"/>
      <x:c r="Q517" s="17"/>
      <x:c r="R517" s="17"/>
      <x:c r="S517" s="17"/>
      <x:c r="T517" s="17"/>
      <x:c r="U517" s="17"/>
      <x:c r="V517" s="17"/>
      <x:c r="W517" s="17"/>
      <x:c r="X517" s="17"/>
      <x:c r="Y517" s="17"/>
      <x:c r="Z517" s="17"/>
    </x:row>
    <x:row r="518">
      <x:c r="A518" s="17"/>
      <x:c r="B518" s="17"/>
      <x:c r="C518" s="17"/>
      <x:c r="D518" s="17"/>
      <x:c r="E518" s="17"/>
      <x:c r="F518" s="17"/>
      <x:c r="G518" s="17"/>
      <x:c r="H518" s="17"/>
      <x:c r="I518" s="17"/>
      <x:c r="J518" s="17"/>
      <x:c r="K518" s="17"/>
      <x:c r="L518" s="17"/>
      <x:c r="M518" s="17"/>
      <x:c r="N518" s="17"/>
      <x:c r="O518" s="17"/>
      <x:c r="P518" s="17"/>
      <x:c r="Q518" s="17"/>
      <x:c r="R518" s="17"/>
      <x:c r="S518" s="17"/>
      <x:c r="T518" s="17"/>
      <x:c r="U518" s="17"/>
      <x:c r="V518" s="17"/>
      <x:c r="W518" s="17"/>
      <x:c r="X518" s="17"/>
      <x:c r="Y518" s="17"/>
      <x:c r="Z518" s="17"/>
    </x:row>
    <x:row r="519">
      <x:c r="A519" s="17"/>
      <x:c r="B519" s="17"/>
      <x:c r="C519" s="17"/>
      <x:c r="D519" s="17"/>
      <x:c r="E519" s="17"/>
      <x:c r="F519" s="17"/>
      <x:c r="G519" s="17"/>
      <x:c r="H519" s="17"/>
      <x:c r="I519" s="17"/>
      <x:c r="J519" s="17"/>
      <x:c r="K519" s="17"/>
      <x:c r="L519" s="17"/>
      <x:c r="M519" s="17"/>
      <x:c r="N519" s="17"/>
      <x:c r="O519" s="17"/>
      <x:c r="P519" s="17"/>
      <x:c r="Q519" s="17"/>
      <x:c r="R519" s="17"/>
      <x:c r="S519" s="17"/>
      <x:c r="T519" s="17"/>
      <x:c r="U519" s="17"/>
      <x:c r="V519" s="17"/>
      <x:c r="W519" s="17"/>
      <x:c r="X519" s="17"/>
      <x:c r="Y519" s="17"/>
      <x:c r="Z519" s="17"/>
    </x:row>
    <x:row r="520">
      <x:c r="A520" s="17"/>
      <x:c r="B520" s="17"/>
      <x:c r="C520" s="17"/>
      <x:c r="D520" s="17"/>
      <x:c r="E520" s="17"/>
      <x:c r="F520" s="17"/>
      <x:c r="G520" s="17"/>
      <x:c r="H520" s="17"/>
      <x:c r="I520" s="17"/>
      <x:c r="J520" s="17"/>
      <x:c r="K520" s="17"/>
      <x:c r="L520" s="17"/>
      <x:c r="M520" s="17"/>
      <x:c r="N520" s="17"/>
      <x:c r="O520" s="17"/>
      <x:c r="P520" s="17"/>
      <x:c r="Q520" s="17"/>
      <x:c r="R520" s="17"/>
      <x:c r="S520" s="17"/>
      <x:c r="T520" s="17"/>
      <x:c r="U520" s="17"/>
      <x:c r="V520" s="17"/>
      <x:c r="W520" s="17"/>
      <x:c r="X520" s="17"/>
      <x:c r="Y520" s="17"/>
      <x:c r="Z520" s="17"/>
    </x:row>
    <x:row r="521">
      <x:c r="A521" s="17"/>
      <x:c r="B521" s="17"/>
      <x:c r="C521" s="17"/>
      <x:c r="D521" s="17"/>
      <x:c r="E521" s="17"/>
      <x:c r="F521" s="17"/>
      <x:c r="G521" s="17"/>
      <x:c r="H521" s="17"/>
      <x:c r="I521" s="17"/>
      <x:c r="J521" s="17"/>
      <x:c r="K521" s="17"/>
      <x:c r="L521" s="17"/>
      <x:c r="M521" s="17"/>
      <x:c r="N521" s="17"/>
      <x:c r="O521" s="17"/>
      <x:c r="P521" s="17"/>
      <x:c r="Q521" s="17"/>
      <x:c r="R521" s="17"/>
      <x:c r="S521" s="17"/>
      <x:c r="T521" s="17"/>
      <x:c r="U521" s="17"/>
      <x:c r="V521" s="17"/>
      <x:c r="W521" s="17"/>
      <x:c r="X521" s="17"/>
      <x:c r="Y521" s="17"/>
      <x:c r="Z521" s="17"/>
    </x:row>
    <x:row r="522">
      <x:c r="A522" s="17"/>
      <x:c r="B522" s="17"/>
      <x:c r="C522" s="17"/>
      <x:c r="D522" s="17"/>
      <x:c r="E522" s="17"/>
      <x:c r="F522" s="17"/>
      <x:c r="G522" s="17"/>
      <x:c r="H522" s="17"/>
      <x:c r="I522" s="17"/>
      <x:c r="J522" s="17"/>
      <x:c r="K522" s="17"/>
      <x:c r="L522" s="17"/>
      <x:c r="M522" s="17"/>
      <x:c r="N522" s="17"/>
      <x:c r="O522" s="17"/>
      <x:c r="P522" s="17"/>
      <x:c r="Q522" s="17"/>
      <x:c r="R522" s="17"/>
      <x:c r="S522" s="17"/>
      <x:c r="T522" s="17"/>
      <x:c r="U522" s="17"/>
      <x:c r="V522" s="17"/>
      <x:c r="W522" s="17"/>
      <x:c r="X522" s="17"/>
      <x:c r="Y522" s="17"/>
      <x:c r="Z522" s="17"/>
    </x:row>
    <x:row r="523">
      <x:c r="A523" s="17"/>
      <x:c r="B523" s="17"/>
      <x:c r="C523" s="17"/>
      <x:c r="D523" s="17"/>
      <x:c r="E523" s="17"/>
      <x:c r="F523" s="17"/>
      <x:c r="G523" s="17"/>
      <x:c r="H523" s="17"/>
      <x:c r="I523" s="17"/>
      <x:c r="J523" s="17"/>
      <x:c r="K523" s="17"/>
      <x:c r="L523" s="17"/>
      <x:c r="M523" s="17"/>
      <x:c r="N523" s="17"/>
      <x:c r="O523" s="17"/>
      <x:c r="P523" s="17"/>
      <x:c r="Q523" s="17"/>
      <x:c r="R523" s="17"/>
      <x:c r="S523" s="17"/>
      <x:c r="T523" s="17"/>
      <x:c r="U523" s="17"/>
      <x:c r="V523" s="17"/>
      <x:c r="W523" s="17"/>
      <x:c r="X523" s="17"/>
      <x:c r="Y523" s="17"/>
      <x:c r="Z523" s="17"/>
    </x:row>
    <x:row r="524">
      <x:c r="A524" s="17"/>
      <x:c r="B524" s="17"/>
      <x:c r="C524" s="17"/>
      <x:c r="D524" s="17"/>
      <x:c r="E524" s="17"/>
      <x:c r="F524" s="17"/>
      <x:c r="G524" s="17"/>
      <x:c r="H524" s="17"/>
      <x:c r="I524" s="17"/>
      <x:c r="J524" s="17"/>
      <x:c r="K524" s="17"/>
      <x:c r="L524" s="17"/>
      <x:c r="M524" s="17"/>
      <x:c r="N524" s="17"/>
      <x:c r="O524" s="17"/>
      <x:c r="P524" s="17"/>
      <x:c r="Q524" s="17"/>
      <x:c r="R524" s="17"/>
      <x:c r="S524" s="17"/>
      <x:c r="T524" s="17"/>
      <x:c r="U524" s="17"/>
      <x:c r="V524" s="17"/>
      <x:c r="W524" s="17"/>
      <x:c r="X524" s="17"/>
      <x:c r="Y524" s="17"/>
      <x:c r="Z524" s="17"/>
    </x:row>
    <x:row r="525">
      <x:c r="A525" s="17"/>
      <x:c r="B525" s="17"/>
      <x:c r="C525" s="17"/>
      <x:c r="D525" s="17"/>
      <x:c r="E525" s="17"/>
      <x:c r="F525" s="17"/>
      <x:c r="G525" s="17"/>
      <x:c r="H525" s="17"/>
      <x:c r="I525" s="17"/>
      <x:c r="J525" s="17"/>
      <x:c r="K525" s="17"/>
      <x:c r="L525" s="17"/>
      <x:c r="M525" s="17"/>
      <x:c r="N525" s="17"/>
      <x:c r="O525" s="17"/>
      <x:c r="P525" s="17"/>
      <x:c r="Q525" s="17"/>
      <x:c r="R525" s="17"/>
      <x:c r="S525" s="17"/>
      <x:c r="T525" s="17"/>
      <x:c r="U525" s="17"/>
      <x:c r="V525" s="17"/>
      <x:c r="W525" s="17"/>
      <x:c r="X525" s="17"/>
      <x:c r="Y525" s="17"/>
      <x:c r="Z525" s="17"/>
    </x:row>
    <x:row r="526">
      <x:c r="A526" s="17"/>
      <x:c r="B526" s="17"/>
      <x:c r="C526" s="17"/>
      <x:c r="D526" s="17"/>
      <x:c r="E526" s="17"/>
      <x:c r="F526" s="17"/>
      <x:c r="G526" s="17"/>
      <x:c r="H526" s="17"/>
      <x:c r="I526" s="17"/>
      <x:c r="J526" s="17"/>
      <x:c r="K526" s="17"/>
      <x:c r="L526" s="17"/>
      <x:c r="M526" s="17"/>
      <x:c r="N526" s="17"/>
      <x:c r="O526" s="17"/>
      <x:c r="P526" s="17"/>
      <x:c r="Q526" s="17"/>
      <x:c r="R526" s="17"/>
      <x:c r="S526" s="17"/>
      <x:c r="T526" s="17"/>
      <x:c r="U526" s="17"/>
      <x:c r="V526" s="17"/>
      <x:c r="W526" s="17"/>
      <x:c r="X526" s="17"/>
      <x:c r="Y526" s="17"/>
      <x:c r="Z526" s="17"/>
    </x:row>
    <x:row r="527">
      <x:c r="A527" s="17"/>
      <x:c r="B527" s="17"/>
      <x:c r="C527" s="17"/>
      <x:c r="D527" s="17"/>
      <x:c r="E527" s="17"/>
      <x:c r="F527" s="17"/>
      <x:c r="G527" s="17"/>
      <x:c r="H527" s="17"/>
      <x:c r="I527" s="17"/>
      <x:c r="J527" s="17"/>
      <x:c r="K527" s="17"/>
      <x:c r="L527" s="17"/>
      <x:c r="M527" s="17"/>
      <x:c r="N527" s="17"/>
      <x:c r="O527" s="17"/>
      <x:c r="P527" s="17"/>
      <x:c r="Q527" s="17"/>
      <x:c r="R527" s="17"/>
      <x:c r="S527" s="17"/>
      <x:c r="T527" s="17"/>
      <x:c r="U527" s="17"/>
      <x:c r="V527" s="17"/>
      <x:c r="W527" s="17"/>
      <x:c r="X527" s="17"/>
      <x:c r="Y527" s="17"/>
      <x:c r="Z527" s="17"/>
    </x:row>
    <x:row r="528">
      <x:c r="A528" s="17"/>
      <x:c r="B528" s="17"/>
      <x:c r="C528" s="17"/>
      <x:c r="D528" s="17"/>
      <x:c r="E528" s="17"/>
      <x:c r="F528" s="17"/>
      <x:c r="G528" s="17"/>
      <x:c r="H528" s="17"/>
      <x:c r="I528" s="17"/>
      <x:c r="J528" s="17"/>
      <x:c r="K528" s="17"/>
      <x:c r="L528" s="17"/>
      <x:c r="M528" s="17"/>
      <x:c r="N528" s="17"/>
      <x:c r="O528" s="17"/>
      <x:c r="P528" s="17"/>
      <x:c r="Q528" s="17"/>
      <x:c r="R528" s="17"/>
      <x:c r="S528" s="17"/>
      <x:c r="T528" s="17"/>
      <x:c r="U528" s="17"/>
      <x:c r="V528" s="17"/>
      <x:c r="W528" s="17"/>
      <x:c r="X528" s="17"/>
      <x:c r="Y528" s="17"/>
      <x:c r="Z528" s="17"/>
    </x:row>
    <x:row r="529">
      <x:c r="A529" s="17"/>
      <x:c r="B529" s="17"/>
      <x:c r="C529" s="17"/>
      <x:c r="D529" s="17"/>
      <x:c r="E529" s="17"/>
      <x:c r="F529" s="17"/>
      <x:c r="G529" s="17"/>
      <x:c r="H529" s="17"/>
      <x:c r="I529" s="17"/>
      <x:c r="J529" s="17"/>
      <x:c r="K529" s="17"/>
      <x:c r="L529" s="17"/>
      <x:c r="M529" s="17"/>
      <x:c r="N529" s="17"/>
      <x:c r="O529" s="17"/>
      <x:c r="P529" s="17"/>
      <x:c r="Q529" s="17"/>
      <x:c r="R529" s="17"/>
      <x:c r="S529" s="17"/>
      <x:c r="T529" s="17"/>
      <x:c r="U529" s="17"/>
      <x:c r="V529" s="17"/>
      <x:c r="W529" s="17"/>
      <x:c r="X529" s="17"/>
      <x:c r="Y529" s="17"/>
      <x:c r="Z529" s="17"/>
    </x:row>
    <x:row r="530">
      <x:c r="A530" s="17"/>
      <x:c r="B530" s="17"/>
      <x:c r="C530" s="17"/>
      <x:c r="D530" s="17"/>
      <x:c r="E530" s="17"/>
      <x:c r="F530" s="17"/>
      <x:c r="G530" s="17"/>
      <x:c r="H530" s="17"/>
      <x:c r="I530" s="17"/>
      <x:c r="J530" s="17"/>
      <x:c r="K530" s="17"/>
      <x:c r="L530" s="17"/>
      <x:c r="M530" s="17"/>
      <x:c r="N530" s="17"/>
      <x:c r="O530" s="17"/>
      <x:c r="P530" s="17"/>
      <x:c r="Q530" s="17"/>
      <x:c r="R530" s="17"/>
      <x:c r="S530" s="17"/>
      <x:c r="T530" s="17"/>
      <x:c r="U530" s="17"/>
      <x:c r="V530" s="17"/>
      <x:c r="W530" s="17"/>
      <x:c r="X530" s="17"/>
      <x:c r="Y530" s="17"/>
      <x:c r="Z530" s="17"/>
    </x:row>
    <x:row r="531">
      <x:c r="A531" s="17"/>
      <x:c r="B531" s="17"/>
      <x:c r="C531" s="17"/>
      <x:c r="D531" s="17"/>
      <x:c r="E531" s="17"/>
      <x:c r="F531" s="17"/>
      <x:c r="G531" s="17"/>
      <x:c r="H531" s="17"/>
      <x:c r="I531" s="17"/>
      <x:c r="J531" s="17"/>
      <x:c r="K531" s="17"/>
      <x:c r="L531" s="17"/>
      <x:c r="M531" s="17"/>
      <x:c r="N531" s="17"/>
      <x:c r="O531" s="17"/>
      <x:c r="P531" s="17"/>
      <x:c r="Q531" s="17"/>
      <x:c r="R531" s="17"/>
      <x:c r="S531" s="17"/>
      <x:c r="T531" s="17"/>
      <x:c r="U531" s="17"/>
      <x:c r="V531" s="17"/>
      <x:c r="W531" s="17"/>
      <x:c r="X531" s="17"/>
      <x:c r="Y531" s="17"/>
      <x:c r="Z531" s="17"/>
    </x:row>
    <x:row r="532">
      <x:c r="A532" s="17"/>
      <x:c r="B532" s="17"/>
      <x:c r="C532" s="17"/>
      <x:c r="D532" s="17"/>
      <x:c r="E532" s="17"/>
      <x:c r="F532" s="17"/>
      <x:c r="G532" s="17"/>
      <x:c r="H532" s="17"/>
      <x:c r="I532" s="17"/>
      <x:c r="J532" s="17"/>
      <x:c r="K532" s="17"/>
      <x:c r="L532" s="17"/>
      <x:c r="M532" s="17"/>
      <x:c r="N532" s="17"/>
      <x:c r="O532" s="17"/>
      <x:c r="P532" s="17"/>
      <x:c r="Q532" s="17"/>
      <x:c r="R532" s="17"/>
      <x:c r="S532" s="17"/>
      <x:c r="T532" s="17"/>
      <x:c r="U532" s="17"/>
      <x:c r="V532" s="17"/>
      <x:c r="W532" s="17"/>
      <x:c r="X532" s="17"/>
      <x:c r="Y532" s="17"/>
      <x:c r="Z532" s="17"/>
    </x:row>
    <x:row r="533">
      <x:c r="A533" s="17"/>
      <x:c r="B533" s="17"/>
      <x:c r="C533" s="17"/>
      <x:c r="D533" s="17"/>
      <x:c r="E533" s="17"/>
      <x:c r="F533" s="17"/>
      <x:c r="G533" s="17"/>
      <x:c r="H533" s="17"/>
      <x:c r="I533" s="17"/>
      <x:c r="J533" s="17"/>
      <x:c r="K533" s="17"/>
      <x:c r="L533" s="17"/>
      <x:c r="M533" s="17"/>
      <x:c r="N533" s="17"/>
      <x:c r="O533" s="17"/>
      <x:c r="P533" s="17"/>
      <x:c r="Q533" s="17"/>
      <x:c r="R533" s="17"/>
      <x:c r="S533" s="17"/>
      <x:c r="T533" s="17"/>
      <x:c r="U533" s="17"/>
      <x:c r="V533" s="17"/>
      <x:c r="W533" s="17"/>
      <x:c r="X533" s="17"/>
      <x:c r="Y533" s="17"/>
      <x:c r="Z533" s="17"/>
    </x:row>
    <x:row r="534">
      <x:c r="A534" s="17"/>
      <x:c r="B534" s="17"/>
      <x:c r="C534" s="17"/>
      <x:c r="D534" s="17"/>
      <x:c r="E534" s="17"/>
      <x:c r="F534" s="17"/>
      <x:c r="G534" s="17"/>
      <x:c r="H534" s="17"/>
      <x:c r="I534" s="17"/>
      <x:c r="J534" s="17"/>
      <x:c r="K534" s="17"/>
      <x:c r="L534" s="17"/>
      <x:c r="M534" s="17"/>
      <x:c r="N534" s="17"/>
      <x:c r="O534" s="17"/>
      <x:c r="P534" s="17"/>
      <x:c r="Q534" s="17"/>
      <x:c r="R534" s="17"/>
      <x:c r="S534" s="17"/>
      <x:c r="T534" s="17"/>
      <x:c r="U534" s="17"/>
      <x:c r="V534" s="17"/>
      <x:c r="W534" s="17"/>
      <x:c r="X534" s="17"/>
      <x:c r="Y534" s="17"/>
      <x:c r="Z534" s="17"/>
    </x:row>
    <x:row r="535">
      <x:c r="A535" s="17"/>
      <x:c r="B535" s="17"/>
      <x:c r="C535" s="17"/>
      <x:c r="D535" s="17"/>
      <x:c r="E535" s="17"/>
      <x:c r="F535" s="17"/>
      <x:c r="G535" s="17"/>
      <x:c r="H535" s="17"/>
      <x:c r="I535" s="17"/>
      <x:c r="J535" s="17"/>
      <x:c r="K535" s="17"/>
      <x:c r="L535" s="17"/>
      <x:c r="M535" s="17"/>
      <x:c r="N535" s="17"/>
      <x:c r="O535" s="17"/>
      <x:c r="P535" s="17"/>
      <x:c r="Q535" s="17"/>
      <x:c r="R535" s="17"/>
      <x:c r="S535" s="17"/>
      <x:c r="T535" s="17"/>
      <x:c r="U535" s="17"/>
      <x:c r="V535" s="17"/>
      <x:c r="W535" s="17"/>
      <x:c r="X535" s="17"/>
      <x:c r="Y535" s="17"/>
      <x:c r="Z535" s="17"/>
    </x:row>
    <x:row r="536">
      <x:c r="A536" s="17"/>
      <x:c r="B536" s="17"/>
      <x:c r="C536" s="17"/>
      <x:c r="D536" s="17"/>
      <x:c r="E536" s="17"/>
      <x:c r="F536" s="17"/>
      <x:c r="G536" s="17"/>
      <x:c r="H536" s="17"/>
      <x:c r="I536" s="17"/>
      <x:c r="J536" s="17"/>
      <x:c r="K536" s="17"/>
      <x:c r="L536" s="17"/>
      <x:c r="M536" s="17"/>
      <x:c r="N536" s="17"/>
      <x:c r="O536" s="17"/>
      <x:c r="P536" s="17"/>
      <x:c r="Q536" s="17"/>
      <x:c r="R536" s="17"/>
      <x:c r="S536" s="17"/>
      <x:c r="T536" s="17"/>
      <x:c r="U536" s="17"/>
      <x:c r="V536" s="17"/>
      <x:c r="W536" s="17"/>
      <x:c r="X536" s="17"/>
      <x:c r="Y536" s="17"/>
      <x:c r="Z536" s="17"/>
    </x:row>
    <x:row r="537">
      <x:c r="A537" s="17"/>
      <x:c r="B537" s="17"/>
      <x:c r="C537" s="17"/>
      <x:c r="D537" s="17"/>
      <x:c r="E537" s="17"/>
      <x:c r="F537" s="17"/>
      <x:c r="G537" s="17"/>
      <x:c r="H537" s="17"/>
      <x:c r="I537" s="17"/>
      <x:c r="J537" s="17"/>
      <x:c r="K537" s="17"/>
      <x:c r="L537" s="17"/>
      <x:c r="M537" s="17"/>
      <x:c r="N537" s="17"/>
      <x:c r="O537" s="17"/>
      <x:c r="P537" s="17"/>
      <x:c r="Q537" s="17"/>
      <x:c r="R537" s="17"/>
      <x:c r="S537" s="17"/>
      <x:c r="T537" s="17"/>
      <x:c r="U537" s="17"/>
      <x:c r="V537" s="17"/>
      <x:c r="W537" s="17"/>
      <x:c r="X537" s="17"/>
      <x:c r="Y537" s="17"/>
      <x:c r="Z537" s="17"/>
    </x:row>
    <x:row r="538">
      <x:c r="A538" s="17"/>
      <x:c r="B538" s="17"/>
      <x:c r="C538" s="17"/>
      <x:c r="D538" s="17"/>
      <x:c r="E538" s="17"/>
      <x:c r="F538" s="17"/>
      <x:c r="G538" s="17"/>
      <x:c r="H538" s="17"/>
      <x:c r="I538" s="17"/>
      <x:c r="J538" s="17"/>
      <x:c r="K538" s="17"/>
      <x:c r="L538" s="17"/>
      <x:c r="M538" s="17"/>
      <x:c r="N538" s="17"/>
      <x:c r="O538" s="17"/>
      <x:c r="P538" s="17"/>
      <x:c r="Q538" s="17"/>
      <x:c r="R538" s="17"/>
      <x:c r="S538" s="17"/>
      <x:c r="T538" s="17"/>
      <x:c r="U538" s="17"/>
      <x:c r="V538" s="17"/>
      <x:c r="W538" s="17"/>
      <x:c r="X538" s="17"/>
      <x:c r="Y538" s="17"/>
      <x:c r="Z538" s="17"/>
    </x:row>
    <x:row r="539">
      <x:c r="A539" s="17"/>
      <x:c r="B539" s="17"/>
      <x:c r="C539" s="17"/>
      <x:c r="D539" s="17"/>
      <x:c r="E539" s="17"/>
      <x:c r="F539" s="17"/>
      <x:c r="G539" s="17"/>
      <x:c r="H539" s="17"/>
      <x:c r="I539" s="17"/>
      <x:c r="J539" s="17"/>
      <x:c r="K539" s="17"/>
      <x:c r="L539" s="17"/>
      <x:c r="M539" s="17"/>
      <x:c r="N539" s="17"/>
      <x:c r="O539" s="17"/>
      <x:c r="P539" s="17"/>
      <x:c r="Q539" s="17"/>
      <x:c r="R539" s="17"/>
      <x:c r="S539" s="17"/>
      <x:c r="T539" s="17"/>
      <x:c r="U539" s="17"/>
      <x:c r="V539" s="17"/>
      <x:c r="W539" s="17"/>
      <x:c r="X539" s="17"/>
      <x:c r="Y539" s="17"/>
      <x:c r="Z539" s="17"/>
    </x:row>
    <x:row r="540">
      <x:c r="A540" s="17"/>
      <x:c r="B540" s="17"/>
      <x:c r="C540" s="17"/>
      <x:c r="D540" s="17"/>
      <x:c r="E540" s="17"/>
      <x:c r="F540" s="17"/>
      <x:c r="G540" s="17"/>
      <x:c r="H540" s="17"/>
      <x:c r="I540" s="17"/>
      <x:c r="J540" s="17"/>
      <x:c r="K540" s="17"/>
      <x:c r="L540" s="17"/>
      <x:c r="M540" s="17"/>
      <x:c r="N540" s="17"/>
      <x:c r="O540" s="17"/>
      <x:c r="P540" s="17"/>
      <x:c r="Q540" s="17"/>
      <x:c r="R540" s="17"/>
      <x:c r="S540" s="17"/>
      <x:c r="T540" s="17"/>
      <x:c r="U540" s="17"/>
      <x:c r="V540" s="17"/>
      <x:c r="W540" s="17"/>
      <x:c r="X540" s="17"/>
      <x:c r="Y540" s="17"/>
      <x:c r="Z540" s="17"/>
    </x:row>
    <x:row r="541">
      <x:c r="A541" s="17"/>
      <x:c r="B541" s="17"/>
      <x:c r="C541" s="17"/>
      <x:c r="D541" s="17"/>
      <x:c r="E541" s="17"/>
      <x:c r="F541" s="17"/>
      <x:c r="G541" s="17"/>
      <x:c r="H541" s="17"/>
      <x:c r="I541" s="17"/>
      <x:c r="J541" s="17"/>
      <x:c r="K541" s="17"/>
      <x:c r="L541" s="17"/>
      <x:c r="M541" s="17"/>
      <x:c r="N541" s="17"/>
      <x:c r="O541" s="17"/>
      <x:c r="P541" s="17"/>
      <x:c r="Q541" s="17"/>
      <x:c r="R541" s="17"/>
      <x:c r="S541" s="17"/>
      <x:c r="T541" s="17"/>
      <x:c r="U541" s="17"/>
      <x:c r="V541" s="17"/>
      <x:c r="W541" s="17"/>
      <x:c r="X541" s="17"/>
      <x:c r="Y541" s="17"/>
      <x:c r="Z541" s="17"/>
    </x:row>
    <x:row r="542">
      <x:c r="A542" s="17"/>
      <x:c r="B542" s="17"/>
      <x:c r="C542" s="17"/>
      <x:c r="D542" s="17"/>
      <x:c r="E542" s="17"/>
      <x:c r="F542" s="17"/>
      <x:c r="G542" s="17"/>
      <x:c r="H542" s="17"/>
      <x:c r="I542" s="17"/>
      <x:c r="J542" s="17"/>
      <x:c r="K542" s="17"/>
      <x:c r="L542" s="17"/>
      <x:c r="M542" s="17"/>
      <x:c r="N542" s="17"/>
      <x:c r="O542" s="17"/>
      <x:c r="P542" s="17"/>
      <x:c r="Q542" s="17"/>
      <x:c r="R542" s="17"/>
      <x:c r="S542" s="17"/>
      <x:c r="T542" s="17"/>
      <x:c r="U542" s="17"/>
      <x:c r="V542" s="17"/>
      <x:c r="W542" s="17"/>
      <x:c r="X542" s="17"/>
      <x:c r="Y542" s="17"/>
      <x:c r="Z542" s="17"/>
    </x:row>
    <x:row r="543">
      <x:c r="A543" s="17"/>
      <x:c r="B543" s="17"/>
      <x:c r="C543" s="17"/>
      <x:c r="D543" s="17"/>
      <x:c r="E543" s="17"/>
      <x:c r="F543" s="17"/>
      <x:c r="G543" s="17"/>
      <x:c r="H543" s="17"/>
      <x:c r="I543" s="17"/>
      <x:c r="J543" s="17"/>
      <x:c r="K543" s="17"/>
      <x:c r="L543" s="17"/>
      <x:c r="M543" s="17"/>
      <x:c r="N543" s="17"/>
      <x:c r="O543" s="17"/>
      <x:c r="P543" s="17"/>
      <x:c r="Q543" s="17"/>
      <x:c r="R543" s="17"/>
      <x:c r="S543" s="17"/>
      <x:c r="T543" s="17"/>
      <x:c r="U543" s="17"/>
      <x:c r="V543" s="17"/>
      <x:c r="W543" s="17"/>
      <x:c r="X543" s="17"/>
      <x:c r="Y543" s="17"/>
      <x:c r="Z543" s="17"/>
    </x:row>
    <x:row r="544">
      <x:c r="A544" s="17"/>
      <x:c r="B544" s="17"/>
      <x:c r="C544" s="17"/>
      <x:c r="D544" s="17"/>
      <x:c r="E544" s="17"/>
      <x:c r="F544" s="17"/>
      <x:c r="G544" s="17"/>
      <x:c r="H544" s="17"/>
      <x:c r="I544" s="17"/>
      <x:c r="J544" s="17"/>
      <x:c r="K544" s="17"/>
      <x:c r="L544" s="17"/>
      <x:c r="M544" s="17"/>
      <x:c r="N544" s="17"/>
      <x:c r="O544" s="17"/>
      <x:c r="P544" s="17"/>
      <x:c r="Q544" s="17"/>
      <x:c r="R544" s="17"/>
      <x:c r="S544" s="17"/>
      <x:c r="T544" s="17"/>
      <x:c r="U544" s="17"/>
      <x:c r="V544" s="17"/>
      <x:c r="W544" s="17"/>
      <x:c r="X544" s="17"/>
      <x:c r="Y544" s="17"/>
      <x:c r="Z544" s="17"/>
    </x:row>
    <x:row r="545">
      <x:c r="A545" s="17"/>
      <x:c r="B545" s="17"/>
      <x:c r="C545" s="17"/>
      <x:c r="D545" s="17"/>
      <x:c r="E545" s="17"/>
      <x:c r="F545" s="17"/>
      <x:c r="G545" s="17"/>
      <x:c r="H545" s="17"/>
      <x:c r="I545" s="17"/>
      <x:c r="J545" s="17"/>
      <x:c r="K545" s="17"/>
      <x:c r="L545" s="17"/>
      <x:c r="M545" s="17"/>
      <x:c r="N545" s="17"/>
      <x:c r="O545" s="17"/>
      <x:c r="P545" s="17"/>
      <x:c r="Q545" s="17"/>
      <x:c r="R545" s="17"/>
      <x:c r="S545" s="17"/>
      <x:c r="T545" s="17"/>
      <x:c r="U545" s="17"/>
      <x:c r="V545" s="17"/>
      <x:c r="W545" s="17"/>
      <x:c r="X545" s="17"/>
      <x:c r="Y545" s="17"/>
      <x:c r="Z545" s="17"/>
    </x:row>
    <x:row r="546">
      <x:c r="A546" s="17"/>
      <x:c r="B546" s="17"/>
      <x:c r="C546" s="17"/>
      <x:c r="D546" s="17"/>
      <x:c r="E546" s="17"/>
      <x:c r="F546" s="17"/>
      <x:c r="G546" s="17"/>
      <x:c r="H546" s="17"/>
      <x:c r="I546" s="17"/>
      <x:c r="J546" s="17"/>
      <x:c r="K546" s="17"/>
      <x:c r="L546" s="17"/>
      <x:c r="M546" s="17"/>
      <x:c r="N546" s="17"/>
      <x:c r="O546" s="17"/>
      <x:c r="P546" s="17"/>
      <x:c r="Q546" s="17"/>
      <x:c r="R546" s="17"/>
      <x:c r="S546" s="17"/>
      <x:c r="T546" s="17"/>
      <x:c r="U546" s="17"/>
      <x:c r="V546" s="17"/>
      <x:c r="W546" s="17"/>
      <x:c r="X546" s="17"/>
      <x:c r="Y546" s="17"/>
      <x:c r="Z546" s="17"/>
    </x:row>
    <x:row r="547">
      <x:c r="A547" s="17"/>
      <x:c r="B547" s="17"/>
      <x:c r="C547" s="17"/>
      <x:c r="D547" s="17"/>
      <x:c r="E547" s="17"/>
      <x:c r="F547" s="17"/>
      <x:c r="G547" s="17"/>
      <x:c r="H547" s="17"/>
      <x:c r="I547" s="17"/>
      <x:c r="J547" s="17"/>
      <x:c r="K547" s="17"/>
      <x:c r="L547" s="17"/>
      <x:c r="M547" s="17"/>
      <x:c r="N547" s="17"/>
      <x:c r="O547" s="17"/>
      <x:c r="P547" s="17"/>
      <x:c r="Q547" s="17"/>
      <x:c r="R547" s="17"/>
      <x:c r="S547" s="17"/>
      <x:c r="T547" s="17"/>
      <x:c r="U547" s="17"/>
      <x:c r="V547" s="17"/>
      <x:c r="W547" s="17"/>
      <x:c r="X547" s="17"/>
      <x:c r="Y547" s="17"/>
      <x:c r="Z547" s="17"/>
    </x:row>
    <x:row r="548">
      <x:c r="A548" s="17"/>
      <x:c r="B548" s="17"/>
      <x:c r="C548" s="17"/>
      <x:c r="D548" s="17"/>
      <x:c r="E548" s="17"/>
      <x:c r="F548" s="17"/>
      <x:c r="G548" s="17"/>
      <x:c r="H548" s="17"/>
      <x:c r="I548" s="17"/>
      <x:c r="J548" s="17"/>
      <x:c r="K548" s="17"/>
      <x:c r="L548" s="17"/>
      <x:c r="M548" s="17"/>
      <x:c r="N548" s="17"/>
      <x:c r="O548" s="17"/>
      <x:c r="P548" s="17"/>
      <x:c r="Q548" s="17"/>
      <x:c r="R548" s="17"/>
      <x:c r="S548" s="17"/>
      <x:c r="T548" s="17"/>
      <x:c r="U548" s="17"/>
      <x:c r="V548" s="17"/>
      <x:c r="W548" s="17"/>
      <x:c r="X548" s="17"/>
      <x:c r="Y548" s="17"/>
      <x:c r="Z548" s="17"/>
    </x:row>
    <x:row r="549">
      <x:c r="A549" s="17"/>
      <x:c r="B549" s="17"/>
      <x:c r="C549" s="17"/>
      <x:c r="D549" s="17"/>
      <x:c r="E549" s="17"/>
      <x:c r="F549" s="17"/>
      <x:c r="G549" s="17"/>
      <x:c r="H549" s="17"/>
      <x:c r="I549" s="17"/>
      <x:c r="J549" s="17"/>
      <x:c r="K549" s="17"/>
      <x:c r="L549" s="17"/>
      <x:c r="M549" s="17"/>
      <x:c r="N549" s="17"/>
      <x:c r="O549" s="17"/>
      <x:c r="P549" s="17"/>
      <x:c r="Q549" s="17"/>
      <x:c r="R549" s="17"/>
      <x:c r="S549" s="17"/>
      <x:c r="T549" s="17"/>
      <x:c r="U549" s="17"/>
      <x:c r="V549" s="17"/>
      <x:c r="W549" s="17"/>
      <x:c r="X549" s="17"/>
      <x:c r="Y549" s="17"/>
      <x:c r="Z549" s="17"/>
    </x:row>
    <x:row r="550">
      <x:c r="A550" s="17"/>
      <x:c r="B550" s="17"/>
      <x:c r="C550" s="17"/>
      <x:c r="D550" s="17"/>
      <x:c r="E550" s="17"/>
      <x:c r="F550" s="17"/>
      <x:c r="G550" s="17"/>
      <x:c r="H550" s="17"/>
      <x:c r="I550" s="17"/>
      <x:c r="J550" s="17"/>
      <x:c r="K550" s="17"/>
      <x:c r="L550" s="17"/>
      <x:c r="M550" s="17"/>
      <x:c r="N550" s="17"/>
      <x:c r="O550" s="17"/>
      <x:c r="P550" s="17"/>
      <x:c r="Q550" s="17"/>
      <x:c r="R550" s="17"/>
      <x:c r="S550" s="17"/>
      <x:c r="T550" s="17"/>
      <x:c r="U550" s="17"/>
      <x:c r="V550" s="17"/>
      <x:c r="W550" s="17"/>
      <x:c r="X550" s="17"/>
      <x:c r="Y550" s="17"/>
      <x:c r="Z550" s="17"/>
    </x:row>
    <x:row r="551">
      <x:c r="A551" s="17"/>
      <x:c r="B551" s="17"/>
      <x:c r="C551" s="17"/>
      <x:c r="D551" s="17"/>
      <x:c r="E551" s="17"/>
      <x:c r="F551" s="17"/>
      <x:c r="G551" s="17"/>
      <x:c r="H551" s="17"/>
      <x:c r="I551" s="17"/>
      <x:c r="J551" s="17"/>
      <x:c r="K551" s="17"/>
      <x:c r="L551" s="17"/>
      <x:c r="M551" s="17"/>
      <x:c r="N551" s="17"/>
      <x:c r="O551" s="17"/>
      <x:c r="P551" s="17"/>
      <x:c r="Q551" s="17"/>
      <x:c r="R551" s="17"/>
      <x:c r="S551" s="17"/>
      <x:c r="T551" s="17"/>
      <x:c r="U551" s="17"/>
      <x:c r="V551" s="17"/>
      <x:c r="W551" s="17"/>
      <x:c r="X551" s="17"/>
      <x:c r="Y551" s="17"/>
      <x:c r="Z551" s="17"/>
    </x:row>
    <x:row r="552">
      <x:c r="A552" s="17"/>
      <x:c r="B552" s="17"/>
      <x:c r="C552" s="17"/>
      <x:c r="D552" s="17"/>
      <x:c r="E552" s="17"/>
      <x:c r="F552" s="17"/>
      <x:c r="G552" s="17"/>
      <x:c r="H552" s="17"/>
      <x:c r="I552" s="17"/>
      <x:c r="J552" s="17"/>
      <x:c r="K552" s="17"/>
      <x:c r="L552" s="17"/>
      <x:c r="M552" s="17"/>
      <x:c r="N552" s="17"/>
      <x:c r="O552" s="17"/>
      <x:c r="P552" s="17"/>
      <x:c r="Q552" s="17"/>
      <x:c r="R552" s="17"/>
      <x:c r="S552" s="17"/>
      <x:c r="T552" s="17"/>
      <x:c r="U552" s="17"/>
      <x:c r="V552" s="17"/>
      <x:c r="W552" s="17"/>
      <x:c r="X552" s="17"/>
      <x:c r="Y552" s="17"/>
      <x:c r="Z552" s="17"/>
    </x:row>
    <x:row r="553">
      <x:c r="A553" s="17"/>
      <x:c r="B553" s="17"/>
      <x:c r="C553" s="17"/>
      <x:c r="D553" s="17"/>
      <x:c r="E553" s="17"/>
      <x:c r="F553" s="17"/>
      <x:c r="G553" s="17"/>
      <x:c r="H553" s="17"/>
      <x:c r="I553" s="17"/>
      <x:c r="J553" s="17"/>
      <x:c r="K553" s="17"/>
      <x:c r="L553" s="17"/>
      <x:c r="M553" s="17"/>
      <x:c r="N553" s="17"/>
      <x:c r="O553" s="17"/>
      <x:c r="P553" s="17"/>
      <x:c r="Q553" s="17"/>
      <x:c r="R553" s="17"/>
      <x:c r="S553" s="17"/>
      <x:c r="T553" s="17"/>
      <x:c r="U553" s="17"/>
      <x:c r="V553" s="17"/>
      <x:c r="W553" s="17"/>
      <x:c r="X553" s="17"/>
      <x:c r="Y553" s="17"/>
      <x:c r="Z553" s="17"/>
    </x:row>
    <x:row r="554">
      <x:c r="A554" s="17"/>
      <x:c r="B554" s="17"/>
      <x:c r="C554" s="17"/>
      <x:c r="D554" s="17"/>
      <x:c r="E554" s="17"/>
      <x:c r="F554" s="17"/>
      <x:c r="G554" s="17"/>
      <x:c r="H554" s="17"/>
      <x:c r="I554" s="17"/>
      <x:c r="J554" s="17"/>
      <x:c r="K554" s="17"/>
      <x:c r="L554" s="17"/>
      <x:c r="M554" s="17"/>
      <x:c r="N554" s="17"/>
      <x:c r="O554" s="17"/>
      <x:c r="P554" s="17"/>
      <x:c r="Q554" s="17"/>
      <x:c r="R554" s="17"/>
      <x:c r="S554" s="17"/>
      <x:c r="T554" s="17"/>
      <x:c r="U554" s="17"/>
      <x:c r="V554" s="17"/>
      <x:c r="W554" s="17"/>
      <x:c r="X554" s="17"/>
      <x:c r="Y554" s="17"/>
      <x:c r="Z554" s="17"/>
    </x:row>
    <x:row r="555">
      <x:c r="A555" s="17"/>
      <x:c r="B555" s="17"/>
      <x:c r="C555" s="17"/>
      <x:c r="D555" s="17"/>
      <x:c r="E555" s="17"/>
      <x:c r="F555" s="17"/>
      <x:c r="G555" s="17"/>
      <x:c r="H555" s="17"/>
      <x:c r="I555" s="17"/>
      <x:c r="J555" s="17"/>
      <x:c r="K555" s="17"/>
      <x:c r="L555" s="17"/>
      <x:c r="M555" s="17"/>
      <x:c r="N555" s="17"/>
      <x:c r="O555" s="17"/>
      <x:c r="P555" s="17"/>
      <x:c r="Q555" s="17"/>
      <x:c r="R555" s="17"/>
      <x:c r="S555" s="17"/>
      <x:c r="T555" s="17"/>
      <x:c r="U555" s="17"/>
      <x:c r="V555" s="17"/>
      <x:c r="W555" s="17"/>
      <x:c r="X555" s="17"/>
      <x:c r="Y555" s="17"/>
      <x:c r="Z555" s="17"/>
    </x:row>
    <x:row r="556">
      <x:c r="A556" s="17"/>
      <x:c r="B556" s="17"/>
      <x:c r="C556" s="17"/>
      <x:c r="D556" s="17"/>
      <x:c r="E556" s="17"/>
      <x:c r="F556" s="17"/>
      <x:c r="G556" s="17"/>
      <x:c r="H556" s="17"/>
      <x:c r="I556" s="17"/>
      <x:c r="J556" s="17"/>
      <x:c r="K556" s="17"/>
      <x:c r="L556" s="17"/>
      <x:c r="M556" s="17"/>
      <x:c r="N556" s="17"/>
      <x:c r="O556" s="17"/>
      <x:c r="P556" s="17"/>
      <x:c r="Q556" s="17"/>
      <x:c r="R556" s="17"/>
      <x:c r="S556" s="17"/>
      <x:c r="T556" s="17"/>
      <x:c r="U556" s="17"/>
      <x:c r="V556" s="17"/>
      <x:c r="W556" s="17"/>
      <x:c r="X556" s="17"/>
      <x:c r="Y556" s="17"/>
      <x:c r="Z556" s="17"/>
    </x:row>
    <x:row r="557">
      <x:c r="A557" s="17"/>
      <x:c r="B557" s="17"/>
      <x:c r="C557" s="17"/>
      <x:c r="D557" s="17"/>
      <x:c r="E557" s="17"/>
      <x:c r="F557" s="17"/>
      <x:c r="G557" s="17"/>
      <x:c r="H557" s="17"/>
      <x:c r="I557" s="17"/>
      <x:c r="J557" s="17"/>
      <x:c r="K557" s="17"/>
      <x:c r="L557" s="17"/>
      <x:c r="M557" s="17"/>
      <x:c r="N557" s="17"/>
      <x:c r="O557" s="17"/>
      <x:c r="P557" s="17"/>
      <x:c r="Q557" s="17"/>
      <x:c r="R557" s="17"/>
      <x:c r="S557" s="17"/>
      <x:c r="T557" s="17"/>
      <x:c r="U557" s="17"/>
      <x:c r="V557" s="17"/>
      <x:c r="W557" s="17"/>
      <x:c r="X557" s="17"/>
      <x:c r="Y557" s="17"/>
      <x:c r="Z557" s="17"/>
    </x:row>
    <x:row r="558">
      <x:c r="A558" s="17"/>
      <x:c r="B558" s="17"/>
      <x:c r="C558" s="17"/>
      <x:c r="D558" s="17"/>
      <x:c r="E558" s="17"/>
      <x:c r="F558" s="17"/>
      <x:c r="G558" s="17"/>
      <x:c r="H558" s="17"/>
      <x:c r="I558" s="17"/>
      <x:c r="J558" s="17"/>
      <x:c r="K558" s="17"/>
      <x:c r="L558" s="17"/>
      <x:c r="M558" s="17"/>
      <x:c r="N558" s="17"/>
      <x:c r="O558" s="17"/>
      <x:c r="P558" s="17"/>
      <x:c r="Q558" s="17"/>
      <x:c r="R558" s="17"/>
      <x:c r="S558" s="17"/>
      <x:c r="T558" s="17"/>
      <x:c r="U558" s="17"/>
      <x:c r="V558" s="17"/>
      <x:c r="W558" s="17"/>
      <x:c r="X558" s="17"/>
      <x:c r="Y558" s="17"/>
      <x:c r="Z558" s="17"/>
    </x:row>
    <x:row r="559">
      <x:c r="A559" s="17"/>
      <x:c r="B559" s="17"/>
      <x:c r="C559" s="17"/>
      <x:c r="D559" s="17"/>
      <x:c r="E559" s="17"/>
      <x:c r="F559" s="17"/>
      <x:c r="G559" s="17"/>
      <x:c r="H559" s="17"/>
      <x:c r="I559" s="17"/>
      <x:c r="J559" s="17"/>
      <x:c r="K559" s="17"/>
      <x:c r="L559" s="17"/>
      <x:c r="M559" s="17"/>
      <x:c r="N559" s="17"/>
      <x:c r="O559" s="17"/>
      <x:c r="P559" s="17"/>
      <x:c r="Q559" s="17"/>
      <x:c r="R559" s="17"/>
      <x:c r="S559" s="17"/>
      <x:c r="T559" s="17"/>
      <x:c r="U559" s="17"/>
      <x:c r="V559" s="17"/>
      <x:c r="W559" s="17"/>
      <x:c r="X559" s="17"/>
      <x:c r="Y559" s="17"/>
      <x:c r="Z559" s="17"/>
    </x:row>
    <x:row r="560">
      <x:c r="A560" s="17"/>
      <x:c r="B560" s="17"/>
      <x:c r="C560" s="17"/>
      <x:c r="D560" s="17"/>
      <x:c r="E560" s="17"/>
      <x:c r="F560" s="17"/>
      <x:c r="G560" s="17"/>
      <x:c r="H560" s="17"/>
      <x:c r="I560" s="17"/>
      <x:c r="J560" s="17"/>
      <x:c r="K560" s="17"/>
      <x:c r="L560" s="17"/>
      <x:c r="M560" s="17"/>
      <x:c r="N560" s="17"/>
      <x:c r="O560" s="17"/>
      <x:c r="P560" s="17"/>
      <x:c r="Q560" s="17"/>
      <x:c r="R560" s="17"/>
      <x:c r="S560" s="17"/>
      <x:c r="T560" s="17"/>
      <x:c r="U560" s="17"/>
      <x:c r="V560" s="17"/>
      <x:c r="W560" s="17"/>
      <x:c r="X560" s="17"/>
      <x:c r="Y560" s="17"/>
      <x:c r="Z560" s="17"/>
    </x:row>
    <x:row r="561">
      <x:c r="A561" s="17"/>
      <x:c r="B561" s="17"/>
      <x:c r="C561" s="17"/>
      <x:c r="D561" s="17"/>
      <x:c r="E561" s="17"/>
      <x:c r="F561" s="17"/>
      <x:c r="G561" s="17"/>
      <x:c r="H561" s="17"/>
      <x:c r="I561" s="17"/>
      <x:c r="J561" s="17"/>
      <x:c r="K561" s="17"/>
      <x:c r="L561" s="17"/>
      <x:c r="M561" s="17"/>
      <x:c r="N561" s="17"/>
      <x:c r="O561" s="17"/>
      <x:c r="P561" s="17"/>
      <x:c r="Q561" s="17"/>
      <x:c r="R561" s="17"/>
      <x:c r="S561" s="17"/>
      <x:c r="T561" s="17"/>
      <x:c r="U561" s="17"/>
      <x:c r="V561" s="17"/>
      <x:c r="W561" s="17"/>
      <x:c r="X561" s="17"/>
      <x:c r="Y561" s="17"/>
      <x:c r="Z561" s="17"/>
    </x:row>
    <x:row r="562">
      <x:c r="A562" s="17"/>
      <x:c r="B562" s="17"/>
      <x:c r="C562" s="17"/>
      <x:c r="D562" s="17"/>
      <x:c r="E562" s="17"/>
      <x:c r="F562" s="17"/>
      <x:c r="G562" s="17"/>
      <x:c r="H562" s="17"/>
      <x:c r="I562" s="17"/>
      <x:c r="J562" s="17"/>
      <x:c r="K562" s="17"/>
      <x:c r="L562" s="17"/>
      <x:c r="M562" s="17"/>
      <x:c r="N562" s="17"/>
      <x:c r="O562" s="17"/>
      <x:c r="P562" s="17"/>
      <x:c r="Q562" s="17"/>
      <x:c r="R562" s="17"/>
      <x:c r="S562" s="17"/>
      <x:c r="T562" s="17"/>
      <x:c r="U562" s="17"/>
      <x:c r="V562" s="17"/>
      <x:c r="W562" s="17"/>
      <x:c r="X562" s="17"/>
      <x:c r="Y562" s="17"/>
      <x:c r="Z562" s="17"/>
    </x:row>
    <x:row r="563">
      <x:c r="A563" s="17"/>
      <x:c r="B563" s="17"/>
      <x:c r="C563" s="17"/>
      <x:c r="D563" s="17"/>
      <x:c r="E563" s="17"/>
      <x:c r="F563" s="17"/>
      <x:c r="G563" s="17"/>
      <x:c r="H563" s="17"/>
      <x:c r="I563" s="17"/>
      <x:c r="J563" s="17"/>
      <x:c r="K563" s="17"/>
      <x:c r="L563" s="17"/>
      <x:c r="M563" s="17"/>
      <x:c r="N563" s="17"/>
      <x:c r="O563" s="17"/>
      <x:c r="P563" s="17"/>
      <x:c r="Q563" s="17"/>
      <x:c r="R563" s="17"/>
      <x:c r="S563" s="17"/>
      <x:c r="T563" s="17"/>
      <x:c r="U563" s="17"/>
      <x:c r="V563" s="17"/>
      <x:c r="W563" s="17"/>
      <x:c r="X563" s="17"/>
      <x:c r="Y563" s="17"/>
      <x:c r="Z563" s="17"/>
    </x:row>
    <x:row r="564">
      <x:c r="A564" s="17"/>
      <x:c r="B564" s="17"/>
      <x:c r="C564" s="17"/>
      <x:c r="D564" s="17"/>
      <x:c r="E564" s="17"/>
      <x:c r="F564" s="17"/>
      <x:c r="G564" s="17"/>
      <x:c r="H564" s="17"/>
      <x:c r="I564" s="17"/>
      <x:c r="J564" s="17"/>
      <x:c r="K564" s="17"/>
      <x:c r="L564" s="17"/>
      <x:c r="M564" s="17"/>
      <x:c r="N564" s="17"/>
      <x:c r="O564" s="17"/>
      <x:c r="P564" s="17"/>
      <x:c r="Q564" s="17"/>
      <x:c r="R564" s="17"/>
      <x:c r="S564" s="17"/>
      <x:c r="T564" s="17"/>
      <x:c r="U564" s="17"/>
      <x:c r="V564" s="17"/>
      <x:c r="W564" s="17"/>
      <x:c r="X564" s="17"/>
      <x:c r="Y564" s="17"/>
      <x:c r="Z564" s="17"/>
    </x:row>
    <x:row r="565">
      <x:c r="A565" s="17"/>
      <x:c r="B565" s="17"/>
      <x:c r="C565" s="17"/>
      <x:c r="D565" s="17"/>
      <x:c r="E565" s="17"/>
      <x:c r="F565" s="17"/>
      <x:c r="G565" s="17"/>
      <x:c r="H565" s="17"/>
      <x:c r="I565" s="17"/>
      <x:c r="J565" s="17"/>
      <x:c r="K565" s="17"/>
      <x:c r="L565" s="17"/>
      <x:c r="M565" s="17"/>
      <x:c r="N565" s="17"/>
      <x:c r="O565" s="17"/>
      <x:c r="P565" s="17"/>
      <x:c r="Q565" s="17"/>
      <x:c r="R565" s="17"/>
      <x:c r="S565" s="17"/>
      <x:c r="T565" s="17"/>
      <x:c r="U565" s="17"/>
      <x:c r="V565" s="17"/>
      <x:c r="W565" s="17"/>
      <x:c r="X565" s="17"/>
      <x:c r="Y565" s="17"/>
      <x:c r="Z565" s="17"/>
    </x:row>
    <x:row r="566">
      <x:c r="A566" s="17"/>
      <x:c r="B566" s="17"/>
      <x:c r="C566" s="17"/>
      <x:c r="D566" s="17"/>
      <x:c r="E566" s="17"/>
      <x:c r="F566" s="17"/>
      <x:c r="G566" s="17"/>
      <x:c r="H566" s="17"/>
      <x:c r="I566" s="17"/>
      <x:c r="J566" s="17"/>
      <x:c r="K566" s="17"/>
      <x:c r="L566" s="17"/>
      <x:c r="M566" s="17"/>
      <x:c r="N566" s="17"/>
      <x:c r="O566" s="17"/>
      <x:c r="P566" s="17"/>
      <x:c r="Q566" s="17"/>
      <x:c r="R566" s="17"/>
      <x:c r="S566" s="17"/>
      <x:c r="T566" s="17"/>
      <x:c r="U566" s="17"/>
      <x:c r="V566" s="17"/>
      <x:c r="W566" s="17"/>
      <x:c r="X566" s="17"/>
      <x:c r="Y566" s="17"/>
      <x:c r="Z566" s="17"/>
    </x:row>
    <x:row r="567">
      <x:c r="A567" s="17"/>
      <x:c r="B567" s="17"/>
      <x:c r="C567" s="17"/>
      <x:c r="D567" s="17"/>
      <x:c r="E567" s="17"/>
      <x:c r="F567" s="17"/>
      <x:c r="G567" s="17"/>
      <x:c r="H567" s="17"/>
      <x:c r="I567" s="17"/>
      <x:c r="J567" s="17"/>
      <x:c r="K567" s="17"/>
      <x:c r="L567" s="17"/>
      <x:c r="M567" s="17"/>
      <x:c r="N567" s="17"/>
      <x:c r="O567" s="17"/>
      <x:c r="P567" s="17"/>
      <x:c r="Q567" s="17"/>
      <x:c r="R567" s="17"/>
      <x:c r="S567" s="17"/>
      <x:c r="T567" s="17"/>
      <x:c r="U567" s="17"/>
      <x:c r="V567" s="17"/>
      <x:c r="W567" s="17"/>
      <x:c r="X567" s="17"/>
      <x:c r="Y567" s="17"/>
      <x:c r="Z567" s="17"/>
    </x:row>
    <x:row r="568">
      <x:c r="A568" s="17"/>
      <x:c r="B568" s="17"/>
      <x:c r="C568" s="17"/>
      <x:c r="D568" s="17"/>
      <x:c r="E568" s="17"/>
      <x:c r="F568" s="17"/>
      <x:c r="G568" s="17"/>
      <x:c r="H568" s="17"/>
      <x:c r="I568" s="17"/>
      <x:c r="J568" s="17"/>
      <x:c r="K568" s="17"/>
      <x:c r="L568" s="17"/>
      <x:c r="M568" s="17"/>
      <x:c r="N568" s="17"/>
      <x:c r="O568" s="17"/>
      <x:c r="P568" s="17"/>
      <x:c r="Q568" s="17"/>
      <x:c r="R568" s="17"/>
      <x:c r="S568" s="17"/>
      <x:c r="T568" s="17"/>
      <x:c r="U568" s="17"/>
      <x:c r="V568" s="17"/>
      <x:c r="W568" s="17"/>
      <x:c r="X568" s="17"/>
      <x:c r="Y568" s="17"/>
      <x:c r="Z568" s="17"/>
    </x:row>
    <x:row r="569">
      <x:c r="A569" s="17"/>
      <x:c r="B569" s="17"/>
      <x:c r="C569" s="17"/>
      <x:c r="D569" s="17"/>
      <x:c r="E569" s="17"/>
      <x:c r="F569" s="17"/>
      <x:c r="G569" s="17"/>
      <x:c r="H569" s="17"/>
      <x:c r="I569" s="17"/>
      <x:c r="J569" s="17"/>
      <x:c r="K569" s="17"/>
      <x:c r="L569" s="17"/>
      <x:c r="M569" s="17"/>
      <x:c r="N569" s="17"/>
      <x:c r="O569" s="17"/>
      <x:c r="P569" s="17"/>
      <x:c r="Q569" s="17"/>
      <x:c r="R569" s="17"/>
      <x:c r="S569" s="17"/>
      <x:c r="T569" s="17"/>
      <x:c r="U569" s="17"/>
      <x:c r="V569" s="17"/>
      <x:c r="W569" s="17"/>
      <x:c r="X569" s="17"/>
      <x:c r="Y569" s="17"/>
      <x:c r="Z569" s="17"/>
    </x:row>
    <x:row r="570">
      <x:c r="A570" s="17"/>
      <x:c r="B570" s="17"/>
      <x:c r="C570" s="17"/>
      <x:c r="D570" s="17"/>
      <x:c r="E570" s="17"/>
      <x:c r="F570" s="17"/>
      <x:c r="G570" s="17"/>
      <x:c r="H570" s="17"/>
      <x:c r="I570" s="17"/>
      <x:c r="J570" s="17"/>
      <x:c r="K570" s="17"/>
      <x:c r="L570" s="17"/>
      <x:c r="M570" s="17"/>
      <x:c r="N570" s="17"/>
      <x:c r="O570" s="17"/>
      <x:c r="P570" s="17"/>
      <x:c r="Q570" s="17"/>
      <x:c r="R570" s="17"/>
      <x:c r="S570" s="17"/>
      <x:c r="T570" s="17"/>
      <x:c r="U570" s="17"/>
      <x:c r="V570" s="17"/>
      <x:c r="W570" s="17"/>
      <x:c r="X570" s="17"/>
      <x:c r="Y570" s="17"/>
      <x:c r="Z570" s="17"/>
    </x:row>
    <x:row r="571">
      <x:c r="A571" s="17"/>
      <x:c r="B571" s="17"/>
      <x:c r="C571" s="17"/>
      <x:c r="D571" s="17"/>
      <x:c r="E571" s="17"/>
      <x:c r="F571" s="17"/>
      <x:c r="G571" s="17"/>
      <x:c r="H571" s="17"/>
      <x:c r="I571" s="17"/>
      <x:c r="J571" s="17"/>
      <x:c r="K571" s="17"/>
      <x:c r="L571" s="17"/>
      <x:c r="M571" s="17"/>
      <x:c r="N571" s="17"/>
      <x:c r="O571" s="17"/>
      <x:c r="P571" s="17"/>
      <x:c r="Q571" s="17"/>
      <x:c r="R571" s="17"/>
      <x:c r="S571" s="17"/>
      <x:c r="T571" s="17"/>
      <x:c r="U571" s="17"/>
      <x:c r="V571" s="17"/>
      <x:c r="W571" s="17"/>
      <x:c r="X571" s="17"/>
      <x:c r="Y571" s="17"/>
      <x:c r="Z571" s="17"/>
    </x:row>
    <x:row r="572">
      <x:c r="A572" s="17"/>
      <x:c r="B572" s="17"/>
      <x:c r="C572" s="17"/>
      <x:c r="D572" s="17"/>
      <x:c r="E572" s="17"/>
      <x:c r="F572" s="17"/>
      <x:c r="G572" s="17"/>
      <x:c r="H572" s="17"/>
      <x:c r="I572" s="17"/>
      <x:c r="J572" s="17"/>
      <x:c r="K572" s="17"/>
      <x:c r="L572" s="17"/>
      <x:c r="M572" s="17"/>
      <x:c r="N572" s="17"/>
      <x:c r="O572" s="17"/>
      <x:c r="P572" s="17"/>
      <x:c r="Q572" s="17"/>
      <x:c r="R572" s="17"/>
      <x:c r="S572" s="17"/>
      <x:c r="T572" s="17"/>
      <x:c r="U572" s="17"/>
      <x:c r="V572" s="17"/>
      <x:c r="W572" s="17"/>
      <x:c r="X572" s="17"/>
      <x:c r="Y572" s="17"/>
      <x:c r="Z572" s="17"/>
    </x:row>
    <x:row r="573">
      <x:c r="A573" s="17"/>
      <x:c r="B573" s="17"/>
      <x:c r="C573" s="17"/>
      <x:c r="D573" s="17"/>
      <x:c r="E573" s="17"/>
      <x:c r="F573" s="17"/>
      <x:c r="G573" s="17"/>
      <x:c r="H573" s="17"/>
      <x:c r="I573" s="17"/>
      <x:c r="J573" s="17"/>
      <x:c r="K573" s="17"/>
      <x:c r="L573" s="17"/>
      <x:c r="M573" s="17"/>
      <x:c r="N573" s="17"/>
      <x:c r="O573" s="17"/>
      <x:c r="P573" s="17"/>
      <x:c r="Q573" s="17"/>
      <x:c r="R573" s="17"/>
      <x:c r="S573" s="17"/>
      <x:c r="T573" s="17"/>
      <x:c r="U573" s="17"/>
      <x:c r="V573" s="17"/>
      <x:c r="W573" s="17"/>
      <x:c r="X573" s="17"/>
      <x:c r="Y573" s="17"/>
      <x:c r="Z573" s="17"/>
    </x:row>
    <x:row r="574">
      <x:c r="A574" s="17"/>
      <x:c r="B574" s="17"/>
      <x:c r="C574" s="17"/>
      <x:c r="D574" s="17"/>
      <x:c r="E574" s="17"/>
      <x:c r="F574" s="17"/>
      <x:c r="G574" s="17"/>
      <x:c r="H574" s="17"/>
      <x:c r="I574" s="17"/>
      <x:c r="J574" s="17"/>
      <x:c r="K574" s="17"/>
      <x:c r="L574" s="17"/>
      <x:c r="M574" s="17"/>
      <x:c r="N574" s="17"/>
      <x:c r="O574" s="17"/>
      <x:c r="P574" s="17"/>
      <x:c r="Q574" s="17"/>
      <x:c r="R574" s="17"/>
      <x:c r="S574" s="17"/>
      <x:c r="T574" s="17"/>
      <x:c r="U574" s="17"/>
      <x:c r="V574" s="17"/>
      <x:c r="W574" s="17"/>
      <x:c r="X574" s="17"/>
      <x:c r="Y574" s="17"/>
      <x:c r="Z574" s="17"/>
    </x:row>
    <x:row r="575">
      <x:c r="A575" s="17"/>
      <x:c r="B575" s="17"/>
      <x:c r="C575" s="17"/>
      <x:c r="D575" s="17"/>
      <x:c r="E575" s="17"/>
      <x:c r="F575" s="17"/>
      <x:c r="G575" s="17"/>
      <x:c r="H575" s="17"/>
      <x:c r="I575" s="17"/>
      <x:c r="J575" s="17"/>
      <x:c r="K575" s="17"/>
      <x:c r="L575" s="17"/>
      <x:c r="M575" s="17"/>
      <x:c r="N575" s="17"/>
      <x:c r="O575" s="17"/>
      <x:c r="P575" s="17"/>
      <x:c r="Q575" s="17"/>
      <x:c r="R575" s="17"/>
      <x:c r="S575" s="17"/>
      <x:c r="T575" s="17"/>
      <x:c r="U575" s="17"/>
      <x:c r="V575" s="17"/>
      <x:c r="W575" s="17"/>
      <x:c r="X575" s="17"/>
      <x:c r="Y575" s="17"/>
      <x:c r="Z575" s="17"/>
    </x:row>
    <x:row r="576">
      <x:c r="A576" s="17"/>
      <x:c r="B576" s="17"/>
      <x:c r="C576" s="17"/>
      <x:c r="D576" s="17"/>
      <x:c r="E576" s="17"/>
      <x:c r="F576" s="17"/>
      <x:c r="G576" s="17"/>
      <x:c r="H576" s="17"/>
      <x:c r="I576" s="17"/>
      <x:c r="J576" s="17"/>
      <x:c r="K576" s="17"/>
      <x:c r="L576" s="17"/>
      <x:c r="M576" s="17"/>
      <x:c r="N576" s="17"/>
      <x:c r="O576" s="17"/>
      <x:c r="P576" s="17"/>
      <x:c r="Q576" s="17"/>
      <x:c r="R576" s="17"/>
      <x:c r="S576" s="17"/>
      <x:c r="T576" s="17"/>
      <x:c r="U576" s="17"/>
      <x:c r="V576" s="17"/>
      <x:c r="W576" s="17"/>
      <x:c r="X576" s="17"/>
      <x:c r="Y576" s="17"/>
      <x:c r="Z576" s="17"/>
    </x:row>
    <x:row r="577">
      <x:c r="A577" s="17"/>
      <x:c r="B577" s="17"/>
      <x:c r="C577" s="17"/>
      <x:c r="D577" s="17"/>
      <x:c r="E577" s="17"/>
      <x:c r="F577" s="17"/>
      <x:c r="G577" s="17"/>
      <x:c r="H577" s="17"/>
      <x:c r="I577" s="17"/>
      <x:c r="J577" s="17"/>
      <x:c r="K577" s="17"/>
      <x:c r="L577" s="17"/>
      <x:c r="M577" s="17"/>
      <x:c r="N577" s="17"/>
      <x:c r="O577" s="17"/>
      <x:c r="P577" s="17"/>
      <x:c r="Q577" s="17"/>
      <x:c r="R577" s="17"/>
      <x:c r="S577" s="17"/>
      <x:c r="T577" s="17"/>
      <x:c r="U577" s="17"/>
      <x:c r="V577" s="17"/>
      <x:c r="W577" s="17"/>
      <x:c r="X577" s="17"/>
      <x:c r="Y577" s="17"/>
      <x:c r="Z577" s="17"/>
    </x:row>
    <x:row r="578">
      <x:c r="A578" s="17"/>
      <x:c r="B578" s="17"/>
      <x:c r="C578" s="17"/>
      <x:c r="D578" s="17"/>
      <x:c r="E578" s="17"/>
      <x:c r="F578" s="17"/>
      <x:c r="G578" s="17"/>
      <x:c r="H578" s="17"/>
      <x:c r="I578" s="17"/>
      <x:c r="J578" s="17"/>
      <x:c r="K578" s="17"/>
      <x:c r="L578" s="17"/>
      <x:c r="M578" s="17"/>
      <x:c r="N578" s="17"/>
      <x:c r="O578" s="17"/>
      <x:c r="P578" s="17"/>
      <x:c r="Q578" s="17"/>
      <x:c r="R578" s="17"/>
      <x:c r="S578" s="17"/>
      <x:c r="T578" s="17"/>
      <x:c r="U578" s="17"/>
      <x:c r="V578" s="17"/>
      <x:c r="W578" s="17"/>
      <x:c r="X578" s="17"/>
      <x:c r="Y578" s="17"/>
      <x:c r="Z578" s="17"/>
    </x:row>
    <x:row r="579">
      <x:c r="A579" s="17"/>
      <x:c r="B579" s="17"/>
      <x:c r="C579" s="17"/>
      <x:c r="D579" s="17"/>
      <x:c r="E579" s="17"/>
      <x:c r="F579" s="17"/>
      <x:c r="G579" s="17"/>
      <x:c r="H579" s="17"/>
      <x:c r="I579" s="17"/>
      <x:c r="J579" s="17"/>
      <x:c r="K579" s="17"/>
      <x:c r="L579" s="17"/>
      <x:c r="M579" s="17"/>
      <x:c r="N579" s="17"/>
      <x:c r="O579" s="17"/>
      <x:c r="P579" s="17"/>
      <x:c r="Q579" s="17"/>
      <x:c r="R579" s="17"/>
      <x:c r="S579" s="17"/>
      <x:c r="T579" s="17"/>
      <x:c r="U579" s="17"/>
      <x:c r="V579" s="17"/>
      <x:c r="W579" s="17"/>
      <x:c r="X579" s="17"/>
      <x:c r="Y579" s="17"/>
      <x:c r="Z579" s="17"/>
    </x:row>
    <x:row r="580">
      <x:c r="A580" s="17"/>
      <x:c r="B580" s="17"/>
      <x:c r="C580" s="17"/>
      <x:c r="D580" s="17"/>
      <x:c r="E580" s="17"/>
      <x:c r="F580" s="17"/>
      <x:c r="G580" s="17"/>
      <x:c r="H580" s="17"/>
      <x:c r="I580" s="17"/>
      <x:c r="J580" s="17"/>
      <x:c r="K580" s="17"/>
      <x:c r="L580" s="17"/>
      <x:c r="M580" s="17"/>
      <x:c r="N580" s="17"/>
      <x:c r="O580" s="17"/>
      <x:c r="P580" s="17"/>
      <x:c r="Q580" s="17"/>
      <x:c r="R580" s="17"/>
      <x:c r="S580" s="17"/>
      <x:c r="T580" s="17"/>
      <x:c r="U580" s="17"/>
      <x:c r="V580" s="17"/>
      <x:c r="W580" s="17"/>
      <x:c r="X580" s="17"/>
      <x:c r="Y580" s="17"/>
      <x:c r="Z580" s="17"/>
    </x:row>
    <x:row r="581">
      <x:c r="A581" s="17"/>
      <x:c r="B581" s="17"/>
      <x:c r="C581" s="17"/>
      <x:c r="D581" s="17"/>
      <x:c r="E581" s="17"/>
      <x:c r="F581" s="17"/>
      <x:c r="G581" s="17"/>
      <x:c r="H581" s="17"/>
      <x:c r="I581" s="17"/>
      <x:c r="J581" s="17"/>
      <x:c r="K581" s="17"/>
      <x:c r="L581" s="17"/>
      <x:c r="M581" s="17"/>
      <x:c r="N581" s="17"/>
      <x:c r="O581" s="17"/>
      <x:c r="P581" s="17"/>
      <x:c r="Q581" s="17"/>
      <x:c r="R581" s="17"/>
      <x:c r="S581" s="17"/>
      <x:c r="T581" s="17"/>
      <x:c r="U581" s="17"/>
      <x:c r="V581" s="17"/>
      <x:c r="W581" s="17"/>
      <x:c r="X581" s="17"/>
      <x:c r="Y581" s="17"/>
      <x:c r="Z581" s="17"/>
    </x:row>
    <x:row r="582">
      <x:c r="A582" s="17"/>
      <x:c r="B582" s="17"/>
      <x:c r="C582" s="17"/>
      <x:c r="D582" s="17"/>
      <x:c r="E582" s="17"/>
      <x:c r="F582" s="17"/>
      <x:c r="G582" s="17"/>
      <x:c r="H582" s="17"/>
      <x:c r="I582" s="17"/>
      <x:c r="J582" s="17"/>
      <x:c r="K582" s="17"/>
      <x:c r="L582" s="17"/>
      <x:c r="M582" s="17"/>
      <x:c r="N582" s="17"/>
      <x:c r="O582" s="17"/>
      <x:c r="P582" s="17"/>
      <x:c r="Q582" s="17"/>
      <x:c r="R582" s="17"/>
      <x:c r="S582" s="17"/>
      <x:c r="T582" s="17"/>
      <x:c r="U582" s="17"/>
      <x:c r="V582" s="17"/>
      <x:c r="W582" s="17"/>
      <x:c r="X582" s="17"/>
      <x:c r="Y582" s="17"/>
      <x:c r="Z582" s="17"/>
    </x:row>
    <x:row r="583">
      <x:c r="A583" s="17"/>
      <x:c r="B583" s="17"/>
      <x:c r="C583" s="17"/>
      <x:c r="D583" s="17"/>
      <x:c r="E583" s="17"/>
      <x:c r="F583" s="17"/>
      <x:c r="G583" s="17"/>
      <x:c r="H583" s="17"/>
      <x:c r="I583" s="17"/>
      <x:c r="J583" s="17"/>
      <x:c r="K583" s="17"/>
      <x:c r="L583" s="17"/>
      <x:c r="M583" s="17"/>
      <x:c r="N583" s="17"/>
      <x:c r="O583" s="17"/>
      <x:c r="P583" s="17"/>
      <x:c r="Q583" s="17"/>
      <x:c r="R583" s="17"/>
      <x:c r="S583" s="17"/>
      <x:c r="T583" s="17"/>
      <x:c r="U583" s="17"/>
      <x:c r="V583" s="17"/>
      <x:c r="W583" s="17"/>
      <x:c r="X583" s="17"/>
      <x:c r="Y583" s="17"/>
      <x:c r="Z583" s="17"/>
    </x:row>
    <x:row r="584">
      <x:c r="A584" s="17"/>
      <x:c r="B584" s="17"/>
      <x:c r="C584" s="17"/>
      <x:c r="D584" s="17"/>
      <x:c r="E584" s="17"/>
      <x:c r="F584" s="17"/>
      <x:c r="G584" s="17"/>
      <x:c r="H584" s="17"/>
      <x:c r="I584" s="17"/>
      <x:c r="J584" s="17"/>
      <x:c r="K584" s="17"/>
      <x:c r="L584" s="17"/>
      <x:c r="M584" s="17"/>
      <x:c r="N584" s="17"/>
      <x:c r="O584" s="17"/>
      <x:c r="P584" s="17"/>
      <x:c r="Q584" s="17"/>
      <x:c r="R584" s="17"/>
      <x:c r="S584" s="17"/>
      <x:c r="T584" s="17"/>
      <x:c r="U584" s="17"/>
      <x:c r="V584" s="17"/>
      <x:c r="W584" s="17"/>
      <x:c r="X584" s="17"/>
      <x:c r="Y584" s="17"/>
      <x:c r="Z584" s="17"/>
    </x:row>
    <x:row r="585">
      <x:c r="A585" s="17"/>
      <x:c r="B585" s="17"/>
      <x:c r="C585" s="17"/>
      <x:c r="D585" s="17"/>
      <x:c r="E585" s="17"/>
      <x:c r="F585" s="17"/>
      <x:c r="G585" s="17"/>
      <x:c r="H585" s="17"/>
      <x:c r="I585" s="17"/>
      <x:c r="J585" s="17"/>
      <x:c r="K585" s="17"/>
      <x:c r="L585" s="17"/>
      <x:c r="M585" s="17"/>
      <x:c r="N585" s="17"/>
      <x:c r="O585" s="17"/>
      <x:c r="P585" s="17"/>
      <x:c r="Q585" s="17"/>
      <x:c r="R585" s="17"/>
      <x:c r="S585" s="17"/>
      <x:c r="T585" s="17"/>
      <x:c r="U585" s="17"/>
      <x:c r="V585" s="17"/>
      <x:c r="W585" s="17"/>
      <x:c r="X585" s="17"/>
      <x:c r="Y585" s="17"/>
      <x:c r="Z585" s="17"/>
    </x:row>
    <x:row r="586">
      <x:c r="A586" s="17"/>
      <x:c r="B586" s="17"/>
      <x:c r="C586" s="17"/>
      <x:c r="D586" s="17"/>
      <x:c r="E586" s="17"/>
      <x:c r="F586" s="17"/>
      <x:c r="G586" s="17"/>
      <x:c r="H586" s="17"/>
      <x:c r="I586" s="17"/>
      <x:c r="J586" s="17"/>
      <x:c r="K586" s="17"/>
      <x:c r="L586" s="17"/>
      <x:c r="M586" s="17"/>
      <x:c r="N586" s="17"/>
      <x:c r="O586" s="17"/>
      <x:c r="P586" s="17"/>
      <x:c r="Q586" s="17"/>
      <x:c r="R586" s="17"/>
      <x:c r="S586" s="17"/>
      <x:c r="T586" s="17"/>
      <x:c r="U586" s="17"/>
      <x:c r="V586" s="17"/>
      <x:c r="W586" s="17"/>
      <x:c r="X586" s="17"/>
      <x:c r="Y586" s="17"/>
      <x:c r="Z586" s="17"/>
    </x:row>
    <x:row r="587">
      <x:c r="A587" s="17"/>
      <x:c r="B587" s="17"/>
      <x:c r="C587" s="17"/>
      <x:c r="D587" s="17"/>
      <x:c r="E587" s="17"/>
      <x:c r="F587" s="17"/>
      <x:c r="G587" s="17"/>
      <x:c r="H587" s="17"/>
      <x:c r="I587" s="17"/>
      <x:c r="J587" s="17"/>
      <x:c r="K587" s="17"/>
      <x:c r="L587" s="17"/>
      <x:c r="M587" s="17"/>
      <x:c r="N587" s="17"/>
      <x:c r="O587" s="17"/>
      <x:c r="P587" s="17"/>
      <x:c r="Q587" s="17"/>
      <x:c r="R587" s="17"/>
      <x:c r="S587" s="17"/>
      <x:c r="T587" s="17"/>
      <x:c r="U587" s="17"/>
      <x:c r="V587" s="17"/>
      <x:c r="W587" s="17"/>
      <x:c r="X587" s="17"/>
      <x:c r="Y587" s="17"/>
      <x:c r="Z587" s="17"/>
    </x:row>
    <x:row r="588">
      <x:c r="A588" s="17"/>
      <x:c r="B588" s="17"/>
      <x:c r="C588" s="17"/>
      <x:c r="D588" s="17"/>
      <x:c r="E588" s="17"/>
      <x:c r="F588" s="17"/>
      <x:c r="G588" s="17"/>
      <x:c r="H588" s="17"/>
      <x:c r="I588" s="17"/>
      <x:c r="J588" s="17"/>
      <x:c r="K588" s="17"/>
      <x:c r="L588" s="17"/>
      <x:c r="M588" s="17"/>
      <x:c r="N588" s="17"/>
      <x:c r="O588" s="17"/>
      <x:c r="P588" s="17"/>
      <x:c r="Q588" s="17"/>
      <x:c r="R588" s="17"/>
      <x:c r="S588" s="17"/>
      <x:c r="T588" s="17"/>
      <x:c r="U588" s="17"/>
      <x:c r="V588" s="17"/>
      <x:c r="W588" s="17"/>
      <x:c r="X588" s="17"/>
      <x:c r="Y588" s="17"/>
      <x:c r="Z588" s="17"/>
    </x:row>
    <x:row r="589">
      <x:c r="A589" s="17"/>
      <x:c r="B589" s="17"/>
      <x:c r="C589" s="17"/>
      <x:c r="D589" s="17"/>
      <x:c r="E589" s="17"/>
      <x:c r="F589" s="17"/>
      <x:c r="G589" s="17"/>
      <x:c r="H589" s="17"/>
      <x:c r="I589" s="17"/>
      <x:c r="J589" s="17"/>
      <x:c r="K589" s="17"/>
      <x:c r="L589" s="17"/>
      <x:c r="M589" s="17"/>
      <x:c r="N589" s="17"/>
      <x:c r="O589" s="17"/>
      <x:c r="P589" s="17"/>
      <x:c r="Q589" s="17"/>
      <x:c r="R589" s="17"/>
      <x:c r="S589" s="17"/>
      <x:c r="T589" s="17"/>
      <x:c r="U589" s="17"/>
      <x:c r="V589" s="17"/>
      <x:c r="W589" s="17"/>
      <x:c r="X589" s="17"/>
      <x:c r="Y589" s="17"/>
      <x:c r="Z589" s="17"/>
    </x:row>
    <x:row r="590">
      <x:c r="A590" s="17"/>
      <x:c r="B590" s="17"/>
      <x:c r="C590" s="17"/>
      <x:c r="D590" s="17"/>
      <x:c r="E590" s="17"/>
      <x:c r="F590" s="17"/>
      <x:c r="G590" s="17"/>
      <x:c r="H590" s="17"/>
      <x:c r="I590" s="17"/>
      <x:c r="J590" s="17"/>
      <x:c r="K590" s="17"/>
      <x:c r="L590" s="17"/>
      <x:c r="M590" s="17"/>
      <x:c r="N590" s="17"/>
      <x:c r="O590" s="17"/>
      <x:c r="P590" s="17"/>
      <x:c r="Q590" s="17"/>
      <x:c r="R590" s="17"/>
      <x:c r="S590" s="17"/>
      <x:c r="T590" s="17"/>
      <x:c r="U590" s="17"/>
      <x:c r="V590" s="17"/>
      <x:c r="W590" s="17"/>
      <x:c r="X590" s="17"/>
      <x:c r="Y590" s="17"/>
      <x:c r="Z590" s="17"/>
    </x:row>
    <x:row r="591">
      <x:c r="A591" s="17"/>
      <x:c r="B591" s="17"/>
      <x:c r="C591" s="17"/>
      <x:c r="D591" s="17"/>
      <x:c r="E591" s="17"/>
      <x:c r="F591" s="17"/>
      <x:c r="G591" s="17"/>
      <x:c r="H591" s="17"/>
      <x:c r="I591" s="17"/>
      <x:c r="J591" s="17"/>
      <x:c r="K591" s="17"/>
      <x:c r="L591" s="17"/>
      <x:c r="M591" s="17"/>
      <x:c r="N591" s="17"/>
      <x:c r="O591" s="17"/>
      <x:c r="P591" s="17"/>
      <x:c r="Q591" s="17"/>
      <x:c r="R591" s="17"/>
      <x:c r="S591" s="17"/>
      <x:c r="T591" s="17"/>
      <x:c r="U591" s="17"/>
      <x:c r="V591" s="17"/>
      <x:c r="W591" s="17"/>
      <x:c r="X591" s="17"/>
      <x:c r="Y591" s="17"/>
      <x:c r="Z591" s="17"/>
    </x:row>
    <x:row r="592">
      <x:c r="A592" s="17"/>
      <x:c r="B592" s="17"/>
      <x:c r="C592" s="17"/>
      <x:c r="D592" s="17"/>
      <x:c r="E592" s="17"/>
      <x:c r="F592" s="17"/>
      <x:c r="G592" s="17"/>
      <x:c r="H592" s="17"/>
      <x:c r="I592" s="17"/>
      <x:c r="J592" s="17"/>
      <x:c r="K592" s="17"/>
      <x:c r="L592" s="17"/>
      <x:c r="M592" s="17"/>
      <x:c r="N592" s="17"/>
      <x:c r="O592" s="17"/>
      <x:c r="P592" s="17"/>
      <x:c r="Q592" s="17"/>
      <x:c r="R592" s="17"/>
      <x:c r="S592" s="17"/>
      <x:c r="T592" s="17"/>
      <x:c r="U592" s="17"/>
      <x:c r="V592" s="17"/>
      <x:c r="W592" s="17"/>
      <x:c r="X592" s="17"/>
      <x:c r="Y592" s="17"/>
      <x:c r="Z592" s="17"/>
    </x:row>
    <x:row r="593">
      <x:c r="A593" s="17"/>
      <x:c r="B593" s="17"/>
      <x:c r="C593" s="17"/>
      <x:c r="D593" s="17"/>
      <x:c r="E593" s="17"/>
      <x:c r="F593" s="17"/>
      <x:c r="G593" s="17"/>
      <x:c r="H593" s="17"/>
      <x:c r="I593" s="17"/>
      <x:c r="J593" s="17"/>
      <x:c r="K593" s="17"/>
      <x:c r="L593" s="17"/>
      <x:c r="M593" s="17"/>
      <x:c r="N593" s="17"/>
      <x:c r="O593" s="17"/>
      <x:c r="P593" s="17"/>
      <x:c r="Q593" s="17"/>
      <x:c r="R593" s="17"/>
      <x:c r="S593" s="17"/>
      <x:c r="T593" s="17"/>
      <x:c r="U593" s="17"/>
      <x:c r="V593" s="17"/>
      <x:c r="W593" s="17"/>
      <x:c r="X593" s="17"/>
      <x:c r="Y593" s="17"/>
      <x:c r="Z593" s="17"/>
    </x:row>
    <x:row r="594">
      <x:c r="A594" s="17"/>
      <x:c r="B594" s="17"/>
      <x:c r="C594" s="17"/>
      <x:c r="D594" s="17"/>
      <x:c r="E594" s="17"/>
      <x:c r="F594" s="17"/>
      <x:c r="G594" s="17"/>
      <x:c r="H594" s="17"/>
      <x:c r="I594" s="17"/>
      <x:c r="J594" s="17"/>
      <x:c r="K594" s="17"/>
      <x:c r="L594" s="17"/>
      <x:c r="M594" s="17"/>
      <x:c r="N594" s="17"/>
      <x:c r="O594" s="17"/>
      <x:c r="P594" s="17"/>
      <x:c r="Q594" s="17"/>
      <x:c r="R594" s="17"/>
      <x:c r="S594" s="17"/>
      <x:c r="T594" s="17"/>
      <x:c r="U594" s="17"/>
      <x:c r="V594" s="17"/>
      <x:c r="W594" s="17"/>
      <x:c r="X594" s="17"/>
      <x:c r="Y594" s="17"/>
      <x:c r="Z594" s="17"/>
    </x:row>
    <x:row r="595">
      <x:c r="A595" s="17"/>
      <x:c r="B595" s="17"/>
      <x:c r="C595" s="17"/>
      <x:c r="D595" s="17"/>
      <x:c r="E595" s="17"/>
      <x:c r="F595" s="17"/>
      <x:c r="G595" s="17"/>
      <x:c r="H595" s="17"/>
      <x:c r="I595" s="17"/>
      <x:c r="J595" s="17"/>
      <x:c r="K595" s="17"/>
      <x:c r="L595" s="17"/>
      <x:c r="M595" s="17"/>
      <x:c r="N595" s="17"/>
      <x:c r="O595" s="17"/>
      <x:c r="P595" s="17"/>
      <x:c r="Q595" s="17"/>
      <x:c r="R595" s="17"/>
      <x:c r="S595" s="17"/>
      <x:c r="T595" s="17"/>
      <x:c r="U595" s="17"/>
      <x:c r="V595" s="17"/>
      <x:c r="W595" s="17"/>
      <x:c r="X595" s="17"/>
      <x:c r="Y595" s="17"/>
      <x:c r="Z595" s="17"/>
    </x:row>
    <x:row r="596">
      <x:c r="A596" s="17"/>
      <x:c r="B596" s="17"/>
      <x:c r="C596" s="17"/>
      <x:c r="D596" s="17"/>
      <x:c r="E596" s="17"/>
      <x:c r="F596" s="17"/>
      <x:c r="G596" s="17"/>
      <x:c r="H596" s="17"/>
      <x:c r="I596" s="17"/>
      <x:c r="J596" s="17"/>
      <x:c r="K596" s="17"/>
      <x:c r="L596" s="17"/>
      <x:c r="M596" s="17"/>
      <x:c r="N596" s="17"/>
      <x:c r="O596" s="17"/>
      <x:c r="P596" s="17"/>
      <x:c r="Q596" s="17"/>
      <x:c r="R596" s="17"/>
      <x:c r="S596" s="17"/>
      <x:c r="T596" s="17"/>
      <x:c r="U596" s="17"/>
      <x:c r="V596" s="17"/>
      <x:c r="W596" s="17"/>
      <x:c r="X596" s="17"/>
      <x:c r="Y596" s="17"/>
      <x:c r="Z596" s="17"/>
    </x:row>
    <x:row r="597">
      <x:c r="A597" s="17"/>
      <x:c r="B597" s="17"/>
      <x:c r="C597" s="17"/>
      <x:c r="D597" s="17"/>
      <x:c r="E597" s="17"/>
      <x:c r="F597" s="17"/>
      <x:c r="G597" s="17"/>
      <x:c r="H597" s="17"/>
      <x:c r="I597" s="17"/>
      <x:c r="J597" s="17"/>
      <x:c r="K597" s="17"/>
      <x:c r="L597" s="17"/>
      <x:c r="M597" s="17"/>
      <x:c r="N597" s="17"/>
      <x:c r="O597" s="17"/>
      <x:c r="P597" s="17"/>
      <x:c r="Q597" s="17"/>
      <x:c r="R597" s="17"/>
      <x:c r="S597" s="17"/>
      <x:c r="T597" s="17"/>
      <x:c r="U597" s="17"/>
      <x:c r="V597" s="17"/>
      <x:c r="W597" s="17"/>
      <x:c r="X597" s="17"/>
      <x:c r="Y597" s="17"/>
      <x:c r="Z597" s="17"/>
    </x:row>
    <x:row r="598">
      <x:c r="A598" s="17"/>
      <x:c r="B598" s="17"/>
      <x:c r="C598" s="17"/>
      <x:c r="D598" s="17"/>
      <x:c r="E598" s="17"/>
      <x:c r="F598" s="17"/>
      <x:c r="G598" s="17"/>
      <x:c r="H598" s="17"/>
      <x:c r="I598" s="17"/>
      <x:c r="J598" s="17"/>
      <x:c r="K598" s="17"/>
      <x:c r="L598" s="17"/>
      <x:c r="M598" s="17"/>
      <x:c r="N598" s="17"/>
      <x:c r="O598" s="17"/>
      <x:c r="P598" s="17"/>
      <x:c r="Q598" s="17"/>
      <x:c r="R598" s="17"/>
      <x:c r="S598" s="17"/>
      <x:c r="T598" s="17"/>
      <x:c r="U598" s="17"/>
      <x:c r="V598" s="17"/>
      <x:c r="W598" s="17"/>
      <x:c r="X598" s="17"/>
      <x:c r="Y598" s="17"/>
      <x:c r="Z598" s="17"/>
    </x:row>
    <x:row r="599">
      <x:c r="A599" s="17"/>
      <x:c r="B599" s="17"/>
      <x:c r="C599" s="17"/>
      <x:c r="D599" s="17"/>
      <x:c r="E599" s="17"/>
      <x:c r="F599" s="17"/>
      <x:c r="G599" s="17"/>
      <x:c r="H599" s="17"/>
      <x:c r="I599" s="17"/>
      <x:c r="J599" s="17"/>
      <x:c r="K599" s="17"/>
      <x:c r="L599" s="17"/>
      <x:c r="M599" s="17"/>
      <x:c r="N599" s="17"/>
      <x:c r="O599" s="17"/>
      <x:c r="P599" s="17"/>
      <x:c r="Q599" s="17"/>
      <x:c r="R599" s="17"/>
      <x:c r="S599" s="17"/>
      <x:c r="T599" s="17"/>
      <x:c r="U599" s="17"/>
      <x:c r="V599" s="17"/>
      <x:c r="W599" s="17"/>
      <x:c r="X599" s="17"/>
      <x:c r="Y599" s="17"/>
      <x:c r="Z599" s="17"/>
    </x:row>
    <x:row r="600">
      <x:c r="A600" s="17"/>
      <x:c r="B600" s="17"/>
      <x:c r="C600" s="17"/>
      <x:c r="D600" s="17"/>
      <x:c r="E600" s="17"/>
      <x:c r="F600" s="17"/>
      <x:c r="G600" s="17"/>
      <x:c r="H600" s="17"/>
      <x:c r="I600" s="17"/>
      <x:c r="J600" s="17"/>
      <x:c r="K600" s="17"/>
      <x:c r="L600" s="17"/>
      <x:c r="M600" s="17"/>
      <x:c r="N600" s="17"/>
      <x:c r="O600" s="17"/>
      <x:c r="P600" s="17"/>
      <x:c r="Q600" s="17"/>
      <x:c r="R600" s="17"/>
      <x:c r="S600" s="17"/>
      <x:c r="T600" s="17"/>
      <x:c r="U600" s="17"/>
      <x:c r="V600" s="17"/>
      <x:c r="W600" s="17"/>
      <x:c r="X600" s="17"/>
      <x:c r="Y600" s="17"/>
      <x:c r="Z600" s="17"/>
    </x:row>
  </x:sheetData>
  <x:pageMargins left="0.7" right="0.7" top="0.75" bottom="0.75" header="0.3" footer="0.3"/>
  <x:tableParts count="2">
    <x:tablePart xmlns:r="http://schemas.openxmlformats.org/officeDocument/2006/relationships" r:id="R0505c02edd5d4577"/>
    <x:tablePart xmlns:r="http://schemas.openxmlformats.org/officeDocument/2006/relationships" r:id="R5da0b44bd5424078"/>
  </x:tableParts>
</x:worksheet>
</file>