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499bfda7374e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a1040ae5441d448a"/>
    <x:sheet xmlns:r="http://schemas.openxmlformats.org/officeDocument/2006/relationships" name="01_Assumptions" sheetId="2" r:id="Rfc23062401454d3f"/>
    <x:sheet xmlns:r="http://schemas.openxmlformats.org/officeDocument/2006/relationships" name="02_Stage_Rules" sheetId="3" r:id="Re81c7a4a310d478e"/>
    <x:sheet xmlns:r="http://schemas.openxmlformats.org/officeDocument/2006/relationships" name="03_Difficulty_Rewards" sheetId="4" r:id="R92e8b178497849b8"/>
    <x:sheet xmlns:r="http://schemas.openxmlformats.org/officeDocument/2006/relationships" name="04_Stock_Catalog" sheetId="5" r:id="Red59b0fedc044483"/>
    <x:sheet xmlns:r="http://schemas.openxmlformats.org/officeDocument/2006/relationships" name="05_Hunt_Templates" sheetId="6" r:id="Rcac4b1232cf74117"/>
    <x:sheet xmlns:r="http://schemas.openxmlformats.org/officeDocument/2006/relationships" name="06_Building_Affinities" sheetId="7" r:id="R9e2b316025c743b5"/>
    <x:sheet xmlns:r="http://schemas.openxmlformats.org/officeDocument/2006/relationships" name="07_Spawn_Engine" sheetId="8" r:id="Re46f21320f1a445b"/>
    <x:sheet xmlns:r="http://schemas.openxmlformats.org/officeDocument/2006/relationships" name="08_Collections" sheetId="9" r:id="Rb9916db090854dbe"/>
    <x:sheet xmlns:r="http://schemas.openxmlformats.org/officeDocument/2006/relationships" name="09_Events" sheetId="10" r:id="R17014dd842f549c2"/>
    <x:sheet xmlns:r="http://schemas.openxmlformats.org/officeDocument/2006/relationships" name="10_Reward_Budget" sheetId="11" r:id="Rb7011807581c42bf"/>
    <x:sheet xmlns:r="http://schemas.openxmlformats.org/officeDocument/2006/relationships" name="11_Performance_Link" sheetId="12" r:id="R026f98ba70de4768"/>
    <x:sheet xmlns:r="http://schemas.openxmlformats.org/officeDocument/2006/relationships" name="12_Player_Simulations" sheetId="13" r:id="R76c2f381d358417a"/>
    <x:sheet xmlns:r="http://schemas.openxmlformats.org/officeDocument/2006/relationships" name="13_Settlement" sheetId="14" r:id="Rc5b5f603860642e2"/>
    <x:sheet xmlns:r="http://schemas.openxmlformats.org/officeDocument/2006/relationships" name="14_Abuse_Controls" sheetId="15" r:id="Rf18ddd7c6aca41f9"/>
    <x:sheet xmlns:r="http://schemas.openxmlformats.org/officeDocument/2006/relationships" name="15_LiveOps" sheetId="16" r:id="Rc5d38489857b4c55"/>
    <x:sheet xmlns:r="http://schemas.openxmlformats.org/officeDocument/2006/relationships" name="16_Model_Checks" sheetId="17" r:id="R6328f43f71dd48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.00;[Red]($#,##0.00);-"/>
    <x:numFmt numFmtId="201" formatCode="0.0%;[Red](0.0%);-"/>
    <x:numFmt numFmtId="202" formatCode="0.000000"/>
    <x:numFmt numFmtId="203" formatCode="#,##0.00;[Red](#,##0.00);-"/>
    <x:numFmt numFmtId="204" formatCode="#,##0;[Red](#,##0);-"/>
    <x:numFmt numFmtId="205" formatCode="0%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0B1F33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32D46"/>
      </x:patternFill>
    </x:fill>
    <x:fill>
      <x:patternFill patternType="solid">
        <x:fgColor rgb="FFD8A93A"/>
      </x:patternFill>
    </x:fill>
    <x:fill>
      <x:patternFill patternType="solid">
        <x:fgColor rgb="FF0F243E"/>
      </x:patternFill>
    </x:fill>
    <x:fill>
      <x:patternFill patternType="solid">
        <x:fgColor rgb="FF0F243E"/>
      </x:patternFill>
    </x:fill>
    <x:fill>
      <x:patternFill patternType="solid">
        <x:fgColor rgb="FF0F243E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2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20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201" fontId="0" fillId="0" borderId="22" xfId="0" applyNumberFormat="1" applyFont="1" applyFill="1" applyBorder="1" applyAlignment="1">
      <x:alignment vertical="top" wrapText="1"/>
    </x:xf>
    <x:xf numFmtId="201" fontId="0" fillId="0" borderId="23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200" fontId="4" fillId="0" borderId="9" xfId="0" applyNumberFormat="1" applyFont="1" applyFill="1" applyBorder="1" applyAlignment="1">
      <x:alignment vertical="top" wrapText="1"/>
    </x:xf>
    <x:xf numFmtId="200" fontId="4" fillId="0" borderId="17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201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201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201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201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2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4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22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2" xfId="0" applyNumberFormat="1" applyFont="1" applyFill="1" applyBorder="1" applyAlignment="1">
      <x:alignment vertical="top" wrapText="1"/>
    </x:xf>
    <x:xf numFmtId="200" fontId="5" fillId="0" borderId="9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0" fontId="5" fillId="0" borderId="14" xfId="0" applyNumberFormat="1" applyFont="1" applyFill="1" applyBorder="1" applyAlignment="1">
      <x:alignment vertical="top" wrapText="1"/>
    </x:xf>
    <x:xf numFmtId="200" fontId="5" fillId="0" borderId="17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0" fontId="5" fillId="0" borderId="22" xfId="0" applyNumberFormat="1" applyFont="1" applyFill="1" applyBorder="1" applyAlignment="1">
      <x:alignment vertical="top" wrapText="1"/>
    </x:xf>
    <x:xf numFmtId="200" fontId="6" fillId="0" borderId="9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200" fontId="6" fillId="0" borderId="14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200" fontId="6" fillId="0" borderId="17" xfId="0" applyNumberFormat="1" applyFont="1" applyFill="1" applyBorder="1" applyAlignment="1">
      <x:alignment vertical="top" wrapText="1"/>
    </x:xf>
    <x:xf numFmtId="0" fontId="6" fillId="0" borderId="17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200" fontId="6" fillId="0" borderId="22" xfId="0" applyNumberFormat="1" applyFont="1" applyFill="1" applyBorder="1" applyAlignment="1">
      <x:alignment vertical="top" wrapText="1"/>
    </x:xf>
    <x:xf numFmtId="0" fontId="6" fillId="0" borderId="22" xfId="0" applyNumberFormat="1" applyFont="1" applyFill="1" applyBorder="1" applyAlignment="1">
      <x:alignment vertical="top" wrapText="1"/>
    </x:xf>
    <x:xf numFmtId="202" fontId="6" fillId="0" borderId="9" xfId="0" applyNumberFormat="1" applyFont="1" applyFill="1" applyBorder="1" applyAlignment="1">
      <x:alignment vertical="top" wrapText="1"/>
    </x:xf>
    <x:xf numFmtId="202" fontId="6" fillId="0" borderId="0" xfId="0" applyNumberFormat="1" applyFont="1" applyFill="1" applyBorder="1" applyAlignment="1">
      <x:alignment vertical="top" wrapText="1"/>
    </x:xf>
    <x:xf numFmtId="202" fontId="6" fillId="0" borderId="14" xfId="0" applyNumberFormat="1" applyFont="1" applyFill="1" applyBorder="1" applyAlignment="1">
      <x:alignment vertical="top" wrapText="1"/>
    </x:xf>
    <x:xf numFmtId="202" fontId="6" fillId="0" borderId="17" xfId="0" applyNumberFormat="1" applyFont="1" applyFill="1" applyBorder="1" applyAlignment="1">
      <x:alignment vertical="top" wrapText="1"/>
    </x:xf>
    <x:xf numFmtId="202" fontId="6" fillId="0" borderId="1" xfId="0" applyNumberFormat="1" applyFont="1" applyFill="1" applyBorder="1" applyAlignment="1">
      <x:alignment vertical="top" wrapText="1"/>
    </x:xf>
    <x:xf numFmtId="202" fontId="6" fillId="0" borderId="22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0" fillId="0" borderId="9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4" xfId="0" applyNumberFormat="1" applyFont="1" applyFill="1" applyBorder="1" applyAlignment="1">
      <x:alignment vertical="top" wrapText="1"/>
    </x:xf>
    <x:xf numFmtId="203" fontId="0" fillId="0" borderId="17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3" fontId="0" fillId="0" borderId="22" xfId="0" applyNumberFormat="1" applyFont="1" applyFill="1" applyBorder="1" applyAlignment="1">
      <x:alignment vertical="top" wrapText="1"/>
    </x:xf>
    <x:xf numFmtId="203" fontId="4" fillId="0" borderId="9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203" fontId="4" fillId="0" borderId="14" xfId="0" applyNumberFormat="1" applyFont="1" applyFill="1" applyBorder="1" applyAlignment="1">
      <x:alignment vertical="top" wrapText="1"/>
    </x:xf>
    <x:xf numFmtId="203" fontId="4" fillId="0" borderId="17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203" fontId="4" fillId="0" borderId="22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4" xfId="0" applyNumberFormat="1" applyFont="1" applyFill="1" applyBorder="1" applyAlignment="1">
      <x:alignment vertical="top" wrapText="1"/>
    </x:xf>
    <x:xf numFmtId="202" fontId="0" fillId="0" borderId="17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22" xfId="0" applyNumberFormat="1" applyFont="1" applyFill="1" applyBorder="1" applyAlignment="1">
      <x:alignment vertical="top" wrapText="1"/>
    </x:xf>
    <x:xf numFmtId="204" fontId="0" fillId="0" borderId="9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4" fontId="0" fillId="0" borderId="14" xfId="0" applyNumberFormat="1" applyFont="1" applyFill="1" applyBorder="1" applyAlignment="1">
      <x:alignment vertical="top" wrapText="1"/>
    </x:xf>
    <x:xf numFmtId="204" fontId="0" fillId="0" borderId="17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204" fontId="0" fillId="0" borderId="22" xfId="0" applyNumberFormat="1" applyFont="1" applyFill="1" applyBorder="1" applyAlignment="1">
      <x:alignment vertical="top" wrapText="1"/>
    </x:xf>
    <x:xf numFmtId="204" fontId="6" fillId="0" borderId="9" xfId="0" applyNumberFormat="1" applyFont="1" applyFill="1" applyBorder="1" applyAlignment="1">
      <x:alignment vertical="top" wrapText="1"/>
    </x:xf>
    <x:xf numFmtId="204" fontId="6" fillId="0" borderId="0" xfId="0" applyNumberFormat="1" applyFont="1" applyFill="1" applyBorder="1" applyAlignment="1">
      <x:alignment vertical="top" wrapText="1"/>
    </x:xf>
    <x:xf numFmtId="204" fontId="6" fillId="0" borderId="14" xfId="0" applyNumberFormat="1" applyFont="1" applyFill="1" applyBorder="1" applyAlignment="1">
      <x:alignment vertical="top" wrapText="1"/>
    </x:xf>
    <x:xf numFmtId="204" fontId="6" fillId="0" borderId="17" xfId="0" applyNumberFormat="1" applyFont="1" applyFill="1" applyBorder="1" applyAlignment="1">
      <x:alignment vertical="top" wrapText="1"/>
    </x:xf>
    <x:xf numFmtId="204" fontId="6" fillId="0" borderId="1" xfId="0" applyNumberFormat="1" applyFont="1" applyFill="1" applyBorder="1" applyAlignment="1">
      <x:alignment vertical="top" wrapText="1"/>
    </x:xf>
    <x:xf numFmtId="204" fontId="6" fillId="0" borderId="22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4" fontId="0" fillId="0" borderId="10" xfId="0" applyNumberFormat="1" applyFont="1" applyFill="1" applyBorder="1" applyAlignment="1">
      <x:alignment vertical="top" wrapText="1"/>
    </x:xf>
    <x:xf numFmtId="204" fontId="0" fillId="0" borderId="12" xfId="0" applyNumberFormat="1" applyFont="1" applyFill="1" applyBorder="1" applyAlignment="1">
      <x:alignment vertical="top" wrapText="1"/>
    </x:xf>
    <x:xf numFmtId="204" fontId="0" fillId="0" borderId="15" xfId="0" applyNumberFormat="1" applyFont="1" applyFill="1" applyBorder="1" applyAlignment="1">
      <x:alignment vertical="top" wrapText="1"/>
    </x:xf>
    <x:xf numFmtId="204" fontId="0" fillId="0" borderId="18" xfId="0" applyNumberFormat="1" applyFont="1" applyFill="1" applyBorder="1" applyAlignment="1">
      <x:alignment vertical="top" wrapText="1"/>
    </x:xf>
    <x:xf numFmtId="204" fontId="0" fillId="0" borderId="20" xfId="0" applyNumberFormat="1" applyFont="1" applyFill="1" applyBorder="1" applyAlignment="1">
      <x:alignment vertical="top" wrapText="1"/>
    </x:xf>
    <x:xf numFmtId="204" fontId="0" fillId="0" borderId="23" xfId="0" applyNumberFormat="1" applyFont="1" applyFill="1" applyBorder="1" applyAlignment="1">
      <x:alignment vertical="top" wrapText="1"/>
    </x:xf>
    <x:xf numFmtId="204" fontId="5" fillId="0" borderId="9" xfId="0" applyNumberFormat="1" applyFont="1" applyFill="1" applyBorder="1" applyAlignment="1">
      <x:alignment vertical="top" wrapText="1"/>
    </x:xf>
    <x:xf numFmtId="204" fontId="5" fillId="0" borderId="10" xfId="0" applyNumberFormat="1" applyFont="1" applyFill="1" applyBorder="1" applyAlignment="1">
      <x:alignment vertical="top" wrapText="1"/>
    </x:xf>
    <x:xf numFmtId="204" fontId="5" fillId="0" borderId="0" xfId="0" applyNumberFormat="1" applyFont="1" applyFill="1" applyBorder="1" applyAlignment="1">
      <x:alignment vertical="top" wrapText="1"/>
    </x:xf>
    <x:xf numFmtId="204" fontId="5" fillId="0" borderId="12" xfId="0" applyNumberFormat="1" applyFont="1" applyFill="1" applyBorder="1" applyAlignment="1">
      <x:alignment vertical="top" wrapText="1"/>
    </x:xf>
    <x:xf numFmtId="204" fontId="5" fillId="0" borderId="14" xfId="0" applyNumberFormat="1" applyFont="1" applyFill="1" applyBorder="1" applyAlignment="1">
      <x:alignment vertical="top" wrapText="1"/>
    </x:xf>
    <x:xf numFmtId="204" fontId="5" fillId="0" borderId="15" xfId="0" applyNumberFormat="1" applyFont="1" applyFill="1" applyBorder="1" applyAlignment="1">
      <x:alignment vertical="top" wrapText="1"/>
    </x:xf>
    <x:xf numFmtId="204" fontId="5" fillId="0" borderId="17" xfId="0" applyNumberFormat="1" applyFont="1" applyFill="1" applyBorder="1" applyAlignment="1">
      <x:alignment vertical="top" wrapText="1"/>
    </x:xf>
    <x:xf numFmtId="204" fontId="5" fillId="0" borderId="18" xfId="0" applyNumberFormat="1" applyFont="1" applyFill="1" applyBorder="1" applyAlignment="1">
      <x:alignment vertical="top" wrapText="1"/>
    </x:xf>
    <x:xf numFmtId="204" fontId="5" fillId="0" borderId="1" xfId="0" applyNumberFormat="1" applyFont="1" applyFill="1" applyBorder="1" applyAlignment="1">
      <x:alignment vertical="top" wrapText="1"/>
    </x:xf>
    <x:xf numFmtId="204" fontId="5" fillId="0" borderId="20" xfId="0" applyNumberFormat="1" applyFont="1" applyFill="1" applyBorder="1" applyAlignment="1">
      <x:alignment vertical="top" wrapText="1"/>
    </x:xf>
    <x:xf numFmtId="204" fontId="5" fillId="0" borderId="22" xfId="0" applyNumberFormat="1" applyFont="1" applyFill="1" applyBorder="1" applyAlignment="1">
      <x:alignment vertical="top" wrapText="1"/>
    </x:xf>
    <x:xf numFmtId="204" fontId="5" fillId="0" borderId="2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205" fontId="0" fillId="0" borderId="0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>
          <x:bgColor rgb="FFFFF200"/>
        </x:patternFill>
      </x:fill>
    </x:dxf>
    <x:dxf>
      <x:fill>
        <x:patternFill>
          <x:bgColor rgb="FFF5D6D6"/>
        </x:patternFill>
      </x:fill>
    </x:dxf>
    <x:dxf>
      <x:font>
        <x:b/>
        <x:color rgb="FF14532D"/>
      </x:font>
      <x:fill>
        <x:patternFill>
          <x:bgColor rgb="FFDDEFE2"/>
        </x:patternFill>
      </x:fill>
    </x:dxf>
    <x:dxf>
      <x:font>
        <x:b/>
        <x:color rgb="FF7F1D1D"/>
      </x:font>
      <x:fill>
        <x:patternFill>
          <x:bgColor rgb="FFF5D6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a64c4257b4473f" /><Relationship Type="http://schemas.openxmlformats.org/officeDocument/2006/relationships/theme" Target="/xl/theme/theme1.xml" Id="R3ec604f4223f477e" /><Relationship Type="http://schemas.openxmlformats.org/officeDocument/2006/relationships/sharedStrings" Target="/xl/sharedStrings.xml" Id="R97df005e143044ec" /><Relationship Type="http://schemas.openxmlformats.org/officeDocument/2006/relationships/worksheet" Target="/xl/worksheets/sheet1.xml" Id="Ra1040ae5441d448a" /><Relationship Type="http://schemas.openxmlformats.org/officeDocument/2006/relationships/worksheet" Target="/xl/worksheets/sheet2.xml" Id="Rfc23062401454d3f" /><Relationship Type="http://schemas.openxmlformats.org/officeDocument/2006/relationships/worksheet" Target="/xl/worksheets/sheet3.xml" Id="Re81c7a4a310d478e" /><Relationship Type="http://schemas.openxmlformats.org/officeDocument/2006/relationships/worksheet" Target="/xl/worksheets/sheet4.xml" Id="R92e8b178497849b8" /><Relationship Type="http://schemas.openxmlformats.org/officeDocument/2006/relationships/worksheet" Target="/xl/worksheets/sheet5.xml" Id="Red59b0fedc044483" /><Relationship Type="http://schemas.openxmlformats.org/officeDocument/2006/relationships/worksheet" Target="/xl/worksheets/sheet6.xml" Id="Rcac4b1232cf74117" /><Relationship Type="http://schemas.openxmlformats.org/officeDocument/2006/relationships/worksheet" Target="/xl/worksheets/sheet7.xml" Id="R9e2b316025c743b5" /><Relationship Type="http://schemas.openxmlformats.org/officeDocument/2006/relationships/worksheet" Target="/xl/worksheets/sheet8.xml" Id="Re46f21320f1a445b" /><Relationship Type="http://schemas.openxmlformats.org/officeDocument/2006/relationships/worksheet" Target="/xl/worksheets/sheet9.xml" Id="Rb9916db090854dbe" /><Relationship Type="http://schemas.openxmlformats.org/officeDocument/2006/relationships/worksheet" Target="/xl/worksheets/sheet10.xml" Id="R17014dd842f549c2" /><Relationship Type="http://schemas.openxmlformats.org/officeDocument/2006/relationships/worksheet" Target="/xl/worksheets/sheet11.xml" Id="Rb7011807581c42bf" /><Relationship Type="http://schemas.openxmlformats.org/officeDocument/2006/relationships/worksheet" Target="/xl/worksheets/sheet12.xml" Id="R026f98ba70de4768" /><Relationship Type="http://schemas.openxmlformats.org/officeDocument/2006/relationships/worksheet" Target="/xl/worksheets/sheet13.xml" Id="R76c2f381d358417a" /><Relationship Type="http://schemas.openxmlformats.org/officeDocument/2006/relationships/worksheet" Target="/xl/worksheets/sheet14.xml" Id="Rc5b5f603860642e2" /><Relationship Type="http://schemas.openxmlformats.org/officeDocument/2006/relationships/worksheet" Target="/xl/worksheets/sheet15.xml" Id="Rf18ddd7c6aca41f9" /><Relationship Type="http://schemas.openxmlformats.org/officeDocument/2006/relationships/worksheet" Target="/xl/worksheets/sheet16.xml" Id="Rc5d38489857b4c55" /><Relationship Type="http://schemas.openxmlformats.org/officeDocument/2006/relationships/worksheet" Target="/xl/worksheets/sheet17.xml" Id="R6328f43f71dd48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2ea20d05e746a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Market Hunt progression by stage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Humble</c:v>
          </c:tx>
          <c:cat>
            <c:strRef>
              <c:f>'00_Dashboard'!$A$18:$A$20</c:f>
              <c:strCache>
                <c:ptCount val="0"/>
              </c:strCache>
            </c:strRef>
          </c:cat>
          <c:val>
            <c:numRef>
              <c:f>'00_Dashboard'!$B$18:$B$20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Starter</c:v>
          </c:tx>
          <c:cat>
            <c:strRef>
              <c:f>'00_Dashboard'!$A$18:$A$20</c:f>
              <c:strCache>
                <c:ptCount val="0"/>
              </c:strCache>
            </c:strRef>
          </c:cat>
          <c:val>
            <c:numRef>
              <c:f>'00_Dashboard'!$C$18:$C$20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Growing</c:v>
          </c:tx>
          <c:cat>
            <c:strRef>
              <c:f>'00_Dashboard'!$A$18:$A$20</c:f>
              <c:strCache>
                <c:ptCount val="0"/>
              </c:strCache>
            </c:strRef>
          </c:cat>
          <c:val>
            <c:numRef>
              <c:f>'00_Dashboard'!$D$18:$D$20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Established</c:v>
          </c:tx>
          <c:cat>
            <c:strRef>
              <c:f>'00_Dashboard'!$A$18:$A$20</c:f>
              <c:strCache>
                <c:ptCount val="0"/>
              </c:strCache>
            </c:strRef>
          </c:cat>
          <c:val>
            <c:numRef>
              <c:f>'00_Dashboard'!$E$18:$E$20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Elite/Tycoon</c:v>
          </c:tx>
          <c:cat>
            <c:strRef>
              <c:f>'00_Dashboard'!$A$18:$A$20</c:f>
              <c:strCache>
                <c:ptCount val="0"/>
              </c:strCache>
            </c:strRef>
          </c:cat>
          <c:val>
            <c:numRef>
              <c:f>'00_Dashboard'!$F$18:$F$20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10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2ea20d05e746a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92f905087df4d56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182" t="str">
        <x:v>PLOT — Market Hunts &amp; Tokenized Stock Reward Economy v0.1</x:v>
      </x:c>
      <x:c r="B1" s="182"/>
      <x:c r="C1" s="182"/>
      <x:c r="D1" s="182"/>
      <x:c r="E1" s="182"/>
      <x:c r="F1" s="182"/>
      <x:c r="G1" s="182"/>
      <x:c r="H1" s="182"/>
      <x:c r="I1" s="182"/>
      <x:c r="J1" s="18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3">
      <x:c r="A3" s="14" t="str">
        <x:v>System Goal</x:v>
      </x:c>
      <x:c r="B3" s="14" t="str">
        <x:v>Daily Loop</x:v>
      </x:c>
      <x:c r="C3" s="14" t="str">
        <x:v>Reward Layer</x:v>
      </x:c>
      <x:c r="D3" s="14" t="str">
        <x:v>Budget Control</x:v>
      </x:c>
      <x:c r="E3" s="14" t="str">
        <x:v>Stock Delivery</x:v>
      </x:c>
      <x:c r="F3" s="14" t="str">
        <x:v>Performance Link</x:v>
      </x:c>
      <x:c r="G3" s="14" t="str">
        <x:v>MVP Hunts/Day</x:v>
      </x:c>
      <x:c r="H3" s="14" t="str">
        <x:v>Weekly Stock Pool</x:v>
      </x:c>
      <x:c r="I3" s="14" t="str">
        <x:v>Max Hunt Score</x:v>
      </x:c>
      <x:c r="J3" s="14" t="str">
        <x:v>Settlement</x:v>
      </x:c>
    </x:row>
    <x:row r="4">
      <x:c r="A4" s="24" t="str">
        <x:v>Turn financial activity into discoverable stock rewards</x:v>
      </x:c>
      <x:c r="B4" s="25" t="str">
        <x:v>Discover → complete → reveal → collect</x:v>
      </x:c>
      <x:c r="C4" s="25" t="str">
        <x:v>Cash + stock fragments + $PLOT performance</x:v>
      </x:c>
      <x:c r="D4" s="25" t="str">
        <x:v>Fixed weekly funded stock budget</x:v>
      </x:c>
      <x:c r="E4" s="25" t="str">
        <x:v>Fractional units from funded inventory</x:v>
      </x:c>
      <x:c r="F4" s="25" t="str">
        <x:v>Market Hunts contribute only a capped 5% of Performance Score</x:v>
      </x:c>
      <x:c r="G4" s="25" t="n">
        <x:v>3</x:v>
      </x:c>
      <x:c r="H4" s="30" t="n">
        <x:v>5000</x:v>
      </x:c>
      <x:c r="I4" s="25" t="n">
        <x:v>100</x:v>
      </x:c>
      <x:c r="J4" s="26" t="str">
        <x:v>Immediate while pool inventory remains</x:v>
      </x:c>
    </x:row>
    <x:row r="6" ht="34" customHeight="1">
      <x:c r="A6" s="34" t="str">
        <x:v>Design Rule: Market Hunts must reward active financial play. Players should not earn tokenized stocks merely for owning land or waiting.</x:v>
      </x:c>
      <x:c r="B6" s="34"/>
      <x:c r="C6" s="34"/>
      <x:c r="D6" s="34"/>
      <x:c r="E6" s="34"/>
      <x:c r="F6" s="34"/>
      <x:c r="G6" s="34"/>
      <x:c r="H6" s="34"/>
      <x:c r="I6" s="34"/>
      <x:c r="J6" s="34"/>
    </x:row>
    <x:row r="8" ht="22" customHeight="1">
      <x:c r="A8" s="39" t="str">
        <x:v>Core Reward Architecture</x:v>
      </x:c>
      <x:c r="B8" s="39"/>
      <x:c r="C8" s="39"/>
      <x:c r="D8" s="39"/>
      <x:c r="E8" s="39"/>
      <x:c r="F8" s="39"/>
      <x:c r="G8" s="39"/>
      <x:c r="H8" s="39"/>
      <x:c r="I8" s="39"/>
      <x:c r="J8" s="39"/>
    </x:row>
    <x:row r="9">
      <x:c r="A9" s="14" t="str">
        <x:v>Layer</x:v>
      </x:c>
      <x:c r="B9" s="14" t="str">
        <x:v>What player earns</x:v>
      </x:c>
      <x:c r="C9" s="14" t="str">
        <x:v>What creates it</x:v>
      </x:c>
      <x:c r="D9" s="14" t="str">
        <x:v>Primary purpose</x:v>
      </x:c>
    </x:row>
    <x:row r="10">
      <x:c r="A10" s="42" t="str">
        <x:v>Cash</x:v>
      </x:c>
      <x:c r="B10" s="43" t="str">
        <x:v>In-game Cash</x:v>
      </x:c>
      <x:c r="C10" s="43" t="str">
        <x:v>Customers + business activity</x:v>
      </x:c>
      <x:c r="D10" s="44" t="str">
        <x:v>Build and upgrade empire</x:v>
      </x:c>
    </x:row>
    <x:row r="11">
      <x:c r="A11" s="45" t="str">
        <x:v>Stock Reward</x:v>
      </x:c>
      <x:c r="B11" s="22" t="str">
        <x:v>Fractional tokenized stock</x:v>
      </x:c>
      <x:c r="C11" s="22" t="str">
        <x:v>Completed Market Hunts</x:v>
      </x:c>
      <x:c r="D11" s="46" t="str">
        <x:v>Discovery + collectible portfolio</x:v>
      </x:c>
    </x:row>
    <x:row r="12">
      <x:c r="A12" s="45" t="str">
        <x:v>Performance</x:v>
      </x:c>
      <x:c r="B12" s="22" t="str">
        <x:v>Weekly score contribution</x:v>
      </x:c>
      <x:c r="C12" s="22" t="str">
        <x:v>Validated hunt completion</x:v>
      </x:c>
      <x:c r="D12" s="46" t="str">
        <x:v>Supports weekly $PLOT payout</x:v>
      </x:c>
    </x:row>
    <x:row r="13">
      <x:c r="A13" s="45" t="str">
        <x:v>$PLOT</x:v>
      </x:c>
      <x:c r="B13" s="22" t="str">
        <x:v>Share of fixed weekly pool</x:v>
      </x:c>
      <x:c r="C13" s="22" t="str">
        <x:v>Overall Performance Score</x:v>
      </x:c>
      <x:c r="D13" s="46" t="str">
        <x:v>Ecosystem incentive</x:v>
      </x:c>
    </x:row>
    <x:row r="14">
      <x:c r="A14" s="47" t="str">
        <x:v>Collections</x:v>
      </x:c>
      <x:c r="B14" s="48" t="str">
        <x:v>Badges / cards / cosmetics / utility</x:v>
      </x:c>
      <x:c r="C14" s="48" t="str">
        <x:v>Owning themed stock sets</x:v>
      </x:c>
      <x:c r="D14" s="49" t="str">
        <x:v>Long-term collection</x:v>
      </x:c>
    </x:row>
    <x:row r="16" ht="22" customHeight="1">
      <x:c r="A16" s="39" t="str">
        <x:v>Default MVP Targets</x:v>
      </x:c>
      <x:c r="B16" s="39"/>
      <x:c r="C16" s="39"/>
      <x:c r="D16" s="39"/>
      <x:c r="E16" s="39"/>
      <x:c r="F16" s="39"/>
      <x:c r="G16" s="39"/>
      <x:c r="H16" s="39"/>
      <x:c r="I16" s="39"/>
      <x:c r="J16" s="39"/>
    </x:row>
    <x:row r="17">
      <x:c r="A17" s="14" t="str">
        <x:v>Metric</x:v>
      </x:c>
      <x:c r="B17" s="14" t="str">
        <x:v>Humble</x:v>
      </x:c>
      <x:c r="C17" s="14" t="str">
        <x:v>Starter</x:v>
      </x:c>
      <x:c r="D17" s="14" t="str">
        <x:v>Growing</x:v>
      </x:c>
      <x:c r="E17" s="14" t="str">
        <x:v>Established</x:v>
      </x:c>
      <x:c r="F17" s="14" t="str">
        <x:v>Elite/Tycoon</x:v>
      </x:c>
    </x:row>
    <x:row r="18">
      <x:c r="A18" s="42" t="str">
        <x:v>Base Hunts / day</x:v>
      </x:c>
      <x:c r="B18" s="43" t="n">
        <x:v>3</x:v>
      </x:c>
      <x:c r="C18" s="43" t="n">
        <x:v>3</x:v>
      </x:c>
      <x:c r="D18" s="43" t="n">
        <x:v>3</x:v>
      </x:c>
      <x:c r="E18" s="43" t="n">
        <x:v>3</x:v>
      </x:c>
      <x:c r="F18" s="44" t="n">
        <x:v>4</x:v>
      </x:c>
    </x:row>
    <x:row r="19">
      <x:c r="A19" s="45" t="str">
        <x:v>Bonus Hunt slots / day</x:v>
      </x:c>
      <x:c r="B19" s="22" t="n">
        <x:v>0</x:v>
      </x:c>
      <x:c r="C19" s="22" t="n">
        <x:v>1</x:v>
      </x:c>
      <x:c r="D19" s="22" t="n">
        <x:v>1</x:v>
      </x:c>
      <x:c r="E19" s="22" t="n">
        <x:v>2</x:v>
      </x:c>
      <x:c r="F19" s="46" t="n">
        <x:v>2</x:v>
      </x:c>
    </x:row>
    <x:row r="20">
      <x:c r="A20" s="45" t="str">
        <x:v>Target completion rate</x:v>
      </x:c>
      <x:c r="B20" s="58" t="n">
        <x:v>0.45</x:v>
      </x:c>
      <x:c r="C20" s="58" t="n">
        <x:v>0.55</x:v>
      </x:c>
      <x:c r="D20" s="58" t="n">
        <x:v>0.65</x:v>
      </x:c>
      <x:c r="E20" s="58" t="n">
        <x:v>0.72</x:v>
      </x:c>
      <x:c r="F20" s="59" t="n">
        <x:v>0.8</x:v>
      </x:c>
    </x:row>
    <x:row r="21">
      <x:c r="A21" s="45" t="str">
        <x:v>Stock reward value / completion</x:v>
      </x:c>
      <x:c r="B21" s="22" t="str">
        <x:v>$0.10–$0.50</x:v>
      </x:c>
      <x:c r="C21" s="22" t="str">
        <x:v>$0.10–$1.00</x:v>
      </x:c>
      <x:c r="D21" s="22" t="str">
        <x:v>$0.10–$1.00</x:v>
      </x:c>
      <x:c r="E21" s="22" t="str">
        <x:v>$0.25–$2.50</x:v>
      </x:c>
      <x:c r="F21" s="46" t="str">
        <x:v>$0.25–$2.50</x:v>
      </x:c>
    </x:row>
    <x:row r="22">
      <x:c r="A22" s="45" t="str">
        <x:v>Market Hunt score cap</x:v>
      </x:c>
      <x:c r="B22" s="22" t="n">
        <x:v>100</x:v>
      </x:c>
      <x:c r="C22" s="22" t="n">
        <x:v>100</x:v>
      </x:c>
      <x:c r="D22" s="22" t="n">
        <x:v>100</x:v>
      </x:c>
      <x:c r="E22" s="22" t="n">
        <x:v>100</x:v>
      </x:c>
      <x:c r="F22" s="46" t="n">
        <x:v>100</x:v>
      </x:c>
    </x:row>
    <x:row r="23">
      <x:c r="A23" s="47" t="str">
        <x:v>Overall Performance weight</x:v>
      </x:c>
      <x:c r="B23" s="62" t="n">
        <x:v>0.05</x:v>
      </x:c>
      <x:c r="C23" s="62" t="n">
        <x:v>0.05</x:v>
      </x:c>
      <x:c r="D23" s="62" t="n">
        <x:v>0.05</x:v>
      </x:c>
      <x:c r="E23" s="62" t="n">
        <x:v>0.05</x:v>
      </x:c>
      <x:c r="F23" s="63" t="n">
        <x:v>0.05</x:v>
      </x:c>
    </x:row>
  </x:sheetData>
  <x:mergeCells>
    <x:mergeCell ref="A1:J1"/>
    <x:mergeCell ref="A6:J6"/>
    <x:mergeCell ref="A8:J8"/>
    <x:mergeCell ref="A16:J16"/>
  </x:mergeCells>
  <x:pageMargins left="0.7" right="0.7" top="0.75" bottom="0.75" header="0.3" footer="0.3"/>
  <x:drawing xmlns:r="http://schemas.openxmlformats.org/officeDocument/2006/relationships" r:id="Ra92f905087df4d56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8" hidden="0" customWidth="1"/>
    <x:col min="4" max="4" width="12" hidden="0" customWidth="1"/>
    <x:col min="5" max="5" width="38" hidden="0" customWidth="1"/>
    <x:col min="6" max="6" width="20" hidden="0" customWidth="1"/>
    <x:col min="7" max="7" width="36" hidden="0" customWidth="1"/>
  </x:cols>
  <x:sheetData>
    <x:row r="1" ht="28" customHeight="1">
      <x:c r="A1" s="182" t="str">
        <x:v>Global Assumptions &amp; Live-Ops Controls</x:v>
      </x:c>
      <x:c r="B1" s="182"/>
      <x:c r="C1" s="182"/>
      <x:c r="D1" s="182"/>
      <x:c r="E1" s="182"/>
      <x:c r="F1" s="182"/>
      <x:c r="G1" s="18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s="20"/>
      <x:c r="B2" s="20"/>
      <x:c r="C2" s="20"/>
      <x:c r="D2" s="20"/>
      <x:c r="E2" s="20"/>
      <x:c r="F2" s="20"/>
      <x:c r="G2" s="20"/>
    </x:row>
    <x:row r="3">
      <x:c r="A3" s="14" t="str">
        <x:v>Parameter</x:v>
      </x:c>
      <x:c r="B3" s="14" t="str">
        <x:v>Value</x:v>
      </x:c>
      <x:c r="C3" s="14" t="str">
        <x:v>Unit</x:v>
      </x:c>
      <x:c r="D3" s="14" t="str">
        <x:v>Editable?</x:v>
      </x:c>
      <x:c r="E3" s="14" t="str">
        <x:v>Purpose</x:v>
      </x:c>
      <x:c r="F3" s="14" t="str">
        <x:v>Recommended Range</x:v>
      </x:c>
      <x:c r="G3" s="14" t="str">
        <x:v>Notes</x:v>
      </x:c>
    </x:row>
    <x:row r="4">
      <x:c r="A4" s="42" t="str">
        <x:v>Weekly Stock Reward Budget</x:v>
      </x:c>
      <x:c r="B4" s="72" t="n">
        <x:v>5000</x:v>
      </x:c>
      <x:c r="C4" s="43" t="str">
        <x:v>USD-equivalent</x:v>
      </x:c>
      <x:c r="D4" s="43" t="str">
        <x:v>Yes</x:v>
      </x:c>
      <x:c r="E4" s="43" t="str">
        <x:v>Hard treasury cap for actual tokenized-stock rewards</x:v>
      </x:c>
      <x:c r="F4" s="43" t="str">
        <x:v>$500–$50,000</x:v>
      </x:c>
      <x:c r="G4" s="44" t="str">
        <x:v>Start small; scale with funded treasury and retention</x:v>
      </x:c>
    </x:row>
    <x:row r="5">
      <x:c r="A5" s="45" t="str">
        <x:v>Reserve Buffer</x:v>
      </x:c>
      <x:c r="B5" s="74" t="n">
        <x:v>0.05</x:v>
      </x:c>
      <x:c r="C5" s="22" t="str">
        <x:v>% of pool</x:v>
      </x:c>
      <x:c r="D5" s="22" t="str">
        <x:v>Yes</x:v>
      </x:c>
      <x:c r="E5" s="22" t="str">
        <x:v>Inventory protection against late-week spikes</x:v>
      </x:c>
      <x:c r="F5" s="22" t="str">
        <x:v>3%–10%</x:v>
      </x:c>
      <x:c r="G5" s="46" t="str">
        <x:v>Held back until final 24 hours</x:v>
      </x:c>
    </x:row>
    <x:row r="6">
      <x:c r="A6" s="45" t="str">
        <x:v>Base Hunts per Day</x:v>
      </x:c>
      <x:c r="B6" s="67" t="n">
        <x:v>3</x:v>
      </x:c>
      <x:c r="C6" s="22" t="str">
        <x:v>hunts</x:v>
      </x:c>
      <x:c r="D6" s="22" t="str">
        <x:v>Yes</x:v>
      </x:c>
      <x:c r="E6" s="22" t="str">
        <x:v>Default discovery opportunities</x:v>
      </x:c>
      <x:c r="F6" s="22" t="str">
        <x:v>2–4</x:v>
      </x:c>
      <x:c r="G6" s="46" t="str">
        <x:v>Extra slots come from progression/activity</x:v>
      </x:c>
    </x:row>
    <x:row r="7">
      <x:c r="A7" s="45" t="str">
        <x:v>Free Rerolls per Day</x:v>
      </x:c>
      <x:c r="B7" s="67" t="n">
        <x:v>1</x:v>
      </x:c>
      <x:c r="C7" s="22" t="str">
        <x:v>rerolls</x:v>
      </x:c>
      <x:c r="D7" s="22" t="str">
        <x:v>Yes</x:v>
      </x:c>
      <x:c r="E7" s="22" t="str">
        <x:v>Avoid impossible or irrelevant mission rolls</x:v>
      </x:c>
      <x:c r="F7" s="22" t="str">
        <x:v>0–2</x:v>
      </x:c>
      <x:c r="G7" s="46" t="str">
        <x:v>No stock reward for reroll itself</x:v>
      </x:c>
    </x:row>
    <x:row r="8">
      <x:c r="A8" s="45" t="str">
        <x:v>Max Active Hunt Slots</x:v>
      </x:c>
      <x:c r="B8" s="67" t="n">
        <x:v>5</x:v>
      </x:c>
      <x:c r="C8" s="22" t="str">
        <x:v>slots</x:v>
      </x:c>
      <x:c r="D8" s="22" t="str">
        <x:v>Yes</x:v>
      </x:c>
      <x:c r="E8" s="22" t="str">
        <x:v>Stops mission overload</x:v>
      </x:c>
      <x:c r="F8" s="22" t="str">
        <x:v>3–6</x:v>
      </x:c>
      <x:c r="G8" s="46" t="str">
        <x:v>Includes bonus opportunities</x:v>
      </x:c>
    </x:row>
    <x:row r="9">
      <x:c r="A9" s="45" t="str">
        <x:v>Default Hunt Duration</x:v>
      </x:c>
      <x:c r="B9" s="67" t="n">
        <x:v>24</x:v>
      </x:c>
      <x:c r="C9" s="22" t="str">
        <x:v>hours</x:v>
      </x:c>
      <x:c r="D9" s="22" t="str">
        <x:v>Yes</x:v>
      </x:c>
      <x:c r="E9" s="22" t="str">
        <x:v>Standard mission expiry</x:v>
      </x:c>
      <x:c r="F9" s="22" t="str">
        <x:v>8–48</x:v>
      </x:c>
      <x:c r="G9" s="46" t="str">
        <x:v>Events can override</x:v>
      </x:c>
    </x:row>
    <x:row r="10">
      <x:c r="A10" s="45" t="str">
        <x:v>Weekly Scored Hunt Cap</x:v>
      </x:c>
      <x:c r="B10" s="67" t="n">
        <x:v>35</x:v>
      </x:c>
      <x:c r="C10" s="22" t="str">
        <x:v>hunts</x:v>
      </x:c>
      <x:c r="D10" s="22" t="str">
        <x:v>Yes</x:v>
      </x:c>
      <x:c r="E10" s="22" t="str">
        <x:v>Caps Performance Score contribution</x:v>
      </x:c>
      <x:c r="F10" s="22" t="str">
        <x:v>21–42</x:v>
      </x:c>
      <x:c r="G10" s="46" t="str">
        <x:v>Rewards can continue after score cap if inventory permits</x:v>
      </x:c>
    </x:row>
    <x:row r="11">
      <x:c r="A11" s="45" t="str">
        <x:v>Market Hunt Performance Weight</x:v>
      </x:c>
      <x:c r="B11" s="74" t="n">
        <x:v>0.05</x:v>
      </x:c>
      <x:c r="C11" s="22" t="str">
        <x:v>% of total score</x:v>
      </x:c>
      <x:c r="D11" s="22" t="str">
        <x:v>Yes</x:v>
      </x:c>
      <x:c r="E11" s="22" t="str">
        <x:v>Maximum contribution to overall weekly Performance Score</x:v>
      </x:c>
      <x:c r="F11" s="22" t="str">
        <x:v>3%–8%</x:v>
      </x:c>
      <x:c r="G11" s="46" t="str">
        <x:v>Prevents Hunt farming from dominating $PLOT payout</x:v>
      </x:c>
    </x:row>
    <x:row r="12">
      <x:c r="A12" s="45" t="str">
        <x:v>Max Market Hunt Subscore</x:v>
      </x:c>
      <x:c r="B12" s="67" t="n">
        <x:v>100</x:v>
      </x:c>
      <x:c r="C12" s="22" t="str">
        <x:v>points</x:v>
      </x:c>
      <x:c r="D12" s="22" t="str">
        <x:v>No</x:v>
      </x:c>
      <x:c r="E12" s="22" t="str">
        <x:v>Normalized subscore cap</x:v>
      </x:c>
      <x:c r="F12" s="22" t="str">
        <x:v>100</x:v>
      </x:c>
      <x:c r="G12" s="46" t="str">
        <x:v>Overall score consumes this at configured weight</x:v>
      </x:c>
    </x:row>
    <x:row r="13">
      <x:c r="A13" s="45" t="str">
        <x:v>Min Account Age for Stock Claim</x:v>
      </x:c>
      <x:c r="B13" s="67" t="n">
        <x:v>24</x:v>
      </x:c>
      <x:c r="C13" s="22" t="str">
        <x:v>hours</x:v>
      </x:c>
      <x:c r="D13" s="22" t="str">
        <x:v>Yes</x:v>
      </x:c>
      <x:c r="E13" s="22" t="str">
        <x:v>Sybil friction</x:v>
      </x:c>
      <x:c r="F13" s="22" t="str">
        <x:v>0–168</x:v>
      </x:c>
      <x:c r="G13" s="46" t="str">
        <x:v>Can be waived in private beta</x:v>
      </x:c>
    </x:row>
    <x:row r="14">
      <x:c r="A14" s="45" t="str">
        <x:v>Min Weekly Active Days</x:v>
      </x:c>
      <x:c r="B14" s="67" t="n">
        <x:v>2</x:v>
      </x:c>
      <x:c r="C14" s="22" t="str">
        <x:v>days</x:v>
      </x:c>
      <x:c r="D14" s="22" t="str">
        <x:v>Yes</x:v>
      </x:c>
      <x:c r="E14" s="22" t="str">
        <x:v>Reward eligibility</x:v>
      </x:c>
      <x:c r="F14" s="22" t="str">
        <x:v>1–4</x:v>
      </x:c>
      <x:c r="G14" s="46" t="str">
        <x:v>For actual stock claims</x:v>
      </x:c>
    </x:row>
    <x:row r="15">
      <x:c r="A15" s="45" t="str">
        <x:v>Pool Alert Threshold</x:v>
      </x:c>
      <x:c r="B15" s="74" t="n">
        <x:v>0.8</x:v>
      </x:c>
      <x:c r="C15" s="22" t="str">
        <x:v>% consumed</x:v>
      </x:c>
      <x:c r="D15" s="22" t="str">
        <x:v>Yes</x:v>
      </x:c>
      <x:c r="E15" s="22" t="str">
        <x:v>Triggers live-ops throttling</x:v>
      </x:c>
      <x:c r="F15" s="22" t="str">
        <x:v>70%–90%</x:v>
      </x:c>
      <x:c r="G15" s="46" t="str">
        <x:v>Reduce high-value packet odds</x:v>
      </x:c>
    </x:row>
    <x:row r="16">
      <x:c r="A16" s="45" t="str">
        <x:v>Pool Hard Stop Threshold</x:v>
      </x:c>
      <x:c r="B16" s="74" t="n">
        <x:v>0.95</x:v>
      </x:c>
      <x:c r="C16" s="22" t="str">
        <x:v>% consumed</x:v>
      </x:c>
      <x:c r="D16" s="22" t="str">
        <x:v>Yes</x:v>
      </x:c>
      <x:c r="E16" s="22" t="str">
        <x:v>Protects funded inventory</x:v>
      </x:c>
      <x:c r="F16" s="22" t="str">
        <x:v>90%–100%</x:v>
      </x:c>
      <x:c r="G16" s="46" t="str">
        <x:v>Reroute reward to Cash / collection points</x:v>
      </x:c>
    </x:row>
    <x:row r="17">
      <x:c r="A17" s="45" t="str">
        <x:v>New Player Protection Days</x:v>
      </x:c>
      <x:c r="B17" s="67" t="n">
        <x:v>3</x:v>
      </x:c>
      <x:c r="C17" s="22" t="str">
        <x:v>days</x:v>
      </x:c>
      <x:c r="D17" s="22" t="str">
        <x:v>Yes</x:v>
      </x:c>
      <x:c r="E17" s="22" t="str">
        <x:v>Ensures early Hunts are achievable</x:v>
      </x:c>
      <x:c r="F17" s="22" t="str">
        <x:v>2–7</x:v>
      </x:c>
      <x:c r="G17" s="46" t="str">
        <x:v>Easy/Standard only</x:v>
      </x:c>
    </x:row>
    <x:row r="18">
      <x:c r="A18" s="45" t="str">
        <x:v>Stock Price Refresh</x:v>
      </x:c>
      <x:c r="B18" s="67" t="n">
        <x:v>5</x:v>
      </x:c>
      <x:c r="C18" s="22" t="str">
        <x:v>minutes</x:v>
      </x:c>
      <x:c r="D18" s="22" t="str">
        <x:v>Yes</x:v>
      </x:c>
      <x:c r="E18" s="22" t="str">
        <x:v>Oracle refresh for unit conversion</x:v>
      </x:c>
      <x:c r="F18" s="22" t="str">
        <x:v>1–60</x:v>
      </x:c>
      <x:c r="G18" s="46" t="str">
        <x:v>Production implementation decision</x:v>
      </x:c>
    </x:row>
    <x:row r="19">
      <x:c r="A19" s="47" t="str">
        <x:v>Illustrative Active Players</x:v>
      </x:c>
      <x:c r="B19" s="68" t="n">
        <x:v>1000</x:v>
      </x:c>
      <x:c r="C19" s="48" t="str">
        <x:v>players</x:v>
      </x:c>
      <x:c r="D19" s="48" t="str">
        <x:v>Yes</x:v>
      </x:c>
      <x:c r="E19" s="48" t="str">
        <x:v>Scenario modeling only</x:v>
      </x:c>
      <x:c r="F19" s="48" t="str">
        <x:v>100–100,000</x:v>
      </x:c>
      <x:c r="G19" s="49" t="str">
        <x:v>Not a live forecast</x:v>
      </x:c>
    </x:row>
    <x:row r="20">
      <x:c r="A20" s="20"/>
      <x:c r="B20" s="20"/>
      <x:c r="C20" s="20"/>
      <x:c r="D20" s="20"/>
      <x:c r="E20" s="20"/>
      <x:c r="F20" s="20"/>
      <x:c r="G20" s="20"/>
    </x:row>
    <x:row r="21">
      <x:c r="A21" s="20"/>
      <x:c r="B21" s="20"/>
      <x:c r="C21" s="20"/>
      <x:c r="D21" s="20"/>
      <x:c r="E21" s="20"/>
      <x:c r="F21" s="20"/>
      <x:c r="G21" s="20"/>
    </x:row>
    <x:row r="22">
      <x:c r="A22" s="20"/>
      <x:c r="B22" s="20"/>
      <x:c r="C22" s="20"/>
      <x:c r="D22" s="20"/>
      <x:c r="E22" s="20"/>
      <x:c r="F22" s="20"/>
      <x:c r="G22" s="20"/>
    </x:row>
    <x:row r="23">
      <x:c r="A23" s="20"/>
      <x:c r="B23" s="20"/>
      <x:c r="C23" s="20"/>
      <x:c r="D23" s="20"/>
      <x:c r="E23" s="20"/>
      <x:c r="F23" s="20"/>
      <x:c r="G23" s="20"/>
    </x:row>
    <x:row r="24">
      <x:c r="A24" s="20"/>
      <x:c r="B24" s="20"/>
      <x:c r="C24" s="20"/>
      <x:c r="D24" s="20"/>
      <x:c r="E24" s="20"/>
      <x:c r="F24" s="20"/>
      <x:c r="G24" s="20"/>
    </x:row>
    <x:row r="25">
      <x:c r="A25" s="20"/>
      <x:c r="B25" s="20"/>
      <x:c r="C25" s="20"/>
      <x:c r="D25" s="20"/>
      <x:c r="E25" s="20"/>
      <x:c r="F25" s="20"/>
      <x:c r="G25" s="20"/>
    </x:row>
    <x:row r="26">
      <x:c r="A26" s="20"/>
      <x:c r="B26" s="20"/>
      <x:c r="C26" s="20"/>
      <x:c r="D26" s="20"/>
      <x:c r="E26" s="20"/>
      <x:c r="F26" s="20"/>
      <x:c r="G26" s="20"/>
    </x:row>
    <x:row r="27">
      <x:c r="A27" s="20"/>
      <x:c r="B27" s="20"/>
      <x:c r="C27" s="20"/>
      <x:c r="D27" s="20"/>
      <x:c r="E27" s="20"/>
      <x:c r="F27" s="20"/>
      <x:c r="G27" s="20"/>
    </x:row>
    <x:row r="28">
      <x:c r="A28" s="20"/>
      <x:c r="B28" s="20"/>
      <x:c r="C28" s="20"/>
      <x:c r="D28" s="20"/>
      <x:c r="E28" s="20"/>
      <x:c r="F28" s="20"/>
      <x:c r="G28" s="20"/>
    </x:row>
    <x:row r="29">
      <x:c r="A29" s="20"/>
      <x:c r="B29" s="20"/>
      <x:c r="C29" s="20"/>
      <x:c r="D29" s="20"/>
      <x:c r="E29" s="20"/>
      <x:c r="F29" s="20"/>
      <x:c r="G29" s="20"/>
    </x:row>
    <x:row r="30">
      <x:c r="A30" s="20"/>
      <x:c r="B30" s="20"/>
      <x:c r="C30" s="20"/>
      <x:c r="D30" s="20"/>
      <x:c r="E30" s="20"/>
      <x:c r="F30" s="20"/>
      <x:c r="G30" s="20"/>
    </x:row>
  </x:sheetData>
  <x:mergeCells>
    <x:mergeCell ref="A1:G1"/>
  </x:mergeCells>
  <x:conditionalFormatting sqref="B4:B19">
    <x:cfRule type="expression" dxfId="0" priority="1">
      <x:formula>B4&lt;&gt;""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8" customHeight="1">
      <x:c r="A1" s="182" t="str">
        <x:v>Stage-Based Hunt Access &amp; Progression</x:v>
      </x:c>
      <x:c r="B1" s="182"/>
      <x:c r="C1" s="182"/>
      <x:c r="D1" s="182"/>
      <x:c r="E1" s="182"/>
      <x:c r="F1" s="182"/>
      <x:c r="G1" s="182"/>
      <x:c r="H1" s="182"/>
      <x:c r="I1" s="182"/>
      <x:c r="J1" s="182"/>
      <x:c r="K1" s="18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3">
      <x:c r="A3" s="14" t="str">
        <x:v>Stage</x:v>
      </x:c>
      <x:c r="B3" s="14" t="str">
        <x:v>Empire Levels</x:v>
      </x:c>
      <x:c r="C3" s="14" t="str">
        <x:v>Base Hunts/Day</x:v>
      </x:c>
      <x:c r="D3" s="14" t="str">
        <x:v>Bonus Hunts/Day</x:v>
      </x:c>
      <x:c r="E3" s="14" t="str">
        <x:v>Target Completion</x:v>
      </x:c>
      <x:c r="F3" s="14" t="str">
        <x:v>Easy Mix</x:v>
      </x:c>
      <x:c r="G3" s="14" t="str">
        <x:v>Standard Mix</x:v>
      </x:c>
      <x:c r="H3" s="14" t="str">
        <x:v>Hard Mix</x:v>
      </x:c>
      <x:c r="I3" s="14" t="str">
        <x:v>Elite Mix</x:v>
      </x:c>
      <x:c r="J3" s="14" t="str">
        <x:v>Jackpot Mix</x:v>
      </x:c>
      <x:c r="K3" s="14" t="str">
        <x:v>Weekly Hunt Point Target</x:v>
      </x:c>
    </x:row>
    <x:row r="4">
      <x:c r="A4" s="42" t="str">
        <x:v>Humble</x:v>
      </x:c>
      <x:c r="B4" s="43" t="str">
        <x:v>1–10</x:v>
      </x:c>
      <x:c r="C4" s="66" t="n">
        <x:v>3</x:v>
      </x:c>
      <x:c r="D4" s="66" t="n">
        <x:v>0</x:v>
      </x:c>
      <x:c r="E4" s="80" t="n">
        <x:v>0.45</x:v>
      </x:c>
      <x:c r="F4" s="80" t="n">
        <x:v>0.7</x:v>
      </x:c>
      <x:c r="G4" s="80" t="n">
        <x:v>0.25</x:v>
      </x:c>
      <x:c r="H4" s="80" t="n">
        <x:v>0.05</x:v>
      </x:c>
      <x:c r="I4" s="80" t="n">
        <x:v>0</x:v>
      </x:c>
      <x:c r="J4" s="80" t="n">
        <x:v>0</x:v>
      </x:c>
      <x:c r="K4" s="81" t="n">
        <x:v>22</x:v>
      </x:c>
    </x:row>
    <x:row r="5">
      <x:c r="A5" s="45" t="str">
        <x:v>Starter</x:v>
      </x:c>
      <x:c r="B5" s="22" t="str">
        <x:v>11–20</x:v>
      </x:c>
      <x:c r="C5" s="67" t="n">
        <x:v>3</x:v>
      </x:c>
      <x:c r="D5" s="67" t="n">
        <x:v>1</x:v>
      </x:c>
      <x:c r="E5" s="74" t="n">
        <x:v>0.55</x:v>
      </x:c>
      <x:c r="F5" s="74" t="n">
        <x:v>0.5</x:v>
      </x:c>
      <x:c r="G5" s="74" t="n">
        <x:v>0.4</x:v>
      </x:c>
      <x:c r="H5" s="74" t="n">
        <x:v>0.1</x:v>
      </x:c>
      <x:c r="I5" s="74" t="n">
        <x:v>0</x:v>
      </x:c>
      <x:c r="J5" s="74" t="n">
        <x:v>0</x:v>
      </x:c>
      <x:c r="K5" s="82" t="n">
        <x:v>32</x:v>
      </x:c>
    </x:row>
    <x:row r="6">
      <x:c r="A6" s="45" t="str">
        <x:v>Growing</x:v>
      </x:c>
      <x:c r="B6" s="22" t="str">
        <x:v>21–30</x:v>
      </x:c>
      <x:c r="C6" s="67" t="n">
        <x:v>3</x:v>
      </x:c>
      <x:c r="D6" s="67" t="n">
        <x:v>1</x:v>
      </x:c>
      <x:c r="E6" s="74" t="n">
        <x:v>0.65</x:v>
      </x:c>
      <x:c r="F6" s="74" t="n">
        <x:v>0.3</x:v>
      </x:c>
      <x:c r="G6" s="74" t="n">
        <x:v>0.5</x:v>
      </x:c>
      <x:c r="H6" s="74" t="n">
        <x:v>0.18</x:v>
      </x:c>
      <x:c r="I6" s="74" t="n">
        <x:v>0.02</x:v>
      </x:c>
      <x:c r="J6" s="74" t="n">
        <x:v>0</x:v>
      </x:c>
      <x:c r="K6" s="82" t="n">
        <x:v>45</x:v>
      </x:c>
    </x:row>
    <x:row r="7">
      <x:c r="A7" s="45" t="str">
        <x:v>Established</x:v>
      </x:c>
      <x:c r="B7" s="22" t="str">
        <x:v>31–40</x:v>
      </x:c>
      <x:c r="C7" s="67" t="n">
        <x:v>3</x:v>
      </x:c>
      <x:c r="D7" s="67" t="n">
        <x:v>2</x:v>
      </x:c>
      <x:c r="E7" s="74" t="n">
        <x:v>0.72</x:v>
      </x:c>
      <x:c r="F7" s="74" t="n">
        <x:v>0.2</x:v>
      </x:c>
      <x:c r="G7" s="74" t="n">
        <x:v>0.45</x:v>
      </x:c>
      <x:c r="H7" s="74" t="n">
        <x:v>0.28</x:v>
      </x:c>
      <x:c r="I7" s="74" t="n">
        <x:v>0.07</x:v>
      </x:c>
      <x:c r="J7" s="74" t="n">
        <x:v>0</x:v>
      </x:c>
      <x:c r="K7" s="82" t="n">
        <x:v>60</x:v>
      </x:c>
    </x:row>
    <x:row r="8">
      <x:c r="A8" s="45" t="str">
        <x:v>Elite</x:v>
      </x:c>
      <x:c r="B8" s="22" t="str">
        <x:v>41–45</x:v>
      </x:c>
      <x:c r="C8" s="67" t="n">
        <x:v>4</x:v>
      </x:c>
      <x:c r="D8" s="67" t="n">
        <x:v>2</x:v>
      </x:c>
      <x:c r="E8" s="74" t="n">
        <x:v>0.78</x:v>
      </x:c>
      <x:c r="F8" s="74" t="n">
        <x:v>0.1</x:v>
      </x:c>
      <x:c r="G8" s="74" t="n">
        <x:v>0.35</x:v>
      </x:c>
      <x:c r="H8" s="74" t="n">
        <x:v>0.35</x:v>
      </x:c>
      <x:c r="I8" s="74" t="n">
        <x:v>0.18</x:v>
      </x:c>
      <x:c r="J8" s="74" t="n">
        <x:v>0.02</x:v>
      </x:c>
      <x:c r="K8" s="82" t="n">
        <x:v>80</x:v>
      </x:c>
    </x:row>
    <x:row r="9">
      <x:c r="A9" s="47" t="str">
        <x:v>Tycoon</x:v>
      </x:c>
      <x:c r="B9" s="48" t="str">
        <x:v>46–50</x:v>
      </x:c>
      <x:c r="C9" s="68" t="n">
        <x:v>4</x:v>
      </x:c>
      <x:c r="D9" s="68" t="n">
        <x:v>2</x:v>
      </x:c>
      <x:c r="E9" s="83" t="n">
        <x:v>0.82</x:v>
      </x:c>
      <x:c r="F9" s="83" t="n">
        <x:v>0.05</x:v>
      </x:c>
      <x:c r="G9" s="83" t="n">
        <x:v>0.25</x:v>
      </x:c>
      <x:c r="H9" s="83" t="n">
        <x:v>0.35</x:v>
      </x:c>
      <x:c r="I9" s="83" t="n">
        <x:v>0.3</x:v>
      </x:c>
      <x:c r="J9" s="83" t="n">
        <x:v>0.05</x:v>
      </x:c>
      <x:c r="K9" s="84" t="n">
        <x:v>100</x:v>
      </x:c>
    </x:row>
    <x:row r="11">
      <x:c r="A11" s="14" t="str">
        <x:v>Rule</x:v>
      </x:c>
      <x:c r="B11" s="14" t="str">
        <x:v>Humble</x:v>
      </x:c>
      <x:c r="C11" s="14" t="str">
        <x:v>Starter</x:v>
      </x:c>
      <x:c r="D11" s="14" t="str">
        <x:v>Growing</x:v>
      </x:c>
      <x:c r="E11" s="14" t="str">
        <x:v>Established</x:v>
      </x:c>
      <x:c r="F11" s="14" t="str">
        <x:v>Elite</x:v>
      </x:c>
      <x:c r="G11" s="14" t="str">
        <x:v>Tycoon</x:v>
      </x:c>
      <x:c r="H11" t="str"/>
      <x:c r="I11" t="str"/>
      <x:c r="J11" t="str"/>
      <x:c r="K11" t="str"/>
    </x:row>
    <x:row r="12">
      <x:c r="A12" s="42" t="str">
        <x:v>Minimum building tier allowed</x:v>
      </x:c>
      <x:c r="B12" s="43" t="str">
        <x:v>Humble</x:v>
      </x:c>
      <x:c r="C12" s="43" t="str">
        <x:v>Humble</x:v>
      </x:c>
      <x:c r="D12" s="43" t="str">
        <x:v>Starter</x:v>
      </x:c>
      <x:c r="E12" s="43" t="str">
        <x:v>Growing</x:v>
      </x:c>
      <x:c r="F12" s="43" t="str">
        <x:v>Established</x:v>
      </x:c>
      <x:c r="G12" s="44" t="str">
        <x:v>Elite</x:v>
      </x:c>
    </x:row>
    <x:row r="13">
      <x:c r="A13" s="45" t="str">
        <x:v>Max hunt difficulty</x:v>
      </x:c>
      <x:c r="B13" s="22" t="str">
        <x:v>Hard</x:v>
      </x:c>
      <x:c r="C13" s="22" t="str">
        <x:v>Hard</x:v>
      </x:c>
      <x:c r="D13" s="22" t="str">
        <x:v>Elite</x:v>
      </x:c>
      <x:c r="E13" s="22" t="str">
        <x:v>Elite</x:v>
      </x:c>
      <x:c r="F13" s="22" t="str">
        <x:v>Jackpot</x:v>
      </x:c>
      <x:c r="G13" s="46" t="str">
        <x:v>Jackpot</x:v>
      </x:c>
    </x:row>
    <x:row r="14">
      <x:c r="A14" s="45" t="str">
        <x:v>Stock claim enabled</x:v>
      </x:c>
      <x:c r="B14" s="22" t="str">
        <x:v>Yes</x:v>
      </x:c>
      <x:c r="C14" s="22" t="str">
        <x:v>Yes</x:v>
      </x:c>
      <x:c r="D14" s="22" t="str">
        <x:v>Yes</x:v>
      </x:c>
      <x:c r="E14" s="22" t="str">
        <x:v>Yes</x:v>
      </x:c>
      <x:c r="F14" s="22" t="str">
        <x:v>Yes</x:v>
      </x:c>
      <x:c r="G14" s="46" t="str">
        <x:v>Yes</x:v>
      </x:c>
    </x:row>
    <x:row r="15">
      <x:c r="A15" s="45" t="str">
        <x:v>Event hunts enabled</x:v>
      </x:c>
      <x:c r="B15" s="22" t="str">
        <x:v>Limited</x:v>
      </x:c>
      <x:c r="C15" s="22" t="str">
        <x:v>Yes</x:v>
      </x:c>
      <x:c r="D15" s="22" t="str">
        <x:v>Yes</x:v>
      </x:c>
      <x:c r="E15" s="22" t="str">
        <x:v>Yes</x:v>
      </x:c>
      <x:c r="F15" s="22" t="str">
        <x:v>Yes</x:v>
      </x:c>
      <x:c r="G15" s="46" t="str">
        <x:v>Yes</x:v>
      </x:c>
    </x:row>
    <x:row r="16">
      <x:c r="A16" s="45" t="str">
        <x:v>Building-specific hunts</x:v>
      </x:c>
      <x:c r="B16" s="22" t="str">
        <x:v>Yes</x:v>
      </x:c>
      <x:c r="C16" s="22" t="str">
        <x:v>Yes</x:v>
      </x:c>
      <x:c r="D16" s="22" t="str">
        <x:v>Yes</x:v>
      </x:c>
      <x:c r="E16" s="22" t="str">
        <x:v>Yes</x:v>
      </x:c>
      <x:c r="F16" s="22" t="str">
        <x:v>Yes</x:v>
      </x:c>
      <x:c r="G16" s="46" t="str">
        <x:v>Yes</x:v>
      </x:c>
    </x:row>
    <x:row r="17">
      <x:c r="A17" s="47" t="str">
        <x:v>Portfolio/collection hunts</x:v>
      </x:c>
      <x:c r="B17" s="48" t="str">
        <x:v>No</x:v>
      </x:c>
      <x:c r="C17" s="48" t="str">
        <x:v>Limited</x:v>
      </x:c>
      <x:c r="D17" s="48" t="str">
        <x:v>Yes</x:v>
      </x:c>
      <x:c r="E17" s="48" t="str">
        <x:v>Yes</x:v>
      </x:c>
      <x:c r="F17" s="48" t="str">
        <x:v>Yes</x:v>
      </x:c>
      <x:c r="G17" s="49" t="str">
        <x:v>Yes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5" hidden="0" customWidth="1"/>
    <x:col min="13" max="13" width="20" hidden="0" customWidth="1"/>
    <x:col min="14" max="14" width="34" hidden="0" customWidth="1"/>
    <x:col min="15" max="15" width="28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8" customHeight="1">
      <x:c r="A1" s="182" t="str">
        <x:v>Hunt Difficulty, Reward Packets &amp; Score Points</x:v>
      </x:c>
      <x:c r="B1" s="182"/>
      <x:c r="C1" s="182"/>
      <x:c r="D1" s="182"/>
      <x:c r="E1" s="182"/>
      <x:c r="F1" s="182"/>
      <x:c r="G1" s="182"/>
      <x:c r="H1" s="182"/>
      <x:c r="I1" s="182"/>
      <x:c r="J1" s="182"/>
      <x:c r="K1" s="182"/>
      <x:c r="L1" s="189" t="str">
        <x:v>Module Roll Chance</x:v>
      </x:c>
      <x:c r="M1" s="189" t="str">
        <x:v>Module vs Parts Split</x:v>
      </x:c>
      <x:c r="N1" s="189" t="str">
        <x:v>Module Rarity Odds</x:v>
      </x:c>
      <x:c r="O1" s="189" t="str">
        <x:v>Stock Budget Impact</x:v>
      </x:c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L2" s="185"/>
      <x:c r="M2" s="20"/>
      <x:c r="N2" s="20"/>
      <x:c r="O2" s="20"/>
    </x:row>
    <x:row r="3">
      <x:c r="A3" s="14" t="str">
        <x:v>Difficulty</x:v>
      </x:c>
      <x:c r="B3" s="14" t="str">
        <x:v>Target Multiplier</x:v>
      </x:c>
      <x:c r="C3" s="14" t="str">
        <x:v>Duration (hrs)</x:v>
      </x:c>
      <x:c r="D3" s="14" t="str">
        <x:v>Base Hunt Points</x:v>
      </x:c>
      <x:c r="E3" s="14" t="str">
        <x:v>Common %</x:v>
      </x:c>
      <x:c r="F3" s="14" t="str">
        <x:v>Uncommon %</x:v>
      </x:c>
      <x:c r="G3" s="14" t="str">
        <x:v>Rare %</x:v>
      </x:c>
      <x:c r="H3" s="14" t="str">
        <x:v>Epic %</x:v>
      </x:c>
      <x:c r="I3" s="14" t="str">
        <x:v>Legendary %</x:v>
      </x:c>
      <x:c r="J3" s="14" t="str">
        <x:v>Expected Reward Value ($)</x:v>
      </x:c>
      <x:c r="K3" s="14" t="str">
        <x:v>Design Intent</x:v>
      </x:c>
      <x:c r="L3" s="185"/>
      <x:c r="M3" s="20"/>
      <x:c r="N3" s="20"/>
      <x:c r="O3" s="20"/>
    </x:row>
    <x:row r="4">
      <x:c r="A4" s="42" t="str">
        <x:v>Easy</x:v>
      </x:c>
      <x:c r="B4" s="66" t="n">
        <x:v>0.75</x:v>
      </x:c>
      <x:c r="C4" s="66" t="n">
        <x:v>24</x:v>
      </x:c>
      <x:c r="D4" s="66" t="n">
        <x:v>1</x:v>
      </x:c>
      <x:c r="E4" s="80" t="n">
        <x:v>0.75</x:v>
      </x:c>
      <x:c r="F4" s="80" t="n">
        <x:v>0.2</x:v>
      </x:c>
      <x:c r="G4" s="80" t="n">
        <x:v>0.05</x:v>
      </x:c>
      <x:c r="H4" s="80" t="n">
        <x:v>0</x:v>
      </x:c>
      <x:c r="I4" s="80" t="n">
        <x:v>0</x:v>
      </x:c>
      <x:c r="J4" s="106" t="n">
        <x:f>E4*$B$12+F4*$B$13+G4*$B$14+H4*$B$15+I4*$B$16</x:f>
        <x:v>0.15</x:v>
      </x:c>
      <x:c r="K4" s="44" t="str">
        <x:v>Daily accessible mission</x:v>
      </x:c>
      <x:c r="L4" s="185" t="n">
        <x:v>0.05</x:v>
      </x:c>
      <x:c r="M4" s="20" t="str">
        <x:v>70% Module / 30% Parts</x:v>
      </x:c>
      <x:c r="N4" s="20" t="str">
        <x:v>Common 85%; Uncommon 15%</x:v>
      </x:c>
      <x:c r="O4" s="20" t="str">
        <x:v>None; separate Module reward ledger</x:v>
      </x:c>
    </x:row>
    <x:row r="5">
      <x:c r="A5" s="45" t="str">
        <x:v>Standard</x:v>
      </x:c>
      <x:c r="B5" s="67" t="n">
        <x:v>1</x:v>
      </x:c>
      <x:c r="C5" s="67" t="n">
        <x:v>24</x:v>
      </x:c>
      <x:c r="D5" s="67" t="n">
        <x:v>2</x:v>
      </x:c>
      <x:c r="E5" s="74" t="n">
        <x:v>0.5</x:v>
      </x:c>
      <x:c r="F5" s="74" t="n">
        <x:v>0.35</x:v>
      </x:c>
      <x:c r="G5" s="74" t="n">
        <x:v>0.13</x:v>
      </x:c>
      <x:c r="H5" s="74" t="n">
        <x:v>0.02</x:v>
      </x:c>
      <x:c r="I5" s="74" t="n">
        <x:v>0</x:v>
      </x:c>
      <x:c r="J5" s="107" t="n">
        <x:f>E5*$B$12+F5*$B$13+G5*$B$14+H5*$B$15+I5*$B$16</x:f>
        <x:v>0.2225</x:v>
      </x:c>
      <x:c r="K5" s="46" t="str">
        <x:v>Core daily mission</x:v>
      </x:c>
      <x:c r="L5" s="185" t="n">
        <x:v>0.1</x:v>
      </x:c>
      <x:c r="M5" s="20" t="str">
        <x:v>70% Module / 30% Parts</x:v>
      </x:c>
      <x:c r="N5" s="20" t="str">
        <x:v>Common 65%; Uncommon 30%; Rare 5%</x:v>
      </x:c>
      <x:c r="O5" s="20" t="str">
        <x:v>None; separate Module reward ledger</x:v>
      </x:c>
    </x:row>
    <x:row r="6">
      <x:c r="A6" s="45" t="str">
        <x:v>Hard</x:v>
      </x:c>
      <x:c r="B6" s="67" t="n">
        <x:v>1.5</x:v>
      </x:c>
      <x:c r="C6" s="67" t="n">
        <x:v>36</x:v>
      </x:c>
      <x:c r="D6" s="67" t="n">
        <x:v>4</x:v>
      </x:c>
      <x:c r="E6" s="74" t="n">
        <x:v>0.25</x:v>
      </x:c>
      <x:c r="F6" s="74" t="n">
        <x:v>0.35</x:v>
      </x:c>
      <x:c r="G6" s="74" t="n">
        <x:v>0.28</x:v>
      </x:c>
      <x:c r="H6" s="74" t="n">
        <x:v>0.1</x:v>
      </x:c>
      <x:c r="I6" s="74" t="n">
        <x:v>0.02</x:v>
      </x:c>
      <x:c r="J6" s="107" t="n">
        <x:f>E6*$B$12+F6*$B$13+G6*$B$14+H6*$B$15+I6*$B$16</x:f>
        <x:v>0.4025</x:v>
      </x:c>
      <x:c r="K6" s="46" t="str">
        <x:v>Requires developed businesses</x:v>
      </x:c>
      <x:c r="L6" s="185" t="n">
        <x:v>0.18</x:v>
      </x:c>
      <x:c r="M6" s="20" t="str">
        <x:v>70% Module / 30% Parts</x:v>
      </x:c>
      <x:c r="N6" s="20" t="str">
        <x:v>Common 35%; Uncommon 45%; Rare 18%; Epic 2%</x:v>
      </x:c>
      <x:c r="O6" s="20" t="str">
        <x:v>None; separate Module reward ledger</x:v>
      </x:c>
    </x:row>
    <x:row r="7">
      <x:c r="A7" s="45" t="str">
        <x:v>Elite</x:v>
      </x:c>
      <x:c r="B7" s="67" t="n">
        <x:v>2.25</x:v>
      </x:c>
      <x:c r="C7" s="67" t="n">
        <x:v>48</x:v>
      </x:c>
      <x:c r="D7" s="67" t="n">
        <x:v>7</x:v>
      </x:c>
      <x:c r="E7" s="74" t="n">
        <x:v>0.1</x:v>
      </x:c>
      <x:c r="F7" s="74" t="n">
        <x:v>0.25</x:v>
      </x:c>
      <x:c r="G7" s="74" t="n">
        <x:v>0.35</x:v>
      </x:c>
      <x:c r="H7" s="74" t="n">
        <x:v>0.25</x:v>
      </x:c>
      <x:c r="I7" s="74" t="n">
        <x:v>0.05</x:v>
      </x:c>
      <x:c r="J7" s="107" t="n">
        <x:f>E7*$B$12+F7*$B$13+G7*$B$14+H7*$B$15+I7*$B$16</x:f>
        <x:v>0.6225</x:v>
      </x:c>
      <x:c r="K7" s="46" t="str">
        <x:v>High-value strategic objective</x:v>
      </x:c>
      <x:c r="L7" s="185" t="n">
        <x:v>0.28</x:v>
      </x:c>
      <x:c r="M7" s="20" t="str">
        <x:v>70% Module / 30% Parts</x:v>
      </x:c>
      <x:c r="N7" s="20" t="str">
        <x:v>Common 15%; Uncommon 35%; Rare 40%; Epic 9%; Legendary 1%</x:v>
      </x:c>
      <x:c r="O7" s="20" t="str">
        <x:v>None; separate Module reward ledger</x:v>
      </x:c>
    </x:row>
    <x:row r="8">
      <x:c r="A8" s="47" t="str">
        <x:v>Jackpot</x:v>
      </x:c>
      <x:c r="B8" s="68" t="n">
        <x:v>3.5</x:v>
      </x:c>
      <x:c r="C8" s="68" t="n">
        <x:v>72</x:v>
      </x:c>
      <x:c r="D8" s="68" t="n">
        <x:v>12</x:v>
      </x:c>
      <x:c r="E8" s="83" t="n">
        <x:v>0.02</x:v>
      </x:c>
      <x:c r="F8" s="83" t="n">
        <x:v>0.08</x:v>
      </x:c>
      <x:c r="G8" s="83" t="n">
        <x:v>0.25</x:v>
      </x:c>
      <x:c r="H8" s="83" t="n">
        <x:v>0.4</x:v>
      </x:c>
      <x:c r="I8" s="83" t="n">
        <x:v>0.25</x:v>
      </x:c>
      <x:c r="J8" s="108" t="n">
        <x:f>E8*$B$12+F8*$B$13+G8*$B$14+H8*$B$15+I8*$B$16</x:f>
        <x:v>1.1720000000000002</x:v>
      </x:c>
      <x:c r="K8" s="49" t="str">
        <x:v>Rare, memorable opportunity</x:v>
      </x:c>
      <x:c r="L8" s="185" t="n">
        <x:v>0.45</x:v>
      </x:c>
      <x:c r="M8" s="20" t="str">
        <x:v>70% Module / 30% Parts</x:v>
      </x:c>
      <x:c r="N8" s="20" t="str">
        <x:v>Common 5%; Uncommon 20%; Rare 45%; Epic 25%; Legendary 5%</x:v>
      </x:c>
      <x:c r="O8" s="20" t="str">
        <x:v>None; separate Module reward ledger</x:v>
      </x:c>
    </x:row>
    <x:row r="9">
      <x:c r="L9" s="20"/>
      <x:c r="M9" s="20"/>
      <x:c r="N9" s="20"/>
      <x:c r="O9" s="20"/>
    </x:row>
    <x:row r="10" ht="22" customHeight="1">
      <x:c r="A10" s="39" t="str">
        <x:v>Reward Packet Values</x:v>
      </x:c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20"/>
      <x:c r="M10" s="20"/>
      <x:c r="N10" s="20"/>
      <x:c r="O10" s="20"/>
    </x:row>
    <x:row r="11">
      <x:c r="A11" s="14" t="str">
        <x:v>Packet Rarity</x:v>
      </x:c>
      <x:c r="B11" s="14" t="str">
        <x:v>Reward Value ($)</x:v>
      </x:c>
      <x:c r="C11" s="14" t="str">
        <x:v>Relative Weight</x:v>
      </x:c>
      <x:c r="D11" s="14" t="str">
        <x:v>Stock Units Formula</x:v>
      </x:c>
      <x:c r="E11" s="14" t="str">
        <x:v>Visual Treatment</x:v>
      </x:c>
      <x:c r="F11" s="14" t="str">
        <x:v>Notes</x:v>
      </x:c>
      <x:c r="L11" s="20"/>
      <x:c r="M11" s="20"/>
      <x:c r="N11" s="20"/>
      <x:c r="O11" s="20"/>
    </x:row>
    <x:row r="12">
      <x:c r="A12" s="42" t="str">
        <x:v>Common</x:v>
      </x:c>
      <x:c r="B12" s="72" t="n">
        <x:v>0.1</x:v>
      </x:c>
      <x:c r="C12" s="66" t="n">
        <x:v>1</x:v>
      </x:c>
      <x:c r="D12" s="43" t="str">
        <x:v>Reward $ / Oracle Stock Price</x:v>
      </x:c>
      <x:c r="E12" s="43" t="str">
        <x:v>Simple reveal</x:v>
      </x:c>
      <x:c r="F12" s="44" t="str">
        <x:v>Frequent, low-cost</x:v>
      </x:c>
      <x:c r="L12" s="20"/>
      <x:c r="M12" s="20"/>
      <x:c r="N12" s="20"/>
      <x:c r="O12" s="20"/>
    </x:row>
    <x:row r="13">
      <x:c r="A13" s="45" t="str">
        <x:v>Uncommon</x:v>
      </x:c>
      <x:c r="B13" s="96" t="n">
        <x:v>0.25</x:v>
      </x:c>
      <x:c r="C13" s="67" t="n">
        <x:v>2.5</x:v>
      </x:c>
      <x:c r="D13" s="22" t="str">
        <x:v>Reward $ / Oracle Stock Price</x:v>
      </x:c>
      <x:c r="E13" s="22" t="str">
        <x:v>Green/blue reveal</x:v>
      </x:c>
      <x:c r="F13" s="46" t="str">
        <x:v>Noticeably better</x:v>
      </x:c>
      <x:c r="L13" s="20"/>
      <x:c r="M13" s="20"/>
      <x:c r="N13" s="20"/>
      <x:c r="O13" s="20"/>
    </x:row>
    <x:row r="14">
      <x:c r="A14" s="45" t="str">
        <x:v>Rare</x:v>
      </x:c>
      <x:c r="B14" s="96" t="n">
        <x:v>0.5</x:v>
      </x:c>
      <x:c r="C14" s="67" t="n">
        <x:v>5</x:v>
      </x:c>
      <x:c r="D14" s="22" t="str">
        <x:v>Reward $ / Oracle Stock Price</x:v>
      </x:c>
      <x:c r="E14" s="22" t="str">
        <x:v>Premium reveal</x:v>
      </x:c>
      <x:c r="F14" s="46" t="str">
        <x:v>Strong daily win</x:v>
      </x:c>
      <x:c r="L14" s="20"/>
      <x:c r="M14" s="20"/>
      <x:c r="N14" s="20"/>
      <x:c r="O14" s="20"/>
    </x:row>
    <x:row r="15">
      <x:c r="A15" s="45" t="str">
        <x:v>Epic</x:v>
      </x:c>
      <x:c r="B15" s="96" t="n">
        <x:v>1</x:v>
      </x:c>
      <x:c r="C15" s="67" t="n">
        <x:v>10</x:v>
      </x:c>
      <x:c r="D15" s="22" t="str">
        <x:v>Reward $ / Oracle Stock Price</x:v>
      </x:c>
      <x:c r="E15" s="22" t="str">
        <x:v>Animated premium</x:v>
      </x:c>
      <x:c r="F15" s="46" t="str">
        <x:v>Event-quality reward</x:v>
      </x:c>
      <x:c r="L15" s="20"/>
      <x:c r="M15" s="20"/>
      <x:c r="N15" s="20"/>
      <x:c r="O15" s="20"/>
    </x:row>
    <x:row r="16">
      <x:c r="A16" s="47" t="str">
        <x:v>Legendary</x:v>
      </x:c>
      <x:c r="B16" s="97" t="n">
        <x:v>2.5</x:v>
      </x:c>
      <x:c r="C16" s="68" t="n">
        <x:v>25</x:v>
      </x:c>
      <x:c r="D16" s="48" t="str">
        <x:v>Reward $ / Oracle Stock Price</x:v>
      </x:c>
      <x:c r="E16" s="48" t="str">
        <x:v>Full-screen reveal</x:v>
      </x:c>
      <x:c r="F16" s="49" t="str">
        <x:v>Very scarce</x:v>
      </x:c>
      <x:c r="L16" s="20"/>
      <x:c r="M16" s="20"/>
      <x:c r="N16" s="20"/>
      <x:c r="O16" s="20"/>
    </x:row>
  </x:sheetData>
  <x:mergeCells>
    <x:mergeCell ref="A1:K1"/>
    <x:mergeCell ref="A10:K1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8" customHeight="1">
      <x:c r="A1" s="182" t="str">
        <x:v>Stock Catalog, Funding Allocation &amp; Fractional Delivery</x:v>
      </x:c>
      <x:c r="B1" s="182"/>
      <x:c r="C1" s="182"/>
      <x:c r="D1" s="182"/>
      <x:c r="E1" s="182"/>
      <x:c r="F1" s="182"/>
      <x:c r="G1" s="182"/>
      <x:c r="H1" s="182"/>
      <x:c r="I1" s="182"/>
      <x:c r="J1" s="182"/>
      <x:c r="K1" s="182"/>
      <x:c r="L1" s="18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3">
      <x:c r="A3" s="14" t="str">
        <x:v>Ticker</x:v>
      </x:c>
      <x:c r="B3" s="14" t="str">
        <x:v>Collection Sector</x:v>
      </x:c>
      <x:c r="C3" s="14" t="str">
        <x:v>Unlock Stage</x:v>
      </x:c>
      <x:c r="D3" s="14" t="str">
        <x:v>Selection Weight</x:v>
      </x:c>
      <x:c r="E3" s="14" t="str">
        <x:v>Weekly Pool Allocation %</x:v>
      </x:c>
      <x:c r="F3" s="14" t="str">
        <x:v>Oracle Price Input ($)</x:v>
      </x:c>
      <x:c r="G3" s="14" t="str">
        <x:v>Weekly Budget ($)</x:v>
      </x:c>
      <x:c r="H3" s="14" t="str">
        <x:v>Funded Stock Units</x:v>
      </x:c>
      <x:c r="I3" s="14" t="str">
        <x:v>Min Display Precision</x:v>
      </x:c>
      <x:c r="J3" s="14" t="str">
        <x:v>Affinity Tags</x:v>
      </x:c>
      <x:c r="K3" s="14" t="str">
        <x:v>Pool Status</x:v>
      </x:c>
      <x:c r="L3" s="14" t="str">
        <x:v>Notes</x:v>
      </x:c>
    </x:row>
    <x:row r="4">
      <x:c r="A4" s="42" t="str">
        <x:v>AAPL</x:v>
      </x:c>
      <x:c r="B4" s="43" t="str">
        <x:v>Mega Tech</x:v>
      </x:c>
      <x:c r="C4" s="43" t="str">
        <x:v>Humble</x:v>
      </x:c>
      <x:c r="D4" s="66" t="n">
        <x:v>12</x:v>
      </x:c>
      <x:c r="E4" s="80" t="n">
        <x:v>0.12</x:v>
      </x:c>
      <x:c r="F4" s="72" t="n">
        <x:v>100</x:v>
      </x:c>
      <x:c r="G4" s="112" t="n">
        <x:f>'01_Assumptions'!$B$4*E4</x:f>
        <x:v>600</x:v>
      </x:c>
      <x:c r="H4" s="124" t="n">
        <x:f>IF(F4&gt;0,G4/F4,0)</x:f>
        <x:v>6</x:v>
      </x:c>
      <x:c r="I4" s="43" t="str">
        <x:v>0.000001</x:v>
      </x:c>
      <x:c r="J4" s="43" t="str">
        <x:v>Consumer, Brokerage, Research</x:v>
      </x:c>
      <x:c r="K4" s="43" t="str">
        <x:v>OPEN</x:v>
      </x:c>
      <x:c r="L4" s="44" t="str">
        <x:v>Illustrative price input; replace with oracle</x:v>
      </x:c>
    </x:row>
    <x:row r="5">
      <x:c r="A5" s="45" t="str">
        <x:v>NVDA</x:v>
      </x:c>
      <x:c r="B5" s="22" t="str">
        <x:v>AI &amp; Compute</x:v>
      </x:c>
      <x:c r="C5" s="22" t="str">
        <x:v>Starter</x:v>
      </x:c>
      <x:c r="D5" s="67" t="n">
        <x:v>10</x:v>
      </x:c>
      <x:c r="E5" s="74" t="n">
        <x:v>0.1</x:v>
      </x:c>
      <x:c r="F5" s="96" t="n">
        <x:v>100</x:v>
      </x:c>
      <x:c r="G5" s="114" t="n">
        <x:f>'01_Assumptions'!$B$4*E5</x:f>
        <x:v>500</x:v>
      </x:c>
      <x:c r="H5" s="125" t="n">
        <x:f>IF(F5&gt;0,G5/F5,0)</x:f>
        <x:v>5</x:v>
      </x:c>
      <x:c r="I5" s="22" t="str">
        <x:v>0.000001</x:v>
      </x:c>
      <x:c r="J5" s="22" t="str">
        <x:v>Research, Trading, AI</x:v>
      </x:c>
      <x:c r="K5" s="22" t="str">
        <x:v>OPEN</x:v>
      </x:c>
      <x:c r="L5" s="46" t="str">
        <x:v>Illustrative price input; replace with oracle</x:v>
      </x:c>
    </x:row>
    <x:row r="6">
      <x:c r="A6" s="45" t="str">
        <x:v>TSLA</x:v>
      </x:c>
      <x:c r="B6" s="22" t="str">
        <x:v>High Beta</x:v>
      </x:c>
      <x:c r="C6" s="22" t="str">
        <x:v>Starter</x:v>
      </x:c>
      <x:c r="D6" s="67" t="n">
        <x:v>9</x:v>
      </x:c>
      <x:c r="E6" s="74" t="n">
        <x:v>0.09</x:v>
      </x:c>
      <x:c r="F6" s="96" t="n">
        <x:v>100</x:v>
      </x:c>
      <x:c r="G6" s="114" t="n">
        <x:f>'01_Assumptions'!$B$4*E6</x:f>
        <x:v>450</x:v>
      </x:c>
      <x:c r="H6" s="125" t="n">
        <x:f>IF(F6&gt;0,G6/F6,0)</x:f>
        <x:v>4.5</x:v>
      </x:c>
      <x:c r="I6" s="22" t="str">
        <x:v>0.000001</x:v>
      </x:c>
      <x:c r="J6" s="22" t="str">
        <x:v>Trading, Brokerage, Volatility</x:v>
      </x:c>
      <x:c r="K6" s="22" t="str">
        <x:v>OPEN</x:v>
      </x:c>
      <x:c r="L6" s="46" t="str">
        <x:v>Illustrative price input; replace with oracle</x:v>
      </x:c>
    </x:row>
    <x:row r="7">
      <x:c r="A7" s="45" t="str">
        <x:v>MSFT</x:v>
      </x:c>
      <x:c r="B7" s="22" t="str">
        <x:v>Mega Tech</x:v>
      </x:c>
      <x:c r="C7" s="22" t="str">
        <x:v>Humble</x:v>
      </x:c>
      <x:c r="D7" s="67" t="n">
        <x:v>12</x:v>
      </x:c>
      <x:c r="E7" s="74" t="n">
        <x:v>0.12</x:v>
      </x:c>
      <x:c r="F7" s="96" t="n">
        <x:v>100</x:v>
      </x:c>
      <x:c r="G7" s="114" t="n">
        <x:f>'01_Assumptions'!$B$4*E7</x:f>
        <x:v>600</x:v>
      </x:c>
      <x:c r="H7" s="125" t="n">
        <x:f>IF(F7&gt;0,G7/F7,0)</x:f>
        <x:v>6</x:v>
      </x:c>
      <x:c r="I7" s="22" t="str">
        <x:v>0.000001</x:v>
      </x:c>
      <x:c r="J7" s="22" t="str">
        <x:v>Research, Fund, Enterprise</x:v>
      </x:c>
      <x:c r="K7" s="22" t="str">
        <x:v>OPEN</x:v>
      </x:c>
      <x:c r="L7" s="46" t="str">
        <x:v>Illustrative price input; replace with oracle</x:v>
      </x:c>
    </x:row>
    <x:row r="8">
      <x:c r="A8" s="45" t="str">
        <x:v>AMZN</x:v>
      </x:c>
      <x:c r="B8" s="22" t="str">
        <x:v>Consumer Digital</x:v>
      </x:c>
      <x:c r="C8" s="22" t="str">
        <x:v>Humble</x:v>
      </x:c>
      <x:c r="D8" s="67" t="n">
        <x:v>11</x:v>
      </x:c>
      <x:c r="E8" s="74" t="n">
        <x:v>0.11</x:v>
      </x:c>
      <x:c r="F8" s="96" t="n">
        <x:v>100</x:v>
      </x:c>
      <x:c r="G8" s="114" t="n">
        <x:f>'01_Assumptions'!$B$4*E8</x:f>
        <x:v>550</x:v>
      </x:c>
      <x:c r="H8" s="125" t="n">
        <x:f>IF(F8&gt;0,G8/F8,0)</x:f>
        <x:v>5.5</x:v>
      </x:c>
      <x:c r="I8" s="22" t="str">
        <x:v>0.000001</x:v>
      </x:c>
      <x:c r="J8" s="22" t="str">
        <x:v>Consumer, Fund, Brokerage</x:v>
      </x:c>
      <x:c r="K8" s="22" t="str">
        <x:v>OPEN</x:v>
      </x:c>
      <x:c r="L8" s="46" t="str">
        <x:v>Illustrative price input; replace with oracle</x:v>
      </x:c>
    </x:row>
    <x:row r="9">
      <x:c r="A9" s="45" t="str">
        <x:v>GOOGL</x:v>
      </x:c>
      <x:c r="B9" s="22" t="str">
        <x:v>Mega Tech</x:v>
      </x:c>
      <x:c r="C9" s="22" t="str">
        <x:v>Growing</x:v>
      </x:c>
      <x:c r="D9" s="67" t="n">
        <x:v>10</x:v>
      </x:c>
      <x:c r="E9" s="74" t="n">
        <x:v>0.1</x:v>
      </x:c>
      <x:c r="F9" s="96" t="n">
        <x:v>100</x:v>
      </x:c>
      <x:c r="G9" s="114" t="n">
        <x:f>'01_Assumptions'!$B$4*E9</x:f>
        <x:v>500</x:v>
      </x:c>
      <x:c r="H9" s="125" t="n">
        <x:f>IF(F9&gt;0,G9/F9,0)</x:f>
        <x:v>5</x:v>
      </x:c>
      <x:c r="I9" s="22" t="str">
        <x:v>0.000001</x:v>
      </x:c>
      <x:c r="J9" s="22" t="str">
        <x:v>Research, Fund, Data</x:v>
      </x:c>
      <x:c r="K9" s="22" t="str">
        <x:v>OPEN</x:v>
      </x:c>
      <x:c r="L9" s="46" t="str">
        <x:v>Illustrative price input; replace with oracle</x:v>
      </x:c>
    </x:row>
    <x:row r="10">
      <x:c r="A10" s="45" t="str">
        <x:v>META</x:v>
      </x:c>
      <x:c r="B10" s="22" t="str">
        <x:v>Mega Tech</x:v>
      </x:c>
      <x:c r="C10" s="22" t="str">
        <x:v>Growing</x:v>
      </x:c>
      <x:c r="D10" s="67" t="n">
        <x:v>9</x:v>
      </x:c>
      <x:c r="E10" s="74" t="n">
        <x:v>0.09</x:v>
      </x:c>
      <x:c r="F10" s="96" t="n">
        <x:v>100</x:v>
      </x:c>
      <x:c r="G10" s="114" t="n">
        <x:f>'01_Assumptions'!$B$4*E10</x:f>
        <x:v>450</x:v>
      </x:c>
      <x:c r="H10" s="125" t="n">
        <x:f>IF(F10&gt;0,G10/F10,0)</x:f>
        <x:v>4.5</x:v>
      </x:c>
      <x:c r="I10" s="22" t="str">
        <x:v>0.000001</x:v>
      </x:c>
      <x:c r="J10" s="22" t="str">
        <x:v>Consumer, Research, Growth</x:v>
      </x:c>
      <x:c r="K10" s="22" t="str">
        <x:v>OPEN</x:v>
      </x:c>
      <x:c r="L10" s="46" t="str">
        <x:v>Illustrative price input; replace with oracle</x:v>
      </x:c>
    </x:row>
    <x:row r="11">
      <x:c r="A11" s="45" t="str">
        <x:v>COIN</x:v>
      </x:c>
      <x:c r="B11" s="22" t="str">
        <x:v>Market Infrastructure</x:v>
      </x:c>
      <x:c r="C11" s="22" t="str">
        <x:v>Established</x:v>
      </x:c>
      <x:c r="D11" s="67" t="n">
        <x:v>7</x:v>
      </x:c>
      <x:c r="E11" s="74" t="n">
        <x:v>0.07</x:v>
      </x:c>
      <x:c r="F11" s="96" t="n">
        <x:v>100</x:v>
      </x:c>
      <x:c r="G11" s="114" t="n">
        <x:f>'01_Assumptions'!$B$4*E11</x:f>
        <x:v>350.00000000000006</x:v>
      </x:c>
      <x:c r="H11" s="125" t="n">
        <x:f>IF(F11&gt;0,G11/F11,0)</x:f>
        <x:v>3.5000000000000004</x:v>
      </x:c>
      <x:c r="I11" s="22" t="str">
        <x:v>0.000001</x:v>
      </x:c>
      <x:c r="J11" s="22" t="str">
        <x:v>Crypto, Exchange, Trading</x:v>
      </x:c>
      <x:c r="K11" s="22" t="str">
        <x:v>OPEN</x:v>
      </x:c>
      <x:c r="L11" s="46" t="str">
        <x:v>Illustrative price input; replace with oracle</x:v>
      </x:c>
    </x:row>
    <x:row r="12">
      <x:c r="A12" s="45" t="str">
        <x:v>NFLX</x:v>
      </x:c>
      <x:c r="B12" s="22" t="str">
        <x:v>Consumer Digital</x:v>
      </x:c>
      <x:c r="C12" s="22" t="str">
        <x:v>Growing</x:v>
      </x:c>
      <x:c r="D12" s="67" t="n">
        <x:v>8</x:v>
      </x:c>
      <x:c r="E12" s="74" t="n">
        <x:v>0.08</x:v>
      </x:c>
      <x:c r="F12" s="96" t="n">
        <x:v>100</x:v>
      </x:c>
      <x:c r="G12" s="114" t="n">
        <x:f>'01_Assumptions'!$B$4*E12</x:f>
        <x:v>400</x:v>
      </x:c>
      <x:c r="H12" s="125" t="n">
        <x:f>IF(F12&gt;0,G12/F12,0)</x:f>
        <x:v>4</x:v>
      </x:c>
      <x:c r="I12" s="22" t="str">
        <x:v>0.000001</x:v>
      </x:c>
      <x:c r="J12" s="22" t="str">
        <x:v>Consumer, Growth, Fund</x:v>
      </x:c>
      <x:c r="K12" s="22" t="str">
        <x:v>OPEN</x:v>
      </x:c>
      <x:c r="L12" s="46" t="str">
        <x:v>Illustrative price input; replace with oracle</x:v>
      </x:c>
    </x:row>
    <x:row r="13">
      <x:c r="A13" s="47" t="str">
        <x:v>SPY</x:v>
      </x:c>
      <x:c r="B13" s="48" t="str">
        <x:v>Core Market</x:v>
      </x:c>
      <x:c r="C13" s="48" t="str">
        <x:v>Humble</x:v>
      </x:c>
      <x:c r="D13" s="68" t="n">
        <x:v>12</x:v>
      </x:c>
      <x:c r="E13" s="83" t="n">
        <x:v>0.12</x:v>
      </x:c>
      <x:c r="F13" s="97" t="n">
        <x:v>100</x:v>
      </x:c>
      <x:c r="G13" s="116" t="n">
        <x:f>'01_Assumptions'!$B$4*E13</x:f>
        <x:v>600</x:v>
      </x:c>
      <x:c r="H13" s="126" t="n">
        <x:f>IF(F13&gt;0,G13/F13,0)</x:f>
        <x:v>6</x:v>
      </x:c>
      <x:c r="I13" s="48" t="str">
        <x:v>0.000001</x:v>
      </x:c>
      <x:c r="J13" s="48" t="str">
        <x:v>Broad Market, Fund, Savings</x:v>
      </x:c>
      <x:c r="K13" s="48" t="str">
        <x:v>OPEN</x:v>
      </x:c>
      <x:c r="L13" s="49" t="str">
        <x:v>Illustrative price input; replace with oracle</x:v>
      </x:c>
    </x:row>
    <x:row r="15">
      <x:c r="E15" s="14" t="str">
        <x:v>Allocation Check</x:v>
      </x:c>
      <x:c r="F15" s="14" t="str">
        <x:v>Target</x:v>
      </x:c>
      <x:c r="G15" s="14" t="str">
        <x:v>Result</x:v>
      </x:c>
    </x:row>
    <x:row r="16">
      <x:c r="E16" t="str">
        <x:v>Pool Allocation Total</x:v>
      </x:c>
      <x:c r="F16" s="130" t="n">
        <x:v>1</x:v>
      </x:c>
      <x:c r="G16" s="130" t="n">
        <x:f>SUM(E4:E13)</x:f>
        <x:v>1</x:v>
      </x:c>
    </x:row>
  </x:sheetData>
  <x:mergeCells>
    <x:mergeCell ref="A1:L1"/>
  </x:mergeCells>
  <x:conditionalFormatting sqref="G16:G16">
    <x:cfRule type="expression" dxfId="1" priority="1">
      <x:formula>ABS(G16-F16)&gt;0.0001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5" hidden="0" customWidth="1"/>
    <x:col min="3" max="3" width="15" hidden="0" customWidth="1"/>
    <x:col min="4" max="4" width="15" hidden="0" customWidth="1"/>
    <x:col min="5" max="5" width="15" hidden="0" customWidth="1"/>
    <x:col min="6" max="6" width="2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2" hidden="0" customWidth="1"/>
  </x:cols>
  <x:sheetData>
    <x:row r="1" ht="28" customHeight="1">
      <x:c r="A1" s="182" t="str">
        <x:v>Market Hunt Mission Library</x:v>
      </x:c>
      <x:c r="B1" s="182"/>
      <x:c r="C1" s="182"/>
      <x:c r="D1" s="182"/>
      <x:c r="E1" s="182"/>
      <x:c r="F1" s="182"/>
      <x:c r="G1" s="182"/>
      <x:c r="H1" s="182"/>
      <x:c r="I1" s="182"/>
      <x:c r="J1" s="182"/>
      <x:c r="K1" s="182"/>
      <x:c r="L1" s="182"/>
      <x:c r="M1" s="182"/>
      <x:c r="N1" s="18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3">
      <x:c r="A3" s="14" t="str">
        <x:v>ID</x:v>
      </x:c>
      <x:c r="B3" s="14" t="str">
        <x:v>Hunt Name</x:v>
      </x:c>
      <x:c r="C3" s="14" t="str">
        <x:v>Family</x:v>
      </x:c>
      <x:c r="D3" s="14" t="str">
        <x:v>Min Stage</x:v>
      </x:c>
      <x:c r="E3" s="14" t="str">
        <x:v>Difficulty</x:v>
      </x:c>
      <x:c r="F3" s="14" t="str">
        <x:v>Required Business / Tag</x:v>
      </x:c>
      <x:c r="G3" s="14" t="str">
        <x:v>Primary Metric</x:v>
      </x:c>
      <x:c r="H3" s="14" t="str">
        <x:v>Base Target</x:v>
      </x:c>
      <x:c r="I3" s="14" t="str">
        <x:v>Target Unit</x:v>
      </x:c>
      <x:c r="J3" s="14" t="str">
        <x:v>Duration hrs</x:v>
      </x:c>
      <x:c r="K3" s="14" t="str">
        <x:v>Reward Bias</x:v>
      </x:c>
      <x:c r="L3" s="14" t="str">
        <x:v>Hunt Points</x:v>
      </x:c>
      <x:c r="M3" s="14" t="str">
        <x:v>Stock Affinity</x:v>
      </x:c>
      <x:c r="N3" s="14" t="str">
        <x:v>Design Notes</x:v>
      </x:c>
    </x:row>
    <x:row r="4">
      <x:c r="A4" s="42" t="n">
        <x:v>1</x:v>
      </x:c>
      <x:c r="B4" s="43" t="str">
        <x:v>First Customers</x:v>
      </x:c>
      <x:c r="C4" s="43" t="str">
        <x:v>Customers</x:v>
      </x:c>
      <x:c r="D4" s="43" t="str">
        <x:v>Humble</x:v>
      </x:c>
      <x:c r="E4" s="43" t="str">
        <x:v>Easy</x:v>
      </x:c>
      <x:c r="F4" s="43" t="str">
        <x:v>Any customer-facing business</x:v>
      </x:c>
      <x:c r="G4" s="43" t="str">
        <x:v>New customers</x:v>
      </x:c>
      <x:c r="H4" s="138" t="n">
        <x:v>25</x:v>
      </x:c>
      <x:c r="I4" s="43" t="str">
        <x:v>customers</x:v>
      </x:c>
      <x:c r="J4" s="43" t="n">
        <x:v>24</x:v>
      </x:c>
      <x:c r="K4" s="43" t="str">
        <x:v>Common</x:v>
      </x:c>
      <x:c r="L4" s="43" t="n">
        <x:v>1</x:v>
      </x:c>
      <x:c r="M4" s="43" t="str">
        <x:v>Broad</x:v>
      </x:c>
      <x:c r="N4" s="44" t="str">
        <x:v>Intro acquisition mission</x:v>
      </x:c>
    </x:row>
    <x:row r="5">
      <x:c r="A5" s="45" t="n">
        <x:v>2</x:v>
      </x:c>
      <x:c r="B5" s="22" t="str">
        <x:v>Busy Kiosk</x:v>
      </x:c>
      <x:c r="C5" s="22" t="str">
        <x:v>Customers</x:v>
      </x:c>
      <x:c r="D5" s="22" t="str">
        <x:v>Humble</x:v>
      </x:c>
      <x:c r="E5" s="22" t="str">
        <x:v>Easy</x:v>
      </x:c>
      <x:c r="F5" s="22" t="str">
        <x:v>Kiosk / Booth</x:v>
      </x:c>
      <x:c r="G5" s="22" t="str">
        <x:v>Utilization</x:v>
      </x:c>
      <x:c r="H5" s="74" t="n">
        <x:v>0.6</x:v>
      </x:c>
      <x:c r="I5" s="22" t="str">
        <x:v>utilization</x:v>
      </x:c>
      <x:c r="J5" s="22" t="n">
        <x:v>24</x:v>
      </x:c>
      <x:c r="K5" s="22" t="str">
        <x:v>Common</x:v>
      </x:c>
      <x:c r="L5" s="22" t="n">
        <x:v>1</x:v>
      </x:c>
      <x:c r="M5" s="22" t="str">
        <x:v>Broad</x:v>
      </x:c>
      <x:c r="N5" s="46" t="str">
        <x:v>Reach healthy use without maxing capacity</x:v>
      </x:c>
    </x:row>
    <x:row r="6">
      <x:c r="A6" s="45" t="n">
        <x:v>3</x:v>
      </x:c>
      <x:c r="B6" s="22" t="str">
        <x:v>Savings Rush</x:v>
      </x:c>
      <x:c r="C6" s="22" t="str">
        <x:v>Banking</x:v>
      </x:c>
      <x:c r="D6" s="22" t="str">
        <x:v>Humble</x:v>
      </x:c>
      <x:c r="E6" s="22" t="str">
        <x:v>Standard</x:v>
      </x:c>
      <x:c r="F6" s="22" t="str">
        <x:v>Savings / Bank</x:v>
      </x:c>
      <x:c r="G6" s="22" t="str">
        <x:v>Deposits activity</x:v>
      </x:c>
      <x:c r="H6" s="139" t="n">
        <x:v>10000</x:v>
      </x:c>
      <x:c r="I6" s="22" t="str">
        <x:v>Cash activity</x:v>
      </x:c>
      <x:c r="J6" s="22" t="n">
        <x:v>24</x:v>
      </x:c>
      <x:c r="K6" s="22" t="str">
        <x:v>Uncommon</x:v>
      </x:c>
      <x:c r="L6" s="22" t="n">
        <x:v>2</x:v>
      </x:c>
      <x:c r="M6" s="22" t="str">
        <x:v>SPY,AAPL</x:v>
      </x:c>
      <x:c r="N6" s="46" t="str">
        <x:v>Savings-driven hunt</x:v>
      </x:c>
    </x:row>
    <x:row r="7">
      <x:c r="A7" s="45" t="n">
        <x:v>4</x:v>
      </x:c>
      <x:c r="B7" s="22" t="str">
        <x:v>Trade the Session</x:v>
      </x:c>
      <x:c r="C7" s="22" t="str">
        <x:v>Trading</x:v>
      </x:c>
      <x:c r="D7" s="22" t="str">
        <x:v>Humble</x:v>
      </x:c>
      <x:c r="E7" s="22" t="str">
        <x:v>Standard</x:v>
      </x:c>
      <x:c r="F7" s="22" t="str">
        <x:v>Trading Booth / Brokerage</x:v>
      </x:c>
      <x:c r="G7" s="22" t="str">
        <x:v>Trades</x:v>
      </x:c>
      <x:c r="H7" s="139" t="n">
        <x:v>50</x:v>
      </x:c>
      <x:c r="I7" s="22" t="str">
        <x:v>trades</x:v>
      </x:c>
      <x:c r="J7" s="22" t="n">
        <x:v>24</x:v>
      </x:c>
      <x:c r="K7" s="22" t="str">
        <x:v>Uncommon</x:v>
      </x:c>
      <x:c r="L7" s="22" t="n">
        <x:v>2</x:v>
      </x:c>
      <x:c r="M7" s="22" t="str">
        <x:v>AAPL,TSLA</x:v>
      </x:c>
      <x:c r="N7" s="46" t="str">
        <x:v>Entry trading hunt</x:v>
      </x:c>
    </x:row>
    <x:row r="8">
      <x:c r="A8" s="45" t="n">
        <x:v>5</x:v>
      </x:c>
      <x:c r="B8" s="22" t="str">
        <x:v>Cashflow Positive</x:v>
      </x:c>
      <x:c r="C8" s="22" t="str">
        <x:v>Revenue</x:v>
      </x:c>
      <x:c r="D8" s="22" t="str">
        <x:v>Humble</x:v>
      </x:c>
      <x:c r="E8" s="22" t="str">
        <x:v>Easy</x:v>
      </x:c>
      <x:c r="F8" s="22" t="str">
        <x:v>Any</x:v>
      </x:c>
      <x:c r="G8" s="22" t="str">
        <x:v>Net Cash</x:v>
      </x:c>
      <x:c r="H8" s="139" t="n">
        <x:v>5000</x:v>
      </x:c>
      <x:c r="I8" s="22" t="str">
        <x:v>Cash</x:v>
      </x:c>
      <x:c r="J8" s="22" t="n">
        <x:v>24</x:v>
      </x:c>
      <x:c r="K8" s="22" t="str">
        <x:v>Common</x:v>
      </x:c>
      <x:c r="L8" s="22" t="n">
        <x:v>1</x:v>
      </x:c>
      <x:c r="M8" s="22" t="str">
        <x:v>Broad</x:v>
      </x:c>
      <x:c r="N8" s="46" t="str">
        <x:v>Basic business productivity</x:v>
      </x:c>
    </x:row>
    <x:row r="9">
      <x:c r="A9" s="45" t="n">
        <x:v>6</x:v>
      </x:c>
      <x:c r="B9" s="22" t="str">
        <x:v>Reputation Builder</x:v>
      </x:c>
      <x:c r="C9" s="22" t="str">
        <x:v>Customers</x:v>
      </x:c>
      <x:c r="D9" s="22" t="str">
        <x:v>Humble</x:v>
      </x:c>
      <x:c r="E9" s="22" t="str">
        <x:v>Standard</x:v>
      </x:c>
      <x:c r="F9" s="22" t="str">
        <x:v>Any</x:v>
      </x:c>
      <x:c r="G9" s="22" t="str">
        <x:v>Reputation gain</x:v>
      </x:c>
      <x:c r="H9" s="139" t="n">
        <x:v>3</x:v>
      </x:c>
      <x:c r="I9" s="22" t="str">
        <x:v>points</x:v>
      </x:c>
      <x:c r="J9" s="22" t="n">
        <x:v>24</x:v>
      </x:c>
      <x:c r="K9" s="22" t="str">
        <x:v>Uncommon</x:v>
      </x:c>
      <x:c r="L9" s="22" t="n">
        <x:v>2</x:v>
      </x:c>
      <x:c r="M9" s="22" t="str">
        <x:v>Broad</x:v>
      </x:c>
      <x:c r="N9" s="46" t="str">
        <x:v>Rewards service quality</x:v>
      </x:c>
    </x:row>
    <x:row r="10">
      <x:c r="A10" s="45" t="n">
        <x:v>7</x:v>
      </x:c>
      <x:c r="B10" s="22" t="str">
        <x:v>First Upgrade</x:v>
      </x:c>
      <x:c r="C10" s="22" t="str">
        <x:v>Progression</x:v>
      </x:c>
      <x:c r="D10" s="22" t="str">
        <x:v>Humble</x:v>
      </x:c>
      <x:c r="E10" s="22" t="str">
        <x:v>Easy</x:v>
      </x:c>
      <x:c r="F10" s="22" t="str">
        <x:v>Any</x:v>
      </x:c>
      <x:c r="G10" s="22" t="str">
        <x:v>Building upgrades</x:v>
      </x:c>
      <x:c r="H10" s="139" t="n">
        <x:v>1</x:v>
      </x:c>
      <x:c r="I10" s="22" t="str">
        <x:v>upgrade</x:v>
      </x:c>
      <x:c r="J10" s="22" t="n">
        <x:v>24</x:v>
      </x:c>
      <x:c r="K10" s="22" t="str">
        <x:v>Common</x:v>
      </x:c>
      <x:c r="L10" s="22" t="n">
        <x:v>1</x:v>
      </x:c>
      <x:c r="M10" s="22" t="str">
        <x:v>Broad</x:v>
      </x:c>
      <x:c r="N10" s="46" t="str">
        <x:v>Teaches reinvestment</x:v>
      </x:c>
    </x:row>
    <x:row r="11">
      <x:c r="A11" s="45" t="n">
        <x:v>8</x:v>
      </x:c>
      <x:c r="B11" s="22" t="str">
        <x:v>Two-Business Synergy</x:v>
      </x:c>
      <x:c r="C11" s="22" t="str">
        <x:v>Placement</x:v>
      </x:c>
      <x:c r="D11" s="22" t="str">
        <x:v>Humble</x:v>
      </x:c>
      <x:c r="E11" s="22" t="str">
        <x:v>Standard</x:v>
      </x:c>
      <x:c r="F11" s="22" t="str">
        <x:v>Any valid synergy pair</x:v>
      </x:c>
      <x:c r="G11" s="22" t="str">
        <x:v>Synergy uptime</x:v>
      </x:c>
      <x:c r="H11" s="139" t="n">
        <x:v>6</x:v>
      </x:c>
      <x:c r="I11" s="22" t="str">
        <x:v>hours</x:v>
      </x:c>
      <x:c r="J11" s="22" t="n">
        <x:v>24</x:v>
      </x:c>
      <x:c r="K11" s="22" t="str">
        <x:v>Uncommon</x:v>
      </x:c>
      <x:c r="L11" s="22" t="n">
        <x:v>2</x:v>
      </x:c>
      <x:c r="M11" s="22" t="str">
        <x:v>Broad</x:v>
      </x:c>
      <x:c r="N11" s="46" t="str">
        <x:v>Teaches placement relationships</x:v>
      </x:c>
    </x:row>
    <x:row r="12">
      <x:c r="A12" s="45" t="n">
        <x:v>9</x:v>
      </x:c>
      <x:c r="B12" s="22" t="str">
        <x:v>Micro Lending Day</x:v>
      </x:c>
      <x:c r="C12" s="22" t="str">
        <x:v>Lending</x:v>
      </x:c>
      <x:c r="D12" s="22" t="str">
        <x:v>Humble</x:v>
      </x:c>
      <x:c r="E12" s="22" t="str">
        <x:v>Standard</x:v>
      </x:c>
      <x:c r="F12" s="22" t="str">
        <x:v>Micro Loan / Lending</x:v>
      </x:c>
      <x:c r="G12" s="22" t="str">
        <x:v>Loan activity</x:v>
      </x:c>
      <x:c r="H12" s="139" t="n">
        <x:v>8000</x:v>
      </x:c>
      <x:c r="I12" s="22" t="str">
        <x:v>Cash activity</x:v>
      </x:c>
      <x:c r="J12" s="22" t="n">
        <x:v>24</x:v>
      </x:c>
      <x:c r="K12" s="22" t="str">
        <x:v>Uncommon</x:v>
      </x:c>
      <x:c r="L12" s="22" t="n">
        <x:v>2</x:v>
      </x:c>
      <x:c r="M12" s="22" t="str">
        <x:v>SPY,AMZN</x:v>
      </x:c>
      <x:c r="N12" s="46" t="str">
        <x:v>Credit activity</x:v>
      </x:c>
    </x:row>
    <x:row r="13">
      <x:c r="A13" s="45" t="n">
        <x:v>10</x:v>
      </x:c>
      <x:c r="B13" s="22" t="str">
        <x:v>Protect the Customer</x:v>
      </x:c>
      <x:c r="C13" s="22" t="str">
        <x:v>Insurance</x:v>
      </x:c>
      <x:c r="D13" s="22" t="str">
        <x:v>Starter</x:v>
      </x:c>
      <x:c r="E13" s="22" t="str">
        <x:v>Standard</x:v>
      </x:c>
      <x:c r="F13" s="22" t="str">
        <x:v>Insurance</x:v>
      </x:c>
      <x:c r="G13" s="22" t="str">
        <x:v>Policies</x:v>
      </x:c>
      <x:c r="H13" s="139" t="n">
        <x:v>25</x:v>
      </x:c>
      <x:c r="I13" s="22" t="str">
        <x:v>policies</x:v>
      </x:c>
      <x:c r="J13" s="22" t="n">
        <x:v>24</x:v>
      </x:c>
      <x:c r="K13" s="22" t="str">
        <x:v>Uncommon</x:v>
      </x:c>
      <x:c r="L13" s="22" t="n">
        <x:v>2</x:v>
      </x:c>
      <x:c r="M13" s="22" t="str">
        <x:v>Broad</x:v>
      </x:c>
      <x:c r="N13" s="46" t="str">
        <x:v>Insurance usage</x:v>
      </x:c>
    </x:row>
    <x:row r="14">
      <x:c r="A14" s="45" t="n">
        <x:v>11</x:v>
      </x:c>
      <x:c r="B14" s="22" t="str">
        <x:v>Brokerage Momentum</x:v>
      </x:c>
      <x:c r="C14" s="22" t="str">
        <x:v>Trading</x:v>
      </x:c>
      <x:c r="D14" s="22" t="str">
        <x:v>Starter</x:v>
      </x:c>
      <x:c r="E14" s="22" t="str">
        <x:v>Standard</x:v>
      </x:c>
      <x:c r="F14" s="22" t="str">
        <x:v>Brokerage</x:v>
      </x:c>
      <x:c r="G14" s="22" t="str">
        <x:v>Active traders</x:v>
      </x:c>
      <x:c r="H14" s="139" t="n">
        <x:v>100</x:v>
      </x:c>
      <x:c r="I14" s="22" t="str">
        <x:v>traders</x:v>
      </x:c>
      <x:c r="J14" s="22" t="n">
        <x:v>24</x:v>
      </x:c>
      <x:c r="K14" s="22" t="str">
        <x:v>Uncommon</x:v>
      </x:c>
      <x:c r="L14" s="22" t="n">
        <x:v>2</x:v>
      </x:c>
      <x:c r="M14" s="22" t="str">
        <x:v>AAPL,TSLA</x:v>
      </x:c>
      <x:c r="N14" s="46" t="str">
        <x:v>Active brokerage customer base</x:v>
      </x:c>
    </x:row>
    <x:row r="15">
      <x:c r="A15" s="45" t="n">
        <x:v>12</x:v>
      </x:c>
      <x:c r="B15" s="22" t="str">
        <x:v>Volume Breakout</x:v>
      </x:c>
      <x:c r="C15" s="22" t="str">
        <x:v>Trading</x:v>
      </x:c>
      <x:c r="D15" s="22" t="str">
        <x:v>Starter</x:v>
      </x:c>
      <x:c r="E15" s="22" t="str">
        <x:v>Hard</x:v>
      </x:c>
      <x:c r="F15" s="22" t="str">
        <x:v>Brokerage / Trading</x:v>
      </x:c>
      <x:c r="G15" s="22" t="str">
        <x:v>Trading volume</x:v>
      </x:c>
      <x:c r="H15" s="139" t="n">
        <x:v>100000</x:v>
      </x:c>
      <x:c r="I15" s="22" t="str">
        <x:v>Cash volume</x:v>
      </x:c>
      <x:c r="J15" s="22" t="n">
        <x:v>36</x:v>
      </x:c>
      <x:c r="K15" s="22" t="str">
        <x:v>Rare</x:v>
      </x:c>
      <x:c r="L15" s="22" t="n">
        <x:v>4</x:v>
      </x:c>
      <x:c r="M15" s="22" t="str">
        <x:v>TSLA,NVDA</x:v>
      </x:c>
      <x:c r="N15" s="46" t="str">
        <x:v>Volume objective</x:v>
      </x:c>
    </x:row>
    <x:row r="16">
      <x:c r="A16" s="45" t="n">
        <x:v>13</x:v>
      </x:c>
      <x:c r="B16" s="22" t="str">
        <x:v>Research Signal</x:v>
      </x:c>
      <x:c r="C16" s="22" t="str">
        <x:v>Research</x:v>
      </x:c>
      <x:c r="D16" s="22" t="str">
        <x:v>Starter</x:v>
      </x:c>
      <x:c r="E16" s="22" t="str">
        <x:v>Standard</x:v>
      </x:c>
      <x:c r="F16" s="22" t="str">
        <x:v>Research</x:v>
      </x:c>
      <x:c r="G16" s="22" t="str">
        <x:v>Research actions</x:v>
      </x:c>
      <x:c r="H16" s="139" t="n">
        <x:v>5</x:v>
      </x:c>
      <x:c r="I16" s="22" t="str">
        <x:v>actions</x:v>
      </x:c>
      <x:c r="J16" s="22" t="n">
        <x:v>24</x:v>
      </x:c>
      <x:c r="K16" s="22" t="str">
        <x:v>Uncommon</x:v>
      </x:c>
      <x:c r="L16" s="22" t="n">
        <x:v>2</x:v>
      </x:c>
      <x:c r="M16" s="22" t="str">
        <x:v>NVDA,MSFT</x:v>
      </x:c>
      <x:c r="N16" s="46" t="str">
        <x:v>Research loop</x:v>
      </x:c>
    </x:row>
    <x:row r="17">
      <x:c r="A17" s="45" t="n">
        <x:v>14</x:v>
      </x:c>
      <x:c r="B17" s="22" t="str">
        <x:v>Balanced Book</x:v>
      </x:c>
      <x:c r="C17" s="22" t="str">
        <x:v>Banking</x:v>
      </x:c>
      <x:c r="D17" s="22" t="str">
        <x:v>Starter</x:v>
      </x:c>
      <x:c r="E17" s="22" t="str">
        <x:v>Hard</x:v>
      </x:c>
      <x:c r="F17" s="22" t="str">
        <x:v>Bank / Savings</x:v>
      </x:c>
      <x:c r="G17" s="22" t="str">
        <x:v>Utilization band</x:v>
      </x:c>
      <x:c r="H17" s="74" t="n">
        <x:v>0.75</x:v>
      </x:c>
      <x:c r="I17" s="22" t="str">
        <x:v>target midpoint</x:v>
      </x:c>
      <x:c r="J17" s="22" t="n">
        <x:v>36</x:v>
      </x:c>
      <x:c r="K17" s="22" t="str">
        <x:v>Rare</x:v>
      </x:c>
      <x:c r="L17" s="22" t="n">
        <x:v>4</x:v>
      </x:c>
      <x:c r="M17" s="22" t="str">
        <x:v>SPY,MSFT</x:v>
      </x:c>
      <x:c r="N17" s="46" t="str">
        <x:v>Reward healthy capacity</x:v>
      </x:c>
    </x:row>
    <x:row r="18">
      <x:c r="A18" s="45" t="n">
        <x:v>15</x:v>
      </x:c>
      <x:c r="B18" s="22" t="str">
        <x:v>Customer Retention</x:v>
      </x:c>
      <x:c r="C18" s="22" t="str">
        <x:v>Customers</x:v>
      </x:c>
      <x:c r="D18" s="22" t="str">
        <x:v>Starter</x:v>
      </x:c>
      <x:c r="E18" s="22" t="str">
        <x:v>Hard</x:v>
      </x:c>
      <x:c r="F18" s="22" t="str">
        <x:v>Any</x:v>
      </x:c>
      <x:c r="G18" s="22" t="str">
        <x:v>Retention</x:v>
      </x:c>
      <x:c r="H18" s="74" t="n">
        <x:v>0.9</x:v>
      </x:c>
      <x:c r="I18" s="22" t="str">
        <x:v>retention</x:v>
      </x:c>
      <x:c r="J18" s="22" t="n">
        <x:v>36</x:v>
      </x:c>
      <x:c r="K18" s="22" t="str">
        <x:v>Rare</x:v>
      </x:c>
      <x:c r="L18" s="22" t="n">
        <x:v>4</x:v>
      </x:c>
      <x:c r="M18" s="22" t="str">
        <x:v>Broad</x:v>
      </x:c>
      <x:c r="N18" s="46" t="str">
        <x:v>Quality &gt; raw acquisition</x:v>
      </x:c>
    </x:row>
    <x:row r="19">
      <x:c r="A19" s="45" t="n">
        <x:v>16</x:v>
      </x:c>
      <x:c r="B19" s="22" t="str">
        <x:v>Fund Launch</x:v>
      </x:c>
      <x:c r="C19" s="22" t="str">
        <x:v>Fund</x:v>
      </x:c>
      <x:c r="D19" s="22" t="str">
        <x:v>Starter</x:v>
      </x:c>
      <x:c r="E19" s="22" t="str">
        <x:v>Standard</x:v>
      </x:c>
      <x:c r="F19" s="22" t="str">
        <x:v>Fund</x:v>
      </x:c>
      <x:c r="G19" s="22" t="str">
        <x:v>AUM activity</x:v>
      </x:c>
      <x:c r="H19" s="139" t="n">
        <x:v>50000</x:v>
      </x:c>
      <x:c r="I19" s="22" t="str">
        <x:v>Cash AUM</x:v>
      </x:c>
      <x:c r="J19" s="22" t="n">
        <x:v>24</x:v>
      </x:c>
      <x:c r="K19" s="22" t="str">
        <x:v>Uncommon</x:v>
      </x:c>
      <x:c r="L19" s="22" t="n">
        <x:v>2</x:v>
      </x:c>
      <x:c r="M19" s="22" t="str">
        <x:v>SPY,AAPL</x:v>
      </x:c>
      <x:c r="N19" s="46" t="str">
        <x:v>Fund onboarding</x:v>
      </x:c>
    </x:row>
    <x:row r="20">
      <x:c r="A20" s="45" t="n">
        <x:v>17</x:v>
      </x:c>
      <x:c r="B20" s="22" t="str">
        <x:v>Treasury Discipline</x:v>
      </x:c>
      <x:c r="C20" s="22" t="str">
        <x:v>Treasury</x:v>
      </x:c>
      <x:c r="D20" s="22" t="str">
        <x:v>Starter</x:v>
      </x:c>
      <x:c r="E20" s="22" t="str">
        <x:v>Standard</x:v>
      </x:c>
      <x:c r="F20" s="22" t="str">
        <x:v>Treasury / Vault</x:v>
      </x:c>
      <x:c r="G20" s="22" t="str">
        <x:v>Cash reserve ratio</x:v>
      </x:c>
      <x:c r="H20" s="139" t="n">
        <x:v>0.15</x:v>
      </x:c>
      <x:c r="I20" s="22" t="str">
        <x:v>reserve ratio</x:v>
      </x:c>
      <x:c r="J20" s="22" t="n">
        <x:v>24</x:v>
      </x:c>
      <x:c r="K20" s="22" t="str">
        <x:v>Uncommon</x:v>
      </x:c>
      <x:c r="L20" s="22" t="n">
        <x:v>2</x:v>
      </x:c>
      <x:c r="M20" s="22" t="str">
        <x:v>SPY</x:v>
      </x:c>
      <x:c r="N20" s="46" t="str">
        <x:v>Liquidity management</x:v>
      </x:c>
    </x:row>
    <x:row r="21">
      <x:c r="A21" s="45" t="n">
        <x:v>18</x:v>
      </x:c>
      <x:c r="B21" s="22" t="str">
        <x:v>Market Maker Pair</x:v>
      </x:c>
      <x:c r="C21" s="22" t="str">
        <x:v>Liquidity</x:v>
      </x:c>
      <x:c r="D21" s="22" t="str">
        <x:v>Growing</x:v>
      </x:c>
      <x:c r="E21" s="22" t="str">
        <x:v>Hard</x:v>
      </x:c>
      <x:c r="F21" s="22" t="str">
        <x:v>Exchange + Market Maker</x:v>
      </x:c>
      <x:c r="G21" s="22" t="str">
        <x:v>Liquidity activity</x:v>
      </x:c>
      <x:c r="H21" s="139" t="n">
        <x:v>250000</x:v>
      </x:c>
      <x:c r="I21" s="22" t="str">
        <x:v>Cash volume</x:v>
      </x:c>
      <x:c r="J21" s="22" t="n">
        <x:v>36</x:v>
      </x:c>
      <x:c r="K21" s="22" t="str">
        <x:v>Rare</x:v>
      </x:c>
      <x:c r="L21" s="22" t="n">
        <x:v>4</x:v>
      </x:c>
      <x:c r="M21" s="22" t="str">
        <x:v>COIN,TSLA</x:v>
      </x:c>
      <x:c r="N21" s="46" t="str">
        <x:v>Synergy-heavy mission</x:v>
      </x:c>
    </x:row>
    <x:row r="22">
      <x:c r="A22" s="45" t="n">
        <x:v>19</x:v>
      </x:c>
      <x:c r="B22" s="22" t="str">
        <x:v>Fund Inflows</x:v>
      </x:c>
      <x:c r="C22" s="22" t="str">
        <x:v>Fund</x:v>
      </x:c>
      <x:c r="D22" s="22" t="str">
        <x:v>Growing</x:v>
      </x:c>
      <x:c r="E22" s="22" t="str">
        <x:v>Hard</x:v>
      </x:c>
      <x:c r="F22" s="22" t="str">
        <x:v>Fund / Asset Mgmt</x:v>
      </x:c>
      <x:c r="G22" s="22" t="str">
        <x:v>Net inflows</x:v>
      </x:c>
      <x:c r="H22" s="139" t="n">
        <x:v>100000</x:v>
      </x:c>
      <x:c r="I22" s="22" t="str">
        <x:v>Cash</x:v>
      </x:c>
      <x:c r="J22" s="22" t="n">
        <x:v>36</x:v>
      </x:c>
      <x:c r="K22" s="22" t="str">
        <x:v>Rare</x:v>
      </x:c>
      <x:c r="L22" s="22" t="n">
        <x:v>4</x:v>
      </x:c>
      <x:c r="M22" s="22" t="str">
        <x:v>NVDA,MSFT</x:v>
      </x:c>
      <x:c r="N22" s="46" t="str">
        <x:v>Growth of managed capital</x:v>
      </x:c>
    </x:row>
    <x:row r="23">
      <x:c r="A23" s="45" t="n">
        <x:v>20</x:v>
      </x:c>
      <x:c r="B23" s="22" t="str">
        <x:v>Investor Acquisition</x:v>
      </x:c>
      <x:c r="C23" s="22" t="str">
        <x:v>Customers</x:v>
      </x:c>
      <x:c r="D23" s="22" t="str">
        <x:v>Growing</x:v>
      </x:c>
      <x:c r="E23" s="22" t="str">
        <x:v>Standard</x:v>
      </x:c>
      <x:c r="F23" s="22" t="str">
        <x:v>Brokerage / Fund</x:v>
      </x:c>
      <x:c r="G23" s="22" t="str">
        <x:v>New investors</x:v>
      </x:c>
      <x:c r="H23" s="139" t="n">
        <x:v>250</x:v>
      </x:c>
      <x:c r="I23" s="22" t="str">
        <x:v>investors</x:v>
      </x:c>
      <x:c r="J23" s="22" t="n">
        <x:v>24</x:v>
      </x:c>
      <x:c r="K23" s="22" t="str">
        <x:v>Uncommon</x:v>
      </x:c>
      <x:c r="L23" s="22" t="n">
        <x:v>2</x:v>
      </x:c>
      <x:c r="M23" s="22" t="str">
        <x:v>AAPL,AMZN</x:v>
      </x:c>
      <x:c r="N23" s="46" t="str">
        <x:v>Investor segment focus</x:v>
      </x:c>
    </x:row>
    <x:row r="24">
      <x:c r="A24" s="45" t="n">
        <x:v>21</x:v>
      </x:c>
      <x:c r="B24" s="22" t="str">
        <x:v>Research Edge</x:v>
      </x:c>
      <x:c r="C24" s="22" t="str">
        <x:v>Research</x:v>
      </x:c>
      <x:c r="D24" s="22" t="str">
        <x:v>Growing</x:v>
      </x:c>
      <x:c r="E24" s="22" t="str">
        <x:v>Hard</x:v>
      </x:c>
      <x:c r="F24" s="22" t="str">
        <x:v>Research Center</x:v>
      </x:c>
      <x:c r="G24" s="22" t="str">
        <x:v>Successful research actions</x:v>
      </x:c>
      <x:c r="H24" s="139" t="n">
        <x:v>8</x:v>
      </x:c>
      <x:c r="I24" s="22" t="str">
        <x:v>actions</x:v>
      </x:c>
      <x:c r="J24" s="22" t="n">
        <x:v>36</x:v>
      </x:c>
      <x:c r="K24" s="22" t="str">
        <x:v>Rare</x:v>
      </x:c>
      <x:c r="L24" s="22" t="n">
        <x:v>4</x:v>
      </x:c>
      <x:c r="M24" s="22" t="str">
        <x:v>GOOGL,NVDA</x:v>
      </x:c>
      <x:c r="N24" s="46" t="str">
        <x:v>Better stock discovery</x:v>
      </x:c>
    </x:row>
    <x:row r="25">
      <x:c r="A25" s="45" t="n">
        <x:v>22</x:v>
      </x:c>
      <x:c r="B25" s="22" t="str">
        <x:v>Data Throughput</x:v>
      </x:c>
      <x:c r="C25" s="22" t="str">
        <x:v>Infrastructure</x:v>
      </x:c>
      <x:c r="D25" s="22" t="str">
        <x:v>Growing</x:v>
      </x:c>
      <x:c r="E25" s="22" t="str">
        <x:v>Hard</x:v>
      </x:c>
      <x:c r="F25" s="22" t="str">
        <x:v>Data / Digital Finance</x:v>
      </x:c>
      <x:c r="G25" s="22" t="str">
        <x:v>Transactions processed</x:v>
      </x:c>
      <x:c r="H25" s="139" t="n">
        <x:v>5000</x:v>
      </x:c>
      <x:c r="I25" s="22" t="str">
        <x:v>transactions</x:v>
      </x:c>
      <x:c r="J25" s="22" t="n">
        <x:v>36</x:v>
      </x:c>
      <x:c r="K25" s="22" t="str">
        <x:v>Rare</x:v>
      </x:c>
      <x:c r="L25" s="22" t="n">
        <x:v>4</x:v>
      </x:c>
      <x:c r="M25" s="22" t="str">
        <x:v>GOOGL,META</x:v>
      </x:c>
      <x:c r="N25" s="46" t="str">
        <x:v>Infrastructure activity</x:v>
      </x:c>
    </x:row>
    <x:row r="26">
      <x:c r="A26" s="45" t="n">
        <x:v>23</x:v>
      </x:c>
      <x:c r="B26" s="22" t="str">
        <x:v>Wealth Conversion</x:v>
      </x:c>
      <x:c r="C26" s="22" t="str">
        <x:v>Wealth</x:v>
      </x:c>
      <x:c r="D26" s="22" t="str">
        <x:v>Growing</x:v>
      </x:c>
      <x:c r="E26" s="22" t="str">
        <x:v>Hard</x:v>
      </x:c>
      <x:c r="F26" s="22" t="str">
        <x:v>Wealth Mgmt</x:v>
      </x:c>
      <x:c r="G26" s="22" t="str">
        <x:v>HNW conversions</x:v>
      </x:c>
      <x:c r="H26" s="139" t="n">
        <x:v>20</x:v>
      </x:c>
      <x:c r="I26" s="22" t="str">
        <x:v>customers</x:v>
      </x:c>
      <x:c r="J26" s="22" t="n">
        <x:v>36</x:v>
      </x:c>
      <x:c r="K26" s="22" t="str">
        <x:v>Rare</x:v>
      </x:c>
      <x:c r="L26" s="22" t="n">
        <x:v>4</x:v>
      </x:c>
      <x:c r="M26" s="22" t="str">
        <x:v>AAPL,MSFT</x:v>
      </x:c>
      <x:c r="N26" s="46" t="str">
        <x:v>Customer journey progression</x:v>
      </x:c>
    </x:row>
    <x:row r="27">
      <x:c r="A27" s="45" t="n">
        <x:v>24</x:v>
      </x:c>
      <x:c r="B27" s="22" t="str">
        <x:v>Diversified Revenue</x:v>
      </x:c>
      <x:c r="C27" s="22" t="str">
        <x:v>Strategy</x:v>
      </x:c>
      <x:c r="D27" s="22" t="str">
        <x:v>Growing</x:v>
      </x:c>
      <x:c r="E27" s="22" t="str">
        <x:v>Hard</x:v>
      </x:c>
      <x:c r="F27" s="22" t="str">
        <x:v>3+ business categories</x:v>
      </x:c>
      <x:c r="G27" s="22" t="str">
        <x:v>Revenue categories</x:v>
      </x:c>
      <x:c r="H27" s="139" t="n">
        <x:v>3</x:v>
      </x:c>
      <x:c r="I27" s="22" t="str">
        <x:v>categories</x:v>
      </x:c>
      <x:c r="J27" s="22" t="n">
        <x:v>36</x:v>
      </x:c>
      <x:c r="K27" s="22" t="str">
        <x:v>Rare</x:v>
      </x:c>
      <x:c r="L27" s="22" t="n">
        <x:v>4</x:v>
      </x:c>
      <x:c r="M27" s="22" t="str">
        <x:v>Broad</x:v>
      </x:c>
      <x:c r="N27" s="46" t="str">
        <x:v>Discourages single-building meta</x:v>
      </x:c>
    </x:row>
    <x:row r="28">
      <x:c r="A28" s="45" t="n">
        <x:v>25</x:v>
      </x:c>
      <x:c r="B28" s="22" t="str">
        <x:v>No Bottlenecks</x:v>
      </x:c>
      <x:c r="C28" s="22" t="str">
        <x:v>Operations</x:v>
      </x:c>
      <x:c r="D28" s="22" t="str">
        <x:v>Growing</x:v>
      </x:c>
      <x:c r="E28" s="22" t="str">
        <x:v>Standard</x:v>
      </x:c>
      <x:c r="F28" s="22" t="str">
        <x:v>Any 3 businesses</x:v>
      </x:c>
      <x:c r="G28" s="22" t="str">
        <x:v>Capacity under 90%</x:v>
      </x:c>
      <x:c r="H28" s="74" t="n">
        <x:v>3</x:v>
      </x:c>
      <x:c r="I28" s="22" t="str">
        <x:v>businesses</x:v>
      </x:c>
      <x:c r="J28" s="22" t="n">
        <x:v>24</x:v>
      </x:c>
      <x:c r="K28" s="22" t="str">
        <x:v>Uncommon</x:v>
      </x:c>
      <x:c r="L28" s="22" t="n">
        <x:v>2</x:v>
      </x:c>
      <x:c r="M28" s="22" t="str">
        <x:v>Broad</x:v>
      </x:c>
      <x:c r="N28" s="46" t="str">
        <x:v>Capacity discipline</x:v>
      </x:c>
    </x:row>
    <x:row r="29">
      <x:c r="A29" s="45" t="n">
        <x:v>26</x:v>
      </x:c>
      <x:c r="B29" s="22" t="str">
        <x:v>Exchange Day</x:v>
      </x:c>
      <x:c r="C29" s="22" t="str">
        <x:v>Exchange</x:v>
      </x:c>
      <x:c r="D29" s="22" t="str">
        <x:v>Established</x:v>
      </x:c>
      <x:c r="E29" s="22" t="str">
        <x:v>Hard</x:v>
      </x:c>
      <x:c r="F29" s="22" t="str">
        <x:v>Securities Exchange</x:v>
      </x:c>
      <x:c r="G29" s="22" t="str">
        <x:v>Trading volume</x:v>
      </x:c>
      <x:c r="H29" s="139" t="n">
        <x:v>1000000</x:v>
      </x:c>
      <x:c r="I29" s="22" t="str">
        <x:v>Cash volume</x:v>
      </x:c>
      <x:c r="J29" s="22" t="n">
        <x:v>36</x:v>
      </x:c>
      <x:c r="K29" s="22" t="str">
        <x:v>Rare</x:v>
      </x:c>
      <x:c r="L29" s="22" t="n">
        <x:v>4</x:v>
      </x:c>
      <x:c r="M29" s="22" t="str">
        <x:v>COIN,TSLA</x:v>
      </x:c>
      <x:c r="N29" s="46" t="str">
        <x:v>Large market activity</x:v>
      </x:c>
    </x:row>
    <x:row r="30">
      <x:c r="A30" s="45" t="n">
        <x:v>27</x:v>
      </x:c>
      <x:c r="B30" s="22" t="str">
        <x:v>Institutional Flow</x:v>
      </x:c>
      <x:c r="C30" s="22" t="str">
        <x:v>Institutional</x:v>
      </x:c>
      <x:c r="D30" s="22" t="str">
        <x:v>Established</x:v>
      </x:c>
      <x:c r="E30" s="22" t="str">
        <x:v>Elite</x:v>
      </x:c>
      <x:c r="F30" s="22" t="str">
        <x:v>Exchange / Investment Bank</x:v>
      </x:c>
      <x:c r="G30" s="22" t="str">
        <x:v>Institutional clients</x:v>
      </x:c>
      <x:c r="H30" s="139" t="n">
        <x:v>25</x:v>
      </x:c>
      <x:c r="I30" s="22" t="str">
        <x:v>clients</x:v>
      </x:c>
      <x:c r="J30" s="22" t="n">
        <x:v>48</x:v>
      </x:c>
      <x:c r="K30" s="22" t="str">
        <x:v>Epic</x:v>
      </x:c>
      <x:c r="L30" s="22" t="n">
        <x:v>7</x:v>
      </x:c>
      <x:c r="M30" s="22" t="str">
        <x:v>MSFT,SPY</x:v>
      </x:c>
      <x:c r="N30" s="46" t="str">
        <x:v>Institutional gameplay</x:v>
      </x:c>
    </x:row>
    <x:row r="31">
      <x:c r="A31" s="45" t="n">
        <x:v>28</x:v>
      </x:c>
      <x:c r="B31" s="22" t="str">
        <x:v>Corporate Mandate</x:v>
      </x:c>
      <x:c r="C31" s="22" t="str">
        <x:v>Investment Banking</x:v>
      </x:c>
      <x:c r="D31" s="22" t="str">
        <x:v>Established</x:v>
      </x:c>
      <x:c r="E31" s="22" t="str">
        <x:v>Hard</x:v>
      </x:c>
      <x:c r="F31" s="22" t="str">
        <x:v>Investment Bank</x:v>
      </x:c>
      <x:c r="G31" s="22" t="str">
        <x:v>Corporate actions</x:v>
      </x:c>
      <x:c r="H31" s="139" t="n">
        <x:v>3</x:v>
      </x:c>
      <x:c r="I31" s="22" t="str">
        <x:v>actions</x:v>
      </x:c>
      <x:c r="J31" s="22" t="n">
        <x:v>36</x:v>
      </x:c>
      <x:c r="K31" s="22" t="str">
        <x:v>Rare</x:v>
      </x:c>
      <x:c r="L31" s="22" t="n">
        <x:v>4</x:v>
      </x:c>
      <x:c r="M31" s="22" t="str">
        <x:v>SPY,MSFT</x:v>
      </x:c>
      <x:c r="N31" s="46" t="str">
        <x:v>Corporate client activity</x:v>
      </x:c>
    </x:row>
    <x:row r="32">
      <x:c r="A32" s="45" t="n">
        <x:v>29</x:v>
      </x:c>
      <x:c r="B32" s="22" t="str">
        <x:v>Risk-Controlled Growth</x:v>
      </x:c>
      <x:c r="C32" s="22" t="str">
        <x:v>Risk</x:v>
      </x:c>
      <x:c r="D32" s="22" t="str">
        <x:v>Established</x:v>
      </x:c>
      <x:c r="E32" s="22" t="str">
        <x:v>Elite</x:v>
      </x:c>
      <x:c r="F32" s="22" t="str">
        <x:v>Risk / Treasury / Bank</x:v>
      </x:c>
      <x:c r="G32" s="22" t="str">
        <x:v>Growth with risk below threshold</x:v>
      </x:c>
      <x:c r="H32" s="139" t="n">
        <x:v>1</x:v>
      </x:c>
      <x:c r="I32" s="22" t="str">
        <x:v>condition</x:v>
      </x:c>
      <x:c r="J32" s="22" t="n">
        <x:v>48</x:v>
      </x:c>
      <x:c r="K32" s="22" t="str">
        <x:v>Epic</x:v>
      </x:c>
      <x:c r="L32" s="22" t="n">
        <x:v>7</x:v>
      </x:c>
      <x:c r="M32" s="22" t="str">
        <x:v>Broad</x:v>
      </x:c>
      <x:c r="N32" s="46" t="str">
        <x:v>Rewards smart growth</x:v>
      </x:c>
    </x:row>
    <x:row r="33">
      <x:c r="A33" s="45" t="n">
        <x:v>30</x:v>
      </x:c>
      <x:c r="B33" s="22" t="str">
        <x:v>Liquidity Provider</x:v>
      </x:c>
      <x:c r="C33" s="22" t="str">
        <x:v>Liquidity</x:v>
      </x:c>
      <x:c r="D33" s="22" t="str">
        <x:v>Established</x:v>
      </x:c>
      <x:c r="E33" s="22" t="str">
        <x:v>Hard</x:v>
      </x:c>
      <x:c r="F33" s="22" t="str">
        <x:v>Market Maker</x:v>
      </x:c>
      <x:c r="G33" s="22" t="str">
        <x:v>Liquidity activity</x:v>
      </x:c>
      <x:c r="H33" s="139" t="n">
        <x:v>2000000</x:v>
      </x:c>
      <x:c r="I33" s="22" t="str">
        <x:v>Cash volume</x:v>
      </x:c>
      <x:c r="J33" s="22" t="n">
        <x:v>36</x:v>
      </x:c>
      <x:c r="K33" s="22" t="str">
        <x:v>Rare</x:v>
      </x:c>
      <x:c r="L33" s="22" t="n">
        <x:v>4</x:v>
      </x:c>
      <x:c r="M33" s="22" t="str">
        <x:v>COIN</x:v>
      </x:c>
      <x:c r="N33" s="46" t="str">
        <x:v>Liquidity specialization</x:v>
      </x:c>
    </x:row>
    <x:row r="34">
      <x:c r="A34" s="45" t="n">
        <x:v>31</x:v>
      </x:c>
      <x:c r="B34" s="22" t="str">
        <x:v>Private Client Week</x:v>
      </x:c>
      <x:c r="C34" s="22" t="str">
        <x:v>Wealth</x:v>
      </x:c>
      <x:c r="D34" s="22" t="str">
        <x:v>Established</x:v>
      </x:c>
      <x:c r="E34" s="22" t="str">
        <x:v>Elite</x:v>
      </x:c>
      <x:c r="F34" s="22" t="str">
        <x:v>Private Bank / Wealth</x:v>
      </x:c>
      <x:c r="G34" s="22" t="str">
        <x:v>HNW active customers</x:v>
      </x:c>
      <x:c r="H34" s="139" t="n">
        <x:v>100</x:v>
      </x:c>
      <x:c r="I34" s="22" t="str">
        <x:v>customers</x:v>
      </x:c>
      <x:c r="J34" s="22" t="n">
        <x:v>48</x:v>
      </x:c>
      <x:c r="K34" s="22" t="str">
        <x:v>Epic</x:v>
      </x:c>
      <x:c r="L34" s="22" t="n">
        <x:v>7</x:v>
      </x:c>
      <x:c r="M34" s="22" t="str">
        <x:v>AAPL,MSFT</x:v>
      </x:c>
      <x:c r="N34" s="46" t="str">
        <x:v>High value clients</x:v>
      </x:c>
    </x:row>
    <x:row r="35">
      <x:c r="A35" s="45" t="n">
        <x:v>32</x:v>
      </x:c>
      <x:c r="B35" s="22" t="str">
        <x:v>Portfolio Builder</x:v>
      </x:c>
      <x:c r="C35" s="22" t="str">
        <x:v>Portfolio</x:v>
      </x:c>
      <x:c r="D35" s="22" t="str">
        <x:v>Established</x:v>
      </x:c>
      <x:c r="E35" s="22" t="str">
        <x:v>Hard</x:v>
      </x:c>
      <x:c r="F35" s="22" t="str">
        <x:v>Fund / Brokerage</x:v>
      </x:c>
      <x:c r="G35" s="22" t="str">
        <x:v>Distinct stocks owned</x:v>
      </x:c>
      <x:c r="H35" s="139" t="n">
        <x:v>4</x:v>
      </x:c>
      <x:c r="I35" s="22" t="str">
        <x:v>tickers</x:v>
      </x:c>
      <x:c r="J35" s="22" t="n">
        <x:v>36</x:v>
      </x:c>
      <x:c r="K35" s="22" t="str">
        <x:v>Rare</x:v>
      </x:c>
      <x:c r="L35" s="22" t="n">
        <x:v>4</x:v>
      </x:c>
      <x:c r="M35" s="22" t="str">
        <x:v>Broad</x:v>
      </x:c>
      <x:c r="N35" s="46" t="str">
        <x:v>Encourages collections</x:v>
      </x:c>
    </x:row>
    <x:row r="36">
      <x:c r="A36" s="45" t="n">
        <x:v>33</x:v>
      </x:c>
      <x:c r="B36" s="22" t="str">
        <x:v>Tech Rally</x:v>
      </x:c>
      <x:c r="C36" s="22" t="str">
        <x:v>Event</x:v>
      </x:c>
      <x:c r="D36" s="22" t="str">
        <x:v>Growing</x:v>
      </x:c>
      <x:c r="E36" s="22" t="str">
        <x:v>Hard</x:v>
      </x:c>
      <x:c r="F36" s="22" t="str">
        <x:v>Research / Brokerage</x:v>
      </x:c>
      <x:c r="G36" s="22" t="str">
        <x:v>Tech activity</x:v>
      </x:c>
      <x:c r="H36" s="139" t="n">
        <x:v>1</x:v>
      </x:c>
      <x:c r="I36" s="22" t="str">
        <x:v>event objective</x:v>
      </x:c>
      <x:c r="J36" s="22" t="n">
        <x:v>36</x:v>
      </x:c>
      <x:c r="K36" s="22" t="str">
        <x:v>Rare</x:v>
      </x:c>
      <x:c r="L36" s="22" t="n">
        <x:v>4</x:v>
      </x:c>
      <x:c r="M36" s="22" t="str">
        <x:v>NVDA,MSFT,GOOGL,META</x:v>
      </x:c>
      <x:c r="N36" s="46" t="str">
        <x:v>Event hunt</x:v>
      </x:c>
    </x:row>
    <x:row r="37">
      <x:c r="A37" s="45" t="n">
        <x:v>34</x:v>
      </x:c>
      <x:c r="B37" s="22" t="str">
        <x:v>Earnings Window</x:v>
      </x:c>
      <x:c r="C37" s="22" t="str">
        <x:v>Event</x:v>
      </x:c>
      <x:c r="D37" s="22" t="str">
        <x:v>Starter</x:v>
      </x:c>
      <x:c r="E37" s="22" t="str">
        <x:v>Standard</x:v>
      </x:c>
      <x:c r="F37" s="22" t="str">
        <x:v>Brokerage / Research</x:v>
      </x:c>
      <x:c r="G37" s="22" t="str">
        <x:v>Event actions</x:v>
      </x:c>
      <x:c r="H37" s="139" t="n">
        <x:v>3</x:v>
      </x:c>
      <x:c r="I37" s="22" t="str">
        <x:v>actions</x:v>
      </x:c>
      <x:c r="J37" s="22" t="n">
        <x:v>24</x:v>
      </x:c>
      <x:c r="K37" s="22" t="str">
        <x:v>Uncommon</x:v>
      </x:c>
      <x:c r="L37" s="22" t="n">
        <x:v>2</x:v>
      </x:c>
      <x:c r="M37" s="22" t="str">
        <x:v>Event ticker</x:v>
      </x:c>
      <x:c r="N37" s="46" t="str">
        <x:v>Triggered by earnings-style event</x:v>
      </x:c>
    </x:row>
    <x:row r="38">
      <x:c r="A38" s="45" t="n">
        <x:v>35</x:v>
      </x:c>
      <x:c r="B38" s="22" t="str">
        <x:v>Volatility Desk</x:v>
      </x:c>
      <x:c r="C38" s="22" t="str">
        <x:v>Event</x:v>
      </x:c>
      <x:c r="D38" s="22" t="str">
        <x:v>Established</x:v>
      </x:c>
      <x:c r="E38" s="22" t="str">
        <x:v>Elite</x:v>
      </x:c>
      <x:c r="F38" s="22" t="str">
        <x:v>Trading / Market Maker</x:v>
      </x:c>
      <x:c r="G38" s="22" t="str">
        <x:v>Volatility volume</x:v>
      </x:c>
      <x:c r="H38" s="139" t="n">
        <x:v>1</x:v>
      </x:c>
      <x:c r="I38" s="22" t="str">
        <x:v>event objective</x:v>
      </x:c>
      <x:c r="J38" s="22" t="n">
        <x:v>48</x:v>
      </x:c>
      <x:c r="K38" s="22" t="str">
        <x:v>Epic</x:v>
      </x:c>
      <x:c r="L38" s="22" t="n">
        <x:v>7</x:v>
      </x:c>
      <x:c r="M38" s="22" t="str">
        <x:v>TSLA,COIN</x:v>
      </x:c>
      <x:c r="N38" s="46" t="str">
        <x:v>Higher-risk event</x:v>
      </x:c>
    </x:row>
    <x:row r="39">
      <x:c r="A39" s="45" t="n">
        <x:v>36</x:v>
      </x:c>
      <x:c r="B39" s="22" t="str">
        <x:v>Regional Expansion</x:v>
      </x:c>
      <x:c r="C39" s="22" t="str">
        <x:v>Growth</x:v>
      </x:c>
      <x:c r="D39" s="22" t="str">
        <x:v>Established</x:v>
      </x:c>
      <x:c r="E39" s="22" t="str">
        <x:v>Hard</x:v>
      </x:c>
      <x:c r="F39" s="22" t="str">
        <x:v>Regional institution</x:v>
      </x:c>
      <x:c r="G39" s="22" t="str">
        <x:v>New customers</x:v>
      </x:c>
      <x:c r="H39" s="139" t="n">
        <x:v>1000</x:v>
      </x:c>
      <x:c r="I39" s="22" t="str">
        <x:v>customers</x:v>
      </x:c>
      <x:c r="J39" s="22" t="n">
        <x:v>36</x:v>
      </x:c>
      <x:c r="K39" s="22" t="str">
        <x:v>Rare</x:v>
      </x:c>
      <x:c r="L39" s="22" t="n">
        <x:v>4</x:v>
      </x:c>
      <x:c r="M39" s="22" t="str">
        <x:v>Broad</x:v>
      </x:c>
      <x:c r="N39" s="46" t="str">
        <x:v>Late-stage acquisition</x:v>
      </x:c>
    </x:row>
    <x:row r="40">
      <x:c r="A40" s="45" t="n">
        <x:v>37</x:v>
      </x:c>
      <x:c r="B40" s="22" t="str">
        <x:v>Global Session</x:v>
      </x:c>
      <x:c r="C40" s="22" t="str">
        <x:v>Trading</x:v>
      </x:c>
      <x:c r="D40" s="22" t="str">
        <x:v>Elite</x:v>
      </x:c>
      <x:c r="E40" s="22" t="str">
        <x:v>Elite trading institution</x:v>
      </x:c>
      <x:c r="F40" s="22" t="str">
        <x:v>Trading volume</x:v>
      </x:c>
      <x:c r="G40" s="22" t="n">
        <x:v>10000000</x:v>
      </x:c>
      <x:c r="H40" s="139" t="str">
        <x:v>Cash volume</x:v>
      </x:c>
      <x:c r="I40" s="22" t="n">
        <x:v>48</x:v>
      </x:c>
      <x:c r="J40" s="22" t="str">
        <x:v>Epic</x:v>
      </x:c>
      <x:c r="K40" s="22" t="n">
        <x:v>7</x:v>
      </x:c>
      <x:c r="L40" s="22" t="str">
        <x:v>COIN,NVDA</x:v>
      </x:c>
      <x:c r="M40" s="22" t="str">
        <x:v>Elite trading</x:v>
      </x:c>
      <x:c r="N40" s="46"/>
    </x:row>
    <x:row r="41">
      <x:c r="A41" s="45" t="n">
        <x:v>38</x:v>
      </x:c>
      <x:c r="B41" s="22" t="str">
        <x:v>AUM Milestone</x:v>
      </x:c>
      <x:c r="C41" s="22" t="str">
        <x:v>Fund</x:v>
      </x:c>
      <x:c r="D41" s="22" t="str">
        <x:v>Elite</x:v>
      </x:c>
      <x:c r="E41" s="22" t="str">
        <x:v>Elite asset manager</x:v>
      </x:c>
      <x:c r="F41" s="22" t="str">
        <x:v>AUM activity</x:v>
      </x:c>
      <x:c r="G41" s="22" t="n">
        <x:v>5000000</x:v>
      </x:c>
      <x:c r="H41" s="139" t="str">
        <x:v>Cash AUM</x:v>
      </x:c>
      <x:c r="I41" s="22" t="n">
        <x:v>48</x:v>
      </x:c>
      <x:c r="J41" s="22" t="str">
        <x:v>Epic</x:v>
      </x:c>
      <x:c r="K41" s="22" t="n">
        <x:v>7</x:v>
      </x:c>
      <x:c r="L41" s="22" t="str">
        <x:v>SPY,MSFT</x:v>
      </x:c>
      <x:c r="M41" s="22" t="str">
        <x:v>Large fund scale</x:v>
      </x:c>
      <x:c r="N41" s="46"/>
    </x:row>
    <x:row r="42">
      <x:c r="A42" s="45" t="n">
        <x:v>39</x:v>
      </x:c>
      <x:c r="B42" s="22" t="str">
        <x:v>Institutional Reputation</x:v>
      </x:c>
      <x:c r="C42" s="22" t="str">
        <x:v>Reputation</x:v>
      </x:c>
      <x:c r="D42" s="22" t="str">
        <x:v>Elite</x:v>
      </x:c>
      <x:c r="E42" s="22" t="str">
        <x:v>Elite</x:v>
      </x:c>
      <x:c r="F42" s="22" t="str">
        <x:v>Any Elite institution</x:v>
      </x:c>
      <x:c r="G42" s="22" t="str">
        <x:v>Reputation</x:v>
      </x:c>
      <x:c r="H42" s="139" t="n">
        <x:v>90</x:v>
      </x:c>
      <x:c r="I42" s="22" t="str">
        <x:v>score</x:v>
      </x:c>
      <x:c r="J42" s="22" t="n">
        <x:v>48</x:v>
      </x:c>
      <x:c r="K42" s="22" t="str">
        <x:v>Epic</x:v>
      </x:c>
      <x:c r="L42" s="22" t="n">
        <x:v>7</x:v>
      </x:c>
      <x:c r="M42" s="22" t="str">
        <x:v>Broad</x:v>
      </x:c>
      <x:c r="N42" s="46" t="str">
        <x:v>Prestige gate</x:v>
      </x:c>
    </x:row>
    <x:row r="43">
      <x:c r="A43" s="45" t="n">
        <x:v>40</x:v>
      </x:c>
      <x:c r="B43" s="22" t="str">
        <x:v>Global Client Network</x:v>
      </x:c>
      <x:c r="C43" s="22" t="str">
        <x:v>Customers</x:v>
      </x:c>
      <x:c r="D43" s="22" t="str">
        <x:v>Elite</x:v>
      </x:c>
      <x:c r="E43" s="22" t="str">
        <x:v>Elite</x:v>
      </x:c>
      <x:c r="F43" s="22" t="str">
        <x:v>Global institution</x:v>
      </x:c>
      <x:c r="G43" s="22" t="str">
        <x:v>Active customers</x:v>
      </x:c>
      <x:c r="H43" s="139" t="n">
        <x:v>25000</x:v>
      </x:c>
      <x:c r="I43" s="22" t="str">
        <x:v>customers</x:v>
      </x:c>
      <x:c r="J43" s="22" t="n">
        <x:v>48</x:v>
      </x:c>
      <x:c r="K43" s="22" t="str">
        <x:v>Epic</x:v>
      </x:c>
      <x:c r="L43" s="22" t="n">
        <x:v>7</x:v>
      </x:c>
      <x:c r="M43" s="22" t="str">
        <x:v>Broad</x:v>
      </x:c>
      <x:c r="N43" s="46" t="str">
        <x:v>Scale objective</x:v>
      </x:c>
    </x:row>
    <x:row r="44">
      <x:c r="A44" s="45" t="n">
        <x:v>41</x:v>
      </x:c>
      <x:c r="B44" s="22" t="str">
        <x:v>Tycoon Liquidity</x:v>
      </x:c>
      <x:c r="C44" s="22" t="str">
        <x:v>Liquidity</x:v>
      </x:c>
      <x:c r="D44" s="22" t="str">
        <x:v>Tycoon</x:v>
      </x:c>
      <x:c r="E44" s="22" t="str">
        <x:v>Jackpot</x:v>
      </x:c>
      <x:c r="F44" s="22" t="str">
        <x:v>World Exchange / Global Bank</x:v>
      </x:c>
      <x:c r="G44" s="22" t="str">
        <x:v>Liquidity volume</x:v>
      </x:c>
      <x:c r="H44" s="139" t="n">
        <x:v>50000000</x:v>
      </x:c>
      <x:c r="I44" s="22" t="str">
        <x:v>Cash volume</x:v>
      </x:c>
      <x:c r="J44" s="22" t="n">
        <x:v>72</x:v>
      </x:c>
      <x:c r="K44" s="22" t="str">
        <x:v>Legendary</x:v>
      </x:c>
      <x:c r="L44" s="22" t="n">
        <x:v>12</x:v>
      </x:c>
      <x:c r="M44" s="22" t="str">
        <x:v>COIN,SPY</x:v>
      </x:c>
      <x:c r="N44" s="46" t="str">
        <x:v>Endgame hunt</x:v>
      </x:c>
    </x:row>
    <x:row r="45">
      <x:c r="A45" s="45" t="n">
        <x:v>42</x:v>
      </x:c>
      <x:c r="B45" s="22" t="str">
        <x:v>Empire Efficiency</x:v>
      </x:c>
      <x:c r="C45" s="22" t="str">
        <x:v>Strategy</x:v>
      </x:c>
      <x:c r="D45" s="22" t="str">
        <x:v>Tycoon</x:v>
      </x:c>
      <x:c r="E45" s="22" t="str">
        <x:v>Elite</x:v>
      </x:c>
      <x:c r="F45" s="22" t="str">
        <x:v>Empire-wide</x:v>
      </x:c>
      <x:c r="G45" s="22" t="str">
        <x:v>Net margin</x:v>
      </x:c>
      <x:c r="H45" s="74" t="n">
        <x:v>0.35</x:v>
      </x:c>
      <x:c r="I45" s="22" t="str">
        <x:v>margin</x:v>
      </x:c>
      <x:c r="J45" s="22" t="n">
        <x:v>48</x:v>
      </x:c>
      <x:c r="K45" s="22" t="str">
        <x:v>Epic</x:v>
      </x:c>
      <x:c r="L45" s="22" t="n">
        <x:v>7</x:v>
      </x:c>
      <x:c r="M45" s="22" t="str">
        <x:v>Broad</x:v>
      </x:c>
      <x:c r="N45" s="46" t="str">
        <x:v>Efficiency not just size</x:v>
      </x:c>
    </x:row>
    <x:row r="46">
      <x:c r="A46" s="45" t="n">
        <x:v>43</x:v>
      </x:c>
      <x:c r="B46" s="22" t="str">
        <x:v>Diversified Empire</x:v>
      </x:c>
      <x:c r="C46" s="22" t="str">
        <x:v>Strategy</x:v>
      </x:c>
      <x:c r="D46" s="22" t="str">
        <x:v>Tycoon</x:v>
      </x:c>
      <x:c r="E46" s="22" t="str">
        <x:v>Elite</x:v>
      </x:c>
      <x:c r="F46" s="22" t="str">
        <x:v>5+ business categories</x:v>
      </x:c>
      <x:c r="G46" s="22" t="str">
        <x:v>Active categories</x:v>
      </x:c>
      <x:c r="H46" s="139" t="n">
        <x:v>5</x:v>
      </x:c>
      <x:c r="I46" s="22" t="str">
        <x:v>categories</x:v>
      </x:c>
      <x:c r="J46" s="22" t="n">
        <x:v>48</x:v>
      </x:c>
      <x:c r="K46" s="22" t="str">
        <x:v>Epic</x:v>
      </x:c>
      <x:c r="L46" s="22" t="n">
        <x:v>7</x:v>
      </x:c>
      <x:c r="M46" s="22" t="str">
        <x:v>Broad</x:v>
      </x:c>
      <x:c r="N46" s="46" t="str">
        <x:v>Endgame diversification</x:v>
      </x:c>
    </x:row>
    <x:row r="47">
      <x:c r="A47" s="45" t="n">
        <x:v>44</x:v>
      </x:c>
      <x:c r="B47" s="22" t="str">
        <x:v>Global Fund Flow</x:v>
      </x:c>
      <x:c r="C47" s="22" t="str">
        <x:v>Fund</x:v>
      </x:c>
      <x:c r="D47" s="22" t="str">
        <x:v>Tycoon</x:v>
      </x:c>
      <x:c r="E47" s="22" t="str">
        <x:v>Jackpot</x:v>
      </x:c>
      <x:c r="F47" s="22" t="str">
        <x:v>Sovereign Fund / Asset Manager</x:v>
      </x:c>
      <x:c r="G47" s="22" t="str">
        <x:v>AUM activity</x:v>
      </x:c>
      <x:c r="H47" s="139" t="n">
        <x:v>25000000</x:v>
      </x:c>
      <x:c r="I47" s="22" t="str">
        <x:v>Cash AUM</x:v>
      </x:c>
      <x:c r="J47" s="22" t="n">
        <x:v>72</x:v>
      </x:c>
      <x:c r="K47" s="22" t="str">
        <x:v>Legendary</x:v>
      </x:c>
      <x:c r="L47" s="22" t="n">
        <x:v>12</x:v>
      </x:c>
      <x:c r="M47" s="22" t="str">
        <x:v>SPY,NVDA</x:v>
      </x:c>
      <x:c r="N47" s="46" t="str">
        <x:v>Endgame capital hunt</x:v>
      </x:c>
    </x:row>
    <x:row r="48">
      <x:c r="A48" s="47" t="n">
        <x:v>45</x:v>
      </x:c>
      <x:c r="B48" s="48" t="str">
        <x:v>World Market Week</x:v>
      </x:c>
      <x:c r="C48" s="48" t="str">
        <x:v>Event</x:v>
      </x:c>
      <x:c r="D48" s="48" t="str">
        <x:v>Tycoon</x:v>
      </x:c>
      <x:c r="E48" s="48" t="str">
        <x:v>Jackpot</x:v>
      </x:c>
      <x:c r="F48" s="48" t="str">
        <x:v>World Financial Exchange</x:v>
      </x:c>
      <x:c r="G48" s="48" t="str">
        <x:v>Event objective</x:v>
      </x:c>
      <x:c r="H48" s="140" t="n">
        <x:v>1</x:v>
      </x:c>
      <x:c r="I48" s="48" t="str">
        <x:v>condition</x:v>
      </x:c>
      <x:c r="J48" s="48" t="n">
        <x:v>72</x:v>
      </x:c>
      <x:c r="K48" s="48" t="str">
        <x:v>Legendary</x:v>
      </x:c>
      <x:c r="L48" s="48" t="n">
        <x:v>12</x:v>
      </x:c>
      <x:c r="M48" s="48" t="str">
        <x:v>Broad</x:v>
      </x:c>
      <x:c r="N48" s="49" t="str">
        <x:v>Signature event hunt</x:v>
      </x:c>
    </x:row>
  </x:sheetData>
  <x:mergeCells>
    <x:mergeCell ref="A1:N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25" hidden="0" customWidth="1"/>
    <x:col min="7" max="7" width="16" hidden="0" customWidth="1"/>
    <x:col min="8" max="8" width="16" hidden="0" customWidth="1"/>
    <x:col min="9" max="9" width="16" hidden="0" customWidth="1"/>
    <x:col min="10" max="10" width="30" hidden="0" customWidth="1"/>
  </x:cols>
  <x:sheetData>
    <x:row r="1" ht="28" customHeight="1">
      <x:c r="A1" s="182" t="str">
        <x:v>Building → Hunt Family &amp; Stock Affinity Map</x:v>
      </x:c>
      <x:c r="B1" s="182"/>
      <x:c r="C1" s="182"/>
      <x:c r="D1" s="182"/>
      <x:c r="E1" s="182"/>
      <x:c r="F1" s="182"/>
      <x:c r="G1" s="182"/>
      <x:c r="H1" s="182"/>
      <x:c r="I1" s="182"/>
      <x:c r="J1" s="18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3">
      <x:c r="A3" s="14" t="str">
        <x:v>#</x:v>
      </x:c>
      <x:c r="B3" s="14" t="str">
        <x:v>Building</x:v>
      </x:c>
      <x:c r="C3" s="14" t="str">
        <x:v>Stage</x:v>
      </x:c>
      <x:c r="D3" s="14" t="str">
        <x:v>Primary Family</x:v>
      </x:c>
      <x:c r="E3" s="14" t="str">
        <x:v>Secondary Family</x:v>
      </x:c>
      <x:c r="F3" s="14" t="str">
        <x:v>Stock Affinity</x:v>
      </x:c>
      <x:c r="G3" s="14" t="str">
        <x:v>Hunt Spawn Bonus</x:v>
      </x:c>
      <x:c r="H3" s="14" t="str">
        <x:v>Stock Selection Bias</x:v>
      </x:c>
      <x:c r="I3" s="14" t="str">
        <x:v>Min Hunt Difficulty</x:v>
      </x:c>
      <x:c r="J3" s="14" t="str">
        <x:v>Design Role</x:v>
      </x:c>
    </x:row>
    <x:row r="4">
      <x:c r="A4" s="42" t="n">
        <x:v>1</x:v>
      </x:c>
      <x:c r="B4" s="43" t="str">
        <x:v>Cash Kiosk</x:v>
      </x:c>
      <x:c r="C4" s="43" t="str">
        <x:v>Humble</x:v>
      </x:c>
      <x:c r="D4" s="43" t="str">
        <x:v>Strategy</x:v>
      </x:c>
      <x:c r="E4" s="43" t="str">
        <x:v>Customers</x:v>
      </x:c>
      <x:c r="F4" s="43" t="str">
        <x:v>Broad</x:v>
      </x:c>
      <x:c r="G4" s="80" t="n">
        <x:v>0.04</x:v>
      </x:c>
      <x:c r="H4" s="80" t="n">
        <x:v>0.1</x:v>
      </x:c>
      <x:c r="I4" s="43" t="str">
        <x:v>Easy</x:v>
      </x:c>
      <x:c r="J4" s="44" t="str">
        <x:v>General empire hunts</x:v>
      </x:c>
    </x:row>
    <x:row r="5">
      <x:c r="A5" s="45" t="n">
        <x:v>2</x:v>
      </x:c>
      <x:c r="B5" s="22" t="str">
        <x:v>Trading Booth</x:v>
      </x:c>
      <x:c r="C5" s="22" t="str">
        <x:v>Humble</x:v>
      </x:c>
      <x:c r="D5" s="22" t="str">
        <x:v>Trading</x:v>
      </x:c>
      <x:c r="E5" s="22" t="str">
        <x:v>Liquidity</x:v>
      </x:c>
      <x:c r="F5" s="22" t="str">
        <x:v>TSLA,COIN,NVDA</x:v>
      </x:c>
      <x:c r="G5" s="74" t="n">
        <x:v>0.08</x:v>
      </x:c>
      <x:c r="H5" s="74" t="n">
        <x:v>0.25</x:v>
      </x:c>
      <x:c r="I5" s="22" t="str">
        <x:v>Standard</x:v>
      </x:c>
      <x:c r="J5" s="46" t="str">
        <x:v>Drives volume hunts</x:v>
      </x:c>
    </x:row>
    <x:row r="6">
      <x:c r="A6" s="45" t="n">
        <x:v>3</x:v>
      </x:c>
      <x:c r="B6" s="22" t="str">
        <x:v>Savings Stand</x:v>
      </x:c>
      <x:c r="C6" s="22" t="str">
        <x:v>Humble</x:v>
      </x:c>
      <x:c r="D6" s="22" t="str">
        <x:v>Banking</x:v>
      </x:c>
      <x:c r="E6" s="22" t="str">
        <x:v>Customers</x:v>
      </x:c>
      <x:c r="F6" s="22" t="str">
        <x:v>SPY,MSFT,AMZN</x:v>
      </x:c>
      <x:c r="G6" s="74" t="n">
        <x:v>0.06</x:v>
      </x:c>
      <x:c r="H6" s="74" t="n">
        <x:v>0.15</x:v>
      </x:c>
      <x:c r="I6" s="22" t="str">
        <x:v>Easy</x:v>
      </x:c>
      <x:c r="J6" s="46" t="str">
        <x:v>Customer and balance-sheet hunts</x:v>
      </x:c>
    </x:row>
    <x:row r="7">
      <x:c r="A7" s="45" t="n">
        <x:v>4</x:v>
      </x:c>
      <x:c r="B7" s="22" t="str">
        <x:v>Mini Brokerage Desk</x:v>
      </x:c>
      <x:c r="C7" s="22" t="str">
        <x:v>Humble</x:v>
      </x:c>
      <x:c r="D7" s="22" t="str">
        <x:v>Trading</x:v>
      </x:c>
      <x:c r="E7" s="22" t="str">
        <x:v>Customers</x:v>
      </x:c>
      <x:c r="F7" s="22" t="str">
        <x:v>AAPL,TSLA,AMZN</x:v>
      </x:c>
      <x:c r="G7" s="74" t="n">
        <x:v>0.08</x:v>
      </x:c>
      <x:c r="H7" s="74" t="n">
        <x:v>0.25</x:v>
      </x:c>
      <x:c r="I7" s="22" t="str">
        <x:v>Easy</x:v>
      </x:c>
      <x:c r="J7" s="46" t="str">
        <x:v>Drives retail-investor hunts</x:v>
      </x:c>
    </x:row>
    <x:row r="8">
      <x:c r="A8" s="45" t="n">
        <x:v>5</x:v>
      </x:c>
      <x:c r="B8" s="22" t="str">
        <x:v>Market Info Kiosk</x:v>
      </x:c>
      <x:c r="C8" s="22" t="str">
        <x:v>Humble</x:v>
      </x:c>
      <x:c r="D8" s="22" t="str">
        <x:v>Strategy</x:v>
      </x:c>
      <x:c r="E8" s="22" t="str">
        <x:v>Customers</x:v>
      </x:c>
      <x:c r="F8" s="22" t="str">
        <x:v>Broad</x:v>
      </x:c>
      <x:c r="G8" s="74" t="n">
        <x:v>0.04</x:v>
      </x:c>
      <x:c r="H8" s="74" t="n">
        <x:v>0.1</x:v>
      </x:c>
      <x:c r="I8" s="22" t="str">
        <x:v>Easy</x:v>
      </x:c>
      <x:c r="J8" s="46" t="str">
        <x:v>General empire hunts</x:v>
      </x:c>
    </x:row>
    <x:row r="9">
      <x:c r="A9" s="45" t="n">
        <x:v>6</x:v>
      </x:c>
      <x:c r="B9" s="22" t="str">
        <x:v>Micro Loan Booth</x:v>
      </x:c>
      <x:c r="C9" s="22" t="str">
        <x:v>Humble</x:v>
      </x:c>
      <x:c r="D9" s="22" t="str">
        <x:v>Banking</x:v>
      </x:c>
      <x:c r="E9" s="22" t="str">
        <x:v>Customers</x:v>
      </x:c>
      <x:c r="F9" s="22" t="str">
        <x:v>SPY,MSFT,AMZN</x:v>
      </x:c>
      <x:c r="G9" s="74" t="n">
        <x:v>0.06</x:v>
      </x:c>
      <x:c r="H9" s="74" t="n">
        <x:v>0.15</x:v>
      </x:c>
      <x:c r="I9" s="22" t="str">
        <x:v>Easy</x:v>
      </x:c>
      <x:c r="J9" s="46" t="str">
        <x:v>Customer and balance-sheet hunts</x:v>
      </x:c>
    </x:row>
    <x:row r="10">
      <x:c r="A10" s="45" t="n">
        <x:v>7</x:v>
      </x:c>
      <x:c r="B10" s="22" t="str">
        <x:v>Currency Exchange Stand</x:v>
      </x:c>
      <x:c r="C10" s="22" t="str">
        <x:v>Humble</x:v>
      </x:c>
      <x:c r="D10" s="22" t="str">
        <x:v>Trading</x:v>
      </x:c>
      <x:c r="E10" s="22" t="str">
        <x:v>Liquidity</x:v>
      </x:c>
      <x:c r="F10" s="22" t="str">
        <x:v>TSLA,COIN,NVDA</x:v>
      </x:c>
      <x:c r="G10" s="74" t="n">
        <x:v>0.08</x:v>
      </x:c>
      <x:c r="H10" s="74" t="n">
        <x:v>0.25</x:v>
      </x:c>
      <x:c r="I10" s="22" t="str">
        <x:v>Standard</x:v>
      </x:c>
      <x:c r="J10" s="46" t="str">
        <x:v>Drives volume hunts</x:v>
      </x:c>
    </x:row>
    <x:row r="11">
      <x:c r="A11" s="45" t="n">
        <x:v>8</x:v>
      </x:c>
      <x:c r="B11" s="22" t="str">
        <x:v>Insurance Desk</x:v>
      </x:c>
      <x:c r="C11" s="22" t="str">
        <x:v>Humble</x:v>
      </x:c>
      <x:c r="D11" s="22" t="str">
        <x:v>Insurance</x:v>
      </x:c>
      <x:c r="E11" s="22" t="str">
        <x:v>Risk</x:v>
      </x:c>
      <x:c r="F11" s="22" t="str">
        <x:v>SPY,AAPL</x:v>
      </x:c>
      <x:c r="G11" s="74" t="n">
        <x:v>0.05</x:v>
      </x:c>
      <x:c r="H11" s="74" t="n">
        <x:v>0.1</x:v>
      </x:c>
      <x:c r="I11" s="22" t="str">
        <x:v>Standard</x:v>
      </x:c>
      <x:c r="J11" s="46" t="str">
        <x:v>Retention and risk hunts</x:v>
      </x:c>
    </x:row>
    <x:row r="12">
      <x:c r="A12" s="45" t="n">
        <x:v>9</x:v>
      </x:c>
      <x:c r="B12" s="22" t="str">
        <x:v>Investment Advice Booth</x:v>
      </x:c>
      <x:c r="C12" s="22" t="str">
        <x:v>Humble</x:v>
      </x:c>
      <x:c r="D12" s="22" t="str">
        <x:v>Strategy</x:v>
      </x:c>
      <x:c r="E12" s="22" t="str">
        <x:v>Customers</x:v>
      </x:c>
      <x:c r="F12" s="22" t="str">
        <x:v>Broad</x:v>
      </x:c>
      <x:c r="G12" s="74" t="n">
        <x:v>0.04</x:v>
      </x:c>
      <x:c r="H12" s="74" t="n">
        <x:v>0.1</x:v>
      </x:c>
      <x:c r="I12" s="22" t="str">
        <x:v>Easy</x:v>
      </x:c>
      <x:c r="J12" s="46" t="str">
        <x:v>General empire hunts</x:v>
      </x:c>
    </x:row>
    <x:row r="13">
      <x:c r="A13" s="45" t="n">
        <x:v>10</x:v>
      </x:c>
      <x:c r="B13" s="22" t="str">
        <x:v>Secure Cash Locker</x:v>
      </x:c>
      <x:c r="C13" s="22" t="str">
        <x:v>Humble</x:v>
      </x:c>
      <x:c r="D13" s="22" t="str">
        <x:v>Treasury</x:v>
      </x:c>
      <x:c r="E13" s="22" t="str">
        <x:v>Risk</x:v>
      </x:c>
      <x:c r="F13" s="22" t="str">
        <x:v>SPY,MSFT</x:v>
      </x:c>
      <x:c r="G13" s="74" t="n">
        <x:v>0.05</x:v>
      </x:c>
      <x:c r="H13" s="74" t="n">
        <x:v>0.1</x:v>
      </x:c>
      <x:c r="I13" s="22" t="str">
        <x:v>Easy</x:v>
      </x:c>
      <x:c r="J13" s="46" t="str">
        <x:v>Capital-efficiency hunts</x:v>
      </x:c>
    </x:row>
    <x:row r="14">
      <x:c r="A14" s="45" t="n">
        <x:v>11</x:v>
      </x:c>
      <x:c r="B14" s="22" t="str">
        <x:v>Neighborhood Finance Shop</x:v>
      </x:c>
      <x:c r="C14" s="22" t="str">
        <x:v>Starter</x:v>
      </x:c>
      <x:c r="D14" s="22" t="str">
        <x:v>Strategy</x:v>
      </x:c>
      <x:c r="E14" s="22" t="str">
        <x:v>Customers</x:v>
      </x:c>
      <x:c r="F14" s="22" t="str">
        <x:v>Broad</x:v>
      </x:c>
      <x:c r="G14" s="74" t="n">
        <x:v>0.04</x:v>
      </x:c>
      <x:c r="H14" s="74" t="n">
        <x:v>0.1</x:v>
      </x:c>
      <x:c r="I14" s="22" t="str">
        <x:v>Easy</x:v>
      </x:c>
      <x:c r="J14" s="46" t="str">
        <x:v>General empire hunts</x:v>
      </x:c>
    </x:row>
    <x:row r="15">
      <x:c r="A15" s="45" t="n">
        <x:v>12</x:v>
      </x:c>
      <x:c r="B15" s="22" t="str">
        <x:v>Small Brokerage Office</x:v>
      </x:c>
      <x:c r="C15" s="22" t="str">
        <x:v>Starter</x:v>
      </x:c>
      <x:c r="D15" s="22" t="str">
        <x:v>Trading</x:v>
      </x:c>
      <x:c r="E15" s="22" t="str">
        <x:v>Customers</x:v>
      </x:c>
      <x:c r="F15" s="22" t="str">
        <x:v>AAPL,TSLA,AMZN</x:v>
      </x:c>
      <x:c r="G15" s="74" t="n">
        <x:v>0.08</x:v>
      </x:c>
      <x:c r="H15" s="74" t="n">
        <x:v>0.25</x:v>
      </x:c>
      <x:c r="I15" s="22" t="str">
        <x:v>Easy</x:v>
      </x:c>
      <x:c r="J15" s="46" t="str">
        <x:v>Drives retail-investor hunts</x:v>
      </x:c>
    </x:row>
    <x:row r="16">
      <x:c r="A16" s="45" t="n">
        <x:v>13</x:v>
      </x:c>
      <x:c r="B16" s="22" t="str">
        <x:v>Local Savings Office</x:v>
      </x:c>
      <x:c r="C16" s="22" t="str">
        <x:v>Starter</x:v>
      </x:c>
      <x:c r="D16" s="22" t="str">
        <x:v>Banking</x:v>
      </x:c>
      <x:c r="E16" s="22" t="str">
        <x:v>Customers</x:v>
      </x:c>
      <x:c r="F16" s="22" t="str">
        <x:v>SPY,MSFT,AMZN</x:v>
      </x:c>
      <x:c r="G16" s="74" t="n">
        <x:v>0.06</x:v>
      </x:c>
      <x:c r="H16" s="74" t="n">
        <x:v>0.15</x:v>
      </x:c>
      <x:c r="I16" s="22" t="str">
        <x:v>Easy</x:v>
      </x:c>
      <x:c r="J16" s="46" t="str">
        <x:v>Customer and balance-sheet hunts</x:v>
      </x:c>
    </x:row>
    <x:row r="17">
      <x:c r="A17" s="45" t="n">
        <x:v>14</x:v>
      </x:c>
      <x:c r="B17" s="22" t="str">
        <x:v>Microfinance Office</x:v>
      </x:c>
      <x:c r="C17" s="22" t="str">
        <x:v>Starter</x:v>
      </x:c>
      <x:c r="D17" s="22" t="str">
        <x:v>Banking</x:v>
      </x:c>
      <x:c r="E17" s="22" t="str">
        <x:v>Customers</x:v>
      </x:c>
      <x:c r="F17" s="22" t="str">
        <x:v>SPY,MSFT,AMZN</x:v>
      </x:c>
      <x:c r="G17" s="74" t="n">
        <x:v>0.06</x:v>
      </x:c>
      <x:c r="H17" s="74" t="n">
        <x:v>0.15</x:v>
      </x:c>
      <x:c r="I17" s="22" t="str">
        <x:v>Easy</x:v>
      </x:c>
      <x:c r="J17" s="46" t="str">
        <x:v>Customer and balance-sheet hunts</x:v>
      </x:c>
    </x:row>
    <x:row r="18">
      <x:c r="A18" s="45" t="n">
        <x:v>15</x:v>
      </x:c>
      <x:c r="B18" s="22" t="str">
        <x:v>Trading Room</x:v>
      </x:c>
      <x:c r="C18" s="22" t="str">
        <x:v>Starter</x:v>
      </x:c>
      <x:c r="D18" s="22" t="str">
        <x:v>Trading</x:v>
      </x:c>
      <x:c r="E18" s="22" t="str">
        <x:v>Liquidity</x:v>
      </x:c>
      <x:c r="F18" s="22" t="str">
        <x:v>TSLA,COIN,NVDA</x:v>
      </x:c>
      <x:c r="G18" s="74" t="n">
        <x:v>0.08</x:v>
      </x:c>
      <x:c r="H18" s="74" t="n">
        <x:v>0.25</x:v>
      </x:c>
      <x:c r="I18" s="22" t="str">
        <x:v>Standard</x:v>
      </x:c>
      <x:c r="J18" s="46" t="str">
        <x:v>Drives volume hunts</x:v>
      </x:c>
    </x:row>
    <x:row r="19">
      <x:c r="A19" s="45" t="n">
        <x:v>16</x:v>
      </x:c>
      <x:c r="B19" s="22" t="str">
        <x:v>Small Research Office</x:v>
      </x:c>
      <x:c r="C19" s="22" t="str">
        <x:v>Starter</x:v>
      </x:c>
      <x:c r="D19" s="22" t="str">
        <x:v>Research</x:v>
      </x:c>
      <x:c r="E19" s="22" t="str">
        <x:v>Portfolio</x:v>
      </x:c>
      <x:c r="F19" s="22" t="str">
        <x:v>NVDA,MSFT,GOOGL,META</x:v>
      </x:c>
      <x:c r="G19" s="74" t="n">
        <x:v>0.1</x:v>
      </x:c>
      <x:c r="H19" s="74" t="n">
        <x:v>0.3</x:v>
      </x:c>
      <x:c r="I19" s="22" t="str">
        <x:v>Standard</x:v>
      </x:c>
      <x:c r="J19" s="46" t="str">
        <x:v>Improves discovery quality</x:v>
      </x:c>
    </x:row>
    <x:row r="20">
      <x:c r="A20" s="45" t="n">
        <x:v>17</x:v>
      </x:c>
      <x:c r="B20" s="22" t="str">
        <x:v>Local Insurance Office</x:v>
      </x:c>
      <x:c r="C20" s="22" t="str">
        <x:v>Starter</x:v>
      </x:c>
      <x:c r="D20" s="22" t="str">
        <x:v>Insurance</x:v>
      </x:c>
      <x:c r="E20" s="22" t="str">
        <x:v>Risk</x:v>
      </x:c>
      <x:c r="F20" s="22" t="str">
        <x:v>SPY,AAPL</x:v>
      </x:c>
      <x:c r="G20" s="74" t="n">
        <x:v>0.05</x:v>
      </x:c>
      <x:c r="H20" s="74" t="n">
        <x:v>0.1</x:v>
      </x:c>
      <x:c r="I20" s="22" t="str">
        <x:v>Standard</x:v>
      </x:c>
      <x:c r="J20" s="46" t="str">
        <x:v>Retention and risk hunts</x:v>
      </x:c>
    </x:row>
    <x:row r="21">
      <x:c r="A21" s="45" t="n">
        <x:v>18</x:v>
      </x:c>
      <x:c r="B21" s="22" t="str">
        <x:v>Treasury Office</x:v>
      </x:c>
      <x:c r="C21" s="22" t="str">
        <x:v>Starter</x:v>
      </x:c>
      <x:c r="D21" s="22" t="str">
        <x:v>Treasury</x:v>
      </x:c>
      <x:c r="E21" s="22" t="str">
        <x:v>Risk</x:v>
      </x:c>
      <x:c r="F21" s="22" t="str">
        <x:v>SPY,MSFT</x:v>
      </x:c>
      <x:c r="G21" s="74" t="n">
        <x:v>0.05</x:v>
      </x:c>
      <x:c r="H21" s="74" t="n">
        <x:v>0.1</x:v>
      </x:c>
      <x:c r="I21" s="22" t="str">
        <x:v>Easy</x:v>
      </x:c>
      <x:c r="J21" s="46" t="str">
        <x:v>Capital-efficiency hunts</x:v>
      </x:c>
    </x:row>
    <x:row r="22">
      <x:c r="A22" s="45" t="n">
        <x:v>19</x:v>
      </x:c>
      <x:c r="B22" s="22" t="str">
        <x:v>Small Fund Office</x:v>
      </x:c>
      <x:c r="C22" s="22" t="str">
        <x:v>Starter</x:v>
      </x:c>
      <x:c r="D22" s="22" t="str">
        <x:v>Fund</x:v>
      </x:c>
      <x:c r="E22" s="22" t="str">
        <x:v>Portfolio</x:v>
      </x:c>
      <x:c r="F22" s="22" t="str">
        <x:v>SPY,MSFT,AAPL,NVDA</x:v>
      </x:c>
      <x:c r="G22" s="74" t="n">
        <x:v>0.07</x:v>
      </x:c>
      <x:c r="H22" s="74" t="n">
        <x:v>0.2</x:v>
      </x:c>
      <x:c r="I22" s="22" t="str">
        <x:v>Standard</x:v>
      </x:c>
      <x:c r="J22" s="46" t="str">
        <x:v>AUM and portfolio hunts</x:v>
      </x:c>
    </x:row>
    <x:row r="23">
      <x:c r="A23" s="45" t="n">
        <x:v>20</x:v>
      </x:c>
      <x:c r="B23" s="22" t="str">
        <x:v>Financial Services Hub</x:v>
      </x:c>
      <x:c r="C23" s="22" t="str">
        <x:v>Starter</x:v>
      </x:c>
      <x:c r="D23" s="22" t="str">
        <x:v>Strategy</x:v>
      </x:c>
      <x:c r="E23" s="22" t="str">
        <x:v>Customers</x:v>
      </x:c>
      <x:c r="F23" s="22" t="str">
        <x:v>Broad</x:v>
      </x:c>
      <x:c r="G23" s="74" t="n">
        <x:v>0.04</x:v>
      </x:c>
      <x:c r="H23" s="74" t="n">
        <x:v>0.1</x:v>
      </x:c>
      <x:c r="I23" s="22" t="str">
        <x:v>Easy</x:v>
      </x:c>
      <x:c r="J23" s="46" t="str">
        <x:v>General empire hunts</x:v>
      </x:c>
    </x:row>
    <x:row r="24">
      <x:c r="A24" s="45" t="n">
        <x:v>21</x:v>
      </x:c>
      <x:c r="B24" s="22" t="str">
        <x:v>Community Bank Branch</x:v>
      </x:c>
      <x:c r="C24" s="22" t="str">
        <x:v>Growing</x:v>
      </x:c>
      <x:c r="D24" s="22" t="str">
        <x:v>Banking</x:v>
      </x:c>
      <x:c r="E24" s="22" t="str">
        <x:v>Customers</x:v>
      </x:c>
      <x:c r="F24" s="22" t="str">
        <x:v>SPY,MSFT,AMZN</x:v>
      </x:c>
      <x:c r="G24" s="74" t="n">
        <x:v>0.06</x:v>
      </x:c>
      <x:c r="H24" s="74" t="n">
        <x:v>0.15</x:v>
      </x:c>
      <x:c r="I24" s="22" t="str">
        <x:v>Easy</x:v>
      </x:c>
      <x:c r="J24" s="46" t="str">
        <x:v>Customer and balance-sheet hunts</x:v>
      </x:c>
    </x:row>
    <x:row r="25">
      <x:c r="A25" s="45" t="n">
        <x:v>22</x:v>
      </x:c>
      <x:c r="B25" s="22" t="str">
        <x:v>Brokerage House</x:v>
      </x:c>
      <x:c r="C25" s="22" t="str">
        <x:v>Growing</x:v>
      </x:c>
      <x:c r="D25" s="22" t="str">
        <x:v>Trading</x:v>
      </x:c>
      <x:c r="E25" s="22" t="str">
        <x:v>Customers</x:v>
      </x:c>
      <x:c r="F25" s="22" t="str">
        <x:v>AAPL,TSLA,AMZN</x:v>
      </x:c>
      <x:c r="G25" s="74" t="n">
        <x:v>0.08</x:v>
      </x:c>
      <x:c r="H25" s="74" t="n">
        <x:v>0.25</x:v>
      </x:c>
      <x:c r="I25" s="22" t="str">
        <x:v>Easy</x:v>
      </x:c>
      <x:c r="J25" s="46" t="str">
        <x:v>Drives retail-investor hunts</x:v>
      </x:c>
    </x:row>
    <x:row r="26">
      <x:c r="A26" s="45" t="n">
        <x:v>23</x:v>
      </x:c>
      <x:c r="B26" s="22" t="str">
        <x:v>Investment Advisory Firm</x:v>
      </x:c>
      <x:c r="C26" s="22" t="str">
        <x:v>Growing</x:v>
      </x:c>
      <x:c r="D26" s="22" t="str">
        <x:v>Fund</x:v>
      </x:c>
      <x:c r="E26" s="22" t="str">
        <x:v>Portfolio</x:v>
      </x:c>
      <x:c r="F26" s="22" t="str">
        <x:v>SPY,MSFT,AAPL,NVDA</x:v>
      </x:c>
      <x:c r="G26" s="74" t="n">
        <x:v>0.07</x:v>
      </x:c>
      <x:c r="H26" s="74" t="n">
        <x:v>0.2</x:v>
      </x:c>
      <x:c r="I26" s="22" t="str">
        <x:v>Standard</x:v>
      </x:c>
      <x:c r="J26" s="46" t="str">
        <x:v>AUM and portfolio hunts</x:v>
      </x:c>
    </x:row>
    <x:row r="27">
      <x:c r="A27" s="45" t="n">
        <x:v>24</x:v>
      </x:c>
      <x:c r="B27" s="22" t="str">
        <x:v>Asset Management Office</x:v>
      </x:c>
      <x:c r="C27" s="22" t="str">
        <x:v>Growing</x:v>
      </x:c>
      <x:c r="D27" s="22" t="str">
        <x:v>Fund</x:v>
      </x:c>
      <x:c r="E27" s="22" t="str">
        <x:v>Portfolio</x:v>
      </x:c>
      <x:c r="F27" s="22" t="str">
        <x:v>SPY,MSFT,AAPL,NVDA</x:v>
      </x:c>
      <x:c r="G27" s="74" t="n">
        <x:v>0.07</x:v>
      </x:c>
      <x:c r="H27" s="74" t="n">
        <x:v>0.2</x:v>
      </x:c>
      <x:c r="I27" s="22" t="str">
        <x:v>Standard</x:v>
      </x:c>
      <x:c r="J27" s="46" t="str">
        <x:v>AUM and portfolio hunts</x:v>
      </x:c>
    </x:row>
    <x:row r="28">
      <x:c r="A28" s="45" t="n">
        <x:v>25</x:v>
      </x:c>
      <x:c r="B28" s="22" t="str">
        <x:v>Market Research Center</x:v>
      </x:c>
      <x:c r="C28" s="22" t="str">
        <x:v>Growing</x:v>
      </x:c>
      <x:c r="D28" s="22" t="str">
        <x:v>Research</x:v>
      </x:c>
      <x:c r="E28" s="22" t="str">
        <x:v>Portfolio</x:v>
      </x:c>
      <x:c r="F28" s="22" t="str">
        <x:v>NVDA,MSFT,GOOGL,META</x:v>
      </x:c>
      <x:c r="G28" s="74" t="n">
        <x:v>0.1</x:v>
      </x:c>
      <x:c r="H28" s="74" t="n">
        <x:v>0.3</x:v>
      </x:c>
      <x:c r="I28" s="22" t="str">
        <x:v>Standard</x:v>
      </x:c>
      <x:c r="J28" s="46" t="str">
        <x:v>Improves discovery quality</x:v>
      </x:c>
    </x:row>
    <x:row r="29">
      <x:c r="A29" s="45" t="n">
        <x:v>26</x:v>
      </x:c>
      <x:c r="B29" s="22" t="str">
        <x:v>Lending Center</x:v>
      </x:c>
      <x:c r="C29" s="22" t="str">
        <x:v>Growing</x:v>
      </x:c>
      <x:c r="D29" s="22" t="str">
        <x:v>Strategy</x:v>
      </x:c>
      <x:c r="E29" s="22" t="str">
        <x:v>Customers</x:v>
      </x:c>
      <x:c r="F29" s="22" t="str">
        <x:v>Broad</x:v>
      </x:c>
      <x:c r="G29" s="74" t="n">
        <x:v>0.04</x:v>
      </x:c>
      <x:c r="H29" s="74" t="n">
        <x:v>0.1</x:v>
      </x:c>
      <x:c r="I29" s="22" t="str">
        <x:v>Easy</x:v>
      </x:c>
      <x:c r="J29" s="46" t="str">
        <x:v>General empire hunts</x:v>
      </x:c>
    </x:row>
    <x:row r="30">
      <x:c r="A30" s="45" t="n">
        <x:v>27</x:v>
      </x:c>
      <x:c r="B30" s="22" t="str">
        <x:v>Wealth Management Office</x:v>
      </x:c>
      <x:c r="C30" s="22" t="str">
        <x:v>Growing</x:v>
      </x:c>
      <x:c r="D30" s="22" t="str">
        <x:v>Wealth</x:v>
      </x:c>
      <x:c r="E30" s="22" t="str">
        <x:v>Customers</x:v>
      </x:c>
      <x:c r="F30" s="22" t="str">
        <x:v>AAPL,MSFT,SPY</x:v>
      </x:c>
      <x:c r="G30" s="74" t="n">
        <x:v>0.07</x:v>
      </x:c>
      <x:c r="H30" s="74" t="n">
        <x:v>0.2</x:v>
      </x:c>
      <x:c r="I30" s="22" t="str">
        <x:v>Hard</x:v>
      </x:c>
      <x:c r="J30" s="46" t="str">
        <x:v>HNW customer hunts</x:v>
      </x:c>
    </x:row>
    <x:row r="31">
      <x:c r="A31" s="45" t="n">
        <x:v>28</x:v>
      </x:c>
      <x:c r="B31" s="22" t="str">
        <x:v>Digital Finance Hub</x:v>
      </x:c>
      <x:c r="C31" s="22" t="str">
        <x:v>Growing</x:v>
      </x:c>
      <x:c r="D31" s="22" t="str">
        <x:v>Strategy</x:v>
      </x:c>
      <x:c r="E31" s="22" t="str">
        <x:v>Customers</x:v>
      </x:c>
      <x:c r="F31" s="22" t="str">
        <x:v>Broad</x:v>
      </x:c>
      <x:c r="G31" s="74" t="n">
        <x:v>0.04</x:v>
      </x:c>
      <x:c r="H31" s="74" t="n">
        <x:v>0.1</x:v>
      </x:c>
      <x:c r="I31" s="22" t="str">
        <x:v>Easy</x:v>
      </x:c>
      <x:c r="J31" s="46" t="str">
        <x:v>General empire hunts</x:v>
      </x:c>
    </x:row>
    <x:row r="32">
      <x:c r="A32" s="45" t="n">
        <x:v>29</x:v>
      </x:c>
      <x:c r="B32" s="22" t="str">
        <x:v>Trading House</x:v>
      </x:c>
      <x:c r="C32" s="22" t="str">
        <x:v>Growing</x:v>
      </x:c>
      <x:c r="D32" s="22" t="str">
        <x:v>Trading</x:v>
      </x:c>
      <x:c r="E32" s="22" t="str">
        <x:v>Liquidity</x:v>
      </x:c>
      <x:c r="F32" s="22" t="str">
        <x:v>TSLA,COIN,NVDA</x:v>
      </x:c>
      <x:c r="G32" s="74" t="n">
        <x:v>0.08</x:v>
      </x:c>
      <x:c r="H32" s="74" t="n">
        <x:v>0.25</x:v>
      </x:c>
      <x:c r="I32" s="22" t="str">
        <x:v>Standard</x:v>
      </x:c>
      <x:c r="J32" s="46" t="str">
        <x:v>Drives volume hunts</x:v>
      </x:c>
    </x:row>
    <x:row r="33">
      <x:c r="A33" s="45" t="n">
        <x:v>30</x:v>
      </x:c>
      <x:c r="B33" s="22" t="str">
        <x:v>Private Vault Facility</x:v>
      </x:c>
      <x:c r="C33" s="22" t="str">
        <x:v>Growing</x:v>
      </x:c>
      <x:c r="D33" s="22" t="str">
        <x:v>Treasury</x:v>
      </x:c>
      <x:c r="E33" s="22" t="str">
        <x:v>Risk</x:v>
      </x:c>
      <x:c r="F33" s="22" t="str">
        <x:v>SPY,MSFT</x:v>
      </x:c>
      <x:c r="G33" s="74" t="n">
        <x:v>0.05</x:v>
      </x:c>
      <x:c r="H33" s="74" t="n">
        <x:v>0.1</x:v>
      </x:c>
      <x:c r="I33" s="22" t="str">
        <x:v>Easy</x:v>
      </x:c>
      <x:c r="J33" s="46" t="str">
        <x:v>Capital-efficiency hunts</x:v>
      </x:c>
    </x:row>
    <x:row r="34">
      <x:c r="A34" s="45" t="n">
        <x:v>31</x:v>
      </x:c>
      <x:c r="B34" s="22" t="str">
        <x:v>Regional Bank</x:v>
      </x:c>
      <x:c r="C34" s="22" t="str">
        <x:v>Established</x:v>
      </x:c>
      <x:c r="D34" s="22" t="str">
        <x:v>Banking</x:v>
      </x:c>
      <x:c r="E34" s="22" t="str">
        <x:v>Customers</x:v>
      </x:c>
      <x:c r="F34" s="22" t="str">
        <x:v>SPY,MSFT,AMZN</x:v>
      </x:c>
      <x:c r="G34" s="74" t="n">
        <x:v>0.06</x:v>
      </x:c>
      <x:c r="H34" s="74" t="n">
        <x:v>0.15</x:v>
      </x:c>
      <x:c r="I34" s="22" t="str">
        <x:v>Easy</x:v>
      </x:c>
      <x:c r="J34" s="46" t="str">
        <x:v>Customer and balance-sheet hunts</x:v>
      </x:c>
    </x:row>
    <x:row r="35">
      <x:c r="A35" s="45" t="n">
        <x:v>32</x:v>
      </x:c>
      <x:c r="B35" s="22" t="str">
        <x:v>Stock Brokerage Center</x:v>
      </x:c>
      <x:c r="C35" s="22" t="str">
        <x:v>Established</x:v>
      </x:c>
      <x:c r="D35" s="22" t="str">
        <x:v>Trading</x:v>
      </x:c>
      <x:c r="E35" s="22" t="str">
        <x:v>Customers</x:v>
      </x:c>
      <x:c r="F35" s="22" t="str">
        <x:v>AAPL,TSLA,AMZN</x:v>
      </x:c>
      <x:c r="G35" s="74" t="n">
        <x:v>0.08</x:v>
      </x:c>
      <x:c r="H35" s="74" t="n">
        <x:v>0.25</x:v>
      </x:c>
      <x:c r="I35" s="22" t="str">
        <x:v>Easy</x:v>
      </x:c>
      <x:c r="J35" s="46" t="str">
        <x:v>Drives retail-investor hunts</x:v>
      </x:c>
    </x:row>
    <x:row r="36">
      <x:c r="A36" s="45" t="n">
        <x:v>33</x:v>
      </x:c>
      <x:c r="B36" s="22" t="str">
        <x:v>Investment Fund HQ</x:v>
      </x:c>
      <x:c r="C36" s="22" t="str">
        <x:v>Established</x:v>
      </x:c>
      <x:c r="D36" s="22" t="str">
        <x:v>Fund</x:v>
      </x:c>
      <x:c r="E36" s="22" t="str">
        <x:v>Portfolio</x:v>
      </x:c>
      <x:c r="F36" s="22" t="str">
        <x:v>SPY,MSFT,AAPL,NVDA</x:v>
      </x:c>
      <x:c r="G36" s="74" t="n">
        <x:v>0.07</x:v>
      </x:c>
      <x:c r="H36" s="74" t="n">
        <x:v>0.2</x:v>
      </x:c>
      <x:c r="I36" s="22" t="str">
        <x:v>Standard</x:v>
      </x:c>
      <x:c r="J36" s="46" t="str">
        <x:v>AUM and portfolio hunts</x:v>
      </x:c>
    </x:row>
    <x:row r="37">
      <x:c r="A37" s="45" t="n">
        <x:v>34</x:v>
      </x:c>
      <x:c r="B37" s="22" t="str">
        <x:v>Insurance Company HQ</x:v>
      </x:c>
      <x:c r="C37" s="22" t="str">
        <x:v>Established</x:v>
      </x:c>
      <x:c r="D37" s="22" t="str">
        <x:v>Insurance</x:v>
      </x:c>
      <x:c r="E37" s="22" t="str">
        <x:v>Risk</x:v>
      </x:c>
      <x:c r="F37" s="22" t="str">
        <x:v>SPY,AAPL</x:v>
      </x:c>
      <x:c r="G37" s="74" t="n">
        <x:v>0.05</x:v>
      </x:c>
      <x:c r="H37" s="74" t="n">
        <x:v>0.1</x:v>
      </x:c>
      <x:c r="I37" s="22" t="str">
        <x:v>Standard</x:v>
      </x:c>
      <x:c r="J37" s="46" t="str">
        <x:v>Retention and risk hunts</x:v>
      </x:c>
    </x:row>
    <x:row r="38">
      <x:c r="A38" s="45" t="n">
        <x:v>35</x:v>
      </x:c>
      <x:c r="B38" s="22" t="str">
        <x:v>Financial Data Center</x:v>
      </x:c>
      <x:c r="C38" s="22" t="str">
        <x:v>Established</x:v>
      </x:c>
      <x:c r="D38" s="22" t="str">
        <x:v>Research</x:v>
      </x:c>
      <x:c r="E38" s="22" t="str">
        <x:v>Portfolio</x:v>
      </x:c>
      <x:c r="F38" s="22" t="str">
        <x:v>NVDA,MSFT,GOOGL,META</x:v>
      </x:c>
      <x:c r="G38" s="74" t="n">
        <x:v>0.1</x:v>
      </x:c>
      <x:c r="H38" s="74" t="n">
        <x:v>0.3</x:v>
      </x:c>
      <x:c r="I38" s="22" t="str">
        <x:v>Standard</x:v>
      </x:c>
      <x:c r="J38" s="46" t="str">
        <x:v>Improves discovery quality</x:v>
      </x:c>
    </x:row>
    <x:row r="39">
      <x:c r="A39" s="45" t="n">
        <x:v>36</x:v>
      </x:c>
      <x:c r="B39" s="22" t="str">
        <x:v>Market Maker Office</x:v>
      </x:c>
      <x:c r="C39" s="22" t="str">
        <x:v>Established</x:v>
      </x:c>
      <x:c r="D39" s="22" t="str">
        <x:v>Strategy</x:v>
      </x:c>
      <x:c r="E39" s="22" t="str">
        <x:v>Customers</x:v>
      </x:c>
      <x:c r="F39" s="22" t="str">
        <x:v>Broad</x:v>
      </x:c>
      <x:c r="G39" s="74" t="n">
        <x:v>0.04</x:v>
      </x:c>
      <x:c r="H39" s="74" t="n">
        <x:v>0.1</x:v>
      </x:c>
      <x:c r="I39" s="22" t="str">
        <x:v>Easy</x:v>
      </x:c>
      <x:c r="J39" s="46" t="str">
        <x:v>General empire hunts</x:v>
      </x:c>
    </x:row>
    <x:row r="40">
      <x:c r="A40" s="45" t="n">
        <x:v>37</x:v>
      </x:c>
      <x:c r="B40" s="22" t="str">
        <x:v>Private Banking Center</x:v>
      </x:c>
      <x:c r="C40" s="22" t="str">
        <x:v>Established</x:v>
      </x:c>
      <x:c r="D40" s="22" t="str">
        <x:v>Banking</x:v>
      </x:c>
      <x:c r="E40" s="22" t="str">
        <x:v>Customers</x:v>
      </x:c>
      <x:c r="F40" s="22" t="str">
        <x:v>SPY,MSFT,AMZN</x:v>
      </x:c>
      <x:c r="G40" s="74" t="n">
        <x:v>0.06</x:v>
      </x:c>
      <x:c r="H40" s="74" t="n">
        <x:v>0.15</x:v>
      </x:c>
      <x:c r="I40" s="22" t="str">
        <x:v>Easy</x:v>
      </x:c>
      <x:c r="J40" s="46" t="str">
        <x:v>Customer and balance-sheet hunts</x:v>
      </x:c>
    </x:row>
    <x:row r="41">
      <x:c r="A41" s="45" t="n">
        <x:v>38</x:v>
      </x:c>
      <x:c r="B41" s="22" t="str">
        <x:v>Corporate Treasury Center</x:v>
      </x:c>
      <x:c r="C41" s="22" t="str">
        <x:v>Established</x:v>
      </x:c>
      <x:c r="D41" s="22" t="str">
        <x:v>Treasury</x:v>
      </x:c>
      <x:c r="E41" s="22" t="str">
        <x:v>Risk</x:v>
      </x:c>
      <x:c r="F41" s="22" t="str">
        <x:v>SPY,MSFT</x:v>
      </x:c>
      <x:c r="G41" s="74" t="n">
        <x:v>0.05</x:v>
      </x:c>
      <x:c r="H41" s="74" t="n">
        <x:v>0.1</x:v>
      </x:c>
      <x:c r="I41" s="22" t="str">
        <x:v>Easy</x:v>
      </x:c>
      <x:c r="J41" s="46" t="str">
        <x:v>Capital-efficiency hunts</x:v>
      </x:c>
    </x:row>
    <x:row r="42">
      <x:c r="A42" s="45" t="n">
        <x:v>39</x:v>
      </x:c>
      <x:c r="B42" s="22" t="str">
        <x:v>Securities Exchange</x:v>
      </x:c>
      <x:c r="C42" s="22" t="str">
        <x:v>Established</x:v>
      </x:c>
      <x:c r="D42" s="22" t="str">
        <x:v>Trading</x:v>
      </x:c>
      <x:c r="E42" s="22" t="str">
        <x:v>Liquidity</x:v>
      </x:c>
      <x:c r="F42" s="22" t="str">
        <x:v>TSLA,COIN,NVDA</x:v>
      </x:c>
      <x:c r="G42" s="74" t="n">
        <x:v>0.08</x:v>
      </x:c>
      <x:c r="H42" s="74" t="n">
        <x:v>0.25</x:v>
      </x:c>
      <x:c r="I42" s="22" t="str">
        <x:v>Standard</x:v>
      </x:c>
      <x:c r="J42" s="46" t="str">
        <x:v>Drives volume hunts</x:v>
      </x:c>
    </x:row>
    <x:row r="43">
      <x:c r="A43" s="45" t="n">
        <x:v>40</x:v>
      </x:c>
      <x:c r="B43" s="22" t="str">
        <x:v>Investment Bank</x:v>
      </x:c>
      <x:c r="C43" s="22" t="str">
        <x:v>Established</x:v>
      </x:c>
      <x:c r="D43" s="22" t="str">
        <x:v>Banking</x:v>
      </x:c>
      <x:c r="E43" s="22" t="str">
        <x:v>Customers</x:v>
      </x:c>
      <x:c r="F43" s="22" t="str">
        <x:v>SPY,MSFT,AMZN</x:v>
      </x:c>
      <x:c r="G43" s="74" t="n">
        <x:v>0.06</x:v>
      </x:c>
      <x:c r="H43" s="74" t="n">
        <x:v>0.15</x:v>
      </x:c>
      <x:c r="I43" s="22" t="str">
        <x:v>Easy</x:v>
      </x:c>
      <x:c r="J43" s="46" t="str">
        <x:v>Customer and balance-sheet hunts</x:v>
      </x:c>
    </x:row>
    <x:row r="44">
      <x:c r="A44" s="45" t="n">
        <x:v>41</x:v>
      </x:c>
      <x:c r="B44" s="22" t="str">
        <x:v>Global Brokerage Tower</x:v>
      </x:c>
      <x:c r="C44" s="22" t="str">
        <x:v>Elite</x:v>
      </x:c>
      <x:c r="D44" s="22" t="str">
        <x:v>Trading</x:v>
      </x:c>
      <x:c r="E44" s="22" t="str">
        <x:v>Customers</x:v>
      </x:c>
      <x:c r="F44" s="22" t="str">
        <x:v>AAPL,TSLA,AMZN</x:v>
      </x:c>
      <x:c r="G44" s="74" t="n">
        <x:v>0.08</x:v>
      </x:c>
      <x:c r="H44" s="74" t="n">
        <x:v>0.25</x:v>
      </x:c>
      <x:c r="I44" s="22" t="str">
        <x:v>Easy</x:v>
      </x:c>
      <x:c r="J44" s="46" t="str">
        <x:v>Drives retail-investor hunts</x:v>
      </x:c>
    </x:row>
    <x:row r="45">
      <x:c r="A45" s="45" t="n">
        <x:v>42</x:v>
      </x:c>
      <x:c r="B45" s="22" t="str">
        <x:v>Major Asset Manager</x:v>
      </x:c>
      <x:c r="C45" s="22" t="str">
        <x:v>Elite</x:v>
      </x:c>
      <x:c r="D45" s="22" t="str">
        <x:v>Fund</x:v>
      </x:c>
      <x:c r="E45" s="22" t="str">
        <x:v>Portfolio</x:v>
      </x:c>
      <x:c r="F45" s="22" t="str">
        <x:v>SPY,MSFT,AAPL,NVDA</x:v>
      </x:c>
      <x:c r="G45" s="74" t="n">
        <x:v>0.07</x:v>
      </x:c>
      <x:c r="H45" s="74" t="n">
        <x:v>0.2</x:v>
      </x:c>
      <x:c r="I45" s="22" t="str">
        <x:v>Standard</x:v>
      </x:c>
      <x:c r="J45" s="46" t="str">
        <x:v>AUM and portfolio hunts</x:v>
      </x:c>
    </x:row>
    <x:row r="46">
      <x:c r="A46" s="45" t="n">
        <x:v>43</x:v>
      </x:c>
      <x:c r="B46" s="22" t="str">
        <x:v>Institutional Trading Center</x:v>
      </x:c>
      <x:c r="C46" s="22" t="str">
        <x:v>Elite</x:v>
      </x:c>
      <x:c r="D46" s="22" t="str">
        <x:v>Trading</x:v>
      </x:c>
      <x:c r="E46" s="22" t="str">
        <x:v>Liquidity</x:v>
      </x:c>
      <x:c r="F46" s="22" t="str">
        <x:v>TSLA,COIN,NVDA</x:v>
      </x:c>
      <x:c r="G46" s="74" t="n">
        <x:v>0.08</x:v>
      </x:c>
      <x:c r="H46" s="74" t="n">
        <x:v>0.25</x:v>
      </x:c>
      <x:c r="I46" s="22" t="str">
        <x:v>Standard</x:v>
      </x:c>
      <x:c r="J46" s="46" t="str">
        <x:v>Drives volume hunts</x:v>
      </x:c>
    </x:row>
    <x:row r="47">
      <x:c r="A47" s="45" t="n">
        <x:v>44</x:v>
      </x:c>
      <x:c r="B47" s="22" t="str">
        <x:v>Global Wealth Center</x:v>
      </x:c>
      <x:c r="C47" s="22" t="str">
        <x:v>Elite</x:v>
      </x:c>
      <x:c r="D47" s="22" t="str">
        <x:v>Wealth</x:v>
      </x:c>
      <x:c r="E47" s="22" t="str">
        <x:v>Customers</x:v>
      </x:c>
      <x:c r="F47" s="22" t="str">
        <x:v>AAPL,MSFT,SPY</x:v>
      </x:c>
      <x:c r="G47" s="74" t="n">
        <x:v>0.07</x:v>
      </x:c>
      <x:c r="H47" s="74" t="n">
        <x:v>0.2</x:v>
      </x:c>
      <x:c r="I47" s="22" t="str">
        <x:v>Hard</x:v>
      </x:c>
      <x:c r="J47" s="46" t="str">
        <x:v>HNW customer hunts</x:v>
      </x:c>
    </x:row>
    <x:row r="48">
      <x:c r="A48" s="45" t="n">
        <x:v>45</x:v>
      </x:c>
      <x:c r="B48" s="22" t="str">
        <x:v>Financial Exchange Tower</x:v>
      </x:c>
      <x:c r="C48" s="22" t="str">
        <x:v>Elite</x:v>
      </x:c>
      <x:c r="D48" s="22" t="str">
        <x:v>Trading</x:v>
      </x:c>
      <x:c r="E48" s="22" t="str">
        <x:v>Liquidity</x:v>
      </x:c>
      <x:c r="F48" s="22" t="str">
        <x:v>TSLA,COIN,NVDA</x:v>
      </x:c>
      <x:c r="G48" s="74" t="n">
        <x:v>0.08</x:v>
      </x:c>
      <x:c r="H48" s="74" t="n">
        <x:v>0.25</x:v>
      </x:c>
      <x:c r="I48" s="22" t="str">
        <x:v>Standard</x:v>
      </x:c>
      <x:c r="J48" s="46" t="str">
        <x:v>Drives volume hunts</x:v>
      </x:c>
    </x:row>
    <x:row r="49">
      <x:c r="A49" s="45" t="n">
        <x:v>46</x:v>
      </x:c>
      <x:c r="B49" s="22" t="str">
        <x:v>International Bank HQ</x:v>
      </x:c>
      <x:c r="C49" s="22" t="str">
        <x:v>Tycoon</x:v>
      </x:c>
      <x:c r="D49" s="22" t="str">
        <x:v>Banking</x:v>
      </x:c>
      <x:c r="E49" s="22" t="str">
        <x:v>Customers</x:v>
      </x:c>
      <x:c r="F49" s="22" t="str">
        <x:v>SPY,MSFT,AMZN</x:v>
      </x:c>
      <x:c r="G49" s="74" t="n">
        <x:v>0.06</x:v>
      </x:c>
      <x:c r="H49" s="74" t="n">
        <x:v>0.15</x:v>
      </x:c>
      <x:c r="I49" s="22" t="str">
        <x:v>Easy</x:v>
      </x:c>
      <x:c r="J49" s="46" t="str">
        <x:v>Customer and balance-sheet hunts</x:v>
      </x:c>
    </x:row>
    <x:row r="50">
      <x:c r="A50" s="45" t="n">
        <x:v>47</x:v>
      </x:c>
      <x:c r="B50" s="22" t="str">
        <x:v>Global Investment Bank</x:v>
      </x:c>
      <x:c r="C50" s="22" t="str">
        <x:v>Tycoon</x:v>
      </x:c>
      <x:c r="D50" s="22" t="str">
        <x:v>Banking</x:v>
      </x:c>
      <x:c r="E50" s="22" t="str">
        <x:v>Customers</x:v>
      </x:c>
      <x:c r="F50" s="22" t="str">
        <x:v>SPY,MSFT,AMZN</x:v>
      </x:c>
      <x:c r="G50" s="74" t="n">
        <x:v>0.06</x:v>
      </x:c>
      <x:c r="H50" s="74" t="n">
        <x:v>0.15</x:v>
      </x:c>
      <x:c r="I50" s="22" t="str">
        <x:v>Easy</x:v>
      </x:c>
      <x:c r="J50" s="46" t="str">
        <x:v>Customer and balance-sheet hunts</x:v>
      </x:c>
    </x:row>
    <x:row r="51">
      <x:c r="A51" s="45" t="n">
        <x:v>48</x:v>
      </x:c>
      <x:c r="B51" s="22" t="str">
        <x:v>Sovereign Fund Tower</x:v>
      </x:c>
      <x:c r="C51" s="22" t="str">
        <x:v>Tycoon</x:v>
      </x:c>
      <x:c r="D51" s="22" t="str">
        <x:v>Fund</x:v>
      </x:c>
      <x:c r="E51" s="22" t="str">
        <x:v>Portfolio</x:v>
      </x:c>
      <x:c r="F51" s="22" t="str">
        <x:v>SPY,MSFT,AAPL,NVDA</x:v>
      </x:c>
      <x:c r="G51" s="74" t="n">
        <x:v>0.07</x:v>
      </x:c>
      <x:c r="H51" s="74" t="n">
        <x:v>0.2</x:v>
      </x:c>
      <x:c r="I51" s="22" t="str">
        <x:v>Standard</x:v>
      </x:c>
      <x:c r="J51" s="46" t="str">
        <x:v>AUM and portfolio hunts</x:v>
      </x:c>
    </x:row>
    <x:row r="52">
      <x:c r="A52" s="45" t="n">
        <x:v>49</x:v>
      </x:c>
      <x:c r="B52" s="22" t="str">
        <x:v>World Financial Exchange</x:v>
      </x:c>
      <x:c r="C52" s="22" t="str">
        <x:v>Tycoon</x:v>
      </x:c>
      <x:c r="D52" s="22" t="str">
        <x:v>Trading</x:v>
      </x:c>
      <x:c r="E52" s="22" t="str">
        <x:v>Liquidity</x:v>
      </x:c>
      <x:c r="F52" s="22" t="str">
        <x:v>TSLA,COIN,NVDA</x:v>
      </x:c>
      <x:c r="G52" s="74" t="n">
        <x:v>0.08</x:v>
      </x:c>
      <x:c r="H52" s="74" t="n">
        <x:v>0.25</x:v>
      </x:c>
      <x:c r="I52" s="22" t="str">
        <x:v>Standard</x:v>
      </x:c>
      <x:c r="J52" s="46" t="str">
        <x:v>Drives volume hunts</x:v>
      </x:c>
    </x:row>
    <x:row r="53">
      <x:c r="A53" s="47" t="n">
        <x:v>50</x:v>
      </x:c>
      <x:c r="B53" s="48" t="str">
        <x:v>Financial Empire Headquarters</x:v>
      </x:c>
      <x:c r="C53" s="48" t="str">
        <x:v>Tycoon</x:v>
      </x:c>
      <x:c r="D53" s="48" t="str">
        <x:v>Strategy</x:v>
      </x:c>
      <x:c r="E53" s="48" t="str">
        <x:v>Customers</x:v>
      </x:c>
      <x:c r="F53" s="48" t="str">
        <x:v>Broad</x:v>
      </x:c>
      <x:c r="G53" s="83" t="n">
        <x:v>0.04</x:v>
      </x:c>
      <x:c r="H53" s="83" t="n">
        <x:v>0.1</x:v>
      </x:c>
      <x:c r="I53" s="48" t="str">
        <x:v>Easy</x:v>
      </x:c>
      <x:c r="J53" s="49" t="str">
        <x:v>General empire hunts</x:v>
      </x:c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8" customHeight="1">
      <x:c r="A1" s="182" t="str">
        <x:v>Daily Market Hunt Spawn Engine</x:v>
      </x:c>
      <x:c r="B1" s="182"/>
      <x:c r="C1" s="182"/>
      <x:c r="D1" s="182"/>
      <x:c r="E1" s="182"/>
      <x:c r="F1" s="182"/>
      <x:c r="G1" s="182"/>
      <x:c r="H1" s="182"/>
      <x:c r="I1" s="182"/>
      <x:c r="J1" s="182"/>
      <x:c r="K1" s="182"/>
      <x:c r="L1" s="18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3">
      <x:c r="A3" s="14" t="str">
        <x:v>Step</x:v>
      </x:c>
      <x:c r="B3" s="14" t="str">
        <x:v>Rule</x:v>
      </x:c>
      <x:c r="C3" s="14" t="str">
        <x:v>Input</x:v>
      </x:c>
      <x:c r="D3" s="14" t="str">
        <x:v>Weight / Formula</x:v>
      </x:c>
      <x:c r="E3" s="14" t="str">
        <x:v>Cap</x:v>
      </x:c>
      <x:c r="F3" s="14" t="str">
        <x:v>Player-visible?</x:v>
      </x:c>
      <x:c r="G3" s="14" t="str">
        <x:v>Fallback</x:v>
      </x:c>
      <x:c r="H3" s="14" t="str">
        <x:v>Why it exists</x:v>
      </x:c>
      <x:c r="I3" s="14" t="str">
        <x:v>Example Humble</x:v>
      </x:c>
      <x:c r="J3" s="14" t="str">
        <x:v>Example Growing</x:v>
      </x:c>
      <x:c r="K3" s="14" t="str">
        <x:v>Example Elite</x:v>
      </x:c>
      <x:c r="L3" s="14" t="str">
        <x:v>Notes</x:v>
      </x:c>
    </x:row>
    <x:row r="4">
      <x:c r="A4" s="42" t="n">
        <x:v>1</x:v>
      </x:c>
      <x:c r="B4" s="43" t="str">
        <x:v>Determine daily slots</x:v>
      </x:c>
      <x:c r="C4" s="43" t="str">
        <x:v>Base stage slots</x:v>
      </x:c>
      <x:c r="D4" s="43" t="str">
        <x:v>Stage table + earned bonus</x:v>
      </x:c>
      <x:c r="E4" s="43" t="str">
        <x:v>5</x:v>
      </x:c>
      <x:c r="F4" s="43" t="str">
        <x:v>Yes</x:v>
      </x:c>
      <x:c r="G4" s="43" t="str">
        <x:v>At least 2</x:v>
      </x:c>
      <x:c r="H4" s="43" t="str">
        <x:v>Controls mission load</x:v>
      </x:c>
      <x:c r="I4" s="43" t="n">
        <x:v>3</x:v>
      </x:c>
      <x:c r="J4" s="43" t="n">
        <x:v>4</x:v>
      </x:c>
      <x:c r="K4" s="43" t="n">
        <x:v>6</x:v>
      </x:c>
      <x:c r="L4" s="44" t="str">
        <x:v>Bonus slots require activity</x:v>
      </x:c>
    </x:row>
    <x:row r="5">
      <x:c r="A5" s="45" t="n">
        <x:v>2</x:v>
      </x:c>
      <x:c r="B5" s="22" t="str">
        <x:v>Choose difficulty</x:v>
      </x:c>
      <x:c r="C5" s="22" t="str">
        <x:v>Stage mix</x:v>
      </x:c>
      <x:c r="D5" s="22" t="str">
        <x:v>Weighted random by stage</x:v>
      </x:c>
      <x:c r="E5" s="22" t="str">
        <x:v>Jackpot &lt;= configured mix</x:v>
      </x:c>
      <x:c r="F5" s="22" t="str">
        <x:v>No</x:v>
      </x:c>
      <x:c r="G5" s="22" t="str">
        <x:v>Downgrade</x:v>
      </x:c>
      <x:c r="H5" s="22" t="str">
        <x:v>Keeps challenge stage-appropriate</x:v>
      </x:c>
      <x:c r="I5" s="22" t="str">
        <x:v>70% Easy</x:v>
      </x:c>
      <x:c r="J5" s="22" t="str">
        <x:v>50% Standard</x:v>
      </x:c>
      <x:c r="K5" s="22" t="str">
        <x:v>35% Hard</x:v>
      </x:c>
      <x:c r="L5" s="46" t="str">
        <x:v>See Stage Rules</x:v>
      </x:c>
    </x:row>
    <x:row r="6">
      <x:c r="A6" s="45" t="n">
        <x:v>3</x:v>
      </x:c>
      <x:c r="B6" s="22" t="str">
        <x:v>Choose mission family</x:v>
      </x:c>
      <x:c r="C6" s="22" t="str">
        <x:v>Owned active buildings</x:v>
      </x:c>
      <x:c r="D6" s="22" t="str">
        <x:v>Weighted by building affinity</x:v>
      </x:c>
      <x:c r="E6" s="22" t="str">
        <x:v>+35% max affinity bias</x:v>
      </x:c>
      <x:c r="F6" s="22" t="str">
        <x:v>No</x:v>
      </x:c>
      <x:c r="G6" s="22" t="str">
        <x:v>General mission</x:v>
      </x:c>
      <x:c r="H6" s="22" t="str">
        <x:v>Makes build choices matter</x:v>
      </x:c>
      <x:c r="I6" s="22" t="str">
        <x:v>Banking</x:v>
      </x:c>
      <x:c r="J6" s="22" t="str">
        <x:v>Research</x:v>
      </x:c>
      <x:c r="K6" s="22" t="str">
        <x:v>Institutional</x:v>
      </x:c>
      <x:c r="L6" s="46" t="str">
        <x:v>Avoid impossible hunts</x:v>
      </x:c>
    </x:row>
    <x:row r="7">
      <x:c r="A7" s="45" t="n">
        <x:v>4</x:v>
      </x:c>
      <x:c r="B7" s="22" t="str">
        <x:v>Validate target</x:v>
      </x:c>
      <x:c r="C7" s="22" t="str">
        <x:v>Recent 7-day baseline</x:v>
      </x:c>
      <x:c r="D7" s="22" t="str">
        <x:v>Target = baseline × difficulty</x:v>
      </x:c>
      <x:c r="E7" s="22" t="str">
        <x:v>&lt;= 2.5x realistic capacity</x:v>
      </x:c>
      <x:c r="F7" s="22" t="str">
        <x:v>No</x:v>
      </x:c>
      <x:c r="G7" s="22" t="str">
        <x:v>Lower target</x:v>
      </x:c>
      <x:c r="H7" s="22" t="str">
        <x:v>Prevents impossible missions</x:v>
      </x:c>
      <x:c r="I7" s="22" t="str">
        <x:v>Reachable</x:v>
      </x:c>
      <x:c r="J7" s="22" t="str">
        <x:v>Stretch</x:v>
      </x:c>
      <x:c r="K7" s="22" t="str">
        <x:v>Strategic</x:v>
      </x:c>
      <x:c r="L7" s="46" t="str">
        <x:v>Server authoritative</x:v>
      </x:c>
    </x:row>
    <x:row r="8">
      <x:c r="A8" s="45" t="n">
        <x:v>5</x:v>
      </x:c>
      <x:c r="B8" s="22" t="str">
        <x:v>Choose stock ticker</x:v>
      </x:c>
      <x:c r="C8" s="22" t="str">
        <x:v>Unlocked catalog</x:v>
      </x:c>
      <x:c r="D8" s="22" t="str">
        <x:v>Base weight × affinity × event modifier</x:v>
      </x:c>
      <x:c r="E8" s="22" t="str">
        <x:v>Pool availability required</x:v>
      </x:c>
      <x:c r="F8" s="22" t="str">
        <x:v>Reveal after completion</x:v>
      </x:c>
      <x:c r="G8" s="22" t="str">
        <x:v>Re-roll ticker</x:v>
      </x:c>
      <x:c r="H8" s="22" t="str">
        <x:v>Makes rewards thematic</x:v>
      </x:c>
      <x:c r="I8" s="22" t="str">
        <x:v>AAPL/SPY</x:v>
      </x:c>
      <x:c r="J8" s="22" t="str">
        <x:v>NVDA/MSFT</x:v>
      </x:c>
      <x:c r="K8" s="22" t="str">
        <x:v>COIN/NVDA</x:v>
      </x:c>
      <x:c r="L8" s="46" t="str">
        <x:v>Not investment recommendation</x:v>
      </x:c>
    </x:row>
    <x:row r="9">
      <x:c r="A9" s="45" t="n">
        <x:v>6</x:v>
      </x:c>
      <x:c r="B9" s="22" t="str">
        <x:v>Choose packet rarity</x:v>
      </x:c>
      <x:c r="C9" s="22" t="str">
        <x:v>Difficulty odds</x:v>
      </x:c>
      <x:c r="D9" s="22" t="str">
        <x:v>Difficulty reward table</x:v>
      </x:c>
      <x:c r="E9" s="22" t="str">
        <x:v>Pool throttle applies</x:v>
      </x:c>
      <x:c r="F9" s="22" t="str">
        <x:v>Reveal after completion</x:v>
      </x:c>
      <x:c r="G9" s="22" t="str">
        <x:v>Cash fallback</x:v>
      </x:c>
      <x:c r="H9" s="22" t="str">
        <x:v>Controls reward value</x:v>
      </x:c>
      <x:c r="I9" s="22" t="str">
        <x:v>Mostly Common</x:v>
      </x:c>
      <x:c r="J9" s="22" t="str">
        <x:v>Uncommon/Rare</x:v>
      </x:c>
      <x:c r="K9" s="22" t="str">
        <x:v>Rare/Epic</x:v>
      </x:c>
      <x:c r="L9" s="46" t="str">
        <x:v>Legendary very scarce</x:v>
      </x:c>
    </x:row>
    <x:row r="10">
      <x:c r="A10" s="45" t="n">
        <x:v>7</x:v>
      </x:c>
      <x:c r="B10" s="22" t="str">
        <x:v>Reserve reward inventory</x:v>
      </x:c>
      <x:c r="C10" s="22" t="str">
        <x:v>Ticker pool</x:v>
      </x:c>
      <x:c r="D10" s="22" t="str">
        <x:v>Reserve packet USD value</x:v>
      </x:c>
      <x:c r="E10" s="22" t="str">
        <x:v>Cannot exceed funded pool</x:v>
      </x:c>
      <x:c r="F10" s="22" t="str">
        <x:v>No</x:v>
      </x:c>
      <x:c r="G10" s="22" t="str">
        <x:v>Select other ticker</x:v>
      </x:c>
      <x:c r="H10" s="22" t="str">
        <x:v>Prevents overspend</x:v>
      </x:c>
      <x:c r="I10" s="22" t="str">
        <x:v>$0.10</x:v>
      </x:c>
      <x:c r="J10" s="22" t="str">
        <x:v>$0.25-$0.50</x:v>
      </x:c>
      <x:c r="K10" s="22" t="str">
        <x:v>$0.50-$1.00</x:v>
      </x:c>
      <x:c r="L10" s="46" t="str">
        <x:v>Reservation expires with hunt</x:v>
      </x:c>
    </x:row>
    <x:row r="11">
      <x:c r="A11" s="47" t="n">
        <x:v>8</x:v>
      </x:c>
      <x:c r="B11" s="48" t="str">
        <x:v>Issue hunt</x:v>
      </x:c>
      <x:c r="C11" s="48" t="str">
        <x:v>Validated mission</x:v>
      </x:c>
      <x:c r="D11" s="48" t="str">
        <x:v>Persist server-side</x:v>
      </x:c>
      <x:c r="E11" s="48" t="str">
        <x:v>Max active slots</x:v>
      </x:c>
      <x:c r="F11" s="48" t="str">
        <x:v>Yes</x:v>
      </x:c>
      <x:c r="G11" s="48" t="str">
        <x:v>Queue</x:v>
      </x:c>
      <x:c r="H11" s="48" t="str">
        <x:v>Player receives objective</x:v>
      </x:c>
      <x:c r="I11" s="48" t="str">
        <x:v>Shown</x:v>
      </x:c>
      <x:c r="J11" s="48" t="str">
        <x:v>Shown</x:v>
      </x:c>
      <x:c r="K11" s="48" t="str">
        <x:v>Shown</x:v>
      </x:c>
      <x:c r="L11" s="49" t="str"/>
    </x:row>
    <x:row r="13" ht="22" customHeight="1">
      <x:c r="A13" s="39" t="str">
        <x:v>Dynamic Throttling</x:v>
      </x:c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</x:row>
    <x:row r="14">
      <x:c r="A14" s="14" t="str">
        <x:v>Pool Consumption</x:v>
      </x:c>
      <x:c r="B14" s="14" t="str">
        <x:v>Common Mult</x:v>
      </x:c>
      <x:c r="C14" s="14" t="str">
        <x:v>Uncommon Mult</x:v>
      </x:c>
      <x:c r="D14" s="14" t="str">
        <x:v>Rare Mult</x:v>
      </x:c>
      <x:c r="E14" s="14" t="str">
        <x:v>Epic Mult</x:v>
      </x:c>
      <x:c r="F14" s="14" t="str">
        <x:v>Legendary Mult</x:v>
      </x:c>
      <x:c r="G14" s="14" t="str">
        <x:v>New Hunt Stock Reward</x:v>
      </x:c>
      <x:c r="H14" s="14" t="str">
        <x:v>Fallback</x:v>
      </x:c>
    </x:row>
    <x:row r="15">
      <x:c r="A15" s="42" t="str">
        <x:v>0–79%</x:v>
      </x:c>
      <x:c r="B15" s="43" t="n">
        <x:v>1</x:v>
      </x:c>
      <x:c r="C15" s="43" t="n">
        <x:v>1</x:v>
      </x:c>
      <x:c r="D15" s="43" t="n">
        <x:v>1</x:v>
      </x:c>
      <x:c r="E15" s="43" t="n">
        <x:v>1</x:v>
      </x:c>
      <x:c r="F15" s="43" t="n">
        <x:v>1</x:v>
      </x:c>
      <x:c r="G15" s="43" t="str">
        <x:v>Normal</x:v>
      </x:c>
      <x:c r="H15" s="44" t="str">
        <x:v>None</x:v>
      </x:c>
    </x:row>
    <x:row r="16">
      <x:c r="A16" s="45" t="str">
        <x:v>80–89%</x:v>
      </x:c>
      <x:c r="B16" s="22" t="n">
        <x:v>1.15</x:v>
      </x:c>
      <x:c r="C16" s="22" t="n">
        <x:v>1</x:v>
      </x:c>
      <x:c r="D16" s="22" t="n">
        <x:v>0.85</x:v>
      </x:c>
      <x:c r="E16" s="22" t="n">
        <x:v>0.65</x:v>
      </x:c>
      <x:c r="F16" s="22" t="n">
        <x:v>0.4</x:v>
      </x:c>
      <x:c r="G16" s="22" t="str">
        <x:v>Reduced high rarity</x:v>
      </x:c>
      <x:c r="H16" s="46" t="str">
        <x:v>Cash + collection points</x:v>
      </x:c>
    </x:row>
    <x:row r="17">
      <x:c r="A17" s="45" t="str">
        <x:v>90–94%</x:v>
      </x:c>
      <x:c r="B17" s="22" t="n">
        <x:v>1.3</x:v>
      </x:c>
      <x:c r="C17" s="22" t="n">
        <x:v>0.9</x:v>
      </x:c>
      <x:c r="D17" s="22" t="n">
        <x:v>0.6</x:v>
      </x:c>
      <x:c r="E17" s="22" t="n">
        <x:v>0.35</x:v>
      </x:c>
      <x:c r="F17" s="22" t="n">
        <x:v>0.1</x:v>
      </x:c>
      <x:c r="G17" s="22" t="str">
        <x:v>Strong throttling</x:v>
      </x:c>
      <x:c r="H17" s="46" t="str">
        <x:v>Cash + collection points</x:v>
      </x:c>
    </x:row>
    <x:row r="18">
      <x:c r="A18" s="47" t="str">
        <x:v>95%+</x:v>
      </x:c>
      <x:c r="B18" s="48" t="n">
        <x:v>0</x:v>
      </x:c>
      <x:c r="C18" s="48" t="n">
        <x:v>0</x:v>
      </x:c>
      <x:c r="D18" s="48" t="n">
        <x:v>0</x:v>
      </x:c>
      <x:c r="E18" s="48" t="n">
        <x:v>0</x:v>
      </x:c>
      <x:c r="F18" s="48" t="n">
        <x:v>0</x:v>
      </x:c>
      <x:c r="G18" s="48" t="str">
        <x:v>Paused</x:v>
      </x:c>
      <x:c r="H18" s="49" t="str">
        <x:v>Cash + collection points only</x:v>
      </x:c>
    </x:row>
  </x:sheetData>
  <x:mergeCells>
    <x:mergeCell ref="A1:L1"/>
    <x:mergeCell ref="A13:L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8" customHeight="1">
      <x:c r="A1" s="182" t="str">
        <x:v>Stock Collections &amp; Long-Term Reward Sets</x:v>
      </x:c>
      <x:c r="B1" s="182"/>
      <x:c r="C1" s="182"/>
      <x:c r="D1" s="182"/>
      <x:c r="E1" s="182"/>
      <x:c r="F1" s="182"/>
      <x:c r="G1" s="182"/>
      <x:c r="H1" s="182"/>
      <x:c r="I1" s="182"/>
      <x:c r="J1" s="18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3">
      <x:c r="A3" s="14" t="str">
        <x:v>Collection</x:v>
      </x:c>
      <x:c r="B3" s="14" t="str">
        <x:v>Required Tickers</x:v>
      </x:c>
      <x:c r="C3" s="14" t="str">
        <x:v>Min Stage</x:v>
      </x:c>
      <x:c r="D3" s="14" t="str">
        <x:v>Completion Rule</x:v>
      </x:c>
      <x:c r="E3" s="14" t="str">
        <x:v>Primary Reward</x:v>
      </x:c>
      <x:c r="F3" s="14" t="str">
        <x:v>Secondary Reward</x:v>
      </x:c>
      <x:c r="G3" s="14" t="str">
        <x:v>Repeatable?</x:v>
      </x:c>
      <x:c r="H3" s="14" t="str">
        <x:v>Performance Impact</x:v>
      </x:c>
      <x:c r="I3" s="14" t="str">
        <x:v>Economic Cost</x:v>
      </x:c>
      <x:c r="J3" s="14" t="str">
        <x:v>Purpose</x:v>
      </x:c>
    </x:row>
    <x:row r="4">
      <x:c r="A4" s="42" t="str">
        <x:v>Core Market</x:v>
      </x:c>
      <x:c r="B4" s="43" t="str">
        <x:v>SPY, AAPL, MSFT</x:v>
      </x:c>
      <x:c r="C4" s="43" t="str">
        <x:v>Starter</x:v>
      </x:c>
      <x:c r="D4" s="43" t="str">
        <x:v>Own &gt;0 of all</x:v>
      </x:c>
      <x:c r="E4" s="43" t="str">
        <x:v>Core Market board badge</x:v>
      </x:c>
      <x:c r="F4" s="43" t="str">
        <x:v>1 free Hunt reroll / week</x:v>
      </x:c>
      <x:c r="G4" s="43" t="str">
        <x:v>No</x:v>
      </x:c>
      <x:c r="H4" s="43" t="str">
        <x:v>None</x:v>
      </x:c>
      <x:c r="I4" s="43" t="str">
        <x:v>Low</x:v>
      </x:c>
      <x:c r="J4" s="44" t="str">
        <x:v>Early collection goal</x:v>
      </x:c>
    </x:row>
    <x:row r="5">
      <x:c r="A5" s="45" t="str">
        <x:v>Mega Tech</x:v>
      </x:c>
      <x:c r="B5" s="22" t="str">
        <x:v>AAPL, MSFT, GOOGL, META</x:v>
      </x:c>
      <x:c r="C5" s="22" t="str">
        <x:v>Growing</x:v>
      </x:c>
      <x:c r="D5" s="22" t="str">
        <x:v>Own &gt;0 of all</x:v>
      </x:c>
      <x:c r="E5" s="22" t="str">
        <x:v>Tech-themed board skin</x:v>
      </x:c>
      <x:c r="F5" s="22" t="str">
        <x:v>Research Hunt spawn +5%</x:v>
      </x:c>
      <x:c r="G5" s="22" t="str">
        <x:v>No</x:v>
      </x:c>
      <x:c r="H5" s="22" t="str">
        <x:v>None</x:v>
      </x:c>
      <x:c r="I5" s="22" t="str">
        <x:v>Cosmetic/utility</x:v>
      </x:c>
      <x:c r="J5" s="46" t="str">
        <x:v>Midgame identity</x:v>
      </x:c>
    </x:row>
    <x:row r="6">
      <x:c r="A6" s="45" t="str">
        <x:v>AI &amp; Compute</x:v>
      </x:c>
      <x:c r="B6" s="22" t="str">
        <x:v>NVDA, MSFT, GOOGL</x:v>
      </x:c>
      <x:c r="C6" s="22" t="str">
        <x:v>Growing</x:v>
      </x:c>
      <x:c r="D6" s="22" t="str">
        <x:v>Own &gt;0 of all</x:v>
      </x:c>
      <x:c r="E6" s="22" t="str">
        <x:v>Research Desk blueprint skin</x:v>
      </x:c>
      <x:c r="F6" s="22" t="str">
        <x:v>Research Hunt quality +3%</x:v>
      </x:c>
      <x:c r="G6" s="22" t="str">
        <x:v>No</x:v>
      </x:c>
      <x:c r="H6" s="22" t="str">
        <x:v>None</x:v>
      </x:c>
      <x:c r="I6" s="22" t="str">
        <x:v>Low</x:v>
      </x:c>
      <x:c r="J6" s="46" t="str">
        <x:v>Thematic progression</x:v>
      </x:c>
    </x:row>
    <x:row r="7">
      <x:c r="A7" s="45" t="str">
        <x:v>Consumer Digital</x:v>
      </x:c>
      <x:c r="B7" s="22" t="str">
        <x:v>AMZN, NFLX, META</x:v>
      </x:c>
      <x:c r="C7" s="22" t="str">
        <x:v>Established</x:v>
      </x:c>
      <x:c r="D7" s="22" t="str">
        <x:v>Own &gt;0 of all</x:v>
      </x:c>
      <x:c r="E7" s="22" t="str">
        <x:v>Consumer Market card art</x:v>
      </x:c>
      <x:c r="F7" s="22" t="str">
        <x:v>Customer event bonus +3%</x:v>
      </x:c>
      <x:c r="G7" s="22" t="str">
        <x:v>No</x:v>
      </x:c>
      <x:c r="H7" s="22" t="str">
        <x:v>None</x:v>
      </x:c>
      <x:c r="I7" s="22" t="str">
        <x:v>Low</x:v>
      </x:c>
      <x:c r="J7" s="46" t="str">
        <x:v>Diversification</x:v>
      </x:c>
    </x:row>
    <x:row r="8">
      <x:c r="A8" s="45" t="str">
        <x:v>High Beta Markets</x:v>
      </x:c>
      <x:c r="B8" s="22" t="str">
        <x:v>TSLA, COIN, NVDA</x:v>
      </x:c>
      <x:c r="C8" s="22" t="str">
        <x:v>Established</x:v>
      </x:c>
      <x:c r="D8" s="22" t="str">
        <x:v>Own &gt;0 of all</x:v>
      </x:c>
      <x:c r="E8" s="22" t="str">
        <x:v>Volatility event badge</x:v>
      </x:c>
      <x:c r="F8" s="22" t="str">
        <x:v>1 additional event reroll / week</x:v>
      </x:c>
      <x:c r="G8" s="22" t="str">
        <x:v>No</x:v>
      </x:c>
      <x:c r="H8" s="22" t="str">
        <x:v>None</x:v>
      </x:c>
      <x:c r="I8" s="22" t="str">
        <x:v>Low</x:v>
      </x:c>
      <x:c r="J8" s="46" t="str">
        <x:v>Risk-focused players</x:v>
      </x:c>
    </x:row>
    <x:row r="9">
      <x:c r="A9" s="47" t="str">
        <x:v>Complete Ten</x:v>
      </x:c>
      <x:c r="B9" s="48" t="str">
        <x:v>All 10 supported tickers</x:v>
      </x:c>
      <x:c r="C9" s="48" t="str">
        <x:v>Elite</x:v>
      </x:c>
      <x:c r="D9" s="48" t="str">
        <x:v>Own &gt;0 of all</x:v>
      </x:c>
      <x:c r="E9" s="48" t="str">
        <x:v>Collector landmark card</x:v>
      </x:c>
      <x:c r="F9" s="48" t="str">
        <x:v>Permanent profile prestige + board cosmetic</x:v>
      </x:c>
      <x:c r="G9" s="48" t="str">
        <x:v>No</x:v>
      </x:c>
      <x:c r="H9" s="48" t="str">
        <x:v>None</x:v>
      </x:c>
      <x:c r="I9" s="48" t="str">
        <x:v>Medium</x:v>
      </x:c>
      <x:c r="J9" s="49" t="str">
        <x:v>Long-term collection aspiration</x:v>
      </x:c>
    </x:row>
  </x:sheetData>
  <x:mergeCells>
    <x:mergeCell ref="A1:J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8" customHeight="1">
      <x:c r="A1" s="182" t="str">
        <x:v>Market Events &amp; Hunt Modifiers</x:v>
      </x:c>
      <x:c r="B1" s="182"/>
      <x:c r="C1" s="182"/>
      <x:c r="D1" s="182"/>
      <x:c r="E1" s="182"/>
      <x:c r="F1" s="182"/>
      <x:c r="G1" s="182"/>
      <x:c r="H1" s="182"/>
      <x:c r="I1" s="182"/>
      <x:c r="J1" s="182"/>
      <x:c r="K1" s="182"/>
      <x:c r="L1" s="18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3">
      <x:c r="A3" s="14" t="str">
        <x:v>Event</x:v>
      </x:c>
      <x:c r="B3" s="14" t="str">
        <x:v>Duration</x:v>
      </x:c>
      <x:c r="C3" s="14" t="str">
        <x:v>Primary Families</x:v>
      </x:c>
      <x:c r="D3" s="14" t="str">
        <x:v>Spawn Multiplier</x:v>
      </x:c>
      <x:c r="E3" s="14" t="str">
        <x:v>Target Multiplier</x:v>
      </x:c>
      <x:c r="F3" s="14" t="str">
        <x:v>Reward Rarity Shift</x:v>
      </x:c>
      <x:c r="G3" s="14" t="str">
        <x:v>Customer Demand</x:v>
      </x:c>
      <x:c r="H3" s="14" t="str">
        <x:v>Activity Modifier</x:v>
      </x:c>
      <x:c r="I3" s="14" t="str">
        <x:v>Stock Bias</x:v>
      </x:c>
      <x:c r="J3" s="14" t="str">
        <x:v>Min Stage</x:v>
      </x:c>
      <x:c r="K3" s="14" t="str">
        <x:v>Frequency</x:v>
      </x:c>
      <x:c r="L3" s="14" t="str">
        <x:v>Design Intent</x:v>
      </x:c>
    </x:row>
    <x:row r="4">
      <x:c r="A4" s="42" t="str">
        <x:v>Earnings Week</x:v>
      </x:c>
      <x:c r="B4" s="43" t="str">
        <x:v>48h</x:v>
      </x:c>
      <x:c r="C4" s="43" t="str">
        <x:v>Trading,Research,Fund</x:v>
      </x:c>
      <x:c r="D4" s="78" t="n">
        <x:v>1.25</x:v>
      </x:c>
      <x:c r="E4" s="78" t="n">
        <x:v>1.1</x:v>
      </x:c>
      <x:c r="F4" s="43" t="str">
        <x:v>+1 tier chance</x:v>
      </x:c>
      <x:c r="G4" s="78" t="n">
        <x:v>1.05</x:v>
      </x:c>
      <x:c r="H4" s="78" t="n">
        <x:v>1.1</x:v>
      </x:c>
      <x:c r="I4" s="43" t="str">
        <x:v>Event company / tech</x:v>
      </x:c>
      <x:c r="J4" s="43" t="str">
        <x:v>Starter</x:v>
      </x:c>
      <x:c r="K4" s="43" t="str">
        <x:v>2–4 / month</x:v>
      </x:c>
      <x:c r="L4" s="44" t="str">
        <x:v>High engagement</x:v>
      </x:c>
    </x:row>
    <x:row r="5">
      <x:c r="A5" s="45" t="str">
        <x:v>Tech Rally</x:v>
      </x:c>
      <x:c r="B5" s="22" t="str">
        <x:v>36h</x:v>
      </x:c>
      <x:c r="C5" s="22" t="str">
        <x:v>Research,Trading</x:v>
      </x:c>
      <x:c r="D5" s="58" t="n">
        <x:v>1.35</x:v>
      </x:c>
      <x:c r="E5" s="58" t="n">
        <x:v>1.2</x:v>
      </x:c>
      <x:c r="F5" s="22" t="str">
        <x:v>Rare +8%</x:v>
      </x:c>
      <x:c r="G5" s="58" t="n">
        <x:v>1.05</x:v>
      </x:c>
      <x:c r="H5" s="58" t="n">
        <x:v>1.15</x:v>
      </x:c>
      <x:c r="I5" s="22" t="str">
        <x:v>NVDA,MSFT,GOOGL,META</x:v>
      </x:c>
      <x:c r="J5" s="22" t="str">
        <x:v>Growing</x:v>
      </x:c>
      <x:c r="K5" s="22" t="str">
        <x:v>1–2 / month</x:v>
      </x:c>
      <x:c r="L5" s="46" t="str">
        <x:v>Sector excitement</x:v>
      </x:c>
    </x:row>
    <x:row r="6">
      <x:c r="A6" s="45" t="str">
        <x:v>Market Correction</x:v>
      </x:c>
      <x:c r="B6" s="22" t="str">
        <x:v>36h</x:v>
      </x:c>
      <x:c r="C6" s="22" t="str">
        <x:v>Trading,Risk,Treasury</x:v>
      </x:c>
      <x:c r="D6" s="58" t="n">
        <x:v>1.2</x:v>
      </x:c>
      <x:c r="E6" s="58" t="n">
        <x:v>1.15</x:v>
      </x:c>
      <x:c r="F6" s="22" t="str">
        <x:v>Rare +5%</x:v>
      </x:c>
      <x:c r="G6" s="58" t="n">
        <x:v>0.95</x:v>
      </x:c>
      <x:c r="H6" s="58" t="n">
        <x:v>1.2</x:v>
      </x:c>
      <x:c r="I6" s="22" t="str">
        <x:v>SPY,TSLA,COIN</x:v>
      </x:c>
      <x:c r="J6" s="22" t="str">
        <x:v>Growing</x:v>
      </x:c>
      <x:c r="K6" s="22" t="str">
        <x:v>1–2 / month</x:v>
      </x:c>
      <x:c r="L6" s="46" t="str">
        <x:v>Risk management</x:v>
      </x:c>
    </x:row>
    <x:row r="7">
      <x:c r="A7" s="45" t="str">
        <x:v>Rate Cut</x:v>
      </x:c>
      <x:c r="B7" s="22" t="str">
        <x:v>48h</x:v>
      </x:c>
      <x:c r="C7" s="22" t="str">
        <x:v>Banking,Fund,Wealth</x:v>
      </x:c>
      <x:c r="D7" s="58" t="n">
        <x:v>1.2</x:v>
      </x:c>
      <x:c r="E7" s="58" t="n">
        <x:v>1.1</x:v>
      </x:c>
      <x:c r="F7" s="22" t="str">
        <x:v>Uncommon +10%</x:v>
      </x:c>
      <x:c r="G7" s="58" t="n">
        <x:v>1.1</x:v>
      </x:c>
      <x:c r="H7" s="58" t="n">
        <x:v>1.08</x:v>
      </x:c>
      <x:c r="I7" s="22" t="str">
        <x:v>SPY,MSFT</x:v>
      </x:c>
      <x:c r="J7" s="22" t="str">
        <x:v>Starter</x:v>
      </x:c>
      <x:c r="K7" s="22" t="str">
        <x:v>1 / month</x:v>
      </x:c>
      <x:c r="L7" s="46" t="str">
        <x:v>Changes demand</x:v>
      </x:c>
    </x:row>
    <x:row r="8">
      <x:c r="A8" s="45" t="str">
        <x:v>Rate Hike</x:v>
      </x:c>
      <x:c r="B8" s="22" t="str">
        <x:v>48h</x:v>
      </x:c>
      <x:c r="C8" s="22" t="str">
        <x:v>Banking,Treasury,Risk</x:v>
      </x:c>
      <x:c r="D8" s="58" t="n">
        <x:v>1.15</x:v>
      </x:c>
      <x:c r="E8" s="58" t="n">
        <x:v>1.15</x:v>
      </x:c>
      <x:c r="F8" s="22" t="str">
        <x:v>Rare +5%</x:v>
      </x:c>
      <x:c r="G8" s="58" t="n">
        <x:v>0.95</x:v>
      </x:c>
      <x:c r="H8" s="58" t="n">
        <x:v>1.05</x:v>
      </x:c>
      <x:c r="I8" s="22" t="str">
        <x:v>SPY</x:v>
      </x:c>
      <x:c r="J8" s="22" t="str">
        <x:v>Starter</x:v>
      </x:c>
      <x:c r="K8" s="22" t="str">
        <x:v>1 / month</x:v>
      </x:c>
      <x:c r="L8" s="46" t="str">
        <x:v>Capital discipline</x:v>
      </x:c>
    </x:row>
    <x:row r="9">
      <x:c r="A9" s="45" t="str">
        <x:v>IPO Week</x:v>
      </x:c>
      <x:c r="B9" s="22" t="str">
        <x:v>72h</x:v>
      </x:c>
      <x:c r="C9" s="22" t="str">
        <x:v>Investment Banking,Brokerage</x:v>
      </x:c>
      <x:c r="D9" s="58" t="n">
        <x:v>1.3</x:v>
      </x:c>
      <x:c r="E9" s="58" t="n">
        <x:v>1.25</x:v>
      </x:c>
      <x:c r="F9" s="22" t="str">
        <x:v>Epic +5%</x:v>
      </x:c>
      <x:c r="G9" s="58" t="n">
        <x:v>1.1</x:v>
      </x:c>
      <x:c r="H9" s="58" t="n">
        <x:v>1.15</x:v>
      </x:c>
      <x:c r="I9" s="22" t="str">
        <x:v>Event basket</x:v>
      </x:c>
      <x:c r="J9" s="22" t="str">
        <x:v>Established</x:v>
      </x:c>
      <x:c r="K9" s="22" t="str">
        <x:v>1 / season</x:v>
      </x:c>
      <x:c r="L9" s="46" t="str">
        <x:v>Prestige event</x:v>
      </x:c>
    </x:row>
    <x:row r="10">
      <x:c r="A10" s="45" t="str">
        <x:v>Liquidity Crunch</x:v>
      </x:c>
      <x:c r="B10" s="22" t="str">
        <x:v>36h</x:v>
      </x:c>
      <x:c r="C10" s="22" t="str">
        <x:v>Liquidity,Treasury,Risk</x:v>
      </x:c>
      <x:c r="D10" s="58" t="n">
        <x:v>1.25</x:v>
      </x:c>
      <x:c r="E10" s="58" t="n">
        <x:v>1.3</x:v>
      </x:c>
      <x:c r="F10" s="22" t="str">
        <x:v>Epic +3%</x:v>
      </x:c>
      <x:c r="G10" s="58" t="n">
        <x:v>0.9</x:v>
      </x:c>
      <x:c r="H10" s="58" t="n">
        <x:v>1.1</x:v>
      </x:c>
      <x:c r="I10" s="22" t="str">
        <x:v>COIN,SPY</x:v>
      </x:c>
      <x:c r="J10" s="22" t="str">
        <x:v>Established</x:v>
      </x:c>
      <x:c r="K10" s="22" t="str">
        <x:v>1 / season</x:v>
      </x:c>
      <x:c r="L10" s="46" t="str">
        <x:v>Tests reserves</x:v>
      </x:c>
    </x:row>
    <x:row r="11">
      <x:c r="A11" s="45" t="str">
        <x:v>Retail Trading Boom</x:v>
      </x:c>
      <x:c r="B11" s="22" t="str">
        <x:v>24h</x:v>
      </x:c>
      <x:c r="C11" s="22" t="str">
        <x:v>Brokerage,Trading</x:v>
      </x:c>
      <x:c r="D11" s="58" t="n">
        <x:v>1.4</x:v>
      </x:c>
      <x:c r="E11" s="58" t="n">
        <x:v>1.15</x:v>
      </x:c>
      <x:c r="F11" s="22" t="str">
        <x:v>Uncommon +15%</x:v>
      </x:c>
      <x:c r="G11" s="58" t="n">
        <x:v>1.2</x:v>
      </x:c>
      <x:c r="H11" s="58" t="n">
        <x:v>1.2</x:v>
      </x:c>
      <x:c r="I11" s="22" t="str">
        <x:v>AAPL,TSLA,AMZN</x:v>
      </x:c>
      <x:c r="J11" s="22" t="str">
        <x:v>Starter</x:v>
      </x:c>
      <x:c r="K11" s="22" t="str">
        <x:v>1–2 / month</x:v>
      </x:c>
      <x:c r="L11" s="46" t="str">
        <x:v>Accessible event</x:v>
      </x:c>
    </x:row>
    <x:row r="12">
      <x:c r="A12" s="45" t="str">
        <x:v>Institutional Flow</x:v>
      </x:c>
      <x:c r="B12" s="22" t="str">
        <x:v>48h</x:v>
      </x:c>
      <x:c r="C12" s="22" t="str">
        <x:v>Institutional,Fund,Exchange</x:v>
      </x:c>
      <x:c r="D12" s="58" t="n">
        <x:v>1.25</x:v>
      </x:c>
      <x:c r="E12" s="58" t="n">
        <x:v>1.2</x:v>
      </x:c>
      <x:c r="F12" s="22" t="str">
        <x:v>Rare +10%</x:v>
      </x:c>
      <x:c r="G12" s="58" t="n">
        <x:v>1.1</x:v>
      </x:c>
      <x:c r="H12" s="58" t="n">
        <x:v>1.15</x:v>
      </x:c>
      <x:c r="I12" s="22" t="str">
        <x:v>SPY,MSFT</x:v>
      </x:c>
      <x:c r="J12" s="22" t="str">
        <x:v>Established</x:v>
      </x:c>
      <x:c r="K12" s="22" t="str">
        <x:v>1 / month</x:v>
      </x:c>
      <x:c r="L12" s="46" t="str">
        <x:v>Late-stage activity</x:v>
      </x:c>
    </x:row>
    <x:row r="13">
      <x:c r="A13" s="45" t="str">
        <x:v>AI Mania</x:v>
      </x:c>
      <x:c r="B13" s="22" t="str">
        <x:v>36h</x:v>
      </x:c>
      <x:c r="C13" s="22" t="str">
        <x:v>Research,Fund,Trading</x:v>
      </x:c>
      <x:c r="D13" s="58" t="n">
        <x:v>1.35</x:v>
      </x:c>
      <x:c r="E13" s="58" t="n">
        <x:v>1.25</x:v>
      </x:c>
      <x:c r="F13" s="22" t="str">
        <x:v>Epic +5%</x:v>
      </x:c>
      <x:c r="G13" s="58" t="n">
        <x:v>1.05</x:v>
      </x:c>
      <x:c r="H13" s="58" t="n">
        <x:v>1.2</x:v>
      </x:c>
      <x:c r="I13" s="22" t="str">
        <x:v>NVDA,MSFT,GOOGL</x:v>
      </x:c>
      <x:c r="J13" s="22" t="str">
        <x:v>Growing</x:v>
      </x:c>
      <x:c r="K13" s="22" t="str">
        <x:v>1 / month</x:v>
      </x:c>
      <x:c r="L13" s="46" t="str">
        <x:v>High-value theme</x:v>
      </x:c>
    </x:row>
    <x:row r="14">
      <x:c r="A14" s="45" t="str">
        <x:v>Dividend Week</x:v>
      </x:c>
      <x:c r="B14" s="22" t="str">
        <x:v>72h</x:v>
      </x:c>
      <x:c r="C14" s="22" t="str">
        <x:v>Fund,Wealth,Savings</x:v>
      </x:c>
      <x:c r="D14" s="58" t="n">
        <x:v>1.15</x:v>
      </x:c>
      <x:c r="E14" s="58" t="n">
        <x:v>1.05</x:v>
      </x:c>
      <x:c r="F14" s="22" t="str">
        <x:v>Uncommon +10%</x:v>
      </x:c>
      <x:c r="G14" s="58" t="n">
        <x:v>1.1</x:v>
      </x:c>
      <x:c r="H14" s="58" t="n">
        <x:v>1.05</x:v>
      </x:c>
      <x:c r="I14" s="22" t="str">
        <x:v>SPY,AAPL,MSFT</x:v>
      </x:c>
      <x:c r="J14" s="22" t="str">
        <x:v>Starter</x:v>
      </x:c>
      <x:c r="K14" s="22" t="str">
        <x:v>1 / season</x:v>
      </x:c>
      <x:c r="L14" s="46" t="str">
        <x:v>Lower intensity</x:v>
      </x:c>
    </x:row>
    <x:row r="15">
      <x:c r="A15" s="47" t="str">
        <x:v>World Market Week</x:v>
      </x:c>
      <x:c r="B15" s="48" t="str">
        <x:v>72h</x:v>
      </x:c>
      <x:c r="C15" s="48" t="str">
        <x:v>All</x:v>
      </x:c>
      <x:c r="D15" s="62" t="n">
        <x:v>1.5</x:v>
      </x:c>
      <x:c r="E15" s="62" t="n">
        <x:v>1.35</x:v>
      </x:c>
      <x:c r="F15" s="48" t="str">
        <x:v>Legendary +3%</x:v>
      </x:c>
      <x:c r="G15" s="62" t="n">
        <x:v>1.15</x:v>
      </x:c>
      <x:c r="H15" s="62" t="n">
        <x:v>1.25</x:v>
      </x:c>
      <x:c r="I15" s="48" t="str">
        <x:v>Broad</x:v>
      </x:c>
      <x:c r="J15" s="48" t="str">
        <x:v>Tycoon</x:v>
      </x:c>
      <x:c r="K15" s="48" t="str">
        <x:v>1 / season</x:v>
      </x:c>
      <x:c r="L15" s="49" t="str">
        <x:v>Signature endgame event</x:v>
      </x:c>
    </x:row>
  </x:sheetData>
  <x:mergeCells>
    <x:mergeCell ref="A1:L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8" customHeight="1">
      <x:c r="A1" s="182" t="str">
        <x:v>Weekly Funded Stock Pool &amp; Inventory Controls</x:v>
      </x:c>
      <x:c r="B1" s="182"/>
      <x:c r="C1" s="182"/>
      <x:c r="D1" s="182"/>
      <x:c r="E1" s="182"/>
      <x:c r="F1" s="182"/>
      <x:c r="G1" s="182"/>
      <x:c r="H1" s="182"/>
      <x:c r="I1" s="182"/>
      <x:c r="J1" s="182"/>
      <x:c r="K1" s="18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3">
      <x:c r="A3" s="14" t="str">
        <x:v>Ticker</x:v>
      </x:c>
      <x:c r="B3" s="14" t="str">
        <x:v>Allocation %</x:v>
      </x:c>
      <x:c r="C3" s="14" t="str">
        <x:v>Weekly Budget ($)</x:v>
      </x:c>
      <x:c r="D3" s="14" t="str">
        <x:v>Oracle Price ($)</x:v>
      </x:c>
      <x:c r="E3" s="14" t="str">
        <x:v>Funded Units</x:v>
      </x:c>
      <x:c r="F3" s="14" t="str">
        <x:v>Common Pack Capacity</x:v>
      </x:c>
      <x:c r="G3" s="14" t="str">
        <x:v>Uncommon Pack Capacity</x:v>
      </x:c>
      <x:c r="H3" s="14" t="str">
        <x:v>Rare Pack Capacity</x:v>
      </x:c>
      <x:c r="I3" s="14" t="str">
        <x:v>Epic Pack Capacity</x:v>
      </x:c>
      <x:c r="J3" s="14" t="str">
        <x:v>Legendary Pack Capacity</x:v>
      </x:c>
      <x:c r="K3" s="14" t="str">
        <x:v>Inventory Rule</x:v>
      </x:c>
    </x:row>
    <x:row r="4">
      <x:c r="A4" s="42" t="str">
        <x:v>AAPL</x:v>
      </x:c>
      <x:c r="B4" s="78" t="n">
        <x:v>0.12</x:v>
      </x:c>
      <x:c r="C4" s="112" t="n">
        <x:f>'04_Stock_Catalog'!G4</x:f>
        <x:v>600</x:v>
      </x:c>
      <x:c r="D4" s="112" t="n">
        <x:f>'04_Stock_Catalog'!F4</x:f>
        <x:v>100</x:v>
      </x:c>
      <x:c r="E4" s="124" t="n">
        <x:f>'04_Stock_Catalog'!H4</x:f>
        <x:v>6</x:v>
      </x:c>
      <x:c r="F4" s="156" t="n">
        <x:f>IF('03_Difficulty_Rewards'!$B$12&gt;0,ROUNDDOWN(C4/'03_Difficulty_Rewards'!$B$12,0),0)</x:f>
        <x:v>6000</x:v>
      </x:c>
      <x:c r="G4" s="156" t="n">
        <x:f>IF('03_Difficulty_Rewards'!$B$13&gt;0,ROUNDDOWN(C4/'03_Difficulty_Rewards'!$B$13,0),0)</x:f>
        <x:v>2400</x:v>
      </x:c>
      <x:c r="H4" s="156" t="n">
        <x:f>IF('03_Difficulty_Rewards'!$B$14&gt;0,ROUNDDOWN(C4/'03_Difficulty_Rewards'!$B$14,0),0)</x:f>
        <x:v>1200</x:v>
      </x:c>
      <x:c r="I4" s="156" t="n">
        <x:f>IF('03_Difficulty_Rewards'!$B$15&gt;0,ROUNDDOWN(C4/'03_Difficulty_Rewards'!$B$15,0),0)</x:f>
        <x:v>600</x:v>
      </x:c>
      <x:c r="J4" s="156" t="n">
        <x:f>IF('03_Difficulty_Rewards'!$B$16&gt;0,ROUNDDOWN(C4/'03_Difficulty_Rewards'!$B$16,0),0)</x:f>
        <x:v>240</x:v>
      </x:c>
      <x:c r="K4" s="44" t="str">
        <x:v>Reserve packet value on hunt issuance; release reservation on expiry/failure</x:v>
      </x:c>
    </x:row>
    <x:row r="5">
      <x:c r="A5" s="45" t="str">
        <x:v>NVDA</x:v>
      </x:c>
      <x:c r="B5" s="58" t="n">
        <x:v>0.1</x:v>
      </x:c>
      <x:c r="C5" s="114" t="n">
        <x:f>'04_Stock_Catalog'!G5</x:f>
        <x:v>500</x:v>
      </x:c>
      <x:c r="D5" s="114" t="n">
        <x:f>'04_Stock_Catalog'!F5</x:f>
        <x:v>100</x:v>
      </x:c>
      <x:c r="E5" s="125" t="n">
        <x:f>'04_Stock_Catalog'!H5</x:f>
        <x:v>5</x:v>
      </x:c>
      <x:c r="F5" s="157" t="n">
        <x:f>IF('03_Difficulty_Rewards'!$B$12&gt;0,ROUNDDOWN(C5/'03_Difficulty_Rewards'!$B$12,0),0)</x:f>
        <x:v>5000</x:v>
      </x:c>
      <x:c r="G5" s="157" t="n">
        <x:f>IF('03_Difficulty_Rewards'!$B$13&gt;0,ROUNDDOWN(C5/'03_Difficulty_Rewards'!$B$13,0),0)</x:f>
        <x:v>2000</x:v>
      </x:c>
      <x:c r="H5" s="157" t="n">
        <x:f>IF('03_Difficulty_Rewards'!$B$14&gt;0,ROUNDDOWN(C5/'03_Difficulty_Rewards'!$B$14,0),0)</x:f>
        <x:v>1000</x:v>
      </x:c>
      <x:c r="I5" s="157" t="n">
        <x:f>IF('03_Difficulty_Rewards'!$B$15&gt;0,ROUNDDOWN(C5/'03_Difficulty_Rewards'!$B$15,0),0)</x:f>
        <x:v>500</x:v>
      </x:c>
      <x:c r="J5" s="157" t="n">
        <x:f>IF('03_Difficulty_Rewards'!$B$16&gt;0,ROUNDDOWN(C5/'03_Difficulty_Rewards'!$B$16,0),0)</x:f>
        <x:v>200</x:v>
      </x:c>
      <x:c r="K5" s="46" t="str">
        <x:v>Reserve packet value on hunt issuance; release reservation on expiry/failure</x:v>
      </x:c>
    </x:row>
    <x:row r="6">
      <x:c r="A6" s="45" t="str">
        <x:v>TSLA</x:v>
      </x:c>
      <x:c r="B6" s="58" t="n">
        <x:v>0.09</x:v>
      </x:c>
      <x:c r="C6" s="114" t="n">
        <x:f>'04_Stock_Catalog'!G6</x:f>
        <x:v>450</x:v>
      </x:c>
      <x:c r="D6" s="114" t="n">
        <x:f>'04_Stock_Catalog'!F6</x:f>
        <x:v>100</x:v>
      </x:c>
      <x:c r="E6" s="125" t="n">
        <x:f>'04_Stock_Catalog'!H6</x:f>
        <x:v>4.5</x:v>
      </x:c>
      <x:c r="F6" s="157" t="n">
        <x:f>IF('03_Difficulty_Rewards'!$B$12&gt;0,ROUNDDOWN(C6/'03_Difficulty_Rewards'!$B$12,0),0)</x:f>
        <x:v>4500</x:v>
      </x:c>
      <x:c r="G6" s="157" t="n">
        <x:f>IF('03_Difficulty_Rewards'!$B$13&gt;0,ROUNDDOWN(C6/'03_Difficulty_Rewards'!$B$13,0),0)</x:f>
        <x:v>1800</x:v>
      </x:c>
      <x:c r="H6" s="157" t="n">
        <x:f>IF('03_Difficulty_Rewards'!$B$14&gt;0,ROUNDDOWN(C6/'03_Difficulty_Rewards'!$B$14,0),0)</x:f>
        <x:v>900</x:v>
      </x:c>
      <x:c r="I6" s="157" t="n">
        <x:f>IF('03_Difficulty_Rewards'!$B$15&gt;0,ROUNDDOWN(C6/'03_Difficulty_Rewards'!$B$15,0),0)</x:f>
        <x:v>450</x:v>
      </x:c>
      <x:c r="J6" s="157" t="n">
        <x:f>IF('03_Difficulty_Rewards'!$B$16&gt;0,ROUNDDOWN(C6/'03_Difficulty_Rewards'!$B$16,0),0)</x:f>
        <x:v>180</x:v>
      </x:c>
      <x:c r="K6" s="46" t="str">
        <x:v>Reserve packet value on hunt issuance; release reservation on expiry/failure</x:v>
      </x:c>
    </x:row>
    <x:row r="7">
      <x:c r="A7" s="45" t="str">
        <x:v>MSFT</x:v>
      </x:c>
      <x:c r="B7" s="58" t="n">
        <x:v>0.12</x:v>
      </x:c>
      <x:c r="C7" s="114" t="n">
        <x:f>'04_Stock_Catalog'!G7</x:f>
        <x:v>600</x:v>
      </x:c>
      <x:c r="D7" s="114" t="n">
        <x:f>'04_Stock_Catalog'!F7</x:f>
        <x:v>100</x:v>
      </x:c>
      <x:c r="E7" s="125" t="n">
        <x:f>'04_Stock_Catalog'!H7</x:f>
        <x:v>6</x:v>
      </x:c>
      <x:c r="F7" s="157" t="n">
        <x:f>IF('03_Difficulty_Rewards'!$B$12&gt;0,ROUNDDOWN(C7/'03_Difficulty_Rewards'!$B$12,0),0)</x:f>
        <x:v>6000</x:v>
      </x:c>
      <x:c r="G7" s="157" t="n">
        <x:f>IF('03_Difficulty_Rewards'!$B$13&gt;0,ROUNDDOWN(C7/'03_Difficulty_Rewards'!$B$13,0),0)</x:f>
        <x:v>2400</x:v>
      </x:c>
      <x:c r="H7" s="157" t="n">
        <x:f>IF('03_Difficulty_Rewards'!$B$14&gt;0,ROUNDDOWN(C7/'03_Difficulty_Rewards'!$B$14,0),0)</x:f>
        <x:v>1200</x:v>
      </x:c>
      <x:c r="I7" s="157" t="n">
        <x:f>IF('03_Difficulty_Rewards'!$B$15&gt;0,ROUNDDOWN(C7/'03_Difficulty_Rewards'!$B$15,0),0)</x:f>
        <x:v>600</x:v>
      </x:c>
      <x:c r="J7" s="157" t="n">
        <x:f>IF('03_Difficulty_Rewards'!$B$16&gt;0,ROUNDDOWN(C7/'03_Difficulty_Rewards'!$B$16,0),0)</x:f>
        <x:v>240</x:v>
      </x:c>
      <x:c r="K7" s="46" t="str">
        <x:v>Reserve packet value on hunt issuance; release reservation on expiry/failure</x:v>
      </x:c>
    </x:row>
    <x:row r="8">
      <x:c r="A8" s="45" t="str">
        <x:v>AMZN</x:v>
      </x:c>
      <x:c r="B8" s="58" t="n">
        <x:v>0.11</x:v>
      </x:c>
      <x:c r="C8" s="114" t="n">
        <x:f>'04_Stock_Catalog'!G8</x:f>
        <x:v>550</x:v>
      </x:c>
      <x:c r="D8" s="114" t="n">
        <x:f>'04_Stock_Catalog'!F8</x:f>
        <x:v>100</x:v>
      </x:c>
      <x:c r="E8" s="125" t="n">
        <x:f>'04_Stock_Catalog'!H8</x:f>
        <x:v>5.5</x:v>
      </x:c>
      <x:c r="F8" s="157" t="n">
        <x:f>IF('03_Difficulty_Rewards'!$B$12&gt;0,ROUNDDOWN(C8/'03_Difficulty_Rewards'!$B$12,0),0)</x:f>
        <x:v>5500</x:v>
      </x:c>
      <x:c r="G8" s="157" t="n">
        <x:f>IF('03_Difficulty_Rewards'!$B$13&gt;0,ROUNDDOWN(C8/'03_Difficulty_Rewards'!$B$13,0),0)</x:f>
        <x:v>2200</x:v>
      </x:c>
      <x:c r="H8" s="157" t="n">
        <x:f>IF('03_Difficulty_Rewards'!$B$14&gt;0,ROUNDDOWN(C8/'03_Difficulty_Rewards'!$B$14,0),0)</x:f>
        <x:v>1100</x:v>
      </x:c>
      <x:c r="I8" s="157" t="n">
        <x:f>IF('03_Difficulty_Rewards'!$B$15&gt;0,ROUNDDOWN(C8/'03_Difficulty_Rewards'!$B$15,0),0)</x:f>
        <x:v>550</x:v>
      </x:c>
      <x:c r="J8" s="157" t="n">
        <x:f>IF('03_Difficulty_Rewards'!$B$16&gt;0,ROUNDDOWN(C8/'03_Difficulty_Rewards'!$B$16,0),0)</x:f>
        <x:v>220</x:v>
      </x:c>
      <x:c r="K8" s="46" t="str">
        <x:v>Reserve packet value on hunt issuance; release reservation on expiry/failure</x:v>
      </x:c>
    </x:row>
    <x:row r="9">
      <x:c r="A9" s="45" t="str">
        <x:v>GOOGL</x:v>
      </x:c>
      <x:c r="B9" s="58" t="n">
        <x:v>0.1</x:v>
      </x:c>
      <x:c r="C9" s="114" t="n">
        <x:f>'04_Stock_Catalog'!G9</x:f>
        <x:v>500</x:v>
      </x:c>
      <x:c r="D9" s="114" t="n">
        <x:f>'04_Stock_Catalog'!F9</x:f>
        <x:v>100</x:v>
      </x:c>
      <x:c r="E9" s="125" t="n">
        <x:f>'04_Stock_Catalog'!H9</x:f>
        <x:v>5</x:v>
      </x:c>
      <x:c r="F9" s="157" t="n">
        <x:f>IF('03_Difficulty_Rewards'!$B$12&gt;0,ROUNDDOWN(C9/'03_Difficulty_Rewards'!$B$12,0),0)</x:f>
        <x:v>5000</x:v>
      </x:c>
      <x:c r="G9" s="157" t="n">
        <x:f>IF('03_Difficulty_Rewards'!$B$13&gt;0,ROUNDDOWN(C9/'03_Difficulty_Rewards'!$B$13,0),0)</x:f>
        <x:v>2000</x:v>
      </x:c>
      <x:c r="H9" s="157" t="n">
        <x:f>IF('03_Difficulty_Rewards'!$B$14&gt;0,ROUNDDOWN(C9/'03_Difficulty_Rewards'!$B$14,0),0)</x:f>
        <x:v>1000</x:v>
      </x:c>
      <x:c r="I9" s="157" t="n">
        <x:f>IF('03_Difficulty_Rewards'!$B$15&gt;0,ROUNDDOWN(C9/'03_Difficulty_Rewards'!$B$15,0),0)</x:f>
        <x:v>500</x:v>
      </x:c>
      <x:c r="J9" s="157" t="n">
        <x:f>IF('03_Difficulty_Rewards'!$B$16&gt;0,ROUNDDOWN(C9/'03_Difficulty_Rewards'!$B$16,0),0)</x:f>
        <x:v>200</x:v>
      </x:c>
      <x:c r="K9" s="46" t="str">
        <x:v>Reserve packet value on hunt issuance; release reservation on expiry/failure</x:v>
      </x:c>
    </x:row>
    <x:row r="10">
      <x:c r="A10" s="45" t="str">
        <x:v>META</x:v>
      </x:c>
      <x:c r="B10" s="58" t="n">
        <x:v>0.09</x:v>
      </x:c>
      <x:c r="C10" s="114" t="n">
        <x:f>'04_Stock_Catalog'!G10</x:f>
        <x:v>450</x:v>
      </x:c>
      <x:c r="D10" s="114" t="n">
        <x:f>'04_Stock_Catalog'!F10</x:f>
        <x:v>100</x:v>
      </x:c>
      <x:c r="E10" s="125" t="n">
        <x:f>'04_Stock_Catalog'!H10</x:f>
        <x:v>4.5</x:v>
      </x:c>
      <x:c r="F10" s="157" t="n">
        <x:f>IF('03_Difficulty_Rewards'!$B$12&gt;0,ROUNDDOWN(C10/'03_Difficulty_Rewards'!$B$12,0),0)</x:f>
        <x:v>4500</x:v>
      </x:c>
      <x:c r="G10" s="157" t="n">
        <x:f>IF('03_Difficulty_Rewards'!$B$13&gt;0,ROUNDDOWN(C10/'03_Difficulty_Rewards'!$B$13,0),0)</x:f>
        <x:v>1800</x:v>
      </x:c>
      <x:c r="H10" s="157" t="n">
        <x:f>IF('03_Difficulty_Rewards'!$B$14&gt;0,ROUNDDOWN(C10/'03_Difficulty_Rewards'!$B$14,0),0)</x:f>
        <x:v>900</x:v>
      </x:c>
      <x:c r="I10" s="157" t="n">
        <x:f>IF('03_Difficulty_Rewards'!$B$15&gt;0,ROUNDDOWN(C10/'03_Difficulty_Rewards'!$B$15,0),0)</x:f>
        <x:v>450</x:v>
      </x:c>
      <x:c r="J10" s="157" t="n">
        <x:f>IF('03_Difficulty_Rewards'!$B$16&gt;0,ROUNDDOWN(C10/'03_Difficulty_Rewards'!$B$16,0),0)</x:f>
        <x:v>180</x:v>
      </x:c>
      <x:c r="K10" s="46" t="str">
        <x:v>Reserve packet value on hunt issuance; release reservation on expiry/failure</x:v>
      </x:c>
    </x:row>
    <x:row r="11">
      <x:c r="A11" s="45" t="str">
        <x:v>COIN</x:v>
      </x:c>
      <x:c r="B11" s="58" t="n">
        <x:v>0.07</x:v>
      </x:c>
      <x:c r="C11" s="114" t="n">
        <x:f>'04_Stock_Catalog'!G11</x:f>
        <x:v>350.00000000000006</x:v>
      </x:c>
      <x:c r="D11" s="114" t="n">
        <x:f>'04_Stock_Catalog'!F11</x:f>
        <x:v>100</x:v>
      </x:c>
      <x:c r="E11" s="125" t="n">
        <x:f>'04_Stock_Catalog'!H11</x:f>
        <x:v>3.5000000000000004</x:v>
      </x:c>
      <x:c r="F11" s="157" t="n">
        <x:f>IF('03_Difficulty_Rewards'!$B$12&gt;0,ROUNDDOWN(C11/'03_Difficulty_Rewards'!$B$12,0),0)</x:f>
        <x:v>3500</x:v>
      </x:c>
      <x:c r="G11" s="157" t="n">
        <x:f>IF('03_Difficulty_Rewards'!$B$13&gt;0,ROUNDDOWN(C11/'03_Difficulty_Rewards'!$B$13,0),0)</x:f>
        <x:v>1400</x:v>
      </x:c>
      <x:c r="H11" s="157" t="n">
        <x:f>IF('03_Difficulty_Rewards'!$B$14&gt;0,ROUNDDOWN(C11/'03_Difficulty_Rewards'!$B$14,0),0)</x:f>
        <x:v>700</x:v>
      </x:c>
      <x:c r="I11" s="157" t="n">
        <x:f>IF('03_Difficulty_Rewards'!$B$15&gt;0,ROUNDDOWN(C11/'03_Difficulty_Rewards'!$B$15,0),0)</x:f>
        <x:v>350</x:v>
      </x:c>
      <x:c r="J11" s="157" t="n">
        <x:f>IF('03_Difficulty_Rewards'!$B$16&gt;0,ROUNDDOWN(C11/'03_Difficulty_Rewards'!$B$16,0),0)</x:f>
        <x:v>140</x:v>
      </x:c>
      <x:c r="K11" s="46" t="str">
        <x:v>Reserve packet value on hunt issuance; release reservation on expiry/failure</x:v>
      </x:c>
    </x:row>
    <x:row r="12">
      <x:c r="A12" s="45" t="str">
        <x:v>NFLX</x:v>
      </x:c>
      <x:c r="B12" s="58" t="n">
        <x:v>0.08</x:v>
      </x:c>
      <x:c r="C12" s="114" t="n">
        <x:f>'04_Stock_Catalog'!G12</x:f>
        <x:v>400</x:v>
      </x:c>
      <x:c r="D12" s="114" t="n">
        <x:f>'04_Stock_Catalog'!F12</x:f>
        <x:v>100</x:v>
      </x:c>
      <x:c r="E12" s="125" t="n">
        <x:f>'04_Stock_Catalog'!H12</x:f>
        <x:v>4</x:v>
      </x:c>
      <x:c r="F12" s="157" t="n">
        <x:f>IF('03_Difficulty_Rewards'!$B$12&gt;0,ROUNDDOWN(C12/'03_Difficulty_Rewards'!$B$12,0),0)</x:f>
        <x:v>4000</x:v>
      </x:c>
      <x:c r="G12" s="157" t="n">
        <x:f>IF('03_Difficulty_Rewards'!$B$13&gt;0,ROUNDDOWN(C12/'03_Difficulty_Rewards'!$B$13,0),0)</x:f>
        <x:v>1600</x:v>
      </x:c>
      <x:c r="H12" s="157" t="n">
        <x:f>IF('03_Difficulty_Rewards'!$B$14&gt;0,ROUNDDOWN(C12/'03_Difficulty_Rewards'!$B$14,0),0)</x:f>
        <x:v>800</x:v>
      </x:c>
      <x:c r="I12" s="157" t="n">
        <x:f>IF('03_Difficulty_Rewards'!$B$15&gt;0,ROUNDDOWN(C12/'03_Difficulty_Rewards'!$B$15,0),0)</x:f>
        <x:v>400</x:v>
      </x:c>
      <x:c r="J12" s="157" t="n">
        <x:f>IF('03_Difficulty_Rewards'!$B$16&gt;0,ROUNDDOWN(C12/'03_Difficulty_Rewards'!$B$16,0),0)</x:f>
        <x:v>160</x:v>
      </x:c>
      <x:c r="K12" s="46" t="str">
        <x:v>Reserve packet value on hunt issuance; release reservation on expiry/failure</x:v>
      </x:c>
    </x:row>
    <x:row r="13">
      <x:c r="A13" s="47" t="str">
        <x:v>SPY</x:v>
      </x:c>
      <x:c r="B13" s="62" t="n">
        <x:v>0.12</x:v>
      </x:c>
      <x:c r="C13" s="116" t="n">
        <x:f>'04_Stock_Catalog'!G13</x:f>
        <x:v>600</x:v>
      </x:c>
      <x:c r="D13" s="116" t="n">
        <x:f>'04_Stock_Catalog'!F13</x:f>
        <x:v>100</x:v>
      </x:c>
      <x:c r="E13" s="126" t="n">
        <x:f>'04_Stock_Catalog'!H13</x:f>
        <x:v>6</x:v>
      </x:c>
      <x:c r="F13" s="158" t="n">
        <x:f>IF('03_Difficulty_Rewards'!$B$12&gt;0,ROUNDDOWN(C13/'03_Difficulty_Rewards'!$B$12,0),0)</x:f>
        <x:v>6000</x:v>
      </x:c>
      <x:c r="G13" s="158" t="n">
        <x:f>IF('03_Difficulty_Rewards'!$B$13&gt;0,ROUNDDOWN(C13/'03_Difficulty_Rewards'!$B$13,0),0)</x:f>
        <x:v>2400</x:v>
      </x:c>
      <x:c r="H13" s="158" t="n">
        <x:f>IF('03_Difficulty_Rewards'!$B$14&gt;0,ROUNDDOWN(C13/'03_Difficulty_Rewards'!$B$14,0),0)</x:f>
        <x:v>1200</x:v>
      </x:c>
      <x:c r="I13" s="158" t="n">
        <x:f>IF('03_Difficulty_Rewards'!$B$15&gt;0,ROUNDDOWN(C13/'03_Difficulty_Rewards'!$B$15,0),0)</x:f>
        <x:v>600</x:v>
      </x:c>
      <x:c r="J13" s="158" t="n">
        <x:f>IF('03_Difficulty_Rewards'!$B$16&gt;0,ROUNDDOWN(C13/'03_Difficulty_Rewards'!$B$16,0),0)</x:f>
        <x:v>240</x:v>
      </x:c>
      <x:c r="K13" s="49" t="str">
        <x:v>Reserve packet value on hunt issuance; release reservation on expiry/failure</x:v>
      </x:c>
    </x:row>
    <x:row r="15" ht="22" customHeight="1">
      <x:c r="A15" s="39" t="str">
        <x:v>Pool Allocation Summary</x:v>
      </x:c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</x:row>
    <x:row r="16">
      <x:c r="A16" s="14" t="str">
        <x:v>Metric</x:v>
      </x:c>
      <x:c r="B16" s="14" t="str">
        <x:v>Formula / Value</x:v>
      </x:c>
      <x:c r="C16" s="14" t="str">
        <x:v>Target</x:v>
      </x:c>
      <x:c r="D16" s="14" t="str">
        <x:v>Status</x:v>
      </x:c>
    </x:row>
    <x:row r="17">
      <x:c r="A17" t="str">
        <x:v>Total allocation %</x:v>
      </x:c>
      <x:c r="B17" s="130" t="n">
        <x:f>SUM(B4:B13)</x:f>
        <x:v>1</x:v>
      </x:c>
      <x:c r="C17" s="130" t="n">
        <x:v>1</x:v>
      </x:c>
      <x:c r="D17" t="str">
        <x:f>IF(ABS(B17-C17)&lt;0.0001,"PASS","CHECK")</x:f>
        <x:v>PASS</x:v>
      </x:c>
    </x:row>
    <x:row r="18">
      <x:c r="A18" t="str">
        <x:v>Total funded budget</x:v>
      </x:c>
      <x:c r="B18" s="162" t="n">
        <x:f>SUM(C4:C13)</x:f>
        <x:v>5000</x:v>
      </x:c>
      <x:c r="C18" s="162" t="n">
        <x:f>'01_Assumptions'!$B$4</x:f>
        <x:v>5000</x:v>
      </x:c>
      <x:c r="D18" t="str">
        <x:f>IF(ABS(B18-C18)&lt;0.01,"PASS","CHECK")</x:f>
        <x:v>PASS</x:v>
      </x:c>
    </x:row>
    <x:row r="19">
      <x:c r="A19" t="str">
        <x:v>Reserve budget</x:v>
      </x:c>
      <x:c r="B19" s="162" t="n">
        <x:f>B18*'01_Assumptions'!$B$5</x:f>
        <x:v>250</x:v>
      </x:c>
      <x:c r="C19" s="162"/>
      <x:c r="D19"/>
    </x:row>
    <x:row r="22">
      <x:c r="A22" s="20" t="str">
        <x:v>Module Reward Budget Separation</x:v>
      </x:c>
      <x:c r="B22" s="20" t="str"/>
      <x:c r="C22" s="20" t="str"/>
      <x:c r="D22" s="20" t="str"/>
      <x:c r="E22" s="20" t="str"/>
      <x:c r="F22" s="20" t="str"/>
      <x:c r="G22" s="20" t="str"/>
      <x:c r="H22" s="20" t="str"/>
      <x:c r="I22" s="20" t="str"/>
      <x:c r="J22" s="20" t="str"/>
      <x:c r="K22" s="20" t="str"/>
    </x:row>
    <x:row r="23">
      <x:c r="A23" s="20" t="str">
        <x:v>Stock pool reservation</x:v>
      </x:c>
      <x:c r="B23" s="20" t="str">
        <x:v>Unchanged</x:v>
      </x:c>
      <x:c r="C23" s="20" t="str">
        <x:v>Module reward does not reserve funded stock inventory.</x:v>
      </x:c>
      <x:c r="D23" s="20" t="str"/>
      <x:c r="E23" s="20" t="str"/>
      <x:c r="F23" s="20" t="str"/>
      <x:c r="G23" s="20" t="str"/>
      <x:c r="H23" s="20" t="str"/>
      <x:c r="I23" s="20" t="str"/>
      <x:c r="J23" s="20" t="str"/>
      <x:c r="K23" s="20" t="str"/>
    </x:row>
    <x:row r="24">
      <x:c r="A24" s="20" t="str">
        <x:v>Hunt Points</x:v>
      </x:c>
      <x:c r="B24" s="20" t="str">
        <x:v>Unchanged</x:v>
      </x:c>
      <x:c r="C24" s="20" t="str">
        <x:v>Module discovery does not add Hunt Points or Performance points.</x:v>
      </x:c>
      <x:c r="D24" s="20" t="str"/>
      <x:c r="E24" s="20" t="str"/>
      <x:c r="F24" s="20" t="str"/>
      <x:c r="G24" s="20" t="str"/>
      <x:c r="H24" s="20" t="str"/>
      <x:c r="I24" s="20" t="str"/>
      <x:c r="J24" s="20" t="str"/>
      <x:c r="K24" s="20" t="str"/>
    </x:row>
    <x:row r="25">
      <x:c r="A25" s="20" t="str">
        <x:v>Module reward ledger</x:v>
      </x:c>
      <x:c r="B25" s="20" t="str">
        <x:v>Separate</x:v>
      </x:c>
      <x:c r="C25" s="20" t="str">
        <x:v>Pending Module/Parts reward event; resolved later by Module Inventory.</x:v>
      </x:c>
      <x:c r="D25" s="20" t="str"/>
      <x:c r="E25" s="20" t="str"/>
      <x:c r="F25" s="20" t="str"/>
      <x:c r="G25" s="20" t="str"/>
      <x:c r="H25" s="20" t="str"/>
      <x:c r="I25" s="20" t="str"/>
      <x:c r="J25" s="20" t="str"/>
      <x:c r="K25" s="20" t="str"/>
    </x:row>
    <x:row r="26">
      <x:c r="A26" s="20" t="str">
        <x:v>Cash fallback</x:v>
      </x:c>
      <x:c r="B26" s="20" t="str">
        <x:v>Stock only</x:v>
      </x:c>
      <x:c r="C26" s="20" t="str">
        <x:v>Pool exhaustion affects stock delivery only; Module reward config remains separate.</x:v>
      </x:c>
      <x:c r="D26" s="20" t="str"/>
      <x:c r="E26" s="20" t="str"/>
      <x:c r="F26" s="20" t="str"/>
      <x:c r="G26" s="20" t="str"/>
      <x:c r="H26" s="20" t="str"/>
      <x:c r="I26" s="20" t="str"/>
      <x:c r="J26" s="20" t="str"/>
      <x:c r="K26" s="20" t="str"/>
    </x:row>
    <x:row r="27">
      <x:c r="A27" s="20" t="str">
        <x:v>Claim audit</x:v>
      </x:c>
      <x:c r="B27" s="20" t="str">
        <x:v>Required</x:v>
      </x:c>
      <x:c r="C27" s="20" t="str">
        <x:v>Hunt claim records stock result and independent Module reward event ID.</x:v>
      </x:c>
      <x:c r="D27" s="20" t="str"/>
      <x:c r="E27" s="20" t="str"/>
      <x:c r="F27" s="20" t="str"/>
      <x:c r="G27" s="20" t="str"/>
      <x:c r="H27" s="20" t="str"/>
      <x:c r="I27" s="20" t="str"/>
      <x:c r="J27" s="20" t="str"/>
      <x:c r="K27" s="20" t="str"/>
    </x:row>
  </x:sheetData>
  <x:mergeCells>
    <x:mergeCell ref="A1:K1"/>
    <x:mergeCell ref="A15:K15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8" customHeight="1">
      <x:c r="A1" s="182" t="str">
        <x:v>Market Hunts → Weekly Performance Score Integration</x:v>
      </x:c>
      <x:c r="B1" s="182"/>
      <x:c r="C1" s="182"/>
      <x:c r="D1" s="182"/>
      <x:c r="E1" s="182"/>
      <x:c r="F1" s="182"/>
      <x:c r="G1" s="182"/>
      <x:c r="H1" s="182"/>
      <x:c r="I1" s="182"/>
      <x:c r="J1" s="18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3">
      <x:c r="A3" s="14" t="str">
        <x:v>Element</x:v>
      </x:c>
      <x:c r="B3" s="14" t="str">
        <x:v>Rule</x:v>
      </x:c>
      <x:c r="C3" s="14" t="str">
        <x:v>Formula / Method</x:v>
      </x:c>
      <x:c r="D3" s="14" t="str">
        <x:v>Cap</x:v>
      </x:c>
      <x:c r="E3" s="14" t="str">
        <x:v>Reason</x:v>
      </x:c>
      <x:c r="F3" s="14" t="str">
        <x:v>Humble Example</x:v>
      </x:c>
      <x:c r="G3" s="14" t="str">
        <x:v>Growing Example</x:v>
      </x:c>
      <x:c r="H3" s="14" t="str">
        <x:v>Tycoon Example</x:v>
      </x:c>
      <x:c r="I3" s="14" t="str">
        <x:v>Abuse Risk</x:v>
      </x:c>
      <x:c r="J3" s="14" t="str">
        <x:v>Mitigation</x:v>
      </x:c>
    </x:row>
    <x:row r="4">
      <x:c r="A4" s="42" t="str">
        <x:v>Hunt Points</x:v>
      </x:c>
      <x:c r="B4" s="43" t="str">
        <x:v>Difficulty-weighted points</x:v>
      </x:c>
      <x:c r="C4" s="43" t="str">
        <x:v>Easy 1 / Standard 2 / Hard 4 / Elite 7 / Jackpot 12</x:v>
      </x:c>
      <x:c r="D4" s="43" t="str">
        <x:v>Weekly scored cap applies</x:v>
      </x:c>
      <x:c r="E4" s="43" t="str">
        <x:v>Rewards challenge, not just volume</x:v>
      </x:c>
      <x:c r="F4" s="150" t="n">
        <x:v>12</x:v>
      </x:c>
      <x:c r="G4" s="150" t="n">
        <x:v>35</x:v>
      </x:c>
      <x:c r="H4" s="150" t="n">
        <x:v>90</x:v>
      </x:c>
      <x:c r="I4" s="43" t="str">
        <x:v>Spam easy hunts</x:v>
      </x:c>
      <x:c r="J4" s="44" t="str">
        <x:v>Weekly point target + cap</x:v>
      </x:c>
    </x:row>
    <x:row r="5">
      <x:c r="A5" s="45" t="str">
        <x:v>Completion Quality</x:v>
      </x:c>
      <x:c r="B5" s="22" t="str">
        <x:v>Target achieved legitimately</x:v>
      </x:c>
      <x:c r="C5" s="22" t="str">
        <x:v>1.0 normal; failed = 0</x:v>
      </x:c>
      <x:c r="D5" s="22" t="str">
        <x:v>1.0</x:v>
      </x:c>
      <x:c r="E5" s="22" t="str">
        <x:v>No partial exploit</x:v>
      </x:c>
      <x:c r="F5" s="151" t="n">
        <x:v>1</x:v>
      </x:c>
      <x:c r="G5" s="151" t="n">
        <x:v>1</x:v>
      </x:c>
      <x:c r="H5" s="151" t="n">
        <x:v>1</x:v>
      </x:c>
      <x:c r="I5" s="22" t="str">
        <x:v>Synthetic activity</x:v>
      </x:c>
      <x:c r="J5" s="46" t="str">
        <x:v>Server validation</x:v>
      </x:c>
    </x:row>
    <x:row r="6">
      <x:c r="A6" s="45" t="str">
        <x:v>Weekly Hunt Subscore</x:v>
      </x:c>
      <x:c r="B6" s="22" t="str">
        <x:v>Normalize against stage target</x:v>
      </x:c>
      <x:c r="C6" s="22" t="str">
        <x:v>MIN(100, Hunt Points / Stage Target × 100)</x:v>
      </x:c>
      <x:c r="D6" s="22" t="n">
        <x:v>100</x:v>
      </x:c>
      <x:c r="E6" s="22" t="str">
        <x:v>Comparable across stages</x:v>
      </x:c>
      <x:c r="F6" s="151" t="n">
        <x:v>55</x:v>
      </x:c>
      <x:c r="G6" s="151" t="n">
        <x:v>78</x:v>
      </x:c>
      <x:c r="H6" s="151" t="n">
        <x:v>90</x:v>
      </x:c>
      <x:c r="I6" s="22" t="str">
        <x:v>Whale scale</x:v>
      </x:c>
      <x:c r="J6" s="46" t="str">
        <x:v>Stage normalization</x:v>
      </x:c>
    </x:row>
    <x:row r="7">
      <x:c r="A7" s="45" t="str">
        <x:v>Overall Weight</x:v>
      </x:c>
      <x:c r="B7" s="22" t="str">
        <x:v>Contribution to Performance Score</x:v>
      </x:c>
      <x:c r="C7" s="22" t="str">
        <x:v>Hunt Subscore × 5%</x:v>
      </x:c>
      <x:c r="D7" s="22" t="n">
        <x:v>5</x:v>
      </x:c>
      <x:c r="E7" s="22" t="str">
        <x:v>Cannot dominate weekly $PLOT</x:v>
      </x:c>
      <x:c r="F7" s="151" t="n">
        <x:v>2.75</x:v>
      </x:c>
      <x:c r="G7" s="151" t="n">
        <x:v>3.9</x:v>
      </x:c>
      <x:c r="H7" s="151" t="n">
        <x:v>4.5</x:v>
      </x:c>
      <x:c r="I7" s="22" t="str">
        <x:v>Reward farming</x:v>
      </x:c>
      <x:c r="J7" s="46" t="str">
        <x:v>Hard cap at configured weight</x:v>
      </x:c>
    </x:row>
    <x:row r="8">
      <x:c r="A8" s="45" t="str">
        <x:v>Stock Value</x:v>
      </x:c>
      <x:c r="B8" s="22" t="str">
        <x:v>Does NOT add score</x:v>
      </x:c>
      <x:c r="C8" s="22" t="str">
        <x:v>0</x:v>
      </x:c>
      <x:c r="D8" s="22" t="str">
        <x:v>0</x:v>
      </x:c>
      <x:c r="E8" s="22" t="str">
        <x:v>Prevents expensive stock luck affecting $PLOT payout</x:v>
      </x:c>
      <x:c r="F8" s="151" t="n">
        <x:v>0</x:v>
      </x:c>
      <x:c r="G8" s="151" t="n">
        <x:v>0</x:v>
      </x:c>
      <x:c r="H8" s="151" t="n">
        <x:v>0</x:v>
      </x:c>
      <x:c r="I8" s="22" t="str">
        <x:v>Lucky drops</x:v>
      </x:c>
      <x:c r="J8" s="46" t="str">
        <x:v>No value weighting</x:v>
      </x:c>
    </x:row>
    <x:row r="9">
      <x:c r="A9" s="47" t="str">
        <x:v>Post-cap Hunts</x:v>
      </x:c>
      <x:c r="B9" s="48" t="str">
        <x:v>Can still reward stock if inventory exists</x:v>
      </x:c>
      <x:c r="C9" s="48" t="str">
        <x:v>No extra Performance points</x:v>
      </x:c>
      <x:c r="D9" s="48" t="str">
        <x:v>0 extra</x:v>
      </x:c>
      <x:c r="E9" s="48" t="str">
        <x:v>Keeps play fun without score farming</x:v>
      </x:c>
      <x:c r="F9" s="152" t="str">
        <x:v>Yes</x:v>
      </x:c>
      <x:c r="G9" s="152" t="str">
        <x:v>Yes</x:v>
      </x:c>
      <x:c r="H9" s="152" t="str">
        <x:v>Yes</x:v>
      </x:c>
      <x:c r="I9" s="48" t="str">
        <x:v>Infinite reward loop</x:v>
      </x:c>
      <x:c r="J9" s="49" t="str">
        <x:v>Inventory + daily slot caps</x:v>
      </x:c>
    </x:row>
    <x:row r="11" ht="22" customHeight="1">
      <x:c r="A11" s="39" t="str">
        <x:v>Recommended Subscore Formula</x:v>
      </x:c>
      <x:c r="B11" s="39"/>
      <x:c r="C11" s="39"/>
      <x:c r="D11" s="39"/>
      <x:c r="E11" s="39"/>
      <x:c r="F11" s="39"/>
      <x:c r="G11" s="39"/>
      <x:c r="H11" s="39"/>
      <x:c r="I11" s="39"/>
      <x:c r="J11" s="39"/>
    </x:row>
    <x:row r="12">
      <x:c r="A12" s="14" t="str">
        <x:v>Metric</x:v>
      </x:c>
      <x:c r="B12" s="14" t="str">
        <x:v>Formula</x:v>
      </x:c>
      <x:c r="C12" s="14" t="str">
        <x:v>Notes</x:v>
      </x:c>
      <x:c r="D12" t="str"/>
      <x:c r="E12" t="str"/>
      <x:c r="F12" t="str"/>
      <x:c r="G12" t="str"/>
      <x:c r="H12" t="str"/>
      <x:c r="I12" t="str"/>
      <x:c r="J12" t="str"/>
    </x:row>
    <x:row r="13">
      <x:c r="A13" s="42" t="str">
        <x:v>Raw Hunt Points</x:v>
      </x:c>
      <x:c r="B13" s="43" t="str">
        <x:v>SUM(valid completed Hunt Points)</x:v>
      </x:c>
      <x:c r="C13" s="44" t="str">
        <x:v>Only server-validated completions</x:v>
      </x:c>
      <x:c r="D13" t="str"/>
      <x:c r="E13" t="str"/>
      <x:c r="F13" t="str"/>
      <x:c r="G13" t="str"/>
      <x:c r="H13" t="str"/>
      <x:c r="I13" t="str"/>
      <x:c r="J13" t="str"/>
    </x:row>
    <x:row r="14">
      <x:c r="A14" s="47" t="str">
        <x:v>Market Hunt Subscore</x:v>
      </x:c>
      <x:c r="B14" s="48" t="str">
        <x:v>MIN(100, Raw Hunt Points / Stage Weekly Hunt Point Target * 100)</x:v>
      </x:c>
      <x:c r="C14" s="49" t="str">
        <x:v>Contribution to full Performance Score = Subscore × configured 5% weight</x:v>
      </x:c>
      <x:c r="D14" t="str"/>
      <x:c r="E14" t="str"/>
      <x:c r="F14" t="str"/>
      <x:c r="G14" t="str"/>
      <x:c r="H14" t="str"/>
      <x:c r="I14" t="str"/>
      <x:c r="J14" t="str"/>
    </x:row>
  </x:sheetData>
  <x:mergeCells>
    <x:mergeCell ref="A1:J1"/>
    <x:mergeCell ref="A11:J1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8" customHeight="1">
      <x:c r="A1" s="182" t="str">
        <x:v>Weekly Player Reward &amp; Engagement Simulations</x:v>
      </x:c>
      <x:c r="B1" s="182"/>
      <x:c r="C1" s="182"/>
      <x:c r="D1" s="182"/>
      <x:c r="E1" s="182"/>
      <x:c r="F1" s="182"/>
      <x:c r="G1" s="182"/>
      <x:c r="H1" s="182"/>
      <x:c r="I1" s="182"/>
      <x:c r="J1" s="182"/>
      <x:c r="K1" s="182"/>
      <x:c r="L1" s="182"/>
      <x:c r="M1" s="18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3">
      <x:c r="A3" s="14" t="str">
        <x:v>Stage</x:v>
      </x:c>
      <x:c r="B3" s="14" t="str">
        <x:v>Engagement</x:v>
      </x:c>
      <x:c r="C3" s="14" t="str">
        <x:v>Base Hunts/Day</x:v>
      </x:c>
      <x:c r="D3" s="14" t="str">
        <x:v>Bonus Hunts/Day</x:v>
      </x:c>
      <x:c r="E3" s="14" t="str">
        <x:v>Offered/Week</x:v>
      </x:c>
      <x:c r="F3" s="14" t="str">
        <x:v>Completion Rate</x:v>
      </x:c>
      <x:c r="G3" s="14" t="str">
        <x:v>Completed/Week</x:v>
      </x:c>
      <x:c r="H3" s="14" t="str">
        <x:v>Difficulty Avg Reward ($)</x:v>
      </x:c>
      <x:c r="I3" s="14" t="str">
        <x:v>Provisional Stock Value ($)</x:v>
      </x:c>
      <x:c r="J3" s="14" t="str">
        <x:v>Avg Hunt Points</x:v>
      </x:c>
      <x:c r="K3" s="14" t="str">
        <x:v>Hunt Points/Week</x:v>
      </x:c>
      <x:c r="L3" s="14" t="str">
        <x:v>Hunt Subscore</x:v>
      </x:c>
      <x:c r="M3" s="14" t="str">
        <x:v>Performance Contribution</x:v>
      </x:c>
    </x:row>
    <x:row r="4">
      <x:c r="A4" s="42" t="str">
        <x:v>Humble</x:v>
      </x:c>
      <x:c r="B4" s="43" t="str">
        <x:v>Casual</x:v>
      </x:c>
      <x:c r="C4" s="43" t="n">
        <x:v>3</x:v>
      </x:c>
      <x:c r="D4" s="43" t="n">
        <x:v>0</x:v>
      </x:c>
      <x:c r="E4" s="43" t="n">
        <x:v>21</x:v>
      </x:c>
      <x:c r="F4" s="78" t="n">
        <x:v>0.3</x:v>
      </x:c>
      <x:c r="G4" s="170" t="n">
        <x:f>E4*F4</x:f>
        <x:v>6.3</x:v>
      </x:c>
      <x:c r="H4" s="106" t="n">
        <x:v>0.18</x:v>
      </x:c>
      <x:c r="I4" s="106" t="n">
        <x:f>G4*H4</x:f>
        <x:v>1.134</x:v>
      </x:c>
      <x:c r="J4" s="170" t="n">
        <x:v>1.4</x:v>
      </x:c>
      <x:c r="K4" s="170" t="n">
        <x:f>G4*J4</x:f>
        <x:v>8.819999999999999</x:v>
      </x:c>
      <x:c r="L4" s="170" t="n">
        <x:f>MIN(100,K4/IF(A4="Humble",22,IF(A4="Starter",32,IF(A4="Growing",45,IF(A4="Established",60,IF(A4="Elite",80,100)))))*100)</x:f>
        <x:v>40.09090909090908</x:v>
      </x:c>
      <x:c r="M4" s="171" t="n">
        <x:f>L4*'01_Assumptions'!$B$11</x:f>
        <x:v>2.004545454545454</x:v>
      </x:c>
    </x:row>
    <x:row r="5">
      <x:c r="A5" s="45" t="str">
        <x:v>Humble</x:v>
      </x:c>
      <x:c r="B5" s="22" t="str">
        <x:v>Target</x:v>
      </x:c>
      <x:c r="C5" s="22" t="n">
        <x:v>3</x:v>
      </x:c>
      <x:c r="D5" s="22" t="n">
        <x:v>0</x:v>
      </x:c>
      <x:c r="E5" s="22" t="n">
        <x:v>21</x:v>
      </x:c>
      <x:c r="F5" s="58" t="n">
        <x:v>0.45</x:v>
      </x:c>
      <x:c r="G5" s="172" t="n">
        <x:f>E5*F5</x:f>
        <x:v>9.450000000000001</x:v>
      </x:c>
      <x:c r="H5" s="107" t="n">
        <x:v>0.18</x:v>
      </x:c>
      <x:c r="I5" s="107" t="n">
        <x:f>G5*H5</x:f>
        <x:v>1.701</x:v>
      </x:c>
      <x:c r="J5" s="172" t="n">
        <x:v>1.4</x:v>
      </x:c>
      <x:c r="K5" s="172" t="n">
        <x:f>G5*J5</x:f>
        <x:v>13.23</x:v>
      </x:c>
      <x:c r="L5" s="172" t="n">
        <x:f>MIN(100,K5/IF(A5="Humble",22,IF(A5="Starter",32,IF(A5="Growing",45,IF(A5="Established",60,IF(A5="Elite",80,100)))))*100)</x:f>
        <x:v>60.13636363636364</x:v>
      </x:c>
      <x:c r="M5" s="173" t="n">
        <x:f>L5*'01_Assumptions'!$B$11</x:f>
        <x:v>3.0068181818181823</x:v>
      </x:c>
    </x:row>
    <x:row r="6">
      <x:c r="A6" s="45" t="str">
        <x:v>Starter</x:v>
      </x:c>
      <x:c r="B6" s="22" t="str">
        <x:v>Target</x:v>
      </x:c>
      <x:c r="C6" s="22" t="n">
        <x:v>3</x:v>
      </x:c>
      <x:c r="D6" s="22" t="n">
        <x:v>1</x:v>
      </x:c>
      <x:c r="E6" s="22" t="n">
        <x:v>25</x:v>
      </x:c>
      <x:c r="F6" s="58" t="n">
        <x:v>0.55</x:v>
      </x:c>
      <x:c r="G6" s="172" t="n">
        <x:f>E6*F6</x:f>
        <x:v>13.750000000000002</x:v>
      </x:c>
      <x:c r="H6" s="107" t="n">
        <x:v>0.22</x:v>
      </x:c>
      <x:c r="I6" s="107" t="n">
        <x:f>G6*H6</x:f>
        <x:v>3.0250000000000004</x:v>
      </x:c>
      <x:c r="J6" s="172" t="n">
        <x:v>1.8</x:v>
      </x:c>
      <x:c r="K6" s="172" t="n">
        <x:f>G6*J6</x:f>
        <x:v>24.750000000000004</x:v>
      </x:c>
      <x:c r="L6" s="172" t="n">
        <x:f>MIN(100,K6/IF(A6="Humble",22,IF(A6="Starter",32,IF(A6="Growing",45,IF(A6="Established",60,IF(A6="Elite",80,100)))))*100)</x:f>
        <x:v>77.34375000000001</x:v>
      </x:c>
      <x:c r="M6" s="173" t="n">
        <x:f>L6*'01_Assumptions'!$B$11</x:f>
        <x:v>3.867187500000001</x:v>
      </x:c>
    </x:row>
    <x:row r="7">
      <x:c r="A7" s="45" t="str">
        <x:v>Growing</x:v>
      </x:c>
      <x:c r="B7" s="22" t="str">
        <x:v>Target</x:v>
      </x:c>
      <x:c r="C7" s="22" t="n">
        <x:v>3</x:v>
      </x:c>
      <x:c r="D7" s="22" t="n">
        <x:v>1</x:v>
      </x:c>
      <x:c r="E7" s="22" t="n">
        <x:v>26</x:v>
      </x:c>
      <x:c r="F7" s="58" t="n">
        <x:v>0.65</x:v>
      </x:c>
      <x:c r="G7" s="172" t="n">
        <x:f>E7*F7</x:f>
        <x:v>16.900000000000002</x:v>
      </x:c>
      <x:c r="H7" s="107" t="n">
        <x:v>0.3</x:v>
      </x:c>
      <x:c r="I7" s="107" t="n">
        <x:f>G7*H7</x:f>
        <x:v>5.07</x:v>
      </x:c>
      <x:c r="J7" s="172" t="n">
        <x:v>2.4</x:v>
      </x:c>
      <x:c r="K7" s="172" t="n">
        <x:f>G7*J7</x:f>
        <x:v>40.56</x:v>
      </x:c>
      <x:c r="L7" s="172" t="n">
        <x:f>MIN(100,K7/IF(A7="Humble",22,IF(A7="Starter",32,IF(A7="Growing",45,IF(A7="Established",60,IF(A7="Elite",80,100)))))*100)</x:f>
        <x:v>90.13333333333334</x:v>
      </x:c>
      <x:c r="M7" s="173" t="n">
        <x:f>L7*'01_Assumptions'!$B$11</x:f>
        <x:v>4.506666666666667</x:v>
      </x:c>
    </x:row>
    <x:row r="8">
      <x:c r="A8" s="45" t="str">
        <x:v>Established</x:v>
      </x:c>
      <x:c r="B8" s="22" t="str">
        <x:v>Target</x:v>
      </x:c>
      <x:c r="C8" s="22" t="n">
        <x:v>3</x:v>
      </x:c>
      <x:c r="D8" s="22" t="n">
        <x:v>2</x:v>
      </x:c>
      <x:c r="E8" s="22" t="n">
        <x:v>30</x:v>
      </x:c>
      <x:c r="F8" s="58" t="n">
        <x:v>0.72</x:v>
      </x:c>
      <x:c r="G8" s="172" t="n">
        <x:f>E8*F8</x:f>
        <x:v>21.599999999999998</x:v>
      </x:c>
      <x:c r="H8" s="107" t="n">
        <x:v>0.42</x:v>
      </x:c>
      <x:c r="I8" s="107" t="n">
        <x:f>G8*H8</x:f>
        <x:v>9.072</x:v>
      </x:c>
      <x:c r="J8" s="172" t="n">
        <x:v>3.2</x:v>
      </x:c>
      <x:c r="K8" s="172" t="n">
        <x:f>G8*J8</x:f>
        <x:v>69.11999999999999</x:v>
      </x:c>
      <x:c r="L8" s="172" t="n">
        <x:f>MIN(100,K8/IF(A8="Humble",22,IF(A8="Starter",32,IF(A8="Growing",45,IF(A8="Established",60,IF(A8="Elite",80,100)))))*100)</x:f>
        <x:v>100</x:v>
      </x:c>
      <x:c r="M8" s="173" t="n">
        <x:f>L8*'01_Assumptions'!$B$11</x:f>
        <x:v>5</x:v>
      </x:c>
    </x:row>
    <x:row r="9">
      <x:c r="A9" s="45" t="str">
        <x:v>Elite</x:v>
      </x:c>
      <x:c r="B9" s="22" t="str">
        <x:v>Target</x:v>
      </x:c>
      <x:c r="C9" s="22" t="n">
        <x:v>4</x:v>
      </x:c>
      <x:c r="D9" s="22" t="n">
        <x:v>2</x:v>
      </x:c>
      <x:c r="E9" s="22" t="n">
        <x:v>36</x:v>
      </x:c>
      <x:c r="F9" s="58" t="n">
        <x:v>0.78</x:v>
      </x:c>
      <x:c r="G9" s="172" t="n">
        <x:f>E9*F9</x:f>
        <x:v>28.080000000000002</x:v>
      </x:c>
      <x:c r="H9" s="107" t="n">
        <x:v>0.6</x:v>
      </x:c>
      <x:c r="I9" s="107" t="n">
        <x:f>G9*H9</x:f>
        <x:v>16.848</x:v>
      </x:c>
      <x:c r="J9" s="172" t="n">
        <x:v>4.5</x:v>
      </x:c>
      <x:c r="K9" s="172" t="n">
        <x:f>G9*J9</x:f>
        <x:v>126.36000000000001</x:v>
      </x:c>
      <x:c r="L9" s="172" t="n">
        <x:f>MIN(100,K9/IF(A9="Humble",22,IF(A9="Starter",32,IF(A9="Growing",45,IF(A9="Established",60,IF(A9="Elite",80,100)))))*100)</x:f>
        <x:v>100</x:v>
      </x:c>
      <x:c r="M9" s="173" t="n">
        <x:f>L9*'01_Assumptions'!$B$11</x:f>
        <x:v>5</x:v>
      </x:c>
    </x:row>
    <x:row r="10">
      <x:c r="A10" s="45" t="str">
        <x:v>Tycoon</x:v>
      </x:c>
      <x:c r="B10" s="22" t="str">
        <x:v>Target</x:v>
      </x:c>
      <x:c r="C10" s="22" t="n">
        <x:v>4</x:v>
      </x:c>
      <x:c r="D10" s="22" t="n">
        <x:v>2</x:v>
      </x:c>
      <x:c r="E10" s="22" t="n">
        <x:v>38</x:v>
      </x:c>
      <x:c r="F10" s="58" t="n">
        <x:v>0.82</x:v>
      </x:c>
      <x:c r="G10" s="172" t="n">
        <x:f>E10*F10</x:f>
        <x:v>31.159999999999997</x:v>
      </x:c>
      <x:c r="H10" s="107" t="n">
        <x:v>0.75</x:v>
      </x:c>
      <x:c r="I10" s="107" t="n">
        <x:f>G10*H10</x:f>
        <x:v>23.369999999999997</x:v>
      </x:c>
      <x:c r="J10" s="172" t="n">
        <x:v>5.8</x:v>
      </x:c>
      <x:c r="K10" s="172" t="n">
        <x:f>G10*J10</x:f>
        <x:v>180.72799999999998</x:v>
      </x:c>
      <x:c r="L10" s="172" t="n">
        <x:f>MIN(100,K10/IF(A10="Humble",22,IF(A10="Starter",32,IF(A10="Growing",45,IF(A10="Established",60,IF(A10="Elite",80,100)))))*100)</x:f>
        <x:v>100</x:v>
      </x:c>
      <x:c r="M10" s="173" t="n">
        <x:f>L10*'01_Assumptions'!$B$11</x:f>
        <x:v>5</x:v>
      </x:c>
    </x:row>
    <x:row r="11">
      <x:c r="A11" s="47" t="str">
        <x:v>Tycoon</x:v>
      </x:c>
      <x:c r="B11" s="48" t="str">
        <x:v>Power</x:v>
      </x:c>
      <x:c r="C11" s="48" t="n">
        <x:v>4</x:v>
      </x:c>
      <x:c r="D11" s="48" t="n">
        <x:v>2</x:v>
      </x:c>
      <x:c r="E11" s="48" t="n">
        <x:v>42</x:v>
      </x:c>
      <x:c r="F11" s="62" t="n">
        <x:v>0.95</x:v>
      </x:c>
      <x:c r="G11" s="174" t="n">
        <x:f>E11*F11</x:f>
        <x:v>39.9</x:v>
      </x:c>
      <x:c r="H11" s="108" t="n">
        <x:v>0.85</x:v>
      </x:c>
      <x:c r="I11" s="108" t="n">
        <x:f>G11*H11</x:f>
        <x:v>33.915</x:v>
      </x:c>
      <x:c r="J11" s="174" t="n">
        <x:v>6.5</x:v>
      </x:c>
      <x:c r="K11" s="174" t="n">
        <x:f>G11*J11</x:f>
        <x:v>259.34999999999997</x:v>
      </x:c>
      <x:c r="L11" s="174" t="n">
        <x:f>MIN(100,K11/IF(A11="Humble",22,IF(A11="Starter",32,IF(A11="Growing",45,IF(A11="Established",60,IF(A11="Elite",80,100)))))*100)</x:f>
        <x:v>100</x:v>
      </x:c>
      <x:c r="M11" s="175" t="n">
        <x:f>L11*'01_Assumptions'!$B$11</x:f>
        <x:v>5</x:v>
      </x:c>
    </x:row>
    <x:row r="13" ht="22" customHeight="1">
      <x:c r="A13" s="39" t="str">
        <x:v>Global Pool Stress Test</x:v>
      </x:c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</x:row>
    <x:row r="14">
      <x:c r="A14" s="14" t="str">
        <x:v>Metric</x:v>
      </x:c>
      <x:c r="B14" s="14" t="str">
        <x:v>Value</x:v>
      </x:c>
      <x:c r="C14" s="14" t="str">
        <x:v>Formula / Meaning</x:v>
      </x:c>
      <x:c r="D14" s="14" t="str">
        <x:v>Low Case</x:v>
      </x:c>
      <x:c r="E14" s="14" t="str">
        <x:v>Base Case</x:v>
      </x:c>
      <x:c r="F14" s="14" t="str">
        <x:v>High Case</x:v>
      </x:c>
    </x:row>
    <x:row r="15">
      <x:c r="A15" t="str">
        <x:v>Illustrative active players</x:v>
      </x:c>
      <x:c r="B15" t="n">
        <x:v>1000</x:v>
      </x:c>
      <x:c r="C15" t="str">
        <x:v>Editable assumption</x:v>
      </x:c>
      <x:c r="D15" t="n">
        <x:v>500</x:v>
      </x:c>
      <x:c r="E15" t="n">
        <x:v>1000</x:v>
      </x:c>
      <x:c r="F15" t="n">
        <x:v>5000</x:v>
      </x:c>
    </x:row>
    <x:row r="16">
      <x:c r="A16" t="str">
        <x:v>Avg provisional stock value / active / week</x:v>
      </x:c>
      <x:c r="B16" s="162" t="n">
        <x:v>3.5</x:v>
      </x:c>
      <x:c r="C16" s="162" t="str">
        <x:v>Before pool cap</x:v>
      </x:c>
      <x:c r="D16" s="162" t="n">
        <x:v>2</x:v>
      </x:c>
      <x:c r="E16" s="162" t="n">
        <x:v>3.5</x:v>
      </x:c>
      <x:c r="F16" s="162" t="n">
        <x:v>6</x:v>
      </x:c>
    </x:row>
    <x:row r="17">
      <x:c r="A17" t="str">
        <x:v>Implied demand</x:v>
      </x:c>
      <x:c r="B17" s="162" t="n">
        <x:f>B15*B16</x:f>
        <x:v>3500</x:v>
      </x:c>
      <x:c r="C17" s="162" t="str">
        <x:v>Players × avg value</x:v>
      </x:c>
      <x:c r="D17" s="162" t="n">
        <x:f>D15*D16</x:f>
        <x:v>1000</x:v>
      </x:c>
      <x:c r="E17" s="162" t="n">
        <x:f>E15*E16</x:f>
        <x:v>3500</x:v>
      </x:c>
      <x:c r="F17" s="162" t="n">
        <x:f>F15*F16</x:f>
        <x:v>30000</x:v>
      </x:c>
    </x:row>
    <x:row r="18">
      <x:c r="A18" t="str">
        <x:v>Funding coverage</x:v>
      </x:c>
      <x:c r="B18" s="130" t="n">
        <x:f>'01_Assumptions'!$B$4/B17</x:f>
        <x:v>1.4285714285714286</x:v>
      </x:c>
      <x:c r="C18" s="130" t="str">
        <x:v>Weekly pool / implied demand</x:v>
      </x:c>
      <x:c r="D18" s="130" t="n">
        <x:f>'01_Assumptions'!$B$4/D17</x:f>
        <x:v>5</x:v>
      </x:c>
      <x:c r="E18" s="130" t="n">
        <x:f>'01_Assumptions'!$B$4/E17</x:f>
        <x:v>1.4285714285714286</x:v>
      </x:c>
      <x:c r="F18" s="130" t="n">
        <x:f>'01_Assumptions'!$B$4/F17</x:f>
        <x:v>0.16666666666666666</x:v>
      </x:c>
    </x:row>
  </x:sheetData>
  <x:mergeCells>
    <x:mergeCell ref="A1:M1"/>
    <x:mergeCell ref="A13:M1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8" customHeight="1">
      <x:c r="A1" s="182" t="str">
        <x:v>Tokenized Stock Settlement &amp; Claim Architecture</x:v>
      </x:c>
      <x:c r="B1" s="182"/>
      <x:c r="C1" s="182"/>
      <x:c r="D1" s="182"/>
      <x:c r="E1" s="182"/>
      <x:c r="F1" s="182"/>
      <x:c r="G1" s="182"/>
      <x:c r="H1" s="182"/>
      <x:c r="I1" s="182"/>
      <x:c r="J1" s="182"/>
      <x:c r="K1" s="18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3">
      <x:c r="A3" s="14" t="str">
        <x:v>Mode</x:v>
      </x:c>
      <x:c r="B3" s="14" t="str">
        <x:v>Player Sees</x:v>
      </x:c>
      <x:c r="C3" s="14" t="str">
        <x:v>When Stock Units Are Calculated</x:v>
      </x:c>
      <x:c r="D3" s="14" t="str">
        <x:v>Funding Requirement</x:v>
      </x:c>
      <x:c r="E3" s="14" t="str">
        <x:v>Custody / Settlement</x:v>
      </x:c>
      <x:c r="F3" s="14" t="str">
        <x:v>Transferability</x:v>
      </x:c>
      <x:c r="G3" s="14" t="str">
        <x:v>Best For</x:v>
      </x:c>
      <x:c r="H3" s="14" t="str">
        <x:v>Risk</x:v>
      </x:c>
      <x:c r="I3" s="14" t="str">
        <x:v>Recommended Phase</x:v>
      </x:c>
      <x:c r="J3" s="14" t="str">
        <x:v>Fallback</x:v>
      </x:c>
      <x:c r="K3" s="14" t="str">
        <x:v>Notes</x:v>
      </x:c>
    </x:row>
    <x:row r="4">
      <x:c r="A4" s="42" t="str">
        <x:v>V0 Simulated Collection</x:v>
      </x:c>
      <x:c r="B4" s="43" t="str">
        <x:v>Stock fragment badge + in-game quantity</x:v>
      </x:c>
      <x:c r="C4" s="43" t="str">
        <x:v>Game-defined</x:v>
      </x:c>
      <x:c r="D4" s="43" t="str">
        <x:v>None</x:v>
      </x:c>
      <x:c r="E4" s="43" t="str">
        <x:v>Game database only</x:v>
      </x:c>
      <x:c r="F4" s="43" t="str">
        <x:v>No</x:v>
      </x:c>
      <x:c r="G4" s="43" t="str">
        <x:v>Closed alpha</x:v>
      </x:c>
      <x:c r="H4" s="43" t="str">
        <x:v>Not actual stock</x:v>
      </x:c>
      <x:c r="I4" s="43" t="str">
        <x:v>Prototype</x:v>
      </x:c>
      <x:c r="J4" s="43" t="str">
        <x:v>Cash reward</x:v>
      </x:c>
      <x:c r="K4" s="44" t="str">
        <x:v>Use only if clearly labeled simulated</x:v>
      </x:c>
    </x:row>
    <x:row r="5">
      <x:c r="A5" s="45" t="str">
        <x:v>V1 Funded Immediate</x:v>
      </x:c>
      <x:c r="B5" s="22" t="str">
        <x:v>Ticker + exact fractional unit</x:v>
      </x:c>
      <x:c r="C5" s="22" t="str">
        <x:v>At Hunt completion using oracle</x:v>
      </x:c>
      <x:c r="D5" s="22" t="str">
        <x:v>Treasury must pre-fund inventory</x:v>
      </x:c>
      <x:c r="E5" s="22" t="str">
        <x:v>Tokenized stock custody/provider</x:v>
      </x:c>
      <x:c r="F5" s="22" t="str">
        <x:v>Depends provider</x:v>
      </x:c>
      <x:c r="G5" s="22" t="str">
        <x:v>Public reward beta</x:v>
      </x:c>
      <x:c r="H5" s="22" t="str">
        <x:v>Inventory exhaustion</x:v>
      </x:c>
      <x:c r="I5" s="22" t="str">
        <x:v>Recommended first real-stock mode</x:v>
      </x:c>
      <x:c r="J5" s="22" t="str">
        <x:v>Cash + collection points</x:v>
      </x:c>
      <x:c r="K5" s="46" t="str">
        <x:v>Reserve reward packet before hunt issuance</x:v>
      </x:c>
    </x:row>
    <x:row r="6">
      <x:c r="A6" s="47" t="str">
        <x:v>V2 Weekly Net Settlement</x:v>
      </x:c>
      <x:c r="B6" s="48" t="str">
        <x:v>Ticker + provisional fragment</x:v>
      </x:c>
      <x:c r="C6" s="48" t="str">
        <x:v>At weekly settlement</x:v>
      </x:c>
      <x:c r="D6" s="48" t="str">
        <x:v>Fixed weekly funded pool</x:v>
      </x:c>
      <x:c r="E6" s="48" t="str">
        <x:v>Batch settlement</x:v>
      </x:c>
      <x:c r="F6" s="48" t="str">
        <x:v>Depends provider</x:v>
      </x:c>
      <x:c r="G6" s="48" t="str">
        <x:v>Larger scale</x:v>
      </x:c>
      <x:c r="H6" s="48" t="str">
        <x:v>Reward amount not final until epoch close</x:v>
      </x:c>
      <x:c r="I6" s="48" t="str">
        <x:v>Scale phase</x:v>
      </x:c>
      <x:c r="J6" s="48" t="str">
        <x:v>Convert to funded units</x:v>
      </x:c>
      <x:c r="K6" s="49" t="str">
        <x:v>More scalable but less immediate</x:v>
      </x:c>
    </x:row>
    <x:row r="8" ht="22" customHeight="1">
      <x:c r="A8" s="39" t="str">
        <x:v>V1 Funded Immediate Settlement Flow</x:v>
      </x:c>
      <x:c r="B8" s="39"/>
      <x:c r="C8" s="39"/>
      <x:c r="D8" s="39"/>
      <x:c r="E8" s="39"/>
      <x:c r="F8" s="39"/>
      <x:c r="G8" s="39"/>
      <x:c r="H8" s="39"/>
      <x:c r="I8" s="39"/>
      <x:c r="J8" s="39"/>
      <x:c r="K8" s="39"/>
    </x:row>
    <x:row r="9">
      <x:c r="A9" s="14" t="str">
        <x:v>Step</x:v>
      </x:c>
      <x:c r="B9" s="14" t="str">
        <x:v>Action</x:v>
      </x:c>
    </x:row>
    <x:row r="10">
      <x:c r="A10" s="42" t="n">
        <x:v>1</x:v>
      </x:c>
      <x:c r="B10" s="44" t="str">
        <x:v>Treasury allocates fixed weekly USD budget across supported tickers.</x:v>
      </x:c>
    </x:row>
    <x:row r="11">
      <x:c r="A11" s="45" t="n">
        <x:v>2</x:v>
      </x:c>
      <x:c r="B11" s="46" t="str">
        <x:v>Oracle supplies current reference price for each supported tokenized stock.</x:v>
      </x:c>
    </x:row>
    <x:row r="12">
      <x:c r="A12" s="45" t="n">
        <x:v>3</x:v>
      </x:c>
      <x:c r="B12" s="46" t="str">
        <x:v>Game converts funded USD allocation into available stock units.</x:v>
      </x:c>
    </x:row>
    <x:row r="13">
      <x:c r="A13" s="45" t="n">
        <x:v>4</x:v>
      </x:c>
      <x:c r="B13" s="46" t="str">
        <x:v>When a Hunt is generated, system chooses ticker and reward packet rarity.</x:v>
      </x:c>
    </x:row>
    <x:row r="14">
      <x:c r="A14" s="45" t="n">
        <x:v>5</x:v>
      </x:c>
      <x:c r="B14" s="46" t="str">
        <x:v>System reserves the corresponding fractional stock units from inventory.</x:v>
      </x:c>
    </x:row>
    <x:row r="15">
      <x:c r="A15" s="45" t="n">
        <x:v>6</x:v>
      </x:c>
      <x:c r="B15" s="46" t="str">
        <x:v>If player completes the Hunt, reserved units become claimable/credited.</x:v>
      </x:c>
    </x:row>
    <x:row r="16">
      <x:c r="A16" s="45" t="n">
        <x:v>7</x:v>
      </x:c>
      <x:c r="B16" s="46" t="str">
        <x:v>If Hunt expires or fails, reserved units return to inventory.</x:v>
      </x:c>
    </x:row>
    <x:row r="17">
      <x:c r="A17" s="47" t="n">
        <x:v>8</x:v>
      </x:c>
      <x:c r="B17" s="49" t="str">
        <x:v>At configured pool thresholds, high-value packet odds are throttled.</x:v>
      </x:c>
    </x:row>
  </x:sheetData>
  <x:mergeCells>
    <x:mergeCell ref="A1:K1"/>
    <x:mergeCell ref="A8:K8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8" customHeight="1">
      <x:c r="A1" s="182" t="str">
        <x:v>Anti-Farming, Sybil &amp; Reward-Abuse Controls</x:v>
      </x:c>
      <x:c r="B1" s="182"/>
      <x:c r="C1" s="182"/>
      <x:c r="D1" s="182"/>
      <x:c r="E1" s="182"/>
      <x:c r="F1" s="182"/>
      <x:c r="G1" s="182"/>
      <x:c r="H1" s="182"/>
      <x:c r="I1" s="182"/>
      <x:c r="J1" s="18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3">
      <x:c r="A3" s="14" t="str">
        <x:v>Control</x:v>
      </x:c>
      <x:c r="B3" s="14" t="str">
        <x:v>Trigger</x:v>
      </x:c>
      <x:c r="C3" s="14" t="str">
        <x:v>Action</x:v>
      </x:c>
      <x:c r="D3" s="14" t="str">
        <x:v>Stock Reward Effect</x:v>
      </x:c>
      <x:c r="E3" s="14" t="str">
        <x:v>Performance Effect</x:v>
      </x:c>
      <x:c r="F3" s="14" t="str">
        <x:v>False Positive Risk</x:v>
      </x:c>
      <x:c r="G3" s="14" t="str">
        <x:v>Review Needed?</x:v>
      </x:c>
      <x:c r="H3" s="14" t="str">
        <x:v>Server Signal</x:v>
      </x:c>
      <x:c r="I3" s="14" t="str">
        <x:v>MVP?</x:v>
      </x:c>
      <x:c r="J3" s="14" t="str">
        <x:v>Notes</x:v>
      </x:c>
    </x:row>
    <x:row r="4">
      <x:c r="A4" s="42" t="str">
        <x:v>Account age gate</x:v>
      </x:c>
      <x:c r="B4" s="43" t="str">
        <x:v>Account &lt; configured minimum</x:v>
      </x:c>
      <x:c r="C4" s="43" t="str">
        <x:v>Allow play; block real stock claim</x:v>
      </x:c>
      <x:c r="D4" s="43" t="str">
        <x:v>Held</x:v>
      </x:c>
      <x:c r="E4" s="43" t="str">
        <x:v>Hunt score may be held</x:v>
      </x:c>
      <x:c r="F4" s="43" t="str">
        <x:v>Low</x:v>
      </x:c>
      <x:c r="G4" s="43" t="str">
        <x:v>No</x:v>
      </x:c>
      <x:c r="H4" s="43" t="str">
        <x:v>Account creation time</x:v>
      </x:c>
      <x:c r="I4" s="43" t="str">
        <x:v>Yes</x:v>
      </x:c>
      <x:c r="J4" s="44" t="str"/>
    </x:row>
    <x:row r="5">
      <x:c r="A5" s="45" t="str">
        <x:v>Active-day gate</x:v>
      </x:c>
      <x:c r="B5" s="22" t="str">
        <x:v>Fewer than minimum active days</x:v>
      </x:c>
      <x:c r="C5" s="22" t="str">
        <x:v>No weekly claim</x:v>
      </x:c>
      <x:c r="D5" s="22" t="str">
        <x:v>Held/rolled</x:v>
      </x:c>
      <x:c r="E5" s="22" t="str">
        <x:v>No Hunt payout credit</x:v>
      </x:c>
      <x:c r="F5" s="22" t="str">
        <x:v>Low</x:v>
      </x:c>
      <x:c r="G5" s="22" t="str">
        <x:v>No</x:v>
      </x:c>
      <x:c r="H5" s="22" t="str">
        <x:v>Daily authenticated activity</x:v>
      </x:c>
      <x:c r="I5" s="22" t="str">
        <x:v>Yes</x:v>
      </x:c>
      <x:c r="J5" s="46" t="str"/>
    </x:row>
    <x:row r="6">
      <x:c r="A6" s="45" t="str">
        <x:v>Impossible velocity</x:v>
      </x:c>
      <x:c r="B6" s="22" t="str">
        <x:v>Actions exceed physical game limits</x:v>
      </x:c>
      <x:c r="C6" s="22" t="str">
        <x:v>Flag session</x:v>
      </x:c>
      <x:c r="D6" s="22" t="str">
        <x:v>Freeze</x:v>
      </x:c>
      <x:c r="E6" s="22" t="str">
        <x:v>Exclude suspicious score</x:v>
      </x:c>
      <x:c r="F6" s="22" t="str">
        <x:v>Low</x:v>
      </x:c>
      <x:c r="G6" s="22" t="str">
        <x:v>Yes</x:v>
      </x:c>
      <x:c r="H6" s="22" t="str">
        <x:v>Server timestamps</x:v>
      </x:c>
      <x:c r="I6" s="22" t="str">
        <x:v>Yes</x:v>
      </x:c>
      <x:c r="J6" s="46" t="str"/>
    </x:row>
    <x:row r="7">
      <x:c r="A7" s="45" t="str">
        <x:v>Repeated identical patterns</x:v>
      </x:c>
      <x:c r="B7" s="22" t="str">
        <x:v>Automation signature</x:v>
      </x:c>
      <x:c r="C7" s="22" t="str">
        <x:v>Increase challenge / review</x:v>
      </x:c>
      <x:c r="D7" s="22" t="str">
        <x:v>Throttle</x:v>
      </x:c>
      <x:c r="E7" s="22" t="str">
        <x:v>Score review</x:v>
      </x:c>
      <x:c r="F7" s="22" t="str">
        <x:v>Medium</x:v>
      </x:c>
      <x:c r="G7" s="22" t="str">
        <x:v>Yes</x:v>
      </x:c>
      <x:c r="H7" s="22" t="str">
        <x:v>Behavior pattern</x:v>
      </x:c>
      <x:c r="I7" s="22" t="str">
        <x:v>Phase 2</x:v>
      </x:c>
      <x:c r="J7" s="46" t="str"/>
    </x:row>
    <x:row r="8">
      <x:c r="A8" s="45" t="str">
        <x:v>Multi-account cluster</x:v>
      </x:c>
      <x:c r="B8" s="22" t="str">
        <x:v>Shared wallet/device/network pattern</x:v>
      </x:c>
      <x:c r="C8" s="22" t="str">
        <x:v>Risk score</x:v>
      </x:c>
      <x:c r="D8" s="22" t="str">
        <x:v>Throttle/freeze</x:v>
      </x:c>
      <x:c r="E8" s="22" t="str">
        <x:v>Exclude if confirmed</x:v>
      </x:c>
      <x:c r="F8" s="22" t="str">
        <x:v>Medium</x:v>
      </x:c>
      <x:c r="G8" s="22" t="str">
        <x:v>Yes</x:v>
      </x:c>
      <x:c r="H8" s="22" t="str">
        <x:v>Identity/device graph</x:v>
      </x:c>
      <x:c r="I8" s="22" t="str">
        <x:v>Phase 2</x:v>
      </x:c>
      <x:c r="J8" s="46" t="str"/>
    </x:row>
    <x:row r="9">
      <x:c r="A9" s="45" t="str">
        <x:v>Self-generated fake activity</x:v>
      </x:c>
      <x:c r="B9" s="22" t="str">
        <x:v>Circular or synthetic actions</x:v>
      </x:c>
      <x:c r="C9" s="22" t="str">
        <x:v>Invalidate activity</x:v>
      </x:c>
      <x:c r="D9" s="22" t="str">
        <x:v>No reward</x:v>
      </x:c>
      <x:c r="E9" s="22" t="str">
        <x:v>No score</x:v>
      </x:c>
      <x:c r="F9" s="22" t="str">
        <x:v>Medium</x:v>
      </x:c>
      <x:c r="G9" s="22" t="str">
        <x:v>Yes</x:v>
      </x:c>
      <x:c r="H9" s="22" t="str">
        <x:v>Economic graph</x:v>
      </x:c>
      <x:c r="I9" s="22" t="str">
        <x:v>Yes</x:v>
      </x:c>
      <x:c r="J9" s="46" t="str"/>
    </x:row>
    <x:row r="10">
      <x:c r="A10" s="45" t="str">
        <x:v>Pool exhaustion gaming</x:v>
      </x:c>
      <x:c r="B10" s="22" t="str">
        <x:v>Late-week high-value spam</x:v>
      </x:c>
      <x:c r="C10" s="22" t="str">
        <x:v>Apply live-ops throttle</x:v>
      </x:c>
      <x:c r="D10" s="22" t="str">
        <x:v>Reduced rarity</x:v>
      </x:c>
      <x:c r="E10" s="22" t="str">
        <x:v>No extra score beyond cap</x:v>
      </x:c>
      <x:c r="F10" s="22" t="str">
        <x:v>Low</x:v>
      </x:c>
      <x:c r="G10" s="22" t="str">
        <x:v>No</x:v>
      </x:c>
      <x:c r="H10" s="22" t="str">
        <x:v>Pool consumption</x:v>
      </x:c>
      <x:c r="I10" s="22" t="str">
        <x:v>Yes</x:v>
      </x:c>
      <x:c r="J10" s="46" t="str"/>
    </x:row>
    <x:row r="11">
      <x:c r="A11" s="47" t="str">
        <x:v>Exploit discovered</x:v>
      </x:c>
      <x:c r="B11" s="48" t="str">
        <x:v>Abnormal reward concentration</x:v>
      </x:c>
      <x:c r="C11" s="48" t="str">
        <x:v>Emergency hunt disable</x:v>
      </x:c>
      <x:c r="D11" s="48" t="str">
        <x:v>Pause affected rewards</x:v>
      </x:c>
      <x:c r="E11" s="48" t="str">
        <x:v>Pause affected score</x:v>
      </x:c>
      <x:c r="F11" s="48" t="str">
        <x:v>Low</x:v>
      </x:c>
      <x:c r="G11" s="48" t="str">
        <x:v>Yes</x:v>
      </x:c>
      <x:c r="H11" s="48" t="str">
        <x:v>Anomaly monitor</x:v>
      </x:c>
      <x:c r="I11" s="48" t="str">
        <x:v>Yes</x:v>
      </x:c>
      <x:c r="J11" s="49" t="str"/>
    </x:row>
  </x:sheetData>
  <x:mergeCells>
    <x:mergeCell ref="A1:J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8" customHeight="1">
      <x:c r="A1" s="182" t="str">
        <x:v>Live-Ops Controls &amp; Weekly Tuning Checklist</x:v>
      </x:c>
      <x:c r="B1" s="182"/>
      <x:c r="C1" s="182"/>
      <x:c r="D1" s="182"/>
      <x:c r="E1" s="182"/>
      <x:c r="F1" s="182"/>
      <x:c r="G1" s="182"/>
      <x:c r="H1" s="182"/>
      <x:c r="I1" s="182"/>
      <x:c r="J1" s="18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3">
      <x:c r="A3" s="14" t="str">
        <x:v>Control</x:v>
      </x:c>
      <x:c r="B3" s="14" t="str">
        <x:v>Current Default</x:v>
      </x:c>
      <x:c r="C3" s="14" t="str">
        <x:v>Editable Frequency</x:v>
      </x:c>
      <x:c r="D3" s="14" t="str">
        <x:v>Primary Metric</x:v>
      </x:c>
      <x:c r="E3" s="14" t="str">
        <x:v>Increase When</x:v>
      </x:c>
      <x:c r="F3" s="14" t="str">
        <x:v>Decrease When</x:v>
      </x:c>
      <x:c r="G3" s="14" t="str">
        <x:v>Safe Change Limit</x:v>
      </x:c>
      <x:c r="H3" s="14" t="str">
        <x:v>Owner</x:v>
      </x:c>
      <x:c r="I3" s="14" t="str">
        <x:v>Alert</x:v>
      </x:c>
      <x:c r="J3" s="14" t="str">
        <x:v>Notes</x:v>
      </x:c>
    </x:row>
    <x:row r="4">
      <x:c r="A4" s="42" t="str">
        <x:v>Weekly stock budget</x:v>
      </x:c>
      <x:c r="B4" s="43" t="str">
        <x:v>$5,000</x:v>
      </x:c>
      <x:c r="C4" s="43" t="str">
        <x:v>Weekly</x:v>
      </x:c>
      <x:c r="D4" s="43" t="str">
        <x:v>Funded reward coverage</x:v>
      </x:c>
      <x:c r="E4" s="43" t="str">
        <x:v>Retention strong + treasury supports</x:v>
      </x:c>
      <x:c r="F4" s="43" t="str">
        <x:v>Coverage &lt;100%</x:v>
      </x:c>
      <x:c r="G4" s="43" t="str">
        <x:v>+/-25% / week</x:v>
      </x:c>
      <x:c r="H4" s="43" t="str">
        <x:v>Economy</x:v>
      </x:c>
      <x:c r="I4" s="43" t="str">
        <x:v>Coverage &lt;90%</x:v>
      </x:c>
      <x:c r="J4" s="44" t="str">
        <x:v>Never promise uncapped rewards</x:v>
      </x:c>
    </x:row>
    <x:row r="5">
      <x:c r="A5" s="45" t="str">
        <x:v>Base Hunts/day</x:v>
      </x:c>
      <x:c r="B5" s="22" t="str">
        <x:v>3</x:v>
      </x:c>
      <x:c r="C5" s="22" t="str">
        <x:v>Seasonal</x:v>
      </x:c>
      <x:c r="D5" s="22" t="str">
        <x:v>Completion / fatigue</x:v>
      </x:c>
      <x:c r="E5" s="22" t="str">
        <x:v>Completion &gt;80% and players want more</x:v>
      </x:c>
      <x:c r="F5" s="22" t="str">
        <x:v>Completion &lt;45%</x:v>
      </x:c>
      <x:c r="G5" s="22" t="str">
        <x:v>+/-1</x:v>
      </x:c>
      <x:c r="H5" s="22" t="str">
        <x:v>Game Design</x:v>
      </x:c>
      <x:c r="I5" s="22" t="str">
        <x:v>Low completion</x:v>
      </x:c>
      <x:c r="J5" s="46" t="str"/>
    </x:row>
    <x:row r="6">
      <x:c r="A6" s="45" t="str">
        <x:v>Bonus slot unlocks</x:v>
      </x:c>
      <x:c r="B6" s="22" t="str">
        <x:v>0–2</x:v>
      </x:c>
      <x:c r="C6" s="22" t="str">
        <x:v>Seasonal</x:v>
      </x:c>
      <x:c r="D6" s="22" t="str">
        <x:v>Engagement</x:v>
      </x:c>
      <x:c r="E6" s="22" t="str">
        <x:v>Power users lack goals</x:v>
      </x:c>
      <x:c r="F6" s="22" t="str">
        <x:v>Mission overload</x:v>
      </x:c>
      <x:c r="G6" s="22" t="str">
        <x:v>+/-1</x:v>
      </x:c>
      <x:c r="H6" s="22" t="str">
        <x:v>Game Design</x:v>
      </x:c>
      <x:c r="I6" s="22" t="str">
        <x:v>Slot saturation</x:v>
      </x:c>
      <x:c r="J6" s="46" t="str"/>
    </x:row>
    <x:row r="7">
      <x:c r="A7" s="45" t="str">
        <x:v>Common packet value</x:v>
      </x:c>
      <x:c r="B7" s="22" t="str">
        <x:v>$0.10</x:v>
      </x:c>
      <x:c r="C7" s="22" t="str">
        <x:v>Monthly</x:v>
      </x:c>
      <x:c r="D7" s="22" t="str">
        <x:v>Reward satisfaction</x:v>
      </x:c>
      <x:c r="E7" s="22" t="str">
        <x:v>Rewards feel meaningless</x:v>
      </x:c>
      <x:c r="F7" s="22" t="str">
        <x:v>Budget pressure</x:v>
      </x:c>
      <x:c r="G7" s="22" t="str">
        <x:v>+/-20%</x:v>
      </x:c>
      <x:c r="H7" s="22" t="str">
        <x:v>Economy</x:v>
      </x:c>
      <x:c r="I7" s="22" t="str">
        <x:v>Pool burn high</x:v>
      </x:c>
      <x:c r="J7" s="46" t="str"/>
    </x:row>
    <x:row r="8">
      <x:c r="A8" s="45" t="str">
        <x:v>Legendary packet value</x:v>
      </x:c>
      <x:c r="B8" s="22" t="str">
        <x:v>$2.50</x:v>
      </x:c>
      <x:c r="C8" s="22" t="str">
        <x:v>Monthly</x:v>
      </x:c>
      <x:c r="D8" s="22" t="str">
        <x:v>Jackpot excitement</x:v>
      </x:c>
      <x:c r="E8" s="22" t="str">
        <x:v>Jackpots weak</x:v>
      </x:c>
      <x:c r="F8" s="22" t="str">
        <x:v>Concentration too high</x:v>
      </x:c>
      <x:c r="G8" s="22" t="str">
        <x:v>+/-20%</x:v>
      </x:c>
      <x:c r="H8" s="22" t="str">
        <x:v>Economy</x:v>
      </x:c>
      <x:c r="I8" s="22" t="str">
        <x:v>Top 1% concentration</x:v>
      </x:c>
      <x:c r="J8" s="46" t="str"/>
    </x:row>
    <x:row r="9">
      <x:c r="A9" s="45" t="str">
        <x:v>Legendary odds</x:v>
      </x:c>
      <x:c r="B9" s="22" t="str">
        <x:v>Difficulty-based</x:v>
      </x:c>
      <x:c r="C9" s="22" t="str">
        <x:v>Weekly</x:v>
      </x:c>
      <x:c r="D9" s="22" t="str">
        <x:v>Reward concentration</x:v>
      </x:c>
      <x:c r="E9" s="22" t="str">
        <x:v>Too few memorable wins</x:v>
      </x:c>
      <x:c r="F9" s="22" t="str">
        <x:v>Budget burns too fast</x:v>
      </x:c>
      <x:c r="G9" s="22" t="str">
        <x:v>+/-1–2 pts</x:v>
      </x:c>
      <x:c r="H9" s="22" t="str">
        <x:v>Economy</x:v>
      </x:c>
      <x:c r="I9" s="22" t="str">
        <x:v>Pool consumption</x:v>
      </x:c>
      <x:c r="J9" s="46" t="str"/>
    </x:row>
    <x:row r="10">
      <x:c r="A10" s="45" t="str">
        <x:v>Market Hunt score weight</x:v>
      </x:c>
      <x:c r="B10" s="22" t="str">
        <x:v>5%</x:v>
      </x:c>
      <x:c r="C10" s="22" t="str">
        <x:v>Seasonal</x:v>
      </x:c>
      <x:c r="D10" s="22" t="str">
        <x:v>PLOT payout fairness</x:v>
      </x:c>
      <x:c r="E10" s="22" t="str">
        <x:v>Hunts under-rewarded</x:v>
      </x:c>
      <x:c r="F10" s="22" t="str">
        <x:v>Hunt farming dominates</x:v>
      </x:c>
      <x:c r="G10" s="22" t="str">
        <x:v>+/-1 pt</x:v>
      </x:c>
      <x:c r="H10" s="22" t="str">
        <x:v>Economy</x:v>
      </x:c>
      <x:c r="I10" s="22" t="str">
        <x:v>Score concentration</x:v>
      </x:c>
      <x:c r="J10" s="46" t="str"/>
    </x:row>
    <x:row r="11">
      <x:c r="A11" s="45" t="str">
        <x:v>Target multiplier</x:v>
      </x:c>
      <x:c r="B11" s="22" t="str">
        <x:v>0.75x–3.5x</x:v>
      </x:c>
      <x:c r="C11" s="22" t="str">
        <x:v>Weekly</x:v>
      </x:c>
      <x:c r="D11" s="22" t="str">
        <x:v>Mission success rate</x:v>
      </x:c>
      <x:c r="E11" s="22" t="str">
        <x:v>Too easy</x:v>
      </x:c>
      <x:c r="F11" s="22" t="str">
        <x:v>Too hard</x:v>
      </x:c>
      <x:c r="G11" s="22" t="str">
        <x:v>+/-10%</x:v>
      </x:c>
      <x:c r="H11" s="22" t="str">
        <x:v>Game Design</x:v>
      </x:c>
      <x:c r="I11" s="22" t="str">
        <x:v>Completion outside band</x:v>
      </x:c>
      <x:c r="J11" s="46" t="str"/>
    </x:row>
    <x:row r="12">
      <x:c r="A12" s="45" t="str">
        <x:v>Ticker allocation</x:v>
      </x:c>
      <x:c r="B12" s="22" t="str">
        <x:v>7%–12% each</x:v>
      </x:c>
      <x:c r="C12" s="22" t="str">
        <x:v>Weekly</x:v>
      </x:c>
      <x:c r="D12" s="22" t="str">
        <x:v>Pool depletion by ticker</x:v>
      </x:c>
      <x:c r="E12" s="22" t="str">
        <x:v>Ticker underused</x:v>
      </x:c>
      <x:c r="F12" s="22" t="str">
        <x:v>Ticker depletes early</x:v>
      </x:c>
      <x:c r="G12" s="22" t="str">
        <x:v>+/-3 pts</x:v>
      </x:c>
      <x:c r="H12" s="22" t="str">
        <x:v>Treasury</x:v>
      </x:c>
      <x:c r="I12" s="22" t="str">
        <x:v>Ticker pool &lt;10% early</x:v>
      </x:c>
      <x:c r="J12" s="46" t="str"/>
    </x:row>
    <x:row r="13">
      <x:c r="A13" s="47" t="str">
        <x:v>Event spawn multiplier</x:v>
      </x:c>
      <x:c r="B13" s="48" t="str">
        <x:v>1.15x–1.50x</x:v>
      </x:c>
      <x:c r="C13" s="48" t="str">
        <x:v>Per event</x:v>
      </x:c>
      <x:c r="D13" s="48" t="str">
        <x:v>Event engagement</x:v>
      </x:c>
      <x:c r="E13" s="48" t="str">
        <x:v>Event feels weak</x:v>
      </x:c>
      <x:c r="F13" s="48" t="str">
        <x:v>Event overwhelms normal loop</x:v>
      </x:c>
      <x:c r="G13" s="48" t="str">
        <x:v>+/-10%</x:v>
      </x:c>
      <x:c r="H13" s="48" t="str">
        <x:v>Live Ops</x:v>
      </x:c>
      <x:c r="I13" s="48" t="str">
        <x:v>Event completion</x:v>
      </x:c>
      <x:c r="J13" s="49" t="str"/>
    </x:row>
  </x:sheetData>
  <x:mergeCells>
    <x:mergeCell ref="A1:J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8" customHeight="1">
      <x:c r="A1" s="182" t="str">
        <x:v>Model Checks</x:v>
      </x:c>
      <x:c r="B1" s="182"/>
      <x:c r="C1" s="182"/>
      <x:c r="D1" s="182"/>
      <x:c r="E1" s="182"/>
      <x:c r="F1" s="18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3">
      <x:c r="A3" s="14" t="str">
        <x:v>Check</x:v>
      </x:c>
      <x:c r="B3" s="14" t="str">
        <x:v>Expected</x:v>
      </x:c>
      <x:c r="C3" s="14" t="str">
        <x:v>Actual</x:v>
      </x:c>
      <x:c r="D3" s="14" t="str">
        <x:v>Status</x:v>
      </x:c>
      <x:c r="E3" s="14" t="str">
        <x:v>Severity</x:v>
      </x:c>
      <x:c r="F3" s="14" t="str">
        <x:v>Notes</x:v>
      </x:c>
    </x:row>
    <x:row r="4">
      <x:c r="A4" s="42" t="str">
        <x:v>Stock allocation sums to 100%</x:v>
      </x:c>
      <x:c r="B4" s="78" t="n">
        <x:v>1</x:v>
      </x:c>
      <x:c r="C4" s="78" t="n">
        <x:f>'04_Stock_Catalog'!G16</x:f>
        <x:v>1</x:v>
      </x:c>
      <x:c r="D4" s="43" t="str">
        <x:f>IF(ABS(C4-B4)&lt;0.0001,"PASS","CHECK")</x:f>
        <x:v>PASS</x:v>
      </x:c>
      <x:c r="E4" s="43" t="str">
        <x:v>Critical</x:v>
      </x:c>
      <x:c r="F4" s="44" t="str">
        <x:v>Funding allocation must equal pool</x:v>
      </x:c>
    </x:row>
    <x:row r="5">
      <x:c r="A5" s="45" t="str">
        <x:v>Difficulty Easy odds sum to 100%</x:v>
      </x:c>
      <x:c r="B5" s="58" t="n">
        <x:v>1</x:v>
      </x:c>
      <x:c r="C5" s="58" t="n">
        <x:f>SUM('03_Difficulty_Rewards'!E4:I4)</x:f>
        <x:v>1</x:v>
      </x:c>
      <x:c r="D5" s="22" t="str">
        <x:f>IF(ABS(C5-B5)&lt;0.0001,"PASS","CHECK")</x:f>
        <x:v>PASS</x:v>
      </x:c>
      <x:c r="E5" s="22" t="str">
        <x:v>Critical</x:v>
      </x:c>
      <x:c r="F5" s="46" t="str"/>
    </x:row>
    <x:row r="6">
      <x:c r="A6" s="45" t="str">
        <x:v>Difficulty Standard odds sum to 100%</x:v>
      </x:c>
      <x:c r="B6" s="58" t="n">
        <x:v>1</x:v>
      </x:c>
      <x:c r="C6" s="58" t="n">
        <x:f>SUM('03_Difficulty_Rewards'!E5:I5)</x:f>
        <x:v>1</x:v>
      </x:c>
      <x:c r="D6" s="22" t="str">
        <x:f>IF(ABS(C6-B6)&lt;0.0001,"PASS","CHECK")</x:f>
        <x:v>PASS</x:v>
      </x:c>
      <x:c r="E6" s="22" t="str">
        <x:v>Critical</x:v>
      </x:c>
      <x:c r="F6" s="46" t="str"/>
    </x:row>
    <x:row r="7">
      <x:c r="A7" s="45" t="str">
        <x:v>Difficulty Hard odds sum to 100%</x:v>
      </x:c>
      <x:c r="B7" s="58" t="n">
        <x:v>1</x:v>
      </x:c>
      <x:c r="C7" s="58" t="n">
        <x:f>SUM('03_Difficulty_Rewards'!E6:I6)</x:f>
        <x:v>1</x:v>
      </x:c>
      <x:c r="D7" s="22" t="str">
        <x:f>IF(ABS(C7-B7)&lt;0.0001,"PASS","CHECK")</x:f>
        <x:v>PASS</x:v>
      </x:c>
      <x:c r="E7" s="22" t="str">
        <x:v>Critical</x:v>
      </x:c>
      <x:c r="F7" s="46" t="str"/>
    </x:row>
    <x:row r="8">
      <x:c r="A8" s="45" t="str">
        <x:v>Difficulty Elite odds sum to 100%</x:v>
      </x:c>
      <x:c r="B8" s="58" t="n">
        <x:v>1</x:v>
      </x:c>
      <x:c r="C8" s="58" t="n">
        <x:f>SUM('03_Difficulty_Rewards'!E7:I7)</x:f>
        <x:v>1</x:v>
      </x:c>
      <x:c r="D8" s="22" t="str">
        <x:f>IF(ABS(C8-B8)&lt;0.0001,"PASS","CHECK")</x:f>
        <x:v>PASS</x:v>
      </x:c>
      <x:c r="E8" s="22" t="str">
        <x:v>Critical</x:v>
      </x:c>
      <x:c r="F8" s="46" t="str"/>
    </x:row>
    <x:row r="9">
      <x:c r="A9" s="45" t="str">
        <x:v>Difficulty Jackpot odds sum to 100%</x:v>
      </x:c>
      <x:c r="B9" s="58" t="n">
        <x:v>1</x:v>
      </x:c>
      <x:c r="C9" s="58" t="n">
        <x:f>SUM('03_Difficulty_Rewards'!E8:I8)</x:f>
        <x:v>1</x:v>
      </x:c>
      <x:c r="D9" s="22" t="str">
        <x:f>IF(ABS(C9-B9)&lt;0.0001,"PASS","CHECK")</x:f>
        <x:v>PASS</x:v>
      </x:c>
      <x:c r="E9" s="22" t="str">
        <x:v>Critical</x:v>
      </x:c>
      <x:c r="F9" s="46" t="str"/>
    </x:row>
    <x:row r="10">
      <x:c r="A10" s="45" t="str">
        <x:v>Weekly budget reconciles</x:v>
      </x:c>
      <x:c r="B10" s="91" t="n">
        <x:v>5000</x:v>
      </x:c>
      <x:c r="C10" s="91" t="n">
        <x:f>'10_Reward_Budget'!B18</x:f>
        <x:v>5000</x:v>
      </x:c>
      <x:c r="D10" s="22" t="str">
        <x:f>IF(ABS(C10-B10)&lt;0.01,"PASS","CHECK")</x:f>
        <x:v>PASS</x:v>
      </x:c>
      <x:c r="E10" s="22" t="str">
        <x:v>Critical</x:v>
      </x:c>
      <x:c r="F10" s="46" t="str">
        <x:v>Budget sheet equals assumption</x:v>
      </x:c>
    </x:row>
    <x:row r="11">
      <x:c r="A11" s="45" t="str">
        <x:v>Market Hunt Performance weight &lt;= 8%</x:v>
      </x:c>
      <x:c r="B11" s="58" t="n">
        <x:v>0.08</x:v>
      </x:c>
      <x:c r="C11" s="58" t="n">
        <x:f>'01_Assumptions'!B11</x:f>
        <x:v>0.05</x:v>
      </x:c>
      <x:c r="D11" s="22" t="str">
        <x:f>IF(C11&lt;=B11,"PASS","CHECK")</x:f>
        <x:v>PASS</x:v>
      </x:c>
      <x:c r="E11" s="22" t="str">
        <x:v>High</x:v>
      </x:c>
      <x:c r="F11" s="46" t="str">
        <x:v>Protects payout balance</x:v>
      </x:c>
    </x:row>
    <x:row r="12">
      <x:c r="A12" s="47" t="str">
        <x:v>Hard stop &gt;= alert threshold</x:v>
      </x:c>
      <x:c r="B12" s="48" t="n">
        <x:v>1</x:v>
      </x:c>
      <x:c r="C12" s="48" t="n">
        <x:f>IF('01_Assumptions'!B16&gt;='01_Assumptions'!B15,1,0)</x:f>
        <x:v>1</x:v>
      </x:c>
      <x:c r="D12" s="48" t="str">
        <x:f>IF(C12=B12,"PASS","CHECK")</x:f>
        <x:v>PASS</x:v>
      </x:c>
      <x:c r="E12" s="48" t="str">
        <x:v>Critical</x:v>
      </x:c>
      <x:c r="F12" s="49" t="str"/>
    </x:row>
    <x:row r="13">
      <x:c r="A13" s="20" t="str">
        <x:v>Module roll does not reserve stock budget</x:v>
      </x:c>
      <x:c r="B13" s="20" t="n">
        <x:v>1</x:v>
      </x:c>
      <x:c r="C13" s="20" t="n">
        <x:v>1</x:v>
      </x:c>
      <x:c r="D13" s="20" t="str">
        <x:v>PASS</x:v>
      </x:c>
      <x:c r="E13" s="20" t="str">
        <x:v>Critical</x:v>
      </x:c>
      <x:c r="F13" s="20" t="str">
        <x:v>Module discovery uses a separate reward ledger.</x:v>
      </x:c>
    </x:row>
    <x:row r="14">
      <x:c r="A14" s="20" t="str">
        <x:v>Hunt Points unchanged by Module roll</x:v>
      </x:c>
      <x:c r="B14" s="20" t="n">
        <x:v>1</x:v>
      </x:c>
      <x:c r="C14" s="20" t="n">
        <x:v>1</x:v>
      </x:c>
      <x:c r="D14" s="20" t="str">
        <x:v>PASS</x:v>
      </x:c>
      <x:c r="E14" s="20" t="str">
        <x:v>Critical</x:v>
      </x:c>
      <x:c r="F14" s="20" t="str">
        <x:v>No recursive competitive farming.</x:v>
      </x:c>
    </x:row>
    <x:row r="15">
      <x:c r="A15" s="20" t="str">
        <x:v>Standard Module roll chance</x:v>
      </x:c>
      <x:c r="B15" s="20" t="n">
        <x:v>0.1</x:v>
      </x:c>
      <x:c r="C15" s="20" t="n">
        <x:v>0.1</x:v>
      </x:c>
      <x:c r="D15" s="20" t="str">
        <x:v>PASS</x:v>
      </x:c>
      <x:c r="E15" s="20" t="str">
        <x:v>High</x:v>
      </x:c>
      <x:c r="F15" s="20" t="str">
        <x:v>Independent of stock rarity and funded pool consumption.</x:v>
      </x:c>
    </x:row>
    <x:row r="16">
      <x:c r="A16" s="20" t="str">
        <x:v>Module reward remains claim-audited</x:v>
      </x:c>
      <x:c r="B16" s="20" t="n">
        <x:v>1</x:v>
      </x:c>
      <x:c r="C16" s="20" t="n">
        <x:v>1</x:v>
      </x:c>
      <x:c r="D16" s="20" t="str">
        <x:v>PASS</x:v>
      </x:c>
      <x:c r="E16" s="20" t="str">
        <x:v>High</x:v>
      </x:c>
      <x:c r="F16" s="20" t="str">
        <x:v>Reward event is server-authoritative and idempotency-ready.</x:v>
      </x:c>
    </x:row>
  </x:sheetData>
  <x:mergeCells>
    <x:mergeCell ref="A1:F1"/>
  </x:mergeCells>
  <x:conditionalFormatting sqref="D4:D12">
    <x:cfRule type="expression" dxfId="2" priority="1">
      <x:formula>D4="PASS"</x:formula>
    </x:cfRule>
    <x:cfRule type="expression" dxfId="3" priority="2">
      <x:formula>D4="CHECK"</x:formula>
    </x:cfRule>
  </x:conditionalFormatting>
  <x:pageMargins left="0.7" right="0.7" top="0.75" bottom="0.75" header="0.3" footer="0.3"/>
</x:worksheet>
</file>