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726f4042a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2d64eda5b4064a39"/>
    <x:sheet xmlns:r="http://schemas.openxmlformats.org/officeDocument/2006/relationships" name="01_Supersession_Rules" sheetId="2" r:id="R75142a3503eb4865"/>
    <x:sheet xmlns:r="http://schemas.openxmlformats.org/officeDocument/2006/relationships" name="02_Building_Card_Rules" sheetId="3" r:id="Rd03e25d102104f8d"/>
    <x:sheet xmlns:r="http://schemas.openxmlformats.org/officeDocument/2006/relationships" name="03_Module_System" sheetId="4" r:id="R819bf08d9b754dcb"/>
    <x:sheet xmlns:r="http://schemas.openxmlformats.org/officeDocument/2006/relationships" name="04_Module_Slots" sheetId="5" r:id="Rcdf2b2814b844f0f"/>
    <x:sheet xmlns:r="http://schemas.openxmlformats.org/officeDocument/2006/relationships" name="05_Module_Rarity" sheetId="6" r:id="R4f4f495304224000"/>
    <x:sheet xmlns:r="http://schemas.openxmlformats.org/officeDocument/2006/relationships" name="06_Module_Catalog" sheetId="7" r:id="Rceaf69eb13284aea"/>
    <x:sheet xmlns:r="http://schemas.openxmlformats.org/officeDocument/2006/relationships" name="07_Building_Mastery" sheetId="8" r:id="R512045392a70412a"/>
    <x:sheet xmlns:r="http://schemas.openxmlformats.org/officeDocument/2006/relationships" name="08_Module_Acquisition" sheetId="9" r:id="R37e200055e2c419f"/>
    <x:sheet xmlns:r="http://schemas.openxmlformats.org/officeDocument/2006/relationships" name="09_Drop_Tables" sheetId="10" r:id="Ra45f4f0754fa4736"/>
    <x:sheet xmlns:r="http://schemas.openxmlformats.org/officeDocument/2006/relationships" name="10_Crafting_Duplicates" sheetId="11" r:id="Ra891c5dd17c24c86"/>
    <x:sheet xmlns:r="http://schemas.openxmlformats.org/officeDocument/2006/relationships" name="11_Stacking_Balance" sheetId="12" r:id="R77688dca27f341ee"/>
    <x:sheet xmlns:r="http://schemas.openxmlformats.org/officeDocument/2006/relationships" name="12_System_Integration" sheetId="13" r:id="R19d380c6e7114ac9"/>
    <x:sheet xmlns:r="http://schemas.openxmlformats.org/officeDocument/2006/relationships" name="13_UI_UX_Override" sheetId="14" r:id="R754dfdaf907840a9"/>
    <x:sheet xmlns:r="http://schemas.openxmlformats.org/officeDocument/2006/relationships" name="14_Backend_Override" sheetId="15" r:id="Rabdb09fe67a74b52"/>
    <x:sheet xmlns:r="http://schemas.openxmlformats.org/officeDocument/2006/relationships" name="15_Implementation_MVP" sheetId="16" r:id="R811428e4307748b4"/>
    <x:sheet xmlns:r="http://schemas.openxmlformats.org/officeDocument/2006/relationships" name="16_LiveOps" sheetId="17" r:id="R661ea5349f4943dd"/>
    <x:sheet xmlns:r="http://schemas.openxmlformats.org/officeDocument/2006/relationships" name="17_Canonical_Decisions" sheetId="18" r:id="R2ff8573f1c5546b4"/>
    <x:sheet xmlns:r="http://schemas.openxmlformats.org/officeDocument/2006/relationships" name="18_Model_Checks" sheetId="19" r:id="R4653d50152f7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%;[Red](0.0%);-"/>
    <x:numFmt numFmtId="202" formatCode="0.00;[Red](0.00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D8A93A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2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1" xfId="0" applyNumberFormat="1" applyFont="1" applyFill="1" applyBorder="1" applyAlignment="1">
      <x:alignment vertical="top" wrapText="1"/>
    </x:xf>
    <x:xf numFmtId="201" fontId="0" fillId="0" borderId="23" xfId="0" applyNumberFormat="1" applyFont="1" applyFill="1" applyBorder="1" applyAlignment="1">
      <x:alignment vertical="top" wrapText="1"/>
    </x:xf>
    <x:xf numFmtId="202" fontId="0" fillId="0" borderId="2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2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f2a5f08f04b31" /><Relationship Type="http://schemas.openxmlformats.org/officeDocument/2006/relationships/theme" Target="/xl/theme/theme1.xml" Id="Ra993d8d427c54257" /><Relationship Type="http://schemas.openxmlformats.org/officeDocument/2006/relationships/sharedStrings" Target="/xl/sharedStrings.xml" Id="R40527952cf6c4088" /><Relationship Type="http://schemas.openxmlformats.org/officeDocument/2006/relationships/worksheet" Target="/xl/worksheets/sheet1.xml" Id="R2d64eda5b4064a39" /><Relationship Type="http://schemas.openxmlformats.org/officeDocument/2006/relationships/worksheet" Target="/xl/worksheets/sheet2.xml" Id="R75142a3503eb4865" /><Relationship Type="http://schemas.openxmlformats.org/officeDocument/2006/relationships/worksheet" Target="/xl/worksheets/sheet3.xml" Id="Rd03e25d102104f8d" /><Relationship Type="http://schemas.openxmlformats.org/officeDocument/2006/relationships/worksheet" Target="/xl/worksheets/sheet4.xml" Id="R819bf08d9b754dcb" /><Relationship Type="http://schemas.openxmlformats.org/officeDocument/2006/relationships/worksheet" Target="/xl/worksheets/sheet5.xml" Id="Rcdf2b2814b844f0f" /><Relationship Type="http://schemas.openxmlformats.org/officeDocument/2006/relationships/worksheet" Target="/xl/worksheets/sheet6.xml" Id="R4f4f495304224000" /><Relationship Type="http://schemas.openxmlformats.org/officeDocument/2006/relationships/worksheet" Target="/xl/worksheets/sheet7.xml" Id="Rceaf69eb13284aea" /><Relationship Type="http://schemas.openxmlformats.org/officeDocument/2006/relationships/worksheet" Target="/xl/worksheets/sheet8.xml" Id="R512045392a70412a" /><Relationship Type="http://schemas.openxmlformats.org/officeDocument/2006/relationships/worksheet" Target="/xl/worksheets/sheet9.xml" Id="R37e200055e2c419f" /><Relationship Type="http://schemas.openxmlformats.org/officeDocument/2006/relationships/worksheet" Target="/xl/worksheets/sheet10.xml" Id="Ra45f4f0754fa4736" /><Relationship Type="http://schemas.openxmlformats.org/officeDocument/2006/relationships/worksheet" Target="/xl/worksheets/sheet11.xml" Id="Ra891c5dd17c24c86" /><Relationship Type="http://schemas.openxmlformats.org/officeDocument/2006/relationships/worksheet" Target="/xl/worksheets/sheet12.xml" Id="R77688dca27f341ee" /><Relationship Type="http://schemas.openxmlformats.org/officeDocument/2006/relationships/worksheet" Target="/xl/worksheets/sheet13.xml" Id="R19d380c6e7114ac9" /><Relationship Type="http://schemas.openxmlformats.org/officeDocument/2006/relationships/worksheet" Target="/xl/worksheets/sheet14.xml" Id="R754dfdaf907840a9" /><Relationship Type="http://schemas.openxmlformats.org/officeDocument/2006/relationships/worksheet" Target="/xl/worksheets/sheet15.xml" Id="Rabdb09fe67a74b52" /><Relationship Type="http://schemas.openxmlformats.org/officeDocument/2006/relationships/worksheet" Target="/xl/worksheets/sheet16.xml" Id="R811428e4307748b4" /><Relationship Type="http://schemas.openxmlformats.org/officeDocument/2006/relationships/worksheet" Target="/xl/worksheets/sheet17.xml" Id="R661ea5349f4943dd" /><Relationship Type="http://schemas.openxmlformats.org/officeDocument/2006/relationships/worksheet" Target="/xl/worksheets/sheet18.xml" Id="R2ff8573f1c5546b4" /><Relationship Type="http://schemas.openxmlformats.org/officeDocument/2006/relationships/worksheet" Target="/xl/worksheets/sheet19.xml" Id="R4653d50152f745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b6aada08624c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Example Module catalog by rarity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Example Modules</c:v>
          </c:tx>
          <c:cat>
            <c:strRef>
              <c:f>'00_Dashboard'!$A$20:$A$24</c:f>
              <c:strCache>
                <c:ptCount val="0"/>
              </c:strCache>
            </c:strRef>
          </c:cat>
          <c:val>
            <c:numRef>
              <c:f>'00_Dashboard'!$B$20:$B$24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b6aada08624c8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fb424110654e9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PLOT — Building Cards &amp; Modules Superseding Specification v1.0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Canonical Rule</x:v>
      </x:c>
      <x:c r="B3" s="14" t="str">
        <x:v>Building Unlock</x:v>
      </x:c>
      <x:c r="C3" s="14" t="str">
        <x:v>Placement Cost</x:v>
      </x:c>
      <x:c r="D3" s="14" t="str">
        <x:v>Collectible Layer</x:v>
      </x:c>
      <x:c r="E3" s="14" t="str">
        <x:v>Module Purpose</x:v>
      </x:c>
      <x:c r="F3" s="14" t="str">
        <x:v>Module Slots</x:v>
      </x:c>
      <x:c r="G3" s="14" t="str">
        <x:v>Primary Module Source</x:v>
      </x:c>
      <x:c r="H3" s="14" t="str">
        <x:v>Secondary Sources</x:v>
      </x:c>
      <x:c r="I3" s="14" t="str">
        <x:v>Duplicates</x:v>
      </x:c>
      <x:c r="J3" s="14" t="str">
        <x:v>Packs</x:v>
      </x:c>
      <x:c r="K3" s="14" t="str">
        <x:v>Real-Money Gameplay Packs</x:v>
      </x:c>
      <x:c r="L3" s="14" t="str">
        <x:v>Performance Rule</x:v>
      </x:c>
      <x:c r="M3" s="14" t="str">
        <x:v>Supersedes</x:v>
      </x:c>
      <x:c r="N3" s="14" t="str">
        <x:v>Status</x:v>
      </x:c>
    </x:row>
    <x:row r="4">
      <x:c r="A4" s="24" t="str">
        <x:v>Building Cards are buildings. Modules customize them.</x:v>
      </x:c>
      <x:c r="B4" s="25" t="str">
        <x:v>Empire Level permanently unlocks the Building Card</x:v>
      </x:c>
      <x:c r="C4" s="25" t="str">
        <x:v>Pay normal in-game Cash each time a Building Card is placed</x:v>
      </x:c>
      <x:c r="D4" s="25" t="str">
        <x:v>Modules</x:v>
      </x:c>
      <x:c r="E4" s="25" t="str">
        <x:v>Modify/specialize an already-unlocked building</x:v>
      </x:c>
      <x:c r="F4" s="25" t="str">
        <x:v>1–4 depending on building rarity/upgrade level</x:v>
      </x:c>
      <x:c r="G4" s="25" t="str">
        <x:v>Building Mastery</x:v>
      </x:c>
      <x:c r="H4" s="25" t="str">
        <x:v>Market Hunts, Events, Milestones, Crafting, earned/Cash packs</x:v>
      </x:c>
      <x:c r="I4" s="25" t="str">
        <x:v>Dismantle into Module Parts</x:v>
      </x:c>
      <x:c r="J4" s="25" t="str">
        <x:v>Optional accelerator with in-game Cash caps</x:v>
      </x:c>
      <x:c r="K4" s="25" t="str">
        <x:v>No</x:v>
      </x:c>
      <x:c r="L4" s="25" t="str">
        <x:v>Modules affect underlying metrics only; never score or PLOT directly</x:v>
      </x:c>
      <x:c r="M4" s="25" t="str">
        <x:v>All prior blueprint/card-acquisition interpretations</x:v>
      </x:c>
      <x:c r="N4" s="26" t="str">
        <x:v>Canonical override</x:v>
      </x:c>
    </x:row>
    <x:row r="6" ht="22" customHeight="1">
      <x:c r="A6" s="11" t="str">
        <x:v>One-Line Progression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34" t="str">
        <x:v>LEVEL UP → BUILDING CARD UNLOCKS → PAY CASH TO PLACE → OPERATE BUILDING → EARN MODULES → EQUIP MODULES → SPECIALIZE THE BUILDING</x:v>
      </x:c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</x:row>
    <x:row r="10" ht="22" customHeight="1">
      <x:c r="A10" s="11" t="str">
        <x:v>Why This Document Exists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4" t="str">
        <x:v>Issue</x:v>
      </x:c>
      <x:c r="B11" s="14" t="str">
        <x:v>Canonical Resolution</x:v>
      </x:c>
    </x:row>
    <x:row r="12">
      <x:c r="A12" s="40" t="str">
        <x:v>Previous acquisition draft</x:v>
      </x:c>
      <x:c r="B12" s="41" t="str">
        <x:v>Blueprint/card-fragment gating is retired. Players do not wait for a second unlock after reaching the required Empire Level.</x:v>
      </x:c>
    </x:row>
    <x:row r="13">
      <x:c r="A13" s="42" t="str">
        <x:v>Building Cards terminology</x:v>
      </x:c>
      <x:c r="B13" s="43" t="str">
        <x:v>Building Cards are only the actual financial buildings placed on the Plot.</x:v>
      </x:c>
    </x:row>
    <x:row r="14">
      <x:c r="A14" s="42" t="str">
        <x:v>Collectible progression</x:v>
      </x:c>
      <x:c r="B14" s="43" t="str">
        <x:v>The collectible layer is now called Modules.</x:v>
      </x:c>
    </x:row>
    <x:row r="15">
      <x:c r="A15" s="42" t="str">
        <x:v>Prior documents</x:v>
      </x:c>
      <x:c r="B15" s="43" t="str">
        <x:v>Where another PLOT document conflicts with this specification on building unlocks, cards, blueprint acquisition, Module effects or Module rewards, this document wins.</x:v>
      </x:c>
    </x:row>
    <x:row r="16">
      <x:c r="A16" s="44" t="str">
        <x:v>Implementation</x:v>
      </x:c>
      <x:c r="B16" s="45" t="str">
        <x:v>Existing Building Balance, Customers, Risk, Hunts, Performance, UI and Backend systems remain valid except for the specific overrides listed here.</x:v>
      </x:c>
    </x:row>
    <x:row r="18" ht="22" customHeight="1">
      <x:c r="A18" s="11" t="str">
        <x:v>Module Rarity Mix in Example Catalog</x:v>
      </x:c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</x:row>
    <x:row r="19">
      <x:c r="A19" s="14" t="str">
        <x:v>Rarity</x:v>
      </x:c>
      <x:c r="B19" s="14" t="str">
        <x:v>Example Modules</x:v>
      </x:c>
    </x:row>
    <x:row r="20">
      <x:c r="A20" s="40" t="str">
        <x:v>Common</x:v>
      </x:c>
      <x:c r="B20" s="80" t="n">
        <x:f>COUNTIF('06_Module_Catalog'!B4:B38,"Common")</x:f>
        <x:v>5</x:v>
      </x:c>
    </x:row>
    <x:row r="21">
      <x:c r="A21" s="42" t="str">
        <x:v>Uncommon</x:v>
      </x:c>
      <x:c r="B21" s="81" t="n">
        <x:f>COUNTIF('06_Module_Catalog'!B4:B38,"Uncommon")</x:f>
        <x:v>7</x:v>
      </x:c>
    </x:row>
    <x:row r="22">
      <x:c r="A22" s="42" t="str">
        <x:v>Rare</x:v>
      </x:c>
      <x:c r="B22" s="81" t="n">
        <x:f>COUNTIF('06_Module_Catalog'!B4:B38,"Rare")</x:f>
        <x:v>10</x:v>
      </x:c>
    </x:row>
    <x:row r="23">
      <x:c r="A23" s="42" t="str">
        <x:v>Epic</x:v>
      </x:c>
      <x:c r="B23" s="81" t="n">
        <x:f>COUNTIF('06_Module_Catalog'!B4:B38,"Epic")</x:f>
        <x:v>7</x:v>
      </x:c>
    </x:row>
    <x:row r="24">
      <x:c r="A24" s="44" t="str">
        <x:v>Legendary</x:v>
      </x:c>
      <x:c r="B24" s="82" t="n">
        <x:f>COUNTIF('06_Module_Catalog'!B4:B38,"Legendary")</x:f>
        <x:v>6</x:v>
      </x:c>
    </x:row>
  </x:sheetData>
  <x:mergeCells>
    <x:mergeCell ref="A1:N1"/>
    <x:mergeCell ref="A6:N6"/>
    <x:mergeCell ref="A7:N8"/>
    <x:mergeCell ref="A10:N10"/>
    <x:mergeCell ref="A18:N18"/>
  </x:mergeCells>
  <x:pageMargins left="0.7" right="0.7" top="0.75" bottom="0.75" header="0.3" footer="0.3"/>
  <x:drawing xmlns:r="http://schemas.openxmlformats.org/officeDocument/2006/relationships" r:id="Rbefb424110654e92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Authoritative Overrides for Existing PLOT Documents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Prior Document / System</x:v>
      </x:c>
      <x:c r="B3" s="14" t="str">
        <x:v>Prior Concept Affected</x:v>
      </x:c>
      <x:c r="C3" s="14" t="str">
        <x:v>Old Interpretation</x:v>
      </x:c>
      <x:c r="D3" s="14" t="str">
        <x:v>New Canonical Rule</x:v>
      </x:c>
      <x:c r="E3" s="14" t="str">
        <x:v>What Remains Valid</x:v>
      </x:c>
      <x:c r="F3" s="14" t="str">
        <x:v>What Is Retired</x:v>
      </x:c>
      <x:c r="G3" s="14" t="str">
        <x:v>Implementation Priority</x:v>
      </x:c>
      <x:c r="H3" s="14" t="str">
        <x:v>Migration Needed?</x:v>
      </x:c>
      <x:c r="I3" s="14" t="str">
        <x:v>Backend Impact</x:v>
      </x:c>
      <x:c r="J3" s="14" t="str">
        <x:v>UI Impact</x:v>
      </x:c>
      <x:c r="K3" s="14" t="str">
        <x:v>Balance Impact</x:v>
      </x:c>
      <x:c r="L3" s="14" t="str">
        <x:v>Performance Impact</x:v>
      </x:c>
      <x:c r="M3" s="14" t="str">
        <x:v>Risk Impact</x:v>
      </x:c>
      <x:c r="N3" s="14" t="str">
        <x:v>Notes</x:v>
      </x:c>
    </x:row>
    <x:row r="4">
      <x:c r="A4" s="40" t="str">
        <x:v>Card Acquisition System v0.1</x:v>
      </x:c>
      <x:c r="B4" s="52" t="str">
        <x:v>Entire blueprint acquisition system</x:v>
      </x:c>
      <x:c r="C4" s="52" t="str">
        <x:v>Level unlock → collect blueprint/fragments → pay fee → place</x:v>
      </x:c>
      <x:c r="D4" s="52" t="str">
        <x:v>Retired. Level unlocks Building Card immediately; Modules are the collectible layer.</x:v>
      </x:c>
      <x:c r="E4" s="52" t="str">
        <x:v>Any useful acquisition source ideas can be reused for Modules</x:v>
      </x:c>
      <x:c r="F4" s="52" t="str">
        <x:v>Blueprints, blueprint fragments, research fees, blueprint ownership</x:v>
      </x:c>
      <x:c r="G4" s="52" t="str">
        <x:v>Immediate</x:v>
      </x:c>
      <x:c r="H4" s="52" t="str">
        <x:v>Yes — do not implement old blueprint tables</x:v>
      </x:c>
      <x:c r="I4" s="52" t="str">
        <x:v>Replace blueprint state with Module inventory/equipment</x:v>
      </x:c>
      <x:c r="J4" s="52" t="str">
        <x:v>Replace blueprint collection/research with Module inventory/equip/craft</x:v>
      </x:c>
      <x:c r="K4" s="52" t="str">
        <x:v>Major conceptual correction</x:v>
      </x:c>
      <x:c r="L4" s="52" t="str">
        <x:v>Modules never directly score</x:v>
      </x:c>
      <x:c r="M4" s="52" t="str">
        <x:v>Module effects may change risk within caps</x:v>
      </x:c>
      <x:c r="N4" s="41" t="str">
        <x:v>This document fully supersedes it</x:v>
      </x:c>
    </x:row>
    <x:row r="5">
      <x:c r="A5" s="42" t="str">
        <x:v>Building Balance</x:v>
      </x:c>
      <x:c r="B5" s="22" t="str">
        <x:v>Unlock semantics / future Module capacity</x:v>
      </x:c>
      <x:c r="C5" s="22" t="str">
        <x:v>Level unlock was compatible with blueprint gate</x:v>
      </x:c>
      <x:c r="D5" s="22" t="str">
        <x:v>Building Card permanently unlocks at its Empire Level; construction still costs Cash</x:v>
      </x:c>
      <x:c r="E5" s="22" t="str">
        <x:v>All 50 buildings, stages, costs, stats, upgrade levels</x:v>
      </x:c>
      <x:c r="F5" s="22" t="str">
        <x:v>Any second acquisition gate</x:v>
      </x:c>
      <x:c r="G5" s="22" t="str">
        <x:v>Immediate</x:v>
      </x:c>
      <x:c r="H5" s="22" t="str">
        <x:v>No existing building-state migration if blueprint system unbuilt</x:v>
      </x:c>
      <x:c r="I5" s="22" t="str">
        <x:v>Add module slots to building instance state</x:v>
      </x:c>
      <x:c r="J5" s="22" t="str">
        <x:v>Add Slots/Modules to Building Detail</x:v>
      </x:c>
      <x:c r="K5" s="22" t="str">
        <x:v>Small additive</x:v>
      </x:c>
      <x:c r="L5" s="22" t="str">
        <x:v>Indirect only</x:v>
      </x:c>
      <x:c r="M5" s="22" t="str">
        <x:v>Indirect only</x:v>
      </x:c>
      <x:c r="N5" s="43" t="str">
        <x:v>Building Balance remains source of truth for base stats/costs</x:v>
      </x:c>
    </x:row>
    <x:row r="6">
      <x:c r="A6" s="42" t="str">
        <x:v>Market Hunts &amp; Stock Rewards</x:v>
      </x:c>
      <x:c r="B6" s="22" t="str">
        <x:v>Reward pool additions</x:v>
      </x:c>
      <x:c r="C6" s="22" t="str">
        <x:v>Hunts primarily stock rewards + score points</x:v>
      </x:c>
      <x:c r="D6" s="22" t="str">
        <x:v>Hunts may also award Modules/Module Parts from a separate gameplay drop table</x:v>
      </x:c>
      <x:c r="E6" s="22" t="str">
        <x:v>Stock budget, Hunt Points, stock claims</x:v>
      </x:c>
      <x:c r="F6" s="22" t="str">
        <x:v>Blueprint fragments</x:v>
      </x:c>
      <x:c r="G6" s="22" t="str">
        <x:v>P1</x:v>
      </x:c>
      <x:c r="H6" s="22" t="str">
        <x:v>Add module reward resolution</x:v>
      </x:c>
      <x:c r="I6" s="22" t="str">
        <x:v>Add Module reveal alongside stock reveal</x:v>
      </x:c>
      <x:c r="J6" s="22" t="str">
        <x:v>Separate reward budget/config</x:v>
      </x:c>
      <x:c r="K6" s="22" t="str">
        <x:v>Module reward value gives zero score</x:v>
      </x:c>
      <x:c r="L6" s="22" t="str">
        <x:v>Indirect</x:v>
      </x:c>
      <x:c r="M6" s="22" t="str">
        <x:v>Stock budget remains separate</x:v>
      </x:c>
      <x:c r="N6" s="43"/>
    </x:row>
    <x:row r="7">
      <x:c r="A7" s="42" t="str">
        <x:v>UI/UX Specification</x:v>
      </x:c>
      <x:c r="B7" s="22" t="str">
        <x:v>Building acquisition / collection surfaces</x:v>
      </x:c>
      <x:c r="C7" s="22" t="str">
        <x:v>Blueprint research/collection implied in later concept</x:v>
      </x:c>
      <x:c r="D7" s="22" t="str">
        <x:v>Build remains level+Cash; add Module Inventory, Equip, Craft, Dismantle</x:v>
      </x:c>
      <x:c r="E7" s="22" t="str">
        <x:v>All existing major screen structure</x:v>
      </x:c>
      <x:c r="F7" s="22" t="str">
        <x:v>Blueprint research UI</x:v>
      </x:c>
      <x:c r="G7" s="22" t="str">
        <x:v>P1</x:v>
      </x:c>
      <x:c r="H7" s="22" t="str">
        <x:v>New read models only</x:v>
      </x:c>
      <x:c r="I7" s="22" t="str">
        <x:v>Add Module tab/slots/screens</x:v>
      </x:c>
      <x:c r="J7" s="22" t="str">
        <x:v>N/A</x:v>
      </x:c>
      <x:c r="K7" s="22" t="str">
        <x:v>No score UI from rarity</x:v>
      </x:c>
      <x:c r="L7" s="22" t="str">
        <x:v>Show risk deltas before equip</x:v>
      </x:c>
      <x:c r="M7" s="22" t="str"/>
      <x:c r="N7" s="43"/>
    </x:row>
    <x:row r="8">
      <x:c r="A8" s="42" t="str">
        <x:v>Backend/Game-State Technical Spec</x:v>
      </x:c>
      <x:c r="B8" s="22" t="str">
        <x:v>State models</x:v>
      </x:c>
      <x:c r="C8" s="22" t="str">
        <x:v>Possible blueprint/card acquisition state</x:v>
      </x:c>
      <x:c r="D8" s="22" t="str">
        <x:v>Use module_inventory, module_instances, equipped_modules, module_parts_ledger</x:v>
      </x:c>
      <x:c r="E8" s="22" t="str">
        <x:v>Existing building/layout/economy ledgers</x:v>
      </x:c>
      <x:c r="F8" s="22" t="str">
        <x:v>Blueprint entitlement state</x:v>
      </x:c>
      <x:c r="G8" s="22" t="str">
        <x:v>P1</x:v>
      </x:c>
      <x:c r="H8" s="22" t="str">
        <x:v>Add module entities/API/events</x:v>
      </x:c>
      <x:c r="I8" s="22" t="str">
        <x:v>N/A</x:v>
      </x:c>
      <x:c r="J8" s="22" t="str">
        <x:v>Server-authoritative effects</x:v>
      </x:c>
      <x:c r="K8" s="22" t="str">
        <x:v>No direct score input</x:v>
      </x:c>
      <x:c r="L8" s="22" t="str">
        <x:v>Recompute risk/economy modifiers</x:v>
      </x:c>
      <x:c r="M8" s="22" t="str"/>
      <x:c r="N8" s="43"/>
    </x:row>
    <x:row r="9">
      <x:c r="A9" s="42" t="str">
        <x:v>Risk &amp; Reputation</x:v>
      </x:c>
      <x:c r="B9" s="22" t="str">
        <x:v>Building modifiers</x:v>
      </x:c>
      <x:c r="C9" s="22" t="str">
        <x:v>No canonical collectible modifier layer</x:v>
      </x:c>
      <x:c r="D9" s="22" t="str">
        <x:v>Modules can modify risk/service/reserves within strict caps</x:v>
      </x:c>
      <x:c r="E9" s="22" t="str">
        <x:v>Risk categories/formulas/gates</x:v>
      </x:c>
      <x:c r="F9" s="22" t="str">
        <x:v>Direct reputation purchase/buff</x:v>
      </x:c>
      <x:c r="G9" s="22" t="str">
        <x:v>P1</x:v>
      </x:c>
      <x:c r="H9" s="22" t="str">
        <x:v>Module modifiers feed evaluator</x:v>
      </x:c>
      <x:c r="I9" s="22" t="str">
        <x:v>Show before/after</x:v>
      </x:c>
      <x:c r="J9" s="22" t="str">
        <x:v>Caps in this spec</x:v>
      </x:c>
      <x:c r="K9" s="22" t="str">
        <x:v>Indirect</x:v>
      </x:c>
      <x:c r="L9" s="22" t="str">
        <x:v>Direct underlying effect allowed</x:v>
      </x:c>
      <x:c r="M9" s="22" t="str"/>
      <x:c r="N9" s="43"/>
    </x:row>
    <x:row r="10">
      <x:c r="A10" s="42" t="str">
        <x:v>Performance Score</x:v>
      </x:c>
      <x:c r="B10" s="22" t="str">
        <x:v>Module impact</x:v>
      </x:c>
      <x:c r="C10" s="22" t="str">
        <x:v>No module rule</x:v>
      </x:c>
      <x:c r="D10" s="22" t="str">
        <x:v>Module rarity/ownership gives 0 direct Performance points; only legitimate changed activity/customers/risk etc. flow through existing formulas</x:v>
      </x:c>
      <x:c r="E10" s="22" t="str">
        <x:v>Existing weights/payout model</x:v>
      </x:c>
      <x:c r="F10" s="22" t="str">
        <x:v>Rarity bonuses / collection score</x:v>
      </x:c>
      <x:c r="G10" s="22" t="str">
        <x:v>Immediate</x:v>
      </x:c>
      <x:c r="H10" s="22" t="str">
        <x:v>Exclude module ownership from score inputs</x:v>
      </x:c>
      <x:c r="I10" s="22" t="str">
        <x:v>Explain indirect effect only</x:v>
      </x:c>
      <x:c r="J10" s="22" t="str">
        <x:v>Critical fairness rule</x:v>
      </x:c>
      <x:c r="K10" s="22" t="str">
        <x:v>No direct points</x:v>
      </x:c>
      <x:c r="L10" s="22" t="str">
        <x:v>Indirect only</x:v>
      </x:c>
      <x:c r="M10" s="22" t="str"/>
      <x:c r="N10" s="43"/>
    </x:row>
    <x:row r="11">
      <x:c r="A11" s="42" t="str">
        <x:v>Events &amp; Seasons</x:v>
      </x:c>
      <x:c r="B11" s="22" t="str">
        <x:v>Rewards</x:v>
      </x:c>
      <x:c r="C11" s="22" t="str">
        <x:v>Could use future card rewards</x:v>
      </x:c>
      <x:c r="D11" s="22" t="str">
        <x:v>May award themed Modules or cosmetic Module variants; seasonal exclusives cannot be strictly stronger</x:v>
      </x:c>
      <x:c r="E11" s="22" t="str">
        <x:v>Existing event/season structures</x:v>
      </x:c>
      <x:c r="F11" s="22" t="str">
        <x:v>Blueprint rewards</x:v>
      </x:c>
      <x:c r="G11" s="22" t="str">
        <x:v>P2</x:v>
      </x:c>
      <x:c r="H11" s="22" t="str">
        <x:v>Reward source enum</x:v>
      </x:c>
      <x:c r="I11" s="22" t="str">
        <x:v>Season/event Module badges</x:v>
      </x:c>
      <x:c r="J11" s="22" t="str">
        <x:v>Sidegrade rules</x:v>
      </x:c>
      <x:c r="K11" s="22" t="str">
        <x:v>No direct season score</x:v>
      </x:c>
      <x:c r="L11" s="22" t="str">
        <x:v>Indirect</x:v>
      </x:c>
      <x:c r="M11" s="22" t="str"/>
      <x:c r="N11" s="43"/>
    </x:row>
    <x:row r="12">
      <x:c r="A12" s="44" t="str">
        <x:v>Game Design Document</x:v>
      </x:c>
      <x:c r="B12" s="53" t="str">
        <x:v>Terminology and progression</x:v>
      </x:c>
      <x:c r="C12" s="53" t="str">
        <x:v>Blueprint ambiguity</x:v>
      </x:c>
      <x:c r="D12" s="53" t="str">
        <x:v>Building Cards build; Modules specialize</x:v>
      </x:c>
      <x:c r="E12" s="53" t="str">
        <x:v>All non-conflicting gameplay design</x:v>
      </x:c>
      <x:c r="F12" s="53" t="str">
        <x:v>Blueprint-gated construction</x:v>
      </x:c>
      <x:c r="G12" s="53" t="str">
        <x:v>Immediate</x:v>
      </x:c>
      <x:c r="H12" s="53" t="str">
        <x:v>Documentation only</x:v>
      </x:c>
      <x:c r="I12" s="53" t="str">
        <x:v>Documentation only</x:v>
      </x:c>
      <x:c r="J12" s="53" t="str">
        <x:v>Canonical terminology</x:v>
      </x:c>
      <x:c r="K12" s="53" t="str">
        <x:v>Canonical fairness</x:v>
      </x:c>
      <x:c r="L12" s="53" t="str">
        <x:v>Canonical risk integration</x:v>
      </x:c>
      <x:c r="M12" s="53" t="str"/>
      <x:c r="N12" s="45"/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Building Card Rules — Unlock, Placement &amp; Ownership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Rule</x:v>
      </x:c>
      <x:c r="B3" s="14" t="str">
        <x:v>Humble</x:v>
      </x:c>
      <x:c r="C3" s="14" t="str">
        <x:v>Starter</x:v>
      </x:c>
      <x:c r="D3" s="14" t="str">
        <x:v>Growing</x:v>
      </x:c>
      <x:c r="E3" s="14" t="str">
        <x:v>Established</x:v>
      </x:c>
      <x:c r="F3" s="14" t="str">
        <x:v>Elite</x:v>
      </x:c>
      <x:c r="G3" s="14" t="str">
        <x:v>Tycoon</x:v>
      </x:c>
      <x:c r="H3" s="14" t="str">
        <x:v>Player Requirement</x:v>
      </x:c>
      <x:c r="I3" s="14" t="str">
        <x:v>Cash Requirement</x:v>
      </x:c>
      <x:c r="J3" s="14" t="str">
        <x:v>RNG?</x:v>
      </x:c>
      <x:c r="K3" s="14" t="str">
        <x:v>Module Requirement?</x:v>
      </x:c>
      <x:c r="L3" s="14" t="str">
        <x:v>Competitive Effect</x:v>
      </x:c>
      <x:c r="M3" s="14" t="str">
        <x:v>Backend Rule</x:v>
      </x:c>
      <x:c r="N3" s="14" t="str">
        <x:v>Notes</x:v>
      </x:c>
    </x:row>
    <x:row r="4">
      <x:c r="A4" s="40" t="str">
        <x:v>Level unlock behavior</x:v>
      </x:c>
      <x:c r="B4" s="52" t="str">
        <x:v>Permanent Building Card unlock</x:v>
      </x:c>
      <x:c r="C4" s="52" t="str">
        <x:v>Permanent unlock</x:v>
      </x:c>
      <x:c r="D4" s="52" t="str">
        <x:v>Permanent unlock</x:v>
      </x:c>
      <x:c r="E4" s="52" t="str">
        <x:v>Permanent unlock</x:v>
      </x:c>
      <x:c r="F4" s="52" t="str">
        <x:v>Permanent unlock</x:v>
      </x:c>
      <x:c r="G4" s="52" t="str">
        <x:v>Permanent unlock</x:v>
      </x:c>
      <x:c r="H4" s="52" t="str">
        <x:v>Reach building's Empire Level</x:v>
      </x:c>
      <x:c r="I4" s="52" t="str">
        <x:v>No acquisition fee</x:v>
      </x:c>
      <x:c r="J4" s="52" t="str">
        <x:v>No</x:v>
      </x:c>
      <x:c r="K4" s="52" t="str">
        <x:v>No</x:v>
      </x:c>
      <x:c r="L4" s="52" t="str">
        <x:v>None directly</x:v>
      </x:c>
      <x:c r="M4" s="52" t="str">
        <x:v>unlock flag derived from level/catalog</x:v>
      </x:c>
      <x:c r="N4" s="41" t="str">
        <x:v>One new building remains unlocked per Empire Level 1–50</x:v>
      </x:c>
    </x:row>
    <x:row r="5">
      <x:c r="A5" s="42" t="str">
        <x:v>Placement</x:v>
      </x:c>
      <x:c r="B5" s="22" t="str">
        <x:v>Allowed immediately once unlocked</x:v>
      </x:c>
      <x:c r="C5" s="22" t="str">
        <x:v>Same</x:v>
      </x:c>
      <x:c r="D5" s="22" t="str">
        <x:v>Same</x:v>
      </x:c>
      <x:c r="E5" s="22" t="str">
        <x:v>Same</x:v>
      </x:c>
      <x:c r="F5" s="22" t="str">
        <x:v>Same</x:v>
      </x:c>
      <x:c r="G5" s="22" t="str">
        <x:v>Same</x:v>
      </x:c>
      <x:c r="H5" s="22" t="str">
        <x:v>Own active valid Plot + geometry</x:v>
      </x:c>
      <x:c r="I5" s="22" t="str">
        <x:v>Normal Building Balance construction cost</x:v>
      </x:c>
      <x:c r="J5" s="22" t="str">
        <x:v>No</x:v>
      </x:c>
      <x:c r="K5" s="22" t="str">
        <x:v>No</x:v>
      </x:c>
      <x:c r="L5" s="22" t="str">
        <x:v>Through resulting operations</x:v>
      </x:c>
      <x:c r="M5" s="22" t="str">
        <x:v>Server validates unlock + Cash + geometry</x:v>
      </x:c>
      <x:c r="N5" s="43" t="str"/>
    </x:row>
    <x:row r="6">
      <x:c r="A6" s="42" t="str">
        <x:v>Additional copies</x:v>
      </x:c>
      <x:c r="B6" s="22" t="str">
        <x:v>Allowed</x:v>
      </x:c>
      <x:c r="C6" s="22" t="str">
        <x:v>Allowed</x:v>
      </x:c>
      <x:c r="D6" s="22" t="str">
        <x:v>Allowed</x:v>
      </x:c>
      <x:c r="E6" s="22" t="str">
        <x:v>Allowed</x:v>
      </x:c>
      <x:c r="F6" s="22" t="str">
        <x:v>Allowed</x:v>
      </x:c>
      <x:c r="G6" s="22" t="str">
        <x:v>Allowed</x:v>
      </x:c>
      <x:c r="H6" s="22" t="str">
        <x:v>Blueprint/card already unlocked by level</x:v>
      </x:c>
      <x:c r="I6" s="22" t="str">
        <x:v>Pay Cash per instance</x:v>
      </x:c>
      <x:c r="J6" s="22" t="str">
        <x:v>No</x:v>
      </x:c>
      <x:c r="K6" s="22" t="str">
        <x:v>No</x:v>
      </x:c>
      <x:c r="L6" s="22" t="str">
        <x:v>Placement/duplicate controls apply</x:v>
      </x:c>
      <x:c r="M6" s="22" t="str">
        <x:v>Each instance unique</x:v>
      </x:c>
      <x:c r="N6" s="43" t="str">
        <x:v>No consumable card copies required</x:v>
      </x:c>
    </x:row>
    <x:row r="7">
      <x:c r="A7" s="42" t="str">
        <x:v>Removal/move</x:v>
      </x:c>
      <x:c r="B7" s="22" t="str">
        <x:v>Existing placement rules</x:v>
      </x:c>
      <x:c r="C7" s="22" t="str">
        <x:v>Same</x:v>
      </x:c>
      <x:c r="D7" s="22" t="str">
        <x:v>Same</x:v>
      </x:c>
      <x:c r="E7" s="22" t="str">
        <x:v>Same</x:v>
      </x:c>
      <x:c r="F7" s="22" t="str">
        <x:v>Same</x:v>
      </x:c>
      <x:c r="G7" s="22" t="str">
        <x:v>Same</x:v>
      </x:c>
      <x:c r="H7" s="22" t="str">
        <x:v>Owner + locks</x:v>
      </x:c>
      <x:c r="I7" s="22" t="str">
        <x:v>Relocation fees where applicable</x:v>
      </x:c>
      <x:c r="J7" s="22" t="str">
        <x:v>No</x:v>
      </x:c>
      <x:c r="K7" s="22" t="str">
        <x:v>No</x:v>
      </x:c>
      <x:c r="L7" s="22" t="str">
        <x:v>None directly</x:v>
      </x:c>
      <x:c r="M7" s="22" t="str">
        <x:v>Layout versioned</x:v>
      </x:c>
      <x:c r="N7" s="43" t="str"/>
    </x:row>
    <x:row r="8">
      <x:c r="A8" s="44" t="str">
        <x:v>Module use</x:v>
      </x:c>
      <x:c r="B8" s="53" t="str">
        <x:v>Optional</x:v>
      </x:c>
      <x:c r="C8" s="53" t="str">
        <x:v>Optional</x:v>
      </x:c>
      <x:c r="D8" s="53" t="str">
        <x:v>Optional</x:v>
      </x:c>
      <x:c r="E8" s="53" t="str">
        <x:v>Optional</x:v>
      </x:c>
      <x:c r="F8" s="53" t="str">
        <x:v>Optional</x:v>
      </x:c>
      <x:c r="G8" s="53" t="str">
        <x:v>Optional</x:v>
      </x:c>
      <x:c r="H8" s="53" t="str">
        <x:v>Building instance + unlocked slot</x:v>
      </x:c>
      <x:c r="I8" s="53" t="str">
        <x:v>No equip fee by default</x:v>
      </x:c>
      <x:c r="J8" s="53" t="str">
        <x:v>Module acquisition may vary</x:v>
      </x:c>
      <x:c r="K8" s="53" t="str">
        <x:v>No</x:v>
      </x:c>
      <x:c r="L8" s="53" t="str">
        <x:v>Indirect</x:v>
      </x:c>
      <x:c r="M8" s="53" t="str">
        <x:v>Server validates compatibility</x:v>
      </x:c>
      <x:c r="N8" s="45" t="str">
        <x:v>A building works normally with zero Modules</x:v>
      </x:c>
    </x:row>
    <x:row r="10" ht="22" customHeight="1">
      <x:c r="A10" s="11" t="str">
        <x:v>Canonical Terminology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4" t="str">
        <x:v>Term</x:v>
      </x:c>
      <x:c r="B11" s="14" t="str">
        <x:v>Use</x:v>
      </x:c>
    </x:row>
    <x:row r="12">
      <x:c r="A12" s="40" t="str">
        <x:v>Building Card</x:v>
      </x:c>
      <x:c r="B12" s="41" t="str">
        <x:v>The actual financial building type unlocked by Empire Level and selectable in Build.</x:v>
      </x:c>
    </x:row>
    <x:row r="13">
      <x:c r="A13" s="42" t="str">
        <x:v>Building Instance</x:v>
      </x:c>
      <x:c r="B13" s="43" t="str">
        <x:v>A placed copy of a Building Card on a Plot.</x:v>
      </x:c>
    </x:row>
    <x:row r="14">
      <x:c r="A14" s="42" t="str">
        <x:v>Module</x:v>
      </x:c>
      <x:c r="B14" s="43" t="str">
        <x:v>A collectible modifier equipped to a Building Instance.</x:v>
      </x:c>
    </x:row>
    <x:row r="15">
      <x:c r="A15" s="42" t="str">
        <x:v>Module Slot</x:v>
      </x:c>
      <x:c r="B15" s="43" t="str">
        <x:v>One compatibility slot on a Building Instance.</x:v>
      </x:c>
    </x:row>
    <x:row r="16">
      <x:c r="A16" s="42" t="str">
        <x:v>Module Parts</x:v>
      </x:c>
      <x:c r="B16" s="43" t="str">
        <x:v>Generic crafting material obtained mainly by dismantling duplicates.</x:v>
      </x:c>
    </x:row>
    <x:row r="17">
      <x:c r="A17" s="42" t="str">
        <x:v>Module Rarity</x:v>
      </x:c>
      <x:c r="B17" s="43" t="str">
        <x:v>Common, Uncommon, Rare, Epic, Legendary. Rarity represents scarcity/complexity, not guaranteed superior economics.</x:v>
      </x:c>
    </x:row>
    <x:row r="18">
      <x:c r="A18" s="44" t="str">
        <x:v>Building Rarity</x:v>
      </x:c>
      <x:c r="B18" s="45" t="str">
        <x:v>Existing Common → Mythic building progression. Separate from Module rarity.</x:v>
      </x:c>
    </x:row>
  </x:sheetData>
  <x:mergeCells>
    <x:mergeCell ref="A1:N1"/>
    <x:mergeCell ref="A10:N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Module System — Purpose, Categories &amp; Equip Rules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Module Category</x:v>
      </x:c>
      <x:c r="B3" s="14" t="str">
        <x:v>Primary Effects</x:v>
      </x:c>
      <x:c r="C3" s="14" t="str">
        <x:v>Typical Families</x:v>
      </x:c>
      <x:c r="D3" s="14" t="str">
        <x:v>Can Increase Revenue Directly?</x:v>
      </x:c>
      <x:c r="E3" s="14" t="str">
        <x:v>Can Change Customers?</x:v>
      </x:c>
      <x:c r="F3" s="14" t="str">
        <x:v>Can Change Capacity?</x:v>
      </x:c>
      <x:c r="G3" s="14" t="str">
        <x:v>Can Change Activity?</x:v>
      </x:c>
      <x:c r="H3" s="14" t="str">
        <x:v>Can Change Risk?</x:v>
      </x:c>
      <x:c r="I3" s="14" t="str">
        <x:v>Can Change Service?</x:v>
      </x:c>
      <x:c r="J3" s="14" t="str">
        <x:v>Can Change Hunt Points?</x:v>
      </x:c>
      <x:c r="K3" s="14" t="str">
        <x:v>Can Change Performance Score?</x:v>
      </x:c>
      <x:c r="L3" s="14" t="str">
        <x:v>Can Change PLOT Payout?</x:v>
      </x:c>
      <x:c r="M3" s="14" t="str">
        <x:v>Tradeoffs Expected?</x:v>
      </x:c>
      <x:c r="N3" s="14" t="str">
        <x:v>Notes</x:v>
      </x:c>
    </x:row>
    <x:row r="4">
      <x:c r="A4" s="40" t="str">
        <x:v>Universal</x:v>
      </x:c>
      <x:c r="B4" s="52" t="str">
        <x:v>Small general operational modifiers</x:v>
      </x:c>
      <x:c r="C4" s="52" t="str">
        <x:v>All</x:v>
      </x:c>
      <x:c r="D4" s="52" t="str">
        <x:v>No</x:v>
      </x:c>
      <x:c r="E4" s="52" t="str">
        <x:v>Yes</x:v>
      </x:c>
      <x:c r="F4" s="52" t="str">
        <x:v>Yes</x:v>
      </x:c>
      <x:c r="G4" s="52" t="str">
        <x:v>Yes</x:v>
      </x:c>
      <x:c r="H4" s="52" t="str">
        <x:v>Yes</x:v>
      </x:c>
      <x:c r="I4" s="52" t="str">
        <x:v>Yes</x:v>
      </x:c>
      <x:c r="J4" s="52" t="str">
        <x:v>No</x:v>
      </x:c>
      <x:c r="K4" s="52" t="str">
        <x:v>No</x:v>
      </x:c>
      <x:c r="L4" s="52" t="str">
        <x:v>No</x:v>
      </x:c>
      <x:c r="M4" s="52" t="str">
        <x:v>Sometimes</x:v>
      </x:c>
      <x:c r="N4" s="41" t="str">
        <x:v>Low-complexity starter Modules</x:v>
      </x:c>
    </x:row>
    <x:row r="5">
      <x:c r="A5" s="42" t="str">
        <x:v>Customer</x:v>
      </x:c>
      <x:c r="B5" s="22" t="str">
        <x:v>Acquisition/segment conversion/retention</x:v>
      </x:c>
      <x:c r="C5" s="22" t="str">
        <x:v>Banking, Lending, Wealth, Advisory, Insurance</x:v>
      </x:c>
      <x:c r="D5" s="22" t="str">
        <x:v>No</x:v>
      </x:c>
      <x:c r="E5" s="22" t="str">
        <x:v>Yes</x:v>
      </x:c>
      <x:c r="F5" s="22" t="str">
        <x:v>No</x:v>
      </x:c>
      <x:c r="G5" s="22" t="str">
        <x:v>Indirect</x:v>
      </x:c>
      <x:c r="H5" s="22" t="str">
        <x:v>Indirect</x:v>
      </x:c>
      <x:c r="I5" s="22" t="str">
        <x:v>Yes</x:v>
      </x:c>
      <x:c r="J5" s="22" t="str">
        <x:v>No</x:v>
      </x:c>
      <x:c r="K5" s="22" t="str">
        <x:v>No</x:v>
      </x:c>
      <x:c r="L5" s="22" t="str">
        <x:v>No</x:v>
      </x:c>
      <x:c r="M5" s="22" t="str">
        <x:v>Rare+ often</x:v>
      </x:c>
      <x:c r="N5" s="43" t="str"/>
    </x:row>
    <x:row r="6">
      <x:c r="A6" s="42" t="str">
        <x:v>Operations</x:v>
      </x:c>
      <x:c r="B6" s="22" t="str">
        <x:v>Capacity, downtime, cost efficiency, service</x:v>
      </x:c>
      <x:c r="C6" s="22" t="str">
        <x:v>Cash Services, Trading, Fintech, Data, Treasury</x:v>
      </x:c>
      <x:c r="D6" s="22" t="str">
        <x:v>No</x:v>
      </x:c>
      <x:c r="E6" s="22" t="str">
        <x:v>Indirect</x:v>
      </x:c>
      <x:c r="F6" s="22" t="str">
        <x:v>Yes</x:v>
      </x:c>
      <x:c r="G6" s="22" t="str">
        <x:v>Indirect</x:v>
      </x:c>
      <x:c r="H6" s="22" t="str">
        <x:v>Yes</x:v>
      </x:c>
      <x:c r="I6" s="22" t="str">
        <x:v>Yes</x:v>
      </x:c>
      <x:c r="J6" s="22" t="str">
        <x:v>No</x:v>
      </x:c>
      <x:c r="K6" s="22" t="str">
        <x:v>No</x:v>
      </x:c>
      <x:c r="L6" s="22" t="str">
        <x:v>No</x:v>
      </x:c>
      <x:c r="M6" s="22" t="str">
        <x:v>Sometimes</x:v>
      </x:c>
      <x:c r="N6" s="43" t="str"/>
    </x:row>
    <x:row r="7">
      <x:c r="A7" s="42" t="str">
        <x:v>Risk</x:v>
      </x:c>
      <x:c r="B7" s="22" t="str">
        <x:v>Reduce or reshape one risk category</x:v>
      </x:c>
      <x:c r="C7" s="22" t="str">
        <x:v>Banking, Lending, Trading, Insurance, Treasury</x:v>
      </x:c>
      <x:c r="D7" s="22" t="str">
        <x:v>No</x:v>
      </x:c>
      <x:c r="E7" s="22" t="str">
        <x:v>Indirect</x:v>
      </x:c>
      <x:c r="F7" s="22" t="str">
        <x:v>Indirect</x:v>
      </x:c>
      <x:c r="G7" s="22" t="str">
        <x:v>Indirect</x:v>
      </x:c>
      <x:c r="H7" s="22" t="str">
        <x:v>Yes</x:v>
      </x:c>
      <x:c r="I7" s="22" t="str">
        <x:v>Indirect</x:v>
      </x:c>
      <x:c r="J7" s="22" t="str">
        <x:v>No</x:v>
      </x:c>
      <x:c r="K7" s="22" t="str">
        <x:v>No</x:v>
      </x:c>
      <x:c r="L7" s="22" t="str">
        <x:v>No</x:v>
      </x:c>
      <x:c r="M7" s="22" t="str">
        <x:v>Often</x:v>
      </x:c>
      <x:c r="N7" s="43" t="str">
        <x:v>Risk reduction may sacrifice activity/growth</x:v>
      </x:c>
    </x:row>
    <x:row r="8">
      <x:c r="A8" s="42" t="str">
        <x:v>Liquidity</x:v>
      </x:c>
      <x:c r="B8" s="22" t="str">
        <x:v>Reserve efficiency / liquidity resilience</x:v>
      </x:c>
      <x:c r="C8" s="22" t="str">
        <x:v>Banking, FX, Treasury, Market Making, Exchange</x:v>
      </x:c>
      <x:c r="D8" s="22" t="str">
        <x:v>No</x:v>
      </x:c>
      <x:c r="E8" s="22" t="str">
        <x:v>Indirect</x:v>
      </x:c>
      <x:c r="F8" s="22" t="str">
        <x:v>Yes</x:v>
      </x:c>
      <x:c r="G8" s="22" t="str">
        <x:v>Indirect</x:v>
      </x:c>
      <x:c r="H8" s="22" t="str">
        <x:v>Yes</x:v>
      </x:c>
      <x:c r="I8" s="22" t="str">
        <x:v>No</x:v>
      </x:c>
      <x:c r="J8" s="22" t="str">
        <x:v>No</x:v>
      </x:c>
      <x:c r="K8" s="22" t="str">
        <x:v>No</x:v>
      </x:c>
      <x:c r="L8" s="22" t="str">
        <x:v>No</x:v>
      </x:c>
      <x:c r="M8" s="22" t="str">
        <x:v>Often</x:v>
      </x:c>
      <x:c r="N8" s="43" t="str"/>
    </x:row>
    <x:row r="9">
      <x:c r="A9" s="42" t="str">
        <x:v>Market</x:v>
      </x:c>
      <x:c r="B9" s="22" t="str">
        <x:v>Trading activity / market exposure / event sensitivity</x:v>
      </x:c>
      <x:c r="C9" s="22" t="str">
        <x:v>Trading, Brokerage, Asset Mgmt, Exchange, Market Maker</x:v>
      </x:c>
      <x:c r="D9" s="22" t="str">
        <x:v>No</x:v>
      </x:c>
      <x:c r="E9" s="22" t="str">
        <x:v>No</x:v>
      </x:c>
      <x:c r="F9" s="22" t="str">
        <x:v>Yes</x:v>
      </x:c>
      <x:c r="G9" s="22" t="str">
        <x:v>Yes</x:v>
      </x:c>
      <x:c r="H9" s="22" t="str">
        <x:v>Yes</x:v>
      </x:c>
      <x:c r="I9" s="22" t="str">
        <x:v>No</x:v>
      </x:c>
      <x:c r="J9" s="22" t="str">
        <x:v>No</x:v>
      </x:c>
      <x:c r="K9" s="22" t="str">
        <x:v>No</x:v>
      </x:c>
      <x:c r="L9" s="22" t="str">
        <x:v>No</x:v>
      </x:c>
      <x:c r="M9" s="22" t="str">
        <x:v>Usually</x:v>
      </x:c>
      <x:c r="N9" s="43" t="str"/>
    </x:row>
    <x:row r="10">
      <x:c r="A10" s="42" t="str">
        <x:v>Research</x:v>
      </x:c>
      <x:c r="B10" s="22" t="str">
        <x:v>Research quality / decision efficiency / service support</x:v>
      </x:c>
      <x:c r="C10" s="22" t="str">
        <x:v>Research, Data, Brokerage, Asset Mgmt, Investment Banking</x:v>
      </x:c>
      <x:c r="D10" s="22" t="str">
        <x:v>No</x:v>
      </x:c>
      <x:c r="E10" s="22" t="str">
        <x:v>Indirect</x:v>
      </x:c>
      <x:c r="F10" s="22" t="str">
        <x:v>Indirect</x:v>
      </x:c>
      <x:c r="G10" s="22" t="str">
        <x:v>Yes</x:v>
      </x:c>
      <x:c r="H10" s="22" t="str">
        <x:v>Yes</x:v>
      </x:c>
      <x:c r="I10" s="22" t="str">
        <x:v>Yes</x:v>
      </x:c>
      <x:c r="J10" s="22" t="str">
        <x:v>No</x:v>
      </x:c>
      <x:c r="K10" s="22" t="str">
        <x:v>No</x:v>
      </x:c>
      <x:c r="L10" s="22" t="str">
        <x:v>No</x:v>
      </x:c>
      <x:c r="M10" s="22" t="str">
        <x:v>Conditional</x:v>
      </x:c>
      <x:c r="N10" s="43" t="str"/>
    </x:row>
    <x:row r="11">
      <x:c r="A11" s="42" t="str">
        <x:v>Credit</x:v>
      </x:c>
      <x:c r="B11" s="22" t="str">
        <x:v>Loan quality / credit growth / default resilience</x:v>
      </x:c>
      <x:c r="C11" s="22" t="str">
        <x:v>Lending, Banking</x:v>
      </x:c>
      <x:c r="D11" s="22" t="str">
        <x:v>No</x:v>
      </x:c>
      <x:c r="E11" s="22" t="str">
        <x:v>Yes</x:v>
      </x:c>
      <x:c r="F11" s="22" t="str">
        <x:v>No</x:v>
      </x:c>
      <x:c r="G11" s="22" t="str">
        <x:v>Yes</x:v>
      </x:c>
      <x:c r="H11" s="22" t="str">
        <x:v>Yes</x:v>
      </x:c>
      <x:c r="I11" s="22" t="str">
        <x:v>No</x:v>
      </x:c>
      <x:c r="J11" s="22" t="str">
        <x:v>No</x:v>
      </x:c>
      <x:c r="K11" s="22" t="str">
        <x:v>No</x:v>
      </x:c>
      <x:c r="L11" s="22" t="str">
        <x:v>No</x:v>
      </x:c>
      <x:c r="M11" s="22" t="str">
        <x:v>Usually</x:v>
      </x:c>
      <x:c r="N11" s="43" t="str"/>
    </x:row>
    <x:row r="12">
      <x:c r="A12" s="42" t="str">
        <x:v>Wealth</x:v>
      </x:c>
      <x:c r="B12" s="22" t="str">
        <x:v>HNW acquisition/retention / premium service</x:v>
      </x:c>
      <x:c r="C12" s="22" t="str">
        <x:v>Wealth, Private Banking, Advisory</x:v>
      </x:c>
      <x:c r="D12" s="22" t="str">
        <x:v>No</x:v>
      </x:c>
      <x:c r="E12" s="22" t="str">
        <x:v>Yes</x:v>
      </x:c>
      <x:c r="F12" s="22" t="str">
        <x:v>No</x:v>
      </x:c>
      <x:c r="G12" s="22" t="str">
        <x:v>Indirect</x:v>
      </x:c>
      <x:c r="H12" s="22" t="str">
        <x:v>Indirect</x:v>
      </x:c>
      <x:c r="I12" s="22" t="str">
        <x:v>Yes</x:v>
      </x:c>
      <x:c r="J12" s="22" t="str">
        <x:v>No</x:v>
      </x:c>
      <x:c r="K12" s="22" t="str">
        <x:v>No</x:v>
      </x:c>
      <x:c r="L12" s="22" t="str">
        <x:v>No</x:v>
      </x:c>
      <x:c r="M12" s="22" t="str">
        <x:v>Usually</x:v>
      </x:c>
      <x:c r="N12" s="43" t="str"/>
    </x:row>
    <x:row r="13">
      <x:c r="A13" s="42" t="str">
        <x:v>Service</x:v>
      </x:c>
      <x:c r="B13" s="22" t="str">
        <x:v>Retention/service quality / reputation-risk support</x:v>
      </x:c>
      <x:c r="C13" s="22" t="str">
        <x:v>Insurance, Wealth, Banking, Customer-facing</x:v>
      </x:c>
      <x:c r="D13" s="22" t="str">
        <x:v>No</x:v>
      </x:c>
      <x:c r="E13" s="22" t="str">
        <x:v>Yes</x:v>
      </x:c>
      <x:c r="F13" s="22" t="str">
        <x:v>Indirect</x:v>
      </x:c>
      <x:c r="G13" s="22" t="str">
        <x:v>Indirect</x:v>
      </x:c>
      <x:c r="H13" s="22" t="str">
        <x:v>Yes</x:v>
      </x:c>
      <x:c r="I13" s="22" t="str">
        <x:v>Yes</x:v>
      </x:c>
      <x:c r="J13" s="22" t="str">
        <x:v>No</x:v>
      </x:c>
      <x:c r="K13" s="22" t="str">
        <x:v>No</x:v>
      </x:c>
      <x:c r="L13" s="22" t="str">
        <x:v>No</x:v>
      </x:c>
      <x:c r="M13" s="22" t="str">
        <x:v>Sometimes</x:v>
      </x:c>
      <x:c r="N13" s="43" t="str"/>
    </x:row>
    <x:row r="14">
      <x:c r="A14" s="42" t="str">
        <x:v>Institutional</x:v>
      </x:c>
      <x:c r="B14" s="22" t="str">
        <x:v>Corporate/institutional acquisition / mandate quality</x:v>
      </x:c>
      <x:c r="C14" s="22" t="str">
        <x:v>Investment Banking, Exchange, Asset Mgmt</x:v>
      </x:c>
      <x:c r="D14" s="22" t="str">
        <x:v>No</x:v>
      </x:c>
      <x:c r="E14" s="22" t="str">
        <x:v>Yes</x:v>
      </x:c>
      <x:c r="F14" s="22" t="str">
        <x:v>Yes</x:v>
      </x:c>
      <x:c r="G14" s="22" t="str">
        <x:v>Yes</x:v>
      </x:c>
      <x:c r="H14" s="22" t="str">
        <x:v>Yes</x:v>
      </x:c>
      <x:c r="I14" s="22" t="str">
        <x:v>Yes</x:v>
      </x:c>
      <x:c r="J14" s="22" t="str">
        <x:v>No</x:v>
      </x:c>
      <x:c r="K14" s="22" t="str">
        <x:v>No</x:v>
      </x:c>
      <x:c r="L14" s="22" t="str">
        <x:v>No</x:v>
      </x:c>
      <x:c r="M14" s="22" t="str">
        <x:v>Usually</x:v>
      </x:c>
      <x:c r="N14" s="43" t="str"/>
    </x:row>
    <x:row r="15">
      <x:c r="A15" s="44" t="str">
        <x:v>Event</x:v>
      </x:c>
      <x:c r="B15" s="53" t="str">
        <x:v>Changes resilience or response to specific event families</x:v>
      </x:c>
      <x:c r="C15" s="53" t="str">
        <x:v>Research, Data, Trading, Insurance</x:v>
      </x:c>
      <x:c r="D15" s="53" t="str">
        <x:v>No</x:v>
      </x:c>
      <x:c r="E15" s="53" t="str">
        <x:v>Indirect</x:v>
      </x:c>
      <x:c r="F15" s="53" t="str">
        <x:v>Indirect</x:v>
      </x:c>
      <x:c r="G15" s="53" t="str">
        <x:v>Indirect</x:v>
      </x:c>
      <x:c r="H15" s="53" t="str">
        <x:v>Yes</x:v>
      </x:c>
      <x:c r="I15" s="53" t="str">
        <x:v>Indirect</x:v>
      </x:c>
      <x:c r="J15" s="53" t="str">
        <x:v>No</x:v>
      </x:c>
      <x:c r="K15" s="53" t="str">
        <x:v>No</x:v>
      </x:c>
      <x:c r="L15" s="53" t="str">
        <x:v>No</x:v>
      </x:c>
      <x:c r="M15" s="53" t="str">
        <x:v>Conditional</x:v>
      </x:c>
      <x:c r="N15" s="45" t="str">
        <x:v>Never adds direct Event Performance points</x:v>
      </x:c>
    </x:row>
    <x:row r="17" ht="22" customHeight="1">
      <x:c r="A17" s="11" t="str">
        <x:v>Equip Rules</x:v>
      </x:c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</x:row>
    <x:row r="18">
      <x:c r="A18" s="14" t="str">
        <x:v>Rule</x:v>
      </x:c>
      <x:c r="B18" s="14" t="str">
        <x:v>Canonical Specification</x:v>
      </x:c>
    </x:row>
    <x:row r="19">
      <x:c r="A19" s="40" t="str">
        <x:v>Optional system</x:v>
      </x:c>
      <x:c r="B19" s="41" t="str">
        <x:v>A building must work normally with zero Modules equipped. Modules improve specialization, not basic viability.</x:v>
      </x:c>
    </x:row>
    <x:row r="20">
      <x:c r="A20" s="42" t="str">
        <x:v>One Module per slot</x:v>
      </x:c>
      <x:c r="B20" s="43" t="str">
        <x:v>Each Module occupies one unlocked slot on one Building Instance.</x:v>
      </x:c>
    </x:row>
    <x:row r="21">
      <x:c r="A21" s="42" t="str">
        <x:v>No duplicate exact Module</x:v>
      </x:c>
      <x:c r="B21" s="43" t="str">
        <x:v>The same Module ID cannot be equipped twice on the same building.</x:v>
      </x:c>
    </x:row>
    <x:row r="22">
      <x:c r="A22" s="42" t="str">
        <x:v>Compatibility</x:v>
      </x:c>
      <x:c r="B22" s="43" t="str">
        <x:v>Module category must be allowed by that Building Card's financial family.</x:v>
      </x:c>
    </x:row>
    <x:row r="23">
      <x:c r="A23" s="42" t="str">
        <x:v>Legendary limit</x:v>
      </x:c>
      <x:c r="B23" s="43" t="str">
        <x:v>Maximum one Legendary Module per Building Instance even if multiple slots exist.</x:v>
      </x:c>
    </x:row>
    <x:row r="24">
      <x:c r="A24" s="42" t="str">
        <x:v>Change timing</x:v>
      </x:c>
      <x:c r="B24" s="43" t="str">
        <x:v>Equip/unequip is free by default; effects become active on the next relevant economy/customer/risk tick and are never retroactive.</x:v>
      </x:c>
    </x:row>
    <x:row r="25">
      <x:c r="A25" s="42" t="str">
        <x:v>Event lock</x:v>
      </x:c>
      <x:c r="B25" s="43" t="str">
        <x:v>An event may temporarily lock Module changes on affected buildings to stop last-second counter-swapping.</x:v>
      </x:c>
    </x:row>
    <x:row r="26">
      <x:c r="A26" s="42" t="str">
        <x:v>Settlement fairness</x:v>
      </x:c>
      <x:c r="B26" s="43" t="str">
        <x:v>Weekly metrics use existing aggregates/medians, so changing a Module near cutoff cannot rewrite prior-week performance.</x:v>
      </x:c>
    </x:row>
    <x:row r="27">
      <x:c r="A27" s="44" t="str">
        <x:v>Transfer</x:v>
      </x:c>
      <x:c r="B27" s="45" t="str">
        <x:v>Modules belong to the player inventory, not the Plot. If a building is removed, equipped Modules return to inventory.</x:v>
      </x:c>
    </x:row>
  </x:sheetData>
  <x:mergeCells>
    <x:mergeCell ref="A1:N1"/>
    <x:mergeCell ref="A17:N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Module Slots for All Building Cards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Empire Level</x:v>
      </x:c>
      <x:c r="B3" s="14" t="str">
        <x:v>Building Card</x:v>
      </x:c>
      <x:c r="C3" s="14" t="str">
        <x:v>Family</x:v>
      </x:c>
      <x:c r="D3" s="14" t="str">
        <x:v>Stage</x:v>
      </x:c>
      <x:c r="E3" s="14" t="str">
        <x:v>Building Rarity</x:v>
      </x:c>
      <x:c r="F3" s="14" t="str">
        <x:v>Max Module Slots</x:v>
      </x:c>
      <x:c r="G3" s="14" t="str">
        <x:v>Slot Unlock Levels</x:v>
      </x:c>
      <x:c r="H3" s="14" t="str">
        <x:v>Allowed Module Categories</x:v>
      </x:c>
      <x:c r="I3" s="14" t="str">
        <x:v>Starts Functional Without Modules?</x:v>
      </x:c>
      <x:c r="J3" s="14" t="str">
        <x:v>Legendary Module Limit</x:v>
      </x:c>
      <x:c r="K3" s="14" t="str">
        <x:v>Equip Cost</x:v>
      </x:c>
      <x:c r="L3" s="14" t="str">
        <x:v>Activation Timing</x:v>
      </x:c>
      <x:c r="M3" s="14" t="str">
        <x:v>Event Lock Possible?</x:v>
      </x:c>
      <x:c r="N3" s="14" t="str">
        <x:v>Performance Direct Bonus?</x:v>
      </x:c>
      <x:c r="O3" s="14" t="str">
        <x:v>PLOT Direct Bonus?</x:v>
      </x:c>
      <x:c r="P3" s="14" t="str">
        <x:v>Notes</x:v>
      </x:c>
    </x:row>
    <x:row r="4">
      <x:c r="A4" s="56" t="n">
        <x:v>1</x:v>
      </x:c>
      <x:c r="B4" s="52" t="str">
        <x:v>Cash Kiosk</x:v>
      </x:c>
      <x:c r="C4" s="52" t="str">
        <x:v>Cash Services</x:v>
      </x:c>
      <x:c r="D4" s="52" t="str">
        <x:v>Humble</x:v>
      </x:c>
      <x:c r="E4" s="52" t="str">
        <x:v>Common</x:v>
      </x:c>
      <x:c r="F4" s="62" t="n">
        <x:v>1</x:v>
      </x:c>
      <x:c r="G4" s="52" t="str">
        <x:v>Lv3</x:v>
      </x:c>
      <x:c r="H4" s="52" t="str">
        <x:v>Universal, Customer, Operations, Treasury</x:v>
      </x:c>
      <x:c r="I4" s="52" t="str">
        <x:v>Yes</x:v>
      </x:c>
      <x:c r="J4" s="52" t="n">
        <x:v>1</x:v>
      </x:c>
      <x:c r="K4" s="52" t="str">
        <x:v>Free</x:v>
      </x:c>
      <x:c r="L4" s="52" t="str">
        <x:v>Next relevant tick</x:v>
      </x:c>
      <x:c r="M4" s="52" t="str">
        <x:v>Yes</x:v>
      </x:c>
      <x:c r="N4" s="52" t="str">
        <x:v>No</x:v>
      </x:c>
      <x:c r="O4" s="52" t="str">
        <x:v>No</x:v>
      </x:c>
      <x:c r="P4" s="41" t="str">
        <x:v>Simple specialization</x:v>
      </x:c>
    </x:row>
    <x:row r="5">
      <x:c r="A5" s="57" t="n">
        <x:v>2</x:v>
      </x:c>
      <x:c r="B5" s="22" t="str">
        <x:v>Trading Booth</x:v>
      </x:c>
      <x:c r="C5" s="22" t="str">
        <x:v>Trading</x:v>
      </x:c>
      <x:c r="D5" s="22" t="str">
        <x:v>Humble</x:v>
      </x:c>
      <x:c r="E5" s="22" t="str">
        <x:v>Common</x:v>
      </x:c>
      <x:c r="F5" s="63" t="n">
        <x:v>1</x:v>
      </x:c>
      <x:c r="G5" s="22" t="str">
        <x:v>Lv3</x:v>
      </x:c>
      <x:c r="H5" s="22" t="str">
        <x:v>Universal, Market, Operations, Risk</x:v>
      </x:c>
      <x:c r="I5" s="22" t="str">
        <x:v>Yes</x:v>
      </x:c>
      <x:c r="J5" s="22" t="n">
        <x:v>1</x:v>
      </x:c>
      <x:c r="K5" s="22" t="str">
        <x:v>Free</x:v>
      </x:c>
      <x:c r="L5" s="22" t="str">
        <x:v>Next relevant tick</x:v>
      </x:c>
      <x:c r="M5" s="22" t="str">
        <x:v>Yes</x:v>
      </x:c>
      <x:c r="N5" s="22" t="str">
        <x:v>No</x:v>
      </x:c>
      <x:c r="O5" s="22" t="str">
        <x:v>No</x:v>
      </x:c>
      <x:c r="P5" s="43" t="str">
        <x:v>Simple specialization</x:v>
      </x:c>
    </x:row>
    <x:row r="6">
      <x:c r="A6" s="57" t="n">
        <x:v>3</x:v>
      </x:c>
      <x:c r="B6" s="22" t="str">
        <x:v>Savings Stand</x:v>
      </x:c>
      <x:c r="C6" s="22" t="str">
        <x:v>Banking</x:v>
      </x:c>
      <x:c r="D6" s="22" t="str">
        <x:v>Humble</x:v>
      </x:c>
      <x:c r="E6" s="22" t="str">
        <x:v>Common</x:v>
      </x:c>
      <x:c r="F6" s="63" t="n">
        <x:v>1</x:v>
      </x:c>
      <x:c r="G6" s="22" t="str">
        <x:v>Lv3</x:v>
      </x:c>
      <x:c r="H6" s="22" t="str">
        <x:v>Universal, Customer, Liquidity, Risk</x:v>
      </x:c>
      <x:c r="I6" s="22" t="str">
        <x:v>Yes</x:v>
      </x:c>
      <x:c r="J6" s="22" t="n">
        <x:v>1</x:v>
      </x:c>
      <x:c r="K6" s="22" t="str">
        <x:v>Free</x:v>
      </x:c>
      <x:c r="L6" s="22" t="str">
        <x:v>Next relevant tick</x:v>
      </x:c>
      <x:c r="M6" s="22" t="str">
        <x:v>Yes</x:v>
      </x:c>
      <x:c r="N6" s="22" t="str">
        <x:v>No</x:v>
      </x:c>
      <x:c r="O6" s="22" t="str">
        <x:v>No</x:v>
      </x:c>
      <x:c r="P6" s="43" t="str">
        <x:v>Simple specialization</x:v>
      </x:c>
    </x:row>
    <x:row r="7">
      <x:c r="A7" s="57" t="n">
        <x:v>4</x:v>
      </x:c>
      <x:c r="B7" s="22" t="str">
        <x:v>Mini Brokerage Desk</x:v>
      </x:c>
      <x:c r="C7" s="22" t="str">
        <x:v>Brokerage</x:v>
      </x:c>
      <x:c r="D7" s="22" t="str">
        <x:v>Humble</x:v>
      </x:c>
      <x:c r="E7" s="22" t="str">
        <x:v>Common</x:v>
      </x:c>
      <x:c r="F7" s="63" t="n">
        <x:v>1</x:v>
      </x:c>
      <x:c r="G7" s="22" t="str">
        <x:v>Lv3</x:v>
      </x:c>
      <x:c r="H7" s="22" t="str">
        <x:v>Universal, Market, Customer, Research</x:v>
      </x:c>
      <x:c r="I7" s="22" t="str">
        <x:v>Yes</x:v>
      </x:c>
      <x:c r="J7" s="22" t="n">
        <x:v>1</x:v>
      </x:c>
      <x:c r="K7" s="22" t="str">
        <x:v>Free</x:v>
      </x:c>
      <x:c r="L7" s="22" t="str">
        <x:v>Next relevant tick</x:v>
      </x:c>
      <x:c r="M7" s="22" t="str">
        <x:v>Yes</x:v>
      </x:c>
      <x:c r="N7" s="22" t="str">
        <x:v>No</x:v>
      </x:c>
      <x:c r="O7" s="22" t="str">
        <x:v>No</x:v>
      </x:c>
      <x:c r="P7" s="43" t="str">
        <x:v>Simple specialization</x:v>
      </x:c>
    </x:row>
    <x:row r="8">
      <x:c r="A8" s="57" t="n">
        <x:v>5</x:v>
      </x:c>
      <x:c r="B8" s="22" t="str">
        <x:v>Market Info Kiosk</x:v>
      </x:c>
      <x:c r="C8" s="22" t="str">
        <x:v>Research</x:v>
      </x:c>
      <x:c r="D8" s="22" t="str">
        <x:v>Humble</x:v>
      </x:c>
      <x:c r="E8" s="22" t="str">
        <x:v>Common</x:v>
      </x:c>
      <x:c r="F8" s="63" t="n">
        <x:v>1</x:v>
      </x:c>
      <x:c r="G8" s="22" t="str">
        <x:v>Lv3</x:v>
      </x:c>
      <x:c r="H8" s="22" t="str">
        <x:v>Universal, Research, Operations, Event</x:v>
      </x:c>
      <x:c r="I8" s="22" t="str">
        <x:v>Yes</x:v>
      </x:c>
      <x:c r="J8" s="22" t="n">
        <x:v>1</x:v>
      </x:c>
      <x:c r="K8" s="22" t="str">
        <x:v>Free</x:v>
      </x:c>
      <x:c r="L8" s="22" t="str">
        <x:v>Next relevant tick</x:v>
      </x:c>
      <x:c r="M8" s="22" t="str">
        <x:v>Yes</x:v>
      </x:c>
      <x:c r="N8" s="22" t="str">
        <x:v>No</x:v>
      </x:c>
      <x:c r="O8" s="22" t="str">
        <x:v>No</x:v>
      </x:c>
      <x:c r="P8" s="43" t="str">
        <x:v>Simple specialization</x:v>
      </x:c>
    </x:row>
    <x:row r="9">
      <x:c r="A9" s="57" t="n">
        <x:v>6</x:v>
      </x:c>
      <x:c r="B9" s="22" t="str">
        <x:v>Micro Loan Booth</x:v>
      </x:c>
      <x:c r="C9" s="22" t="str">
        <x:v>Lending</x:v>
      </x:c>
      <x:c r="D9" s="22" t="str">
        <x:v>Humble</x:v>
      </x:c>
      <x:c r="E9" s="22" t="str">
        <x:v>Common</x:v>
      </x:c>
      <x:c r="F9" s="63" t="n">
        <x:v>1</x:v>
      </x:c>
      <x:c r="G9" s="22" t="str">
        <x:v>Lv3</x:v>
      </x:c>
      <x:c r="H9" s="22" t="str">
        <x:v>Universal, Customer, Credit, Risk</x:v>
      </x:c>
      <x:c r="I9" s="22" t="str">
        <x:v>Yes</x:v>
      </x:c>
      <x:c r="J9" s="22" t="n">
        <x:v>1</x:v>
      </x:c>
      <x:c r="K9" s="22" t="str">
        <x:v>Free</x:v>
      </x:c>
      <x:c r="L9" s="22" t="str">
        <x:v>Next relevant tick</x:v>
      </x:c>
      <x:c r="M9" s="22" t="str">
        <x:v>Yes</x:v>
      </x:c>
      <x:c r="N9" s="22" t="str">
        <x:v>No</x:v>
      </x:c>
      <x:c r="O9" s="22" t="str">
        <x:v>No</x:v>
      </x:c>
      <x:c r="P9" s="43" t="str">
        <x:v>Simple specialization</x:v>
      </x:c>
    </x:row>
    <x:row r="10">
      <x:c r="A10" s="57" t="n">
        <x:v>7</x:v>
      </x:c>
      <x:c r="B10" s="22" t="str">
        <x:v>Currency Exchange Stand</x:v>
      </x:c>
      <x:c r="C10" s="22" t="str">
        <x:v>FX</x:v>
      </x:c>
      <x:c r="D10" s="22" t="str">
        <x:v>Humble</x:v>
      </x:c>
      <x:c r="E10" s="22" t="str">
        <x:v>Common</x:v>
      </x:c>
      <x:c r="F10" s="63" t="n">
        <x:v>1</x:v>
      </x:c>
      <x:c r="G10" s="22" t="str">
        <x:v>Lv3</x:v>
      </x:c>
      <x:c r="H10" s="22" t="str">
        <x:v>Universal, Market, Operations, Liquidity</x:v>
      </x:c>
      <x:c r="I10" s="22" t="str">
        <x:v>Yes</x:v>
      </x:c>
      <x:c r="J10" s="22" t="n">
        <x:v>1</x:v>
      </x:c>
      <x:c r="K10" s="22" t="str">
        <x:v>Free</x:v>
      </x:c>
      <x:c r="L10" s="22" t="str">
        <x:v>Next relevant tick</x:v>
      </x:c>
      <x:c r="M10" s="22" t="str">
        <x:v>Yes</x:v>
      </x:c>
      <x:c r="N10" s="22" t="str">
        <x:v>No</x:v>
      </x:c>
      <x:c r="O10" s="22" t="str">
        <x:v>No</x:v>
      </x:c>
      <x:c r="P10" s="43" t="str">
        <x:v>Simple specialization</x:v>
      </x:c>
    </x:row>
    <x:row r="11">
      <x:c r="A11" s="57" t="n">
        <x:v>8</x:v>
      </x:c>
      <x:c r="B11" s="22" t="str">
        <x:v>Insurance Desk</x:v>
      </x:c>
      <x:c r="C11" s="22" t="str">
        <x:v>Insurance</x:v>
      </x:c>
      <x:c r="D11" s="22" t="str">
        <x:v>Humble</x:v>
      </x:c>
      <x:c r="E11" s="22" t="str">
        <x:v>Common</x:v>
      </x:c>
      <x:c r="F11" s="63" t="n">
        <x:v>1</x:v>
      </x:c>
      <x:c r="G11" s="22" t="str">
        <x:v>Lv3</x:v>
      </x:c>
      <x:c r="H11" s="22" t="str">
        <x:v>Universal, Customer, Risk, Service</x:v>
      </x:c>
      <x:c r="I11" s="22" t="str">
        <x:v>Yes</x:v>
      </x:c>
      <x:c r="J11" s="22" t="n">
        <x:v>1</x:v>
      </x:c>
      <x:c r="K11" s="22" t="str">
        <x:v>Free</x:v>
      </x:c>
      <x:c r="L11" s="22" t="str">
        <x:v>Next relevant tick</x:v>
      </x:c>
      <x:c r="M11" s="22" t="str">
        <x:v>Yes</x:v>
      </x:c>
      <x:c r="N11" s="22" t="str">
        <x:v>No</x:v>
      </x:c>
      <x:c r="O11" s="22" t="str">
        <x:v>No</x:v>
      </x:c>
      <x:c r="P11" s="43" t="str">
        <x:v>Simple specialization</x:v>
      </x:c>
    </x:row>
    <x:row r="12">
      <x:c r="A12" s="57" t="n">
        <x:v>9</x:v>
      </x:c>
      <x:c r="B12" s="22" t="str">
        <x:v>Investment Advice Booth</x:v>
      </x:c>
      <x:c r="C12" s="22" t="str">
        <x:v>Advisory</x:v>
      </x:c>
      <x:c r="D12" s="22" t="str">
        <x:v>Humble</x:v>
      </x:c>
      <x:c r="E12" s="22" t="str">
        <x:v>Common</x:v>
      </x:c>
      <x:c r="F12" s="63" t="n">
        <x:v>1</x:v>
      </x:c>
      <x:c r="G12" s="22" t="str">
        <x:v>Lv3</x:v>
      </x:c>
      <x:c r="H12" s="22" t="str">
        <x:v>Universal, Customer, Research, Wealth</x:v>
      </x:c>
      <x:c r="I12" s="22" t="str">
        <x:v>Yes</x:v>
      </x:c>
      <x:c r="J12" s="22" t="n">
        <x:v>1</x:v>
      </x:c>
      <x:c r="K12" s="22" t="str">
        <x:v>Free</x:v>
      </x:c>
      <x:c r="L12" s="22" t="str">
        <x:v>Next relevant tick</x:v>
      </x:c>
      <x:c r="M12" s="22" t="str">
        <x:v>Yes</x:v>
      </x:c>
      <x:c r="N12" s="22" t="str">
        <x:v>No</x:v>
      </x:c>
      <x:c r="O12" s="22" t="str">
        <x:v>No</x:v>
      </x:c>
      <x:c r="P12" s="43" t="str">
        <x:v>Simple specialization</x:v>
      </x:c>
    </x:row>
    <x:row r="13">
      <x:c r="A13" s="57" t="n">
        <x:v>10</x:v>
      </x:c>
      <x:c r="B13" s="22" t="str">
        <x:v>Secure Cash Locker</x:v>
      </x:c>
      <x:c r="C13" s="22" t="str">
        <x:v>Treasury</x:v>
      </x:c>
      <x:c r="D13" s="22" t="str">
        <x:v>Humble</x:v>
      </x:c>
      <x:c r="E13" s="22" t="str">
        <x:v>Common</x:v>
      </x:c>
      <x:c r="F13" s="63" t="n">
        <x:v>1</x:v>
      </x:c>
      <x:c r="G13" s="22" t="str">
        <x:v>Lv3</x:v>
      </x:c>
      <x:c r="H13" s="22" t="str">
        <x:v>Universal, Liquidity, Risk, Operations</x:v>
      </x:c>
      <x:c r="I13" s="22" t="str">
        <x:v>Yes</x:v>
      </x:c>
      <x:c r="J13" s="22" t="n">
        <x:v>1</x:v>
      </x:c>
      <x:c r="K13" s="22" t="str">
        <x:v>Free</x:v>
      </x:c>
      <x:c r="L13" s="22" t="str">
        <x:v>Next relevant tick</x:v>
      </x:c>
      <x:c r="M13" s="22" t="str">
        <x:v>Yes</x:v>
      </x:c>
      <x:c r="N13" s="22" t="str">
        <x:v>No</x:v>
      </x:c>
      <x:c r="O13" s="22" t="str">
        <x:v>No</x:v>
      </x:c>
      <x:c r="P13" s="43" t="str">
        <x:v>Simple specialization</x:v>
      </x:c>
    </x:row>
    <x:row r="14">
      <x:c r="A14" s="57" t="n">
        <x:v>11</x:v>
      </x:c>
      <x:c r="B14" s="22" t="str">
        <x:v>Neighborhood Finance Shop</x:v>
      </x:c>
      <x:c r="C14" s="22" t="str">
        <x:v>Banking</x:v>
      </x:c>
      <x:c r="D14" s="22" t="str">
        <x:v>Starter</x:v>
      </x:c>
      <x:c r="E14" s="22" t="str">
        <x:v>Uncommon</x:v>
      </x:c>
      <x:c r="F14" s="63" t="n">
        <x:v>2</x:v>
      </x:c>
      <x:c r="G14" s="22" t="str">
        <x:v>Lv3 / Lv6</x:v>
      </x:c>
      <x:c r="H14" s="22" t="str">
        <x:v>Universal, Customer, Liquidity, Risk</x:v>
      </x:c>
      <x:c r="I14" s="22" t="str">
        <x:v>Yes</x:v>
      </x:c>
      <x:c r="J14" s="22" t="n">
        <x:v>1</x:v>
      </x:c>
      <x:c r="K14" s="22" t="str">
        <x:v>Free</x:v>
      </x:c>
      <x:c r="L14" s="22" t="str">
        <x:v>Next relevant tick</x:v>
      </x:c>
      <x:c r="M14" s="22" t="str">
        <x:v>Yes</x:v>
      </x:c>
      <x:c r="N14" s="22" t="str">
        <x:v>No</x:v>
      </x:c>
      <x:c r="O14" s="22" t="str">
        <x:v>No</x:v>
      </x:c>
      <x:c r="P14" s="43" t="str">
        <x:v>Early build identity</x:v>
      </x:c>
    </x:row>
    <x:row r="15">
      <x:c r="A15" s="57" t="n">
        <x:v>12</x:v>
      </x:c>
      <x:c r="B15" s="22" t="str">
        <x:v>Small Brokerage Office</x:v>
      </x:c>
      <x:c r="C15" s="22" t="str">
        <x:v>Brokerage</x:v>
      </x:c>
      <x:c r="D15" s="22" t="str">
        <x:v>Starter</x:v>
      </x:c>
      <x:c r="E15" s="22" t="str">
        <x:v>Uncommon</x:v>
      </x:c>
      <x:c r="F15" s="63" t="n">
        <x:v>2</x:v>
      </x:c>
      <x:c r="G15" s="22" t="str">
        <x:v>Lv3 / Lv6</x:v>
      </x:c>
      <x:c r="H15" s="22" t="str">
        <x:v>Universal, Market, Customer, Research</x:v>
      </x:c>
      <x:c r="I15" s="22" t="str">
        <x:v>Yes</x:v>
      </x:c>
      <x:c r="J15" s="22" t="n">
        <x:v>1</x:v>
      </x:c>
      <x:c r="K15" s="22" t="str">
        <x:v>Free</x:v>
      </x:c>
      <x:c r="L15" s="22" t="str">
        <x:v>Next relevant tick</x:v>
      </x:c>
      <x:c r="M15" s="22" t="str">
        <x:v>Yes</x:v>
      </x:c>
      <x:c r="N15" s="22" t="str">
        <x:v>No</x:v>
      </x:c>
      <x:c r="O15" s="22" t="str">
        <x:v>No</x:v>
      </x:c>
      <x:c r="P15" s="43" t="str">
        <x:v>Early build identity</x:v>
      </x:c>
    </x:row>
    <x:row r="16">
      <x:c r="A16" s="57" t="n">
        <x:v>13</x:v>
      </x:c>
      <x:c r="B16" s="22" t="str">
        <x:v>Local Savings Office</x:v>
      </x:c>
      <x:c r="C16" s="22" t="str">
        <x:v>Banking</x:v>
      </x:c>
      <x:c r="D16" s="22" t="str">
        <x:v>Starter</x:v>
      </x:c>
      <x:c r="E16" s="22" t="str">
        <x:v>Uncommon</x:v>
      </x:c>
      <x:c r="F16" s="63" t="n">
        <x:v>2</x:v>
      </x:c>
      <x:c r="G16" s="22" t="str">
        <x:v>Lv3 / Lv6</x:v>
      </x:c>
      <x:c r="H16" s="22" t="str">
        <x:v>Universal, Customer, Liquidity, Risk</x:v>
      </x:c>
      <x:c r="I16" s="22" t="str">
        <x:v>Yes</x:v>
      </x:c>
      <x:c r="J16" s="22" t="n">
        <x:v>1</x:v>
      </x:c>
      <x:c r="K16" s="22" t="str">
        <x:v>Free</x:v>
      </x:c>
      <x:c r="L16" s="22" t="str">
        <x:v>Next relevant tick</x:v>
      </x:c>
      <x:c r="M16" s="22" t="str">
        <x:v>Yes</x:v>
      </x:c>
      <x:c r="N16" s="22" t="str">
        <x:v>No</x:v>
      </x:c>
      <x:c r="O16" s="22" t="str">
        <x:v>No</x:v>
      </x:c>
      <x:c r="P16" s="43" t="str">
        <x:v>Early build identity</x:v>
      </x:c>
    </x:row>
    <x:row r="17">
      <x:c r="A17" s="57" t="n">
        <x:v>14</x:v>
      </x:c>
      <x:c r="B17" s="22" t="str">
        <x:v>Microfinance Office</x:v>
      </x:c>
      <x:c r="C17" s="22" t="str">
        <x:v>Lending</x:v>
      </x:c>
      <x:c r="D17" s="22" t="str">
        <x:v>Starter</x:v>
      </x:c>
      <x:c r="E17" s="22" t="str">
        <x:v>Uncommon</x:v>
      </x:c>
      <x:c r="F17" s="63" t="n">
        <x:v>2</x:v>
      </x:c>
      <x:c r="G17" s="22" t="str">
        <x:v>Lv3 / Lv6</x:v>
      </x:c>
      <x:c r="H17" s="22" t="str">
        <x:v>Universal, Customer, Credit, Risk</x:v>
      </x:c>
      <x:c r="I17" s="22" t="str">
        <x:v>Yes</x:v>
      </x:c>
      <x:c r="J17" s="22" t="n">
        <x:v>1</x:v>
      </x:c>
      <x:c r="K17" s="22" t="str">
        <x:v>Free</x:v>
      </x:c>
      <x:c r="L17" s="22" t="str">
        <x:v>Next relevant tick</x:v>
      </x:c>
      <x:c r="M17" s="22" t="str">
        <x:v>Yes</x:v>
      </x:c>
      <x:c r="N17" s="22" t="str">
        <x:v>No</x:v>
      </x:c>
      <x:c r="O17" s="22" t="str">
        <x:v>No</x:v>
      </x:c>
      <x:c r="P17" s="43" t="str">
        <x:v>Early build identity</x:v>
      </x:c>
    </x:row>
    <x:row r="18">
      <x:c r="A18" s="57" t="n">
        <x:v>15</x:v>
      </x:c>
      <x:c r="B18" s="22" t="str">
        <x:v>Trading Room</x:v>
      </x:c>
      <x:c r="C18" s="22" t="str">
        <x:v>Trading</x:v>
      </x:c>
      <x:c r="D18" s="22" t="str">
        <x:v>Starter</x:v>
      </x:c>
      <x:c r="E18" s="22" t="str">
        <x:v>Uncommon</x:v>
      </x:c>
      <x:c r="F18" s="63" t="n">
        <x:v>2</x:v>
      </x:c>
      <x:c r="G18" s="22" t="str">
        <x:v>Lv3 / Lv6</x:v>
      </x:c>
      <x:c r="H18" s="22" t="str">
        <x:v>Universal, Market, Operations, Risk</x:v>
      </x:c>
      <x:c r="I18" s="22" t="str">
        <x:v>Yes</x:v>
      </x:c>
      <x:c r="J18" s="22" t="n">
        <x:v>1</x:v>
      </x:c>
      <x:c r="K18" s="22" t="str">
        <x:v>Free</x:v>
      </x:c>
      <x:c r="L18" s="22" t="str">
        <x:v>Next relevant tick</x:v>
      </x:c>
      <x:c r="M18" s="22" t="str">
        <x:v>Yes</x:v>
      </x:c>
      <x:c r="N18" s="22" t="str">
        <x:v>No</x:v>
      </x:c>
      <x:c r="O18" s="22" t="str">
        <x:v>No</x:v>
      </x:c>
      <x:c r="P18" s="43" t="str">
        <x:v>Early build identity</x:v>
      </x:c>
    </x:row>
    <x:row r="19">
      <x:c r="A19" s="57" t="n">
        <x:v>16</x:v>
      </x:c>
      <x:c r="B19" s="22" t="str">
        <x:v>Small Research Office</x:v>
      </x:c>
      <x:c r="C19" s="22" t="str">
        <x:v>Research</x:v>
      </x:c>
      <x:c r="D19" s="22" t="str">
        <x:v>Starter</x:v>
      </x:c>
      <x:c r="E19" s="22" t="str">
        <x:v>Uncommon</x:v>
      </x:c>
      <x:c r="F19" s="63" t="n">
        <x:v>2</x:v>
      </x:c>
      <x:c r="G19" s="22" t="str">
        <x:v>Lv3 / Lv6</x:v>
      </x:c>
      <x:c r="H19" s="22" t="str">
        <x:v>Universal, Research, Operations, Event</x:v>
      </x:c>
      <x:c r="I19" s="22" t="str">
        <x:v>Yes</x:v>
      </x:c>
      <x:c r="J19" s="22" t="n">
        <x:v>1</x:v>
      </x:c>
      <x:c r="K19" s="22" t="str">
        <x:v>Free</x:v>
      </x:c>
      <x:c r="L19" s="22" t="str">
        <x:v>Next relevant tick</x:v>
      </x:c>
      <x:c r="M19" s="22" t="str">
        <x:v>Yes</x:v>
      </x:c>
      <x:c r="N19" s="22" t="str">
        <x:v>No</x:v>
      </x:c>
      <x:c r="O19" s="22" t="str">
        <x:v>No</x:v>
      </x:c>
      <x:c r="P19" s="43" t="str">
        <x:v>Early build identity</x:v>
      </x:c>
    </x:row>
    <x:row r="20">
      <x:c r="A20" s="57" t="n">
        <x:v>17</x:v>
      </x:c>
      <x:c r="B20" s="22" t="str">
        <x:v>Local Insurance Office</x:v>
      </x:c>
      <x:c r="C20" s="22" t="str">
        <x:v>Insurance</x:v>
      </x:c>
      <x:c r="D20" s="22" t="str">
        <x:v>Starter</x:v>
      </x:c>
      <x:c r="E20" s="22" t="str">
        <x:v>Uncommon</x:v>
      </x:c>
      <x:c r="F20" s="63" t="n">
        <x:v>2</x:v>
      </x:c>
      <x:c r="G20" s="22" t="str">
        <x:v>Lv3 / Lv6</x:v>
      </x:c>
      <x:c r="H20" s="22" t="str">
        <x:v>Universal, Customer, Risk, Service</x:v>
      </x:c>
      <x:c r="I20" s="22" t="str">
        <x:v>Yes</x:v>
      </x:c>
      <x:c r="J20" s="22" t="n">
        <x:v>1</x:v>
      </x:c>
      <x:c r="K20" s="22" t="str">
        <x:v>Free</x:v>
      </x:c>
      <x:c r="L20" s="22" t="str">
        <x:v>Next relevant tick</x:v>
      </x:c>
      <x:c r="M20" s="22" t="str">
        <x:v>Yes</x:v>
      </x:c>
      <x:c r="N20" s="22" t="str">
        <x:v>No</x:v>
      </x:c>
      <x:c r="O20" s="22" t="str">
        <x:v>No</x:v>
      </x:c>
      <x:c r="P20" s="43" t="str">
        <x:v>Early build identity</x:v>
      </x:c>
    </x:row>
    <x:row r="21">
      <x:c r="A21" s="57" t="n">
        <x:v>18</x:v>
      </x:c>
      <x:c r="B21" s="22" t="str">
        <x:v>Treasury Office</x:v>
      </x:c>
      <x:c r="C21" s="22" t="str">
        <x:v>Treasury</x:v>
      </x:c>
      <x:c r="D21" s="22" t="str">
        <x:v>Starter</x:v>
      </x:c>
      <x:c r="E21" s="22" t="str">
        <x:v>Uncommon</x:v>
      </x:c>
      <x:c r="F21" s="63" t="n">
        <x:v>2</x:v>
      </x:c>
      <x:c r="G21" s="22" t="str">
        <x:v>Lv3 / Lv6</x:v>
      </x:c>
      <x:c r="H21" s="22" t="str">
        <x:v>Universal, Liquidity, Risk, Operations</x:v>
      </x:c>
      <x:c r="I21" s="22" t="str">
        <x:v>Yes</x:v>
      </x:c>
      <x:c r="J21" s="22" t="n">
        <x:v>1</x:v>
      </x:c>
      <x:c r="K21" s="22" t="str">
        <x:v>Free</x:v>
      </x:c>
      <x:c r="L21" s="22" t="str">
        <x:v>Next relevant tick</x:v>
      </x:c>
      <x:c r="M21" s="22" t="str">
        <x:v>Yes</x:v>
      </x:c>
      <x:c r="N21" s="22" t="str">
        <x:v>No</x:v>
      </x:c>
      <x:c r="O21" s="22" t="str">
        <x:v>No</x:v>
      </x:c>
      <x:c r="P21" s="43" t="str">
        <x:v>Early build identity</x:v>
      </x:c>
    </x:row>
    <x:row r="22">
      <x:c r="A22" s="57" t="n">
        <x:v>19</x:v>
      </x:c>
      <x:c r="B22" s="22" t="str">
        <x:v>Small Fund Office</x:v>
      </x:c>
      <x:c r="C22" s="22" t="str">
        <x:v>Asset Management</x:v>
      </x:c>
      <x:c r="D22" s="22" t="str">
        <x:v>Starter</x:v>
      </x:c>
      <x:c r="E22" s="22" t="str">
        <x:v>Uncommon</x:v>
      </x:c>
      <x:c r="F22" s="63" t="n">
        <x:v>2</x:v>
      </x:c>
      <x:c r="G22" s="22" t="str">
        <x:v>Lv3 / Lv6</x:v>
      </x:c>
      <x:c r="H22" s="22" t="str">
        <x:v>Universal, Market, Research, Risk</x:v>
      </x:c>
      <x:c r="I22" s="22" t="str">
        <x:v>Yes</x:v>
      </x:c>
      <x:c r="J22" s="22" t="n">
        <x:v>1</x:v>
      </x:c>
      <x:c r="K22" s="22" t="str">
        <x:v>Free</x:v>
      </x:c>
      <x:c r="L22" s="22" t="str">
        <x:v>Next relevant tick</x:v>
      </x:c>
      <x:c r="M22" s="22" t="str">
        <x:v>Yes</x:v>
      </x:c>
      <x:c r="N22" s="22" t="str">
        <x:v>No</x:v>
      </x:c>
      <x:c r="O22" s="22" t="str">
        <x:v>No</x:v>
      </x:c>
      <x:c r="P22" s="43" t="str">
        <x:v>Early build identity</x:v>
      </x:c>
    </x:row>
    <x:row r="23">
      <x:c r="A23" s="57" t="n">
        <x:v>20</x:v>
      </x:c>
      <x:c r="B23" s="22" t="str">
        <x:v>Financial Services Hub</x:v>
      </x:c>
      <x:c r="C23" s="22" t="str">
        <x:v>Multi-Service</x:v>
      </x:c>
      <x:c r="D23" s="22" t="str">
        <x:v>Starter</x:v>
      </x:c>
      <x:c r="E23" s="22" t="str">
        <x:v>Uncommon</x:v>
      </x:c>
      <x:c r="F23" s="63" t="n">
        <x:v>2</x:v>
      </x:c>
      <x:c r="G23" s="22" t="str">
        <x:v>Lv3 / Lv6</x:v>
      </x:c>
      <x:c r="H23" s="22" t="str">
        <x:v>Universal, Customer, Operations, Risk</x:v>
      </x:c>
      <x:c r="I23" s="22" t="str">
        <x:v>Yes</x:v>
      </x:c>
      <x:c r="J23" s="22" t="n">
        <x:v>1</x:v>
      </x:c>
      <x:c r="K23" s="22" t="str">
        <x:v>Free</x:v>
      </x:c>
      <x:c r="L23" s="22" t="str">
        <x:v>Next relevant tick</x:v>
      </x:c>
      <x:c r="M23" s="22" t="str">
        <x:v>Yes</x:v>
      </x:c>
      <x:c r="N23" s="22" t="str">
        <x:v>No</x:v>
      </x:c>
      <x:c r="O23" s="22" t="str">
        <x:v>No</x:v>
      </x:c>
      <x:c r="P23" s="43" t="str">
        <x:v>Early build identity</x:v>
      </x:c>
    </x:row>
    <x:row r="24">
      <x:c r="A24" s="57" t="n">
        <x:v>21</x:v>
      </x:c>
      <x:c r="B24" s="22" t="str">
        <x:v>Community Bank Branch</x:v>
      </x:c>
      <x:c r="C24" s="22" t="str">
        <x:v>Banking</x:v>
      </x:c>
      <x:c r="D24" s="22" t="str">
        <x:v>Growing</x:v>
      </x:c>
      <x:c r="E24" s="22" t="str">
        <x:v>Rare</x:v>
      </x:c>
      <x:c r="F24" s="63" t="n">
        <x:v>2</x:v>
      </x:c>
      <x:c r="G24" s="22" t="str">
        <x:v>Lv3 / Lv7</x:v>
      </x:c>
      <x:c r="H24" s="22" t="str">
        <x:v>Universal, Customer, Liquidity, Risk</x:v>
      </x:c>
      <x:c r="I24" s="22" t="str">
        <x:v>Yes</x:v>
      </x:c>
      <x:c r="J24" s="22" t="n">
        <x:v>1</x:v>
      </x:c>
      <x:c r="K24" s="22" t="str">
        <x:v>Free</x:v>
      </x:c>
      <x:c r="L24" s="22" t="str">
        <x:v>Next relevant tick</x:v>
      </x:c>
      <x:c r="M24" s="22" t="str">
        <x:v>Yes</x:v>
      </x:c>
      <x:c r="N24" s="22" t="str">
        <x:v>No</x:v>
      </x:c>
      <x:c r="O24" s="22" t="str">
        <x:v>No</x:v>
      </x:c>
      <x:c r="P24" s="43" t="str">
        <x:v>Meaningful specialization</x:v>
      </x:c>
    </x:row>
    <x:row r="25">
      <x:c r="A25" s="57" t="n">
        <x:v>22</x:v>
      </x:c>
      <x:c r="B25" s="22" t="str">
        <x:v>Brokerage House</x:v>
      </x:c>
      <x:c r="C25" s="22" t="str">
        <x:v>Brokerage</x:v>
      </x:c>
      <x:c r="D25" s="22" t="str">
        <x:v>Growing</x:v>
      </x:c>
      <x:c r="E25" s="22" t="str">
        <x:v>Rare</x:v>
      </x:c>
      <x:c r="F25" s="63" t="n">
        <x:v>2</x:v>
      </x:c>
      <x:c r="G25" s="22" t="str">
        <x:v>Lv3 / Lv7</x:v>
      </x:c>
      <x:c r="H25" s="22" t="str">
        <x:v>Universal, Market, Customer, Research</x:v>
      </x:c>
      <x:c r="I25" s="22" t="str">
        <x:v>Yes</x:v>
      </x:c>
      <x:c r="J25" s="22" t="n">
        <x:v>1</x:v>
      </x:c>
      <x:c r="K25" s="22" t="str">
        <x:v>Free</x:v>
      </x:c>
      <x:c r="L25" s="22" t="str">
        <x:v>Next relevant tick</x:v>
      </x:c>
      <x:c r="M25" s="22" t="str">
        <x:v>Yes</x:v>
      </x:c>
      <x:c r="N25" s="22" t="str">
        <x:v>No</x:v>
      </x:c>
      <x:c r="O25" s="22" t="str">
        <x:v>No</x:v>
      </x:c>
      <x:c r="P25" s="43" t="str">
        <x:v>Meaningful specialization</x:v>
      </x:c>
    </x:row>
    <x:row r="26">
      <x:c r="A26" s="57" t="n">
        <x:v>23</x:v>
      </x:c>
      <x:c r="B26" s="22" t="str">
        <x:v>Investment Advisory Firm</x:v>
      </x:c>
      <x:c r="C26" s="22" t="str">
        <x:v>Advisory</x:v>
      </x:c>
      <x:c r="D26" s="22" t="str">
        <x:v>Growing</x:v>
      </x:c>
      <x:c r="E26" s="22" t="str">
        <x:v>Rare</x:v>
      </x:c>
      <x:c r="F26" s="63" t="n">
        <x:v>2</x:v>
      </x:c>
      <x:c r="G26" s="22" t="str">
        <x:v>Lv3 / Lv7</x:v>
      </x:c>
      <x:c r="H26" s="22" t="str">
        <x:v>Universal, Customer, Research, Wealth</x:v>
      </x:c>
      <x:c r="I26" s="22" t="str">
        <x:v>Yes</x:v>
      </x:c>
      <x:c r="J26" s="22" t="n">
        <x:v>1</x:v>
      </x:c>
      <x:c r="K26" s="22" t="str">
        <x:v>Free</x:v>
      </x:c>
      <x:c r="L26" s="22" t="str">
        <x:v>Next relevant tick</x:v>
      </x:c>
      <x:c r="M26" s="22" t="str">
        <x:v>Yes</x:v>
      </x:c>
      <x:c r="N26" s="22" t="str">
        <x:v>No</x:v>
      </x:c>
      <x:c r="O26" s="22" t="str">
        <x:v>No</x:v>
      </x:c>
      <x:c r="P26" s="43" t="str">
        <x:v>Meaningful specialization</x:v>
      </x:c>
    </x:row>
    <x:row r="27">
      <x:c r="A27" s="57" t="n">
        <x:v>24</x:v>
      </x:c>
      <x:c r="B27" s="22" t="str">
        <x:v>Asset Management Office</x:v>
      </x:c>
      <x:c r="C27" s="22" t="str">
        <x:v>Asset Management</x:v>
      </x:c>
      <x:c r="D27" s="22" t="str">
        <x:v>Growing</x:v>
      </x:c>
      <x:c r="E27" s="22" t="str">
        <x:v>Rare</x:v>
      </x:c>
      <x:c r="F27" s="63" t="n">
        <x:v>2</x:v>
      </x:c>
      <x:c r="G27" s="22" t="str">
        <x:v>Lv3 / Lv7</x:v>
      </x:c>
      <x:c r="H27" s="22" t="str">
        <x:v>Universal, Market, Research, Risk</x:v>
      </x:c>
      <x:c r="I27" s="22" t="str">
        <x:v>Yes</x:v>
      </x:c>
      <x:c r="J27" s="22" t="n">
        <x:v>1</x:v>
      </x:c>
      <x:c r="K27" s="22" t="str">
        <x:v>Free</x:v>
      </x:c>
      <x:c r="L27" s="22" t="str">
        <x:v>Next relevant tick</x:v>
      </x:c>
      <x:c r="M27" s="22" t="str">
        <x:v>Yes</x:v>
      </x:c>
      <x:c r="N27" s="22" t="str">
        <x:v>No</x:v>
      </x:c>
      <x:c r="O27" s="22" t="str">
        <x:v>No</x:v>
      </x:c>
      <x:c r="P27" s="43" t="str">
        <x:v>Meaningful specialization</x:v>
      </x:c>
    </x:row>
    <x:row r="28">
      <x:c r="A28" s="57" t="n">
        <x:v>25</x:v>
      </x:c>
      <x:c r="B28" s="22" t="str">
        <x:v>Market Research Center</x:v>
      </x:c>
      <x:c r="C28" s="22" t="str">
        <x:v>Research</x:v>
      </x:c>
      <x:c r="D28" s="22" t="str">
        <x:v>Growing</x:v>
      </x:c>
      <x:c r="E28" s="22" t="str">
        <x:v>Rare</x:v>
      </x:c>
      <x:c r="F28" s="63" t="n">
        <x:v>2</x:v>
      </x:c>
      <x:c r="G28" s="22" t="str">
        <x:v>Lv3 / Lv7</x:v>
      </x:c>
      <x:c r="H28" s="22" t="str">
        <x:v>Universal, Research, Operations, Event</x:v>
      </x:c>
      <x:c r="I28" s="22" t="str">
        <x:v>Yes</x:v>
      </x:c>
      <x:c r="J28" s="22" t="n">
        <x:v>1</x:v>
      </x:c>
      <x:c r="K28" s="22" t="str">
        <x:v>Free</x:v>
      </x:c>
      <x:c r="L28" s="22" t="str">
        <x:v>Next relevant tick</x:v>
      </x:c>
      <x:c r="M28" s="22" t="str">
        <x:v>Yes</x:v>
      </x:c>
      <x:c r="N28" s="22" t="str">
        <x:v>No</x:v>
      </x:c>
      <x:c r="O28" s="22" t="str">
        <x:v>No</x:v>
      </x:c>
      <x:c r="P28" s="43" t="str">
        <x:v>Meaningful specialization</x:v>
      </x:c>
    </x:row>
    <x:row r="29">
      <x:c r="A29" s="57" t="n">
        <x:v>26</x:v>
      </x:c>
      <x:c r="B29" s="22" t="str">
        <x:v>Lending Center</x:v>
      </x:c>
      <x:c r="C29" s="22" t="str">
        <x:v>Lending</x:v>
      </x:c>
      <x:c r="D29" s="22" t="str">
        <x:v>Growing</x:v>
      </x:c>
      <x:c r="E29" s="22" t="str">
        <x:v>Rare</x:v>
      </x:c>
      <x:c r="F29" s="63" t="n">
        <x:v>2</x:v>
      </x:c>
      <x:c r="G29" s="22" t="str">
        <x:v>Lv3 / Lv7</x:v>
      </x:c>
      <x:c r="H29" s="22" t="str">
        <x:v>Universal, Customer, Credit, Risk</x:v>
      </x:c>
      <x:c r="I29" s="22" t="str">
        <x:v>Yes</x:v>
      </x:c>
      <x:c r="J29" s="22" t="n">
        <x:v>1</x:v>
      </x:c>
      <x:c r="K29" s="22" t="str">
        <x:v>Free</x:v>
      </x:c>
      <x:c r="L29" s="22" t="str">
        <x:v>Next relevant tick</x:v>
      </x:c>
      <x:c r="M29" s="22" t="str">
        <x:v>Yes</x:v>
      </x:c>
      <x:c r="N29" s="22" t="str">
        <x:v>No</x:v>
      </x:c>
      <x:c r="O29" s="22" t="str">
        <x:v>No</x:v>
      </x:c>
      <x:c r="P29" s="43" t="str">
        <x:v>Meaningful specialization</x:v>
      </x:c>
    </x:row>
    <x:row r="30">
      <x:c r="A30" s="57" t="n">
        <x:v>27</x:v>
      </x:c>
      <x:c r="B30" s="22" t="str">
        <x:v>Wealth Management Office</x:v>
      </x:c>
      <x:c r="C30" s="22" t="str">
        <x:v>Wealth</x:v>
      </x:c>
      <x:c r="D30" s="22" t="str">
        <x:v>Growing</x:v>
      </x:c>
      <x:c r="E30" s="22" t="str">
        <x:v>Rare</x:v>
      </x:c>
      <x:c r="F30" s="63" t="n">
        <x:v>2</x:v>
      </x:c>
      <x:c r="G30" s="22" t="str">
        <x:v>Lv3 / Lv7</x:v>
      </x:c>
      <x:c r="H30" s="22" t="str">
        <x:v>Universal, Wealth, Customer, Service</x:v>
      </x:c>
      <x:c r="I30" s="22" t="str">
        <x:v>Yes</x:v>
      </x:c>
      <x:c r="J30" s="22" t="n">
        <x:v>1</x:v>
      </x:c>
      <x:c r="K30" s="22" t="str">
        <x:v>Free</x:v>
      </x:c>
      <x:c r="L30" s="22" t="str">
        <x:v>Next relevant tick</x:v>
      </x:c>
      <x:c r="M30" s="22" t="str">
        <x:v>Yes</x:v>
      </x:c>
      <x:c r="N30" s="22" t="str">
        <x:v>No</x:v>
      </x:c>
      <x:c r="O30" s="22" t="str">
        <x:v>No</x:v>
      </x:c>
      <x:c r="P30" s="43" t="str">
        <x:v>Meaningful specialization</x:v>
      </x:c>
    </x:row>
    <x:row r="31">
      <x:c r="A31" s="57" t="n">
        <x:v>28</x:v>
      </x:c>
      <x:c r="B31" s="22" t="str">
        <x:v>Digital Finance Hub</x:v>
      </x:c>
      <x:c r="C31" s="22" t="str">
        <x:v>Fintech</x:v>
      </x:c>
      <x:c r="D31" s="22" t="str">
        <x:v>Growing</x:v>
      </x:c>
      <x:c r="E31" s="22" t="str">
        <x:v>Rare</x:v>
      </x:c>
      <x:c r="F31" s="63" t="n">
        <x:v>2</x:v>
      </x:c>
      <x:c r="G31" s="22" t="str">
        <x:v>Lv3 / Lv7</x:v>
      </x:c>
      <x:c r="H31" s="22" t="str">
        <x:v>Universal, Operations, Customer, Research</x:v>
      </x:c>
      <x:c r="I31" s="22" t="str">
        <x:v>Yes</x:v>
      </x:c>
      <x:c r="J31" s="22" t="n">
        <x:v>1</x:v>
      </x:c>
      <x:c r="K31" s="22" t="str">
        <x:v>Free</x:v>
      </x:c>
      <x:c r="L31" s="22" t="str">
        <x:v>Next relevant tick</x:v>
      </x:c>
      <x:c r="M31" s="22" t="str">
        <x:v>Yes</x:v>
      </x:c>
      <x:c r="N31" s="22" t="str">
        <x:v>No</x:v>
      </x:c>
      <x:c r="O31" s="22" t="str">
        <x:v>No</x:v>
      </x:c>
      <x:c r="P31" s="43" t="str">
        <x:v>Meaningful specialization</x:v>
      </x:c>
    </x:row>
    <x:row r="32">
      <x:c r="A32" s="57" t="n">
        <x:v>29</x:v>
      </x:c>
      <x:c r="B32" s="22" t="str">
        <x:v>Trading House</x:v>
      </x:c>
      <x:c r="C32" s="22" t="str">
        <x:v>Trading</x:v>
      </x:c>
      <x:c r="D32" s="22" t="str">
        <x:v>Growing</x:v>
      </x:c>
      <x:c r="E32" s="22" t="str">
        <x:v>Rare</x:v>
      </x:c>
      <x:c r="F32" s="63" t="n">
        <x:v>2</x:v>
      </x:c>
      <x:c r="G32" s="22" t="str">
        <x:v>Lv3 / Lv7</x:v>
      </x:c>
      <x:c r="H32" s="22" t="str">
        <x:v>Universal, Market, Operations, Risk</x:v>
      </x:c>
      <x:c r="I32" s="22" t="str">
        <x:v>Yes</x:v>
      </x:c>
      <x:c r="J32" s="22" t="n">
        <x:v>1</x:v>
      </x:c>
      <x:c r="K32" s="22" t="str">
        <x:v>Free</x:v>
      </x:c>
      <x:c r="L32" s="22" t="str">
        <x:v>Next relevant tick</x:v>
      </x:c>
      <x:c r="M32" s="22" t="str">
        <x:v>Yes</x:v>
      </x:c>
      <x:c r="N32" s="22" t="str">
        <x:v>No</x:v>
      </x:c>
      <x:c r="O32" s="22" t="str">
        <x:v>No</x:v>
      </x:c>
      <x:c r="P32" s="43" t="str">
        <x:v>Meaningful specialization</x:v>
      </x:c>
    </x:row>
    <x:row r="33">
      <x:c r="A33" s="57" t="n">
        <x:v>30</x:v>
      </x:c>
      <x:c r="B33" s="22" t="str">
        <x:v>Private Vault Facility</x:v>
      </x:c>
      <x:c r="C33" s="22" t="str">
        <x:v>Treasury</x:v>
      </x:c>
      <x:c r="D33" s="22" t="str">
        <x:v>Growing</x:v>
      </x:c>
      <x:c r="E33" s="22" t="str">
        <x:v>Rare</x:v>
      </x:c>
      <x:c r="F33" s="63" t="n">
        <x:v>2</x:v>
      </x:c>
      <x:c r="G33" s="22" t="str">
        <x:v>Lv3 / Lv7</x:v>
      </x:c>
      <x:c r="H33" s="22" t="str">
        <x:v>Universal, Liquidity, Risk, Operations</x:v>
      </x:c>
      <x:c r="I33" s="22" t="str">
        <x:v>Yes</x:v>
      </x:c>
      <x:c r="J33" s="22" t="n">
        <x:v>1</x:v>
      </x:c>
      <x:c r="K33" s="22" t="str">
        <x:v>Free</x:v>
      </x:c>
      <x:c r="L33" s="22" t="str">
        <x:v>Next relevant tick</x:v>
      </x:c>
      <x:c r="M33" s="22" t="str">
        <x:v>Yes</x:v>
      </x:c>
      <x:c r="N33" s="22" t="str">
        <x:v>No</x:v>
      </x:c>
      <x:c r="O33" s="22" t="str">
        <x:v>No</x:v>
      </x:c>
      <x:c r="P33" s="43" t="str">
        <x:v>Meaningful specialization</x:v>
      </x:c>
    </x:row>
    <x:row r="34">
      <x:c r="A34" s="57" t="n">
        <x:v>31</x:v>
      </x:c>
      <x:c r="B34" s="22" t="str">
        <x:v>Regional Bank</x:v>
      </x:c>
      <x:c r="C34" s="22" t="str">
        <x:v>Banking</x:v>
      </x:c>
      <x:c r="D34" s="22" t="str">
        <x:v>Established</x:v>
      </x:c>
      <x:c r="E34" s="22" t="str">
        <x:v>Epic</x:v>
      </x:c>
      <x:c r="F34" s="63" t="n">
        <x:v>3</x:v>
      </x:c>
      <x:c r="G34" s="22" t="str">
        <x:v>Lv3 / Lv6 / Lv9</x:v>
      </x:c>
      <x:c r="H34" s="22" t="str">
        <x:v>Universal, Customer, Liquidity, Risk</x:v>
      </x:c>
      <x:c r="I34" s="22" t="str">
        <x:v>Yes</x:v>
      </x:c>
      <x:c r="J34" s="22" t="n">
        <x:v>1</x:v>
      </x:c>
      <x:c r="K34" s="22" t="str">
        <x:v>Free</x:v>
      </x:c>
      <x:c r="L34" s="22" t="str">
        <x:v>Next relevant tick</x:v>
      </x:c>
      <x:c r="M34" s="22" t="str">
        <x:v>Yes</x:v>
      </x:c>
      <x:c r="N34" s="22" t="str">
        <x:v>No</x:v>
      </x:c>
      <x:c r="O34" s="22" t="str">
        <x:v>No</x:v>
      </x:c>
      <x:c r="P34" s="43" t="str">
        <x:v>Institution loadout</x:v>
      </x:c>
    </x:row>
    <x:row r="35">
      <x:c r="A35" s="57" t="n">
        <x:v>32</x:v>
      </x:c>
      <x:c r="B35" s="22" t="str">
        <x:v>Stock Brokerage Center</x:v>
      </x:c>
      <x:c r="C35" s="22" t="str">
        <x:v>Brokerage</x:v>
      </x:c>
      <x:c r="D35" s="22" t="str">
        <x:v>Established</x:v>
      </x:c>
      <x:c r="E35" s="22" t="str">
        <x:v>Epic</x:v>
      </x:c>
      <x:c r="F35" s="63" t="n">
        <x:v>3</x:v>
      </x:c>
      <x:c r="G35" s="22" t="str">
        <x:v>Lv3 / Lv6 / Lv9</x:v>
      </x:c>
      <x:c r="H35" s="22" t="str">
        <x:v>Universal, Market, Customer, Research</x:v>
      </x:c>
      <x:c r="I35" s="22" t="str">
        <x:v>Yes</x:v>
      </x:c>
      <x:c r="J35" s="22" t="n">
        <x:v>1</x:v>
      </x:c>
      <x:c r="K35" s="22" t="str">
        <x:v>Free</x:v>
      </x:c>
      <x:c r="L35" s="22" t="str">
        <x:v>Next relevant tick</x:v>
      </x:c>
      <x:c r="M35" s="22" t="str">
        <x:v>Yes</x:v>
      </x:c>
      <x:c r="N35" s="22" t="str">
        <x:v>No</x:v>
      </x:c>
      <x:c r="O35" s="22" t="str">
        <x:v>No</x:v>
      </x:c>
      <x:c r="P35" s="43" t="str">
        <x:v>Institution loadout</x:v>
      </x:c>
    </x:row>
    <x:row r="36">
      <x:c r="A36" s="57" t="n">
        <x:v>33</x:v>
      </x:c>
      <x:c r="B36" s="22" t="str">
        <x:v>Investment Fund HQ</x:v>
      </x:c>
      <x:c r="C36" s="22" t="str">
        <x:v>Asset Management</x:v>
      </x:c>
      <x:c r="D36" s="22" t="str">
        <x:v>Established</x:v>
      </x:c>
      <x:c r="E36" s="22" t="str">
        <x:v>Epic</x:v>
      </x:c>
      <x:c r="F36" s="63" t="n">
        <x:v>3</x:v>
      </x:c>
      <x:c r="G36" s="22" t="str">
        <x:v>Lv3 / Lv6 / Lv9</x:v>
      </x:c>
      <x:c r="H36" s="22" t="str">
        <x:v>Universal, Market, Research, Risk</x:v>
      </x:c>
      <x:c r="I36" s="22" t="str">
        <x:v>Yes</x:v>
      </x:c>
      <x:c r="J36" s="22" t="n">
        <x:v>1</x:v>
      </x:c>
      <x:c r="K36" s="22" t="str">
        <x:v>Free</x:v>
      </x:c>
      <x:c r="L36" s="22" t="str">
        <x:v>Next relevant tick</x:v>
      </x:c>
      <x:c r="M36" s="22" t="str">
        <x:v>Yes</x:v>
      </x:c>
      <x:c r="N36" s="22" t="str">
        <x:v>No</x:v>
      </x:c>
      <x:c r="O36" s="22" t="str">
        <x:v>No</x:v>
      </x:c>
      <x:c r="P36" s="43" t="str">
        <x:v>Institution loadout</x:v>
      </x:c>
    </x:row>
    <x:row r="37">
      <x:c r="A37" s="57" t="n">
        <x:v>34</x:v>
      </x:c>
      <x:c r="B37" s="22" t="str">
        <x:v>Insurance Company HQ</x:v>
      </x:c>
      <x:c r="C37" s="22" t="str">
        <x:v>Insurance</x:v>
      </x:c>
      <x:c r="D37" s="22" t="str">
        <x:v>Established</x:v>
      </x:c>
      <x:c r="E37" s="22" t="str">
        <x:v>Epic</x:v>
      </x:c>
      <x:c r="F37" s="63" t="n">
        <x:v>3</x:v>
      </x:c>
      <x:c r="G37" s="22" t="str">
        <x:v>Lv3 / Lv6 / Lv9</x:v>
      </x:c>
      <x:c r="H37" s="22" t="str">
        <x:v>Universal, Customer, Risk, Service</x:v>
      </x:c>
      <x:c r="I37" s="22" t="str">
        <x:v>Yes</x:v>
      </x:c>
      <x:c r="J37" s="22" t="n">
        <x:v>1</x:v>
      </x:c>
      <x:c r="K37" s="22" t="str">
        <x:v>Free</x:v>
      </x:c>
      <x:c r="L37" s="22" t="str">
        <x:v>Next relevant tick</x:v>
      </x:c>
      <x:c r="M37" s="22" t="str">
        <x:v>Yes</x:v>
      </x:c>
      <x:c r="N37" s="22" t="str">
        <x:v>No</x:v>
      </x:c>
      <x:c r="O37" s="22" t="str">
        <x:v>No</x:v>
      </x:c>
      <x:c r="P37" s="43" t="str">
        <x:v>Institution loadout</x:v>
      </x:c>
    </x:row>
    <x:row r="38">
      <x:c r="A38" s="57" t="n">
        <x:v>35</x:v>
      </x:c>
      <x:c r="B38" s="22" t="str">
        <x:v>Financial Data Center</x:v>
      </x:c>
      <x:c r="C38" s="22" t="str">
        <x:v>Data</x:v>
      </x:c>
      <x:c r="D38" s="22" t="str">
        <x:v>Established</x:v>
      </x:c>
      <x:c r="E38" s="22" t="str">
        <x:v>Epic</x:v>
      </x:c>
      <x:c r="F38" s="63" t="n">
        <x:v>3</x:v>
      </x:c>
      <x:c r="G38" s="22" t="str">
        <x:v>Lv3 / Lv6 / Lv9</x:v>
      </x:c>
      <x:c r="H38" s="22" t="str">
        <x:v>Universal, Research, Operations, Event</x:v>
      </x:c>
      <x:c r="I38" s="22" t="str">
        <x:v>Yes</x:v>
      </x:c>
      <x:c r="J38" s="22" t="n">
        <x:v>1</x:v>
      </x:c>
      <x:c r="K38" s="22" t="str">
        <x:v>Free</x:v>
      </x:c>
      <x:c r="L38" s="22" t="str">
        <x:v>Next relevant tick</x:v>
      </x:c>
      <x:c r="M38" s="22" t="str">
        <x:v>Yes</x:v>
      </x:c>
      <x:c r="N38" s="22" t="str">
        <x:v>No</x:v>
      </x:c>
      <x:c r="O38" s="22" t="str">
        <x:v>No</x:v>
      </x:c>
      <x:c r="P38" s="43" t="str">
        <x:v>Institution loadout</x:v>
      </x:c>
    </x:row>
    <x:row r="39">
      <x:c r="A39" s="57" t="n">
        <x:v>36</x:v>
      </x:c>
      <x:c r="B39" s="22" t="str">
        <x:v>Market Maker Office</x:v>
      </x:c>
      <x:c r="C39" s="22" t="str">
        <x:v>Market Making</x:v>
      </x:c>
      <x:c r="D39" s="22" t="str">
        <x:v>Established</x:v>
      </x:c>
      <x:c r="E39" s="22" t="str">
        <x:v>Epic</x:v>
      </x:c>
      <x:c r="F39" s="63" t="n">
        <x:v>3</x:v>
      </x:c>
      <x:c r="G39" s="22" t="str">
        <x:v>Lv3 / Lv6 / Lv9</x:v>
      </x:c>
      <x:c r="H39" s="22" t="str">
        <x:v>Universal, Market, Liquidity, Risk</x:v>
      </x:c>
      <x:c r="I39" s="22" t="str">
        <x:v>Yes</x:v>
      </x:c>
      <x:c r="J39" s="22" t="n">
        <x:v>1</x:v>
      </x:c>
      <x:c r="K39" s="22" t="str">
        <x:v>Free</x:v>
      </x:c>
      <x:c r="L39" s="22" t="str">
        <x:v>Next relevant tick</x:v>
      </x:c>
      <x:c r="M39" s="22" t="str">
        <x:v>Yes</x:v>
      </x:c>
      <x:c r="N39" s="22" t="str">
        <x:v>No</x:v>
      </x:c>
      <x:c r="O39" s="22" t="str">
        <x:v>No</x:v>
      </x:c>
      <x:c r="P39" s="43" t="str">
        <x:v>Institution loadout</x:v>
      </x:c>
    </x:row>
    <x:row r="40">
      <x:c r="A40" s="57" t="n">
        <x:v>37</x:v>
      </x:c>
      <x:c r="B40" s="22" t="str">
        <x:v>Private Banking Center</x:v>
      </x:c>
      <x:c r="C40" s="22" t="str">
        <x:v>Private Banking</x:v>
      </x:c>
      <x:c r="D40" s="22" t="str">
        <x:v>Established</x:v>
      </x:c>
      <x:c r="E40" s="22" t="str">
        <x:v>Epic</x:v>
      </x:c>
      <x:c r="F40" s="63" t="n">
        <x:v>3</x:v>
      </x:c>
      <x:c r="G40" s="22" t="str">
        <x:v>Lv3 / Lv6 / Lv9</x:v>
      </x:c>
      <x:c r="H40" s="22" t="str">
        <x:v>Universal, Wealth, Customer, Liquidity</x:v>
      </x:c>
      <x:c r="I40" s="22" t="str">
        <x:v>Yes</x:v>
      </x:c>
      <x:c r="J40" s="22" t="n">
        <x:v>1</x:v>
      </x:c>
      <x:c r="K40" s="22" t="str">
        <x:v>Free</x:v>
      </x:c>
      <x:c r="L40" s="22" t="str">
        <x:v>Next relevant tick</x:v>
      </x:c>
      <x:c r="M40" s="22" t="str">
        <x:v>Yes</x:v>
      </x:c>
      <x:c r="N40" s="22" t="str">
        <x:v>No</x:v>
      </x:c>
      <x:c r="O40" s="22" t="str">
        <x:v>No</x:v>
      </x:c>
      <x:c r="P40" s="43" t="str">
        <x:v>Institution loadout</x:v>
      </x:c>
    </x:row>
    <x:row r="41">
      <x:c r="A41" s="57" t="n">
        <x:v>38</x:v>
      </x:c>
      <x:c r="B41" s="22" t="str">
        <x:v>Corporate Treasury Center</x:v>
      </x:c>
      <x:c r="C41" s="22" t="str">
        <x:v>Treasury</x:v>
      </x:c>
      <x:c r="D41" s="22" t="str">
        <x:v>Established</x:v>
      </x:c>
      <x:c r="E41" s="22" t="str">
        <x:v>Epic</x:v>
      </x:c>
      <x:c r="F41" s="63" t="n">
        <x:v>3</x:v>
      </x:c>
      <x:c r="G41" s="22" t="str">
        <x:v>Lv3 / Lv6 / Lv9</x:v>
      </x:c>
      <x:c r="H41" s="22" t="str">
        <x:v>Universal, Liquidity, Risk, Operations</x:v>
      </x:c>
      <x:c r="I41" s="22" t="str">
        <x:v>Yes</x:v>
      </x:c>
      <x:c r="J41" s="22" t="n">
        <x:v>1</x:v>
      </x:c>
      <x:c r="K41" s="22" t="str">
        <x:v>Free</x:v>
      </x:c>
      <x:c r="L41" s="22" t="str">
        <x:v>Next relevant tick</x:v>
      </x:c>
      <x:c r="M41" s="22" t="str">
        <x:v>Yes</x:v>
      </x:c>
      <x:c r="N41" s="22" t="str">
        <x:v>No</x:v>
      </x:c>
      <x:c r="O41" s="22" t="str">
        <x:v>No</x:v>
      </x:c>
      <x:c r="P41" s="43" t="str">
        <x:v>Institution loadout</x:v>
      </x:c>
    </x:row>
    <x:row r="42">
      <x:c r="A42" s="57" t="n">
        <x:v>39</x:v>
      </x:c>
      <x:c r="B42" s="22" t="str">
        <x:v>Securities Exchange</x:v>
      </x:c>
      <x:c r="C42" s="22" t="str">
        <x:v>Exchange</x:v>
      </x:c>
      <x:c r="D42" s="22" t="str">
        <x:v>Established</x:v>
      </x:c>
      <x:c r="E42" s="22" t="str">
        <x:v>Epic</x:v>
      </x:c>
      <x:c r="F42" s="63" t="n">
        <x:v>3</x:v>
      </x:c>
      <x:c r="G42" s="22" t="str">
        <x:v>Lv3 / Lv6 / Lv9</x:v>
      </x:c>
      <x:c r="H42" s="22" t="str">
        <x:v>Universal, Market, Operations, Liquidity</x:v>
      </x:c>
      <x:c r="I42" s="22" t="str">
        <x:v>Yes</x:v>
      </x:c>
      <x:c r="J42" s="22" t="n">
        <x:v>1</x:v>
      </x:c>
      <x:c r="K42" s="22" t="str">
        <x:v>Free</x:v>
      </x:c>
      <x:c r="L42" s="22" t="str">
        <x:v>Next relevant tick</x:v>
      </x:c>
      <x:c r="M42" s="22" t="str">
        <x:v>Yes</x:v>
      </x:c>
      <x:c r="N42" s="22" t="str">
        <x:v>No</x:v>
      </x:c>
      <x:c r="O42" s="22" t="str">
        <x:v>No</x:v>
      </x:c>
      <x:c r="P42" s="43" t="str">
        <x:v>Institution loadout</x:v>
      </x:c>
    </x:row>
    <x:row r="43">
      <x:c r="A43" s="57" t="n">
        <x:v>40</x:v>
      </x:c>
      <x:c r="B43" s="22" t="str">
        <x:v>Investment Bank</x:v>
      </x:c>
      <x:c r="C43" s="22" t="str">
        <x:v>Investment Banking</x:v>
      </x:c>
      <x:c r="D43" s="22" t="str">
        <x:v>Established</x:v>
      </x:c>
      <x:c r="E43" s="22" t="str">
        <x:v>Epic</x:v>
      </x:c>
      <x:c r="F43" s="63" t="n">
        <x:v>3</x:v>
      </x:c>
      <x:c r="G43" s="22" t="str">
        <x:v>Lv3 / Lv6 / Lv9</x:v>
      </x:c>
      <x:c r="H43" s="22" t="str">
        <x:v>Universal, Institutional, Research, Risk</x:v>
      </x:c>
      <x:c r="I43" s="22" t="str">
        <x:v>Yes</x:v>
      </x:c>
      <x:c r="J43" s="22" t="n">
        <x:v>1</x:v>
      </x:c>
      <x:c r="K43" s="22" t="str">
        <x:v>Free</x:v>
      </x:c>
      <x:c r="L43" s="22" t="str">
        <x:v>Next relevant tick</x:v>
      </x:c>
      <x:c r="M43" s="22" t="str">
        <x:v>Yes</x:v>
      </x:c>
      <x:c r="N43" s="22" t="str">
        <x:v>No</x:v>
      </x:c>
      <x:c r="O43" s="22" t="str">
        <x:v>No</x:v>
      </x:c>
      <x:c r="P43" s="43" t="str">
        <x:v>Institution loadout</x:v>
      </x:c>
    </x:row>
    <x:row r="44">
      <x:c r="A44" s="57" t="n">
        <x:v>41</x:v>
      </x:c>
      <x:c r="B44" s="22" t="str">
        <x:v>Global Brokerage Tower</x:v>
      </x:c>
      <x:c r="C44" s="22" t="str">
        <x:v>Brokerage</x:v>
      </x:c>
      <x:c r="D44" s="22" t="str">
        <x:v>Elite</x:v>
      </x:c>
      <x:c r="E44" s="22" t="str">
        <x:v>Legendary</x:v>
      </x:c>
      <x:c r="F44" s="63" t="n">
        <x:v>3</x:v>
      </x:c>
      <x:c r="G44" s="22" t="str">
        <x:v>Lv3 / Lv6 / Lv9</x:v>
      </x:c>
      <x:c r="H44" s="22" t="str">
        <x:v>Universal, Market, Customer, Research</x:v>
      </x:c>
      <x:c r="I44" s="22" t="str">
        <x:v>Yes</x:v>
      </x:c>
      <x:c r="J44" s="22" t="n">
        <x:v>1</x:v>
      </x:c>
      <x:c r="K44" s="22" t="str">
        <x:v>Free</x:v>
      </x:c>
      <x:c r="L44" s="22" t="str">
        <x:v>Next relevant tick</x:v>
      </x:c>
      <x:c r="M44" s="22" t="str">
        <x:v>Yes</x:v>
      </x:c>
      <x:c r="N44" s="22" t="str">
        <x:v>No</x:v>
      </x:c>
      <x:c r="O44" s="22" t="str">
        <x:v>No</x:v>
      </x:c>
      <x:c r="P44" s="43" t="str">
        <x:v>Prestige loadout</x:v>
      </x:c>
    </x:row>
    <x:row r="45">
      <x:c r="A45" s="57" t="n">
        <x:v>42</x:v>
      </x:c>
      <x:c r="B45" s="22" t="str">
        <x:v>Major Asset Manager</x:v>
      </x:c>
      <x:c r="C45" s="22" t="str">
        <x:v>Asset Management</x:v>
      </x:c>
      <x:c r="D45" s="22" t="str">
        <x:v>Elite</x:v>
      </x:c>
      <x:c r="E45" s="22" t="str">
        <x:v>Legendary</x:v>
      </x:c>
      <x:c r="F45" s="63" t="n">
        <x:v>3</x:v>
      </x:c>
      <x:c r="G45" s="22" t="str">
        <x:v>Lv3 / Lv6 / Lv9</x:v>
      </x:c>
      <x:c r="H45" s="22" t="str">
        <x:v>Universal, Market, Research, Risk</x:v>
      </x:c>
      <x:c r="I45" s="22" t="str">
        <x:v>Yes</x:v>
      </x:c>
      <x:c r="J45" s="22" t="n">
        <x:v>1</x:v>
      </x:c>
      <x:c r="K45" s="22" t="str">
        <x:v>Free</x:v>
      </x:c>
      <x:c r="L45" s="22" t="str">
        <x:v>Next relevant tick</x:v>
      </x:c>
      <x:c r="M45" s="22" t="str">
        <x:v>Yes</x:v>
      </x:c>
      <x:c r="N45" s="22" t="str">
        <x:v>No</x:v>
      </x:c>
      <x:c r="O45" s="22" t="str">
        <x:v>No</x:v>
      </x:c>
      <x:c r="P45" s="43" t="str">
        <x:v>Prestige loadout</x:v>
      </x:c>
    </x:row>
    <x:row r="46">
      <x:c r="A46" s="57" t="n">
        <x:v>43</x:v>
      </x:c>
      <x:c r="B46" s="22" t="str">
        <x:v>Institutional Trading Center</x:v>
      </x:c>
      <x:c r="C46" s="22" t="str">
        <x:v>Trading</x:v>
      </x:c>
      <x:c r="D46" s="22" t="str">
        <x:v>Elite</x:v>
      </x:c>
      <x:c r="E46" s="22" t="str">
        <x:v>Legendary</x:v>
      </x:c>
      <x:c r="F46" s="63" t="n">
        <x:v>3</x:v>
      </x:c>
      <x:c r="G46" s="22" t="str">
        <x:v>Lv3 / Lv6 / Lv9</x:v>
      </x:c>
      <x:c r="H46" s="22" t="str">
        <x:v>Universal, Market, Operations, Risk</x:v>
      </x:c>
      <x:c r="I46" s="22" t="str">
        <x:v>Yes</x:v>
      </x:c>
      <x:c r="J46" s="22" t="n">
        <x:v>1</x:v>
      </x:c>
      <x:c r="K46" s="22" t="str">
        <x:v>Free</x:v>
      </x:c>
      <x:c r="L46" s="22" t="str">
        <x:v>Next relevant tick</x:v>
      </x:c>
      <x:c r="M46" s="22" t="str">
        <x:v>Yes</x:v>
      </x:c>
      <x:c r="N46" s="22" t="str">
        <x:v>No</x:v>
      </x:c>
      <x:c r="O46" s="22" t="str">
        <x:v>No</x:v>
      </x:c>
      <x:c r="P46" s="43" t="str">
        <x:v>Prestige loadout</x:v>
      </x:c>
    </x:row>
    <x:row r="47">
      <x:c r="A47" s="57" t="n">
        <x:v>44</x:v>
      </x:c>
      <x:c r="B47" s="22" t="str">
        <x:v>Global Wealth Center</x:v>
      </x:c>
      <x:c r="C47" s="22" t="str">
        <x:v>Wealth</x:v>
      </x:c>
      <x:c r="D47" s="22" t="str">
        <x:v>Elite</x:v>
      </x:c>
      <x:c r="E47" s="22" t="str">
        <x:v>Legendary</x:v>
      </x:c>
      <x:c r="F47" s="63" t="n">
        <x:v>3</x:v>
      </x:c>
      <x:c r="G47" s="22" t="str">
        <x:v>Lv3 / Lv6 / Lv9</x:v>
      </x:c>
      <x:c r="H47" s="22" t="str">
        <x:v>Universal, Wealth, Customer, Service</x:v>
      </x:c>
      <x:c r="I47" s="22" t="str">
        <x:v>Yes</x:v>
      </x:c>
      <x:c r="J47" s="22" t="n">
        <x:v>1</x:v>
      </x:c>
      <x:c r="K47" s="22" t="str">
        <x:v>Free</x:v>
      </x:c>
      <x:c r="L47" s="22" t="str">
        <x:v>Next relevant tick</x:v>
      </x:c>
      <x:c r="M47" s="22" t="str">
        <x:v>Yes</x:v>
      </x:c>
      <x:c r="N47" s="22" t="str">
        <x:v>No</x:v>
      </x:c>
      <x:c r="O47" s="22" t="str">
        <x:v>No</x:v>
      </x:c>
      <x:c r="P47" s="43" t="str">
        <x:v>Prestige loadout</x:v>
      </x:c>
    </x:row>
    <x:row r="48">
      <x:c r="A48" s="57" t="n">
        <x:v>45</x:v>
      </x:c>
      <x:c r="B48" s="22" t="str">
        <x:v>Financial Exchange Tower</x:v>
      </x:c>
      <x:c r="C48" s="22" t="str">
        <x:v>Exchange</x:v>
      </x:c>
      <x:c r="D48" s="22" t="str">
        <x:v>Elite</x:v>
      </x:c>
      <x:c r="E48" s="22" t="str">
        <x:v>Legendary</x:v>
      </x:c>
      <x:c r="F48" s="63" t="n">
        <x:v>3</x:v>
      </x:c>
      <x:c r="G48" s="22" t="str">
        <x:v>Lv3 / Lv6 / Lv9</x:v>
      </x:c>
      <x:c r="H48" s="22" t="str">
        <x:v>Universal, Market, Operations, Liquidity</x:v>
      </x:c>
      <x:c r="I48" s="22" t="str">
        <x:v>Yes</x:v>
      </x:c>
      <x:c r="J48" s="22" t="n">
        <x:v>1</x:v>
      </x:c>
      <x:c r="K48" s="22" t="str">
        <x:v>Free</x:v>
      </x:c>
      <x:c r="L48" s="22" t="str">
        <x:v>Next relevant tick</x:v>
      </x:c>
      <x:c r="M48" s="22" t="str">
        <x:v>Yes</x:v>
      </x:c>
      <x:c r="N48" s="22" t="str">
        <x:v>No</x:v>
      </x:c>
      <x:c r="O48" s="22" t="str">
        <x:v>No</x:v>
      </x:c>
      <x:c r="P48" s="43" t="str">
        <x:v>Prestige loadout</x:v>
      </x:c>
    </x:row>
    <x:row r="49">
      <x:c r="A49" s="57" t="n">
        <x:v>46</x:v>
      </x:c>
      <x:c r="B49" s="22" t="str">
        <x:v>International Bank HQ</x:v>
      </x:c>
      <x:c r="C49" s="22" t="str">
        <x:v>Banking</x:v>
      </x:c>
      <x:c r="D49" s="22" t="str">
        <x:v>Tycoon</x:v>
      </x:c>
      <x:c r="E49" s="22" t="str">
        <x:v>Mythic</x:v>
      </x:c>
      <x:c r="F49" s="63" t="n">
        <x:v>4</x:v>
      </x:c>
      <x:c r="G49" s="22" t="str">
        <x:v>Lv3 / Lv6 / Lv9 / Lv11</x:v>
      </x:c>
      <x:c r="H49" s="22" t="str">
        <x:v>Universal, Customer, Liquidity, Risk</x:v>
      </x:c>
      <x:c r="I49" s="22" t="str">
        <x:v>Yes</x:v>
      </x:c>
      <x:c r="J49" s="22" t="n">
        <x:v>1</x:v>
      </x:c>
      <x:c r="K49" s="22" t="str">
        <x:v>Free</x:v>
      </x:c>
      <x:c r="L49" s="22" t="str">
        <x:v>Next relevant tick</x:v>
      </x:c>
      <x:c r="M49" s="22" t="str">
        <x:v>Yes</x:v>
      </x:c>
      <x:c r="N49" s="22" t="str">
        <x:v>No</x:v>
      </x:c>
      <x:c r="O49" s="22" t="str">
        <x:v>No</x:v>
      </x:c>
      <x:c r="P49" s="43" t="str">
        <x:v>Endgame loadout</x:v>
      </x:c>
    </x:row>
    <x:row r="50">
      <x:c r="A50" s="57" t="n">
        <x:v>47</x:v>
      </x:c>
      <x:c r="B50" s="22" t="str">
        <x:v>Global Investment Bank</x:v>
      </x:c>
      <x:c r="C50" s="22" t="str">
        <x:v>Investment Banking</x:v>
      </x:c>
      <x:c r="D50" s="22" t="str">
        <x:v>Tycoon</x:v>
      </x:c>
      <x:c r="E50" s="22" t="str">
        <x:v>Mythic</x:v>
      </x:c>
      <x:c r="F50" s="63" t="n">
        <x:v>4</x:v>
      </x:c>
      <x:c r="G50" s="22" t="str">
        <x:v>Lv3 / Lv6 / Lv9 / Lv11</x:v>
      </x:c>
      <x:c r="H50" s="22" t="str">
        <x:v>Universal, Institutional, Research, Risk</x:v>
      </x:c>
      <x:c r="I50" s="22" t="str">
        <x:v>Yes</x:v>
      </x:c>
      <x:c r="J50" s="22" t="n">
        <x:v>1</x:v>
      </x:c>
      <x:c r="K50" s="22" t="str">
        <x:v>Free</x:v>
      </x:c>
      <x:c r="L50" s="22" t="str">
        <x:v>Next relevant tick</x:v>
      </x:c>
      <x:c r="M50" s="22" t="str">
        <x:v>Yes</x:v>
      </x:c>
      <x:c r="N50" s="22" t="str">
        <x:v>No</x:v>
      </x:c>
      <x:c r="O50" s="22" t="str">
        <x:v>No</x:v>
      </x:c>
      <x:c r="P50" s="43" t="str">
        <x:v>Endgame loadout</x:v>
      </x:c>
    </x:row>
    <x:row r="51">
      <x:c r="A51" s="57" t="n">
        <x:v>48</x:v>
      </x:c>
      <x:c r="B51" s="22" t="str">
        <x:v>Sovereign Fund Tower</x:v>
      </x:c>
      <x:c r="C51" s="22" t="str">
        <x:v>Asset Management</x:v>
      </x:c>
      <x:c r="D51" s="22" t="str">
        <x:v>Tycoon</x:v>
      </x:c>
      <x:c r="E51" s="22" t="str">
        <x:v>Mythic</x:v>
      </x:c>
      <x:c r="F51" s="63" t="n">
        <x:v>4</x:v>
      </x:c>
      <x:c r="G51" s="22" t="str">
        <x:v>Lv3 / Lv6 / Lv9 / Lv11</x:v>
      </x:c>
      <x:c r="H51" s="22" t="str">
        <x:v>Universal, Market, Research, Risk</x:v>
      </x:c>
      <x:c r="I51" s="22" t="str">
        <x:v>Yes</x:v>
      </x:c>
      <x:c r="J51" s="22" t="n">
        <x:v>1</x:v>
      </x:c>
      <x:c r="K51" s="22" t="str">
        <x:v>Free</x:v>
      </x:c>
      <x:c r="L51" s="22" t="str">
        <x:v>Next relevant tick</x:v>
      </x:c>
      <x:c r="M51" s="22" t="str">
        <x:v>Yes</x:v>
      </x:c>
      <x:c r="N51" s="22" t="str">
        <x:v>No</x:v>
      </x:c>
      <x:c r="O51" s="22" t="str">
        <x:v>No</x:v>
      </x:c>
      <x:c r="P51" s="43" t="str">
        <x:v>Endgame loadout</x:v>
      </x:c>
    </x:row>
    <x:row r="52">
      <x:c r="A52" s="57" t="n">
        <x:v>49</x:v>
      </x:c>
      <x:c r="B52" s="22" t="str">
        <x:v>World Financial Exchange</x:v>
      </x:c>
      <x:c r="C52" s="22" t="str">
        <x:v>Exchange</x:v>
      </x:c>
      <x:c r="D52" s="22" t="str">
        <x:v>Tycoon</x:v>
      </x:c>
      <x:c r="E52" s="22" t="str">
        <x:v>Mythic</x:v>
      </x:c>
      <x:c r="F52" s="63" t="n">
        <x:v>4</x:v>
      </x:c>
      <x:c r="G52" s="22" t="str">
        <x:v>Lv3 / Lv6 / Lv9 / Lv11</x:v>
      </x:c>
      <x:c r="H52" s="22" t="str">
        <x:v>Universal, Market, Operations, Liquidity</x:v>
      </x:c>
      <x:c r="I52" s="22" t="str">
        <x:v>Yes</x:v>
      </x:c>
      <x:c r="J52" s="22" t="n">
        <x:v>1</x:v>
      </x:c>
      <x:c r="K52" s="22" t="str">
        <x:v>Free</x:v>
      </x:c>
      <x:c r="L52" s="22" t="str">
        <x:v>Next relevant tick</x:v>
      </x:c>
      <x:c r="M52" s="22" t="str">
        <x:v>Yes</x:v>
      </x:c>
      <x:c r="N52" s="22" t="str">
        <x:v>No</x:v>
      </x:c>
      <x:c r="O52" s="22" t="str">
        <x:v>No</x:v>
      </x:c>
      <x:c r="P52" s="43" t="str">
        <x:v>Endgame loadout</x:v>
      </x:c>
    </x:row>
    <x:row r="53">
      <x:c r="A53" s="58" t="n">
        <x:v>50</x:v>
      </x:c>
      <x:c r="B53" s="53" t="str">
        <x:v>Financial Empire Headquarters</x:v>
      </x:c>
      <x:c r="C53" s="53" t="str">
        <x:v>Multi-Service</x:v>
      </x:c>
      <x:c r="D53" s="53" t="str">
        <x:v>Tycoon</x:v>
      </x:c>
      <x:c r="E53" s="53" t="str">
        <x:v>Mythic</x:v>
      </x:c>
      <x:c r="F53" s="64" t="n">
        <x:v>4</x:v>
      </x:c>
      <x:c r="G53" s="53" t="str">
        <x:v>Lv3 / Lv6 / Lv9 / Lv11</x:v>
      </x:c>
      <x:c r="H53" s="53" t="str">
        <x:v>Universal, Customer, Operations, Risk</x:v>
      </x:c>
      <x:c r="I53" s="53" t="str">
        <x:v>Yes</x:v>
      </x:c>
      <x:c r="J53" s="53" t="n">
        <x:v>1</x:v>
      </x:c>
      <x:c r="K53" s="53" t="str">
        <x:v>Free</x:v>
      </x:c>
      <x:c r="L53" s="53" t="str">
        <x:v>Next relevant tick</x:v>
      </x:c>
      <x:c r="M53" s="53" t="str">
        <x:v>Yes</x:v>
      </x:c>
      <x:c r="N53" s="53" t="str">
        <x:v>No</x:v>
      </x:c>
      <x:c r="O53" s="53" t="str">
        <x:v>No</x:v>
      </x:c>
      <x:c r="P53" s="45" t="str">
        <x:v>Endgame loadout</x:v>
      </x:c>
    </x:row>
  </x:sheetData>
  <x:mergeCells>
    <x:mergeCell ref="A1:P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Module Rarity Philosophy &amp; Power Envelope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Module Rarity</x:v>
      </x:c>
      <x:c r="B3" s="14" t="str">
        <x:v>Primary Design</x:v>
      </x:c>
      <x:c r="C3" s="14" t="str">
        <x:v>Typical Positive Range</x:v>
      </x:c>
      <x:c r="D3" s="14" t="str">
        <x:v>Typical Risk/Tradeoff</x:v>
      </x:c>
      <x:c r="E3" s="14" t="str">
        <x:v>Conditionality</x:v>
      </x:c>
      <x:c r="F3" s="14" t="str">
        <x:v>Acquisition Frequency</x:v>
      </x:c>
      <x:c r="G3" s="14" t="str">
        <x:v>Craftable?</x:v>
      </x:c>
      <x:c r="H3" s="14" t="str">
        <x:v>Mastery Guarantee?</x:v>
      </x:c>
      <x:c r="I3" s="14" t="str">
        <x:v>Hunt Drop?</x:v>
      </x:c>
      <x:c r="J3" s="14" t="str">
        <x:v>Event Drop?</x:v>
      </x:c>
      <x:c r="K3" s="14" t="str">
        <x:v>Season Drop?</x:v>
      </x:c>
      <x:c r="L3" s="14" t="str">
        <x:v>Exact Power Superiority?</x:v>
      </x:c>
      <x:c r="M3" s="14" t="str">
        <x:v>Visual Treatment</x:v>
      </x:c>
      <x:c r="N3" s="14" t="str">
        <x:v>Notes</x:v>
      </x:c>
    </x:row>
    <x:row r="4">
      <x:c r="A4" s="40" t="str">
        <x:v>Common</x:v>
      </x:c>
      <x:c r="B4" s="52" t="str">
        <x:v>Single simple modifier</x:v>
      </x:c>
      <x:c r="C4" s="52" t="str">
        <x:v>+3% to +5% or -2 to -4 risk points</x:v>
      </x:c>
      <x:c r="D4" s="52" t="str">
        <x:v>Usually none</x:v>
      </x:c>
      <x:c r="E4" s="52" t="str">
        <x:v>Low</x:v>
      </x:c>
      <x:c r="F4" s="52" t="str">
        <x:v>Frequent</x:v>
      </x:c>
      <x:c r="G4" s="52" t="str">
        <x:v>Yes</x:v>
      </x:c>
      <x:c r="H4" s="52" t="str">
        <x:v>Yes — early mastery</x:v>
      </x:c>
      <x:c r="I4" s="52" t="str">
        <x:v>Yes</x:v>
      </x:c>
      <x:c r="J4" s="52" t="str">
        <x:v>Yes</x:v>
      </x:c>
      <x:c r="K4" s="52" t="str">
        <x:v>No special exclusivity</x:v>
      </x:c>
      <x:c r="L4" s="52" t="str">
        <x:v>No</x:v>
      </x:c>
      <x:c r="M4" s="52" t="str">
        <x:v>Plain frame</x:v>
      </x:c>
      <x:c r="N4" s="41" t="str">
        <x:v>Teaches system</x:v>
      </x:c>
    </x:row>
    <x:row r="5">
      <x:c r="A5" s="42" t="str">
        <x:v>Uncommon</x:v>
      </x:c>
      <x:c r="B5" s="22" t="str">
        <x:v>Stronger simple modifier or two small linked effects</x:v>
      </x:c>
      <x:c r="C5" s="22" t="str">
        <x:v>+5% to +8%</x:v>
      </x:c>
      <x:c r="D5" s="22" t="str">
        <x:v>Small or none</x:v>
      </x:c>
      <x:c r="E5" s="22" t="str">
        <x:v>Low</x:v>
      </x:c>
      <x:c r="F5" s="22" t="str">
        <x:v>Common</x:v>
      </x:c>
      <x:c r="G5" s="22" t="str">
        <x:v>Yes</x:v>
      </x:c>
      <x:c r="H5" s="22" t="str">
        <x:v>Yes</x:v>
      </x:c>
      <x:c r="I5" s="22" t="str">
        <x:v>Yes</x:v>
      </x:c>
      <x:c r="J5" s="22" t="str">
        <x:v>Yes</x:v>
      </x:c>
      <x:c r="K5" s="22" t="str">
        <x:v>Yes</x:v>
      </x:c>
      <x:c r="L5" s="22" t="str">
        <x:v>No</x:v>
      </x:c>
      <x:c r="M5" s="22" t="str">
        <x:v>Silver/blue accent</x:v>
      </x:c>
      <x:c r="N5" s="43" t="str"/>
    </x:row>
    <x:row r="6">
      <x:c r="A6" s="42" t="str">
        <x:v>Rare</x:v>
      </x:c>
      <x:c r="B6" s="22" t="str">
        <x:v>Meaningful specialization</x:v>
      </x:c>
      <x:c r="C6" s="22" t="str">
        <x:v>+8% to +12%</x:v>
      </x:c>
      <x:c r="D6" s="22" t="str">
        <x:v>Often -2% to -5% counter-effect or +2 to +5 risk</x:v>
      </x:c>
      <x:c r="E6" s="22" t="str">
        <x:v>Medium</x:v>
      </x:c>
      <x:c r="F6" s="22" t="str">
        <x:v>Moderate</x:v>
      </x:c>
      <x:c r="G6" s="22" t="str">
        <x:v>Yes</x:v>
      </x:c>
      <x:c r="H6" s="22" t="str">
        <x:v>Yes</x:v>
      </x:c>
      <x:c r="I6" s="22" t="str">
        <x:v>Yes</x:v>
      </x:c>
      <x:c r="J6" s="22" t="str">
        <x:v>Yes</x:v>
      </x:c>
      <x:c r="K6" s="22" t="str">
        <x:v>Yes</x:v>
      </x:c>
      <x:c r="L6" s="22" t="str">
        <x:v>No</x:v>
      </x:c>
      <x:c r="M6" s="22" t="str">
        <x:v>Purple accent</x:v>
      </x:c>
      <x:c r="N6" s="43" t="str"/>
    </x:row>
    <x:row r="7">
      <x:c r="A7" s="42" t="str">
        <x:v>Epic</x:v>
      </x:c>
      <x:c r="B7" s="22" t="str">
        <x:v>Strategic conditional sidegrade</x:v>
      </x:c>
      <x:c r="C7" s="22" t="str">
        <x:v>+10% to +15% when condition is met</x:v>
      </x:c>
      <x:c r="D7" s="22" t="str">
        <x:v>Clear tradeoff if condition fails</x:v>
      </x:c>
      <x:c r="E7" s="22" t="str">
        <x:v>High</x:v>
      </x:c>
      <x:c r="F7" s="22" t="str">
        <x:v>Low</x:v>
      </x:c>
      <x:c r="G7" s="22" t="str">
        <x:v>Yes with mastery gate</x:v>
      </x:c>
      <x:c r="H7" s="22" t="str">
        <x:v>Some high mastery</x:v>
      </x:c>
      <x:c r="I7" s="22" t="str">
        <x:v>Hard/Elite</x:v>
      </x:c>
      <x:c r="J7" s="22" t="str">
        <x:v>Major events</x:v>
      </x:c>
      <x:c r="K7" s="22" t="str">
        <x:v>Season sidegrades</x:v>
      </x:c>
      <x:c r="L7" s="22" t="str">
        <x:v>No</x:v>
      </x:c>
      <x:c r="M7" s="22" t="str">
        <x:v>Gold/purple animated accent</x:v>
      </x:c>
      <x:c r="N7" s="43" t="str"/>
    </x:row>
    <x:row r="8">
      <x:c r="A8" s="44" t="str">
        <x:v>Legendary</x:v>
      </x:c>
      <x:c r="B8" s="53" t="str">
        <x:v>Rule-changing specialization, not raw stat bomb</x:v>
      </x:c>
      <x:c r="C8" s="53" t="str">
        <x:v>Usually capped around +12% equivalent value</x:v>
      </x:c>
      <x:c r="D8" s="53" t="str">
        <x:v>Meaningful condition/tradeoff</x:v>
      </x:c>
      <x:c r="E8" s="53" t="str">
        <x:v>Very high</x:v>
      </x:c>
      <x:c r="F8" s="53" t="str">
        <x:v>Very low</x:v>
      </x:c>
      <x:c r="G8" s="53" t="str">
        <x:v>Yes with strong mastery + Parts</x:v>
      </x:c>
      <x:c r="H8" s="53" t="str">
        <x:v>Top mastery / milestone</x:v>
      </x:c>
      <x:c r="I8" s="53" t="str">
        <x:v>Elite/Jackpot very low</x:v>
      </x:c>
      <x:c r="J8" s="53" t="str">
        <x:v>Major themed event</x:v>
      </x:c>
      <x:c r="K8" s="53" t="str">
        <x:v>Season variant possible</x:v>
      </x:c>
      <x:c r="L8" s="53" t="str">
        <x:v>No</x:v>
      </x:c>
      <x:c r="M8" s="53" t="str">
        <x:v>Unique premium frame</x:v>
      </x:c>
      <x:c r="N8" s="45" t="str">
        <x:v>Maximum one per building</x:v>
      </x:c>
    </x:row>
    <x:row r="10" ht="22" customHeight="1">
      <x:c r="A10" s="11" t="str">
        <x:v>Hard Power Caps Per Building from Modules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4" t="str">
        <x:v>Effect Family</x:v>
      </x:c>
      <x:c r="B11" s="14" t="str">
        <x:v>Positive Cap</x:v>
      </x:c>
      <x:c r="C11" s="14" t="str">
        <x:v>Negative/Reduction Cap</x:v>
      </x:c>
      <x:c r="D11" s="14" t="str">
        <x:v>Why</x:v>
      </x:c>
      <x:c r="E11" s="14" t="str">
        <x:v>Applies After Diminishing Returns?</x:v>
      </x:c>
      <x:c r="F11" s="14" t="str">
        <x:v>Tradeoff Penalties Capped?</x:v>
      </x:c>
      <x:c r="G11" s="14" t="str">
        <x:v>Performance Direct?</x:v>
      </x:c>
      <x:c r="H11" s="14" t="str">
        <x:v>Notes</x:v>
      </x:c>
    </x:row>
    <x:row r="12">
      <x:c r="A12" s="40" t="str">
        <x:v>Customer acquisition</x:v>
      </x:c>
      <x:c r="B12" s="68" t="n">
        <x:v>0.25</x:v>
      </x:c>
      <x:c r="C12" s="52" t="str">
        <x:v>N/A</x:v>
      </x:c>
      <x:c r="D12" s="52" t="str">
        <x:v>Avoid exponential demand growth</x:v>
      </x:c>
      <x:c r="E12" s="52" t="str">
        <x:v>Yes</x:v>
      </x:c>
      <x:c r="F12" s="52" t="str">
        <x:v>No</x:v>
      </x:c>
      <x:c r="G12" s="52" t="str">
        <x:v>No</x:v>
      </x:c>
      <x:c r="H12" s="41" t="str"/>
    </x:row>
    <x:row r="13">
      <x:c r="A13" s="42" t="str">
        <x:v>Retention</x:v>
      </x:c>
      <x:c r="B13" s="69" t="n">
        <x:v>0.15</x:v>
      </x:c>
      <x:c r="C13" s="22" t="str">
        <x:v>N/A</x:v>
      </x:c>
      <x:c r="D13" s="22" t="str">
        <x:v>Keep churn meaningful</x:v>
      </x:c>
      <x:c r="E13" s="22" t="str">
        <x:v>Yes</x:v>
      </x:c>
      <x:c r="F13" s="22" t="str">
        <x:v>No</x:v>
      </x:c>
      <x:c r="G13" s="22" t="str">
        <x:v>No</x:v>
      </x:c>
      <x:c r="H13" s="43" t="str"/>
    </x:row>
    <x:row r="14">
      <x:c r="A14" s="42" t="str">
        <x:v>Capacity</x:v>
      </x:c>
      <x:c r="B14" s="69" t="n">
        <x:v>0.2</x:v>
      </x:c>
      <x:c r="C14" s="22" t="str">
        <x:v>N/A</x:v>
      </x:c>
      <x:c r="D14" s="22" t="str">
        <x:v>Upgrades/layout must remain important</x:v>
      </x:c>
      <x:c r="E14" s="22" t="str">
        <x:v>Yes</x:v>
      </x:c>
      <x:c r="F14" s="22" t="str">
        <x:v>No</x:v>
      </x:c>
      <x:c r="G14" s="22" t="str">
        <x:v>No</x:v>
      </x:c>
      <x:c r="H14" s="43" t="str"/>
    </x:row>
    <x:row r="15">
      <x:c r="A15" s="42" t="str">
        <x:v>Activity efficiency</x:v>
      </x:c>
      <x:c r="B15" s="69" t="n">
        <x:v>0.15</x:v>
      </x:c>
      <x:c r="C15" s="22" t="str">
        <x:v>N/A</x:v>
      </x:c>
      <x:c r="D15" s="22" t="str">
        <x:v>Prevent Modules becoming score multipliers</x:v>
      </x:c>
      <x:c r="E15" s="22" t="str">
        <x:v>Yes</x:v>
      </x:c>
      <x:c r="F15" s="22" t="str">
        <x:v>No</x:v>
      </x:c>
      <x:c r="G15" s="22" t="str">
        <x:v>No</x:v>
      </x:c>
      <x:c r="H15" s="43" t="str"/>
    </x:row>
    <x:row r="16">
      <x:c r="A16" s="42" t="str">
        <x:v>Operating-cost efficiency</x:v>
      </x:c>
      <x:c r="B16" s="69" t="n">
        <x:v>0.12</x:v>
      </x:c>
      <x:c r="C16" s="22" t="str">
        <x:v>N/A</x:v>
      </x:c>
      <x:c r="D16" s="22" t="str">
        <x:v>Cash sinks remain relevant</x:v>
      </x:c>
      <x:c r="E16" s="22" t="str">
        <x:v>Yes</x:v>
      </x:c>
      <x:c r="F16" s="22" t="str">
        <x:v>No</x:v>
      </x:c>
      <x:c r="G16" s="22" t="str">
        <x:v>No</x:v>
      </x:c>
      <x:c r="H16" s="43" t="str"/>
    </x:row>
    <x:row r="17">
      <x:c r="A17" s="42" t="str">
        <x:v>Risk reduction</x:v>
      </x:c>
      <x:c r="B17" s="22" t="str">
        <x:v>N/A</x:v>
      </x:c>
      <x:c r="C17" s="22" t="n">
        <x:v>-15</x:v>
      </x:c>
      <x:c r="D17" s="22" t="str">
        <x:v>Risk management must still require operations/layout</x:v>
      </x:c>
      <x:c r="E17" s="22" t="str">
        <x:v>Yes</x:v>
      </x:c>
      <x:c r="F17" s="22" t="str">
        <x:v>No</x:v>
      </x:c>
      <x:c r="G17" s="22" t="str">
        <x:v>No</x:v>
      </x:c>
      <x:c r="H17" s="43" t="str">
        <x:v>Risk point cap across all Modules</x:v>
      </x:c>
    </x:row>
    <x:row r="18">
      <x:c r="A18" s="42" t="str">
        <x:v>Service quality</x:v>
      </x:c>
      <x:c r="B18" s="22" t="n">
        <x:v>10</x:v>
      </x:c>
      <x:c r="C18" s="22" t="str">
        <x:v>N/A</x:v>
      </x:c>
      <x:c r="D18" s="22" t="str">
        <x:v>Reputation and operations remain meaningful</x:v>
      </x:c>
      <x:c r="E18" s="22" t="str">
        <x:v>Yes</x:v>
      </x:c>
      <x:c r="F18" s="22" t="str">
        <x:v>No</x:v>
      </x:c>
      <x:c r="G18" s="22" t="str">
        <x:v>No</x:v>
      </x:c>
      <x:c r="H18" s="43" t="str">
        <x:v>Absolute service points</x:v>
      </x:c>
    </x:row>
    <x:row r="19">
      <x:c r="A19" s="44" t="str">
        <x:v>Event resilience</x:v>
      </x:c>
      <x:c r="B19" s="72" t="n">
        <x:v>0.2</x:v>
      </x:c>
      <x:c r="C19" s="53" t="str">
        <x:v>N/A</x:v>
      </x:c>
      <x:c r="D19" s="53" t="str">
        <x:v>Events still create decisions</x:v>
      </x:c>
      <x:c r="E19" s="53" t="str">
        <x:v>Yes</x:v>
      </x:c>
      <x:c r="F19" s="53" t="str">
        <x:v>No</x:v>
      </x:c>
      <x:c r="G19" s="53" t="str">
        <x:v>No</x:v>
      </x:c>
      <x:c r="H19" s="45" t="str">
        <x:v>Cannot nullify an event completely</x:v>
      </x:c>
    </x:row>
  </x:sheetData>
  <x:mergeCells>
    <x:mergeCell ref="A1:N1"/>
    <x:mergeCell ref="A10:N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34" hidden="0" customWidth="1"/>
    <x:col min="5" max="5" width="34" hidden="0" customWidth="1"/>
    <x:col min="6" max="6" width="34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Example Module Catalog — v1.0 Balance Library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</x:row>
    <x:row r="3">
      <x:c r="A3" s="14" t="str">
        <x:v>Module</x:v>
      </x:c>
      <x:c r="B3" s="14" t="str">
        <x:v>Rarity</x:v>
      </x:c>
      <x:c r="C3" s="14" t="str">
        <x:v>Category</x:v>
      </x:c>
      <x:c r="D3" s="14" t="str">
        <x:v>Compatible Building Families</x:v>
      </x:c>
      <x:c r="E3" s="14" t="str">
        <x:v>Primary Effect</x:v>
      </x:c>
      <x:c r="F3" s="14" t="str">
        <x:v>Tradeoff / Condition</x:v>
      </x:c>
      <x:c r="G3" s="14" t="str">
        <x:v>Stacking Group</x:v>
      </x:c>
      <x:c r="H3" s="14" t="str">
        <x:v>Craft Parts Tier</x:v>
      </x:c>
      <x:c r="I3" s="14" t="str">
        <x:v>Craft Cost</x:v>
      </x:c>
      <x:c r="J3" s="14" t="str">
        <x:v>Mastery Source</x:v>
      </x:c>
      <x:c r="K3" s="14" t="str">
        <x:v>Hunt Difficulty</x:v>
      </x:c>
      <x:c r="L3" s="14" t="str">
        <x:v>Event Source</x:v>
      </x:c>
      <x:c r="M3" s="14" t="str">
        <x:v>Cash-Pack Eligible?</x:v>
      </x:c>
      <x:c r="N3" s="14" t="str">
        <x:v>Direct Performance?</x:v>
      </x:c>
      <x:c r="O3" s="14" t="str">
        <x:v>Direct PLOT?</x:v>
      </x:c>
      <x:c r="P3" s="14" t="str">
        <x:v>Design Role</x:v>
      </x:c>
      <x:c r="Q3" s="14" t="str">
        <x:v>Notes</x:v>
      </x:c>
    </x:row>
    <x:row r="4">
      <x:c r="A4" s="40" t="str">
        <x:v>Customer Signage</x:v>
      </x:c>
      <x:c r="B4" s="52" t="str">
        <x:v>Common</x:v>
      </x:c>
      <x:c r="C4" s="52" t="str">
        <x:v>Customer</x:v>
      </x:c>
      <x:c r="D4" s="52" t="str">
        <x:v>All customer-facing</x:v>
      </x:c>
      <x:c r="E4" s="52" t="str">
        <x:v>+4% customer acquisition</x:v>
      </x:c>
      <x:c r="F4" s="52" t="str">
        <x:v>None</x:v>
      </x:c>
      <x:c r="G4" s="52" t="str">
        <x:v>Acquisition</x:v>
      </x:c>
      <x:c r="H4" s="52" t="str">
        <x:v>Common Parts</x:v>
      </x:c>
      <x:c r="I4" s="62" t="n">
        <x:v>25</x:v>
      </x:c>
      <x:c r="J4" s="52" t="str">
        <x:v>Mastery I</x:v>
      </x:c>
      <x:c r="K4" s="52" t="str">
        <x:v>Easy+</x:v>
      </x:c>
      <x:c r="L4" s="52" t="str">
        <x:v>Retail Rush</x:v>
      </x:c>
      <x:c r="M4" s="52" t="str">
        <x:v>Yes</x:v>
      </x:c>
      <x:c r="N4" s="52" t="str">
        <x:v>No</x:v>
      </x:c>
      <x:c r="O4" s="52" t="str">
        <x:v>No</x:v>
      </x:c>
      <x:c r="P4" s="52" t="str">
        <x:v>Simple growth</x:v>
      </x:c>
      <x:c r="Q4" s="41" t="str"/>
    </x:row>
    <x:row r="5">
      <x:c r="A5" s="42" t="str">
        <x:v>Queue Optimizer</x:v>
      </x:c>
      <x:c r="B5" s="22" t="str">
        <x:v>Common</x:v>
      </x:c>
      <x:c r="C5" s="22" t="str">
        <x:v>Operations</x:v>
      </x:c>
      <x:c r="D5" s="22" t="str">
        <x:v>All</x:v>
      </x:c>
      <x:c r="E5" s="22" t="str">
        <x:v>+5% capacity</x:v>
      </x:c>
      <x:c r="F5" s="22" t="str">
        <x:v>None</x:v>
      </x:c>
      <x:c r="G5" s="22" t="str">
        <x:v>Capacity</x:v>
      </x:c>
      <x:c r="H5" s="22" t="str">
        <x:v>Common Parts</x:v>
      </x:c>
      <x:c r="I5" s="63" t="n">
        <x:v>25</x:v>
      </x:c>
      <x:c r="J5" s="22" t="str">
        <x:v>Mastery I</x:v>
      </x:c>
      <x:c r="K5" s="22" t="str">
        <x:v>Easy+</x:v>
      </x:c>
      <x:c r="L5" s="22" t="str">
        <x:v>Service Surge</x:v>
      </x:c>
      <x:c r="M5" s="22" t="str">
        <x:v>Yes</x:v>
      </x:c>
      <x:c r="N5" s="22" t="str">
        <x:v>No</x:v>
      </x:c>
      <x:c r="O5" s="22" t="str">
        <x:v>No</x:v>
      </x:c>
      <x:c r="P5" s="22" t="str">
        <x:v>Capacity teaching</x:v>
      </x:c>
      <x:c r="Q5" s="43" t="str"/>
    </x:row>
    <x:row r="6">
      <x:c r="A6" s="42" t="str">
        <x:v>Service Playbook</x:v>
      </x:c>
      <x:c r="B6" s="22" t="str">
        <x:v>Common</x:v>
      </x:c>
      <x:c r="C6" s="22" t="str">
        <x:v>Service</x:v>
      </x:c>
      <x:c r="D6" s="22" t="str">
        <x:v>All customer-facing</x:v>
      </x:c>
      <x:c r="E6" s="22" t="str">
        <x:v>+3 Service Quality</x:v>
      </x:c>
      <x:c r="F6" s="22" t="str">
        <x:v>None</x:v>
      </x:c>
      <x:c r="G6" s="22" t="str">
        <x:v>Service</x:v>
      </x:c>
      <x:c r="H6" s="22" t="str">
        <x:v>Common Parts</x:v>
      </x:c>
      <x:c r="I6" s="63" t="n">
        <x:v>25</x:v>
      </x:c>
      <x:c r="J6" s="22" t="str">
        <x:v>Mastery I</x:v>
      </x:c>
      <x:c r="K6" s="22" t="str">
        <x:v>Easy+</x:v>
      </x:c>
      <x:c r="L6" s="22" t="str">
        <x:v>Customer Week</x:v>
      </x:c>
      <x:c r="M6" s="22" t="str">
        <x:v>Yes</x:v>
      </x:c>
      <x:c r="N6" s="22" t="str">
        <x:v>No</x:v>
      </x:c>
      <x:c r="O6" s="22" t="str">
        <x:v>No</x:v>
      </x:c>
      <x:c r="P6" s="22" t="str">
        <x:v>Retention teaching</x:v>
      </x:c>
      <x:c r="Q6" s="43" t="str"/>
    </x:row>
    <x:row r="7">
      <x:c r="A7" s="42" t="str">
        <x:v>Risk Checklist</x:v>
      </x:c>
      <x:c r="B7" s="22" t="str">
        <x:v>Common</x:v>
      </x:c>
      <x:c r="C7" s="22" t="str">
        <x:v>Risk</x:v>
      </x:c>
      <x:c r="D7" s="22" t="str">
        <x:v>All</x:v>
      </x:c>
      <x:c r="E7" s="22" t="str">
        <x:v>-3 Operational Risk</x:v>
      </x:c>
      <x:c r="F7" s="22" t="str">
        <x:v>None</x:v>
      </x:c>
      <x:c r="G7" s="22" t="str">
        <x:v>Operational Risk</x:v>
      </x:c>
      <x:c r="H7" s="22" t="str">
        <x:v>Common Parts</x:v>
      </x:c>
      <x:c r="I7" s="63" t="n">
        <x:v>25</x:v>
      </x:c>
      <x:c r="J7" s="22" t="str">
        <x:v>Mastery I</x:v>
      </x:c>
      <x:c r="K7" s="22" t="str">
        <x:v>Easy+</x:v>
      </x:c>
      <x:c r="L7" s="22" t="str">
        <x:v>System Audit</x:v>
      </x:c>
      <x:c r="M7" s="22" t="str">
        <x:v>Yes</x:v>
      </x:c>
      <x:c r="N7" s="22" t="str">
        <x:v>No</x:v>
      </x:c>
      <x:c r="O7" s="22" t="str">
        <x:v>No</x:v>
      </x:c>
      <x:c r="P7" s="22" t="str">
        <x:v>Risk teaching</x:v>
      </x:c>
      <x:c r="Q7" s="43" t="str"/>
    </x:row>
    <x:row r="8">
      <x:c r="A8" s="42" t="str">
        <x:v>Reserve Discipline</x:v>
      </x:c>
      <x:c r="B8" s="22" t="str">
        <x:v>Common</x:v>
      </x:c>
      <x:c r="C8" s="22" t="str">
        <x:v>Liquidity</x:v>
      </x:c>
      <x:c r="D8" s="22" t="str">
        <x:v>Banking, Treasury, FX, Exchange, Market Making</x:v>
      </x:c>
      <x:c r="E8" s="22" t="str">
        <x:v>-4 Liquidity Risk</x:v>
      </x:c>
      <x:c r="F8" s="22" t="str">
        <x:v>-2% activity</x:v>
      </x:c>
      <x:c r="G8" s="22" t="str">
        <x:v>Liquidity Risk</x:v>
      </x:c>
      <x:c r="H8" s="22" t="str">
        <x:v>Common Parts</x:v>
      </x:c>
      <x:c r="I8" s="63" t="n">
        <x:v>25</x:v>
      </x:c>
      <x:c r="J8" s="22" t="str">
        <x:v>Mastery I</x:v>
      </x:c>
      <x:c r="K8" s="22" t="str">
        <x:v>Standard+</x:v>
      </x:c>
      <x:c r="L8" s="22" t="str">
        <x:v>Liquidity Event</x:v>
      </x:c>
      <x:c r="M8" s="22" t="str">
        <x:v>Yes</x:v>
      </x:c>
      <x:c r="N8" s="22" t="str">
        <x:v>No</x:v>
      </x:c>
      <x:c r="O8" s="22" t="str">
        <x:v>No</x:v>
      </x:c>
      <x:c r="P8" s="22" t="str">
        <x:v>Defensive choice</x:v>
      </x:c>
      <x:c r="Q8" s="43" t="str"/>
    </x:row>
    <x:row r="9">
      <x:c r="A9" s="42" t="str">
        <x:v>Lean Operations</x:v>
      </x:c>
      <x:c r="B9" s="22" t="str">
        <x:v>Uncommon</x:v>
      </x:c>
      <x:c r="C9" s="22" t="str">
        <x:v>Operations</x:v>
      </x:c>
      <x:c r="D9" s="22" t="str">
        <x:v>All</x:v>
      </x:c>
      <x:c r="E9" s="22" t="str">
        <x:v>-6% operating cost</x:v>
      </x:c>
      <x:c r="F9" s="22" t="str">
        <x:v>-2 Service Quality</x:v>
      </x:c>
      <x:c r="G9" s="22" t="str">
        <x:v>Cost Efficiency</x:v>
      </x:c>
      <x:c r="H9" s="22" t="str">
        <x:v>Uncommon Parts</x:v>
      </x:c>
      <x:c r="I9" s="63" t="n">
        <x:v>60</x:v>
      </x:c>
      <x:c r="J9" s="22" t="str">
        <x:v>Mastery II</x:v>
      </x:c>
      <x:c r="K9" s="22" t="str">
        <x:v>Standard+</x:v>
      </x:c>
      <x:c r="L9" s="22" t="str">
        <x:v>Efficiency Drive</x:v>
      </x:c>
      <x:c r="M9" s="22" t="str">
        <x:v>Yes</x:v>
      </x:c>
      <x:c r="N9" s="22" t="str">
        <x:v>No</x:v>
      </x:c>
      <x:c r="O9" s="22" t="str">
        <x:v>No</x:v>
      </x:c>
      <x:c r="P9" s="22" t="str">
        <x:v>Cash-efficiency sidegrade</x:v>
      </x:c>
      <x:c r="Q9" s="43" t="str"/>
    </x:row>
    <x:row r="10">
      <x:c r="A10" s="42" t="str">
        <x:v>SME Relationship Desk</x:v>
      </x:c>
      <x:c r="B10" s="22" t="str">
        <x:v>Uncommon</x:v>
      </x:c>
      <x:c r="C10" s="22" t="str">
        <x:v>Customer</x:v>
      </x:c>
      <x:c r="D10" s="22" t="str">
        <x:v>Banking, Lending, Advisory</x:v>
      </x:c>
      <x:c r="E10" s="22" t="str">
        <x:v>+8% Small Business acquisition</x:v>
      </x:c>
      <x:c r="F10" s="22" t="str">
        <x:v>-3% General Consumer acquisition</x:v>
      </x:c>
      <x:c r="G10" s="22" t="str">
        <x:v>SME Acquisition</x:v>
      </x:c>
      <x:c r="H10" s="22" t="str">
        <x:v>Uncommon Parts</x:v>
      </x:c>
      <x:c r="I10" s="63" t="n">
        <x:v>60</x:v>
      </x:c>
      <x:c r="J10" s="22" t="str">
        <x:v>Mastery II</x:v>
      </x:c>
      <x:c r="K10" s="22" t="str">
        <x:v>Standard+</x:v>
      </x:c>
      <x:c r="L10" s="22" t="str">
        <x:v>SME Boom</x:v>
      </x:c>
      <x:c r="M10" s="22" t="str">
        <x:v>Yes</x:v>
      </x:c>
      <x:c r="N10" s="22" t="str">
        <x:v>No</x:v>
      </x:c>
      <x:c r="O10" s="22" t="str">
        <x:v>No</x:v>
      </x:c>
      <x:c r="P10" s="22" t="str">
        <x:v>Segment specialization</x:v>
      </x:c>
      <x:c r="Q10" s="43" t="str"/>
    </x:row>
    <x:row r="11">
      <x:c r="A11" s="42" t="str">
        <x:v>Retail Investor Campaign</x:v>
      </x:c>
      <x:c r="B11" s="22" t="str">
        <x:v>Uncommon</x:v>
      </x:c>
      <x:c r="C11" s="22" t="str">
        <x:v>Customer</x:v>
      </x:c>
      <x:c r="D11" s="22" t="str">
        <x:v>Brokerage, Trading, Advisory</x:v>
      </x:c>
      <x:c r="E11" s="22" t="str">
        <x:v>+8% Retail Investor acquisition</x:v>
      </x:c>
      <x:c r="F11" s="22" t="str">
        <x:v>+2 Reputation Risk if Service &lt;60</x:v>
      </x:c>
      <x:c r="G11" s="22" t="str">
        <x:v>Retail Acquisition</x:v>
      </x:c>
      <x:c r="H11" s="22" t="str">
        <x:v>Uncommon Parts</x:v>
      </x:c>
      <x:c r="I11" s="63" t="n">
        <x:v>60</x:v>
      </x:c>
      <x:c r="J11" s="22" t="str">
        <x:v>Mastery II</x:v>
      </x:c>
      <x:c r="K11" s="22" t="str">
        <x:v>Standard+</x:v>
      </x:c>
      <x:c r="L11" s="22" t="str">
        <x:v>Retail Investor Rush</x:v>
      </x:c>
      <x:c r="M11" s="22" t="str">
        <x:v>Yes</x:v>
      </x:c>
      <x:c r="N11" s="22" t="str">
        <x:v>No</x:v>
      </x:c>
      <x:c r="O11" s="22" t="str">
        <x:v>No</x:v>
      </x:c>
      <x:c r="P11" s="22" t="str">
        <x:v>Retail specialization</x:v>
      </x:c>
      <x:c r="Q11" s="43" t="str"/>
    </x:row>
    <x:row r="12">
      <x:c r="A12" s="42" t="str">
        <x:v>Claims Automation</x:v>
      </x:c>
      <x:c r="B12" s="22" t="str">
        <x:v>Uncommon</x:v>
      </x:c>
      <x:c r="C12" s="22" t="str">
        <x:v>Service</x:v>
      </x:c>
      <x:c r="D12" s="22" t="str">
        <x:v>Insurance</x:v>
      </x:c>
      <x:c r="E12" s="22" t="str">
        <x:v>+5 Service Quality; -3 Operational Risk</x:v>
      </x:c>
      <x:c r="F12" s="22" t="str">
        <x:v>None</x:v>
      </x:c>
      <x:c r="G12" s="22" t="str">
        <x:v>Service</x:v>
      </x:c>
      <x:c r="H12" s="22" t="str">
        <x:v>Uncommon Parts</x:v>
      </x:c>
      <x:c r="I12" s="63" t="n">
        <x:v>60</x:v>
      </x:c>
      <x:c r="J12" s="22" t="str">
        <x:v>Mastery II</x:v>
      </x:c>
      <x:c r="K12" s="22" t="str">
        <x:v>Standard+</x:v>
      </x:c>
      <x:c r="L12" s="22" t="str">
        <x:v>Claims Wave</x:v>
      </x:c>
      <x:c r="M12" s="22" t="str">
        <x:v>Yes</x:v>
      </x:c>
      <x:c r="N12" s="22" t="str">
        <x:v>No</x:v>
      </x:c>
      <x:c r="O12" s="22" t="str">
        <x:v>No</x:v>
      </x:c>
      <x:c r="P12" s="22" t="str">
        <x:v>Insurance efficiency</x:v>
      </x:c>
      <x:c r="Q12" s="43" t="str"/>
    </x:row>
    <x:row r="13">
      <x:c r="A13" s="42" t="str">
        <x:v>Smart Order Routing</x:v>
      </x:c>
      <x:c r="B13" s="22" t="str">
        <x:v>Uncommon</x:v>
      </x:c>
      <x:c r="C13" s="22" t="str">
        <x:v>Market</x:v>
      </x:c>
      <x:c r="D13" s="22" t="str">
        <x:v>Trading, Brokerage, Exchange, Market Making</x:v>
      </x:c>
      <x:c r="E13" s="22" t="str">
        <x:v>+7% transaction capacity</x:v>
      </x:c>
      <x:c r="F13" s="22" t="str">
        <x:v>None</x:v>
      </x:c>
      <x:c r="G13" s="22" t="str">
        <x:v>Capacity</x:v>
      </x:c>
      <x:c r="H13" s="22" t="str">
        <x:v>Uncommon Parts</x:v>
      </x:c>
      <x:c r="I13" s="63" t="n">
        <x:v>60</x:v>
      </x:c>
      <x:c r="J13" s="22" t="str">
        <x:v>Mastery II</x:v>
      </x:c>
      <x:c r="K13" s="22" t="str">
        <x:v>Standard+</x:v>
      </x:c>
      <x:c r="L13" s="22" t="str">
        <x:v>Market Volume Week</x:v>
      </x:c>
      <x:c r="M13" s="22" t="str">
        <x:v>Yes</x:v>
      </x:c>
      <x:c r="N13" s="22" t="str">
        <x:v>No</x:v>
      </x:c>
      <x:c r="O13" s="22" t="str">
        <x:v>No</x:v>
      </x:c>
      <x:c r="P13" s="22" t="str">
        <x:v>Trading infrastructure</x:v>
      </x:c>
      <x:c r="Q13" s="43" t="str"/>
    </x:row>
    <x:row r="14">
      <x:c r="A14" s="42" t="str">
        <x:v>Conservative Underwriting</x:v>
      </x:c>
      <x:c r="B14" s="22" t="str">
        <x:v>Uncommon</x:v>
      </x:c>
      <x:c r="C14" s="22" t="str">
        <x:v>Credit</x:v>
      </x:c>
      <x:c r="D14" s="22" t="str">
        <x:v>Lending, Banking</x:v>
      </x:c>
      <x:c r="E14" s="22" t="str">
        <x:v>-6 Credit Risk</x:v>
      </x:c>
      <x:c r="F14" s="22" t="str">
        <x:v>-5% lending activity</x:v>
      </x:c>
      <x:c r="G14" s="22" t="str">
        <x:v>Credit Risk</x:v>
      </x:c>
      <x:c r="H14" s="22" t="str">
        <x:v>Uncommon Parts</x:v>
      </x:c>
      <x:c r="I14" s="63" t="n">
        <x:v>60</x:v>
      </x:c>
      <x:c r="J14" s="22" t="str">
        <x:v>Mastery II</x:v>
      </x:c>
      <x:c r="K14" s="22" t="str">
        <x:v>Standard+</x:v>
      </x:c>
      <x:c r="L14" s="22" t="str">
        <x:v>Credit Shock</x:v>
      </x:c>
      <x:c r="M14" s="22" t="str">
        <x:v>Yes</x:v>
      </x:c>
      <x:c r="N14" s="22" t="str">
        <x:v>No</x:v>
      </x:c>
      <x:c r="O14" s="22" t="str">
        <x:v>No</x:v>
      </x:c>
      <x:c r="P14" s="22" t="str">
        <x:v>Defensive lending</x:v>
      </x:c>
      <x:c r="Q14" s="43" t="str"/>
    </x:row>
    <x:row r="15">
      <x:c r="A15" s="42" t="str">
        <x:v>Concierge Desk</x:v>
      </x:c>
      <x:c r="B15" s="22" t="str">
        <x:v>Uncommon</x:v>
      </x:c>
      <x:c r="C15" s="22" t="str">
        <x:v>Wealth</x:v>
      </x:c>
      <x:c r="D15" s="22" t="str">
        <x:v>Wealth, Private Banking, Advisory</x:v>
      </x:c>
      <x:c r="E15" s="22" t="str">
        <x:v>+8% HNW acquisition</x:v>
      </x:c>
      <x:c r="F15" s="22" t="str">
        <x:v>-4% General Consumer acquisition</x:v>
      </x:c>
      <x:c r="G15" s="22" t="str">
        <x:v>HNW Acquisition</x:v>
      </x:c>
      <x:c r="H15" s="22" t="str">
        <x:v>Uncommon Parts</x:v>
      </x:c>
      <x:c r="I15" s="63" t="n">
        <x:v>60</x:v>
      </x:c>
      <x:c r="J15" s="22" t="str">
        <x:v>Mastery II</x:v>
      </x:c>
      <x:c r="K15" s="22" t="str">
        <x:v>Standard+</x:v>
      </x:c>
      <x:c r="L15" s="22" t="str">
        <x:v>Wealth Week</x:v>
      </x:c>
      <x:c r="M15" s="22" t="str">
        <x:v>Yes</x:v>
      </x:c>
      <x:c r="N15" s="22" t="str">
        <x:v>No</x:v>
      </x:c>
      <x:c r="O15" s="22" t="str">
        <x:v>No</x:v>
      </x:c>
      <x:c r="P15" s="22" t="str">
        <x:v>Premium-client focus</x:v>
      </x:c>
      <x:c r="Q15" s="43" t="str"/>
    </x:row>
    <x:row r="16">
      <x:c r="A16" s="42" t="str">
        <x:v>Reserve Buffer</x:v>
      </x:c>
      <x:c r="B16" s="22" t="str">
        <x:v>Rare</x:v>
      </x:c>
      <x:c r="C16" s="22" t="str">
        <x:v>Liquidity</x:v>
      </x:c>
      <x:c r="D16" s="22" t="str">
        <x:v>Banking, Treasury, Market Making</x:v>
      </x:c>
      <x:c r="E16" s="22" t="str">
        <x:v>-8 Liquidity Risk</x:v>
      </x:c>
      <x:c r="F16" s="22" t="str">
        <x:v>-4% activity</x:v>
      </x:c>
      <x:c r="G16" s="22" t="str">
        <x:v>Liquidity Risk</x:v>
      </x:c>
      <x:c r="H16" s="22" t="str">
        <x:v>Rare Parts</x:v>
      </x:c>
      <x:c r="I16" s="63" t="n">
        <x:v>150</x:v>
      </x:c>
      <x:c r="J16" s="22" t="str">
        <x:v>Mastery III</x:v>
      </x:c>
      <x:c r="K16" s="22" t="str">
        <x:v>Hard+</x:v>
      </x:c>
      <x:c r="L16" s="22" t="str">
        <x:v>Liquidity Crunch</x:v>
      </x:c>
      <x:c r="M16" s="22" t="str">
        <x:v>No</x:v>
      </x:c>
      <x:c r="N16" s="22" t="str">
        <x:v>No</x:v>
      </x:c>
      <x:c r="O16" s="22" t="str">
        <x:v>No</x:v>
      </x:c>
      <x:c r="P16" s="22" t="str">
        <x:v>Strong defense</x:v>
      </x:c>
      <x:c r="Q16" s="43" t="str"/>
    </x:row>
    <x:row r="17">
      <x:c r="A17" s="42" t="str">
        <x:v>Growth Underwriting</x:v>
      </x:c>
      <x:c r="B17" s="22" t="str">
        <x:v>Rare</x:v>
      </x:c>
      <x:c r="C17" s="22" t="str">
        <x:v>Credit</x:v>
      </x:c>
      <x:c r="D17" s="22" t="str">
        <x:v>Lending, Banking</x:v>
      </x:c>
      <x:c r="E17" s="22" t="str">
        <x:v>+12% lending activity</x:v>
      </x:c>
      <x:c r="F17" s="22" t="str">
        <x:v>+6 Credit Risk</x:v>
      </x:c>
      <x:c r="G17" s="22" t="str">
        <x:v>Credit Growth</x:v>
      </x:c>
      <x:c r="H17" s="22" t="str">
        <x:v>Rare Parts</x:v>
      </x:c>
      <x:c r="I17" s="63" t="n">
        <x:v>150</x:v>
      </x:c>
      <x:c r="J17" s="22" t="str">
        <x:v>Mastery III</x:v>
      </x:c>
      <x:c r="K17" s="22" t="str">
        <x:v>Hard+</x:v>
      </x:c>
      <x:c r="L17" s="22" t="str">
        <x:v>Credit Boom</x:v>
      </x:c>
      <x:c r="M17" s="22" t="str">
        <x:v>No</x:v>
      </x:c>
      <x:c r="N17" s="22" t="str">
        <x:v>No</x:v>
      </x:c>
      <x:c r="O17" s="22" t="str">
        <x:v>No</x:v>
      </x:c>
      <x:c r="P17" s="22" t="str">
        <x:v>Aggressive lending</x:v>
      </x:c>
      <x:c r="Q17" s="43" t="str"/>
    </x:row>
    <x:row r="18">
      <x:c r="A18" s="42" t="str">
        <x:v>High Velocity Desk</x:v>
      </x:c>
      <x:c r="B18" s="22" t="str">
        <x:v>Rare</x:v>
      </x:c>
      <x:c r="C18" s="22" t="str">
        <x:v>Market</x:v>
      </x:c>
      <x:c r="D18" s="22" t="str">
        <x:v>Trading, Brokerage, Exchange</x:v>
      </x:c>
      <x:c r="E18" s="22" t="str">
        <x:v>+12% trading activity</x:v>
      </x:c>
      <x:c r="F18" s="22" t="str">
        <x:v>+6 Market Risk</x:v>
      </x:c>
      <x:c r="G18" s="22" t="str">
        <x:v>Market Activity</x:v>
      </x:c>
      <x:c r="H18" s="22" t="str">
        <x:v>Rare Parts</x:v>
      </x:c>
      <x:c r="I18" s="63" t="n">
        <x:v>150</x:v>
      </x:c>
      <x:c r="J18" s="22" t="str">
        <x:v>Mastery III</x:v>
      </x:c>
      <x:c r="K18" s="22" t="str">
        <x:v>Hard+</x:v>
      </x:c>
      <x:c r="L18" s="22" t="str">
        <x:v>Trading Frenzy</x:v>
      </x:c>
      <x:c r="M18" s="22" t="str">
        <x:v>No</x:v>
      </x:c>
      <x:c r="N18" s="22" t="str">
        <x:v>No</x:v>
      </x:c>
      <x:c r="O18" s="22" t="str">
        <x:v>No</x:v>
      </x:c>
      <x:c r="P18" s="22" t="str">
        <x:v>High-risk growth</x:v>
      </x:c>
      <x:c r="Q18" s="43" t="str"/>
    </x:row>
    <x:row r="19">
      <x:c r="A19" s="42" t="str">
        <x:v>Circuit Breaker</x:v>
      </x:c>
      <x:c r="B19" s="22" t="str">
        <x:v>Rare</x:v>
      </x:c>
      <x:c r="C19" s="22" t="str">
        <x:v>Risk</x:v>
      </x:c>
      <x:c r="D19" s="22" t="str">
        <x:v>Trading, Exchange, Market Making</x:v>
      </x:c>
      <x:c r="E19" s="22" t="str">
        <x:v>-8 Market Risk</x:v>
      </x:c>
      <x:c r="F19" s="22" t="str">
        <x:v>-6% trading activity</x:v>
      </x:c>
      <x:c r="G19" s="22" t="str">
        <x:v>Market Risk</x:v>
      </x:c>
      <x:c r="H19" s="22" t="str">
        <x:v>Rare Parts</x:v>
      </x:c>
      <x:c r="I19" s="63" t="n">
        <x:v>150</x:v>
      </x:c>
      <x:c r="J19" s="22" t="str">
        <x:v>Mastery III</x:v>
      </x:c>
      <x:c r="K19" s="22" t="str">
        <x:v>Hard+</x:v>
      </x:c>
      <x:c r="L19" s="22" t="str">
        <x:v>Market Correction</x:v>
      </x:c>
      <x:c r="M19" s="22" t="str">
        <x:v>No</x:v>
      </x:c>
      <x:c r="N19" s="22" t="str">
        <x:v>No</x:v>
      </x:c>
      <x:c r="O19" s="22" t="str">
        <x:v>No</x:v>
      </x:c>
      <x:c r="P19" s="22" t="str">
        <x:v>Defensive trading</x:v>
      </x:c>
      <x:c r="Q19" s="43" t="str"/>
    </x:row>
    <x:row r="20">
      <x:c r="A20" s="42" t="str">
        <x:v>Premium Relationship Team</x:v>
      </x:c>
      <x:c r="B20" s="22" t="str">
        <x:v>Rare</x:v>
      </x:c>
      <x:c r="C20" s="22" t="str">
        <x:v>Wealth</x:v>
      </x:c>
      <x:c r="D20" s="22" t="str">
        <x:v>Banking, Wealth, Private Banking</x:v>
      </x:c>
      <x:c r="E20" s="22" t="str">
        <x:v>+10% HNW retention</x:v>
      </x:c>
      <x:c r="F20" s="22" t="str">
        <x:v>-5% General Consumer acquisition</x:v>
      </x:c>
      <x:c r="G20" s="22" t="str">
        <x:v>HNW Retention</x:v>
      </x:c>
      <x:c r="H20" s="22" t="str">
        <x:v>Rare Parts</x:v>
      </x:c>
      <x:c r="I20" s="63" t="n">
        <x:v>150</x:v>
      </x:c>
      <x:c r="J20" s="22" t="str">
        <x:v>Mastery III</x:v>
      </x:c>
      <x:c r="K20" s="22" t="str">
        <x:v>Hard+</x:v>
      </x:c>
      <x:c r="L20" s="22" t="str">
        <x:v>Private Wealth Week</x:v>
      </x:c>
      <x:c r="M20" s="22" t="str">
        <x:v>No</x:v>
      </x:c>
      <x:c r="N20" s="22" t="str">
        <x:v>No</x:v>
      </x:c>
      <x:c r="O20" s="22" t="str">
        <x:v>No</x:v>
      </x:c>
      <x:c r="P20" s="22" t="str">
        <x:v>Retention specialization</x:v>
      </x:c>
      <x:c r="Q20" s="43" t="str"/>
    </x:row>
    <x:row r="21">
      <x:c r="A21" s="42" t="str">
        <x:v>Uptime Cluster</x:v>
      </x:c>
      <x:c r="B21" s="22" t="str">
        <x:v>Rare</x:v>
      </x:c>
      <x:c r="C21" s="22" t="str">
        <x:v>Operations</x:v>
      </x:c>
      <x:c r="D21" s="22" t="str">
        <x:v>Data, Fintech, Exchange, Trading</x:v>
      </x:c>
      <x:c r="E21" s="22" t="str">
        <x:v>+10% capacity; -4 Operational Risk</x:v>
      </x:c>
      <x:c r="F21" s="22" t="str">
        <x:v>-3% operating-cost efficiency</x:v>
      </x:c>
      <x:c r="G21" s="22" t="str">
        <x:v>Capacity</x:v>
      </x:c>
      <x:c r="H21" s="22" t="str">
        <x:v>Rare Parts</x:v>
      </x:c>
      <x:c r="I21" s="63" t="n">
        <x:v>150</x:v>
      </x:c>
      <x:c r="J21" s="22" t="str">
        <x:v>Mastery III</x:v>
      </x:c>
      <x:c r="K21" s="22" t="str">
        <x:v>Hard+</x:v>
      </x:c>
      <x:c r="L21" s="22" t="str">
        <x:v>System Outage</x:v>
      </x:c>
      <x:c r="M21" s="22" t="str">
        <x:v>No</x:v>
      </x:c>
      <x:c r="N21" s="22" t="str">
        <x:v>No</x:v>
      </x:c>
      <x:c r="O21" s="22" t="str">
        <x:v>No</x:v>
      </x:c>
      <x:c r="P21" s="22" t="str">
        <x:v>Infrastructure resilience</x:v>
      </x:c>
      <x:c r="Q21" s="43" t="str"/>
    </x:row>
    <x:row r="22">
      <x:c r="A22" s="42" t="str">
        <x:v>Diversified Mandate</x:v>
      </x:c>
      <x:c r="B22" s="22" t="str">
        <x:v>Rare</x:v>
      </x:c>
      <x:c r="C22" s="22" t="str">
        <x:v>Risk</x:v>
      </x:c>
      <x:c r="D22" s="22" t="str">
        <x:v>Asset Management, Wealth</x:v>
      </x:c>
      <x:c r="E22" s="22" t="str">
        <x:v>-6 Concentration Risk; +5% activity</x:v>
      </x:c>
      <x:c r="F22" s="22" t="str">
        <x:v>Benefit disabled if one segment &gt;70%</x:v>
      </x:c>
      <x:c r="G22" s="22" t="str">
        <x:v>Concentration</x:v>
      </x:c>
      <x:c r="H22" s="22" t="str">
        <x:v>Rare Parts</x:v>
      </x:c>
      <x:c r="I22" s="63" t="n">
        <x:v>150</x:v>
      </x:c>
      <x:c r="J22" s="22" t="str">
        <x:v>Mastery III</x:v>
      </x:c>
      <x:c r="K22" s="22" t="str">
        <x:v>Hard+</x:v>
      </x:c>
      <x:c r="L22" s="22" t="str">
        <x:v>Portfolio Rotation</x:v>
      </x:c>
      <x:c r="M22" s="22" t="str">
        <x:v>No</x:v>
      </x:c>
      <x:c r="N22" s="22" t="str">
        <x:v>No</x:v>
      </x:c>
      <x:c r="O22" s="22" t="str">
        <x:v>No</x:v>
      </x:c>
      <x:c r="P22" s="22" t="str">
        <x:v>Diversification payoff</x:v>
      </x:c>
      <x:c r="Q22" s="43" t="str"/>
    </x:row>
    <x:row r="23">
      <x:c r="A23" s="42" t="str">
        <x:v>Momentum Mandate</x:v>
      </x:c>
      <x:c r="B23" s="22" t="str">
        <x:v>Rare</x:v>
      </x:c>
      <x:c r="C23" s="22" t="str">
        <x:v>Market</x:v>
      </x:c>
      <x:c r="D23" s="22" t="str">
        <x:v>Asset Management, Trading</x:v>
      </x:c>
      <x:c r="E23" s="22" t="str">
        <x:v>+10% activity</x:v>
      </x:c>
      <x:c r="F23" s="22" t="str">
        <x:v>+5 Market Risk</x:v>
      </x:c>
      <x:c r="G23" s="22" t="str">
        <x:v>Market Activity</x:v>
      </x:c>
      <x:c r="H23" s="22" t="str">
        <x:v>Rare Parts</x:v>
      </x:c>
      <x:c r="I23" s="63" t="n">
        <x:v>150</x:v>
      </x:c>
      <x:c r="J23" s="22" t="str">
        <x:v>Mastery III</x:v>
      </x:c>
      <x:c r="K23" s="22" t="str">
        <x:v>Hard+</x:v>
      </x:c>
      <x:c r="L23" s="22" t="str">
        <x:v>Bull Market</x:v>
      </x:c>
      <x:c r="M23" s="22" t="str">
        <x:v>No</x:v>
      </x:c>
      <x:c r="N23" s="22" t="str">
        <x:v>No</x:v>
      </x:c>
      <x:c r="O23" s="22" t="str">
        <x:v>No</x:v>
      </x:c>
      <x:c r="P23" s="22" t="str">
        <x:v>Market exposure</x:v>
      </x:c>
      <x:c r="Q23" s="43" t="str"/>
    </x:row>
    <x:row r="24">
      <x:c r="A24" s="42" t="str">
        <x:v>Corporate Coverage Team</x:v>
      </x:c>
      <x:c r="B24" s="22" t="str">
        <x:v>Rare</x:v>
      </x:c>
      <x:c r="C24" s="22" t="str">
        <x:v>Institutional</x:v>
      </x:c>
      <x:c r="D24" s="22" t="str">
        <x:v>Investment Banking, Advisory, Banking</x:v>
      </x:c>
      <x:c r="E24" s="22" t="str">
        <x:v>+10% Corporate Client acquisition</x:v>
      </x:c>
      <x:c r="F24" s="22" t="str">
        <x:v>+3 Reputation Risk if Service &lt;70</x:v>
      </x:c>
      <x:c r="G24" s="22" t="str">
        <x:v>Corporate Acquisition</x:v>
      </x:c>
      <x:c r="H24" s="22" t="str">
        <x:v>Rare Parts</x:v>
      </x:c>
      <x:c r="I24" s="63" t="n">
        <x:v>150</x:v>
      </x:c>
      <x:c r="J24" s="22" t="str">
        <x:v>Mastery III</x:v>
      </x:c>
      <x:c r="K24" s="22" t="str">
        <x:v>Hard+</x:v>
      </x:c>
      <x:c r="L24" s="22" t="str">
        <x:v>M&amp;A Boom</x:v>
      </x:c>
      <x:c r="M24" s="22" t="str">
        <x:v>No</x:v>
      </x:c>
      <x:c r="N24" s="22" t="str">
        <x:v>No</x:v>
      </x:c>
      <x:c r="O24" s="22" t="str">
        <x:v>No</x:v>
      </x:c>
      <x:c r="P24" s="22" t="str">
        <x:v>Corporate specialization</x:v>
      </x:c>
      <x:c r="Q24" s="43" t="str"/>
    </x:row>
    <x:row r="25">
      <x:c r="A25" s="42" t="str">
        <x:v>Risk Pooling</x:v>
      </x:c>
      <x:c r="B25" s="22" t="str">
        <x:v>Rare</x:v>
      </x:c>
      <x:c r="C25" s="22" t="str">
        <x:v>Risk</x:v>
      </x:c>
      <x:c r="D25" s="22" t="str">
        <x:v>Insurance</x:v>
      </x:c>
      <x:c r="E25" s="22" t="str">
        <x:v>+8% retention; -4 Reputation Risk</x:v>
      </x:c>
      <x:c r="F25" s="22" t="str">
        <x:v>-3% acquisition</x:v>
      </x:c>
      <x:c r="G25" s="22" t="str">
        <x:v>Retention</x:v>
      </x:c>
      <x:c r="H25" s="22" t="str">
        <x:v>Rare Parts</x:v>
      </x:c>
      <x:c r="I25" s="63" t="n">
        <x:v>150</x:v>
      </x:c>
      <x:c r="J25" s="22" t="str">
        <x:v>Mastery III</x:v>
      </x:c>
      <x:c r="K25" s="22" t="str">
        <x:v>Hard+</x:v>
      </x:c>
      <x:c r="L25" s="22" t="str">
        <x:v>Insurance Cycle</x:v>
      </x:c>
      <x:c r="M25" s="22" t="str">
        <x:v>No</x:v>
      </x:c>
      <x:c r="N25" s="22" t="str">
        <x:v>No</x:v>
      </x:c>
      <x:c r="O25" s="22" t="str">
        <x:v>No</x:v>
      </x:c>
      <x:c r="P25" s="22" t="str">
        <x:v>Stable insurer</x:v>
      </x:c>
      <x:c r="Q25" s="43" t="str"/>
    </x:row>
    <x:row r="26">
      <x:c r="A26" s="42" t="str">
        <x:v>Deposit Sweep Engine</x:v>
      </x:c>
      <x:c r="B26" s="22" t="str">
        <x:v>Epic</x:v>
      </x:c>
      <x:c r="C26" s="22" t="str">
        <x:v>Liquidity</x:v>
      </x:c>
      <x:c r="D26" s="22" t="str">
        <x:v>Banking, Treasury</x:v>
      </x:c>
      <x:c r="E26" s="22" t="str">
        <x:v>+12% capacity while reserve ratio &gt;=15%</x:v>
      </x:c>
      <x:c r="F26" s="22" t="str">
        <x:v>If reserve &lt;8%, +6 Liquidity Risk instead</x:v>
      </x:c>
      <x:c r="G26" s="22" t="str">
        <x:v>Capacity</x:v>
      </x:c>
      <x:c r="H26" s="22" t="str">
        <x:v>Epic Parts</x:v>
      </x:c>
      <x:c r="I26" s="63" t="n">
        <x:v>400</x:v>
      </x:c>
      <x:c r="J26" s="22" t="str">
        <x:v>Mastery IV</x:v>
      </x:c>
      <x:c r="K26" s="22" t="str">
        <x:v>Elite</x:v>
      </x:c>
      <x:c r="L26" s="22" t="str">
        <x:v>Rate Cycle</x:v>
      </x:c>
      <x:c r="M26" s="22" t="str">
        <x:v>No</x:v>
      </x:c>
      <x:c r="N26" s="22" t="str">
        <x:v>No</x:v>
      </x:c>
      <x:c r="O26" s="22" t="str">
        <x:v>No</x:v>
      </x:c>
      <x:c r="P26" s="22" t="str">
        <x:v>Conditional treasury play</x:v>
      </x:c>
      <x:c r="Q26" s="43" t="str"/>
    </x:row>
    <x:row r="27">
      <x:c r="A27" s="42" t="str">
        <x:v>Volatility Engine</x:v>
      </x:c>
      <x:c r="B27" s="22" t="str">
        <x:v>Epic</x:v>
      </x:c>
      <x:c r="C27" s="22" t="str">
        <x:v>Market</x:v>
      </x:c>
      <x:c r="D27" s="22" t="str">
        <x:v>Trading, Exchange, Market Making</x:v>
      </x:c>
      <x:c r="E27" s="22" t="str">
        <x:v>+14% activity during Volatility Spike / Bull Market</x:v>
      </x:c>
      <x:c r="F27" s="22" t="str">
        <x:v>+8 Market Risk while active</x:v>
      </x:c>
      <x:c r="G27" s="22" t="str">
        <x:v>Market Activity</x:v>
      </x:c>
      <x:c r="H27" s="22" t="str">
        <x:v>Epic Parts</x:v>
      </x:c>
      <x:c r="I27" s="63" t="n">
        <x:v>400</x:v>
      </x:c>
      <x:c r="J27" s="22" t="str">
        <x:v>Mastery IV</x:v>
      </x:c>
      <x:c r="K27" s="22" t="str">
        <x:v>Elite</x:v>
      </x:c>
      <x:c r="L27" s="22" t="str">
        <x:v>Volatility Spike</x:v>
      </x:c>
      <x:c r="M27" s="22" t="str">
        <x:v>No</x:v>
      </x:c>
      <x:c r="N27" s="22" t="str">
        <x:v>No</x:v>
      </x:c>
      <x:c r="O27" s="22" t="str">
        <x:v>No</x:v>
      </x:c>
      <x:c r="P27" s="22" t="str">
        <x:v>Event-sensitive offense</x:v>
      </x:c>
      <x:c r="Q27" s="43" t="str"/>
    </x:row>
    <x:row r="28">
      <x:c r="A28" s="42" t="str">
        <x:v>Family Office Protocol</x:v>
      </x:c>
      <x:c r="B28" s="22" t="str">
        <x:v>Epic</x:v>
      </x:c>
      <x:c r="C28" s="22" t="str">
        <x:v>Wealth</x:v>
      </x:c>
      <x:c r="D28" s="22" t="str">
        <x:v>Wealth, Private Banking</x:v>
      </x:c>
      <x:c r="E28" s="22" t="str">
        <x:v>+12% HNW retention if Reputation &gt;=80</x:v>
      </x:c>
      <x:c r="F28" s="22" t="str">
        <x:v>-5% capacity</x:v>
      </x:c>
      <x:c r="G28" s="22" t="str">
        <x:v>HNW Retention</x:v>
      </x:c>
      <x:c r="H28" s="22" t="str">
        <x:v>Epic Parts</x:v>
      </x:c>
      <x:c r="I28" s="63" t="n">
        <x:v>400</x:v>
      </x:c>
      <x:c r="J28" s="22" t="str">
        <x:v>Mastery IV</x:v>
      </x:c>
      <x:c r="K28" s="22" t="str">
        <x:v>Elite</x:v>
      </x:c>
      <x:c r="L28" s="22" t="str">
        <x:v>Wealth Summit</x:v>
      </x:c>
      <x:c r="M28" s="22" t="str">
        <x:v>No</x:v>
      </x:c>
      <x:c r="N28" s="22" t="str">
        <x:v>No</x:v>
      </x:c>
      <x:c r="O28" s="22" t="str">
        <x:v>No</x:v>
      </x:c>
      <x:c r="P28" s="22" t="str">
        <x:v>High-trust specialization</x:v>
      </x:c>
      <x:c r="Q28" s="43" t="str"/>
    </x:row>
    <x:row r="29">
      <x:c r="A29" s="42" t="str">
        <x:v>Credit Scoring Engine</x:v>
      </x:c>
      <x:c r="B29" s="22" t="str">
        <x:v>Epic</x:v>
      </x:c>
      <x:c r="C29" s="22" t="str">
        <x:v>Credit</x:v>
      </x:c>
      <x:c r="D29" s="22" t="str">
        <x:v>Lending, Banking</x:v>
      </x:c>
      <x:c r="E29" s="22" t="str">
        <x:v>+10% eligible borrower acquisition; -5 Credit Risk</x:v>
      </x:c>
      <x:c r="F29" s="22" t="str">
        <x:v>Requires Service Quality &gt;=75</x:v>
      </x:c>
      <x:c r="G29" s="22" t="str">
        <x:v>Credit Quality</x:v>
      </x:c>
      <x:c r="H29" s="22" t="str">
        <x:v>Epic Parts</x:v>
      </x:c>
      <x:c r="I29" s="63" t="n">
        <x:v>400</x:v>
      </x:c>
      <x:c r="J29" s="22" t="str">
        <x:v>Mastery IV</x:v>
      </x:c>
      <x:c r="K29" s="22" t="str">
        <x:v>Elite</x:v>
      </x:c>
      <x:c r="L29" s="22" t="str">
        <x:v>Credit Review</x:v>
      </x:c>
      <x:c r="M29" s="22" t="str">
        <x:v>No</x:v>
      </x:c>
      <x:c r="N29" s="22" t="str">
        <x:v>No</x:v>
      </x:c>
      <x:c r="O29" s="22" t="str">
        <x:v>No</x:v>
      </x:c>
      <x:c r="P29" s="22" t="str">
        <x:v>Quality-conditioned growth</x:v>
      </x:c>
      <x:c r="Q29" s="43" t="str"/>
    </x:row>
    <x:row r="30">
      <x:c r="A30" s="42" t="str">
        <x:v>Deep Liquidity Engine</x:v>
      </x:c>
      <x:c r="B30" s="22" t="str">
        <x:v>Epic</x:v>
      </x:c>
      <x:c r="C30" s="22" t="str">
        <x:v>Liquidity</x:v>
      </x:c>
      <x:c r="D30" s="22" t="str">
        <x:v>Market Making, Exchange</x:v>
      </x:c>
      <x:c r="E30" s="22" t="str">
        <x:v>+12% capacity; -6 Liquidity Risk</x:v>
      </x:c>
      <x:c r="F30" s="22" t="str">
        <x:v>+4 Market Risk</x:v>
      </x:c>
      <x:c r="G30" s="22" t="str">
        <x:v>Liquidity</x:v>
      </x:c>
      <x:c r="H30" s="22" t="str">
        <x:v>Epic Parts</x:v>
      </x:c>
      <x:c r="I30" s="63" t="n">
        <x:v>400</x:v>
      </x:c>
      <x:c r="J30" s="22" t="str">
        <x:v>Mastery IV</x:v>
      </x:c>
      <x:c r="K30" s="22" t="str">
        <x:v>Elite</x:v>
      </x:c>
      <x:c r="L30" s="22" t="str">
        <x:v>Liquidity Crunch</x:v>
      </x:c>
      <x:c r="M30" s="22" t="str">
        <x:v>No</x:v>
      </x:c>
      <x:c r="N30" s="22" t="str">
        <x:v>No</x:v>
      </x:c>
      <x:c r="O30" s="22" t="str">
        <x:v>No</x:v>
      </x:c>
      <x:c r="P30" s="22" t="str">
        <x:v>Market infrastructure</x:v>
      </x:c>
      <x:c r="Q30" s="43" t="str"/>
    </x:row>
    <x:row r="31">
      <x:c r="A31" s="42" t="str">
        <x:v>Deal Execution Room</x:v>
      </x:c>
      <x:c r="B31" s="22" t="str">
        <x:v>Epic</x:v>
      </x:c>
      <x:c r="C31" s="22" t="str">
        <x:v>Institutional</x:v>
      </x:c>
      <x:c r="D31" s="22" t="str">
        <x:v>Investment Banking</x:v>
      </x:c>
      <x:c r="E31" s="22" t="str">
        <x:v>+12% activity when Corporate Client utilization &gt;=50%</x:v>
      </x:c>
      <x:c r="F31" s="22" t="str">
        <x:v>+4 Operational Risk</x:v>
      </x:c>
      <x:c r="G31" s="22" t="str">
        <x:v>Institutional Activity</x:v>
      </x:c>
      <x:c r="H31" s="22" t="str">
        <x:v>Epic Parts</x:v>
      </x:c>
      <x:c r="I31" s="63" t="n">
        <x:v>400</x:v>
      </x:c>
      <x:c r="J31" s="22" t="str">
        <x:v>Mastery IV</x:v>
      </x:c>
      <x:c r="K31" s="22" t="str">
        <x:v>Elite</x:v>
      </x:c>
      <x:c r="L31" s="22" t="str">
        <x:v>M&amp;A Boom</x:v>
      </x:c>
      <x:c r="M31" s="22" t="str">
        <x:v>No</x:v>
      </x:c>
      <x:c r="N31" s="22" t="str">
        <x:v>No</x:v>
      </x:c>
      <x:c r="O31" s="22" t="str">
        <x:v>No</x:v>
      </x:c>
      <x:c r="P31" s="22" t="str">
        <x:v>Corporate throughput</x:v>
      </x:c>
      <x:c r="Q31" s="43" t="str"/>
    </x:row>
    <x:row r="32">
      <x:c r="A32" s="42" t="str">
        <x:v>Adaptive Data Fabric</x:v>
      </x:c>
      <x:c r="B32" s="22" t="str">
        <x:v>Epic</x:v>
      </x:c>
      <x:c r="C32" s="22" t="str">
        <x:v>Research</x:v>
      </x:c>
      <x:c r="D32" s="22" t="str">
        <x:v>Research, Data, Fintech</x:v>
      </x:c>
      <x:c r="E32" s="22" t="str">
        <x:v>+8% activity; +5 Service Quality</x:v>
      </x:c>
      <x:c r="F32" s="22" t="str">
        <x:v>Requires Operational Risk &lt;=50</x:v>
      </x:c>
      <x:c r="G32" s="22" t="str">
        <x:v>Research Efficiency</x:v>
      </x:c>
      <x:c r="H32" s="22" t="str">
        <x:v>Epic Parts</x:v>
      </x:c>
      <x:c r="I32" s="63" t="n">
        <x:v>400</x:v>
      </x:c>
      <x:c r="J32" s="22" t="str">
        <x:v>Mastery IV</x:v>
      </x:c>
      <x:c r="K32" s="22" t="str">
        <x:v>Elite</x:v>
      </x:c>
      <x:c r="L32" s="22" t="str">
        <x:v>Tech Rally</x:v>
      </x:c>
      <x:c r="M32" s="22" t="str">
        <x:v>No</x:v>
      </x:c>
      <x:c r="N32" s="22" t="str">
        <x:v>No</x:v>
      </x:c>
      <x:c r="O32" s="22" t="str">
        <x:v>No</x:v>
      </x:c>
      <x:c r="P32" s="22" t="str">
        <x:v>Quality-conditioned tech</x:v>
      </x:c>
      <x:c r="Q32" s="43" t="str"/>
    </x:row>
    <x:row r="33">
      <x:c r="A33" s="42" t="str">
        <x:v>Fortress Balance Sheet</x:v>
      </x:c>
      <x:c r="B33" s="22" t="str">
        <x:v>Legendary</x:v>
      </x:c>
      <x:c r="C33" s="22" t="str">
        <x:v>Risk</x:v>
      </x:c>
      <x:c r="D33" s="22" t="str">
        <x:v>Banking, Treasury, Private Banking</x:v>
      </x:c>
      <x:c r="E33" s="22" t="str">
        <x:v>-12 Liquidity Risk; -8 Credit Risk</x:v>
      </x:c>
      <x:c r="F33" s="22" t="str">
        <x:v>-8% activity</x:v>
      </x:c>
      <x:c r="G33" s="22" t="str">
        <x:v>Defensive Charter</x:v>
      </x:c>
      <x:c r="H33" s="22" t="str">
        <x:v>Legendary Parts</x:v>
      </x:c>
      <x:c r="I33" s="63" t="n">
        <x:v>1000</x:v>
      </x:c>
      <x:c r="J33" s="22" t="str">
        <x:v>Mastery V</x:v>
      </x:c>
      <x:c r="K33" s="22" t="str">
        <x:v>Jackpot/Elite very low</x:v>
      </x:c>
      <x:c r="L33" s="22" t="str">
        <x:v>Bank Run</x:v>
      </x:c>
      <x:c r="M33" s="22" t="str">
        <x:v>No</x:v>
      </x:c>
      <x:c r="N33" s="22" t="str">
        <x:v>No</x:v>
      </x:c>
      <x:c r="O33" s="22" t="str">
        <x:v>No</x:v>
      </x:c>
      <x:c r="P33" s="22" t="str">
        <x:v>Transformative defense</x:v>
      </x:c>
      <x:c r="Q33" s="43" t="str">
        <x:v>Max one Legendary per building</x:v>
      </x:c>
    </x:row>
    <x:row r="34">
      <x:c r="A34" s="42" t="str">
        <x:v>Trusted Institution Charter</x:v>
      </x:c>
      <x:c r="B34" s="22" t="str">
        <x:v>Legendary</x:v>
      </x:c>
      <x:c r="C34" s="22" t="str">
        <x:v>Customer</x:v>
      </x:c>
      <x:c r="D34" s="22" t="str">
        <x:v>Banking, Wealth, Private Banking, Investment Banking</x:v>
      </x:c>
      <x:c r="E34" s="22" t="str">
        <x:v>+10% HNW/Corporate acquisition if Rep &gt;=85 and Risk &lt;=40</x:v>
      </x:c>
      <x:c r="F34" s="22" t="str">
        <x:v>No benefit when conditions fail</x:v>
      </x:c>
      <x:c r="G34" s="22" t="str">
        <x:v>Institution Trust</x:v>
      </x:c>
      <x:c r="H34" s="22" t="str">
        <x:v>Legendary Parts</x:v>
      </x:c>
      <x:c r="I34" s="63" t="n">
        <x:v>1000</x:v>
      </x:c>
      <x:c r="J34" s="22" t="str">
        <x:v>Mastery V</x:v>
      </x:c>
      <x:c r="K34" s="22" t="str">
        <x:v>Jackpot very low</x:v>
      </x:c>
      <x:c r="L34" s="22" t="str">
        <x:v>Financial Summit</x:v>
      </x:c>
      <x:c r="M34" s="22" t="str">
        <x:v>No</x:v>
      </x:c>
      <x:c r="N34" s="22" t="str">
        <x:v>No</x:v>
      </x:c>
      <x:c r="O34" s="22" t="str">
        <x:v>No</x:v>
      </x:c>
      <x:c r="P34" s="22" t="str">
        <x:v>Trust-conditioned prestige</x:v>
      </x:c>
      <x:c r="Q34" s="43" t="str"/>
    </x:row>
    <x:row r="35">
      <x:c r="A35" s="42" t="str">
        <x:v>Adaptive Market Desk</x:v>
      </x:c>
      <x:c r="B35" s="22" t="str">
        <x:v>Legendary</x:v>
      </x:c>
      <x:c r="C35" s="22" t="str">
        <x:v>Market</x:v>
      </x:c>
      <x:c r="D35" s="22" t="str">
        <x:v>Trading, Brokerage, Exchange, Market Making</x:v>
      </x:c>
      <x:c r="E35" s="22" t="str">
        <x:v>+12% activity in Bull/Expansion; -8 Market Risk in Correction/Risk-Off</x:v>
      </x:c>
      <x:c r="F35" s="22" t="str">
        <x:v>Neutral state gives no bonus</x:v>
      </x:c>
      <x:c r="G35" s="22" t="str">
        <x:v>Adaptive Market</x:v>
      </x:c>
      <x:c r="H35" s="22" t="str">
        <x:v>Legendary Parts</x:v>
      </x:c>
      <x:c r="I35" s="63" t="n">
        <x:v>1000</x:v>
      </x:c>
      <x:c r="J35" s="22" t="str">
        <x:v>Mastery V</x:v>
      </x:c>
      <x:c r="K35" s="22" t="str">
        <x:v>Jackpot very low</x:v>
      </x:c>
      <x:c r="L35" s="22" t="str">
        <x:v>Market Cycle</x:v>
      </x:c>
      <x:c r="M35" s="22" t="str">
        <x:v>No</x:v>
      </x:c>
      <x:c r="N35" s="22" t="str">
        <x:v>No</x:v>
      </x:c>
      <x:c r="O35" s="22" t="str">
        <x:v>No</x:v>
      </x:c>
      <x:c r="P35" s="22" t="str">
        <x:v>Cycle-aware sidegrade</x:v>
      </x:c>
      <x:c r="Q35" s="43" t="str"/>
    </x:row>
    <x:row r="36">
      <x:c r="A36" s="42" t="str">
        <x:v>Integrated Data Fabric</x:v>
      </x:c>
      <x:c r="B36" s="22" t="str">
        <x:v>Legendary</x:v>
      </x:c>
      <x:c r="C36" s="22" t="str">
        <x:v>Operations</x:v>
      </x:c>
      <x:c r="D36" s="22" t="str">
        <x:v>Data, Research, Fintech, Exchange</x:v>
      </x:c>
      <x:c r="E36" s="22" t="str">
        <x:v>+10% capacity; +6 Service Quality; -5 Operational Risk</x:v>
      </x:c>
      <x:c r="F36" s="22" t="str">
        <x:v>-6% operating-cost efficiency</x:v>
      </x:c>
      <x:c r="G36" s="22" t="str">
        <x:v>Infrastructure Charter</x:v>
      </x:c>
      <x:c r="H36" s="22" t="str">
        <x:v>Legendary Parts</x:v>
      </x:c>
      <x:c r="I36" s="63" t="n">
        <x:v>1000</x:v>
      </x:c>
      <x:c r="J36" s="22" t="str">
        <x:v>Mastery V</x:v>
      </x:c>
      <x:c r="K36" s="22" t="str">
        <x:v>Jackpot very low</x:v>
      </x:c>
      <x:c r="L36" s="22" t="str">
        <x:v>System Resilience</x:v>
      </x:c>
      <x:c r="M36" s="22" t="str">
        <x:v>No</x:v>
      </x:c>
      <x:c r="N36" s="22" t="str">
        <x:v>No</x:v>
      </x:c>
      <x:c r="O36" s="22" t="str">
        <x:v>No</x:v>
      </x:c>
      <x:c r="P36" s="22" t="str">
        <x:v>Premium infrastructure</x:v>
      </x:c>
      <x:c r="Q36" s="43" t="str"/>
    </x:row>
    <x:row r="37">
      <x:c r="A37" s="42" t="str">
        <x:v>Sovereign Discipline</x:v>
      </x:c>
      <x:c r="B37" s="22" t="str">
        <x:v>Legendary</x:v>
      </x:c>
      <x:c r="C37" s="22" t="str">
        <x:v>Risk</x:v>
      </x:c>
      <x:c r="D37" s="22" t="str">
        <x:v>Asset Management, Treasury</x:v>
      </x:c>
      <x:c r="E37" s="22" t="str">
        <x:v>-10 Concentration Risk; -8 Liquidity Risk</x:v>
      </x:c>
      <x:c r="F37" s="22" t="str">
        <x:v>-6% activity</x:v>
      </x:c>
      <x:c r="G37" s="22" t="str">
        <x:v>Capital Discipline</x:v>
      </x:c>
      <x:c r="H37" s="22" t="str">
        <x:v>Legendary Parts</x:v>
      </x:c>
      <x:c r="I37" s="63" t="n">
        <x:v>1000</x:v>
      </x:c>
      <x:c r="J37" s="22" t="str">
        <x:v>Mastery V</x:v>
      </x:c>
      <x:c r="K37" s="22" t="str">
        <x:v>Jackpot very low</x:v>
      </x:c>
      <x:c r="L37" s="22" t="str">
        <x:v>Sovereign Week</x:v>
      </x:c>
      <x:c r="M37" s="22" t="str">
        <x:v>No</x:v>
      </x:c>
      <x:c r="N37" s="22" t="str">
        <x:v>No</x:v>
      </x:c>
      <x:c r="O37" s="22" t="str">
        <x:v>No</x:v>
      </x:c>
      <x:c r="P37" s="22" t="str">
        <x:v>Capital-preservation identity</x:v>
      </x:c>
      <x:c r="Q37" s="43" t="str"/>
    </x:row>
    <x:row r="38">
      <x:c r="A38" s="44" t="str">
        <x:v>Diversified Services Charter</x:v>
      </x:c>
      <x:c r="B38" s="53" t="str">
        <x:v>Legendary</x:v>
      </x:c>
      <x:c r="C38" s="53" t="str">
        <x:v>Customer</x:v>
      </x:c>
      <x:c r="D38" s="53" t="str">
        <x:v>Multi-Service</x:v>
      </x:c>
      <x:c r="E38" s="53" t="str">
        <x:v>+8% retention; -5 Concentration Risk when 3+ customer segments each exceed 10%</x:v>
      </x:c>
      <x:c r="F38" s="53" t="str">
        <x:v>Disabled if one segment exceeds 60%</x:v>
      </x:c>
      <x:c r="G38" s="53" t="str">
        <x:v>Diversification Charter</x:v>
      </x:c>
      <x:c r="H38" s="53" t="str">
        <x:v>Legendary Parts</x:v>
      </x:c>
      <x:c r="I38" s="64" t="n">
        <x:v>1000</x:v>
      </x:c>
      <x:c r="J38" s="53" t="str">
        <x:v>Mastery V</x:v>
      </x:c>
      <x:c r="K38" s="53" t="str">
        <x:v>Jackpot very low</x:v>
      </x:c>
      <x:c r="L38" s="53" t="str">
        <x:v>Financial Summit</x:v>
      </x:c>
      <x:c r="M38" s="53" t="str">
        <x:v>No</x:v>
      </x:c>
      <x:c r="N38" s="53" t="str">
        <x:v>No</x:v>
      </x:c>
      <x:c r="O38" s="53" t="str">
        <x:v>No</x:v>
      </x:c>
      <x:c r="P38" s="53" t="str">
        <x:v>Multi-service endgame identity</x:v>
      </x:c>
      <x:c r="Q38" s="45" t="str"/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Building Mastery — Guaranteed Module Progression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Mastery Level</x:v>
      </x:c>
      <x:c r="B3" s="14" t="str">
        <x:v>Available To</x:v>
      </x:c>
      <x:c r="C3" s="14" t="str">
        <x:v>Core Requirement Pattern</x:v>
      </x:c>
      <x:c r="D3" s="14" t="str">
        <x:v>Additional Quality Requirement</x:v>
      </x:c>
      <x:c r="E3" s="14" t="str">
        <x:v>Guaranteed Reward</x:v>
      </x:c>
      <x:c r="F3" s="14" t="str">
        <x:v>Choice?</x:v>
      </x:c>
      <x:c r="G3" s="14" t="str">
        <x:v>Module Rarity</x:v>
      </x:c>
      <x:c r="H3" s="14" t="str">
        <x:v>Account Scope</x:v>
      </x:c>
      <x:c r="I3" s="14" t="str">
        <x:v>Can Repeat?</x:v>
      </x:c>
      <x:c r="J3" s="14" t="str">
        <x:v>Can Be Bought?</x:v>
      </x:c>
      <x:c r="K3" s="14" t="str">
        <x:v>Leaderboard Required?</x:v>
      </x:c>
      <x:c r="L3" s="14" t="str">
        <x:v>Failure Resets Completed Progress?</x:v>
      </x:c>
      <x:c r="M3" s="14" t="str">
        <x:v>Purpose</x:v>
      </x:c>
      <x:c r="N3" s="14" t="str">
        <x:v>Notes</x:v>
      </x:c>
    </x:row>
    <x:row r="4">
      <x:c r="A4" s="40" t="str">
        <x:v>Mastery I</x:v>
      </x:c>
      <x:c r="B4" s="52" t="str">
        <x:v>All Building Cards</x:v>
      </x:c>
      <x:c r="C4" s="52" t="str">
        <x:v>Operate building type for 1 active day + stage-normalized customer/activity milestone</x:v>
      </x:c>
      <x:c r="D4" s="52" t="str">
        <x:v>None</x:v>
      </x:c>
      <x:c r="E4" s="52" t="str">
        <x:v>1 compatible Module</x:v>
      </x:c>
      <x:c r="F4" s="52" t="str">
        <x:v>Choose 1 of 3</x:v>
      </x:c>
      <x:c r="G4" s="52" t="str">
        <x:v>Common</x:v>
      </x:c>
      <x:c r="H4" s="52" t="str">
        <x:v>Per Building Card type, aggregated across instances</x:v>
      </x:c>
      <x:c r="I4" s="52" t="str">
        <x:v>No</x:v>
      </x:c>
      <x:c r="J4" s="52" t="str">
        <x:v>No</x:v>
      </x:c>
      <x:c r="K4" s="52" t="str">
        <x:v>No</x:v>
      </x:c>
      <x:c r="L4" s="52" t="str">
        <x:v>No</x:v>
      </x:c>
      <x:c r="M4" s="52" t="str">
        <x:v>Teach Modules</x:v>
      </x:c>
      <x:c r="N4" s="41" t="str"/>
    </x:row>
    <x:row r="5">
      <x:c r="A5" s="42" t="str">
        <x:v>Mastery II</x:v>
      </x:c>
      <x:c r="B5" s="22" t="str">
        <x:v>Uncommon+ Building Cards; Common may also unlock via extended use</x:v>
      </x:c>
      <x:c r="C5" s="22" t="str">
        <x:v>Reach a larger stage-normalized activity/customer milestone</x:v>
      </x:c>
      <x:c r="D5" s="22" t="str">
        <x:v>Service Quality &gt;=60</x:v>
      </x:c>
      <x:c r="E5" s="22" t="str">
        <x:v>1 compatible Module</x:v>
      </x:c>
      <x:c r="F5" s="22" t="str">
        <x:v>Choose 1 of 3</x:v>
      </x:c>
      <x:c r="G5" s="22" t="str">
        <x:v>Uncommon</x:v>
      </x:c>
      <x:c r="H5" s="22" t="str">
        <x:v>Per Building Card type</x:v>
      </x:c>
      <x:c r="I5" s="22" t="str">
        <x:v>No</x:v>
      </x:c>
      <x:c r="J5" s="22" t="str">
        <x:v>No</x:v>
      </x:c>
      <x:c r="K5" s="22" t="str">
        <x:v>No</x:v>
      </x:c>
      <x:c r="L5" s="22" t="str">
        <x:v>No</x:v>
      </x:c>
      <x:c r="M5" s="22" t="str">
        <x:v>Create early specialization</x:v>
      </x:c>
      <x:c r="N5" s="43" t="str"/>
    </x:row>
    <x:row r="6">
      <x:c r="A6" s="42" t="str">
        <x:v>Mastery III</x:v>
      </x:c>
      <x:c r="B6" s="22" t="str">
        <x:v>Rare+ Building Cards; lower tiers via long-term mastery</x:v>
      </x:c>
      <x:c r="C6" s="22" t="str">
        <x:v>Operate across 3 active days + specialization objective</x:v>
      </x:c>
      <x:c r="D6" s="22" t="str">
        <x:v>Composite Risk &lt;=60 or family-specific quality target</x:v>
      </x:c>
      <x:c r="E6" s="22" t="str">
        <x:v>1 compatible Module</x:v>
      </x:c>
      <x:c r="F6" s="22" t="str">
        <x:v>Choose 1 of 3</x:v>
      </x:c>
      <x:c r="G6" s="22" t="str">
        <x:v>Rare</x:v>
      </x:c>
      <x:c r="H6" s="22" t="str">
        <x:v>Per Building Card type</x:v>
      </x:c>
      <x:c r="I6" s="22" t="str">
        <x:v>No</x:v>
      </x:c>
      <x:c r="J6" s="22" t="str">
        <x:v>No</x:v>
      </x:c>
      <x:c r="K6" s="22" t="str">
        <x:v>No</x:v>
      </x:c>
      <x:c r="L6" s="22" t="str">
        <x:v>No</x:v>
      </x:c>
      <x:c r="M6" s="22" t="str">
        <x:v>Guaranteed strong sidegrade</x:v>
      </x:c>
      <x:c r="N6" s="43" t="str"/>
    </x:row>
    <x:row r="7">
      <x:c r="A7" s="42" t="str">
        <x:v>Mastery IV</x:v>
      </x:c>
      <x:c r="B7" s="22" t="str">
        <x:v>Epic+ Building Cards</x:v>
      </x:c>
      <x:c r="C7" s="22" t="str">
        <x:v>Complete family-specific advanced operating objective</x:v>
      </x:c>
      <x:c r="D7" s="22" t="str">
        <x:v>Reputation/Service/Risk condition</x:v>
      </x:c>
      <x:c r="E7" s="22" t="str">
        <x:v>1 compatible Module</x:v>
      </x:c>
      <x:c r="F7" s="22" t="str">
        <x:v>Choose 1 of 2</x:v>
      </x:c>
      <x:c r="G7" s="22" t="str">
        <x:v>Epic</x:v>
      </x:c>
      <x:c r="H7" s="22" t="str">
        <x:v>Per Building Card type</x:v>
      </x:c>
      <x:c r="I7" s="22" t="str">
        <x:v>No</x:v>
      </x:c>
      <x:c r="J7" s="22" t="str">
        <x:v>No</x:v>
      </x:c>
      <x:c r="K7" s="22" t="str">
        <x:v>No</x:v>
      </x:c>
      <x:c r="L7" s="22" t="str">
        <x:v>No</x:v>
      </x:c>
      <x:c r="M7" s="22" t="str">
        <x:v>Advanced institutional mastery</x:v>
      </x:c>
      <x:c r="N7" s="43" t="str"/>
    </x:row>
    <x:row r="8">
      <x:c r="A8" s="44" t="str">
        <x:v>Mastery V</x:v>
      </x:c>
      <x:c r="B8" s="53" t="str">
        <x:v>Mythic Building Cards + selected Legendary endgame tracks</x:v>
      </x:c>
      <x:c r="C8" s="53" t="str">
        <x:v>Long-term family mastery chain</x:v>
      </x:c>
      <x:c r="D8" s="53" t="str">
        <x:v>High quality across multiple days/events</x:v>
      </x:c>
      <x:c r="E8" s="53" t="str">
        <x:v>1 family Legendary Module or Legendary Parts</x:v>
      </x:c>
      <x:c r="F8" s="53" t="str">
        <x:v>Choice depends on track</x:v>
      </x:c>
      <x:c r="G8" s="53" t="str">
        <x:v>Legendary</x:v>
      </x:c>
      <x:c r="H8" s="53" t="str">
        <x:v>Per Building Card type/family</x:v>
      </x:c>
      <x:c r="I8" s="53" t="str">
        <x:v>No</x:v>
      </x:c>
      <x:c r="J8" s="53" t="str">
        <x:v>No</x:v>
      </x:c>
      <x:c r="K8" s="53" t="str">
        <x:v>No</x:v>
      </x:c>
      <x:c r="L8" s="53" t="str">
        <x:v>No</x:v>
      </x:c>
      <x:c r="M8" s="53" t="str">
        <x:v>Endgame deterministic prestige</x:v>
      </x:c>
      <x:c r="N8" s="45" t="str">
        <x:v>Legendary Module never requires luck</x:v>
      </x:c>
    </x:row>
    <x:row r="10" ht="22" customHeight="1">
      <x:c r="A10" s="11" t="str">
        <x:v>Mastery Evidence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4" t="str">
        <x:v>Building Family</x:v>
      </x:c>
      <x:c r="B11" s="14" t="str">
        <x:v>Example Mastery Evidence</x:v>
      </x:c>
    </x:row>
    <x:row r="12">
      <x:c r="A12" s="40" t="str">
        <x:v>Banking</x:v>
      </x:c>
      <x:c r="B12" s="41" t="str">
        <x:v>Customers served, reserve ratio, retention, Liquidity/Credit Risk control.</x:v>
      </x:c>
    </x:row>
    <x:row r="13">
      <x:c r="A13" s="42" t="str">
        <x:v>Lending</x:v>
      </x:c>
      <x:c r="B13" s="43" t="str">
        <x:v>Valid loan activity proxy, Credit Risk, safe handling of credit events.</x:v>
      </x:c>
    </x:row>
    <x:row r="14">
      <x:c r="A14" s="42" t="str">
        <x:v>Trading / Exchange / Market Maker</x:v>
      </x:c>
      <x:c r="B14" s="43" t="str">
        <x:v>Valid trading activity, Market/Liquidity Risk, uptime/capacity.</x:v>
      </x:c>
    </x:row>
    <x:row r="15">
      <x:c r="A15" s="42" t="str">
        <x:v>Brokerage / Advisory</x:v>
      </x:c>
      <x:c r="B15" s="43" t="str">
        <x:v>Retail/investor customers, service quality, research support.</x:v>
      </x:c>
    </x:row>
    <x:row r="16">
      <x:c r="A16" s="42" t="str">
        <x:v>Asset Management / Wealth</x:v>
      </x:c>
      <x:c r="B16" s="43" t="str">
        <x:v>HNW/investor customers, concentration control, diversified activity.</x:v>
      </x:c>
    </x:row>
    <x:row r="17">
      <x:c r="A17" s="42" t="str">
        <x:v>Insurance</x:v>
      </x:c>
      <x:c r="B17" s="43" t="str">
        <x:v>Retention, service quality, safe risk-event resolutions.</x:v>
      </x:c>
    </x:row>
    <x:row r="18">
      <x:c r="A18" s="42" t="str">
        <x:v>Treasury</x:v>
      </x:c>
      <x:c r="B18" s="43" t="str">
        <x:v>Reserve ratio, liquidity resilience, support for high-volume operations.</x:v>
      </x:c>
    </x:row>
    <x:row r="19">
      <x:c r="A19" s="42" t="str">
        <x:v>Research / Data / Fintech</x:v>
      </x:c>
      <x:c r="B19" s="43" t="str">
        <x:v>Service quality, operational reliability, research/event objectives.</x:v>
      </x:c>
    </x:row>
    <x:row r="20">
      <x:c r="A20" s="42" t="str">
        <x:v>Investment Banking</x:v>
      </x:c>
      <x:c r="B20" s="43" t="str">
        <x:v>Corporate clients, event/deal objectives, Reputation and Risk.</x:v>
      </x:c>
    </x:row>
    <x:row r="21">
      <x:c r="A21" s="44" t="str">
        <x:v>Multi-Service</x:v>
      </x:c>
      <x:c r="B21" s="45" t="str">
        <x:v>Customer-segment diversity, balanced Risk and diversified operation.</x:v>
      </x:c>
    </x:row>
  </x:sheetData>
  <x:mergeCells>
    <x:mergeCell ref="A1:N1"/>
    <x:mergeCell ref="A10:N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Module Acquisition Sources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Source</x:v>
      </x:c>
      <x:c r="B3" s="14" t="str">
        <x:v>Frequency</x:v>
      </x:c>
      <x:c r="C3" s="14" t="str">
        <x:v>Common</x:v>
      </x:c>
      <x:c r="D3" s="14" t="str">
        <x:v>Uncommon</x:v>
      </x:c>
      <x:c r="E3" s="14" t="str">
        <x:v>Rare</x:v>
      </x:c>
      <x:c r="F3" s="14" t="str">
        <x:v>Epic</x:v>
      </x:c>
      <x:c r="G3" s="14" t="str">
        <x:v>Legendary</x:v>
      </x:c>
      <x:c r="H3" s="14" t="str">
        <x:v>Targetability</x:v>
      </x:c>
      <x:c r="I3" s="14" t="str">
        <x:v>Guaranteed?</x:v>
      </x:c>
      <x:c r="J3" s="14" t="str">
        <x:v>Cash Cost?</x:v>
      </x:c>
      <x:c r="K3" s="14" t="str">
        <x:v>Real-Money?</x:v>
      </x:c>
      <x:c r="L3" s="14" t="str">
        <x:v>RNG Role</x:v>
      </x:c>
      <x:c r="M3" s="14" t="str">
        <x:v>Competitive Score From Reward?</x:v>
      </x:c>
      <x:c r="N3" s="14" t="str">
        <x:v>Server Authority</x:v>
      </x:c>
      <x:c r="O3" s="14" t="str">
        <x:v>Primary Purpose</x:v>
      </x:c>
      <x:c r="P3" s="14" t="str">
        <x:v>Notes</x:v>
      </x:c>
    </x:row>
    <x:row r="4">
      <x:c r="A4" s="40" t="str">
        <x:v>Building Mastery</x:v>
      </x:c>
      <x:c r="B4" s="52" t="str">
        <x:v>One-time per mastery level</x:v>
      </x:c>
      <x:c r="C4" s="52" t="str">
        <x:v>Yes</x:v>
      </x:c>
      <x:c r="D4" s="52" t="str">
        <x:v>Yes</x:v>
      </x:c>
      <x:c r="E4" s="52" t="str">
        <x:v>Yes</x:v>
      </x:c>
      <x:c r="F4" s="52" t="str">
        <x:v>Yes</x:v>
      </x:c>
      <x:c r="G4" s="52" t="str">
        <x:v>Yes at highest mastery</x:v>
      </x:c>
      <x:c r="H4" s="52" t="str">
        <x:v>High — choice reward</x:v>
      </x:c>
      <x:c r="I4" s="52" t="str">
        <x:v>Yes</x:v>
      </x:c>
      <x:c r="J4" s="52" t="str">
        <x:v>No</x:v>
      </x:c>
      <x:c r="K4" s="52" t="str">
        <x:v>No</x:v>
      </x:c>
      <x:c r="L4" s="52" t="str">
        <x:v>None/choice set</x:v>
      </x:c>
      <x:c r="M4" s="52" t="str">
        <x:v>No</x:v>
      </x:c>
      <x:c r="N4" s="52" t="str">
        <x:v>Mastery ledger</x:v>
      </x:c>
      <x:c r="O4" s="52" t="str">
        <x:v>Primary deterministic path</x:v>
      </x:c>
      <x:c r="P4" s="41" t="str">
        <x:v>Most important acquisition source</x:v>
      </x:c>
    </x:row>
    <x:row r="5">
      <x:c r="A5" s="42" t="str">
        <x:v>Market Hunts</x:v>
      </x:c>
      <x:c r="B5" s="22" t="str">
        <x:v>Daily</x:v>
      </x:c>
      <x:c r="C5" s="22" t="str">
        <x:v>Yes</x:v>
      </x:c>
      <x:c r="D5" s="22" t="str">
        <x:v>Yes</x:v>
      </x:c>
      <x:c r="E5" s="22" t="str">
        <x:v>Yes</x:v>
      </x:c>
      <x:c r="F5" s="22" t="str">
        <x:v>Hard/Elite</x:v>
      </x:c>
      <x:c r="G5" s="22" t="str">
        <x:v>Very low on Elite/Jackpot</x:v>
      </x:c>
      <x:c r="H5" s="22" t="str">
        <x:v>Medium — family/activity biased</x:v>
      </x:c>
      <x:c r="I5" s="22" t="str">
        <x:v>No</x:v>
      </x:c>
      <x:c r="J5" s="22" t="str">
        <x:v>No</x:v>
      </x:c>
      <x:c r="K5" s="22" t="str">
        <x:v>No</x:v>
      </x:c>
      <x:c r="L5" s="22" t="str">
        <x:v>Discovery excitement</x:v>
      </x:c>
      <x:c r="M5" s="22" t="str">
        <x:v>No; Hunt Points score independently</x:v>
      </x:c>
      <x:c r="N5" s="22" t="str">
        <x:v>Hunt reward resolver</x:v>
      </x:c>
      <x:c r="O5" s="22" t="str">
        <x:v>Repeatable discovery</x:v>
      </x:c>
      <x:c r="P5" s="43" t="str">
        <x:v>Separate from stock reward budget</x:v>
      </x:c>
    </x:row>
    <x:row r="6">
      <x:c r="A6" s="42" t="str">
        <x:v>Events</x:v>
      </x:c>
      <x:c r="B6" s="22" t="str">
        <x:v>Several/week</x:v>
      </x:c>
      <x:c r="C6" s="22" t="str">
        <x:v>Yes</x:v>
      </x:c>
      <x:c r="D6" s="22" t="str">
        <x:v>Yes</x:v>
      </x:c>
      <x:c r="E6" s="22" t="str">
        <x:v>Yes</x:v>
      </x:c>
      <x:c r="F6" s="22" t="str">
        <x:v>Major events</x:v>
      </x:c>
      <x:c r="G6" s="22" t="str">
        <x:v>Rare themed Legendary</x:v>
      </x:c>
      <x:c r="H6" s="22" t="str">
        <x:v>High — event themed</x:v>
      </x:c>
      <x:c r="I6" s="22" t="str">
        <x:v>Sometimes mission-guaranteed</x:v>
      </x:c>
      <x:c r="J6" s="22" t="str">
        <x:v>No</x:v>
      </x:c>
      <x:c r="K6" s="22" t="str">
        <x:v>No</x:v>
      </x:c>
      <x:c r="L6" s="22" t="str">
        <x:v>Themed random/choice</x:v>
      </x:c>
      <x:c r="M6" s="22" t="str">
        <x:v>No direct event score from Module</x:v>
      </x:c>
      <x:c r="N6" s="22" t="str">
        <x:v>Event resolver</x:v>
      </x:c>
      <x:c r="O6" s="22" t="str">
        <x:v>Themed sidegrades</x:v>
      </x:c>
      <x:c r="P6" s="43" t="str"/>
    </x:row>
    <x:row r="7">
      <x:c r="A7" s="42" t="str">
        <x:v>Stage Milestones</x:v>
      </x:c>
      <x:c r="B7" s="22" t="str">
        <x:v>Finite</x:v>
      </x:c>
      <x:c r="C7" s="22" t="str">
        <x:v>Yes</x:v>
      </x:c>
      <x:c r="D7" s="22" t="str">
        <x:v>Yes</x:v>
      </x:c>
      <x:c r="E7" s="22" t="str">
        <x:v>Yes</x:v>
      </x:c>
      <x:c r="F7" s="22" t="str">
        <x:v>Some</x:v>
      </x:c>
      <x:c r="G7" s="22" t="str">
        <x:v>Parts/choice later</x:v>
      </x:c>
      <x:c r="H7" s="22" t="str">
        <x:v>High</x:v>
      </x:c>
      <x:c r="I7" s="22" t="str">
        <x:v>Yes</x:v>
      </x:c>
      <x:c r="J7" s="22" t="str">
        <x:v>No</x:v>
      </x:c>
      <x:c r="K7" s="22" t="str">
        <x:v>No</x:v>
      </x:c>
      <x:c r="L7" s="22" t="str">
        <x:v>Low</x:v>
      </x:c>
      <x:c r="M7" s="22" t="str">
        <x:v>No</x:v>
      </x:c>
      <x:c r="N7" s="22" t="str">
        <x:v>Player progression</x:v>
      </x:c>
      <x:c r="O7" s="22" t="str">
        <x:v>Bad-luck protection</x:v>
      </x:c>
      <x:c r="P7" s="43" t="str"/>
    </x:row>
    <x:row r="8">
      <x:c r="A8" s="42" t="str">
        <x:v>Season Rewards</x:v>
      </x:c>
      <x:c r="B8" s="22" t="str">
        <x:v>Seasonal</x:v>
      </x:c>
      <x:c r="C8" s="22" t="str">
        <x:v>Cosmetic variants</x:v>
      </x:c>
      <x:c r="D8" s="22" t="str">
        <x:v>Sidegrade variants</x:v>
      </x:c>
      <x:c r="E8" s="22" t="str">
        <x:v>Sidegrade variants</x:v>
      </x:c>
      <x:c r="F8" s="22" t="str">
        <x:v>Sidegrade/Parts</x:v>
      </x:c>
      <x:c r="G8" s="22" t="str">
        <x:v>Legendary cosmetic/sidegrade</x:v>
      </x:c>
      <x:c r="H8" s="22" t="str">
        <x:v>Medium</x:v>
      </x:c>
      <x:c r="I8" s="22" t="str">
        <x:v>Sometimes</x:v>
      </x:c>
      <x:c r="J8" s="22" t="str">
        <x:v>No</x:v>
      </x:c>
      <x:c r="K8" s="22" t="str">
        <x:v>No</x:v>
      </x:c>
      <x:c r="L8" s="22" t="str">
        <x:v>Low</x:v>
      </x:c>
      <x:c r="M8" s="22" t="str">
        <x:v>No</x:v>
      </x:c>
      <x:c r="N8" s="22" t="str">
        <x:v>Season settlement</x:v>
      </x:c>
      <x:c r="O8" s="22" t="str">
        <x:v>Prestige</x:v>
      </x:c>
      <x:c r="P8" s="43" t="str">
        <x:v>Never strictly stronger exclusive Module</x:v>
      </x:c>
    </x:row>
    <x:row r="9">
      <x:c r="A9" s="42" t="str">
        <x:v>Crafting</x:v>
      </x:c>
      <x:c r="B9" s="22" t="str">
        <x:v>On demand</x:v>
      </x:c>
      <x:c r="C9" s="22" t="str">
        <x:v>Yes</x:v>
      </x:c>
      <x:c r="D9" s="22" t="str">
        <x:v>Yes</x:v>
      </x:c>
      <x:c r="E9" s="22" t="str">
        <x:v>Yes</x:v>
      </x:c>
      <x:c r="F9" s="22" t="str">
        <x:v>Yes</x:v>
      </x:c>
      <x:c r="G9" s="22" t="str">
        <x:v>Yes with mastery prerequisite</x:v>
      </x:c>
      <x:c r="H9" s="22" t="str">
        <x:v>Exact Module</x:v>
      </x:c>
      <x:c r="I9" s="22" t="str">
        <x:v>Yes</x:v>
      </x:c>
      <x:c r="J9" s="22" t="str">
        <x:v>Module Parts</x:v>
      </x:c>
      <x:c r="K9" s="22" t="str">
        <x:v>No</x:v>
      </x:c>
      <x:c r="L9" s="22" t="str">
        <x:v>None</x:v>
      </x:c>
      <x:c r="M9" s="22" t="str">
        <x:v>No</x:v>
      </x:c>
      <x:c r="N9" s="22" t="str">
        <x:v>Craft transaction</x:v>
      </x:c>
      <x:c r="O9" s="22" t="str">
        <x:v>Player agency / duplicate sink</x:v>
      </x:c>
      <x:c r="P9" s="43" t="str"/>
    </x:row>
    <x:row r="10">
      <x:c r="A10" s="42" t="str">
        <x:v>Module Packs — Earned</x:v>
      </x:c>
      <x:c r="B10" s="22" t="str">
        <x:v>1–3/week</x:v>
      </x:c>
      <x:c r="C10" s="22" t="str">
        <x:v>Yes</x:v>
      </x:c>
      <x:c r="D10" s="22" t="str">
        <x:v>Yes</x:v>
      </x:c>
      <x:c r="E10" s="22" t="str">
        <x:v>Yes</x:v>
      </x:c>
      <x:c r="F10" s="22" t="str">
        <x:v>Low Epic in advanced earned packs</x:v>
      </x:c>
      <x:c r="G10" s="22" t="str">
        <x:v>No direct Legendary full Module</x:v>
      </x:c>
      <x:c r="H10" s="22" t="str">
        <x:v>Low/Medium</x:v>
      </x:c>
      <x:c r="I10" s="22" t="str">
        <x:v>No</x:v>
      </x:c>
      <x:c r="J10" s="22" t="str">
        <x:v>No</x:v>
      </x:c>
      <x:c r="K10" s="22" t="str">
        <x:v>No</x:v>
      </x:c>
      <x:c r="L10" s="22" t="str">
        <x:v>Random accelerator</x:v>
      </x:c>
      <x:c r="M10" s="22" t="str">
        <x:v>No</x:v>
      </x:c>
      <x:c r="N10" s="22" t="str">
        <x:v>Pack resolver</x:v>
      </x:c>
      <x:c r="O10" s="22" t="str">
        <x:v>Collection excitement</x:v>
      </x:c>
      <x:c r="P10" s="43" t="str"/>
    </x:row>
    <x:row r="11">
      <x:c r="A11" s="44" t="str">
        <x:v>Module Packs — Cash</x:v>
      </x:c>
      <x:c r="B11" s="53" t="str">
        <x:v>Weekly capped</x:v>
      </x:c>
      <x:c r="C11" s="53" t="str">
        <x:v>Yes</x:v>
      </x:c>
      <x:c r="D11" s="53" t="str">
        <x:v>Yes</x:v>
      </x:c>
      <x:c r="E11" s="53" t="str">
        <x:v>Rare ceiling</x:v>
      </x:c>
      <x:c r="F11" s="53" t="str">
        <x:v>No</x:v>
      </x:c>
      <x:c r="G11" s="53" t="str">
        <x:v>No</x:v>
      </x:c>
      <x:c r="H11" s="53" t="str">
        <x:v>Low</x:v>
      </x:c>
      <x:c r="I11" s="53" t="str">
        <x:v>No</x:v>
      </x:c>
      <x:c r="J11" s="53" t="str">
        <x:v>In-game Cash</x:v>
      </x:c>
      <x:c r="K11" s="53" t="str">
        <x:v>No</x:v>
      </x:c>
      <x:c r="L11" s="53" t="str">
        <x:v>Random accelerator</x:v>
      </x:c>
      <x:c r="M11" s="53" t="str">
        <x:v>No</x:v>
      </x:c>
      <x:c r="N11" s="53" t="str">
        <x:v>Pack resolver</x:v>
      </x:c>
      <x:c r="O11" s="53" t="str">
        <x:v>Optional Cash sink</x:v>
      </x:c>
      <x:c r="P11" s="45" t="str">
        <x:v>Cannot generate Epic/Legendary Parts</x:v>
      </x:c>
    </x:row>
  </x:sheetData>
  <x:mergeCells>
    <x:mergeCell ref="A1:P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Module Drop Tables — Hunts, Events &amp; Packs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Hunt Difficulty</x:v>
      </x:c>
      <x:c r="B3" s="14" t="str">
        <x:v>Module Roll Chance</x:v>
      </x:c>
      <x:c r="C3" s="14" t="str">
        <x:v>Common if Module Roll</x:v>
      </x:c>
      <x:c r="D3" s="14" t="str">
        <x:v>Uncommon</x:v>
      </x:c>
      <x:c r="E3" s="14" t="str">
        <x:v>Rare</x:v>
      </x:c>
      <x:c r="F3" s="14" t="str">
        <x:v>Epic</x:v>
      </x:c>
      <x:c r="G3" s="14" t="str">
        <x:v>Legendary</x:v>
      </x:c>
      <x:c r="H3" s="14" t="str">
        <x:v>Family Bias</x:v>
      </x:c>
      <x:c r="I3" s="14" t="str">
        <x:v>Stock Reward Replaced?</x:v>
      </x:c>
      <x:c r="J3" s="14" t="str">
        <x:v>Hunt Points Changed?</x:v>
      </x:c>
      <x:c r="K3" s="14" t="str">
        <x:v>Pity?</x:v>
      </x:c>
      <x:c r="L3" s="14" t="str">
        <x:v>Server Roll?</x:v>
      </x:c>
      <x:c r="M3" s="14" t="str">
        <x:v>Expected Module Rolls / 10 Hunts</x:v>
      </x:c>
      <x:c r="N3" s="14" t="str">
        <x:v>Primary Role</x:v>
      </x:c>
      <x:c r="O3" s="14" t="str">
        <x:v>Stage Availability</x:v>
      </x:c>
      <x:c r="P3" s="14" t="str">
        <x:v>Notes</x:v>
      </x:c>
    </x:row>
    <x:row r="4">
      <x:c r="A4" s="40" t="str">
        <x:v>Easy</x:v>
      </x:c>
      <x:c r="B4" s="68" t="n">
        <x:v>0.05</x:v>
      </x:c>
      <x:c r="C4" s="68" t="n">
        <x:v>0.85</x:v>
      </x:c>
      <x:c r="D4" s="68" t="n">
        <x:v>0.15</x:v>
      </x:c>
      <x:c r="E4" s="68" t="n">
        <x:v>0</x:v>
      </x:c>
      <x:c r="F4" s="68" t="n">
        <x:v>0</x:v>
      </x:c>
      <x:c r="G4" s="68" t="n">
        <x:v>0</x:v>
      </x:c>
      <x:c r="H4" s="52" t="str">
        <x:v>Building family involved in Hunt</x:v>
      </x:c>
      <x:c r="I4" s="52" t="str">
        <x:v>No</x:v>
      </x:c>
      <x:c r="J4" s="52" t="str">
        <x:v>No</x:v>
      </x:c>
      <x:c r="K4" s="52" t="str">
        <x:v>No</x:v>
      </x:c>
      <x:c r="L4" s="52" t="str">
        <x:v>Yes</x:v>
      </x:c>
      <x:c r="M4" s="74" t="n">
        <x:f>B4*10</x:f>
        <x:v>0.5</x:v>
      </x:c>
      <x:c r="N4" s="52" t="str">
        <x:v>Occasional early discovery</x:v>
      </x:c>
      <x:c r="O4" s="52" t="str">
        <x:v>Humble/Starter+</x:v>
      </x:c>
      <x:c r="P4" s="41" t="str"/>
    </x:row>
    <x:row r="5">
      <x:c r="A5" s="42" t="str">
        <x:v>Standard</x:v>
      </x:c>
      <x:c r="B5" s="69" t="n">
        <x:v>0.1</x:v>
      </x:c>
      <x:c r="C5" s="69" t="n">
        <x:v>0.65</x:v>
      </x:c>
      <x:c r="D5" s="69" t="n">
        <x:v>0.3</x:v>
      </x:c>
      <x:c r="E5" s="69" t="n">
        <x:v>0.05</x:v>
      </x:c>
      <x:c r="F5" s="69" t="n">
        <x:v>0</x:v>
      </x:c>
      <x:c r="G5" s="69" t="n">
        <x:v>0</x:v>
      </x:c>
      <x:c r="H5" s="22" t="str">
        <x:v>Building family involved in Hunt</x:v>
      </x:c>
      <x:c r="I5" s="22" t="str">
        <x:v>No</x:v>
      </x:c>
      <x:c r="J5" s="22" t="str">
        <x:v>No</x:v>
      </x:c>
      <x:c r="K5" s="22" t="str">
        <x:v>No</x:v>
      </x:c>
      <x:c r="L5" s="22" t="str">
        <x:v>Yes</x:v>
      </x:c>
      <x:c r="M5" s="75" t="n">
        <x:f>B5*10</x:f>
        <x:v>1</x:v>
      </x:c>
      <x:c r="N5" s="22" t="str">
        <x:v>Baseline discovery</x:v>
      </x:c>
      <x:c r="O5" s="22" t="str">
        <x:v>Starter+</x:v>
      </x:c>
      <x:c r="P5" s="43" t="str"/>
    </x:row>
    <x:row r="6">
      <x:c r="A6" s="42" t="str">
        <x:v>Hard</x:v>
      </x:c>
      <x:c r="B6" s="69" t="n">
        <x:v>0.18</x:v>
      </x:c>
      <x:c r="C6" s="69" t="n">
        <x:v>0.35</x:v>
      </x:c>
      <x:c r="D6" s="69" t="n">
        <x:v>0.45</x:v>
      </x:c>
      <x:c r="E6" s="69" t="n">
        <x:v>0.18</x:v>
      </x:c>
      <x:c r="F6" s="69" t="n">
        <x:v>0.02</x:v>
      </x:c>
      <x:c r="G6" s="69" t="n">
        <x:v>0</x:v>
      </x:c>
      <x:c r="H6" s="22" t="str">
        <x:v>Building family involved in Hunt</x:v>
      </x:c>
      <x:c r="I6" s="22" t="str">
        <x:v>No</x:v>
      </x:c>
      <x:c r="J6" s="22" t="str">
        <x:v>No</x:v>
      </x:c>
      <x:c r="K6" s="22" t="str">
        <x:v>No</x:v>
      </x:c>
      <x:c r="L6" s="22" t="str">
        <x:v>Yes</x:v>
      </x:c>
      <x:c r="M6" s="75" t="n">
        <x:f>B6*10</x:f>
        <x:v>1.7999999999999998</x:v>
      </x:c>
      <x:c r="N6" s="22" t="str">
        <x:v>Rare hunting</x:v>
      </x:c>
      <x:c r="O6" s="22" t="str">
        <x:v>Growing+</x:v>
      </x:c>
      <x:c r="P6" s="43" t="str"/>
    </x:row>
    <x:row r="7">
      <x:c r="A7" s="42" t="str">
        <x:v>Elite</x:v>
      </x:c>
      <x:c r="B7" s="69" t="n">
        <x:v>0.28</x:v>
      </x:c>
      <x:c r="C7" s="69" t="n">
        <x:v>0.15</x:v>
      </x:c>
      <x:c r="D7" s="69" t="n">
        <x:v>0.35</x:v>
      </x:c>
      <x:c r="E7" s="69" t="n">
        <x:v>0.4</x:v>
      </x:c>
      <x:c r="F7" s="69" t="n">
        <x:v>0.09</x:v>
      </x:c>
      <x:c r="G7" s="69" t="n">
        <x:v>0.01</x:v>
      </x:c>
      <x:c r="H7" s="22" t="str">
        <x:v>Building family involved in Hunt</x:v>
      </x:c>
      <x:c r="I7" s="22" t="str">
        <x:v>No</x:v>
      </x:c>
      <x:c r="J7" s="22" t="str">
        <x:v>No</x:v>
      </x:c>
      <x:c r="K7" s="22" t="str">
        <x:v>No</x:v>
      </x:c>
      <x:c r="L7" s="22" t="str">
        <x:v>Yes</x:v>
      </x:c>
      <x:c r="M7" s="75" t="n">
        <x:f>B7*10</x:f>
        <x:v>2.8000000000000003</x:v>
      </x:c>
      <x:c r="N7" s="22" t="str">
        <x:v>High-tier discovery</x:v>
      </x:c>
      <x:c r="O7" s="22" t="str">
        <x:v>Established+</x:v>
      </x:c>
      <x:c r="P7" s="43" t="str"/>
    </x:row>
    <x:row r="8">
      <x:c r="A8" s="44" t="str">
        <x:v>Jackpot</x:v>
      </x:c>
      <x:c r="B8" s="72" t="n">
        <x:v>0.45</x:v>
      </x:c>
      <x:c r="C8" s="72" t="n">
        <x:v>0.05</x:v>
      </x:c>
      <x:c r="D8" s="72" t="n">
        <x:v>0.2</x:v>
      </x:c>
      <x:c r="E8" s="72" t="n">
        <x:v>0.45</x:v>
      </x:c>
      <x:c r="F8" s="72" t="n">
        <x:v>0.25</x:v>
      </x:c>
      <x:c r="G8" s="72" t="n">
        <x:v>0.05</x:v>
      </x:c>
      <x:c r="H8" s="53" t="str">
        <x:v>Building family involved in Hunt</x:v>
      </x:c>
      <x:c r="I8" s="53" t="str">
        <x:v>No</x:v>
      </x:c>
      <x:c r="J8" s="53" t="str">
        <x:v>No</x:v>
      </x:c>
      <x:c r="K8" s="53" t="str">
        <x:v>No</x:v>
      </x:c>
      <x:c r="L8" s="53" t="str">
        <x:v>Yes</x:v>
      </x:c>
      <x:c r="M8" s="76" t="n">
        <x:f>B8*10</x:f>
        <x:v>4.5</x:v>
      </x:c>
      <x:c r="N8" s="53" t="str">
        <x:v>Very rare premium discovery</x:v>
      </x:c>
      <x:c r="O8" s="53" t="str">
        <x:v>Elite/Tycoon</x:v>
      </x:c>
      <x:c r="P8" s="45" t="str"/>
    </x:row>
    <x:row r="10" ht="22" customHeight="1">
      <x:c r="A10" s="11" t="str">
        <x:v>Event Module Rewards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</x:row>
    <x:row r="11">
      <x:c r="A11" s="14" t="str">
        <x:v>Event Tier</x:v>
      </x:c>
      <x:c r="B11" s="14" t="str">
        <x:v>Module Chance</x:v>
      </x:c>
      <x:c r="C11" s="14" t="str">
        <x:v>Rarity Ceiling</x:v>
      </x:c>
      <x:c r="D11" s="14" t="str">
        <x:v>Choice Reward?</x:v>
      </x:c>
      <x:c r="E11" s="14" t="str">
        <x:v>Themed Compatibility</x:v>
      </x:c>
      <x:c r="F11" s="14" t="str">
        <x:v>Direct Event Score?</x:v>
      </x:c>
      <x:c r="G11" s="14" t="str">
        <x:v>Guaranteed Case</x:v>
      </x:c>
      <x:c r="H11" s="14" t="str">
        <x:v>Notes</x:v>
      </x:c>
    </x:row>
    <x:row r="12">
      <x:c r="A12" s="40" t="str">
        <x:v>Minor</x:v>
      </x:c>
      <x:c r="B12" s="68" t="n">
        <x:v>0.05</x:v>
      </x:c>
      <x:c r="C12" s="52" t="str">
        <x:v>Uncommon</x:v>
      </x:c>
      <x:c r="D12" s="52" t="str">
        <x:v>Rarely</x:v>
      </x:c>
      <x:c r="E12" s="52" t="str">
        <x:v>Affected family</x:v>
      </x:c>
      <x:c r="F12" s="52" t="str">
        <x:v>No</x:v>
      </x:c>
      <x:c r="G12" s="52" t="str">
        <x:v>None</x:v>
      </x:c>
      <x:c r="H12" s="41" t="str">
        <x:v>Small surprise</x:v>
      </x:c>
    </x:row>
    <x:row r="13">
      <x:c r="A13" s="42" t="str">
        <x:v>Standard</x:v>
      </x:c>
      <x:c r="B13" s="69" t="n">
        <x:v>0.12</x:v>
      </x:c>
      <x:c r="C13" s="22" t="str">
        <x:v>Rare</x:v>
      </x:c>
      <x:c r="D13" s="22" t="str">
        <x:v>Sometimes</x:v>
      </x:c>
      <x:c r="E13" s="22" t="str">
        <x:v>Affected family/category</x:v>
      </x:c>
      <x:c r="F13" s="22" t="str">
        <x:v>No</x:v>
      </x:c>
      <x:c r="G13" s="22" t="str">
        <x:v>Mission chain may guarantee Common/Uncommon</x:v>
      </x:c>
      <x:c r="H13" s="43" t="str"/>
    </x:row>
    <x:row r="14">
      <x:c r="A14" s="42" t="str">
        <x:v>Major</x:v>
      </x:c>
      <x:c r="B14" s="69" t="n">
        <x:v>0.2</x:v>
      </x:c>
      <x:c r="C14" s="22" t="str">
        <x:v>Epic</x:v>
      </x:c>
      <x:c r="D14" s="22" t="str">
        <x:v>Often on completion</x:v>
      </x:c>
      <x:c r="E14" s="22" t="str">
        <x:v>Strongly themed</x:v>
      </x:c>
      <x:c r="F14" s="22" t="str">
        <x:v>No</x:v>
      </x:c>
      <x:c r="G14" s="22" t="str">
        <x:v>Major objective can guarantee Rare</x:v>
      </x:c>
      <x:c r="H14" s="43" t="str"/>
    </x:row>
    <x:row r="15">
      <x:c r="A15" s="42" t="str">
        <x:v>Seasonal/Summit</x:v>
      </x:c>
      <x:c r="B15" s="69" t="n">
        <x:v>0.25</x:v>
      </x:c>
      <x:c r="C15" s="22" t="str">
        <x:v>Epic; Legendary Parts/variant possible</x:v>
      </x:c>
      <x:c r="D15" s="22" t="str">
        <x:v>Yes for milestone</x:v>
      </x:c>
      <x:c r="E15" s="22" t="str">
        <x:v>Season theme + family</x:v>
      </x:c>
      <x:c r="F15" s="22" t="str">
        <x:v>No</x:v>
      </x:c>
      <x:c r="G15" s="22" t="str">
        <x:v>Season milestone can guarantee sidegrade/Parts</x:v>
      </x:c>
      <x:c r="H15" s="43" t="str">
        <x:v>No exclusive stronger Module</x:v>
      </x:c>
    </x:row>
    <x:row r="16">
      <x:c r="A16" s="44" t="str">
        <x:v>Crisis Resolution</x:v>
      </x:c>
      <x:c r="B16" s="72" t="n">
        <x:v>0.18</x:v>
      </x:c>
      <x:c r="C16" s="53" t="str">
        <x:v>Epic</x:v>
      </x:c>
      <x:c r="D16" s="53" t="str">
        <x:v>Choice if successfully mitigated</x:v>
      </x:c>
      <x:c r="E16" s="53" t="str">
        <x:v>Risk/Resilience</x:v>
      </x:c>
      <x:c r="F16" s="53" t="str">
        <x:v>No</x:v>
      </x:c>
      <x:c r="G16" s="53" t="str">
        <x:v>May guarantee defensive Module/Parts</x:v>
      </x:c>
      <x:c r="H16" s="45" t="str">
        <x:v>Reward safe management, not losses</x:v>
      </x:c>
    </x:row>
    <x:row r="18" ht="22" customHeight="1">
      <x:c r="A18" s="11" t="str">
        <x:v>Pack Drop Tables</x:v>
      </x:c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</x:row>
    <x:row r="19">
      <x:c r="A19" s="14" t="str">
        <x:v>Pack</x:v>
      </x:c>
      <x:c r="B19" s="14" t="str">
        <x:v>Rolls</x:v>
      </x:c>
      <x:c r="C19" s="14" t="str">
        <x:v>Common</x:v>
      </x:c>
      <x:c r="D19" s="14" t="str">
        <x:v>Uncommon</x:v>
      </x:c>
      <x:c r="E19" s="14" t="str">
        <x:v>Rare</x:v>
      </x:c>
      <x:c r="F19" s="14" t="str">
        <x:v>Epic</x:v>
      </x:c>
      <x:c r="G19" s="14" t="str">
        <x:v>Legendary</x:v>
      </x:c>
      <x:c r="H19" s="14" t="str">
        <x:v>Cash Purchasable?</x:v>
      </x:c>
      <x:c r="I19" s="14" t="str">
        <x:v>Weekly Cap</x:v>
      </x:c>
      <x:c r="J19" s="14" t="str">
        <x:v>Notes</x:v>
      </x:c>
    </x:row>
    <x:row r="20">
      <x:c r="A20" s="40" t="str">
        <x:v>Basic Earned Module Pack</x:v>
      </x:c>
      <x:c r="B20" s="62" t="n">
        <x:v>3</x:v>
      </x:c>
      <x:c r="C20" s="68" t="n">
        <x:v>0.55</x:v>
      </x:c>
      <x:c r="D20" s="68" t="n">
        <x:v>0.38</x:v>
      </x:c>
      <x:c r="E20" s="68" t="n">
        <x:v>0.07</x:v>
      </x:c>
      <x:c r="F20" s="68" t="n">
        <x:v>0</x:v>
      </x:c>
      <x:c r="G20" s="68" t="n">
        <x:v>0</x:v>
      </x:c>
      <x:c r="H20" s="52" t="str">
        <x:v>No</x:v>
      </x:c>
      <x:c r="I20" s="52" t="str">
        <x:v>Earned</x:v>
      </x:c>
      <x:c r="J20" s="41" t="str">
        <x:v>Mastery/milestone pack</x:v>
      </x:c>
    </x:row>
    <x:row r="21">
      <x:c r="A21" s="42" t="str">
        <x:v>Advanced Earned Module Pack</x:v>
      </x:c>
      <x:c r="B21" s="63" t="n">
        <x:v>4</x:v>
      </x:c>
      <x:c r="C21" s="69" t="n">
        <x:v>0.15</x:v>
      </x:c>
      <x:c r="D21" s="69" t="n">
        <x:v>0.45</x:v>
      </x:c>
      <x:c r="E21" s="69" t="n">
        <x:v>0.35</x:v>
      </x:c>
      <x:c r="F21" s="69" t="n">
        <x:v>0.05</x:v>
      </x:c>
      <x:c r="G21" s="69" t="n">
        <x:v>0</x:v>
      </x:c>
      <x:c r="H21" s="22" t="str">
        <x:v>No</x:v>
      </x:c>
      <x:c r="I21" s="22" t="str">
        <x:v>Earned</x:v>
      </x:c>
      <x:c r="J21" s="43" t="str">
        <x:v>Established+ reward</x:v>
      </x:c>
    </x:row>
    <x:row r="22">
      <x:c r="A22" s="42" t="str">
        <x:v>Prestige Earned Module Pack</x:v>
      </x:c>
      <x:c r="B22" s="63" t="n">
        <x:v>4</x:v>
      </x:c>
      <x:c r="C22" s="69" t="n">
        <x:v>0.05</x:v>
      </x:c>
      <x:c r="D22" s="69" t="n">
        <x:v>0.2</x:v>
      </x:c>
      <x:c r="E22" s="69" t="n">
        <x:v>0.45</x:v>
      </x:c>
      <x:c r="F22" s="69" t="n">
        <x:v>0.28</x:v>
      </x:c>
      <x:c r="G22" s="69" t="n">
        <x:v>0.02</x:v>
      </x:c>
      <x:c r="H22" s="22" t="str">
        <x:v>No</x:v>
      </x:c>
      <x:c r="I22" s="22" t="str">
        <x:v>Earned</x:v>
      </x:c>
      <x:c r="J22" s="43" t="str">
        <x:v>Elite/Tycoon milestone only</x:v>
      </x:c>
    </x:row>
    <x:row r="23">
      <x:c r="A23" s="44" t="str">
        <x:v>Cash Module Pack</x:v>
      </x:c>
      <x:c r="B23" s="64" t="n">
        <x:v>3</x:v>
      </x:c>
      <x:c r="C23" s="72" t="n">
        <x:v>0.45</x:v>
      </x:c>
      <x:c r="D23" s="72" t="n">
        <x:v>0.45</x:v>
      </x:c>
      <x:c r="E23" s="72" t="n">
        <x:v>0.1</x:v>
      </x:c>
      <x:c r="F23" s="72" t="n">
        <x:v>0</x:v>
      </x:c>
      <x:c r="G23" s="72" t="n">
        <x:v>0</x:v>
      </x:c>
      <x:c r="H23" s="53" t="str">
        <x:v>Yes — in-game Cash only</x:v>
      </x:c>
      <x:c r="I23" s="53" t="n">
        <x:v>3</x:v>
      </x:c>
      <x:c r="J23" s="45" t="str">
        <x:v>Cannot produce Epic/Legendary or their Parts</x:v>
      </x:c>
    </x:row>
  </x:sheetData>
  <x:mergeCells>
    <x:mergeCell ref="A1:P1"/>
    <x:mergeCell ref="A10:P10"/>
    <x:mergeCell ref="A18:P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Module Inventory, Duplicates, Dismantling &amp; Crafting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Rarity</x:v>
      </x:c>
      <x:c r="B3" s="14" t="str">
        <x:v>Dismantle Value</x:v>
      </x:c>
      <x:c r="C3" s="14" t="str">
        <x:v>Part Type</x:v>
      </x:c>
      <x:c r="D3" s="14" t="str">
        <x:v>Exact Craft Cost</x:v>
      </x:c>
      <x:c r="E3" s="14" t="str">
        <x:v>Equivalent Duplicates</x:v>
      </x:c>
      <x:c r="F3" s="14" t="str">
        <x:v>Mastery Prerequisite</x:v>
      </x:c>
      <x:c r="G3" s="14" t="str">
        <x:v>Stage Gate</x:v>
      </x:c>
      <x:c r="H3" s="14" t="str">
        <x:v>Cash Cost to Craft</x:v>
      </x:c>
      <x:c r="I3" s="14" t="str">
        <x:v>Can Cash Packs Generate This Tier?</x:v>
      </x:c>
      <x:c r="J3" s="14" t="str">
        <x:v>Can Hold Multiple Copies?</x:v>
      </x:c>
      <x:c r="K3" s="14" t="str">
        <x:v>Auto-Dismantle?</x:v>
      </x:c>
      <x:c r="L3" s="14" t="str">
        <x:v>Module Leveling?</x:v>
      </x:c>
      <x:c r="M3" s="14" t="str">
        <x:v>Competitive Direct Effect?</x:v>
      </x:c>
      <x:c r="N3" s="14" t="str">
        <x:v>Notes</x:v>
      </x:c>
    </x:row>
    <x:row r="4">
      <x:c r="A4" s="40" t="str">
        <x:v>Common</x:v>
      </x:c>
      <x:c r="B4" s="62" t="n">
        <x:v>5</x:v>
      </x:c>
      <x:c r="C4" s="62" t="str">
        <x:v>Common Parts</x:v>
      </x:c>
      <x:c r="D4" s="62" t="n">
        <x:v>25</x:v>
      </x:c>
      <x:c r="E4" s="62" t="n">
        <x:v>5</x:v>
      </x:c>
      <x:c r="F4" s="52" t="str">
        <x:v>None</x:v>
      </x:c>
      <x:c r="G4" s="52" t="str">
        <x:v>Humble+</x:v>
      </x:c>
      <x:c r="H4" s="62" t="n">
        <x:v>0</x:v>
      </x:c>
      <x:c r="I4" s="52" t="str">
        <x:v>Yes</x:v>
      </x:c>
      <x:c r="J4" s="52" t="str">
        <x:v>Yes</x:v>
      </x:c>
      <x:c r="K4" s="52" t="str">
        <x:v>No — player decides</x:v>
      </x:c>
      <x:c r="L4" s="52" t="str">
        <x:v>No</x:v>
      </x:c>
      <x:c r="M4" s="52" t="str">
        <x:v>No</x:v>
      </x:c>
      <x:c r="N4" s="41" t="str"/>
    </x:row>
    <x:row r="5">
      <x:c r="A5" s="42" t="str">
        <x:v>Uncommon</x:v>
      </x:c>
      <x:c r="B5" s="63" t="n">
        <x:v>12</x:v>
      </x:c>
      <x:c r="C5" s="63" t="str">
        <x:v>Uncommon Parts</x:v>
      </x:c>
      <x:c r="D5" s="63" t="n">
        <x:v>60</x:v>
      </x:c>
      <x:c r="E5" s="63" t="n">
        <x:v>5</x:v>
      </x:c>
      <x:c r="F5" s="22" t="str">
        <x:v>None</x:v>
      </x:c>
      <x:c r="G5" s="22" t="str">
        <x:v>Starter+</x:v>
      </x:c>
      <x:c r="H5" s="63" t="n">
        <x:v>0</x:v>
      </x:c>
      <x:c r="I5" s="22" t="str">
        <x:v>Yes</x:v>
      </x:c>
      <x:c r="J5" s="22" t="str">
        <x:v>Yes</x:v>
      </x:c>
      <x:c r="K5" s="22" t="str">
        <x:v>No</x:v>
      </x:c>
      <x:c r="L5" s="22" t="str">
        <x:v>No</x:v>
      </x:c>
      <x:c r="M5" s="22" t="str">
        <x:v>No</x:v>
      </x:c>
      <x:c r="N5" s="43" t="str"/>
    </x:row>
    <x:row r="6">
      <x:c r="A6" s="42" t="str">
        <x:v>Rare</x:v>
      </x:c>
      <x:c r="B6" s="63" t="n">
        <x:v>30</x:v>
      </x:c>
      <x:c r="C6" s="63" t="str">
        <x:v>Rare Parts</x:v>
      </x:c>
      <x:c r="D6" s="63" t="n">
        <x:v>150</x:v>
      </x:c>
      <x:c r="E6" s="63" t="n">
        <x:v>5</x:v>
      </x:c>
      <x:c r="F6" s="22" t="str">
        <x:v>Mastery II in a compatible family OR relevant Rare building unlocked</x:v>
      </x:c>
      <x:c r="G6" s="22" t="str">
        <x:v>Growing+</x:v>
      </x:c>
      <x:c r="H6" s="63" t="n">
        <x:v>0</x:v>
      </x:c>
      <x:c r="I6" s="22" t="str">
        <x:v>Yes, but low frequency</x:v>
      </x:c>
      <x:c r="J6" s="22" t="str">
        <x:v>Yes</x:v>
      </x:c>
      <x:c r="K6" s="22" t="str">
        <x:v>No</x:v>
      </x:c>
      <x:c r="L6" s="22" t="str">
        <x:v>No</x:v>
      </x:c>
      <x:c r="M6" s="22" t="str">
        <x:v>No</x:v>
      </x:c>
      <x:c r="N6" s="43" t="str"/>
    </x:row>
    <x:row r="7">
      <x:c r="A7" s="42" t="str">
        <x:v>Epic</x:v>
      </x:c>
      <x:c r="B7" s="63" t="n">
        <x:v>80</x:v>
      </x:c>
      <x:c r="C7" s="63" t="str">
        <x:v>Epic Parts</x:v>
      </x:c>
      <x:c r="D7" s="63" t="n">
        <x:v>400</x:v>
      </x:c>
      <x:c r="E7" s="63" t="n">
        <x:v>5</x:v>
      </x:c>
      <x:c r="F7" s="22" t="str">
        <x:v>Mastery III in compatible family</x:v>
      </x:c>
      <x:c r="G7" s="22" t="str">
        <x:v>Established+</x:v>
      </x:c>
      <x:c r="H7" s="63" t="n">
        <x:v>0</x:v>
      </x:c>
      <x:c r="I7" s="22" t="str">
        <x:v>No</x:v>
      </x:c>
      <x:c r="J7" s="22" t="str">
        <x:v>Yes</x:v>
      </x:c>
      <x:c r="K7" s="22" t="str">
        <x:v>No</x:v>
      </x:c>
      <x:c r="L7" s="22" t="str">
        <x:v>No</x:v>
      </x:c>
      <x:c r="M7" s="22" t="str">
        <x:v>No</x:v>
      </x:c>
      <x:c r="N7" s="43" t="str">
        <x:v>Earned sources only</x:v>
      </x:c>
    </x:row>
    <x:row r="8">
      <x:c r="A8" s="44" t="str">
        <x:v>Legendary</x:v>
      </x:c>
      <x:c r="B8" s="64" t="n">
        <x:v>200</x:v>
      </x:c>
      <x:c r="C8" s="64" t="str">
        <x:v>Legendary Parts</x:v>
      </x:c>
      <x:c r="D8" s="64" t="n">
        <x:v>1000</x:v>
      </x:c>
      <x:c r="E8" s="64" t="n">
        <x:v>5</x:v>
      </x:c>
      <x:c r="F8" s="53" t="str">
        <x:v>Mastery IV/V in compatible family</x:v>
      </x:c>
      <x:c r="G8" s="53" t="str">
        <x:v>Elite/Tycoon</x:v>
      </x:c>
      <x:c r="H8" s="64" t="n">
        <x:v>0</x:v>
      </x:c>
      <x:c r="I8" s="53" t="str">
        <x:v>No</x:v>
      </x:c>
      <x:c r="J8" s="53" t="str">
        <x:v>Yes</x:v>
      </x:c>
      <x:c r="K8" s="53" t="str">
        <x:v>No</x:v>
      </x:c>
      <x:c r="L8" s="53" t="str">
        <x:v>No</x:v>
      </x:c>
      <x:c r="M8" s="53" t="str">
        <x:v>No</x:v>
      </x:c>
      <x:c r="N8" s="45" t="str">
        <x:v>Exact craft gives deterministic endgame path</x:v>
      </x:c>
    </x:row>
    <x:row r="10" ht="22" customHeight="1">
      <x:c r="A10" s="11" t="str">
        <x:v>Inventory Rules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4" t="str">
        <x:v>Rule</x:v>
      </x:c>
      <x:c r="B11" s="14" t="str">
        <x:v>Specification</x:v>
      </x:c>
    </x:row>
    <x:row r="12">
      <x:c r="A12" s="40" t="str">
        <x:v>Copies are useful</x:v>
      </x:c>
      <x:c r="B12" s="41" t="str">
        <x:v>Identical Modules stack as inventory quantity because different Building Instances may equip separate copies.</x:v>
      </x:c>
    </x:row>
    <x:row r="13">
      <x:c r="A13" s="42" t="str">
        <x:v>No same Module twice on one building</x:v>
      </x:c>
      <x:c r="B13" s="43" t="str">
        <x:v>A Building Instance cannot equip two copies of the same Module ID.</x:v>
      </x:c>
    </x:row>
    <x:row r="14">
      <x:c r="A14" s="42" t="str">
        <x:v>Dismantling is voluntary</x:v>
      </x:c>
      <x:c r="B14" s="43" t="str">
        <x:v>Players choose when to convert copies into same-tier Module Parts.</x:v>
      </x:c>
    </x:row>
    <x:row r="15">
      <x:c r="A15" s="42" t="str">
        <x:v>No Module leveling in v1.0</x:v>
      </x:c>
      <x:c r="B15" s="43" t="str">
        <x:v>A Module has fixed effects. Duplicates do not increase its stats.</x:v>
      </x:c>
    </x:row>
    <x:row r="16">
      <x:c r="A16" s="42" t="str">
        <x:v>Craft exact Module</x:v>
      </x:c>
      <x:c r="B16" s="43" t="str">
        <x:v>If stage/mastery requirements are met, players spend same-tier Parts to craft a chosen Module rather than another random roll.</x:v>
      </x:c>
    </x:row>
    <x:row r="17">
      <x:c r="A17" s="42" t="str">
        <x:v>No cross-tier alchemy in v1.0</x:v>
      </x:c>
      <x:c r="B17" s="43" t="str">
        <x:v>Common Parts cannot be converted upward into Legendary Parts; this stops Cash packs from indirectly buying endgame Modules.</x:v>
      </x:c>
    </x:row>
    <x:row r="18">
      <x:c r="A18" s="44" t="str">
        <x:v>Stacked inventory UI</x:v>
      </x:c>
      <x:c r="B18" s="45" t="str">
        <x:v>Identical copies display as xN to avoid inventory clutter.</x:v>
      </x:c>
    </x:row>
  </x:sheetData>
  <x:mergeCells>
    <x:mergeCell ref="A1:N1"/>
    <x:mergeCell ref="A10:N1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Module Stacking, Modifier Order &amp; Balance Guardrails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Rule</x:v>
      </x:c>
      <x:c r="B3" s="14" t="str">
        <x:v>Default</x:v>
      </x:c>
      <x:c r="C3" s="14" t="str">
        <x:v>Applies To</x:v>
      </x:c>
      <x:c r="D3" s="14" t="str">
        <x:v>Calculation</x:v>
      </x:c>
      <x:c r="E3" s="14" t="str">
        <x:v>Cap</x:v>
      </x:c>
      <x:c r="F3" s="14" t="str">
        <x:v>Tradeoff Handling</x:v>
      </x:c>
      <x:c r="G3" s="14" t="str">
        <x:v>Why</x:v>
      </x:c>
      <x:c r="H3" s="14" t="str">
        <x:v>Client Visible?</x:v>
      </x:c>
      <x:c r="I3" s="14" t="str">
        <x:v>Server Authoritative?</x:v>
      </x:c>
      <x:c r="J3" s="14" t="str">
        <x:v>Performance Direct?</x:v>
      </x:c>
      <x:c r="K3" s="14" t="str">
        <x:v>PLOT Direct?</x:v>
      </x:c>
      <x:c r="L3" s="14" t="str">
        <x:v>Exploit Concern</x:v>
      </x:c>
      <x:c r="M3" s="14" t="str">
        <x:v>Mitigation</x:v>
      </x:c>
      <x:c r="N3" s="14" t="str">
        <x:v>Notes</x:v>
      </x:c>
    </x:row>
    <x:row r="4">
      <x:c r="A4" s="40" t="str">
        <x:v>Same stacking group diminishing returns</x:v>
      </x:c>
      <x:c r="B4" s="52" t="str">
        <x:v>100% / 60% / 30%</x:v>
      </x:c>
      <x:c r="C4" s="52" t="str">
        <x:v>Multiple Modules affecting same effect family</x:v>
      </x:c>
      <x:c r="D4" s="52" t="str">
        <x:v>Sort positive effects by magnitude; apply first three factors</x:v>
      </x:c>
      <x:c r="E4" s="52" t="str">
        <x:v>Then family hard cap</x:v>
      </x:c>
      <x:c r="F4" s="52" t="str">
        <x:v>Negative tradeoffs apply at 100%</x:v>
      </x:c>
      <x:c r="G4" s="52" t="str">
        <x:v>Avoid additive stacking meta</x:v>
      </x:c>
      <x:c r="H4" s="52" t="str">
        <x:v>Yes in equip preview</x:v>
      </x:c>
      <x:c r="I4" s="52" t="str">
        <x:v>Yes</x:v>
      </x:c>
      <x:c r="J4" s="52" t="str">
        <x:v>No</x:v>
      </x:c>
      <x:c r="K4" s="52" t="str">
        <x:v>No</x:v>
      </x:c>
      <x:c r="L4" s="52" t="str">
        <x:v>Swapping order</x:v>
      </x:c>
      <x:c r="M4" s="52" t="str">
        <x:v>Server computes effective loadout</x:v>
      </x:c>
      <x:c r="N4" s="41" t="str"/>
    </x:row>
    <x:row r="5">
      <x:c r="A5" s="42" t="str">
        <x:v>Exact duplicate on same building</x:v>
      </x:c>
      <x:c r="B5" s="22" t="str">
        <x:v>Blocked</x:v>
      </x:c>
      <x:c r="C5" s="22" t="str">
        <x:v>Same Module ID</x:v>
      </x:c>
      <x:c r="D5" s="22" t="str">
        <x:v>N/A</x:v>
      </x:c>
      <x:c r="E5" s="22" t="n">
        <x:v>1</x:v>
      </x:c>
      <x:c r="F5" s="22" t="str">
        <x:v>N/A</x:v>
      </x:c>
      <x:c r="G5" s="22" t="str">
        <x:v>Prevent simple duplication</x:v>
      </x:c>
      <x:c r="H5" s="22" t="str">
        <x:v>Yes</x:v>
      </x:c>
      <x:c r="I5" s="22" t="str">
        <x:v>Yes</x:v>
      </x:c>
      <x:c r="J5" s="22" t="str">
        <x:v>No</x:v>
      </x:c>
      <x:c r="K5" s="22" t="str">
        <x:v>No</x:v>
      </x:c>
      <x:c r="L5" s="22" t="str">
        <x:v>Duplicate equip race</x:v>
      </x:c>
      <x:c r="M5" s="22" t="str">
        <x:v>Slot validation</x:v>
      </x:c>
      <x:c r="N5" s="43" t="str"/>
    </x:row>
    <x:row r="6">
      <x:c r="A6" s="42" t="str">
        <x:v>Legendary limit</x:v>
      </x:c>
      <x:c r="B6" s="22" t="str">
        <x:v>1/building</x:v>
      </x:c>
      <x:c r="C6" s="22" t="str">
        <x:v>Legendary Modules</x:v>
      </x:c>
      <x:c r="D6" s="22" t="str">
        <x:v>N/A</x:v>
      </x:c>
      <x:c r="E6" s="22" t="n">
        <x:v>1</x:v>
      </x:c>
      <x:c r="F6" s="22" t="str">
        <x:v>N/A</x:v>
      </x:c>
      <x:c r="G6" s="22" t="str">
        <x:v>Avoid rule-change pileups</x:v>
      </x:c>
      <x:c r="H6" s="22" t="str">
        <x:v>Yes</x:v>
      </x:c>
      <x:c r="I6" s="22" t="str">
        <x:v>Yes</x:v>
      </x:c>
      <x:c r="J6" s="22" t="str">
        <x:v>No</x:v>
      </x:c>
      <x:c r="K6" s="22" t="str">
        <x:v>No</x:v>
      </x:c>
      <x:c r="L6" s="22" t="str">
        <x:v>Multiple copies</x:v>
      </x:c>
      <x:c r="M6" s="22" t="str">
        <x:v>Rarity check</x:v>
      </x:c>
      <x:c r="N6" s="43" t="str"/>
    </x:row>
    <x:row r="7">
      <x:c r="A7" s="42" t="str">
        <x:v>Global/aura effects</x:v>
      </x:c>
      <x:c r="B7" s="22" t="str">
        <x:v>Not allowed v1.0</x:v>
      </x:c>
      <x:c r="C7" s="22" t="str">
        <x:v>All Modules</x:v>
      </x:c>
      <x:c r="D7" s="22" t="str">
        <x:v>Building-local only</x:v>
      </x:c>
      <x:c r="E7" s="22" t="str">
        <x:v>N/A</x:v>
      </x:c>
      <x:c r="F7" s="22" t="str">
        <x:v>N/A</x:v>
      </x:c>
      <x:c r="G7" s="22" t="str">
        <x:v>Keep economy readable</x:v>
      </x:c>
      <x:c r="H7" s="22" t="str">
        <x:v>Yes</x:v>
      </x:c>
      <x:c r="I7" s="22" t="str">
        <x:v>Yes</x:v>
      </x:c>
      <x:c r="J7" s="22" t="str">
        <x:v>No</x:v>
      </x:c>
      <x:c r="K7" s="22" t="str">
        <x:v>No</x:v>
      </x:c>
      <x:c r="L7" s="22" t="str">
        <x:v>Cross-building exponential loops</x:v>
      </x:c>
      <x:c r="M7" s="22" t="str">
        <x:v>Defer global auras</x:v>
      </x:c>
      <x:c r="N7" s="43" t="str"/>
    </x:row>
    <x:row r="8">
      <x:c r="A8" s="42" t="str">
        <x:v>Retroactive effects</x:v>
      </x:c>
      <x:c r="B8" s="22" t="str">
        <x:v>Never</x:v>
      </x:c>
      <x:c r="C8" s="22" t="str">
        <x:v>All Modules</x:v>
      </x:c>
      <x:c r="D8" s="22" t="str">
        <x:v>Effect begins next relevant tick</x:v>
      </x:c>
      <x:c r="E8" s="22" t="str">
        <x:v>N/A</x:v>
      </x:c>
      <x:c r="F8" s="22" t="str">
        <x:v>N/A</x:v>
      </x:c>
      <x:c r="G8" s="22" t="str">
        <x:v>Prevent settlement/event gaming</x:v>
      </x:c>
      <x:c r="H8" s="22" t="str">
        <x:v>Yes</x:v>
      </x:c>
      <x:c r="I8" s="22" t="str">
        <x:v>Yes</x:v>
      </x:c>
      <x:c r="J8" s="22" t="str">
        <x:v>No</x:v>
      </x:c>
      <x:c r="K8" s="22" t="str">
        <x:v>No</x:v>
      </x:c>
      <x:c r="L8" s="22" t="str">
        <x:v>Last-second swaps</x:v>
      </x:c>
      <x:c r="M8" s="22" t="str">
        <x:v>Versioned effective_at</x:v>
      </x:c>
      <x:c r="N8" s="43" t="str"/>
    </x:row>
    <x:row r="9">
      <x:c r="A9" s="44" t="str">
        <x:v>Event lock</x:v>
      </x:c>
      <x:c r="B9" s="53" t="str">
        <x:v>Allowed</x:v>
      </x:c>
      <x:c r="C9" s="53" t="str">
        <x:v>Affected buildings</x:v>
      </x:c>
      <x:c r="D9" s="53" t="str">
        <x:v>Equip changes disabled during specific active event window</x:v>
      </x:c>
      <x:c r="E9" s="53" t="str">
        <x:v>Event scoped</x:v>
      </x:c>
      <x:c r="F9" s="53" t="str">
        <x:v>N/A</x:v>
      </x:c>
      <x:c r="G9" s="53" t="str">
        <x:v>Preserve event decisions</x:v>
      </x:c>
      <x:c r="H9" s="53" t="str">
        <x:v>Yes</x:v>
      </x:c>
      <x:c r="I9" s="53" t="str">
        <x:v>Yes</x:v>
      </x:c>
      <x:c r="J9" s="53" t="str">
        <x:v>No</x:v>
      </x:c>
      <x:c r="K9" s="53" t="str">
        <x:v>No</x:v>
      </x:c>
      <x:c r="L9" s="53" t="str">
        <x:v>Counter-swap after reveal</x:v>
      </x:c>
      <x:c r="M9" s="53" t="str">
        <x:v>Lock flag</x:v>
      </x:c>
      <x:c r="N9" s="45" t="str"/>
    </x:row>
    <x:row r="11" ht="22" customHeight="1">
      <x:c r="A11" s="11" t="str">
        <x:v>Canonical Modifier Order</x:v>
      </x:c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</x:row>
    <x:row r="12">
      <x:c r="A12" s="14" t="str">
        <x:v>Order</x:v>
      </x:c>
      <x:c r="B12" s="14" t="str">
        <x:v>Layer</x:v>
      </x:c>
      <x:c r="C12" s="14" t="str">
        <x:v>Examples</x:v>
      </x:c>
      <x:c r="D12" s="14" t="str">
        <x:v>Why This Order</x:v>
      </x:c>
      <x:c r="E12" s="14" t="str">
        <x:v>Replay Input</x:v>
      </x:c>
      <x:c r="F12" s="14" t="str">
        <x:v>Notes</x:v>
      </x:c>
    </x:row>
    <x:row r="13">
      <x:c r="A13" s="40" t="n">
        <x:v>1</x:v>
      </x:c>
      <x:c r="B13" s="52" t="str">
        <x:v>Base Building Card + upgrade level</x:v>
      </x:c>
      <x:c r="C13" s="52" t="str">
        <x:v>Base capacity, activity, cost, service</x:v>
      </x:c>
      <x:c r="D13" s="52" t="str">
        <x:v>Core identity first</x:v>
      </x:c>
      <x:c r="E13" s="52" t="str">
        <x:v>building_type/config/level</x:v>
      </x:c>
      <x:c r="F13" s="41" t="str"/>
    </x:row>
    <x:row r="14">
      <x:c r="A14" s="42" t="n">
        <x:v>2</x:v>
      </x:c>
      <x:c r="B14" s="22" t="str">
        <x:v>Plot placement / tile / synergy</x:v>
      </x:c>
      <x:c r="C14" s="22" t="str">
        <x:v>Special tile, adjacency, district, congestion</x:v>
      </x:c>
      <x:c r="D14" s="22" t="str">
        <x:v>Physical strategy</x:v>
      </x:c>
      <x:c r="E14" s="22" t="str">
        <x:v>layout_version</x:v>
      </x:c>
      <x:c r="F14" s="43" t="str"/>
    </x:row>
    <x:row r="15">
      <x:c r="A15" s="42" t="n">
        <x:v>3</x:v>
      </x:c>
      <x:c r="B15" s="22" t="str">
        <x:v>Modules</x:v>
      </x:c>
      <x:c r="C15" s="22" t="str">
        <x:v>Equipped local specialization</x:v>
      </x:c>
      <x:c r="D15" s="22" t="str">
        <x:v>Player loadout</x:v>
      </x:c>
      <x:c r="E15" s="22" t="str">
        <x:v>module_loadout_version</x:v>
      </x:c>
      <x:c r="F15" s="43" t="str">
        <x:v>Hard caps applied here</x:v>
      </x:c>
    </x:row>
    <x:row r="16">
      <x:c r="A16" s="42" t="n">
        <x:v>4</x:v>
      </x:c>
      <x:c r="B16" s="22" t="str">
        <x:v>Events</x:v>
      </x:c>
      <x:c r="C16" s="22" t="str">
        <x:v>Bull market, liquidity crunch, outage</x:v>
      </x:c>
      <x:c r="D16" s="22" t="str">
        <x:v>Temporary world state</x:v>
      </x:c>
      <x:c r="E16" s="22" t="str">
        <x:v>event_version</x:v>
      </x:c>
      <x:c r="F16" s="43" t="str"/>
    </x:row>
    <x:row r="17">
      <x:c r="A17" s="42" t="n">
        <x:v>5</x:v>
      </x:c>
      <x:c r="B17" s="22" t="str">
        <x:v>Risk / Reputation / customer-quality modifiers</x:v>
      </x:c>
      <x:c r="C17" s="22" t="str">
        <x:v>Acquisition/retention/risk consequences</x:v>
      </x:c>
      <x:c r="D17" s="22" t="str">
        <x:v>Quality and player operation</x:v>
      </x:c>
      <x:c r="E17" s="22" t="str">
        <x:v>risk/rep snapshot</x:v>
      </x:c>
      <x:c r="F17" s="43" t="str"/>
    </x:row>
    <x:row r="18">
      <x:c r="A18" s="44" t="n">
        <x:v>6</x:v>
      </x:c>
      <x:c r="B18" s="53" t="str">
        <x:v>Final caps / rounding</x:v>
      </x:c>
      <x:c r="C18" s="53" t="str">
        <x:v>Capacity, acquisition, activity guardrails</x:v>
      </x:c>
      <x:c r="D18" s="53" t="str">
        <x:v>Keep simulation bounded</x:v>
      </x:c>
      <x:c r="E18" s="53" t="str">
        <x:v>config_version</x:v>
      </x:c>
      <x:c r="F18" s="45" t="str"/>
    </x:row>
  </x:sheetData>
  <x:mergeCells>
    <x:mergeCell ref="A1:N1"/>
    <x:mergeCell ref="A11:N1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How Modules Modify Existing PLOT Systems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System</x:v>
      </x:c>
      <x:c r="B3" s="14" t="str">
        <x:v>Module Input</x:v>
      </x:c>
      <x:c r="C3" s="14" t="str">
        <x:v>Allowed Effect</x:v>
      </x:c>
      <x:c r="D3" s="14" t="str">
        <x:v>Prohibited Effect</x:v>
      </x:c>
      <x:c r="E3" s="14" t="str">
        <x:v>Application Point</x:v>
      </x:c>
      <x:c r="F3" s="14" t="str">
        <x:v>Existing Cap Preserved?</x:v>
      </x:c>
      <x:c r="G3" s="14" t="str">
        <x:v>Existing Score Logic Preserved?</x:v>
      </x:c>
      <x:c r="H3" s="14" t="str">
        <x:v>Existing Reward Budget Preserved?</x:v>
      </x:c>
      <x:c r="I3" s="14" t="str">
        <x:v>Server Recompute</x:v>
      </x:c>
      <x:c r="J3" s="14" t="str">
        <x:v>UI Surface</x:v>
      </x:c>
      <x:c r="K3" s="14" t="str">
        <x:v>Telemetry</x:v>
      </x:c>
      <x:c r="L3" s="14" t="str">
        <x:v>Balance Risk</x:v>
      </x:c>
      <x:c r="M3" s="14" t="str">
        <x:v>Priority</x:v>
      </x:c>
      <x:c r="N3" s="14" t="str">
        <x:v>Supersession Rule</x:v>
      </x:c>
      <x:c r="O3" s="14" t="str">
        <x:v>Example</x:v>
      </x:c>
      <x:c r="P3" s="14" t="str">
        <x:v>Notes</x:v>
      </x:c>
    </x:row>
    <x:row r="4">
      <x:c r="A4" s="40" t="str">
        <x:v>Customers</x:v>
      </x:c>
      <x:c r="B4" s="52" t="str">
        <x:v>Acquisition, retention, segment affinity, service/capacity modifiers</x:v>
      </x:c>
      <x:c r="C4" s="52" t="str">
        <x:v>Change legitimate customer model inputs</x:v>
      </x:c>
      <x:c r="D4" s="52" t="str">
        <x:v>Directly add customers outside acquisition/churn model</x:v>
      </x:c>
      <x:c r="E4" s="52" t="str">
        <x:v>Before customer refresh formula</x:v>
      </x:c>
      <x:c r="F4" s="52" t="str">
        <x:v>Yes</x:v>
      </x:c>
      <x:c r="G4" s="52" t="str">
        <x:v>Yes</x:v>
      </x:c>
      <x:c r="H4" s="52" t="str">
        <x:v>N/A</x:v>
      </x:c>
      <x:c r="I4" s="52" t="str">
        <x:v>15-min refresh / on loadout change</x:v>
      </x:c>
      <x:c r="J4" s="52" t="str">
        <x:v>Customers + Building Detail</x:v>
      </x:c>
      <x:c r="K4" s="52" t="str">
        <x:v>Segment acquisition/retention by Module</x:v>
      </x:c>
      <x:c r="L4" s="52" t="str">
        <x:v>Medium</x:v>
      </x:c>
      <x:c r="M4" s="52" t="str">
        <x:v>P1</x:v>
      </x:c>
      <x:c r="N4" s="52" t="str">
        <x:v>Module effects are another modifier, not a separate customer generator</x:v>
      </x:c>
      <x:c r="O4" s="52" t="str">
        <x:v>SME Relationship Desk changes SME acquisition modifier</x:v>
      </x:c>
      <x:c r="P4" s="41" t="str"/>
    </x:row>
    <x:row r="5">
      <x:c r="A5" s="42" t="str">
        <x:v>Economy</x:v>
      </x:c>
      <x:c r="B5" s="22" t="str">
        <x:v>Activity efficiency, capacity, operating-cost efficiency</x:v>
      </x:c>
      <x:c r="C5" s="22" t="str">
        <x:v>Change underlying activity/cost inputs</x:v>
      </x:c>
      <x:c r="D5" s="22" t="str">
        <x:v>Direct Cash printing or fixed revenue multipliers</x:v>
      </x:c>
      <x:c r="E5" s="22" t="str">
        <x:v>5-min economy tick after placement/synergy</x:v>
      </x:c>
      <x:c r="F5" s="22" t="str">
        <x:v>Yes</x:v>
      </x:c>
      <x:c r="G5" s="22" t="str">
        <x:v>Yes</x:v>
      </x:c>
      <x:c r="H5" s="22" t="str">
        <x:v>N/A</x:v>
      </x:c>
      <x:c r="I5" s="22" t="str">
        <x:v>Next tick</x:v>
      </x:c>
      <x:c r="J5" s="22" t="str">
        <x:v>Building Detail / Empire</x:v>
      </x:c>
      <x:c r="K5" s="22" t="str">
        <x:v>Net Cash/activity by loadout</x:v>
      </x:c>
      <x:c r="L5" s="22" t="str">
        <x:v>High</x:v>
      </x:c>
      <x:c r="M5" s="22" t="str">
        <x:v>P1</x:v>
      </x:c>
      <x:c r="N5" s="22" t="str">
        <x:v>Cash still comes from customer/business activity</x:v>
      </x:c>
      <x:c r="O5" s="22" t="str">
        <x:v>Lean Operations reduces opex; High Velocity increases activity</x:v>
      </x:c>
      <x:c r="P5" s="43" t="str"/>
    </x:row>
    <x:row r="6">
      <x:c r="A6" s="42" t="str">
        <x:v>Risk</x:v>
      </x:c>
      <x:c r="B6" s="22" t="str">
        <x:v>Risk-category deltas and conditions</x:v>
      </x:c>
      <x:c r="C6" s="22" t="str">
        <x:v>Modify one or more risk categories within caps</x:v>
      </x:c>
      <x:c r="D6" s="22" t="str">
        <x:v>Set Composite Risk directly or bypass Critical rules</x:v>
      </x:c>
      <x:c r="E6" s="22" t="str">
        <x:v>Risk evaluator after module layer</x:v>
      </x:c>
      <x:c r="F6" s="22" t="str">
        <x:v>Yes</x:v>
      </x:c>
      <x:c r="G6" s="22" t="str">
        <x:v>Yes</x:v>
      </x:c>
      <x:c r="H6" s="22" t="str">
        <x:v>N/A</x:v>
      </x:c>
      <x:c r="I6" s="22" t="str">
        <x:v>On loadout/tick/event</x:v>
      </x:c>
      <x:c r="J6" s="22" t="str">
        <x:v>Risk + equip preview</x:v>
      </x:c>
      <x:c r="K6" s="22" t="str">
        <x:v>Risk before/after Module</x:v>
      </x:c>
      <x:c r="L6" s="22" t="str">
        <x:v>High</x:v>
      </x:c>
      <x:c r="M6" s="22" t="str">
        <x:v>P1</x:v>
      </x:c>
      <x:c r="N6" s="22" t="str">
        <x:v>Risk reductions capped at -15 points total from Modules</x:v>
      </x:c>
      <x:c r="O6" s="22" t="str">
        <x:v>Fortress Balance Sheet reduces Liquidity/Credit Risk</x:v>
      </x:c>
      <x:c r="P6" s="43" t="str"/>
    </x:row>
    <x:row r="7">
      <x:c r="A7" s="42" t="str">
        <x:v>Reputation</x:v>
      </x:c>
      <x:c r="B7" s="22" t="str">
        <x:v>Indirect through service/risk/customer outcomes</x:v>
      </x:c>
      <x:c r="C7" s="22" t="str">
        <x:v>Improve conditions that can later affect Rep events</x:v>
      </x:c>
      <x:c r="D7" s="22" t="str">
        <x:v>Direct +Reputation simply for equipping rarity</x:v>
      </x:c>
      <x:c r="E7" s="22" t="str">
        <x:v>Existing Rep ledger only</x:v>
      </x:c>
      <x:c r="F7" s="22" t="str">
        <x:v>Yes</x:v>
      </x:c>
      <x:c r="G7" s="22" t="str">
        <x:v>Yes</x:v>
      </x:c>
      <x:c r="H7" s="22" t="str">
        <x:v>N/A</x:v>
      </x:c>
      <x:c r="I7" s="22" t="str">
        <x:v>Existing Rep cadence</x:v>
      </x:c>
      <x:c r="J7" s="22" t="str">
        <x:v>Empire/Building</x:v>
      </x:c>
      <x:c r="K7" s="22" t="str">
        <x:v>Rep event source distribution</x:v>
      </x:c>
      <x:c r="L7" s="22" t="str">
        <x:v>Medium</x:v>
      </x:c>
      <x:c r="M7" s="22" t="str">
        <x:v>P1</x:v>
      </x:c>
      <x:c r="N7" s="22" t="str">
        <x:v>No Module grants raw Reputation points</x:v>
      </x:c>
      <x:c r="O7" s="22" t="str">
        <x:v>Service Playbook improves Service Quality only</x:v>
      </x:c>
      <x:c r="P7" s="43" t="str"/>
    </x:row>
    <x:row r="8">
      <x:c r="A8" s="42" t="str">
        <x:v>Placement / Synergies</x:v>
      </x:c>
      <x:c r="B8" s="22" t="str">
        <x:v>Module effects layered after physical synergies</x:v>
      </x:c>
      <x:c r="C8" s="22" t="str">
        <x:v>Specialize result of a physical layout</x:v>
      </x:c>
      <x:c r="D8" s="22" t="str">
        <x:v>Change footprint, create adjacency, ignore congestion</x:v>
      </x:c>
      <x:c r="E8" s="22" t="str">
        <x:v>After placement-derived state</x:v>
      </x:c>
      <x:c r="F8" s="22" t="str">
        <x:v>Yes</x:v>
      </x:c>
      <x:c r="G8" s="22" t="str">
        <x:v>Yes</x:v>
      </x:c>
      <x:c r="H8" s="22" t="str">
        <x:v>N/A</x:v>
      </x:c>
      <x:c r="I8" s="22" t="str">
        <x:v>On layout/loadout change</x:v>
      </x:c>
      <x:c r="J8" s="22" t="str">
        <x:v>Build/Building Modules</x:v>
      </x:c>
      <x:c r="K8" s="22" t="str">
        <x:v>Loadout by district/synergy</x:v>
      </x:c>
      <x:c r="L8" s="22" t="str">
        <x:v>Medium</x:v>
      </x:c>
      <x:c r="M8" s="22" t="str">
        <x:v>P1</x:v>
      </x:c>
      <x:c r="N8" s="22" t="str">
        <x:v>Physical strategy remains important</x:v>
      </x:c>
      <x:c r="O8" s="22" t="str">
        <x:v>Module cannot create Exchange+Market Maker synergy</x:v>
      </x:c>
      <x:c r="P8" s="43" t="str"/>
    </x:row>
    <x:row r="9">
      <x:c r="A9" s="42" t="str">
        <x:v>Events</x:v>
      </x:c>
      <x:c r="B9" s="22" t="str">
        <x:v>Event-resilience/conditional effects</x:v>
      </x:c>
      <x:c r="C9" s="22" t="str">
        <x:v>Change event modifiers for the equipped building within cap</x:v>
      </x:c>
      <x:c r="D9" s="22" t="str">
        <x:v>Cancel event globally or add direct event mission score</x:v>
      </x:c>
      <x:c r="E9" s="22" t="str">
        <x:v>During event modifier layer</x:v>
      </x:c>
      <x:c r="F9" s="22" t="str">
        <x:v>Yes</x:v>
      </x:c>
      <x:c r="G9" s="22" t="str">
        <x:v>Yes</x:v>
      </x:c>
      <x:c r="H9" s="22" t="str">
        <x:v>Yes</x:v>
      </x:c>
      <x:c r="I9" s="22" t="str">
        <x:v>Event start/end + next tick</x:v>
      </x:c>
      <x:c r="J9" s="22" t="str">
        <x:v>Events + Building Detail</x:v>
      </x:c>
      <x:c r="K9" s="22" t="str">
        <x:v>Module use by event</x:v>
      </x:c>
      <x:c r="L9" s="22" t="str">
        <x:v>Medium</x:v>
      </x:c>
      <x:c r="M9" s="22" t="str">
        <x:v>P2</x:v>
      </x:c>
      <x:c r="N9" s="22" t="str">
        <x:v>Event decisions remain meaningful</x:v>
      </x:c>
      <x:c r="O9" s="22" t="str">
        <x:v>Adaptive Market Desk reacts to cycle state</x:v>
      </x:c>
      <x:c r="P9" s="43" t="str"/>
    </x:row>
    <x:row r="10">
      <x:c r="A10" s="42" t="str">
        <x:v>Market Hunts</x:v>
      </x:c>
      <x:c r="B10" s="22" t="str">
        <x:v>Modules may be rewards</x:v>
      </x:c>
      <x:c r="C10" s="22" t="str">
        <x:v>Hunts discover Modules from separate roll</x:v>
      </x:c>
      <x:c r="D10" s="22" t="str">
        <x:v>Increase Hunt Points, lower completion target, multiply stock rewards</x:v>
      </x:c>
      <x:c r="E10" s="22" t="str">
        <x:v>Reward resolution only</x:v>
      </x:c>
      <x:c r="F10" s="22" t="str">
        <x:v>N/A</x:v>
      </x:c>
      <x:c r="G10" s="22" t="str">
        <x:v>Yes</x:v>
      </x:c>
      <x:c r="H10" s="22" t="str">
        <x:v>Yes — stock budget separate</x:v>
      </x:c>
      <x:c r="I10" s="22" t="str">
        <x:v>On Hunt completion</x:v>
      </x:c>
      <x:c r="J10" s="22" t="str">
        <x:v>Hunts + Module Reveal</x:v>
      </x:c>
      <x:c r="K10" s="22" t="str">
        <x:v>Drop rate by difficulty</x:v>
      </x:c>
      <x:c r="L10" s="22" t="str">
        <x:v>High</x:v>
      </x:c>
      <x:c r="M10" s="22" t="str">
        <x:v>P1</x:v>
      </x:c>
      <x:c r="N10" s="22" t="str">
        <x:v>Module acquisition never recursively boosts Hunt score</x:v>
      </x:c>
      <x:c r="O10" s="22" t="str">
        <x:v>Hard Hunt may roll a Rare Module separately</x:v>
      </x:c>
      <x:c r="P10" s="43" t="str"/>
    </x:row>
    <x:row r="11">
      <x:c r="A11" s="42" t="str">
        <x:v>Portfolio / Stocks</x:v>
      </x:c>
      <x:c r="B11" s="22" t="str">
        <x:v>No operational Module input in v1.0</x:v>
      </x:c>
      <x:c r="C11" s="22" t="str">
        <x:v>None</x:v>
      </x:c>
      <x:c r="D11" s="22" t="str">
        <x:v>Increase stock quantity/value or stock claim odds</x:v>
      </x:c>
      <x:c r="E11" s="22" t="str">
        <x:v>N/A</x:v>
      </x:c>
      <x:c r="F11" s="22" t="str">
        <x:v>N/A</x:v>
      </x:c>
      <x:c r="G11" s="22" t="str">
        <x:v>Yes</x:v>
      </x:c>
      <x:c r="H11" s="22" t="str">
        <x:v>Yes</x:v>
      </x:c>
      <x:c r="I11" s="22" t="str">
        <x:v>N/A</x:v>
      </x:c>
      <x:c r="J11" s="22" t="str">
        <x:v>No Module controls</x:v>
      </x:c>
      <x:c r="K11" s="22" t="str">
        <x:v>N/A</x:v>
      </x:c>
      <x:c r="L11" s="22" t="str">
        <x:v>Low</x:v>
      </x:c>
      <x:c r="M11" s="22" t="str">
        <x:v>P0</x:v>
      </x:c>
      <x:c r="N11" s="22" t="str">
        <x:v>Keep financial-asset reward and Module systems separate</x:v>
      </x:c>
      <x:c r="O11" s="22" t="str">
        <x:v>N/A</x:v>
      </x:c>
      <x:c r="P11" s="43" t="str"/>
    </x:row>
    <x:row r="12">
      <x:c r="A12" s="42" t="str">
        <x:v>Performance Score</x:v>
      </x:c>
      <x:c r="B12" s="22" t="str">
        <x:v>Underlying customer/activity/revenue/risk changes only</x:v>
      </x:c>
      <x:c r="C12" s="22" t="str">
        <x:v>Flow naturally through existing normalized components</x:v>
      </x:c>
      <x:c r="D12" s="22" t="str">
        <x:v>Module rarity, count, collection, equip action or Parts as score</x:v>
      </x:c>
      <x:c r="E12" s="22" t="str">
        <x:v>Existing score component formulas</x:v>
      </x:c>
      <x:c r="F12" s="22" t="str">
        <x:v>Yes</x:v>
      </x:c>
      <x:c r="G12" s="22" t="str">
        <x:v>Yes</x:v>
      </x:c>
      <x:c r="H12" s="22" t="str">
        <x:v>Yes</x:v>
      </x:c>
      <x:c r="I12" s="22" t="str">
        <x:v>Weekly aggregates</x:v>
      </x:c>
      <x:c r="J12" s="22" t="str">
        <x:v>Performance explainer</x:v>
      </x:c>
      <x:c r="K12" s="22" t="str">
        <x:v>Score impact by underlying metric only</x:v>
      </x:c>
      <x:c r="L12" s="22" t="str">
        <x:v>Critical</x:v>
      </x:c>
      <x:c r="M12" s="22" t="str">
        <x:v>P0</x:v>
      </x:c>
      <x:c r="N12" s="22" t="str">
        <x:v>No direct Module component is ever added</x:v>
      </x:c>
      <x:c r="O12" s="22" t="str">
        <x:v>Reserve Buffer may improve Risk score indirectly while reducing activity</x:v>
      </x:c>
      <x:c r="P12" s="43" t="str"/>
    </x:row>
    <x:row r="13">
      <x:c r="A13" s="42" t="str">
        <x:v>Weekly PLOT Payout</x:v>
      </x:c>
      <x:c r="B13" s="22" t="str">
        <x:v>Only via finalized Performance Score</x:v>
      </x:c>
      <x:c r="C13" s="22" t="str">
        <x:v>Indirect existing formula</x:v>
      </x:c>
      <x:c r="D13" s="22" t="str">
        <x:v>Direct payout multiplier or Module-based pool share</x:v>
      </x:c>
      <x:c r="E13" s="22" t="str">
        <x:v>Competition settlement</x:v>
      </x:c>
      <x:c r="F13" s="22" t="str">
        <x:v>Yes</x:v>
      </x:c>
      <x:c r="G13" s="22" t="str">
        <x:v>Yes</x:v>
      </x:c>
      <x:c r="H13" s="22" t="str">
        <x:v>Yes</x:v>
      </x:c>
      <x:c r="I13" s="22" t="str">
        <x:v>Weekly settlement</x:v>
      </x:c>
      <x:c r="J13" s="22" t="str">
        <x:v>Payout explainer</x:v>
      </x:c>
      <x:c r="K13" s="22" t="str">
        <x:v>None specific</x:v>
      </x:c>
      <x:c r="L13" s="22" t="str">
        <x:v>Critical</x:v>
      </x:c>
      <x:c r="M13" s="22" t="str">
        <x:v>P0</x:v>
      </x:c>
      <x:c r="N13" s="22" t="str">
        <x:v>No Module ownership/equip data in payout formula</x:v>
      </x:c>
      <x:c r="O13" s="22" t="str">
        <x:v>N/A</x:v>
      </x:c>
      <x:c r="P13" s="43" t="str"/>
    </x:row>
    <x:row r="14">
      <x:c r="A14" s="44" t="str">
        <x:v>Leagues / Seasons</x:v>
      </x:c>
      <x:c r="B14" s="53" t="str">
        <x:v>Underlying Performance only; Modules may be cosmetic/sidegrade rewards</x:v>
      </x:c>
      <x:c r="C14" s="53" t="str">
        <x:v>Season can distribute Modules/Parts</x:v>
      </x:c>
      <x:c r="D14" s="53" t="str">
        <x:v>Rating bonus for Module rarity or exclusive strictly-better seasonal power</x:v>
      </x:c>
      <x:c r="E14" s="53" t="str">
        <x:v>Existing rating/season formula</x:v>
      </x:c>
      <x:c r="F14" s="53" t="str">
        <x:v>Yes</x:v>
      </x:c>
      <x:c r="G14" s="53" t="str">
        <x:v>Yes</x:v>
      </x:c>
      <x:c r="H14" s="53" t="str">
        <x:v>Fixed reward configuration</x:v>
      </x:c>
      <x:c r="I14" s="53" t="str">
        <x:v>Season settlement</x:v>
      </x:c>
      <x:c r="J14" s="53" t="str">
        <x:v>Leaderboard/Rewards</x:v>
      </x:c>
      <x:c r="K14" s="53" t="str">
        <x:v>Season reward adoption</x:v>
      </x:c>
      <x:c r="L14" s="53" t="str">
        <x:v>High</x:v>
      </x:c>
      <x:c r="M14" s="53" t="str">
        <x:v>P1</x:v>
      </x:c>
      <x:c r="N14" s="53" t="str">
        <x:v>Seasonal Modules must be sidegrades or cosmetically distinct</x:v>
      </x:c>
      <x:c r="O14" s="53" t="str">
        <x:v>Season variant of existing effect</x:v>
      </x:c>
      <x:c r="P14" s="45" t="str"/>
    </x:row>
    <x:row r="15">
      <x:c r="A15" s="44" t="str">
        <x:v>Plot Ownership / Merging</x:v>
      </x:c>
      <x:c r="B15" s="53" t="str">
        <x:v>Module inventory belongs to player; equipped to building instance</x:v>
      </x:c>
      <x:c r="C15" s="53" t="str">
        <x:v>Return Modules to inventory if building removed/archived</x:v>
      </x:c>
      <x:c r="D15" s="53" t="str">
        <x:v>Attach Module ownership to Plot NFT or create passive land yield</x:v>
      </x:c>
      <x:c r="E15" s="53" t="str">
        <x:v>Building lifecycle</x:v>
      </x:c>
      <x:c r="F15" s="53" t="str">
        <x:v>Yes</x:v>
      </x:c>
      <x:c r="G15" s="53" t="str">
        <x:v>Yes</x:v>
      </x:c>
      <x:c r="H15" s="53" t="str">
        <x:v>N/A</x:v>
      </x:c>
      <x:c r="I15" s="53" t="str">
        <x:v>On building state change</x:v>
      </x:c>
      <x:c r="J15" s="53" t="str">
        <x:v>Merge/transfer preflight</x:v>
      </x:c>
      <x:c r="K15" s="53" t="str">
        <x:v>Returned Module counts</x:v>
      </x:c>
      <x:c r="L15" s="53" t="str">
        <x:v>Medium</x:v>
      </x:c>
      <x:c r="M15" s="53" t="str">
        <x:v>P2</x:v>
      </x:c>
      <x:c r="N15" s="53" t="str">
        <x:v>Land transfer does not transfer player Modules by default</x:v>
      </x:c>
      <x:c r="O15" s="53" t="str">
        <x:v>Unmerge resolves buildings; Modules follow returned building/player inventory</x:v>
      </x:c>
      <x:c r="P15" s="45" t="str"/>
    </x:row>
  </x:sheetData>
  <x:mergeCells>
    <x:mergeCell ref="A1:P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UI/UX Override — Module Surfaces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Screen / Surface</x:v>
      </x:c>
      <x:c r="B3" s="14" t="str">
        <x:v>Old / Existing Role</x:v>
      </x:c>
      <x:c r="C3" s="14" t="str">
        <x:v>Required Module Change</x:v>
      </x:c>
      <x:c r="D3" s="14" t="str">
        <x:v>Primary Information</x:v>
      </x:c>
      <x:c r="E3" s="14" t="str">
        <x:v>Primary CTA</x:v>
      </x:c>
      <x:c r="F3" s="14" t="str">
        <x:v>Secondary CTA</x:v>
      </x:c>
      <x:c r="G3" s="14" t="str">
        <x:v>Mobile Pattern</x:v>
      </x:c>
      <x:c r="H3" s="14" t="str">
        <x:v>Desktop Pattern</x:v>
      </x:c>
      <x:c r="I3" s="14" t="str">
        <x:v>Empty State</x:v>
      </x:c>
      <x:c r="J3" s="14" t="str">
        <x:v>Loading/Error</x:v>
      </x:c>
      <x:c r="K3" s="14" t="str">
        <x:v>Backend Read</x:v>
      </x:c>
      <x:c r="L3" s="14" t="str">
        <x:v>Mutation</x:v>
      </x:c>
      <x:c r="M3" s="14" t="str">
        <x:v>Analytics</x:v>
      </x:c>
      <x:c r="N3" s="14" t="str">
        <x:v>Priority</x:v>
      </x:c>
    </x:row>
    <x:row r="4">
      <x:c r="A4" s="40" t="str">
        <x:v>Build Catalog</x:v>
      </x:c>
      <x:c r="B4" s="52" t="str">
        <x:v>Lists Building Cards unlocked by level</x:v>
      </x:c>
      <x:c r="C4" s="52" t="str">
        <x:v>No blueprint ownership state; unlocked Building Card is immediately buildable if Cash/placement valid</x:v>
      </x:c>
      <x:c r="D4" s="52" t="str">
        <x:v>Building Card, level, build cost, Module slot potential</x:v>
      </x:c>
      <x:c r="E4" s="52" t="str">
        <x:v>Place Building</x:v>
      </x:c>
      <x:c r="F4" s="52" t="str">
        <x:v>View building</x:v>
      </x:c>
      <x:c r="G4" s="52" t="str">
        <x:v>Existing catalog</x:v>
      </x:c>
      <x:c r="H4" s="52" t="str">
        <x:v>Existing catalog</x:v>
      </x:c>
      <x:c r="I4" s="52" t="str">
        <x:v>No unlocked buildings yet only at very early level</x:v>
      </x:c>
      <x:c r="J4" s="52" t="str">
        <x:v>Existing</x:v>
      </x:c>
      <x:c r="K4" s="52" t="str">
        <x:v>catalog + player level</x:v>
      </x:c>
      <x:c r="L4" s="52" t="str">
        <x:v>Place building</x:v>
      </x:c>
      <x:c r="M4" s="52" t="str">
        <x:v>build_catalog_viewed</x:v>
      </x:c>
      <x:c r="N4" s="41" t="str">
        <x:v>P0</x:v>
      </x:c>
    </x:row>
    <x:row r="5">
      <x:c r="A5" s="42" t="str">
        <x:v>Building Detail</x:v>
      </x:c>
      <x:c r="B5" s="22" t="str">
        <x:v>Business health/upgrade/synergy</x:v>
      </x:c>
      <x:c r="C5" s="22" t="str">
        <x:v>Add Modules tab and slot summary above fold once slots unlock</x:v>
      </x:c>
      <x:c r="D5" s="22" t="str">
        <x:v>Equipped Modules, empty slots, effective modifiers, compatibility</x:v>
      </x:c>
      <x:c r="E5" s="22" t="str">
        <x:v>Equip/Change Module</x:v>
      </x:c>
      <x:c r="F5" s="22" t="str">
        <x:v>Open Inventory</x:v>
      </x:c>
      <x:c r="G5" s="22" t="str">
        <x:v>Bottom-sheet tab</x:v>
      </x:c>
      <x:c r="H5" s="22" t="str">
        <x:v>Right inspector tab</x:v>
      </x:c>
      <x:c r="I5" s="22" t="str">
        <x:v>No slots yet / no Modules</x:v>
      </x:c>
      <x:c r="J5" s="22" t="str">
        <x:v>Show stale loadout version</x:v>
      </x:c>
      <x:c r="K5" s="22" t="str">
        <x:v>building + loadout</x:v>
      </x:c>
      <x:c r="L5" s="22" t="str">
        <x:v>Equip/unequip</x:v>
      </x:c>
      <x:c r="M5" s="22" t="str">
        <x:v>module_tab_opened</x:v>
      </x:c>
      <x:c r="N5" s="43" t="str">
        <x:v>P1</x:v>
      </x:c>
    </x:row>
    <x:row r="6">
      <x:c r="A6" s="42" t="str">
        <x:v>Module Inventory</x:v>
      </x:c>
      <x:c r="B6" s="22" t="str">
        <x:v>New</x:v>
      </x:c>
      <x:c r="C6" s="22" t="str">
        <x:v>Browse owned Module copies and Parts</x:v>
      </x:c>
      <x:c r="D6" s="22" t="str">
        <x:v>Module art/name, rarity, category, compatibility, quantity, equipped count</x:v>
      </x:c>
      <x:c r="E6" s="22" t="str">
        <x:v>Equip / Craft</x:v>
      </x:c>
      <x:c r="F6" s="22" t="str">
        <x:v>Dismantle / Filter</x:v>
      </x:c>
      <x:c r="G6" s="22" t="str">
        <x:v>Full page/cards</x:v>
      </x:c>
      <x:c r="H6" s="22" t="str">
        <x:v>Grid/table</x:v>
      </x:c>
      <x:c r="I6" s="22" t="str">
        <x:v>No Modules yet → Mastery/Hunts CTA</x:v>
      </x:c>
      <x:c r="J6" s="22" t="str">
        <x:v>Retry</x:v>
      </x:c>
      <x:c r="K6" s="22" t="str">
        <x:v>inventory/read model</x:v>
      </x:c>
      <x:c r="L6" s="22" t="str">
        <x:v>Dismantle/craft</x:v>
      </x:c>
      <x:c r="M6" s="22" t="str">
        <x:v>module_inventory_viewed</x:v>
      </x:c>
      <x:c r="N6" s="43" t="str">
        <x:v>P1</x:v>
      </x:c>
    </x:row>
    <x:row r="7">
      <x:c r="A7" s="42" t="str">
        <x:v>Equip Module</x:v>
      </x:c>
      <x:c r="B7" s="22" t="str">
        <x:v>New</x:v>
      </x:c>
      <x:c r="C7" s="22" t="str">
        <x:v>Compare compatible Module against current slot</x:v>
      </x:c>
      <x:c r="D7" s="22" t="str">
        <x:v>Before/after customer/capacity/activity/risk/service effects + tradeoffs</x:v>
      </x:c>
      <x:c r="E7" s="22" t="str">
        <x:v>Equip</x:v>
      </x:c>
      <x:c r="F7" s="22" t="str">
        <x:v>Cancel</x:v>
      </x:c>
      <x:c r="G7" s="22" t="str">
        <x:v>Bottom sheet</x:v>
      </x:c>
      <x:c r="H7" s="22" t="str">
        <x:v>Side comparison</x:v>
      </x:c>
      <x:c r="I7" s="22" t="str">
        <x:v>No compatible Modules</x:v>
      </x:c>
      <x:c r="J7" s="22" t="str">
        <x:v>Version conflict refresh</x:v>
      </x:c>
      <x:c r="K7" s="22" t="str">
        <x:v>building/loadout + Module inventory</x:v>
      </x:c>
      <x:c r="L7" s="22" t="str">
        <x:v>Equip</x:v>
      </x:c>
      <x:c r="M7" s="22" t="str">
        <x:v>module_equipped</x:v>
      </x:c>
      <x:c r="N7" s="43" t="str">
        <x:v>P1</x:v>
      </x:c>
    </x:row>
    <x:row r="8">
      <x:c r="A8" s="42" t="str">
        <x:v>Module Detail</x:v>
      </x:c>
      <x:c r="B8" s="22" t="str">
        <x:v>New</x:v>
      </x:c>
      <x:c r="C8" s="22" t="str">
        <x:v>Explain effect and acquisition</x:v>
      </x:c>
      <x:c r="D8" s="22" t="str">
        <x:v>Effect, condition, tradeoff, compatible families, acquisition sources, owned copies</x:v>
      </x:c>
      <x:c r="E8" s="22" t="str">
        <x:v>Equip where compatible</x:v>
      </x:c>
      <x:c r="F8" s="22" t="str">
        <x:v>Craft / Dismantle</x:v>
      </x:c>
      <x:c r="G8" s="22" t="str">
        <x:v>Sheet</x:v>
      </x:c>
      <x:c r="H8" s="22" t="str">
        <x:v>Panel</x:v>
      </x:c>
      <x:c r="I8" s="22" t="str">
        <x:v>Not owned → source guide</x:v>
      </x:c>
      <x:c r="J8" s="22" t="str">
        <x:v>Normal</x:v>
      </x:c>
      <x:c r="K8" s="22" t="str">
        <x:v>module config/inventory</x:v>
      </x:c>
      <x:c r="L8" s="22" t="str">
        <x:v>Craft/dismantle</x:v>
      </x:c>
      <x:c r="M8" s="22" t="str">
        <x:v>module_detail_opened</x:v>
      </x:c>
      <x:c r="N8" s="43" t="str">
        <x:v>P1</x:v>
      </x:c>
    </x:row>
    <x:row r="9">
      <x:c r="A9" s="42" t="str">
        <x:v>Module Discovery</x:v>
      </x:c>
      <x:c r="B9" s="22" t="str">
        <x:v>New reward reveal</x:v>
      </x:c>
      <x:c r="C9" s="22" t="str">
        <x:v>Reveal Hunt/Event/Mastery Module</x:v>
      </x:c>
      <x:c r="D9" s="22" t="str">
        <x:v>Module, rarity, effect, tradeoff, source, copies owned</x:v>
      </x:c>
      <x:c r="E9" s="22" t="str">
        <x:v>Add to Inventory</x:v>
      </x:c>
      <x:c r="F9" s="22" t="str">
        <x:v>Equip to suggested building</x:v>
      </x:c>
      <x:c r="G9" s="22" t="str">
        <x:v>Full-screen reveal</x:v>
      </x:c>
      <x:c r="H9" s="22" t="str">
        <x:v>Modal</x:v>
      </x:c>
      <x:c r="I9" s="22" t="str">
        <x:v>N/A</x:v>
      </x:c>
      <x:c r="J9" s="22" t="str">
        <x:v>Reward pending state</x:v>
      </x:c>
      <x:c r="K9" s="22" t="str">
        <x:v>reward ledger</x:v>
      </x:c>
      <x:c r="L9" s="22" t="str">
        <x:v>Mark viewed</x:v>
      </x:c>
      <x:c r="M9" s="22" t="str">
        <x:v>module_discovered</x:v>
      </x:c>
      <x:c r="N9" s="43" t="str">
        <x:v>P1</x:v>
      </x:c>
    </x:row>
    <x:row r="10">
      <x:c r="A10" s="42" t="str">
        <x:v>Building Mastery</x:v>
      </x:c>
      <x:c r="B10" s="22" t="str">
        <x:v>New</x:v>
      </x:c>
      <x:c r="C10" s="22" t="str">
        <x:v>Guaranteed progression toward Modules</x:v>
      </x:c>
      <x:c r="D10" s="22" t="str">
        <x:v>Mastery tier, objective, progress, guaranteed reward choice</x:v>
      </x:c>
      <x:c r="E10" s="22" t="str">
        <x:v>Track Objective</x:v>
      </x:c>
      <x:c r="F10" s="22" t="str">
        <x:v>Choose reward when complete</x:v>
      </x:c>
      <x:c r="G10" s="22" t="str">
        <x:v>Building tab/page</x:v>
      </x:c>
      <x:c r="H10" s="22" t="str">
        <x:v>Panel</x:v>
      </x:c>
      <x:c r="I10" s="22" t="str">
        <x:v>New building starts at Mastery I</x:v>
      </x:c>
      <x:c r="J10" s="22" t="str">
        <x:v>Progress timestamp</x:v>
      </x:c>
      <x:c r="K10" s="22" t="str">
        <x:v>mastery progress</x:v>
      </x:c>
      <x:c r="L10" s="22" t="str">
        <x:v>Claim choice</x:v>
      </x:c>
      <x:c r="M10" s="22" t="str">
        <x:v>mastery_viewed</x:v>
      </x:c>
      <x:c r="N10" s="43" t="str">
        <x:v>P1</x:v>
      </x:c>
    </x:row>
    <x:row r="11">
      <x:c r="A11" s="42" t="str">
        <x:v>Crafting</x:v>
      </x:c>
      <x:c r="B11" s="22" t="str">
        <x:v>New</x:v>
      </x:c>
      <x:c r="C11" s="22" t="str">
        <x:v>Use same-tier Module Parts for exact target</x:v>
      </x:c>
      <x:c r="D11" s="22" t="str">
        <x:v>Parts balance, craftable Modules, mastery/stage requirements</x:v>
      </x:c>
      <x:c r="E11" s="22" t="str">
        <x:v>Craft Module</x:v>
      </x:c>
      <x:c r="F11" s="22" t="str">
        <x:v>View source</x:v>
      </x:c>
      <x:c r="G11" s="22" t="str">
        <x:v>Inventory subtab</x:v>
      </x:c>
      <x:c r="H11" s="22" t="str">
        <x:v>Inventory panel</x:v>
      </x:c>
      <x:c r="I11" s="22" t="str">
        <x:v>Not enough Parts</x:v>
      </x:c>
      <x:c r="J11" s="22" t="str">
        <x:v>Atomic transaction error</x:v>
      </x:c>
      <x:c r="K11" s="22" t="str">
        <x:v>Parts + config</x:v>
      </x:c>
      <x:c r="L11" s="22" t="str">
        <x:v>Craft</x:v>
      </x:c>
      <x:c r="M11" s="22" t="str">
        <x:v>module_crafted</x:v>
      </x:c>
      <x:c r="N11" s="43" t="str">
        <x:v>P1</x:v>
      </x:c>
    </x:row>
    <x:row r="12">
      <x:c r="A12" s="42" t="str">
        <x:v>Hunts</x:v>
      </x:c>
      <x:c r="B12" s="22" t="str">
        <x:v>Daily discovery</x:v>
      </x:c>
      <x:c r="C12" s="22" t="str">
        <x:v>Add possible Module reward cue without replacing stock reward</x:v>
      </x:c>
      <x:c r="D12" s="22" t="str">
        <x:v>Module roll possibility/family bias; exact odds in info</x:v>
      </x:c>
      <x:c r="E12" s="22" t="str">
        <x:v>Complete Hunt</x:v>
      </x:c>
      <x:c r="F12" s="22" t="str">
        <x:v>View Module odds</x:v>
      </x:c>
      <x:c r="G12" s="22" t="str">
        <x:v>Existing cards</x:v>
      </x:c>
      <x:c r="H12" s="22" t="str">
        <x:v>Existing grid</x:v>
      </x:c>
      <x:c r="I12" s="22" t="str">
        <x:v>No change</x:v>
      </x:c>
      <x:c r="J12" s="22" t="str">
        <x:v>Reward resolution state</x:v>
      </x:c>
      <x:c r="K12" s="22" t="str">
        <x:v>Hunt config</x:v>
      </x:c>
      <x:c r="L12" s="22" t="str">
        <x:v>None specific</x:v>
      </x:c>
      <x:c r="M12" s="22" t="str">
        <x:v>hunt_module_info</x:v>
      </x:c>
      <x:c r="N12" s="43" t="str">
        <x:v>P1</x:v>
      </x:c>
    </x:row>
    <x:row r="13">
      <x:c r="A13" s="42" t="str">
        <x:v>Events</x:v>
      </x:c>
      <x:c r="B13" s="22" t="str">
        <x:v>Market decisions</x:v>
      </x:c>
      <x:c r="C13" s="22" t="str">
        <x:v>Show themed Module/Parts reward where relevant</x:v>
      </x:c>
      <x:c r="D13" s="22" t="str">
        <x:v>Reward possibility + affected family</x:v>
      </x:c>
      <x:c r="E13" s="22" t="str">
        <x:v>Complete objective / choose</x:v>
      </x:c>
      <x:c r="F13" s="22" t="str">
        <x:v>View Module</x:v>
      </x:c>
      <x:c r="G13" s="22" t="str">
        <x:v>Existing</x:v>
      </x:c>
      <x:c r="H13" s="22" t="str">
        <x:v>Existing</x:v>
      </x:c>
      <x:c r="I13" s="22" t="str">
        <x:v>No change</x:v>
      </x:c>
      <x:c r="J13" s="22" t="str">
        <x:v>Existing</x:v>
      </x:c>
      <x:c r="K13" s="22" t="str">
        <x:v>Event reward config</x:v>
      </x:c>
      <x:c r="L13" s="22" t="str">
        <x:v>None specific</x:v>
      </x:c>
      <x:c r="M13" s="22" t="str">
        <x:v>event_module_info</x:v>
      </x:c>
      <x:c r="N13" s="43" t="str">
        <x:v>P2</x:v>
      </x:c>
    </x:row>
    <x:row r="14">
      <x:c r="A14" s="44" t="str">
        <x:v>Performance</x:v>
      </x:c>
      <x:c r="B14" s="53" t="str">
        <x:v>Score transparency</x:v>
      </x:c>
      <x:c r="C14" s="53" t="str">
        <x:v>Explain Module effect is indirect through normal metrics</x:v>
      </x:c>
      <x:c r="D14" s="53" t="str">
        <x:v>Underlying metric changes, never rarity/count</x:v>
      </x:c>
      <x:c r="E14" s="53" t="str">
        <x:v>Open affected building</x:v>
      </x:c>
      <x:c r="F14" s="53" t="str">
        <x:v>N/A</x:v>
      </x:c>
      <x:c r="G14" s="53" t="str">
        <x:v>Existing</x:v>
      </x:c>
      <x:c r="H14" s="53" t="str">
        <x:v>Existing</x:v>
      </x:c>
      <x:c r="I14" s="53" t="str">
        <x:v>N/A</x:v>
      </x:c>
      <x:c r="J14" s="53" t="str">
        <x:v>Existing</x:v>
      </x:c>
      <x:c r="K14" s="53" t="str">
        <x:v>Performance aggregate</x:v>
      </x:c>
      <x:c r="L14" s="53" t="str">
        <x:v>None</x:v>
      </x:c>
      <x:c r="M14" s="53" t="str">
        <x:v>module_score_explainer</x:v>
      </x:c>
      <x:c r="N14" s="45" t="str">
        <x:v>P0</x:v>
      </x:c>
    </x:row>
    <x:row r="16" ht="22" customHeight="1">
      <x:c r="A16" s="11" t="str">
        <x:v>Equip Preview Requirements</x:v>
      </x:c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</x:row>
    <x:row r="17">
      <x:c r="A17" s="14" t="str">
        <x:v>Requirement</x:v>
      </x:c>
      <x:c r="B17" s="14" t="str">
        <x:v>Specification</x:v>
      </x:c>
    </x:row>
    <x:row r="18">
      <x:c r="A18" s="40" t="str">
        <x:v>Always show tradeoff</x:v>
      </x:c>
      <x:c r="B18" s="41" t="str">
        <x:v>If a Module has a downside or condition, it must appear beside the positive effect before Equip.</x:v>
      </x:c>
    </x:row>
    <x:row r="19">
      <x:c r="A19" s="42" t="str">
        <x:v>Show effective value after caps</x:v>
      </x:c>
      <x:c r="B19" s="43" t="str">
        <x:v>Preview should show raw Module text plus effective result after stacking/diminishing-return caps.</x:v>
      </x:c>
    </x:row>
    <x:row r="20">
      <x:c r="A20" s="42" t="str">
        <x:v>No fake revenue promise</x:v>
      </x:c>
      <x:c r="B20" s="43" t="str">
        <x:v>Use projected parameter changes such as +capacity/+acquisition, not '+X Cash guaranteed'.</x:v>
      </x:c>
    </x:row>
    <x:row r="21">
      <x:c r="A21" s="42" t="str">
        <x:v>Tick timing</x:v>
      </x:c>
      <x:c r="B21" s="43" t="str">
        <x:v>Tell player changes apply from the next relevant simulation tick.</x:v>
      </x:c>
    </x:row>
    <x:row r="22">
      <x:c r="A22" s="44" t="str">
        <x:v>Event lock</x:v>
      </x:c>
      <x:c r="B22" s="45" t="str">
        <x:v>If locked, show the event and unlock time/condition.</x:v>
      </x:c>
    </x:row>
  </x:sheetData>
  <x:mergeCells>
    <x:mergeCell ref="A1:N1"/>
    <x:mergeCell ref="A16:N1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Backend/Game-State Override — Modules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22"/>
    </x:row>
    <x:row r="3">
      <x:c r="A3" s="14" t="str">
        <x:v>Entity / Endpoint</x:v>
      </x:c>
      <x:c r="B3" s="14" t="str">
        <x:v>Purpose</x:v>
      </x:c>
      <x:c r="C3" s="14" t="str">
        <x:v>Key Fields / Request</x:v>
      </x:c>
      <x:c r="D3" s="14" t="str">
        <x:v>Source of Truth</x:v>
      </x:c>
      <x:c r="E3" s="14" t="str">
        <x:v>Versioned?</x:v>
      </x:c>
      <x:c r="F3" s="14" t="str">
        <x:v>Ledgered?</x:v>
      </x:c>
      <x:c r="G3" s="14" t="str">
        <x:v>Idempotency</x:v>
      </x:c>
      <x:c r="H3" s="14" t="str">
        <x:v>Server Validation</x:v>
      </x:c>
      <x:c r="I3" s="14" t="str">
        <x:v>Client Can Submit</x:v>
      </x:c>
      <x:c r="J3" s="14" t="str">
        <x:v>Client Cannot Assert</x:v>
      </x:c>
      <x:c r="K3" s="14" t="str">
        <x:v>Tick/Recompute</x:v>
      </x:c>
      <x:c r="L3" s="14" t="str">
        <x:v>Performance Input?</x:v>
      </x:c>
      <x:c r="M3" s="14" t="str">
        <x:v>Onchain?</x:v>
      </x:c>
      <x:c r="N3" s="14" t="str">
        <x:v>Failure Behavior</x:v>
      </x:c>
      <x:c r="O3" s="14" t="str">
        <x:v>Priority</x:v>
      </x:c>
      <x:c r="P3" s="14" t="str">
        <x:v>Notes</x:v>
      </x:c>
    </x:row>
    <x:row r="4">
      <x:c r="A4" s="40" t="str">
        <x:v>module_config</x:v>
      </x:c>
      <x:c r="B4" s="52" t="str">
        <x:v>Versioned Module definitions</x:v>
      </x:c>
      <x:c r="C4" s="52" t="str">
        <x:v>module_id,rarity,category,compatible_families,effects,conditions,stacking_group,config_version</x:v>
      </x:c>
      <x:c r="D4" s="52" t="str">
        <x:v>Game config</x:v>
      </x:c>
      <x:c r="E4" s="52" t="str">
        <x:v>Immutable versions</x:v>
      </x:c>
      <x:c r="F4" s="52" t="str">
        <x:v>Config audit</x:v>
      </x:c>
      <x:c r="G4" s="52" t="str">
        <x:v>config_version</x:v>
      </x:c>
      <x:c r="H4" s="52" t="str">
        <x:v>Schema/effect validation</x:v>
      </x:c>
      <x:c r="I4" s="52" t="str">
        <x:v>None</x:v>
      </x:c>
      <x:c r="J4" s="52" t="str">
        <x:v>Effect result</x:v>
      </x:c>
      <x:c r="K4" s="52" t="str">
        <x:v>At config load</x:v>
      </x:c>
      <x:c r="L4" s="52" t="str">
        <x:v>No direct</x:v>
      </x:c>
      <x:c r="M4" s="52" t="str">
        <x:v>No</x:v>
      </x:c>
      <x:c r="N4" s="52" t="str">
        <x:v>Use prior approved config</x:v>
      </x:c>
      <x:c r="O4" s="52" t="str">
        <x:v>P1</x:v>
      </x:c>
      <x:c r="P4" s="41" t="str"/>
    </x:row>
    <x:row r="5">
      <x:c r="A5" s="42" t="str">
        <x:v>module_inventory</x:v>
      </x:c>
      <x:c r="B5" s="22" t="str">
        <x:v>Owned copies</x:v>
      </x:c>
      <x:c r="C5" s="22" t="str">
        <x:v>player_id,module_id,quantity,equipped_count</x:v>
      </x:c>
      <x:c r="D5" s="22" t="str">
        <x:v>Game server</x:v>
      </x:c>
      <x:c r="E5" s="22" t="str">
        <x:v>Yes</x:v>
      </x:c>
      <x:c r="F5" s="22" t="str">
        <x:v>Inventory ledger</x:v>
      </x:c>
      <x:c r="G5" s="22" t="str">
        <x:v>reward/craft/dismantle event id</x:v>
      </x:c>
      <x:c r="H5" s="22" t="str">
        <x:v>quantity &gt;= equipped_count</x:v>
      </x:c>
      <x:c r="I5" s="22" t="str">
        <x:v>Equip/craft/dismantle intent</x:v>
      </x:c>
      <x:c r="J5" s="22" t="str">
        <x:v>Quantity change</x:v>
      </x:c>
      <x:c r="K5" s="22" t="str">
        <x:v>Immediate</x:v>
      </x:c>
      <x:c r="L5" s="22" t="str">
        <x:v>No</x:v>
      </x:c>
      <x:c r="M5" s="22" t="str">
        <x:v>No</x:v>
      </x:c>
      <x:c r="N5" s="22" t="str">
        <x:v>Reject underflow</x:v>
      </x:c>
      <x:c r="O5" s="22" t="str">
        <x:v>P1</x:v>
      </x:c>
      <x:c r="P5" s="43" t="str"/>
    </x:row>
    <x:row r="6">
      <x:c r="A6" s="42" t="str">
        <x:v>equipped_modules</x:v>
      </x:c>
      <x:c r="B6" s="22" t="str">
        <x:v>Building loadout</x:v>
      </x:c>
      <x:c r="C6" s="22" t="str">
        <x:v>building_instance_id,slot_index,module_id,effective_at,loadout_version</x:v>
      </x:c>
      <x:c r="D6" s="22" t="str">
        <x:v>Game server</x:v>
      </x:c>
      <x:c r="E6" s="22" t="str">
        <x:v>Yes</x:v>
      </x:c>
      <x:c r="F6" s="22" t="str">
        <x:v>Loadout audit</x:v>
      </x:c>
      <x:c r="G6" s="22" t="str">
        <x:v>equip_request_id</x:v>
      </x:c>
      <x:c r="H6" s="22" t="str">
        <x:v>slot unlocked, compatibility, copy available, locks</x:v>
      </x:c>
      <x:c r="I6" s="22" t="str">
        <x:v>module_id + slot</x:v>
      </x:c>
      <x:c r="J6" s="22" t="str">
        <x:v>Effective modifiers</x:v>
      </x:c>
      <x:c r="K6" s="22" t="str">
        <x:v>Next tick</x:v>
      </x:c>
      <x:c r="L6" s="22" t="str">
        <x:v>No direct</x:v>
      </x:c>
      <x:c r="M6" s="22" t="str">
        <x:v>No</x:v>
      </x:c>
      <x:c r="N6" s="22" t="str">
        <x:v>409 version / 423 lock</x:v>
      </x:c>
      <x:c r="O6" s="22" t="str">
        <x:v>P1</x:v>
      </x:c>
      <x:c r="P6" s="43" t="str"/>
    </x:row>
    <x:row r="7">
      <x:c r="A7" s="42" t="str">
        <x:v>module_parts_ledger</x:v>
      </x:c>
      <x:c r="B7" s="22" t="str">
        <x:v>Crafting material</x:v>
      </x:c>
      <x:c r="C7" s="22" t="str">
        <x:v>entry_id,player,rarity,amount,source</x:v>
      </x:c>
      <x:c r="D7" s="22" t="str">
        <x:v>Game server</x:v>
      </x:c>
      <x:c r="E7" s="22" t="str">
        <x:v>Balance + append-only ledger</x:v>
      </x:c>
      <x:c r="F7" s="22" t="str">
        <x:v>Yes</x:v>
      </x:c>
      <x:c r="G7" s="22" t="str">
        <x:v>source_event_id</x:v>
      </x:c>
      <x:c r="H7" s="22" t="str">
        <x:v>No underflow</x:v>
      </x:c>
      <x:c r="I7" s="22" t="str">
        <x:v>Craft/dismantle intent</x:v>
      </x:c>
      <x:c r="J7" s="22" t="str">
        <x:v>Part amount</x:v>
      </x:c>
      <x:c r="K7" s="22" t="str">
        <x:v>Immediate</x:v>
      </x:c>
      <x:c r="L7" s="22" t="str">
        <x:v>No</x:v>
      </x:c>
      <x:c r="M7" s="22" t="str">
        <x:v>No</x:v>
      </x:c>
      <x:c r="N7" s="22" t="str">
        <x:v>Atomic rollback</x:v>
      </x:c>
      <x:c r="O7" s="22" t="str">
        <x:v>P1</x:v>
      </x:c>
      <x:c r="P7" s="43" t="str"/>
    </x:row>
    <x:row r="8">
      <x:c r="A8" s="42" t="str">
        <x:v>building_mastery</x:v>
      </x:c>
      <x:c r="B8" s="22" t="str">
        <x:v>Guaranteed progression</x:v>
      </x:c>
      <x:c r="C8" s="22" t="str">
        <x:v>player_id,building_type,mastery_level,objective_progress,claimed_rewards</x:v>
      </x:c>
      <x:c r="D8" s="22" t="str">
        <x:v>Game server</x:v>
      </x:c>
      <x:c r="E8" s="22" t="str">
        <x:v>Yes</x:v>
      </x:c>
      <x:c r="F8" s="22" t="str">
        <x:v>Mastery event log</x:v>
      </x:c>
      <x:c r="G8" s="22" t="str">
        <x:v>objective_event_id</x:v>
      </x:c>
      <x:c r="H8" s="22" t="str">
        <x:v>Validated existing activity/customer/risk events</x:v>
      </x:c>
      <x:c r="I8" s="22" t="str">
        <x:v>Normal gameplay only</x:v>
      </x:c>
      <x:c r="J8" s="22" t="str">
        <x:v>Progress outcome</x:v>
      </x:c>
      <x:c r="K8" s="22" t="str">
        <x:v>Event/tick driven</x:v>
      </x:c>
      <x:c r="L8" s="22" t="str">
        <x:v>No direct</x:v>
      </x:c>
      <x:c r="M8" s="22" t="str">
        <x:v>No</x:v>
      </x:c>
      <x:c r="N8" s="22" t="str">
        <x:v>Replay evidence</x:v>
      </x:c>
      <x:c r="O8" s="22" t="str">
        <x:v>P1</x:v>
      </x:c>
      <x:c r="P8" s="43" t="str"/>
    </x:row>
    <x:row r="9">
      <x:c r="A9" s="42" t="str">
        <x:v>module_reward_event</x:v>
      </x:c>
      <x:c r="B9" s="22" t="str">
        <x:v>Module discovery</x:v>
      </x:c>
      <x:c r="C9" s="22" t="str">
        <x:v>reward_id,source,module_id,quantity,status</x:v>
      </x:c>
      <x:c r="D9" s="22" t="str">
        <x:v>Reward service</x:v>
      </x:c>
      <x:c r="E9" s="22" t="str">
        <x:v>Yes</x:v>
      </x:c>
      <x:c r="F9" s="22" t="str">
        <x:v>Reward ledger</x:v>
      </x:c>
      <x:c r="G9" s="22" t="str">
        <x:v>reward_id</x:v>
      </x:c>
      <x:c r="H9" s="22" t="str">
        <x:v>Eligible source/server roll</x:v>
      </x:c>
      <x:c r="I9" s="22" t="str">
        <x:v>Claim/view intent</x:v>
      </x:c>
      <x:c r="J9" s="22" t="str">
        <x:v>Module roll/result</x:v>
      </x:c>
      <x:c r="K9" s="22" t="str">
        <x:v>Immediate</x:v>
      </x:c>
      <x:c r="L9" s="22" t="str">
        <x:v>No</x:v>
      </x:c>
      <x:c r="M9" s="22" t="str">
        <x:v>No</x:v>
      </x:c>
      <x:c r="N9" s="22" t="str">
        <x:v>Exactly-once issue</x:v>
      </x:c>
      <x:c r="O9" s="22" t="str">
        <x:v>P1</x:v>
      </x:c>
      <x:c r="P9" s="43" t="str"/>
    </x:row>
    <x:row r="10">
      <x:c r="A10" s="42" t="str">
        <x:v>GET /v1/modules</x:v>
      </x:c>
      <x:c r="B10" s="22" t="str">
        <x:v>Inventory read</x:v>
      </x:c>
      <x:c r="C10" s="22" t="str">
        <x:v>filters,compatibility</x:v>
      </x:c>
      <x:c r="D10" s="22" t="str">
        <x:v>Read model</x:v>
      </x:c>
      <x:c r="E10" s="22" t="str">
        <x:v>N/A</x:v>
      </x:c>
      <x:c r="F10" s="22" t="str">
        <x:v>No</x:v>
      </x:c>
      <x:c r="G10" s="22" t="str">
        <x:v>N/A</x:v>
      </x:c>
      <x:c r="H10" s="22" t="str">
        <x:v>Owner session</x:v>
      </x:c>
      <x:c r="I10" s="22" t="str">
        <x:v>Filters</x:v>
      </x:c>
      <x:c r="J10" s="22" t="str">
        <x:v>N/A</x:v>
      </x:c>
      <x:c r="K10" s="22" t="str">
        <x:v>Cache</x:v>
      </x:c>
      <x:c r="L10" s="22" t="str">
        <x:v>No</x:v>
      </x:c>
      <x:c r="M10" s="22" t="str">
        <x:v>No</x:v>
      </x:c>
      <x:c r="N10" s="22" t="str">
        <x:v>Serve stale timestamp</x:v>
      </x:c>
      <x:c r="O10" s="22" t="str">
        <x:v>P1</x:v>
      </x:c>
      <x:c r="P10" s="43" t="str"/>
    </x:row>
    <x:row r="11">
      <x:c r="A11" s="42" t="str">
        <x:v>GET /v1/buildings/{id}/modules</x:v>
      </x:c>
      <x:c r="B11" s="22" t="str">
        <x:v>Loadout/effective preview</x:v>
      </x:c>
      <x:c r="C11" s="22" t="str">
        <x:v>building id</x:v>
      </x:c>
      <x:c r="D11" s="22" t="str">
        <x:v>Read model</x:v>
      </x:c>
      <x:c r="E11" s="22" t="str">
        <x:v>N/A</x:v>
      </x:c>
      <x:c r="F11" s="22" t="str">
        <x:v>No</x:v>
      </x:c>
      <x:c r="G11" s="22" t="str">
        <x:v>N/A</x:v>
      </x:c>
      <x:c r="H11" s="22" t="str">
        <x:v>Owner</x:v>
      </x:c>
      <x:c r="I11" s="22" t="str">
        <x:v>N/A</x:v>
      </x:c>
      <x:c r="J11" s="22" t="str">
        <x:v>N/A</x:v>
      </x:c>
      <x:c r="K11" s="22" t="str">
        <x:v>On state change</x:v>
      </x:c>
      <x:c r="L11" s="22" t="str">
        <x:v>No</x:v>
      </x:c>
      <x:c r="M11" s="22" t="str">
        <x:v>No</x:v>
      </x:c>
      <x:c r="N11" s="22" t="str">
        <x:v>Partial state with retry</x:v>
      </x:c>
      <x:c r="O11" s="22" t="str">
        <x:v>P1</x:v>
      </x:c>
      <x:c r="P11" s="43" t="str"/>
    </x:row>
    <x:row r="12">
      <x:c r="A12" s="42" t="str">
        <x:v>POST /v1/buildings/{id}/modules/equip</x:v>
      </x:c>
      <x:c r="B12" s="22" t="str">
        <x:v>Equip</x:v>
      </x:c>
      <x:c r="C12" s="22" t="str">
        <x:v>slot,module_id,expected_loadout_version,idempotency_key</x:v>
      </x:c>
      <x:c r="D12" s="22" t="str">
        <x:v>Game server</x:v>
      </x:c>
      <x:c r="E12" s="22" t="str">
        <x:v>Yes</x:v>
      </x:c>
      <x:c r="F12" s="22" t="str">
        <x:v>Loadout audit</x:v>
      </x:c>
      <x:c r="G12" s="22" t="str">
        <x:v>idempotency key</x:v>
      </x:c>
      <x:c r="H12" s="22" t="str">
        <x:v>Ownership, slot, compatibility, inventory, event lock</x:v>
      </x:c>
      <x:c r="I12" s="22" t="str">
        <x:v>Intent</x:v>
      </x:c>
      <x:c r="J12" s="22" t="str">
        <x:v>Effect result</x:v>
      </x:c>
      <x:c r="K12" s="22" t="str">
        <x:v>Next tick</x:v>
      </x:c>
      <x:c r="L12" s="22" t="str">
        <x:v>No</x:v>
      </x:c>
      <x:c r="M12" s="22" t="str">
        <x:v>No</x:v>
      </x:c>
      <x:c r="N12" s="22" t="str">
        <x:v>409/423 reason</x:v>
      </x:c>
      <x:c r="O12" s="22" t="str">
        <x:v>P1</x:v>
      </x:c>
      <x:c r="P12" s="43" t="str"/>
    </x:row>
    <x:row r="13">
      <x:c r="A13" s="42" t="str">
        <x:v>POST /v1/buildings/{id}/modules/unequip</x:v>
      </x:c>
      <x:c r="B13" s="22" t="str">
        <x:v>Unequip</x:v>
      </x:c>
      <x:c r="C13" s="22" t="str">
        <x:v>slot,expected_loadout_version,idempotency_key</x:v>
      </x:c>
      <x:c r="D13" s="22" t="str">
        <x:v>Game server</x:v>
      </x:c>
      <x:c r="E13" s="22" t="str">
        <x:v>Yes</x:v>
      </x:c>
      <x:c r="F13" s="22" t="str">
        <x:v>Loadout audit</x:v>
      </x:c>
      <x:c r="G13" s="22" t="str">
        <x:v>idempotency key</x:v>
      </x:c>
      <x:c r="H13" s="22" t="str">
        <x:v>Ownership/lock</x:v>
      </x:c>
      <x:c r="I13" s="22" t="str">
        <x:v>Intent</x:v>
      </x:c>
      <x:c r="J13" s="22" t="str">
        <x:v>Inventory result</x:v>
      </x:c>
      <x:c r="K13" s="22" t="str">
        <x:v>Next tick</x:v>
      </x:c>
      <x:c r="L13" s="22" t="str">
        <x:v>No</x:v>
      </x:c>
      <x:c r="M13" s="22" t="str">
        <x:v>No</x:v>
      </x:c>
      <x:c r="N13" s="22" t="str">
        <x:v>409/423</x:v>
      </x:c>
      <x:c r="O13" s="22" t="str">
        <x:v>P1</x:v>
      </x:c>
      <x:c r="P13" s="43" t="str"/>
    </x:row>
    <x:row r="14">
      <x:c r="A14" s="42" t="str">
        <x:v>POST /v1/modules/dismantle</x:v>
      </x:c>
      <x:c r="B14" s="22" t="str">
        <x:v>Convert copies → Parts</x:v>
      </x:c>
      <x:c r="C14" s="22" t="str">
        <x:v>module_id,quantity,idempotency_key</x:v>
      </x:c>
      <x:c r="D14" s="22" t="str">
        <x:v>Game server</x:v>
      </x:c>
      <x:c r="E14" s="22" t="str">
        <x:v>Yes</x:v>
      </x:c>
      <x:c r="F14" s="22" t="str">
        <x:v>Inventory + Parts ledger</x:v>
      </x:c>
      <x:c r="G14" s="22" t="str">
        <x:v>idempotency key</x:v>
      </x:c>
      <x:c r="H14" s="22" t="str">
        <x:v>Un-equipped available copies</x:v>
      </x:c>
      <x:c r="I14" s="22" t="str">
        <x:v>Intent</x:v>
      </x:c>
      <x:c r="J14" s="22" t="str">
        <x:v>Parts amount</x:v>
      </x:c>
      <x:c r="K14" s="22" t="str">
        <x:v>Immediate</x:v>
      </x:c>
      <x:c r="L14" s="22" t="str">
        <x:v>No</x:v>
      </x:c>
      <x:c r="M14" s="22" t="str">
        <x:v>No</x:v>
      </x:c>
      <x:c r="N14" s="22" t="str">
        <x:v>Reject equipped underflow</x:v>
      </x:c>
      <x:c r="O14" s="22" t="str">
        <x:v>P1</x:v>
      </x:c>
      <x:c r="P14" s="43" t="str"/>
    </x:row>
    <x:row r="15">
      <x:c r="A15" s="44" t="str">
        <x:v>POST /v1/modules/craft</x:v>
      </x:c>
      <x:c r="B15" s="53" t="str">
        <x:v>Exact craft</x:v>
      </x:c>
      <x:c r="C15" s="53" t="str">
        <x:v>module_id,idempotency_key</x:v>
      </x:c>
      <x:c r="D15" s="53" t="str">
        <x:v>Game server</x:v>
      </x:c>
      <x:c r="E15" s="53" t="str">
        <x:v>Yes</x:v>
      </x:c>
      <x:c r="F15" s="53" t="str">
        <x:v>Parts + inventory ledger</x:v>
      </x:c>
      <x:c r="G15" s="53" t="str">
        <x:v>idempotency key</x:v>
      </x:c>
      <x:c r="H15" s="53" t="str">
        <x:v>Stage/mastery/parts/config</x:v>
      </x:c>
      <x:c r="I15" s="53" t="str">
        <x:v>Target module</x:v>
      </x:c>
      <x:c r="J15" s="53" t="str">
        <x:v>Craft success without validation</x:v>
      </x:c>
      <x:c r="K15" s="53" t="str">
        <x:v>Immediate</x:v>
      </x:c>
      <x:c r="L15" s="53" t="str">
        <x:v>No</x:v>
      </x:c>
      <x:c r="M15" s="53" t="str">
        <x:v>No</x:v>
      </x:c>
      <x:c r="N15" s="53" t="str">
        <x:v>Atomic reject</x:v>
      </x:c>
      <x:c r="O15" s="53" t="str">
        <x:v>P1</x:v>
      </x:c>
      <x:c r="P15" s="45" t="str"/>
    </x:row>
    <x:row r="17" ht="22" customHeight="1">
      <x:c r="A17" s="11" t="str">
        <x:v>Retired Backend Concepts</x:v>
      </x:c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</x:row>
    <x:row r="18">
      <x:c r="A18" s="14" t="str">
        <x:v>Retired State / API</x:v>
      </x:c>
      <x:c r="B18" s="14" t="str">
        <x:v>Replacement</x:v>
      </x:c>
    </x:row>
    <x:row r="19">
      <x:c r="A19" s="40" t="str">
        <x:v>player_blueprints / blueprint fragments</x:v>
      </x:c>
      <x:c r="B19" s="41" t="str">
        <x:v>Not implemented for building access. Building unlock is derived from Empire Level; collectible state lives in module_inventory.</x:v>
      </x:c>
    </x:row>
    <x:row r="20">
      <x:c r="A20" s="42" t="str">
        <x:v>blueprint research transaction</x:v>
      </x:c>
      <x:c r="B20" s="43" t="str">
        <x:v>Removed. Module crafting transaction is separate and never gates Building Card access.</x:v>
      </x:c>
    </x:row>
    <x:row r="21">
      <x:c r="A21" s="42" t="str">
        <x:v>blueprint research fee</x:v>
      </x:c>
      <x:c r="B21" s="43" t="str">
        <x:v>Removed.</x:v>
      </x:c>
    </x:row>
    <x:row r="22">
      <x:c r="A22" s="44" t="str">
        <x:v>blueprint collection UI/API</x:v>
      </x:c>
      <x:c r="B22" s="45" t="str">
        <x:v>Replaced by Module Inventory + Building Card unlock state.</x:v>
      </x:c>
    </x:row>
  </x:sheetData>
  <x:mergeCells>
    <x:mergeCell ref="A1:P1"/>
    <x:mergeCell ref="A17:P17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Implementation Sequence — One Canonical Building/Module System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Phase</x:v>
      </x:c>
      <x:c r="B3" s="14" t="str">
        <x:v>Building Card Rule</x:v>
      </x:c>
      <x:c r="C3" s="14" t="str">
        <x:v>Module Scope</x:v>
      </x:c>
      <x:c r="D3" s="14" t="str">
        <x:v>Acquisition Sources</x:v>
      </x:c>
      <x:c r="E3" s="14" t="str">
        <x:v>Crafting</x:v>
      </x:c>
      <x:c r="F3" s="14" t="str">
        <x:v>Mastery</x:v>
      </x:c>
      <x:c r="G3" s="14" t="str">
        <x:v>Hunts</x:v>
      </x:c>
      <x:c r="H3" s="14" t="str">
        <x:v>Events/Seasons</x:v>
      </x:c>
      <x:c r="I3" s="14" t="str">
        <x:v>UI</x:v>
      </x:c>
      <x:c r="J3" s="14" t="str">
        <x:v>Backend</x:v>
      </x:c>
      <x:c r="K3" s="14" t="str">
        <x:v>Balance Validation</x:v>
      </x:c>
      <x:c r="L3" s="14" t="str">
        <x:v>Exit Criteria</x:v>
      </x:c>
      <x:c r="M3" s="14" t="str">
        <x:v>Priority</x:v>
      </x:c>
      <x:c r="N3" s="14" t="str">
        <x:v>Notes</x:v>
      </x:c>
    </x:row>
    <x:row r="4">
      <x:c r="A4" s="40" t="str">
        <x:v>P0 — Correct Core Unlock</x:v>
      </x:c>
      <x:c r="B4" s="52" t="str">
        <x:v>All 50 Building Cards unlock permanently by Empire Level; placement only needs Cash + existing gates</x:v>
      </x:c>
      <x:c r="C4" s="52" t="str">
        <x:v>Common/Uncommon Modules; one slot on early buildings</x:v>
      </x:c>
      <x:c r="D4" s="52" t="str">
        <x:v>Mastery I/II + low Hunt drop</x:v>
      </x:c>
      <x:c r="E4" s="52" t="str">
        <x:v>Common/Uncommon Parts</x:v>
      </x:c>
      <x:c r="F4" s="52" t="str">
        <x:v>Mastery I/II</x:v>
      </x:c>
      <x:c r="G4" s="52" t="str">
        <x:v>Easy/Standard Module rolls</x:v>
      </x:c>
      <x:c r="H4" s="52" t="str">
        <x:v>No Module reward dependency</x:v>
      </x:c>
      <x:c r="I4" s="52" t="str">
        <x:v>Building Detail Module slot + small Inventory</x:v>
      </x:c>
      <x:c r="J4" s="52" t="str">
        <x:v>module_config, inventory, equipped_modules</x:v>
      </x:c>
      <x:c r="K4" s="52" t="str">
        <x:v>No direct score/PLOT; effects within caps</x:v>
      </x:c>
      <x:c r="L4" s="52" t="str">
        <x:v>Players never encounter blueprint gate and can equip first Module</x:v>
      </x:c>
      <x:c r="M4" s="52" t="str">
        <x:v>Critical</x:v>
      </x:c>
      <x:c r="N4" s="41" t="str">
        <x:v>Ship this correction before old blueprint system is implemented</x:v>
      </x:c>
    </x:row>
    <x:row r="5">
      <x:c r="A5" s="42" t="str">
        <x:v>P1 — Strategic Modules</x:v>
      </x:c>
      <x:c r="B5" s="22" t="str">
        <x:v>Existing slot progression through Rare/Epic buildings</x:v>
      </x:c>
      <x:c r="C5" s="22" t="str">
        <x:v>Add Rare + selected Epic Modules</x:v>
      </x:c>
      <x:c r="D5" s="22" t="str">
        <x:v>Mastery III/IV, Hard/Elite Hunts, earned packs, Events</x:v>
      </x:c>
      <x:c r="E5" s="22" t="str">
        <x:v>Exact craft through Epic</x:v>
      </x:c>
      <x:c r="F5" s="22" t="str">
        <x:v>Family-specific objectives</x:v>
      </x:c>
      <x:c r="G5" s="22" t="str">
        <x:v>Full drop table</x:v>
      </x:c>
      <x:c r="H5" s="22" t="str">
        <x:v>Major Events can reward themed Modules</x:v>
      </x:c>
      <x:c r="I5" s="22" t="str">
        <x:v>Full Module Inventory/Craft/Discovery</x:v>
      </x:c>
      <x:c r="J5" s="22" t="str">
        <x:v>Parts ledger, mastery, reward resolver</x:v>
      </x:c>
      <x:c r="K5" s="22" t="str">
        <x:v>Telemetry shows no single mandatory Module</x:v>
      </x:c>
      <x:c r="L5" s="22" t="str">
        <x:v>Meaningful loadout diversity without direct P2W</x:v>
      </x:c>
      <x:c r="M5" s="22" t="str">
        <x:v>High</x:v>
      </x:c>
      <x:c r="N5" s="43" t="str"/>
    </x:row>
    <x:row r="6">
      <x:c r="A6" s="42" t="str">
        <x:v>P2 — Prestige</x:v>
      </x:c>
      <x:c r="B6" s="22" t="str">
        <x:v>Legendary/Mythic Building Cards still level+Cash; no acquisition gate</x:v>
      </x:c>
      <x:c r="C6" s="22" t="str">
        <x:v>Legendary Modules + endgame loadouts</x:v>
      </x:c>
      <x:c r="D6" s="22" t="str">
        <x:v>Mastery V, Jackpot Hunts, prestige events, seasonal sidegrades</x:v>
      </x:c>
      <x:c r="E6" s="22" t="str">
        <x:v>Legendary exact craft with Legendary Parts + mastery</x:v>
      </x:c>
      <x:c r="F6" s="22" t="str">
        <x:v>Endgame mastery chains</x:v>
      </x:c>
      <x:c r="G6" s="22" t="str">
        <x:v>Very-low Legendary discovery</x:v>
      </x:c>
      <x:c r="H6" s="22" t="str">
        <x:v>Season sidegrades/cosmetics</x:v>
      </x:c>
      <x:c r="I6" s="22" t="str">
        <x:v>Prestige Module collection</x:v>
      </x:c>
      <x:c r="J6" s="22" t="str">
        <x:v>Season/event integration</x:v>
      </x:c>
      <x:c r="K6" s="22" t="str">
        <x:v>Legendary remains sidegrade/conditional</x:v>
      </x:c>
      <x:c r="L6" s="22" t="str">
        <x:v>Deterministic endgame Module path exists</x:v>
      </x:c>
      <x:c r="M6" s="22" t="str">
        <x:v>Medium</x:v>
      </x:c>
      <x:c r="N6" s="43" t="str"/>
    </x:row>
    <x:row r="7">
      <x:c r="A7" s="44" t="str">
        <x:v>P3 — Optional Expansion</x:v>
      </x:c>
      <x:c r="B7" s="53" t="str">
        <x:v>No change</x:v>
      </x:c>
      <x:c r="C7" s="53" t="str">
        <x:v>Potential new Module categories/variants</x:v>
      </x:c>
      <x:c r="D7" s="53" t="str">
        <x:v>New content sources</x:v>
      </x:c>
      <x:c r="E7" s="53" t="str">
        <x:v>May add recipes, never cross-tier pay shortcut</x:v>
      </x:c>
      <x:c r="F7" s="53" t="str">
        <x:v>New mastery tracks</x:v>
      </x:c>
      <x:c r="G7" s="53" t="str">
        <x:v>New Hunt templates</x:v>
      </x:c>
      <x:c r="H7" s="53" t="str">
        <x:v>More thematic variants</x:v>
      </x:c>
      <x:c r="I7" s="53" t="str">
        <x:v>Loadout presets/search</x:v>
      </x:c>
      <x:c r="J7" s="53" t="str">
        <x:v>Config-driven</x:v>
      </x:c>
      <x:c r="K7" s="53" t="str">
        <x:v>Monitor meta and effect caps</x:v>
      </x:c>
      <x:c r="L7" s="53" t="str">
        <x:v>Expand without revisiting Building Card access</x:v>
      </x:c>
      <x:c r="M7" s="53" t="str">
        <x:v>Later</x:v>
      </x:c>
      <x:c r="N7" s="45" t="str"/>
    </x:row>
    <x:row r="9" ht="22" customHeight="1">
      <x:c r="A9" s="11" t="str">
        <x:v>Do Not Implement from the Old Acquisition Draft</x:v>
      </x:c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>
      <x:c r="A10" s="14" t="str">
        <x:v>Retired Feature</x:v>
      </x:c>
      <x:c r="B10" s="14" t="str">
        <x:v>Reason</x:v>
      </x:c>
    </x:row>
    <x:row r="11">
      <x:c r="A11" s="40" t="str">
        <x:v>Blueprint required before placing an unlocked Building Card</x:v>
      </x:c>
      <x:c r="B11" s="41" t="str">
        <x:v>Duplicates the level gate and frustrates the core building loop.</x:v>
      </x:c>
    </x:row>
    <x:row r="12">
      <x:c r="A12" s="42" t="str">
        <x:v>Blueprint fragments for Building Cards</x:v>
      </x:c>
      <x:c r="B12" s="43" t="str">
        <x:v>Replaced by Modules and Module Parts.</x:v>
      </x:c>
    </x:row>
    <x:row r="13">
      <x:c r="A13" s="42" t="str">
        <x:v>Blueprint research Cash fee</x:v>
      </x:c>
      <x:c r="B13" s="43" t="str">
        <x:v>Player already pays construction Cash; no second building-access payment.</x:v>
      </x:c>
    </x:row>
    <x:row r="14">
      <x:c r="A14" s="42" t="str">
        <x:v>Research Focus for Building Card blueprints</x:v>
      </x:c>
      <x:c r="B14" s="43" t="str">
        <x:v>Not needed. Deterministic Module Mastery + exact crafting provide targeting.</x:v>
      </x:c>
    </x:row>
    <x:row r="15">
      <x:c r="A15" s="44" t="str">
        <x:v>Building access from random packs</x:v>
      </x:c>
      <x:c r="B15" s="45" t="str">
        <x:v>Core progression must never depend on RNG.</x:v>
      </x:c>
    </x:row>
  </x:sheetData>
  <x:mergeCells>
    <x:mergeCell ref="A1:N1"/>
    <x:mergeCell ref="A9:N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Module Live-Ops Controls &amp; Meta Health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22"/>
      <x:c r="P1" s="22"/>
      <x:c r="Q1" s="22"/>
    </x:row>
    <x:row r="3">
      <x:c r="A3" s="14" t="str">
        <x:v>Control</x:v>
      </x:c>
      <x:c r="B3" s="14" t="str">
        <x:v>Default</x:v>
      </x:c>
      <x:c r="C3" s="14" t="str">
        <x:v>Review Frequency</x:v>
      </x:c>
      <x:c r="D3" s="14" t="str">
        <x:v>Metric</x:v>
      </x:c>
      <x:c r="E3" s="14" t="str">
        <x:v>Increase When</x:v>
      </x:c>
      <x:c r="F3" s="14" t="str">
        <x:v>Decrease When</x:v>
      </x:c>
      <x:c r="G3" s="14" t="str">
        <x:v>Safe Change</x:v>
      </x:c>
      <x:c r="H3" s="14" t="str">
        <x:v>Do Not Change Mid-State?</x:v>
      </x:c>
      <x:c r="I3" s="14" t="str">
        <x:v>Competitive Risk</x:v>
      </x:c>
      <x:c r="J3" s="14" t="str">
        <x:v>Economy Risk</x:v>
      </x:c>
      <x:c r="K3" s="14" t="str">
        <x:v>Owner</x:v>
      </x:c>
      <x:c r="L3" s="14" t="str">
        <x:v>Alert Threshold</x:v>
      </x:c>
      <x:c r="M3" s="14" t="str">
        <x:v>Player Impact</x:v>
      </x:c>
      <x:c r="N3" s="14" t="str">
        <x:v>Notes</x:v>
      </x:c>
    </x:row>
    <x:row r="4">
      <x:c r="A4" s="40" t="str">
        <x:v>Hunt Module roll chance</x:v>
      </x:c>
      <x:c r="B4" s="52" t="str">
        <x:v>5/10/18/28/45% by difficulty</x:v>
      </x:c>
      <x:c r="C4" s="52" t="str">
        <x:v>Monthly</x:v>
      </x:c>
      <x:c r="D4" s="52" t="str">
        <x:v>Modules earned/player/week</x:v>
      </x:c>
      <x:c r="E4" s="52" t="str">
        <x:v>Collection too slow</x:v>
      </x:c>
      <x:c r="F4" s="52" t="str">
        <x:v>Inventory floods</x:v>
      </x:c>
      <x:c r="G4" s="52" t="str">
        <x:v>+/-2–5 points</x:v>
      </x:c>
      <x:c r="H4" s="52" t="str">
        <x:v>Prospective Hunt only</x:v>
      </x:c>
      <x:c r="I4" s="52" t="str">
        <x:v>Medium</x:v>
      </x:c>
      <x:c r="J4" s="52" t="str">
        <x:v>Low</x:v>
      </x:c>
      <x:c r="K4" s="52" t="str">
        <x:v>Live Ops</x:v>
      </x:c>
      <x:c r="L4" s="52" t="str">
        <x:v>Median &lt;1 or &gt;5 Hunt Modules/week outside endgame</x:v>
      </x:c>
      <x:c r="M4" s="52" t="str">
        <x:v>Medium</x:v>
      </x:c>
      <x:c r="N4" s="41" t="str"/>
    </x:row>
    <x:row r="5">
      <x:c r="A5" s="42" t="str">
        <x:v>Cash Module Pack weekly cap</x:v>
      </x:c>
      <x:c r="B5" s="22" t="str">
        <x:v>3</x:v>
      </x:c>
      <x:c r="C5" s="22" t="str">
        <x:v>Monthly</x:v>
      </x:c>
      <x:c r="D5" s="22" t="str">
        <x:v>Cash-pack share of owned Rare Modules</x:v>
      </x:c>
      <x:c r="E5" s="22" t="str">
        <x:v>Optional sink underused</x:v>
      </x:c>
      <x:c r="F5" s="22" t="str">
        <x:v>Cash acquisition dominates</x:v>
      </x:c>
      <x:c r="G5" s="22" t="str">
        <x:v>+/-1</x:v>
      </x:c>
      <x:c r="H5" s="22" t="str">
        <x:v>Weekly reset</x:v>
      </x:c>
      <x:c r="I5" s="22" t="str">
        <x:v>High</x:v>
      </x:c>
      <x:c r="J5" s="22" t="str">
        <x:v>Medium</x:v>
      </x:c>
      <x:c r="K5" s="22" t="str">
        <x:v>Economy</x:v>
      </x:c>
      <x:c r="L5" s="22" t="str">
        <x:v>Cash packs &gt;25% of Rare acquisition</x:v>
      </x:c>
      <x:c r="M5" s="22" t="str">
        <x:v>High</x:v>
      </x:c>
      <x:c r="N5" s="43" t="str"/>
    </x:row>
    <x:row r="6">
      <x:c r="A6" s="42" t="str">
        <x:v>Cash Pack rarity ceiling</x:v>
      </x:c>
      <x:c r="B6" s="22" t="str">
        <x:v>Rare</x:v>
      </x:c>
      <x:c r="C6" s="22" t="str">
        <x:v>Seasonal</x:v>
      </x:c>
      <x:c r="D6" s="22" t="str">
        <x:v>Paid-in-Cash acceleration</x:v>
      </x:c>
      <x:c r="E6" s="22" t="str">
        <x:v>Never raise for convenience alone</x:v>
      </x:c>
      <x:c r="F6" s="22" t="str">
        <x:v>N/A</x:v>
      </x:c>
      <x:c r="G6" s="22" t="str">
        <x:v>Keep at Rare v1.0</x:v>
      </x:c>
      <x:c r="H6" s="22" t="str">
        <x:v>Yes</x:v>
      </x:c>
      <x:c r="I6" s="22" t="str">
        <x:v>Critical</x:v>
      </x:c>
      <x:c r="J6" s="22" t="str">
        <x:v>Medium</x:v>
      </x:c>
      <x:c r="K6" s="22" t="str">
        <x:v>Economy</x:v>
      </x:c>
      <x:c r="L6" s="22" t="str">
        <x:v>Any Epic/Legendary from Cash-pack chain</x:v>
      </x:c>
      <x:c r="M6" s="22" t="str">
        <x:v>Critical</x:v>
      </x:c>
      <x:c r="N6" s="43" t="str"/>
    </x:row>
    <x:row r="7">
      <x:c r="A7" s="42" t="str">
        <x:v>Craft duplicate equivalence</x:v>
      </x:c>
      <x:c r="B7" s="22" t="str">
        <x:v>~5 same-tier duplicates</x:v>
      </x:c>
      <x:c r="C7" s="22" t="str">
        <x:v>Monthly</x:v>
      </x:c>
      <x:c r="D7" s="22" t="str">
        <x:v>Craft source share</x:v>
      </x:c>
      <x:c r="E7" s="22" t="str">
        <x:v>Too many dead duplicates</x:v>
      </x:c>
      <x:c r="F7" s="22" t="str">
        <x:v>Crafting bypasses gameplay</x:v>
      </x:c>
      <x:c r="G7" s="22" t="str">
        <x:v>+/-1 equivalent duplicate</x:v>
      </x:c>
      <x:c r="H7" s="22" t="str">
        <x:v>Prospective recipes</x:v>
      </x:c>
      <x:c r="I7" s="22" t="str">
        <x:v>Medium</x:v>
      </x:c>
      <x:c r="J7" s="22" t="str">
        <x:v>Low</x:v>
      </x:c>
      <x:c r="K7" s="22" t="str">
        <x:v>Economy</x:v>
      </x:c>
      <x:c r="L7" s="22" t="str">
        <x:v>Crafted Modules &gt;35% of high-tier acquisition</x:v>
      </x:c>
      <x:c r="M7" s="22" t="str">
        <x:v>Medium</x:v>
      </x:c>
      <x:c r="N7" s="43" t="str"/>
    </x:row>
    <x:row r="8">
      <x:c r="A8" s="42" t="str">
        <x:v>Module effect caps</x:v>
      </x:c>
      <x:c r="B8" s="22" t="str">
        <x:v>25% acquisition / 20% capacity / 15% activity / -15 risk etc.</x:v>
      </x:c>
      <x:c r="C8" s="22" t="str">
        <x:v>Seasonal</x:v>
      </x:c>
      <x:c r="D8" s="22" t="str">
        <x:v>Meta concentration</x:v>
      </x:c>
      <x:c r="E8" s="22" t="str">
        <x:v>No viable specialization</x:v>
      </x:c>
      <x:c r="F8" s="22" t="str">
        <x:v>Single Modules/loadouts dominate</x:v>
      </x:c>
      <x:c r="G8" s="22" t="str">
        <x:v>+/-2–5 points</x:v>
      </x:c>
      <x:c r="H8" s="22" t="str">
        <x:v>Avoid mid-epoch for competitive modules</x:v>
      </x:c>
      <x:c r="I8" s="22" t="str">
        <x:v>Critical</x:v>
      </x:c>
      <x:c r="J8" s="22" t="str">
        <x:v>High</x:v>
      </x:c>
      <x:c r="K8" s="22" t="str">
        <x:v>Game Design</x:v>
      </x:c>
      <x:c r="L8" s="22" t="str">
        <x:v>One Module present in &gt;50% of compatible top players</x:v>
      </x:c>
      <x:c r="M8" s="22" t="str">
        <x:v>High</x:v>
      </x:c>
      <x:c r="N8" s="43" t="str"/>
    </x:row>
    <x:row r="9">
      <x:c r="A9" s="42" t="str">
        <x:v>Diminishing returns</x:v>
      </x:c>
      <x:c r="B9" s="22" t="str">
        <x:v>100/60/30%</x:v>
      </x:c>
      <x:c r="C9" s="22" t="str">
        <x:v>Seasonal</x:v>
      </x:c>
      <x:c r="D9" s="22" t="str">
        <x:v>Stacking concentration</x:v>
      </x:c>
      <x:c r="E9" s="22" t="str">
        <x:v>Same-group stacking weak</x:v>
      </x:c>
      <x:c r="F9" s="22" t="str">
        <x:v>Same-group meta dominates</x:v>
      </x:c>
      <x:c r="G9" s="22" t="str">
        <x:v>Small factor change</x:v>
      </x:c>
      <x:c r="H9" s="22" t="str">
        <x:v>Prospective loadout calculation version</x:v>
      </x:c>
      <x:c r="I9" s="22" t="str">
        <x:v>High</x:v>
      </x:c>
      <x:c r="J9" s="22" t="str">
        <x:v>Medium</x:v>
      </x:c>
      <x:c r="K9" s="22" t="str">
        <x:v>Game Design</x:v>
      </x:c>
      <x:c r="L9" s="22" t="str">
        <x:v>3 same-group Modules common in &gt;30% loadouts</x:v>
      </x:c>
      <x:c r="M9" s="22" t="str">
        <x:v>Medium</x:v>
      </x:c>
      <x:c r="N9" s="43" t="str"/>
    </x:row>
    <x:row r="10">
      <x:c r="A10" s="42" t="str">
        <x:v>Mastery reward choice size</x:v>
      </x:c>
      <x:c r="B10" s="22" t="str">
        <x:v>3/3/3/2/track</x:v>
      </x:c>
      <x:c r="C10" s="22" t="str">
        <x:v>Monthly</x:v>
      </x:c>
      <x:c r="D10" s="22" t="str">
        <x:v>Choice satisfaction</x:v>
      </x:c>
      <x:c r="E10" s="22" t="str">
        <x:v>Players lack agency</x:v>
      </x:c>
      <x:c r="F10" s="22" t="str">
        <x:v>Choices always obvious</x:v>
      </x:c>
      <x:c r="G10" s="22" t="str">
        <x:v>Change option pool</x:v>
      </x:c>
      <x:c r="H10" s="22" t="str">
        <x:v>New reward claims only</x:v>
      </x:c>
      <x:c r="I10" s="22" t="str">
        <x:v>Low</x:v>
      </x:c>
      <x:c r="J10" s="22" t="str">
        <x:v>Low</x:v>
      </x:c>
      <x:c r="K10" s="22" t="str">
        <x:v>Game Design</x:v>
      </x:c>
      <x:c r="L10" s="22" t="str">
        <x:v>Choice concentration &gt;80% one option</x:v>
      </x:c>
      <x:c r="M10" s="22" t="str">
        <x:v>Medium</x:v>
      </x:c>
      <x:c r="N10" s="43" t="str"/>
    </x:row>
    <x:row r="11">
      <x:c r="A11" s="42" t="str">
        <x:v>Legendary Hunt drop</x:v>
      </x:c>
      <x:c r="B11" s="22" t="str">
        <x:v>1% Elite / 5% Jackpot conditional Module roll distribution</x:v>
      </x:c>
      <x:c r="C11" s="22" t="str">
        <x:v>Seasonal</x:v>
      </x:c>
      <x:c r="D11" s="22" t="str">
        <x:v>Legendary source distribution</x:v>
      </x:c>
      <x:c r="E11" s="22" t="str">
        <x:v>Too rare delight</x:v>
      </x:c>
      <x:c r="F11" s="22" t="str">
        <x:v>RNG overtakes mastery/crafting</x:v>
      </x:c>
      <x:c r="G11" s="22" t="str">
        <x:v>Small changes only</x:v>
      </x:c>
      <x:c r="H11" s="22" t="str">
        <x:v>Prospective</x:v>
      </x:c>
      <x:c r="I11" s="22" t="str">
        <x:v>High</x:v>
      </x:c>
      <x:c r="J11" s="22" t="str">
        <x:v>Low</x:v>
      </x:c>
      <x:c r="K11" s="22" t="str">
        <x:v>Live Ops</x:v>
      </x:c>
      <x:c r="L11" s="22" t="str">
        <x:v>RNG &gt;25% of Legendary acquisition</x:v>
      </x:c>
      <x:c r="M11" s="22" t="str">
        <x:v>Medium</x:v>
      </x:c>
      <x:c r="N11" s="43" t="str"/>
    </x:row>
    <x:row r="12">
      <x:c r="A12" s="44" t="str">
        <x:v>Event lock policy</x:v>
      </x:c>
      <x:c r="B12" s="53" t="str">
        <x:v>Only affected buildings/events</x:v>
      </x:c>
      <x:c r="C12" s="53" t="str">
        <x:v>Monthly</x:v>
      </x:c>
      <x:c r="D12" s="53" t="str">
        <x:v>Swap exploit frequency</x:v>
      </x:c>
      <x:c r="E12" s="53" t="str">
        <x:v>Counter-swap exploit seen</x:v>
      </x:c>
      <x:c r="F12" s="53" t="str">
        <x:v>Players feel unnecessarily locked</x:v>
      </x:c>
      <x:c r="G12" s="53" t="str">
        <x:v>Scope only</x:v>
      </x:c>
      <x:c r="H12" s="53" t="str">
        <x:v>Active event version pinned</x:v>
      </x:c>
      <x:c r="I12" s="53" t="str">
        <x:v>Medium</x:v>
      </x:c>
      <x:c r="J12" s="53" t="str">
        <x:v>Low</x:v>
      </x:c>
      <x:c r="K12" s="53" t="str">
        <x:v>Game Design</x:v>
      </x:c>
      <x:c r="L12" s="53" t="str">
        <x:v>Frequent lock complaints / exploit evidence</x:v>
      </x:c>
      <x:c r="M12" s="53" t="str">
        <x:v>Medium</x:v>
      </x:c>
      <x:c r="N12" s="45" t="str"/>
    </x:row>
  </x:sheetData>
  <x:mergeCells>
    <x:mergeCell ref="A1:N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88" t="str">
        <x:v>Canonical Decisions — Use These When Documents Conflict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22"/>
      <x:c r="N1" s="22"/>
      <x:c r="O1" s="22"/>
      <x:c r="P1" s="22"/>
      <x:c r="Q1" s="22"/>
    </x:row>
    <x:row r="3">
      <x:c r="A3" s="14" t="str">
        <x:v>ID</x:v>
      </x:c>
      <x:c r="B3" s="14" t="str">
        <x:v>Decision</x:v>
      </x:c>
      <x:c r="C3" s="14" t="str">
        <x:v>Canonical Answer</x:v>
      </x:c>
      <x:c r="D3" s="14" t="str">
        <x:v>Old Alternative Rejected</x:v>
      </x:c>
      <x:c r="E3" s="14" t="str">
        <x:v>Reason</x:v>
      </x:c>
      <x:c r="F3" s="14" t="str">
        <x:v>Affects</x:v>
      </x:c>
      <x:c r="G3" s="14" t="str">
        <x:v>Backend Rule</x:v>
      </x:c>
      <x:c r="H3" s="14" t="str">
        <x:v>UI Rule</x:v>
      </x:c>
      <x:c r="I3" s="14" t="str">
        <x:v>Balance Rule</x:v>
      </x:c>
      <x:c r="J3" s="14" t="str">
        <x:v>Competitive Rule</x:v>
      </x:c>
      <x:c r="K3" s="14" t="str">
        <x:v>Status</x:v>
      </x:c>
      <x:c r="L3" s="14" t="str">
        <x:v>Notes</x:v>
      </x:c>
    </x:row>
    <x:row r="4">
      <x:c r="A4" s="40" t="str">
        <x:v>D1</x:v>
      </x:c>
      <x:c r="B4" s="52" t="str">
        <x:v>What happens when a player reaches a building's level?</x:v>
      </x:c>
      <x:c r="C4" s="52" t="str">
        <x:v>The Building Card unlocks permanently and immediately.</x:v>
      </x:c>
      <x:c r="D4" s="52" t="str">
        <x:v>Level only unlocks blueprint eligibility.</x:v>
      </x:c>
      <x:c r="E4" s="52" t="str">
        <x:v>One gate is enough.</x:v>
      </x:c>
      <x:c r="F4" s="52" t="str">
        <x:v>All buildings</x:v>
      </x:c>
      <x:c r="G4" s="52" t="str">
        <x:v>Derived unlock from level</x:v>
      </x:c>
      <x:c r="H4" s="52" t="str">
        <x:v>Show as unlocked/buildable</x:v>
      </x:c>
      <x:c r="I4" s="52" t="str">
        <x:v>No acquisition fee</x:v>
      </x:c>
      <x:c r="J4" s="52" t="str">
        <x:v>No direct score</x:v>
      </x:c>
      <x:c r="K4" s="52" t="str">
        <x:v>FINAL</x:v>
      </x:c>
      <x:c r="L4" s="41" t="str"/>
    </x:row>
    <x:row r="5">
      <x:c r="A5" s="42" t="str">
        <x:v>D2</x:v>
      </x:c>
      <x:c r="B5" s="22" t="str">
        <x:v>What does Cash pay for?</x:v>
      </x:c>
      <x:c r="C5" s="22" t="str">
        <x:v>Constructing each Building Instance, upgrades, moves and normal economy sinks.</x:v>
      </x:c>
      <x:c r="D5" s="22" t="str">
        <x:v>A second blueprint research/license fee for core access.</x:v>
      </x:c>
      <x:c r="E5" s="22" t="str">
        <x:v>Avoid double-paying for the same progression reward.</x:v>
      </x:c>
      <x:c r="F5" s="22" t="str">
        <x:v>Economy/Build</x:v>
      </x:c>
      <x:c r="G5" s="22" t="str">
        <x:v>Cash transaction on construction</x:v>
      </x:c>
      <x:c r="H5" s="22" t="str">
        <x:v>Show build cost</x:v>
      </x:c>
      <x:c r="I5" s="22" t="str">
        <x:v>Base Building Balance cost</x:v>
      </x:c>
      <x:c r="J5" s="22" t="str">
        <x:v>Indirect only</x:v>
      </x:c>
      <x:c r="K5" s="22" t="str">
        <x:v>FINAL</x:v>
      </x:c>
      <x:c r="L5" s="43" t="str"/>
    </x:row>
    <x:row r="6">
      <x:c r="A6" s="42" t="str">
        <x:v>D3</x:v>
      </x:c>
      <x:c r="B6" s="22" t="str">
        <x:v>What is collectible?</x:v>
      </x:c>
      <x:c r="C6" s="22" t="str">
        <x:v>Modules.</x:v>
      </x:c>
      <x:c r="D6" s="22" t="str">
        <x:v>Blueprints/Building Cards.</x:v>
      </x:c>
      <x:c r="E6" s="22" t="str">
        <x:v>Building Cards already mean the actual buildings.</x:v>
      </x:c>
      <x:c r="F6" s="22" t="str">
        <x:v>Collection/Hunts/Events</x:v>
      </x:c>
      <x:c r="G6" s="22" t="str">
        <x:v>module_inventory</x:v>
      </x:c>
      <x:c r="H6" s="22" t="str">
        <x:v>Module Inventory</x:v>
      </x:c>
      <x:c r="I6" s="22" t="str">
        <x:v>Module rarity/effects</x:v>
      </x:c>
      <x:c r="J6" s="22" t="str">
        <x:v>No direct points</x:v>
      </x:c>
      <x:c r="K6" s="22" t="str">
        <x:v>FINAL</x:v>
      </x:c>
      <x:c r="L6" s="43" t="str"/>
    </x:row>
    <x:row r="7">
      <x:c r="A7" s="42" t="str">
        <x:v>D4</x:v>
      </x:c>
      <x:c r="B7" s="22" t="str">
        <x:v>What do Modules do?</x:v>
      </x:c>
      <x:c r="C7" s="22" t="str">
        <x:v>Modify/specialize an existing Building Instance.</x:v>
      </x:c>
      <x:c r="D7" s="22" t="str">
        <x:v>Grant permission to build.</x:v>
      </x:c>
      <x:c r="E7" s="22" t="str">
        <x:v>Keeps collection additive rather than frustrating.</x:v>
      </x:c>
      <x:c r="F7" s="22" t="str">
        <x:v>Buildings</x:v>
      </x:c>
      <x:c r="G7" s="22" t="str">
        <x:v>equipped_modules</x:v>
      </x:c>
      <x:c r="H7" s="22" t="str">
        <x:v>Slots/equip preview</x:v>
      </x:c>
      <x:c r="I7" s="22" t="str">
        <x:v>Hard caps + tradeoffs</x:v>
      </x:c>
      <x:c r="J7" s="22" t="str">
        <x:v>Underlying metrics only</x:v>
      </x:c>
      <x:c r="K7" s="22" t="str">
        <x:v>FINAL</x:v>
      </x:c>
      <x:c r="L7" s="43" t="str"/>
    </x:row>
    <x:row r="8">
      <x:c r="A8" s="42" t="str">
        <x:v>D5</x:v>
      </x:c>
      <x:c r="B8" s="22" t="str">
        <x:v>Can a building function without Modules?</x:v>
      </x:c>
      <x:c r="C8" s="22" t="str">
        <x:v>Yes, fully.</x:v>
      </x:c>
      <x:c r="D8" s="22" t="str">
        <x:v>No / weakened baseline.</x:v>
      </x:c>
      <x:c r="E8" s="22" t="str">
        <x:v>Core game cannot depend on collection RNG.</x:v>
      </x:c>
      <x:c r="F8" s="22" t="str">
        <x:v>All buildings</x:v>
      </x:c>
      <x:c r="G8" s="22" t="str">
        <x:v>No module required</x:v>
      </x:c>
      <x:c r="H8" s="22" t="str">
        <x:v>Empty slot is valid</x:v>
      </x:c>
      <x:c r="I8" s="22" t="str">
        <x:v>Base stats remain viable</x:v>
      </x:c>
      <x:c r="J8" s="22" t="str">
        <x:v>Fairness</x:v>
      </x:c>
      <x:c r="K8" s="22" t="str">
        <x:v>FINAL</x:v>
      </x:c>
      <x:c r="L8" s="43" t="str"/>
    </x:row>
    <x:row r="9">
      <x:c r="A9" s="42" t="str">
        <x:v>D6</x:v>
      </x:c>
      <x:c r="B9" s="22" t="str">
        <x:v>Primary Module acquisition?</x:v>
      </x:c>
      <x:c r="C9" s="22" t="str">
        <x:v>Building Mastery guarantees Modules.</x:v>
      </x:c>
      <x:c r="D9" s="22" t="str">
        <x:v>Random packs.</x:v>
      </x:c>
      <x:c r="E9" s="22" t="str">
        <x:v>Players should earn useful Modules by operating buildings.</x:v>
      </x:c>
      <x:c r="F9" s="22" t="str">
        <x:v>Mastery</x:v>
      </x:c>
      <x:c r="G9" s="22" t="str">
        <x:v>Validated activity ledgers</x:v>
      </x:c>
      <x:c r="H9" s="22" t="str">
        <x:v>Mastery progress</x:v>
      </x:c>
      <x:c r="I9" s="22" t="str">
        <x:v>Stage normalized</x:v>
      </x:c>
      <x:c r="J9" s="22" t="str">
        <x:v>No leaderboard requirement</x:v>
      </x:c>
      <x:c r="K9" s="22" t="str">
        <x:v>FINAL</x:v>
      </x:c>
      <x:c r="L9" s="43" t="str"/>
    </x:row>
    <x:row r="10">
      <x:c r="A10" s="42" t="str">
        <x:v>D7</x:v>
      </x:c>
      <x:c r="B10" s="22" t="str">
        <x:v>Role of Hunts?</x:v>
      </x:c>
      <x:c r="C10" s="22" t="str">
        <x:v>Repeatable discovery chance from separate Module roll.</x:v>
      </x:c>
      <x:c r="D10" s="22" t="str">
        <x:v>Mandatory fragment grind.</x:v>
      </x:c>
      <x:c r="E10" s="22" t="str">
        <x:v>Keeps Hunts exciting without gating core buildings.</x:v>
      </x:c>
      <x:c r="F10" s="22" t="str">
        <x:v>Hunts</x:v>
      </x:c>
      <x:c r="G10" s="22" t="str">
        <x:v>Server reward resolver</x:v>
      </x:c>
      <x:c r="H10" s="22" t="str">
        <x:v>Possible Module reward</x:v>
      </x:c>
      <x:c r="I10" s="22" t="str">
        <x:v>Separate from stock budget</x:v>
      </x:c>
      <x:c r="J10" s="22" t="str">
        <x:v>Hunt score unchanged</x:v>
      </x:c>
      <x:c r="K10" s="22" t="str">
        <x:v>FINAL</x:v>
      </x:c>
      <x:c r="L10" s="43" t="str"/>
    </x:row>
    <x:row r="11">
      <x:c r="A11" s="42" t="str">
        <x:v>D8</x:v>
      </x:c>
      <x:c r="B11" s="22" t="str">
        <x:v>Role of duplicates?</x:v>
      </x:c>
      <x:c r="C11" s="22" t="str">
        <x:v>Keep useful copies; optionally dismantle extras into same-tier Module Parts.</x:v>
      </x:c>
      <x:c r="D11" s="22" t="str">
        <x:v>Auto-delete/upgrade power.</x:v>
      </x:c>
      <x:c r="E11" s="22" t="str">
        <x:v>Multiple building instances may need copies.</x:v>
      </x:c>
      <x:c r="F11" s="22" t="str">
        <x:v>Inventory/Crafting</x:v>
      </x:c>
      <x:c r="G11" s="22" t="str">
        <x:v>Stack quantities + Parts ledger</x:v>
      </x:c>
      <x:c r="H11" s="22" t="str">
        <x:v>xN inventory</x:v>
      </x:c>
      <x:c r="I11" s="22" t="str">
        <x:v>No Module leveling</x:v>
      </x:c>
      <x:c r="J11" s="22" t="str">
        <x:v>No score</x:v>
      </x:c>
      <x:c r="K11" s="22" t="str">
        <x:v>FINAL</x:v>
      </x:c>
      <x:c r="L11" s="43" t="str"/>
    </x:row>
    <x:row r="12">
      <x:c r="A12" s="42" t="str">
        <x:v>D9</x:v>
      </x:c>
      <x:c r="B12" s="22" t="str">
        <x:v>Can players craft exact Modules?</x:v>
      </x:c>
      <x:c r="C12" s="22" t="str">
        <x:v>Yes, with same-tier Parts and stage/mastery gates.</x:v>
      </x:c>
      <x:c r="D12" s="22" t="str">
        <x:v>Craft random only.</x:v>
      </x:c>
      <x:c r="E12" s="22" t="str">
        <x:v>Provides deterministic collection agency.</x:v>
      </x:c>
      <x:c r="F12" s="22" t="str">
        <x:v>Crafting</x:v>
      </x:c>
      <x:c r="G12" s="22" t="str">
        <x:v>Atomic craft transaction</x:v>
      </x:c>
      <x:c r="H12" s="22" t="str">
        <x:v>Craft tab</x:v>
      </x:c>
      <x:c r="I12" s="22" t="str">
        <x:v>~5 duplicates equivalent</x:v>
      </x:c>
      <x:c r="J12" s="22" t="str">
        <x:v>No score</x:v>
      </x:c>
      <x:c r="K12" s="22" t="str">
        <x:v>FINAL</x:v>
      </x:c>
      <x:c r="L12" s="43" t="str"/>
    </x:row>
    <x:row r="13">
      <x:c r="A13" s="42" t="str">
        <x:v>D10</x:v>
      </x:c>
      <x:c r="B13" s="22" t="str">
        <x:v>Can real money buy gameplay Modules/packs?</x:v>
      </x:c>
      <x:c r="C13" s="22" t="str">
        <x:v>No in v1.0.</x:v>
      </x:c>
      <x:c r="D13" s="22" t="str">
        <x:v>Yes.</x:v>
      </x:c>
      <x:c r="E13" s="22" t="str">
        <x:v>Avoid pay-to-win pressure.</x:v>
      </x:c>
      <x:c r="F13" s="22" t="str">
        <x:v>Monetization</x:v>
      </x:c>
      <x:c r="G13" s="22" t="str">
        <x:v>SKU allowlist excludes gameplay Modules</x:v>
      </x:c>
      <x:c r="H13" s="22" t="str">
        <x:v>No purchase CTA</x:v>
      </x:c>
      <x:c r="I13" s="22" t="str">
        <x:v>Cash pack only, capped</x:v>
      </x:c>
      <x:c r="J13" s="22" t="str">
        <x:v>Fairness</x:v>
      </x:c>
      <x:c r="K13" s="22" t="str">
        <x:v>FINAL</x:v>
      </x:c>
      <x:c r="L13" s="43" t="str">
        <x:v>Cosmetic Module skins/frames may monetize</x:v>
      </x:c>
    </x:row>
    <x:row r="14">
      <x:c r="A14" s="42" t="str">
        <x:v>D11</x:v>
      </x:c>
      <x:c r="B14" s="22" t="str">
        <x:v>Do Module rarity/counts affect Performance or PLOT?</x:v>
      </x:c>
      <x:c r="C14" s="22" t="str">
        <x:v>Never directly.</x:v>
      </x:c>
      <x:c r="D14" s="22" t="str">
        <x:v>Collection score / rarity multiplier.</x:v>
      </x:c>
      <x:c r="E14" s="22" t="str">
        <x:v>Competition should reward operation quality.</x:v>
      </x:c>
      <x:c r="F14" s="22" t="str">
        <x:v>Performance/Competition</x:v>
      </x:c>
      <x:c r="G14" s="22" t="str">
        <x:v>Exclude fields from score inputs</x:v>
      </x:c>
      <x:c r="H14" s="22" t="str">
        <x:v>Explain indirect effect</x:v>
      </x:c>
      <x:c r="I14" s="22" t="str">
        <x:v>No direct multiplier</x:v>
      </x:c>
      <x:c r="J14" s="22" t="str">
        <x:v>Critical</x:v>
      </x:c>
      <x:c r="K14" s="22" t="str">
        <x:v>FINAL</x:v>
      </x:c>
      <x:c r="L14" s="43" t="str"/>
    </x:row>
    <x:row r="15">
      <x:c r="A15" s="44" t="str">
        <x:v>D12</x:v>
      </x:c>
      <x:c r="B15" s="53" t="str">
        <x:v>Can seasonal Modules be stronger exclusives?</x:v>
      </x:c>
      <x:c r="C15" s="53" t="str">
        <x:v>No. Seasonal Modules should be sidegrades or cosmetic variants.</x:v>
      </x:c>
      <x:c r="D15" s="53" t="str">
        <x:v>Exclusive best-in-slot power.</x:v>
      </x:c>
      <x:c r="E15" s="53" t="str">
        <x:v>Avoid FOMO-based competitive advantage.</x:v>
      </x:c>
      <x:c r="F15" s="53" t="str">
        <x:v>Seasons</x:v>
      </x:c>
      <x:c r="G15" s="53" t="str">
        <x:v>Reward config rule</x:v>
      </x:c>
      <x:c r="H15" s="53" t="str">
        <x:v>Season badge/variant</x:v>
      </x:c>
      <x:c r="I15" s="53" t="str">
        <x:v>Equivalent power envelope</x:v>
      </x:c>
      <x:c r="J15" s="53" t="str">
        <x:v>No rating bonus</x:v>
      </x:c>
      <x:c r="K15" s="53" t="str">
        <x:v>FINAL</x:v>
      </x:c>
      <x:c r="L15" s="45" t="str"/>
    </x:row>
  </x:sheetData>
  <x:mergeCells>
    <x:mergeCell ref="A1:L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8" t="str">
        <x:v>Superseding Specification Model Checks</x:v>
      </x:c>
      <x:c r="B1" s="88"/>
      <x:c r="C1" s="88"/>
      <x:c r="D1" s="88"/>
      <x:c r="E1" s="88"/>
      <x:c r="F1" s="88"/>
      <x:c r="G1" s="88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40" t="str">
        <x:v>All 50 Building Cards have slot rules</x:v>
      </x:c>
      <x:c r="B4" s="52" t="n">
        <x:v>50</x:v>
      </x:c>
      <x:c r="C4" s="52" t="n">
        <x:f>COUNTA('04_Module_Slots'!A4:A53)</x:f>
        <x:v>50</x:v>
      </x:c>
      <x:c r="D4" s="52" t="str">
        <x:f>IF(C4=B4,"PASS","CHECK")</x:f>
        <x:v>PASS</x:v>
      </x:c>
      <x:c r="E4" s="52" t="str">
        <x:v>Critical</x:v>
      </x:c>
      <x:c r="F4" s="52" t="str">
        <x:v>Every building needs canonical Module behavior</x:v>
      </x:c>
      <x:c r="G4" s="41" t="str"/>
    </x:row>
    <x:row r="5">
      <x:c r="A5" s="42" t="str">
        <x:v>Building unlock is level-based</x:v>
      </x:c>
      <x:c r="B5" s="22" t="n">
        <x:v>1</x:v>
      </x:c>
      <x:c r="C5" s="22" t="n">
        <x:f>IF('17_Canonical_Decisions'!C4="The Building Card unlocks permanently and immediately.",1,0)</x:f>
        <x:v>1</x:v>
      </x:c>
      <x:c r="D5" s="22" t="str">
        <x:f>IF(C5=B5,"PASS","CHECK")</x:f>
        <x:v>PASS</x:v>
      </x:c>
      <x:c r="E5" s="22" t="str">
        <x:v>Critical</x:v>
      </x:c>
      <x:c r="F5" s="22" t="str">
        <x:v>Removes blueprint gate</x:v>
      </x:c>
      <x:c r="G5" s="43" t="str"/>
    </x:row>
    <x:row r="6">
      <x:c r="A6" s="42" t="str">
        <x:v>Building works without Modules</x:v>
      </x:c>
      <x:c r="B6" s="22" t="n">
        <x:v>1</x:v>
      </x:c>
      <x:c r="C6" s="22" t="n">
        <x:f>IF('17_Canonical_Decisions'!C8="Yes, fully.",1,0)</x:f>
        <x:v>1</x:v>
      </x:c>
      <x:c r="D6" s="22" t="str">
        <x:f>IF(C6=B6,"PASS","CHECK")</x:f>
        <x:v>PASS</x:v>
      </x:c>
      <x:c r="E6" s="22" t="str">
        <x:v>Critical</x:v>
      </x:c>
      <x:c r="F6" s="22" t="str">
        <x:v>Collection cannot gate core viability</x:v>
      </x:c>
      <x:c r="G6" s="43" t="str"/>
    </x:row>
    <x:row r="7">
      <x:c r="A7" s="42" t="str">
        <x:v>Max Module slots &lt;=4</x:v>
      </x:c>
      <x:c r="B7" s="22" t="n">
        <x:v>4</x:v>
      </x:c>
      <x:c r="C7" s="22" t="n">
        <x:f>MAX('04_Module_Slots'!F4:F53)</x:f>
        <x:v>4</x:v>
      </x:c>
      <x:c r="D7" s="22" t="str">
        <x:f>IF(C7&lt;=B7,"PASS","CHECK")</x:f>
        <x:v>PASS</x:v>
      </x:c>
      <x:c r="E7" s="22" t="str">
        <x:v>High</x:v>
      </x:c>
      <x:c r="F7" s="22" t="str">
        <x:v>Loadout complexity bound</x:v>
      </x:c>
      <x:c r="G7" s="43" t="str"/>
    </x:row>
    <x:row r="8">
      <x:c r="A8" s="42" t="str">
        <x:v>Legendary limit = 1/building</x:v>
      </x:c>
      <x:c r="B8" s="22" t="n">
        <x:v>1</x:v>
      </x:c>
      <x:c r="C8" s="22" t="n">
        <x:f>IF('11_Stacking_Balance'!E6=1,1,0)</x:f>
        <x:v>1</x:v>
      </x:c>
      <x:c r="D8" s="22" t="str">
        <x:f>IF(C8=B8,"PASS","CHECK")</x:f>
        <x:v>PASS</x:v>
      </x:c>
      <x:c r="E8" s="22" t="str">
        <x:v>High</x:v>
      </x:c>
      <x:c r="F8" s="22" t="str">
        <x:v>Prevents rule-change stacking</x:v>
      </x:c>
      <x:c r="G8" s="43" t="str"/>
    </x:row>
    <x:row r="9">
      <x:c r="A9" s="42" t="str">
        <x:v>Hunt stock reward not replaced</x:v>
      </x:c>
      <x:c r="B9" s="22" t="n">
        <x:v>5</x:v>
      </x:c>
      <x:c r="C9" s="22" t="n">
        <x:f>COUNTIF('09_Drop_Tables'!I4:I8,"No")</x:f>
        <x:v>5</x:v>
      </x:c>
      <x:c r="D9" s="22" t="str">
        <x:f>IF(C9=B9,"PASS","CHECK")</x:f>
        <x:v>PASS</x:v>
      </x:c>
      <x:c r="E9" s="22" t="str">
        <x:v>Critical</x:v>
      </x:c>
      <x:c r="F9" s="22" t="str">
        <x:v>Module rewards remain separate from stock budget</x:v>
      </x:c>
      <x:c r="G9" s="43" t="str"/>
    </x:row>
    <x:row r="10">
      <x:c r="A10" s="42" t="str">
        <x:v>Hunt Points not changed by Module rolls</x:v>
      </x:c>
      <x:c r="B10" s="22" t="n">
        <x:v>5</x:v>
      </x:c>
      <x:c r="C10" s="22" t="n">
        <x:f>COUNTIF('09_Drop_Tables'!J4:J8,"No")</x:f>
        <x:v>5</x:v>
      </x:c>
      <x:c r="D10" s="22" t="str">
        <x:f>IF(C10=B10,"PASS","CHECK")</x:f>
        <x:v>PASS</x:v>
      </x:c>
      <x:c r="E10" s="22" t="str">
        <x:v>Critical</x:v>
      </x:c>
      <x:c r="F10" s="22" t="str">
        <x:v>No recursive competitive farming</x:v>
      </x:c>
      <x:c r="G10" s="43" t="str"/>
    </x:row>
    <x:row r="11">
      <x:c r="A11" s="42" t="str">
        <x:v>Cash pack Legendary chance = 0</x:v>
      </x:c>
      <x:c r="B11" s="22" t="n">
        <x:v>0</x:v>
      </x:c>
      <x:c r="C11" s="22" t="n">
        <x:f>'09_Drop_Tables'!G23</x:f>
        <x:v>0</x:v>
      </x:c>
      <x:c r="D11" s="22" t="str">
        <x:f>IF(C11=B11,"PASS","CHECK")</x:f>
        <x:v>PASS</x:v>
      </x:c>
      <x:c r="E11" s="22" t="str">
        <x:v>Critical</x:v>
      </x:c>
      <x:c r="F11" s="22" t="str">
        <x:v>No cash shortcut to endgame power</x:v>
      </x:c>
      <x:c r="G11" s="43" t="str"/>
    </x:row>
    <x:row r="12">
      <x:c r="A12" s="42" t="str">
        <x:v>Cash pack Epic chance = 0</x:v>
      </x:c>
      <x:c r="B12" s="22" t="n">
        <x:v>0</x:v>
      </x:c>
      <x:c r="C12" s="22" t="n">
        <x:f>'09_Drop_Tables'!F23</x:f>
        <x:v>0</x:v>
      </x:c>
      <x:c r="D12" s="22" t="str">
        <x:f>IF(C12=B12,"PASS","CHECK")</x:f>
        <x:v>PASS</x:v>
      </x:c>
      <x:c r="E12" s="22" t="str">
        <x:v>Critical</x:v>
      </x:c>
      <x:c r="F12" s="22" t="str">
        <x:v>No cash shortcut to Epic power</x:v>
      </x:c>
      <x:c r="G12" s="43" t="str"/>
    </x:row>
    <x:row r="13">
      <x:c r="A13" s="42" t="str">
        <x:v>Module rarity tiers = 5</x:v>
      </x:c>
      <x:c r="B13" s="22" t="n">
        <x:v>5</x:v>
      </x:c>
      <x:c r="C13" s="22" t="n">
        <x:f>COUNTA('05_Module_Rarity'!A4:A8)</x:f>
        <x:v>5</x:v>
      </x:c>
      <x:c r="D13" s="22" t="str">
        <x:f>IF(C13=B13,"PASS","CHECK")</x:f>
        <x:v>PASS</x:v>
      </x:c>
      <x:c r="E13" s="22" t="str">
        <x:v>Medium</x:v>
      </x:c>
      <x:c r="F13" s="22" t="str">
        <x:v>Simple collectible hierarchy</x:v>
      </x:c>
      <x:c r="G13" s="43" t="str"/>
    </x:row>
    <x:row r="14">
      <x:c r="A14" s="42" t="str">
        <x:v>Mastery tiers = 5</x:v>
      </x:c>
      <x:c r="B14" s="22" t="n">
        <x:v>5</x:v>
      </x:c>
      <x:c r="C14" s="22" t="n">
        <x:f>COUNTA('07_Building_Mastery'!A4:A8)</x:f>
        <x:v>5</x:v>
      </x:c>
      <x:c r="D14" s="22" t="str">
        <x:f>IF(C14=B14,"PASS","CHECK")</x:f>
        <x:v>PASS</x:v>
      </x:c>
      <x:c r="E14" s="22" t="str">
        <x:v>High</x:v>
      </x:c>
      <x:c r="F14" s="22" t="str">
        <x:v>Deterministic acquisition path exists</x:v>
      </x:c>
      <x:c r="G14" s="43" t="str"/>
    </x:row>
    <x:row r="15">
      <x:c r="A15" s="42" t="str">
        <x:v>Module acquisition sources &gt;=8</x:v>
      </x:c>
      <x:c r="B15" s="22" t="n">
        <x:v>8</x:v>
      </x:c>
      <x:c r="C15" s="22" t="n">
        <x:f>COUNTA('08_Module_Acquisition'!A4:A11)</x:f>
        <x:v>8</x:v>
      </x:c>
      <x:c r="D15" s="22" t="str">
        <x:f>IF(C15&gt;=B15,"PASS","CHECK")</x:f>
        <x:v>PASS</x:v>
      </x:c>
      <x:c r="E15" s="22" t="str">
        <x:v>Medium</x:v>
      </x:c>
      <x:c r="F15" s="22" t="str">
        <x:v>Collection has multiple sources</x:v>
      </x:c>
      <x:c r="G15" s="43" t="str"/>
    </x:row>
    <x:row r="16">
      <x:c r="A16" s="42" t="str">
        <x:v>Direct Performance from Modules prohibited</x:v>
      </x:c>
      <x:c r="B16" s="22" t="n">
        <x:v>1</x:v>
      </x:c>
      <x:c r="C16" s="22" t="n">
        <x:f>IF(COUNTIF('03_Module_System'!K4:K15,"No")=12,1,0)</x:f>
        <x:v>1</x:v>
      </x:c>
      <x:c r="D16" s="22" t="str">
        <x:f>IF(C16=B16,"PASS","CHECK")</x:f>
        <x:v>PASS</x:v>
      </x:c>
      <x:c r="E16" s="22" t="str">
        <x:v>Critical</x:v>
      </x:c>
      <x:c r="F16" s="22" t="str">
        <x:v>Competitive fairness</x:v>
      </x:c>
      <x:c r="G16" s="43" t="str"/>
    </x:row>
    <x:row r="17">
      <x:c r="A17" s="42" t="str">
        <x:v>Direct PLOT from Modules prohibited</x:v>
      </x:c>
      <x:c r="B17" s="22" t="n">
        <x:v>1</x:v>
      </x:c>
      <x:c r="C17" s="22" t="n">
        <x:f>IF(COUNTIF('03_Module_System'!L4:L15,"No")=12,1,0)</x:f>
        <x:v>1</x:v>
      </x:c>
      <x:c r="D17" s="22" t="str">
        <x:f>IF(C17=B17,"PASS","CHECK")</x:f>
        <x:v>PASS</x:v>
      </x:c>
      <x:c r="E17" s="22" t="str">
        <x:v>Critical</x:v>
      </x:c>
      <x:c r="F17" s="22" t="str">
        <x:v>Reward fairness</x:v>
      </x:c>
      <x:c r="G17" s="43" t="str"/>
    </x:row>
    <x:row r="18">
      <x:c r="A18" s="42" t="str">
        <x:v>No Module leveling in v1.0</x:v>
      </x:c>
      <x:c r="B18" s="22" t="n">
        <x:v>5</x:v>
      </x:c>
      <x:c r="C18" s="22" t="n">
        <x:f>COUNTIF('10_Crafting_Duplicates'!L4:L8,"No")</x:f>
        <x:v>5</x:v>
      </x:c>
      <x:c r="D18" s="22" t="str">
        <x:f>IF(C18=B18,"PASS","CHECK")</x:f>
        <x:v>PASS</x:v>
      </x:c>
      <x:c r="E18" s="22" t="str">
        <x:v>Medium</x:v>
      </x:c>
      <x:c r="F18" s="22" t="str">
        <x:v>Avoid duplicate power creep</x:v>
      </x:c>
      <x:c r="G18" s="43" t="str"/>
    </x:row>
    <x:row r="19">
      <x:c r="A19" s="42" t="str">
        <x:v>Exact crafting available all rarities</x:v>
      </x:c>
      <x:c r="B19" s="22" t="n">
        <x:v>5</x:v>
      </x:c>
      <x:c r="C19" s="22" t="n">
        <x:f>COUNTA('10_Crafting_Duplicates'!D4:D8)</x:f>
        <x:v>5</x:v>
      </x:c>
      <x:c r="D19" s="22" t="str">
        <x:f>IF(C19=B19,"PASS","CHECK")</x:f>
        <x:v>PASS</x:v>
      </x:c>
      <x:c r="E19" s="22" t="str">
        <x:v>High</x:v>
      </x:c>
      <x:c r="F19" s="22" t="str">
        <x:v>Deterministic collection agency</x:v>
      </x:c>
      <x:c r="G19" s="43" t="str"/>
    </x:row>
    <x:row r="20">
      <x:c r="A20" s="42" t="str">
        <x:v>Cash packs cannot generate Epic/Legendary Parts</x:v>
      </x:c>
      <x:c r="B20" s="22" t="n">
        <x:v>2</x:v>
      </x:c>
      <x:c r="C20" s="22" t="n">
        <x:f>COUNTIF('10_Crafting_Duplicates'!I7:I8,"No")</x:f>
        <x:v>2</x:v>
      </x:c>
      <x:c r="D20" s="22" t="str">
        <x:f>IF(C20=B20,"PASS","CHECK")</x:f>
        <x:v>PASS</x:v>
      </x:c>
      <x:c r="E20" s="22" t="str">
        <x:v>Critical</x:v>
      </x:c>
      <x:c r="F20" s="22" t="str">
        <x:v>No indirect paid shortcut</x:v>
      </x:c>
      <x:c r="G20" s="43" t="str"/>
    </x:row>
    <x:row r="21">
      <x:c r="A21" s="42" t="str">
        <x:v>Canonical decisions marked FINAL</x:v>
      </x:c>
      <x:c r="B21" s="22" t="n">
        <x:v>12</x:v>
      </x:c>
      <x:c r="C21" s="22" t="n">
        <x:f>COUNTIF('17_Canonical_Decisions'!K4:K15,"FINAL")</x:f>
        <x:v>12</x:v>
      </x:c>
      <x:c r="D21" s="22" t="str">
        <x:f>IF(C21=B21,"PASS","CHECK")</x:f>
        <x:v>PASS</x:v>
      </x:c>
      <x:c r="E21" s="22" t="str">
        <x:v>High</x:v>
      </x:c>
      <x:c r="F21" s="22" t="str">
        <x:v>Single-source-of-truth intent</x:v>
      </x:c>
      <x:c r="G21" s="43" t="str"/>
    </x:row>
    <x:row r="22">
      <x:c r="A22" s="42" t="str">
        <x:v>Module catalog has at least 30 examples</x:v>
      </x:c>
      <x:c r="B22" s="22" t="n">
        <x:v>30</x:v>
      </x:c>
      <x:c r="C22" s="22" t="n">
        <x:f>COUNTA('06_Module_Catalog'!A4:A38)</x:f>
        <x:v>35</x:v>
      </x:c>
      <x:c r="D22" s="22" t="str">
        <x:f>IF(C22&gt;=B22,"PASS","CHECK")</x:f>
        <x:v>PASS</x:v>
      </x:c>
      <x:c r="E22" s="22" t="str">
        <x:v>Medium</x:v>
      </x:c>
      <x:c r="F22" s="22" t="str">
        <x:v>Implementation examples sufficient</x:v>
      </x:c>
      <x:c r="G22" s="43" t="str"/>
    </x:row>
    <x:row r="23">
      <x:c r="A23" s="44" t="str">
        <x:v>System integration covers &gt;=12 affected systems</x:v>
      </x:c>
      <x:c r="B23" s="53" t="n">
        <x:v>12</x:v>
      </x:c>
      <x:c r="C23" s="53" t="n">
        <x:f>COUNTA('12_System_Integration'!A4:A15)</x:f>
        <x:v>12</x:v>
      </x:c>
      <x:c r="D23" s="53" t="str">
        <x:f>IF(C23&gt;=B23,"PASS","CHECK")</x:f>
        <x:v>PASS</x:v>
      </x:c>
      <x:c r="E23" s="53" t="str">
        <x:v>High</x:v>
      </x:c>
      <x:c r="F23" s="53" t="str">
        <x:v>One document can override all affected areas</x:v>
      </x:c>
      <x:c r="G23" s="45" t="str"/>
    </x:row>
  </x:sheetData>
  <x:mergeCells>
    <x:mergeCell ref="A1:G1"/>
  </x:mergeCells>
  <x:conditionalFormatting sqref="D4:D23">
    <x:cfRule type="expression" dxfId="0" priority="1">
      <x:formula>D4="PASS"</x:formula>
    </x:cfRule>
    <x:cfRule type="expression" dxfId="1" priority="2">
      <x:formula>D4="CHECK"</x:formula>
    </x:cfRule>
  </x:conditionalFormatting>
  <x:pageMargins left="0.7" right="0.7" top="0.75" bottom="0.75" header="0.3" footer="0.3"/>
</x:worksheet>
</file>