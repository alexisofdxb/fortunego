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27c0f60b13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c85ec5020ae64e85"/>
    <x:sheet xmlns:r="http://schemas.openxmlformats.org/officeDocument/2006/relationships" name="01_Assumptions" sheetId="2" r:id="R4970c00dbd0c4e34"/>
    <x:sheet xmlns:r="http://schemas.openxmlformats.org/officeDocument/2006/relationships" name="02_Architecture" sheetId="3" r:id="Ra7668d7e3fa749b8"/>
    <x:sheet xmlns:r="http://schemas.openxmlformats.org/officeDocument/2006/relationships" name="03_State_Ownership" sheetId="4" r:id="R00ed9514aae54673"/>
    <x:sheet xmlns:r="http://schemas.openxmlformats.org/officeDocument/2006/relationships" name="04_Player_State" sheetId="5" r:id="R78615b3600de4d21"/>
    <x:sheet xmlns:r="http://schemas.openxmlformats.org/officeDocument/2006/relationships" name="05_Plot_Territory_State" sheetId="6" r:id="R9287ffdce10a471f"/>
    <x:sheet xmlns:r="http://schemas.openxmlformats.org/officeDocument/2006/relationships" name="06_Building_Layout_State" sheetId="7" r:id="Rd6d0065c7eae490a"/>
    <x:sheet xmlns:r="http://schemas.openxmlformats.org/officeDocument/2006/relationships" name="07_Customer_Economy_State" sheetId="8" r:id="Rbde059bb20684cc1"/>
    <x:sheet xmlns:r="http://schemas.openxmlformats.org/officeDocument/2006/relationships" name="08_Risk_Reputation_State" sheetId="9" r:id="Re1c30df9cf0844fc"/>
    <x:sheet xmlns:r="http://schemas.openxmlformats.org/officeDocument/2006/relationships" name="09_Event_Hunt_State" sheetId="10" r:id="Ra73f5092438e49f7"/>
    <x:sheet xmlns:r="http://schemas.openxmlformats.org/officeDocument/2006/relationships" name="10_Performance_Settlement" sheetId="11" r:id="Re93637f37810434c"/>
    <x:sheet xmlns:r="http://schemas.openxmlformats.org/officeDocument/2006/relationships" name="11_League_Season_State" sheetId="12" r:id="R11586f5704294bc1"/>
    <x:sheet xmlns:r="http://schemas.openxmlformats.org/officeDocument/2006/relationships" name="12_Persistence_Schema" sheetId="13" r:id="R1499a0b31a4e4842"/>
    <x:sheet xmlns:r="http://schemas.openxmlformats.org/officeDocument/2006/relationships" name="13_Ledger_Event_Sourcing" sheetId="14" r:id="R15b8fe7199b641aa"/>
    <x:sheet xmlns:r="http://schemas.openxmlformats.org/officeDocument/2006/relationships" name="14_API_Surface" sheetId="15" r:id="R6b033d15712340ba"/>
    <x:sheet xmlns:r="http://schemas.openxmlformats.org/officeDocument/2006/relationships" name="15_Event_Bus" sheetId="16" r:id="Re99e6ec812594d64"/>
    <x:sheet xmlns:r="http://schemas.openxmlformats.org/officeDocument/2006/relationships" name="16_Jobs_Schedulers" sheetId="17" r:id="R535cb3fe74464893"/>
    <x:sheet xmlns:r="http://schemas.openxmlformats.org/officeDocument/2006/relationships" name="17_Idempotency_Concurrency" sheetId="18" r:id="R1c0e1ead84b74f89"/>
    <x:sheet xmlns:r="http://schemas.openxmlformats.org/officeDocument/2006/relationships" name="18_Integrity_AntiCheat" sheetId="19" r:id="R0b1bd1c3d09c4a53"/>
    <x:sheet xmlns:r="http://schemas.openxmlformats.org/officeDocument/2006/relationships" name="19_Onchain_Integration" sheetId="20" r:id="R246ccf656d4c44ba"/>
    <x:sheet xmlns:r="http://schemas.openxmlformats.org/officeDocument/2006/relationships" name="20_Family_SDK_Bridge" sheetId="21" r:id="Ra9617836f0814cd0"/>
    <x:sheet xmlns:r="http://schemas.openxmlformats.org/officeDocument/2006/relationships" name="21_Cache_Consistency" sheetId="22" r:id="Re4c3091e1ad14bc2"/>
    <x:sheet xmlns:r="http://schemas.openxmlformats.org/officeDocument/2006/relationships" name="22_Recovery_DR" sheetId="23" r:id="Rc12a8791b5b046b6"/>
    <x:sheet xmlns:r="http://schemas.openxmlformats.org/officeDocument/2006/relationships" name="23_Observability" sheetId="24" r:id="R77ec1341807f4e84"/>
    <x:sheet xmlns:r="http://schemas.openxmlformats.org/officeDocument/2006/relationships" name="24_Security_Auth" sheetId="25" r:id="R8c185b2db39348d8"/>
    <x:sheet xmlns:r="http://schemas.openxmlformats.org/officeDocument/2006/relationships" name="25_Deployment_Services" sheetId="26" r:id="R9a9ce8adfeb74c00"/>
    <x:sheet xmlns:r="http://schemas.openxmlformats.org/officeDocument/2006/relationships" name="26_Versioning_Migrations" sheetId="27" r:id="R372dd6d604ef4085"/>
    <x:sheet xmlns:r="http://schemas.openxmlformats.org/officeDocument/2006/relationships" name="27_MVP_Phases" sheetId="28" r:id="R3fc409c9e5b440ca"/>
    <x:sheet xmlns:r="http://schemas.openxmlformats.org/officeDocument/2006/relationships" name="28_Capacity_Targets" sheetId="29" r:id="R14cd1bf044e74cd4"/>
    <x:sheet xmlns:r="http://schemas.openxmlformats.org/officeDocument/2006/relationships" name="29_Technical_Scenarios" sheetId="30" r:id="R36d0625993384600"/>
    <x:sheet xmlns:r="http://schemas.openxmlformats.org/officeDocument/2006/relationships" name="30_Model_Checks" sheetId="31" r:id="Re12dd2b7e130498a"/>
    <x:sheet xmlns:r="http://schemas.openxmlformats.org/officeDocument/2006/relationships" name="31_Module_Domain_State" sheetId="32" r:id="R91268cb2f3fe455a"/>
    <x:sheet xmlns:r="http://schemas.openxmlformats.org/officeDocument/2006/relationships" name="32_Module_Effect_Runtime" sheetId="33" r:id="R90713ce98c234ff1"/>
    <x:sheet xmlns:r="http://schemas.openxmlformats.org/officeDocument/2006/relationships" name="33_Module_Transactions" sheetId="34" r:id="R565fcd937148476a"/>
    <x:sheet xmlns:r="http://schemas.openxmlformats.org/officeDocument/2006/relationships" name="34_Module_Integration_Map" sheetId="35" r:id="R5ad803aaf79546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 &quot;ms&quot;;[Red](0 &quot;ms&quot;);-"/>
    <x:numFmt numFmtId="201" formatCode="0.0%;[Red](0.0%);-"/>
    <x:numFmt numFmtId="202" formatCode="#,##0;[Red](#,##0);-"/>
    <x:numFmt numFmtId="203" formatCode="0.00;[Red](0.00);-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132D46"/>
      </x:patternFill>
    </x:fill>
    <x:fill>
      <x:patternFill patternType="solid">
        <x:fgColor rgb="FF132D46"/>
      </x:patternFill>
    </x:fill>
    <x:fill>
      <x:patternFill patternType="solid">
        <x:fgColor rgb="FF0B1F33"/>
      </x:patternFill>
    </x:fill>
  </x:fills>
  <x:borders count="37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</x:borders>
  <x:cellStyleXfs count="1">
    <x:xf numFmtId="0" fontId="0" fillId="0" borderId="0"/>
  </x:cellStyleXfs>
  <x:cellXfs count="1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3" fillId="0" borderId="9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14" xfId="0" applyNumberFormat="1" applyFont="1" applyFill="1" applyBorder="1" applyAlignment="1">
      <x:alignment vertical="top" wrapText="1"/>
    </x:xf>
    <x:xf numFmtId="0" fontId="3" fillId="0" borderId="17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2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1" fontId="3" fillId="0" borderId="0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7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2" fontId="0" fillId="0" borderId="9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4" xfId="0" applyNumberFormat="1" applyFont="1" applyFill="1" applyBorder="1" applyAlignment="1">
      <x:alignment vertical="top" wrapText="1"/>
    </x:xf>
    <x:xf numFmtId="202" fontId="0" fillId="0" borderId="17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202" fontId="0" fillId="0" borderId="22" xfId="0" applyNumberFormat="1" applyFont="1" applyFill="1" applyBorder="1" applyAlignment="1">
      <x:alignment vertical="top" wrapText="1"/>
    </x:xf>
    <x:xf numFmtId="203" fontId="0" fillId="0" borderId="9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 wrapText="1"/>
    </x:xf>
    <x:xf numFmtId="203" fontId="0" fillId="0" borderId="14" xfId="0" applyNumberFormat="1" applyFont="1" applyFill="1" applyBorder="1" applyAlignment="1">
      <x:alignment vertical="top" wrapText="1"/>
    </x:xf>
    <x:xf numFmtId="203" fontId="0" fillId="0" borderId="17" xfId="0" applyNumberFormat="1" applyFont="1" applyFill="1" applyBorder="1" applyAlignment="1">
      <x:alignment vertical="top" wrapText="1"/>
    </x:xf>
    <x:xf numFmtId="203" fontId="0" fillId="0" borderId="1" xfId="0" applyNumberFormat="1" applyFont="1" applyFill="1" applyBorder="1" applyAlignment="1">
      <x:alignment vertical="top" wrapText="1"/>
    </x:xf>
    <x:xf numFmtId="203" fontId="0" fillId="0" borderId="22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3" fontId="0" fillId="0" borderId="10" xfId="0" applyNumberFormat="1" applyFont="1" applyFill="1" applyBorder="1" applyAlignment="1">
      <x:alignment vertical="top" wrapText="1"/>
    </x:xf>
    <x:xf numFmtId="203" fontId="0" fillId="0" borderId="12" xfId="0" applyNumberFormat="1" applyFont="1" applyFill="1" applyBorder="1" applyAlignment="1">
      <x:alignment vertical="top" wrapText="1"/>
    </x:xf>
    <x:xf numFmtId="203" fontId="0" fillId="0" borderId="15" xfId="0" applyNumberFormat="1" applyFont="1" applyFill="1" applyBorder="1" applyAlignment="1">
      <x:alignment vertical="top" wrapText="1"/>
    </x:xf>
    <x:xf numFmtId="203" fontId="0" fillId="0" borderId="18" xfId="0" applyNumberFormat="1" applyFont="1" applyFill="1" applyBorder="1" applyAlignment="1">
      <x:alignment vertical="top" wrapText="1"/>
    </x:xf>
    <x:xf numFmtId="203" fontId="0" fillId="0" borderId="20" xfId="0" applyNumberFormat="1" applyFont="1" applyFill="1" applyBorder="1" applyAlignment="1">
      <x:alignment vertical="top" wrapText="1"/>
    </x:xf>
    <x:xf numFmtId="203" fontId="0" fillId="0" borderId="23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1" fillId="2" borderId="0" xfId="0" applyNumberFormat="1" applyFont="1" applyFill="1" applyBorder="1" applyAlignment="1">
      <x:alignment horizontal="left" vertical="top" wrapText="1"/>
    </x:xf>
    <x:xf numFmtId="0" fontId="1" fillId="2" borderId="1" xfId="0" applyNumberFormat="1" applyFont="1" applyFill="1" applyBorder="1" applyAlignment="1">
      <x:alignment horizontal="left" vertical="top" wrapText="1"/>
    </x:xf>
    <x:xf numFmtId="0" fontId="0" fillId="0" borderId="0" xfId="0" applyNumberFormat="1" applyFont="1" applyFill="1" applyBorder="1"/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xfId="0" applyNumberFormat="1" applyFont="1" applyFill="1" applyBorder="0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0" borderId="36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201" fontId="0" fillId="0" xfId="0" applyNumberFormat="1" applyFont="1" applyFill="1" applyBorder="0" applyAlignment="1">
      <x:alignment vertical="top" wrapText="1"/>
    </x:xf>
    <x:xf numFmtId="0" fontId="1" fillId="5" borderId="0" xfId="0" applyNumberFormat="1" applyFont="1" applyFill="1" applyBorder="1" applyAlignment="1">
      <x:alignment horizontal="left" vertical="center" wrapText="1"/>
    </x:xf>
    <x:xf numFmtId="0" fontId="1" fillId="5" borderId="0" xfId="0" applyNumberFormat="1" applyFont="1" applyFill="1" applyBorder="1" applyAlignment="1">
      <x:alignment horizontal="left" vertical="top" wrapText="1"/>
    </x:xf>
  </x:cellXfs>
  <x:cellStyles count="1">
    <x:cellStyle name="Normal" xfId="0"/>
  </x:cellStyles>
  <x:dxfs count="5">
    <x:dxf>
      <x:fill>
        <x:patternFill>
          <x:bgColor rgb="FFFFF200"/>
        </x:patternFill>
      </x:fill>
    </x:dxf>
    <x:dxf>
      <x:font>
        <x:b/>
        <x:color rgb="FF14532D"/>
      </x:font>
      <x:fill>
        <x:patternFill>
          <x:bgColor rgb="FFDDEFE2"/>
        </x:patternFill>
      </x:fill>
    </x:dxf>
    <x:dxf>
      <x:font>
        <x:b/>
        <x:color rgb="FF7F1D1D"/>
      </x:font>
      <x:fill>
        <x:patternFill>
          <x:bgColor rgb="FFF5D6D6"/>
        </x:patternFill>
      </x:fill>
    </x:dxf>
    <x:dxf>
      <x:font>
        <x:b/>
        <x:color rgb="FF14532D"/>
      </x:font>
      <x:fill>
        <x:patternFill patternType="solid">
          <x:bgColor rgb="FFDDEFE2"/>
        </x:patternFill>
      </x:fill>
    </x:dxf>
    <x:dxf>
      <x:font>
        <x:b/>
        <x:color rgb="FF7F1D1D"/>
      </x:font>
      <x:fill>
        <x:patternFill patternType="solid">
          <x:bgColor rgb="FFF5D6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bdb81e4c64879" /><Relationship Type="http://schemas.openxmlformats.org/officeDocument/2006/relationships/theme" Target="/xl/theme/theme1.xml" Id="R3964140871714046" /><Relationship Type="http://schemas.openxmlformats.org/officeDocument/2006/relationships/sharedStrings" Target="/xl/sharedStrings.xml" Id="Rd8c73c5d35254aef" /><Relationship Type="http://schemas.openxmlformats.org/officeDocument/2006/relationships/worksheet" Target="/xl/worksheets/sheet1.xml" Id="Rc85ec5020ae64e85" /><Relationship Type="http://schemas.openxmlformats.org/officeDocument/2006/relationships/worksheet" Target="/xl/worksheets/sheet2.xml" Id="R4970c00dbd0c4e34" /><Relationship Type="http://schemas.openxmlformats.org/officeDocument/2006/relationships/worksheet" Target="/xl/worksheets/sheet3.xml" Id="Ra7668d7e3fa749b8" /><Relationship Type="http://schemas.openxmlformats.org/officeDocument/2006/relationships/worksheet" Target="/xl/worksheets/sheet4.xml" Id="R00ed9514aae54673" /><Relationship Type="http://schemas.openxmlformats.org/officeDocument/2006/relationships/worksheet" Target="/xl/worksheets/sheet5.xml" Id="R78615b3600de4d21" /><Relationship Type="http://schemas.openxmlformats.org/officeDocument/2006/relationships/worksheet" Target="/xl/worksheets/sheet6.xml" Id="R9287ffdce10a471f" /><Relationship Type="http://schemas.openxmlformats.org/officeDocument/2006/relationships/worksheet" Target="/xl/worksheets/sheet7.xml" Id="Rd6d0065c7eae490a" /><Relationship Type="http://schemas.openxmlformats.org/officeDocument/2006/relationships/worksheet" Target="/xl/worksheets/sheet8.xml" Id="Rbde059bb20684cc1" /><Relationship Type="http://schemas.openxmlformats.org/officeDocument/2006/relationships/worksheet" Target="/xl/worksheets/sheet9.xml" Id="Re1c30df9cf0844fc" /><Relationship Type="http://schemas.openxmlformats.org/officeDocument/2006/relationships/worksheet" Target="/xl/worksheets/sheet10.xml" Id="Ra73f5092438e49f7" /><Relationship Type="http://schemas.openxmlformats.org/officeDocument/2006/relationships/worksheet" Target="/xl/worksheets/sheet11.xml" Id="Re93637f37810434c" /><Relationship Type="http://schemas.openxmlformats.org/officeDocument/2006/relationships/worksheet" Target="/xl/worksheets/sheet12.xml" Id="R11586f5704294bc1" /><Relationship Type="http://schemas.openxmlformats.org/officeDocument/2006/relationships/worksheet" Target="/xl/worksheets/sheet13.xml" Id="R1499a0b31a4e4842" /><Relationship Type="http://schemas.openxmlformats.org/officeDocument/2006/relationships/worksheet" Target="/xl/worksheets/sheet14.xml" Id="R15b8fe7199b641aa" /><Relationship Type="http://schemas.openxmlformats.org/officeDocument/2006/relationships/worksheet" Target="/xl/worksheets/sheet15.xml" Id="R6b033d15712340ba" /><Relationship Type="http://schemas.openxmlformats.org/officeDocument/2006/relationships/worksheet" Target="/xl/worksheets/sheet16.xml" Id="Re99e6ec812594d64" /><Relationship Type="http://schemas.openxmlformats.org/officeDocument/2006/relationships/worksheet" Target="/xl/worksheets/sheet17.xml" Id="R535cb3fe74464893" /><Relationship Type="http://schemas.openxmlformats.org/officeDocument/2006/relationships/worksheet" Target="/xl/worksheets/sheet18.xml" Id="R1c0e1ead84b74f89" /><Relationship Type="http://schemas.openxmlformats.org/officeDocument/2006/relationships/worksheet" Target="/xl/worksheets/sheet19.xml" Id="R0b1bd1c3d09c4a53" /><Relationship Type="http://schemas.openxmlformats.org/officeDocument/2006/relationships/worksheet" Target="/xl/worksheets/sheet20.xml" Id="R246ccf656d4c44ba" /><Relationship Type="http://schemas.openxmlformats.org/officeDocument/2006/relationships/worksheet" Target="/xl/worksheets/sheet21.xml" Id="Ra9617836f0814cd0" /><Relationship Type="http://schemas.openxmlformats.org/officeDocument/2006/relationships/worksheet" Target="/xl/worksheets/sheet22.xml" Id="Re4c3091e1ad14bc2" /><Relationship Type="http://schemas.openxmlformats.org/officeDocument/2006/relationships/worksheet" Target="/xl/worksheets/sheet23.xml" Id="Rc12a8791b5b046b6" /><Relationship Type="http://schemas.openxmlformats.org/officeDocument/2006/relationships/worksheet" Target="/xl/worksheets/sheet24.xml" Id="R77ec1341807f4e84" /><Relationship Type="http://schemas.openxmlformats.org/officeDocument/2006/relationships/worksheet" Target="/xl/worksheets/sheet25.xml" Id="R8c185b2db39348d8" /><Relationship Type="http://schemas.openxmlformats.org/officeDocument/2006/relationships/worksheet" Target="/xl/worksheets/sheet26.xml" Id="R9a9ce8adfeb74c00" /><Relationship Type="http://schemas.openxmlformats.org/officeDocument/2006/relationships/worksheet" Target="/xl/worksheets/sheet27.xml" Id="R372dd6d604ef4085" /><Relationship Type="http://schemas.openxmlformats.org/officeDocument/2006/relationships/worksheet" Target="/xl/worksheets/sheet28.xml" Id="R3fc409c9e5b440ca" /><Relationship Type="http://schemas.openxmlformats.org/officeDocument/2006/relationships/worksheet" Target="/xl/worksheets/sheet29.xml" Id="R14cd1bf044e74cd4" /><Relationship Type="http://schemas.openxmlformats.org/officeDocument/2006/relationships/worksheet" Target="/xl/worksheets/sheet30.xml" Id="R36d0625993384600" /><Relationship Type="http://schemas.openxmlformats.org/officeDocument/2006/relationships/worksheet" Target="/xl/worksheets/sheet31.xml" Id="Re12dd2b7e130498a" /><Relationship Type="http://schemas.openxmlformats.org/officeDocument/2006/relationships/worksheet" Target="/xl/worksheets/sheet32.xml" Id="R91268cb2f3fe455a" /><Relationship Type="http://schemas.openxmlformats.org/officeDocument/2006/relationships/worksheet" Target="/xl/worksheets/sheet33.xml" Id="R90713ce98c234ff1" /><Relationship Type="http://schemas.openxmlformats.org/officeDocument/2006/relationships/worksheet" Target="/xl/worksheets/sheet34.xml" Id="R565fcd937148476a" /><Relationship Type="http://schemas.openxmlformats.org/officeDocument/2006/relationships/worksheet" Target="/xl/worksheets/sheet35.xml" Id="R5ad803aaf79546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45b7551697b43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Illustrative average vs peak workload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Avg Events/sec</c:v>
          </c:tx>
          <c:cat>
            <c:strRef>
              <c:f>'00_Dashboard'!$A$29:$A$35</c:f>
              <c:strCache>
                <c:ptCount val="0"/>
              </c:strCache>
            </c:strRef>
          </c:cat>
          <c:val>
            <c:numRef>
              <c:f>'00_Dashboard'!$B$29:$B$35</c:f>
              <c:numCache>
                <c:formatCode>0.00;[Red](0.00);-</c:formatCode>
                <c:ptCount val="0"/>
              </c:numCache>
            </c:numRef>
          </c:val>
        </c:ser>
        <c:ser>
          <c:idx val="1"/>
          <c:order val="1"/>
          <c:tx>
            <c:v>Peak Events/sec</c:v>
          </c:tx>
          <c:cat>
            <c:strRef>
              <c:f>'00_Dashboard'!$A$29:$A$35</c:f>
              <c:strCache>
                <c:ptCount val="0"/>
              </c:strCache>
            </c:strRef>
          </c:cat>
          <c:val>
            <c:numRef>
              <c:f>'00_Dashboard'!$C$29:$C$35</c:f>
              <c:numCache>
                <c:formatCode>0.00;[Red](0.00);-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26</xdr:row>
      <xdr:rowOff>0</xdr:rowOff>
    </xdr:from>
    <xdr:to>
      <xdr:col>14</xdr:col>
      <xdr:colOff>0</xdr:colOff>
      <xdr:row>43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45b7551697b43a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8d9ab19e3834d5a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6" hidden="0" customWidth="1"/>
    <x:col min="16" max="16" width="16" hidden="0" customWidth="1"/>
  </x:cols>
  <x:sheetData>
    <x:row r="1" ht="28" customHeight="1">
      <x:c r="A1" s="86" t="str">
        <x:v>PLOT — Backend &amp; Game-State Technical Specification v0.2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</x:row>
    <x:row r="3">
      <x:c r="A3" s="14" t="str">
        <x:v>Architecture Goal</x:v>
      </x:c>
      <x:c r="B3" s="14" t="str">
        <x:v>Authoritative State</x:v>
      </x:c>
      <x:c r="C3" s="14" t="str">
        <x:v>High-Frequency State</x:v>
      </x:c>
      <x:c r="D3" s="14" t="str">
        <x:v>Onchain State</x:v>
      </x:c>
      <x:c r="E3" s="14" t="str">
        <x:v>Primary DB</x:v>
      </x:c>
      <x:c r="F3" s="14" t="str">
        <x:v>Cache</x:v>
      </x:c>
      <x:c r="G3" s="14" t="str">
        <x:v>Queue/Event Bus</x:v>
      </x:c>
      <x:c r="H3" s="14" t="str">
        <x:v>Realtime</x:v>
      </x:c>
      <x:c r="I3" s="14" t="str">
        <x:v>Economy Tick</x:v>
      </x:c>
      <x:c r="J3" s="14" t="str">
        <x:v>Customer Refresh</x:v>
      </x:c>
      <x:c r="K3" s="14" t="str">
        <x:v>Event Refresh</x:v>
      </x:c>
      <x:c r="L3" s="14" t="str">
        <x:v>Weekly Settlement</x:v>
      </x:c>
      <x:c r="M3" s="14" t="str">
        <x:v>Client Trust Model</x:v>
      </x:c>
      <x:c r="N3" s="14" t="str">
        <x:v>MVP Principle</x:v>
      </x:c>
    </x:row>
    <x:row r="4">
      <x:c r="A4" s="24" t="str">
        <x:v>Server-authoritative financial game state with auditable ledgers, deterministic recalculation, config-driven Module effects and low-latency iframe play</x:v>
      </x:c>
      <x:c r="B4" s="25" t="str">
        <x:v>Server</x:v>
      </x:c>
      <x:c r="C4" s="25" t="str">
        <x:v>Server/offchain</x:v>
      </x:c>
      <x:c r="D4" s="25" t="str">
        <x:v>Ownership + durable claims</x:v>
      </x:c>
      <x:c r="E4" s="25" t="str">
        <x:v>Relational + append-only ledgers</x:v>
      </x:c>
      <x:c r="F4" s="25" t="str">
        <x:v>Redis-style cache</x:v>
      </x:c>
      <x:c r="G4" s="25" t="str">
        <x:v>Durable queue / stream</x:v>
      </x:c>
      <x:c r="H4" s="25" t="str">
        <x:v>WebSocket/SSE optional</x:v>
      </x:c>
      <x:c r="I4" s="25" t="str">
        <x:v>5 min</x:v>
      </x:c>
      <x:c r="J4" s="25" t="str">
        <x:v>15 min</x:v>
      </x:c>
      <x:c r="K4" s="25" t="str">
        <x:v>60 min</x:v>
      </x:c>
      <x:c r="L4" s="25" t="str">
        <x:v>7-day frozen epoch</x:v>
      </x:c>
      <x:c r="M4" s="25" t="str">
        <x:v>Client submits intent, never outcomes</x:v>
      </x:c>
      <x:c r="N4" s="26" t="str">
        <x:v>Keep gameplay state offchain; put durable ownership/claims onchain</x:v>
      </x:c>
    </x:row>
    <x:row r="6" ht="22" customHeight="1">
      <x:c r="A6" s="31" t="str">
        <x:v>System Boundaries</x:v>
      </x:c>
      <x:c r="B6" s="31"/>
      <x:c r="C6" s="31"/>
      <x:c r="D6" s="31"/>
      <x:c r="E6" s="31"/>
      <x:c r="F6" s="31"/>
      <x:c r="G6" s="31"/>
      <x:c r="H6" s="31"/>
      <x:c r="I6" s="31"/>
      <x:c r="J6" s="31"/>
      <x:c r="K6" s="31"/>
      <x:c r="L6" s="31"/>
      <x:c r="M6" s="31"/>
      <x:c r="N6" s="31"/>
    </x:row>
    <x:row r="7">
      <x:c r="A7" s="14" t="str">
        <x:v>Domain</x:v>
      </x:c>
      <x:c r="B7" s="14" t="str">
        <x:v>Source of Truth</x:v>
      </x:c>
      <x:c r="C7" s="14" t="str">
        <x:v>Write Pattern</x:v>
      </x:c>
      <x:c r="D7" s="14" t="str">
        <x:v>Read Pattern</x:v>
      </x:c>
      <x:c r="E7" s="14" t="str">
        <x:v>Settlement Sensitivity</x:v>
      </x:c>
      <x:c r="F7" s="14" t="str">
        <x:v>Chain Dependency</x:v>
      </x:c>
      <x:c r="G7" s="14" t="str">
        <x:v>MVP?</x:v>
      </x:c>
      <x:c r="H7" s="14" t="str">
        <x:v>Notes</x:v>
      </x:c>
    </x:row>
    <x:row r="8">
      <x:c r="A8" s="34" t="str">
        <x:v>Identity/Auth</x:v>
      </x:c>
      <x:c r="B8" s="35" t="str">
        <x:v>Family account + wallet mapping</x:v>
      </x:c>
      <x:c r="C8" s="35" t="str">
        <x:v>Session/login</x:v>
      </x:c>
      <x:c r="D8" s="35" t="str">
        <x:v>Every request</x:v>
      </x:c>
      <x:c r="E8" s="35" t="str">
        <x:v>High</x:v>
      </x:c>
      <x:c r="F8" s="35" t="str">
        <x:v>Wallet verification only</x:v>
      </x:c>
      <x:c r="G8" s="35" t="str">
        <x:v>Yes</x:v>
      </x:c>
      <x:c r="H8" s="36" t="str">
        <x:v>Family SDK bridge provides user context</x:v>
      </x:c>
    </x:row>
    <x:row r="9">
      <x:c r="A9" s="37" t="str">
        <x:v>Player Progression</x:v>
      </x:c>
      <x:c r="B9" s="22" t="str">
        <x:v>Game server</x:v>
      </x:c>
      <x:c r="C9" s="22" t="str">
        <x:v>Action/milestone</x:v>
      </x:c>
      <x:c r="D9" s="22" t="str">
        <x:v>Frequent</x:v>
      </x:c>
      <x:c r="E9" s="22" t="str">
        <x:v>High</x:v>
      </x:c>
      <x:c r="F9" s="22" t="str">
        <x:v>None</x:v>
      </x:c>
      <x:c r="G9" s="22" t="str">
        <x:v>Yes</x:v>
      </x:c>
      <x:c r="H9" s="38" t="str">
        <x:v>Level, XP, Reputation, league</x:v>
      </x:c>
    </x:row>
    <x:row r="10">
      <x:c r="A10" s="37" t="str">
        <x:v>Plot Ownership</x:v>
      </x:c>
      <x:c r="B10" s="22" t="str">
        <x:v>Chain/provider mirror</x:v>
      </x:c>
      <x:c r="C10" s="22" t="str">
        <x:v>Mint/transfer/activation sync</x:v>
      </x:c>
      <x:c r="D10" s="22" t="str">
        <x:v>Frequent reads via mirror</x:v>
      </x:c>
      <x:c r="E10" s="22" t="str">
        <x:v>Critical</x:v>
      </x:c>
      <x:c r="F10" s="22" t="str">
        <x:v>Yes</x:v>
      </x:c>
      <x:c r="G10" s="22" t="str">
        <x:v>Yes</x:v>
      </x:c>
      <x:c r="H10" s="38" t="str">
        <x:v>Never trust client ownership claim</x:v>
      </x:c>
    </x:row>
    <x:row r="11">
      <x:c r="A11" s="37" t="str">
        <x:v>Layout/Buildings</x:v>
      </x:c>
      <x:c r="B11" s="22" t="str">
        <x:v>Game server</x:v>
      </x:c>
      <x:c r="C11" s="22" t="str">
        <x:v>Place/move/upgrade</x:v>
      </x:c>
      <x:c r="D11" s="22" t="str">
        <x:v>Frequent</x:v>
      </x:c>
      <x:c r="E11" s="22" t="str">
        <x:v>High</x:v>
      </x:c>
      <x:c r="F11" s="22" t="str">
        <x:v>Optional asset ownership later</x:v>
      </x:c>
      <x:c r="G11" s="22" t="str">
        <x:v>Yes</x:v>
      </x:c>
      <x:c r="H11" s="38" t="str">
        <x:v>Versioned layout</x:v>
      </x:c>
    </x:row>
    <x:row r="12">
      <x:c r="A12" s="37" t="str">
        <x:v>Customers/Economy</x:v>
      </x:c>
      <x:c r="B12" s="22" t="str">
        <x:v>Game server</x:v>
      </x:c>
      <x:c r="C12" s="22" t="str">
        <x:v>Ticks + actions</x:v>
      </x:c>
      <x:c r="D12" s="22" t="str">
        <x:v>Very frequent</x:v>
      </x:c>
      <x:c r="E12" s="22" t="str">
        <x:v>Critical</x:v>
      </x:c>
      <x:c r="F12" s="22" t="str">
        <x:v>None</x:v>
      </x:c>
      <x:c r="G12" s="22" t="str">
        <x:v>Yes</x:v>
      </x:c>
      <x:c r="H12" s="38" t="str">
        <x:v>High-frequency simulation</x:v>
      </x:c>
    </x:row>
    <x:row r="13">
      <x:c r="A13" s="37" t="str">
        <x:v>Events/Hunts</x:v>
      </x:c>
      <x:c r="B13" s="22" t="str">
        <x:v>Game server</x:v>
      </x:c>
      <x:c r="C13" s="22" t="str">
        <x:v>Scheduler + player actions</x:v>
      </x:c>
      <x:c r="D13" s="22" t="str">
        <x:v>Frequent</x:v>
      </x:c>
      <x:c r="E13" s="22" t="str">
        <x:v>High</x:v>
      </x:c>
      <x:c r="F13" s="22" t="str">
        <x:v>Stock claim later</x:v>
      </x:c>
      <x:c r="G13" s="22" t="str">
        <x:v>Yes</x:v>
      </x:c>
      <x:c r="H13" s="38" t="str">
        <x:v>Server-generated assignments</x:v>
      </x:c>
    </x:row>
    <x:row r="14">
      <x:c r="A14" s="37" t="str">
        <x:v>Performance/Rewards</x:v>
      </x:c>
      <x:c r="B14" s="22" t="str">
        <x:v>Game server + claim layer</x:v>
      </x:c>
      <x:c r="C14" s="22" t="str">
        <x:v>Continuous aggregation + weekly finalize</x:v>
      </x:c>
      <x:c r="D14" s="22" t="str">
        <x:v>Dashboard frequent</x:v>
      </x:c>
      <x:c r="E14" s="22" t="str">
        <x:v>Critical</x:v>
      </x:c>
      <x:c r="F14" s="22" t="str">
        <x:v>$PLOT claim onchain</x:v>
      </x:c>
      <x:c r="G14" s="22" t="str">
        <x:v>Yes</x:v>
      </x:c>
      <x:c r="H14" s="38" t="str">
        <x:v>Frozen settlement snapshot</x:v>
      </x:c>
    </x:row>
    <x:row r="15">
      <x:c r="A15" s="39" t="str">
        <x:v>Leagues/Seasons</x:v>
      </x:c>
      <x:c r="B15" s="40" t="str">
        <x:v>Game server</x:v>
      </x:c>
      <x:c r="C15" s="40" t="str">
        <x:v>Weekly/seasonal jobs</x:v>
      </x:c>
      <x:c r="D15" s="40" t="str">
        <x:v>Frequent reads</x:v>
      </x:c>
      <x:c r="E15" s="40" t="str">
        <x:v>Critical</x:v>
      </x:c>
      <x:c r="F15" s="40" t="str">
        <x:v>None</x:v>
      </x:c>
      <x:c r="G15" s="40" t="str">
        <x:v>Yes</x:v>
      </x:c>
      <x:c r="H15" s="41" t="str">
        <x:v>Derived from finalized score</x:v>
      </x:c>
    </x:row>
    <x:row r="16">
      <x:c r="A16" s="89" t="str">
        <x:v>Modules/Mastery/Crafting</x:v>
      </x:c>
      <x:c r="B16" s="90" t="str">
        <x:v>Game server</x:v>
      </x:c>
      <x:c r="C16" s="90" t="str">
        <x:v>Inventory/loadout/reward/craft transactions</x:v>
      </x:c>
      <x:c r="D16" s="90" t="str">
        <x:v>Frequent reads + tick-time effect resolution</x:v>
      </x:c>
      <x:c r="E16" s="90" t="str">
        <x:v>High</x:v>
      </x:c>
      <x:c r="F16" s="90" t="str">
        <x:v>None</x:v>
      </x:c>
      <x:c r="G16" s="90" t="str">
        <x:v>Yes</x:v>
      </x:c>
      <x:c r="H16" s="91" t="str">
        <x:v>Modules specialize buildings; no direct score/$PLOT input</x:v>
      </x:c>
    </x:row>
    <x:row r="17" ht="22" customHeight="1">
      <x:c r="A17" s="31" t="str">
        <x:v>Non-Negotiable Technical Rules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</x:row>
    <x:row r="18">
      <x:c r="A18" s="14" t="str">
        <x:v>Rule</x:v>
      </x:c>
      <x:c r="B18" s="14" t="str">
        <x:v>Specification</x:v>
      </x:c>
    </x:row>
    <x:row r="19">
      <x:c r="A19" s="34" t="str">
        <x:v>Server authoritative</x:v>
      </x:c>
      <x:c r="B19" s="36" t="str">
        <x:v>Client may request actions but never supplies Cash earned, customers gained, score, Hunt completion, rewards or risk outcomes.</x:v>
      </x:c>
    </x:row>
    <x:row r="20">
      <x:c r="A20" s="37" t="str">
        <x:v>Ledger before balance</x:v>
      </x:c>
      <x:c r="B20" s="38" t="str">
        <x:v>Economically relevant mutations write an idempotent ledger/event record before or atomically with balance/state changes.</x:v>
      </x:c>
    </x:row>
    <x:row r="21">
      <x:c r="A21" s="37" t="str">
        <x:v>Version every mutable aggregate</x:v>
      </x:c>
      <x:c r="B21" s="38" t="str">
        <x:v>Player, Plot layout, business, economy snapshot, settlement and event state have monotonic versions.</x:v>
      </x:c>
    </x:row>
    <x:row r="22">
      <x:c r="A22" s="37" t="str">
        <x:v>Rebuildable rewards</x:v>
      </x:c>
      <x:c r="B22" s="38" t="str">
        <x:v>Weekly Performance Score and payouts must be reproducible from frozen source snapshots/ledgers.</x:v>
      </x:c>
    </x:row>
    <x:row r="23">
      <x:c r="A23" s="37" t="str">
        <x:v>No per-move chain transaction</x:v>
      </x:c>
      <x:c r="B23" s="38" t="str">
        <x:v>Building placement, customer ticks, Cash, risk and events remain offchain.</x:v>
      </x:c>
    </x:row>
    <x:row r="24">
      <x:c r="A24" s="37" t="str">
        <x:v>Ownership reconciliation</x:v>
      </x:c>
      <x:c r="B24" s="38" t="str">
        <x:v>Onchain Plot owner is periodically reconciled against the gameplay mirror and mutations pause on mismatch.</x:v>
      </x:c>
    </x:row>
    <x:row r="25">
      <x:c r="A25" s="39" t="str">
        <x:v>UTC canonical time</x:v>
      </x:c>
      <x:c r="B25" s="41" t="str">
        <x:v>Epochs, events, cooldowns and claims use UTC server time.</x:v>
      </x:c>
    </x:row>
    <x:row r="26">
      <x:c r="A26" s="89" t="str">
        <x:v>Module effect authority</x:v>
      </x:c>
      <x:c r="B26" s="91" t="str">
        <x:v>Client may select/equip/craft Modules, but never submits final modifier values. Server resolves config, conditions, stacking, caps and effective_at before customer/economy/risk calculations.</x:v>
      </x:c>
    </x:row>
    <x:row r="27" ht="22" customHeight="1">
      <x:c r="A27" s="31" t="str">
        <x:v>Illustrative Peak Backend Workload</x:v>
      </x:c>
      <x:c r="B27" s="31"/>
      <x:c r="C27" s="31"/>
      <x:c r="D27" s="31"/>
      <x:c r="E27" s="31"/>
      <x:c r="F27" s="31"/>
      <x:c r="G27" s="31"/>
      <x:c r="H27" s="31"/>
      <x:c r="I27" s="31"/>
      <x:c r="J27" s="31"/>
      <x:c r="K27" s="31"/>
      <x:c r="L27" s="31"/>
      <x:c r="M27" s="31"/>
      <x:c r="N27" s="31"/>
    </x:row>
    <x:row r="28">
      <x:c r="A28" s="14" t="str">
        <x:v>Workload</x:v>
      </x:c>
      <x:c r="B28" s="14" t="str">
        <x:v>Avg Events/sec</x:v>
      </x:c>
      <x:c r="C28" s="14" t="str">
        <x:v>Peak Events/sec</x:v>
      </x:c>
      <x:c r="D28" s="14" t="str">
        <x:v>Approx DB Writes/sec</x:v>
      </x:c>
    </x:row>
    <x:row r="29">
      <x:c r="A29" s="34" t="str">
        <x:f>'28_Capacity_Targets'!A4</x:f>
        <x:v>Economy ticks</x:v>
      </x:c>
      <x:c r="B29" s="70" t="n">
        <x:f>'28_Capacity_Targets'!G4</x:f>
        <x:v>83.33333333333333</x:v>
      </x:c>
      <x:c r="C29" s="70" t="n">
        <x:f>'28_Capacity_Targets'!I4</x:f>
        <x:v>250</x:v>
      </x:c>
      <x:c r="D29" s="78" t="n">
        <x:f>'28_Capacity_Targets'!K4</x:f>
        <x:v>750</x:v>
      </x:c>
    </x:row>
    <x:row r="30">
      <x:c r="A30" s="37" t="str">
        <x:f>'28_Capacity_Targets'!A5</x:f>
        <x:v>Customer refresh</x:v>
      </x:c>
      <x:c r="B30" s="71" t="n">
        <x:f>'28_Capacity_Targets'!G5</x:f>
        <x:v>27.77777777777778</x:v>
      </x:c>
      <x:c r="C30" s="71" t="n">
        <x:f>'28_Capacity_Targets'!I5</x:f>
        <x:v>83.33333333333334</x:v>
      </x:c>
      <x:c r="D30" s="79" t="n">
        <x:f>'28_Capacity_Targets'!K5</x:f>
        <x:v>166.66666666666669</x:v>
      </x:c>
    </x:row>
    <x:row r="31">
      <x:c r="A31" s="37" t="str">
        <x:f>'28_Capacity_Targets'!A6</x:f>
        <x:v>Risk evaluation</x:v>
      </x:c>
      <x:c r="B31" s="71" t="n">
        <x:f>'28_Capacity_Targets'!G6</x:f>
        <x:v>27.77777777777778</x:v>
      </x:c>
      <x:c r="C31" s="71" t="n">
        <x:f>'28_Capacity_Targets'!I6</x:f>
        <x:v>111.11111111111111</x:v>
      </x:c>
      <x:c r="D31" s="79" t="n">
        <x:f>'28_Capacity_Targets'!K6</x:f>
        <x:v>111.11111111111111</x:v>
      </x:c>
    </x:row>
    <x:row r="32">
      <x:c r="A32" s="37" t="str">
        <x:f>'28_Capacity_Targets'!A7</x:f>
        <x:v>Daily Hunt spawn</x:v>
      </x:c>
      <x:c r="B32" s="71" t="n">
        <x:f>'28_Capacity_Targets'!G7</x:f>
        <x:v>0.28935185185185186</x:v>
      </x:c>
      <x:c r="C32" s="71" t="n">
        <x:f>'28_Capacity_Targets'!I7</x:f>
        <x:v>1.4467592592592593</x:v>
      </x:c>
      <x:c r="D32" s="79" t="n">
        <x:f>'28_Capacity_Targets'!K7</x:f>
        <x:v>2.8935185185185186</x:v>
      </x:c>
    </x:row>
    <x:row r="33">
      <x:c r="A33" s="37" t="str">
        <x:f>'28_Capacity_Targets'!A8</x:f>
        <x:v>API reads</x:v>
      </x:c>
      <x:c r="B33" s="71" t="n">
        <x:f>'28_Capacity_Targets'!G8</x:f>
        <x:v>150</x:v>
      </x:c>
      <x:c r="C33" s="71" t="n">
        <x:f>'28_Capacity_Targets'!I8</x:f>
        <x:v>300</x:v>
      </x:c>
      <x:c r="D33" s="79" t="n">
        <x:f>'28_Capacity_Targets'!K8</x:f>
        <x:v>0</x:v>
      </x:c>
    </x:row>
    <x:row r="34">
      <x:c r="A34" s="37" t="str">
        <x:f>'28_Capacity_Targets'!A9</x:f>
        <x:v>Layout mutations</x:v>
      </x:c>
      <x:c r="B34" s="71" t="n">
        <x:f>'28_Capacity_Targets'!G9</x:f>
        <x:v>5</x:v>
      </x:c>
      <x:c r="C34" s="71" t="n">
        <x:f>'28_Capacity_Targets'!I9</x:f>
        <x:v>15</x:v>
      </x:c>
      <x:c r="D34" s="79" t="n">
        <x:f>'28_Capacity_Targets'!K9</x:f>
        <x:v>45</x:v>
      </x:c>
    </x:row>
    <x:row r="35">
      <x:c r="A35" s="39" t="str">
        <x:f>'28_Capacity_Targets'!A10</x:f>
        <x:v>Weekly settlement players</x:v>
      </x:c>
      <x:c r="B35" s="72" t="n">
        <x:f>'28_Capacity_Targets'!G10</x:f>
        <x:v>0.46296296296296297</x:v>
      </x:c>
      <x:c r="C35" s="72" t="n">
        <x:f>'28_Capacity_Targets'!I10</x:f>
        <x:v>0.9259259259259259</x:v>
      </x:c>
      <x:c r="D35" s="80" t="n">
        <x:f>'28_Capacity_Targets'!K10</x:f>
        <x:v>7.407407407407407</x:v>
      </x:c>
    </x:row>
    <x:row r="37" ht="22" customHeight="1">
      <x:c r="A37" s="102" t="str">
        <x:v>v0.2 Module Integration Summary</x:v>
      </x:c>
      <x:c r="B37" s="102"/>
      <x:c r="C37" s="102"/>
      <x:c r="D37" s="102"/>
      <x:c r="E37" s="102"/>
      <x:c r="F37" s="102"/>
      <x:c r="G37" s="102"/>
      <x:c r="H37" s="102"/>
      <x:c r="I37" s="102"/>
      <x:c r="J37" s="102"/>
      <x:c r="K37" s="102"/>
      <x:c r="L37" s="102"/>
      <x:c r="M37" s="102"/>
      <x:c r="N37" s="102"/>
    </x:row>
    <x:row r="38">
      <x:c r="A38" s="105" t="str">
        <x:v>Added</x:v>
      </x:c>
      <x:c r="B38" s="105" t="str">
        <x:v>Backend treatment</x:v>
      </x:c>
    </x:row>
    <x:row r="39">
      <x:c r="A39" s="92" t="str">
        <x:v>Module Domain</x:v>
      </x:c>
      <x:c r="B39" s="94" t="str">
        <x:v>First-class logical domain in the MVP modular monolith.</x:v>
      </x:c>
    </x:row>
    <x:row r="40">
      <x:c r="A40" s="95" t="str">
        <x:v>Persistence</x:v>
      </x:c>
      <x:c r="B40" s="97" t="str">
        <x:v>Inventory, building loadouts, mastery, Parts, crafting, reward ledger and optional effect traces.</x:v>
      </x:c>
    </x:row>
    <x:row r="41">
      <x:c r="A41" s="95" t="str">
        <x:v>Runtime</x:v>
      </x:c>
      <x:c r="B41" s="97" t="str">
        <x:v>Config-driven Module effects resolved server-side between placement/synergy and Events.</x:v>
      </x:c>
    </x:row>
    <x:row r="42">
      <x:c r="A42" s="95" t="str">
        <x:v>Transactions</x:v>
      </x:c>
      <x:c r="B42" s="97" t="str">
        <x:v>Atomic equip/unequip/mastery/dismantle/craft/reward flows with idempotency and version checks.</x:v>
      </x:c>
    </x:row>
    <x:row r="43">
      <x:c r="A43" s="95" t="str">
        <x:v>Competition</x:v>
      </x:c>
      <x:c r="B43" s="97" t="str">
        <x:v>No direct Module rarity/count/equip/PLOT multiplier; only legitimate underlying metrics flow to score.</x:v>
      </x:c>
    </x:row>
    <x:row r="44">
      <x:c r="A44" s="95" t="str">
        <x:v>Offline</x:v>
      </x:c>
      <x:c r="B44" s="97" t="str">
        <x:v>Equipped Modules affect underlying offline simulation; they cannot extend offline duration or offline score credit.</x:v>
      </x:c>
    </x:row>
    <x:row r="45">
      <x:c r="A45" s="98" t="str">
        <x:v>Delivery</x:v>
      </x:c>
      <x:c r="B45" s="100" t="str">
        <x:v>Core inventory/equipment/effect runtime moved into P0; acquisition/mastery follows P0.5; crafting/high tiers follow P1+.</x:v>
      </x:c>
    </x:row>
  </x:sheetData>
  <x:mergeCells>
    <x:mergeCell ref="A1:N1"/>
    <x:mergeCell ref="A6:N6"/>
    <x:mergeCell ref="A17:N17"/>
    <x:mergeCell ref="A27:N27"/>
    <x:mergeCell ref="A37:N37"/>
  </x:mergeCells>
  <x:pageMargins left="0.7" right="0.7" top="0.75" bottom="0.75" header="0.3" footer="0.3"/>
  <x:drawing xmlns:r="http://schemas.openxmlformats.org/officeDocument/2006/relationships" r:id="R68d9ab19e3834d5a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86" t="str">
        <x:v>Technical Sizing, Timing &amp; Reliability Assumptions</x:v>
      </x:c>
      <x:c r="B1" s="86"/>
      <x:c r="C1" s="86"/>
      <x:c r="D1" s="86"/>
      <x:c r="E1" s="86"/>
      <x:c r="F1" s="86"/>
      <x:c r="G1" s="86"/>
      <x:c r="H1" s="22"/>
      <x:c r="I1" s="22"/>
      <x:c r="J1" s="22"/>
      <x:c r="K1" s="22"/>
      <x:c r="L1" s="22"/>
      <x:c r="M1" s="22"/>
      <x:c r="N1" s="22"/>
      <x:c r="O1" s="22"/>
      <x:c r="P1" s="22"/>
    </x:row>
    <x:row r="3">
      <x:c r="A3" s="14" t="str">
        <x:v>Parameter</x:v>
      </x:c>
      <x:c r="B3" s="14" t="str">
        <x:v>Value</x:v>
      </x:c>
      <x:c r="C3" s="14" t="str">
        <x:v>Unit</x:v>
      </x:c>
      <x:c r="D3" s="14" t="str">
        <x:v>Editable?</x:v>
      </x:c>
      <x:c r="E3" s="14" t="str">
        <x:v>Purpose</x:v>
      </x:c>
      <x:c r="F3" s="14" t="str">
        <x:v>Recommended Range</x:v>
      </x:c>
      <x:c r="G3" s="14" t="str">
        <x:v>Notes</x:v>
      </x:c>
    </x:row>
    <x:row r="4">
      <x:c r="A4" s="34" t="str">
        <x:v>Illustrative Registered Players</x:v>
      </x:c>
      <x:c r="B4" s="50" t="n">
        <x:v>100000</x:v>
      </x:c>
      <x:c r="C4" s="35" t="str">
        <x:v>players</x:v>
      </x:c>
      <x:c r="D4" s="35" t="str">
        <x:v>Yes</x:v>
      </x:c>
      <x:c r="E4" s="35" t="str">
        <x:v>Sizing model</x:v>
      </x:c>
      <x:c r="F4" s="35" t="str">
        <x:v>10k–1m</x:v>
      </x:c>
      <x:c r="G4" s="36" t="str">
        <x:v>Not a forecast</x:v>
      </x:c>
    </x:row>
    <x:row r="5">
      <x:c r="A5" s="37" t="str">
        <x:v>Illustrative DAU</x:v>
      </x:c>
      <x:c r="B5" s="51" t="n">
        <x:v>25000</x:v>
      </x:c>
      <x:c r="C5" s="22" t="str">
        <x:v>players/day</x:v>
      </x:c>
      <x:c r="D5" s="22" t="str">
        <x:v>Yes</x:v>
      </x:c>
      <x:c r="E5" s="22" t="str">
        <x:v>Sizing model</x:v>
      </x:c>
      <x:c r="F5" s="22" t="str">
        <x:v>2k–250k</x:v>
      </x:c>
      <x:c r="G5" s="38" t="str"/>
    </x:row>
    <x:row r="6">
      <x:c r="A6" s="37" t="str">
        <x:v>Peak Concurrent Players</x:v>
      </x:c>
      <x:c r="B6" s="51" t="n">
        <x:v>3000</x:v>
      </x:c>
      <x:c r="C6" s="22" t="str">
        <x:v>players</x:v>
      </x:c>
      <x:c r="D6" s="22" t="str">
        <x:v>Yes</x:v>
      </x:c>
      <x:c r="E6" s="22" t="str">
        <x:v>Realtime/API sizing</x:v>
      </x:c>
      <x:c r="F6" s="22" t="str">
        <x:v>500–50k</x:v>
      </x:c>
      <x:c r="G6" s="38" t="str"/>
    </x:row>
    <x:row r="7">
      <x:c r="A7" s="37" t="str">
        <x:v>Average Active Businesses / DAU</x:v>
      </x:c>
      <x:c r="B7" s="51" t="n">
        <x:v>12</x:v>
      </x:c>
      <x:c r="C7" s="22" t="str">
        <x:v>businesses</x:v>
      </x:c>
      <x:c r="D7" s="22" t="str">
        <x:v>Yes</x:v>
      </x:c>
      <x:c r="E7" s="22" t="str">
        <x:v>Economy simulation</x:v>
      </x:c>
      <x:c r="F7" s="22" t="str">
        <x:v>5–30</x:v>
      </x:c>
      <x:c r="G7" s="38" t="str"/>
    </x:row>
    <x:row r="8">
      <x:c r="A8" s="37" t="str">
        <x:v>Economy Tick</x:v>
      </x:c>
      <x:c r="B8" s="51" t="n">
        <x:v>5</x:v>
      </x:c>
      <x:c r="C8" s="22" t="str">
        <x:v>minutes</x:v>
      </x:c>
      <x:c r="D8" s="22" t="str">
        <x:v>Yes</x:v>
      </x:c>
      <x:c r="E8" s="22" t="str">
        <x:v>Revenue/activity aggregation</x:v>
      </x:c>
      <x:c r="F8" s="22" t="str">
        <x:v>1–15</x:v>
      </x:c>
      <x:c r="G8" s="38" t="str"/>
    </x:row>
    <x:row r="9">
      <x:c r="A9" s="37" t="str">
        <x:v>Customer Refresh</x:v>
      </x:c>
      <x:c r="B9" s="51" t="n">
        <x:v>15</x:v>
      </x:c>
      <x:c r="C9" s="22" t="str">
        <x:v>minutes</x:v>
      </x:c>
      <x:c r="D9" s="22" t="str">
        <x:v>Yes</x:v>
      </x:c>
      <x:c r="E9" s="22" t="str">
        <x:v>Acquisition/churn update</x:v>
      </x:c>
      <x:c r="F9" s="22" t="str">
        <x:v>5–30</x:v>
      </x:c>
      <x:c r="G9" s="38" t="str"/>
    </x:row>
    <x:row r="10">
      <x:c r="A10" s="37" t="str">
        <x:v>Event Refresh</x:v>
      </x:c>
      <x:c r="B10" s="51" t="n">
        <x:v>60</x:v>
      </x:c>
      <x:c r="C10" s="22" t="str">
        <x:v>minutes</x:v>
      </x:c>
      <x:c r="D10" s="22" t="str">
        <x:v>Yes</x:v>
      </x:c>
      <x:c r="E10" s="22" t="str">
        <x:v>Global/personal event scheduling</x:v>
      </x:c>
      <x:c r="F10" s="22" t="str">
        <x:v>30–120</x:v>
      </x:c>
      <x:c r="G10" s="38" t="str"/>
    </x:row>
    <x:row r="11">
      <x:c r="A11" s="37" t="str">
        <x:v>Max Offline Accrual</x:v>
      </x:c>
      <x:c r="B11" s="51" t="n">
        <x:v>12</x:v>
      </x:c>
      <x:c r="C11" s="22" t="str">
        <x:v>hours</x:v>
      </x:c>
      <x:c r="D11" s="22" t="str">
        <x:v>Yes</x:v>
      </x:c>
      <x:c r="E11" s="22" t="str">
        <x:v>Offline catch-up</x:v>
      </x:c>
      <x:c r="F11" s="22" t="str">
        <x:v>4–12</x:v>
      </x:c>
      <x:c r="G11" s="38" t="str">
        <x:v>Superseded by Idle / Offline Economy v1.0; recurring economy caps at 12h</x:v>
      </x:c>
    </x:row>
    <x:row r="12">
      <x:c r="A12" s="37" t="str">
        <x:v>Layout Save p95 Target</x:v>
      </x:c>
      <x:c r="B12" s="56" t="n">
        <x:v>300</x:v>
      </x:c>
      <x:c r="C12" s="22" t="str">
        <x:v>ms</x:v>
      </x:c>
      <x:c r="D12" s="22" t="str">
        <x:v>Yes</x:v>
      </x:c>
      <x:c r="E12" s="22" t="str">
        <x:v>Interactive Build Mode</x:v>
      </x:c>
      <x:c r="F12" s="22" t="str">
        <x:v>&lt;500</x:v>
      </x:c>
      <x:c r="G12" s="38"/>
    </x:row>
    <x:row r="13">
      <x:c r="A13" s="37" t="str">
        <x:v>Read API p95 Target</x:v>
      </x:c>
      <x:c r="B13" s="56" t="n">
        <x:v>200</x:v>
      </x:c>
      <x:c r="C13" s="22" t="str">
        <x:v>ms</x:v>
      </x:c>
      <x:c r="D13" s="22" t="str">
        <x:v>Yes</x:v>
      </x:c>
      <x:c r="E13" s="22" t="str">
        <x:v>UI reads</x:v>
      </x:c>
      <x:c r="F13" s="22" t="str">
        <x:v>&lt;300</x:v>
      </x:c>
      <x:c r="G13" s="38" t="str"/>
    </x:row>
    <x:row r="14">
      <x:c r="A14" s="37" t="str">
        <x:v>Mutation API p95 Target</x:v>
      </x:c>
      <x:c r="B14" s="56" t="n">
        <x:v>500</x:v>
      </x:c>
      <x:c r="C14" s="22" t="str">
        <x:v>ms</x:v>
      </x:c>
      <x:c r="D14" s="22" t="str">
        <x:v>Yes</x:v>
      </x:c>
      <x:c r="E14" s="22" t="str">
        <x:v>Place/upgrade/claim intent</x:v>
      </x:c>
      <x:c r="F14" s="22" t="str">
        <x:v>&lt;800</x:v>
      </x:c>
      <x:c r="G14" s="38" t="str">
        <x:v>Excludes chain settlement</x:v>
      </x:c>
    </x:row>
    <x:row r="15">
      <x:c r="A15" s="37" t="str">
        <x:v>Realtime Update Target</x:v>
      </x:c>
      <x:c r="B15" s="51" t="n">
        <x:v>2</x:v>
      </x:c>
      <x:c r="C15" s="22" t="str">
        <x:v>seconds</x:v>
      </x:c>
      <x:c r="D15" s="22" t="str">
        <x:v>Yes</x:v>
      </x:c>
      <x:c r="E15" s="22" t="str">
        <x:v>HUD/event updates</x:v>
      </x:c>
      <x:c r="F15" s="22" t="str">
        <x:v>1–5</x:v>
      </x:c>
      <x:c r="G15" s="38" t="str"/>
    </x:row>
    <x:row r="16">
      <x:c r="A16" s="37" t="str">
        <x:v>Service Availability Target</x:v>
      </x:c>
      <x:c r="B16" s="58" t="n">
        <x:v>0.999</x:v>
      </x:c>
      <x:c r="C16" s="22" t="str">
        <x:v>availability</x:v>
      </x:c>
      <x:c r="D16" s="22" t="str">
        <x:v>Yes</x:v>
      </x:c>
      <x:c r="E16" s="22" t="str">
        <x:v>MVP reliability target</x:v>
      </x:c>
      <x:c r="F16" s="22" t="str">
        <x:v>99.5%–99.95%</x:v>
      </x:c>
      <x:c r="G16" s="38" t="str"/>
    </x:row>
    <x:row r="17">
      <x:c r="A17" s="37" t="str">
        <x:v>RPO Target</x:v>
      </x:c>
      <x:c r="B17" s="51" t="n">
        <x:v>5</x:v>
      </x:c>
      <x:c r="C17" s="22" t="str">
        <x:v>minutes</x:v>
      </x:c>
      <x:c r="D17" s="22" t="str">
        <x:v>Yes</x:v>
      </x:c>
      <x:c r="E17" s="22" t="str">
        <x:v>Maximum data loss target</x:v>
      </x:c>
      <x:c r="F17" s="22" t="str">
        <x:v>0–15</x:v>
      </x:c>
      <x:c r="G17" s="38" t="str">
        <x:v>Ledgers ideally near-zero</x:v>
      </x:c>
    </x:row>
    <x:row r="18">
      <x:c r="A18" s="37" t="str">
        <x:v>RTO Target</x:v>
      </x:c>
      <x:c r="B18" s="51" t="n">
        <x:v>30</x:v>
      </x:c>
      <x:c r="C18" s="22" t="str">
        <x:v>minutes</x:v>
      </x:c>
      <x:c r="D18" s="22" t="str">
        <x:v>Yes</x:v>
      </x:c>
      <x:c r="E18" s="22" t="str">
        <x:v>Recovery target</x:v>
      </x:c>
      <x:c r="F18" s="22" t="str">
        <x:v>15–60</x:v>
      </x:c>
      <x:c r="G18" s="38" t="str"/>
    </x:row>
    <x:row r="19">
      <x:c r="A19" s="37" t="str">
        <x:v>Weekly Settlement Window</x:v>
      </x:c>
      <x:c r="B19" s="51" t="n">
        <x:v>6</x:v>
      </x:c>
      <x:c r="C19" s="22" t="str">
        <x:v>hours</x:v>
      </x:c>
      <x:c r="D19" s="22" t="str">
        <x:v>Yes</x:v>
      </x:c>
      <x:c r="E19" s="22" t="str">
        <x:v>Snapshot→finalize maximum</x:v>
      </x:c>
      <x:c r="F19" s="22" t="str">
        <x:v>2–8</x:v>
      </x:c>
      <x:c r="G19" s="38" t="str"/>
    </x:row>
    <x:row r="20">
      <x:c r="A20" s="37" t="str">
        <x:v>Idempotency Retention</x:v>
      </x:c>
      <x:c r="B20" s="51" t="n">
        <x:v>30</x:v>
      </x:c>
      <x:c r="C20" s="22" t="str">
        <x:v>days</x:v>
      </x:c>
      <x:c r="D20" s="22" t="str">
        <x:v>Yes</x:v>
      </x:c>
      <x:c r="E20" s="22" t="str">
        <x:v>Duplicate-request safety</x:v>
      </x:c>
      <x:c r="F20" s="22" t="str">
        <x:v>7–90</x:v>
      </x:c>
      <x:c r="G20" s="38" t="str"/>
    </x:row>
    <x:row r="21">
      <x:c r="A21" s="39" t="str">
        <x:v>Audit Ledger Retention</x:v>
      </x:c>
      <x:c r="B21" s="52" t="n">
        <x:v>730</x:v>
      </x:c>
      <x:c r="C21" s="40" t="str">
        <x:v>days</x:v>
      </x:c>
      <x:c r="D21" s="40" t="str">
        <x:v>Yes</x:v>
      </x:c>
      <x:c r="E21" s="40" t="str">
        <x:v>Economy/integrity history</x:v>
      </x:c>
      <x:c r="F21" s="40" t="str">
        <x:v>365+</x:v>
      </x:c>
      <x:c r="G21" s="41" t="str">
        <x:v>Longer if compliance requires</x:v>
      </x:c>
    </x:row>
    <x:row r="22">
      <x:c r="A22" s="92" t="str">
        <x:v>Max Module Slots / Building</x:v>
      </x:c>
      <x:c r="B22" s="93" t="n">
        <x:v>4</x:v>
      </x:c>
      <x:c r="C22" s="93" t="str">
        <x:v>slots</x:v>
      </x:c>
      <x:c r="D22" s="93" t="str">
        <x:v>Yes</x:v>
      </x:c>
      <x:c r="E22" s="93" t="str">
        <x:v>Loadout/runtime sizing</x:v>
      </x:c>
      <x:c r="F22" s="93" t="str">
        <x:v>1–4</x:v>
      </x:c>
      <x:c r="G22" s="94" t="str">
        <x:v>Mythic max; most buildings 1–3</x:v>
      </x:c>
    </x:row>
    <x:row r="23">
      <x:c r="A23" s="95" t="str">
        <x:v>Max Legendary Modules / Building</x:v>
      </x:c>
      <x:c r="B23" s="96" t="n">
        <x:v>1</x:v>
      </x:c>
      <x:c r="C23" s="96" t="str">
        <x:v>module</x:v>
      </x:c>
      <x:c r="D23" s="96" t="str">
        <x:v>No</x:v>
      </x:c>
      <x:c r="E23" s="96" t="str">
        <x:v>Balance/runtime invariant</x:v>
      </x:c>
      <x:c r="F23" s="96" t="str">
        <x:v>1</x:v>
      </x:c>
      <x:c r="G23" s="97" t="str">
        <x:v>Server enforced</x:v>
      </x:c>
    </x:row>
    <x:row r="24">
      <x:c r="A24" s="95" t="str">
        <x:v>Module Effect Types v1.0</x:v>
      </x:c>
      <x:c r="B24" s="96" t="n">
        <x:v>8</x:v>
      </x:c>
      <x:c r="C24" s="96" t="str">
        <x:v>types</x:v>
      </x:c>
      <x:c r="D24" s="96" t="str">
        <x:v>Yes</x:v>
      </x:c>
      <x:c r="E24" s="96" t="str">
        <x:v>Resolver surface</x:v>
      </x:c>
      <x:c r="F24" s="96" t="str">
        <x:v>6–12</x:v>
      </x:c>
      <x:c r="G24" s="97" t="str">
        <x:v>Acquisition, retention, capacity, activity, opex, service, risk, event resilience</x:v>
      </x:c>
    </x:row>
    <x:row r="25">
      <x:c r="A25" s="95" t="str">
        <x:v>Module Inventory Hard Cap</x:v>
      </x:c>
      <x:c r="B25" s="96" t="str">
        <x:v>None</x:v>
      </x:c>
      <x:c r="C25" s="96" t="str">
        <x:v>items</x:v>
      </x:c>
      <x:c r="D25" s="96" t="str">
        <x:v>No</x:v>
      </x:c>
      <x:c r="E25" s="96" t="str">
        <x:v>Avoid inventory-pressure backend assumption</x:v>
      </x:c>
      <x:c r="F25" s="96" t="str">
        <x:v>N/A</x:v>
      </x:c>
      <x:c r="G25" s="97" t="str">
        <x:v>Quantities per Module ID; no per-copy serial IDs v1.0</x:v>
      </x:c>
    </x:row>
    <x:row r="26">
      <x:c r="A26" s="95" t="str">
        <x:v>Active Craft Slots</x:v>
      </x:c>
      <x:c r="B26" s="96" t="n">
        <x:v>2</x:v>
      </x:c>
      <x:c r="C26" s="96" t="str">
        <x:v>jobs/player</x:v>
      </x:c>
      <x:c r="D26" s="96" t="str">
        <x:v>Yes</x:v>
      </x:c>
      <x:c r="E26" s="96" t="str">
        <x:v>Craft worker sizing</x:v>
      </x:c>
      <x:c r="F26" s="96" t="str">
        <x:v>1–3</x:v>
      </x:c>
      <x:c r="G26" s="97" t="str">
        <x:v>3 additional queued</x:v>
      </x:c>
    </x:row>
    <x:row r="27">
      <x:c r="A27" s="98" t="str">
        <x:v>Module Config Evaluation</x:v>
      </x:c>
      <x:c r="B27" s="99" t="str">
        <x:v>In-process</x:v>
      </x:c>
      <x:c r="C27" s="99" t="str">
        <x:v>mode</x:v>
      </x:c>
      <x:c r="D27" s="99" t="str">
        <x:v>Yes</x:v>
      </x:c>
      <x:c r="E27" s="99" t="str">
        <x:v>Avoid network hop during ticks</x:v>
      </x:c>
      <x:c r="F27" s="99" t="str">
        <x:v>In-process preferred</x:v>
      </x:c>
      <x:c r="G27" s="100" t="str">
        <x:v>Logical internal API contract may still exist</x:v>
      </x:c>
    </x:row>
  </x:sheetData>
  <x:mergeCells>
    <x:mergeCell ref="A1:G1"/>
  </x:mergeCells>
  <x:conditionalFormatting sqref="B4:B21">
    <x:cfRule type="expression" dxfId="0" priority="1">
      <x:formula>B4&lt;&gt;""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Logical Service Architecture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</x:row>
    <x:row r="3">
      <x:c r="A3" s="14" t="str">
        <x:v>Service / Domain</x:v>
      </x:c>
      <x:c r="B3" s="14" t="str">
        <x:v>Responsibility</x:v>
      </x:c>
      <x:c r="C3" s="14" t="str">
        <x:v>Owns Authoritative State?</x:v>
      </x:c>
      <x:c r="D3" s="14" t="str">
        <x:v>Primary Store</x:v>
      </x:c>
      <x:c r="E3" s="14" t="str">
        <x:v>Cache</x:v>
      </x:c>
      <x:c r="F3" s="14" t="str">
        <x:v>Consumes Events</x:v>
      </x:c>
      <x:c r="G3" s="14" t="str">
        <x:v>Publishes Events</x:v>
      </x:c>
      <x:c r="H3" s="14" t="str">
        <x:v>Synchronous APIs</x:v>
      </x:c>
      <x:c r="I3" s="14" t="str">
        <x:v>Background Jobs</x:v>
      </x:c>
      <x:c r="J3" s="14" t="str">
        <x:v>Chain Interaction</x:v>
      </x:c>
      <x:c r="K3" s="14" t="str">
        <x:v>Scale Pattern</x:v>
      </x:c>
      <x:c r="L3" s="14" t="str">
        <x:v>Failure Isolation</x:v>
      </x:c>
      <x:c r="M3" s="14" t="str">
        <x:v>Priority</x:v>
      </x:c>
      <x:c r="N3" s="14" t="str">
        <x:v>Notes</x:v>
      </x:c>
    </x:row>
    <x:row r="4">
      <x:c r="A4" s="34" t="str">
        <x:v>API Gateway / BFF</x:v>
      </x:c>
      <x:c r="B4" s="35" t="str">
        <x:v>Family iframe/API entry, auth context, request shaping</x:v>
      </x:c>
      <x:c r="C4" s="35" t="str">
        <x:v>No</x:v>
      </x:c>
      <x:c r="D4" s="35" t="str">
        <x:v>None</x:v>
      </x:c>
      <x:c r="E4" s="35" t="str">
        <x:v>Session/cache</x:v>
      </x:c>
      <x:c r="F4" s="35" t="str">
        <x:v>Auth/maintenance</x:v>
      </x:c>
      <x:c r="G4" s="35" t="str">
        <x:v>Request telemetry</x:v>
      </x:c>
      <x:c r="H4" s="35" t="str">
        <x:v>REST/JSON</x:v>
      </x:c>
      <x:c r="I4" s="35" t="str">
        <x:v>None</x:v>
      </x:c>
      <x:c r="J4" s="35" t="str">
        <x:v>No</x:v>
      </x:c>
      <x:c r="K4" s="35" t="str">
        <x:v>Horizontal</x:v>
      </x:c>
      <x:c r="L4" s="35" t="str">
        <x:v>Stateless restart</x:v>
      </x:c>
      <x:c r="M4" s="35" t="str">
        <x:v>P0</x:v>
      </x:c>
      <x:c r="N4" s="36" t="str"/>
    </x:row>
    <x:row r="5">
      <x:c r="A5" s="37" t="str">
        <x:v>Identity Service</x:v>
      </x:c>
      <x:c r="B5" s="22" t="str">
        <x:v>Family user ↔ wallet ↔ PLOT account mapping</x:v>
      </x:c>
      <x:c r="C5" s="22" t="str">
        <x:v>Yes</x:v>
      </x:c>
      <x:c r="D5" s="22" t="str">
        <x:v>Relational</x:v>
      </x:c>
      <x:c r="E5" s="22" t="str">
        <x:v>Session cache</x:v>
      </x:c>
      <x:c r="F5" s="22" t="str">
        <x:v>Wallet sync</x:v>
      </x:c>
      <x:c r="G5" s="22" t="str">
        <x:v>identity.updated</x:v>
      </x:c>
      <x:c r="H5" s="22" t="str">
        <x:v>Auth/session APIs</x:v>
      </x:c>
      <x:c r="I5" s="22" t="str">
        <x:v>Wallet reconciliation</x:v>
      </x:c>
      <x:c r="J5" s="22" t="str">
        <x:v>Wallet signature/provider</x:v>
      </x:c>
      <x:c r="K5" s="22" t="str">
        <x:v>Horizontal</x:v>
      </x:c>
      <x:c r="L5" s="22" t="str">
        <x:v>Fail closed for mutations</x:v>
      </x:c>
      <x:c r="M5" s="22" t="str">
        <x:v>P0</x:v>
      </x:c>
      <x:c r="N5" s="38" t="str"/>
    </x:row>
    <x:row r="6">
      <x:c r="A6" s="37" t="str">
        <x:v>Player Service</x:v>
      </x:c>
      <x:c r="B6" s="22" t="str">
        <x:v>XP, level, Reputation, settings, progression gates</x:v>
      </x:c>
      <x:c r="C6" s="22" t="str">
        <x:v>Yes</x:v>
      </x:c>
      <x:c r="D6" s="22" t="str">
        <x:v>Relational + ledger</x:v>
      </x:c>
      <x:c r="E6" s="22" t="str">
        <x:v>Player cache</x:v>
      </x:c>
      <x:c r="F6" s="22" t="str">
        <x:v>economy/event/settlement</x:v>
      </x:c>
      <x:c r="G6" s="22" t="str">
        <x:v>player.updated</x:v>
      </x:c>
      <x:c r="H6" s="22" t="str">
        <x:v>Player/profile APIs</x:v>
      </x:c>
      <x:c r="I6" s="22" t="str">
        <x:v>Milestones</x:v>
      </x:c>
      <x:c r="J6" s="22" t="str">
        <x:v>No</x:v>
      </x:c>
      <x:c r="K6" s="22" t="str">
        <x:v>Horizontal</x:v>
      </x:c>
      <x:c r="L6" s="22" t="str">
        <x:v>Versioned aggregate</x:v>
      </x:c>
      <x:c r="M6" s="22" t="str">
        <x:v>P0</x:v>
      </x:c>
      <x:c r="N6" s="38" t="str"/>
    </x:row>
    <x:row r="7">
      <x:c r="A7" s="37" t="str">
        <x:v>Plot Service</x:v>
      </x:c>
      <x:c r="B7" s="22" t="str">
        <x:v>Ownership mirror, activation, merge, coordinates</x:v>
      </x:c>
      <x:c r="C7" s="22" t="str">
        <x:v>Yes for gameplay mirror</x:v>
      </x:c>
      <x:c r="D7" s="22" t="str">
        <x:v>Relational</x:v>
      </x:c>
      <x:c r="E7" s="22" t="str">
        <x:v>Ownership cache</x:v>
      </x:c>
      <x:c r="F7" s="22" t="str">
        <x:v>chain ownership</x:v>
      </x:c>
      <x:c r="G7" s="22" t="str">
        <x:v>plot.updated</x:v>
      </x:c>
      <x:c r="H7" s="22" t="str">
        <x:v>Plot/layout eligibility</x:v>
      </x:c>
      <x:c r="I7" s="22" t="str">
        <x:v>Ownership sync</x:v>
      </x:c>
      <x:c r="J7" s="22" t="str">
        <x:v>Plot ownership</x:v>
      </x:c>
      <x:c r="K7" s="22" t="str">
        <x:v>Horizontal</x:v>
      </x:c>
      <x:c r="L7" s="22" t="str">
        <x:v>Pause on mismatch</x:v>
      </x:c>
      <x:c r="M7" s="22" t="str">
        <x:v>P0</x:v>
      </x:c>
      <x:c r="N7" s="38" t="str"/>
    </x:row>
    <x:row r="8">
      <x:c r="A8" s="37" t="str">
        <x:v>Layout Service</x:v>
      </x:c>
      <x:c r="B8" s="22" t="str">
        <x:v>Building placement, orientation, adjacency, district state</x:v>
      </x:c>
      <x:c r="C8" s="22" t="str">
        <x:v>Yes</x:v>
      </x:c>
      <x:c r="D8" s="22" t="str">
        <x:v>Relational / document snapshot</x:v>
      </x:c>
      <x:c r="E8" s="22" t="str">
        <x:v>Layout cache</x:v>
      </x:c>
      <x:c r="F8" s="22" t="str">
        <x:v>plot/building changes</x:v>
      </x:c>
      <x:c r="G8" s="22" t="str">
        <x:v>layout.updated</x:v>
      </x:c>
      <x:c r="H8" s="22" t="str">
        <x:v>Build Mode mutations</x:v>
      </x:c>
      <x:c r="I8" s="22" t="str">
        <x:v>Synergy recompute</x:v>
      </x:c>
      <x:c r="J8" s="22" t="str">
        <x:v>No</x:v>
      </x:c>
      <x:c r="K8" s="22" t="str">
        <x:v>Horizontal</x:v>
      </x:c>
      <x:c r="L8" s="22" t="str">
        <x:v>Optimistic version checks</x:v>
      </x:c>
      <x:c r="M8" s="22" t="str">
        <x:v>P0</x:v>
      </x:c>
      <x:c r="N8" s="38" t="str"/>
    </x:row>
    <x:row r="9">
      <x:c r="A9" s="37" t="str">
        <x:v>Economy Service</x:v>
      </x:c>
      <x:c r="B9" s="22" t="str">
        <x:v>Cash, activity, business production, offline accrual</x:v>
      </x:c>
      <x:c r="C9" s="22" t="str">
        <x:v>Yes</x:v>
      </x:c>
      <x:c r="D9" s="22" t="str">
        <x:v>Relational + append-only ledger</x:v>
      </x:c>
      <x:c r="E9" s="22" t="str">
        <x:v>Hot economy cache</x:v>
      </x:c>
      <x:c r="F9" s="22" t="str">
        <x:v>layout/customer/event</x:v>
      </x:c>
      <x:c r="G9" s="22" t="str">
        <x:v>economy.tick</x:v>
      </x:c>
      <x:c r="H9" s="22" t="str">
        <x:v>HUD + action APIs</x:v>
      </x:c>
      <x:c r="I9" s="22" t="str">
        <x:v>5-min ticks</x:v>
      </x:c>
      <x:c r="J9" s="22" t="str">
        <x:v>No</x:v>
      </x:c>
      <x:c r="K9" s="22" t="str">
        <x:v>Partition by player</x:v>
      </x:c>
      <x:c r="L9" s="22" t="str">
        <x:v>Ledger replay</x:v>
      </x:c>
      <x:c r="M9" s="22" t="str">
        <x:v>P0</x:v>
      </x:c>
      <x:c r="N9" s="38" t="str"/>
    </x:row>
    <x:row r="10">
      <x:c r="A10" s="37" t="str">
        <x:v>Customer Service</x:v>
      </x:c>
      <x:c r="B10" s="22" t="str">
        <x:v>Customer counts, acquisition, churn, capacity</x:v>
      </x:c>
      <x:c r="C10" s="22" t="str">
        <x:v>Yes</x:v>
      </x:c>
      <x:c r="D10" s="22" t="str">
        <x:v>Relational snapshots + ledger</x:v>
      </x:c>
      <x:c r="E10" s="22" t="str">
        <x:v>Customer cache</x:v>
      </x:c>
      <x:c r="F10" s="22" t="str">
        <x:v>economy/layout/events</x:v>
      </x:c>
      <x:c r="G10" s="22" t="str">
        <x:v>customer.updated</x:v>
      </x:c>
      <x:c r="H10" s="22" t="str">
        <x:v>Customer reads</x:v>
      </x:c>
      <x:c r="I10" s="22" t="str">
        <x:v>15-min refresh</x:v>
      </x:c>
      <x:c r="J10" s="22" t="str">
        <x:v>No</x:v>
      </x:c>
      <x:c r="K10" s="22" t="str">
        <x:v>Partition by player</x:v>
      </x:c>
      <x:c r="L10" s="22" t="str">
        <x:v>Checkpoint/recompute</x:v>
      </x:c>
      <x:c r="M10" s="22" t="str">
        <x:v>P0</x:v>
      </x:c>
      <x:c r="N10" s="38" t="str"/>
    </x:row>
    <x:row r="11">
      <x:c r="A11" s="37" t="str">
        <x:v>Risk/Reputation Service</x:v>
      </x:c>
      <x:c r="B11" s="22" t="str">
        <x:v>Risk categories, incidents, Rep deltas</x:v>
      </x:c>
      <x:c r="C11" s="22" t="str">
        <x:v>Yes</x:v>
      </x:c>
      <x:c r="D11" s="22" t="str">
        <x:v>Relational + event ledger</x:v>
      </x:c>
      <x:c r="E11" s="22" t="str">
        <x:v>Risk cache</x:v>
      </x:c>
      <x:c r="F11" s="22" t="str">
        <x:v>economy/events</x:v>
      </x:c>
      <x:c r="G11" s="22" t="str">
        <x:v>risk.updated</x:v>
      </x:c>
      <x:c r="H11" s="22" t="str">
        <x:v>Risk reads/actions</x:v>
      </x:c>
      <x:c r="I11" s="22" t="str">
        <x:v>Risk evaluation</x:v>
      </x:c>
      <x:c r="J11" s="22" t="str">
        <x:v>No</x:v>
      </x:c>
      <x:c r="K11" s="22" t="str">
        <x:v>Partition by player</x:v>
      </x:c>
      <x:c r="L11" s="22" t="str">
        <x:v>Deterministic recalculation</x:v>
      </x:c>
      <x:c r="M11" s="22" t="str">
        <x:v>P0</x:v>
      </x:c>
      <x:c r="N11" s="38"/>
    </x:row>
    <x:row r="12">
      <x:c r="A12" s="37" t="str">
        <x:v>Event Service</x:v>
      </x:c>
      <x:c r="B12" s="22" t="str">
        <x:v>Global/personal events, decisions, cooldowns</x:v>
      </x:c>
      <x:c r="C12" s="22" t="str">
        <x:v>Yes</x:v>
      </x:c>
      <x:c r="D12" s="22" t="str">
        <x:v>Relational + event log</x:v>
      </x:c>
      <x:c r="E12" s="22" t="str">
        <x:v>Event cache</x:v>
      </x:c>
      <x:c r="F12" s="22" t="str">
        <x:v>scheduler/economy</x:v>
      </x:c>
      <x:c r="G12" s="22" t="str">
        <x:v>event.started/ended</x:v>
      </x:c>
      <x:c r="H12" s="22" t="str">
        <x:v>Event choice APIs</x:v>
      </x:c>
      <x:c r="I12" s="22" t="str">
        <x:v>Hourly scheduler</x:v>
      </x:c>
      <x:c r="J12" s="22" t="str">
        <x:v>No</x:v>
      </x:c>
      <x:c r="K12" s="22" t="str">
        <x:v>Horizontal</x:v>
      </x:c>
      <x:c r="L12" s="22" t="str">
        <x:v>Event versioning</x:v>
      </x:c>
      <x:c r="M12" s="22" t="str">
        <x:v>P0</x:v>
      </x:c>
      <x:c r="N12" s="38"/>
    </x:row>
    <x:row r="13">
      <x:c r="A13" s="37" t="str">
        <x:v>Market Hunt Service</x:v>
      </x:c>
      <x:c r="B13" s="22" t="str">
        <x:v>Assignments, progress, rewards, stock budget reservation</x:v>
      </x:c>
      <x:c r="C13" s="22" t="str">
        <x:v>Yes</x:v>
      </x:c>
      <x:c r="D13" s="22" t="str">
        <x:v>Relational + reward ledger</x:v>
      </x:c>
      <x:c r="E13" s="22" t="str">
        <x:v>Hunt cache</x:v>
      </x:c>
      <x:c r="F13" s="22" t="str">
        <x:v>events/economy</x:v>
      </x:c>
      <x:c r="G13" s="22" t="str">
        <x:v>hunt.completed</x:v>
      </x:c>
      <x:c r="H13" s="22" t="str">
        <x:v>Hunt APIs</x:v>
      </x:c>
      <x:c r="I13" s="22" t="str">
        <x:v>Daily spawn/expiry</x:v>
      </x:c>
      <x:c r="J13" s="22" t="str">
        <x:v>Stock settlement later</x:v>
      </x:c>
      <x:c r="K13" s="22" t="str">
        <x:v>Horizontal</x:v>
      </x:c>
      <x:c r="L13" s="22" t="str">
        <x:v>Reward reservations idempotent</x:v>
      </x:c>
      <x:c r="M13" s="22" t="str">
        <x:v>P0</x:v>
      </x:c>
      <x:c r="N13" s="38"/>
    </x:row>
    <x:row r="14">
      <x:c r="A14" s="37" t="str">
        <x:v>Performance Service</x:v>
      </x:c>
      <x:c r="B14" s="22" t="str">
        <x:v>Weekly component aggregates and score</x:v>
      </x:c>
      <x:c r="C14" s="22" t="str">
        <x:v>Yes derived</x:v>
      </x:c>
      <x:c r="D14" s="22" t="str">
        <x:v>Columnar/relational snapshots</x:v>
      </x:c>
      <x:c r="E14" s="22" t="str">
        <x:v>Leaderboard cache</x:v>
      </x:c>
      <x:c r="F14" s="22" t="str">
        <x:v>economy/customer/risk/hunts</x:v>
      </x:c>
      <x:c r="G14" s="22" t="str">
        <x:v>score.updated</x:v>
      </x:c>
      <x:c r="H14" s="22" t="str">
        <x:v>Score dashboard</x:v>
      </x:c>
      <x:c r="I14" s="22" t="str">
        <x:v>Weekly freeze/recalc</x:v>
      </x:c>
      <x:c r="J14" s="22" t="str">
        <x:v>No</x:v>
      </x:c>
      <x:c r="K14" s="22" t="str">
        <x:v>Batch + stream</x:v>
      </x:c>
      <x:c r="L14" s="22" t="str">
        <x:v>Frozen source versions</x:v>
      </x:c>
      <x:c r="M14" s="22" t="str">
        <x:v>P0</x:v>
      </x:c>
      <x:c r="N14" s="38"/>
    </x:row>
    <x:row r="15">
      <x:c r="A15" s="37" t="str">
        <x:v>Competition Service</x:v>
      </x:c>
      <x:c r="B15" s="22" t="str">
        <x:v>League rating, payouts, season points, leaderboards</x:v>
      </x:c>
      <x:c r="C15" s="22" t="str">
        <x:v>Yes derived</x:v>
      </x:c>
      <x:c r="D15" s="22" t="str">
        <x:v>Relational + settlement ledger</x:v>
      </x:c>
      <x:c r="E15" s="22" t="str">
        <x:v>Leaderboard cache</x:v>
      </x:c>
      <x:c r="F15" s="22" t="str">
        <x:v>performance finalized</x:v>
      </x:c>
      <x:c r="G15" s="22" t="str">
        <x:v>league.updated</x:v>
      </x:c>
      <x:c r="H15" s="22" t="str">
        <x:v>Competition APIs</x:v>
      </x:c>
      <x:c r="I15" s="22" t="str">
        <x:v>Weekly/season jobs</x:v>
      </x:c>
      <x:c r="J15" s="22" t="str">
        <x:v>$PLOT claim handoff</x:v>
      </x:c>
      <x:c r="K15" s="22" t="str">
        <x:v>Batch + cache</x:v>
      </x:c>
      <x:c r="L15" s="22" t="str">
        <x:v>Settlement immutability</x:v>
      </x:c>
      <x:c r="M15" s="22" t="str">
        <x:v>P1</x:v>
      </x:c>
      <x:c r="N15" s="38"/>
    </x:row>
    <x:row r="16">
      <x:c r="A16" s="37" t="str">
        <x:v>Reward/Claim Service</x:v>
      </x:c>
      <x:c r="B16" s="22" t="str">
        <x:v>Cash/stock/$PLOT reward issuance and claim state</x:v>
      </x:c>
      <x:c r="C16" s="22" t="str">
        <x:v>Yes</x:v>
      </x:c>
      <x:c r="D16" s="22" t="str">
        <x:v>Append-only reward ledger</x:v>
      </x:c>
      <x:c r="E16" s="22" t="str">
        <x:v>Claim cache</x:v>
      </x:c>
      <x:c r="F16" s="22" t="str">
        <x:v>hunt/settlement/events</x:v>
      </x:c>
      <x:c r="G16" s="22" t="str">
        <x:v>reward.issued</x:v>
      </x:c>
      <x:c r="H16" s="22" t="str">
        <x:v>Claim APIs</x:v>
      </x:c>
      <x:c r="I16" s="22" t="str">
        <x:v>Expiry/reconciliation</x:v>
      </x:c>
      <x:c r="J16" s="22" t="str">
        <x:v>$PLOT/stock provider</x:v>
      </x:c>
      <x:c r="K16" s="22" t="str">
        <x:v>Horizontal</x:v>
      </x:c>
      <x:c r="L16" s="22" t="str">
        <x:v>Exactly-once grant semantics</x:v>
      </x:c>
      <x:c r="M16" s="22" t="str">
        <x:v>P0</x:v>
      </x:c>
      <x:c r="N16" s="38"/>
    </x:row>
    <x:row r="17">
      <x:c r="A17" s="37" t="str">
        <x:v>Notification Service</x:v>
      </x:c>
      <x:c r="B17" s="22" t="str">
        <x:v>Inbox/push/toast/event notifications</x:v>
      </x:c>
      <x:c r="C17" s="22" t="str">
        <x:v>No</x:v>
      </x:c>
      <x:c r="D17" s="22" t="str">
        <x:v>Queue + notification store</x:v>
      </x:c>
      <x:c r="E17" s="22" t="str">
        <x:v>Optional</x:v>
      </x:c>
      <x:c r="F17" s="22" t="str">
        <x:v>domain events</x:v>
      </x:c>
      <x:c r="G17" s="22" t="str">
        <x:v>notification.sent</x:v>
      </x:c>
      <x:c r="H17" s="22" t="str">
        <x:v>Inbox API</x:v>
      </x:c>
      <x:c r="I17" s="22" t="str">
        <x:v>Retries</x:v>
      </x:c>
      <x:c r="J17" s="22" t="str">
        <x:v>No</x:v>
      </x:c>
      <x:c r="K17" s="22" t="str">
        <x:v>Async workers</x:v>
      </x:c>
      <x:c r="L17" s="22" t="str">
        <x:v>Non-blocking</x:v>
      </x:c>
      <x:c r="M17" s="22" t="str">
        <x:v>P1</x:v>
      </x:c>
      <x:c r="N17" s="38"/>
    </x:row>
    <x:row r="18">
      <x:c r="A18" s="39" t="str">
        <x:v>Analytics Pipeline</x:v>
      </x:c>
      <x:c r="B18" s="40" t="str">
        <x:v>Product/economy metrics, experimentation</x:v>
      </x:c>
      <x:c r="C18" s="40" t="str">
        <x:v>No</x:v>
      </x:c>
      <x:c r="D18" s="40" t="str">
        <x:v>Warehouse/lake</x:v>
      </x:c>
      <x:c r="E18" s="40" t="str">
        <x:v>None</x:v>
      </x:c>
      <x:c r="F18" s="40" t="str">
        <x:v>All domain events</x:v>
      </x:c>
      <x:c r="G18" s="40" t="str">
        <x:v>None</x:v>
      </x:c>
      <x:c r="H18" s="40" t="str">
        <x:v>Internal only</x:v>
      </x:c>
      <x:c r="I18" s="40" t="str">
        <x:v>ETL</x:v>
      </x:c>
      <x:c r="J18" s="40" t="str">
        <x:v>No</x:v>
      </x:c>
      <x:c r="K18" s="40" t="str">
        <x:v>Independent</x:v>
      </x:c>
      <x:c r="L18" s="40" t="str">
        <x:v>Never blocks gameplay</x:v>
      </x:c>
      <x:c r="M18" s="40" t="str">
        <x:v>P1</x:v>
      </x:c>
      <x:c r="N18" s="41"/>
    </x:row>
    <x:row r="19">
      <x:c r="A19" s="89" t="str">
        <x:v>Module Service / Domain</x:v>
      </x:c>
      <x:c r="B19" s="90" t="str">
        <x:v>Module config, player inventory, building loadouts, mastery, Parts, crafting and effect resolution</x:v>
      </x:c>
      <x:c r="C19" s="90" t="str">
        <x:v>Yes</x:v>
      </x:c>
      <x:c r="D19" s="90" t="str">
        <x:v>Relational + immutable config + append ledgers</x:v>
      </x:c>
      <x:c r="E19" s="90" t="str">
        <x:v>Module/loadout cache</x:v>
      </x:c>
      <x:c r="F19" s="90" t="str">
        <x:v>building/economy/customer/risk/hunt/event/reward</x:v>
      </x:c>
      <x:c r="G19" s="90" t="str">
        <x:v>module.acquired / equipped / unequipped / crafted / mastery.updated</x:v>
      </x:c>
      <x:c r="H19" s="90" t="str">
        <x:v>Module inventory/loadout/mastery/craft APIs</x:v>
      </x:c>
      <x:c r="I19" s="90" t="str">
        <x:v>Craft completion, mastery projection, reward grants</x:v>
      </x:c>
      <x:c r="J19" s="90" t="str">
        <x:v>No</x:v>
      </x:c>
      <x:c r="K19" s="90" t="str">
        <x:v>Partition by player; resolver in-process with economy/customer/risk</x:v>
      </x:c>
      <x:c r="L19" s="90" t="str">
        <x:v>Fail closed on invalid config; preserve last valid loadout</x:v>
      </x:c>
      <x:c r="M19" s="90" t="str">
        <x:v>P0</x:v>
      </x:c>
      <x:c r="N19" s="91" t="str">
        <x:v>Logical domain in MVP modular monolith; split only if load/operational risk justifies</x:v>
      </x:c>
    </x:row>
    <x:row r="20" ht="22" customHeight="1">
      <x:c r="A20" s="31" t="str">
        <x:v>Recommended MVP Deployment Shape</x:v>
      </x:c>
      <x:c r="B20" s="31"/>
      <x:c r="C20" s="31"/>
      <x:c r="D20" s="31"/>
      <x:c r="E20" s="31"/>
      <x:c r="F20" s="31"/>
      <x:c r="G20" s="31"/>
      <x:c r="H20" s="31"/>
      <x:c r="I20" s="31"/>
      <x:c r="J20" s="31"/>
      <x:c r="K20" s="31"/>
      <x:c r="L20" s="31"/>
      <x:c r="M20" s="31"/>
      <x:c r="N20" s="31"/>
    </x:row>
    <x:row r="21">
      <x:c r="A21" s="14" t="str">
        <x:v>Layer</x:v>
      </x:c>
      <x:c r="B21" s="14" t="str">
        <x:v>Recommendation</x:v>
      </x:c>
    </x:row>
    <x:row r="22">
      <x:c r="A22" s="34" t="str">
        <x:v>Application</x:v>
      </x:c>
      <x:c r="B22" s="36" t="str">
        <x:v>Start as a modular monolith or small set of services with strict domain boundaries, not 15 independent microservices on day one.</x:v>
      </x:c>
    </x:row>
    <x:row r="23">
      <x:c r="A23" s="37" t="str">
        <x:v>Database</x:v>
      </x:c>
      <x:c r="B23" s="38" t="str">
        <x:v>Managed relational database for canonical state + append-only ledgers; separate analytics warehouse later.</x:v>
      </x:c>
    </x:row>
    <x:row r="24">
      <x:c r="A24" s="37" t="str">
        <x:v>Cache</x:v>
      </x:c>
      <x:c r="B24" s="38" t="str">
        <x:v>Redis-compatible cache for sessions, hot player/board reads, locks, leaderboards and rate limits.</x:v>
      </x:c>
    </x:row>
    <x:row r="25">
      <x:c r="A25" s="37" t="str">
        <x:v>Queue</x:v>
      </x:c>
      <x:c r="B25" s="38" t="str">
        <x:v>Durable managed queue/stream for ticks, async recomputes, notifications and chain reconciliation.</x:v>
      </x:c>
    </x:row>
    <x:row r="26">
      <x:c r="A26" s="37" t="str">
        <x:v>Workers</x:v>
      </x:c>
      <x:c r="B26" s="38" t="str">
        <x:v>Dedicated economy/customer/event/settlement workers separated from request-serving API processes.</x:v>
      </x:c>
    </x:row>
    <x:row r="27">
      <x:c r="A27" s="39" t="str">
        <x:v>Scale path</x:v>
      </x:c>
      <x:c r="B27" s="41" t="str">
        <x:v>Split Economy, Performance/Settlement and Chain/Reward domains first when traffic or operational risk justifies it.</x:v>
      </x:c>
    </x:row>
  </x:sheetData>
  <x:mergeCells>
    <x:mergeCell ref="A1:N1"/>
    <x:mergeCell ref="A20:N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Canonical State Ownership Matrix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</x:row>
    <x:row r="3">
      <x:c r="A3" s="14" t="str">
        <x:v>State</x:v>
      </x:c>
      <x:c r="B3" s="14" t="str">
        <x:v>Canonical Owner</x:v>
      </x:c>
      <x:c r="C3" s="14" t="str">
        <x:v>Canonical Store</x:v>
      </x:c>
      <x:c r="D3" s="14" t="str">
        <x:v>Derived/Mirrored Elsewhere</x:v>
      </x:c>
      <x:c r="E3" s="14" t="str">
        <x:v>Mutation Source</x:v>
      </x:c>
      <x:c r="F3" s="14" t="str">
        <x:v>Versioned?</x:v>
      </x:c>
      <x:c r="G3" s="14" t="str">
        <x:v>Ledgered?</x:v>
      </x:c>
      <x:c r="H3" s="14" t="str">
        <x:v>TTL?</x:v>
      </x:c>
      <x:c r="I3" s="14" t="str">
        <x:v>Transfer Behavior</x:v>
      </x:c>
      <x:c r="J3" s="14" t="str">
        <x:v>Weekly Snapshot?</x:v>
      </x:c>
      <x:c r="K3" s="14" t="str">
        <x:v>Chain Source?</x:v>
      </x:c>
      <x:c r="L3" s="14" t="str">
        <x:v>Rebuildable?</x:v>
      </x:c>
      <x:c r="M3" s="14" t="str">
        <x:v>Client Write?</x:v>
      </x:c>
      <x:c r="N3" s="14" t="str">
        <x:v>Notes</x:v>
      </x:c>
    </x:row>
    <x:row r="4">
      <x:c r="A4" s="34" t="str">
        <x:v>Account identity</x:v>
      </x:c>
      <x:c r="B4" s="35" t="str">
        <x:v>Identity</x:v>
      </x:c>
      <x:c r="C4" s="35" t="str">
        <x:v>Relational</x:v>
      </x:c>
      <x:c r="D4" s="35" t="str">
        <x:v>Session cache</x:v>
      </x:c>
      <x:c r="E4" s="35" t="str">
        <x:v>Auth/connector</x:v>
      </x:c>
      <x:c r="F4" s="35" t="str">
        <x:v>Yes</x:v>
      </x:c>
      <x:c r="G4" s="35" t="str">
        <x:v>Audit</x:v>
      </x:c>
      <x:c r="H4" s="35" t="str">
        <x:v>No</x:v>
      </x:c>
      <x:c r="I4" s="35" t="str">
        <x:v>Player-level</x:v>
      </x:c>
      <x:c r="J4" s="35" t="str">
        <x:v>No</x:v>
      </x:c>
      <x:c r="K4" s="35" t="str">
        <x:v>Wallet proof</x:v>
      </x:c>
      <x:c r="L4" s="35" t="str">
        <x:v>Yes</x:v>
      </x:c>
      <x:c r="M4" s="35" t="str">
        <x:v>Intent only</x:v>
      </x:c>
      <x:c r="N4" s="36" t="str"/>
    </x:row>
    <x:row r="5">
      <x:c r="A5" s="37" t="str">
        <x:v>Wallet mapping</x:v>
      </x:c>
      <x:c r="B5" s="22" t="str">
        <x:v>Identity</x:v>
      </x:c>
      <x:c r="C5" s="22" t="str">
        <x:v>Relational</x:v>
      </x:c>
      <x:c r="D5" s="22" t="str">
        <x:v>Plot/reward services</x:v>
      </x:c>
      <x:c r="E5" s="22" t="str">
        <x:v>Signed wallet link</x:v>
      </x:c>
      <x:c r="F5" s="22" t="str">
        <x:v>Yes</x:v>
      </x:c>
      <x:c r="G5" s="22" t="str">
        <x:v>Audit</x:v>
      </x:c>
      <x:c r="H5" s="22" t="str">
        <x:v>No</x:v>
      </x:c>
      <x:c r="I5" s="22" t="str">
        <x:v>Player-level</x:v>
      </x:c>
      <x:c r="J5" s="22" t="str">
        <x:v>Yes</x:v>
      </x:c>
      <x:c r="K5" s="22" t="str">
        <x:v>Wallet/provider</x:v>
      </x:c>
      <x:c r="L5" s="22" t="str">
        <x:v>Yes</x:v>
      </x:c>
      <x:c r="M5" s="22" t="str">
        <x:v>No direct</x:v>
      </x:c>
      <x:c r="N5" s="38" t="str"/>
    </x:row>
    <x:row r="6">
      <x:c r="A6" s="37" t="str">
        <x:v>Empire Level / XP</x:v>
      </x:c>
      <x:c r="B6" s="22" t="str">
        <x:v>Player</x:v>
      </x:c>
      <x:c r="C6" s="22" t="str">
        <x:v>Relational</x:v>
      </x:c>
      <x:c r="D6" s="22" t="str">
        <x:v>Cache</x:v>
      </x:c>
      <x:c r="E6" s="22" t="str">
        <x:v>Validated actions</x:v>
      </x:c>
      <x:c r="F6" s="22" t="str">
        <x:v>Yes</x:v>
      </x:c>
      <x:c r="G6" s="22" t="str">
        <x:v>XP ledger</x:v>
      </x:c>
      <x:c r="H6" s="22" t="str">
        <x:v>No</x:v>
      </x:c>
      <x:c r="I6" s="22" t="str">
        <x:v>Player retains</x:v>
      </x:c>
      <x:c r="J6" s="22" t="str">
        <x:v>Yes</x:v>
      </x:c>
      <x:c r="K6" s="22" t="str">
        <x:v>No</x:v>
      </x:c>
      <x:c r="L6" s="22" t="str">
        <x:v>Yes</x:v>
      </x:c>
      <x:c r="M6" s="22" t="str">
        <x:v>No outcome</x:v>
      </x:c>
      <x:c r="N6" s="38" t="str"/>
    </x:row>
    <x:row r="7">
      <x:c r="A7" s="37" t="str">
        <x:v>Reputation</x:v>
      </x:c>
      <x:c r="B7" s="22" t="str">
        <x:v>Player/Risk</x:v>
      </x:c>
      <x:c r="C7" s="22" t="str">
        <x:v>Relational</x:v>
      </x:c>
      <x:c r="D7" s="22" t="str">
        <x:v>Cache</x:v>
      </x:c>
      <x:c r="E7" s="22" t="str">
        <x:v>Validated rep events</x:v>
      </x:c>
      <x:c r="F7" s="22" t="str">
        <x:v>Yes</x:v>
      </x:c>
      <x:c r="G7" s="22" t="str">
        <x:v>Rep ledger</x:v>
      </x:c>
      <x:c r="H7" s="22" t="str">
        <x:v>No</x:v>
      </x:c>
      <x:c r="I7" s="22" t="str">
        <x:v>Player retains</x:v>
      </x:c>
      <x:c r="J7" s="22" t="str">
        <x:v>Yes</x:v>
      </x:c>
      <x:c r="K7" s="22" t="str">
        <x:v>No</x:v>
      </x:c>
      <x:c r="L7" s="22" t="str">
        <x:v>Yes</x:v>
      </x:c>
      <x:c r="M7" s="22" t="str">
        <x:v>No outcome</x:v>
      </x:c>
      <x:c r="N7" s="38" t="str"/>
    </x:row>
    <x:row r="8">
      <x:c r="A8" s="37" t="str">
        <x:v>Plot ownership</x:v>
      </x:c>
      <x:c r="B8" s="22" t="str">
        <x:v>Plot mirror</x:v>
      </x:c>
      <x:c r="C8" s="22" t="str">
        <x:v>Relational mirror</x:v>
      </x:c>
      <x:c r="D8" s="22" t="str">
        <x:v>Cache</x:v>
      </x:c>
      <x:c r="E8" s="22" t="str">
        <x:v>Chain reconciliation</x:v>
      </x:c>
      <x:c r="F8" s="22" t="str">
        <x:v>Yes</x:v>
      </x:c>
      <x:c r="G8" s="22" t="str">
        <x:v>Ownership event log</x:v>
      </x:c>
      <x:c r="H8" s="22" t="str">
        <x:v>No</x:v>
      </x:c>
      <x:c r="I8" s="22" t="str">
        <x:v>Changes owner</x:v>
      </x:c>
      <x:c r="J8" s="22" t="str">
        <x:v>Yes</x:v>
      </x:c>
      <x:c r="K8" s="22" t="str">
        <x:v>Yes</x:v>
      </x:c>
      <x:c r="L8" s="22" t="str">
        <x:v>Yes from chain</x:v>
      </x:c>
      <x:c r="M8" s="22" t="str">
        <x:v>No</x:v>
      </x:c>
      <x:c r="N8" s="38"/>
    </x:row>
    <x:row r="9">
      <x:c r="A9" s="37" t="str">
        <x:v>Plot activation</x:v>
      </x:c>
      <x:c r="B9" s="22" t="str">
        <x:v>Plot</x:v>
      </x:c>
      <x:c r="C9" s="22" t="str">
        <x:v>Relational</x:v>
      </x:c>
      <x:c r="D9" s="22" t="str">
        <x:v>Cache</x:v>
      </x:c>
      <x:c r="E9" s="22" t="str">
        <x:v>Game action</x:v>
      </x:c>
      <x:c r="F9" s="22" t="str">
        <x:v>Yes</x:v>
      </x:c>
      <x:c r="G9" s="22" t="str">
        <x:v>Activation ledger</x:v>
      </x:c>
      <x:c r="H9" s="22" t="str">
        <x:v>No</x:v>
      </x:c>
      <x:c r="I9" s="22" t="str">
        <x:v>New owner must reactivate</x:v>
      </x:c>
      <x:c r="J9" s="22" t="str">
        <x:v>Yes</x:v>
      </x:c>
      <x:c r="K9" s="22" t="str">
        <x:v>No</x:v>
      </x:c>
      <x:c r="L9" s="22" t="str">
        <x:v>Yes</x:v>
      </x:c>
      <x:c r="M9" s="22" t="str">
        <x:v>Intent only</x:v>
      </x:c>
      <x:c r="N9" s="38"/>
    </x:row>
    <x:row r="10">
      <x:c r="A10" s="37" t="str">
        <x:v>Layout</x:v>
      </x:c>
      <x:c r="B10" s="22" t="str">
        <x:v>Layout</x:v>
      </x:c>
      <x:c r="C10" s="22" t="str">
        <x:v>Relational/document snapshot</x:v>
      </x:c>
      <x:c r="D10" s="22" t="str">
        <x:v>Cache</x:v>
      </x:c>
      <x:c r="E10" s="22" t="str">
        <x:v>Place/move/rotate</x:v>
      </x:c>
      <x:c r="F10" s="22" t="str">
        <x:v>Yes</x:v>
      </x:c>
      <x:c r="G10" s="22" t="str">
        <x:v>Mutation log</x:v>
      </x:c>
      <x:c r="H10" s="22" t="str">
        <x:v>No</x:v>
      </x:c>
      <x:c r="I10" s="22" t="str">
        <x:v>Owner-specific</x:v>
      </x:c>
      <x:c r="J10" s="22" t="str">
        <x:v>Yes</x:v>
      </x:c>
      <x:c r="K10" s="22" t="str">
        <x:v>No</x:v>
      </x:c>
      <x:c r="L10" s="22" t="str">
        <x:v>Yes</x:v>
      </x:c>
      <x:c r="M10" s="22" t="str">
        <x:v>Coordinates intent</x:v>
      </x:c>
      <x:c r="N10" s="38"/>
    </x:row>
    <x:row r="11">
      <x:c r="A11" s="37" t="str">
        <x:v>Building state</x:v>
      </x:c>
      <x:c r="B11" s="22" t="str">
        <x:v>Layout/Player</x:v>
      </x:c>
      <x:c r="C11" s="22" t="str">
        <x:v>Relational</x:v>
      </x:c>
      <x:c r="D11" s="22" t="str">
        <x:v>Economy cache</x:v>
      </x:c>
      <x:c r="E11" s="22" t="str">
        <x:v>Build/upgrade/specialize</x:v>
      </x:c>
      <x:c r="F11" s="22" t="str">
        <x:v>Yes</x:v>
      </x:c>
      <x:c r="G11" s="22" t="str">
        <x:v>Asset ledger</x:v>
      </x:c>
      <x:c r="H11" s="22" t="str">
        <x:v>No</x:v>
      </x:c>
      <x:c r="I11" s="22" t="str">
        <x:v>Building follows player</x:v>
      </x:c>
      <x:c r="J11" s="22" t="str">
        <x:v>Yes</x:v>
      </x:c>
      <x:c r="K11" s="22" t="str">
        <x:v>Optional later</x:v>
      </x:c>
      <x:c r="L11" s="22" t="str">
        <x:v>Yes</x:v>
      </x:c>
      <x:c r="M11" s="22" t="str">
        <x:v>Action intent</x:v>
      </x:c>
      <x:c r="N11" s="38"/>
    </x:row>
    <x:row r="12">
      <x:c r="A12" s="37" t="str">
        <x:v>Cash balance</x:v>
      </x:c>
      <x:c r="B12" s="22" t="str">
        <x:v>Economy</x:v>
      </x:c>
      <x:c r="C12" s="22" t="str">
        <x:v>Relational balance + ledger</x:v>
      </x:c>
      <x:c r="D12" s="22" t="str">
        <x:v>Cache</x:v>
      </x:c>
      <x:c r="E12" s="22" t="str">
        <x:v>Economy/reward validated entries</x:v>
      </x:c>
      <x:c r="F12" s="22" t="str">
        <x:v>Yes</x:v>
      </x:c>
      <x:c r="G12" s="22" t="str">
        <x:v>Yes</x:v>
      </x:c>
      <x:c r="H12" s="22" t="str">
        <x:v>No</x:v>
      </x:c>
      <x:c r="I12" s="22" t="str">
        <x:v>Player retains</x:v>
      </x:c>
      <x:c r="J12" s="22" t="str">
        <x:v>Yes</x:v>
      </x:c>
      <x:c r="K12" s="22" t="str">
        <x:v>No</x:v>
      </x:c>
      <x:c r="L12" s="22" t="str">
        <x:v>Yes from ledger</x:v>
      </x:c>
      <x:c r="M12" s="22" t="str">
        <x:v>No</x:v>
      </x:c>
      <x:c r="N12" s="38"/>
    </x:row>
    <x:row r="13">
      <x:c r="A13" s="37" t="str">
        <x:v>Customer state</x:v>
      </x:c>
      <x:c r="B13" s="22" t="str">
        <x:v>Customer</x:v>
      </x:c>
      <x:c r="C13" s="22" t="str">
        <x:v>Relational snapshot</x:v>
      </x:c>
      <x:c r="D13" s="22" t="str">
        <x:v>Cache</x:v>
      </x:c>
      <x:c r="E13" s="22" t="str">
        <x:v>Customer tick</x:v>
      </x:c>
      <x:c r="F13" s="22" t="str">
        <x:v>Yes</x:v>
      </x:c>
      <x:c r="G13" s="22" t="str">
        <x:v>Delta ledger</x:v>
      </x:c>
      <x:c r="H13" s="22" t="str">
        <x:v>No</x:v>
      </x:c>
      <x:c r="I13" s="22" t="str">
        <x:v>Player-level economy</x:v>
      </x:c>
      <x:c r="J13" s="22" t="str">
        <x:v>Yes</x:v>
      </x:c>
      <x:c r="K13" s="22" t="str">
        <x:v>No</x:v>
      </x:c>
      <x:c r="L13" s="22" t="str">
        <x:v>Yes from checkpoint+events</x:v>
      </x:c>
      <x:c r="M13" s="22" t="str">
        <x:v>No</x:v>
      </x:c>
      <x:c r="N13" s="38"/>
    </x:row>
    <x:row r="14">
      <x:c r="A14" s="37" t="str">
        <x:v>Activity metrics</x:v>
      </x:c>
      <x:c r="B14" s="22" t="str">
        <x:v>Economy</x:v>
      </x:c>
      <x:c r="C14" s="22" t="str">
        <x:v>Time-window aggregates</x:v>
      </x:c>
      <x:c r="D14" s="22" t="str">
        <x:v>Performance store</x:v>
      </x:c>
      <x:c r="E14" s="22" t="str">
        <x:v>Economy actions/ticks</x:v>
      </x:c>
      <x:c r="F14" s="22" t="str">
        <x:v>Yes</x:v>
      </x:c>
      <x:c r="G14" s="22" t="str">
        <x:v>Raw event ledger</x:v>
      </x:c>
      <x:c r="H14" s="22" t="str">
        <x:v>Windowed</x:v>
      </x:c>
      <x:c r="I14" s="22" t="str">
        <x:v>Player-level</x:v>
      </x:c>
      <x:c r="J14" s="22" t="str">
        <x:v>Yes</x:v>
      </x:c>
      <x:c r="K14" s="22" t="str">
        <x:v>No</x:v>
      </x:c>
      <x:c r="L14" s="22" t="str">
        <x:v>Yes</x:v>
      </x:c>
      <x:c r="M14" s="22" t="str">
        <x:v>No</x:v>
      </x:c>
      <x:c r="N14" s="38"/>
    </x:row>
    <x:row r="15">
      <x:c r="A15" s="37" t="str">
        <x:v>Risk categories</x:v>
      </x:c>
      <x:c r="B15" s="22" t="str">
        <x:v>Risk</x:v>
      </x:c>
      <x:c r="C15" s="22" t="str">
        <x:v>Relational snapshot</x:v>
      </x:c>
      <x:c r="D15" s="22" t="str">
        <x:v>Cache/performance</x:v>
      </x:c>
      <x:c r="E15" s="22" t="str">
        <x:v>Risk evaluator</x:v>
      </x:c>
      <x:c r="F15" s="22" t="str">
        <x:v>Yes</x:v>
      </x:c>
      <x:c r="G15" s="22" t="str">
        <x:v>Risk event log</x:v>
      </x:c>
      <x:c r="H15" s="22" t="str">
        <x:v>No</x:v>
      </x:c>
      <x:c r="I15" s="22" t="str">
        <x:v>Player-level</x:v>
      </x:c>
      <x:c r="J15" s="22" t="str">
        <x:v>Yes</x:v>
      </x:c>
      <x:c r="K15" s="22" t="str">
        <x:v>No</x:v>
      </x:c>
      <x:c r="L15" s="22" t="str">
        <x:v>Yes</x:v>
      </x:c>
      <x:c r="M15" s="22" t="str">
        <x:v>No</x:v>
      </x:c>
      <x:c r="N15" s="38"/>
    </x:row>
    <x:row r="16">
      <x:c r="A16" s="37" t="str">
        <x:v>Personal event</x:v>
      </x:c>
      <x:c r="B16" s="22" t="str">
        <x:v>Event</x:v>
      </x:c>
      <x:c r="C16" s="22" t="str">
        <x:v>Relational</x:v>
      </x:c>
      <x:c r="D16" s="22" t="str">
        <x:v>Cache</x:v>
      </x:c>
      <x:c r="E16" s="22" t="str">
        <x:v>Scheduler</x:v>
      </x:c>
      <x:c r="F16" s="22" t="str">
        <x:v>Yes</x:v>
      </x:c>
      <x:c r="G16" s="22" t="str">
        <x:v>Event log</x:v>
      </x:c>
      <x:c r="H16" s="22" t="str">
        <x:v>Expires</x:v>
      </x:c>
      <x:c r="I16" s="22" t="str">
        <x:v>Player-level</x:v>
      </x:c>
      <x:c r="J16" s="22" t="str">
        <x:v>Yes if overlaps epoch</x:v>
      </x:c>
      <x:c r="K16" s="22" t="str">
        <x:v>No</x:v>
      </x:c>
      <x:c r="L16" s="22" t="str">
        <x:v>Yes</x:v>
      </x:c>
      <x:c r="M16" s="22" t="str">
        <x:v>Choice only</x:v>
      </x:c>
      <x:c r="N16" s="38"/>
    </x:row>
    <x:row r="17">
      <x:c r="A17" s="37" t="str">
        <x:v>Market Hunt</x:v>
      </x:c>
      <x:c r="B17" s="22" t="str">
        <x:v>Hunt</x:v>
      </x:c>
      <x:c r="C17" s="22" t="str">
        <x:v>Relational</x:v>
      </x:c>
      <x:c r="D17" s="22" t="str">
        <x:v>Cache</x:v>
      </x:c>
      <x:c r="E17" s="22" t="str">
        <x:v>Scheduler/progress evaluator</x:v>
      </x:c>
      <x:c r="F17" s="22" t="str">
        <x:v>Yes</x:v>
      </x:c>
      <x:c r="G17" s="22" t="str">
        <x:v>Hunt log</x:v>
      </x:c>
      <x:c r="H17" s="22" t="str">
        <x:v>Expires</x:v>
      </x:c>
      <x:c r="I17" s="22" t="str">
        <x:v>Player-level</x:v>
      </x:c>
      <x:c r="J17" s="22" t="str">
        <x:v>Yes</x:v>
      </x:c>
      <x:c r="K17" s="22" t="str">
        <x:v>No</x:v>
      </x:c>
      <x:c r="L17" s="22" t="str">
        <x:v>Yes</x:v>
      </x:c>
      <x:c r="M17" s="22" t="str">
        <x:v>Action only</x:v>
      </x:c>
      <x:c r="N17" s="38"/>
    </x:row>
    <x:row r="18">
      <x:c r="A18" s="37" t="str">
        <x:v>Stock reward reservation</x:v>
      </x:c>
      <x:c r="B18" s="22" t="str">
        <x:v>Reward/Hunt</x:v>
      </x:c>
      <x:c r="C18" s="22" t="str">
        <x:v>Reward ledger</x:v>
      </x:c>
      <x:c r="D18" s="22" t="str">
        <x:v>Cache</x:v>
      </x:c>
      <x:c r="E18" s="22" t="str">
        <x:v>Hunt completion</x:v>
      </x:c>
      <x:c r="F18" s="22" t="str">
        <x:v>Yes</x:v>
      </x:c>
      <x:c r="G18" s="22" t="str">
        <x:v>Yes</x:v>
      </x:c>
      <x:c r="H18" s="22" t="str">
        <x:v>Claim window</x:v>
      </x:c>
      <x:c r="I18" s="22" t="str">
        <x:v>Player-level</x:v>
      </x:c>
      <x:c r="J18" s="22" t="str">
        <x:v>Yes</x:v>
      </x:c>
      <x:c r="K18" s="22" t="str">
        <x:v>Provider later</x:v>
      </x:c>
      <x:c r="L18" s="22" t="str">
        <x:v>Yes</x:v>
      </x:c>
      <x:c r="M18" s="22" t="str">
        <x:v>Claim intent</x:v>
      </x:c>
      <x:c r="N18" s="38"/>
    </x:row>
    <x:row r="19">
      <x:c r="A19" s="37" t="str">
        <x:v>Performance Score</x:v>
      </x:c>
      <x:c r="B19" s="22" t="str">
        <x:v>Performance</x:v>
      </x:c>
      <x:c r="C19" s="22" t="str">
        <x:v>Frozen weekly snapshot</x:v>
      </x:c>
      <x:c r="D19" s="22" t="str">
        <x:v>Cache</x:v>
      </x:c>
      <x:c r="E19" s="22" t="str">
        <x:v>Derived from validated source snapshots</x:v>
      </x:c>
      <x:c r="F19" s="22" t="str">
        <x:v>Yes</x:v>
      </x:c>
      <x:c r="G19" s="22" t="str">
        <x:v>Settlement ledger</x:v>
      </x:c>
      <x:c r="H19" s="22" t="str">
        <x:v>Epoch</x:v>
      </x:c>
      <x:c r="I19" s="22" t="str">
        <x:v>Player-level</x:v>
      </x:c>
      <x:c r="J19" s="22" t="str">
        <x:v>Yes</x:v>
      </x:c>
      <x:c r="K19" s="22" t="str">
        <x:v>No</x:v>
      </x:c>
      <x:c r="L19" s="22" t="str">
        <x:v>Yes</x:v>
      </x:c>
      <x:c r="M19" s="22" t="str">
        <x:v>No</x:v>
      </x:c>
      <x:c r="N19" s="38"/>
    </x:row>
    <x:row r="20">
      <x:c r="A20" s="37" t="str">
        <x:v>Competitive Rating</x:v>
      </x:c>
      <x:c r="B20" s="22" t="str">
        <x:v>Competition</x:v>
      </x:c>
      <x:c r="C20" s="22" t="str">
        <x:v>Relational history</x:v>
      </x:c>
      <x:c r="D20" s="22" t="str">
        <x:v>Cache</x:v>
      </x:c>
      <x:c r="E20" s="22" t="str">
        <x:v>Weekly settlement</x:v>
      </x:c>
      <x:c r="F20" s="22" t="str">
        <x:v>Yes</x:v>
      </x:c>
      <x:c r="G20" s="22" t="str">
        <x:v>Rating ledger</x:v>
      </x:c>
      <x:c r="H20" s="22" t="str">
        <x:v>No</x:v>
      </x:c>
      <x:c r="I20" s="22" t="str">
        <x:v>Player-level</x:v>
      </x:c>
      <x:c r="J20" s="22" t="str">
        <x:v>Yes</x:v>
      </x:c>
      <x:c r="K20" s="22" t="str">
        <x:v>No</x:v>
      </x:c>
      <x:c r="L20" s="22" t="str">
        <x:v>Yes</x:v>
      </x:c>
      <x:c r="M20" s="22" t="str">
        <x:v>No</x:v>
      </x:c>
      <x:c r="N20" s="38"/>
    </x:row>
    <x:row r="21">
      <x:c r="A21" s="39" t="str">
        <x:v>PLOT claim amount</x:v>
      </x:c>
      <x:c r="B21" s="40" t="str">
        <x:v>Reward/Settlement</x:v>
      </x:c>
      <x:c r="C21" s="40" t="str">
        <x:v>Claim ledger / root</x:v>
      </x:c>
      <x:c r="D21" s="40" t="str">
        <x:v>Cache</x:v>
      </x:c>
      <x:c r="E21" s="40" t="str">
        <x:v>Finalized settlement</x:v>
      </x:c>
      <x:c r="F21" s="40" t="str">
        <x:v>Yes</x:v>
      </x:c>
      <x:c r="G21" s="40" t="str">
        <x:v>Yes</x:v>
      </x:c>
      <x:c r="H21" s="40" t="str">
        <x:v>Claim window</x:v>
      </x:c>
      <x:c r="I21" s="40" t="str">
        <x:v>Player-level</x:v>
      </x:c>
      <x:c r="J21" s="40" t="str">
        <x:v>Yes</x:v>
      </x:c>
      <x:c r="K21" s="40" t="str">
        <x:v>Claim layer</x:v>
      </x:c>
      <x:c r="L21" s="40" t="str">
        <x:v>Yes</x:v>
      </x:c>
      <x:c r="M21" s="40" t="str">
        <x:v>Claim only</x:v>
      </x:c>
      <x:c r="N21" s="41"/>
    </x:row>
    <x:row r="22">
      <x:c r="A22" s="92" t="str">
        <x:v>Module config</x:v>
      </x:c>
      <x:c r="B22" s="93" t="str">
        <x:v>Module</x:v>
      </x:c>
      <x:c r="C22" s="93" t="str">
        <x:v>Immutable config store</x:v>
      </x:c>
      <x:c r="D22" s="93" t="str">
        <x:v>Config cache</x:v>
      </x:c>
      <x:c r="E22" s="93" t="str">
        <x:v>Approved config publish</x:v>
      </x:c>
      <x:c r="F22" s="93" t="str">
        <x:v>Yes</x:v>
      </x:c>
      <x:c r="G22" s="93" t="str">
        <x:v>Config audit</x:v>
      </x:c>
      <x:c r="H22" s="93" t="str">
        <x:v>Effective window</x:v>
      </x:c>
      <x:c r="I22" s="93" t="str">
        <x:v>N/A</x:v>
      </x:c>
      <x:c r="J22" s="93" t="str">
        <x:v>Yes via source version refs</x:v>
      </x:c>
      <x:c r="K22" s="93" t="str">
        <x:v>No</x:v>
      </x:c>
      <x:c r="L22" s="93" t="str">
        <x:v>Yes</x:v>
      </x:c>
      <x:c r="M22" s="93" t="str">
        <x:v>No</x:v>
      </x:c>
      <x:c r="N22" s="94" t="str">
        <x:v>Content definition only</x:v>
      </x:c>
    </x:row>
    <x:row r="23">
      <x:c r="A23" s="95" t="str">
        <x:v>Module inventory</x:v>
      </x:c>
      <x:c r="B23" s="96" t="str">
        <x:v>Module</x:v>
      </x:c>
      <x:c r="C23" s="96" t="str">
        <x:v>Relational aggregate + reward ledger</x:v>
      </x:c>
      <x:c r="D23" s="96" t="str">
        <x:v>Inventory cache</x:v>
      </x:c>
      <x:c r="E23" s="96" t="str">
        <x:v>Reward/craft/dismantle</x:v>
      </x:c>
      <x:c r="F23" s="96" t="str">
        <x:v>Yes</x:v>
      </x:c>
      <x:c r="G23" s="96" t="str">
        <x:v>Acquisition/parts ledgers</x:v>
      </x:c>
      <x:c r="H23" s="96" t="str">
        <x:v>No</x:v>
      </x:c>
      <x:c r="I23" s="96" t="str">
        <x:v>Player retains; not Plot-owned</x:v>
      </x:c>
      <x:c r="J23" s="96" t="str">
        <x:v>Yes if relevant to replay manifest</x:v>
      </x:c>
      <x:c r="K23" s="96" t="str">
        <x:v>No</x:v>
      </x:c>
      <x:c r="L23" s="96" t="str">
        <x:v>Yes</x:v>
      </x:c>
      <x:c r="M23" s="96" t="str">
        <x:v>Intent only</x:v>
      </x:c>
      <x:c r="N23" s="97" t="str">
        <x:v>owned &gt;= equipped &gt;= 0</x:v>
      </x:c>
    </x:row>
    <x:row r="24">
      <x:c r="A24" s="95" t="str">
        <x:v>Building Module loadout</x:v>
      </x:c>
      <x:c r="B24" s="96" t="str">
        <x:v>Module/Building</x:v>
      </x:c>
      <x:c r="C24" s="96" t="str">
        <x:v>Relational loadout</x:v>
      </x:c>
      <x:c r="D24" s="96" t="str">
        <x:v>Building/module cache</x:v>
      </x:c>
      <x:c r="E24" s="96" t="str">
        <x:v>Equip/unequip/building removal</x:v>
      </x:c>
      <x:c r="F24" s="96" t="str">
        <x:v>Yes</x:v>
      </x:c>
      <x:c r="G24" s="96" t="str">
        <x:v>Loadout audit</x:v>
      </x:c>
      <x:c r="H24" s="96" t="str">
        <x:v>No</x:v>
      </x:c>
      <x:c r="I24" s="96" t="str">
        <x:v>Modules return to player inventory if building removed</x:v>
      </x:c>
      <x:c r="J24" s="96" t="str">
        <x:v>Yes via loadout version refs</x:v>
      </x:c>
      <x:c r="K24" s="96" t="str">
        <x:v>No</x:v>
      </x:c>
      <x:c r="L24" s="96" t="str">
        <x:v>Yes</x:v>
      </x:c>
      <x:c r="M24" s="96" t="str">
        <x:v>Equip intent only</x:v>
      </x:c>
      <x:c r="N24" s="97" t="str">
        <x:v>effective_at next simulation boundary</x:v>
      </x:c>
    </x:row>
    <x:row r="25">
      <x:c r="A25" s="95" t="str">
        <x:v>Building Mastery</x:v>
      </x:c>
      <x:c r="B25" s="96" t="str">
        <x:v>Module</x:v>
      </x:c>
      <x:c r="C25" s="96" t="str">
        <x:v>Relational progress + evidence refs</x:v>
      </x:c>
      <x:c r="D25" s="96" t="str">
        <x:v>Mastery cache</x:v>
      </x:c>
      <x:c r="E25" s="96" t="str">
        <x:v>Validated building activity</x:v>
      </x:c>
      <x:c r="F25" s="96" t="str">
        <x:v>Yes</x:v>
      </x:c>
      <x:c r="G25" s="96" t="str">
        <x:v>Mastery/reward event log</x:v>
      </x:c>
      <x:c r="H25" s="96" t="str">
        <x:v>No</x:v>
      </x:c>
      <x:c r="I25" s="96" t="str">
        <x:v>Player retains</x:v>
      </x:c>
      <x:c r="J25" s="96" t="str">
        <x:v>No direct score snapshot</x:v>
      </x:c>
      <x:c r="K25" s="96" t="str">
        <x:v>No</x:v>
      </x:c>
      <x:c r="L25" s="96" t="str">
        <x:v>Yes from ledgers</x:v>
      </x:c>
      <x:c r="M25" s="96" t="str">
        <x:v>Claim intent only</x:v>
      </x:c>
      <x:c r="N25" s="97" t="str">
        <x:v>One-time tiers per Building Card/family track</x:v>
      </x:c>
    </x:row>
    <x:row r="26">
      <x:c r="A26" s="95" t="str">
        <x:v>Module Parts</x:v>
      </x:c>
      <x:c r="B26" s="96" t="str">
        <x:v>Module</x:v>
      </x:c>
      <x:c r="C26" s="96" t="str">
        <x:v>Relational balance + append-only ledger</x:v>
      </x:c>
      <x:c r="D26" s="96" t="str">
        <x:v>Parts cache</x:v>
      </x:c>
      <x:c r="E26" s="96" t="str">
        <x:v>Dismantle/craft</x:v>
      </x:c>
      <x:c r="F26" s="96" t="str">
        <x:v>Yes</x:v>
      </x:c>
      <x:c r="G26" s="96" t="str">
        <x:v>Yes</x:v>
      </x:c>
      <x:c r="H26" s="96" t="str">
        <x:v>No</x:v>
      </x:c>
      <x:c r="I26" s="96" t="str">
        <x:v>Player retains</x:v>
      </x:c>
      <x:c r="J26" s="96" t="str">
        <x:v>No direct score snapshot</x:v>
      </x:c>
      <x:c r="K26" s="96" t="str">
        <x:v>No</x:v>
      </x:c>
      <x:c r="L26" s="96" t="str">
        <x:v>Yes from ledger</x:v>
      </x:c>
      <x:c r="M26" s="96" t="str">
        <x:v>No outcome</x:v>
      </x:c>
      <x:c r="N26" s="97" t="str">
        <x:v>Same-tier only</x:v>
      </x:c>
    </x:row>
    <x:row r="27">
      <x:c r="A27" s="98" t="str">
        <x:v>Craft job</x:v>
      </x:c>
      <x:c r="B27" s="99" t="str">
        <x:v>Module</x:v>
      </x:c>
      <x:c r="C27" s="99" t="str">
        <x:v>Relational job state</x:v>
      </x:c>
      <x:c r="D27" s="99" t="str">
        <x:v>Craft queue cache</x:v>
      </x:c>
      <x:c r="E27" s="99" t="str">
        <x:v>Craft command/scheduler</x:v>
      </x:c>
      <x:c r="F27" s="99" t="str">
        <x:v>Yes</x:v>
      </x:c>
      <x:c r="G27" s="99" t="str">
        <x:v>Craft ledger</x:v>
      </x:c>
      <x:c r="H27" s="99" t="str">
        <x:v>Expires on completion/cancel</x:v>
      </x:c>
      <x:c r="I27" s="99" t="str">
        <x:v>Player retains</x:v>
      </x:c>
      <x:c r="J27" s="99" t="str">
        <x:v>No</x:v>
      </x:c>
      <x:c r="K27" s="99" t="str">
        <x:v>No</x:v>
      </x:c>
      <x:c r="L27" s="99" t="str">
        <x:v>Yes</x:v>
      </x:c>
      <x:c r="M27" s="99" t="str">
        <x:v>Craft/cancel intent</x:v>
      </x:c>
      <x:c r="N27" s="100" t="str">
        <x:v>Server UTC; offline completion allowed</x:v>
      </x:c>
    </x:row>
  </x:sheetData>
  <x:mergeCells>
    <x:mergeCell ref="A1:N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16" hidden="0" customWidth="1"/>
  </x:cols>
  <x:sheetData>
    <x:row r="1" ht="28" customHeight="1">
      <x:c r="A1" s="86" t="str">
        <x:v>Player Aggregate — Fields, Invariants &amp; Mutations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</x:row>
    <x:row r="3">
      <x:c r="A3" s="14" t="str">
        <x:v>Field</x:v>
      </x:c>
      <x:c r="B3" s="14" t="str">
        <x:v>Type</x:v>
      </x:c>
      <x:c r="C3" s="14" t="str">
        <x:v>Example</x:v>
      </x:c>
      <x:c r="D3" s="14" t="str">
        <x:v>Source</x:v>
      </x:c>
      <x:c r="E3" s="14" t="str">
        <x:v>Mutable?</x:v>
      </x:c>
      <x:c r="F3" s="14" t="str">
        <x:v>Mutation Command</x:v>
      </x:c>
      <x:c r="G3" s="14" t="str">
        <x:v>Validation</x:v>
      </x:c>
      <x:c r="H3" s="14" t="str">
        <x:v>Derived From</x:v>
      </x:c>
      <x:c r="I3" s="14" t="str">
        <x:v>Versioned?</x:v>
      </x:c>
      <x:c r="J3" s="14" t="str">
        <x:v>Ledgered?</x:v>
      </x:c>
      <x:c r="K3" s="14" t="str">
        <x:v>Cache?</x:v>
      </x:c>
      <x:c r="L3" s="14" t="str">
        <x:v>Snapshot Weekly?</x:v>
      </x:c>
      <x:c r="M3" s="14" t="str">
        <x:v>Privacy</x:v>
      </x:c>
      <x:c r="N3" s="14" t="str">
        <x:v>Failure Default</x:v>
      </x:c>
      <x:c r="O3" s="14" t="str">
        <x:v>Notes</x:v>
      </x:c>
    </x:row>
    <x:row r="4">
      <x:c r="A4" s="34" t="str">
        <x:v>player_id</x:v>
      </x:c>
      <x:c r="B4" s="35" t="str">
        <x:v>UUID</x:v>
      </x:c>
      <x:c r="C4" s="35" t="str">
        <x:v>plr_...</x:v>
      </x:c>
      <x:c r="D4" s="35" t="str">
        <x:v>Identity</x:v>
      </x:c>
      <x:c r="E4" s="35" t="str">
        <x:v>No</x:v>
      </x:c>
      <x:c r="F4" s="35" t="str">
        <x:v>CreatePlayer</x:v>
      </x:c>
      <x:c r="G4" s="35" t="str">
        <x:v>Unique account</x:v>
      </x:c>
      <x:c r="H4" s="35" t="str">
        <x:v>N/A</x:v>
      </x:c>
      <x:c r="I4" s="35" t="str">
        <x:v>Yes</x:v>
      </x:c>
      <x:c r="J4" s="35" t="str">
        <x:v>Audit</x:v>
      </x:c>
      <x:c r="K4" s="35" t="str">
        <x:v>Yes</x:v>
      </x:c>
      <x:c r="L4" s="35" t="str">
        <x:v>Yes</x:v>
      </x:c>
      <x:c r="M4" s="35" t="str">
        <x:v>Internal</x:v>
      </x:c>
      <x:c r="N4" s="35" t="str">
        <x:v>Fail closed</x:v>
      </x:c>
      <x:c r="O4" s="36" t="str"/>
    </x:row>
    <x:row r="5">
      <x:c r="A5" s="37" t="str">
        <x:v>family_user_id</x:v>
      </x:c>
      <x:c r="B5" s="22" t="str">
        <x:v>string</x:v>
      </x:c>
      <x:c r="C5" s="22" t="str">
        <x:v>fam_...</x:v>
      </x:c>
      <x:c r="D5" s="22" t="str">
        <x:v>Identity</x:v>
      </x:c>
      <x:c r="E5" s="22" t="str">
        <x:v>No</x:v>
      </x:c>
      <x:c r="F5" s="22" t="str">
        <x:v>LinkIdentity</x:v>
      </x:c>
      <x:c r="G5" s="22" t="str">
        <x:v>Verified Family SDK context</x:v>
      </x:c>
      <x:c r="H5" s="22" t="str">
        <x:v>N/A</x:v>
      </x:c>
      <x:c r="I5" s="22" t="str">
        <x:v>Yes</x:v>
      </x:c>
      <x:c r="J5" s="22" t="str">
        <x:v>Audit</x:v>
      </x:c>
      <x:c r="K5" s="22" t="str">
        <x:v>Yes</x:v>
      </x:c>
      <x:c r="L5" s="22" t="str">
        <x:v>No</x:v>
      </x:c>
      <x:c r="M5" s="22" t="str">
        <x:v>Sensitive internal</x:v>
      </x:c>
      <x:c r="N5" s="22" t="str">
        <x:v>Fail closed</x:v>
      </x:c>
      <x:c r="O5" s="38" t="str"/>
    </x:row>
    <x:row r="6">
      <x:c r="A6" s="37" t="str">
        <x:v>primary_wallet</x:v>
      </x:c>
      <x:c r="B6" s="22" t="str">
        <x:v>address</x:v>
      </x:c>
      <x:c r="C6" s="22" t="str">
        <x:v>0x...</x:v>
      </x:c>
      <x:c r="D6" s="22" t="str">
        <x:v>Identity</x:v>
      </x:c>
      <x:c r="E6" s="22" t="str">
        <x:v>Yes</x:v>
      </x:c>
      <x:c r="F6" s="22" t="str">
        <x:v>LinkWallet</x:v>
      </x:c>
      <x:c r="G6" s="22" t="str">
        <x:v>Signed ownership challenge</x:v>
      </x:c>
      <x:c r="H6" s="22" t="str">
        <x:v>N/A</x:v>
      </x:c>
      <x:c r="I6" s="22" t="str">
        <x:v>Yes</x:v>
      </x:c>
      <x:c r="J6" s="22" t="str">
        <x:v>Audit</x:v>
      </x:c>
      <x:c r="K6" s="22" t="str">
        <x:v>Yes</x:v>
      </x:c>
      <x:c r="L6" s="22" t="str">
        <x:v>Yes</x:v>
      </x:c>
      <x:c r="M6" s="22" t="str">
        <x:v>Sensitive internal</x:v>
      </x:c>
      <x:c r="N6" s="22" t="str">
        <x:v>No reward mutation until valid</x:v>
      </x:c>
      <x:c r="O6" s="38" t="str"/>
    </x:row>
    <x:row r="7">
      <x:c r="A7" s="37" t="str">
        <x:v>empire_level</x:v>
      </x:c>
      <x:c r="B7" s="22" t="str">
        <x:v>int</x:v>
      </x:c>
      <x:c r="C7" s="22" t="str">
        <x:v>27</x:v>
      </x:c>
      <x:c r="D7" s="22" t="str">
        <x:v>Player</x:v>
      </x:c>
      <x:c r="E7" s="22" t="str">
        <x:v>Yes</x:v>
      </x:c>
      <x:c r="F7" s="22" t="str">
        <x:v>AwardXP/LevelUp</x:v>
      </x:c>
      <x:c r="G7" s="22" t="str">
        <x:v>XP threshold</x:v>
      </x:c>
      <x:c r="H7" s="22" t="str">
        <x:v>XP</x:v>
      </x:c>
      <x:c r="I7" s="22" t="str">
        <x:v>Yes</x:v>
      </x:c>
      <x:c r="J7" s="22" t="str">
        <x:v>XP ledger</x:v>
      </x:c>
      <x:c r="K7" s="22" t="str">
        <x:v>Yes</x:v>
      </x:c>
      <x:c r="L7" s="22" t="str">
        <x:v>Yes</x:v>
      </x:c>
      <x:c r="M7" s="22" t="str">
        <x:v>Public gameplay</x:v>
      </x:c>
      <x:c r="N7" s="22" t="str">
        <x:v>Keep last valid</x:v>
      </x:c>
      <x:c r="O7" s="38" t="str"/>
    </x:row>
    <x:row r="8">
      <x:c r="A8" s="37" t="str">
        <x:v>empire_xp</x:v>
      </x:c>
      <x:c r="B8" s="22" t="str">
        <x:v>int64</x:v>
      </x:c>
      <x:c r="C8" s="22" t="str">
        <x:v>148250</x:v>
      </x:c>
      <x:c r="D8" s="22" t="str">
        <x:v>Player</x:v>
      </x:c>
      <x:c r="E8" s="22" t="str">
        <x:v>Yes</x:v>
      </x:c>
      <x:c r="F8" s="22" t="str">
        <x:v>AwardXP</x:v>
      </x:c>
      <x:c r="G8" s="22" t="str">
        <x:v>Eligible action + caps</x:v>
      </x:c>
      <x:c r="H8" s="22" t="str">
        <x:v>XP ledger</x:v>
      </x:c>
      <x:c r="I8" s="22" t="str">
        <x:v>Yes</x:v>
      </x:c>
      <x:c r="J8" s="22" t="str">
        <x:v>Yes</x:v>
      </x:c>
      <x:c r="K8" s="22" t="str">
        <x:v>Yes</x:v>
      </x:c>
      <x:c r="L8" s="22" t="str">
        <x:v>Yes</x:v>
      </x:c>
      <x:c r="M8" s="22" t="str">
        <x:v>Private gameplay</x:v>
      </x:c>
      <x:c r="N8" s="22" t="str">
        <x:v>Keep last valid</x:v>
      </x:c>
      <x:c r="O8" s="38" t="str"/>
    </x:row>
    <x:row r="9">
      <x:c r="A9" s="37" t="str">
        <x:v>reputation</x:v>
      </x:c>
      <x:c r="B9" s="22" t="str">
        <x:v>decimal</x:v>
      </x:c>
      <x:c r="C9" s="22" t="str">
        <x:v>72.5</x:v>
      </x:c>
      <x:c r="D9" s="22" t="str">
        <x:v>Risk/Player</x:v>
      </x:c>
      <x:c r="E9" s="22" t="str">
        <x:v>Yes</x:v>
      </x:c>
      <x:c r="F9" s="22" t="str">
        <x:v>ApplyRepEvent</x:v>
      </x:c>
      <x:c r="G9" s="22" t="str">
        <x:v>0–100 + daily caps</x:v>
      </x:c>
      <x:c r="H9" s="22" t="str">
        <x:v>Rep event ledger</x:v>
      </x:c>
      <x:c r="I9" s="22" t="str">
        <x:v>Yes</x:v>
      </x:c>
      <x:c r="J9" s="22" t="str">
        <x:v>Yes</x:v>
      </x:c>
      <x:c r="K9" s="22" t="str">
        <x:v>Yes</x:v>
      </x:c>
      <x:c r="L9" s="22" t="str">
        <x:v>Yes</x:v>
      </x:c>
      <x:c r="M9" s="22" t="str">
        <x:v>Public gameplay</x:v>
      </x:c>
      <x:c r="N9" s="22" t="str">
        <x:v>Keep last valid</x:v>
      </x:c>
      <x:c r="O9" s="38" t="str"/>
    </x:row>
    <x:row r="10">
      <x:c r="A10" s="37" t="str">
        <x:v>competitive_rating</x:v>
      </x:c>
      <x:c r="B10" s="22" t="str">
        <x:v>decimal</x:v>
      </x:c>
      <x:c r="C10" s="22" t="str">
        <x:v>1212.4</x:v>
      </x:c>
      <x:c r="D10" s="22" t="str">
        <x:v>Competition</x:v>
      </x:c>
      <x:c r="E10" s="22" t="str">
        <x:v>Yes</x:v>
      </x:c>
      <x:c r="F10" s="22" t="str">
        <x:v>FinalizeWeek</x:v>
      </x:c>
      <x:c r="G10" s="22" t="str">
        <x:v>Weekly formula only</x:v>
      </x:c>
      <x:c r="H10" s="22" t="str">
        <x:v>Finalized score</x:v>
      </x:c>
      <x:c r="I10" s="22" t="str">
        <x:v>Yes</x:v>
      </x:c>
      <x:c r="J10" s="22" t="str">
        <x:v>Yes</x:v>
      </x:c>
      <x:c r="K10" s="22" t="str">
        <x:v>Yes</x:v>
      </x:c>
      <x:c r="L10" s="22" t="str">
        <x:v>Yes</x:v>
      </x:c>
      <x:c r="M10" s="22" t="str">
        <x:v>Public gameplay</x:v>
      </x:c>
      <x:c r="N10" s="22" t="str">
        <x:v>Freeze if settlement issue</x:v>
      </x:c>
      <x:c r="O10" s="38" t="str"/>
    </x:row>
    <x:row r="11">
      <x:c r="A11" s="37" t="str">
        <x:v>league</x:v>
      </x:c>
      <x:c r="B11" s="22" t="str">
        <x:v>enum</x:v>
      </x:c>
      <x:c r="C11" s="22" t="str">
        <x:v>Gold</x:v>
      </x:c>
      <x:c r="D11" s="22" t="str">
        <x:v>Competition</x:v>
      </x:c>
      <x:c r="E11" s="22" t="str">
        <x:v>Yes</x:v>
      </x:c>
      <x:c r="F11" s="22" t="str">
        <x:v>FinalizeWeek</x:v>
      </x:c>
      <x:c r="G11" s="22" t="str">
        <x:v>Rating band + movement guardrails</x:v>
      </x:c>
      <x:c r="H11" s="22" t="str">
        <x:v>Rating</x:v>
      </x:c>
      <x:c r="I11" s="22" t="str">
        <x:v>Yes</x:v>
      </x:c>
      <x:c r="J11" s="22" t="str">
        <x:v>Yes</x:v>
      </x:c>
      <x:c r="K11" s="22" t="str">
        <x:v>Yes</x:v>
      </x:c>
      <x:c r="L11" s="22" t="str">
        <x:v>Yes</x:v>
      </x:c>
      <x:c r="M11" s="22" t="str">
        <x:v>Public gameplay</x:v>
      </x:c>
      <x:c r="N11" s="22" t="str">
        <x:v>Keep prior league</x:v>
      </x:c>
      <x:c r="O11" s="38" t="str"/>
    </x:row>
    <x:row r="12">
      <x:c r="A12" s="37" t="str">
        <x:v>season_points</x:v>
      </x:c>
      <x:c r="B12" s="22" t="str">
        <x:v>decimal</x:v>
      </x:c>
      <x:c r="C12" s="22" t="str">
        <x:v>443.2</x:v>
      </x:c>
      <x:c r="D12" s="22" t="str">
        <x:v>Competition</x:v>
      </x:c>
      <x:c r="E12" s="22" t="str">
        <x:v>Yes</x:v>
      </x:c>
      <x:c r="F12" s="22" t="str">
        <x:v>FinalizeWeek</x:v>
      </x:c>
      <x:c r="G12" s="22" t="str">
        <x:v>Eligible week + league multiplier</x:v>
      </x:c>
      <x:c r="H12" s="22" t="str">
        <x:v>Percentile/league</x:v>
      </x:c>
      <x:c r="I12" s="22" t="str">
        <x:v>Yes</x:v>
      </x:c>
      <x:c r="J12" s="22" t="str">
        <x:v>Yes</x:v>
      </x:c>
      <x:c r="K12" s="22" t="str">
        <x:v>Yes</x:v>
      </x:c>
      <x:c r="L12" s="22" t="str">
        <x:v>Yes</x:v>
      </x:c>
      <x:c r="M12" s="22" t="str">
        <x:v>Public gameplay</x:v>
      </x:c>
      <x:c r="N12" s="22" t="str">
        <x:v>No increment on failure</x:v>
      </x:c>
      <x:c r="O12" s="38" t="str"/>
    </x:row>
    <x:row r="13">
      <x:c r="A13" s="37" t="str">
        <x:v>cash_balance</x:v>
      </x:c>
      <x:c r="B13" s="22" t="str">
        <x:v>int64</x:v>
      </x:c>
      <x:c r="C13" s="22" t="str">
        <x:v>845000</x:v>
      </x:c>
      <x:c r="D13" s="22" t="str">
        <x:v>Economy</x:v>
      </x:c>
      <x:c r="E13" s="22" t="str">
        <x:v>Yes</x:v>
      </x:c>
      <x:c r="F13" s="22" t="str">
        <x:v>PostLedgerEntry</x:v>
      </x:c>
      <x:c r="G13" s="22" t="str">
        <x:v>No negative balance unless explicit credit system later</x:v>
      </x:c>
      <x:c r="H13" s="22" t="str">
        <x:v>Cash ledger</x:v>
      </x:c>
      <x:c r="I13" s="22" t="str">
        <x:v>Yes</x:v>
      </x:c>
      <x:c r="J13" s="22" t="str">
        <x:v>Yes</x:v>
      </x:c>
      <x:c r="K13" s="22" t="str">
        <x:v>Yes</x:v>
      </x:c>
      <x:c r="L13" s="22" t="str">
        <x:v>Yes</x:v>
      </x:c>
      <x:c r="M13" s="22" t="str">
        <x:v>Private gameplay</x:v>
      </x:c>
      <x:c r="N13" s="22" t="str">
        <x:v>Reject mutation</x:v>
      </x:c>
      <x:c r="O13" s="38" t="str"/>
    </x:row>
    <x:row r="14">
      <x:c r="A14" s="37" t="str">
        <x:v>active_plot_count</x:v>
      </x:c>
      <x:c r="B14" s="22" t="str">
        <x:v>int</x:v>
      </x:c>
      <x:c r="C14" s="22" t="str">
        <x:v>2</x:v>
      </x:c>
      <x:c r="D14" s="22" t="str">
        <x:v>Plot</x:v>
      </x:c>
      <x:c r="E14" s="22" t="str">
        <x:v>Derived</x:v>
      </x:c>
      <x:c r="F14" s="22" t="str">
        <x:v>Activate/DeactivatePlot</x:v>
      </x:c>
      <x:c r="G14" s="22" t="str">
        <x:v>&lt;= stage cap</x:v>
      </x:c>
      <x:c r="H14" s="22" t="str">
        <x:v>Plot states</x:v>
      </x:c>
      <x:c r="I14" s="22" t="str">
        <x:v>Yes</x:v>
      </x:c>
      <x:c r="J14" s="22" t="str">
        <x:v>Audit</x:v>
      </x:c>
      <x:c r="K14" s="22" t="str">
        <x:v>Yes</x:v>
      </x:c>
      <x:c r="L14" s="22" t="str">
        <x:v>Yes</x:v>
      </x:c>
      <x:c r="M14" s="22" t="str">
        <x:v>Public gameplay</x:v>
      </x:c>
      <x:c r="N14" s="22" t="str">
        <x:v>Recompute</x:v>
      </x:c>
      <x:c r="O14" s="38" t="str"/>
    </x:row>
    <x:row r="15">
      <x:c r="A15" s="37" t="str">
        <x:v>integrity_status</x:v>
      </x:c>
      <x:c r="B15" s="22" t="str">
        <x:v>enum</x:v>
      </x:c>
      <x:c r="C15" s="22" t="str">
        <x:v>clean</x:v>
      </x:c>
      <x:c r="D15" s="22" t="str">
        <x:v>Integrity</x:v>
      </x:c>
      <x:c r="E15" s="22" t="str">
        <x:v>Yes</x:v>
      </x:c>
      <x:c r="F15" s="22" t="str">
        <x:v>SetIntegrityStatus</x:v>
      </x:c>
      <x:c r="G15" s="22" t="str">
        <x:v>Authorized service/review only</x:v>
      </x:c>
      <x:c r="H15" s="22" t="str">
        <x:v>Cases</x:v>
      </x:c>
      <x:c r="I15" s="22" t="str">
        <x:v>Yes</x:v>
      </x:c>
      <x:c r="J15" s="22" t="str">
        <x:v>Audit</x:v>
      </x:c>
      <x:c r="K15" s="22" t="str">
        <x:v>Yes</x:v>
      </x:c>
      <x:c r="L15" s="22" t="str">
        <x:v>Yes</x:v>
      </x:c>
      <x:c r="M15" s="22" t="str">
        <x:v>Internal</x:v>
      </x:c>
      <x:c r="N15" s="22" t="str">
        <x:v>Fail closed for claims</x:v>
      </x:c>
      <x:c r="O15" s="38" t="str"/>
    </x:row>
    <x:row r="16">
      <x:c r="A16" s="37" t="str">
        <x:v>created_at</x:v>
      </x:c>
      <x:c r="B16" s="22" t="str">
        <x:v>timestamp</x:v>
      </x:c>
      <x:c r="C16" s="22" t="str">
        <x:v>UTC</x:v>
      </x:c>
      <x:c r="D16" s="22" t="str">
        <x:v>Identity</x:v>
      </x:c>
      <x:c r="E16" s="22" t="str">
        <x:v>No</x:v>
      </x:c>
      <x:c r="F16" s="22" t="str">
        <x:v>CreatePlayer</x:v>
      </x:c>
      <x:c r="G16" s="22" t="str">
        <x:v>Server time</x:v>
      </x:c>
      <x:c r="H16" s="22" t="str">
        <x:v>N/A</x:v>
      </x:c>
      <x:c r="I16" s="22" t="str">
        <x:v>No</x:v>
      </x:c>
      <x:c r="J16" s="22" t="str">
        <x:v>Audit</x:v>
      </x:c>
      <x:c r="K16" s="22" t="str">
        <x:v>No</x:v>
      </x:c>
      <x:c r="L16" s="22" t="str">
        <x:v>Yes</x:v>
      </x:c>
      <x:c r="M16" s="22" t="str">
        <x:v>Internal</x:v>
      </x:c>
      <x:c r="N16" s="22" t="str">
        <x:v>N/A</x:v>
      </x:c>
      <x:c r="O16" s="38" t="str"/>
    </x:row>
    <x:row r="17">
      <x:c r="A17" s="39" t="str">
        <x:v>last_active_at</x:v>
      </x:c>
      <x:c r="B17" s="40" t="str">
        <x:v>timestamp</x:v>
      </x:c>
      <x:c r="C17" s="40" t="str">
        <x:v>UTC</x:v>
      </x:c>
      <x:c r="D17" s="40" t="str">
        <x:v>Identity/API</x:v>
      </x:c>
      <x:c r="E17" s="40" t="str">
        <x:v>Yes</x:v>
      </x:c>
      <x:c r="F17" s="40" t="str">
        <x:v>TouchActivity</x:v>
      </x:c>
      <x:c r="G17" s="40" t="str">
        <x:v>Server request</x:v>
      </x:c>
      <x:c r="H17" s="40" t="str">
        <x:v>N/A</x:v>
      </x:c>
      <x:c r="I17" s="40" t="str">
        <x:v>No</x:v>
      </x:c>
      <x:c r="J17" s="40" t="str">
        <x:v>No</x:v>
      </x:c>
      <x:c r="K17" s="40" t="str">
        <x:v>Yes</x:v>
      </x:c>
      <x:c r="L17" s="40" t="str">
        <x:v>No</x:v>
      </x:c>
      <x:c r="M17" s="40" t="str">
        <x:v>Internal</x:v>
      </x:c>
      <x:c r="N17" s="40" t="str">
        <x:v>Best effort</x:v>
      </x:c>
      <x:c r="O17" s="41" t="str"/>
    </x:row>
    <x:row r="19" ht="22" customHeight="1">
      <x:c r="A19" s="31" t="str">
        <x:v>Player Aggregate Invariants</x:v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14" t="str">
        <x:v>Invariant</x:v>
      </x:c>
      <x:c r="B20" s="14" t="str">
        <x:v>Enforcement</x:v>
      </x:c>
    </x:row>
    <x:row r="21">
      <x:c r="A21" s="34" t="str">
        <x:v>cash_balance &gt;= 0</x:v>
      </x:c>
      <x:c r="B21" s="36" t="str">
        <x:v>Atomic ledger posting rejects entries that would make Cash negative unless future explicit debt product is introduced.</x:v>
      </x:c>
    </x:row>
    <x:row r="22">
      <x:c r="A22" s="37" t="str">
        <x:v>0 &lt;= reputation &lt;= 100</x:v>
      </x:c>
      <x:c r="B22" s="38" t="str">
        <x:v>Clamp after authorized reputation events; preserve raw delta in ledger.</x:v>
      </x:c>
    </x:row>
    <x:row r="23">
      <x:c r="A23" s="37" t="str">
        <x:v>league must match finalized rating band after movement rules</x:v>
      </x:c>
      <x:c r="B23" s="38" t="str">
        <x:v>Competition settlement owns league changes; API cannot set league.</x:v>
      </x:c>
    </x:row>
    <x:row r="24">
      <x:c r="A24" s="37" t="str">
        <x:v>active_plot_count &lt;= stage active-Plot cap</x:v>
      </x:c>
      <x:c r="B24" s="38" t="str">
        <x:v>Plot activation transaction checks Player level/reputation/risk plus cap.</x:v>
      </x:c>
    </x:row>
    <x:row r="25">
      <x:c r="A25" s="39" t="str">
        <x:v>integrity_status != clean blocks reward finalization/claim as configured</x:v>
      </x:c>
      <x:c r="B25" s="41" t="str">
        <x:v>Hold settlement but do not delete underlying evidence.</x:v>
      </x:c>
    </x:row>
    <x:row r="27" ht="22" customHeight="1">
      <x:c r="A27" s="102" t="str">
        <x:v>Module Player-State Extension</x:v>
      </x:c>
      <x:c r="B27" s="102"/>
      <x:c r="C27" s="102"/>
      <x:c r="D27" s="102"/>
      <x:c r="E27" s="102"/>
      <x:c r="F27" s="102"/>
      <x:c r="G27" s="102"/>
      <x:c r="H27" s="102"/>
      <x:c r="I27" s="102"/>
      <x:c r="J27" s="102"/>
      <x:c r="K27" s="102"/>
      <x:c r="L27" s="102"/>
      <x:c r="M27" s="102"/>
      <x:c r="N27" s="102"/>
      <x:c r="O27" s="102"/>
    </x:row>
    <x:row r="28">
      <x:c r="A28" s="105" t="str">
        <x:v>Field</x:v>
      </x:c>
      <x:c r="B28" s="105" t="str">
        <x:v>Type</x:v>
      </x:c>
      <x:c r="C28" s="105" t="str">
        <x:v>Example</x:v>
      </x:c>
      <x:c r="D28" s="105" t="str">
        <x:v>Source</x:v>
      </x:c>
      <x:c r="E28" s="105" t="str">
        <x:v>Mutable?</x:v>
      </x:c>
      <x:c r="F28" s="105" t="str">
        <x:v>Mutation Command</x:v>
      </x:c>
      <x:c r="G28" s="105" t="str">
        <x:v>Validation</x:v>
      </x:c>
      <x:c r="H28" s="105" t="str">
        <x:v>Derived From</x:v>
      </x:c>
      <x:c r="I28" s="105" t="str">
        <x:v>Versioned?</x:v>
      </x:c>
      <x:c r="J28" s="105" t="str">
        <x:v>Ledgered?</x:v>
      </x:c>
      <x:c r="K28" s="105" t="str">
        <x:v>Cache?</x:v>
      </x:c>
      <x:c r="L28" s="105" t="str">
        <x:v>Snapshot Weekly?</x:v>
      </x:c>
      <x:c r="M28" s="105" t="str">
        <x:v>Privacy</x:v>
      </x:c>
      <x:c r="N28" s="105" t="str">
        <x:v>Failure Default</x:v>
      </x:c>
      <x:c r="O28" s="105" t="str">
        <x:v>Notes</x:v>
      </x:c>
    </x:row>
    <x:row r="29">
      <x:c r="A29" s="92" t="str">
        <x:v>module_inventory_version</x:v>
      </x:c>
      <x:c r="B29" s="93" t="str">
        <x:v>int64</x:v>
      </x:c>
      <x:c r="C29" s="93" t="str">
        <x:v>42</x:v>
      </x:c>
      <x:c r="D29" s="93" t="str">
        <x:v>Module</x:v>
      </x:c>
      <x:c r="E29" s="93" t="str">
        <x:v>Yes</x:v>
      </x:c>
      <x:c r="F29" s="93" t="str">
        <x:v>Grant/Dismantle/Craft/Equip</x:v>
      </x:c>
      <x:c r="G29" s="93" t="str">
        <x:v>Monotonic</x:v>
      </x:c>
      <x:c r="H29" s="93" t="str">
        <x:v>Inventory/loadout mutations</x:v>
      </x:c>
      <x:c r="I29" s="93" t="str">
        <x:v>Yes</x:v>
      </x:c>
      <x:c r="J29" s="93" t="str">
        <x:v>Audit</x:v>
      </x:c>
      <x:c r="K29" s="93" t="str">
        <x:v>Yes</x:v>
      </x:c>
      <x:c r="L29" s="93" t="str">
        <x:v>Manifest ref only</x:v>
      </x:c>
      <x:c r="M29" s="93" t="str">
        <x:v>Private gameplay</x:v>
      </x:c>
      <x:c r="N29" s="93" t="str">
        <x:v>Rebuild from ledgers/loadouts</x:v>
      </x:c>
      <x:c r="O29" s="94" t="str">
        <x:v>Optimistic version for inventory mutations</x:v>
      </x:c>
    </x:row>
    <x:row r="30">
      <x:c r="A30" s="95" t="str">
        <x:v>module_parts_common</x:v>
      </x:c>
      <x:c r="B30" s="96" t="str">
        <x:v>int64</x:v>
      </x:c>
      <x:c r="C30" s="96" t="str">
        <x:v>85</x:v>
      </x:c>
      <x:c r="D30" s="96" t="str">
        <x:v>Module</x:v>
      </x:c>
      <x:c r="E30" s="96" t="str">
        <x:v>Yes</x:v>
      </x:c>
      <x:c r="F30" s="96" t="str">
        <x:v>Dismantle/Craft</x:v>
      </x:c>
      <x:c r="G30" s="96" t="str">
        <x:v>&gt;=0</x:v>
      </x:c>
      <x:c r="H30" s="96" t="str">
        <x:v>Parts ledger</x:v>
      </x:c>
      <x:c r="I30" s="96" t="str">
        <x:v>Yes</x:v>
      </x:c>
      <x:c r="J30" s="96" t="str">
        <x:v>Yes</x:v>
      </x:c>
      <x:c r="K30" s="96" t="str">
        <x:v>Yes</x:v>
      </x:c>
      <x:c r="L30" s="96" t="str">
        <x:v>No direct</x:v>
      </x:c>
      <x:c r="M30" s="96" t="str">
        <x:v>Private gameplay</x:v>
      </x:c>
      <x:c r="N30" s="96" t="str">
        <x:v>Rebuild from ledger</x:v>
      </x:c>
      <x:c r="O30" s="97" t="str">
        <x:v>Repeat concept for each rarity or normalized table</x:v>
      </x:c>
    </x:row>
    <x:row r="31">
      <x:c r="A31" s="95" t="str">
        <x:v>module_mastery_summary</x:v>
      </x:c>
      <x:c r="B31" s="96" t="str">
        <x:v>derived</x:v>
      </x:c>
      <x:c r="C31" s="96" t="str">
        <x:v>Banking M2</x:v>
      </x:c>
      <x:c r="D31" s="96" t="str">
        <x:v>Module</x:v>
      </x:c>
      <x:c r="E31" s="96" t="str">
        <x:v>Derived</x:v>
      </x:c>
      <x:c r="F31" s="96" t="str">
        <x:v>N/A</x:v>
      </x:c>
      <x:c r="G31" s="96" t="str">
        <x:v>Evidence only</x:v>
      </x:c>
      <x:c r="H31" s="96" t="str">
        <x:v>mastery rows</x:v>
      </x:c>
      <x:c r="I31" s="96" t="str">
        <x:v>Yes</x:v>
      </x:c>
      <x:c r="J31" s="96" t="str">
        <x:v>Evidence refs</x:v>
      </x:c>
      <x:c r="K31" s="96" t="str">
        <x:v>Yes</x:v>
      </x:c>
      <x:c r="L31" s="96" t="str">
        <x:v>No direct</x:v>
      </x:c>
      <x:c r="M31" s="96" t="str">
        <x:v>Private gameplay</x:v>
      </x:c>
      <x:c r="N31" s="96" t="str">
        <x:v>Recompute</x:v>
      </x:c>
      <x:c r="O31" s="97" t="str">
        <x:v>Detailed mastery lives outside player row</x:v>
      </x:c>
    </x:row>
    <x:row r="32">
      <x:c r="A32" s="98" t="str">
        <x:v>active_craft_count</x:v>
      </x:c>
      <x:c r="B32" s="99" t="str">
        <x:v>derived int</x:v>
      </x:c>
      <x:c r="C32" s="99" t="str">
        <x:v>1</x:v>
      </x:c>
      <x:c r="D32" s="99" t="str">
        <x:v>Module</x:v>
      </x:c>
      <x:c r="E32" s="99" t="str">
        <x:v>Derived</x:v>
      </x:c>
      <x:c r="F32" s="99" t="str">
        <x:v>N/A</x:v>
      </x:c>
      <x:c r="G32" s="99" t="str">
        <x:v>&lt;=2 v1.0</x:v>
      </x:c>
      <x:c r="H32" s="99" t="str">
        <x:v>craft jobs</x:v>
      </x:c>
      <x:c r="I32" s="99" t="str">
        <x:v>Yes</x:v>
      </x:c>
      <x:c r="J32" s="99" t="str">
        <x:v>Craft ledger</x:v>
      </x:c>
      <x:c r="K32" s="99" t="str">
        <x:v>Yes</x:v>
      </x:c>
      <x:c r="L32" s="99" t="str">
        <x:v>No</x:v>
      </x:c>
      <x:c r="M32" s="99" t="str">
        <x:v>Private gameplay</x:v>
      </x:c>
      <x:c r="N32" s="99" t="str">
        <x:v>Recompute</x:v>
      </x:c>
      <x:c r="O32" s="100" t="str">
        <x:v>Queue may hold 3 more</x:v>
      </x:c>
    </x:row>
  </x:sheetData>
  <x:mergeCells>
    <x:mergeCell ref="A1:O1"/>
    <x:mergeCell ref="A19:O19"/>
    <x:mergeCell ref="A27:O27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Plot &amp; Territory Aggregate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</x:row>
    <x:row r="3">
      <x:c r="A3" s="14" t="str">
        <x:v>Entity</x:v>
      </x:c>
      <x:c r="B3" s="14" t="str">
        <x:v>Field</x:v>
      </x:c>
      <x:c r="C3" s="14" t="str">
        <x:v>Type</x:v>
      </x:c>
      <x:c r="D3" s="14" t="str">
        <x:v>Example</x:v>
      </x:c>
      <x:c r="E3" s="14" t="str">
        <x:v>Canonical Source</x:v>
      </x:c>
      <x:c r="F3" s="14" t="str">
        <x:v>Mutation</x:v>
      </x:c>
      <x:c r="G3" s="14" t="str">
        <x:v>Validation</x:v>
      </x:c>
      <x:c r="H3" s="14" t="str">
        <x:v>Version</x:v>
      </x:c>
      <x:c r="I3" s="14" t="str">
        <x:v>Ownership Sensitive?</x:v>
      </x:c>
      <x:c r="J3" s="14" t="str">
        <x:v>Chain Reconcile?</x:v>
      </x:c>
      <x:c r="K3" s="14" t="str">
        <x:v>Layout Impact</x:v>
      </x:c>
      <x:c r="L3" s="14" t="str">
        <x:v>Economy Impact</x:v>
      </x:c>
      <x:c r="M3" s="14" t="str">
        <x:v>Transfer Impact</x:v>
      </x:c>
      <x:c r="N3" s="14" t="str">
        <x:v>Settlement Lock?</x:v>
      </x:c>
      <x:c r="O3" s="14" t="str">
        <x:v>Recovery</x:v>
      </x:c>
      <x:c r="P3" s="14" t="str">
        <x:v>Notes</x:v>
      </x:c>
    </x:row>
    <x:row r="4">
      <x:c r="A4" s="34" t="str">
        <x:v>Plot</x:v>
      </x:c>
      <x:c r="B4" s="35" t="str">
        <x:v>plot_token_id</x:v>
      </x:c>
      <x:c r="C4" s="35" t="str">
        <x:v>uint/string</x:v>
      </x:c>
      <x:c r="D4" s="35" t="str">
        <x:v>1842</x:v>
      </x:c>
      <x:c r="E4" s="35" t="str">
        <x:v>Chain mirror</x:v>
      </x:c>
      <x:c r="F4" s="35" t="str">
        <x:v>Mint/TransferSync</x:v>
      </x:c>
      <x:c r="G4" s="35" t="str">
        <x:v>Must exist in registry</x:v>
      </x:c>
      <x:c r="H4" s="35" t="str">
        <x:v>ownership_version</x:v>
      </x:c>
      <x:c r="I4" s="35" t="str">
        <x:v>Yes</x:v>
      </x:c>
      <x:c r="J4" s="35" t="str">
        <x:v>Yes</x:v>
      </x:c>
      <x:c r="K4" s="35" t="str">
        <x:v>Reference</x:v>
      </x:c>
      <x:c r="L4" s="35" t="str">
        <x:v>None directly</x:v>
      </x:c>
      <x:c r="M4" s="35" t="str">
        <x:v>Changes owner</x:v>
      </x:c>
      <x:c r="N4" s="35" t="str">
        <x:v>Yes</x:v>
      </x:c>
      <x:c r="O4" s="35" t="str">
        <x:v>Replay chain event</x:v>
      </x:c>
      <x:c r="P4" s="36" t="str"/>
    </x:row>
    <x:row r="5">
      <x:c r="A5" s="37" t="str">
        <x:v>Plot</x:v>
      </x:c>
      <x:c r="B5" s="22" t="str">
        <x:v>world_x</x:v>
      </x:c>
      <x:c r="C5" s="22" t="str">
        <x:v>int</x:v>
      </x:c>
      <x:c r="D5" s="22" t="str">
        <x:v>14</x:v>
      </x:c>
      <x:c r="E5" s="22" t="str">
        <x:v>Coordinate registry</x:v>
      </x:c>
      <x:c r="F5" s="22" t="str">
        <x:v>Mint only</x:v>
      </x:c>
      <x:c r="G5" s="22" t="str">
        <x:v>Immutable</x:v>
      </x:c>
      <x:c r="H5" s="22" t="str">
        <x:v>metadata_version</x:v>
      </x:c>
      <x:c r="I5" s="22" t="str">
        <x:v>No</x:v>
      </x:c>
      <x:c r="J5" s="22" t="str">
        <x:v>Yes</x:v>
      </x:c>
      <x:c r="K5" s="22" t="str">
        <x:v>Merge geometry</x:v>
      </x:c>
      <x:c r="L5" s="22" t="str">
        <x:v>None</x:v>
      </x:c>
      <x:c r="M5" s="22" t="str">
        <x:v>Unchanged</x:v>
      </x:c>
      <x:c r="N5" s="22" t="str">
        <x:v>No</x:v>
      </x:c>
      <x:c r="O5" s="22" t="str">
        <x:v>Reload registry</x:v>
      </x:c>
      <x:c r="P5" s="38" t="str"/>
    </x:row>
    <x:row r="6">
      <x:c r="A6" s="37" t="str">
        <x:v>Plot</x:v>
      </x:c>
      <x:c r="B6" s="22" t="str">
        <x:v>world_y</x:v>
      </x:c>
      <x:c r="C6" s="22" t="str">
        <x:v>int</x:v>
      </x:c>
      <x:c r="D6" s="22" t="str">
        <x:v>22</x:v>
      </x:c>
      <x:c r="E6" s="22" t="str">
        <x:v>Coordinate registry</x:v>
      </x:c>
      <x:c r="F6" s="22" t="str">
        <x:v>Mint only</x:v>
      </x:c>
      <x:c r="G6" s="22" t="str">
        <x:v>Immutable</x:v>
      </x:c>
      <x:c r="H6" s="22" t="str">
        <x:v>metadata_version</x:v>
      </x:c>
      <x:c r="I6" s="22" t="str">
        <x:v>No</x:v>
      </x:c>
      <x:c r="J6" s="22" t="str">
        <x:v>Yes</x:v>
      </x:c>
      <x:c r="K6" s="22" t="str">
        <x:v>Merge geometry</x:v>
      </x:c>
      <x:c r="L6" s="22" t="str">
        <x:v>None</x:v>
      </x:c>
      <x:c r="M6" s="22" t="str">
        <x:v>Unchanged</x:v>
      </x:c>
      <x:c r="N6" s="22" t="str">
        <x:v>No</x:v>
      </x:c>
      <x:c r="O6" s="22" t="str">
        <x:v>Reload registry</x:v>
      </x:c>
      <x:c r="P6" s="38" t="str"/>
    </x:row>
    <x:row r="7">
      <x:c r="A7" s="37" t="str">
        <x:v>Plot</x:v>
      </x:c>
      <x:c r="B7" s="22" t="str">
        <x:v>owner_player_id</x:v>
      </x:c>
      <x:c r="C7" s="22" t="str">
        <x:v>UUID</x:v>
      </x:c>
      <x:c r="D7" s="22" t="str">
        <x:v>plr_...</x:v>
      </x:c>
      <x:c r="E7" s="22" t="str">
        <x:v>Plot mirror</x:v>
      </x:c>
      <x:c r="F7" s="22" t="str">
        <x:v>OwnershipSync</x:v>
      </x:c>
      <x:c r="G7" s="22" t="str">
        <x:v>Wallet mapping must resolve</x:v>
      </x:c>
      <x:c r="H7" s="22" t="str">
        <x:v>ownership_version</x:v>
      </x:c>
      <x:c r="I7" s="22" t="str">
        <x:v>Yes</x:v>
      </x:c>
      <x:c r="J7" s="22" t="str">
        <x:v>Yes</x:v>
      </x:c>
      <x:c r="K7" s="22" t="str">
        <x:v>All mutations</x:v>
      </x:c>
      <x:c r="L7" s="22" t="str">
        <x:v>Activation</x:v>
      </x:c>
      <x:c r="M7" s="22" t="str">
        <x:v>Ownership changes</x:v>
      </x:c>
      <x:c r="N7" s="22" t="str">
        <x:v>Yes</x:v>
      </x:c>
      <x:c r="O7" s="22" t="str">
        <x:v>Replay ownership</x:v>
      </x:c>
      <x:c r="P7" s="38" t="str"/>
    </x:row>
    <x:row r="8">
      <x:c r="A8" s="37" t="str">
        <x:v>Plot</x:v>
      </x:c>
      <x:c r="B8" s="22" t="str">
        <x:v>activation_state</x:v>
      </x:c>
      <x:c r="C8" s="22" t="str">
        <x:v>enum</x:v>
      </x:c>
      <x:c r="D8" s="22" t="str">
        <x:v>active</x:v>
      </x:c>
      <x:c r="E8" s="22" t="str">
        <x:v>Plot</x:v>
      </x:c>
      <x:c r="F8" s="22" t="str">
        <x:v>Activate/Deactivate</x:v>
      </x:c>
      <x:c r="G8" s="22" t="str">
        <x:v>Gates/cooldowns</x:v>
      </x:c>
      <x:c r="H8" s="22" t="str">
        <x:v>plot_version</x:v>
      </x:c>
      <x:c r="I8" s="22" t="str">
        <x:v>Yes</x:v>
      </x:c>
      <x:c r="J8" s="22" t="str">
        <x:v>No</x:v>
      </x:c>
      <x:c r="K8" s="22" t="str">
        <x:v>Can host layout</x:v>
      </x:c>
      <x:c r="L8" s="22" t="str">
        <x:v>Enables economy</x:v>
      </x:c>
      <x:c r="M8" s="22" t="str">
        <x:v>New owner inactive</x:v>
      </x:c>
      <x:c r="N8" s="22" t="str">
        <x:v>Yes</x:v>
      </x:c>
      <x:c r="O8" s="22" t="str">
        <x:v>Recompute eligibility</x:v>
      </x:c>
      <x:c r="P8" s="38" t="str"/>
    </x:row>
    <x:row r="9">
      <x:c r="A9" s="37" t="str">
        <x:v>Plot</x:v>
      </x:c>
      <x:c r="B9" s="22" t="str">
        <x:v>tile_map_version</x:v>
      </x:c>
      <x:c r="C9" s="22" t="str">
        <x:v>string</x:v>
      </x:c>
      <x:c r="D9" s="22" t="str">
        <x:v>v1</x:v>
      </x:c>
      <x:c r="E9" s="22" t="str">
        <x:v>Plot config</x:v>
      </x:c>
      <x:c r="F9" s="22" t="str">
        <x:v>Season/config change</x:v>
      </x:c>
      <x:c r="G9" s="22" t="str">
        <x:v>Deterministic map</x:v>
      </x:c>
      <x:c r="H9" s="22" t="str">
        <x:v>plot_version</x:v>
      </x:c>
      <x:c r="I9" s="22" t="str">
        <x:v>No</x:v>
      </x:c>
      <x:c r="J9" s="22" t="str">
        <x:v>No</x:v>
      </x:c>
      <x:c r="K9" s="22" t="str">
        <x:v>Special tiles</x:v>
      </x:c>
      <x:c r="L9" s="22" t="str">
        <x:v>Small modifier</x:v>
      </x:c>
      <x:c r="M9" s="22" t="str">
        <x:v>Persists with Plot</x:v>
      </x:c>
      <x:c r="N9" s="22" t="str">
        <x:v>Yes</x:v>
      </x:c>
      <x:c r="O9" s="22" t="str">
        <x:v>Regenerate deterministic</x:v>
      </x:c>
      <x:c r="P9" s="38" t="str"/>
    </x:row>
    <x:row r="10">
      <x:c r="A10" s="37" t="str">
        <x:v>Territory</x:v>
      </x:c>
      <x:c r="B10" s="22" t="str">
        <x:v>territory_id</x:v>
      </x:c>
      <x:c r="C10" s="22" t="str">
        <x:v>UUID</x:v>
      </x:c>
      <x:c r="D10" s="22" t="str">
        <x:v>terr_...</x:v>
      </x:c>
      <x:c r="E10" s="22" t="str">
        <x:v>Plot service</x:v>
      </x:c>
      <x:c r="F10" s="22" t="str">
        <x:v>Merge</x:v>
      </x:c>
      <x:c r="G10" s="22" t="str">
        <x:v>All members same owner</x:v>
      </x:c>
      <x:c r="H10" s="22" t="str">
        <x:v>territory_version</x:v>
      </x:c>
      <x:c r="I10" s="22" t="str">
        <x:v>Yes</x:v>
      </x:c>
      <x:c r="J10" s="22" t="str">
        <x:v>Optional</x:v>
      </x:c>
      <x:c r="K10" s="22" t="str">
        <x:v>Continuous coordinates</x:v>
      </x:c>
      <x:c r="L10" s="22" t="str">
        <x:v>Overhead/district</x:v>
      </x:c>
      <x:c r="M10" s="22" t="str">
        <x:v>Must detach before transfer</x:v>
      </x:c>
      <x:c r="N10" s="22" t="str">
        <x:v>Yes</x:v>
      </x:c>
      <x:c r="O10" s="22" t="str">
        <x:v>Rebuild from merge log</x:v>
      </x:c>
      <x:c r="P10" s="38" t="str"/>
    </x:row>
    <x:row r="11">
      <x:c r="A11" s="37" t="str">
        <x:v>Territory</x:v>
      </x:c>
      <x:c r="B11" s="22" t="str">
        <x:v>member_plot_ids</x:v>
      </x:c>
      <x:c r="C11" s="22" t="str">
        <x:v>array</x:v>
      </x:c>
      <x:c r="D11" s="22" t="str">
        <x:v>[1842,1843]</x:v>
      </x:c>
      <x:c r="E11" s="22" t="str">
        <x:v>Plot service</x:v>
      </x:c>
      <x:c r="F11" s="22" t="str">
        <x:v>Merge/Unmerge</x:v>
      </x:c>
      <x:c r="G11" s="22" t="str">
        <x:v>Rectangular adjacency</x:v>
      </x:c>
      <x:c r="H11" s="22" t="str">
        <x:v>territory_version</x:v>
      </x:c>
      <x:c r="I11" s="22" t="str">
        <x:v>Yes</x:v>
      </x:c>
      <x:c r="J11" s="22" t="str">
        <x:v>Ownership check</x:v>
      </x:c>
      <x:c r="K11" s="22" t="str">
        <x:v>Cross-seam links</x:v>
      </x:c>
      <x:c r="L11" s="22" t="str">
        <x:v>Territory overhead</x:v>
      </x:c>
      <x:c r="M11" s="22" t="str">
        <x:v>Blocks member transfer</x:v>
      </x:c>
      <x:c r="N11" s="22" t="str">
        <x:v>Yes</x:v>
      </x:c>
      <x:c r="O11" s="22" t="str">
        <x:v>Rebuild</x:v>
      </x:c>
      <x:c r="P11" s="38" t="str"/>
    </x:row>
    <x:row r="12">
      <x:c r="A12" s="37" t="str">
        <x:v>Territory</x:v>
      </x:c>
      <x:c r="B12" s="22" t="str">
        <x:v>origin_x/y</x:v>
      </x:c>
      <x:c r="C12" s="22" t="str">
        <x:v>derived</x:v>
      </x:c>
      <x:c r="D12" s="22" t="str">
        <x:v>14,22</x:v>
      </x:c>
      <x:c r="E12" s="22" t="str">
        <x:v>Derived</x:v>
      </x:c>
      <x:c r="F12" s="22" t="str">
        <x:v>Merge</x:v>
      </x:c>
      <x:c r="G12" s="22" t="str">
        <x:v>Min coords</x:v>
      </x:c>
      <x:c r="H12" s="22" t="str">
        <x:v>territory_version</x:v>
      </x:c>
      <x:c r="I12" s="22" t="str">
        <x:v>No</x:v>
      </x:c>
      <x:c r="J12" s="22" t="str">
        <x:v>No</x:v>
      </x:c>
      <x:c r="K12" s="22" t="str">
        <x:v>Coordinate transform</x:v>
      </x:c>
      <x:c r="L12" s="22" t="str">
        <x:v>None</x:v>
      </x:c>
      <x:c r="M12" s="22" t="str">
        <x:v>N/A</x:v>
      </x:c>
      <x:c r="N12" s="22" t="str">
        <x:v>No</x:v>
      </x:c>
      <x:c r="O12" s="22" t="str">
        <x:v>Recompute</x:v>
      </x:c>
      <x:c r="P12" s="38" t="str"/>
    </x:row>
    <x:row r="13">
      <x:c r="A13" s="37" t="str">
        <x:v>Territory</x:v>
      </x:c>
      <x:c r="B13" s="22" t="str">
        <x:v>grid_width/height</x:v>
      </x:c>
      <x:c r="C13" s="22" t="str">
        <x:v>int</x:v>
      </x:c>
      <x:c r="D13" s="22" t="str">
        <x:v>2×1</x:v>
      </x:c>
      <x:c r="E13" s="22" t="str">
        <x:v>Derived</x:v>
      </x:c>
      <x:c r="F13" s="22" t="str">
        <x:v>Merge</x:v>
      </x:c>
      <x:c r="G13" s="22" t="str">
        <x:v>Complete rectangle</x:v>
      </x:c>
      <x:c r="H13" s="22" t="str">
        <x:v>territory_version</x:v>
      </x:c>
      <x:c r="I13" s="22" t="str">
        <x:v>No</x:v>
      </x:c>
      <x:c r="J13" s="22" t="str">
        <x:v>No</x:v>
      </x:c>
      <x:c r="K13" s="22" t="str">
        <x:v>Bounds</x:v>
      </x:c>
      <x:c r="L13" s="22" t="str">
        <x:v>Capacity</x:v>
      </x:c>
      <x:c r="M13" s="22" t="str">
        <x:v>N/A</x:v>
      </x:c>
      <x:c r="N13" s="22" t="str">
        <x:v>No</x:v>
      </x:c>
      <x:c r="O13" s="22" t="str">
        <x:v>Recompute</x:v>
      </x:c>
      <x:c r="P13" s="38" t="str"/>
    </x:row>
    <x:row r="14">
      <x:c r="A14" s="39" t="str">
        <x:v>Territory</x:v>
      </x:c>
      <x:c r="B14" s="40" t="str">
        <x:v>merge_lock_until</x:v>
      </x:c>
      <x:c r="C14" s="40" t="str">
        <x:v>timestamp</x:v>
      </x:c>
      <x:c r="D14" s="40" t="str">
        <x:v>UTC</x:v>
      </x:c>
      <x:c r="E14" s="40" t="str">
        <x:v>Plot service</x:v>
      </x:c>
      <x:c r="F14" s="40" t="str">
        <x:v>Merge/Unmerge</x:v>
      </x:c>
      <x:c r="G14" s="40" t="str">
        <x:v>Server time</x:v>
      </x:c>
      <x:c r="H14" s="40" t="str">
        <x:v>territory_version</x:v>
      </x:c>
      <x:c r="I14" s="40" t="str">
        <x:v>Yes</x:v>
      </x:c>
      <x:c r="J14" s="40" t="str">
        <x:v>No</x:v>
      </x:c>
      <x:c r="K14" s="40" t="str">
        <x:v>Move restrictions</x:v>
      </x:c>
      <x:c r="L14" s="40" t="str">
        <x:v>None</x:v>
      </x:c>
      <x:c r="M14" s="40" t="str">
        <x:v>Transfer blocked</x:v>
      </x:c>
      <x:c r="N14" s="40" t="str">
        <x:v>Yes</x:v>
      </x:c>
      <x:c r="O14" s="40" t="str">
        <x:v>Use stored lock</x:v>
      </x:c>
      <x:c r="P14" s="41" t="str"/>
    </x:row>
  </x:sheetData>
  <x:mergeCells>
    <x:mergeCell ref="A1:P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Building Asset, Placement &amp; Layout State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</x:row>
    <x:row r="3">
      <x:c r="A3" s="14" t="str">
        <x:v>Entity</x:v>
      </x:c>
      <x:c r="B3" s="14" t="str">
        <x:v>Field</x:v>
      </x:c>
      <x:c r="C3" s="14" t="str">
        <x:v>Type</x:v>
      </x:c>
      <x:c r="D3" s="14" t="str">
        <x:v>Example</x:v>
      </x:c>
      <x:c r="E3" s="14" t="str">
        <x:v>Source</x:v>
      </x:c>
      <x:c r="F3" s="14" t="str">
        <x:v>Mutation Command</x:v>
      </x:c>
      <x:c r="G3" s="14" t="str">
        <x:v>Validation</x:v>
      </x:c>
      <x:c r="H3" s="14" t="str">
        <x:v>Derived State</x:v>
      </x:c>
      <x:c r="I3" s="14" t="str">
        <x:v>Version Strategy</x:v>
      </x:c>
      <x:c r="J3" s="14" t="str">
        <x:v>Ledger?</x:v>
      </x:c>
      <x:c r="K3" s="14" t="str">
        <x:v>Cache?</x:v>
      </x:c>
      <x:c r="L3" s="14" t="str">
        <x:v>Event Lock?</x:v>
      </x:c>
      <x:c r="M3" s="14" t="str">
        <x:v>Transfer Behavior</x:v>
      </x:c>
      <x:c r="N3" s="14" t="str">
        <x:v>Onchain?</x:v>
      </x:c>
      <x:c r="O3" s="14" t="str">
        <x:v>Recovery</x:v>
      </x:c>
      <x:c r="P3" s="14" t="str">
        <x:v>Notes</x:v>
      </x:c>
    </x:row>
    <x:row r="4">
      <x:c r="A4" s="34" t="str">
        <x:v>BuildingAsset</x:v>
      </x:c>
      <x:c r="B4" s="35" t="str">
        <x:v>building_instance_id</x:v>
      </x:c>
      <x:c r="C4" s="35" t="str">
        <x:v>UUID</x:v>
      </x:c>
      <x:c r="D4" s="35" t="str">
        <x:v>bld_...</x:v>
      </x:c>
      <x:c r="E4" s="35" t="str">
        <x:v>Player/Layout</x:v>
      </x:c>
      <x:c r="F4" s="35" t="str">
        <x:v>BuildBuilding</x:v>
      </x:c>
      <x:c r="G4" s="35" t="str">
        <x:v>Unique instance</x:v>
      </x:c>
      <x:c r="H4" s="35" t="str">
        <x:v>N/A</x:v>
      </x:c>
      <x:c r="I4" s="35" t="str">
        <x:v>asset_version</x:v>
      </x:c>
      <x:c r="J4" s="35" t="str">
        <x:v>Asset ledger</x:v>
      </x:c>
      <x:c r="K4" s="35" t="str">
        <x:v>Yes</x:v>
      </x:c>
      <x:c r="L4" s="35" t="str">
        <x:v>Maybe</x:v>
      </x:c>
      <x:c r="M4" s="35" t="str">
        <x:v>Follows player, not Plot</x:v>
      </x:c>
      <x:c r="N4" s="35" t="str">
        <x:v>No MVP</x:v>
      </x:c>
      <x:c r="O4" s="35" t="str">
        <x:v>Inventory reconciliation</x:v>
      </x:c>
      <x:c r="P4" s="36" t="str"/>
    </x:row>
    <x:row r="5">
      <x:c r="A5" s="37" t="str">
        <x:v>BuildingAsset</x:v>
      </x:c>
      <x:c r="B5" s="22" t="str">
        <x:v>building_type_id</x:v>
      </x:c>
      <x:c r="C5" s="22" t="str">
        <x:v>int</x:v>
      </x:c>
      <x:c r="D5" s="22" t="str">
        <x:v>39</x:v>
      </x:c>
      <x:c r="E5" s="22" t="str">
        <x:v>Catalog config</x:v>
      </x:c>
      <x:c r="F5" s="22" t="str">
        <x:v>BuildBuilding</x:v>
      </x:c>
      <x:c r="G5" s="22" t="str">
        <x:v>Building Card unlocked by Empire Level; Cash paid</x:v>
      </x:c>
      <x:c r="H5" s="22" t="str">
        <x:v>Stats from config</x:v>
      </x:c>
      <x:c r="I5" s="22" t="str">
        <x:v>config_version ref</x:v>
      </x:c>
      <x:c r="J5" s="22" t="str">
        <x:v>Audit</x:v>
      </x:c>
      <x:c r="K5" s="22" t="str">
        <x:v>Yes</x:v>
      </x:c>
      <x:c r="L5" s="22" t="str">
        <x:v>No</x:v>
      </x:c>
      <x:c r="M5" s="22" t="str">
        <x:v>Immutable type</x:v>
      </x:c>
      <x:c r="N5" s="22" t="str">
        <x:v>No MVP</x:v>
      </x:c>
      <x:c r="O5" s="22" t="str">
        <x:v>Reload config</x:v>
      </x:c>
      <x:c r="P5" s="38" t="str">
        <x:v>Blueprint entitlement is retired</x:v>
      </x:c>
    </x:row>
    <x:row r="6">
      <x:c r="A6" s="37" t="str">
        <x:v>BuildingAsset</x:v>
      </x:c>
      <x:c r="B6" s="22" t="str">
        <x:v>level</x:v>
      </x:c>
      <x:c r="C6" s="22" t="str">
        <x:v>int</x:v>
      </x:c>
      <x:c r="D6" s="22" t="str">
        <x:v>4</x:v>
      </x:c>
      <x:c r="E6" s="22" t="str">
        <x:v>Layout/Player</x:v>
      </x:c>
      <x:c r="F6" s="22" t="str">
        <x:v>UpgradeBuilding</x:v>
      </x:c>
      <x:c r="G6" s="22" t="str">
        <x:v>&lt;= max level; Cash paid</x:v>
      </x:c>
      <x:c r="H6" s="22" t="str">
        <x:v>Stats</x:v>
      </x:c>
      <x:c r="I6" s="22" t="str">
        <x:v>asset_version</x:v>
      </x:c>
      <x:c r="J6" s="22" t="str">
        <x:v>Upgrade ledger</x:v>
      </x:c>
      <x:c r="K6" s="22" t="str">
        <x:v>Yes</x:v>
      </x:c>
      <x:c r="L6" s="22" t="str">
        <x:v>Affected by event lock optionally</x:v>
      </x:c>
      <x:c r="M6" s="22" t="str">
        <x:v>Follows player</x:v>
      </x:c>
      <x:c r="N6" s="22" t="str">
        <x:v>No MVP</x:v>
      </x:c>
      <x:c r="O6" s="22" t="str">
        <x:v>Replay upgrade ledger</x:v>
      </x:c>
      <x:c r="P6" s="38" t="str"/>
    </x:row>
    <x:row r="7">
      <x:c r="A7" s="37" t="str">
        <x:v>BuildingAsset</x:v>
      </x:c>
      <x:c r="B7" s="22" t="str">
        <x:v>module_loadout_version</x:v>
      </x:c>
      <x:c r="C7" s="22" t="str">
        <x:v>int64</x:v>
      </x:c>
      <x:c r="D7" s="22" t="str">
        <x:v>17</x:v>
      </x:c>
      <x:c r="E7" s="22" t="str">
        <x:v>Module</x:v>
      </x:c>
      <x:c r="F7" s="22" t="str">
        <x:v>EquipModule/UnequipModule</x:v>
      </x:c>
      <x:c r="G7" s="22" t="str">
        <x:v>Monotonic expected version</x:v>
      </x:c>
      <x:c r="H7" s="22" t="str">
        <x:v>Equipped Module set/effective modifiers</x:v>
      </x:c>
      <x:c r="I7" s="22" t="str">
        <x:v>loadout_version</x:v>
      </x:c>
      <x:c r="J7" s="22" t="str">
        <x:v>Loadout audit</x:v>
      </x:c>
      <x:c r="K7" s="22" t="str">
        <x:v>Yes</x:v>
      </x:c>
      <x:c r="L7" s="22" t="str">
        <x:v>Affected by event lock</x:v>
      </x:c>
      <x:c r="M7" s="22" t="str">
        <x:v>Modules follow player, not Plot</x:v>
      </x:c>
      <x:c r="N7" s="22" t="str">
        <x:v>No</x:v>
      </x:c>
      <x:c r="O7" s="22" t="str">
        <x:v>Rebuild from loadout audit</x:v>
      </x:c>
      <x:c r="P7" s="38" t="str">
        <x:v>Replaces generic specialization field in v0.2</x:v>
      </x:c>
    </x:row>
    <x:row r="8">
      <x:c r="A8" s="37" t="str">
        <x:v>Placement</x:v>
      </x:c>
      <x:c r="B8" s="22" t="str">
        <x:v>plot_or_territory_id</x:v>
      </x:c>
      <x:c r="C8" s="22" t="str">
        <x:v>ID</x:v>
      </x:c>
      <x:c r="D8" s="22" t="str">
        <x:v>1842/terr_...</x:v>
      </x:c>
      <x:c r="E8" s="22" t="str">
        <x:v>Layout</x:v>
      </x:c>
      <x:c r="F8" s="22" t="str">
        <x:v>Place/MoveBuilding</x:v>
      </x:c>
      <x:c r="G8" s="22" t="str">
        <x:v>Owner + active land</x:v>
      </x:c>
      <x:c r="H8" s="22" t="str">
        <x:v>Coverage</x:v>
      </x:c>
      <x:c r="I8" s="22" t="str">
        <x:v>layout_version</x:v>
      </x:c>
      <x:c r="J8" s="22" t="str">
        <x:v>Mutation log</x:v>
      </x:c>
      <x:c r="K8" s="22" t="str">
        <x:v>Yes</x:v>
      </x:c>
      <x:c r="L8" s="22" t="str">
        <x:v>Yes</x:v>
      </x:c>
      <x:c r="M8" s="22" t="str">
        <x:v>Archived on transfer</x:v>
      </x:c>
      <x:c r="N8" s="22" t="str">
        <x:v>No</x:v>
      </x:c>
      <x:c r="O8" s="22" t="str">
        <x:v>Replay snapshot/log</x:v>
      </x:c>
      <x:c r="P8" s="38" t="str"/>
    </x:row>
    <x:row r="9">
      <x:c r="A9" s="37" t="str">
        <x:v>Placement</x:v>
      </x:c>
      <x:c r="B9" s="22" t="str">
        <x:v>x</x:v>
      </x:c>
      <x:c r="C9" s="22" t="str">
        <x:v>int</x:v>
      </x:c>
      <x:c r="D9" s="22" t="str">
        <x:v>5</x:v>
      </x:c>
      <x:c r="E9" s="22" t="str">
        <x:v>Layout</x:v>
      </x:c>
      <x:c r="F9" s="22" t="str">
        <x:v>Place/MoveBuilding</x:v>
      </x:c>
      <x:c r="G9" s="22" t="str">
        <x:v>In bounds</x:v>
      </x:c>
      <x:c r="H9" s="22" t="str">
        <x:v>Occupied tiles</x:v>
      </x:c>
      <x:c r="I9" s="22" t="str">
        <x:v>layout_version</x:v>
      </x:c>
      <x:c r="J9" s="22" t="str">
        <x:v>Mutation log</x:v>
      </x:c>
      <x:c r="K9" s="22" t="str">
        <x:v>Yes</x:v>
      </x:c>
      <x:c r="L9" s="22" t="str">
        <x:v>Yes</x:v>
      </x:c>
      <x:c r="M9" s="22" t="str">
        <x:v>Owner layout only</x:v>
      </x:c>
      <x:c r="N9" s="22" t="str">
        <x:v>No</x:v>
      </x:c>
      <x:c r="O9" s="22" t="str">
        <x:v>Restore last valid</x:v>
      </x:c>
      <x:c r="P9" s="38" t="str"/>
    </x:row>
    <x:row r="10">
      <x:c r="A10" s="37" t="str">
        <x:v>Placement</x:v>
      </x:c>
      <x:c r="B10" s="22" t="str">
        <x:v>y</x:v>
      </x:c>
      <x:c r="C10" s="22" t="str">
        <x:v>int</x:v>
      </x:c>
      <x:c r="D10" s="22" t="str">
        <x:v>8</x:v>
      </x:c>
      <x:c r="E10" s="22" t="str">
        <x:v>Layout</x:v>
      </x:c>
      <x:c r="F10" s="22" t="str">
        <x:v>Place/MoveBuilding</x:v>
      </x:c>
      <x:c r="G10" s="22" t="str">
        <x:v>In bounds</x:v>
      </x:c>
      <x:c r="H10" s="22" t="str">
        <x:v>Occupied tiles</x:v>
      </x:c>
      <x:c r="I10" s="22" t="str">
        <x:v>layout_version</x:v>
      </x:c>
      <x:c r="J10" s="22" t="str">
        <x:v>Mutation log</x:v>
      </x:c>
      <x:c r="K10" s="22" t="str">
        <x:v>Yes</x:v>
      </x:c>
      <x:c r="L10" s="22" t="str">
        <x:v>Yes</x:v>
      </x:c>
      <x:c r="M10" s="22" t="str">
        <x:v>Owner layout only</x:v>
      </x:c>
      <x:c r="N10" s="22" t="str">
        <x:v>No</x:v>
      </x:c>
      <x:c r="O10" s="22" t="str">
        <x:v>Restore last valid</x:v>
      </x:c>
      <x:c r="P10" s="38" t="str"/>
    </x:row>
    <x:row r="11">
      <x:c r="A11" s="37" t="str">
        <x:v>Placement</x:v>
      </x:c>
      <x:c r="B11" s="22" t="str">
        <x:v>orientation</x:v>
      </x:c>
      <x:c r="C11" s="22" t="str">
        <x:v>enum</x:v>
      </x:c>
      <x:c r="D11" s="22" t="str">
        <x:v>90</x:v>
      </x:c>
      <x:c r="E11" s="22" t="str">
        <x:v>Layout</x:v>
      </x:c>
      <x:c r="F11" s="22" t="str">
        <x:v>Rotate/Move</x:v>
      </x:c>
      <x:c r="G11" s="22" t="str">
        <x:v>Valid footprint</x:v>
      </x:c>
      <x:c r="H11" s="22" t="str">
        <x:v>Occupied tiles</x:v>
      </x:c>
      <x:c r="I11" s="22" t="str">
        <x:v>layout_version</x:v>
      </x:c>
      <x:c r="J11" s="22" t="str">
        <x:v>Mutation log</x:v>
      </x:c>
      <x:c r="K11" s="22" t="str">
        <x:v>Yes</x:v>
      </x:c>
      <x:c r="L11" s="22" t="str">
        <x:v>Yes</x:v>
      </x:c>
      <x:c r="M11" s="22" t="str">
        <x:v>Owner layout only</x:v>
      </x:c>
      <x:c r="N11" s="22" t="str">
        <x:v>No</x:v>
      </x:c>
      <x:c r="O11" s="22" t="str">
        <x:v>Restore last valid</x:v>
      </x:c>
      <x:c r="P11" s="38" t="str"/>
    </x:row>
    <x:row r="12">
      <x:c r="A12" s="37" t="str">
        <x:v>Derived</x:v>
      </x:c>
      <x:c r="B12" s="22" t="str">
        <x:v>adjacency_links</x:v>
      </x:c>
      <x:c r="C12" s="22" t="str">
        <x:v>derived list</x:v>
      </x:c>
      <x:c r="D12" s="22" t="str">
        <x:v>[...]</x:v>
      </x:c>
      <x:c r="E12" s="22" t="str">
        <x:v>Layout evaluator</x:v>
      </x:c>
      <x:c r="F12" s="22" t="str">
        <x:v>RecomputeLayout</x:v>
      </x:c>
      <x:c r="G12" s="22" t="str">
        <x:v>Geometry</x:v>
      </x:c>
      <x:c r="H12" s="22" t="str">
        <x:v>Synergy modifiers</x:v>
      </x:c>
      <x:c r="I12" s="22" t="str">
        <x:v>layout_version</x:v>
      </x:c>
      <x:c r="J12" s="22" t="str">
        <x:v>No</x:v>
      </x:c>
      <x:c r="K12" s="22" t="str">
        <x:v>Yes</x:v>
      </x:c>
      <x:c r="L12" s="22" t="str">
        <x:v>N/A</x:v>
      </x:c>
      <x:c r="M12" s="22" t="str">
        <x:v>N/A</x:v>
      </x:c>
      <x:c r="N12" s="22" t="str">
        <x:v>No</x:v>
      </x:c>
      <x:c r="O12" s="22" t="str">
        <x:v>Recompute</x:v>
      </x:c>
      <x:c r="P12" s="38" t="str">
        <x:v>Never client-authored</x:v>
      </x:c>
    </x:row>
    <x:row r="13">
      <x:c r="A13" s="37" t="str">
        <x:v>Derived</x:v>
      </x:c>
      <x:c r="B13" s="22" t="str">
        <x:v>district_id/type</x:v>
      </x:c>
      <x:c r="C13" s="22" t="str">
        <x:v>derived</x:v>
      </x:c>
      <x:c r="D13" s="22" t="str">
        <x:v>Trading District</x:v>
      </x:c>
      <x:c r="E13" s="22" t="str">
        <x:v>Layout evaluator</x:v>
      </x:c>
      <x:c r="F13" s="22" t="str">
        <x:v>RecomputeLayout</x:v>
      </x:c>
      <x:c r="G13" s="22" t="str">
        <x:v>District rules</x:v>
      </x:c>
      <x:c r="H13" s="22" t="str">
        <x:v>District modifiers</x:v>
      </x:c>
      <x:c r="I13" s="22" t="str">
        <x:v>layout_version</x:v>
      </x:c>
      <x:c r="J13" s="22" t="str">
        <x:v>No</x:v>
      </x:c>
      <x:c r="K13" s="22" t="str">
        <x:v>Yes</x:v>
      </x:c>
      <x:c r="L13" s="22" t="str">
        <x:v>N/A</x:v>
      </x:c>
      <x:c r="M13" s="22" t="str">
        <x:v>N/A</x:v>
      </x:c>
      <x:c r="N13" s="22" t="str">
        <x:v>No</x:v>
      </x:c>
      <x:c r="O13" s="22" t="str">
        <x:v>Recompute</x:v>
      </x:c>
      <x:c r="P13" s="38" t="str"/>
    </x:row>
    <x:row r="14">
      <x:c r="A14" s="37" t="str">
        <x:v>Derived</x:v>
      </x:c>
      <x:c r="B14" s="22" t="str">
        <x:v>congestion_state</x:v>
      </x:c>
      <x:c r="C14" s="22" t="str">
        <x:v>derived</x:v>
      </x:c>
      <x:c r="D14" s="22" t="str">
        <x:v>0.06 penalty</x:v>
      </x:c>
      <x:c r="E14" s="22" t="str">
        <x:v>Layout/economy</x:v>
      </x:c>
      <x:c r="F14" s="22" t="str">
        <x:v>RecomputeLayout</x:v>
      </x:c>
      <x:c r="G14" s="22" t="str">
        <x:v>Density rules</x:v>
      </x:c>
      <x:c r="H14" s="22" t="str">
        <x:v>Economy modifier</x:v>
      </x:c>
      <x:c r="I14" s="22" t="str">
        <x:v>layout_version</x:v>
      </x:c>
      <x:c r="J14" s="22" t="str">
        <x:v>No</x:v>
      </x:c>
      <x:c r="K14" s="22" t="str">
        <x:v>Yes</x:v>
      </x:c>
      <x:c r="L14" s="22" t="str">
        <x:v>N/A</x:v>
      </x:c>
      <x:c r="M14" s="22" t="str">
        <x:v>N/A</x:v>
      </x:c>
      <x:c r="N14" s="22" t="str">
        <x:v>No</x:v>
      </x:c>
      <x:c r="O14" s="22" t="str">
        <x:v>Recompute</x:v>
      </x:c>
      <x:c r="P14" s="38" t="str"/>
    </x:row>
    <x:row r="15">
      <x:c r="A15" s="39" t="str">
        <x:v>Derived</x:v>
      </x:c>
      <x:c r="B15" s="40" t="str">
        <x:v>capacity_support</x:v>
      </x:c>
      <x:c r="C15" s="40" t="str">
        <x:v>derived</x:v>
      </x:c>
      <x:c r="D15" s="40" t="str">
        <x:v>1.08×</x:v>
      </x:c>
      <x:c r="E15" s="40" t="str">
        <x:v>Layout evaluator</x:v>
      </x:c>
      <x:c r="F15" s="40" t="str">
        <x:v>RecomputeLayout</x:v>
      </x:c>
      <x:c r="G15" s="40" t="str">
        <x:v>Support radius/slots</x:v>
      </x:c>
      <x:c r="H15" s="40" t="str">
        <x:v>Capacity</x:v>
      </x:c>
      <x:c r="I15" s="40" t="str">
        <x:v>layout_version</x:v>
      </x:c>
      <x:c r="J15" s="40" t="str">
        <x:v>No</x:v>
      </x:c>
      <x:c r="K15" s="40" t="str">
        <x:v>Yes</x:v>
      </x:c>
      <x:c r="L15" s="40" t="str">
        <x:v>N/A</x:v>
      </x:c>
      <x:c r="M15" s="40" t="str">
        <x:v>N/A</x:v>
      </x:c>
      <x:c r="N15" s="40" t="str">
        <x:v>No</x:v>
      </x:c>
      <x:c r="O15" s="40" t="str">
        <x:v>Recompute</x:v>
      </x:c>
      <x:c r="P15" s="41" t="str"/>
    </x:row>
    <x:row r="16">
      <x:c r="A16" s="92" t="str">
        <x:v>ModuleLoadout</x:v>
      </x:c>
      <x:c r="B16" s="93" t="str">
        <x:v>unlocked_slot_count</x:v>
      </x:c>
      <x:c r="C16" s="93" t="str">
        <x:v>derived int</x:v>
      </x:c>
      <x:c r="D16" s="93" t="str">
        <x:v>2</x:v>
      </x:c>
      <x:c r="E16" s="93" t="str">
        <x:v>Building level + rarity</x:v>
      </x:c>
      <x:c r="F16" s="93" t="str">
        <x:v>UpgradeBuilding</x:v>
      </x:c>
      <x:c r="G16" s="93" t="str">
        <x:v>Canonical slot thresholds</x:v>
      </x:c>
      <x:c r="H16" s="93" t="str">
        <x:v>Available slots</x:v>
      </x:c>
      <x:c r="I16" s="93" t="str">
        <x:v>asset_version/config_version</x:v>
      </x:c>
      <x:c r="J16" s="93" t="str">
        <x:v>No</x:v>
      </x:c>
      <x:c r="K16" s="93" t="str">
        <x:v>Yes</x:v>
      </x:c>
      <x:c r="L16" s="93" t="str">
        <x:v>Maybe</x:v>
      </x:c>
      <x:c r="M16" s="93" t="str">
        <x:v>Returns with building owner/player</x:v>
      </x:c>
      <x:c r="N16" s="93" t="str">
        <x:v>No</x:v>
      </x:c>
      <x:c r="O16" s="93" t="str">
        <x:v>Recompute</x:v>
      </x:c>
      <x:c r="P16" s="94" t="str">
        <x:v>Common1 / Uncommon-Rare2 / Epic-Legendary3 / Mythic4 max</x:v>
      </x:c>
    </x:row>
    <x:row r="17">
      <x:c r="A17" s="95" t="str">
        <x:v>ModuleLoadout</x:v>
      </x:c>
      <x:c r="B17" s="96" t="str">
        <x:v>equipped_module_ids</x:v>
      </x:c>
      <x:c r="C17" s="96" t="str">
        <x:v>list by slot</x:v>
      </x:c>
      <x:c r="D17" s="96" t="str">
        <x:v>[mod_a,mod_b]</x:v>
      </x:c>
      <x:c r="E17" s="96" t="str">
        <x:v>Module</x:v>
      </x:c>
      <x:c r="F17" s="96" t="str">
        <x:v>Equip/Unequip</x:v>
      </x:c>
      <x:c r="G17" s="96" t="str">
        <x:v>Owned copy, slot unlocked, compatible, no duplicate ID, Legendary&lt;=1</x:v>
      </x:c>
      <x:c r="H17" s="96" t="str">
        <x:v>Effective modifier vector</x:v>
      </x:c>
      <x:c r="I17" s="96" t="str">
        <x:v>loadout_version</x:v>
      </x:c>
      <x:c r="J17" s="96" t="str">
        <x:v>Yes</x:v>
      </x:c>
      <x:c r="K17" s="96" t="str">
        <x:v>Yes</x:v>
      </x:c>
      <x:c r="L17" s="96" t="str">
        <x:v>Yes</x:v>
      </x:c>
      <x:c r="M17" s="96" t="str">
        <x:v>Modules return to player inventory on building removal</x:v>
      </x:c>
      <x:c r="N17" s="96" t="str">
        <x:v>No</x:v>
      </x:c>
      <x:c r="O17" s="96" t="str">
        <x:v>Replay audit</x:v>
      </x:c>
      <x:c r="P17" s="97" t="str">
        <x:v>One Module per slot</x:v>
      </x:c>
    </x:row>
    <x:row r="18">
      <x:c r="A18" s="95" t="str">
        <x:v>ModuleLoadout</x:v>
      </x:c>
      <x:c r="B18" s="96" t="str">
        <x:v>effective_at</x:v>
      </x:c>
      <x:c r="C18" s="96" t="str">
        <x:v>timestamp</x:v>
      </x:c>
      <x:c r="D18" s="96" t="str">
        <x:v>UTC tick boundary</x:v>
      </x:c>
      <x:c r="E18" s="96" t="str">
        <x:v>Module</x:v>
      </x:c>
      <x:c r="F18" s="96" t="str">
        <x:v>Equip/Unequip</x:v>
      </x:c>
      <x:c r="G18" s="96" t="str">
        <x:v>Server time + simulation boundary</x:v>
      </x:c>
      <x:c r="H18" s="96" t="str">
        <x:v>Which loadout applies to tick</x:v>
      </x:c>
      <x:c r="I18" s="96" t="str">
        <x:v>loadout_version</x:v>
      </x:c>
      <x:c r="J18" s="96" t="str">
        <x:v>Yes</x:v>
      </x:c>
      <x:c r="K18" s="96" t="str">
        <x:v>Yes</x:v>
      </x:c>
      <x:c r="L18" s="96" t="str">
        <x:v>Yes</x:v>
      </x:c>
      <x:c r="M18" s="96" t="str">
        <x:v>N/A</x:v>
      </x:c>
      <x:c r="N18" s="96" t="str">
        <x:v>No</x:v>
      </x:c>
      <x:c r="O18" s="96" t="str">
        <x:v>Use last valid committed version</x:v>
      </x:c>
      <x:c r="P18" s="97" t="str">
        <x:v>Never retroactive</x:v>
      </x:c>
    </x:row>
    <x:row r="19">
      <x:c r="A19" s="95" t="str">
        <x:v>Derived</x:v>
      </x:c>
      <x:c r="B19" s="96" t="str">
        <x:v>module_effect_vector</x:v>
      </x:c>
      <x:c r="C19" s="96" t="str">
        <x:v>derived map</x:v>
      </x:c>
      <x:c r="D19" s="96" t="str">
        <x:v>{acq:1.08,risk:-6}</x:v>
      </x:c>
      <x:c r="E19" s="96" t="str">
        <x:v>Module Runtime</x:v>
      </x:c>
      <x:c r="F19" s="96" t="str">
        <x:v>ResolveModuleEffects</x:v>
      </x:c>
      <x:c r="G19" s="96" t="str">
        <x:v>Config + context + caps</x:v>
      </x:c>
      <x:c r="H19" s="96" t="str">
        <x:v>Inputs to customer/economy/risk/event</x:v>
      </x:c>
      <x:c r="I19" s="96" t="str">
        <x:v>loadout/config versions</x:v>
      </x:c>
      <x:c r="J19" s="96" t="str">
        <x:v>Trace only</x:v>
      </x:c>
      <x:c r="K19" s="96" t="str">
        <x:v>Short TTL</x:v>
      </x:c>
      <x:c r="L19" s="96" t="str">
        <x:v>N/A</x:v>
      </x:c>
      <x:c r="M19" s="96" t="str">
        <x:v>N/A</x:v>
      </x:c>
      <x:c r="N19" s="96" t="str">
        <x:v>No</x:v>
      </x:c>
      <x:c r="O19" s="96" t="str">
        <x:v>Recompute deterministically</x:v>
      </x:c>
      <x:c r="P19" s="97" t="str">
        <x:v>Never client-authored</x:v>
      </x:c>
    </x:row>
    <x:row r="20">
      <x:c r="A20" s="98" t="str">
        <x:v>Derived</x:v>
      </x:c>
      <x:c r="B20" s="99" t="str">
        <x:v>module_effect_trace_ref</x:v>
      </x:c>
      <x:c r="C20" s="99" t="str">
        <x:v>derived ref</x:v>
      </x:c>
      <x:c r="D20" s="99" t="str">
        <x:v>trace_...</x:v>
      </x:c>
      <x:c r="E20" s="99" t="str">
        <x:v>Module Runtime</x:v>
      </x:c>
      <x:c r="F20" s="99" t="str">
        <x:v>ResolveModuleEffects</x:v>
      </x:c>
      <x:c r="G20" s="99" t="str">
        <x:v>Approved config/version/context hash</x:v>
      </x:c>
      <x:c r="H20" s="99" t="str">
        <x:v>Replay/debug trace</x:v>
      </x:c>
      <x:c r="I20" s="99" t="str">
        <x:v>tick/loadout/config versions</x:v>
      </x:c>
      <x:c r="J20" s="99" t="str">
        <x:v>Optional durable diagnostic</x:v>
      </x:c>
      <x:c r="K20" s="99" t="str">
        <x:v>Short TTL + audit sample</x:v>
      </x:c>
      <x:c r="L20" s="99" t="str">
        <x:v>N/A</x:v>
      </x:c>
      <x:c r="M20" s="99" t="str">
        <x:v>N/A</x:v>
      </x:c>
      <x:c r="N20" s="99" t="str">
        <x:v>No</x:v>
      </x:c>
      <x:c r="O20" s="99" t="str">
        <x:v>Recompute unless retained</x:v>
      </x:c>
      <x:c r="P20" s="100" t="str">
        <x:v>Useful for disputes and LiveOps debugging</x:v>
      </x:c>
    </x:row>
  </x:sheetData>
  <x:mergeCells>
    <x:mergeCell ref="A1:P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Customer, Business Economy &amp; Ledger State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</x:row>
    <x:row r="3">
      <x:c r="A3" s="14" t="str">
        <x:v>Entity</x:v>
      </x:c>
      <x:c r="B3" s="14" t="str">
        <x:v>Field / Metric</x:v>
      </x:c>
      <x:c r="C3" s="14" t="str">
        <x:v>Type</x:v>
      </x:c>
      <x:c r="D3" s="14" t="str">
        <x:v>Update Cadence</x:v>
      </x:c>
      <x:c r="E3" s="14" t="str">
        <x:v>Canonical Store</x:v>
      </x:c>
      <x:c r="F3" s="14" t="str">
        <x:v>Mutation Source</x:v>
      </x:c>
      <x:c r="G3" s="14" t="str">
        <x:v>Validation</x:v>
      </x:c>
      <x:c r="H3" s="14" t="str">
        <x:v>Ledger / Snapshot</x:v>
      </x:c>
      <x:c r="I3" s="14" t="str">
        <x:v>Cache?</x:v>
      </x:c>
      <x:c r="J3" s="14" t="str">
        <x:v>Offline Accrual?</x:v>
      </x:c>
      <x:c r="K3" s="14" t="str">
        <x:v>Performance Input?</x:v>
      </x:c>
      <x:c r="L3" s="14" t="str">
        <x:v>Event Sensitive?</x:v>
      </x:c>
      <x:c r="M3" s="14" t="str">
        <x:v>Risk Sensitive?</x:v>
      </x:c>
      <x:c r="N3" s="14" t="str">
        <x:v>Recovery Strategy</x:v>
      </x:c>
      <x:c r="O3" s="14" t="str">
        <x:v>Exploit Risk</x:v>
      </x:c>
      <x:c r="P3" s="14" t="str">
        <x:v>Notes</x:v>
      </x:c>
    </x:row>
    <x:row r="4">
      <x:c r="A4" s="34" t="str">
        <x:v>BusinessEconomy</x:v>
      </x:c>
      <x:c r="B4" s="35" t="str">
        <x:v>active_customers</x:v>
      </x:c>
      <x:c r="C4" s="35" t="str">
        <x:v>int</x:v>
      </x:c>
      <x:c r="D4" s="35" t="str">
        <x:v>15 min</x:v>
      </x:c>
      <x:c r="E4" s="35" t="str">
        <x:v>Customer snapshot</x:v>
      </x:c>
      <x:c r="F4" s="35" t="str">
        <x:v>Customer refresh</x:v>
      </x:c>
      <x:c r="G4" s="35" t="str">
        <x:v>0..capacity-effective</x:v>
      </x:c>
      <x:c r="H4" s="35" t="str">
        <x:v>Customer delta ledger + snapshot</x:v>
      </x:c>
      <x:c r="I4" s="35" t="str">
        <x:v>Yes</x:v>
      </x:c>
      <x:c r="J4" s="35" t="str">
        <x:v>Catch-up capped</x:v>
      </x:c>
      <x:c r="K4" s="35" t="str">
        <x:v>Yes</x:v>
      </x:c>
      <x:c r="L4" s="35" t="str">
        <x:v>Yes</x:v>
      </x:c>
      <x:c r="M4" s="35" t="str">
        <x:v>Yes</x:v>
      </x:c>
      <x:c r="N4" s="35" t="str">
        <x:v>Checkpoint + replay</x:v>
      </x:c>
      <x:c r="O4" s="35" t="str">
        <x:v>High</x:v>
      </x:c>
      <x:c r="P4" s="36" t="str"/>
    </x:row>
    <x:row r="5">
      <x:c r="A5" s="37" t="str">
        <x:v>BusinessEconomy</x:v>
      </x:c>
      <x:c r="B5" s="22" t="str">
        <x:v>capacity</x:v>
      </x:c>
      <x:c r="C5" s="22" t="str">
        <x:v>int</x:v>
      </x:c>
      <x:c r="D5" s="22" t="str">
        <x:v>Layout/config change</x:v>
      </x:c>
      <x:c r="E5" s="22" t="str">
        <x:v>Relational derived</x:v>
      </x:c>
      <x:c r="F5" s="22" t="str">
        <x:v>Building stats + support</x:v>
      </x:c>
      <x:c r="G5" s="22" t="str">
        <x:v>Positive</x:v>
      </x:c>
      <x:c r="H5" s="22" t="str">
        <x:v>Snapshot</x:v>
      </x:c>
      <x:c r="I5" s="22" t="str">
        <x:v>Yes</x:v>
      </x:c>
      <x:c r="J5" s="22" t="str">
        <x:v>N/A</x:v>
      </x:c>
      <x:c r="K5" s="22" t="str">
        <x:v>Indirect</x:v>
      </x:c>
      <x:c r="L5" s="22" t="str">
        <x:v>Yes</x:v>
      </x:c>
      <x:c r="M5" s="22" t="str">
        <x:v>Yes</x:v>
      </x:c>
      <x:c r="N5" s="22" t="str">
        <x:v>Recompute</x:v>
      </x:c>
      <x:c r="O5" s="22" t="str">
        <x:v>Low</x:v>
      </x:c>
      <x:c r="P5" s="38" t="str"/>
    </x:row>
    <x:row r="6">
      <x:c r="A6" s="37" t="str">
        <x:v>BusinessEconomy</x:v>
      </x:c>
      <x:c r="B6" s="22" t="str">
        <x:v>utilization</x:v>
      </x:c>
      <x:c r="C6" s="22" t="str">
        <x:v>decimal</x:v>
      </x:c>
      <x:c r="D6" s="22" t="str">
        <x:v>15 min</x:v>
      </x:c>
      <x:c r="E6" s="22" t="str">
        <x:v>Derived</x:v>
      </x:c>
      <x:c r="F6" s="22" t="str">
        <x:v>customers/capacity</x:v>
      </x:c>
      <x:c r="G6" s="22" t="str">
        <x:v>Bounded/attempted demand separate</x:v>
      </x:c>
      <x:c r="H6" s="22" t="str">
        <x:v>Snapshot</x:v>
      </x:c>
      <x:c r="I6" s="22" t="str">
        <x:v>Yes</x:v>
      </x:c>
      <x:c r="J6" s="22" t="str">
        <x:v>Catch-up capped</x:v>
      </x:c>
      <x:c r="K6" s="22" t="str">
        <x:v>Yes</x:v>
      </x:c>
      <x:c r="L6" s="22" t="str">
        <x:v>Yes</x:v>
      </x:c>
      <x:c r="M6" s="22" t="str">
        <x:v>Yes</x:v>
      </x:c>
      <x:c r="N6" s="22" t="str">
        <x:v>Recompute</x:v>
      </x:c>
      <x:c r="O6" s="22" t="str">
        <x:v>Medium</x:v>
      </x:c>
      <x:c r="P6" s="38" t="str"/>
    </x:row>
    <x:row r="7">
      <x:c r="A7" s="37" t="str">
        <x:v>BusinessEconomy</x:v>
      </x:c>
      <x:c r="B7" s="22" t="str">
        <x:v>gross_cash_rate</x:v>
      </x:c>
      <x:c r="C7" s="22" t="str">
        <x:v>decimal</x:v>
      </x:c>
      <x:c r="D7" s="22" t="str">
        <x:v>5 min</x:v>
      </x:c>
      <x:c r="E7" s="22" t="str">
        <x:v>Derived</x:v>
      </x:c>
      <x:c r="F7" s="22" t="str">
        <x:v>customer activity × business economics</x:v>
      </x:c>
      <x:c r="G7" s="22" t="str">
        <x:v>Config version pinned</x:v>
      </x:c>
      <x:c r="H7" s="22" t="str">
        <x:v>Economy tick ledger</x:v>
      </x:c>
      <x:c r="I7" s="22" t="str">
        <x:v>Yes</x:v>
      </x:c>
      <x:c r="J7" s="22" t="str">
        <x:v>Yes</x:v>
      </x:c>
      <x:c r="K7" s="22" t="str">
        <x:v>No direct; net revenue scores</x:v>
      </x:c>
      <x:c r="L7" s="22" t="str">
        <x:v>Yes</x:v>
      </x:c>
      <x:c r="M7" s="22" t="str">
        <x:v>Yes</x:v>
      </x:c>
      <x:c r="N7" s="22" t="str">
        <x:v>Replay tick</x:v>
      </x:c>
      <x:c r="O7" s="22" t="str">
        <x:v>High</x:v>
      </x:c>
      <x:c r="P7" s="38" t="str"/>
    </x:row>
    <x:row r="8">
      <x:c r="A8" s="37" t="str">
        <x:v>BusinessEconomy</x:v>
      </x:c>
      <x:c r="B8" s="22" t="str">
        <x:v>operating_cost_rate</x:v>
      </x:c>
      <x:c r="C8" s="22" t="str">
        <x:v>decimal</x:v>
      </x:c>
      <x:c r="D8" s="22" t="str">
        <x:v>5 min</x:v>
      </x:c>
      <x:c r="E8" s="22" t="str">
        <x:v>Derived</x:v>
      </x:c>
      <x:c r="F8" s="22" t="str">
        <x:v>building/stage/territory overhead</x:v>
      </x:c>
      <x:c r="G8" s="22" t="str">
        <x:v>Config version pinned</x:v>
      </x:c>
      <x:c r="H8" s="22" t="str">
        <x:v>Economy tick ledger</x:v>
      </x:c>
      <x:c r="I8" s="22" t="str">
        <x:v>Yes</x:v>
      </x:c>
      <x:c r="J8" s="22" t="str">
        <x:v>Yes</x:v>
      </x:c>
      <x:c r="K8" s="22" t="str">
        <x:v>Indirect</x:v>
      </x:c>
      <x:c r="L8" s="22" t="str">
        <x:v>Yes</x:v>
      </x:c>
      <x:c r="M8" s="22" t="str">
        <x:v>Yes</x:v>
      </x:c>
      <x:c r="N8" s="22" t="str">
        <x:v>Replay tick</x:v>
      </x:c>
      <x:c r="O8" s="22" t="str">
        <x:v>Medium</x:v>
      </x:c>
      <x:c r="P8" s="38" t="str"/>
    </x:row>
    <x:row r="9">
      <x:c r="A9" s="37" t="str">
        <x:v>BusinessEconomy</x:v>
      </x:c>
      <x:c r="B9" s="22" t="str">
        <x:v>net_cash_delta</x:v>
      </x:c>
      <x:c r="C9" s="22" t="str">
        <x:v>int64</x:v>
      </x:c>
      <x:c r="D9" s="22" t="str">
        <x:v>5 min</x:v>
      </x:c>
      <x:c r="E9" s="22" t="str">
        <x:v>Cash ledger</x:v>
      </x:c>
      <x:c r="F9" s="22" t="str">
        <x:v>Economy tick</x:v>
      </x:c>
      <x:c r="G9" s="22" t="str">
        <x:v>No negative rewards; deterministic rounding</x:v>
      </x:c>
      <x:c r="H9" s="22" t="str">
        <x:v>Double-entry-like ledger</x:v>
      </x:c>
      <x:c r="I9" s="22" t="str">
        <x:v>Yes</x:v>
      </x:c>
      <x:c r="J9" s="22" t="str">
        <x:v>Yes</x:v>
      </x:c>
      <x:c r="K9" s="22" t="str">
        <x:v>Yes</x:v>
      </x:c>
      <x:c r="L9" s="22" t="str">
        <x:v>Yes</x:v>
      </x:c>
      <x:c r="M9" s="22" t="str">
        <x:v>Yes</x:v>
      </x:c>
      <x:c r="N9" s="22" t="str">
        <x:v>Repost idempotent tick</x:v>
      </x:c>
      <x:c r="O9" s="22" t="str">
        <x:v>Critical</x:v>
      </x:c>
      <x:c r="P9" s="38" t="str"/>
    </x:row>
    <x:row r="10">
      <x:c r="A10" s="37" t="str">
        <x:v>BusinessEconomy</x:v>
      </x:c>
      <x:c r="B10" s="22" t="str">
        <x:v>activity_points</x:v>
      </x:c>
      <x:c r="C10" s="22" t="str">
        <x:v>decimal</x:v>
      </x:c>
      <x:c r="D10" s="22" t="str">
        <x:v>5 min</x:v>
      </x:c>
      <x:c r="E10" s="22" t="str">
        <x:v>Activity ledger/window</x:v>
      </x:c>
      <x:c r="F10" s="22" t="str">
        <x:v>Validated customer/business activity</x:v>
      </x:c>
      <x:c r="G10" s="22" t="str">
        <x:v>No reward recursion</x:v>
      </x:c>
      <x:c r="H10" s="22" t="str">
        <x:v>Append-only events + aggregates</x:v>
      </x:c>
      <x:c r="I10" s="22" t="str">
        <x:v>Yes</x:v>
      </x:c>
      <x:c r="J10" s="22" t="str">
        <x:v>Limited offline efficiency</x:v>
      </x:c>
      <x:c r="K10" s="22" t="str">
        <x:v>Yes</x:v>
      </x:c>
      <x:c r="L10" s="22" t="str">
        <x:v>Yes</x:v>
      </x:c>
      <x:c r="M10" s="22" t="str">
        <x:v>Yes</x:v>
      </x:c>
      <x:c r="N10" s="22" t="str">
        <x:v>Reaggregate</x:v>
      </x:c>
      <x:c r="O10" s="22" t="str">
        <x:v>Critical</x:v>
      </x:c>
      <x:c r="P10" s="38" t="str"/>
    </x:row>
    <x:row r="11">
      <x:c r="A11" s="37" t="str">
        <x:v>CustomerSegment</x:v>
      </x:c>
      <x:c r="B11" s="22" t="str">
        <x:v>segment_counts</x:v>
      </x:c>
      <x:c r="C11" s="22" t="str">
        <x:v>map/int</x:v>
      </x:c>
      <x:c r="D11" s="22" t="str">
        <x:v>15 min</x:v>
      </x:c>
      <x:c r="E11" s="22" t="str">
        <x:v>Customer snapshot</x:v>
      </x:c>
      <x:c r="F11" s="22" t="str">
        <x:v>Acquisition/churn model</x:v>
      </x:c>
      <x:c r="G11" s="22" t="str">
        <x:v>Nonnegative; segment access gates</x:v>
      </x:c>
      <x:c r="H11" s="22" t="str">
        <x:v>Delta ledger</x:v>
      </x:c>
      <x:c r="I11" s="22" t="str">
        <x:v>Yes</x:v>
      </x:c>
      <x:c r="J11" s="22" t="str">
        <x:v>Catch-up capped</x:v>
      </x:c>
      <x:c r="K11" s="22" t="str">
        <x:v>Yes</x:v>
      </x:c>
      <x:c r="L11" s="22" t="str">
        <x:v>Yes</x:v>
      </x:c>
      <x:c r="M11" s="22" t="str">
        <x:v>Yes</x:v>
      </x:c>
      <x:c r="N11" s="22" t="str">
        <x:v>Replay deltas</x:v>
      </x:c>
      <x:c r="O11" s="22" t="str">
        <x:v>High</x:v>
      </x:c>
      <x:c r="P11" s="38" t="str"/>
    </x:row>
    <x:row r="12">
      <x:c r="A12" s="37" t="str">
        <x:v>CustomerSegment</x:v>
      </x:c>
      <x:c r="B12" s="22" t="str">
        <x:v>new_customers</x:v>
      </x:c>
      <x:c r="C12" s="22" t="str">
        <x:v>int</x:v>
      </x:c>
      <x:c r="D12" s="22" t="str">
        <x:v>15 min</x:v>
      </x:c>
      <x:c r="E12" s="22" t="str">
        <x:v>Delta ledger</x:v>
      </x:c>
      <x:c r="F12" s="22" t="str">
        <x:v>Acquisition formula</x:v>
      </x:c>
      <x:c r="G12" s="22" t="str">
        <x:v>Stage demand + rep + service + capacity + modifiers</x:v>
      </x:c>
      <x:c r="H12" s="22" t="str">
        <x:v>Append-only</x:v>
      </x:c>
      <x:c r="I12" s="22" t="str">
        <x:v>Yes</x:v>
      </x:c>
      <x:c r="J12" s="22" t="str">
        <x:v>Catch-up capped</x:v>
      </x:c>
      <x:c r="K12" s="22" t="str">
        <x:v>Yes growth</x:v>
      </x:c>
      <x:c r="L12" s="22" t="str">
        <x:v>Yes</x:v>
      </x:c>
      <x:c r="M12" s="22" t="str">
        <x:v>Yes</x:v>
      </x:c>
      <x:c r="N12" s="22" t="str">
        <x:v>Replay</x:v>
      </x:c>
      <x:c r="O12" s="22" t="str">
        <x:v>High</x:v>
      </x:c>
      <x:c r="P12" s="38" t="str"/>
    </x:row>
    <x:row r="13">
      <x:c r="A13" s="37" t="str">
        <x:v>CustomerSegment</x:v>
      </x:c>
      <x:c r="B13" s="22" t="str">
        <x:v>churned_customers</x:v>
      </x:c>
      <x:c r="C13" s="22" t="str">
        <x:v>int</x:v>
      </x:c>
      <x:c r="D13" s="22" t="str">
        <x:v>15 min</x:v>
      </x:c>
      <x:c r="E13" s="22" t="str">
        <x:v>Delta ledger</x:v>
      </x:c>
      <x:c r="F13" s="22" t="str">
        <x:v>Churn formula</x:v>
      </x:c>
      <x:c r="G13" s="22" t="str">
        <x:v>Cannot exceed segment count</x:v>
      </x:c>
      <x:c r="H13" s="22" t="str">
        <x:v>Append-only</x:v>
      </x:c>
      <x:c r="I13" s="22" t="str">
        <x:v>Yes</x:v>
      </x:c>
      <x:c r="J13" s="22" t="str">
        <x:v>Catch-up capped</x:v>
      </x:c>
      <x:c r="K13" s="22" t="str">
        <x:v>Indirect</x:v>
      </x:c>
      <x:c r="L13" s="22" t="str">
        <x:v>Yes</x:v>
      </x:c>
      <x:c r="M13" s="22" t="str">
        <x:v>Yes</x:v>
      </x:c>
      <x:c r="N13" s="22" t="str">
        <x:v>Replay</x:v>
      </x:c>
      <x:c r="O13" s="22" t="str">
        <x:v>High</x:v>
      </x:c>
      <x:c r="P13" s="38" t="str"/>
    </x:row>
    <x:row r="14">
      <x:c r="A14" s="37" t="str">
        <x:v>PlayerEconomy</x:v>
      </x:c>
      <x:c r="B14" s="22" t="str">
        <x:v>cash_balance</x:v>
      </x:c>
      <x:c r="C14" s="22" t="str">
        <x:v>int64</x:v>
      </x:c>
      <x:c r="D14" s="22" t="str">
        <x:v>Transactional DB + ledger</x:v>
      </x:c>
      <x:c r="E14" s="22" t="str">
        <x:v>All cash entries</x:v>
      </x:c>
      <x:c r="F14" s="22" t="str">
        <x:v>Ledger posting</x:v>
      </x:c>
      <x:c r="G14" s="22" t="str">
        <x:v>No underflow</x:v>
      </x:c>
      <x:c r="H14" s="22" t="str">
        <x:v>Cash ledger</x:v>
      </x:c>
      <x:c r="I14" s="22" t="str">
        <x:v>Yes</x:v>
      </x:c>
      <x:c r="J14" s="22" t="str">
        <x:v>N/A</x:v>
      </x:c>
      <x:c r="K14" s="22" t="str">
        <x:v>No raw balance</x:v>
      </x:c>
      <x:c r="L14" s="22" t="str">
        <x:v>Yes</x:v>
      </x:c>
      <x:c r="M14" s="22" t="str">
        <x:v>No</x:v>
      </x:c>
      <x:c r="N14" s="22" t="str">
        <x:v>Ledger replay</x:v>
      </x:c>
      <x:c r="O14" s="22" t="str">
        <x:v>Critical</x:v>
      </x:c>
      <x:c r="P14" s="38" t="str"/>
    </x:row>
    <x:row r="15">
      <x:c r="A15" s="39" t="str">
        <x:v>PlayerEconomy</x:v>
      </x:c>
      <x:c r="B15" s="40" t="str">
        <x:v>weekly_net_revenue</x:v>
      </x:c>
      <x:c r="C15" s="40" t="str">
        <x:v>int64</x:v>
      </x:c>
      <x:c r="D15" s="40" t="str">
        <x:v>Incremental + weekly recompute</x:v>
      </x:c>
      <x:c r="E15" s="40" t="str">
        <x:v>Performance aggregate</x:v>
      </x:c>
      <x:c r="F15" s="40" t="str">
        <x:v>Validated economy ledger</x:v>
      </x:c>
      <x:c r="G15" s="40" t="str">
        <x:v>Epoch bounds</x:v>
      </x:c>
      <x:c r="H15" s="40" t="str">
        <x:v>Weekly aggregate snapshot</x:v>
      </x:c>
      <x:c r="I15" s="40" t="str">
        <x:v>Yes</x:v>
      </x:c>
      <x:c r="J15" s="40" t="str">
        <x:v>N/A</x:v>
      </x:c>
      <x:c r="K15" s="40" t="str">
        <x:v>Yes</x:v>
      </x:c>
      <x:c r="L15" s="40" t="str">
        <x:v>Yes</x:v>
      </x:c>
      <x:c r="M15" s="40" t="str">
        <x:v>Yes</x:v>
      </x:c>
      <x:c r="N15" s="40" t="str">
        <x:v>Recompute from ledger</x:v>
      </x:c>
      <x:c r="O15" s="40" t="str">
        <x:v>Critical</x:v>
      </x:c>
      <x:c r="P15" s="41" t="str"/>
    </x:row>
    <x:row r="17" ht="22" customHeight="1">
      <x:c r="A17" s="31" t="str">
        <x:v>Cash Ledger Entry Schema</x:v>
      </x:c>
      <x:c r="B17" s="31"/>
      <x:c r="C17" s="31"/>
      <x:c r="D17" s="31"/>
      <x:c r="E17" s="31"/>
      <x:c r="F17" s="31"/>
      <x:c r="G17" s="31"/>
      <x:c r="H17" s="31"/>
      <x:c r="I17" s="31"/>
      <x:c r="J17" s="31"/>
      <x:c r="K17" s="31"/>
      <x:c r="L17" s="31"/>
      <x:c r="M17" s="31"/>
      <x:c r="N17" s="31"/>
      <x:c r="O17" s="31"/>
      <x:c r="P17" s="31"/>
    </x:row>
    <x:row r="18">
      <x:c r="A18" s="14" t="str">
        <x:v>Field</x:v>
      </x:c>
      <x:c r="B18" s="14" t="str">
        <x:v>Example</x:v>
      </x:c>
      <x:c r="C18" s="14" t="str">
        <x:v>Required?</x:v>
      </x:c>
      <x:c r="D18" s="14" t="str">
        <x:v>Purpose</x:v>
      </x:c>
      <x:c r="E18" s="14" t="str">
        <x:v>Idempotency Role</x:v>
      </x:c>
      <x:c r="F18" s="14" t="str">
        <x:v>Settlement Role</x:v>
      </x:c>
      <x:c r="G18" s="14" t="str">
        <x:v>Audit Role</x:v>
      </x:c>
      <x:c r="H18" s="14" t="str">
        <x:v>Index?</x:v>
      </x:c>
      <x:c r="I18" s="14" t="str">
        <x:v>Mutable?</x:v>
      </x:c>
      <x:c r="J18" s="14" t="str">
        <x:v>Retention</x:v>
      </x:c>
      <x:c r="K18" s="14" t="str">
        <x:v>Failure Behavior</x:v>
      </x:c>
      <x:c r="L18" s="14" t="str">
        <x:v>Notes</x:v>
      </x:c>
    </x:row>
    <x:row r="19">
      <x:c r="A19" s="34" t="str">
        <x:v>ledger_entry_id</x:v>
      </x:c>
      <x:c r="B19" s="35" t="str">
        <x:v>cash_...</x:v>
      </x:c>
      <x:c r="C19" s="35" t="str">
        <x:v>Yes</x:v>
      </x:c>
      <x:c r="D19" s="35" t="str">
        <x:v>Unique economic entry</x:v>
      </x:c>
      <x:c r="E19" s="35" t="str">
        <x:v>Primary idempotency identity</x:v>
      </x:c>
      <x:c r="F19" s="35" t="str">
        <x:v>Source for weekly revenue filtering</x:v>
      </x:c>
      <x:c r="G19" s="35" t="str">
        <x:v>Critical</x:v>
      </x:c>
      <x:c r="H19" s="35" t="str">
        <x:v>PK</x:v>
      </x:c>
      <x:c r="I19" s="35" t="str">
        <x:v>No</x:v>
      </x:c>
      <x:c r="J19" s="35" t="str">
        <x:v>730d+</x:v>
      </x:c>
      <x:c r="K19" s="35" t="str">
        <x:v>Never overwrite</x:v>
      </x:c>
      <x:c r="L19" s="36" t="str"/>
    </x:row>
    <x:row r="20">
      <x:c r="A20" s="37" t="str">
        <x:v>player_id</x:v>
      </x:c>
      <x:c r="B20" s="22" t="str">
        <x:v>plr_...</x:v>
      </x:c>
      <x:c r="C20" s="22" t="str">
        <x:v>Yes</x:v>
      </x:c>
      <x:c r="D20" s="22" t="str">
        <x:v>Account</x:v>
      </x:c>
      <x:c r="E20" s="22" t="str">
        <x:v>Partition key</x:v>
      </x:c>
      <x:c r="F20" s="22" t="str">
        <x:v>Settlement grouping</x:v>
      </x:c>
      <x:c r="G20" s="22" t="str">
        <x:v>Critical</x:v>
      </x:c>
      <x:c r="H20" s="22" t="str">
        <x:v>Yes</x:v>
      </x:c>
      <x:c r="I20" s="22" t="str">
        <x:v>No</x:v>
      </x:c>
      <x:c r="J20" s="22" t="str">
        <x:v>730d+</x:v>
      </x:c>
      <x:c r="K20" s="22" t="str">
        <x:v>Reject unknown</x:v>
      </x:c>
      <x:c r="L20" s="38" t="str"/>
    </x:row>
    <x:row r="21">
      <x:c r="A21" s="37" t="str">
        <x:v>business_id</x:v>
      </x:c>
      <x:c r="B21" s="22" t="str">
        <x:v>bld_...</x:v>
      </x:c>
      <x:c r="C21" s="22" t="str">
        <x:v>Sometimes</x:v>
      </x:c>
      <x:c r="D21" s="22" t="str">
        <x:v>Source business</x:v>
      </x:c>
      <x:c r="E21" s="22" t="str">
        <x:v>Tick dedupe scope</x:v>
      </x:c>
      <x:c r="F21" s="22" t="str">
        <x:v>Revenue attribution</x:v>
      </x:c>
      <x:c r="G21" s="22" t="str">
        <x:v>Useful</x:v>
      </x:c>
      <x:c r="H21" s="22" t="str">
        <x:v>Yes</x:v>
      </x:c>
      <x:c r="I21" s="22" t="str">
        <x:v>No</x:v>
      </x:c>
      <x:c r="J21" s="22" t="str">
        <x:v>730d+</x:v>
      </x:c>
      <x:c r="K21" s="22" t="str">
        <x:v>Nullable for system rewards</x:v>
      </x:c>
      <x:c r="L21" s="38" t="str"/>
    </x:row>
    <x:row r="22">
      <x:c r="A22" s="37" t="str">
        <x:v>entry_type</x:v>
      </x:c>
      <x:c r="B22" s="22" t="str">
        <x:v>operating_revenue</x:v>
      </x:c>
      <x:c r="C22" s="22" t="str">
        <x:v>Yes</x:v>
      </x:c>
      <x:c r="D22" s="22" t="str">
        <x:v>Semantic category</x:v>
      </x:c>
      <x:c r="E22" s="22" t="str">
        <x:v>Determines allowed duplicate behavior</x:v>
      </x:c>
      <x:c r="F22" s="22" t="str">
        <x:v>Eligibility filter</x:v>
      </x:c>
      <x:c r="G22" s="22" t="str">
        <x:v>Critical</x:v>
      </x:c>
      <x:c r="H22" s="22" t="str">
        <x:v>Yes</x:v>
      </x:c>
      <x:c r="I22" s="22" t="str">
        <x:v>No</x:v>
      </x:c>
      <x:c r="J22" s="22" t="str">
        <x:v>730d+</x:v>
      </x:c>
      <x:c r="K22" s="22" t="str">
        <x:v>Enum validation</x:v>
      </x:c>
      <x:c r="L22" s="38" t="str"/>
    </x:row>
    <x:row r="23">
      <x:c r="A23" s="37" t="str">
        <x:v>amount</x:v>
      </x:c>
      <x:c r="B23" s="22" t="str">
        <x:v>1250</x:v>
      </x:c>
      <x:c r="C23" s="22" t="str">
        <x:v>Yes</x:v>
      </x:c>
      <x:c r="D23" s="22" t="str">
        <x:v>Signed Cash amount</x:v>
      </x:c>
      <x:c r="E23" s="22" t="str">
        <x:v>N/A</x:v>
      </x:c>
      <x:c r="F23" s="22" t="str">
        <x:v>Eligible/noneligible filtering</x:v>
      </x:c>
      <x:c r="G23" s="22" t="str">
        <x:v>Critical</x:v>
      </x:c>
      <x:c r="H23" s="22" t="str">
        <x:v>No</x:v>
      </x:c>
      <x:c r="I23" s="22" t="str">
        <x:v>No</x:v>
      </x:c>
      <x:c r="J23" s="22" t="str">
        <x:v>730d+</x:v>
      </x:c>
      <x:c r="K23" s="22" t="str">
        <x:v>Atomic posting</x:v>
      </x:c>
      <x:c r="L23" s="38" t="str">
        <x:v>Integer minor units</x:v>
      </x:c>
    </x:row>
    <x:row r="24">
      <x:c r="A24" s="37" t="str">
        <x:v>source_event_id</x:v>
      </x:c>
      <x:c r="B24" s="22" t="str">
        <x:v>tick_...</x:v>
      </x:c>
      <x:c r="C24" s="22" t="str">
        <x:v>Yes</x:v>
      </x:c>
      <x:c r="D24" s="22" t="str">
        <x:v>Origin command/job/event</x:v>
      </x:c>
      <x:c r="E24" s="22" t="str">
        <x:v>Unique key with type/player</x:v>
      </x:c>
      <x:c r="F24" s="22" t="str">
        <x:v>Trace to settlement</x:v>
      </x:c>
      <x:c r="G24" s="22" t="str">
        <x:v>Critical</x:v>
      </x:c>
      <x:c r="H24" s="22" t="str">
        <x:v>Yes</x:v>
      </x:c>
      <x:c r="I24" s="22" t="str">
        <x:v>No</x:v>
      </x:c>
      <x:c r="J24" s="22" t="str">
        <x:v>730d+</x:v>
      </x:c>
      <x:c r="K24" s="22" t="str">
        <x:v>Duplicate = return previous result</x:v>
      </x:c>
      <x:c r="L24" s="38" t="str"/>
    </x:row>
    <x:row r="25">
      <x:c r="A25" s="37" t="str">
        <x:v>eligible_for_revenue_score</x:v>
      </x:c>
      <x:c r="B25" s="22" t="str">
        <x:v>true</x:v>
      </x:c>
      <x:c r="C25" s="22" t="str">
        <x:v>Yes</x:v>
      </x:c>
      <x:c r="D25" s="22" t="str">
        <x:v>Performance filtering</x:v>
      </x:c>
      <x:c r="E25" s="22" t="str">
        <x:v>N/A</x:v>
      </x:c>
      <x:c r="F25" s="22" t="str">
        <x:v>Direct filter</x:v>
      </x:c>
      <x:c r="G25" s="22" t="str">
        <x:v>Critical</x:v>
      </x:c>
      <x:c r="H25" s="22" t="str">
        <x:v>Yes</x:v>
      </x:c>
      <x:c r="I25" s="22" t="str">
        <x:v>No</x:v>
      </x:c>
      <x:c r="J25" s="22" t="str">
        <x:v>730d+</x:v>
      </x:c>
      <x:c r="K25" s="22" t="str">
        <x:v>Fail false on unknown type</x:v>
      </x:c>
      <x:c r="L25" s="38" t="str"/>
    </x:row>
    <x:row r="26">
      <x:c r="A26" s="37" t="str">
        <x:v>created_at</x:v>
      </x:c>
      <x:c r="B26" s="22" t="str">
        <x:v>UTC</x:v>
      </x:c>
      <x:c r="C26" s="22" t="str">
        <x:v>Yes</x:v>
      </x:c>
      <x:c r="D26" s="22" t="str">
        <x:v>Canonical ordering</x:v>
      </x:c>
      <x:c r="E26" s="22" t="str">
        <x:v>N/A</x:v>
      </x:c>
      <x:c r="F26" s="22" t="str">
        <x:v>Epoch inclusion</x:v>
      </x:c>
      <x:c r="G26" s="22" t="str">
        <x:v>Critical</x:v>
      </x:c>
      <x:c r="H26" s="22" t="str">
        <x:v>Time index</x:v>
      </x:c>
      <x:c r="I26" s="22" t="str">
        <x:v>No</x:v>
      </x:c>
      <x:c r="J26" s="22" t="str">
        <x:v>730d+</x:v>
      </x:c>
      <x:c r="K26" s="22" t="str">
        <x:v>Server time only</x:v>
      </x:c>
      <x:c r="L26" s="38" t="str"/>
    </x:row>
    <x:row r="27">
      <x:c r="A27" s="39" t="str">
        <x:v>config_version</x:v>
      </x:c>
      <x:c r="B27" s="40" t="str">
        <x:v>econ_v12</x:v>
      </x:c>
      <x:c r="C27" s="40" t="str">
        <x:v>Yes</x:v>
      </x:c>
      <x:c r="D27" s="40" t="str">
        <x:v>Formula lineage</x:v>
      </x:c>
      <x:c r="E27" s="40" t="str">
        <x:v>N/A</x:v>
      </x:c>
      <x:c r="F27" s="40" t="str">
        <x:v>Replay lineage</x:v>
      </x:c>
      <x:c r="G27" s="40" t="str">
        <x:v>Critical</x:v>
      </x:c>
      <x:c r="H27" s="40" t="str">
        <x:v>Yes</x:v>
      </x:c>
      <x:c r="I27" s="40" t="str">
        <x:v>No</x:v>
      </x:c>
      <x:c r="J27" s="40" t="str">
        <x:v>730d+</x:v>
      </x:c>
      <x:c r="K27" s="40" t="str">
        <x:v>Pin version</x:v>
      </x:c>
      <x:c r="L27" s="41" t="str"/>
    </x:row>
    <x:row r="29" ht="22" customHeight="1">
      <x:c r="A29" s="102" t="str">
        <x:v>Module Runtime Inputs to Customer &amp; Economy</x:v>
      </x:c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  <x:c r="P29" s="102"/>
    </x:row>
    <x:row r="30">
      <x:c r="A30" s="105" t="str">
        <x:v>Entity</x:v>
      </x:c>
      <x:c r="B30" s="105" t="str">
        <x:v>Field / Metric</x:v>
      </x:c>
      <x:c r="C30" s="105" t="str">
        <x:v>Type</x:v>
      </x:c>
      <x:c r="D30" s="105" t="str">
        <x:v>Update Cadence</x:v>
      </x:c>
      <x:c r="E30" s="105" t="str">
        <x:v>Canonical Store</x:v>
      </x:c>
      <x:c r="F30" s="105" t="str">
        <x:v>Mutation Source</x:v>
      </x:c>
      <x:c r="G30" s="105" t="str">
        <x:v>Validation</x:v>
      </x:c>
      <x:c r="H30" s="105" t="str">
        <x:v>Ledger / Snapshot</x:v>
      </x:c>
      <x:c r="I30" s="105" t="str">
        <x:v>Cache?</x:v>
      </x:c>
      <x:c r="J30" s="105" t="str">
        <x:v>Offline Accrual?</x:v>
      </x:c>
      <x:c r="K30" s="105" t="str">
        <x:v>Performance Input?</x:v>
      </x:c>
      <x:c r="L30" s="105" t="str">
        <x:v>Event Sensitive?</x:v>
      </x:c>
      <x:c r="M30" s="105" t="str">
        <x:v>Risk Sensitive?</x:v>
      </x:c>
      <x:c r="N30" s="105" t="str">
        <x:v>Recovery Strategy</x:v>
      </x:c>
      <x:c r="O30" s="105" t="str">
        <x:v>Exploit Risk</x:v>
      </x:c>
      <x:c r="P30" s="105" t="str">
        <x:v>Notes</x:v>
      </x:c>
    </x:row>
    <x:row r="31">
      <x:c r="A31" s="92" t="str">
        <x:v>ModuleRuntime</x:v>
      </x:c>
      <x:c r="B31" s="93" t="str">
        <x:v>effective_modifier_vector</x:v>
      </x:c>
      <x:c r="C31" s="93" t="str">
        <x:v>map</x:v>
      </x:c>
      <x:c r="D31" s="93" t="str">
        <x:v>Per relevant 5m/15m tick + loadout/context change</x:v>
      </x:c>
      <x:c r="E31" s="93" t="str">
        <x:v>Derived/cache</x:v>
      </x:c>
      <x:c r="F31" s="93" t="str">
        <x:v>ResolveModuleEffects</x:v>
      </x:c>
      <x:c r="G31" s="93" t="str">
        <x:v>Approved config + compatible loadout + conditions + caps</x:v>
      </x:c>
      <x:c r="H31" s="93" t="str">
        <x:v>Optional trace ref on resulting ledger/snapshot</x:v>
      </x:c>
      <x:c r="I31" s="93" t="str">
        <x:v>Yes short TTL</x:v>
      </x:c>
      <x:c r="J31" s="93" t="str">
        <x:v>Applies to underlying offline simulation only</x:v>
      </x:c>
      <x:c r="K31" s="93" t="str">
        <x:v>No direct input</x:v>
      </x:c>
      <x:c r="L31" s="93" t="str">
        <x:v>Yes</x:v>
      </x:c>
      <x:c r="M31" s="93" t="str">
        <x:v>Yes</x:v>
      </x:c>
      <x:c r="N31" s="93" t="str">
        <x:v>Recompute from loadout/config/context</x:v>
      </x:c>
      <x:c r="O31" s="93" t="str">
        <x:v>Critical</x:v>
      </x:c>
      <x:c r="P31" s="94" t="str">
        <x:v>Layer order: base+upgrade → placement/synergy → Modules → Events → risk/reputation/customer quality → caps/rounding</x:v>
      </x:c>
    </x:row>
    <x:row r="32">
      <x:c r="A32" s="95" t="str">
        <x:v>ModuleRuntime</x:v>
      </x:c>
      <x:c r="B32" s="96" t="str">
        <x:v>loadout_version</x:v>
      </x:c>
      <x:c r="C32" s="96" t="str">
        <x:v>int64</x:v>
      </x:c>
      <x:c r="D32" s="96" t="str">
        <x:v>On equip/unequip</x:v>
      </x:c>
      <x:c r="E32" s="96" t="str">
        <x:v>Module loadout table</x:v>
      </x:c>
      <x:c r="F32" s="96" t="str">
        <x:v>Module mutation</x:v>
      </x:c>
      <x:c r="G32" s="96" t="str">
        <x:v>Expected version</x:v>
      </x:c>
      <x:c r="H32" s="96" t="str">
        <x:v>Referenced by economy/customer output lineage</x:v>
      </x:c>
      <x:c r="I32" s="96" t="str">
        <x:v>Yes</x:v>
      </x:c>
      <x:c r="J32" s="96" t="str">
        <x:v>Yes</x:v>
      </x:c>
      <x:c r="K32" s="96" t="str">
        <x:v>No direct input</x:v>
      </x:c>
      <x:c r="L32" s="96" t="str">
        <x:v>Yes</x:v>
      </x:c>
      <x:c r="M32" s="96" t="str">
        <x:v>Yes</x:v>
      </x:c>
      <x:c r="N32" s="96" t="str">
        <x:v>Replay exact version effective at tick</x:v>
      </x:c>
      <x:c r="O32" s="96" t="str">
        <x:v>High</x:v>
      </x:c>
      <x:c r="P32" s="97" t="str">
        <x:v>Equip/unequip never retroactive</x:v>
      </x:c>
    </x:row>
    <x:row r="33">
      <x:c r="A33" s="95" t="str">
        <x:v>ModuleRuntime</x:v>
      </x:c>
      <x:c r="B33" s="96" t="str">
        <x:v>module_config_versions</x:v>
      </x:c>
      <x:c r="C33" s="96" t="str">
        <x:v>set/ref</x:v>
      </x:c>
      <x:c r="D33" s="96" t="str">
        <x:v>At effect resolution</x:v>
      </x:c>
      <x:c r="E33" s="96" t="str">
        <x:v>Immutable config store</x:v>
      </x:c>
      <x:c r="F33" s="96" t="str">
        <x:v>Config publish</x:v>
      </x:c>
      <x:c r="G33" s="96" t="str">
        <x:v>Every Module ID resolves approved version</x:v>
      </x:c>
      <x:c r="H33" s="96" t="str">
        <x:v>Referenced by trace/ledger metadata</x:v>
      </x:c>
      <x:c r="I33" s="96" t="str">
        <x:v>Yes</x:v>
      </x:c>
      <x:c r="J33" s="96" t="str">
        <x:v>Yes</x:v>
      </x:c>
      <x:c r="K33" s="96" t="str">
        <x:v>No direct input</x:v>
      </x:c>
      <x:c r="L33" s="96" t="str">
        <x:v>Yes</x:v>
      </x:c>
      <x:c r="M33" s="96" t="str">
        <x:v>Yes</x:v>
      </x:c>
      <x:c r="N33" s="96" t="str">
        <x:v>Replay pinned versions</x:v>
      </x:c>
      <x:c r="O33" s="96" t="str">
        <x:v>High</x:v>
      </x:c>
      <x:c r="P33" s="97" t="str">
        <x:v>Client never supplies effect values</x:v>
      </x:c>
    </x:row>
    <x:row r="34">
      <x:c r="A34" s="95" t="str">
        <x:v>CashLedger</x:v>
      </x:c>
      <x:c r="B34" s="96" t="str">
        <x:v>module_effect_trace_ref</x:v>
      </x:c>
      <x:c r="C34" s="96" t="str">
        <x:v>nullable ref</x:v>
      </x:c>
      <x:c r="D34" s="96" t="str">
        <x:v>Per tick when Modules affect outcome</x:v>
      </x:c>
      <x:c r="E34" s="96" t="str">
        <x:v>Cash ledger metadata</x:v>
      </x:c>
      <x:c r="F34" s="96" t="str">
        <x:v>Economy Tick</x:v>
      </x:c>
      <x:c r="G34" s="96" t="str">
        <x:v>Trace/loadout/context version valid</x:v>
      </x:c>
      <x:c r="H34" s="96" t="str">
        <x:v>Append-only ledger metadata</x:v>
      </x:c>
      <x:c r="I34" s="96" t="str">
        <x:v>No</x:v>
      </x:c>
      <x:c r="J34" s="96" t="str">
        <x:v>Yes</x:v>
      </x:c>
      <x:c r="K34" s="96" t="str">
        <x:v>Indirect only through revenue/activity</x:v>
      </x:c>
      <x:c r="L34" s="96" t="str">
        <x:v>Yes</x:v>
      </x:c>
      <x:c r="M34" s="96" t="str">
        <x:v>Yes</x:v>
      </x:c>
      <x:c r="N34" s="96" t="str">
        <x:v>Ledger replay + resolver</x:v>
      </x:c>
      <x:c r="O34" s="96" t="str">
        <x:v>Medium</x:v>
      </x:c>
      <x:c r="P34" s="97" t="str">
        <x:v>May be sampled/compact in MVP; at minimum persist loadout/config version refs</x:v>
      </x:c>
    </x:row>
    <x:row r="35">
      <x:c r="A35" s="98" t="str">
        <x:v>CustomerSnapshot</x:v>
      </x:c>
      <x:c r="B35" s="99" t="str">
        <x:v>module_effect_trace_ref</x:v>
      </x:c>
      <x:c r="C35" s="99" t="str">
        <x:v>nullable ref</x:v>
      </x:c>
      <x:c r="D35" s="99" t="str">
        <x:v>Per 15m bucket when applicable</x:v>
      </x:c>
      <x:c r="E35" s="99" t="str">
        <x:v>Customer snapshot metadata</x:v>
      </x:c>
      <x:c r="F35" s="99" t="str">
        <x:v>Customer Refresh</x:v>
      </x:c>
      <x:c r="G35" s="99" t="str">
        <x:v>Trace/loadout/context version valid</x:v>
      </x:c>
      <x:c r="H35" s="99" t="str">
        <x:v>Snapshot metadata</x:v>
      </x:c>
      <x:c r="I35" s="99" t="str">
        <x:v>No</x:v>
      </x:c>
      <x:c r="J35" s="99" t="str">
        <x:v>Yes</x:v>
      </x:c>
      <x:c r="K35" s="99" t="str">
        <x:v>Indirect only</x:v>
      </x:c>
      <x:c r="L35" s="99" t="str">
        <x:v>Yes</x:v>
      </x:c>
      <x:c r="M35" s="99" t="str">
        <x:v>Yes</x:v>
      </x:c>
      <x:c r="N35" s="99" t="str">
        <x:v>Recompute from versioned state</x:v>
      </x:c>
      <x:c r="O35" s="99" t="str">
        <x:v>Medium</x:v>
      </x:c>
      <x:c r="P35" s="100" t="str">
        <x:v>Supports disputes and balance analysis</x:v>
      </x:c>
    </x:row>
  </x:sheetData>
  <x:mergeCells>
    <x:mergeCell ref="A1:P1"/>
    <x:mergeCell ref="A17:P17"/>
    <x:mergeCell ref="A29:P2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86" t="str">
        <x:v>Risk, Reputation &amp; Incident State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</x:row>
    <x:row r="3">
      <x:c r="A3" s="14" t="str">
        <x:v>State</x:v>
      </x:c>
      <x:c r="B3" s="14" t="str">
        <x:v>Type</x:v>
      </x:c>
      <x:c r="C3" s="14" t="str">
        <x:v>Cadence</x:v>
      </x:c>
      <x:c r="D3" s="14" t="str">
        <x:v>Inputs</x:v>
      </x:c>
      <x:c r="E3" s="14" t="str">
        <x:v>Canonical Store</x:v>
      </x:c>
      <x:c r="F3" s="14" t="str">
        <x:v>Mutation/Evaluator</x:v>
      </x:c>
      <x:c r="G3" s="14" t="str">
        <x:v>Version</x:v>
      </x:c>
      <x:c r="H3" s="14" t="str">
        <x:v>Ledger?</x:v>
      </x:c>
      <x:c r="I3" s="14" t="str">
        <x:v>Cache?</x:v>
      </x:c>
      <x:c r="J3" s="14" t="str">
        <x:v>Performance Snapshot?</x:v>
      </x:c>
      <x:c r="K3" s="14" t="str">
        <x:v>Event Coupling</x:v>
      </x:c>
      <x:c r="L3" s="14" t="str">
        <x:v>Customer Coupling</x:v>
      </x:c>
      <x:c r="M3" s="14" t="str">
        <x:v>Integrity Sensitivity</x:v>
      </x:c>
      <x:c r="N3" s="14" t="str">
        <x:v>Recovery</x:v>
      </x:c>
      <x:c r="O3" s="14" t="str">
        <x:v>Notes</x:v>
      </x:c>
    </x:row>
    <x:row r="4">
      <x:c r="A4" s="34" t="str">
        <x:v>credit_risk</x:v>
      </x:c>
      <x:c r="B4" s="35" t="str">
        <x:v>0–100</x:v>
      </x:c>
      <x:c r="C4" s="35" t="str">
        <x:v>15–60 min</x:v>
      </x:c>
      <x:c r="D4" s="35" t="str">
        <x:v>lending growth, delinquency abstraction, events, mitigation</x:v>
      </x:c>
      <x:c r="E4" s="35" t="str">
        <x:v>Risk snapshot</x:v>
      </x:c>
      <x:c r="F4" s="35" t="str">
        <x:v>Risk evaluator</x:v>
      </x:c>
      <x:c r="G4" s="35" t="str">
        <x:v>risk_version</x:v>
      </x:c>
      <x:c r="H4" s="35" t="str">
        <x:v>Risk events</x:v>
      </x:c>
      <x:c r="I4" s="35" t="str">
        <x:v>Yes</x:v>
      </x:c>
      <x:c r="J4" s="35" t="str">
        <x:v>Weekly median</x:v>
      </x:c>
      <x:c r="K4" s="35" t="str">
        <x:v>Yes</x:v>
      </x:c>
      <x:c r="L4" s="35" t="str">
        <x:v>Premium segment gates</x:v>
      </x:c>
      <x:c r="M4" s="35" t="str">
        <x:v>High</x:v>
      </x:c>
      <x:c r="N4" s="35" t="str">
        <x:v>Recompute</x:v>
      </x:c>
      <x:c r="O4" s="36" t="str"/>
    </x:row>
    <x:row r="5">
      <x:c r="A5" s="37" t="str">
        <x:v>market_risk</x:v>
      </x:c>
      <x:c r="B5" s="22" t="str">
        <x:v>0–100</x:v>
      </x:c>
      <x:c r="C5" s="22" t="str">
        <x:v>15 min</x:v>
      </x:c>
      <x:c r="D5" s="22" t="str">
        <x:v>trading intensity, market events, concentration, mitigation</x:v>
      </x:c>
      <x:c r="E5" s="22" t="str">
        <x:v>Risk snapshot</x:v>
      </x:c>
      <x:c r="F5" s="22" t="str">
        <x:v>Risk evaluator</x:v>
      </x:c>
      <x:c r="G5" s="22" t="str">
        <x:v>risk_version</x:v>
      </x:c>
      <x:c r="H5" s="22" t="str">
        <x:v>Risk events</x:v>
      </x:c>
      <x:c r="I5" s="22" t="str">
        <x:v>Yes</x:v>
      </x:c>
      <x:c r="J5" s="22" t="str">
        <x:v>Weekly median</x:v>
      </x:c>
      <x:c r="K5" s="22" t="str">
        <x:v>Yes</x:v>
      </x:c>
      <x:c r="L5" s="22" t="str">
        <x:v>Trading/HNW behavior</x:v>
      </x:c>
      <x:c r="M5" s="22" t="str">
        <x:v>High</x:v>
      </x:c>
      <x:c r="N5" s="22" t="str">
        <x:v>Recompute</x:v>
      </x:c>
      <x:c r="O5" s="38" t="str"/>
    </x:row>
    <x:row r="6">
      <x:c r="A6" s="37" t="str">
        <x:v>liquidity_risk</x:v>
      </x:c>
      <x:c r="B6" s="22" t="str">
        <x:v>0–100</x:v>
      </x:c>
      <x:c r="C6" s="22" t="str">
        <x:v>15 min</x:v>
      </x:c>
      <x:c r="D6" s="22" t="str">
        <x:v>reserve ratio, flow, utilization, events</x:v>
      </x:c>
      <x:c r="E6" s="22" t="str">
        <x:v>Risk snapshot</x:v>
      </x:c>
      <x:c r="F6" s="22" t="str">
        <x:v>Risk evaluator</x:v>
      </x:c>
      <x:c r="G6" s="22" t="str">
        <x:v>risk_version</x:v>
      </x:c>
      <x:c r="H6" s="22" t="str">
        <x:v>Risk events</x:v>
      </x:c>
      <x:c r="I6" s="22" t="str">
        <x:v>Yes</x:v>
      </x:c>
      <x:c r="J6" s="22" t="str">
        <x:v>Weekly median</x:v>
      </x:c>
      <x:c r="K6" s="22" t="str">
        <x:v>Yes</x:v>
      </x:c>
      <x:c r="L6" s="22" t="str">
        <x:v>High-value acquisition</x:v>
      </x:c>
      <x:c r="M6" s="22" t="str">
        <x:v>High</x:v>
      </x:c>
      <x:c r="N6" s="22" t="str">
        <x:v>Recompute</x:v>
      </x:c>
      <x:c r="O6" s="38" t="str"/>
    </x:row>
    <x:row r="7">
      <x:c r="A7" s="37" t="str">
        <x:v>operational_risk</x:v>
      </x:c>
      <x:c r="B7" s="22" t="str">
        <x:v>0–100</x:v>
      </x:c>
      <x:c r="C7" s="22" t="str">
        <x:v>15 min</x:v>
      </x:c>
      <x:c r="D7" s="22" t="str">
        <x:v>capacity, outages, congestion, support</x:v>
      </x:c>
      <x:c r="E7" s="22" t="str">
        <x:v>Risk snapshot</x:v>
      </x:c>
      <x:c r="F7" s="22" t="str">
        <x:v>Risk evaluator</x:v>
      </x:c>
      <x:c r="G7" s="22" t="str">
        <x:v>risk_version</x:v>
      </x:c>
      <x:c r="H7" s="22" t="str">
        <x:v>Risk events</x:v>
      </x:c>
      <x:c r="I7" s="22" t="str">
        <x:v>Yes</x:v>
      </x:c>
      <x:c r="J7" s="22" t="str">
        <x:v>Weekly median</x:v>
      </x:c>
      <x:c r="K7" s="22" t="str">
        <x:v>Yes</x:v>
      </x:c>
      <x:c r="L7" s="22" t="str">
        <x:v>Service quality</x:v>
      </x:c>
      <x:c r="M7" s="22" t="str">
        <x:v>High</x:v>
      </x:c>
      <x:c r="N7" s="22" t="str">
        <x:v>Recompute</x:v>
      </x:c>
      <x:c r="O7" s="38" t="str"/>
    </x:row>
    <x:row r="8">
      <x:c r="A8" s="37" t="str">
        <x:v>concentration_risk</x:v>
      </x:c>
      <x:c r="B8" s="22" t="str">
        <x:v>0–100</x:v>
      </x:c>
      <x:c r="C8" s="22" t="str">
        <x:v>hourly</x:v>
      </x:c>
      <x:c r="D8" s="22" t="str">
        <x:v>family/segment shares</x:v>
      </x:c>
      <x:c r="E8" s="22" t="str">
        <x:v>Risk snapshot</x:v>
      </x:c>
      <x:c r="F8" s="22" t="str">
        <x:v>Risk evaluator</x:v>
      </x:c>
      <x:c r="G8" s="22" t="str">
        <x:v>risk_version</x:v>
      </x:c>
      <x:c r="H8" s="22" t="str">
        <x:v>Risk events</x:v>
      </x:c>
      <x:c r="I8" s="22" t="str">
        <x:v>Yes</x:v>
      </x:c>
      <x:c r="J8" s="22" t="str">
        <x:v>Weekly median</x:v>
      </x:c>
      <x:c r="K8" s="22" t="str">
        <x:v>Yes</x:v>
      </x:c>
      <x:c r="L8" s="22" t="str">
        <x:v>Segment resilience</x:v>
      </x:c>
      <x:c r="M8" s="22" t="str">
        <x:v>Medium</x:v>
      </x:c>
      <x:c r="N8" s="22" t="str">
        <x:v>Recompute</x:v>
      </x:c>
      <x:c r="O8" s="38" t="str"/>
    </x:row>
    <x:row r="9">
      <x:c r="A9" s="37" t="str">
        <x:v>reputation_risk</x:v>
      </x:c>
      <x:c r="B9" s="22" t="str">
        <x:v>0–100</x:v>
      </x:c>
      <x:c r="C9" s="22" t="str">
        <x:v>hourly/event</x:v>
      </x:c>
      <x:c r="D9" s="22" t="str">
        <x:v>service failures, incidents, reputation state</x:v>
      </x:c>
      <x:c r="E9" s="22" t="str">
        <x:v>Risk snapshot</x:v>
      </x:c>
      <x:c r="F9" s="22" t="str">
        <x:v>Risk evaluator</x:v>
      </x:c>
      <x:c r="G9" s="22" t="str">
        <x:v>risk_version</x:v>
      </x:c>
      <x:c r="H9" s="22" t="str">
        <x:v>Risk events</x:v>
      </x:c>
      <x:c r="I9" s="22" t="str">
        <x:v>Yes</x:v>
      </x:c>
      <x:c r="J9" s="22" t="str">
        <x:v>Weekly median</x:v>
      </x:c>
      <x:c r="K9" s="22" t="str">
        <x:v>Yes</x:v>
      </x:c>
      <x:c r="L9" s="22" t="str">
        <x:v>Acquisition/retention</x:v>
      </x:c>
      <x:c r="M9" s="22" t="str">
        <x:v>High</x:v>
      </x:c>
      <x:c r="N9" s="22" t="str">
        <x:v>Recompute</x:v>
      </x:c>
      <x:c r="O9" s="38" t="str"/>
    </x:row>
    <x:row r="10">
      <x:c r="A10" s="37" t="str">
        <x:v>composite_risk</x:v>
      </x:c>
      <x:c r="B10" s="22" t="str">
        <x:v>0–100</x:v>
      </x:c>
      <x:c r="C10" s="22" t="str">
        <x:v>after category update</x:v>
      </x:c>
      <x:c r="D10" s="22" t="str">
        <x:v>6 category scores + weights</x:v>
      </x:c>
      <x:c r="E10" s="22" t="str">
        <x:v>Risk snapshot</x:v>
      </x:c>
      <x:c r="F10" s="22" t="str">
        <x:v>Derived</x:v>
      </x:c>
      <x:c r="G10" s="22" t="str">
        <x:v>risk_version</x:v>
      </x:c>
      <x:c r="H10" s="22" t="str">
        <x:v>No separate ledger</x:v>
      </x:c>
      <x:c r="I10" s="22" t="str">
        <x:v>Yes</x:v>
      </x:c>
      <x:c r="J10" s="22" t="str">
        <x:v>Weekly median</x:v>
      </x:c>
      <x:c r="K10" s="22" t="str">
        <x:v>Yes</x:v>
      </x:c>
      <x:c r="L10" s="22" t="str">
        <x:v>Customer access</x:v>
      </x:c>
      <x:c r="M10" s="22" t="str">
        <x:v>Critical</x:v>
      </x:c>
      <x:c r="N10" s="22" t="str">
        <x:v>Recompute</x:v>
      </x:c>
      <x:c r="O10" s="38" t="str"/>
    </x:row>
    <x:row r="11">
      <x:c r="A11" s="37" t="str">
        <x:v>reputation</x:v>
      </x:c>
      <x:c r="B11" s="22" t="str">
        <x:v>0–100</x:v>
      </x:c>
      <x:c r="C11" s="22" t="str">
        <x:v>event/daily</x:v>
      </x:c>
      <x:c r="D11" s="22" t="str">
        <x:v>validated reputation events + caps</x:v>
      </x:c>
      <x:c r="E11" s="22" t="str">
        <x:v>Player/Rep state</x:v>
      </x:c>
      <x:c r="F11" s="22" t="str">
        <x:v>ApplyRepEvent</x:v>
      </x:c>
      <x:c r="G11" s="22" t="str">
        <x:v>rep_version</x:v>
      </x:c>
      <x:c r="H11" s="22" t="str">
        <x:v>Rep ledger</x:v>
      </x:c>
      <x:c r="I11" s="22" t="str">
        <x:v>Yes</x:v>
      </x:c>
      <x:c r="J11" s="22" t="str">
        <x:v>Weekly/end</x:v>
      </x:c>
      <x:c r="K11" s="22" t="str">
        <x:v>Yes</x:v>
      </x:c>
      <x:c r="L11" s="22" t="str">
        <x:v>All acquisition</x:v>
      </x:c>
      <x:c r="M11" s="22" t="str">
        <x:v>Critical</x:v>
      </x:c>
      <x:c r="N11" s="22" t="str">
        <x:v>Replay ledger</x:v>
      </x:c>
      <x:c r="O11" s="38" t="str"/>
    </x:row>
    <x:row r="12">
      <x:c r="A12" s="39" t="str">
        <x:v>incident_state</x:v>
      </x:c>
      <x:c r="B12" s="40" t="str">
        <x:v>enum</x:v>
      </x:c>
      <x:c r="C12" s="40" t="str">
        <x:v>threshold/event</x:v>
      </x:c>
      <x:c r="D12" s="40" t="str">
        <x:v>risk + event severity + cooldown</x:v>
      </x:c>
      <x:c r="E12" s="40" t="str">
        <x:v>Incident table</x:v>
      </x:c>
      <x:c r="F12" s="40" t="str">
        <x:v>ResolveIncident</x:v>
      </x:c>
      <x:c r="G12" s="40" t="str">
        <x:v>incident_version</x:v>
      </x:c>
      <x:c r="H12" s="40" t="str">
        <x:v>Incident log</x:v>
      </x:c>
      <x:c r="I12" s="40" t="str">
        <x:v>Yes</x:v>
      </x:c>
      <x:c r="J12" s="40" t="str">
        <x:v>Flags</x:v>
      </x:c>
      <x:c r="K12" s="40" t="str">
        <x:v>Yes</x:v>
      </x:c>
      <x:c r="L12" s="40" t="str">
        <x:v>Yes</x:v>
      </x:c>
      <x:c r="M12" s="40" t="str">
        <x:v>Critical</x:v>
      </x:c>
      <x:c r="N12" s="40" t="str">
        <x:v>Replay seeded outcome</x:v>
      </x:c>
      <x:c r="O12" s="41" t="str"/>
    </x:row>
    <x:row r="14" ht="22" customHeight="1">
      <x:c r="A14" s="102" t="str">
        <x:v>Module Integration</x:v>
      </x:c>
      <x:c r="B14" s="102"/>
      <x:c r="C14" s="102"/>
      <x:c r="D14" s="102"/>
      <x:c r="E14" s="102"/>
      <x:c r="F14" s="102"/>
      <x:c r="G14" s="102"/>
      <x:c r="H14" s="102"/>
      <x:c r="I14" s="102"/>
      <x:c r="J14" s="102"/>
      <x:c r="K14" s="102"/>
      <x:c r="L14" s="102"/>
      <x:c r="M14" s="102"/>
      <x:c r="N14" s="102"/>
      <x:c r="O14" s="102"/>
    </x:row>
    <x:row r="15">
      <x:c r="A15" s="105" t="str">
        <x:v>State</x:v>
      </x:c>
      <x:c r="B15" s="105" t="str">
        <x:v>Type</x:v>
      </x:c>
      <x:c r="C15" s="105" t="str">
        <x:v>Cadence</x:v>
      </x:c>
      <x:c r="D15" s="105" t="str">
        <x:v>Inputs</x:v>
      </x:c>
      <x:c r="E15" s="105" t="str">
        <x:v>Canonical Store</x:v>
      </x:c>
      <x:c r="F15" s="105" t="str">
        <x:v>Mutation/Evaluator</x:v>
      </x:c>
      <x:c r="G15" s="105" t="str">
        <x:v>Version</x:v>
      </x:c>
      <x:c r="H15" s="105" t="str">
        <x:v>Ledger?</x:v>
      </x:c>
      <x:c r="I15" s="105" t="str">
        <x:v>Cache?</x:v>
      </x:c>
      <x:c r="J15" s="105" t="str">
        <x:v>Performance Snapshot?</x:v>
      </x:c>
      <x:c r="K15" s="105" t="str">
        <x:v>Event Coupling</x:v>
      </x:c>
      <x:c r="L15" s="105" t="str">
        <x:v>Customer Coupling</x:v>
      </x:c>
      <x:c r="M15" s="105" t="str">
        <x:v>Integrity Sensitivity</x:v>
      </x:c>
      <x:c r="N15" s="105" t="str">
        <x:v>Recovery</x:v>
      </x:c>
      <x:c r="O15" s="105" t="str">
        <x:v>Notes</x:v>
      </x:c>
    </x:row>
    <x:row r="16">
      <x:c r="A16" s="92" t="str">
        <x:v>module_risk_delta</x:v>
      </x:c>
      <x:c r="B16" s="93" t="str">
        <x:v>derived points</x:v>
      </x:c>
      <x:c r="C16" s="93" t="str">
        <x:v>At risk evaluation</x:v>
      </x:c>
      <x:c r="D16" s="93" t="str">
        <x:v>Equipped Modules, conditions, stacking/caps</x:v>
      </x:c>
      <x:c r="E16" s="93" t="str">
        <x:v>Derived</x:v>
      </x:c>
      <x:c r="F16" s="93" t="str">
        <x:v>Module Runtime → Risk evaluator</x:v>
      </x:c>
      <x:c r="G16" s="93" t="str">
        <x:v>loadout/config/risk_version</x:v>
      </x:c>
      <x:c r="H16" s="93" t="str">
        <x:v>Trace/audit</x:v>
      </x:c>
      <x:c r="I16" s="93" t="str">
        <x:v>Short TTL</x:v>
      </x:c>
      <x:c r="J16" s="93" t="str">
        <x:v>No direct; affects legitimate risk snapshot</x:v>
      </x:c>
      <x:c r="K16" s="93" t="str">
        <x:v>Yes</x:v>
      </x:c>
      <x:c r="L16" s="93" t="str">
        <x:v>Indirect</x:v>
      </x:c>
      <x:c r="M16" s="93" t="str">
        <x:v>Critical</x:v>
      </x:c>
      <x:c r="N16" s="93" t="str">
        <x:v>Recompute</x:v>
      </x:c>
      <x:c r="O16" s="94" t="str">
        <x:v>Total Module risk reduction capped by Module spec; risk-increasing tradeoffs apply at 100%</x:v>
      </x:c>
    </x:row>
    <x:row r="17">
      <x:c r="A17" s="95" t="str">
        <x:v>module_service_quality_delta</x:v>
      </x:c>
      <x:c r="B17" s="96" t="str">
        <x:v>derived points</x:v>
      </x:c>
      <x:c r="C17" s="96" t="str">
        <x:v>Customer/risk refresh</x:v>
      </x:c>
      <x:c r="D17" s="96" t="str">
        <x:v>Equipped Modules + conditions</x:v>
      </x:c>
      <x:c r="E17" s="96" t="str">
        <x:v>Derived</x:v>
      </x:c>
      <x:c r="F17" s="96" t="str">
        <x:v>Module Runtime</x:v>
      </x:c>
      <x:c r="G17" s="96" t="str">
        <x:v>loadout/config version</x:v>
      </x:c>
      <x:c r="H17" s="96" t="str">
        <x:v>Trace/audit</x:v>
      </x:c>
      <x:c r="I17" s="96" t="str">
        <x:v>Short TTL</x:v>
      </x:c>
      <x:c r="J17" s="96" t="str">
        <x:v>No direct</x:v>
      </x:c>
      <x:c r="K17" s="96" t="str">
        <x:v>Yes</x:v>
      </x:c>
      <x:c r="L17" s="96" t="str">
        <x:v>Yes</x:v>
      </x:c>
      <x:c r="M17" s="96" t="str">
        <x:v>High</x:v>
      </x:c>
      <x:c r="N17" s="96" t="str">
        <x:v>Recompute</x:v>
      </x:c>
      <x:c r="O17" s="97" t="str">
        <x:v>+10 Service points max from Modules; no direct Reputation grant</x:v>
      </x:c>
    </x:row>
    <x:row r="18">
      <x:c r="A18" s="98" t="str">
        <x:v>module_event_resilience</x:v>
      </x:c>
      <x:c r="B18" s="99" t="str">
        <x:v>derived ratio</x:v>
      </x:c>
      <x:c r="C18" s="99" t="str">
        <x:v>Event/risk evaluation</x:v>
      </x:c>
      <x:c r="D18" s="99" t="str">
        <x:v>Equipped Module + active event</x:v>
      </x:c>
      <x:c r="E18" s="99" t="str">
        <x:v>Derived</x:v>
      </x:c>
      <x:c r="F18" s="99" t="str">
        <x:v>Module Runtime/Event Service</x:v>
      </x:c>
      <x:c r="G18" s="99" t="str">
        <x:v>loadout/config/event version</x:v>
      </x:c>
      <x:c r="H18" s="99" t="str">
        <x:v>Trace/audit</x:v>
      </x:c>
      <x:c r="I18" s="99" t="str">
        <x:v>Short TTL</x:v>
      </x:c>
      <x:c r="J18" s="99" t="str">
        <x:v>No direct</x:v>
      </x:c>
      <x:c r="K18" s="99" t="str">
        <x:v>Yes</x:v>
      </x:c>
      <x:c r="L18" s="99" t="str">
        <x:v>Indirect</x:v>
      </x:c>
      <x:c r="M18" s="99" t="str">
        <x:v>High</x:v>
      </x:c>
      <x:c r="N18" s="99" t="str">
        <x:v>Recompute</x:v>
      </x:c>
      <x:c r="O18" s="100" t="str">
        <x:v>Cannot cancel a global event; capped at 20% eligible negative-event reduction</x:v>
      </x:c>
    </x:row>
  </x:sheetData>
  <x:mergeCells>
    <x:mergeCell ref="A1:O1"/>
    <x:mergeCell ref="A14:O14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Events, Market Hunts &amp; Reward Reservation State Machines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</x:row>
    <x:row r="3">
      <x:c r="A3" s="14" t="str">
        <x:v>Domain</x:v>
      </x:c>
      <x:c r="B3" s="14" t="str">
        <x:v>State</x:v>
      </x:c>
      <x:c r="C3" s="14" t="str">
        <x:v>Entry Trigger</x:v>
      </x:c>
      <x:c r="D3" s="14" t="str">
        <x:v>Allowed Actions</x:v>
      </x:c>
      <x:c r="E3" s="14" t="str">
        <x:v>Exit Trigger</x:v>
      </x:c>
      <x:c r="F3" s="14" t="str">
        <x:v>Canonical Fields</x:v>
      </x:c>
      <x:c r="G3" s="14" t="str">
        <x:v>Timer Source</x:v>
      </x:c>
      <x:c r="H3" s="14" t="str">
        <x:v>Idempotency Key</x:v>
      </x:c>
      <x:c r="I3" s="14" t="str">
        <x:v>Progress Source</x:v>
      </x:c>
      <x:c r="J3" s="14" t="str">
        <x:v>Reward State</x:v>
      </x:c>
      <x:c r="K3" s="14" t="str">
        <x:v>Performance Effect</x:v>
      </x:c>
      <x:c r="L3" s="14" t="str">
        <x:v>Chain Effect</x:v>
      </x:c>
      <x:c r="M3" s="14" t="str">
        <x:v>Client Authority</x:v>
      </x:c>
      <x:c r="N3" s="14" t="str">
        <x:v>Failure Recovery</x:v>
      </x:c>
      <x:c r="O3" s="14" t="str">
        <x:v>Priority</x:v>
      </x:c>
      <x:c r="P3" s="14" t="str">
        <x:v>Notes</x:v>
      </x:c>
    </x:row>
    <x:row r="4">
      <x:c r="A4" s="34" t="str">
        <x:v>Global Event</x:v>
      </x:c>
      <x:c r="B4" s="35" t="str">
        <x:v>scheduled</x:v>
      </x:c>
      <x:c r="C4" s="35" t="str">
        <x:v>Scheduler/config</x:v>
      </x:c>
      <x:c r="D4" s="35" t="str">
        <x:v>None</x:v>
      </x:c>
      <x:c r="E4" s="35" t="str">
        <x:v>start_at</x:v>
      </x:c>
      <x:c r="F4" s="35" t="str">
        <x:v>event_id,type,modifiers,start,end,config_version</x:v>
      </x:c>
      <x:c r="G4" s="35" t="str">
        <x:v>UTC server</x:v>
      </x:c>
      <x:c r="H4" s="35" t="str">
        <x:v>global_event_id</x:v>
      </x:c>
      <x:c r="I4" s="35" t="str">
        <x:v>N/A</x:v>
      </x:c>
      <x:c r="J4" s="35" t="str">
        <x:v>N/A</x:v>
      </x:c>
      <x:c r="K4" s="35" t="str">
        <x:v>Underlying metrics</x:v>
      </x:c>
      <x:c r="L4" s="35" t="str">
        <x:v>None</x:v>
      </x:c>
      <x:c r="M4" s="35" t="str">
        <x:v>Read only</x:v>
      </x:c>
      <x:c r="N4" s="35" t="str">
        <x:v>Rebuild schedule/log</x:v>
      </x:c>
      <x:c r="O4" s="35" t="str">
        <x:v>P0</x:v>
      </x:c>
      <x:c r="P4" s="36" t="str"/>
    </x:row>
    <x:row r="5">
      <x:c r="A5" s="37" t="str">
        <x:v>Global Event</x:v>
      </x:c>
      <x:c r="B5" s="22" t="str">
        <x:v>active</x:v>
      </x:c>
      <x:c r="C5" s="22" t="str">
        <x:v>start_at reached</x:v>
      </x:c>
      <x:c r="D5" s="22" t="str">
        <x:v>Gameplay affected</x:v>
      </x:c>
      <x:c r="E5" s="22" t="str">
        <x:v>end_at</x:v>
      </x:c>
      <x:c r="F5" s="22" t="str">
        <x:v>same + state</x:v>
      </x:c>
      <x:c r="G5" s="22" t="str">
        <x:v>UTC server</x:v>
      </x:c>
      <x:c r="H5" s="22" t="str">
        <x:v>global_event_id</x:v>
      </x:c>
      <x:c r="I5" s="22" t="str">
        <x:v>Economy/customer/risk ticks</x:v>
      </x:c>
      <x:c r="J5" s="22" t="str">
        <x:v>N/A</x:v>
      </x:c>
      <x:c r="K5" s="22" t="str">
        <x:v>Underlying metrics</x:v>
      </x:c>
      <x:c r="L5" s="22" t="str">
        <x:v>None</x:v>
      </x:c>
      <x:c r="M5" s="22" t="str">
        <x:v>Read only</x:v>
      </x:c>
      <x:c r="N5" s="22" t="str">
        <x:v>Replay event window</x:v>
      </x:c>
      <x:c r="O5" s="22" t="str">
        <x:v>P0</x:v>
      </x:c>
      <x:c r="P5" s="38" t="str"/>
    </x:row>
    <x:row r="6">
      <x:c r="A6" s="37" t="str">
        <x:v>Personal Event</x:v>
      </x:c>
      <x:c r="B6" s="22" t="str">
        <x:v>offered</x:v>
      </x:c>
      <x:c r="C6" s="22" t="str">
        <x:v>Eligibility scheduler</x:v>
      </x:c>
      <x:c r="D6" s="22" t="str">
        <x:v>Choose option</x:v>
      </x:c>
      <x:c r="E6" s="22" t="str">
        <x:v>choice or timeout</x:v>
      </x:c>
      <x:c r="F6" s="22" t="str">
        <x:v>player_event_id,choices,expires_at</x:v>
      </x:c>
      <x:c r="G6" s="22" t="str">
        <x:v>UTC server</x:v>
      </x:c>
      <x:c r="H6" s="22" t="str">
        <x:v>player_event_id</x:v>
      </x:c>
      <x:c r="I6" s="22" t="str">
        <x:v>N/A</x:v>
      </x:c>
      <x:c r="J6" s="22" t="str">
        <x:v>Pending</x:v>
      </x:c>
      <x:c r="K6" s="22" t="str">
        <x:v>Event mission/cascading metrics</x:v>
      </x:c>
      <x:c r="L6" s="22" t="str">
        <x:v>None</x:v>
      </x:c>
      <x:c r="M6" s="22" t="str">
        <x:v>Choice ID only</x:v>
      </x:c>
      <x:c r="N6" s="22" t="str">
        <x:v>Safest default on timeout</x:v>
      </x:c>
      <x:c r="O6" s="22" t="str">
        <x:v>P0</x:v>
      </x:c>
      <x:c r="P6" s="38" t="str"/>
    </x:row>
    <x:row r="7">
      <x:c r="A7" s="37" t="str">
        <x:v>Personal Event</x:v>
      </x:c>
      <x:c r="B7" s="22" t="str">
        <x:v>resolved</x:v>
      </x:c>
      <x:c r="C7" s="22" t="str">
        <x:v>Choice validated</x:v>
      </x:c>
      <x:c r="D7" s="22" t="str">
        <x:v>None</x:v>
      </x:c>
      <x:c r="E7" s="22" t="str">
        <x:v>end/expiry</x:v>
      </x:c>
      <x:c r="F7" s="22" t="str">
        <x:v>choice,outcome,cost,reward,seed</x:v>
      </x:c>
      <x:c r="G7" s="22" t="str">
        <x:v>UTC server</x:v>
      </x:c>
      <x:c r="H7" s="22" t="str">
        <x:v>resolution_id</x:v>
      </x:c>
      <x:c r="I7" s="22" t="str">
        <x:v>Server evaluator</x:v>
      </x:c>
      <x:c r="J7" s="22" t="str">
        <x:v>Issued/none</x:v>
      </x:c>
      <x:c r="K7" s="22" t="str">
        <x:v>Validated event points only</x:v>
      </x:c>
      <x:c r="L7" s="22" t="str">
        <x:v>None</x:v>
      </x:c>
      <x:c r="M7" s="22" t="str">
        <x:v>No outcome authority</x:v>
      </x:c>
      <x:c r="N7" s="22" t="str">
        <x:v>Replay deterministic resolution</x:v>
      </x:c>
      <x:c r="O7" s="22" t="str">
        <x:v>P0</x:v>
      </x:c>
      <x:c r="P7" s="38" t="str"/>
    </x:row>
    <x:row r="8">
      <x:c r="A8" s="37" t="str">
        <x:v>Market Hunt</x:v>
      </x:c>
      <x:c r="B8" s="22" t="str">
        <x:v>assigned</x:v>
      </x:c>
      <x:c r="C8" s="22" t="str">
        <x:v>Daily/event spawn</x:v>
      </x:c>
      <x:c r="D8" s="22" t="str">
        <x:v>Perform eligible game actions</x:v>
      </x:c>
      <x:c r="E8" s="22" t="str">
        <x:v>complete/expire/reroll</x:v>
      </x:c>
      <x:c r="F8" s="22" t="str">
        <x:v>hunt_id,type,target,start,end,ticker_bias</x:v>
      </x:c>
      <x:c r="G8" s="22" t="str">
        <x:v>UTC server</x:v>
      </x:c>
      <x:c r="H8" s="22" t="str">
        <x:v>hunt_assignment_id</x:v>
      </x:c>
      <x:c r="I8" s="22" t="str">
        <x:v>Server activity ledger</x:v>
      </x:c>
      <x:c r="J8" s="22" t="str">
        <x:v>Unreserved</x:v>
      </x:c>
      <x:c r="K8" s="22" t="str">
        <x:v>Capped Hunt component</x:v>
      </x:c>
      <x:c r="L8" s="22" t="str">
        <x:v>Stock later</x:v>
      </x:c>
      <x:c r="M8" s="22" t="str">
        <x:v>Gameplay actions only</x:v>
      </x:c>
      <x:c r="N8" s="22" t="str">
        <x:v>Recompute progress</x:v>
      </x:c>
      <x:c r="O8" s="22" t="str">
        <x:v>P0</x:v>
      </x:c>
      <x:c r="P8" s="38" t="str"/>
    </x:row>
    <x:row r="9">
      <x:c r="A9" s="37" t="str">
        <x:v>Market Hunt</x:v>
      </x:c>
      <x:c r="B9" s="22" t="str">
        <x:v>completed</x:v>
      </x:c>
      <x:c r="C9" s="22" t="str">
        <x:v>Target reached</x:v>
      </x:c>
      <x:c r="D9" s="22" t="str">
        <x:v>Claim if needed</x:v>
      </x:c>
      <x:c r="E9" s="22" t="str">
        <x:v>reward issued</x:v>
      </x:c>
      <x:c r="F9" s="22" t="str">
        <x:v>completion snapshot</x:v>
      </x:c>
      <x:c r="G9" s="22" t="str">
        <x:v>UTC server</x:v>
      </x:c>
      <x:c r="H9" s="22" t="str">
        <x:v>hunt_completion_id</x:v>
      </x:c>
      <x:c r="I9" s="22" t="str">
        <x:v>Frozen progress snapshot</x:v>
      </x:c>
      <x:c r="J9" s="22" t="str">
        <x:v>Reserve reward</x:v>
      </x:c>
      <x:c r="K9" s="22" t="str">
        <x:v>Hunt points count</x:v>
      </x:c>
      <x:c r="L9" s="22" t="str">
        <x:v>Stock reservation</x:v>
      </x:c>
      <x:c r="M9" s="22" t="str">
        <x:v>Claim intent only</x:v>
      </x:c>
      <x:c r="N9" s="22" t="str">
        <x:v>Idempotent reward reservation</x:v>
      </x:c>
      <x:c r="O9" s="22" t="str">
        <x:v>P0</x:v>
      </x:c>
      <x:c r="P9" s="38" t="str"/>
    </x:row>
    <x:row r="10">
      <x:c r="A10" s="39" t="str">
        <x:v>Stock Reward</x:v>
      </x:c>
      <x:c r="B10" s="40" t="str">
        <x:v>reserved</x:v>
      </x:c>
      <x:c r="C10" s="40" t="str">
        <x:v>Hunt completed</x:v>
      </x:c>
      <x:c r="D10" s="40" t="str">
        <x:v>Claim/settle</x:v>
      </x:c>
      <x:c r="E10" s="40" t="str">
        <x:v>settled/expired</x:v>
      </x:c>
      <x:c r="F10" s="40" t="str">
        <x:v>reservation_id,ticker,notional,units,status</x:v>
      </x:c>
      <x:c r="G10" s="40" t="str">
        <x:v>UTC server</x:v>
      </x:c>
      <x:c r="H10" s="40" t="str">
        <x:v>reservation_id</x:v>
      </x:c>
      <x:c r="I10" s="40" t="str">
        <x:v>N/A</x:v>
      </x:c>
      <x:c r="J10" s="40" t="str">
        <x:v>Reserved</x:v>
      </x:c>
      <x:c r="K10" s="40" t="str">
        <x:v>No stock-value score</x:v>
      </x:c>
      <x:c r="L10" s="40" t="str">
        <x:v>Provider/onchain later</x:v>
      </x:c>
      <x:c r="M10" s="40" t="str">
        <x:v>Claim only</x:v>
      </x:c>
      <x:c r="N10" s="40" t="str">
        <x:v>Release/restore inventory</x:v>
      </x:c>
      <x:c r="O10" s="40" t="str">
        <x:v>P0</x:v>
      </x:c>
      <x:c r="P10" s="41" t="str"/>
    </x:row>
    <x:row r="11">
      <x:c r="A11" s="92" t="str">
        <x:v>Module Reward</x:v>
      </x:c>
      <x:c r="B11" s="93" t="str">
        <x:v>eligible</x:v>
      </x:c>
      <x:c r="C11" s="93" t="str">
        <x:v>Hunt/Event/Mastery completion</x:v>
      </x:c>
      <x:c r="D11" s="93" t="str">
        <x:v>Server reward resolver</x:v>
      </x:c>
      <x:c r="E11" s="93" t="str">
        <x:v>reward granted/skipped</x:v>
      </x:c>
      <x:c r="F11" s="93" t="str">
        <x:v>source,rarity table,family bias,config version</x:v>
      </x:c>
      <x:c r="G11" s="93" t="str">
        <x:v>UTC server</x:v>
      </x:c>
      <x:c r="H11" s="93" t="str">
        <x:v>source_event_id</x:v>
      </x:c>
      <x:c r="I11" s="93" t="str">
        <x:v>Validated source evidence</x:v>
      </x:c>
      <x:c r="J11" s="93" t="str">
        <x:v>Unresolved</x:v>
      </x:c>
      <x:c r="K11" s="93" t="str">
        <x:v>No direct Module score</x:v>
      </x:c>
      <x:c r="L11" s="93" t="str">
        <x:v>None</x:v>
      </x:c>
      <x:c r="M11" s="93" t="str">
        <x:v>No reward authority</x:v>
      </x:c>
      <x:c r="N11" s="93" t="str">
        <x:v>Re-run resolver idempotently</x:v>
      </x:c>
      <x:c r="O11" s="93" t="str">
        <x:v>P1</x:v>
      </x:c>
      <x:c r="P11" s="94" t="str">
        <x:v>Hunt Module roll is separate from stock reward; Hunt Points unchanged</x:v>
      </x:c>
    </x:row>
    <x:row r="12">
      <x:c r="A12" s="95" t="str">
        <x:v>Module Reward</x:v>
      </x:c>
      <x:c r="B12" s="96" t="str">
        <x:v>granted</x:v>
      </x:c>
      <x:c r="C12" s="96" t="str">
        <x:v>Reward resolver</x:v>
      </x:c>
      <x:c r="D12" s="96" t="str">
        <x:v>View/equip later</x:v>
      </x:c>
      <x:c r="E12" s="96" t="str">
        <x:v>Inventory posted</x:v>
      </x:c>
      <x:c r="F12" s="96" t="str">
        <x:v>reward_id,module_id,quantity,source,config_version</x:v>
      </x:c>
      <x:c r="G12" s="96" t="str">
        <x:v>UTC server</x:v>
      </x:c>
      <x:c r="H12" s="96" t="str">
        <x:v>reward_id</x:v>
      </x:c>
      <x:c r="I12" s="96" t="str">
        <x:v>N/A</x:v>
      </x:c>
      <x:c r="J12" s="96" t="str">
        <x:v>Inventory updated</x:v>
      </x:c>
      <x:c r="K12" s="96" t="str">
        <x:v>No direct Performance/PLOT</x:v>
      </x:c>
      <x:c r="L12" s="96" t="str">
        <x:v>None</x:v>
      </x:c>
      <x:c r="M12" s="96" t="str">
        <x:v>Claim not required in MVP</x:v>
      </x:c>
      <x:c r="N12" s="96" t="str">
        <x:v>Return existing grant on duplicate</x:v>
      </x:c>
      <x:c r="O12" s="96" t="str">
        <x:v>P1</x:v>
      </x:c>
      <x:c r="P12" s="97" t="str">
        <x:v>Exactly-once acquisition</x:v>
      </x:c>
    </x:row>
    <x:row r="13">
      <x:c r="A13" s="95" t="str">
        <x:v>Module Loadout Lock</x:v>
      </x:c>
      <x:c r="B13" s="96" t="str">
        <x:v>locked</x:v>
      </x:c>
      <x:c r="C13" s="96" t="str">
        <x:v>Configured Event affects building/loadout</x:v>
      </x:c>
      <x:c r="D13" s="96" t="str">
        <x:v>No equip/unequip</x:v>
      </x:c>
      <x:c r="E13" s="96" t="str">
        <x:v>event ends / lock expires</x:v>
      </x:c>
      <x:c r="F13" s="96" t="str">
        <x:v>building/event/loadout lock version</x:v>
      </x:c>
      <x:c r="G13" s="96" t="str">
        <x:v>UTC server</x:v>
      </x:c>
      <x:c r="H13" s="96" t="str">
        <x:v>event+building</x:v>
      </x:c>
      <x:c r="I13" s="96" t="str">
        <x:v>N/A</x:v>
      </x:c>
      <x:c r="J13" s="96" t="str">
        <x:v>N/A</x:v>
      </x:c>
      <x:c r="K13" s="96" t="str">
        <x:v>Underlying metrics only</x:v>
      </x:c>
      <x:c r="L13" s="96" t="str">
        <x:v>None</x:v>
      </x:c>
      <x:c r="M13" s="96" t="str">
        <x:v>No override</x:v>
      </x:c>
      <x:c r="N13" s="96" t="str">
        <x:v>Rebuild from event timeline</x:v>
      </x:c>
      <x:c r="O13" s="96" t="str">
        <x:v>P1</x:v>
      </x:c>
      <x:c r="P13" s="97" t="str">
        <x:v>Prevents last-second counter-swap where event design requires lock</x:v>
      </x:c>
    </x:row>
    <x:row r="14">
      <x:c r="A14" s="98" t="str">
        <x:v>Building Mastery</x:v>
      </x:c>
      <x:c r="B14" s="99" t="str">
        <x:v>progressing</x:v>
      </x:c>
      <x:c r="C14" s="99" t="str">
        <x:v>Validated building operation</x:v>
      </x:c>
      <x:c r="D14" s="99" t="str">
        <x:v>Operate building / claim when complete</x:v>
      </x:c>
      <x:c r="E14" s="99" t="str">
        <x:v>tier complete/claimed</x:v>
      </x:c>
      <x:c r="F14" s="99" t="str">
        <x:v>building_type,tier,objectives,progress,quality gates</x:v>
      </x:c>
      <x:c r="G14" s="99" t="str">
        <x:v>UTC server</x:v>
      </x:c>
      <x:c r="H14" s="99" t="str">
        <x:v>player+building_type+tier</x:v>
      </x:c>
      <x:c r="I14" s="99" t="str">
        <x:v>Customer/activity/risk/service evidence</x:v>
      </x:c>
      <x:c r="J14" s="99" t="str">
        <x:v>Module choice pending</x:v>
      </x:c>
      <x:c r="K14" s="99" t="str">
        <x:v>No direct score</x:v>
      </x:c>
      <x:c r="L14" s="99" t="str">
        <x:v>None</x:v>
      </x:c>
      <x:c r="M14" s="99" t="str">
        <x:v>Claim choice only</x:v>
      </x:c>
      <x:c r="N14" s="99" t="str">
        <x:v>Rebuild from evidence ledgers</x:v>
      </x:c>
      <x:c r="O14" s="99" t="str">
        <x:v>P1</x:v>
      </x:c>
      <x:c r="P14" s="100" t="str">
        <x:v>Mastery is deterministic Module acquisition path</x:v>
      </x:c>
    </x:row>
  </x:sheetData>
  <x:mergeCells>
    <x:mergeCell ref="A1:P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Weekly Performance Score, Freeze &amp; Settlement State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</x:row>
    <x:row r="3">
      <x:c r="A3" s="14" t="str">
        <x:v>Phase</x:v>
      </x:c>
      <x:c r="B3" s="14" t="str">
        <x:v>Timing</x:v>
      </x:c>
      <x:c r="C3" s="14" t="str">
        <x:v>State</x:v>
      </x:c>
      <x:c r="D3" s="14" t="str">
        <x:v>Inputs Frozen?</x:v>
      </x:c>
      <x:c r="E3" s="14" t="str">
        <x:v>Writes Allowed?</x:v>
      </x:c>
      <x:c r="F3" s="14" t="str">
        <x:v>Primary Job</x:v>
      </x:c>
      <x:c r="G3" s="14" t="str">
        <x:v>Output</x:v>
      </x:c>
      <x:c r="H3" s="14" t="str">
        <x:v>Integrity Check</x:v>
      </x:c>
      <x:c r="I3" s="14" t="str">
        <x:v>Retry Safe?</x:v>
      </x:c>
      <x:c r="J3" s="14" t="str">
        <x:v>Version Key</x:v>
      </x:c>
      <x:c r="K3" s="14" t="str">
        <x:v>Player Visible?</x:v>
      </x:c>
      <x:c r="L3" s="14" t="str">
        <x:v>League Movement?</x:v>
      </x:c>
      <x:c r="M3" s="14" t="str">
        <x:v>Reward Claim?</x:v>
      </x:c>
      <x:c r="N3" s="14" t="str">
        <x:v>Failure Behavior</x:v>
      </x:c>
      <x:c r="O3" s="14" t="str">
        <x:v>Owner Service</x:v>
      </x:c>
      <x:c r="P3" s="14" t="str">
        <x:v>Notes</x:v>
      </x:c>
    </x:row>
    <x:row r="4">
      <x:c r="A4" s="34" t="str">
        <x:v>Open Epoch</x:v>
      </x:c>
      <x:c r="B4" s="35" t="str">
        <x:v>Days 1–7</x:v>
      </x:c>
      <x:c r="C4" s="35" t="str">
        <x:v>open</x:v>
      </x:c>
      <x:c r="D4" s="35" t="str">
        <x:v>No</x:v>
      </x:c>
      <x:c r="E4" s="35" t="str">
        <x:v>Gameplay yes</x:v>
      </x:c>
      <x:c r="F4" s="35" t="str">
        <x:v>Stream/aggregate components</x:v>
      </x:c>
      <x:c r="G4" s="35" t="str">
        <x:v>Live estimates</x:v>
      </x:c>
      <x:c r="H4" s="35" t="str">
        <x:v>Continuous</x:v>
      </x:c>
      <x:c r="I4" s="35" t="str">
        <x:v>Yes</x:v>
      </x:c>
      <x:c r="J4" s="35" t="str">
        <x:v>epoch_id</x:v>
      </x:c>
      <x:c r="K4" s="35" t="str">
        <x:v>Yes estimate</x:v>
      </x:c>
      <x:c r="L4" s="35" t="str">
        <x:v>No</x:v>
      </x:c>
      <x:c r="M4" s="35" t="str">
        <x:v>No</x:v>
      </x:c>
      <x:c r="N4" s="35" t="str">
        <x:v>Normal gameplay</x:v>
      </x:c>
      <x:c r="O4" s="35" t="str">
        <x:v>Performance</x:v>
      </x:c>
      <x:c r="P4" s="36" t="str"/>
    </x:row>
    <x:row r="5">
      <x:c r="A5" s="37" t="str">
        <x:v>Snapshot</x:v>
      </x:c>
      <x:c r="B5" s="22" t="str">
        <x:v>Day 7 23:59:59 UTC</x:v>
      </x:c>
      <x:c r="C5" s="22" t="str">
        <x:v>snapshotting</x:v>
      </x:c>
      <x:c r="D5" s="22" t="str">
        <x:v>Yes at cutoff</x:v>
      </x:c>
      <x:c r="E5" s="22" t="str">
        <x:v>Gameplay after cutoff goes to next epoch</x:v>
      </x:c>
      <x:c r="F5" s="22" t="str">
        <x:v>Freeze source versions</x:v>
      </x:c>
      <x:c r="G5" s="22" t="str">
        <x:v>snapshot manifest</x:v>
      </x:c>
      <x:c r="H5" s="22" t="str">
        <x:v>Completeness checks</x:v>
      </x:c>
      <x:c r="I5" s="22" t="str">
        <x:v>Yes</x:v>
      </x:c>
      <x:c r="J5" s="22" t="str">
        <x:v>snapshot_id</x:v>
      </x:c>
      <x:c r="K5" s="22" t="str">
        <x:v>Show pending</x:v>
      </x:c>
      <x:c r="L5" s="22" t="str">
        <x:v>No</x:v>
      </x:c>
      <x:c r="M5" s="22" t="str">
        <x:v>No</x:v>
      </x:c>
      <x:c r="N5" s="22" t="str">
        <x:v>Retry snapshot by source versions</x:v>
      </x:c>
      <x:c r="O5" s="22" t="str">
        <x:v>Performance</x:v>
      </x:c>
      <x:c r="P5" s="38" t="str"/>
    </x:row>
    <x:row r="6">
      <x:c r="A6" s="37" t="str">
        <x:v>Reconciliation</x:v>
      </x:c>
      <x:c r="B6" s="22" t="str">
        <x:v>+0–2h</x:v>
      </x:c>
      <x:c r="C6" s="22" t="str">
        <x:v>reconciling</x:v>
      </x:c>
      <x:c r="D6" s="22" t="str">
        <x:v>Yes</x:v>
      </x:c>
      <x:c r="E6" s="22" t="str">
        <x:v>No source edits to epoch</x:v>
      </x:c>
      <x:c r="F6" s="22" t="str">
        <x:v>Recompute score from frozen inputs</x:v>
      </x:c>
      <x:c r="G6" s="22" t="str">
        <x:v>candidate scores</x:v>
      </x:c>
      <x:c r="H6" s="22" t="str">
        <x:v>Ledger totals / missing data</x:v>
      </x:c>
      <x:c r="I6" s="22" t="str">
        <x:v>Yes</x:v>
      </x:c>
      <x:c r="J6" s="22" t="str">
        <x:v>settlement_version</x:v>
      </x:c>
      <x:c r="K6" s="22" t="str">
        <x:v>Pending</x:v>
      </x:c>
      <x:c r="L6" s="22" t="str">
        <x:v>No</x:v>
      </x:c>
      <x:c r="M6" s="22" t="str">
        <x:v>No</x:v>
      </x:c>
      <x:c r="N6" s="22" t="str">
        <x:v>Hold affected players</x:v>
      </x:c>
      <x:c r="O6" s="22" t="str">
        <x:v>Performance</x:v>
      </x:c>
      <x:c r="P6" s="38" t="str"/>
    </x:row>
    <x:row r="7">
      <x:c r="A7" s="37" t="str">
        <x:v>Integrity Review</x:v>
      </x:c>
      <x:c r="B7" s="22" t="str">
        <x:v>+2–6h</x:v>
      </x:c>
      <x:c r="C7" s="22" t="str">
        <x:v>integrity_review</x:v>
      </x:c>
      <x:c r="D7" s="22" t="str">
        <x:v>Yes</x:v>
      </x:c>
      <x:c r="E7" s="22" t="str">
        <x:v>No</x:v>
      </x:c>
      <x:c r="F7" s="22" t="str">
        <x:v>Apply holds/invalid input exclusions</x:v>
      </x:c>
      <x:c r="G7" s="22" t="str">
        <x:v>eligible cohort</x:v>
      </x:c>
      <x:c r="H7" s="22" t="str">
        <x:v>Integrity flags/cases</x:v>
      </x:c>
      <x:c r="I7" s="22" t="str">
        <x:v>Yes</x:v>
      </x:c>
      <x:c r="J7" s="22" t="str">
        <x:v>case/version</x:v>
      </x:c>
      <x:c r="K7" s="22" t="str">
        <x:v>Pending</x:v>
      </x:c>
      <x:c r="L7" s="22" t="str">
        <x:v>No</x:v>
      </x:c>
      <x:c r="M7" s="22" t="str">
        <x:v>No</x:v>
      </x:c>
      <x:c r="N7" s="22" t="str">
        <x:v>Partial holds allowed</x:v>
      </x:c>
      <x:c r="O7" s="22" t="str">
        <x:v>Integrity</x:v>
      </x:c>
      <x:c r="P7" s="38" t="str"/>
    </x:row>
    <x:row r="8">
      <x:c r="A8" s="37" t="str">
        <x:v>Finalize</x:v>
      </x:c>
      <x:c r="B8" s="22" t="str">
        <x:v>+6h target</x:v>
      </x:c>
      <x:c r="C8" s="22" t="str">
        <x:v>finalized</x:v>
      </x:c>
      <x:c r="D8" s="22" t="str">
        <x:v>Yes</x:v>
      </x:c>
      <x:c r="E8" s="22" t="str">
        <x:v>No</x:v>
      </x:c>
      <x:c r="F8" s="22" t="str">
        <x:v>Freeze scores + league pools + claims</x:v>
      </x:c>
      <x:c r="G8" s="22" t="str">
        <x:v>final score,payout,percentile</x:v>
      </x:c>
      <x:c r="H8" s="22" t="str">
        <x:v>Pool sums / caps</x:v>
      </x:c>
      <x:c r="I8" s="22" t="str">
        <x:v>Exactly once</x:v>
      </x:c>
      <x:c r="J8" s="22" t="str">
        <x:v>finalization_id</x:v>
      </x:c>
      <x:c r="K8" s="22" t="str">
        <x:v>Yes</x:v>
      </x:c>
      <x:c r="L8" s="22" t="str">
        <x:v>After finalize</x:v>
      </x:c>
      <x:c r="M8" s="22" t="str">
        <x:v>Open after finalize</x:v>
      </x:c>
      <x:c r="N8" s="22" t="str">
        <x:v>Do not mutate; issue correction epoch if required</x:v>
      </x:c>
      <x:c r="O8" s="22" t="str">
        <x:v>Performance/Competition</x:v>
      </x:c>
      <x:c r="P8" s="38" t="str"/>
    </x:row>
    <x:row r="9">
      <x:c r="A9" s="37" t="str">
        <x:v>Claim Open</x:v>
      </x:c>
      <x:c r="B9" s="22" t="str">
        <x:v>Post-finalize</x:v>
      </x:c>
      <x:c r="C9" s="22" t="str">
        <x:v>claim_open</x:v>
      </x:c>
      <x:c r="D9" s="22" t="str">
        <x:v>Yes</x:v>
      </x:c>
      <x:c r="E9" s="22" t="str">
        <x:v>Claim status only</x:v>
      </x:c>
      <x:c r="F9" s="22" t="str">
        <x:v>Serve claims</x:v>
      </x:c>
      <x:c r="G9" s="22" t="str">
        <x:v>claim records</x:v>
      </x:c>
      <x:c r="H9" s="22" t="str">
        <x:v>Duplicate claim protection</x:v>
      </x:c>
      <x:c r="I9" s="22" t="str">
        <x:v>Yes</x:v>
      </x:c>
      <x:c r="J9" s="22" t="str">
        <x:v>claim_root/version</x:v>
      </x:c>
      <x:c r="K9" s="22" t="str">
        <x:v>Yes</x:v>
      </x:c>
      <x:c r="L9" s="22" t="str">
        <x:v>Done</x:v>
      </x:c>
      <x:c r="M9" s="22" t="str">
        <x:v>Yes</x:v>
      </x:c>
      <x:c r="N9" s="22" t="str">
        <x:v>Hold flagged claims</x:v>
      </x:c>
      <x:c r="O9" s="22" t="str">
        <x:v>Reward</x:v>
      </x:c>
      <x:c r="P9" s="38" t="str"/>
    </x:row>
    <x:row r="10">
      <x:c r="A10" s="39" t="str">
        <x:v>Claim Expired</x:v>
      </x:c>
      <x:c r="B10" s="40" t="str">
        <x:v>+30d</x:v>
      </x:c>
      <x:c r="C10" s="40" t="str">
        <x:v>expired</x:v>
      </x:c>
      <x:c r="D10" s="40" t="str">
        <x:v>Yes</x:v>
      </x:c>
      <x:c r="E10" s="40" t="str">
        <x:v>No</x:v>
      </x:c>
      <x:c r="F10" s="40" t="str">
        <x:v>Expire unclaimed entitlement</x:v>
      </x:c>
      <x:c r="G10" s="40" t="str">
        <x:v>expired state</x:v>
      </x:c>
      <x:c r="H10" s="40" t="str">
        <x:v>Ledger reconcile</x:v>
      </x:c>
      <x:c r="I10" s="40" t="str">
        <x:v>Yes</x:v>
      </x:c>
      <x:c r="J10" s="40" t="str">
        <x:v>claim_expiry_job</x:v>
      </x:c>
      <x:c r="K10" s="40" t="str">
        <x:v>Yes</x:v>
      </x:c>
      <x:c r="L10" s="40" t="str">
        <x:v>Done</x:v>
      </x:c>
      <x:c r="M10" s="40" t="str">
        <x:v>No</x:v>
      </x:c>
      <x:c r="N10" s="40" t="str">
        <x:v>Treasury policy handles remainder</x:v>
      </x:c>
      <x:c r="O10" s="40" t="str">
        <x:v>Reward</x:v>
      </x:c>
      <x:c r="P10" s="41" t="str"/>
    </x:row>
    <x:row r="12" ht="22" customHeight="1">
      <x:c r="A12" s="31" t="str">
        <x:v>Frozen Snapshot Manifest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  <x:c r="O12" s="31"/>
      <x:c r="P12" s="31"/>
    </x:row>
    <x:row r="13">
      <x:c r="A13" s="14" t="str">
        <x:v>Source</x:v>
      </x:c>
      <x:c r="B13" s="14" t="str">
        <x:v>Version / Cursor</x:v>
      </x:c>
      <x:c r="C13" s="14" t="str">
        <x:v>Required?</x:v>
      </x:c>
      <x:c r="D13" s="14" t="str">
        <x:v>Player Scope</x:v>
      </x:c>
      <x:c r="E13" s="14" t="str">
        <x:v>Epoch Bounds</x:v>
      </x:c>
      <x:c r="F13" s="14" t="str">
        <x:v>Recompute Allowed?</x:v>
      </x:c>
      <x:c r="G13" s="14" t="str">
        <x:v>Mutable After Freeze?</x:v>
      </x:c>
      <x:c r="H13" s="14" t="str">
        <x:v>Integrity Filter</x:v>
      </x:c>
      <x:c r="I13" s="14" t="str">
        <x:v>Checksum</x:v>
      </x:c>
      <x:c r="J13" s="14" t="str">
        <x:v>Retention</x:v>
      </x:c>
      <x:c r="K13" s="14" t="str">
        <x:v>Failure Action</x:v>
      </x:c>
      <x:c r="L13" s="14" t="str">
        <x:v>Notes</x:v>
      </x:c>
    </x:row>
    <x:row r="14">
      <x:c r="A14" s="34" t="str">
        <x:v>Cash/Economy ledger</x:v>
      </x:c>
      <x:c r="B14" s="35" t="str">
        <x:v>ledger high-water mark</x:v>
      </x:c>
      <x:c r="C14" s="35" t="str">
        <x:v>Yes</x:v>
      </x:c>
      <x:c r="D14" s="35" t="str">
        <x:v>All eligible</x:v>
      </x:c>
      <x:c r="E14" s="35" t="str">
        <x:v>[start,end] UTC</x:v>
      </x:c>
      <x:c r="F14" s="35" t="str">
        <x:v>Yes</x:v>
      </x:c>
      <x:c r="G14" s="35" t="str">
        <x:v>No for epoch</x:v>
      </x:c>
      <x:c r="H14" s="35" t="str">
        <x:v>Exclude noneligible types</x:v>
      </x:c>
      <x:c r="I14" s="35" t="str">
        <x:v>Yes</x:v>
      </x:c>
      <x:c r="J14" s="35" t="str">
        <x:v>730d+</x:v>
      </x:c>
      <x:c r="K14" s="35" t="str">
        <x:v>Hold settlement if gap</x:v>
      </x:c>
      <x:c r="L14" s="36" t="str"/>
    </x:row>
    <x:row r="15">
      <x:c r="A15" s="37" t="str">
        <x:v>Activity ledger</x:v>
      </x:c>
      <x:c r="B15" s="22" t="str">
        <x:v>event high-water mark</x:v>
      </x:c>
      <x:c r="C15" s="22" t="str">
        <x:v>Yes</x:v>
      </x:c>
      <x:c r="D15" s="22" t="str">
        <x:v>All eligible</x:v>
      </x:c>
      <x:c r="E15" s="22" t="str">
        <x:v>[start,end] UTC</x:v>
      </x:c>
      <x:c r="F15" s="22" t="str">
        <x:v>Yes</x:v>
      </x:c>
      <x:c r="G15" s="22" t="str">
        <x:v>No for epoch</x:v>
      </x:c>
      <x:c r="H15" s="22" t="str">
        <x:v>Integrity-valid only</x:v>
      </x:c>
      <x:c r="I15" s="22" t="str">
        <x:v>Yes</x:v>
      </x:c>
      <x:c r="J15" s="22" t="str">
        <x:v>730d+</x:v>
      </x:c>
      <x:c r="K15" s="22" t="str">
        <x:v>Hold affected cohort</x:v>
      </x:c>
      <x:c r="L15" s="38" t="str"/>
    </x:row>
    <x:row r="16">
      <x:c r="A16" s="37" t="str">
        <x:v>Customer weekly aggregates</x:v>
      </x:c>
      <x:c r="B16" s="22" t="str">
        <x:v>snapshot version</x:v>
      </x:c>
      <x:c r="C16" s="22" t="str">
        <x:v>Yes</x:v>
      </x:c>
      <x:c r="D16" s="22" t="str">
        <x:v>All eligible</x:v>
      </x:c>
      <x:c r="E16" s="22" t="str">
        <x:v>Epoch end + deltas</x:v>
      </x:c>
      <x:c r="F16" s="22" t="str">
        <x:v>Yes</x:v>
      </x:c>
      <x:c r="G16" s="22" t="str">
        <x:v>No</x:v>
      </x:c>
      <x:c r="H16" s="22" t="str">
        <x:v>Validated snapshots</x:v>
      </x:c>
      <x:c r="I16" s="22" t="str">
        <x:v>Yes</x:v>
      </x:c>
      <x:c r="J16" s="22" t="str">
        <x:v>180d+</x:v>
      </x:c>
      <x:c r="K16" s="22" t="str">
        <x:v>Rebuild from customer deltas</x:v>
      </x:c>
      <x:c r="L16" s="38" t="str"/>
    </x:row>
    <x:row r="17">
      <x:c r="A17" s="37" t="str">
        <x:v>Risk history</x:v>
      </x:c>
      <x:c r="B17" s="22" t="str">
        <x:v>risk snapshot sequence</x:v>
      </x:c>
      <x:c r="C17" s="22" t="str">
        <x:v>Yes</x:v>
      </x:c>
      <x:c r="D17" s="22" t="str">
        <x:v>All eligible</x:v>
      </x:c>
      <x:c r="E17" s="22" t="str">
        <x:v>Weekly median/window</x:v>
      </x:c>
      <x:c r="F17" s="22" t="str">
        <x:v>Yes</x:v>
      </x:c>
      <x:c r="G17" s="22" t="str">
        <x:v>No</x:v>
      </x:c>
      <x:c r="H17" s="22" t="str">
        <x:v>Integrity-valid</x:v>
      </x:c>
      <x:c r="I17" s="22" t="str">
        <x:v>Yes</x:v>
      </x:c>
      <x:c r="J17" s="22" t="str">
        <x:v>180d+</x:v>
      </x:c>
      <x:c r="K17" s="22" t="str">
        <x:v>Recompute from risk events</x:v>
      </x:c>
      <x:c r="L17" s="38" t="str"/>
    </x:row>
    <x:row r="18">
      <x:c r="A18" s="37" t="str">
        <x:v>Reputation ledger</x:v>
      </x:c>
      <x:c r="B18" s="22" t="str">
        <x:v>rep high-water mark</x:v>
      </x:c>
      <x:c r="C18" s="22" t="str">
        <x:v>Yes</x:v>
      </x:c>
      <x:c r="D18" s="22" t="str">
        <x:v>All eligible</x:v>
      </x:c>
      <x:c r="E18" s="22" t="str">
        <x:v>Epoch end/median</x:v>
      </x:c>
      <x:c r="F18" s="22" t="str">
        <x:v>Yes</x:v>
      </x:c>
      <x:c r="G18" s="22" t="str">
        <x:v>No</x:v>
      </x:c>
      <x:c r="H18" s="22" t="str">
        <x:v>Authorized rep events</x:v>
      </x:c>
      <x:c r="I18" s="22" t="str">
        <x:v>Yes</x:v>
      </x:c>
      <x:c r="J18" s="22" t="str">
        <x:v>730d+</x:v>
      </x:c>
      <x:c r="K18" s="22" t="str">
        <x:v>Replay ledger</x:v>
      </x:c>
      <x:c r="L18" s="38" t="str"/>
    </x:row>
    <x:row r="19">
      <x:c r="A19" s="37" t="str">
        <x:v>Market Hunts</x:v>
      </x:c>
      <x:c r="B19" s="22" t="str">
        <x:v>completion high-water mark</x:v>
      </x:c>
      <x:c r="C19" s="22" t="str">
        <x:v>Yes</x:v>
      </x:c>
      <x:c r="D19" s="22" t="str">
        <x:v>All eligible</x:v>
      </x:c>
      <x:c r="E19" s="22" t="str">
        <x:v>Epoch</x:v>
      </x:c>
      <x:c r="F19" s="22" t="str">
        <x:v>Yes</x:v>
      </x:c>
      <x:c r="G19" s="22" t="str">
        <x:v>No</x:v>
      </x:c>
      <x:c r="H19" s="22" t="str">
        <x:v>Valid completions only</x:v>
      </x:c>
      <x:c r="I19" s="22" t="str">
        <x:v>Yes</x:v>
      </x:c>
      <x:c r="J19" s="22" t="str">
        <x:v>365d+</x:v>
      </x:c>
      <x:c r="K19" s="22" t="str">
        <x:v>Exclude flagged hunt</x:v>
      </x:c>
      <x:c r="L19" s="38" t="str"/>
    </x:row>
    <x:row r="20">
      <x:c r="A20" s="39" t="str">
        <x:v>Eligibility</x:v>
      </x:c>
      <x:c r="B20" s="40" t="str">
        <x:v>active-day/session summary</x:v>
      </x:c>
      <x:c r="C20" s="40" t="str">
        <x:v>Yes</x:v>
      </x:c>
      <x:c r="D20" s="40" t="str">
        <x:v>All players</x:v>
      </x:c>
      <x:c r="E20" s="40" t="str">
        <x:v>Epoch</x:v>
      </x:c>
      <x:c r="F20" s="40" t="str">
        <x:v>Yes</x:v>
      </x:c>
      <x:c r="G20" s="40" t="str">
        <x:v>No</x:v>
      </x:c>
      <x:c r="H20" s="40" t="str">
        <x:v>Integrity-valid sessions</x:v>
      </x:c>
      <x:c r="I20" s="40" t="str">
        <x:v>Yes</x:v>
      </x:c>
      <x:c r="J20" s="40" t="str">
        <x:v>180d+</x:v>
      </x:c>
      <x:c r="K20" s="40" t="str">
        <x:v>No payout if incomplete</x:v>
      </x:c>
      <x:c r="L20" s="41" t="str"/>
    </x:row>
    <x:row r="21">
      <x:c r="A21" s="89" t="str">
        <x:v>Module lineage</x:v>
      </x:c>
      <x:c r="B21" s="90" t="str">
        <x:v>loadout/config/effect-runtime versions</x:v>
      </x:c>
      <x:c r="C21" s="90" t="str">
        <x:v>Lineage only</x:v>
      </x:c>
      <x:c r="D21" s="90" t="str">
        <x:v>Players whose source rows were Module-influenced</x:v>
      </x:c>
      <x:c r="E21" s="90" t="str">
        <x:v>Epoch source periods</x:v>
      </x:c>
      <x:c r="F21" s="90" t="str">
        <x:v>Yes for source replay</x:v>
      </x:c>
      <x:c r="G21" s="90" t="str">
        <x:v>No historical rewrite</x:v>
      </x:c>
      <x:c r="H21" s="90" t="str">
        <x:v>No Module ownership/rarity/count score input</x:v>
      </x:c>
      <x:c r="I21" s="90" t="str">
        <x:v>Yes where retained</x:v>
      </x:c>
      <x:c r="J21" s="90" t="str">
        <x:v>Config/loadout audit retention</x:v>
      </x:c>
      <x:c r="K21" s="90" t="str">
        <x:v>Hold only if source replay is required and lineage missing</x:v>
      </x:c>
      <x:c r="L21" s="91" t="str">
        <x:v>Modules influence score only through legitimate customer/economy/risk outcomes</x:v>
      </x:c>
    </x:row>
    <x:row r="23" ht="22" customHeight="1">
      <x:c r="A23" s="102" t="str">
        <x:v>Module Competitive Integrity</x:v>
      </x:c>
      <x:c r="B23" s="102"/>
      <x:c r="C23" s="102"/>
      <x:c r="D23" s="102"/>
      <x:c r="E23" s="102"/>
      <x:c r="F23" s="102"/>
      <x:c r="G23" s="102"/>
      <x:c r="H23" s="102"/>
      <x:c r="I23" s="102"/>
      <x:c r="J23" s="102"/>
      <x:c r="K23" s="102"/>
      <x:c r="L23" s="102"/>
      <x:c r="M23" s="102"/>
      <x:c r="N23" s="102"/>
      <x:c r="O23" s="102"/>
      <x:c r="P23" s="102"/>
    </x:row>
    <x:row r="24">
      <x:c r="A24" s="105" t="str">
        <x:v>Rule</x:v>
      </x:c>
      <x:c r="B24" s="105" t="str">
        <x:v>Backend Enforcement</x:v>
      </x:c>
    </x:row>
    <x:row r="25">
      <x:c r="A25" s="92" t="str">
        <x:v>No direct Module component</x:v>
      </x:c>
      <x:c r="B25" s="94" t="str">
        <x:v>Performance aggregator has no Module rarity/count/inventory/equip field in its allowed input schema.</x:v>
      </x:c>
    </x:row>
    <x:row r="26">
      <x:c r="A26" s="95" t="str">
        <x:v>No direct PLOT multiplier</x:v>
      </x:c>
      <x:c r="B26" s="97" t="str">
        <x:v>Settlement/Competition services ignore Module state except the already-materialized legitimate source metrics.</x:v>
      </x:c>
    </x:row>
    <x:row r="27">
      <x:c r="A27" s="95" t="str">
        <x:v>Stock/Hunt isolation</x:v>
      </x:c>
      <x:c r="B27" s="97" t="str">
        <x:v>Module drops never change Hunt Points, stock packet quantity or stock reward odds.</x:v>
      </x:c>
    </x:row>
    <x:row r="28">
      <x:c r="A28" s="95" t="str">
        <x:v>Replay lineage</x:v>
      </x:c>
      <x:c r="B28" s="97" t="str">
        <x:v>Economy/customer/risk entries retain enough loadout/config version lineage to reproduce contested Module-influenced outcomes.</x:v>
      </x:c>
    </x:row>
    <x:row r="29">
      <x:c r="A29" s="98" t="str">
        <x:v>Paid-power prohibition</x:v>
      </x:c>
      <x:c r="B29" s="100" t="str">
        <x:v>Commerce/config validation cannot issue gameplay Modules or Parts from real-money SKUs in v1.0.</x:v>
      </x:c>
    </x:row>
  </x:sheetData>
  <x:mergeCells>
    <x:mergeCell ref="A1:P1"/>
    <x:mergeCell ref="A12:P12"/>
    <x:mergeCell ref="A23:P23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86" t="str">
        <x:v>Competition Aggregate State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</x:row>
    <x:row r="3">
      <x:c r="A3" s="14" t="str">
        <x:v>State</x:v>
      </x:c>
      <x:c r="B3" s="14" t="str">
        <x:v>Type</x:v>
      </x:c>
      <x:c r="C3" s="14" t="str">
        <x:v>Updated</x:v>
      </x:c>
      <x:c r="D3" s="14" t="str">
        <x:v>Canonical Store</x:v>
      </x:c>
      <x:c r="E3" s="14" t="str">
        <x:v>Inputs</x:v>
      </x:c>
      <x:c r="F3" s="14" t="str">
        <x:v>Output</x:v>
      </x:c>
      <x:c r="G3" s="14" t="str">
        <x:v>Versioned?</x:v>
      </x:c>
      <x:c r="H3" s="14" t="str">
        <x:v>Ledgered?</x:v>
      </x:c>
      <x:c r="I3" s="14" t="str">
        <x:v>Cache?</x:v>
      </x:c>
      <x:c r="J3" s="14" t="str">
        <x:v>Epoch/Season Scoped?</x:v>
      </x:c>
      <x:c r="K3" s="14" t="str">
        <x:v>Player Mutation?</x:v>
      </x:c>
      <x:c r="L3" s="14" t="str">
        <x:v>Integrity Hold?</x:v>
      </x:c>
      <x:c r="M3" s="14" t="str">
        <x:v>Rebuildable?</x:v>
      </x:c>
      <x:c r="N3" s="14" t="str">
        <x:v>Failure Default</x:v>
      </x:c>
      <x:c r="O3" s="14" t="str">
        <x:v>Notes</x:v>
      </x:c>
    </x:row>
    <x:row r="4">
      <x:c r="A4" s="34" t="str">
        <x:v>competitive_rating</x:v>
      </x:c>
      <x:c r="B4" s="35" t="str">
        <x:v>decimal</x:v>
      </x:c>
      <x:c r="C4" s="35" t="str">
        <x:v>Weekly finalize</x:v>
      </x:c>
      <x:c r="D4" s="35" t="str">
        <x:v>Rating history table</x:v>
      </x:c>
      <x:c r="E4" s="35" t="str">
        <x:v>Final Performance score + percentile</x:v>
      </x:c>
      <x:c r="F4" s="35" t="str">
        <x:v>New rating</x:v>
      </x:c>
      <x:c r="G4" s="35" t="str">
        <x:v>Yes</x:v>
      </x:c>
      <x:c r="H4" s="35" t="str">
        <x:v>Yes</x:v>
      </x:c>
      <x:c r="I4" s="35" t="str">
        <x:v>Yes</x:v>
      </x:c>
      <x:c r="J4" s="35" t="str">
        <x:v>Season persistent</x:v>
      </x:c>
      <x:c r="K4" s="35" t="str">
        <x:v>No</x:v>
      </x:c>
      <x:c r="L4" s="35" t="str">
        <x:v>Yes</x:v>
      </x:c>
      <x:c r="M4" s="35" t="str">
        <x:v>Yes</x:v>
      </x:c>
      <x:c r="N4" s="35" t="str">
        <x:v>Keep prior rating</x:v>
      </x:c>
      <x:c r="O4" s="36" t="str"/>
    </x:row>
    <x:row r="5">
      <x:c r="A5" s="37" t="str">
        <x:v>league</x:v>
      </x:c>
      <x:c r="B5" s="22" t="str">
        <x:v>enum</x:v>
      </x:c>
      <x:c r="C5" s="22" t="str">
        <x:v>Weekly finalize</x:v>
      </x:c>
      <x:c r="D5" s="22" t="str">
        <x:v>Player competition state</x:v>
      </x:c>
      <x:c r="E5" s="22" t="str">
        <x:v>Rating + movement rules</x:v>
      </x:c>
      <x:c r="F5" s="22" t="str">
        <x:v>League</x:v>
      </x:c>
      <x:c r="G5" s="22" t="str">
        <x:v>Yes</x:v>
      </x:c>
      <x:c r="H5" s="22" t="str">
        <x:v>Yes</x:v>
      </x:c>
      <x:c r="I5" s="22" t="str">
        <x:v>Yes</x:v>
      </x:c>
      <x:c r="J5" s="22" t="str">
        <x:v>Persistent until movement</x:v>
      </x:c>
      <x:c r="K5" s="22" t="str">
        <x:v>No</x:v>
      </x:c>
      <x:c r="L5" s="22" t="str">
        <x:v>Yes</x:v>
      </x:c>
      <x:c r="M5" s="22" t="str">
        <x:v>Yes</x:v>
      </x:c>
      <x:c r="N5" s="22" t="str">
        <x:v>Keep prior league</x:v>
      </x:c>
      <x:c r="O5" s="38" t="str"/>
    </x:row>
    <x:row r="6">
      <x:c r="A6" s="37" t="str">
        <x:v>promotion_protection</x:v>
      </x:c>
      <x:c r="B6" s="22" t="str">
        <x:v>counter/week</x:v>
      </x:c>
      <x:c r="C6" s="22" t="str">
        <x:v>Weekly</x:v>
      </x:c>
      <x:c r="D6" s="22" t="str">
        <x:v>Competition state</x:v>
      </x:c>
      <x:c r="E6" s="22" t="str">
        <x:v>Promotion event</x:v>
      </x:c>
      <x:c r="F6" s="22" t="str">
        <x:v>Protection state</x:v>
      </x:c>
      <x:c r="G6" s="22" t="str">
        <x:v>Yes</x:v>
      </x:c>
      <x:c r="H6" s="22" t="str">
        <x:v>Audit</x:v>
      </x:c>
      <x:c r="I6" s="22" t="str">
        <x:v>Yes</x:v>
      </x:c>
      <x:c r="J6" s="22" t="str">
        <x:v>Week scoped</x:v>
      </x:c>
      <x:c r="K6" s="22" t="str">
        <x:v>No</x:v>
      </x:c>
      <x:c r="L6" s="22" t="str">
        <x:v>No</x:v>
      </x:c>
      <x:c r="M6" s="22" t="str">
        <x:v>Yes</x:v>
      </x:c>
      <x:c r="N6" s="22" t="str">
        <x:v>Conservative preserve</x:v>
      </x:c>
      <x:c r="O6" s="38" t="str"/>
    </x:row>
    <x:row r="7">
      <x:c r="A7" s="37" t="str">
        <x:v>inactivity_grace</x:v>
      </x:c>
      <x:c r="B7" s="22" t="str">
        <x:v>counter</x:v>
      </x:c>
      <x:c r="C7" s="22" t="str">
        <x:v>Weekly</x:v>
      </x:c>
      <x:c r="D7" s="22" t="str">
        <x:v>Competition state</x:v>
      </x:c>
      <x:c r="E7" s="22" t="str">
        <x:v>Eligibility history</x:v>
      </x:c>
      <x:c r="F7" s="22" t="str">
        <x:v>Grace/decay</x:v>
      </x:c>
      <x:c r="G7" s="22" t="str">
        <x:v>Yes</x:v>
      </x:c>
      <x:c r="H7" s="22" t="str">
        <x:v>Audit</x:v>
      </x:c>
      <x:c r="I7" s="22" t="str">
        <x:v>Yes</x:v>
      </x:c>
      <x:c r="J7" s="22" t="str">
        <x:v>Streak scoped</x:v>
      </x:c>
      <x:c r="K7" s="22" t="str">
        <x:v>No</x:v>
      </x:c>
      <x:c r="L7" s="22" t="str">
        <x:v>No</x:v>
      </x:c>
      <x:c r="M7" s="22" t="str">
        <x:v>Yes</x:v>
      </x:c>
      <x:c r="N7" s="22" t="str">
        <x:v>No decay if uncertain</x:v>
      </x:c>
      <x:c r="O7" s="38" t="str"/>
    </x:row>
    <x:row r="8">
      <x:c r="A8" s="37" t="str">
        <x:v>weekly_percentile</x:v>
      </x:c>
      <x:c r="B8" s="22" t="str">
        <x:v>decimal</x:v>
      </x:c>
      <x:c r="C8" s="22" t="str">
        <x:v>Settlement</x:v>
      </x:c>
      <x:c r="D8" s="22" t="str">
        <x:v>Weekly result</x:v>
      </x:c>
      <x:c r="E8" s="22" t="str">
        <x:v>Eligible league cohort</x:v>
      </x:c>
      <x:c r="F8" s="22" t="str">
        <x:v>0–1 percentile</x:v>
      </x:c>
      <x:c r="G8" s="22" t="str">
        <x:v>Yes</x:v>
      </x:c>
      <x:c r="H8" s="22" t="str">
        <x:v>Settlement ledger</x:v>
      </x:c>
      <x:c r="I8" s="22" t="str">
        <x:v>Yes</x:v>
      </x:c>
      <x:c r="J8" s="22" t="str">
        <x:v>Epoch</x:v>
      </x:c>
      <x:c r="K8" s="22" t="str">
        <x:v>No</x:v>
      </x:c>
      <x:c r="L8" s="22" t="str">
        <x:v>Yes</x:v>
      </x:c>
      <x:c r="M8" s="22" t="str">
        <x:v>Yes</x:v>
      </x:c>
      <x:c r="N8" s="22" t="str">
        <x:v>Hold if cohort incomplete</x:v>
      </x:c>
      <x:c r="O8" s="38" t="str"/>
    </x:row>
    <x:row r="9">
      <x:c r="A9" s="37" t="str">
        <x:v>league_pool_share</x:v>
      </x:c>
      <x:c r="B9" s="22" t="str">
        <x:v>decimal</x:v>
      </x:c>
      <x:c r="C9" s="22" t="str">
        <x:v>Config/epoch</x:v>
      </x:c>
      <x:c r="D9" s="22" t="str">
        <x:v>Settlement config snapshot</x:v>
      </x:c>
      <x:c r="E9" s="22" t="str">
        <x:v>Treasury config</x:v>
      </x:c>
      <x:c r="F9" s="22" t="str">
        <x:v>League pool</x:v>
      </x:c>
      <x:c r="G9" s="22" t="str">
        <x:v>Yes</x:v>
      </x:c>
      <x:c r="H9" s="22" t="str">
        <x:v>Config audit</x:v>
      </x:c>
      <x:c r="I9" s="22" t="str">
        <x:v>Yes</x:v>
      </x:c>
      <x:c r="J9" s="22" t="str">
        <x:v>Epoch</x:v>
      </x:c>
      <x:c r="K9" s="22" t="str">
        <x:v>No</x:v>
      </x:c>
      <x:c r="L9" s="22" t="str">
        <x:v>N/A</x:v>
      </x:c>
      <x:c r="M9" s="22" t="str">
        <x:v>Yes</x:v>
      </x:c>
      <x:c r="N9" s="22" t="str">
        <x:v>Use frozen config</x:v>
      </x:c>
      <x:c r="O9" s="38" t="str"/>
    </x:row>
    <x:row r="10">
      <x:c r="A10" s="37" t="str">
        <x:v>season_points</x:v>
      </x:c>
      <x:c r="B10" s="22" t="str">
        <x:v>decimal</x:v>
      </x:c>
      <x:c r="C10" s="22" t="str">
        <x:v>Weekly finalize</x:v>
      </x:c>
      <x:c r="D10" s="22" t="str">
        <x:v>Season ledger</x:v>
      </x:c>
      <x:c r="E10" s="22" t="str">
        <x:v>Percentile + league multiplier</x:v>
      </x:c>
      <x:c r="F10" s="22" t="str">
        <x:v>Cumulative points</x:v>
      </x:c>
      <x:c r="G10" s="22" t="str">
        <x:v>Yes</x:v>
      </x:c>
      <x:c r="H10" s="22" t="str">
        <x:v>Yes</x:v>
      </x:c>
      <x:c r="I10" s="22" t="str">
        <x:v>Yes</x:v>
      </x:c>
      <x:c r="J10" s="22" t="str">
        <x:v>Season</x:v>
      </x:c>
      <x:c r="K10" s="22" t="str">
        <x:v>No</x:v>
      </x:c>
      <x:c r="L10" s="22" t="str">
        <x:v>Yes</x:v>
      </x:c>
      <x:c r="M10" s="22" t="str">
        <x:v>Yes</x:v>
      </x:c>
      <x:c r="N10" s="22" t="str">
        <x:v>No increment if hold</x:v>
      </x:c>
      <x:c r="O10" s="38" t="str"/>
    </x:row>
    <x:row r="11">
      <x:c r="A11" s="37" t="str">
        <x:v>season_rank</x:v>
      </x:c>
      <x:c r="B11" s="22" t="str">
        <x:v>int</x:v>
      </x:c>
      <x:c r="C11" s="22" t="str">
        <x:v>Weekly/season end</x:v>
      </x:c>
      <x:c r="D11" s="22" t="str">
        <x:v>Leaderboard store</x:v>
      </x:c>
      <x:c r="E11" s="22" t="str">
        <x:v>Season points</x:v>
      </x:c>
      <x:c r="F11" s="22" t="str">
        <x:v>Rank</x:v>
      </x:c>
      <x:c r="G11" s="22" t="str">
        <x:v>Yes</x:v>
      </x:c>
      <x:c r="H11" s="22" t="str">
        <x:v>Derived snapshots</x:v>
      </x:c>
      <x:c r="I11" s="22" t="str">
        <x:v>Yes</x:v>
      </x:c>
      <x:c r="J11" s="22" t="str">
        <x:v>Season</x:v>
      </x:c>
      <x:c r="K11" s="22" t="str">
        <x:v>No</x:v>
      </x:c>
      <x:c r="L11" s="22" t="str">
        <x:v>Yes</x:v>
      </x:c>
      <x:c r="M11" s="22" t="str">
        <x:v>Yes</x:v>
      </x:c>
      <x:c r="N11" s="22" t="str">
        <x:v>Recompute cohort</x:v>
      </x:c>
      <x:c r="O11" s="38" t="str"/>
    </x:row>
    <x:row r="12">
      <x:c r="A12" s="39" t="str">
        <x:v>hall_of_fame_record</x:v>
      </x:c>
      <x:c r="B12" s="40" t="str">
        <x:v>record</x:v>
      </x:c>
      <x:c r="C12" s="40" t="str">
        <x:v>Season end</x:v>
      </x:c>
      <x:c r="D12" s="40" t="str">
        <x:v>Archive</x:v>
      </x:c>
      <x:c r="E12" s="40" t="str">
        <x:v>Final season ranking</x:v>
      </x:c>
      <x:c r="F12" s="40" t="str">
        <x:v>Historic record</x:v>
      </x:c>
      <x:c r="G12" s="40" t="str">
        <x:v>Immutable</x:v>
      </x:c>
      <x:c r="H12" s="40" t="str">
        <x:v>Yes</x:v>
      </x:c>
      <x:c r="I12" s="40" t="str">
        <x:v>Cache optional</x:v>
      </x:c>
      <x:c r="J12" s="40" t="str">
        <x:v>Permanent</x:v>
      </x:c>
      <x:c r="K12" s="40" t="str">
        <x:v>No</x:v>
      </x:c>
      <x:c r="L12" s="40" t="str">
        <x:v>Final integrity required</x:v>
      </x:c>
      <x:c r="M12" s="40" t="str">
        <x:v>Yes</x:v>
      </x:c>
      <x:c r="N12" s="40" t="str">
        <x:v>Do not publish until final</x:v>
      </x:c>
      <x:c r="O12" s="41" t="str"/>
    </x:row>
  </x:sheetData>
  <x:mergeCells>
    <x:mergeCell ref="A1:O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4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Logical Persistence Schema — Core Tables / Collections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22"/>
    </x:row>
    <x:row r="3">
      <x:c r="A3" s="14" t="str">
        <x:v>Table / Collection</x:v>
      </x:c>
      <x:c r="B3" s="14" t="str">
        <x:v>Primary Key</x:v>
      </x:c>
      <x:c r="C3" s="14" t="str">
        <x:v>Partition / Shard Key</x:v>
      </x:c>
      <x:c r="D3" s="14" t="str">
        <x:v>Important Columns</x:v>
      </x:c>
      <x:c r="E3" s="14" t="str">
        <x:v>Write Rate</x:v>
      </x:c>
      <x:c r="F3" s="14" t="str">
        <x:v>Read Rate</x:v>
      </x:c>
      <x:c r="G3" s="14" t="str">
        <x:v>Retention</x:v>
      </x:c>
      <x:c r="H3" s="14" t="str">
        <x:v>Mutable?</x:v>
      </x:c>
      <x:c r="I3" s="14" t="str">
        <x:v>Append-Only?</x:v>
      </x:c>
      <x:c r="J3" s="14" t="str">
        <x:v>Unique Constraints</x:v>
      </x:c>
      <x:c r="K3" s="14" t="str">
        <x:v>Indexes</x:v>
      </x:c>
      <x:c r="L3" s="14" t="str">
        <x:v>FK / Reference</x:v>
      </x:c>
      <x:c r="M3" s="14" t="str">
        <x:v>PII?</x:v>
      </x:c>
      <x:c r="N3" s="14" t="str">
        <x:v>Settlement Critical?</x:v>
      </x:c>
      <x:c r="O3" s="14" t="str">
        <x:v>MVP?</x:v>
      </x:c>
      <x:c r="P3" s="14" t="str">
        <x:v>Notes</x:v>
      </x:c>
    </x:row>
    <x:row r="4">
      <x:c r="A4" s="34" t="str">
        <x:v>players</x:v>
      </x:c>
      <x:c r="B4" s="35" t="str">
        <x:v>player_id</x:v>
      </x:c>
      <x:c r="C4" s="35" t="str">
        <x:v>player_id</x:v>
      </x:c>
      <x:c r="D4" s="35" t="str">
        <x:v>family_user_id,wallet,level,xp,rep,rating,league,integrity</x:v>
      </x:c>
      <x:c r="E4" s="35" t="str">
        <x:v>Low</x:v>
      </x:c>
      <x:c r="F4" s="35" t="str">
        <x:v>High</x:v>
      </x:c>
      <x:c r="G4" s="35" t="str">
        <x:v>Permanent</x:v>
      </x:c>
      <x:c r="H4" s="35" t="str">
        <x:v>Yes</x:v>
      </x:c>
      <x:c r="I4" s="35" t="str">
        <x:v>No</x:v>
      </x:c>
      <x:c r="J4" s="35" t="str">
        <x:v>family_user_id; wallet as configured</x:v>
      </x:c>
      <x:c r="K4" s="35" t="str">
        <x:v>wallet,league,level</x:v>
      </x:c>
      <x:c r="L4" s="35" t="str">
        <x:v>identity refs</x:v>
      </x:c>
      <x:c r="M4" s="35" t="str">
        <x:v>Yes</x:v>
      </x:c>
      <x:c r="N4" s="35" t="str">
        <x:v>Yes</x:v>
      </x:c>
      <x:c r="O4" s="35" t="str">
        <x:v>Yes</x:v>
      </x:c>
      <x:c r="P4" s="36" t="str"/>
    </x:row>
    <x:row r="5">
      <x:c r="A5" s="37" t="str">
        <x:v>plots</x:v>
      </x:c>
      <x:c r="B5" s="22" t="str">
        <x:v>plot_token_id</x:v>
      </x:c>
      <x:c r="C5" s="22" t="str">
        <x:v>plot_token_id</x:v>
      </x:c>
      <x:c r="D5" s="22" t="str">
        <x:v>owner,coords,activation,territory,tile_version</x:v>
      </x:c>
      <x:c r="E5" s="22" t="str">
        <x:v>Low</x:v>
      </x:c>
      <x:c r="F5" s="22" t="str">
        <x:v>High</x:v>
      </x:c>
      <x:c r="G5" s="22" t="str">
        <x:v>Permanent</x:v>
      </x:c>
      <x:c r="H5" s="22" t="str">
        <x:v>Yes</x:v>
      </x:c>
      <x:c r="I5" s="22" t="str">
        <x:v>No</x:v>
      </x:c>
      <x:c r="J5" s="22" t="str">
        <x:v>world_x+world_y</x:v>
      </x:c>
      <x:c r="K5" s="22" t="str">
        <x:v>owner,territory</x:v>
      </x:c>
      <x:c r="L5" s="22" t="str">
        <x:v>player</x:v>
      </x:c>
      <x:c r="M5" s="22" t="str">
        <x:v>No</x:v>
      </x:c>
      <x:c r="N5" s="22" t="str">
        <x:v>Yes</x:v>
      </x:c>
      <x:c r="O5" s="22" t="str">
        <x:v>Yes</x:v>
      </x:c>
      <x:c r="P5" s="38" t="str"/>
    </x:row>
    <x:row r="6">
      <x:c r="A6" s="37" t="str">
        <x:v>territories</x:v>
      </x:c>
      <x:c r="B6" s="22" t="str">
        <x:v>territory_id</x:v>
      </x:c>
      <x:c r="C6" s="22" t="str">
        <x:v>owner_player_id</x:v>
      </x:c>
      <x:c r="D6" s="22" t="str">
        <x:v>members,origin,dimensions,locks,overhead_band</x:v>
      </x:c>
      <x:c r="E6" s="22" t="str">
        <x:v>Very low</x:v>
      </x:c>
      <x:c r="F6" s="22" t="str">
        <x:v>Medium</x:v>
      </x:c>
      <x:c r="G6" s="22" t="str">
        <x:v>Permanent history</x:v>
      </x:c>
      <x:c r="H6" s="22" t="str">
        <x:v>Yes</x:v>
      </x:c>
      <x:c r="I6" s="22" t="str">
        <x:v>No</x:v>
      </x:c>
      <x:c r="J6" s="22" t="str">
        <x:v>active member uniqueness</x:v>
      </x:c>
      <x:c r="K6" s="22" t="str">
        <x:v>owner,status</x:v>
      </x:c>
      <x:c r="L6" s="22" t="str">
        <x:v>plots</x:v>
      </x:c>
      <x:c r="M6" s="22" t="str">
        <x:v>No</x:v>
      </x:c>
      <x:c r="N6" s="22" t="str">
        <x:v>Yes</x:v>
      </x:c>
      <x:c r="O6" s="22" t="str">
        <x:v>Phase2</x:v>
      </x:c>
      <x:c r="P6" s="38" t="str"/>
    </x:row>
    <x:row r="7">
      <x:c r="A7" s="37" t="str">
        <x:v>building_instances</x:v>
      </x:c>
      <x:c r="B7" s="22" t="str">
        <x:v>building_id</x:v>
      </x:c>
      <x:c r="C7" s="22" t="str">
        <x:v>player_id</x:v>
      </x:c>
      <x:c r="D7" s="22" t="str">
        <x:v>type,level,status,module_loadout_version</x:v>
      </x:c>
      <x:c r="E7" s="22" t="str">
        <x:v>Medium</x:v>
      </x:c>
      <x:c r="F7" s="22" t="str">
        <x:v>High</x:v>
      </x:c>
      <x:c r="G7" s="22" t="str">
        <x:v>Permanent</x:v>
      </x:c>
      <x:c r="H7" s="22" t="str">
        <x:v>Yes</x:v>
      </x:c>
      <x:c r="I7" s="22" t="str">
        <x:v>No</x:v>
      </x:c>
      <x:c r="J7" s="22" t="str">
        <x:v>instance id</x:v>
      </x:c>
      <x:c r="K7" s="22" t="str">
        <x:v>player,type</x:v>
      </x:c>
      <x:c r="L7" s="22" t="str">
        <x:v>player</x:v>
      </x:c>
      <x:c r="M7" s="22" t="str">
        <x:v>No</x:v>
      </x:c>
      <x:c r="N7" s="22" t="str">
        <x:v>Yes</x:v>
      </x:c>
      <x:c r="O7" s="22" t="str">
        <x:v>Yes</x:v>
      </x:c>
      <x:c r="P7" s="38" t="str"/>
    </x:row>
    <x:row r="8">
      <x:c r="A8" s="37" t="str">
        <x:v>placements</x:v>
      </x:c>
      <x:c r="B8" s="22" t="str">
        <x:v>building_id</x:v>
      </x:c>
      <x:c r="C8" s="22" t="str">
        <x:v>plot/territory_id</x:v>
      </x:c>
      <x:c r="D8" s="22" t="str">
        <x:v>x,y,orientation,layout_version</x:v>
      </x:c>
      <x:c r="E8" s="22" t="str">
        <x:v>Medium</x:v>
      </x:c>
      <x:c r="F8" s="22" t="str">
        <x:v>High</x:v>
      </x:c>
      <x:c r="G8" s="22" t="str">
        <x:v>Current + history</x:v>
      </x:c>
      <x:c r="H8" s="22" t="str">
        <x:v>Yes</x:v>
      </x:c>
      <x:c r="I8" s="22" t="str">
        <x:v>No</x:v>
      </x:c>
      <x:c r="J8" s="22" t="str">
        <x:v>one active placement/building</x:v>
      </x:c>
      <x:c r="K8" s="22" t="str">
        <x:v>plot,territory</x:v>
      </x:c>
      <x:c r="L8" s="22" t="str">
        <x:v>building</x:v>
      </x:c>
      <x:c r="M8" s="22" t="str">
        <x:v>No</x:v>
      </x:c>
      <x:c r="N8" s="22" t="str">
        <x:v>Yes</x:v>
      </x:c>
      <x:c r="O8" s="22" t="str">
        <x:v>Yes</x:v>
      </x:c>
      <x:c r="P8" s="38" t="str"/>
    </x:row>
    <x:row r="9">
      <x:c r="A9" s="37" t="str">
        <x:v>layout_versions</x:v>
      </x:c>
      <x:c r="B9" s="22" t="str">
        <x:v>layout_version_id</x:v>
      </x:c>
      <x:c r="C9" s="22" t="str">
        <x:v>player_id</x:v>
      </x:c>
      <x:c r="D9" s="22" t="str">
        <x:v>snapshot hash,changed_by,created_at</x:v>
      </x:c>
      <x:c r="E9" s="22" t="str">
        <x:v>Medium</x:v>
      </x:c>
      <x:c r="F9" s="22" t="str">
        <x:v>Medium</x:v>
      </x:c>
      <x:c r="G9" s="22" t="str">
        <x:v>180d+</x:v>
      </x:c>
      <x:c r="H9" s="22" t="str">
        <x:v>No</x:v>
      </x:c>
      <x:c r="I9" s="22" t="str">
        <x:v>Yes</x:v>
      </x:c>
      <x:c r="J9" s="22" t="str">
        <x:v>version</x:v>
      </x:c>
      <x:c r="K9" s="22" t="str">
        <x:v>player,time</x:v>
      </x:c>
      <x:c r="L9" s="22" t="str">
        <x:v>placements</x:v>
      </x:c>
      <x:c r="M9" s="22" t="str">
        <x:v>No</x:v>
      </x:c>
      <x:c r="N9" s="22" t="str">
        <x:v>Yes</x:v>
      </x:c>
      <x:c r="O9" s="22" t="str">
        <x:v>Yes</x:v>
      </x:c>
      <x:c r="P9" s="38" t="str"/>
    </x:row>
    <x:row r="10">
      <x:c r="A10" s="37" t="str">
        <x:v>cash_ledger</x:v>
      </x:c>
      <x:c r="B10" s="22" t="str">
        <x:v>ledger_entry_id</x:v>
      </x:c>
      <x:c r="C10" s="22" t="str">
        <x:v>player_id</x:v>
      </x:c>
      <x:c r="D10" s="22" t="str">
        <x:v>type,amount,business,source_event,eligibility,economy_config_version,module_loadout_version,module_effect_trace_ref</x:v>
      </x:c>
      <x:c r="E10" s="22" t="str">
        <x:v>High</x:v>
      </x:c>
      <x:c r="F10" s="22" t="str">
        <x:v>High/Batch</x:v>
      </x:c>
      <x:c r="G10" s="22" t="str">
        <x:v>730d+</x:v>
      </x:c>
      <x:c r="H10" s="22" t="str">
        <x:v>No</x:v>
      </x:c>
      <x:c r="I10" s="22" t="str">
        <x:v>Yes</x:v>
      </x:c>
      <x:c r="J10" s="22" t="str">
        <x:v>source_event+type+player</x:v>
      </x:c>
      <x:c r="K10" s="22" t="str">
        <x:v>player,time,type</x:v>
      </x:c>
      <x:c r="L10" s="22" t="str">
        <x:v>player/business</x:v>
      </x:c>
      <x:c r="M10" s="22" t="str">
        <x:v>No</x:v>
      </x:c>
      <x:c r="N10" s="22" t="str">
        <x:v>Critical</x:v>
      </x:c>
      <x:c r="O10" s="22" t="str">
        <x:v>Yes</x:v>
      </x:c>
      <x:c r="P10" s="38" t="str"/>
    </x:row>
    <x:row r="11">
      <x:c r="A11" s="37" t="str">
        <x:v>activity_events</x:v>
      </x:c>
      <x:c r="B11" s="22" t="str">
        <x:v>activity_event_id</x:v>
      </x:c>
      <x:c r="C11" s="22" t="str">
        <x:v>player_id</x:v>
      </x:c>
      <x:c r="D11" s="22" t="str">
        <x:v>metric,value,business,source,time,validity</x:v>
      </x:c>
      <x:c r="E11" s="22" t="str">
        <x:v>High</x:v>
      </x:c>
      <x:c r="F11" s="22" t="str">
        <x:v>Batch/Medium</x:v>
      </x:c>
      <x:c r="G11" s="22" t="str">
        <x:v>730d+</x:v>
      </x:c>
      <x:c r="H11" s="22" t="str">
        <x:v>No</x:v>
      </x:c>
      <x:c r="I11" s="22" t="str">
        <x:v>Yes</x:v>
      </x:c>
      <x:c r="J11" s="22" t="str">
        <x:v>source_event+metric</x:v>
      </x:c>
      <x:c r="K11" s="22" t="str">
        <x:v>player,time,metric</x:v>
      </x:c>
      <x:c r="L11" s="22" t="str">
        <x:v>business</x:v>
      </x:c>
      <x:c r="M11" s="22" t="str">
        <x:v>No</x:v>
      </x:c>
      <x:c r="N11" s="22" t="str">
        <x:v>Critical</x:v>
      </x:c>
      <x:c r="O11" s="22" t="str">
        <x:v>Yes</x:v>
      </x:c>
      <x:c r="P11" s="38" t="str"/>
    </x:row>
    <x:row r="12">
      <x:c r="A12" s="37" t="str">
        <x:v>customer_snapshots</x:v>
      </x:c>
      <x:c r="B12" s="22" t="str">
        <x:v>player+business+time_bucket</x:v>
      </x:c>
      <x:c r="C12" s="22" t="str">
        <x:v>player_id</x:v>
      </x:c>
      <x:c r="D12" s="22" t="str">
        <x:v>segments,capacity,utilization,service,module_loadout_version,module_effect_trace_ref</x:v>
      </x:c>
      <x:c r="E12" s="22" t="str">
        <x:v>High</x:v>
      </x:c>
      <x:c r="F12" s="22" t="str">
        <x:v>High</x:v>
      </x:c>
      <x:c r="G12" s="22" t="str">
        <x:v>180d+</x:v>
      </x:c>
      <x:c r="H12" s="22" t="str">
        <x:v>No snapshot rows</x:v>
      </x:c>
      <x:c r="I12" s="22" t="str">
        <x:v>Yes-ish</x:v>
      </x:c>
      <x:c r="J12" s="22" t="str">
        <x:v>bucket uniqueness</x:v>
      </x:c>
      <x:c r="K12" s="22" t="str">
        <x:v>player,business,time</x:v>
      </x:c>
      <x:c r="L12" s="22" t="str">
        <x:v>business</x:v>
      </x:c>
      <x:c r="M12" s="22" t="str">
        <x:v>No</x:v>
      </x:c>
      <x:c r="N12" s="22" t="str">
        <x:v>Critical</x:v>
      </x:c>
      <x:c r="O12" s="22" t="str">
        <x:v>Yes</x:v>
      </x:c>
      <x:c r="P12" s="38" t="str"/>
    </x:row>
    <x:row r="13">
      <x:c r="A13" s="37" t="str">
        <x:v>customer_deltas</x:v>
      </x:c>
      <x:c r="B13" s="22" t="str">
        <x:v>delta_id</x:v>
      </x:c>
      <x:c r="C13" s="22" t="str">
        <x:v>player_id</x:v>
      </x:c>
      <x:c r="D13" s="22" t="str">
        <x:v>segment,new,churn,source,config_version</x:v>
      </x:c>
      <x:c r="E13" s="22" t="str">
        <x:v>High</x:v>
      </x:c>
      <x:c r="F13" s="22" t="str">
        <x:v>Batch</x:v>
      </x:c>
      <x:c r="G13" s="22" t="str">
        <x:v>365d+</x:v>
      </x:c>
      <x:c r="H13" s="22" t="str">
        <x:v>No</x:v>
      </x:c>
      <x:c r="I13" s="22" t="str">
        <x:v>Yes</x:v>
      </x:c>
      <x:c r="J13" s="22" t="str">
        <x:v>source_event+segment</x:v>
      </x:c>
      <x:c r="K13" s="22" t="str">
        <x:v>player,time</x:v>
      </x:c>
      <x:c r="L13" s="22" t="str">
        <x:v>business</x:v>
      </x:c>
      <x:c r="M13" s="22" t="str">
        <x:v>No</x:v>
      </x:c>
      <x:c r="N13" s="22" t="str">
        <x:v>Critical</x:v>
      </x:c>
      <x:c r="O13" s="22" t="str">
        <x:v>Yes</x:v>
      </x:c>
      <x:c r="P13" s="38" t="str"/>
    </x:row>
    <x:row r="14">
      <x:c r="A14" s="37" t="str">
        <x:v>risk_snapshots</x:v>
      </x:c>
      <x:c r="B14" s="22" t="str">
        <x:v>player+time_bucket</x:v>
      </x:c>
      <x:c r="C14" s="22" t="str">
        <x:v>player_id</x:v>
      </x:c>
      <x:c r="D14" s="22" t="str">
        <x:v>6 categories,composite,drivers,mitigations,module_loadout_version,module_effect_trace_ref</x:v>
      </x:c>
      <x:c r="E14" s="22" t="str">
        <x:v>Medium</x:v>
      </x:c>
      <x:c r="F14" s="22" t="str">
        <x:v>High</x:v>
      </x:c>
      <x:c r="G14" s="22" t="str">
        <x:v>180d+</x:v>
      </x:c>
      <x:c r="H14" s="22" t="str">
        <x:v>No</x:v>
      </x:c>
      <x:c r="I14" s="22" t="str">
        <x:v>Yes snapshots</x:v>
      </x:c>
      <x:c r="J14" s="22" t="str">
        <x:v>bucket uniqueness</x:v>
      </x:c>
      <x:c r="K14" s="22" t="str">
        <x:v>player,time</x:v>
      </x:c>
      <x:c r="L14" s="22" t="str">
        <x:v>player</x:v>
      </x:c>
      <x:c r="M14" s="22" t="str">
        <x:v>No</x:v>
      </x:c>
      <x:c r="N14" s="22" t="str">
        <x:v>Critical</x:v>
      </x:c>
      <x:c r="O14" s="22" t="str">
        <x:v>Yes</x:v>
      </x:c>
      <x:c r="P14" s="38" t="str"/>
    </x:row>
    <x:row r="15">
      <x:c r="A15" s="37" t="str">
        <x:v>reputation_ledger</x:v>
      </x:c>
      <x:c r="B15" s="22" t="str">
        <x:v>rep_event_id</x:v>
      </x:c>
      <x:c r="C15" s="22" t="str">
        <x:v>player_id</x:v>
      </x:c>
      <x:c r="D15" s="22" t="str">
        <x:v>delta,reason,source,daily_cap_state</x:v>
      </x:c>
      <x:c r="E15" s="22" t="str">
        <x:v>Medium</x:v>
      </x:c>
      <x:c r="F15" s="22" t="str">
        <x:v>High</x:v>
      </x:c>
      <x:c r="G15" s="22" t="str">
        <x:v>730d+</x:v>
      </x:c>
      <x:c r="H15" s="22" t="str">
        <x:v>No</x:v>
      </x:c>
      <x:c r="I15" s="22" t="str">
        <x:v>Yes</x:v>
      </x:c>
      <x:c r="J15" s="22" t="str">
        <x:v>source_event+reason</x:v>
      </x:c>
      <x:c r="K15" s="22" t="str">
        <x:v>player,time</x:v>
      </x:c>
      <x:c r="L15" s="22" t="str">
        <x:v>player</x:v>
      </x:c>
      <x:c r="M15" s="22" t="str">
        <x:v>No</x:v>
      </x:c>
      <x:c r="N15" s="22" t="str">
        <x:v>Critical</x:v>
      </x:c>
      <x:c r="O15" s="22" t="str">
        <x:v>Yes</x:v>
      </x:c>
      <x:c r="P15" s="38" t="str"/>
    </x:row>
    <x:row r="16">
      <x:c r="A16" s="37" t="str">
        <x:v>events</x:v>
      </x:c>
      <x:c r="B16" s="22" t="str">
        <x:v>event_id</x:v>
      </x:c>
      <x:c r="C16" s="22" t="str">
        <x:v>scope/id</x:v>
      </x:c>
      <x:c r="D16" s="22" t="str">
        <x:v>type,state,start,end,config_version</x:v>
      </x:c>
      <x:c r="E16" s="22" t="str">
        <x:v>Low</x:v>
      </x:c>
      <x:c r="F16" s="22" t="str">
        <x:v>High</x:v>
      </x:c>
      <x:c r="G16" s="22" t="str">
        <x:v>365d+</x:v>
      </x:c>
      <x:c r="H16" s="22" t="str">
        <x:v>Yes state</x:v>
      </x:c>
      <x:c r="I16" s="22" t="str">
        <x:v>Event log separate</x:v>
      </x:c>
      <x:c r="J16" s="22" t="str">
        <x:v>event id</x:v>
      </x:c>
      <x:c r="K16" s="22" t="str">
        <x:v>state,start,end</x:v>
      </x:c>
      <x:c r="L16" s="22" t="str">
        <x:v>config</x:v>
      </x:c>
      <x:c r="M16" s="22" t="str">
        <x:v>No</x:v>
      </x:c>
      <x:c r="N16" s="22" t="str">
        <x:v>Yes</x:v>
      </x:c>
      <x:c r="O16" s="22" t="str">
        <x:v>Yes</x:v>
      </x:c>
      <x:c r="P16" s="38" t="str"/>
    </x:row>
    <x:row r="17">
      <x:c r="A17" s="37" t="str">
        <x:v>player_events</x:v>
      </x:c>
      <x:c r="B17" s="22" t="str">
        <x:v>player_event_id</x:v>
      </x:c>
      <x:c r="C17" s="22" t="str">
        <x:v>player_id</x:v>
      </x:c>
      <x:c r="D17" s="22" t="str">
        <x:v>event_id,choices,outcome,expires,state</x:v>
      </x:c>
      <x:c r="E17" s="22" t="str">
        <x:v>Medium</x:v>
      </x:c>
      <x:c r="F17" s="22" t="str">
        <x:v>High</x:v>
      </x:c>
      <x:c r="G17" s="22" t="str">
        <x:v>365d+</x:v>
      </x:c>
      <x:c r="H17" s="22" t="str">
        <x:v>Yes state</x:v>
      </x:c>
      <x:c r="I17" s="22" t="str">
        <x:v>Resolution log</x:v>
      </x:c>
      <x:c r="J17" s="22" t="str">
        <x:v>event+player occurrence</x:v>
      </x:c>
      <x:c r="K17" s="22" t="str">
        <x:v>player,state</x:v>
      </x:c>
      <x:c r="L17" s="22" t="str">
        <x:v>event</x:v>
      </x:c>
      <x:c r="M17" s="22" t="str">
        <x:v>No</x:v>
      </x:c>
      <x:c r="N17" s="22" t="str">
        <x:v>Yes</x:v>
      </x:c>
      <x:c r="O17" s="22" t="str">
        <x:v>Yes</x:v>
      </x:c>
      <x:c r="P17" s="38" t="str"/>
    </x:row>
    <x:row r="18">
      <x:c r="A18" s="37" t="str">
        <x:v>hunts</x:v>
      </x:c>
      <x:c r="B18" s="22" t="str">
        <x:v>hunt_id</x:v>
      </x:c>
      <x:c r="C18" s="22" t="str">
        <x:v>player_id</x:v>
      </x:c>
      <x:c r="D18" s="22" t="str">
        <x:v>template,target,progress,start,end,state,bias</x:v>
      </x:c>
      <x:c r="E18" s="22" t="str">
        <x:v>Medium</x:v>
      </x:c>
      <x:c r="F18" s="22" t="str">
        <x:v>High</x:v>
      </x:c>
      <x:c r="G18" s="22" t="str">
        <x:v>365d+</x:v>
      </x:c>
      <x:c r="H18" s="22" t="str">
        <x:v>Yes state</x:v>
      </x:c>
      <x:c r="I18" s="22" t="str">
        <x:v>Completion log</x:v>
      </x:c>
      <x:c r="J18" s="22" t="str">
        <x:v>assignment id</x:v>
      </x:c>
      <x:c r="K18" s="22" t="str">
        <x:v>player,state,end</x:v>
      </x:c>
      <x:c r="L18" s="22" t="str">
        <x:v>config</x:v>
      </x:c>
      <x:c r="M18" s="22" t="str">
        <x:v>No</x:v>
      </x:c>
      <x:c r="N18" s="22" t="str">
        <x:v>Yes</x:v>
      </x:c>
      <x:c r="O18" s="22" t="str">
        <x:v>Yes</x:v>
      </x:c>
      <x:c r="P18" s="38" t="str"/>
    </x:row>
    <x:row r="19">
      <x:c r="A19" s="37" t="str">
        <x:v>reward_ledger</x:v>
      </x:c>
      <x:c r="B19" s="22" t="str">
        <x:v>reward_id</x:v>
      </x:c>
      <x:c r="C19" s="22" t="str">
        <x:v>player_id</x:v>
      </x:c>
      <x:c r="D19" s="22" t="str">
        <x:v>type,amount/ticker,source,status,claim_ref</x:v>
      </x:c>
      <x:c r="E19" s="22" t="str">
        <x:v>Medium</x:v>
      </x:c>
      <x:c r="F19" s="22" t="str">
        <x:v>High</x:v>
      </x:c>
      <x:c r="G19" s="22" t="str">
        <x:v>730d+</x:v>
      </x:c>
      <x:c r="H19" s="22" t="str">
        <x:v>State transitions only</x:v>
      </x:c>
      <x:c r="I19" s="22" t="str">
        <x:v>Yes semantic ledger</x:v>
      </x:c>
      <x:c r="J19" s="22" t="str">
        <x:v>source+reward_type</x:v>
      </x:c>
      <x:c r="K19" s="22" t="str">
        <x:v>player,status</x:v>
      </x:c>
      <x:c r="L19" s="22" t="str">
        <x:v>source</x:v>
      </x:c>
      <x:c r="M19" s="22" t="str">
        <x:v>No</x:v>
      </x:c>
      <x:c r="N19" s="22" t="str">
        <x:v>Critical</x:v>
      </x:c>
      <x:c r="O19" s="22" t="str">
        <x:v>Yes</x:v>
      </x:c>
      <x:c r="P19" s="38" t="str"/>
    </x:row>
    <x:row r="20">
      <x:c r="A20" s="37" t="str">
        <x:v>weekly_snapshots</x:v>
      </x:c>
      <x:c r="B20" s="22" t="str">
        <x:v>snapshot_id</x:v>
      </x:c>
      <x:c r="C20" s="22" t="str">
        <x:v>epoch_id</x:v>
      </x:c>
      <x:c r="D20" s="22" t="str">
        <x:v>source cursors/checksums,player cohort,config manifest incl. module runtime/config lineage</x:v>
      </x:c>
      <x:c r="E20" s="22" t="str">
        <x:v>Weekly batch</x:v>
      </x:c>
      <x:c r="F20" s="22" t="str">
        <x:v>Batch</x:v>
      </x:c>
      <x:c r="G20" s="22" t="str">
        <x:v>Permanent/730d+</x:v>
      </x:c>
      <x:c r="H20" s="22" t="str">
        <x:v>No</x:v>
      </x:c>
      <x:c r="I20" s="22" t="str">
        <x:v>Yes</x:v>
      </x:c>
      <x:c r="J20" s="22" t="str">
        <x:v>epoch+version</x:v>
      </x:c>
      <x:c r="K20" s="22" t="str">
        <x:v>epoch</x:v>
      </x:c>
      <x:c r="L20" s="22" t="str">
        <x:v>ledgers</x:v>
      </x:c>
      <x:c r="M20" s="22" t="str">
        <x:v>No</x:v>
      </x:c>
      <x:c r="N20" s="22" t="str">
        <x:v>Critical</x:v>
      </x:c>
      <x:c r="O20" s="22" t="str">
        <x:v>Yes</x:v>
      </x:c>
      <x:c r="P20" s="38" t="str"/>
    </x:row>
    <x:row r="21">
      <x:c r="A21" s="37" t="str">
        <x:v>weekly_results</x:v>
      </x:c>
      <x:c r="B21" s="22" t="str">
        <x:v>epoch+player</x:v>
      </x:c>
      <x:c r="C21" s="22" t="str">
        <x:v>epoch_id</x:v>
      </x:c>
      <x:c r="D21" s="22" t="str">
        <x:v>score,components,eligibility,percentile,payout,league</x:v>
      </x:c>
      <x:c r="E21" s="22" t="str">
        <x:v>Weekly batch</x:v>
      </x:c>
      <x:c r="F21" s="22" t="str">
        <x:v>High</x:v>
      </x:c>
      <x:c r="G21" s="22" t="str">
        <x:v>Permanent</x:v>
      </x:c>
      <x:c r="H21" s="22" t="str">
        <x:v>No after final</x:v>
      </x:c>
      <x:c r="I21" s="22" t="str">
        <x:v>Yes final records</x:v>
      </x:c>
      <x:c r="J21" s="22" t="str">
        <x:v>epoch+player</x:v>
      </x:c>
      <x:c r="K21" s="22" t="str">
        <x:v>epoch,league,player</x:v>
      </x:c>
      <x:c r="L21" s="22" t="str">
        <x:v>player</x:v>
      </x:c>
      <x:c r="M21" s="22" t="str">
        <x:v>No</x:v>
      </x:c>
      <x:c r="N21" s="22" t="str">
        <x:v>Critical</x:v>
      </x:c>
      <x:c r="O21" s="22" t="str">
        <x:v>Yes</x:v>
      </x:c>
      <x:c r="P21" s="38" t="str"/>
    </x:row>
    <x:row r="22">
      <x:c r="A22" s="37" t="str">
        <x:v>rating_ledger</x:v>
      </x:c>
      <x:c r="B22" s="22" t="str">
        <x:v>rating_event_id</x:v>
      </x:c>
      <x:c r="C22" s="22" t="str">
        <x:v>player_id</x:v>
      </x:c>
      <x:c r="D22" s="22" t="str">
        <x:v>epoch,old,new,delta,reason,league movement</x:v>
      </x:c>
      <x:c r="E22" s="22" t="str">
        <x:v>Weekly</x:v>
      </x:c>
      <x:c r="F22" s="22" t="str">
        <x:v>High</x:v>
      </x:c>
      <x:c r="G22" s="22" t="str">
        <x:v>Permanent</x:v>
      </x:c>
      <x:c r="H22" s="22" t="str">
        <x:v>No</x:v>
      </x:c>
      <x:c r="I22" s="22" t="str">
        <x:v>Yes</x:v>
      </x:c>
      <x:c r="J22" s="22" t="str">
        <x:v>epoch+player</x:v>
      </x:c>
      <x:c r="K22" s="22" t="str">
        <x:v>player,epoch</x:v>
      </x:c>
      <x:c r="L22" s="22" t="str">
        <x:v>weekly result</x:v>
      </x:c>
      <x:c r="M22" s="22" t="str">
        <x:v>No</x:v>
      </x:c>
      <x:c r="N22" s="22" t="str">
        <x:v>Yes</x:v>
      </x:c>
      <x:c r="O22" s="22" t="str">
        <x:v>Yes</x:v>
      </x:c>
      <x:c r="P22" s="38" t="str"/>
    </x:row>
    <x:row r="23">
      <x:c r="A23" s="39" t="str">
        <x:v>integrity_cases</x:v>
      </x:c>
      <x:c r="B23" s="40" t="str">
        <x:v>case_id</x:v>
      </x:c>
      <x:c r="C23" s="40" t="str">
        <x:v>player_id</x:v>
      </x:c>
      <x:c r="D23" s="40" t="str">
        <x:v>flags,evidence,status,review,affected_epochs</x:v>
      </x:c>
      <x:c r="E23" s="40" t="str">
        <x:v>Low</x:v>
      </x:c>
      <x:c r="F23" s="40" t="str">
        <x:v>Low/critical</x:v>
      </x:c>
      <x:c r="G23" s="40" t="str">
        <x:v>730d+</x:v>
      </x:c>
      <x:c r="H23" s="40" t="str">
        <x:v>Yes workflow</x:v>
      </x:c>
      <x:c r="I23" s="40" t="str">
        <x:v>Audit log</x:v>
      </x:c>
      <x:c r="J23" s="40" t="str">
        <x:v>case id</x:v>
      </x:c>
      <x:c r="K23" s="40" t="str">
        <x:v>player,status</x:v>
      </x:c>
      <x:c r="L23" s="40" t="str">
        <x:v>results/events</x:v>
      </x:c>
      <x:c r="M23" s="40" t="str">
        <x:v>Potential</x:v>
      </x:c>
      <x:c r="N23" s="40" t="str">
        <x:v>Critical</x:v>
      </x:c>
      <x:c r="O23" s="40" t="str">
        <x:v>Yes</x:v>
      </x:c>
      <x:c r="P23" s="41" t="str"/>
    </x:row>
    <x:row r="24">
      <x:c r="A24" s="92" t="str">
        <x:v>module_config</x:v>
      </x:c>
      <x:c r="B24" s="93" t="str">
        <x:v>module_id+config_version</x:v>
      </x:c>
      <x:c r="C24" s="93" t="str">
        <x:v>module_id</x:v>
      </x:c>
      <x:c r="D24" s="93" t="str">
        <x:v>display_name,rarity,category,families,effects,conditions,stacking_group,gates,active,effective_at</x:v>
      </x:c>
      <x:c r="E24" s="93" t="str">
        <x:v>Very low</x:v>
      </x:c>
      <x:c r="F24" s="93" t="str">
        <x:v>High/cache</x:v>
      </x:c>
      <x:c r="G24" s="93" t="str">
        <x:v>Permanent</x:v>
      </x:c>
      <x:c r="H24" s="93" t="str">
        <x:v>No version rows</x:v>
      </x:c>
      <x:c r="I24" s="93" t="str">
        <x:v>Yes immutable versions</x:v>
      </x:c>
      <x:c r="J24" s="93" t="str">
        <x:v>module_id+version</x:v>
      </x:c>
      <x:c r="K24" s="93" t="str">
        <x:v>module_id,active,effective_at</x:v>
      </x:c>
      <x:c r="L24" s="93" t="str">
        <x:v>building families/config</x:v>
      </x:c>
      <x:c r="M24" s="93" t="str">
        <x:v>No</x:v>
      </x:c>
      <x:c r="N24" s="93" t="str">
        <x:v>High lineage</x:v>
      </x:c>
      <x:c r="O24" s="93" t="str">
        <x:v>Yes</x:v>
      </x:c>
      <x:c r="P24" s="94" t="str">
        <x:v>Approved immutable content; no arbitrary executable expressions</x:v>
      </x:c>
    </x:row>
    <x:row r="25">
      <x:c r="A25" s="95" t="str">
        <x:v>player_module_inventory</x:v>
      </x:c>
      <x:c r="B25" s="96" t="str">
        <x:v>player_id+module_id</x:v>
      </x:c>
      <x:c r="C25" s="96" t="str">
        <x:v>player_id</x:v>
      </x:c>
      <x:c r="D25" s="96" t="str">
        <x:v>quantity_owned,quantity_equipped,row_version,first/last_acquired</x:v>
      </x:c>
      <x:c r="E25" s="96" t="str">
        <x:v>Medium</x:v>
      </x:c>
      <x:c r="F25" s="96" t="str">
        <x:v>High</x:v>
      </x:c>
      <x:c r="G25" s="96" t="str">
        <x:v>Permanent</x:v>
      </x:c>
      <x:c r="H25" s="96" t="str">
        <x:v>Yes</x:v>
      </x:c>
      <x:c r="I25" s="96" t="str">
        <x:v>No; acquisition audit separate</x:v>
      </x:c>
      <x:c r="J25" s="96" t="str">
        <x:v>player+module</x:v>
      </x:c>
      <x:c r="K25" s="96" t="str">
        <x:v>player,module</x:v>
      </x:c>
      <x:c r="L25" s="96" t="str">
        <x:v>player,module_config</x:v>
      </x:c>
      <x:c r="M25" s="96" t="str">
        <x:v>No</x:v>
      </x:c>
      <x:c r="N25" s="96" t="str">
        <x:v>High lineage</x:v>
      </x:c>
      <x:c r="O25" s="96" t="str">
        <x:v>Yes</x:v>
      </x:c>
      <x:c r="P25" s="97" t="str">
        <x:v>Invariant owned&gt;=equipped&gt;=0</x:v>
      </x:c>
    </x:row>
    <x:row r="26">
      <x:c r="A26" s="95" t="str">
        <x:v>building_module_loadout</x:v>
      </x:c>
      <x:c r="B26" s="96" t="str">
        <x:v>building_id+slot_index</x:v>
      </x:c>
      <x:c r="C26" s="96" t="str">
        <x:v>player_id</x:v>
      </x:c>
      <x:c r="D26" s="96" t="str">
        <x:v>module_id,effective_at,loadout_version,config_version</x:v>
      </x:c>
      <x:c r="E26" s="96" t="str">
        <x:v>Medium</x:v>
      </x:c>
      <x:c r="F26" s="96" t="str">
        <x:v>High</x:v>
      </x:c>
      <x:c r="G26" s="96" t="str">
        <x:v>Building lifetime + audit</x:v>
      </x:c>
      <x:c r="H26" s="96" t="str">
        <x:v>Yes</x:v>
      </x:c>
      <x:c r="I26" s="96" t="str">
        <x:v>Audit separate</x:v>
      </x:c>
      <x:c r="J26" s="96" t="str">
        <x:v>building+slot</x:v>
      </x:c>
      <x:c r="K26" s="96" t="str">
        <x:v>building,module</x:v>
      </x:c>
      <x:c r="L26" s="96" t="str">
        <x:v>building,inventory,module_config</x:v>
      </x:c>
      <x:c r="M26" s="96" t="str">
        <x:v>No</x:v>
      </x:c>
      <x:c r="N26" s="96" t="str">
        <x:v>High lineage</x:v>
      </x:c>
      <x:c r="O26" s="96" t="str">
        <x:v>Yes</x:v>
      </x:c>
      <x:c r="P26" s="97" t="str">
        <x:v>Exact same Module ID blocked twice/building</x:v>
      </x:c>
    </x:row>
    <x:row r="27">
      <x:c r="A27" s="95" t="str">
        <x:v>module_loadout_audit</x:v>
      </x:c>
      <x:c r="B27" s="96" t="str">
        <x:v>event_id</x:v>
      </x:c>
      <x:c r="C27" s="96" t="str">
        <x:v>player_id</x:v>
      </x:c>
      <x:c r="D27" s="96" t="str">
        <x:v>building,slot,old/new module,effective_at,loadout_version,reason</x:v>
      </x:c>
      <x:c r="E27" s="96" t="str">
        <x:v>Medium</x:v>
      </x:c>
      <x:c r="F27" s="96" t="str">
        <x:v>Batch/Low</x:v>
      </x:c>
      <x:c r="G27" s="96" t="str">
        <x:v>730d+</x:v>
      </x:c>
      <x:c r="H27" s="96" t="str">
        <x:v>No</x:v>
      </x:c>
      <x:c r="I27" s="96" t="str">
        <x:v>Yes</x:v>
      </x:c>
      <x:c r="J27" s="96" t="str">
        <x:v>request/source_event</x:v>
      </x:c>
      <x:c r="K27" s="96" t="str">
        <x:v>building,time,player</x:v>
      </x:c>
      <x:c r="L27" s="96" t="str">
        <x:v>loadout/inventory</x:v>
      </x:c>
      <x:c r="M27" s="96" t="str">
        <x:v>No</x:v>
      </x:c>
      <x:c r="N27" s="96" t="str">
        <x:v>High lineage</x:v>
      </x:c>
      <x:c r="O27" s="96" t="str">
        <x:v>Yes</x:v>
      </x:c>
      <x:c r="P27" s="97" t="str">
        <x:v>Replay loadout</x:v>
      </x:c>
    </x:row>
    <x:row r="28">
      <x:c r="A28" s="95" t="str">
        <x:v>building_mastery_progress</x:v>
      </x:c>
      <x:c r="B28" s="96" t="str">
        <x:v>player+building_type+tier</x:v>
      </x:c>
      <x:c r="C28" s="96" t="str">
        <x:v>player_id</x:v>
      </x:c>
      <x:c r="D28" s="96" t="str">
        <x:v>objective_config,progress,status,claimed,reward_choice,evidence_cursor</x:v>
      </x:c>
      <x:c r="E28" s="96" t="str">
        <x:v>Medium</x:v>
      </x:c>
      <x:c r="F28" s="96" t="str">
        <x:v>High</x:v>
      </x:c>
      <x:c r="G28" s="96" t="str">
        <x:v>Permanent</x:v>
      </x:c>
      <x:c r="H28" s="96" t="str">
        <x:v>Yes</x:v>
      </x:c>
      <x:c r="I28" s="96" t="str">
        <x:v>Evidence events separate</x:v>
      </x:c>
      <x:c r="J28" s="96" t="str">
        <x:v>player+building+tier</x:v>
      </x:c>
      <x:c r="K28" s="96" t="str">
        <x:v>player,status,building</x:v>
      </x:c>
      <x:c r="L28" s="96" t="str">
        <x:v>player/building/reward</x:v>
      </x:c>
      <x:c r="M28" s="96" t="str">
        <x:v>No</x:v>
      </x:c>
      <x:c r="N28" s="96" t="str">
        <x:v>No direct</x:v>
      </x:c>
      <x:c r="O28" s="96" t="str">
        <x:v>P1</x:v>
      </x:c>
      <x:c r="P28" s="97" t="str">
        <x:v>Deterministic Module path</x:v>
      </x:c>
    </x:row>
    <x:row r="29">
      <x:c r="A29" s="95" t="str">
        <x:v>module_reward_ledger</x:v>
      </x:c>
      <x:c r="B29" s="96" t="str">
        <x:v>reward_id</x:v>
      </x:c>
      <x:c r="C29" s="96" t="str">
        <x:v>player_id</x:v>
      </x:c>
      <x:c r="D29" s="96" t="str">
        <x:v>module_id,qty,rarity,source,source_event,config_version,status</x:v>
      </x:c>
      <x:c r="E29" s="96" t="str">
        <x:v>Medium</x:v>
      </x:c>
      <x:c r="F29" s="96" t="str">
        <x:v>High</x:v>
      </x:c>
      <x:c r="G29" s="96" t="str">
        <x:v>730d+</x:v>
      </x:c>
      <x:c r="H29" s="96" t="str">
        <x:v>No</x:v>
      </x:c>
      <x:c r="I29" s="96" t="str">
        <x:v>Yes</x:v>
      </x:c>
      <x:c r="J29" s="96" t="str">
        <x:v>source_event+reward_type</x:v>
      </x:c>
      <x:c r="K29" s="96" t="str">
        <x:v>player,module,source,time</x:v>
      </x:c>
      <x:c r="L29" s="96" t="str">
        <x:v>inventory/source</x:v>
      </x:c>
      <x:c r="M29" s="96" t="str">
        <x:v>No</x:v>
      </x:c>
      <x:c r="N29" s="96" t="str">
        <x:v>High lineage</x:v>
      </x:c>
      <x:c r="O29" s="96" t="str">
        <x:v>P1</x:v>
      </x:c>
      <x:c r="P29" s="97" t="str">
        <x:v>Exactly-once acquisition</x:v>
      </x:c>
    </x:row>
    <x:row r="30">
      <x:c r="A30" s="95" t="str">
        <x:v>module_parts_balance</x:v>
      </x:c>
      <x:c r="B30" s="96" t="str">
        <x:v>player+rarity</x:v>
      </x:c>
      <x:c r="C30" s="96" t="str">
        <x:v>player_id</x:v>
      </x:c>
      <x:c r="D30" s="96" t="str">
        <x:v>rarity,balance,row_version</x:v>
      </x:c>
      <x:c r="E30" s="96" t="str">
        <x:v>Low/Medium</x:v>
      </x:c>
      <x:c r="F30" s="96" t="str">
        <x:v>Medium</x:v>
      </x:c>
      <x:c r="G30" s="96" t="str">
        <x:v>Permanent</x:v>
      </x:c>
      <x:c r="H30" s="96" t="str">
        <x:v>Yes</x:v>
      </x:c>
      <x:c r="I30" s="96" t="str">
        <x:v>No; ledgered</x:v>
      </x:c>
      <x:c r="J30" s="96" t="str">
        <x:v>player+rarity</x:v>
      </x:c>
      <x:c r="K30" s="96" t="str">
        <x:v>player,rarity</x:v>
      </x:c>
      <x:c r="L30" s="96" t="str">
        <x:v>parts ledger</x:v>
      </x:c>
      <x:c r="M30" s="96" t="str">
        <x:v>No</x:v>
      </x:c>
      <x:c r="N30" s="96" t="str">
        <x:v>No direct</x:v>
      </x:c>
      <x:c r="O30" s="96" t="str">
        <x:v>P2</x:v>
      </x:c>
      <x:c r="P30" s="97" t="str">
        <x:v>Same-tier Parts only</x:v>
      </x:c>
    </x:row>
    <x:row r="31">
      <x:c r="A31" s="95" t="str">
        <x:v>module_parts_ledger</x:v>
      </x:c>
      <x:c r="B31" s="96" t="str">
        <x:v>entry_id</x:v>
      </x:c>
      <x:c r="C31" s="96" t="str">
        <x:v>player_id</x:v>
      </x:c>
      <x:c r="D31" s="96" t="str">
        <x:v>rarity,delta,module_id,source,source_event,config_version</x:v>
      </x:c>
      <x:c r="E31" s="96" t="str">
        <x:v>Low/Medium</x:v>
      </x:c>
      <x:c r="F31" s="96" t="str">
        <x:v>Batch</x:v>
      </x:c>
      <x:c r="G31" s="96" t="str">
        <x:v>730d+</x:v>
      </x:c>
      <x:c r="H31" s="96" t="str">
        <x:v>No</x:v>
      </x:c>
      <x:c r="I31" s="96" t="str">
        <x:v>Yes</x:v>
      </x:c>
      <x:c r="J31" s="96" t="str">
        <x:v>source_event+entry_type</x:v>
      </x:c>
      <x:c r="K31" s="96" t="str">
        <x:v>player,rarity,time</x:v>
      </x:c>
      <x:c r="L31" s="96" t="str">
        <x:v>inventory/craft</x:v>
      </x:c>
      <x:c r="M31" s="96" t="str">
        <x:v>No</x:v>
      </x:c>
      <x:c r="N31" s="96" t="str">
        <x:v>No direct</x:v>
      </x:c>
      <x:c r="O31" s="96" t="str">
        <x:v>P2</x:v>
      </x:c>
      <x:c r="P31" s="97" t="str">
        <x:v>Rebuild balance exactly</x:v>
      </x:c>
    </x:row>
    <x:row r="32">
      <x:c r="A32" s="95" t="str">
        <x:v>module_craft_jobs</x:v>
      </x:c>
      <x:c r="B32" s="96" t="str">
        <x:v>craft_job_id</x:v>
      </x:c>
      <x:c r="C32" s="96" t="str">
        <x:v>player_id</x:v>
      </x:c>
      <x:c r="D32" s="96" t="str">
        <x:v>module_id,rarity,state,start_at,complete_at,cancel_at,recipe_version,queue_pos</x:v>
      </x:c>
      <x:c r="E32" s="96" t="str">
        <x:v>Low</x:v>
      </x:c>
      <x:c r="F32" s="96" t="str">
        <x:v>Medium</x:v>
      </x:c>
      <x:c r="G32" s="96" t="str">
        <x:v>365d+</x:v>
      </x:c>
      <x:c r="H32" s="96" t="str">
        <x:v>Yes state</x:v>
      </x:c>
      <x:c r="I32" s="96" t="str">
        <x:v>State audit</x:v>
      </x:c>
      <x:c r="J32" s="96" t="str">
        <x:v>player+idempotency key</x:v>
      </x:c>
      <x:c r="K32" s="96" t="str">
        <x:v>player,state,complete_at</x:v>
      </x:c>
      <x:c r="L32" s="96" t="str">
        <x:v>parts,inventory,config</x:v>
      </x:c>
      <x:c r="M32" s="96" t="str">
        <x:v>No</x:v>
      </x:c>
      <x:c r="N32" s="96" t="str">
        <x:v>No direct</x:v>
      </x:c>
      <x:c r="O32" s="96" t="str">
        <x:v>P2</x:v>
      </x:c>
      <x:c r="P32" s="97" t="str">
        <x:v>2 active + 3 queued; server UTC</x:v>
      </x:c>
    </x:row>
    <x:row r="33">
      <x:c r="A33" s="98" t="str">
        <x:v>module_effect_trace</x:v>
      </x:c>
      <x:c r="B33" s="99" t="str">
        <x:v>trace_id</x:v>
      </x:c>
      <x:c r="C33" s="99" t="str">
        <x:v>player/building</x:v>
      </x:c>
      <x:c r="D33" s="99" t="str">
        <x:v>tick/bucket,loadout_version,module_config_versions,conditions,raw/effective effects,caps,context_hash</x:v>
      </x:c>
      <x:c r="E33" s="99" t="str">
        <x:v>High if full; sample/compact MVP</x:v>
      </x:c>
      <x:c r="F33" s="99" t="str">
        <x:v>Debug/replay</x:v>
      </x:c>
      <x:c r="G33" s="99" t="str">
        <x:v>90–365d depending mode</x:v>
      </x:c>
      <x:c r="H33" s="99" t="str">
        <x:v>No</x:v>
      </x:c>
      <x:c r="I33" s="99" t="str">
        <x:v>Optional append diagnostic</x:v>
      </x:c>
      <x:c r="J33" s="99" t="str">
        <x:v>trace id</x:v>
      </x:c>
      <x:c r="K33" s="99" t="str">
        <x:v>building,tick,loadout</x:v>
      </x:c>
      <x:c r="L33" s="99" t="str">
        <x:v>economy/customer/risk</x:v>
      </x:c>
      <x:c r="M33" s="99" t="str">
        <x:v>No</x:v>
      </x:c>
      <x:c r="N33" s="99" t="str">
        <x:v>Replay support</x:v>
      </x:c>
      <x:c r="O33" s="99" t="str">
        <x:v>Optional</x:v>
      </x:c>
      <x:c r="P33" s="100" t="str">
        <x:v>May store compact lineage refs instead of every full trace at scale</x:v>
      </x:c>
    </x:row>
  </x:sheetData>
  <x:mergeCells>
    <x:mergeCell ref="A1:P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Ledger, Domain Events &amp; Replay Strategy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  <x:c r="Q1" s="22"/>
    </x:row>
    <x:row r="3">
      <x:c r="A3" s="14" t="str">
        <x:v>Domain Event</x:v>
      </x:c>
      <x:c r="B3" s="14" t="str">
        <x:v>Producer</x:v>
      </x:c>
      <x:c r="C3" s="14" t="str">
        <x:v>Consumers</x:v>
      </x:c>
      <x:c r="D3" s="14" t="str">
        <x:v>Durable?</x:v>
      </x:c>
      <x:c r="E3" s="14" t="str">
        <x:v>Ordering Scope</x:v>
      </x:c>
      <x:c r="F3" s="14" t="str">
        <x:v>Idempotency Key</x:v>
      </x:c>
      <x:c r="G3" s="14" t="str">
        <x:v>Payload Minimum</x:v>
      </x:c>
      <x:c r="H3" s="14" t="str">
        <x:v>Can Replay?</x:v>
      </x:c>
      <x:c r="I3" s="14" t="str">
        <x:v>Settlement Critical?</x:v>
      </x:c>
      <x:c r="J3" s="14" t="str">
        <x:v>Retention</x:v>
      </x:c>
      <x:c r="K3" s="14" t="str">
        <x:v>Dead-Letter?</x:v>
      </x:c>
      <x:c r="L3" s="14" t="str">
        <x:v>Versioned Schema?</x:v>
      </x:c>
      <x:c r="M3" s="14" t="str">
        <x:v>Exactly-Once Needed?</x:v>
      </x:c>
      <x:c r="N3" s="14" t="str">
        <x:v>Failure Strategy</x:v>
      </x:c>
      <x:c r="O3" s="14" t="str">
        <x:v>Notes</x:v>
      </x:c>
    </x:row>
    <x:row r="4">
      <x:c r="A4" s="34" t="str">
        <x:v>identity.updated</x:v>
      </x:c>
      <x:c r="B4" s="35" t="str">
        <x:v>Identity</x:v>
      </x:c>
      <x:c r="C4" s="35" t="str">
        <x:v>Plot, Reward, Audit</x:v>
      </x:c>
      <x:c r="D4" s="35" t="str">
        <x:v>Yes</x:v>
      </x:c>
      <x:c r="E4" s="35" t="str">
        <x:v>player</x:v>
      </x:c>
      <x:c r="F4" s="35" t="str">
        <x:v>identity_event_id</x:v>
      </x:c>
      <x:c r="G4" s="35" t="str">
        <x:v>player_id,wallet/version</x:v>
      </x:c>
      <x:c r="H4" s="35" t="str">
        <x:v>Yes</x:v>
      </x:c>
      <x:c r="I4" s="35" t="str">
        <x:v>Yes</x:v>
      </x:c>
      <x:c r="J4" s="35" t="str">
        <x:v>730d+</x:v>
      </x:c>
      <x:c r="K4" s="35" t="str">
        <x:v>Yes</x:v>
      </x:c>
      <x:c r="L4" s="35" t="str">
        <x:v>Yes</x:v>
      </x:c>
      <x:c r="M4" s="35" t="str">
        <x:v>Effectively-once</x:v>
      </x:c>
      <x:c r="N4" s="35" t="str">
        <x:v>Pause mutations on conflict</x:v>
      </x:c>
      <x:c r="O4" s="36" t="str"/>
    </x:row>
    <x:row r="5">
      <x:c r="A5" s="37" t="str">
        <x:v>plot.ownership_changed</x:v>
      </x:c>
      <x:c r="B5" s="22" t="str">
        <x:v>Plot sync</x:v>
      </x:c>
      <x:c r="C5" s="22" t="str">
        <x:v>Plot, Layout, Reward</x:v>
      </x:c>
      <x:c r="D5" s="22" t="str">
        <x:v>Yes</x:v>
      </x:c>
      <x:c r="E5" s="22" t="str">
        <x:v>plot_token_id</x:v>
      </x:c>
      <x:c r="F5" s="22" t="str">
        <x:v>chain_event_id</x:v>
      </x:c>
      <x:c r="G5" s="22" t="str">
        <x:v>plot,old_owner,new_owner,block</x:v>
      </x:c>
      <x:c r="H5" s="22" t="str">
        <x:v>Yes</x:v>
      </x:c>
      <x:c r="I5" s="22" t="str">
        <x:v>Critical</x:v>
      </x:c>
      <x:c r="J5" s="22" t="str">
        <x:v>Permanent</x:v>
      </x:c>
      <x:c r="K5" s="22" t="str">
        <x:v>Yes</x:v>
      </x:c>
      <x:c r="L5" s="22" t="str">
        <x:v>Yes</x:v>
      </x:c>
      <x:c r="M5" s="22" t="str">
        <x:v>Effectively-once</x:v>
      </x:c>
      <x:c r="N5" s="22" t="str">
        <x:v>Replay chain event</x:v>
      </x:c>
      <x:c r="O5" s="38" t="str"/>
    </x:row>
    <x:row r="6">
      <x:c r="A6" s="37" t="str">
        <x:v>plot.activated</x:v>
      </x:c>
      <x:c r="B6" s="22" t="str">
        <x:v>Plot</x:v>
      </x:c>
      <x:c r="C6" s="22" t="str">
        <x:v>Layout, Economy, Analytics</x:v>
      </x:c>
      <x:c r="D6" s="22" t="str">
        <x:v>Yes</x:v>
      </x:c>
      <x:c r="E6" s="22" t="str">
        <x:v>player</x:v>
      </x:c>
      <x:c r="F6" s="22" t="str">
        <x:v>activation_id</x:v>
      </x:c>
      <x:c r="G6" s="22" t="str">
        <x:v>plot,player,state</x:v>
      </x:c>
      <x:c r="H6" s="22" t="str">
        <x:v>Yes</x:v>
      </x:c>
      <x:c r="I6" s="22" t="str">
        <x:v>Yes</x:v>
      </x:c>
      <x:c r="J6" s="22" t="str">
        <x:v>730d+</x:v>
      </x:c>
      <x:c r="K6" s="22" t="str">
        <x:v>Yes</x:v>
      </x:c>
      <x:c r="L6" s="22" t="str">
        <x:v>Yes</x:v>
      </x:c>
      <x:c r="M6" s="22" t="str">
        <x:v>Effectively-once</x:v>
      </x:c>
      <x:c r="N6" s="22" t="str">
        <x:v>Rollback on atomic failure</x:v>
      </x:c>
      <x:c r="O6" s="38" t="str"/>
    </x:row>
    <x:row r="7">
      <x:c r="A7" s="37" t="str">
        <x:v>layout.updated</x:v>
      </x:c>
      <x:c r="B7" s="22" t="str">
        <x:v>Layout</x:v>
      </x:c>
      <x:c r="C7" s="22" t="str">
        <x:v>Economy, Risk, Analytics</x:v>
      </x:c>
      <x:c r="D7" s="22" t="str">
        <x:v>Yes</x:v>
      </x:c>
      <x:c r="E7" s="22" t="str">
        <x:v>player</x:v>
      </x:c>
      <x:c r="F7" s="22" t="str">
        <x:v>layout_version</x:v>
      </x:c>
      <x:c r="G7" s="22" t="str">
        <x:v>changed_buildings,version</x:v>
      </x:c>
      <x:c r="H7" s="22" t="str">
        <x:v>Yes</x:v>
      </x:c>
      <x:c r="I7" s="22" t="str">
        <x:v>Yes</x:v>
      </x:c>
      <x:c r="J7" s="22" t="str">
        <x:v>365d+</x:v>
      </x:c>
      <x:c r="K7" s="22" t="str">
        <x:v>Yes</x:v>
      </x:c>
      <x:c r="L7" s="22" t="str">
        <x:v>Yes</x:v>
      </x:c>
      <x:c r="M7" s="22" t="str">
        <x:v>At-least-once + idempotent consumer</x:v>
      </x:c>
      <x:c r="N7" s="22" t="str">
        <x:v>Recompute derived layout</x:v>
      </x:c>
      <x:c r="O7" s="38" t="str"/>
    </x:row>
    <x:row r="8">
      <x:c r="A8" s="37" t="str">
        <x:v>economy.tick_posted</x:v>
      </x:c>
      <x:c r="B8" s="22" t="str">
        <x:v>Economy</x:v>
      </x:c>
      <x:c r="C8" s="22" t="str">
        <x:v>Performance, Analytics</x:v>
      </x:c>
      <x:c r="D8" s="22" t="str">
        <x:v>Yes</x:v>
      </x:c>
      <x:c r="E8" s="22" t="str">
        <x:v>player+tick</x:v>
      </x:c>
      <x:c r="F8" s="22" t="str">
        <x:v>tick_id</x:v>
      </x:c>
      <x:c r="G8" s="22" t="str">
        <x:v>cash/activity deltas,config</x:v>
      </x:c>
      <x:c r="H8" s="22" t="str">
        <x:v>Yes</x:v>
      </x:c>
      <x:c r="I8" s="22" t="str">
        <x:v>Critical</x:v>
      </x:c>
      <x:c r="J8" s="22" t="str">
        <x:v>730d+</x:v>
      </x:c>
      <x:c r="K8" s="22" t="str">
        <x:v>Yes</x:v>
      </x:c>
      <x:c r="L8" s="22" t="str">
        <x:v>Yes</x:v>
      </x:c>
      <x:c r="M8" s="22" t="str">
        <x:v>Exactly-once effect</x:v>
      </x:c>
      <x:c r="N8" s="22" t="str">
        <x:v>Ledger source is truth</x:v>
      </x:c>
      <x:c r="O8" s="38" t="str"/>
    </x:row>
    <x:row r="9">
      <x:c r="A9" s="37" t="str">
        <x:v>customer.updated</x:v>
      </x:c>
      <x:c r="B9" s="22" t="str">
        <x:v>Customer</x:v>
      </x:c>
      <x:c r="C9" s="22" t="str">
        <x:v>Economy, Risk, Performance</x:v>
      </x:c>
      <x:c r="D9" s="22" t="str">
        <x:v>Yes</x:v>
      </x:c>
      <x:c r="E9" s="22" t="str">
        <x:v>player+bucket</x:v>
      </x:c>
      <x:c r="F9" s="22" t="str">
        <x:v>customer_tick_id</x:v>
      </x:c>
      <x:c r="G9" s="22" t="str">
        <x:v>segment deltas,snapshot_version</x:v>
      </x:c>
      <x:c r="H9" s="22" t="str">
        <x:v>Yes</x:v>
      </x:c>
      <x:c r="I9" s="22" t="str">
        <x:v>Critical</x:v>
      </x:c>
      <x:c r="J9" s="22" t="str">
        <x:v>365d+</x:v>
      </x:c>
      <x:c r="K9" s="22" t="str">
        <x:v>Yes</x:v>
      </x:c>
      <x:c r="L9" s="22" t="str">
        <x:v>Yes</x:v>
      </x:c>
      <x:c r="M9" s="22" t="str">
        <x:v>At-least-once + dedupe</x:v>
      </x:c>
      <x:c r="N9" s="22" t="str">
        <x:v>Rebuild snapshot</x:v>
      </x:c>
      <x:c r="O9" s="38" t="str"/>
    </x:row>
    <x:row r="10">
      <x:c r="A10" s="37" t="str">
        <x:v>risk.updated</x:v>
      </x:c>
      <x:c r="B10" s="22" t="str">
        <x:v>Risk</x:v>
      </x:c>
      <x:c r="C10" s="22" t="str">
        <x:v>Customer, Performance, Events</x:v>
      </x:c>
      <x:c r="D10" s="22" t="str">
        <x:v>Yes</x:v>
      </x:c>
      <x:c r="E10" s="22" t="str">
        <x:v>player+bucket</x:v>
      </x:c>
      <x:c r="F10" s="22" t="str">
        <x:v>risk_tick_id</x:v>
      </x:c>
      <x:c r="G10" s="22" t="str">
        <x:v>categories,composite,version</x:v>
      </x:c>
      <x:c r="H10" s="22" t="str">
        <x:v>Yes</x:v>
      </x:c>
      <x:c r="I10" s="22" t="str">
        <x:v>Critical</x:v>
      </x:c>
      <x:c r="J10" s="22" t="str">
        <x:v>365d+</x:v>
      </x:c>
      <x:c r="K10" s="22" t="str">
        <x:v>Yes</x:v>
      </x:c>
      <x:c r="L10" s="22" t="str">
        <x:v>Yes</x:v>
      </x:c>
      <x:c r="M10" s="22" t="str">
        <x:v>At-least-once + dedupe</x:v>
      </x:c>
      <x:c r="N10" s="22" t="str">
        <x:v>Recompute</x:v>
      </x:c>
      <x:c r="O10" s="38" t="str"/>
    </x:row>
    <x:row r="11">
      <x:c r="A11" s="37" t="str">
        <x:v>reputation.changed</x:v>
      </x:c>
      <x:c r="B11" s="22" t="str">
        <x:v>Risk/Player</x:v>
      </x:c>
      <x:c r="C11" s="22" t="str">
        <x:v>Customer, Performance, Plot gates</x:v>
      </x:c>
      <x:c r="D11" s="22" t="str">
        <x:v>Yes</x:v>
      </x:c>
      <x:c r="E11" s="22" t="str">
        <x:v>player</x:v>
      </x:c>
      <x:c r="F11" s="22" t="str">
        <x:v>rep_event_id</x:v>
      </x:c>
      <x:c r="G11" s="22" t="str">
        <x:v>delta,reason,new_rep</x:v>
      </x:c>
      <x:c r="H11" s="22" t="str">
        <x:v>Yes</x:v>
      </x:c>
      <x:c r="I11" s="22" t="str">
        <x:v>Critical</x:v>
      </x:c>
      <x:c r="J11" s="22" t="str">
        <x:v>730d+</x:v>
      </x:c>
      <x:c r="K11" s="22" t="str">
        <x:v>Yes</x:v>
      </x:c>
      <x:c r="L11" s="22" t="str">
        <x:v>Yes</x:v>
      </x:c>
      <x:c r="M11" s="22" t="str">
        <x:v>Exactly-once effect</x:v>
      </x:c>
      <x:c r="N11" s="22" t="str">
        <x:v>Replay ledger</x:v>
      </x:c>
      <x:c r="O11" s="38" t="str"/>
    </x:row>
    <x:row r="12">
      <x:c r="A12" s="37" t="str">
        <x:v>event.started</x:v>
      </x:c>
      <x:c r="B12" s="22" t="str">
        <x:v>Event</x:v>
      </x:c>
      <x:c r="C12" s="22" t="str">
        <x:v>Economy, Customer, Risk, Hunt</x:v>
      </x:c>
      <x:c r="D12" s="22" t="str">
        <x:v>Yes</x:v>
      </x:c>
      <x:c r="E12" s="22" t="str">
        <x:v>scope/event</x:v>
      </x:c>
      <x:c r="F12" s="22" t="str">
        <x:v>event_id</x:v>
      </x:c>
      <x:c r="G12" s="22" t="str">
        <x:v>type,scope,modifiers,start,end</x:v>
      </x:c>
      <x:c r="H12" s="22" t="str">
        <x:v>Yes</x:v>
      </x:c>
      <x:c r="I12" s="22" t="str">
        <x:v>Yes</x:v>
      </x:c>
      <x:c r="J12" s="22" t="str">
        <x:v>365d+</x:v>
      </x:c>
      <x:c r="K12" s="22" t="str">
        <x:v>Yes</x:v>
      </x:c>
      <x:c r="L12" s="22" t="str">
        <x:v>Yes</x:v>
      </x:c>
      <x:c r="M12" s="22" t="str">
        <x:v>At-least-once</x:v>
      </x:c>
      <x:c r="N12" s="22" t="str">
        <x:v>Consumers use event_id/version</x:v>
      </x:c>
      <x:c r="O12" s="38" t="str"/>
    </x:row>
    <x:row r="13">
      <x:c r="A13" s="37" t="str">
        <x:v>event.resolved</x:v>
      </x:c>
      <x:c r="B13" s="22" t="str">
        <x:v>Event</x:v>
      </x:c>
      <x:c r="C13" s="22" t="str">
        <x:v>Risk, Reward, Performance</x:v>
      </x:c>
      <x:c r="D13" s="22" t="str">
        <x:v>Yes</x:v>
      </x:c>
      <x:c r="E13" s="22" t="str">
        <x:v>player_event</x:v>
      </x:c>
      <x:c r="F13" s="22" t="str">
        <x:v>resolution_id</x:v>
      </x:c>
      <x:c r="G13" s="22" t="str">
        <x:v>choice,outcome,rewards</x:v>
      </x:c>
      <x:c r="H13" s="22" t="str">
        <x:v>Yes</x:v>
      </x:c>
      <x:c r="I13" s="22" t="str">
        <x:v>Yes</x:v>
      </x:c>
      <x:c r="J13" s="22" t="str">
        <x:v>365d+</x:v>
      </x:c>
      <x:c r="K13" s="22" t="str">
        <x:v>Yes</x:v>
      </x:c>
      <x:c r="L13" s="22" t="str">
        <x:v>Yes</x:v>
      </x:c>
      <x:c r="M13" s="22" t="str">
        <x:v>Exactly-once effect</x:v>
      </x:c>
      <x:c r="N13" s="22" t="str">
        <x:v>Replay seeded resolution</x:v>
      </x:c>
      <x:c r="O13" s="38" t="str"/>
    </x:row>
    <x:row r="14">
      <x:c r="A14" s="37" t="str">
        <x:v>hunt.completed</x:v>
      </x:c>
      <x:c r="B14" s="22" t="str">
        <x:v>Hunt</x:v>
      </x:c>
      <x:c r="C14" s="22" t="str">
        <x:v>Reward, Performance</x:v>
      </x:c>
      <x:c r="D14" s="22" t="str">
        <x:v>Yes</x:v>
      </x:c>
      <x:c r="E14" s="22" t="str">
        <x:v>player+hunt</x:v>
      </x:c>
      <x:c r="F14" s="22" t="str">
        <x:v>hunt_completion_id</x:v>
      </x:c>
      <x:c r="G14" s="22" t="str">
        <x:v>hunt,progress snapshot,reward table</x:v>
      </x:c>
      <x:c r="H14" s="22" t="str">
        <x:v>Yes</x:v>
      </x:c>
      <x:c r="I14" s="22" t="str">
        <x:v>Critical</x:v>
      </x:c>
      <x:c r="J14" s="22" t="str">
        <x:v>730d+</x:v>
      </x:c>
      <x:c r="K14" s="22" t="str">
        <x:v>Yes</x:v>
      </x:c>
      <x:c r="L14" s="22" t="str">
        <x:v>Yes</x:v>
      </x:c>
      <x:c r="M14" s="22" t="str">
        <x:v>Exactly-once effect</x:v>
      </x:c>
      <x:c r="N14" s="22" t="str">
        <x:v>Reserve reward idempotently</x:v>
      </x:c>
      <x:c r="O14" s="38" t="str"/>
    </x:row>
    <x:row r="15">
      <x:c r="A15" s="37" t="str">
        <x:v>reward.issued</x:v>
      </x:c>
      <x:c r="B15" s="22" t="str">
        <x:v>Reward</x:v>
      </x:c>
      <x:c r="C15" s="22" t="str">
        <x:v>UI, Analytics, Claim</x:v>
      </x:c>
      <x:c r="D15" s="22" t="str">
        <x:v>Yes</x:v>
      </x:c>
      <x:c r="E15" s="22" t="str">
        <x:v>player+reward</x:v>
      </x:c>
      <x:c r="F15" s="22" t="str">
        <x:v>reward_id</x:v>
      </x:c>
      <x:c r="G15" s="22" t="str">
        <x:v>type,amount,status,source</x:v>
      </x:c>
      <x:c r="H15" s="22" t="str">
        <x:v>Yes</x:v>
      </x:c>
      <x:c r="I15" s="22" t="str">
        <x:v>Critical</x:v>
      </x:c>
      <x:c r="J15" s="22" t="str">
        <x:v>730d+</x:v>
      </x:c>
      <x:c r="K15" s="22" t="str">
        <x:v>Yes</x:v>
      </x:c>
      <x:c r="L15" s="22" t="str">
        <x:v>Yes</x:v>
      </x:c>
      <x:c r="M15" s="22" t="str">
        <x:v>Exactly-once effect</x:v>
      </x:c>
      <x:c r="N15" s="22" t="str">
        <x:v>Ledger prevents duplicates</x:v>
      </x:c>
      <x:c r="O15" s="38" t="str"/>
    </x:row>
    <x:row r="16">
      <x:c r="A16" s="37" t="str">
        <x:v>performance.finalized</x:v>
      </x:c>
      <x:c r="B16" s="22" t="str">
        <x:v>Performance</x:v>
      </x:c>
      <x:c r="C16" s="22" t="str">
        <x:v>Competition, Reward</x:v>
      </x:c>
      <x:c r="D16" s="22" t="str">
        <x:v>Yes</x:v>
      </x:c>
      <x:c r="E16" s="22" t="str">
        <x:v>epoch+player</x:v>
      </x:c>
      <x:c r="F16" s="22" t="str">
        <x:v>finalization_id</x:v>
      </x:c>
      <x:c r="G16" s="22" t="str">
        <x:v>score,components,eligibility</x:v>
      </x:c>
      <x:c r="H16" s="22" t="str">
        <x:v>Yes</x:v>
      </x:c>
      <x:c r="I16" s="22" t="str">
        <x:v>Critical</x:v>
      </x:c>
      <x:c r="J16" s="22" t="str">
        <x:v>Permanent</x:v>
      </x:c>
      <x:c r="K16" s="22" t="str">
        <x:v>Yes</x:v>
      </x:c>
      <x:c r="L16" s="22" t="str">
        <x:v>Yes</x:v>
      </x:c>
      <x:c r="M16" s="22" t="str">
        <x:v>Exactly-once effect</x:v>
      </x:c>
      <x:c r="N16" s="22" t="str">
        <x:v>Immutable final record</x:v>
      </x:c>
      <x:c r="O16" s="38" t="str"/>
    </x:row>
    <x:row r="17">
      <x:c r="A17" s="39" t="str">
        <x:v>league.updated</x:v>
      </x:c>
      <x:c r="B17" s="40" t="str">
        <x:v>Competition</x:v>
      </x:c>
      <x:c r="C17" s="40" t="str">
        <x:v>UI, Analytics</x:v>
      </x:c>
      <x:c r="D17" s="40" t="str">
        <x:v>Yes</x:v>
      </x:c>
      <x:c r="E17" s="40" t="str">
        <x:v>player+epoch</x:v>
      </x:c>
      <x:c r="F17" s="40" t="str">
        <x:v>rating_event_id</x:v>
      </x:c>
      <x:c r="G17" s="40" t="str">
        <x:v>old/new rating,league</x:v>
      </x:c>
      <x:c r="H17" s="40" t="str">
        <x:v>Yes</x:v>
      </x:c>
      <x:c r="I17" s="40" t="str">
        <x:v>Yes</x:v>
      </x:c>
      <x:c r="J17" s="40" t="str">
        <x:v>Permanent</x:v>
      </x:c>
      <x:c r="K17" s="40" t="str">
        <x:v>Yes</x:v>
      </x:c>
      <x:c r="L17" s="40" t="str">
        <x:v>Yes</x:v>
      </x:c>
      <x:c r="M17" s="40" t="str">
        <x:v>Exactly-once effect</x:v>
      </x:c>
      <x:c r="N17" s="40" t="str">
        <x:v>Replay rating ledger</x:v>
      </x:c>
      <x:c r="O17" s="41" t="str"/>
    </x:row>
    <x:row r="19" ht="22" customHeight="1">
      <x:c r="A19" s="31" t="str">
        <x:v>Replay Strategy</x:v>
      </x:c>
      <x:c r="B19" s="31"/>
      <x:c r="C19" s="31"/>
      <x:c r="D19" s="31"/>
      <x:c r="E19" s="31"/>
      <x:c r="F19" s="31"/>
      <x:c r="G19" s="31"/>
      <x:c r="H19" s="31"/>
      <x:c r="I19" s="31"/>
      <x:c r="J19" s="31"/>
      <x:c r="K19" s="31"/>
      <x:c r="L19" s="31"/>
      <x:c r="M19" s="31"/>
      <x:c r="N19" s="31"/>
      <x:c r="O19" s="31"/>
    </x:row>
    <x:row r="20">
      <x:c r="A20" s="14" t="str">
        <x:v>State</x:v>
      </x:c>
      <x:c r="B20" s="14" t="str">
        <x:v>Primary Replay Source</x:v>
      </x:c>
      <x:c r="C20" s="14" t="str">
        <x:v>Checkpoint Use</x:v>
      </x:c>
      <x:c r="D20" s="14" t="str">
        <x:v>Expected Recovery</x:v>
      </x:c>
    </x:row>
    <x:row r="21">
      <x:c r="A21" s="34" t="str">
        <x:v>Cash balance</x:v>
      </x:c>
      <x:c r="B21" s="35" t="str">
        <x:v>cash_ledger</x:v>
      </x:c>
      <x:c r="C21" s="35" t="str">
        <x:v>Periodic balance checkpoint</x:v>
      </x:c>
      <x:c r="D21" s="36" t="str">
        <x:v>Replay entries after checkpoint</x:v>
      </x:c>
    </x:row>
    <x:row r="22">
      <x:c r="A22" s="37" t="str">
        <x:v>Weekly revenue/activity</x:v>
      </x:c>
      <x:c r="B22" s="22" t="str">
        <x:v>economy/activity ledgers</x:v>
      </x:c>
      <x:c r="C22" s="22" t="str">
        <x:v>Hourly/daily aggregates</x:v>
      </x:c>
      <x:c r="D22" s="38" t="str">
        <x:v>Recompute epoch window</x:v>
      </x:c>
    </x:row>
    <x:row r="23">
      <x:c r="A23" s="37" t="str">
        <x:v>Customer state</x:v>
      </x:c>
      <x:c r="B23" s="22" t="str">
        <x:v>customer_deltas</x:v>
      </x:c>
      <x:c r="C23" s="22" t="str">
        <x:v>15-min snapshots</x:v>
      </x:c>
      <x:c r="D23" s="38" t="str">
        <x:v>Replay deltas after last valid snapshot</x:v>
      </x:c>
    </x:row>
    <x:row r="24">
      <x:c r="A24" s="37" t="str">
        <x:v>Reputation</x:v>
      </x:c>
      <x:c r="B24" s="22" t="str">
        <x:v>reputation_ledger</x:v>
      </x:c>
      <x:c r="C24" s="22" t="str">
        <x:v>Daily checkpoint</x:v>
      </x:c>
      <x:c r="D24" s="38" t="str">
        <x:v>Replay authorized events</x:v>
      </x:c>
    </x:row>
    <x:row r="25">
      <x:c r="A25" s="37" t="str">
        <x:v>Risk</x:v>
      </x:c>
      <x:c r="B25" s="22" t="str">
        <x:v>risk driver events + snapshots</x:v>
      </x:c>
      <x:c r="C25" s="22" t="str">
        <x:v>15-min snapshots</x:v>
      </x:c>
      <x:c r="D25" s="38" t="str">
        <x:v>Re-evaluate from drivers/layout/events</x:v>
      </x:c>
    </x:row>
    <x:row r="26">
      <x:c r="A26" s="37" t="str">
        <x:v>Layout derived state</x:v>
      </x:c>
      <x:c r="B26" s="22" t="str">
        <x:v>layout version + building placements</x:v>
      </x:c>
      <x:c r="C26" s="22" t="str">
        <x:v>Latest layout snapshot</x:v>
      </x:c>
      <x:c r="D26" s="38" t="str">
        <x:v>Recompute synergies/congestion/districts</x:v>
      </x:c>
    </x:row>
    <x:row r="27">
      <x:c r="A27" s="39" t="str">
        <x:v>Performance settlement</x:v>
      </x:c>
      <x:c r="B27" s="40" t="str">
        <x:v>frozen snapshot manifest</x:v>
      </x:c>
      <x:c r="C27" s="40" t="str">
        <x:v>No mutable checkpoint after final</x:v>
      </x:c>
      <x:c r="D27" s="41" t="str">
        <x:v>Full deterministic recompute before finalization</x:v>
      </x:c>
    </x:row>
    <x:row r="29" ht="22" customHeight="1">
      <x:c r="A29" s="102" t="str">
        <x:v>Module Domain Events</x:v>
      </x:c>
      <x:c r="B29" s="102"/>
      <x:c r="C29" s="102"/>
      <x:c r="D29" s="102"/>
      <x:c r="E29" s="102"/>
      <x:c r="F29" s="102"/>
      <x:c r="G29" s="102"/>
      <x:c r="H29" s="102"/>
      <x:c r="I29" s="102"/>
      <x:c r="J29" s="102"/>
      <x:c r="K29" s="102"/>
      <x:c r="L29" s="102"/>
      <x:c r="M29" s="102"/>
      <x:c r="N29" s="102"/>
      <x:c r="O29" s="102"/>
    </x:row>
    <x:row r="30">
      <x:c r="A30" s="105" t="str">
        <x:v>Domain Event</x:v>
      </x:c>
      <x:c r="B30" s="105" t="str">
        <x:v>Producer</x:v>
      </x:c>
      <x:c r="C30" s="105" t="str">
        <x:v>Consumers</x:v>
      </x:c>
      <x:c r="D30" s="105" t="str">
        <x:v>Durable?</x:v>
      </x:c>
      <x:c r="E30" s="105" t="str">
        <x:v>Ordering Scope</x:v>
      </x:c>
      <x:c r="F30" s="105" t="str">
        <x:v>Idempotency Key</x:v>
      </x:c>
      <x:c r="G30" s="105" t="str">
        <x:v>Payload Minimum</x:v>
      </x:c>
      <x:c r="H30" s="105" t="str">
        <x:v>Can Replay?</x:v>
      </x:c>
      <x:c r="I30" s="105" t="str">
        <x:v>Settlement Critical?</x:v>
      </x:c>
      <x:c r="J30" s="105" t="str">
        <x:v>Retention</x:v>
      </x:c>
      <x:c r="K30" s="105" t="str">
        <x:v>Dead-Letter?</x:v>
      </x:c>
      <x:c r="L30" s="105" t="str">
        <x:v>Versioned Schema?</x:v>
      </x:c>
      <x:c r="M30" s="105" t="str">
        <x:v>Exactly-Once Needed?</x:v>
      </x:c>
      <x:c r="N30" s="105" t="str">
        <x:v>Failure Strategy</x:v>
      </x:c>
      <x:c r="O30" s="105" t="str">
        <x:v>Notes</x:v>
      </x:c>
    </x:row>
    <x:row r="31">
      <x:c r="A31" s="92" t="str">
        <x:v>module.acquired</x:v>
      </x:c>
      <x:c r="B31" s="93" t="str">
        <x:v>Module/Reward</x:v>
      </x:c>
      <x:c r="C31" s="93" t="str">
        <x:v>Inventory, UI, Analytics</x:v>
      </x:c>
      <x:c r="D31" s="93" t="str">
        <x:v>Yes</x:v>
      </x:c>
      <x:c r="E31" s="93" t="str">
        <x:v>player</x:v>
      </x:c>
      <x:c r="F31" s="93" t="str">
        <x:v>reward/source_event_id</x:v>
      </x:c>
      <x:c r="G31" s="93" t="str">
        <x:v>player,module,qty,source,config_version</x:v>
      </x:c>
      <x:c r="H31" s="93" t="str">
        <x:v>Yes</x:v>
      </x:c>
      <x:c r="I31" s="93" t="str">
        <x:v>Lineage only</x:v>
      </x:c>
      <x:c r="J31" s="93" t="str">
        <x:v>730d+</x:v>
      </x:c>
      <x:c r="K31" s="93" t="str">
        <x:v>Yes</x:v>
      </x:c>
      <x:c r="L31" s="93" t="str">
        <x:v>Yes</x:v>
      </x:c>
      <x:c r="M31" s="93" t="str">
        <x:v>Exactly-once effect</x:v>
      </x:c>
      <x:c r="N31" s="93" t="str">
        <x:v>Return existing grant</x:v>
      </x:c>
      <x:c r="O31" s="94" t="str">
        <x:v>All sources converge to one acquisition event</x:v>
      </x:c>
    </x:row>
    <x:row r="32">
      <x:c r="A32" s="95" t="str">
        <x:v>module.equipped</x:v>
      </x:c>
      <x:c r="B32" s="96" t="str">
        <x:v>Module</x:v>
      </x:c>
      <x:c r="C32" s="96" t="str">
        <x:v>Economy,Customer,Risk,UI</x:v>
      </x:c>
      <x:c r="D32" s="96" t="str">
        <x:v>Yes</x:v>
      </x:c>
      <x:c r="E32" s="96" t="str">
        <x:v>building</x:v>
      </x:c>
      <x:c r="F32" s="96" t="str">
        <x:v>request_id</x:v>
      </x:c>
      <x:c r="G32" s="96" t="str">
        <x:v>player,building,slot,module,loadout_version,effective_at</x:v>
      </x:c>
      <x:c r="H32" s="96" t="str">
        <x:v>Yes</x:v>
      </x:c>
      <x:c r="I32" s="96" t="str">
        <x:v>High lineage</x:v>
      </x:c>
      <x:c r="J32" s="96" t="str">
        <x:v>730d+</x:v>
      </x:c>
      <x:c r="K32" s="96" t="str">
        <x:v>Yes</x:v>
      </x:c>
      <x:c r="L32" s="96" t="str">
        <x:v>Yes</x:v>
      </x:c>
      <x:c r="M32" s="96" t="str">
        <x:v>Exactly-once effect</x:v>
      </x:c>
      <x:c r="N32" s="96" t="str">
        <x:v>Rollback whole loadout+inventory transaction</x:v>
      </x:c>
      <x:c r="O32" s="97" t="str">
        <x:v>Effective next simulation boundary</x:v>
      </x:c>
    </x:row>
    <x:row r="33">
      <x:c r="A33" s="95" t="str">
        <x:v>module.unequipped</x:v>
      </x:c>
      <x:c r="B33" s="96" t="str">
        <x:v>Module</x:v>
      </x:c>
      <x:c r="C33" s="96" t="str">
        <x:v>Economy,Customer,Risk,UI</x:v>
      </x:c>
      <x:c r="D33" s="96" t="str">
        <x:v>Yes</x:v>
      </x:c>
      <x:c r="E33" s="96" t="str">
        <x:v>building</x:v>
      </x:c>
      <x:c r="F33" s="96" t="str">
        <x:v>request_id</x:v>
      </x:c>
      <x:c r="G33" s="96" t="str">
        <x:v>player,building,slot,module,loadout_version,effective_at</x:v>
      </x:c>
      <x:c r="H33" s="96" t="str">
        <x:v>Yes</x:v>
      </x:c>
      <x:c r="I33" s="96" t="str">
        <x:v>High lineage</x:v>
      </x:c>
      <x:c r="J33" s="96" t="str">
        <x:v>730d+</x:v>
      </x:c>
      <x:c r="K33" s="96" t="str">
        <x:v>Yes</x:v>
      </x:c>
      <x:c r="L33" s="96" t="str">
        <x:v>Yes</x:v>
      </x:c>
      <x:c r="M33" s="96" t="str">
        <x:v>Exactly-once effect</x:v>
      </x:c>
      <x:c r="N33" s="96" t="str">
        <x:v>Return prior result on duplicate</x:v>
      </x:c>
      <x:c r="O33" s="97" t="str"/>
    </x:row>
    <x:row r="34">
      <x:c r="A34" s="95" t="str">
        <x:v>module.dismantled</x:v>
      </x:c>
      <x:c r="B34" s="96" t="str">
        <x:v>Module</x:v>
      </x:c>
      <x:c r="C34" s="96" t="str">
        <x:v>Inventory,Analytics</x:v>
      </x:c>
      <x:c r="D34" s="96" t="str">
        <x:v>Yes</x:v>
      </x:c>
      <x:c r="E34" s="96" t="str">
        <x:v>player</x:v>
      </x:c>
      <x:c r="F34" s="96" t="str">
        <x:v>request_id</x:v>
      </x:c>
      <x:c r="G34" s="96" t="str">
        <x:v>module,qty,parts_delta,rarity</x:v>
      </x:c>
      <x:c r="H34" s="96" t="str">
        <x:v>Yes</x:v>
      </x:c>
      <x:c r="I34" s="96" t="str">
        <x:v>No direct</x:v>
      </x:c>
      <x:c r="J34" s="96" t="str">
        <x:v>730d+</x:v>
      </x:c>
      <x:c r="K34" s="96" t="str">
        <x:v>Yes</x:v>
      </x:c>
      <x:c r="L34" s="96" t="str">
        <x:v>Yes</x:v>
      </x:c>
      <x:c r="M34" s="96" t="str">
        <x:v>Exactly-once effect</x:v>
      </x:c>
      <x:c r="N34" s="96" t="str">
        <x:v>Atomic inventory+Parts rollback</x:v>
      </x:c>
      <x:c r="O34" s="97" t="str">
        <x:v>P2</x:v>
      </x:c>
    </x:row>
    <x:row r="35">
      <x:c r="A35" s="95" t="str">
        <x:v>module.craft_started</x:v>
      </x:c>
      <x:c r="B35" s="96" t="str">
        <x:v>Module</x:v>
      </x:c>
      <x:c r="C35" s="96" t="str">
        <x:v>UI,Scheduler</x:v>
      </x:c>
      <x:c r="D35" s="96" t="str">
        <x:v>Yes</x:v>
      </x:c>
      <x:c r="E35" s="96" t="str">
        <x:v>player</x:v>
      </x:c>
      <x:c r="F35" s="96" t="str">
        <x:v>request_id</x:v>
      </x:c>
      <x:c r="G35" s="96" t="str">
        <x:v>craft_job,module,recipe,start,complete</x:v>
      </x:c>
      <x:c r="H35" s="96" t="str">
        <x:v>Yes</x:v>
      </x:c>
      <x:c r="I35" s="96" t="str">
        <x:v>No direct</x:v>
      </x:c>
      <x:c r="J35" s="96" t="str">
        <x:v>365d+</x:v>
      </x:c>
      <x:c r="K35" s="96" t="str">
        <x:v>Yes</x:v>
      </x:c>
      <x:c r="L35" s="96" t="str">
        <x:v>Yes</x:v>
      </x:c>
      <x:c r="M35" s="96" t="str">
        <x:v>Exactly-once effect</x:v>
      </x:c>
      <x:c r="N35" s="96" t="str">
        <x:v>Return existing job</x:v>
      </x:c>
      <x:c r="O35" s="97" t="str"/>
    </x:row>
    <x:row r="36">
      <x:c r="A36" s="95" t="str">
        <x:v>module.crafted</x:v>
      </x:c>
      <x:c r="B36" s="96" t="str">
        <x:v>Module Scheduler</x:v>
      </x:c>
      <x:c r="C36" s="96" t="str">
        <x:v>Inventory,UI,Analytics</x:v>
      </x:c>
      <x:c r="D36" s="96" t="str">
        <x:v>Yes</x:v>
      </x:c>
      <x:c r="E36" s="96" t="str">
        <x:v>player</x:v>
      </x:c>
      <x:c r="F36" s="96" t="str">
        <x:v>craft_job_id</x:v>
      </x:c>
      <x:c r="G36" s="96" t="str">
        <x:v>module,qty,recipe_version,parts_source</x:v>
      </x:c>
      <x:c r="H36" s="96" t="str">
        <x:v>Yes</x:v>
      </x:c>
      <x:c r="I36" s="96" t="str">
        <x:v>No direct</x:v>
      </x:c>
      <x:c r="J36" s="96" t="str">
        <x:v>730d+</x:v>
      </x:c>
      <x:c r="K36" s="96" t="str">
        <x:v>Yes</x:v>
      </x:c>
      <x:c r="L36" s="96" t="str">
        <x:v>Yes</x:v>
      </x:c>
      <x:c r="M36" s="96" t="str">
        <x:v>Exactly-once effect</x:v>
      </x:c>
      <x:c r="N36" s="96" t="str">
        <x:v>Retry completion idempotently</x:v>
      </x:c>
      <x:c r="O36" s="97" t="str">
        <x:v>Offline completion allowed</x:v>
      </x:c>
    </x:row>
    <x:row r="37">
      <x:c r="A37" s="95" t="str">
        <x:v>mastery.progressed</x:v>
      </x:c>
      <x:c r="B37" s="96" t="str">
        <x:v>Module</x:v>
      </x:c>
      <x:c r="C37" s="96" t="str">
        <x:v>UI,Analytics</x:v>
      </x:c>
      <x:c r="D37" s="96" t="str">
        <x:v>Yes</x:v>
      </x:c>
      <x:c r="E37" s="96" t="str">
        <x:v>player+building_type</x:v>
      </x:c>
      <x:c r="F37" s="96" t="str">
        <x:v>evidence_event_id+tier</x:v>
      </x:c>
      <x:c r="G37" s="96" t="str">
        <x:v>tier,objective,delta,new_progress,evidence_cursor</x:v>
      </x:c>
      <x:c r="H37" s="96" t="str">
        <x:v>Yes</x:v>
      </x:c>
      <x:c r="I37" s="96" t="str">
        <x:v>No direct</x:v>
      </x:c>
      <x:c r="J37" s="96" t="str">
        <x:v>365d+</x:v>
      </x:c>
      <x:c r="K37" s="96" t="str">
        <x:v>Yes</x:v>
      </x:c>
      <x:c r="L37" s="96" t="str">
        <x:v>Yes</x:v>
      </x:c>
      <x:c r="M37" s="96" t="str">
        <x:v>At-least-once + dedupe</x:v>
      </x:c>
      <x:c r="N37" s="96" t="str">
        <x:v>Reproject from source ledgers</x:v>
      </x:c>
      <x:c r="O37" s="97" t="str"/>
    </x:row>
    <x:row r="38">
      <x:c r="A38" s="98" t="str">
        <x:v>mastery.reward_claimed</x:v>
      </x:c>
      <x:c r="B38" s="99" t="str">
        <x:v>Module</x:v>
      </x:c>
      <x:c r="C38" s="99" t="str">
        <x:v>Reward,Inventory,UI</x:v>
      </x:c>
      <x:c r="D38" s="99" t="str">
        <x:v>Yes</x:v>
      </x:c>
      <x:c r="E38" s="99" t="str">
        <x:v>player+building_type</x:v>
      </x:c>
      <x:c r="F38" s="99" t="str">
        <x:v>request_id</x:v>
      </x:c>
      <x:c r="G38" s="99" t="str">
        <x:v>tier,choice,reward_id</x:v>
      </x:c>
      <x:c r="H38" s="99" t="str">
        <x:v>Yes</x:v>
      </x:c>
      <x:c r="I38" s="99" t="str">
        <x:v>No direct</x:v>
      </x:c>
      <x:c r="J38" s="99" t="str">
        <x:v>730d+</x:v>
      </x:c>
      <x:c r="K38" s="99" t="str">
        <x:v>Yes</x:v>
      </x:c>
      <x:c r="L38" s="99" t="str">
        <x:v>Yes</x:v>
      </x:c>
      <x:c r="M38" s="99" t="str">
        <x:v>Exactly-once effect</x:v>
      </x:c>
      <x:c r="N38" s="99" t="str">
        <x:v>Atomic claim+reward</x:v>
      </x:c>
      <x:c r="O38" s="100" t="str"/>
    </x:row>
    <x:row r="40" ht="22" customHeight="1">
      <x:c r="A40" s="102" t="str">
        <x:v>Module Replay Strategy</x:v>
      </x:c>
      <x:c r="B40" s="102"/>
      <x:c r="C40" s="102"/>
      <x:c r="D40" s="102"/>
      <x:c r="E40" s="102"/>
      <x:c r="F40" s="102"/>
      <x:c r="G40" s="102"/>
      <x:c r="H40" s="102"/>
      <x:c r="I40" s="102"/>
      <x:c r="J40" s="102"/>
      <x:c r="K40" s="102"/>
      <x:c r="L40" s="102"/>
      <x:c r="M40" s="102"/>
      <x:c r="N40" s="102"/>
      <x:c r="O40" s="102"/>
    </x:row>
    <x:row r="41">
      <x:c r="A41" s="105" t="str">
        <x:v>State</x:v>
      </x:c>
      <x:c r="B41" s="105" t="str">
        <x:v>Primary Replay Source</x:v>
      </x:c>
      <x:c r="C41" s="105" t="str">
        <x:v>Checkpoint Use</x:v>
      </x:c>
      <x:c r="D41" s="105" t="str">
        <x:v>Expected Recovery</x:v>
      </x:c>
    </x:row>
    <x:row r="42">
      <x:c r="A42" s="92" t="str">
        <x:v>Module inventory</x:v>
      </x:c>
      <x:c r="B42" s="93" t="str">
        <x:v>module_reward_ledger + craft/dismantle events</x:v>
      </x:c>
      <x:c r="C42" s="93" t="str">
        <x:v>Periodic inventory aggregate</x:v>
      </x:c>
      <x:c r="D42" s="94" t="str">
        <x:v>Replay acquisitions/dismantles/crafts then reconcile equipped copies</x:v>
      </x:c>
    </x:row>
    <x:row r="43">
      <x:c r="A43" s="95" t="str">
        <x:v>Building loadout</x:v>
      </x:c>
      <x:c r="B43" s="96" t="str">
        <x:v>module_loadout_audit</x:v>
      </x:c>
      <x:c r="C43" s="96" t="str">
        <x:v>Current loadout snapshot</x:v>
      </x:c>
      <x:c r="D43" s="97" t="str">
        <x:v>Replay ordered equip/unequip events by loadout_version</x:v>
      </x:c>
    </x:row>
    <x:row r="44">
      <x:c r="A44" s="95" t="str">
        <x:v>Module Parts</x:v>
      </x:c>
      <x:c r="B44" s="96" t="str">
        <x:v>module_parts_ledger</x:v>
      </x:c>
      <x:c r="C44" s="96" t="str">
        <x:v>Parts balance row</x:v>
      </x:c>
      <x:c r="D44" s="97" t="str">
        <x:v>Replay Parts entries after checkpoint</x:v>
      </x:c>
    </x:row>
    <x:row r="45">
      <x:c r="A45" s="95" t="str">
        <x:v>Building Mastery</x:v>
      </x:c>
      <x:c r="B45" s="96" t="str">
        <x:v>validated customer/activity/risk/service evidence + mastery events</x:v>
      </x:c>
      <x:c r="C45" s="96" t="str">
        <x:v>Mastery progress row</x:v>
      </x:c>
      <x:c r="D45" s="97" t="str">
        <x:v>Reproject objectives using pinned objective config</x:v>
      </x:c>
    </x:row>
    <x:row r="46">
      <x:c r="A46" s="98" t="str">
        <x:v>Effect lineage</x:v>
      </x:c>
      <x:c r="B46" s="99" t="str">
        <x:v>loadout/config versions + source context</x:v>
      </x:c>
      <x:c r="C46" s="99" t="str">
        <x:v>Optional effect trace</x:v>
      </x:c>
      <x:c r="D46" s="100" t="str">
        <x:v>Re-resolve deterministic modifier vector for tick/bucket</x:v>
      </x:c>
    </x:row>
  </x:sheetData>
  <x:mergeCells>
    <x:mergeCell ref="A1:O1"/>
    <x:mergeCell ref="A19:O19"/>
    <x:mergeCell ref="A29:O29"/>
    <x:mergeCell ref="A40:O40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0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34" hidden="0" customWidth="1"/>
    <x:col min="8" max="8" width="34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External/Internal API Surface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22"/>
    </x:row>
    <x:row r="3">
      <x:c r="A3" s="14" t="str">
        <x:v>Method</x:v>
      </x:c>
      <x:c r="B3" s="14" t="str">
        <x:v>Route / Command</x:v>
      </x:c>
      <x:c r="C3" s="14" t="str">
        <x:v>Domain</x:v>
      </x:c>
      <x:c r="D3" s="14" t="str">
        <x:v>Auth</x:v>
      </x:c>
      <x:c r="E3" s="14" t="str">
        <x:v>Idempotency Required?</x:v>
      </x:c>
      <x:c r="F3" s="14" t="str">
        <x:v>Optimistic Version?</x:v>
      </x:c>
      <x:c r="G3" s="14" t="str">
        <x:v>Request Core</x:v>
      </x:c>
      <x:c r="H3" s="14" t="str">
        <x:v>Response Core</x:v>
      </x:c>
      <x:c r="I3" s="14" t="str">
        <x:v>p95 Target</x:v>
      </x:c>
      <x:c r="J3" s="14" t="str">
        <x:v>Rate Limit</x:v>
      </x:c>
      <x:c r="K3" s="14" t="str">
        <x:v>Mutation?</x:v>
      </x:c>
      <x:c r="L3" s="14" t="str">
        <x:v>Ledger Effect</x:v>
      </x:c>
      <x:c r="M3" s="14" t="str">
        <x:v>Chain Dependency</x:v>
      </x:c>
      <x:c r="N3" s="14" t="str">
        <x:v>Failure Code Examples</x:v>
      </x:c>
      <x:c r="O3" s="14" t="str">
        <x:v>MVP?</x:v>
      </x:c>
      <x:c r="P3" s="14" t="str">
        <x:v>Notes</x:v>
      </x:c>
    </x:row>
    <x:row r="4">
      <x:c r="A4" s="34" t="str">
        <x:v>GET</x:v>
      </x:c>
      <x:c r="B4" s="35" t="str">
        <x:v>/v1/me</x:v>
      </x:c>
      <x:c r="C4" s="35" t="str">
        <x:v>Identity/Player</x:v>
      </x:c>
      <x:c r="D4" s="35" t="str">
        <x:v>Family session</x:v>
      </x:c>
      <x:c r="E4" s="35" t="str">
        <x:v>No</x:v>
      </x:c>
      <x:c r="F4" s="35" t="str">
        <x:v>No</x:v>
      </x:c>
      <x:c r="G4" s="35" t="str">
        <x:v>session</x:v>
      </x:c>
      <x:c r="H4" s="35" t="str">
        <x:v>player summary</x:v>
      </x:c>
      <x:c r="I4" s="60" t="str">
        <x:v>200ms</x:v>
      </x:c>
      <x:c r="J4" s="35" t="str">
        <x:v>60/min</x:v>
      </x:c>
      <x:c r="K4" s="35" t="str">
        <x:v>No</x:v>
      </x:c>
      <x:c r="L4" s="35" t="str">
        <x:v>No</x:v>
      </x:c>
      <x:c r="M4" s="35" t="str">
        <x:v>No</x:v>
      </x:c>
      <x:c r="N4" s="35" t="str">
        <x:v>401,503</x:v>
      </x:c>
      <x:c r="O4" s="35" t="str">
        <x:v>Yes</x:v>
      </x:c>
      <x:c r="P4" s="36" t="str"/>
    </x:row>
    <x:row r="5">
      <x:c r="A5" s="37" t="str">
        <x:v>GET</x:v>
      </x:c>
      <x:c r="B5" s="22" t="str">
        <x:v>/v1/plot/{id}</x:v>
      </x:c>
      <x:c r="C5" s="22" t="str">
        <x:v>Plot/Layout</x:v>
      </x:c>
      <x:c r="D5" s="22" t="str">
        <x:v>Session + ownership/public rules</x:v>
      </x:c>
      <x:c r="E5" s="22" t="str">
        <x:v>No</x:v>
      </x:c>
      <x:c r="F5" s="22" t="str">
        <x:v>No</x:v>
      </x:c>
      <x:c r="G5" s="22" t="str">
        <x:v>plot id</x:v>
      </x:c>
      <x:c r="H5" s="22" t="str">
        <x:v>plot + layout summary</x:v>
      </x:c>
      <x:c r="I5" s="61" t="str">
        <x:v>200ms</x:v>
      </x:c>
      <x:c r="J5" s="22" t="str">
        <x:v>120/min</x:v>
      </x:c>
      <x:c r="K5" s="22" t="str">
        <x:v>No</x:v>
      </x:c>
      <x:c r="L5" s="22" t="str">
        <x:v>No</x:v>
      </x:c>
      <x:c r="M5" s="22" t="str">
        <x:v>Ownership mirror read</x:v>
      </x:c>
      <x:c r="N5" s="22" t="str">
        <x:v>404,409 ownership sync</x:v>
      </x:c>
      <x:c r="O5" s="22" t="str">
        <x:v>Yes</x:v>
      </x:c>
      <x:c r="P5" s="38" t="str"/>
    </x:row>
    <x:row r="6">
      <x:c r="A6" s="37" t="str">
        <x:v>POST</x:v>
      </x:c>
      <x:c r="B6" s="22" t="str">
        <x:v>/v1/plots/{id}/activate</x:v>
      </x:c>
      <x:c r="C6" s="22" t="str">
        <x:v>Plot</x:v>
      </x:c>
      <x:c r="D6" s="22" t="str">
        <x:v>Owner</x:v>
      </x:c>
      <x:c r="E6" s="22" t="str">
        <x:v>Yes</x:v>
      </x:c>
      <x:c r="F6" s="22" t="str">
        <x:v>Yes</x:v>
      </x:c>
      <x:c r="G6" s="22" t="str">
        <x:v>idempotency_key,expected_player_version</x:v>
      </x:c>
      <x:c r="H6" s="22" t="str">
        <x:v>activation state</x:v>
      </x:c>
      <x:c r="I6" s="61" t="str">
        <x:v>500ms</x:v>
      </x:c>
      <x:c r="J6" s="22" t="str">
        <x:v>10/min</x:v>
      </x:c>
      <x:c r="K6" s="22" t="str">
        <x:v>Yes</x:v>
      </x:c>
      <x:c r="L6" s="22" t="str">
        <x:v>activation ledger</x:v>
      </x:c>
      <x:c r="M6" s="22" t="str">
        <x:v>Ownership verify</x:v>
      </x:c>
      <x:c r="N6" s="22" t="str">
        <x:v>409 gate,402 Cash,423 lock</x:v>
      </x:c>
      <x:c r="O6" s="22" t="str">
        <x:v>Yes</x:v>
      </x:c>
      <x:c r="P6" s="38" t="str"/>
    </x:row>
    <x:row r="7">
      <x:c r="A7" s="37" t="str">
        <x:v>POST</x:v>
      </x:c>
      <x:c r="B7" s="22" t="str">
        <x:v>/v1/buildings/place</x:v>
      </x:c>
      <x:c r="C7" s="22" t="str">
        <x:v>Layout</x:v>
      </x:c>
      <x:c r="D7" s="22" t="str">
        <x:v>Owner</x:v>
      </x:c>
      <x:c r="E7" s="22" t="str">
        <x:v>Yes</x:v>
      </x:c>
      <x:c r="F7" s="22" t="str">
        <x:v>Yes</x:v>
      </x:c>
      <x:c r="G7" s="22" t="str">
        <x:v>building_id,plot/territory,x,y,orientation,expected_layout_version</x:v>
      </x:c>
      <x:c r="H7" s="22" t="str">
        <x:v>new layout version + derived links</x:v>
      </x:c>
      <x:c r="I7" s="61" t="str">
        <x:v>500ms</x:v>
      </x:c>
      <x:c r="J7" s="22" t="str">
        <x:v>60/min</x:v>
      </x:c>
      <x:c r="K7" s="22" t="str">
        <x:v>Yes</x:v>
      </x:c>
      <x:c r="L7" s="22" t="str">
        <x:v>layout mutation log</x:v>
      </x:c>
      <x:c r="M7" s="22" t="str">
        <x:v>No</x:v>
      </x:c>
      <x:c r="N7" s="22" t="str">
        <x:v>409 version,422 geometry,423 event lock</x:v>
      </x:c>
      <x:c r="O7" s="22" t="str">
        <x:v>Yes</x:v>
      </x:c>
      <x:c r="P7" s="38" t="str"/>
    </x:row>
    <x:row r="8">
      <x:c r="A8" s="37" t="str">
        <x:v>POST</x:v>
      </x:c>
      <x:c r="B8" s="22" t="str">
        <x:v>/v1/buildings/{id}/move</x:v>
      </x:c>
      <x:c r="C8" s="22" t="str">
        <x:v>Layout</x:v>
      </x:c>
      <x:c r="D8" s="22" t="str">
        <x:v>Owner</x:v>
      </x:c>
      <x:c r="E8" s="22" t="str">
        <x:v>Yes</x:v>
      </x:c>
      <x:c r="F8" s="22" t="str">
        <x:v>Yes</x:v>
      </x:c>
      <x:c r="G8" s="22" t="str">
        <x:v>destination,expected_layout_version</x:v>
      </x:c>
      <x:c r="H8" s="22" t="str">
        <x:v>layout version,fee,downtime</x:v>
      </x:c>
      <x:c r="I8" s="61" t="str">
        <x:v>500ms</x:v>
      </x:c>
      <x:c r="J8" s="22" t="str">
        <x:v>30/min</x:v>
      </x:c>
      <x:c r="K8" s="22" t="str">
        <x:v>Yes</x:v>
      </x:c>
      <x:c r="L8" s="22" t="str">
        <x:v>Cash + layout logs</x:v>
      </x:c>
      <x:c r="M8" s="22" t="str">
        <x:v>No</x:v>
      </x:c>
      <x:c r="N8" s="22" t="str">
        <x:v>402 Cash,409 version,423 lock</x:v>
      </x:c>
      <x:c r="O8" s="22" t="str">
        <x:v>Yes</x:v>
      </x:c>
      <x:c r="P8" s="38" t="str"/>
    </x:row>
    <x:row r="9">
      <x:c r="A9" s="37" t="str">
        <x:v>POST</x:v>
      </x:c>
      <x:c r="B9" s="22" t="str">
        <x:v>/v1/buildings/{id}/upgrade</x:v>
      </x:c>
      <x:c r="C9" s="22" t="str">
        <x:v>Layout/Player</x:v>
      </x:c>
      <x:c r="D9" s="22" t="str">
        <x:v>Owner</x:v>
      </x:c>
      <x:c r="E9" s="22" t="str">
        <x:v>Yes</x:v>
      </x:c>
      <x:c r="F9" s="22" t="str">
        <x:v>Yes</x:v>
      </x:c>
      <x:c r="G9" s="22" t="str">
        <x:v>building id,expected_asset_version</x:v>
      </x:c>
      <x:c r="H9" s="22" t="str">
        <x:v>new level/stats</x:v>
      </x:c>
      <x:c r="I9" s="61" t="str">
        <x:v>500ms</x:v>
      </x:c>
      <x:c r="J9" s="22" t="str">
        <x:v>30/min</x:v>
      </x:c>
      <x:c r="K9" s="22" t="str">
        <x:v>Yes</x:v>
      </x:c>
      <x:c r="L9" s="22" t="str">
        <x:v>Cash + upgrade ledger</x:v>
      </x:c>
      <x:c r="M9" s="22" t="str">
        <x:v>No</x:v>
      </x:c>
      <x:c r="N9" s="22" t="str">
        <x:v>402 Cash,409 version,422 gate</x:v>
      </x:c>
      <x:c r="O9" s="22" t="str">
        <x:v>Yes</x:v>
      </x:c>
      <x:c r="P9" s="38" t="str"/>
    </x:row>
    <x:row r="10">
      <x:c r="A10" s="37" t="str">
        <x:v>GET</x:v>
      </x:c>
      <x:c r="B10" s="22" t="str">
        <x:v>/v1/economy/summary</x:v>
      </x:c>
      <x:c r="C10" s="22" t="str">
        <x:v>Economy</x:v>
      </x:c>
      <x:c r="D10" s="22" t="str">
        <x:v>Owner</x:v>
      </x:c>
      <x:c r="E10" s="22" t="str">
        <x:v>No</x:v>
      </x:c>
      <x:c r="F10" s="22" t="str">
        <x:v>No</x:v>
      </x:c>
      <x:c r="G10" s="22" t="str">
        <x:v>none</x:v>
      </x:c>
      <x:c r="H10" s="22" t="str">
        <x:v>Cash,customers,rates,activity</x:v>
      </x:c>
      <x:c r="I10" s="61" t="str">
        <x:v>200ms</x:v>
      </x:c>
      <x:c r="J10" s="22" t="str">
        <x:v>120/min</x:v>
      </x:c>
      <x:c r="K10" s="22" t="str">
        <x:v>No</x:v>
      </x:c>
      <x:c r="L10" s="22" t="str">
        <x:v>No</x:v>
      </x:c>
      <x:c r="M10" s="22" t="str">
        <x:v>No</x:v>
      </x:c>
      <x:c r="N10" s="22" t="str">
        <x:v>503 stale/cache</x:v>
      </x:c>
      <x:c r="O10" s="22" t="str">
        <x:v>Yes</x:v>
      </x:c>
      <x:c r="P10" s="38" t="str"/>
    </x:row>
    <x:row r="11">
      <x:c r="A11" s="37" t="str">
        <x:v>GET</x:v>
      </x:c>
      <x:c r="B11" s="22" t="str">
        <x:v>/v1/customers</x:v>
      </x:c>
      <x:c r="C11" s="22" t="str">
        <x:v>Customer</x:v>
      </x:c>
      <x:c r="D11" s="22" t="str">
        <x:v>Owner</x:v>
      </x:c>
      <x:c r="E11" s="22" t="str">
        <x:v>No</x:v>
      </x:c>
      <x:c r="F11" s="22" t="str">
        <x:v>No</x:v>
      </x:c>
      <x:c r="G11" s="22" t="str">
        <x:v>filters</x:v>
      </x:c>
      <x:c r="H11" s="22" t="str">
        <x:v>segment/business state</x:v>
      </x:c>
      <x:c r="I11" s="61" t="str">
        <x:v>200ms</x:v>
      </x:c>
      <x:c r="J11" s="22" t="str">
        <x:v>60/min</x:v>
      </x:c>
      <x:c r="K11" s="22" t="str">
        <x:v>No</x:v>
      </x:c>
      <x:c r="L11" s="22" t="str">
        <x:v>No</x:v>
      </x:c>
      <x:c r="M11" s="22" t="str">
        <x:v>No</x:v>
      </x:c>
      <x:c r="N11" s="22" t="str">
        <x:v>503</x:v>
      </x:c>
      <x:c r="O11" s="22" t="str">
        <x:v>Yes</x:v>
      </x:c>
      <x:c r="P11" s="38" t="str"/>
    </x:row>
    <x:row r="12">
      <x:c r="A12" s="37" t="str">
        <x:v>GET</x:v>
      </x:c>
      <x:c r="B12" s="22" t="str">
        <x:v>/v1/events</x:v>
      </x:c>
      <x:c r="C12" s="22" t="str">
        <x:v>Event</x:v>
      </x:c>
      <x:c r="D12" s="22" t="str">
        <x:v>Owner</x:v>
      </x:c>
      <x:c r="E12" s="22" t="str">
        <x:v>No</x:v>
      </x:c>
      <x:c r="F12" s="22" t="str">
        <x:v>No</x:v>
      </x:c>
      <x:c r="G12" s="22" t="str">
        <x:v>none</x:v>
      </x:c>
      <x:c r="H12" s="22" t="str">
        <x:v>active/offered events</x:v>
      </x:c>
      <x:c r="I12" s="61" t="str">
        <x:v>200ms</x:v>
      </x:c>
      <x:c r="J12" s="22" t="str">
        <x:v>60/min</x:v>
      </x:c>
      <x:c r="K12" s="22" t="str">
        <x:v>No</x:v>
      </x:c>
      <x:c r="L12" s="22" t="str">
        <x:v>No</x:v>
      </x:c>
      <x:c r="M12" s="22" t="str">
        <x:v>No</x:v>
      </x:c>
      <x:c r="N12" s="22" t="str">
        <x:v>503</x:v>
      </x:c>
      <x:c r="O12" s="22" t="str">
        <x:v>Yes</x:v>
      </x:c>
      <x:c r="P12" s="38" t="str"/>
    </x:row>
    <x:row r="13">
      <x:c r="A13" s="37" t="str">
        <x:v>POST</x:v>
      </x:c>
      <x:c r="B13" s="22" t="str">
        <x:v>/v1/events/{id}/choose</x:v>
      </x:c>
      <x:c r="C13" s="22" t="str">
        <x:v>Event</x:v>
      </x:c>
      <x:c r="D13" s="22" t="str">
        <x:v>Owner</x:v>
      </x:c>
      <x:c r="E13" s="22" t="str">
        <x:v>Yes</x:v>
      </x:c>
      <x:c r="F13" s="22" t="str">
        <x:v>Yes</x:v>
      </x:c>
      <x:c r="G13" s="22" t="str">
        <x:v>choice_id,expected_event_version</x:v>
      </x:c>
      <x:c r="H13" s="22" t="str">
        <x:v>resolved/pending outcome</x:v>
      </x:c>
      <x:c r="I13" s="61" t="str">
        <x:v>500ms</x:v>
      </x:c>
      <x:c r="J13" s="22" t="str">
        <x:v>20/min</x:v>
      </x:c>
      <x:c r="K13" s="22" t="str">
        <x:v>Yes</x:v>
      </x:c>
      <x:c r="L13" s="22" t="str">
        <x:v>event/cash/rep ledgers</x:v>
      </x:c>
      <x:c r="M13" s="22" t="str">
        <x:v>No</x:v>
      </x:c>
      <x:c r="N13" s="22" t="str">
        <x:v>409 resolved,410 expired</x:v>
      </x:c>
      <x:c r="O13" s="22" t="str">
        <x:v>Yes</x:v>
      </x:c>
      <x:c r="P13" s="38" t="str"/>
    </x:row>
    <x:row r="14">
      <x:c r="A14" s="37" t="str">
        <x:v>GET</x:v>
      </x:c>
      <x:c r="B14" s="22" t="str">
        <x:v>/v1/hunts</x:v>
      </x:c>
      <x:c r="C14" s="22" t="str">
        <x:v>Hunt</x:v>
      </x:c>
      <x:c r="D14" s="22" t="str">
        <x:v>Owner</x:v>
      </x:c>
      <x:c r="E14" s="22" t="str">
        <x:v>No</x:v>
      </x:c>
      <x:c r="F14" s="22" t="str">
        <x:v>No</x:v>
      </x:c>
      <x:c r="G14" s="22" t="str">
        <x:v>none</x:v>
      </x:c>
      <x:c r="H14" s="22" t="str">
        <x:v>assigned hunts/progress</x:v>
      </x:c>
      <x:c r="I14" s="61" t="str">
        <x:v>200ms</x:v>
      </x:c>
      <x:c r="J14" s="22" t="str">
        <x:v>60/min</x:v>
      </x:c>
      <x:c r="K14" s="22" t="str">
        <x:v>No</x:v>
      </x:c>
      <x:c r="L14" s="22" t="str">
        <x:v>No</x:v>
      </x:c>
      <x:c r="M14" s="22" t="str">
        <x:v>No</x:v>
      </x:c>
      <x:c r="N14" s="22" t="str">
        <x:v>503</x:v>
      </x:c>
      <x:c r="O14" s="22" t="str">
        <x:v>Yes</x:v>
      </x:c>
      <x:c r="P14" s="38" t="str"/>
    </x:row>
    <x:row r="15">
      <x:c r="A15" s="37" t="str">
        <x:v>POST</x:v>
      </x:c>
      <x:c r="B15" s="22" t="str">
        <x:v>/v1/hunts/{id}/reroll</x:v>
      </x:c>
      <x:c r="C15" s="22" t="str">
        <x:v>Hunt</x:v>
      </x:c>
      <x:c r="D15" s="22" t="str">
        <x:v>Owner</x:v>
      </x:c>
      <x:c r="E15" s="22" t="str">
        <x:v>Yes</x:v>
      </x:c>
      <x:c r="F15" s="22" t="str">
        <x:v>Yes</x:v>
      </x:c>
      <x:c r="G15" s="22" t="str">
        <x:v>hunt version</x:v>
      </x:c>
      <x:c r="H15" s="22" t="str">
        <x:v>new hunt</x:v>
      </x:c>
      <x:c r="I15" s="61" t="str">
        <x:v>500ms</x:v>
      </x:c>
      <x:c r="J15" s="22" t="str">
        <x:v>10/day</x:v>
      </x:c>
      <x:c r="K15" s="22" t="str">
        <x:v>Yes</x:v>
      </x:c>
      <x:c r="L15" s="22" t="str">
        <x:v>Cash/audit if paid later</x:v>
      </x:c>
      <x:c r="M15" s="22" t="str">
        <x:v>No</x:v>
      </x:c>
      <x:c r="N15" s="22" t="str">
        <x:v>409,402,429</x:v>
      </x:c>
      <x:c r="O15" s="22" t="str">
        <x:v>Later</x:v>
      </x:c>
      <x:c r="P15" s="38" t="str"/>
    </x:row>
    <x:row r="16">
      <x:c r="A16" s="37" t="str">
        <x:v>GET</x:v>
      </x:c>
      <x:c r="B16" s="22" t="str">
        <x:v>/v1/performance/current</x:v>
      </x:c>
      <x:c r="C16" s="22" t="str">
        <x:v>Performance</x:v>
      </x:c>
      <x:c r="D16" s="22" t="str">
        <x:v>Owner</x:v>
      </x:c>
      <x:c r="E16" s="22" t="str">
        <x:v>No</x:v>
      </x:c>
      <x:c r="F16" s="22" t="str">
        <x:v>No</x:v>
      </x:c>
      <x:c r="G16" s="22" t="str">
        <x:v>epoch</x:v>
      </x:c>
      <x:c r="H16" s="22" t="str">
        <x:v>estimated components/score</x:v>
      </x:c>
      <x:c r="I16" s="61" t="str">
        <x:v>200ms</x:v>
      </x:c>
      <x:c r="J16" s="22" t="str">
        <x:v>60/min</x:v>
      </x:c>
      <x:c r="K16" s="22" t="str">
        <x:v>No</x:v>
      </x:c>
      <x:c r="L16" s="22" t="str">
        <x:v>No</x:v>
      </x:c>
      <x:c r="M16" s="22" t="str">
        <x:v>No</x:v>
      </x:c>
      <x:c r="N16" s="22" t="str">
        <x:v>503 estimate unavailable</x:v>
      </x:c>
      <x:c r="O16" s="22" t="str">
        <x:v>Yes</x:v>
      </x:c>
      <x:c r="P16" s="38" t="str"/>
    </x:row>
    <x:row r="17">
      <x:c r="A17" s="37" t="str">
        <x:v>GET</x:v>
      </x:c>
      <x:c r="B17" s="22" t="str">
        <x:v>/v1/competition</x:v>
      </x:c>
      <x:c r="C17" s="22" t="str">
        <x:v>Competition</x:v>
      </x:c>
      <x:c r="D17" s="22" t="str">
        <x:v>Owner</x:v>
      </x:c>
      <x:c r="E17" s="22" t="str">
        <x:v>No</x:v>
      </x:c>
      <x:c r="F17" s="22" t="str">
        <x:v>No</x:v>
      </x:c>
      <x:c r="G17" s="22" t="str">
        <x:v>none</x:v>
      </x:c>
      <x:c r="H17" s="22" t="str">
        <x:v>league,rating,season,rank</x:v>
      </x:c>
      <x:c r="I17" s="61" t="str">
        <x:v>200ms</x:v>
      </x:c>
      <x:c r="J17" s="22" t="str">
        <x:v>60/min</x:v>
      </x:c>
      <x:c r="K17" s="22" t="str">
        <x:v>No</x:v>
      </x:c>
      <x:c r="L17" s="22" t="str">
        <x:v>No</x:v>
      </x:c>
      <x:c r="M17" s="22" t="str">
        <x:v>No</x:v>
      </x:c>
      <x:c r="N17" s="22" t="str">
        <x:v>503</x:v>
      </x:c>
      <x:c r="O17" s="22" t="str">
        <x:v>Yes</x:v>
      </x:c>
      <x:c r="P17" s="38" t="str"/>
    </x:row>
    <x:row r="18">
      <x:c r="A18" s="37" t="str">
        <x:v>POST</x:v>
      </x:c>
      <x:c r="B18" s="22" t="str">
        <x:v>/v1/rewards/{id}/claim</x:v>
      </x:c>
      <x:c r="C18" s="22" t="str">
        <x:v>Reward</x:v>
      </x:c>
      <x:c r="D18" s="22" t="str">
        <x:v>Owner + wallet as needed</x:v>
      </x:c>
      <x:c r="E18" s="22" t="str">
        <x:v>Yes</x:v>
      </x:c>
      <x:c r="F18" s="22" t="str">
        <x:v>Yes</x:v>
      </x:c>
      <x:c r="G18" s="22" t="str">
        <x:v>reward id,wallet</x:v>
      </x:c>
      <x:c r="H18" s="22" t="str">
        <x:v>claim state/tx ref</x:v>
      </x:c>
      <x:c r="I18" s="61" t="str">
        <x:v>800ms offchain</x:v>
      </x:c>
      <x:c r="J18" s="22" t="str">
        <x:v>10/min</x:v>
      </x:c>
      <x:c r="K18" s="22" t="str">
        <x:v>Yes</x:v>
      </x:c>
      <x:c r="L18" s="22" t="str">
        <x:v>reward ledger transition</x:v>
      </x:c>
      <x:c r="M18" s="22" t="str">
        <x:v>Maybe</x:v>
      </x:c>
      <x:c r="N18" s="22" t="str">
        <x:v>409 claimed,423 hold,502 provider</x:v>
      </x:c>
      <x:c r="O18" s="22" t="str">
        <x:v>Yes</x:v>
      </x:c>
      <x:c r="P18" s="38" t="str"/>
    </x:row>
    <x:row r="19">
      <x:c r="A19" s="37" t="str">
        <x:v>POST</x:v>
      </x:c>
      <x:c r="B19" s="22" t="str">
        <x:v>/internal/economy/tick</x:v>
      </x:c>
      <x:c r="C19" s="22" t="str">
        <x:v>Economy Worker</x:v>
      </x:c>
      <x:c r="D19" s="22" t="str">
        <x:v>Service auth</x:v>
      </x:c>
      <x:c r="E19" s="22" t="str">
        <x:v>Yes</x:v>
      </x:c>
      <x:c r="F19" s="22" t="str">
        <x:v>No</x:v>
      </x:c>
      <x:c r="G19" s="22" t="str">
        <x:v>tick bucket</x:v>
      </x:c>
      <x:c r="H19" s="22" t="str">
        <x:v>processed counts</x:v>
      </x:c>
      <x:c r="I19" s="22" t="str">
        <x:v>N/A</x:v>
      </x:c>
      <x:c r="J19" s="22" t="str">
        <x:v>Worker controlled</x:v>
      </x:c>
      <x:c r="K19" s="22" t="str">
        <x:v>Yes</x:v>
      </x:c>
      <x:c r="L19" s="22" t="str">
        <x:v>Cash/activity ledgers</x:v>
      </x:c>
      <x:c r="M19" s="22" t="str">
        <x:v>No</x:v>
      </x:c>
      <x:c r="N19" s="22" t="str">
        <x:v>Retry/dead-letter</x:v>
      </x:c>
      <x:c r="O19" s="22" t="str">
        <x:v>Yes</x:v>
      </x:c>
      <x:c r="P19" s="38" t="str">
        <x:v>Internal only</x:v>
      </x:c>
    </x:row>
    <x:row r="20">
      <x:c r="A20" s="39" t="str">
        <x:v>POST</x:v>
      </x:c>
      <x:c r="B20" s="40" t="str">
        <x:v>/internal/settlement/finalize</x:v>
      </x:c>
      <x:c r="C20" s="40" t="str">
        <x:v>Settlement</x:v>
      </x:c>
      <x:c r="D20" s="40" t="str">
        <x:v>Service auth/admin-gated</x:v>
      </x:c>
      <x:c r="E20" s="40" t="str">
        <x:v>Yes</x:v>
      </x:c>
      <x:c r="F20" s="40" t="str">
        <x:v>Yes</x:v>
      </x:c>
      <x:c r="G20" s="40" t="str">
        <x:v>epoch,snapshot_version</x:v>
      </x:c>
      <x:c r="H20" s="40" t="str">
        <x:v>finalization manifest</x:v>
      </x:c>
      <x:c r="I20" s="40" t="str">
        <x:v>N/A</x:v>
      </x:c>
      <x:c r="J20" s="40" t="str">
        <x:v>Very restricted</x:v>
      </x:c>
      <x:c r="K20" s="40" t="str">
        <x:v>Yes</x:v>
      </x:c>
      <x:c r="L20" s="40" t="str">
        <x:v>Settlement/reward ledgers</x:v>
      </x:c>
      <x:c r="M20" s="40" t="str">
        <x:v>Claim root later</x:v>
      </x:c>
      <x:c r="N20" s="40" t="str">
        <x:v>409 incomplete,423 integrity hold</x:v>
      </x:c>
      <x:c r="O20" s="40" t="str">
        <x:v>Yes</x:v>
      </x:c>
      <x:c r="P20" s="41" t="str"/>
    </x:row>
    <x:row r="21">
      <x:c r="A21" s="92" t="str">
        <x:v>GET</x:v>
      </x:c>
      <x:c r="B21" s="93" t="str">
        <x:v>/v1/modules</x:v>
      </x:c>
      <x:c r="C21" s="93" t="str">
        <x:v>Module</x:v>
      </x:c>
      <x:c r="D21" s="93" t="str">
        <x:v>Owner</x:v>
      </x:c>
      <x:c r="E21" s="93" t="str">
        <x:v>No</x:v>
      </x:c>
      <x:c r="F21" s="93" t="str">
        <x:v>No</x:v>
      </x:c>
      <x:c r="G21" s="93" t="str">
        <x:v>filters</x:v>
      </x:c>
      <x:c r="H21" s="93" t="str">
        <x:v>owned Modules,available/equipped counts,Parts summary</x:v>
      </x:c>
      <x:c r="I21" s="93" t="str">
        <x:v>200ms</x:v>
      </x:c>
      <x:c r="J21" s="93" t="str">
        <x:v>60/min</x:v>
      </x:c>
      <x:c r="K21" s="93" t="str">
        <x:v>No</x:v>
      </x:c>
      <x:c r="L21" s="93" t="str">
        <x:v>No</x:v>
      </x:c>
      <x:c r="M21" s="93" t="str">
        <x:v>No</x:v>
      </x:c>
      <x:c r="N21" s="93" t="str">
        <x:v>401,503</x:v>
      </x:c>
      <x:c r="O21" s="93" t="str">
        <x:v>Yes</x:v>
      </x:c>
      <x:c r="P21" s="94" t="str">
        <x:v>Inventory/config read model</x:v>
      </x:c>
    </x:row>
    <x:row r="22">
      <x:c r="A22" s="95" t="str">
        <x:v>GET</x:v>
      </x:c>
      <x:c r="B22" s="96" t="str">
        <x:v>/v1/buildings/{id}/modules</x:v>
      </x:c>
      <x:c r="C22" s="96" t="str">
        <x:v>Module/Building</x:v>
      </x:c>
      <x:c r="D22" s="96" t="str">
        <x:v>Owner</x:v>
      </x:c>
      <x:c r="E22" s="96" t="str">
        <x:v>No</x:v>
      </x:c>
      <x:c r="F22" s="96" t="str">
        <x:v>No</x:v>
      </x:c>
      <x:c r="G22" s="96" t="str">
        <x:v>building id</x:v>
      </x:c>
      <x:c r="H22" s="96" t="str">
        <x:v>slots,loadout,effective modifiers,loadout_version</x:v>
      </x:c>
      <x:c r="I22" s="96" t="str">
        <x:v>200ms</x:v>
      </x:c>
      <x:c r="J22" s="96" t="str">
        <x:v>120/min</x:v>
      </x:c>
      <x:c r="K22" s="96" t="str">
        <x:v>No</x:v>
      </x:c>
      <x:c r="L22" s="96" t="str">
        <x:v>No</x:v>
      </x:c>
      <x:c r="M22" s="96" t="str">
        <x:v>No</x:v>
      </x:c>
      <x:c r="N22" s="96" t="str">
        <x:v>404,503</x:v>
      </x:c>
      <x:c r="O22" s="96" t="str">
        <x:v>Yes</x:v>
      </x:c>
      <x:c r="P22" s="97" t="str"/>
    </x:row>
    <x:row r="23">
      <x:c r="A23" s="95" t="str">
        <x:v>POST</x:v>
      </x:c>
      <x:c r="B23" s="96" t="str">
        <x:v>/v1/buildings/{id}/modules/equip</x:v>
      </x:c>
      <x:c r="C23" s="96" t="str">
        <x:v>Module</x:v>
      </x:c>
      <x:c r="D23" s="96" t="str">
        <x:v>Owner</x:v>
      </x:c>
      <x:c r="E23" s="96" t="str">
        <x:v>Yes</x:v>
      </x:c>
      <x:c r="F23" s="96" t="str">
        <x:v>Yes</x:v>
      </x:c>
      <x:c r="G23" s="96" t="str">
        <x:v>slot,module_id,expected_loadout_version,idempotency_key</x:v>
      </x:c>
      <x:c r="H23" s="96" t="str">
        <x:v>new loadout,effective_at,effective preview</x:v>
      </x:c>
      <x:c r="I23" s="96" t="str">
        <x:v>500ms</x:v>
      </x:c>
      <x:c r="J23" s="96" t="str">
        <x:v>30/min</x:v>
      </x:c>
      <x:c r="K23" s="96" t="str">
        <x:v>Yes</x:v>
      </x:c>
      <x:c r="L23" s="96" t="str">
        <x:v>loadout audit + inventory counters</x:v>
      </x:c>
      <x:c r="M23" s="96" t="str">
        <x:v>No</x:v>
      </x:c>
      <x:c r="N23" s="96" t="str">
        <x:v>409 version,422 incompatible,423 event lock</x:v>
      </x:c>
      <x:c r="O23" s="96" t="str">
        <x:v>Yes</x:v>
      </x:c>
      <x:c r="P23" s="97" t="str">
        <x:v>Atomic inventory/loadout mutation</x:v>
      </x:c>
    </x:row>
    <x:row r="24">
      <x:c r="A24" s="95" t="str">
        <x:v>POST</x:v>
      </x:c>
      <x:c r="B24" s="96" t="str">
        <x:v>/v1/buildings/{id}/modules/unequip</x:v>
      </x:c>
      <x:c r="C24" s="96" t="str">
        <x:v>Module</x:v>
      </x:c>
      <x:c r="D24" s="96" t="str">
        <x:v>Owner</x:v>
      </x:c>
      <x:c r="E24" s="96" t="str">
        <x:v>Yes</x:v>
      </x:c>
      <x:c r="F24" s="96" t="str">
        <x:v>Yes</x:v>
      </x:c>
      <x:c r="G24" s="96" t="str">
        <x:v>slot,expected_loadout_version,idempotency_key</x:v>
      </x:c>
      <x:c r="H24" s="96" t="str">
        <x:v>new loadout,effective_at</x:v>
      </x:c>
      <x:c r="I24" s="96" t="str">
        <x:v>500ms</x:v>
      </x:c>
      <x:c r="J24" s="96" t="str">
        <x:v>30/min</x:v>
      </x:c>
      <x:c r="K24" s="96" t="str">
        <x:v>Yes</x:v>
      </x:c>
      <x:c r="L24" s="96" t="str">
        <x:v>loadout audit + inventory counters</x:v>
      </x:c>
      <x:c r="M24" s="96" t="str">
        <x:v>No</x:v>
      </x:c>
      <x:c r="N24" s="96" t="str">
        <x:v>409,423</x:v>
      </x:c>
      <x:c r="O24" s="96" t="str">
        <x:v>Yes</x:v>
      </x:c>
      <x:c r="P24" s="97" t="str"/>
    </x:row>
    <x:row r="25">
      <x:c r="A25" s="95" t="str">
        <x:v>GET</x:v>
      </x:c>
      <x:c r="B25" s="96" t="str">
        <x:v>/v1/building-mastery</x:v>
      </x:c>
      <x:c r="C25" s="96" t="str">
        <x:v>Module</x:v>
      </x:c>
      <x:c r="D25" s="96" t="str">
        <x:v>Owner</x:v>
      </x:c>
      <x:c r="E25" s="96" t="str">
        <x:v>No</x:v>
      </x:c>
      <x:c r="F25" s="96" t="str">
        <x:v>No</x:v>
      </x:c>
      <x:c r="G25" s="96" t="str">
        <x:v>building_type optional</x:v>
      </x:c>
      <x:c r="H25" s="96" t="str">
        <x:v>tiers,progress,quality gates,claim state</x:v>
      </x:c>
      <x:c r="I25" s="96" t="str">
        <x:v>200ms</x:v>
      </x:c>
      <x:c r="J25" s="96" t="str">
        <x:v>60/min</x:v>
      </x:c>
      <x:c r="K25" s="96" t="str">
        <x:v>No</x:v>
      </x:c>
      <x:c r="L25" s="96" t="str">
        <x:v>No</x:v>
      </x:c>
      <x:c r="M25" s="96" t="str">
        <x:v>No</x:v>
      </x:c>
      <x:c r="N25" s="96" t="str">
        <x:v>503</x:v>
      </x:c>
      <x:c r="O25" s="96" t="str">
        <x:v>P1</x:v>
      </x:c>
      <x:c r="P25" s="97" t="str"/>
    </x:row>
    <x:row r="26">
      <x:c r="A26" s="95" t="str">
        <x:v>POST</x:v>
      </x:c>
      <x:c r="B26" s="96" t="str">
        <x:v>/v1/building-mastery/{tier}/claim</x:v>
      </x:c>
      <x:c r="C26" s="96" t="str">
        <x:v>Module/Reward</x:v>
      </x:c>
      <x:c r="D26" s="96" t="str">
        <x:v>Owner</x:v>
      </x:c>
      <x:c r="E26" s="96" t="str">
        <x:v>Yes</x:v>
      </x:c>
      <x:c r="F26" s="96" t="str">
        <x:v>Yes</x:v>
      </x:c>
      <x:c r="G26" s="96" t="str">
        <x:v>building_type,choice_id,idempotency_key</x:v>
      </x:c>
      <x:c r="H26" s="96" t="str">
        <x:v>reward result,inventory</x:v>
      </x:c>
      <x:c r="I26" s="96" t="str">
        <x:v>500ms</x:v>
      </x:c>
      <x:c r="J26" s="96" t="str">
        <x:v>10/min</x:v>
      </x:c>
      <x:c r="K26" s="96" t="str">
        <x:v>Yes</x:v>
      </x:c>
      <x:c r="L26" s="96" t="str">
        <x:v>mastery + reward ledgers</x:v>
      </x:c>
      <x:c r="M26" s="96" t="str">
        <x:v>No</x:v>
      </x:c>
      <x:c r="N26" s="96" t="str">
        <x:v>409 claimed,422 incomplete</x:v>
      </x:c>
      <x:c r="O26" s="96" t="str">
        <x:v>P1</x:v>
      </x:c>
      <x:c r="P26" s="97" t="str">
        <x:v>Exactly once</x:v>
      </x:c>
    </x:row>
    <x:row r="27">
      <x:c r="A27" s="95" t="str">
        <x:v>POST</x:v>
      </x:c>
      <x:c r="B27" s="96" t="str">
        <x:v>/v1/modules/dismantle</x:v>
      </x:c>
      <x:c r="C27" s="96" t="str">
        <x:v>Module</x:v>
      </x:c>
      <x:c r="D27" s="96" t="str">
        <x:v>Owner</x:v>
      </x:c>
      <x:c r="E27" s="96" t="str">
        <x:v>Yes</x:v>
      </x:c>
      <x:c r="F27" s="96" t="str">
        <x:v>Yes</x:v>
      </x:c>
      <x:c r="G27" s="96" t="str">
        <x:v>module_id,qty,idempotency_key</x:v>
      </x:c>
      <x:c r="H27" s="96" t="str">
        <x:v>inventory + Parts balance</x:v>
      </x:c>
      <x:c r="I27" s="96" t="str">
        <x:v>500ms</x:v>
      </x:c>
      <x:c r="J27" s="96" t="str">
        <x:v>20/min</x:v>
      </x:c>
      <x:c r="K27" s="96" t="str">
        <x:v>Yes</x:v>
      </x:c>
      <x:c r="L27" s="96" t="str">
        <x:v>inventory + Parts ledgers</x:v>
      </x:c>
      <x:c r="M27" s="96" t="str">
        <x:v>No</x:v>
      </x:c>
      <x:c r="N27" s="96" t="str">
        <x:v>409 version,422 insufficient available</x:v>
      </x:c>
      <x:c r="O27" s="96" t="str">
        <x:v>P2</x:v>
      </x:c>
      <x:c r="P27" s="97" t="str">
        <x:v>Equipped copies unavailable</x:v>
      </x:c>
    </x:row>
    <x:row r="28">
      <x:c r="A28" s="95" t="str">
        <x:v>POST</x:v>
      </x:c>
      <x:c r="B28" s="96" t="str">
        <x:v>/v1/modules/craft</x:v>
      </x:c>
      <x:c r="C28" s="96" t="str">
        <x:v>Module</x:v>
      </x:c>
      <x:c r="D28" s="96" t="str">
        <x:v>Owner</x:v>
      </x:c>
      <x:c r="E28" s="96" t="str">
        <x:v>Yes</x:v>
      </x:c>
      <x:c r="F28" s="96" t="str">
        <x:v>Yes</x:v>
      </x:c>
      <x:c r="G28" s="96" t="str">
        <x:v>module_id,idempotency_key</x:v>
      </x:c>
      <x:c r="H28" s="96" t="str">
        <x:v>craft_job,state,complete_at</x:v>
      </x:c>
      <x:c r="I28" s="96" t="str">
        <x:v>500ms</x:v>
      </x:c>
      <x:c r="J28" s="96" t="str">
        <x:v>10/min</x:v>
      </x:c>
      <x:c r="K28" s="96" t="str">
        <x:v>Yes</x:v>
      </x:c>
      <x:c r="L28" s="96" t="str">
        <x:v>Parts reservation/debit + craft ledger</x:v>
      </x:c>
      <x:c r="M28" s="96" t="str">
        <x:v>No</x:v>
      </x:c>
      <x:c r="N28" s="96" t="str">
        <x:v>409 conflict,422 locked/insufficient Parts,429 queue full</x:v>
      </x:c>
      <x:c r="O28" s="96" t="str">
        <x:v>P2</x:v>
      </x:c>
      <x:c r="P28" s="97" t="str">
        <x:v>Recipe/config pinned at start</x:v>
      </x:c>
    </x:row>
    <x:row r="29">
      <x:c r="A29" s="95" t="str">
        <x:v>POST</x:v>
      </x:c>
      <x:c r="B29" s="96" t="str">
        <x:v>/v1/modules/crafts/{id}/cancel</x:v>
      </x:c>
      <x:c r="C29" s="96" t="str">
        <x:v>Module</x:v>
      </x:c>
      <x:c r="D29" s="96" t="str">
        <x:v>Owner</x:v>
      </x:c>
      <x:c r="E29" s="96" t="str">
        <x:v>Yes</x:v>
      </x:c>
      <x:c r="F29" s="96" t="str">
        <x:v>Yes</x:v>
      </x:c>
      <x:c r="G29" s="96" t="str">
        <x:v>craft_job,expected_version,idempotency_key</x:v>
      </x:c>
      <x:c r="H29" s="96" t="str">
        <x:v>cancelled state,Parts refund</x:v>
      </x:c>
      <x:c r="I29" s="96" t="str">
        <x:v>500ms</x:v>
      </x:c>
      <x:c r="J29" s="96" t="str">
        <x:v>10/min</x:v>
      </x:c>
      <x:c r="K29" s="96" t="str">
        <x:v>Yes</x:v>
      </x:c>
      <x:c r="L29" s="96" t="str">
        <x:v>craft + Parts ledger</x:v>
      </x:c>
      <x:c r="M29" s="96" t="str">
        <x:v>No</x:v>
      </x:c>
      <x:c r="N29" s="96" t="str">
        <x:v>409 complete,422 not cancellable</x:v>
      </x:c>
      <x:c r="O29" s="96" t="str">
        <x:v>P2</x:v>
      </x:c>
      <x:c r="P29" s="97" t="str">
        <x:v>Refund policy from Module catalog/spec</x:v>
      </x:c>
    </x:row>
    <x:row r="30">
      <x:c r="A30" s="98" t="str">
        <x:v>POST</x:v>
      </x:c>
      <x:c r="B30" s="99" t="str">
        <x:v>/internal/modules/resolve-effects</x:v>
      </x:c>
      <x:c r="C30" s="99" t="str">
        <x:v>Module Runtime</x:v>
      </x:c>
      <x:c r="D30" s="99" t="str">
        <x:v>Service auth</x:v>
      </x:c>
      <x:c r="E30" s="99" t="str">
        <x:v>Yes</x:v>
      </x:c>
      <x:c r="F30" s="99" t="str">
        <x:v>Yes</x:v>
      </x:c>
      <x:c r="G30" s="99" t="str">
        <x:v>building_id,context,tick/bucket,loadout_version</x:v>
      </x:c>
      <x:c r="H30" s="99" t="str">
        <x:v>effective modifier vector + trace ref</x:v>
      </x:c>
      <x:c r="I30" s="99" t="str">
        <x:v>Internal</x:v>
      </x:c>
      <x:c r="J30" s="99" t="str">
        <x:v>Worker controlled</x:v>
      </x:c>
      <x:c r="K30" s="99" t="str">
        <x:v>Compute</x:v>
      </x:c>
      <x:c r="L30" s="99" t="str">
        <x:v>Trace/audit optional</x:v>
      </x:c>
      <x:c r="M30" s="99" t="str">
        <x:v>No</x:v>
      </x:c>
      <x:c r="N30" s="99" t="str">
        <x:v>CONFIG_INVALID,VERSION_CONFLICT</x:v>
      </x:c>
      <x:c r="O30" s="99" t="str">
        <x:v>Yes</x:v>
      </x:c>
      <x:c r="P30" s="100" t="str">
        <x:v>Normally called in-process; endpoint is logical contract</x:v>
      </x:c>
    </x:row>
  </x:sheetData>
  <x:mergeCells>
    <x:mergeCell ref="A1:P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86" t="str">
        <x:v>Queue / Stream Topology &amp; Consumer Guarantees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</x:row>
    <x:row r="3">
      <x:c r="A3" s="14" t="str">
        <x:v>Topic / Queue</x:v>
      </x:c>
      <x:c r="B3" s="14" t="str">
        <x:v>Producer</x:v>
      </x:c>
      <x:c r="C3" s="14" t="str">
        <x:v>Consumers</x:v>
      </x:c>
      <x:c r="D3" s="14" t="str">
        <x:v>Partition Key</x:v>
      </x:c>
      <x:c r="E3" s="14" t="str">
        <x:v>Ordering Needed?</x:v>
      </x:c>
      <x:c r="F3" s="14" t="str">
        <x:v>Delivery</x:v>
      </x:c>
      <x:c r="G3" s="14" t="str">
        <x:v>Max Retry</x:v>
      </x:c>
      <x:c r="H3" s="14" t="str">
        <x:v>Dead-Letter</x:v>
      </x:c>
      <x:c r="I3" s="14" t="str">
        <x:v>Backoff</x:v>
      </x:c>
      <x:c r="J3" s="14" t="str">
        <x:v>Lag Alert</x:v>
      </x:c>
      <x:c r="K3" s="14" t="str">
        <x:v>Settlement Critical?</x:v>
      </x:c>
      <x:c r="L3" s="14" t="str">
        <x:v>Replay Window</x:v>
      </x:c>
      <x:c r="M3" s="14" t="str">
        <x:v>Payload Size Target</x:v>
      </x:c>
      <x:c r="N3" s="14" t="str">
        <x:v>Notes</x:v>
      </x:c>
    </x:row>
    <x:row r="4">
      <x:c r="A4" s="34" t="str">
        <x:v>gameplay.domain-events</x:v>
      </x:c>
      <x:c r="B4" s="35" t="str">
        <x:v>All domains</x:v>
      </x:c>
      <x:c r="C4" s="35" t="str">
        <x:v>Analytics, notifications, derived services</x:v>
      </x:c>
      <x:c r="D4" s="35" t="str">
        <x:v>player_id</x:v>
      </x:c>
      <x:c r="E4" s="35" t="str">
        <x:v>Per player helpful</x:v>
      </x:c>
      <x:c r="F4" s="35" t="str">
        <x:v>At-least-once</x:v>
      </x:c>
      <x:c r="G4" s="35" t="n">
        <x:v>10</x:v>
      </x:c>
      <x:c r="H4" s="35" t="str">
        <x:v>Yes</x:v>
      </x:c>
      <x:c r="I4" s="35" t="str">
        <x:v>Exponential</x:v>
      </x:c>
      <x:c r="J4" s="35" t="str">
        <x:v>&lt;60s</x:v>
      </x:c>
      <x:c r="K4" s="35" t="str">
        <x:v>Some</x:v>
      </x:c>
      <x:c r="L4" s="35" t="str">
        <x:v>7d+</x:v>
      </x:c>
      <x:c r="M4" s="35" t="str">
        <x:v>&lt;32KB</x:v>
      </x:c>
      <x:c r="N4" s="36" t="str">
        <x:v>Generic event stream</x:v>
      </x:c>
    </x:row>
    <x:row r="5">
      <x:c r="A5" s="37" t="str">
        <x:v>economy.ticks</x:v>
      </x:c>
      <x:c r="B5" s="22" t="str">
        <x:v>Scheduler</x:v>
      </x:c>
      <x:c r="C5" s="22" t="str">
        <x:v>Economy workers</x:v>
      </x:c>
      <x:c r="D5" s="22" t="str">
        <x:v>player_id</x:v>
      </x:c>
      <x:c r="E5" s="22" t="str">
        <x:v>Yes per player/tick</x:v>
      </x:c>
      <x:c r="F5" s="22" t="str">
        <x:v>At-least-once</x:v>
      </x:c>
      <x:c r="G5" s="22" t="n">
        <x:v>20</x:v>
      </x:c>
      <x:c r="H5" s="22" t="str">
        <x:v>Yes</x:v>
      </x:c>
      <x:c r="I5" s="22" t="str">
        <x:v>Short exponential</x:v>
      </x:c>
      <x:c r="J5" s="22" t="str">
        <x:v>&lt;1 tick</x:v>
      </x:c>
      <x:c r="K5" s="22" t="str">
        <x:v>Critical</x:v>
      </x:c>
      <x:c r="L5" s="22" t="str">
        <x:v>24h</x:v>
      </x:c>
      <x:c r="M5" s="22" t="str">
        <x:v>&lt;4KB</x:v>
      </x:c>
      <x:c r="N5" s="38" t="str">
        <x:v>Idempotent tick id</x:v>
      </x:c>
    </x:row>
    <x:row r="6">
      <x:c r="A6" s="37" t="str">
        <x:v>customer.refresh</x:v>
      </x:c>
      <x:c r="B6" s="22" t="str">
        <x:v>Scheduler</x:v>
      </x:c>
      <x:c r="C6" s="22" t="str">
        <x:v>Customer workers</x:v>
      </x:c>
      <x:c r="D6" s="22" t="str">
        <x:v>player_id</x:v>
      </x:c>
      <x:c r="E6" s="22" t="str">
        <x:v>Yes per player</x:v>
      </x:c>
      <x:c r="F6" s="22" t="str">
        <x:v>At-least-once</x:v>
      </x:c>
      <x:c r="G6" s="22" t="n">
        <x:v>20</x:v>
      </x:c>
      <x:c r="H6" s="22" t="str">
        <x:v>Yes</x:v>
      </x:c>
      <x:c r="I6" s="22" t="str">
        <x:v>Short</x:v>
      </x:c>
      <x:c r="J6" s="22" t="str">
        <x:v>&lt;15 min</x:v>
      </x:c>
      <x:c r="K6" s="22" t="str">
        <x:v>Critical</x:v>
      </x:c>
      <x:c r="L6" s="22" t="str">
        <x:v>24h</x:v>
      </x:c>
      <x:c r="M6" s="22" t="str">
        <x:v>&lt;4KB</x:v>
      </x:c>
      <x:c r="N6" s="38" t="str"/>
    </x:row>
    <x:row r="7">
      <x:c r="A7" s="37" t="str">
        <x:v>risk.evaluate</x:v>
      </x:c>
      <x:c r="B7" s="22" t="str">
        <x:v>Economy/Event/Layout</x:v>
      </x:c>
      <x:c r="C7" s="22" t="str">
        <x:v>Risk workers</x:v>
      </x:c>
      <x:c r="D7" s="22" t="str">
        <x:v>player_id</x:v>
      </x:c>
      <x:c r="E7" s="22" t="str">
        <x:v>Latest-wins but ordered preferred</x:v>
      </x:c>
      <x:c r="F7" s="22" t="str">
        <x:v>At-least-once</x:v>
      </x:c>
      <x:c r="G7" s="22" t="n">
        <x:v>10</x:v>
      </x:c>
      <x:c r="H7" s="22" t="str">
        <x:v>Yes</x:v>
      </x:c>
      <x:c r="I7" s="22" t="str">
        <x:v>Short</x:v>
      </x:c>
      <x:c r="J7" s="22" t="str">
        <x:v>&lt;15 min</x:v>
      </x:c>
      <x:c r="K7" s="22" t="str">
        <x:v>Critical</x:v>
      </x:c>
      <x:c r="L7" s="22" t="str">
        <x:v>24h</x:v>
      </x:c>
      <x:c r="M7" s="22" t="str">
        <x:v>&lt;8KB</x:v>
      </x:c>
      <x:c r="N7" s="38" t="str">
        <x:v>Coalesce duplicate triggers</x:v>
      </x:c>
    </x:row>
    <x:row r="8">
      <x:c r="A8" s="37" t="str">
        <x:v>events.schedule</x:v>
      </x:c>
      <x:c r="B8" s="22" t="str">
        <x:v>Scheduler</x:v>
      </x:c>
      <x:c r="C8" s="22" t="str">
        <x:v>Event workers</x:v>
      </x:c>
      <x:c r="D8" s="22" t="str">
        <x:v>scope/id</x:v>
      </x:c>
      <x:c r="E8" s="22" t="str">
        <x:v>Yes</x:v>
      </x:c>
      <x:c r="F8" s="22" t="str">
        <x:v>At-least-once</x:v>
      </x:c>
      <x:c r="G8" s="22" t="n">
        <x:v>10</x:v>
      </x:c>
      <x:c r="H8" s="22" t="str">
        <x:v>Yes</x:v>
      </x:c>
      <x:c r="I8" s="22" t="str">
        <x:v>Short</x:v>
      </x:c>
      <x:c r="J8" s="22" t="str">
        <x:v>&lt;5 min</x:v>
      </x:c>
      <x:c r="K8" s="22" t="str">
        <x:v>High</x:v>
      </x:c>
      <x:c r="L8" s="22" t="str">
        <x:v>7d</x:v>
      </x:c>
      <x:c r="M8" s="22" t="str">
        <x:v>&lt;8KB</x:v>
      </x:c>
      <x:c r="N8" s="38" t="str"/>
    </x:row>
    <x:row r="9">
      <x:c r="A9" s="37" t="str">
        <x:v>hunts.evaluate</x:v>
      </x:c>
      <x:c r="B9" s="22" t="str">
        <x:v>Activity stream</x:v>
      </x:c>
      <x:c r="C9" s="22" t="str">
        <x:v>Hunt workers</x:v>
      </x:c>
      <x:c r="D9" s="22" t="str">
        <x:v>player_id</x:v>
      </x:c>
      <x:c r="E9" s="22" t="str">
        <x:v>Per player</x:v>
      </x:c>
      <x:c r="F9" s="22" t="str">
        <x:v>At-least-once</x:v>
      </x:c>
      <x:c r="G9" s="22" t="n">
        <x:v>20</x:v>
      </x:c>
      <x:c r="H9" s="22" t="str">
        <x:v>Yes</x:v>
      </x:c>
      <x:c r="I9" s="22" t="str">
        <x:v>Short</x:v>
      </x:c>
      <x:c r="J9" s="22" t="str">
        <x:v>&lt;1 min</x:v>
      </x:c>
      <x:c r="K9" s="22" t="str">
        <x:v>High</x:v>
      </x:c>
      <x:c r="L9" s="22" t="str">
        <x:v>24h</x:v>
      </x:c>
      <x:c r="M9" s="22" t="str">
        <x:v>&lt;8KB</x:v>
      </x:c>
      <x:c r="N9" s="38" t="str">
        <x:v>Use event cursors</x:v>
      </x:c>
    </x:row>
    <x:row r="10">
      <x:c r="A10" s="37" t="str">
        <x:v>rewards.issue</x:v>
      </x:c>
      <x:c r="B10" s="22" t="str">
        <x:v>Hunt/Event/Settlement</x:v>
      </x:c>
      <x:c r="C10" s="22" t="str">
        <x:v>Reward workers</x:v>
      </x:c>
      <x:c r="D10" s="22" t="str">
        <x:v>player_id</x:v>
      </x:c>
      <x:c r="E10" s="22" t="str">
        <x:v>Per reward source</x:v>
      </x:c>
      <x:c r="F10" s="22" t="str">
        <x:v>At-least-once + idempotent</x:v>
      </x:c>
      <x:c r="G10" s="22" t="str">
        <x:v>30</x:v>
      </x:c>
      <x:c r="H10" s="22" t="str">
        <x:v>Yes</x:v>
      </x:c>
      <x:c r="I10" s="22" t="str">
        <x:v>Longer provider backoff</x:v>
      </x:c>
      <x:c r="J10" s="22" t="str">
        <x:v>&lt;5 min</x:v>
      </x:c>
      <x:c r="K10" s="22" t="str">
        <x:v>Critical</x:v>
      </x:c>
      <x:c r="L10" s="22" t="str">
        <x:v>30d</x:v>
      </x:c>
      <x:c r="M10" s="22" t="str">
        <x:v>&lt;16KB</x:v>
      </x:c>
      <x:c r="N10" s="38" t="str">
        <x:v>Never duplicate issuance</x:v>
      </x:c>
    </x:row>
    <x:row r="11">
      <x:c r="A11" s="37" t="str">
        <x:v>chain.reconcile</x:v>
      </x:c>
      <x:c r="B11" s="22" t="str">
        <x:v>Chain listener</x:v>
      </x:c>
      <x:c r="C11" s="22" t="str">
        <x:v>Plot/Reward</x:v>
      </x:c>
      <x:c r="D11" s="22" t="str">
        <x:v>token/wallet</x:v>
      </x:c>
      <x:c r="E11" s="22" t="str">
        <x:v>Block order</x:v>
      </x:c>
      <x:c r="F11" s="22" t="str">
        <x:v>At-least-once</x:v>
      </x:c>
      <x:c r="G11" s="22" t="n">
        <x:v>50</x:v>
      </x:c>
      <x:c r="H11" s="22" t="str">
        <x:v>Yes</x:v>
      </x:c>
      <x:c r="I11" s="22" t="str">
        <x:v>Provider-aware</x:v>
      </x:c>
      <x:c r="J11" s="22" t="str">
        <x:v>&lt;2 min</x:v>
      </x:c>
      <x:c r="K11" s="22" t="str">
        <x:v>Critical</x:v>
      </x:c>
      <x:c r="L11" s="22" t="str">
        <x:v>Permanent cursor</x:v>
      </x:c>
      <x:c r="M11" s="22" t="str">
        <x:v>&lt;16KB</x:v>
      </x:c>
      <x:c r="N11" s="38" t="str">
        <x:v>Reorg-aware</x:v>
      </x:c>
    </x:row>
    <x:row r="12">
      <x:c r="A12" s="37" t="str">
        <x:v>settlement.jobs</x:v>
      </x:c>
      <x:c r="B12" s="22" t="str">
        <x:v>Scheduler</x:v>
      </x:c>
      <x:c r="C12" s="22" t="str">
        <x:v>Performance/Competition workers</x:v>
      </x:c>
      <x:c r="D12" s="22" t="str">
        <x:v>epoch_id</x:v>
      </x:c>
      <x:c r="E12" s="22" t="str">
        <x:v>Strict phase order</x:v>
      </x:c>
      <x:c r="F12" s="22" t="str">
        <x:v>At-least-once + locks</x:v>
      </x:c>
      <x:c r="G12" s="22" t="str">
        <x:v>20</x:v>
      </x:c>
      <x:c r="H12" s="22" t="str">
        <x:v>Yes</x:v>
      </x:c>
      <x:c r="I12" s="22" t="str">
        <x:v>Controlled</x:v>
      </x:c>
      <x:c r="J12" s="22" t="str">
        <x:v>Phase SLA</x:v>
      </x:c>
      <x:c r="K12" s="22" t="str">
        <x:v>Critical</x:v>
      </x:c>
      <x:c r="L12" s="22" t="str">
        <x:v>Permanent</x:v>
      </x:c>
      <x:c r="M12" s="22" t="str">
        <x:v>&lt;8KB</x:v>
      </x:c>
      <x:c r="N12" s="38" t="str">
        <x:v>State machine guarded</x:v>
      </x:c>
    </x:row>
    <x:row r="13">
      <x:c r="A13" s="39" t="str">
        <x:v>notifications</x:v>
      </x:c>
      <x:c r="B13" s="40" t="str">
        <x:v>All domains</x:v>
      </x:c>
      <x:c r="C13" s="40" t="str">
        <x:v>Notification workers</x:v>
      </x:c>
      <x:c r="D13" s="40" t="str">
        <x:v>player_id</x:v>
      </x:c>
      <x:c r="E13" s="40" t="str">
        <x:v>No strict economy ordering</x:v>
      </x:c>
      <x:c r="F13" s="40" t="str">
        <x:v>At-least-once</x:v>
      </x:c>
      <x:c r="G13" s="40" t="n">
        <x:v>5</x:v>
      </x:c>
      <x:c r="H13" s="40" t="str">
        <x:v>Yes</x:v>
      </x:c>
      <x:c r="I13" s="40" t="str">
        <x:v>Exponential</x:v>
      </x:c>
      <x:c r="J13" s="40" t="str">
        <x:v>&lt;5 min</x:v>
      </x:c>
      <x:c r="K13" s="40" t="str">
        <x:v>No</x:v>
      </x:c>
      <x:c r="L13" s="40" t="str">
        <x:v>24h</x:v>
      </x:c>
      <x:c r="M13" s="40" t="str">
        <x:v>&lt;16KB</x:v>
      </x:c>
      <x:c r="N13" s="41" t="str">
        <x:v>May drop low-priority after expiry</x:v>
      </x:c>
    </x:row>
    <x:row r="14">
      <x:c r="A14" s="92" t="str">
        <x:v>modules.domain-events</x:v>
      </x:c>
      <x:c r="B14" s="93" t="str">
        <x:v>Module</x:v>
      </x:c>
      <x:c r="C14" s="93" t="str">
        <x:v>Economy,Customer,Risk,UI,Analytics</x:v>
      </x:c>
      <x:c r="D14" s="93" t="str">
        <x:v>player_id</x:v>
      </x:c>
      <x:c r="E14" s="93" t="str">
        <x:v>Per player/building helpful</x:v>
      </x:c>
      <x:c r="F14" s="93" t="str">
        <x:v>At-least-once + idempotent</x:v>
      </x:c>
      <x:c r="G14" s="93" t="n">
        <x:v>20</x:v>
      </x:c>
      <x:c r="H14" s="93" t="str">
        <x:v>Yes</x:v>
      </x:c>
      <x:c r="I14" s="93" t="str">
        <x:v>Short exponential</x:v>
      </x:c>
      <x:c r="J14" s="93" t="str">
        <x:v>&lt;60s</x:v>
      </x:c>
      <x:c r="K14" s="93" t="str">
        <x:v>High lineage</x:v>
      </x:c>
      <x:c r="L14" s="93" t="str">
        <x:v>30d+</x:v>
      </x:c>
      <x:c r="M14" s="93" t="str">
        <x:v>&lt;16KB</x:v>
      </x:c>
      <x:c r="N14" s="94" t="str">
        <x:v>Acquired/equipped/unequipped/crafted/mastery events</x:v>
      </x:c>
    </x:row>
    <x:row r="15">
      <x:c r="A15" s="95" t="str">
        <x:v>modules.mastery-project</x:v>
      </x:c>
      <x:c r="B15" s="96" t="str">
        <x:v>Economy/Customer/Risk activity streams</x:v>
      </x:c>
      <x:c r="C15" s="96" t="str">
        <x:v>Mastery projector</x:v>
      </x:c>
      <x:c r="D15" s="96" t="str">
        <x:v>player_id</x:v>
      </x:c>
      <x:c r="E15" s="96" t="str">
        <x:v>Per player</x:v>
      </x:c>
      <x:c r="F15" s="96" t="str">
        <x:v>At-least-once</x:v>
      </x:c>
      <x:c r="G15" s="96" t="n">
        <x:v>20</x:v>
      </x:c>
      <x:c r="H15" s="96" t="str">
        <x:v>Yes</x:v>
      </x:c>
      <x:c r="I15" s="96" t="str">
        <x:v>Short</x:v>
      </x:c>
      <x:c r="J15" s="96" t="str">
        <x:v>&lt;15 min</x:v>
      </x:c>
      <x:c r="K15" s="96" t="str">
        <x:v>No direct</x:v>
      </x:c>
      <x:c r="L15" s="96" t="str">
        <x:v>7d+</x:v>
      </x:c>
      <x:c r="M15" s="96" t="str">
        <x:v>&lt;8KB</x:v>
      </x:c>
      <x:c r="N15" s="97" t="str">
        <x:v>Dedupe by evidence event/tier</x:v>
      </x:c>
    </x:row>
    <x:row r="16">
      <x:c r="A16" s="95" t="str">
        <x:v>modules.craft-complete</x:v>
      </x:c>
      <x:c r="B16" s="96" t="str">
        <x:v>Scheduler</x:v>
      </x:c>
      <x:c r="C16" s="96" t="str">
        <x:v>Module worker</x:v>
      </x:c>
      <x:c r="D16" s="96" t="str">
        <x:v>player_id</x:v>
      </x:c>
      <x:c r="E16" s="96" t="str">
        <x:v>Per craft job</x:v>
      </x:c>
      <x:c r="F16" s="96" t="str">
        <x:v>At-least-once + idempotent</x:v>
      </x:c>
      <x:c r="G16" s="96" t="n">
        <x:v>20</x:v>
      </x:c>
      <x:c r="H16" s="96" t="str">
        <x:v>Yes</x:v>
      </x:c>
      <x:c r="I16" s="96" t="str">
        <x:v>Short</x:v>
      </x:c>
      <x:c r="J16" s="96" t="str">
        <x:v>&lt;5 min</x:v>
      </x:c>
      <x:c r="K16" s="96" t="str">
        <x:v>No direct</x:v>
      </x:c>
      <x:c r="L16" s="96" t="str">
        <x:v>30d</x:v>
      </x:c>
      <x:c r="M16" s="96" t="str">
        <x:v>&lt;8KB</x:v>
      </x:c>
      <x:c r="N16" s="97" t="str">
        <x:v>Exactly-once inventory grant from craft_job_id</x:v>
      </x:c>
    </x:row>
    <x:row r="17">
      <x:c r="A17" s="98" t="str">
        <x:v>modules.reward-grant</x:v>
      </x:c>
      <x:c r="B17" s="99" t="str">
        <x:v>Hunt/Event/Mastery/Season</x:v>
      </x:c>
      <x:c r="C17" s="99" t="str">
        <x:v>Module Reward worker</x:v>
      </x:c>
      <x:c r="D17" s="99" t="str">
        <x:v>player_id</x:v>
      </x:c>
      <x:c r="E17" s="99" t="str">
        <x:v>Per source event</x:v>
      </x:c>
      <x:c r="F17" s="99" t="str">
        <x:v>At-least-once + idempotent</x:v>
      </x:c>
      <x:c r="G17" s="99" t="n">
        <x:v>30</x:v>
      </x:c>
      <x:c r="H17" s="99" t="str">
        <x:v>Yes</x:v>
      </x:c>
      <x:c r="I17" s="99" t="str">
        <x:v>Short</x:v>
      </x:c>
      <x:c r="J17" s="99" t="str">
        <x:v>&lt;5 min</x:v>
      </x:c>
      <x:c r="K17" s="99" t="str">
        <x:v>Lineage only</x:v>
      </x:c>
      <x:c r="L17" s="99" t="str">
        <x:v>30d</x:v>
      </x:c>
      <x:c r="M17" s="99" t="str">
        <x:v>&lt;8KB</x:v>
      </x:c>
      <x:c r="N17" s="100" t="str">
        <x:v>Unique source_event prevents duplicate Module acquisition</x:v>
      </x:c>
    </x:row>
  </x:sheetData>
  <x:mergeCells>
    <x:mergeCell ref="A1:N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Scheduled Jobs, Ticks &amp; Background Processing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</x:row>
    <x:row r="3">
      <x:c r="A3" s="14" t="str">
        <x:v>Job</x:v>
      </x:c>
      <x:c r="B3" s="14" t="str">
        <x:v>Cadence</x:v>
      </x:c>
      <x:c r="C3" s="14" t="str">
        <x:v>Scope</x:v>
      </x:c>
      <x:c r="D3" s="14" t="str">
        <x:v>Trigger</x:v>
      </x:c>
      <x:c r="E3" s="14" t="str">
        <x:v>Lock Key</x:v>
      </x:c>
      <x:c r="F3" s="14" t="str">
        <x:v>Idempotency Key</x:v>
      </x:c>
      <x:c r="G3" s="14" t="str">
        <x:v>Max Runtime</x:v>
      </x:c>
      <x:c r="H3" s="14" t="str">
        <x:v>Concurrency</x:v>
      </x:c>
      <x:c r="I3" s="14" t="str">
        <x:v>Reads</x:v>
      </x:c>
      <x:c r="J3" s="14" t="str">
        <x:v>Writes</x:v>
      </x:c>
      <x:c r="K3" s="14" t="str">
        <x:v>Retry Policy</x:v>
      </x:c>
      <x:c r="L3" s="14" t="str">
        <x:v>Late Job Handling</x:v>
      </x:c>
      <x:c r="M3" s="14" t="str">
        <x:v>Player Visible?</x:v>
      </x:c>
      <x:c r="N3" s="14" t="str">
        <x:v>Criticality</x:v>
      </x:c>
      <x:c r="O3" s="14" t="str">
        <x:v>Notes</x:v>
      </x:c>
    </x:row>
    <x:row r="4">
      <x:c r="A4" s="34" t="str">
        <x:v>Economy Tick</x:v>
      </x:c>
      <x:c r="B4" s="35" t="str">
        <x:v>Every 5 min</x:v>
      </x:c>
      <x:c r="C4" s="35" t="str">
        <x:v>Active/offline-eligible players</x:v>
      </x:c>
      <x:c r="D4" s="35" t="str">
        <x:v>Scheduler bucket</x:v>
      </x:c>
      <x:c r="E4" s="35" t="str">
        <x:v>player+tick</x:v>
      </x:c>
      <x:c r="F4" s="35" t="str">
        <x:v>player+tick_at</x:v>
      </x:c>
      <x:c r="G4" s="64" t="n">
        <x:v>120</x:v>
      </x:c>
      <x:c r="H4" s="35" t="str">
        <x:v>Partitioned</x:v>
      </x:c>
      <x:c r="I4" s="35" t="str">
        <x:v>layout,customers,events,risk</x:v>
      </x:c>
      <x:c r="J4" s="35" t="str">
        <x:v>cash/activity ledgers + economy state</x:v>
      </x:c>
      <x:c r="K4" s="35" t="str">
        <x:v>Retry until tick expiry</x:v>
      </x:c>
      <x:c r="L4" s="35" t="str">
        <x:v>Catch up sequentially to max offline cap</x:v>
      </x:c>
      <x:c r="M4" s="35" t="str">
        <x:v>Indirect</x:v>
      </x:c>
      <x:c r="N4" s="35" t="str">
        <x:v>Critical</x:v>
      </x:c>
      <x:c r="O4" s="36" t="str"/>
    </x:row>
    <x:row r="5">
      <x:c r="A5" s="37" t="str">
        <x:v>Customer Refresh</x:v>
      </x:c>
      <x:c r="B5" s="22" t="str">
        <x:v>Every 15 min</x:v>
      </x:c>
      <x:c r="C5" s="22" t="str">
        <x:v>Active/offline-eligible players</x:v>
      </x:c>
      <x:c r="D5" s="22" t="str">
        <x:v>Scheduler bucket</x:v>
      </x:c>
      <x:c r="E5" s="22" t="str">
        <x:v>player+bucket</x:v>
      </x:c>
      <x:c r="F5" s="22" t="str">
        <x:v>player+customer_bucket</x:v>
      </x:c>
      <x:c r="G5" s="65" t="n">
        <x:v>180</x:v>
      </x:c>
      <x:c r="H5" s="22" t="str">
        <x:v>Partitioned</x:v>
      </x:c>
      <x:c r="I5" s="22" t="str">
        <x:v>demand,rep,service,capacity,events</x:v>
      </x:c>
      <x:c r="J5" s="22" t="str">
        <x:v>customer deltas/snapshot</x:v>
      </x:c>
      <x:c r="K5" s="22" t="str">
        <x:v>Retry</x:v>
      </x:c>
      <x:c r="L5" s="22" t="str">
        <x:v>Catch up capped</x:v>
      </x:c>
      <x:c r="M5" s="22" t="str">
        <x:v>Yes</x:v>
      </x:c>
      <x:c r="N5" s="22" t="str">
        <x:v>Critical</x:v>
      </x:c>
      <x:c r="O5" s="38" t="str"/>
    </x:row>
    <x:row r="6">
      <x:c r="A6" s="37" t="str">
        <x:v>Risk Evaluate</x:v>
      </x:c>
      <x:c r="B6" s="22" t="str">
        <x:v>Every 15 min + trigger</x:v>
      </x:c>
      <x:c r="C6" s="22" t="str">
        <x:v>Players changed</x:v>
      </x:c>
      <x:c r="D6" s="22" t="str">
        <x:v>Tick/layout/event</x:v>
      </x:c>
      <x:c r="E6" s="22" t="str">
        <x:v>player+risk_version</x:v>
      </x:c>
      <x:c r="F6" s="22" t="str">
        <x:v>player+risk_bucket/version</x:v>
      </x:c>
      <x:c r="G6" s="65" t="n">
        <x:v>120</x:v>
      </x:c>
      <x:c r="H6" s="22" t="str">
        <x:v>Partitioned</x:v>
      </x:c>
      <x:c r="I6" s="22" t="str">
        <x:v>economy,layout,events,mitigation</x:v>
      </x:c>
      <x:c r="J6" s="22" t="str">
        <x:v>risk snapshot/incidents</x:v>
      </x:c>
      <x:c r="K6" s="22" t="str">
        <x:v>Retry/coalesce</x:v>
      </x:c>
      <x:c r="L6" s="22" t="str">
        <x:v>Use latest valid state</x:v>
      </x:c>
      <x:c r="M6" s="22" t="str">
        <x:v>Yes</x:v>
      </x:c>
      <x:c r="N6" s="22" t="str">
        <x:v>Critical</x:v>
      </x:c>
      <x:c r="O6" s="38" t="str"/>
    </x:row>
    <x:row r="7">
      <x:c r="A7" s="37" t="str">
        <x:v>Global Event Scheduler</x:v>
      </x:c>
      <x:c r="B7" s="22" t="str">
        <x:v>Hourly</x:v>
      </x:c>
      <x:c r="C7" s="22" t="str">
        <x:v>Global</x:v>
      </x:c>
      <x:c r="D7" s="22" t="str">
        <x:v>UTC scheduler</x:v>
      </x:c>
      <x:c r="E7" s="22" t="str">
        <x:v>hour bucket</x:v>
      </x:c>
      <x:c r="F7" s="22" t="str">
        <x:v>event_schedule+hour</x:v>
      </x:c>
      <x:c r="G7" s="65" t="n">
        <x:v>60</x:v>
      </x:c>
      <x:c r="H7" s="22" t="n">
        <x:v>1</x:v>
      </x:c>
      <x:c r="I7" s="22" t="str">
        <x:v>event config/cooldowns</x:v>
      </x:c>
      <x:c r="J7" s="22" t="str">
        <x:v>global events</x:v>
      </x:c>
      <x:c r="K7" s="22" t="str">
        <x:v>Retry</x:v>
      </x:c>
      <x:c r="L7" s="22" t="str">
        <x:v>Skip expired candidate, preserve deterministic seed</x:v>
      </x:c>
      <x:c r="M7" s="22" t="str">
        <x:v>Yes</x:v>
      </x:c>
      <x:c r="N7" s="22" t="str">
        <x:v>High</x:v>
      </x:c>
      <x:c r="O7" s="38" t="str"/>
    </x:row>
    <x:row r="8">
      <x:c r="A8" s="37" t="str">
        <x:v>Personal Event Scheduler</x:v>
      </x:c>
      <x:c r="B8" s="22" t="str">
        <x:v>Hourly</x:v>
      </x:c>
      <x:c r="C8" s="22" t="str">
        <x:v>Eligible players</x:v>
      </x:c>
      <x:c r="D8" s="22" t="str">
        <x:v>UTC scheduler</x:v>
      </x:c>
      <x:c r="E8" s="22" t="str">
        <x:v>player+hour</x:v>
      </x:c>
      <x:c r="F8" s="22" t="str">
        <x:v>player_event_slot+hour</x:v>
      </x:c>
      <x:c r="G8" s="65" t="n">
        <x:v>180</x:v>
      </x:c>
      <x:c r="H8" s="22" t="str">
        <x:v>Partitioned</x:v>
      </x:c>
      <x:c r="I8" s="22" t="str">
        <x:v>stage,cooldowns,risk</x:v>
      </x:c>
      <x:c r="J8" s="22" t="str">
        <x:v>player events</x:v>
      </x:c>
      <x:c r="K8" s="22" t="str">
        <x:v>Retry</x:v>
      </x:c>
      <x:c r="L8" s="22" t="str">
        <x:v>Do not backfill stale offers</x:v>
      </x:c>
      <x:c r="M8" s="22" t="str">
        <x:v>Yes</x:v>
      </x:c>
      <x:c r="N8" s="22" t="str">
        <x:v>High</x:v>
      </x:c>
      <x:c r="O8" s="38" t="str"/>
    </x:row>
    <x:row r="9">
      <x:c r="A9" s="37" t="str">
        <x:v>Daily Hunt Spawn</x:v>
      </x:c>
      <x:c r="B9" s="22" t="str">
        <x:v>Daily UTC + event triggers</x:v>
      </x:c>
      <x:c r="C9" s="22" t="str">
        <x:v>Eligible players</x:v>
      </x:c>
      <x:c r="D9" s="22" t="str">
        <x:v>Daily boundary</x:v>
      </x:c>
      <x:c r="E9" s="22" t="str">
        <x:v>player+day</x:v>
      </x:c>
      <x:c r="F9" s="22" t="str">
        <x:v>hunt_spawn+player+day</x:v>
      </x:c>
      <x:c r="G9" s="65" t="n">
        <x:v>300</x:v>
      </x:c>
      <x:c r="H9" s="22" t="str">
        <x:v>Partitioned</x:v>
      </x:c>
      <x:c r="I9" s="22" t="str">
        <x:v>stage/buildings/events</x:v>
      </x:c>
      <x:c r="J9" s="22" t="str">
        <x:v>hunt assignments</x:v>
      </x:c>
      <x:c r="K9" s="22" t="str">
        <x:v>Retry</x:v>
      </x:c>
      <x:c r="L9" s="22" t="str">
        <x:v>Can spawn on next login if delayed</x:v>
      </x:c>
      <x:c r="M9" s="22" t="str">
        <x:v>Yes</x:v>
      </x:c>
      <x:c r="N9" s="22" t="str">
        <x:v>High</x:v>
      </x:c>
      <x:c r="O9" s="38" t="str"/>
    </x:row>
    <x:row r="10">
      <x:c r="A10" s="37" t="str">
        <x:v>Leaderboard Materialize</x:v>
      </x:c>
      <x:c r="B10" s="22" t="str">
        <x:v>1–5 min</x:v>
      </x:c>
      <x:c r="C10" s="22" t="str">
        <x:v>Active leagues/global</x:v>
      </x:c>
      <x:c r="D10" s="22" t="str">
        <x:v>Stream/timer</x:v>
      </x:c>
      <x:c r="E10" s="22" t="str">
        <x:v>board+window</x:v>
      </x:c>
      <x:c r="F10" s="22" t="str">
        <x:v>leaderboard_version</x:v>
      </x:c>
      <x:c r="G10" s="65" t="n">
        <x:v>60</x:v>
      </x:c>
      <x:c r="H10" s="22" t="str">
        <x:v>Parallel</x:v>
      </x:c>
      <x:c r="I10" s="22" t="str">
        <x:v>score/rating cache</x:v>
      </x:c>
      <x:c r="J10" s="22" t="str">
        <x:v>ranked cache</x:v>
      </x:c>
      <x:c r="K10" s="22" t="str">
        <x:v>Retry</x:v>
      </x:c>
      <x:c r="L10" s="22" t="str">
        <x:v>Serve stale previous version</x:v>
      </x:c>
      <x:c r="M10" s="22" t="str">
        <x:v>Yes</x:v>
      </x:c>
      <x:c r="N10" s="22" t="str">
        <x:v>Medium</x:v>
      </x:c>
      <x:c r="O10" s="38" t="str"/>
    </x:row>
    <x:row r="11">
      <x:c r="A11" s="37" t="str">
        <x:v>Ownership Reconcile</x:v>
      </x:c>
      <x:c r="B11" s="22" t="str">
        <x:v>1–5 min + chain events</x:v>
      </x:c>
      <x:c r="C11" s="22" t="str">
        <x:v>Owned Plot tokens</x:v>
      </x:c>
      <x:c r="D11" s="22" t="str">
        <x:v>Chain cursor</x:v>
      </x:c>
      <x:c r="E11" s="22" t="str">
        <x:v>token/block</x:v>
      </x:c>
      <x:c r="F11" s="22" t="str">
        <x:v>chain_event_id</x:v>
      </x:c>
      <x:c r="G11" s="65" t="n">
        <x:v>300</x:v>
      </x:c>
      <x:c r="H11" s="22" t="str">
        <x:v>Partitioned</x:v>
      </x:c>
      <x:c r="I11" s="22" t="str">
        <x:v>chain/provider</x:v>
      </x:c>
      <x:c r="J11" s="22" t="str">
        <x:v>ownership mirror</x:v>
      </x:c>
      <x:c r="K11" s="22" t="str">
        <x:v>Retry provider</x:v>
      </x:c>
      <x:c r="L11" s="22" t="str">
        <x:v>Pause mutations on unresolved mismatch</x:v>
      </x:c>
      <x:c r="M11" s="22" t="str">
        <x:v>Yes on conflict</x:v>
      </x:c>
      <x:c r="N11" s="22" t="str">
        <x:v>Critical</x:v>
      </x:c>
      <x:c r="O11" s="38" t="str"/>
    </x:row>
    <x:row r="12">
      <x:c r="A12" s="37" t="str">
        <x:v>Weekly Snapshot</x:v>
      </x:c>
      <x:c r="B12" s="22" t="str">
        <x:v>Weekly cutoff</x:v>
      </x:c>
      <x:c r="C12" s="22" t="str">
        <x:v>All eligible</x:v>
      </x:c>
      <x:c r="D12" s="22" t="str">
        <x:v>Epoch boundary</x:v>
      </x:c>
      <x:c r="E12" s="22" t="str">
        <x:v>epoch</x:v>
      </x:c>
      <x:c r="F12" s="22" t="str">
        <x:v>snapshot_id</x:v>
      </x:c>
      <x:c r="G12" s="65" t="n">
        <x:v>1800</x:v>
      </x:c>
      <x:c r="H12" s="22" t="str">
        <x:v>Batch shards</x:v>
      </x:c>
      <x:c r="I12" s="22" t="str">
        <x:v>all settlement sources</x:v>
      </x:c>
      <x:c r="J12" s="22" t="str">
        <x:v>snapshot manifest</x:v>
      </x:c>
      <x:c r="K12" s="22" t="str">
        <x:v>Retry shard</x:v>
      </x:c>
      <x:c r="L12" s="22" t="str">
        <x:v>Block next phase until complete</x:v>
      </x:c>
      <x:c r="M12" s="22" t="str">
        <x:v>Yes pending</x:v>
      </x:c>
      <x:c r="N12" s="22" t="str">
        <x:v>Critical</x:v>
      </x:c>
      <x:c r="O12" s="38" t="str"/>
    </x:row>
    <x:row r="13">
      <x:c r="A13" s="37" t="str">
        <x:v>Weekly Reconciliation</x:v>
      </x:c>
      <x:c r="B13" s="22" t="str">
        <x:v>After snapshot</x:v>
      </x:c>
      <x:c r="C13" s="22" t="str">
        <x:v>Eligible cohort</x:v>
      </x:c>
      <x:c r="D13" s="22" t="str">
        <x:v>Snapshot complete</x:v>
      </x:c>
      <x:c r="E13" s="22" t="str">
        <x:v>epoch+phase</x:v>
      </x:c>
      <x:c r="F13" s="22" t="str">
        <x:v>recon_version</x:v>
      </x:c>
      <x:c r="G13" s="65" t="n">
        <x:v>3600</x:v>
      </x:c>
      <x:c r="H13" s="22" t="str">
        <x:v>Batch shards</x:v>
      </x:c>
      <x:c r="I13" s="22" t="str">
        <x:v>frozen sources</x:v>
      </x:c>
      <x:c r="J13" s="22" t="str">
        <x:v>candidate results</x:v>
      </x:c>
      <x:c r="K13" s="22" t="str">
        <x:v>Retry shard</x:v>
      </x:c>
      <x:c r="L13" s="22" t="str">
        <x:v>Hold incomplete players</x:v>
      </x:c>
      <x:c r="M13" s="22" t="str">
        <x:v>Yes pending</x:v>
      </x:c>
      <x:c r="N13" s="22" t="str">
        <x:v>Critical</x:v>
      </x:c>
      <x:c r="O13" s="38" t="str"/>
    </x:row>
    <x:row r="14">
      <x:c r="A14" s="37" t="str">
        <x:v>Weekly Finalize</x:v>
      </x:c>
      <x:c r="B14" s="22" t="str">
        <x:v>After integrity</x:v>
      </x:c>
      <x:c r="C14" s="22" t="str">
        <x:v>Eligible cohort</x:v>
      </x:c>
      <x:c r="D14" s="22" t="str">
        <x:v>Review gate</x:v>
      </x:c>
      <x:c r="E14" s="22" t="str">
        <x:v>epoch+finalize</x:v>
      </x:c>
      <x:c r="F14" s="22" t="str">
        <x:v>finalization_id</x:v>
      </x:c>
      <x:c r="G14" s="65" t="n">
        <x:v>1800</x:v>
      </x:c>
      <x:c r="H14" s="22" t="str">
        <x:v>Controlled</x:v>
      </x:c>
      <x:c r="I14" s="22" t="str">
        <x:v>candidate results, pool config</x:v>
      </x:c>
      <x:c r="J14" s="22" t="str">
        <x:v>final results/claims/rating</x:v>
      </x:c>
      <x:c r="K14" s="22" t="str">
        <x:v>Exactly once</x:v>
      </x:c>
      <x:c r="L14" s="22" t="str">
        <x:v>No partial publish unless configured</x:v>
      </x:c>
      <x:c r="M14" s="22" t="str">
        <x:v>Yes</x:v>
      </x:c>
      <x:c r="N14" s="22" t="str">
        <x:v>Critical</x:v>
      </x:c>
      <x:c r="O14" s="38" t="str"/>
    </x:row>
    <x:row r="15">
      <x:c r="A15" s="37" t="str">
        <x:v>Season Reset</x:v>
      </x:c>
      <x:c r="B15" s="22" t="str">
        <x:v>Season boundary</x:v>
      </x:c>
      <x:c r="C15" s="22" t="str">
        <x:v>All competition players</x:v>
      </x:c>
      <x:c r="D15" s="22" t="str">
        <x:v>Season finalized</x:v>
      </x:c>
      <x:c r="E15" s="22" t="str">
        <x:v>season_id</x:v>
      </x:c>
      <x:c r="F15" s="22" t="str">
        <x:v>season_reset_id</x:v>
      </x:c>
      <x:c r="G15" s="65" t="n">
        <x:v>1800</x:v>
      </x:c>
      <x:c r="H15" s="22" t="str">
        <x:v>Batch shards</x:v>
      </x:c>
      <x:c r="I15" s="22" t="str">
        <x:v>ratings,season points</x:v>
      </x:c>
      <x:c r="J15" s="22" t="str">
        <x:v>compressed ratings,new season</x:v>
      </x:c>
      <x:c r="K15" s="22" t="str">
        <x:v>Retry</x:v>
      </x:c>
      <x:c r="L15" s="22" t="str">
        <x:v>Keep old season active until atomic switch</x:v>
      </x:c>
      <x:c r="M15" s="22" t="str">
        <x:v>Yes</x:v>
      </x:c>
      <x:c r="N15" s="22" t="str">
        <x:v>High</x:v>
      </x:c>
      <x:c r="O15" s="38" t="str"/>
    </x:row>
    <x:row r="16">
      <x:c r="A16" s="39" t="str">
        <x:v>Reward Expiry</x:v>
      </x:c>
      <x:c r="B16" s="40" t="str">
        <x:v>Daily</x:v>
      </x:c>
      <x:c r="C16" s="40" t="str">
        <x:v>Open claims</x:v>
      </x:c>
      <x:c r="D16" s="40" t="str">
        <x:v>UTC scheduler</x:v>
      </x:c>
      <x:c r="E16" s="40" t="str">
        <x:v>reward batch</x:v>
      </x:c>
      <x:c r="F16" s="40" t="str">
        <x:v>expiry_date+batch</x:v>
      </x:c>
      <x:c r="G16" s="66" t="n">
        <x:v>600</x:v>
      </x:c>
      <x:c r="H16" s="40" t="str">
        <x:v>Partitioned</x:v>
      </x:c>
      <x:c r="I16" s="40" t="str">
        <x:v>reward ledger</x:v>
      </x:c>
      <x:c r="J16" s="40" t="str">
        <x:v>expired states</x:v>
      </x:c>
      <x:c r="K16" s="40" t="str">
        <x:v>Retry</x:v>
      </x:c>
      <x:c r="L16" s="40" t="str">
        <x:v>Never expire before canonical deadline</x:v>
      </x:c>
      <x:c r="M16" s="40" t="str">
        <x:v>Yes</x:v>
      </x:c>
      <x:c r="N16" s="40" t="str">
        <x:v>Medium</x:v>
      </x:c>
      <x:c r="O16" s="41" t="str"/>
    </x:row>
    <x:row r="17">
      <x:c r="A17" s="92" t="str">
        <x:v>Module Craft Completion</x:v>
      </x:c>
      <x:c r="B17" s="93" t="str">
        <x:v>Every 1 min / due-time queue</x:v>
      </x:c>
      <x:c r="C17" s="93" t="str">
        <x:v>Due craft jobs</x:v>
      </x:c>
      <x:c r="D17" s="93" t="str">
        <x:v>complete_at</x:v>
      </x:c>
      <x:c r="E17" s="93" t="str">
        <x:v>craft_job</x:v>
      </x:c>
      <x:c r="F17" s="93" t="str">
        <x:v>craft_job_id</x:v>
      </x:c>
      <x:c r="G17" s="93" t="n">
        <x:v>120</x:v>
      </x:c>
      <x:c r="H17" s="93" t="str">
        <x:v>Partitioned</x:v>
      </x:c>
      <x:c r="I17" s="93" t="str">
        <x:v>craft job,recipe config,Parts reservation</x:v>
      </x:c>
      <x:c r="J17" s="93" t="str">
        <x:v>inventory + craft/reward events</x:v>
      </x:c>
      <x:c r="K17" s="93" t="str">
        <x:v>Retry idempotently</x:v>
      </x:c>
      <x:c r="L17" s="93" t="str">
        <x:v>Process overdue jobs immediately; never double grant</x:v>
      </x:c>
      <x:c r="M17" s="93" t="str">
        <x:v>Yes</x:v>
      </x:c>
      <x:c r="N17" s="93" t="str">
        <x:v>High</x:v>
      </x:c>
      <x:c r="O17" s="94" t="str">
        <x:v>Server UTC; continues offline</x:v>
      </x:c>
    </x:row>
    <x:row r="18">
      <x:c r="A18" s="95" t="str">
        <x:v>Mastery Projection</x:v>
      </x:c>
      <x:c r="B18" s="96" t="str">
        <x:v>Streaming + 15 min catch-up</x:v>
      </x:c>
      <x:c r="C18" s="96" t="str">
        <x:v>Players with relevant evidence</x:v>
      </x:c>
      <x:c r="D18" s="96" t="str">
        <x:v>activity/customer/risk/service events</x:v>
      </x:c>
      <x:c r="E18" s="96" t="str">
        <x:v>player+building_type</x:v>
      </x:c>
      <x:c r="F18" s="96" t="str">
        <x:v>evidence_event_id+tier</x:v>
      </x:c>
      <x:c r="G18" s="96" t="n">
        <x:v>180</x:v>
      </x:c>
      <x:c r="H18" s="96" t="str">
        <x:v>Partitioned</x:v>
      </x:c>
      <x:c r="I18" s="96" t="str">
        <x:v>evidence ledgers + objective config</x:v>
      </x:c>
      <x:c r="J18" s="96" t="str">
        <x:v>mastery progress</x:v>
      </x:c>
      <x:c r="K18" s="96" t="str">
        <x:v>Retry/dedupe</x:v>
      </x:c>
      <x:c r="L18" s="96" t="str">
        <x:v>Catch up from cursor</x:v>
      </x:c>
      <x:c r="M18" s="96" t="str">
        <x:v>Yes</x:v>
      </x:c>
      <x:c r="N18" s="96" t="str">
        <x:v>High</x:v>
      </x:c>
      <x:c r="O18" s="97" t="str">
        <x:v>Can be stream consumer with scheduled repair job</x:v>
      </x:c>
    </x:row>
    <x:row r="19">
      <x:c r="A19" s="95" t="str">
        <x:v>Module Config Activation</x:v>
      </x:c>
      <x:c r="B19" s="96" t="str">
        <x:v>At effective_at + deploy</x:v>
      </x:c>
      <x:c r="C19" s="96" t="str">
        <x:v>Global config</x:v>
      </x:c>
      <x:c r="D19" s="96" t="str">
        <x:v>approved config publish</x:v>
      </x:c>
      <x:c r="E19" s="96" t="str">
        <x:v>config version</x:v>
      </x:c>
      <x:c r="F19" s="96" t="str">
        <x:v>module_config_version</x:v>
      </x:c>
      <x:c r="G19" s="96" t="n">
        <x:v>60</x:v>
      </x:c>
      <x:c r="H19" s="96" t="n">
        <x:v>1</x:v>
      </x:c>
      <x:c r="I19" s="96" t="str">
        <x:v>immutable config store</x:v>
      </x:c>
      <x:c r="J19" s="96" t="str">
        <x:v>active pointer/cache invalidation</x:v>
      </x:c>
      <x:c r="K19" s="96" t="str">
        <x:v>Fail closed</x:v>
      </x:c>
      <x:c r="L19" s="96" t="str">
        <x:v>Keep previous approved version if activation fails</x:v>
      </x:c>
      <x:c r="M19" s="96" t="str">
        <x:v>Indirect</x:v>
      </x:c>
      <x:c r="N19" s="96" t="str">
        <x:v>Critical</x:v>
      </x:c>
      <x:c r="O19" s="97" t="str">
        <x:v>No mid-tick partial config</x:v>
      </x:c>
    </x:row>
    <x:row r="20">
      <x:c r="A20" s="98" t="str">
        <x:v>Module Inventory Reconcile</x:v>
      </x:c>
      <x:c r="B20" s="99" t="str">
        <x:v>Daily + integrity trigger</x:v>
      </x:c>
      <x:c r="C20" s="99" t="str">
        <x:v>Players with mismatch flag</x:v>
      </x:c>
      <x:c r="D20" s="99" t="str">
        <x:v>Scheduler/integrity</x:v>
      </x:c>
      <x:c r="E20" s="99" t="str">
        <x:v>player</x:v>
      </x:c>
      <x:c r="F20" s="99" t="str">
        <x:v>player+date/version</x:v>
      </x:c>
      <x:c r="G20" s="99" t="n">
        <x:v>300</x:v>
      </x:c>
      <x:c r="H20" s="99" t="str">
        <x:v>Partitioned</x:v>
      </x:c>
      <x:c r="I20" s="99" t="str">
        <x:v>reward/parts/loadout ledgers</x:v>
      </x:c>
      <x:c r="J20" s="99" t="str">
        <x:v>repair aggregate or case</x:v>
      </x:c>
      <x:c r="K20" s="99" t="str">
        <x:v>Do not auto-repair ambiguous state</x:v>
      </x:c>
      <x:c r="L20" s="99" t="str">
        <x:v>Open integrity case</x:v>
      </x:c>
      <x:c r="M20" s="99" t="str">
        <x:v>Usually no</x:v>
      </x:c>
      <x:c r="N20" s="99" t="str">
        <x:v>High</x:v>
      </x:c>
      <x:c r="O20" s="100" t="str">
        <x:v>Checks owned&gt;=equipped and loadout references</x:v>
      </x:c>
    </x:row>
  </x:sheetData>
  <x:mergeCells>
    <x:mergeCell ref="A1:O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Idempotency, Optimistic Concurrency &amp; Transaction Rules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  <x:c r="Q1" s="22"/>
    </x:row>
    <x:row r="3">
      <x:c r="A3" s="14" t="str">
        <x:v>Operation</x:v>
      </x:c>
      <x:c r="B3" s="14" t="str">
        <x:v>Idempotency Key</x:v>
      </x:c>
      <x:c r="C3" s="14" t="str">
        <x:v>Version Check</x:v>
      </x:c>
      <x:c r="D3" s="14" t="str">
        <x:v>Transaction Boundary</x:v>
      </x:c>
      <x:c r="E3" s="14" t="str">
        <x:v>Lock Scope</x:v>
      </x:c>
      <x:c r="F3" s="14" t="str">
        <x:v>Duplicate Request Result</x:v>
      </x:c>
      <x:c r="G3" s="14" t="str">
        <x:v>Concurrent Conflict Result</x:v>
      </x:c>
      <x:c r="H3" s="14" t="str">
        <x:v>Ledger First?</x:v>
      </x:c>
      <x:c r="I3" s="14" t="str">
        <x:v>Retry Safe?</x:v>
      </x:c>
      <x:c r="J3" s="14" t="str">
        <x:v>Timeout Rule</x:v>
      </x:c>
      <x:c r="K3" s="14" t="str">
        <x:v>Client Retry?</x:v>
      </x:c>
      <x:c r="L3" s="14" t="str">
        <x:v>Data Loss Risk</x:v>
      </x:c>
      <x:c r="M3" s="14" t="str">
        <x:v>Priority</x:v>
      </x:c>
      <x:c r="N3" s="14" t="str">
        <x:v>Notes</x:v>
      </x:c>
    </x:row>
    <x:row r="4">
      <x:c r="A4" s="34" t="str">
        <x:v>Place/Move Building</x:v>
      </x:c>
      <x:c r="B4" s="35" t="str">
        <x:v>request id</x:v>
      </x:c>
      <x:c r="C4" s="35" t="str">
        <x:v>expected_layout_version</x:v>
      </x:c>
      <x:c r="D4" s="35" t="str">
        <x:v>layout mutation + fee if any</x:v>
      </x:c>
      <x:c r="E4" s="35" t="str">
        <x:v>player layout</x:v>
      </x:c>
      <x:c r="F4" s="35" t="str">
        <x:v>Return prior successful response</x:v>
      </x:c>
      <x:c r="G4" s="35" t="str">
        <x:v>409 version conflict</x:v>
      </x:c>
      <x:c r="H4" s="35" t="str">
        <x:v>Mutation log atomic</x:v>
      </x:c>
      <x:c r="I4" s="35" t="str">
        <x:v>Yes</x:v>
      </x:c>
      <x:c r="J4" s="35" t="str">
        <x:v>Abort transaction</x:v>
      </x:c>
      <x:c r="K4" s="35" t="str">
        <x:v>Yes with same key</x:v>
      </x:c>
      <x:c r="L4" s="35" t="str">
        <x:v>Low</x:v>
      </x:c>
      <x:c r="M4" s="35" t="str">
        <x:v>P0</x:v>
      </x:c>
      <x:c r="N4" s="36" t="str"/>
    </x:row>
    <x:row r="5">
      <x:c r="A5" s="37" t="str">
        <x:v>Upgrade Building</x:v>
      </x:c>
      <x:c r="B5" s="22" t="str">
        <x:v>request id</x:v>
      </x:c>
      <x:c r="C5" s="22" t="str">
        <x:v>expected_asset_version</x:v>
      </x:c>
      <x:c r="D5" s="22" t="str">
        <x:v>Cash debit + level change + XP event</x:v>
      </x:c>
      <x:c r="E5" s="22" t="str">
        <x:v>building/player economy</x:v>
      </x:c>
      <x:c r="F5" s="22" t="str">
        <x:v>Return prior result</x:v>
      </x:c>
      <x:c r="G5" s="22" t="str">
        <x:v>409 asset version</x:v>
      </x:c>
      <x:c r="H5" s="22" t="str">
        <x:v>Cash ledger atomic</x:v>
      </x:c>
      <x:c r="I5" s="22" t="str">
        <x:v>Yes</x:v>
      </x:c>
      <x:c r="J5" s="22" t="str">
        <x:v>Abort</x:v>
      </x:c>
      <x:c r="K5" s="22" t="str">
        <x:v>Yes same key</x:v>
      </x:c>
      <x:c r="L5" s="22" t="str">
        <x:v>Low</x:v>
      </x:c>
      <x:c r="M5" s="22" t="str">
        <x:v>P0</x:v>
      </x:c>
      <x:c r="N5" s="38" t="str"/>
    </x:row>
    <x:row r="6">
      <x:c r="A6" s="37" t="str">
        <x:v>Activate Plot</x:v>
      </x:c>
      <x:c r="B6" s="22" t="str">
        <x:v>request id</x:v>
      </x:c>
      <x:c r="C6" s="22" t="str">
        <x:v>expected_player/plot versions</x:v>
      </x:c>
      <x:c r="D6" s="22" t="str">
        <x:v>Permit debit + state + cooldown</x:v>
      </x:c>
      <x:c r="E6" s="22" t="str">
        <x:v>player+plot</x:v>
      </x:c>
      <x:c r="F6" s="22" t="str">
        <x:v>Return prior state</x:v>
      </x:c>
      <x:c r="G6" s="22" t="str">
        <x:v>409 gate/version</x:v>
      </x:c>
      <x:c r="H6" s="22" t="str">
        <x:v>Activation ledger atomic</x:v>
      </x:c>
      <x:c r="I6" s="22" t="str">
        <x:v>Yes</x:v>
      </x:c>
      <x:c r="J6" s="22" t="str">
        <x:v>Abort</x:v>
      </x:c>
      <x:c r="K6" s="22" t="str">
        <x:v>Yes same key</x:v>
      </x:c>
      <x:c r="L6" s="22" t="str">
        <x:v>Low</x:v>
      </x:c>
      <x:c r="M6" s="22" t="str">
        <x:v>P0</x:v>
      </x:c>
      <x:c r="N6" s="38" t="str"/>
    </x:row>
    <x:row r="7">
      <x:c r="A7" s="37" t="str">
        <x:v>Choose Event</x:v>
      </x:c>
      <x:c r="B7" s="22" t="str">
        <x:v>resolution id</x:v>
      </x:c>
      <x:c r="C7" s="22" t="str">
        <x:v>expected_event_version</x:v>
      </x:c>
      <x:c r="D7" s="22" t="str">
        <x:v>choice + cost + outcome + reward events</x:v>
      </x:c>
      <x:c r="E7" s="22" t="str">
        <x:v>player_event</x:v>
      </x:c>
      <x:c r="F7" s="22" t="str">
        <x:v>Return resolved outcome</x:v>
      </x:c>
      <x:c r="G7" s="22" t="str">
        <x:v>409 already resolved/version</x:v>
      </x:c>
      <x:c r="H7" s="22" t="str">
        <x:v>Event resolution log</x:v>
      </x:c>
      <x:c r="I7" s="22" t="str">
        <x:v>Yes</x:v>
      </x:c>
      <x:c r="J7" s="22" t="str">
        <x:v>Safest timeout path separate</x:v>
      </x:c>
      <x:c r="K7" s="22" t="str">
        <x:v>Yes same key</x:v>
      </x:c>
      <x:c r="L7" s="22" t="str">
        <x:v>Low</x:v>
      </x:c>
      <x:c r="M7" s="22" t="str">
        <x:v>P0</x:v>
      </x:c>
      <x:c r="N7" s="38" t="str"/>
    </x:row>
    <x:row r="8">
      <x:c r="A8" s="37" t="str">
        <x:v>Complete Hunt Reward</x:v>
      </x:c>
      <x:c r="B8" s="22" t="str">
        <x:v>hunt completion id</x:v>
      </x:c>
      <x:c r="C8" s="22" t="str">
        <x:v>hunt version</x:v>
      </x:c>
      <x:c r="D8" s="22" t="str">
        <x:v>completion snapshot + reward reservation</x:v>
      </x:c>
      <x:c r="E8" s="22" t="str">
        <x:v>player+hunt</x:v>
      </x:c>
      <x:c r="F8" s="22" t="str">
        <x:v>Return existing reservation</x:v>
      </x:c>
      <x:c r="G8" s="22" t="str">
        <x:v>409 invalid state</x:v>
      </x:c>
      <x:c r="H8" s="22" t="str">
        <x:v>Reward reservation ledger</x:v>
      </x:c>
      <x:c r="I8" s="22" t="str">
        <x:v>Yes</x:v>
      </x:c>
      <x:c r="J8" s="22" t="str">
        <x:v>No double reserve</x:v>
      </x:c>
      <x:c r="K8" s="22" t="str">
        <x:v>Internal retry</x:v>
      </x:c>
      <x:c r="L8" s="22" t="str">
        <x:v>Critical if wrong</x:v>
      </x:c>
      <x:c r="M8" s="22" t="str">
        <x:v>P0</x:v>
      </x:c>
      <x:c r="N8" s="38" t="str"/>
    </x:row>
    <x:row r="9">
      <x:c r="A9" s="37" t="str">
        <x:v>Economy Tick</x:v>
      </x:c>
      <x:c r="B9" s="22" t="str">
        <x:v>player+tick time</x:v>
      </x:c>
      <x:c r="C9" s="22" t="str">
        <x:v>economy checkpoint version</x:v>
      </x:c>
      <x:c r="D9" s="22" t="str">
        <x:v>all tick ledger entries + checkpoint advance</x:v>
      </x:c>
      <x:c r="E9" s="22" t="str">
        <x:v>player+tick</x:v>
      </x:c>
      <x:c r="F9" s="22" t="str">
        <x:v>No-op/return processed</x:v>
      </x:c>
      <x:c r="G9" s="22" t="str">
        <x:v>Worker retries after conflict</x:v>
      </x:c>
      <x:c r="H9" s="22" t="str">
        <x:v>Ledger entries deduped</x:v>
      </x:c>
      <x:c r="I9" s="22" t="str">
        <x:v>Yes</x:v>
      </x:c>
      <x:c r="J9" s="22" t="str">
        <x:v>Do not skip tick silently</x:v>
      </x:c>
      <x:c r="K9" s="22" t="str">
        <x:v>Internal</x:v>
      </x:c>
      <x:c r="L9" s="22" t="str">
        <x:v>Critical</x:v>
      </x:c>
      <x:c r="M9" s="22" t="str">
        <x:v>P0</x:v>
      </x:c>
      <x:c r="N9" s="38" t="str"/>
    </x:row>
    <x:row r="10">
      <x:c r="A10" s="37" t="str">
        <x:v>Customer Refresh</x:v>
      </x:c>
      <x:c r="B10" s="22" t="str">
        <x:v>player+bucket</x:v>
      </x:c>
      <x:c r="C10" s="22" t="str">
        <x:v>customer snapshot version</x:v>
      </x:c>
      <x:c r="D10" s="22" t="str">
        <x:v>deltas + snapshot</x:v>
      </x:c>
      <x:c r="E10" s="22" t="str">
        <x:v>player+bucket</x:v>
      </x:c>
      <x:c r="F10" s="22" t="str">
        <x:v>Return prior bucket</x:v>
      </x:c>
      <x:c r="G10" s="22" t="str">
        <x:v>Worker retry</x:v>
      </x:c>
      <x:c r="H10" s="22" t="str">
        <x:v>Delta ledger</x:v>
      </x:c>
      <x:c r="I10" s="22" t="str">
        <x:v>Yes</x:v>
      </x:c>
      <x:c r="J10" s="22" t="str">
        <x:v>Do not double churn/acquire</x:v>
      </x:c>
      <x:c r="K10" s="22" t="str">
        <x:v>Internal</x:v>
      </x:c>
      <x:c r="L10" s="22" t="str">
        <x:v>High</x:v>
      </x:c>
      <x:c r="M10" s="22" t="str">
        <x:v>P0</x:v>
      </x:c>
      <x:c r="N10" s="38" t="str"/>
    </x:row>
    <x:row r="11">
      <x:c r="A11" s="37" t="str">
        <x:v>Reward Claim</x:v>
      </x:c>
      <x:c r="B11" s="22" t="str">
        <x:v>reward id + claim nonce</x:v>
      </x:c>
      <x:c r="C11" s="22" t="str">
        <x:v>reward status version</x:v>
      </x:c>
      <x:c r="D11" s="22" t="str">
        <x:v>status transition + provider/onchain request record</x:v>
      </x:c>
      <x:c r="E11" s="22" t="str">
        <x:v>reward</x:v>
      </x:c>
      <x:c r="F11" s="22" t="str">
        <x:v>Return existing tx/status</x:v>
      </x:c>
      <x:c r="G11" s="22" t="str">
        <x:v>409 already claimed/held</x:v>
      </x:c>
      <x:c r="H11" s="22" t="str">
        <x:v>Claim ledger first</x:v>
      </x:c>
      <x:c r="I11" s="22" t="str">
        <x:v>Yes</x:v>
      </x:c>
      <x:c r="J11" s="22" t="str">
        <x:v>Provider retry by same external ref</x:v>
      </x:c>
      <x:c r="K11" s="22" t="str">
        <x:v>Yes same key</x:v>
      </x:c>
      <x:c r="L11" s="22" t="str">
        <x:v>Critical</x:v>
      </x:c>
      <x:c r="M11" s="22" t="str">
        <x:v>P0</x:v>
      </x:c>
      <x:c r="N11" s="38" t="str"/>
    </x:row>
    <x:row r="12">
      <x:c r="A12" s="39" t="str">
        <x:v>Weekly Finalize</x:v>
      </x:c>
      <x:c r="B12" s="40" t="str">
        <x:v>epoch finalization id</x:v>
      </x:c>
      <x:c r="C12" s="40" t="str">
        <x:v>snapshot/config versions</x:v>
      </x:c>
      <x:c r="D12" s="40" t="str">
        <x:v>all final records published behind finalization barrier</x:v>
      </x:c>
      <x:c r="E12" s="40" t="str">
        <x:v>epoch</x:v>
      </x:c>
      <x:c r="F12" s="40" t="str">
        <x:v>Return finalized manifest</x:v>
      </x:c>
      <x:c r="G12" s="40" t="str">
        <x:v>Reject different version</x:v>
      </x:c>
      <x:c r="H12" s="40" t="str">
        <x:v>Settlement ledger</x:v>
      </x:c>
      <x:c r="I12" s="40" t="str">
        <x:v>Yes</x:v>
      </x:c>
      <x:c r="J12" s="40" t="str">
        <x:v>Never run two finalizations</x:v>
      </x:c>
      <x:c r="K12" s="40" t="str">
        <x:v>Internal only</x:v>
      </x:c>
      <x:c r="L12" s="40" t="str">
        <x:v>Critical</x:v>
      </x:c>
      <x:c r="M12" s="40" t="str">
        <x:v>P0</x:v>
      </x:c>
      <x:c r="N12" s="41" t="str"/>
    </x:row>
    <x:row r="14" ht="22" customHeight="1">
      <x:c r="A14" s="31" t="str">
        <x:v>Concurrency Principles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</x:row>
    <x:row r="15">
      <x:c r="A15" s="14" t="str">
        <x:v>Rule</x:v>
      </x:c>
      <x:c r="B15" s="14" t="str">
        <x:v>Specification</x:v>
      </x:c>
    </x:row>
    <x:row r="16">
      <x:c r="A16" s="34" t="str">
        <x:v>Prefer optimistic version checks for player/layout mutations</x:v>
      </x:c>
      <x:c r="B16" s="36" t="str">
        <x:v>Most player actions are isolated per account; version conflicts should be rare and easy to retry.</x:v>
      </x:c>
    </x:row>
    <x:row r="17">
      <x:c r="A17" s="37" t="str">
        <x:v>Use short distributed locks only for high-value state transitions</x:v>
      </x:c>
      <x:c r="B17" s="38" t="str">
        <x:v>Settlement finalization, reward claim, merge/unmerge and chain ownership mismatch need explicit locks.</x:v>
      </x:c>
    </x:row>
    <x:row r="18">
      <x:c r="A18" s="37" t="str">
        <x:v>Never hold network/provider calls inside a database transaction</x:v>
      </x:c>
      <x:c r="B18" s="38" t="str">
        <x:v>Persist pending state, commit, call provider, then reconcile state idempotently.</x:v>
      </x:c>
    </x:row>
    <x:row r="19">
      <x:c r="A19" s="37" t="str">
        <x:v>Monetary/reward mutations must be atomic with their ledger intent</x:v>
      </x:c>
      <x:c r="B19" s="38" t="str">
        <x:v>No balance change without a durable source entry.</x:v>
      </x:c>
    </x:row>
    <x:row r="20">
      <x:c r="A20" s="39" t="str">
        <x:v>Client retries reuse the same idempotency key</x:v>
      </x:c>
      <x:c r="B20" s="41" t="str">
        <x:v>A new key means a new intent and may be charged again where valid.</x:v>
      </x:c>
    </x:row>
    <x:row r="21" ht="22" customHeight="1">
      <x:c r="A21" s="102" t="str">
        <x:v>Module Mutation Concurrency</x:v>
      </x:c>
      <x:c r="B21" s="102"/>
      <x:c r="C21" s="102"/>
      <x:c r="D21" s="102"/>
      <x:c r="E21" s="102"/>
      <x:c r="F21" s="102"/>
      <x:c r="G21" s="102"/>
      <x:c r="H21" s="102"/>
      <x:c r="I21" s="102"/>
      <x:c r="J21" s="102"/>
      <x:c r="K21" s="102"/>
      <x:c r="L21" s="102"/>
      <x:c r="M21" s="102"/>
      <x:c r="N21" s="102"/>
    </x:row>
    <x:row r="22">
      <x:c r="A22" s="105" t="str">
        <x:v>Operation</x:v>
      </x:c>
      <x:c r="B22" s="105" t="str">
        <x:v>Idempotency Key</x:v>
      </x:c>
      <x:c r="C22" s="105" t="str">
        <x:v>Version Check</x:v>
      </x:c>
      <x:c r="D22" s="105" t="str">
        <x:v>Transaction Boundary</x:v>
      </x:c>
      <x:c r="E22" s="105" t="str">
        <x:v>Lock Scope</x:v>
      </x:c>
      <x:c r="F22" s="105" t="str">
        <x:v>Duplicate Request Result</x:v>
      </x:c>
      <x:c r="G22" s="105" t="str">
        <x:v>Concurrent Conflict Result</x:v>
      </x:c>
      <x:c r="H22" s="105" t="str">
        <x:v>Ledger First?</x:v>
      </x:c>
      <x:c r="I22" s="105" t="str">
        <x:v>Retry Safe?</x:v>
      </x:c>
      <x:c r="J22" s="105" t="str">
        <x:v>Timeout Rule</x:v>
      </x:c>
      <x:c r="K22" s="105" t="str">
        <x:v>Client Retry?</x:v>
      </x:c>
      <x:c r="L22" s="105" t="str">
        <x:v>Data Loss Risk</x:v>
      </x:c>
      <x:c r="M22" s="105" t="str">
        <x:v>Priority</x:v>
      </x:c>
      <x:c r="N22" s="105" t="str">
        <x:v>Notes</x:v>
      </x:c>
    </x:row>
    <x:row r="23">
      <x:c r="A23" s="92" t="str">
        <x:v>Equip Module</x:v>
      </x:c>
      <x:c r="B23" s="93" t="str">
        <x:v>request id</x:v>
      </x:c>
      <x:c r="C23" s="93" t="str">
        <x:v>expected_loadout_version</x:v>
      </x:c>
      <x:c r="D23" s="93" t="str">
        <x:v>inventory equipped count + building slot + loadout audit</x:v>
      </x:c>
      <x:c r="E23" s="93" t="str">
        <x:v>player+building/loadout</x:v>
      </x:c>
      <x:c r="F23" s="93" t="str">
        <x:v>Return prior loadout response</x:v>
      </x:c>
      <x:c r="G23" s="93" t="str">
        <x:v>409 version conflict</x:v>
      </x:c>
      <x:c r="H23" s="93" t="str">
        <x:v>Loadout audit atomic with state</x:v>
      </x:c>
      <x:c r="I23" s="93" t="str">
        <x:v>Yes</x:v>
      </x:c>
      <x:c r="J23" s="93" t="str">
        <x:v>Abort whole DB transaction</x:v>
      </x:c>
      <x:c r="K23" s="93" t="str">
        <x:v>Yes same key</x:v>
      </x:c>
      <x:c r="L23" s="93" t="str">
        <x:v>Critical if partial</x:v>
      </x:c>
      <x:c r="M23" s="93" t="str">
        <x:v>P0</x:v>
      </x:c>
      <x:c r="N23" s="94" t="str">
        <x:v>Owned count unchanged; equipped count increments</x:v>
      </x:c>
    </x:row>
    <x:row r="24">
      <x:c r="A24" s="95" t="str">
        <x:v>Unequip Module</x:v>
      </x:c>
      <x:c r="B24" s="96" t="str">
        <x:v>request id</x:v>
      </x:c>
      <x:c r="C24" s="96" t="str">
        <x:v>expected_loadout_version</x:v>
      </x:c>
      <x:c r="D24" s="96" t="str">
        <x:v>slot removal + inventory equipped count + audit</x:v>
      </x:c>
      <x:c r="E24" s="96" t="str">
        <x:v>player+building/loadout</x:v>
      </x:c>
      <x:c r="F24" s="96" t="str">
        <x:v>Return prior result</x:v>
      </x:c>
      <x:c r="G24" s="96" t="str">
        <x:v>409/423 lock</x:v>
      </x:c>
      <x:c r="H24" s="96" t="str">
        <x:v>Audit atomic</x:v>
      </x:c>
      <x:c r="I24" s="96" t="str">
        <x:v>Yes</x:v>
      </x:c>
      <x:c r="J24" s="96" t="str">
        <x:v>Abort</x:v>
      </x:c>
      <x:c r="K24" s="96" t="str">
        <x:v>Yes same key</x:v>
      </x:c>
      <x:c r="L24" s="96" t="str">
        <x:v>Critical if partial</x:v>
      </x:c>
      <x:c r="M24" s="96" t="str">
        <x:v>P0</x:v>
      </x:c>
      <x:c r="N24" s="97" t="str"/>
    </x:row>
    <x:row r="25">
      <x:c r="A25" s="95" t="str">
        <x:v>Mastery Reward Claim</x:v>
      </x:c>
      <x:c r="B25" s="96" t="str">
        <x:v>request id</x:v>
      </x:c>
      <x:c r="C25" s="96" t="str">
        <x:v>mastery row_version</x:v>
      </x:c>
      <x:c r="D25" s="96" t="str">
        <x:v>mark claimed + reward ledger + inventory</x:v>
      </x:c>
      <x:c r="E25" s="96" t="str">
        <x:v>player+building_type+tier</x:v>
      </x:c>
      <x:c r="F25" s="96" t="str">
        <x:v>Return existing reward</x:v>
      </x:c>
      <x:c r="G25" s="96" t="str">
        <x:v>409 already claimed/version</x:v>
      </x:c>
      <x:c r="H25" s="96" t="str">
        <x:v>Reward/mastery atomic</x:v>
      </x:c>
      <x:c r="I25" s="96" t="str">
        <x:v>Yes</x:v>
      </x:c>
      <x:c r="J25" s="96" t="str">
        <x:v>Abort</x:v>
      </x:c>
      <x:c r="K25" s="96" t="str">
        <x:v>Yes same key</x:v>
      </x:c>
      <x:c r="L25" s="96" t="str">
        <x:v>Critical</x:v>
      </x:c>
      <x:c r="M25" s="96" t="str">
        <x:v>P1</x:v>
      </x:c>
      <x:c r="N25" s="97" t="str"/>
    </x:row>
    <x:row r="26">
      <x:c r="A26" s="95" t="str">
        <x:v>Dismantle Module</x:v>
      </x:c>
      <x:c r="B26" s="96" t="str">
        <x:v>request id</x:v>
      </x:c>
      <x:c r="C26" s="96" t="str">
        <x:v>inventory row_version</x:v>
      </x:c>
      <x:c r="D26" s="96" t="str">
        <x:v>inventory decrement + Parts credit + ledgers</x:v>
      </x:c>
      <x:c r="E26" s="96" t="str">
        <x:v>player+module+rarity Parts</x:v>
      </x:c>
      <x:c r="F26" s="96" t="str">
        <x:v>Return prior result</x:v>
      </x:c>
      <x:c r="G26" s="96" t="str">
        <x:v>409 version / insufficient available</x:v>
      </x:c>
      <x:c r="H26" s="96" t="str">
        <x:v>Both ledgers atomic</x:v>
      </x:c>
      <x:c r="I26" s="96" t="str">
        <x:v>Yes</x:v>
      </x:c>
      <x:c r="J26" s="96" t="str">
        <x:v>Abort</x:v>
      </x:c>
      <x:c r="K26" s="96" t="str">
        <x:v>Yes same key</x:v>
      </x:c>
      <x:c r="L26" s="96" t="str">
        <x:v>Critical</x:v>
      </x:c>
      <x:c r="M26" s="96" t="str">
        <x:v>P2</x:v>
      </x:c>
      <x:c r="N26" s="97" t="str">
        <x:v>Equipped copies cannot be consumed</x:v>
      </x:c>
    </x:row>
    <x:row r="27">
      <x:c r="A27" s="95" t="str">
        <x:v>Start Craft</x:v>
      </x:c>
      <x:c r="B27" s="96" t="str">
        <x:v>request id</x:v>
      </x:c>
      <x:c r="C27" s="96" t="str">
        <x:v>Parts/craft queue versions</x:v>
      </x:c>
      <x:c r="D27" s="96" t="str">
        <x:v>Parts debit/reservation + craft job</x:v>
      </x:c>
      <x:c r="E27" s="96" t="str">
        <x:v>player+rarity+craft slots</x:v>
      </x:c>
      <x:c r="F27" s="96" t="str">
        <x:v>Return existing craft job</x:v>
      </x:c>
      <x:c r="G27" s="96" t="str">
        <x:v>409/429 queue conflict</x:v>
      </x:c>
      <x:c r="H27" s="96" t="str">
        <x:v>Craft/Parts ledger atomic</x:v>
      </x:c>
      <x:c r="I27" s="96" t="str">
        <x:v>Yes</x:v>
      </x:c>
      <x:c r="J27" s="96" t="str">
        <x:v>Abort</x:v>
      </x:c>
      <x:c r="K27" s="96" t="str">
        <x:v>Yes same key</x:v>
      </x:c>
      <x:c r="L27" s="96" t="str">
        <x:v>Critical</x:v>
      </x:c>
      <x:c r="M27" s="96" t="str">
        <x:v>P2</x:v>
      </x:c>
      <x:c r="N27" s="97" t="str">
        <x:v>Recipe/config version pinned</x:v>
      </x:c>
    </x:row>
    <x:row r="28">
      <x:c r="A28" s="95" t="str">
        <x:v>Complete Craft</x:v>
      </x:c>
      <x:c r="B28" s="96" t="str">
        <x:v>craft_job_id</x:v>
      </x:c>
      <x:c r="C28" s="96" t="str">
        <x:v>craft job version</x:v>
      </x:c>
      <x:c r="D28" s="96" t="str">
        <x:v>job complete + inventory grant + acquisition ledger</x:v>
      </x:c>
      <x:c r="E28" s="96" t="str">
        <x:v>craft job+player inventory</x:v>
      </x:c>
      <x:c r="F28" s="96" t="str">
        <x:v>No-op/return completed state</x:v>
      </x:c>
      <x:c r="G28" s="96" t="str">
        <x:v>Worker retries after conflict</x:v>
      </x:c>
      <x:c r="H28" s="96" t="str">
        <x:v>Ledger atomic</x:v>
      </x:c>
      <x:c r="I28" s="96" t="str">
        <x:v>Yes</x:v>
      </x:c>
      <x:c r="J28" s="96" t="str">
        <x:v>Never double grant</x:v>
      </x:c>
      <x:c r="K28" s="96" t="str">
        <x:v>Internal</x:v>
      </x:c>
      <x:c r="L28" s="96" t="str">
        <x:v>Critical</x:v>
      </x:c>
      <x:c r="M28" s="96" t="str">
        <x:v>P2</x:v>
      </x:c>
      <x:c r="N28" s="97" t="str"/>
    </x:row>
    <x:row r="29">
      <x:c r="A29" s="98" t="str">
        <x:v>Building Removal with Modules</x:v>
      </x:c>
      <x:c r="B29" s="99" t="str">
        <x:v>request id</x:v>
      </x:c>
      <x:c r="C29" s="99" t="str">
        <x:v>asset+loadout versions</x:v>
      </x:c>
      <x:c r="D29" s="99" t="str">
        <x:v>archive/remove building + clear slots + decrement equipped counts</x:v>
      </x:c>
      <x:c r="E29" s="99" t="str">
        <x:v>player+building+inventory</x:v>
      </x:c>
      <x:c r="F29" s="99" t="str">
        <x:v>Return prior result</x:v>
      </x:c>
      <x:c r="G29" s="99" t="str">
        <x:v>409 version</x:v>
      </x:c>
      <x:c r="H29" s="99" t="str">
        <x:v>Audit atomic</x:v>
      </x:c>
      <x:c r="I29" s="99" t="str">
        <x:v>Yes</x:v>
      </x:c>
      <x:c r="J29" s="99" t="str">
        <x:v>Abort</x:v>
      </x:c>
      <x:c r="K29" s="99" t="str">
        <x:v>Yes same key</x:v>
      </x:c>
      <x:c r="L29" s="99" t="str">
        <x:v>Critical</x:v>
      </x:c>
      <x:c r="M29" s="99" t="str">
        <x:v>P0</x:v>
      </x:c>
      <x:c r="N29" s="100" t="str">
        <x:v>All equipped Modules return to available inventory</x:v>
      </x:c>
    </x:row>
  </x:sheetData>
  <x:mergeCells>
    <x:mergeCell ref="A1:N1"/>
    <x:mergeCell ref="A14:N14"/>
    <x:mergeCell ref="A21:N2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Integrity, Anti-Cheat &amp; Competitive Validation Pipeline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22"/>
    </x:row>
    <x:row r="3">
      <x:c r="A3" s="14" t="str">
        <x:v>Threat</x:v>
      </x:c>
      <x:c r="B3" s="14" t="str">
        <x:v>Authoritative Evidence</x:v>
      </x:c>
      <x:c r="C3" s="14" t="str">
        <x:v>Realtime Detection</x:v>
      </x:c>
      <x:c r="D3" s="14" t="str">
        <x:v>Batch Detection</x:v>
      </x:c>
      <x:c r="E3" s="14" t="str">
        <x:v>Action on Raw State</x:v>
      </x:c>
      <x:c r="F3" s="14" t="str">
        <x:v>Action on Score</x:v>
      </x:c>
      <x:c r="G3" s="14" t="str">
        <x:v>Action on Reward</x:v>
      </x:c>
      <x:c r="H3" s="14" t="str">
        <x:v>Hold?</x:v>
      </x:c>
      <x:c r="I3" s="14" t="str">
        <x:v>Review?</x:v>
      </x:c>
      <x:c r="J3" s="14" t="str">
        <x:v>False Positive Sensitivity</x:v>
      </x:c>
      <x:c r="K3" s="14" t="str">
        <x:v>Retention</x:v>
      </x:c>
      <x:c r="L3" s="14" t="str">
        <x:v>Explainability</x:v>
      </x:c>
      <x:c r="M3" s="14" t="str">
        <x:v>MVP?</x:v>
      </x:c>
      <x:c r="N3" s="14" t="str">
        <x:v>Severity</x:v>
      </x:c>
      <x:c r="O3" s="14" t="str">
        <x:v>Owner</x:v>
      </x:c>
      <x:c r="P3" s="14" t="str">
        <x:v>Notes</x:v>
      </x:c>
    </x:row>
    <x:row r="4">
      <x:c r="A4" s="34" t="str">
        <x:v>Client-forged Cash/customers</x:v>
      </x:c>
      <x:c r="B4" s="35" t="str">
        <x:v>Server ledger absence</x:v>
      </x:c>
      <x:c r="C4" s="35" t="str">
        <x:v>Reject at API</x:v>
      </x:c>
      <x:c r="D4" s="35" t="str">
        <x:v>Ledger reconciliation</x:v>
      </x:c>
      <x:c r="E4" s="35" t="str">
        <x:v>No mutation</x:v>
      </x:c>
      <x:c r="F4" s="35" t="str">
        <x:v>None</x:v>
      </x:c>
      <x:c r="G4" s="35" t="str">
        <x:v>None</x:v>
      </x:c>
      <x:c r="H4" s="35" t="str">
        <x:v>No</x:v>
      </x:c>
      <x:c r="I4" s="35" t="str">
        <x:v>No</x:v>
      </x:c>
      <x:c r="J4" s="35" t="str">
        <x:v>Low</x:v>
      </x:c>
      <x:c r="K4" s="35" t="str">
        <x:v>730d+</x:v>
      </x:c>
      <x:c r="L4" s="35" t="str">
        <x:v>High</x:v>
      </x:c>
      <x:c r="M4" s="35" t="str">
        <x:v>Yes</x:v>
      </x:c>
      <x:c r="N4" s="35" t="str">
        <x:v>Critical</x:v>
      </x:c>
      <x:c r="O4" s="35" t="str">
        <x:v>Backend</x:v>
      </x:c>
      <x:c r="P4" s="36" t="str">
        <x:v>Client never submits outcome values</x:v>
      </x:c>
    </x:row>
    <x:row r="5">
      <x:c r="A5" s="37" t="str">
        <x:v>Action spam</x:v>
      </x:c>
      <x:c r="B5" s="22" t="str">
        <x:v>Rate/sequence logs</x:v>
      </x:c>
      <x:c r="C5" s="22" t="str">
        <x:v>Rate limits</x:v>
      </x:c>
      <x:c r="D5" s="22" t="str">
        <x:v>Behavior aggregation</x:v>
      </x:c>
      <x:c r="E5" s="22" t="str">
        <x:v>Throttle/reject</x:v>
      </x:c>
      <x:c r="F5" s="22" t="str">
        <x:v>Exclude invalid activity</x:v>
      </x:c>
      <x:c r="G5" s="22" t="str">
        <x:v>None</x:v>
      </x:c>
      <x:c r="H5" s="22" t="str">
        <x:v>Maybe</x:v>
      </x:c>
      <x:c r="I5" s="22" t="str">
        <x:v>Rare</x:v>
      </x:c>
      <x:c r="J5" s="22" t="str">
        <x:v>Medium</x:v>
      </x:c>
      <x:c r="K5" s="22" t="str">
        <x:v>180d+</x:v>
      </x:c>
      <x:c r="L5" s="22" t="str">
        <x:v>High</x:v>
      </x:c>
      <x:c r="M5" s="22" t="str">
        <x:v>Yes</x:v>
      </x:c>
      <x:c r="N5" s="22" t="str">
        <x:v>High</x:v>
      </x:c>
      <x:c r="O5" s="22" t="str">
        <x:v>Integrity</x:v>
      </x:c>
      <x:c r="P5" s="38" t="str"/>
    </x:row>
    <x:row r="6">
      <x:c r="A6" s="37" t="str">
        <x:v>Wash activity</x:v>
      </x:c>
      <x:c r="B6" s="22" t="str">
        <x:v>Economic graph</x:v>
      </x:c>
      <x:c r="C6" s="22" t="str">
        <x:v>Rules for self loops</x:v>
      </x:c>
      <x:c r="D6" s="22" t="str">
        <x:v>Graph analysis</x:v>
      </x:c>
      <x:c r="E6" s="22" t="str">
        <x:v>Mark flows invalid</x:v>
      </x:c>
      <x:c r="F6" s="22" t="str">
        <x:v>Recompute affected components</x:v>
      </x:c>
      <x:c r="G6" s="22" t="str">
        <x:v>Hold payout</x:v>
      </x:c>
      <x:c r="H6" s="22" t="str">
        <x:v>Yes</x:v>
      </x:c>
      <x:c r="I6" s="22" t="str">
        <x:v>Yes</x:v>
      </x:c>
      <x:c r="J6" s="22" t="str">
        <x:v>Medium</x:v>
      </x:c>
      <x:c r="K6" s="22" t="str">
        <x:v>730d+</x:v>
      </x:c>
      <x:c r="L6" s="22" t="str">
        <x:v>Medium</x:v>
      </x:c>
      <x:c r="M6" s="22" t="str">
        <x:v>Yes</x:v>
      </x:c>
      <x:c r="N6" s="22" t="str">
        <x:v>Critical</x:v>
      </x:c>
      <x:c r="O6" s="22" t="str">
        <x:v>Integrity</x:v>
      </x:c>
      <x:c r="P6" s="38" t="str"/>
    </x:row>
    <x:row r="7">
      <x:c r="A7" s="37" t="str">
        <x:v>Multi-account / Sybil</x:v>
      </x:c>
      <x:c r="B7" s="22" t="str">
        <x:v>Identity/device/wallet graph</x:v>
      </x:c>
      <x:c r="C7" s="22" t="str">
        <x:v>Soft flags</x:v>
      </x:c>
      <x:c r="D7" s="22" t="str">
        <x:v>Cluster analysis</x:v>
      </x:c>
      <x:c r="E7" s="22" t="str">
        <x:v>No automatic destructive action</x:v>
      </x:c>
      <x:c r="F7" s="22" t="str">
        <x:v>Hold suspect score if strong signal</x:v>
      </x:c>
      <x:c r="G7" s="22" t="str">
        <x:v>Hold claims</x:v>
      </x:c>
      <x:c r="H7" s="22" t="str">
        <x:v>Yes</x:v>
      </x:c>
      <x:c r="I7" s="22" t="str">
        <x:v>Yes</x:v>
      </x:c>
      <x:c r="J7" s="22" t="str">
        <x:v>High</x:v>
      </x:c>
      <x:c r="K7" s="22" t="str">
        <x:v>730d+</x:v>
      </x:c>
      <x:c r="L7" s="22" t="str">
        <x:v>Medium</x:v>
      </x:c>
      <x:c r="M7" s="22" t="str">
        <x:v>Phase2</x:v>
      </x:c>
      <x:c r="N7" s="22" t="str">
        <x:v>High</x:v>
      </x:c>
      <x:c r="O7" s="22" t="str">
        <x:v>Integrity</x:v>
      </x:c>
      <x:c r="P7" s="38" t="str"/>
    </x:row>
    <x:row r="8">
      <x:c r="A8" s="37" t="str">
        <x:v>Market Hunt botting</x:v>
      </x:c>
      <x:c r="B8" s="22" t="str">
        <x:v>Timing/action patterns</x:v>
      </x:c>
      <x:c r="C8" s="22" t="str">
        <x:v>Impossible timing</x:v>
      </x:c>
      <x:c r="D8" s="22" t="str">
        <x:v>Sequence similarity</x:v>
      </x:c>
      <x:c r="E8" s="22" t="str">
        <x:v>Invalidate completion</x:v>
      </x:c>
      <x:c r="F8" s="22" t="str">
        <x:v>Remove Hunt points</x:v>
      </x:c>
      <x:c r="G8" s="22" t="str">
        <x:v>Void reward reservation</x:v>
      </x:c>
      <x:c r="H8" s="22" t="str">
        <x:v>Yes</x:v>
      </x:c>
      <x:c r="I8" s="22" t="str">
        <x:v>Sometimes</x:v>
      </x:c>
      <x:c r="J8" s="22" t="str">
        <x:v>Medium</x:v>
      </x:c>
      <x:c r="K8" s="22" t="str">
        <x:v>365d+</x:v>
      </x:c>
      <x:c r="L8" s="22" t="str">
        <x:v>High</x:v>
      </x:c>
      <x:c r="M8" s="22" t="str">
        <x:v>Yes</x:v>
      </x:c>
      <x:c r="N8" s="22" t="str">
        <x:v>High</x:v>
      </x:c>
      <x:c r="O8" s="22" t="str">
        <x:v>Integrity</x:v>
      </x:c>
      <x:c r="P8" s="38" t="str"/>
    </x:row>
    <x:row r="9">
      <x:c r="A9" s="37" t="str">
        <x:v>Layout snapshot gaming</x:v>
      </x:c>
      <x:c r="B9" s="22" t="str">
        <x:v>Layout versions + weekly metrics</x:v>
      </x:c>
      <x:c r="C9" s="22" t="str">
        <x:v>Event/settlement locks</x:v>
      </x:c>
      <x:c r="D9" s="22" t="str">
        <x:v>Last-minute anomaly</x:v>
      </x:c>
      <x:c r="E9" s="22" t="str">
        <x:v>Allow valid layout</x:v>
      </x:c>
      <x:c r="F9" s="22" t="str">
        <x:v>Use weekly aggregates</x:v>
      </x:c>
      <x:c r="G9" s="22" t="str">
        <x:v>Normal</x:v>
      </x:c>
      <x:c r="H9" s="22" t="str">
        <x:v>No</x:v>
      </x:c>
      <x:c r="I9" s="22" t="str">
        <x:v>Rare</x:v>
      </x:c>
      <x:c r="J9" s="22" t="str">
        <x:v>Low</x:v>
      </x:c>
      <x:c r="K9" s="22" t="str">
        <x:v>180d+</x:v>
      </x:c>
      <x:c r="L9" s="22" t="str">
        <x:v>High</x:v>
      </x:c>
      <x:c r="M9" s="22" t="str">
        <x:v>Yes</x:v>
      </x:c>
      <x:c r="N9" s="22" t="str">
        <x:v>Medium</x:v>
      </x:c>
      <x:c r="O9" s="22" t="str">
        <x:v>Game Systems</x:v>
      </x:c>
      <x:c r="P9" s="38" t="str"/>
    </x:row>
    <x:row r="10">
      <x:c r="A10" s="37" t="str">
        <x:v>Exploit signature</x:v>
      </x:c>
      <x:c r="B10" s="22" t="str">
        <x:v>Versioned exploit rules</x:v>
      </x:c>
      <x:c r="C10" s="22" t="str">
        <x:v>Emergency deny rule</x:v>
      </x:c>
      <x:c r="D10" s="22" t="str">
        <x:v>Historical rescan</x:v>
      </x:c>
      <x:c r="E10" s="22" t="str">
        <x:v>Freeze affected mutation type</x:v>
      </x:c>
      <x:c r="F10" s="22" t="str">
        <x:v>Recalculate</x:v>
      </x:c>
      <x:c r="G10" s="22" t="str">
        <x:v>Hold/void exploit rewards</x:v>
      </x:c>
      <x:c r="H10" s="22" t="str">
        <x:v>Yes</x:v>
      </x:c>
      <x:c r="I10" s="22" t="str">
        <x:v>Yes</x:v>
      </x:c>
      <x:c r="J10" s="22" t="str">
        <x:v>Low</x:v>
      </x:c>
      <x:c r="K10" s="22" t="str">
        <x:v>Permanent cases</x:v>
      </x:c>
      <x:c r="L10" s="22" t="str">
        <x:v>High</x:v>
      </x:c>
      <x:c r="M10" s="22" t="str">
        <x:v>Yes</x:v>
      </x:c>
      <x:c r="N10" s="22" t="str">
        <x:v>Critical</x:v>
      </x:c>
      <x:c r="O10" s="22" t="str">
        <x:v>Integrity</x:v>
      </x:c>
      <x:c r="P10" s="38" t="str"/>
    </x:row>
    <x:row r="11">
      <x:c r="A11" s="37" t="str">
        <x:v>Chain ownership spoof</x:v>
      </x:c>
      <x:c r="B11" s="22" t="str">
        <x:v>Chain/provider proof</x:v>
      </x:c>
      <x:c r="C11" s="22" t="str">
        <x:v>Ownership reconciliation</x:v>
      </x:c>
      <x:c r="D11" s="22" t="str">
        <x:v>Block audit</x:v>
      </x:c>
      <x:c r="E11" s="22" t="str">
        <x:v>Pause Plot mutations</x:v>
      </x:c>
      <x:c r="F11" s="22" t="str">
        <x:v>Exclude invalid period if needed</x:v>
      </x:c>
      <x:c r="G11" s="22" t="str">
        <x:v>Block land-linked claim if relevant</x:v>
      </x:c>
      <x:c r="H11" s="22" t="str">
        <x:v>Yes</x:v>
      </x:c>
      <x:c r="I11" s="22" t="str">
        <x:v>No if deterministic</x:v>
      </x:c>
      <x:c r="J11" s="22" t="str">
        <x:v>Low</x:v>
      </x:c>
      <x:c r="K11" s="22" t="str">
        <x:v>Permanent</x:v>
      </x:c>
      <x:c r="L11" s="22" t="str">
        <x:v>High</x:v>
      </x:c>
      <x:c r="M11" s="22" t="str">
        <x:v>Yes</x:v>
      </x:c>
      <x:c r="N11" s="22" t="str">
        <x:v>Critical</x:v>
      </x:c>
      <x:c r="O11" s="22" t="str">
        <x:v>Chain</x:v>
      </x:c>
      <x:c r="P11" s="38" t="str"/>
    </x:row>
    <x:row r="12">
      <x:c r="A12" s="39" t="str">
        <x:v>Duplicate reward claim</x:v>
      </x:c>
      <x:c r="B12" s="40" t="str">
        <x:v>Reward ledger + provider tx</x:v>
      </x:c>
      <x:c r="C12" s="40" t="str">
        <x:v>Idempotency lock</x:v>
      </x:c>
      <x:c r="D12" s="40" t="str">
        <x:v>Ledger reconciliation</x:v>
      </x:c>
      <x:c r="E12" s="40" t="str">
        <x:v>No duplicate</x:v>
      </x:c>
      <x:c r="F12" s="40" t="str">
        <x:v>None</x:v>
      </x:c>
      <x:c r="G12" s="40" t="str">
        <x:v>Return existing claim</x:v>
      </x:c>
      <x:c r="H12" s="40" t="str">
        <x:v>No</x:v>
      </x:c>
      <x:c r="I12" s="40" t="str">
        <x:v>No</x:v>
      </x:c>
      <x:c r="J12" s="40" t="str">
        <x:v>Low</x:v>
      </x:c>
      <x:c r="K12" s="40" t="str">
        <x:v>Permanent</x:v>
      </x:c>
      <x:c r="L12" s="40" t="str">
        <x:v>High</x:v>
      </x:c>
      <x:c r="M12" s="40" t="str">
        <x:v>Yes</x:v>
      </x:c>
      <x:c r="N12" s="40" t="str">
        <x:v>Critical</x:v>
      </x:c>
      <x:c r="O12" s="40" t="str">
        <x:v>Reward</x:v>
      </x:c>
      <x:c r="P12" s="41" t="str"/>
    </x:row>
    <x:row r="13">
      <x:c r="A13" s="92" t="str">
        <x:v>Client-forged Module effect</x:v>
      </x:c>
      <x:c r="B13" s="93" t="str">
        <x:v>Approved config + loadout + server context</x:v>
      </x:c>
      <x:c r="C13" s="93" t="str">
        <x:v>Reject any client effect/stat payload</x:v>
      </x:c>
      <x:c r="D13" s="93" t="str">
        <x:v>Compare output trace vs server resolver</x:v>
      </x:c>
      <x:c r="E13" s="93" t="str">
        <x:v>No mutation</x:v>
      </x:c>
      <x:c r="F13" s="93" t="str">
        <x:v>No direct score</x:v>
      </x:c>
      <x:c r="G13" s="93" t="str">
        <x:v>No reward effect</x:v>
      </x:c>
      <x:c r="H13" s="93" t="str">
        <x:v>No</x:v>
      </x:c>
      <x:c r="I13" s="93" t="str">
        <x:v>No</x:v>
      </x:c>
      <x:c r="J13" s="93" t="str">
        <x:v>Low</x:v>
      </x:c>
      <x:c r="K13" s="93" t="str">
        <x:v>365d+</x:v>
      </x:c>
      <x:c r="L13" s="93" t="str">
        <x:v>High</x:v>
      </x:c>
      <x:c r="M13" s="93" t="str">
        <x:v>Yes</x:v>
      </x:c>
      <x:c r="N13" s="93" t="str">
        <x:v>Critical</x:v>
      </x:c>
      <x:c r="O13" s="93" t="str">
        <x:v>Backend/Integrity</x:v>
      </x:c>
      <x:c r="P13" s="94" t="str">
        <x:v>Client submits Module ID/slot intent only</x:v>
      </x:c>
    </x:row>
    <x:row r="14">
      <x:c r="A14" s="95" t="str">
        <x:v>Module inventory duplication</x:v>
      </x:c>
      <x:c r="B14" s="96" t="str">
        <x:v>Reward/craft/loadout/Parts ledgers</x:v>
      </x:c>
      <x:c r="C14" s="96" t="str">
        <x:v>Unique source/idempotency constraints</x:v>
      </x:c>
      <x:c r="D14" s="96" t="str">
        <x:v>Inventory vs ledgers/loadouts reconcile</x:v>
      </x:c>
      <x:c r="E14" s="96" t="str">
        <x:v>Freeze suspect Module mutations</x:v>
      </x:c>
      <x:c r="F14" s="96" t="str">
        <x:v>Recompute underlying metrics only if exploit affected simulation</x:v>
      </x:c>
      <x:c r="G14" s="96" t="str">
        <x:v>Hold exploit-derived rewards if material</x:v>
      </x:c>
      <x:c r="H14" s="96" t="str">
        <x:v>Yes</x:v>
      </x:c>
      <x:c r="I14" s="96" t="str">
        <x:v>Yes</x:v>
      </x:c>
      <x:c r="J14" s="96" t="str">
        <x:v>Low</x:v>
      </x:c>
      <x:c r="K14" s="96" t="str">
        <x:v>730d+</x:v>
      </x:c>
      <x:c r="L14" s="96" t="str">
        <x:v>High</x:v>
      </x:c>
      <x:c r="M14" s="96" t="str">
        <x:v>Yes</x:v>
      </x:c>
      <x:c r="N14" s="96" t="str">
        <x:v>Critical</x:v>
      </x:c>
      <x:c r="O14" s="96" t="str">
        <x:v>Integrity</x:v>
      </x:c>
      <x:c r="P14" s="97" t="str">
        <x:v>owned&gt;=equipped invariant</x:v>
      </x:c>
    </x:row>
    <x:row r="15">
      <x:c r="A15" s="95" t="str">
        <x:v>Loadout swap timing exploit</x:v>
      </x:c>
      <x:c r="B15" s="96" t="str">
        <x:v>loadout audit + effective_at + event locks</x:v>
      </x:c>
      <x:c r="C15" s="96" t="str">
        <x:v>Next-boundary activation / lock check</x:v>
      </x:c>
      <x:c r="D15" s="96" t="str">
        <x:v>Detect rapid conflict patterns</x:v>
      </x:c>
      <x:c r="E15" s="96" t="str">
        <x:v>Reject/normalize invalid mutation</x:v>
      </x:c>
      <x:c r="F15" s="96" t="str">
        <x:v>No retroactive score</x:v>
      </x:c>
      <x:c r="G15" s="96" t="str">
        <x:v>No duplicate reward</x:v>
      </x:c>
      <x:c r="H15" s="96" t="str">
        <x:v>Maybe</x:v>
      </x:c>
      <x:c r="I15" s="96" t="str">
        <x:v>Rare</x:v>
      </x:c>
      <x:c r="J15" s="96" t="str">
        <x:v>Low</x:v>
      </x:c>
      <x:c r="K15" s="96" t="str">
        <x:v>365d+</x:v>
      </x:c>
      <x:c r="L15" s="96" t="str">
        <x:v>High</x:v>
      </x:c>
      <x:c r="M15" s="96" t="str">
        <x:v>Yes</x:v>
      </x:c>
      <x:c r="N15" s="96" t="str">
        <x:v>High</x:v>
      </x:c>
      <x:c r="O15" s="96" t="str">
        <x:v>Game Systems</x:v>
      </x:c>
      <x:c r="P15" s="97" t="str">
        <x:v>No retroactive modifier application</x:v>
      </x:c>
    </x:row>
    <x:row r="16">
      <x:c r="A16" s="98" t="str">
        <x:v>Craft/Parts double spend</x:v>
      </x:c>
      <x:c r="B16" s="99" t="str">
        <x:v>Parts ledger + craft job</x:v>
      </x:c>
      <x:c r="C16" s="99" t="str">
        <x:v>Atomic transaction</x:v>
      </x:c>
      <x:c r="D16" s="99" t="str">
        <x:v>Balance replay</x:v>
      </x:c>
      <x:c r="E16" s="99" t="str">
        <x:v>No duplicate craft</x:v>
      </x:c>
      <x:c r="F16" s="99" t="str">
        <x:v>None direct</x:v>
      </x:c>
      <x:c r="G16" s="99" t="str">
        <x:v>Void duplicate grant / hold if needed</x:v>
      </x:c>
      <x:c r="H16" s="99" t="str">
        <x:v>Yes</x:v>
      </x:c>
      <x:c r="I16" s="99" t="str">
        <x:v>Sometimes</x:v>
      </x:c>
      <x:c r="J16" s="99" t="str">
        <x:v>Low</x:v>
      </x:c>
      <x:c r="K16" s="99" t="str">
        <x:v>730d+</x:v>
      </x:c>
      <x:c r="L16" s="99" t="str">
        <x:v>High</x:v>
      </x:c>
      <x:c r="M16" s="99" t="str">
        <x:v>P2</x:v>
      </x:c>
      <x:c r="N16" s="99" t="str">
        <x:v>Critical</x:v>
      </x:c>
      <x:c r="O16" s="99" t="str">
        <x:v>Integrity</x:v>
      </x:c>
      <x:c r="P16" s="100" t="str">
        <x:v>Same-tier Parts only</x:v>
      </x:c>
    </x:row>
  </x:sheetData>
  <x:mergeCells>
    <x:mergeCell ref="A1:P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Onchain / Provider Integration Boundaries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</x:row>
    <x:row r="3">
      <x:c r="A3" s="14" t="str">
        <x:v>Integration</x:v>
      </x:c>
      <x:c r="B3" s="14" t="str">
        <x:v>Direction</x:v>
      </x:c>
      <x:c r="C3" s="14" t="str">
        <x:v>Trigger</x:v>
      </x:c>
      <x:c r="D3" s="14" t="str">
        <x:v>Source of Truth</x:v>
      </x:c>
      <x:c r="E3" s="14" t="str">
        <x:v>Required Confirmations</x:v>
      </x:c>
      <x:c r="F3" s="14" t="str">
        <x:v>Reorg Handling</x:v>
      </x:c>
      <x:c r="G3" s="14" t="str">
        <x:v>Game Lock</x:v>
      </x:c>
      <x:c r="H3" s="14" t="str">
        <x:v>Local Mirror</x:v>
      </x:c>
      <x:c r="I3" s="14" t="str">
        <x:v>Idempotency Ref</x:v>
      </x:c>
      <x:c r="J3" s="14" t="str">
        <x:v>Retry</x:v>
      </x:c>
      <x:c r="K3" s="14" t="str">
        <x:v>User Visible State</x:v>
      </x:c>
      <x:c r="L3" s="14" t="str">
        <x:v>Settlement Critical?</x:v>
      </x:c>
      <x:c r="M3" s="14" t="str">
        <x:v>MVP?</x:v>
      </x:c>
      <x:c r="N3" s="14" t="str">
        <x:v>Failure Mode</x:v>
      </x:c>
      <x:c r="O3" s="14" t="str">
        <x:v>Fallback</x:v>
      </x:c>
      <x:c r="P3" s="14" t="str">
        <x:v>Notes</x:v>
      </x:c>
    </x:row>
    <x:row r="4">
      <x:c r="A4" s="34" t="str">
        <x:v>Plot ownership mint/transfer</x:v>
      </x:c>
      <x:c r="B4" s="35" t="str">
        <x:v>Chain → Game</x:v>
      </x:c>
      <x:c r="C4" s="35" t="str">
        <x:v>Contract event / reconcile</x:v>
      </x:c>
      <x:c r="D4" s="35" t="str">
        <x:v>Chain</x:v>
      </x:c>
      <x:c r="E4" s="35" t="str">
        <x:v>Configurable</x:v>
      </x:c>
      <x:c r="F4" s="35" t="str">
        <x:v>Reconcile by block hash; reverse mirror if reorg</x:v>
      </x:c>
      <x:c r="G4" s="35" t="str">
        <x:v>Pause Plot mutation during mismatch</x:v>
      </x:c>
      <x:c r="H4" s="35" t="str">
        <x:v>Yes</x:v>
      </x:c>
      <x:c r="I4" s="35" t="str">
        <x:v>chain_event_id</x:v>
      </x:c>
      <x:c r="J4" s="35" t="str">
        <x:v>Provider retry</x:v>
      </x:c>
      <x:c r="K4" s="35" t="str">
        <x:v>Syncing ownership</x:v>
      </x:c>
      <x:c r="L4" s="35" t="str">
        <x:v>Yes</x:v>
      </x:c>
      <x:c r="M4" s="35" t="str">
        <x:v>Yes</x:v>
      </x:c>
      <x:c r="N4" s="35" t="str">
        <x:v>Provider lag / reorg</x:v>
      </x:c>
      <x:c r="O4" s="35" t="str">
        <x:v>Use last confirmed owner, fail closed for mutation</x:v>
      </x:c>
      <x:c r="P4" s="36" t="str"/>
    </x:row>
    <x:row r="5">
      <x:c r="A5" s="37" t="str">
        <x:v>Plot coordinate metadata</x:v>
      </x:c>
      <x:c r="B5" s="22" t="str">
        <x:v>Chain/registry → Game</x:v>
      </x:c>
      <x:c r="C5" s="22" t="str">
        <x:v>Mint/index</x:v>
      </x:c>
      <x:c r="D5" s="22" t="str">
        <x:v>Registry</x:v>
      </x:c>
      <x:c r="E5" s="22" t="str">
        <x:v>Finalized/immutable policy</x:v>
      </x:c>
      <x:c r="F5" s="22" t="str">
        <x:v>Re-index if registry correction allowed</x:v>
      </x:c>
      <x:c r="G5" s="22" t="str">
        <x:v>None after confirmed</x:v>
      </x:c>
      <x:c r="H5" s="22" t="str">
        <x:v>Yes</x:v>
      </x:c>
      <x:c r="I5" s="22" t="str">
        <x:v>token_id+metadata_version</x:v>
      </x:c>
      <x:c r="J5" s="22" t="str">
        <x:v>Retry</x:v>
      </x:c>
      <x:c r="K5" s="22" t="str">
        <x:v>Map available</x:v>
      </x:c>
      <x:c r="L5" s="22" t="str">
        <x:v>High</x:v>
      </x:c>
      <x:c r="M5" s="22" t="str">
        <x:v>Yes</x:v>
      </x:c>
      <x:c r="N5" s="22" t="str">
        <x:v>Metadata missing</x:v>
      </x:c>
      <x:c r="O5" s="22" t="str">
        <x:v>Plot inactive until resolved</x:v>
      </x:c>
      <x:c r="P5" s="38" t="str"/>
    </x:row>
    <x:row r="6">
      <x:c r="A6" s="37" t="str">
        <x:v>ERC-6551 account discovery</x:v>
      </x:c>
      <x:c r="B6" s="22" t="str">
        <x:v>Chain → Game</x:v>
      </x:c>
      <x:c r="C6" s="22" t="str">
        <x:v>Plot indexed</x:v>
      </x:c>
      <x:c r="D6" s="22" t="str">
        <x:v>Registry/implementation</x:v>
      </x:c>
      <x:c r="E6" s="22" t="str">
        <x:v>As configured</x:v>
      </x:c>
      <x:c r="F6" s="22" t="str">
        <x:v>Recompute deterministic account</x:v>
      </x:c>
      <x:c r="G6" s="22" t="str">
        <x:v>No gameplay lock unless asset action</x:v>
      </x:c>
      <x:c r="H6" s="22" t="str">
        <x:v>Yes</x:v>
      </x:c>
      <x:c r="I6" s="22" t="str">
        <x:v>plot+tba_version</x:v>
      </x:c>
      <x:c r="J6" s="22" t="str">
        <x:v>Retry</x:v>
      </x:c>
      <x:c r="K6" s="22" t="str">
        <x:v>Asset container address</x:v>
      </x:c>
      <x:c r="L6" s="22" t="str">
        <x:v>Low</x:v>
      </x:c>
      <x:c r="M6" s="22" t="str">
        <x:v>Later</x:v>
      </x:c>
      <x:c r="N6" s="22" t="str">
        <x:v>Registry/provider issue</x:v>
      </x:c>
      <x:c r="O6" s="22" t="str">
        <x:v>Ignore for core simulation</x:v>
      </x:c>
      <x:c r="P6" s="38" t="str"/>
    </x:row>
    <x:row r="7">
      <x:c r="A7" s="37" t="str">
        <x:v>$PLOT weekly claim</x:v>
      </x:c>
      <x:c r="B7" s="22" t="str">
        <x:v>Game → Chain</x:v>
      </x:c>
      <x:c r="C7" s="22" t="str">
        <x:v>Finalized reward claim</x:v>
      </x:c>
      <x:c r="D7" s="22" t="str">
        <x:v>Game settlement amount; chain transfer final</x:v>
      </x:c>
      <x:c r="E7" s="22" t="str">
        <x:v>Chain tx finality</x:v>
      </x:c>
      <x:c r="F7" s="22" t="str">
        <x:v>Track replacement/reorg</x:v>
      </x:c>
      <x:c r="G7" s="22" t="str">
        <x:v>Reward claim lock</x:v>
      </x:c>
      <x:c r="H7" s="22" t="str">
        <x:v>Yes</x:v>
      </x:c>
      <x:c r="I7" s="22" t="str">
        <x:v>reward_id/claim_nonce</x:v>
      </x:c>
      <x:c r="J7" s="22" t="str">
        <x:v>Same external reference</x:v>
      </x:c>
      <x:c r="K7" s="22" t="str">
        <x:v>Pending/confirmed/failed</x:v>
      </x:c>
      <x:c r="L7" s="22" t="str">
        <x:v>Critical</x:v>
      </x:c>
      <x:c r="M7" s="22" t="str">
        <x:v>Yes</x:v>
      </x:c>
      <x:c r="N7" s="22" t="str">
        <x:v>Gas/provider/contract failure</x:v>
      </x:c>
      <x:c r="O7" s="22" t="str">
        <x:v>Keep claim pending/retry; never recalc amount</x:v>
      </x:c>
      <x:c r="P7" s="38" t="str"/>
    </x:row>
    <x:row r="8">
      <x:c r="A8" s="37" t="str">
        <x:v>Tokenized stock settlement</x:v>
      </x:c>
      <x:c r="B8" s="22" t="str">
        <x:v>Game → Provider/Chain</x:v>
      </x:c>
      <x:c r="C8" s="22" t="str">
        <x:v>Reserved stock reward claim/batch</x:v>
      </x:c>
      <x:c r="D8" s="22" t="str">
        <x:v>Funded inventory + provider</x:v>
      </x:c>
      <x:c r="E8" s="22" t="str">
        <x:v>Provider-specific</x:v>
      </x:c>
      <x:c r="F8" s="22" t="str">
        <x:v>Provider-specific</x:v>
      </x:c>
      <x:c r="G8" s="22" t="str">
        <x:v>Reward reservation lock</x:v>
      </x:c>
      <x:c r="H8" s="22" t="str">
        <x:v>Yes</x:v>
      </x:c>
      <x:c r="I8" s="22" t="str">
        <x:v>reservation_id</x:v>
      </x:c>
      <x:c r="J8" s="22" t="str">
        <x:v>Provider idempotency key</x:v>
      </x:c>
      <x:c r="K8" s="22" t="str">
        <x:v>Reserved/pending/settled</x:v>
      </x:c>
      <x:c r="L8" s="22" t="str">
        <x:v>Critical</x:v>
      </x:c>
      <x:c r="M8" s="22" t="str">
        <x:v>Later/Provider</x:v>
      </x:c>
      <x:c r="N8" s="22" t="str">
        <x:v>Insufficient inventory/provider outage</x:v>
      </x:c>
      <x:c r="O8" s="22" t="str">
        <x:v>Throttle rewards/hold reservation, no substitute without rule</x:v>
      </x:c>
      <x:c r="P8" s="38" t="str"/>
    </x:row>
    <x:row r="9">
      <x:c r="A9" s="39" t="str">
        <x:v>Marketplace Plot sale</x:v>
      </x:c>
      <x:c r="B9" s="40" t="str">
        <x:v>Chain/marketplace → Game</x:v>
      </x:c>
      <x:c r="C9" s="40" t="str">
        <x:v>Ownership transfer</x:v>
      </x:c>
      <x:c r="D9" s="40" t="str">
        <x:v>Chain</x:v>
      </x:c>
      <x:c r="E9" s="40" t="str">
        <x:v>As configured</x:v>
      </x:c>
      <x:c r="F9" s="40" t="str">
        <x:v>Same as ownership</x:v>
      </x:c>
      <x:c r="G9" s="40" t="str">
        <x:v>Transfer preflight/after-event lock</x:v>
      </x:c>
      <x:c r="H9" s="40" t="str">
        <x:v>Yes</x:v>
      </x:c>
      <x:c r="I9" s="40" t="str">
        <x:v>chain_event_id</x:v>
      </x:c>
      <x:c r="J9" s="40" t="str">
        <x:v>Reconcile</x:v>
      </x:c>
      <x:c r="K9" s="40" t="str">
        <x:v>Pending transfer/new owner inactive</x:v>
      </x:c>
      <x:c r="L9" s="40" t="str">
        <x:v>High</x:v>
      </x:c>
      <x:c r="M9" s="40" t="str">
        <x:v>Phase2</x:v>
      </x:c>
      <x:c r="N9" s="40" t="str">
        <x:v>Sale bypasses game preflight</x:v>
      </x:c>
      <x:c r="O9" s="40" t="str">
        <x:v>Game mirror reacts to actual ownership; detach conflicts handled safely</x:v>
      </x:c>
      <x:c r="P9" s="41" t="str"/>
    </x:row>
    <x:row r="11" ht="22" customHeight="1">
      <x:c r="A11" s="31" t="str">
        <x:v>Chain Listener Rules</x:v>
      </x:c>
      <x:c r="B11" s="31"/>
      <x:c r="C11" s="31"/>
      <x:c r="D11" s="31"/>
      <x:c r="E11" s="31"/>
      <x:c r="F11" s="31"/>
      <x:c r="G11" s="31"/>
      <x:c r="H11" s="31"/>
      <x:c r="I11" s="31"/>
      <x:c r="J11" s="31"/>
      <x:c r="K11" s="31"/>
      <x:c r="L11" s="31"/>
      <x:c r="M11" s="31"/>
      <x:c r="N11" s="31"/>
      <x:c r="O11" s="31"/>
      <x:c r="P11" s="31"/>
    </x:row>
    <x:row r="12">
      <x:c r="A12" s="14" t="str">
        <x:v>Rule</x:v>
      </x:c>
      <x:c r="B12" s="14" t="str">
        <x:v>Specification</x:v>
      </x:c>
    </x:row>
    <x:row r="13">
      <x:c r="A13" s="34" t="str">
        <x:v>Cursor by block + log index</x:v>
      </x:c>
      <x:c r="B13" s="36" t="str">
        <x:v>Persist the last processed canonical cursor and event ID.</x:v>
      </x:c>
    </x:row>
    <x:row r="14">
      <x:c r="A14" s="37" t="str">
        <x:v>Do not trust webhooks alone</x:v>
      </x:c>
      <x:c r="B14" s="38" t="str">
        <x:v>Use webhooks for speed but periodic range reconciliation for correctness.</x:v>
      </x:c>
    </x:row>
    <x:row r="15">
      <x:c r="A15" s="37" t="str">
        <x:v>Reorg-aware mirror</x:v>
      </x:c>
      <x:c r="B15" s="38" t="str">
        <x:v>Ownership mirror must support reverting unfinalized events when chain/provider indicates reorganization.</x:v>
      </x:c>
    </x:row>
    <x:row r="16">
      <x:c r="A16" s="37" t="str">
        <x:v>Fail closed for ownership mutation</x:v>
      </x:c>
      <x:c r="B16" s="38" t="str">
        <x:v>If game mirror and chain disagree, block Plot move/merge/transfer-sensitive actions until resolved.</x:v>
      </x:c>
    </x:row>
    <x:row r="17">
      <x:c r="A17" s="39" t="str">
        <x:v>Claims are state machines</x:v>
      </x:c>
      <x:c r="B17" s="41" t="str">
        <x:v>pending → submitted → confirmed/failed; never mark claimed solely because a client says a transaction was sent.</x:v>
      </x:c>
    </x:row>
    <x:row r="19" ht="22" customHeight="1">
      <x:c r="A19" s="102" t="str">
        <x:v>Module Onchain Boundary</x:v>
      </x:c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  <x:c r="O19" s="102"/>
      <x:c r="P19" s="102"/>
    </x:row>
    <x:row r="20">
      <x:c r="A20" s="105" t="str">
        <x:v>State / Action</x:v>
      </x:c>
      <x:c r="B20" s="105" t="str">
        <x:v>Onchain v1.0?</x:v>
      </x:c>
      <x:c r="C20" s="105" t="str">
        <x:v>Canonical Owner</x:v>
      </x:c>
      <x:c r="D20" s="105" t="str">
        <x:v>Reason</x:v>
      </x:c>
    </x:row>
    <x:row r="21">
      <x:c r="A21" s="92" t="str">
        <x:v>Module ownership/inventory</x:v>
      </x:c>
      <x:c r="B21" s="93" t="str">
        <x:v>No</x:v>
      </x:c>
      <x:c r="C21" s="93" t="str">
        <x:v>PLOT backend</x:v>
      </x:c>
      <x:c r="D21" s="94" t="str">
        <x:v>High-frequency gameplay collection; no need for chain latency/cost</x:v>
      </x:c>
    </x:row>
    <x:row r="22">
      <x:c r="A22" s="95" t="str">
        <x:v>Module equip/loadout</x:v>
      </x:c>
      <x:c r="B22" s="96" t="str">
        <x:v>No</x:v>
      </x:c>
      <x:c r="C22" s="96" t="str">
        <x:v>PLOT backend</x:v>
      </x:c>
      <x:c r="D22" s="97" t="str">
        <x:v>Simulation input; must remain low-latency and versioned</x:v>
      </x:c>
    </x:row>
    <x:row r="23">
      <x:c r="A23" s="95" t="str">
        <x:v>Module Parts/crafting</x:v>
      </x:c>
      <x:c r="B23" s="96" t="str">
        <x:v>No</x:v>
      </x:c>
      <x:c r="C23" s="96" t="str">
        <x:v>PLOT backend</x:v>
      </x:c>
      <x:c r="D23" s="97" t="str">
        <x:v>Economy/crafting state; exactly-once ledger semantics offchain</x:v>
      </x:c>
    </x:row>
    <x:row r="24">
      <x:c r="A24" s="95" t="str">
        <x:v>Building Mastery</x:v>
      </x:c>
      <x:c r="B24" s="96" t="str">
        <x:v>No</x:v>
      </x:c>
      <x:c r="C24" s="96" t="str">
        <x:v>PLOT backend</x:v>
      </x:c>
      <x:c r="D24" s="97" t="str">
        <x:v>Derived from gameplay evidence</x:v>
      </x:c>
    </x:row>
    <x:row r="25">
      <x:c r="A25" s="98" t="str">
        <x:v>Future tradable cosmetic Module variants</x:v>
      </x:c>
      <x:c r="B25" s="99" t="str">
        <x:v>Possible later</x:v>
      </x:c>
      <x:c r="C25" s="99" t="str">
        <x:v>Separate design</x:v>
      </x:c>
      <x:c r="D25" s="100" t="str">
        <x:v>Would require explicit asset/trading policy; not assumed by v0.2</x:v>
      </x:c>
    </x:row>
  </x:sheetData>
  <x:mergeCells>
    <x:mergeCell ref="A1:P1"/>
    <x:mergeCell ref="A11:P11"/>
    <x:mergeCell ref="A19:P1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Family App / Family SDK Iframe Integration Contract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</x:row>
    <x:row r="3">
      <x:c r="A3" s="14" t="str">
        <x:v>Capability</x:v>
      </x:c>
      <x:c r="B3" s="14" t="str">
        <x:v>Direction</x:v>
      </x:c>
      <x:c r="C3" s="14" t="str">
        <x:v>Transport</x:v>
      </x:c>
      <x:c r="D3" s="14" t="str">
        <x:v>Required Data</x:v>
      </x:c>
      <x:c r="E3" s="14" t="str">
        <x:v>Trust Level</x:v>
      </x:c>
      <x:c r="F3" s="14" t="str">
        <x:v>Validation</x:v>
      </x:c>
      <x:c r="G3" s="14" t="str">
        <x:v>Fallback</x:v>
      </x:c>
      <x:c r="H3" s="14" t="str">
        <x:v>Latency Target</x:v>
      </x:c>
      <x:c r="I3" s="14" t="str">
        <x:v>Session Impact</x:v>
      </x:c>
      <x:c r="J3" s="14" t="str">
        <x:v>Wallet Impact</x:v>
      </x:c>
      <x:c r="K3" s="14" t="str">
        <x:v>Game State Impact</x:v>
      </x:c>
      <x:c r="L3" s="14" t="str">
        <x:v>Security Risk</x:v>
      </x:c>
      <x:c r="M3" s="14" t="str">
        <x:v>MVP?</x:v>
      </x:c>
      <x:c r="N3" s="14" t="str">
        <x:v>Owner</x:v>
      </x:c>
      <x:c r="O3" s="14" t="str">
        <x:v>Notes</x:v>
      </x:c>
    </x:row>
    <x:row r="4">
      <x:c r="A4" s="34" t="str">
        <x:v>Initialize mini app</x:v>
      </x:c>
      <x:c r="B4" s="35" t="str">
        <x:v>Family → PLOT</x:v>
      </x:c>
      <x:c r="C4" s="35" t="str">
        <x:v>Iframe SDK/message bridge</x:v>
      </x:c>
      <x:c r="D4" s="35" t="str">
        <x:v>signed/session context, user id, environment</x:v>
      </x:c>
      <x:c r="E4" s="35" t="str">
        <x:v>Untrusted until verified</x:v>
      </x:c>
      <x:c r="F4" s="35" t="str">
        <x:v>Verify SDK token/session server-side</x:v>
      </x:c>
      <x:c r="G4" s="35" t="str">
        <x:v>Show reconnect/login state</x:v>
      </x:c>
      <x:c r="H4" s="35" t="str">
        <x:v>&lt;1s</x:v>
      </x:c>
      <x:c r="I4" s="35" t="str">
        <x:v>Creates PLOT session</x:v>
      </x:c>
      <x:c r="J4" s="35" t="str">
        <x:v>Maps wallet if available</x:v>
      </x:c>
      <x:c r="K4" s="35" t="str">
        <x:v>None until auth</x:v>
      </x:c>
      <x:c r="L4" s="35" t="str">
        <x:v>High</x:v>
      </x:c>
      <x:c r="M4" s="35" t="str">
        <x:v>Yes</x:v>
      </x:c>
      <x:c r="N4" s="35" t="str">
        <x:v>Identity</x:v>
      </x:c>
      <x:c r="O4" s="36" t="str"/>
    </x:row>
    <x:row r="5">
      <x:c r="A5" s="37" t="str">
        <x:v>Wallet/account context</x:v>
      </x:c>
      <x:c r="B5" s="22" t="str">
        <x:v>Family → PLOT</x:v>
      </x:c>
      <x:c r="C5" s="22" t="str">
        <x:v>SDK bridge + backend verification</x:v>
      </x:c>
      <x:c r="D5" s="22" t="str">
        <x:v>wallet/account IDs</x:v>
      </x:c>
      <x:c r="E5" s="22" t="str">
        <x:v>Context hint</x:v>
      </x:c>
      <x:c r="F5" s="22" t="str">
        <x:v>Verify signed/connector source</x:v>
      </x:c>
      <x:c r="G5" s="22" t="str">
        <x:v>Request wallet link</x:v>
      </x:c>
      <x:c r="H5" s="22" t="str">
        <x:v>&lt;1s</x:v>
      </x:c>
      <x:c r="I5" s="22" t="str">
        <x:v>Session mapping</x:v>
      </x:c>
      <x:c r="J5" s="22" t="str">
        <x:v>Identity mapping</x:v>
      </x:c>
      <x:c r="K5" s="22" t="str">
        <x:v>Ownership reads</x:v>
      </x:c>
      <x:c r="L5" s="22" t="str">
        <x:v>Critical</x:v>
      </x:c>
      <x:c r="M5" s="22" t="str">
        <x:v>Yes</x:v>
      </x:c>
      <x:c r="N5" s="22" t="str">
        <x:v>Identity</x:v>
      </x:c>
      <x:c r="O5" s="38" t="str"/>
    </x:row>
    <x:row r="6">
      <x:c r="A6" s="37" t="str">
        <x:v>Open wallet/transaction flow</x:v>
      </x:c>
      <x:c r="B6" s="22" t="str">
        <x:v>PLOT → Family</x:v>
      </x:c>
      <x:c r="C6" s="22" t="str">
        <x:v>SDK command</x:v>
      </x:c>
      <x:c r="D6" s="22" t="str">
        <x:v>action/tx payload or deep-link data</x:v>
      </x:c>
      <x:c r="E6" s="22" t="str">
        <x:v>UI transport only</x:v>
      </x:c>
      <x:c r="F6" s="22" t="str">
        <x:v>Server independently validates action</x:v>
      </x:c>
      <x:c r="G6" s="22" t="str">
        <x:v>External wallet flow</x:v>
      </x:c>
      <x:c r="H6" s="22" t="str">
        <x:v>User-driven</x:v>
      </x:c>
      <x:c r="I6" s="22" t="str">
        <x:v>No session mutation</x:v>
      </x:c>
      <x:c r="J6" s="22" t="str">
        <x:v>Chain action</x:v>
      </x:c>
      <x:c r="K6" s="22" t="str">
        <x:v>Pending action only</x:v>
      </x:c>
      <x:c r="L6" s="22" t="str">
        <x:v>High</x:v>
      </x:c>
      <x:c r="M6" s="22" t="str">
        <x:v>Later</x:v>
      </x:c>
      <x:c r="N6" s="22" t="str">
        <x:v>Chain/Frontend</x:v>
      </x:c>
      <x:c r="O6" s="38" t="str"/>
    </x:row>
    <x:row r="7">
      <x:c r="A7" s="37" t="str">
        <x:v>Payment/checkout later</x:v>
      </x:c>
      <x:c r="B7" s="22" t="str">
        <x:v>PLOT → Family</x:v>
      </x:c>
      <x:c r="C7" s="22" t="str">
        <x:v>SDK/app payment API if supported</x:v>
      </x:c>
      <x:c r="D7" s="22" t="str">
        <x:v>sku/order id</x:v>
      </x:c>
      <x:c r="E7" s="22" t="str">
        <x:v>Never trust success callback alone</x:v>
      </x:c>
      <x:c r="F7" s="22" t="str">
        <x:v>Server verifies receipt/order</x:v>
      </x:c>
      <x:c r="G7" s="22" t="str">
        <x:v>Pending verification</x:v>
      </x:c>
      <x:c r="H7" s="22" t="str">
        <x:v>Provider-dependent</x:v>
      </x:c>
      <x:c r="I7" s="22" t="str">
        <x:v>Session continues</x:v>
      </x:c>
      <x:c r="J7" s="22" t="str">
        <x:v>N/A</x:v>
      </x:c>
      <x:c r="K7" s="22" t="str">
        <x:v>Cosmetic/ownership purchase only</x:v>
      </x:c>
      <x:c r="L7" s="22" t="str">
        <x:v>Critical</x:v>
      </x:c>
      <x:c r="M7" s="22" t="str">
        <x:v>Later</x:v>
      </x:c>
      <x:c r="N7" s="22" t="str">
        <x:v>Commerce</x:v>
      </x:c>
      <x:c r="O7" s="38" t="str"/>
    </x:row>
    <x:row r="8">
      <x:c r="A8" s="37" t="str">
        <x:v>Resize/navigation</x:v>
      </x:c>
      <x:c r="B8" s="22" t="str">
        <x:v>Bidirectional</x:v>
      </x:c>
      <x:c r="C8" s="22" t="str">
        <x:v>SDK</x:v>
      </x:c>
      <x:c r="D8" s="22" t="str">
        <x:v>route/viewport</x:v>
      </x:c>
      <x:c r="E8" s="22" t="str">
        <x:v>Low risk</x:v>
      </x:c>
      <x:c r="F8" s="22" t="str">
        <x:v>Allowlist commands</x:v>
      </x:c>
      <x:c r="G8" s="22" t="str">
        <x:v>Standard iframe</x:v>
      </x:c>
      <x:c r="H8" s="22" t="str">
        <x:v>&lt;100ms</x:v>
      </x:c>
      <x:c r="I8" s="22" t="str">
        <x:v>None</x:v>
      </x:c>
      <x:c r="J8" s="22" t="str">
        <x:v>None</x:v>
      </x:c>
      <x:c r="K8" s="22" t="str">
        <x:v>None</x:v>
      </x:c>
      <x:c r="L8" s="22" t="str">
        <x:v>Low</x:v>
      </x:c>
      <x:c r="M8" s="22" t="str">
        <x:v>Yes</x:v>
      </x:c>
      <x:c r="N8" s="22" t="str">
        <x:v>Frontend</x:v>
      </x:c>
      <x:c r="O8" s="38" t="str"/>
    </x:row>
    <x:row r="9">
      <x:c r="A9" s="37" t="str">
        <x:v>Notification/deep-link</x:v>
      </x:c>
      <x:c r="B9" s="22" t="str">
        <x:v>PLOT → Family</x:v>
      </x:c>
      <x:c r="C9" s="22" t="str">
        <x:v>SDK/notification integration</x:v>
      </x:c>
      <x:c r="D9" s="22" t="str">
        <x:v>route,event id</x:v>
      </x:c>
      <x:c r="E9" s="22" t="str">
        <x:v>Low/medium</x:v>
      </x:c>
      <x:c r="F9" s="22" t="str">
        <x:v>Signed internal link params</x:v>
      </x:c>
      <x:c r="G9" s="22" t="str">
        <x:v>In-app inbox</x:v>
      </x:c>
      <x:c r="H9" s="22" t="str">
        <x:v>Async</x:v>
      </x:c>
      <x:c r="I9" s="22" t="str">
        <x:v>None</x:v>
      </x:c>
      <x:c r="J9" s="22" t="str">
        <x:v>None</x:v>
      </x:c>
      <x:c r="K9" s="22" t="str">
        <x:v>No direct mutation</x:v>
      </x:c>
      <x:c r="L9" s="22" t="str">
        <x:v>Medium</x:v>
      </x:c>
      <x:c r="M9" s="22" t="str">
        <x:v>Later</x:v>
      </x:c>
      <x:c r="N9" s="22" t="str">
        <x:v>Notification</x:v>
      </x:c>
      <x:c r="O9" s="38" t="str"/>
    </x:row>
    <x:row r="10">
      <x:c r="A10" s="39" t="str">
        <x:v>Identity logout/change</x:v>
      </x:c>
      <x:c r="B10" s="40" t="str">
        <x:v>Family → PLOT</x:v>
      </x:c>
      <x:c r="C10" s="40" t="str">
        <x:v>SDK event</x:v>
      </x:c>
      <x:c r="D10" s="40" t="str">
        <x:v>session/account change</x:v>
      </x:c>
      <x:c r="E10" s="40" t="str">
        <x:v>High</x:v>
      </x:c>
      <x:c r="F10" s="40" t="str">
        <x:v>Invalidate PLOT session/token</x:v>
      </x:c>
      <x:c r="G10" s="40" t="str">
        <x:v>Return to auth</x:v>
      </x:c>
      <x:c r="H10" s="40" t="str">
        <x:v>Immediate</x:v>
      </x:c>
      <x:c r="I10" s="40" t="str">
        <x:v>Terminate old session</x:v>
      </x:c>
      <x:c r="J10" s="40" t="str">
        <x:v>Re-resolve wallet</x:v>
      </x:c>
      <x:c r="K10" s="40" t="str">
        <x:v>Pause mutations</x:v>
      </x:c>
      <x:c r="L10" s="40" t="str">
        <x:v>Critical</x:v>
      </x:c>
      <x:c r="M10" s="40" t="str">
        <x:v>Yes</x:v>
      </x:c>
      <x:c r="N10" s="40" t="str">
        <x:v>Identity</x:v>
      </x:c>
      <x:c r="O10" s="41" t="str"/>
    </x:row>
    <x:row r="11">
      <x:c r="A11" s="92" t="str">
        <x:v>Module inventory/loadout read</x:v>
      </x:c>
      <x:c r="B11" s="93" t="str">
        <x:v>PLOT → Family iframe</x:v>
      </x:c>
      <x:c r="C11" s="93" t="str">
        <x:v>PLOT REST/JSON</x:v>
      </x:c>
      <x:c r="D11" s="93" t="str">
        <x:v>player/building/module IDs via authenticated session</x:v>
      </x:c>
      <x:c r="E11" s="93" t="str">
        <x:v>PLOT backend authoritative</x:v>
      </x:c>
      <x:c r="F11" s="93" t="str">
        <x:v>Server auth + ownership</x:v>
      </x:c>
      <x:c r="G11" s="93" t="str">
        <x:v>Read-only unavailable state</x:v>
      </x:c>
      <x:c r="H11" s="93" t="str">
        <x:v>&lt;300ms</x:v>
      </x:c>
      <x:c r="I11" s="93" t="str">
        <x:v>Uses existing PLOT session</x:v>
      </x:c>
      <x:c r="J11" s="93" t="str">
        <x:v>None</x:v>
      </x:c>
      <x:c r="K11" s="93" t="str">
        <x:v>Read only</x:v>
      </x:c>
      <x:c r="L11" s="93" t="str">
        <x:v>Medium</x:v>
      </x:c>
      <x:c r="M11" s="93" t="str">
        <x:v>Yes</x:v>
      </x:c>
      <x:c r="N11" s="93" t="str">
        <x:v>Module/Frontend</x:v>
      </x:c>
      <x:c r="O11" s="94" t="str">
        <x:v>Family SDK does not own Module state</x:v>
      </x:c>
    </x:row>
    <x:row r="12">
      <x:c r="A12" s="95" t="str">
        <x:v>Equip/unequip/craft intent</x:v>
      </x:c>
      <x:c r="B12" s="96" t="str">
        <x:v>Family iframe → PLOT</x:v>
      </x:c>
      <x:c r="C12" s="96" t="str">
        <x:v>PLOT REST/JSON</x:v>
      </x:c>
      <x:c r="D12" s="96" t="str">
        <x:v>module_id,building_id,slot,idempotency/version or craft request</x:v>
      </x:c>
      <x:c r="E12" s="96" t="str">
        <x:v>Untrusted intent</x:v>
      </x:c>
      <x:c r="F12" s="96" t="str">
        <x:v>Server validates inventory,slot,compatibility,gates,locks,Parts</x:v>
      </x:c>
      <x:c r="G12" s="96" t="str">
        <x:v>Return explicit validation error</x:v>
      </x:c>
      <x:c r="H12" s="96" t="str">
        <x:v>&lt;500ms</x:v>
      </x:c>
      <x:c r="I12" s="96" t="str">
        <x:v>Existing session</x:v>
      </x:c>
      <x:c r="J12" s="96" t="str">
        <x:v>None</x:v>
      </x:c>
      <x:c r="K12" s="96" t="str">
        <x:v>Authoritative mutation only after validation</x:v>
      </x:c>
      <x:c r="L12" s="96" t="str">
        <x:v>High</x:v>
      </x:c>
      <x:c r="M12" s="96" t="str">
        <x:v>Yes/P2 craft</x:v>
      </x:c>
      <x:c r="N12" s="96" t="str">
        <x:v>Module</x:v>
      </x:c>
      <x:c r="O12" s="97" t="str">
        <x:v>Client never submits effect values</x:v>
      </x:c>
    </x:row>
    <x:row r="13">
      <x:c r="A13" s="98" t="str">
        <x:v>Module notifications</x:v>
      </x:c>
      <x:c r="B13" s="99" t="str">
        <x:v>PLOT → Family</x:v>
      </x:c>
      <x:c r="C13" s="99" t="str">
        <x:v>SDK notification/deep-link if supported</x:v>
      </x:c>
      <x:c r="D13" s="99" t="str">
        <x:v>module reward/craft completion route + event id</x:v>
      </x:c>
      <x:c r="E13" s="99" t="str">
        <x:v>UI transport only</x:v>
      </x:c>
      <x:c r="F13" s="99" t="str">
        <x:v>Backend event already authoritative</x:v>
      </x:c>
      <x:c r="G13" s="99" t="str">
        <x:v>PLOT inbox fallback</x:v>
      </x:c>
      <x:c r="H13" s="99" t="str">
        <x:v>Async</x:v>
      </x:c>
      <x:c r="I13" s="99" t="str">
        <x:v>None</x:v>
      </x:c>
      <x:c r="J13" s="99" t="str">
        <x:v>None</x:v>
      </x:c>
      <x:c r="K13" s="99" t="str">
        <x:v>No state mutation</x:v>
      </x:c>
      <x:c r="L13" s="99" t="str">
        <x:v>Low/Medium</x:v>
      </x:c>
      <x:c r="M13" s="99" t="str">
        <x:v>Later</x:v>
      </x:c>
      <x:c r="N13" s="99" t="str">
        <x:v>Notification</x:v>
      </x:c>
      <x:c r="O13" s="100" t="str">
        <x:v>Discovery/craft alerts only</x:v>
      </x:c>
    </x:row>
  </x:sheetData>
  <x:mergeCells>
    <x:mergeCell ref="A1:O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Cache Strategy, Staleness &amp; Consistency Rules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  <x:c r="Q1" s="22"/>
    </x:row>
    <x:row r="3">
      <x:c r="A3" s="14" t="str">
        <x:v>Cached Object</x:v>
      </x:c>
      <x:c r="B3" s="14" t="str">
        <x:v>Cache Key</x:v>
      </x:c>
      <x:c r="C3" s="14" t="str">
        <x:v>TTL</x:v>
      </x:c>
      <x:c r="D3" s="14" t="str">
        <x:v>Write Strategy</x:v>
      </x:c>
      <x:c r="E3" s="14" t="str">
        <x:v>Read Strategy</x:v>
      </x:c>
      <x:c r="F3" s="14" t="str">
        <x:v>Authoritative Store</x:v>
      </x:c>
      <x:c r="G3" s="14" t="str">
        <x:v>Staleness Tolerance</x:v>
      </x:c>
      <x:c r="H3" s="14" t="str">
        <x:v>Invalidation Event</x:v>
      </x:c>
      <x:c r="I3" s="14" t="str">
        <x:v>Stampede Protection</x:v>
      </x:c>
      <x:c r="J3" s="14" t="str">
        <x:v>Used for Mutation Validation?</x:v>
      </x:c>
      <x:c r="K3" s="14" t="str">
        <x:v>Fallback on Miss</x:v>
      </x:c>
      <x:c r="L3" s="14" t="str">
        <x:v>Fallback on Cache Outage</x:v>
      </x:c>
      <x:c r="M3" s="14" t="str">
        <x:v>Settlement Use?</x:v>
      </x:c>
      <x:c r="N3" s="14" t="str">
        <x:v>Risk</x:v>
      </x:c>
      <x:c r="O3" s="14" t="str">
        <x:v>Notes</x:v>
      </x:c>
    </x:row>
    <x:row r="4">
      <x:c r="A4" s="34" t="str">
        <x:v>Player summary</x:v>
      </x:c>
      <x:c r="B4" s="35" t="str">
        <x:v>player:{id}</x:v>
      </x:c>
      <x:c r="C4" s="35" t="n">
        <x:v>60</x:v>
      </x:c>
      <x:c r="D4" s="35" t="str">
        <x:v>Write-through/invalidate</x:v>
      </x:c>
      <x:c r="E4" s="35" t="str">
        <x:v>Cache-first</x:v>
      </x:c>
      <x:c r="F4" s="35" t="str">
        <x:v>Relational</x:v>
      </x:c>
      <x:c r="G4" s="35" t="str">
        <x:v>Seconds</x:v>
      </x:c>
      <x:c r="H4" s="35" t="str">
        <x:v>player.updated</x:v>
      </x:c>
      <x:c r="I4" s="35" t="str">
        <x:v>Request coalescing</x:v>
      </x:c>
      <x:c r="J4" s="35" t="str">
        <x:v>No; DB/version check</x:v>
      </x:c>
      <x:c r="K4" s="35" t="str">
        <x:v>DB</x:v>
      </x:c>
      <x:c r="L4" s="35" t="str">
        <x:v>DB direct with higher latency</x:v>
      </x:c>
      <x:c r="M4" s="35" t="str">
        <x:v>No canonical</x:v>
      </x:c>
      <x:c r="N4" s="35" t="str">
        <x:v>Low</x:v>
      </x:c>
      <x:c r="O4" s="36" t="str"/>
    </x:row>
    <x:row r="5">
      <x:c r="A5" s="37" t="str">
        <x:v>Plot ownership mirror</x:v>
      </x:c>
      <x:c r="B5" s="22" t="str">
        <x:v>plot_owner:{token}</x:v>
      </x:c>
      <x:c r="C5" s="22" t="n">
        <x:v>30</x:v>
      </x:c>
      <x:c r="D5" s="22" t="str">
        <x:v>Event-driven + TTL</x:v>
      </x:c>
      <x:c r="E5" s="22" t="str">
        <x:v>Cache-first</x:v>
      </x:c>
      <x:c r="F5" s="22" t="str">
        <x:v>Relational mirror/chain</x:v>
      </x:c>
      <x:c r="G5" s="22" t="str">
        <x:v>Low</x:v>
      </x:c>
      <x:c r="H5" s="22" t="str">
        <x:v>ownership_changed</x:v>
      </x:c>
      <x:c r="I5" s="22" t="str">
        <x:v>Short lock</x:v>
      </x:c>
      <x:c r="J5" s="22" t="str">
        <x:v>No final mutation without DB mirror</x:v>
      </x:c>
      <x:c r="K5" s="22" t="str">
        <x:v>DB mirror</x:v>
      </x:c>
      <x:c r="L5" s="22" t="str">
        <x:v>DB mirror; reconcile chain async</x:v>
      </x:c>
      <x:c r="M5" s="22" t="str">
        <x:v>Settlement snapshot from DB</x:v>
      </x:c>
      <x:c r="N5" s="22" t="str">
        <x:v>High</x:v>
      </x:c>
      <x:c r="O5" s="38" t="str"/>
    </x:row>
    <x:row r="6">
      <x:c r="A6" s="37" t="str">
        <x:v>Layout snapshot</x:v>
      </x:c>
      <x:c r="B6" s="22" t="str">
        <x:v>layout:{player/territory}</x:v>
      </x:c>
      <x:c r="C6" s="22" t="n">
        <x:v>300</x:v>
      </x:c>
      <x:c r="D6" s="22" t="str">
        <x:v>Invalidate on layout version</x:v>
      </x:c>
      <x:c r="E6" s="22" t="str">
        <x:v>Cache-first</x:v>
      </x:c>
      <x:c r="F6" s="22" t="str">
        <x:v>Relational snapshot</x:v>
      </x:c>
      <x:c r="G6" s="22" t="str">
        <x:v>Low</x:v>
      </x:c>
      <x:c r="H6" s="22" t="str">
        <x:v>layout.updated</x:v>
      </x:c>
      <x:c r="I6" s="22" t="str">
        <x:v>Version key</x:v>
      </x:c>
      <x:c r="J6" s="22" t="str">
        <x:v>Mutation requires expected version</x:v>
      </x:c>
      <x:c r="K6" s="22" t="str">
        <x:v>DB</x:v>
      </x:c>
      <x:c r="L6" s="22" t="str">
        <x:v>DB direct</x:v>
      </x:c>
      <x:c r="M6" s="22" t="str">
        <x:v>Settlement uses versioned DB snapshot</x:v>
      </x:c>
      <x:c r="N6" s="22" t="str">
        <x:v>Medium</x:v>
      </x:c>
      <x:c r="O6" s="38" t="str"/>
    </x:row>
    <x:row r="7">
      <x:c r="A7" s="37" t="str">
        <x:v>Economy HUD</x:v>
      </x:c>
      <x:c r="B7" s="22" t="str">
        <x:v>economy:{player}</x:v>
      </x:c>
      <x:c r="C7" s="22" t="n">
        <x:v>30</x:v>
      </x:c>
      <x:c r="D7" s="22" t="str">
        <x:v>Tick write</x:v>
      </x:c>
      <x:c r="E7" s="22" t="str">
        <x:v>Cache-first</x:v>
      </x:c>
      <x:c r="F7" s="22" t="str">
        <x:v>DB/aggregates</x:v>
      </x:c>
      <x:c r="G7" s="22" t="str">
        <x:v>30–60s</x:v>
      </x:c>
      <x:c r="H7" s="22" t="str">
        <x:v>economy.tick</x:v>
      </x:c>
      <x:c r="I7" s="22" t="str">
        <x:v>None</x:v>
      </x:c>
      <x:c r="J7" s="22" t="str">
        <x:v>No monetary mutation validation solely from cache</x:v>
      </x:c>
      <x:c r="K7" s="22" t="str">
        <x:v>DB aggregate</x:v>
      </x:c>
      <x:c r="L7" s="22" t="str">
        <x:v>Serve stale marker if needed</x:v>
      </x:c>
      <x:c r="M7" s="22" t="str">
        <x:v>No</x:v>
      </x:c>
      <x:c r="N7" s="22" t="str">
        <x:v>Medium</x:v>
      </x:c>
      <x:c r="O7" s="38" t="str"/>
    </x:row>
    <x:row r="8">
      <x:c r="A8" s="37" t="str">
        <x:v>Customer summary</x:v>
      </x:c>
      <x:c r="B8" s="22" t="str">
        <x:v>customers:{player}</x:v>
      </x:c>
      <x:c r="C8" s="22" t="n">
        <x:v>60</x:v>
      </x:c>
      <x:c r="D8" s="22" t="str">
        <x:v>Refresh write</x:v>
      </x:c>
      <x:c r="E8" s="22" t="str">
        <x:v>Cache-first</x:v>
      </x:c>
      <x:c r="F8" s="22" t="str">
        <x:v>DB snapshot</x:v>
      </x:c>
      <x:c r="G8" s="22" t="str">
        <x:v>1 refresh</x:v>
      </x:c>
      <x:c r="H8" s="22" t="str">
        <x:v>customer.updated</x:v>
      </x:c>
      <x:c r="I8" s="22" t="str">
        <x:v>None</x:v>
      </x:c>
      <x:c r="J8" s="22" t="str">
        <x:v>No</x:v>
      </x:c>
      <x:c r="K8" s="22" t="str">
        <x:v>DB</x:v>
      </x:c>
      <x:c r="L8" s="22" t="str">
        <x:v>Serve last known with timestamp</x:v>
      </x:c>
      <x:c r="M8" s="22" t="str">
        <x:v>Snapshot source is DB</x:v>
      </x:c>
      <x:c r="N8" s="22" t="str">
        <x:v>Medium</x:v>
      </x:c>
      <x:c r="O8" s="38" t="str"/>
    </x:row>
    <x:row r="9">
      <x:c r="A9" s="37" t="str">
        <x:v>Risk summary</x:v>
      </x:c>
      <x:c r="B9" s="22" t="str">
        <x:v>risk:{player}</x:v>
      </x:c>
      <x:c r="C9" s="22" t="n">
        <x:v>60</x:v>
      </x:c>
      <x:c r="D9" s="22" t="str">
        <x:v>Evaluator write</x:v>
      </x:c>
      <x:c r="E9" s="22" t="str">
        <x:v>Cache-first</x:v>
      </x:c>
      <x:c r="F9" s="22" t="str">
        <x:v>DB snapshot</x:v>
      </x:c>
      <x:c r="G9" s="22" t="str">
        <x:v>1 risk interval</x:v>
      </x:c>
      <x:c r="H9" s="22" t="str">
        <x:v>risk.updated</x:v>
      </x:c>
      <x:c r="I9" s="22" t="str">
        <x:v>None</x:v>
      </x:c>
      <x:c r="J9" s="22" t="str">
        <x:v>No gates from cache alone if stale</x:v>
      </x:c>
      <x:c r="K9" s="22" t="str">
        <x:v>DB</x:v>
      </x:c>
      <x:c r="L9" s="22" t="str">
        <x:v>Fail safe for high-value gate</x:v>
      </x:c>
      <x:c r="M9" s="22" t="str">
        <x:v>Weekly from DB history</x:v>
      </x:c>
      <x:c r="N9" s="22" t="str">
        <x:v>High</x:v>
      </x:c>
      <x:c r="O9" s="38" t="str"/>
    </x:row>
    <x:row r="10">
      <x:c r="A10" s="37" t="str">
        <x:v>Active events</x:v>
      </x:c>
      <x:c r="B10" s="22" t="str">
        <x:v>events:{scope/player}</x:v>
      </x:c>
      <x:c r="C10" s="22" t="n">
        <x:v>60</x:v>
      </x:c>
      <x:c r="D10" s="22" t="str">
        <x:v>Event-driven</x:v>
      </x:c>
      <x:c r="E10" s="22" t="str">
        <x:v>Cache-first</x:v>
      </x:c>
      <x:c r="F10" s="22" t="str">
        <x:v>DB</x:v>
      </x:c>
      <x:c r="G10" s="22" t="str">
        <x:v>Seconds</x:v>
      </x:c>
      <x:c r="H10" s="22" t="str">
        <x:v>event started/ended</x:v>
      </x:c>
      <x:c r="I10" s="22" t="str">
        <x:v>None</x:v>
      </x:c>
      <x:c r="J10" s="22" t="str">
        <x:v>Choice validates DB version</x:v>
      </x:c>
      <x:c r="K10" s="22" t="str">
        <x:v>DB</x:v>
      </x:c>
      <x:c r="L10" s="22" t="str">
        <x:v>DB direct</x:v>
      </x:c>
      <x:c r="M10" s="22" t="str">
        <x:v>Yes source manifest DB</x:v>
      </x:c>
      <x:c r="N10" s="22" t="str">
        <x:v>Medium</x:v>
      </x:c>
      <x:c r="O10" s="38" t="str"/>
    </x:row>
    <x:row r="11">
      <x:c r="A11" s="37" t="str">
        <x:v>Hunts</x:v>
      </x:c>
      <x:c r="B11" s="22" t="str">
        <x:v>hunts:{player}</x:v>
      </x:c>
      <x:c r="C11" s="22" t="n">
        <x:v>30</x:v>
      </x:c>
      <x:c r="D11" s="22" t="str">
        <x:v>Event-driven</x:v>
      </x:c>
      <x:c r="E11" s="22" t="str">
        <x:v>Cache-first</x:v>
      </x:c>
      <x:c r="F11" s="22" t="str">
        <x:v>DB</x:v>
      </x:c>
      <x:c r="G11" s="22" t="str">
        <x:v>Seconds</x:v>
      </x:c>
      <x:c r="H11" s="22" t="str">
        <x:v>hunt assigned/completed</x:v>
      </x:c>
      <x:c r="I11" s="22" t="str">
        <x:v>None</x:v>
      </x:c>
      <x:c r="J11" s="22" t="str">
        <x:v>Completion checks DB/activity cursor</x:v>
      </x:c>
      <x:c r="K11" s="22" t="str">
        <x:v>DB</x:v>
      </x:c>
      <x:c r="L11" s="22" t="str">
        <x:v>DB direct</x:v>
      </x:c>
      <x:c r="M11" s="22" t="str">
        <x:v>Yes</x:v>
      </x:c>
      <x:c r="N11" s="22" t="str">
        <x:v>High</x:v>
      </x:c>
      <x:c r="O11" s="38" t="str"/>
    </x:row>
    <x:row r="12">
      <x:c r="A12" s="37" t="str">
        <x:v>Leaderboard</x:v>
      </x:c>
      <x:c r="B12" s="22" t="str">
        <x:v>lb:{league}:{epoch}</x:v>
      </x:c>
      <x:c r="C12" s="22" t="n">
        <x:v>30</x:v>
      </x:c>
      <x:c r="D12" s="22" t="str">
        <x:v>Materialized worker</x:v>
      </x:c>
      <x:c r="E12" s="22" t="str">
        <x:v>Cache-only for UX</x:v>
      </x:c>
      <x:c r="F12" s="22" t="str">
        <x:v>Materialized snapshot</x:v>
      </x:c>
      <x:c r="G12" s="22" t="str">
        <x:v>30–120s</x:v>
      </x:c>
      <x:c r="H12" s="22" t="str">
        <x:v>leaderboard refresh</x:v>
      </x:c>
      <x:c r="I12" s="22" t="str">
        <x:v>Double buffer</x:v>
      </x:c>
      <x:c r="J12" s="22" t="str">
        <x:v>No</x:v>
      </x:c>
      <x:c r="K12" s="22" t="str">
        <x:v>Previous version</x:v>
      </x:c>
      <x:c r="L12" s="22" t="str">
        <x:v>Serve previous version</x:v>
      </x:c>
      <x:c r="M12" s="22" t="str">
        <x:v>Final settlement DB only</x:v>
      </x:c>
      <x:c r="N12" s="22" t="str">
        <x:v>Low</x:v>
      </x:c>
      <x:c r="O12" s="38" t="str"/>
    </x:row>
    <x:row r="13">
      <x:c r="A13" s="39" t="str">
        <x:v>Reward status</x:v>
      </x:c>
      <x:c r="B13" s="40" t="str">
        <x:v>reward:{id}</x:v>
      </x:c>
      <x:c r="C13" s="40" t="n">
        <x:v>30</x:v>
      </x:c>
      <x:c r="D13" s="40" t="str">
        <x:v>State transition invalidation</x:v>
      </x:c>
      <x:c r="E13" s="40" t="str">
        <x:v>Cache-first</x:v>
      </x:c>
      <x:c r="F13" s="40" t="str">
        <x:v>Reward ledger</x:v>
      </x:c>
      <x:c r="G13" s="40" t="str">
        <x:v>Very low</x:v>
      </x:c>
      <x:c r="H13" s="40" t="str">
        <x:v>reward issued/claimed</x:v>
      </x:c>
      <x:c r="I13" s="40" t="str">
        <x:v>Lock</x:v>
      </x:c>
      <x:c r="J13" s="40" t="str">
        <x:v>Claim validates DB/lock</x:v>
      </x:c>
      <x:c r="K13" s="40" t="str">
        <x:v>DB</x:v>
      </x:c>
      <x:c r="L13" s="40" t="str">
        <x:v>Fail closed for claim</x:v>
      </x:c>
      <x:c r="M13" s="40" t="str">
        <x:v>Critical</x:v>
      </x:c>
      <x:c r="N13" s="40" t="str">
        <x:v>Critical</x:v>
      </x:c>
      <x:c r="O13" s="41" t="str"/>
    </x:row>
    <x:row r="14">
      <x:c r="A14" s="92" t="str">
        <x:v>Module inventory</x:v>
      </x:c>
      <x:c r="B14" s="93" t="str">
        <x:v>modules_inv:{player}</x:v>
      </x:c>
      <x:c r="C14" s="93" t="n">
        <x:v>30</x:v>
      </x:c>
      <x:c r="D14" s="93" t="str">
        <x:v>Invalidate/write-through on reward/craft/dismantle/equip count</x:v>
      </x:c>
      <x:c r="E14" s="93" t="str">
        <x:v>Cache-first</x:v>
      </x:c>
      <x:c r="F14" s="93" t="str">
        <x:v>Relational inventory + ledgers</x:v>
      </x:c>
      <x:c r="G14" s="93" t="str">
        <x:v>Seconds</x:v>
      </x:c>
      <x:c r="H14" s="93" t="str">
        <x:v>module acquired/crafted/dismantled/equipped</x:v>
      </x:c>
      <x:c r="I14" s="93" t="str">
        <x:v>Version key</x:v>
      </x:c>
      <x:c r="J14" s="93" t="str">
        <x:v>Mutation validates DB/version</x:v>
      </x:c>
      <x:c r="K14" s="93" t="str">
        <x:v>DB</x:v>
      </x:c>
      <x:c r="L14" s="93" t="str">
        <x:v>DB direct</x:v>
      </x:c>
      <x:c r="M14" s="93" t="str">
        <x:v>Lineage only</x:v>
      </x:c>
      <x:c r="N14" s="93" t="str">
        <x:v>High</x:v>
      </x:c>
      <x:c r="O14" s="94" t="str">
        <x:v>Never use cache alone for available quantity</x:v>
      </x:c>
    </x:row>
    <x:row r="15">
      <x:c r="A15" s="95" t="str">
        <x:v>Building Module loadout</x:v>
      </x:c>
      <x:c r="B15" s="96" t="str">
        <x:v>modules_loadout:{building}</x:v>
      </x:c>
      <x:c r="C15" s="96" t="n">
        <x:v>300</x:v>
      </x:c>
      <x:c r="D15" s="96" t="str">
        <x:v>Invalidate on loadout_version</x:v>
      </x:c>
      <x:c r="E15" s="96" t="str">
        <x:v>Cache-first</x:v>
      </x:c>
      <x:c r="F15" s="96" t="str">
        <x:v>Relational loadout/audit</x:v>
      </x:c>
      <x:c r="G15" s="96" t="str">
        <x:v>Very low</x:v>
      </x:c>
      <x:c r="H15" s="96" t="str">
        <x:v>module equipped/unequipped</x:v>
      </x:c>
      <x:c r="I15" s="96" t="str">
        <x:v>loadout_version key</x:v>
      </x:c>
      <x:c r="J15" s="96" t="str">
        <x:v>Mutation requires expected version</x:v>
      </x:c>
      <x:c r="K15" s="96" t="str">
        <x:v>DB</x:v>
      </x:c>
      <x:c r="L15" s="96" t="str">
        <x:v>DB direct</x:v>
      </x:c>
      <x:c r="M15" s="96" t="str">
        <x:v>Replay lineage</x:v>
      </x:c>
      <x:c r="N15" s="96" t="str">
        <x:v>High</x:v>
      </x:c>
      <x:c r="O15" s="97" t="str">
        <x:v>Resolver can cache compiled effect plan by loadout+config</x:v>
      </x:c>
    </x:row>
    <x:row r="16">
      <x:c r="A16" s="95" t="str">
        <x:v>Module config</x:v>
      </x:c>
      <x:c r="B16" s="96" t="str">
        <x:v>module_cfg:{module}:{version}</x:v>
      </x:c>
      <x:c r="C16" s="96" t="n">
        <x:v>3600</x:v>
      </x:c>
      <x:c r="D16" s="96" t="str">
        <x:v>Immutable version cache</x:v>
      </x:c>
      <x:c r="E16" s="96" t="str">
        <x:v>Cache-first</x:v>
      </x:c>
      <x:c r="F16" s="96" t="str">
        <x:v>Immutable config store</x:v>
      </x:c>
      <x:c r="G16" s="96" t="str">
        <x:v>Zero for pinned version</x:v>
      </x:c>
      <x:c r="H16" s="96" t="str">
        <x:v>config activated/retired</x:v>
      </x:c>
      <x:c r="I16" s="96" t="str">
        <x:v>Request coalescing</x:v>
      </x:c>
      <x:c r="J16" s="96" t="str">
        <x:v>Yes only with exact approved version</x:v>
      </x:c>
      <x:c r="K16" s="96" t="str">
        <x:v>Config DB</x:v>
      </x:c>
      <x:c r="L16" s="96" t="str">
        <x:v>Keep prior approved version</x:v>
      </x:c>
      <x:c r="M16" s="96" t="str">
        <x:v>Indirect lineage</x:v>
      </x:c>
      <x:c r="N16" s="96" t="str">
        <x:v>Critical</x:v>
      </x:c>
      <x:c r="O16" s="97" t="str">
        <x:v>Fail closed on unknown version</x:v>
      </x:c>
    </x:row>
    <x:row r="17">
      <x:c r="A17" s="98" t="str">
        <x:v>Module mastery</x:v>
      </x:c>
      <x:c r="B17" s="99" t="str">
        <x:v>module_mastery:{player}</x:v>
      </x:c>
      <x:c r="C17" s="99" t="n">
        <x:v>60</x:v>
      </x:c>
      <x:c r="D17" s="99" t="str">
        <x:v>Invalidate on mastery progress/claim</x:v>
      </x:c>
      <x:c r="E17" s="99" t="str">
        <x:v>Cache-first</x:v>
      </x:c>
      <x:c r="F17" s="99" t="str">
        <x:v>Relational mastery + evidence refs</x:v>
      </x:c>
      <x:c r="G17" s="99" t="str">
        <x:v>1 projection interval</x:v>
      </x:c>
      <x:c r="H17" s="99" t="str">
        <x:v>mastery progressed/claimed</x:v>
      </x:c>
      <x:c r="I17" s="99" t="str">
        <x:v>None</x:v>
      </x:c>
      <x:c r="J17" s="99" t="str">
        <x:v>Claim validates DB row_version</x:v>
      </x:c>
      <x:c r="K17" s="99" t="str">
        <x:v>DB</x:v>
      </x:c>
      <x:c r="L17" s="99" t="str">
        <x:v>DB direct</x:v>
      </x:c>
      <x:c r="M17" s="99" t="str">
        <x:v>No direct</x:v>
      </x:c>
      <x:c r="N17" s="99" t="str">
        <x:v>Medium</x:v>
      </x:c>
      <x:c r="O17" s="100" t="str"/>
    </x:row>
  </x:sheetData>
  <x:mergeCells>
    <x:mergeCell ref="A1:O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Failure Recovery, Backup &amp; Disaster Recovery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  <x:c r="Q1" s="22"/>
    </x:row>
    <x:row r="3">
      <x:c r="A3" s="14" t="str">
        <x:v>Failure</x:v>
      </x:c>
      <x:c r="B3" s="14" t="str">
        <x:v>Detection</x:v>
      </x:c>
      <x:c r="C3" s="14" t="str">
        <x:v>Immediate Response</x:v>
      </x:c>
      <x:c r="D3" s="14" t="str">
        <x:v>Write Policy</x:v>
      </x:c>
      <x:c r="E3" s="14" t="str">
        <x:v>Read Policy</x:v>
      </x:c>
      <x:c r="F3" s="14" t="str">
        <x:v>Recovery Source</x:v>
      </x:c>
      <x:c r="G3" s="14" t="str">
        <x:v>RPO Target</x:v>
      </x:c>
      <x:c r="H3" s="14" t="str">
        <x:v>RTO Target</x:v>
      </x:c>
      <x:c r="I3" s="14" t="str">
        <x:v>Reward Safety</x:v>
      </x:c>
      <x:c r="J3" s="14" t="str">
        <x:v>Settlement Safety</x:v>
      </x:c>
      <x:c r="K3" s="14" t="str">
        <x:v>Player Message</x:v>
      </x:c>
      <x:c r="L3" s="14" t="str">
        <x:v>Automatic?</x:v>
      </x:c>
      <x:c r="M3" s="14" t="str">
        <x:v>Manual Review?</x:v>
      </x:c>
      <x:c r="N3" s="14" t="str">
        <x:v>Test Frequency</x:v>
      </x:c>
      <x:c r="O3" s="14" t="str">
        <x:v>Notes</x:v>
      </x:c>
    </x:row>
    <x:row r="4">
      <x:c r="A4" s="34" t="str">
        <x:v>Primary DB unavailable</x:v>
      </x:c>
      <x:c r="B4" s="35" t="str">
        <x:v>Health checks / connection failures</x:v>
      </x:c>
      <x:c r="C4" s="35" t="str">
        <x:v>Enter degraded/read-only where safe</x:v>
      </x:c>
      <x:c r="D4" s="35" t="str">
        <x:v>Block monetary/game mutations</x:v>
      </x:c>
      <x:c r="E4" s="35" t="str">
        <x:v>Serve cache with stale markers</x:v>
      </x:c>
      <x:c r="F4" s="35" t="str">
        <x:v>Managed replica/backups + ledger</x:v>
      </x:c>
      <x:c r="G4" s="35" t="str">
        <x:v>≤5 min</x:v>
      </x:c>
      <x:c r="H4" s="35" t="str">
        <x:v>≤30 min</x:v>
      </x:c>
      <x:c r="I4" s="35" t="str">
        <x:v>No reward grants</x:v>
      </x:c>
      <x:c r="J4" s="35" t="str">
        <x:v>Pause settlement</x:v>
      </x:c>
      <x:c r="K4" s="35" t="str">
        <x:v>Temporary maintenance</x:v>
      </x:c>
      <x:c r="L4" s="35" t="str">
        <x:v>Partial</x:v>
      </x:c>
      <x:c r="M4" s="35" t="str">
        <x:v>Yes if prolonged</x:v>
      </x:c>
      <x:c r="N4" s="35" t="str">
        <x:v>Quarterly failover</x:v>
      </x:c>
      <x:c r="O4" s="36" t="str"/>
    </x:row>
    <x:row r="5">
      <x:c r="A5" s="37" t="str">
        <x:v>Cache unavailable</x:v>
      </x:c>
      <x:c r="B5" s="22" t="str">
        <x:v>Cache health</x:v>
      </x:c>
      <x:c r="C5" s="22" t="str">
        <x:v>Bypass cache</x:v>
      </x:c>
      <x:c r="D5" s="22" t="str">
        <x:v>Continue via DB with stricter rate limits</x:v>
      </x:c>
      <x:c r="E5" s="22" t="str">
        <x:v>DB direct</x:v>
      </x:c>
      <x:c r="F5" s="22" t="str">
        <x:v>Authoritative DB</x:v>
      </x:c>
      <x:c r="G5" s="22" t="str">
        <x:v>0</x:v>
      </x:c>
      <x:c r="H5" s="22" t="str">
        <x:v>&lt;5 min</x:v>
      </x:c>
      <x:c r="I5" s="22" t="str">
        <x:v>Safe if DB healthy</x:v>
      </x:c>
      <x:c r="J5" s="22" t="str">
        <x:v>No effect except load</x:v>
      </x:c>
      <x:c r="K5" s="22" t="str">
        <x:v>Slower experience</x:v>
      </x:c>
      <x:c r="L5" s="22" t="str">
        <x:v>Yes</x:v>
      </x:c>
      <x:c r="M5" s="22" t="str">
        <x:v>No</x:v>
      </x:c>
      <x:c r="N5" s="22" t="str">
        <x:v>Monthly chaos test</x:v>
      </x:c>
      <x:c r="O5" s="38" t="str"/>
    </x:row>
    <x:row r="6">
      <x:c r="A6" s="37" t="str">
        <x:v>Queue backlog</x:v>
      </x:c>
      <x:c r="B6" s="22" t="str">
        <x:v>Lag alerts</x:v>
      </x:c>
      <x:c r="C6" s="22" t="str">
        <x:v>Scale workers / pause low-priority jobs</x:v>
      </x:c>
      <x:c r="D6" s="22" t="str">
        <x:v>Critical writes still committed to DB/ledger</x:v>
      </x:c>
      <x:c r="E6" s="22" t="str">
        <x:v>Reads continue</x:v>
      </x:c>
      <x:c r="F6" s="22" t="str">
        <x:v>Durable queue</x:v>
      </x:c>
      <x:c r="G6" s="22" t="str">
        <x:v>0 for committed messages</x:v>
      </x:c>
      <x:c r="H6" s="22" t="str">
        <x:v>&lt;30 min</x:v>
      </x:c>
      <x:c r="I6" s="22" t="str">
        <x:v>Reward jobs retry</x:v>
      </x:c>
      <x:c r="J6" s="22" t="str">
        <x:v>Settlement phase waits</x:v>
      </x:c>
      <x:c r="K6" s="22" t="str">
        <x:v>Updates delayed</x:v>
      </x:c>
      <x:c r="L6" s="22" t="str">
        <x:v>Yes</x:v>
      </x:c>
      <x:c r="M6" s="22" t="str">
        <x:v>Maybe</x:v>
      </x:c>
      <x:c r="N6" s="22" t="str">
        <x:v>Monthly</x:v>
      </x:c>
      <x:c r="O6" s="38" t="str"/>
    </x:row>
    <x:row r="7">
      <x:c r="A7" s="37" t="str">
        <x:v>Economy worker outage</x:v>
      </x:c>
      <x:c r="B7" s="22" t="str">
        <x:v>Missing tick heartbeat</x:v>
      </x:c>
      <x:c r="C7" s="22" t="str">
        <x:v>Stop tick advancement</x:v>
      </x:c>
      <x:c r="D7" s="22" t="str">
        <x:v>No skipped ticks</x:v>
      </x:c>
      <x:c r="E7" s="22" t="str">
        <x:v>HUD serves last checkpoint</x:v>
      </x:c>
      <x:c r="F7" s="22" t="str">
        <x:v>Tick schedule + ledgers</x:v>
      </x:c>
      <x:c r="G7" s="22" t="str">
        <x:v>0 committed; delayed processing</x:v>
      </x:c>
      <x:c r="H7" s="22" t="str">
        <x:v>&lt;30 min</x:v>
      </x:c>
      <x:c r="I7" s="22" t="str">
        <x:v>No duplicate Cash</x:v>
      </x:c>
      <x:c r="J7" s="22" t="str">
        <x:v>Settlement waits/replays</x:v>
      </x:c>
      <x:c r="K7" s="22" t="str">
        <x:v>Economy update delayed</x:v>
      </x:c>
      <x:c r="L7" s="22" t="str">
        <x:v>Yes</x:v>
      </x:c>
      <x:c r="M7" s="22" t="str">
        <x:v>No</x:v>
      </x:c>
      <x:c r="N7" s="22" t="str">
        <x:v>Monthly</x:v>
      </x:c>
      <x:c r="O7" s="38" t="str"/>
    </x:row>
    <x:row r="8">
      <x:c r="A8" s="37" t="str">
        <x:v>Customer worker outage</x:v>
      </x:c>
      <x:c r="B8" s="22" t="str">
        <x:v>Refresh lag</x:v>
      </x:c>
      <x:c r="C8" s="22" t="str">
        <x:v>Pause refresh advancement</x:v>
      </x:c>
      <x:c r="D8" s="22" t="str">
        <x:v>No synthetic catch-up beyond cap</x:v>
      </x:c>
      <x:c r="E8" s="22" t="str">
        <x:v>Serve last snapshot</x:v>
      </x:c>
      <x:c r="F8" s="22" t="str">
        <x:v>Customer snapshots/deltas</x:v>
      </x:c>
      <x:c r="G8" s="22" t="str">
        <x:v>≤1 bucket delayed</x:v>
      </x:c>
      <x:c r="H8" s="22" t="str">
        <x:v>&lt;30 min</x:v>
      </x:c>
      <x:c r="I8" s="22" t="str">
        <x:v>No direct reward duplication</x:v>
      </x:c>
      <x:c r="J8" s="22" t="str">
        <x:v>Recompute before settlement</x:v>
      </x:c>
      <x:c r="K8" s="22" t="str">
        <x:v>Customer counts updating slowly</x:v>
      </x:c>
      <x:c r="L8" s="22" t="str">
        <x:v>Yes</x:v>
      </x:c>
      <x:c r="M8" s="22" t="str">
        <x:v>No</x:v>
      </x:c>
      <x:c r="N8" s="22" t="str">
        <x:v>Monthly</x:v>
      </x:c>
      <x:c r="O8" s="38" t="str"/>
    </x:row>
    <x:row r="9">
      <x:c r="A9" s="37" t="str">
        <x:v>Chain provider outage</x:v>
      </x:c>
      <x:c r="B9" s="22" t="str">
        <x:v>Provider errors/cursor stall</x:v>
      </x:c>
      <x:c r="C9" s="22" t="str">
        <x:v>Pause ownership-sensitive mutations/claims</x:v>
      </x:c>
      <x:c r="D9" s="22" t="str">
        <x:v>No chain-dependent final state</x:v>
      </x:c>
      <x:c r="E9" s="22" t="str">
        <x:v>Serve confirmed mirror</x:v>
      </x:c>
      <x:c r="F9" s="22" t="str">
        <x:v>Alternate provider + cursor replay</x:v>
      </x:c>
      <x:c r="G9" s="22" t="str">
        <x:v>0 confirmed</x:v>
      </x:c>
      <x:c r="H9" s="22" t="str">
        <x:v>Provider-dependent</x:v>
      </x:c>
      <x:c r="I9" s="22" t="str">
        <x:v>Claims remain pending</x:v>
      </x:c>
      <x:c r="J9" s="22" t="str">
        <x:v>Settlement can finalize amounts but claims wait</x:v>
      </x:c>
      <x:c r="K9" s="22" t="str">
        <x:v>Blockchain sync delayed</x:v>
      </x:c>
      <x:c r="L9" s="22" t="str">
        <x:v>Yes</x:v>
      </x:c>
      <x:c r="M9" s="22" t="str">
        <x:v>Maybe</x:v>
      </x:c>
      <x:c r="N9" s="22" t="str">
        <x:v>Quarterly</x:v>
      </x:c>
      <x:c r="O9" s="38" t="str"/>
    </x:row>
    <x:row r="10">
      <x:c r="A10" s="37" t="str">
        <x:v>Settlement job failure</x:v>
      </x:c>
      <x:c r="B10" s="22" t="str">
        <x:v>Phase SLA / job error</x:v>
      </x:c>
      <x:c r="C10" s="22" t="str">
        <x:v>Keep epoch in current phase</x:v>
      </x:c>
      <x:c r="D10" s="22" t="str">
        <x:v>No finalize publish</x:v>
      </x:c>
      <x:c r="E10" s="22" t="str">
        <x:v>Show pending state</x:v>
      </x:c>
      <x:c r="F10" s="22" t="str">
        <x:v>Frozen snapshot + ledgers</x:v>
      </x:c>
      <x:c r="G10" s="22" t="str">
        <x:v>0</x:v>
      </x:c>
      <x:c r="H10" s="22" t="str">
        <x:v>≤6h target</x:v>
      </x:c>
      <x:c r="I10" s="22" t="str">
        <x:v>No partial claims</x:v>
      </x:c>
      <x:c r="J10" s="22" t="str">
        <x:v>Retry deterministic phase</x:v>
      </x:c>
      <x:c r="K10" s="22" t="str">
        <x:v>Rewards pending</x:v>
      </x:c>
      <x:c r="L10" s="22" t="str">
        <x:v>Yes</x:v>
      </x:c>
      <x:c r="M10" s="22" t="str">
        <x:v>Maybe if data integrity issue</x:v>
      </x:c>
      <x:c r="N10" s="22" t="str">
        <x:v>Every release dry-run</x:v>
      </x:c>
      <x:c r="O10" s="38" t="str"/>
    </x:row>
    <x:row r="11">
      <x:c r="A11" s="37" t="str">
        <x:v>Bad config deployment</x:v>
      </x:c>
      <x:c r="B11" s="22" t="str">
        <x:v>Metric/error spike</x:v>
      </x:c>
      <x:c r="C11" s="22" t="str">
        <x:v>Disable config version / rollback</x:v>
      </x:c>
      <x:c r="D11" s="22" t="str">
        <x:v>New ticks use rollback version after cutover</x:v>
      </x:c>
      <x:c r="E11" s="22" t="str">
        <x:v>Reads display valid state</x:v>
      </x:c>
      <x:c r="F11" s="22" t="str">
        <x:v>Versioned config + audit</x:v>
      </x:c>
      <x:c r="G11" s="22" t="str">
        <x:v>Depends affected window</x:v>
      </x:c>
      <x:c r="H11" s="22" t="str">
        <x:v>&lt;30 min</x:v>
      </x:c>
      <x:c r="I11" s="22" t="str">
        <x:v>Recompute affected rewards if pre-final</x:v>
      </x:c>
      <x:c r="J11" s="22" t="str">
        <x:v>Do not mutate finalized epoch; correction process</x:v>
      </x:c>
      <x:c r="K11" s="22" t="str">
        <x:v>Balance update rolled back</x:v>
      </x:c>
      <x:c r="L11" s="22" t="str">
        <x:v>Yes</x:v>
      </x:c>
      <x:c r="M11" s="22" t="str">
        <x:v>Yes for finalized impact</x:v>
      </x:c>
      <x:c r="N11" s="22" t="str">
        <x:v>Every release</x:v>
      </x:c>
      <x:c r="O11" s="38" t="str"/>
    </x:row>
    <x:row r="12">
      <x:c r="A12" s="39" t="str">
        <x:v>Exploit discovered</x:v>
      </x:c>
      <x:c r="B12" s="40" t="str">
        <x:v>Integrity alerts</x:v>
      </x:c>
      <x:c r="C12" s="40" t="str">
        <x:v>Disable affected action/reward path</x:v>
      </x:c>
      <x:c r="D12" s="40" t="str">
        <x:v>Hold suspicious mutations/rewards</x:v>
      </x:c>
      <x:c r="E12" s="40" t="str">
        <x:v>Gameplay unaffected where safe</x:v>
      </x:c>
      <x:c r="F12" s="40" t="str">
        <x:v>Versioned exploit rules + ledgers</x:v>
      </x:c>
      <x:c r="G12" s="40" t="str">
        <x:v>0 evidence loss</x:v>
      </x:c>
      <x:c r="H12" s="40" t="str">
        <x:v>Variable</x:v>
      </x:c>
      <x:c r="I12" s="40" t="str">
        <x:v>Hold claims</x:v>
      </x:c>
      <x:c r="J12" s="40" t="str">
        <x:v>Hold affected settlement cohort</x:v>
      </x:c>
      <x:c r="K12" s="40" t="str">
        <x:v>Feature temporarily restricted</x:v>
      </x:c>
      <x:c r="L12" s="40" t="str">
        <x:v>Partial</x:v>
      </x:c>
      <x:c r="M12" s="40" t="str">
        <x:v>Yes</x:v>
      </x:c>
      <x:c r="N12" s="40" t="str">
        <x:v>Runbook quarterly</x:v>
      </x:c>
      <x:c r="O12" s="41" t="str"/>
    </x:row>
    <x:row r="13">
      <x:c r="A13" s="92" t="str">
        <x:v>Module config invalid/corrupt</x:v>
      </x:c>
      <x:c r="B13" s="93" t="str">
        <x:v>Resolver config validation / error spike</x:v>
      </x:c>
      <x:c r="C13" s="93" t="str">
        <x:v>Fail closed for affected new resolution; use last approved config pointer</x:v>
      </x:c>
      <x:c r="D13" s="93" t="str">
        <x:v>Block new equip/craft/drop for invalid config</x:v>
      </x:c>
      <x:c r="E13" s="93" t="str">
        <x:v>Existing UI may show last valid cached config</x:v>
      </x:c>
      <x:c r="F13" s="93" t="str">
        <x:v>Immutable config versions + audit</x:v>
      </x:c>
      <x:c r="G13" s="93" t="str">
        <x:v>0 evidence loss</x:v>
      </x:c>
      <x:c r="H13" s="93" t="str">
        <x:v>&lt;30 min</x:v>
      </x:c>
      <x:c r="I13" s="93" t="str">
        <x:v>No duplicate/lost Modules</x:v>
      </x:c>
      <x:c r="J13" s="93" t="str">
        <x:v>Underlying score sources use last valid or hold if ambiguous</x:v>
      </x:c>
      <x:c r="K13" s="93" t="str">
        <x:v>Module temporarily unavailable</x:v>
      </x:c>
      <x:c r="L13" s="93" t="str">
        <x:v>Mostly</x:v>
      </x:c>
      <x:c r="M13" s="93" t="str">
        <x:v>Yes if live impact</x:v>
      </x:c>
      <x:c r="N13" s="93" t="str">
        <x:v>Every config release</x:v>
      </x:c>
      <x:c r="O13" s="94" t="str">
        <x:v>Do not silently substitute a different Module effect</x:v>
      </x:c>
    </x:row>
    <x:row r="14">
      <x:c r="A14" s="95" t="str">
        <x:v>Inventory/loadout mismatch</x:v>
      </x:c>
      <x:c r="B14" s="96" t="str">
        <x:v>Invariant monitor / reconcile job</x:v>
      </x:c>
      <x:c r="C14" s="96" t="str">
        <x:v>Block equip/dismantle/craft for affected player</x:v>
      </x:c>
      <x:c r="D14" s="96" t="str">
        <x:v>No further Module mutations until reconciled</x:v>
      </x:c>
      <x:c r="E14" s="96" t="str">
        <x:v>Show syncing state</x:v>
      </x:c>
      <x:c r="F14" s="96" t="str">
        <x:v>Reward/loadout/Parts ledgers</x:v>
      </x:c>
      <x:c r="G14" s="96" t="str">
        <x:v>0</x:v>
      </x:c>
      <x:c r="H14" s="96" t="str">
        <x:v>&lt;30 min typical</x:v>
      </x:c>
      <x:c r="I14" s="96" t="str">
        <x:v>Preserve owned copies</x:v>
      </x:c>
      <x:c r="J14" s="96" t="str">
        <x:v>Hold only if exploit materially affected source metrics</x:v>
      </x:c>
      <x:c r="K14" s="96" t="str">
        <x:v>Modules syncing</x:v>
      </x:c>
      <x:c r="L14" s="96" t="str">
        <x:v>Partial</x:v>
      </x:c>
      <x:c r="M14" s="96" t="str">
        <x:v>Maybe</x:v>
      </x:c>
      <x:c r="N14" s="96" t="str">
        <x:v>Monthly fault injection</x:v>
      </x:c>
      <x:c r="O14" s="97" t="str">
        <x:v>Rebuild aggregates from ledgers</x:v>
      </x:c>
    </x:row>
    <x:row r="15">
      <x:c r="A15" s="98" t="str">
        <x:v>Craft worker outage</x:v>
      </x:c>
      <x:c r="B15" s="99" t="str">
        <x:v>Craft completion lag</x:v>
      </x:c>
      <x:c r="C15" s="99" t="str">
        <x:v>Keep due jobs pending</x:v>
      </x:c>
      <x:c r="D15" s="99" t="str">
        <x:v>No duplicate completion</x:v>
      </x:c>
      <x:c r="E15" s="99" t="str">
        <x:v>Show overdue/pending craft</x:v>
      </x:c>
      <x:c r="F15" s="99" t="str">
        <x:v>Craft jobs + Parts/inventory ledgers</x:v>
      </x:c>
      <x:c r="G15" s="99" t="str">
        <x:v>0</x:v>
      </x:c>
      <x:c r="H15" s="99" t="str">
        <x:v>&lt;30 min target</x:v>
      </x:c>
      <x:c r="I15" s="99" t="str">
        <x:v>No lost Parts/output</x:v>
      </x:c>
      <x:c r="J15" s="99" t="str">
        <x:v>No direct settlement effect</x:v>
      </x:c>
      <x:c r="K15" s="99" t="str">
        <x:v>Craft delayed</x:v>
      </x:c>
      <x:c r="L15" s="99" t="str">
        <x:v>Yes</x:v>
      </x:c>
      <x:c r="M15" s="99" t="str">
        <x:v>No</x:v>
      </x:c>
      <x:c r="N15" s="99" t="str">
        <x:v>Monthly</x:v>
      </x:c>
      <x:c r="O15" s="100" t="str">
        <x:v>Complete overdue jobs idempotently</x:v>
      </x:c>
    </x:row>
  </x:sheetData>
  <x:mergeCells>
    <x:mergeCell ref="A1:O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Metrics, Logs, Traces &amp; Operational Alerts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  <x:c r="Q1" s="22"/>
    </x:row>
    <x:row r="3">
      <x:c r="A3" s="14" t="str">
        <x:v>Signal</x:v>
      </x:c>
      <x:c r="B3" s="14" t="str">
        <x:v>Type</x:v>
      </x:c>
      <x:c r="C3" s="14" t="str">
        <x:v>Domain</x:v>
      </x:c>
      <x:c r="D3" s="14" t="str">
        <x:v>Metric / Field</x:v>
      </x:c>
      <x:c r="E3" s="14" t="str">
        <x:v>Target / Baseline</x:v>
      </x:c>
      <x:c r="F3" s="14" t="str">
        <x:v>Warn</x:v>
      </x:c>
      <x:c r="G3" s="14" t="str">
        <x:v>Critical</x:v>
      </x:c>
      <x:c r="H3" s="14" t="str">
        <x:v>Dimensions</x:v>
      </x:c>
      <x:c r="I3" s="14" t="str">
        <x:v>Retention</x:v>
      </x:c>
      <x:c r="J3" s="14" t="str">
        <x:v>Dashboard</x:v>
      </x:c>
      <x:c r="K3" s="14" t="str">
        <x:v>Alert?</x:v>
      </x:c>
      <x:c r="L3" s="14" t="str">
        <x:v>SLO Impact</x:v>
      </x:c>
      <x:c r="M3" s="14" t="str">
        <x:v>Settlement Impact</x:v>
      </x:c>
      <x:c r="N3" s="14" t="str">
        <x:v>Owner</x:v>
      </x:c>
      <x:c r="O3" s="14" t="str">
        <x:v>Notes</x:v>
      </x:c>
    </x:row>
    <x:row r="4">
      <x:c r="A4" s="34" t="str">
        <x:v>API latency</x:v>
      </x:c>
      <x:c r="B4" s="35" t="str">
        <x:v>Metric</x:v>
      </x:c>
      <x:c r="C4" s="35" t="str">
        <x:v>Gateway</x:v>
      </x:c>
      <x:c r="D4" s="35" t="str">
        <x:v>p50/p95/p99 by route</x:v>
      </x:c>
      <x:c r="E4" s="35" t="str">
        <x:v>p95 &lt; target</x:v>
      </x:c>
      <x:c r="F4" s="35" t="str">
        <x:v>p95 &gt;1.5×</x:v>
      </x:c>
      <x:c r="G4" s="35" t="str">
        <x:v>p95 &gt;2×</x:v>
      </x:c>
      <x:c r="H4" s="35" t="str">
        <x:v>route,status,region</x:v>
      </x:c>
      <x:c r="I4" s="35" t="str">
        <x:v>30d hot</x:v>
      </x:c>
      <x:c r="J4" s="35" t="str">
        <x:v>API health</x:v>
      </x:c>
      <x:c r="K4" s="35" t="str">
        <x:v>Yes</x:v>
      </x:c>
      <x:c r="L4" s="35" t="str">
        <x:v>Yes</x:v>
      </x:c>
      <x:c r="M4" s="35" t="str">
        <x:v>Indirect</x:v>
      </x:c>
      <x:c r="N4" s="35" t="str">
        <x:v>Platform</x:v>
      </x:c>
      <x:c r="O4" s="36" t="str"/>
    </x:row>
    <x:row r="5">
      <x:c r="A5" s="37" t="str">
        <x:v>API error rate</x:v>
      </x:c>
      <x:c r="B5" s="22" t="str">
        <x:v>Metric</x:v>
      </x:c>
      <x:c r="C5" s="22" t="str">
        <x:v>Gateway</x:v>
      </x:c>
      <x:c r="D5" s="22" t="str">
        <x:v>5xx / total</x:v>
      </x:c>
      <x:c r="E5" s="22" t="str">
        <x:v>&lt;1%</x:v>
      </x:c>
      <x:c r="F5" s="22" t="str">
        <x:v>1–3%</x:v>
      </x:c>
      <x:c r="G5" s="22" t="str">
        <x:v>&gt;3%</x:v>
      </x:c>
      <x:c r="H5" s="22" t="str">
        <x:v>route,service</x:v>
      </x:c>
      <x:c r="I5" s="22" t="str">
        <x:v>30d</x:v>
      </x:c>
      <x:c r="J5" s="22" t="str">
        <x:v>API health</x:v>
      </x:c>
      <x:c r="K5" s="22" t="str">
        <x:v>Yes</x:v>
      </x:c>
      <x:c r="L5" s="22" t="str">
        <x:v>Yes</x:v>
      </x:c>
      <x:c r="M5" s="22" t="str">
        <x:v>Indirect</x:v>
      </x:c>
      <x:c r="N5" s="22" t="str">
        <x:v>Platform</x:v>
      </x:c>
      <x:c r="O5" s="38" t="str"/>
    </x:row>
    <x:row r="6">
      <x:c r="A6" s="37" t="str">
        <x:v>Economy tick lag</x:v>
      </x:c>
      <x:c r="B6" s="22" t="str">
        <x:v>Metric</x:v>
      </x:c>
      <x:c r="C6" s="22" t="str">
        <x:v>Economy</x:v>
      </x:c>
      <x:c r="D6" s="22" t="str">
        <x:v>now - latest processed tick</x:v>
      </x:c>
      <x:c r="E6" s="22" t="str">
        <x:v>&lt;5 min</x:v>
      </x:c>
      <x:c r="F6" s="22" t="str">
        <x:v>&gt;10 min</x:v>
      </x:c>
      <x:c r="G6" s="22" t="str">
        <x:v>&gt;20 min</x:v>
      </x:c>
      <x:c r="H6" s="22" t="str">
        <x:v>worker shard</x:v>
      </x:c>
      <x:c r="I6" s="22" t="str">
        <x:v>90d</x:v>
      </x:c>
      <x:c r="J6" s="22" t="str">
        <x:v>Economy ops</x:v>
      </x:c>
      <x:c r="K6" s="22" t="str">
        <x:v>Yes</x:v>
      </x:c>
      <x:c r="L6" s="22" t="str">
        <x:v>Yes</x:v>
      </x:c>
      <x:c r="M6" s="22" t="str">
        <x:v>Yes</x:v>
      </x:c>
      <x:c r="N6" s="22" t="str">
        <x:v>Economy</x:v>
      </x:c>
      <x:c r="O6" s="38" t="str"/>
    </x:row>
    <x:row r="7">
      <x:c r="A7" s="37" t="str">
        <x:v>Cash ledger mismatch</x:v>
      </x:c>
      <x:c r="B7" s="22" t="str">
        <x:v>Metric/Check</x:v>
      </x:c>
      <x:c r="C7" s="22" t="str">
        <x:v>Economy</x:v>
      </x:c>
      <x:c r="D7" s="22" t="str">
        <x:v>balance vs ledger replay delta</x:v>
      </x:c>
      <x:c r="E7" s="22" t="str">
        <x:v>0</x:v>
      </x:c>
      <x:c r="F7" s="22" t="str">
        <x:v>!=0 any</x:v>
      </x:c>
      <x:c r="G7" s="22" t="str">
        <x:v>Material mismatch</x:v>
      </x:c>
      <x:c r="H7" s="22" t="str">
        <x:v>player/shard</x:v>
      </x:c>
      <x:c r="I7" s="22" t="str">
        <x:v>Permanent case</x:v>
      </x:c>
      <x:c r="J7" s="22" t="str">
        <x:v>Economy integrity</x:v>
      </x:c>
      <x:c r="K7" s="22" t="str">
        <x:v>Yes</x:v>
      </x:c>
      <x:c r="L7" s="22" t="str">
        <x:v>Critical</x:v>
      </x:c>
      <x:c r="M7" s="22" t="str">
        <x:v>Yes</x:v>
      </x:c>
      <x:c r="N7" s="22" t="str">
        <x:v>Economy</x:v>
      </x:c>
      <x:c r="O7" s="38" t="str"/>
    </x:row>
    <x:row r="8">
      <x:c r="A8" s="37" t="str">
        <x:v>Customer refresh lag</x:v>
      </x:c>
      <x:c r="B8" s="22" t="str">
        <x:v>Metric</x:v>
      </x:c>
      <x:c r="C8" s="22" t="str">
        <x:v>Customer</x:v>
      </x:c>
      <x:c r="D8" s="22" t="str">
        <x:v>bucket lag</x:v>
      </x:c>
      <x:c r="E8" s="22" t="str">
        <x:v>&lt;15 min</x:v>
      </x:c>
      <x:c r="F8" s="22" t="str">
        <x:v>&gt;30 min</x:v>
      </x:c>
      <x:c r="G8" s="22" t="str">
        <x:v>&gt;60 min</x:v>
      </x:c>
      <x:c r="H8" s="22" t="str">
        <x:v>shard</x:v>
      </x:c>
      <x:c r="I8" s="22" t="str">
        <x:v>90d</x:v>
      </x:c>
      <x:c r="J8" s="22" t="str">
        <x:v>Customer ops</x:v>
      </x:c>
      <x:c r="K8" s="22" t="str">
        <x:v>Yes</x:v>
      </x:c>
      <x:c r="L8" s="22" t="str">
        <x:v>Medium</x:v>
      </x:c>
      <x:c r="M8" s="22" t="str">
        <x:v>Yes</x:v>
      </x:c>
      <x:c r="N8" s="22" t="str">
        <x:v>Customer</x:v>
      </x:c>
      <x:c r="O8" s="38" t="str"/>
    </x:row>
    <x:row r="9">
      <x:c r="A9" s="37" t="str">
        <x:v>Risk eval lag</x:v>
      </x:c>
      <x:c r="B9" s="22" t="str">
        <x:v>Metric</x:v>
      </x:c>
      <x:c r="C9" s="22" t="str">
        <x:v>Risk</x:v>
      </x:c>
      <x:c r="D9" s="22" t="str">
        <x:v>latest risk age</x:v>
      </x:c>
      <x:c r="E9" s="22" t="str">
        <x:v>&lt;15 min</x:v>
      </x:c>
      <x:c r="F9" s="22" t="str">
        <x:v>&gt;30 min</x:v>
      </x:c>
      <x:c r="G9" s="22" t="str">
        <x:v>&gt;60 min</x:v>
      </x:c>
      <x:c r="H9" s="22" t="str">
        <x:v>shard/player stage</x:v>
      </x:c>
      <x:c r="I9" s="22" t="str">
        <x:v>90d</x:v>
      </x:c>
      <x:c r="J9" s="22" t="str">
        <x:v>Risk ops</x:v>
      </x:c>
      <x:c r="K9" s="22" t="str">
        <x:v>Yes</x:v>
      </x:c>
      <x:c r="L9" s="22" t="str">
        <x:v>High</x:v>
      </x:c>
      <x:c r="M9" s="22" t="str">
        <x:v>Yes</x:v>
      </x:c>
      <x:c r="N9" s="22" t="str">
        <x:v>Risk</x:v>
      </x:c>
      <x:c r="O9" s="38" t="str"/>
    </x:row>
    <x:row r="10">
      <x:c r="A10" s="37" t="str">
        <x:v>Queue lag</x:v>
      </x:c>
      <x:c r="B10" s="22" t="str">
        <x:v>Metric</x:v>
      </x:c>
      <x:c r="C10" s="22" t="str">
        <x:v>Platform</x:v>
      </x:c>
      <x:c r="D10" s="22" t="str">
        <x:v>oldest message age</x:v>
      </x:c>
      <x:c r="E10" s="22" t="str">
        <x:v>&lt; target</x:v>
      </x:c>
      <x:c r="F10" s="22" t="str">
        <x:v>2× target</x:v>
      </x:c>
      <x:c r="G10" s="22" t="str">
        <x:v>5× target</x:v>
      </x:c>
      <x:c r="H10" s="22" t="str">
        <x:v>topic/partition</x:v>
      </x:c>
      <x:c r="I10" s="22" t="str">
        <x:v>30d</x:v>
      </x:c>
      <x:c r="J10" s="22" t="str">
        <x:v>Queue health</x:v>
      </x:c>
      <x:c r="K10" s="22" t="str">
        <x:v>Yes</x:v>
      </x:c>
      <x:c r="L10" s="22" t="str">
        <x:v>Yes</x:v>
      </x:c>
      <x:c r="M10" s="22" t="str">
        <x:v>Yes if critical topic</x:v>
      </x:c>
      <x:c r="N10" s="22" t="str">
        <x:v>Platform</x:v>
      </x:c>
      <x:c r="O10" s="38" t="str"/>
    </x:row>
    <x:row r="11">
      <x:c r="A11" s="37" t="str">
        <x:v>Reward duplicate prevention</x:v>
      </x:c>
      <x:c r="B11" s="22" t="str">
        <x:v>Metric</x:v>
      </x:c>
      <x:c r="C11" s="22" t="str">
        <x:v>Reward</x:v>
      </x:c>
      <x:c r="D11" s="22" t="str">
        <x:v>idempotency conflicts</x:v>
      </x:c>
      <x:c r="E11" s="22" t="str">
        <x:v>Expected low</x:v>
      </x:c>
      <x:c r="F11" s="22" t="str">
        <x:v>Spike</x:v>
      </x:c>
      <x:c r="G11" s="22" t="str">
        <x:v>High spike</x:v>
      </x:c>
      <x:c r="H11" s="22" t="str">
        <x:v>reward type/source</x:v>
      </x:c>
      <x:c r="I11" s="22" t="str">
        <x:v>180d</x:v>
      </x:c>
      <x:c r="J11" s="22" t="str">
        <x:v>Reward integrity</x:v>
      </x:c>
      <x:c r="K11" s="22" t="str">
        <x:v>Yes</x:v>
      </x:c>
      <x:c r="L11" s="22" t="str">
        <x:v>High</x:v>
      </x:c>
      <x:c r="M11" s="22" t="str">
        <x:v>Yes</x:v>
      </x:c>
      <x:c r="N11" s="22" t="str">
        <x:v>Reward</x:v>
      </x:c>
      <x:c r="O11" s="38" t="str"/>
    </x:row>
    <x:row r="12">
      <x:c r="A12" s="37" t="str">
        <x:v>Ownership mismatch</x:v>
      </x:c>
      <x:c r="B12" s="22" t="str">
        <x:v>Metric</x:v>
      </x:c>
      <x:c r="C12" s="22" t="str">
        <x:v>Chain</x:v>
      </x:c>
      <x:c r="D12" s="22" t="str">
        <x:v>game owner != chain owner</x:v>
      </x:c>
      <x:c r="E12" s="22" t="str">
        <x:v>0 stable</x:v>
      </x:c>
      <x:c r="F12" s="22" t="str">
        <x:v>Any &gt;2 min</x:v>
      </x:c>
      <x:c r="G12" s="22" t="str">
        <x:v>Any &gt;10 min</x:v>
      </x:c>
      <x:c r="H12" s="22" t="str">
        <x:v>chain/token</x:v>
      </x:c>
      <x:c r="I12" s="22" t="str">
        <x:v>Permanent audit</x:v>
      </x:c>
      <x:c r="J12" s="22" t="str">
        <x:v>Chain health</x:v>
      </x:c>
      <x:c r="K12" s="22" t="str">
        <x:v>Yes</x:v>
      </x:c>
      <x:c r="L12" s="22" t="str">
        <x:v>Critical</x:v>
      </x:c>
      <x:c r="M12" s="22" t="str">
        <x:v>Potential</x:v>
      </x:c>
      <x:c r="N12" s="22" t="str">
        <x:v>Chain</x:v>
      </x:c>
      <x:c r="O12" s="38" t="str"/>
    </x:row>
    <x:row r="13">
      <x:c r="A13" s="37" t="str">
        <x:v>Settlement completeness</x:v>
      </x:c>
      <x:c r="B13" s="22" t="str">
        <x:v>Check</x:v>
      </x:c>
      <x:c r="C13" s="22" t="str">
        <x:v>Performance</x:v>
      </x:c>
      <x:c r="D13" s="22" t="str">
        <x:v>source shards complete %</x:v>
      </x:c>
      <x:c r="E13" s="22" t="str">
        <x:v>100%</x:v>
      </x:c>
      <x:c r="F13" s="22" t="str">
        <x:v>&lt;100 near SLA</x:v>
      </x:c>
      <x:c r="G13" s="22" t="str">
        <x:v>Missing at finalize deadline</x:v>
      </x:c>
      <x:c r="H13" s="22" t="str">
        <x:v>epoch/source</x:v>
      </x:c>
      <x:c r="I13" s="22" t="str">
        <x:v>Permanent</x:v>
      </x:c>
      <x:c r="J13" s="22" t="str">
        <x:v>Settlement</x:v>
      </x:c>
      <x:c r="K13" s="22" t="str">
        <x:v>Yes</x:v>
      </x:c>
      <x:c r="L13" s="22" t="str">
        <x:v>Critical</x:v>
      </x:c>
      <x:c r="M13" s="22" t="str">
        <x:v>Direct</x:v>
      </x:c>
      <x:c r="N13" s="22" t="str">
        <x:v>Performance</x:v>
      </x:c>
      <x:c r="O13" s="38" t="str"/>
    </x:row>
    <x:row r="14">
      <x:c r="A14" s="37" t="str">
        <x:v>Pool conservation</x:v>
      </x:c>
      <x:c r="B14" s="22" t="str">
        <x:v>Check</x:v>
      </x:c>
      <x:c r="C14" s="22" t="str">
        <x:v>Competition</x:v>
      </x:c>
      <x:c r="D14" s="22" t="str">
        <x:v>allocated PLOT vs configured pool</x:v>
      </x:c>
      <x:c r="E14" s="22" t="str">
        <x:v>Exact</x:v>
      </x:c>
      <x:c r="F14" s="22" t="str">
        <x:v>Difference</x:v>
      </x:c>
      <x:c r="G14" s="22" t="str">
        <x:v>Any nonzero</x:v>
      </x:c>
      <x:c r="H14" s="22" t="str">
        <x:v>epoch/league</x:v>
      </x:c>
      <x:c r="I14" s="22" t="str">
        <x:v>Permanent</x:v>
      </x:c>
      <x:c r="J14" s="22" t="str">
        <x:v>Settlement</x:v>
      </x:c>
      <x:c r="K14" s="22" t="str">
        <x:v>Yes</x:v>
      </x:c>
      <x:c r="L14" s="22" t="str">
        <x:v>Critical</x:v>
      </x:c>
      <x:c r="M14" s="22" t="str">
        <x:v>Direct</x:v>
      </x:c>
      <x:c r="N14" s="22" t="str">
        <x:v>Competition</x:v>
      </x:c>
      <x:c r="O14" s="38" t="str"/>
    </x:row>
    <x:row r="15">
      <x:c r="A15" s="92" t="str">
        <x:v>Module resolver error rate</x:v>
      </x:c>
      <x:c r="B15" s="93" t="str">
        <x:v>Metric</x:v>
      </x:c>
      <x:c r="C15" s="93" t="str">
        <x:v>Module</x:v>
      </x:c>
      <x:c r="D15" s="93" t="str">
        <x:v>invalid/failed resolutions / total</x:v>
      </x:c>
      <x:c r="E15" s="93" t="str">
        <x:v>~0</x:v>
      </x:c>
      <x:c r="F15" s="93" t="str">
        <x:v>0.1%</x:v>
      </x:c>
      <x:c r="G15" s="93" t="str">
        <x:v>1%</x:v>
      </x:c>
      <x:c r="H15" s="93" t="str">
        <x:v>module_id,config_version,effect_type</x:v>
      </x:c>
      <x:c r="I15" s="93" t="str">
        <x:v>180d</x:v>
      </x:c>
      <x:c r="J15" s="93" t="str">
        <x:v>Module runtime</x:v>
      </x:c>
      <x:c r="K15" s="93" t="str">
        <x:v>Yes</x:v>
      </x:c>
      <x:c r="L15" s="93" t="str">
        <x:v>High</x:v>
      </x:c>
      <x:c r="M15" s="93" t="str">
        <x:v>Potential source lineage</x:v>
      </x:c>
      <x:c r="N15" s="93" t="str">
        <x:v>Game Systems</x:v>
      </x:c>
      <x:c r="O15" s="94" t="str">
        <x:v>Rollback invalid config</x:v>
      </x:c>
    </x:row>
    <x:row r="16">
      <x:c r="A16" s="106" t="str">
        <x:v>Module resolve latency</x:v>
      </x:c>
      <x:c r="B16" s="40" t="str">
        <x:v>Metric</x:v>
      </x:c>
      <x:c r="C16" s="40" t="str">
        <x:v>Module</x:v>
      </x:c>
      <x:c r="D16" s="40" t="str">
        <x:v>p95 per building/context</x:v>
      </x:c>
      <x:c r="E16" s="40" t="str">
        <x:v>&lt;5ms cached / &lt;20ms uncached</x:v>
      </x:c>
      <x:c r="F16" s="40" t="str">
        <x:v>2× target</x:v>
      </x:c>
      <x:c r="G16" s="40" t="str">
        <x:v>5× target</x:v>
      </x:c>
      <x:c r="H16" s="40" t="str">
        <x:v>effect count,loadout size</x:v>
      </x:c>
      <x:c r="I16" s="40" t="str">
        <x:v>30d</x:v>
      </x:c>
      <x:c r="J16" s="40" t="str">
        <x:v>Module runtime</x:v>
      </x:c>
      <x:c r="K16" s="40" t="str">
        <x:v>Yes</x:v>
      </x:c>
      <x:c r="L16" s="40" t="str">
        <x:v>Medium</x:v>
      </x:c>
      <x:c r="M16" s="40" t="str">
        <x:v>Indirect</x:v>
      </x:c>
      <x:c r="N16" s="40" t="str">
        <x:v>Backend</x:v>
      </x:c>
      <x:c r="O16" s="107" t="str">
        <x:v>Prefer compiled effect plan cache</x:v>
      </x:c>
    </x:row>
    <x:row r="17">
      <x:c r="A17" s="95" t="str">
        <x:v>Inventory invariant mismatch</x:v>
      </x:c>
      <x:c r="B17" s="96" t="str">
        <x:v>Check</x:v>
      </x:c>
      <x:c r="C17" s="96" t="str">
        <x:v>Module</x:v>
      </x:c>
      <x:c r="D17" s="96" t="str">
        <x:v>owned &lt; equipped or missing loadout Module</x:v>
      </x:c>
      <x:c r="E17" s="96" t="str">
        <x:v>0</x:v>
      </x:c>
      <x:c r="F17" s="96" t="str">
        <x:v>Any</x:v>
      </x:c>
      <x:c r="G17" s="96" t="str">
        <x:v>Any persistent &gt;5m</x:v>
      </x:c>
      <x:c r="H17" s="96" t="str">
        <x:v>player,module</x:v>
      </x:c>
      <x:c r="I17" s="96" t="str">
        <x:v>Permanent case</x:v>
      </x:c>
      <x:c r="J17" s="96" t="str">
        <x:v>Module integrity</x:v>
      </x:c>
      <x:c r="K17" s="96" t="str">
        <x:v>Yes</x:v>
      </x:c>
      <x:c r="L17" s="96" t="str">
        <x:v>High</x:v>
      </x:c>
      <x:c r="M17" s="96" t="str">
        <x:v>Potential</x:v>
      </x:c>
      <x:c r="N17" s="96" t="str">
        <x:v>Integrity</x:v>
      </x:c>
      <x:c r="O17" s="97" t="str">
        <x:v>Block affected mutations</x:v>
      </x:c>
    </x:row>
    <x:row r="18">
      <x:c r="A18" s="95" t="str">
        <x:v>Module reward duplicate conflicts</x:v>
      </x:c>
      <x:c r="B18" s="96" t="str">
        <x:v>Metric</x:v>
      </x:c>
      <x:c r="C18" s="96" t="str">
        <x:v>Module/Reward</x:v>
      </x:c>
      <x:c r="D18" s="96" t="str">
        <x:v>duplicate source_event/idempotency conflicts</x:v>
      </x:c>
      <x:c r="E18" s="96" t="str">
        <x:v>Expected retry-level low</x:v>
      </x:c>
      <x:c r="F18" s="96" t="str">
        <x:v>Spike</x:v>
      </x:c>
      <x:c r="G18" s="96" t="str">
        <x:v>High spike</x:v>
      </x:c>
      <x:c r="H18" s="96" t="str">
        <x:v>source,rarity,module</x:v>
      </x:c>
      <x:c r="I18" s="96" t="str">
        <x:v>180d</x:v>
      </x:c>
      <x:c r="J18" s="96" t="str">
        <x:v>Module integrity</x:v>
      </x:c>
      <x:c r="K18" s="96" t="str">
        <x:v>Yes</x:v>
      </x:c>
      <x:c r="L18" s="96" t="str">
        <x:v>Medium</x:v>
      </x:c>
      <x:c r="M18" s="96" t="str">
        <x:v>No direct</x:v>
      </x:c>
      <x:c r="N18" s="96" t="str">
        <x:v>Reward</x:v>
      </x:c>
      <x:c r="O18" s="97" t="str">
        <x:v>Should return original result</x:v>
      </x:c>
    </x:row>
    <x:row r="19">
      <x:c r="A19" s="95" t="str">
        <x:v>Craft completion lag</x:v>
      </x:c>
      <x:c r="B19" s="96" t="str">
        <x:v>Metric</x:v>
      </x:c>
      <x:c r="C19" s="96" t="str">
        <x:v>Module</x:v>
      </x:c>
      <x:c r="D19" s="96" t="str">
        <x:v>now-complete_at for due jobs</x:v>
      </x:c>
      <x:c r="E19" s="96" t="str">
        <x:v>&lt;1 min</x:v>
      </x:c>
      <x:c r="F19" s="96" t="str">
        <x:v>5 min</x:v>
      </x:c>
      <x:c r="G19" s="96" t="str">
        <x:v>15 min</x:v>
      </x:c>
      <x:c r="H19" s="96" t="str">
        <x:v>rarity,worker shard</x:v>
      </x:c>
      <x:c r="I19" s="96" t="str">
        <x:v>90d</x:v>
      </x:c>
      <x:c r="J19" s="96" t="str">
        <x:v>Module jobs</x:v>
      </x:c>
      <x:c r="K19" s="96" t="str">
        <x:v>Yes</x:v>
      </x:c>
      <x:c r="L19" s="96" t="str">
        <x:v>Medium</x:v>
      </x:c>
      <x:c r="M19" s="96" t="str">
        <x:v>No direct</x:v>
      </x:c>
      <x:c r="N19" s="96" t="str">
        <x:v>Module</x:v>
      </x:c>
      <x:c r="O19" s="97" t="str"/>
    </x:row>
    <x:row r="20">
      <x:c r="A20" s="98" t="str">
        <x:v>Module meta concentration</x:v>
      </x:c>
      <x:c r="B20" s="99" t="str">
        <x:v>Product/Balance</x:v>
      </x:c>
      <x:c r="C20" s="99" t="str">
        <x:v>Module</x:v>
      </x:c>
      <x:c r="D20" s="99" t="str">
        <x:v>share of eligible top cohort using Module</x:v>
      </x:c>
      <x:c r="E20" s="99" t="str">
        <x:v>&lt;50% heuristic</x:v>
      </x:c>
      <x:c r="F20" s="99" t="str">
        <x:v>&gt;50%</x:v>
      </x:c>
      <x:c r="G20" s="99" t="str">
        <x:v> &gt;70%</x:v>
      </x:c>
      <x:c r="H20" s="99" t="str">
        <x:v>module,family,league,stage</x:v>
      </x:c>
      <x:c r="I20" s="99" t="str">
        <x:v>Warehouse</x:v>
      </x:c>
      <x:c r="J20" s="99" t="str">
        <x:v>Module balance</x:v>
      </x:c>
      <x:c r="K20" s="99" t="str">
        <x:v>Optional</x:v>
      </x:c>
      <x:c r="L20" s="99" t="str">
        <x:v>No direct</x:v>
      </x:c>
      <x:c r="M20" s="99" t="str">
        <x:v>Balance risk</x:v>
      </x:c>
      <x:c r="N20" s="99" t="str">
        <x:v>Game Systems</x:v>
      </x:c>
      <x:c r="O20" s="100" t="str">
        <x:v>High concentration indicates mandatory best-in-slot risk</x:v>
      </x:c>
    </x:row>
  </x:sheetData>
  <x:mergeCells>
    <x:mergeCell ref="A1:O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Authentication, Authorization &amp; Security Controls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  <x:c r="Q1" s="22"/>
    </x:row>
    <x:row r="3">
      <x:c r="A3" s="14" t="str">
        <x:v>Control</x:v>
      </x:c>
      <x:c r="B3" s="14" t="str">
        <x:v>Applies To</x:v>
      </x:c>
      <x:c r="C3" s="14" t="str">
        <x:v>Mechanism</x:v>
      </x:c>
      <x:c r="D3" s="14" t="str">
        <x:v>Server Validation</x:v>
      </x:c>
      <x:c r="E3" s="14" t="str">
        <x:v>Expiry / Rotation</x:v>
      </x:c>
      <x:c r="F3" s="14" t="str">
        <x:v>Privilege Boundary</x:v>
      </x:c>
      <x:c r="G3" s="14" t="str">
        <x:v>Audit?</x:v>
      </x:c>
      <x:c r="H3" s="14" t="str">
        <x:v>Rate Limit?</x:v>
      </x:c>
      <x:c r="I3" s="14" t="str">
        <x:v>Secret Handling</x:v>
      </x:c>
      <x:c r="J3" s="14" t="str">
        <x:v>Failure Policy</x:v>
      </x:c>
      <x:c r="K3" s="14" t="str">
        <x:v>Replay Protection</x:v>
      </x:c>
      <x:c r="L3" s="14" t="str">
        <x:v>MVP?</x:v>
      </x:c>
      <x:c r="M3" s="14" t="str">
        <x:v>Severity</x:v>
      </x:c>
      <x:c r="N3" s="14" t="str">
        <x:v>Owner</x:v>
      </x:c>
      <x:c r="O3" s="14" t="str">
        <x:v>Notes</x:v>
      </x:c>
    </x:row>
    <x:row r="4">
      <x:c r="A4" s="34" t="str">
        <x:v>Family session verification</x:v>
      </x:c>
      <x:c r="B4" s="35" t="str">
        <x:v>All player APIs</x:v>
      </x:c>
      <x:c r="C4" s="35" t="str">
        <x:v>Signed session/token from Family integration</x:v>
      </x:c>
      <x:c r="D4" s="35" t="str">
        <x:v>Verify signature/audience/expiry server-side</x:v>
      </x:c>
      <x:c r="E4" s="35" t="str">
        <x:v>Short-lived</x:v>
      </x:c>
      <x:c r="F4" s="35" t="str">
        <x:v>User session</x:v>
      </x:c>
      <x:c r="G4" s="35" t="str">
        <x:v>Yes</x:v>
      </x:c>
      <x:c r="H4" s="35" t="str">
        <x:v>Yes</x:v>
      </x:c>
      <x:c r="I4" s="35" t="str">
        <x:v>No client secret</x:v>
      </x:c>
      <x:c r="J4" s="35" t="str">
        <x:v>401/fail closed</x:v>
      </x:c>
      <x:c r="K4" s="35" t="str">
        <x:v>Nonce/jti if available</x:v>
      </x:c>
      <x:c r="L4" s="35" t="str">
        <x:v>Yes</x:v>
      </x:c>
      <x:c r="M4" s="35" t="str">
        <x:v>Critical</x:v>
      </x:c>
      <x:c r="N4" s="35" t="str">
        <x:v>Identity</x:v>
      </x:c>
      <x:c r="O4" s="36" t="str"/>
    </x:row>
    <x:row r="5">
      <x:c r="A5" s="37" t="str">
        <x:v>Wallet linking</x:v>
      </x:c>
      <x:c r="B5" s="22" t="str">
        <x:v>Ownership/claims</x:v>
      </x:c>
      <x:c r="C5" s="22" t="str">
        <x:v>Signed wallet challenge</x:v>
      </x:c>
      <x:c r="D5" s="22" t="str">
        <x:v>Verify signature + nonce + wallet</x:v>
      </x:c>
      <x:c r="E5" s="22" t="str">
        <x:v>Challenge expires minutes</x:v>
      </x:c>
      <x:c r="F5" s="22" t="str">
        <x:v>Player identity</x:v>
      </x:c>
      <x:c r="G5" s="22" t="str">
        <x:v>Yes</x:v>
      </x:c>
      <x:c r="H5" s="22" t="str">
        <x:v>Yes</x:v>
      </x:c>
      <x:c r="I5" s="22" t="str">
        <x:v>No private keys stored</x:v>
      </x:c>
      <x:c r="J5" s="22" t="str">
        <x:v>Reject link</x:v>
      </x:c>
      <x:c r="K5" s="22" t="str">
        <x:v>One-time nonce</x:v>
      </x:c>
      <x:c r="L5" s="22" t="str">
        <x:v>Yes</x:v>
      </x:c>
      <x:c r="M5" s="22" t="str">
        <x:v>Critical</x:v>
      </x:c>
      <x:c r="N5" s="22" t="str">
        <x:v>Identity</x:v>
      </x:c>
      <x:c r="O5" s="38" t="str"/>
    </x:row>
    <x:row r="6">
      <x:c r="A6" s="37" t="str">
        <x:v>Service-to-service auth</x:v>
      </x:c>
      <x:c r="B6" s="22" t="str">
        <x:v>Internal APIs/jobs</x:v>
      </x:c>
      <x:c r="C6" s="22" t="str">
        <x:v>Workload identity / signed service tokens</x:v>
      </x:c>
      <x:c r="D6" s="22" t="str">
        <x:v>Verify service role</x:v>
      </x:c>
      <x:c r="E6" s="22" t="str">
        <x:v>Auto-rotated</x:v>
      </x:c>
      <x:c r="F6" s="22" t="str">
        <x:v>Service role</x:v>
      </x:c>
      <x:c r="G6" s="22" t="str">
        <x:v>Yes</x:v>
      </x:c>
      <x:c r="H6" s="22" t="str">
        <x:v>Yes</x:v>
      </x:c>
      <x:c r="I6" s="22" t="str">
        <x:v>Managed secrets</x:v>
      </x:c>
      <x:c r="J6" s="22" t="str">
        <x:v>403/fail closed</x:v>
      </x:c>
      <x:c r="K6" s="22" t="str">
        <x:v>Token expiry</x:v>
      </x:c>
      <x:c r="L6" s="22" t="str">
        <x:v>Yes</x:v>
      </x:c>
      <x:c r="M6" s="22" t="str">
        <x:v>Critical</x:v>
      </x:c>
      <x:c r="N6" s="22" t="str">
        <x:v>Platform</x:v>
      </x:c>
      <x:c r="O6" s="38" t="str"/>
    </x:row>
    <x:row r="7">
      <x:c r="A7" s="37" t="str">
        <x:v>RBAC</x:v>
      </x:c>
      <x:c r="B7" s="22" t="str">
        <x:v>Admin/Live Ops</x:v>
      </x:c>
      <x:c r="C7" s="22" t="str">
        <x:v>Role-based permissions</x:v>
      </x:c>
      <x:c r="D7" s="22" t="str">
        <x:v>Server-side authorization</x:v>
      </x:c>
      <x:c r="E7" s="22" t="str">
        <x:v>Review quarterly</x:v>
      </x:c>
      <x:c r="F7" s="22" t="str">
        <x:v>Admin roles</x:v>
      </x:c>
      <x:c r="G7" s="22" t="str">
        <x:v>Yes</x:v>
      </x:c>
      <x:c r="H7" s="22" t="str">
        <x:v>Yes</x:v>
      </x:c>
      <x:c r="I7" s="22" t="str">
        <x:v>SSO-managed</x:v>
      </x:c>
      <x:c r="J7" s="22" t="str">
        <x:v>403</x:v>
      </x:c>
      <x:c r="K7" s="22" t="str">
        <x:v>Session controls</x:v>
      </x:c>
      <x:c r="L7" s="22" t="str">
        <x:v>Yes</x:v>
      </x:c>
      <x:c r="M7" s="22" t="str">
        <x:v>Critical</x:v>
      </x:c>
      <x:c r="N7" s="22" t="str">
        <x:v>Platform</x:v>
      </x:c>
      <x:c r="O7" s="38" t="str"/>
    </x:row>
    <x:row r="8">
      <x:c r="A8" s="37" t="str">
        <x:v>Settlement privilege</x:v>
      </x:c>
      <x:c r="B8" s="22" t="str">
        <x:v>Finalize/adjust configs</x:v>
      </x:c>
      <x:c r="C8" s="22" t="str">
        <x:v>Dedicated restricted role + two-person policy later</x:v>
      </x:c>
      <x:c r="D8" s="22" t="str">
        <x:v>Explicit allowlist</x:v>
      </x:c>
      <x:c r="E8" s="22" t="str">
        <x:v>Per session</x:v>
      </x:c>
      <x:c r="F8" s="22" t="str">
        <x:v>Treasury/settlement</x:v>
      </x:c>
      <x:c r="G8" s="22" t="str">
        <x:v>Yes</x:v>
      </x:c>
      <x:c r="H8" s="22" t="str">
        <x:v>Very strict</x:v>
      </x:c>
      <x:c r="I8" s="22" t="str">
        <x:v>No shared creds</x:v>
      </x:c>
      <x:c r="J8" s="22" t="str">
        <x:v>Fail closed</x:v>
      </x:c>
      <x:c r="K8" s="22" t="str">
        <x:v>Signed audit action</x:v>
      </x:c>
      <x:c r="L8" s="22" t="str">
        <x:v>Yes</x:v>
      </x:c>
      <x:c r="M8" s="22" t="str">
        <x:v>Critical</x:v>
      </x:c>
      <x:c r="N8" s="22" t="str">
        <x:v>Competition</x:v>
      </x:c>
      <x:c r="O8" s="38" t="str"/>
    </x:row>
    <x:row r="9">
      <x:c r="A9" s="37" t="str">
        <x:v>Config signing/versioning</x:v>
      </x:c>
      <x:c r="B9" s="22" t="str">
        <x:v>Economy/risk/reward configs</x:v>
      </x:c>
      <x:c r="C9" s="22" t="str">
        <x:v>Immutable published config versions</x:v>
      </x:c>
      <x:c r="D9" s="22" t="str">
        <x:v>Server loads approved version</x:v>
      </x:c>
      <x:c r="E9" s="22" t="str">
        <x:v>Versioned</x:v>
      </x:c>
      <x:c r="F9" s="22" t="str">
        <x:v>Game systems</x:v>
      </x:c>
      <x:c r="G9" s="22" t="str">
        <x:v>Yes</x:v>
      </x:c>
      <x:c r="H9" s="22" t="str">
        <x:v>N/A</x:v>
      </x:c>
      <x:c r="I9" s="22" t="str">
        <x:v>Config store</x:v>
      </x:c>
      <x:c r="J9" s="22" t="str">
        <x:v>Rollback to prior</x:v>
      </x:c>
      <x:c r="K9" s="22" t="str">
        <x:v>Version hash</x:v>
      </x:c>
      <x:c r="L9" s="22" t="str">
        <x:v>Yes</x:v>
      </x:c>
      <x:c r="M9" s="22" t="str">
        <x:v>High</x:v>
      </x:c>
      <x:c r="N9" s="22" t="str">
        <x:v>Game Systems</x:v>
      </x:c>
      <x:c r="O9" s="38" t="str"/>
    </x:row>
    <x:row r="10">
      <x:c r="A10" s="37" t="str">
        <x:v>Encryption at rest</x:v>
      </x:c>
      <x:c r="B10" s="22" t="str">
        <x:v>DB/backups/ledgers</x:v>
      </x:c>
      <x:c r="C10" s="22" t="str">
        <x:v>Managed encryption</x:v>
      </x:c>
      <x:c r="D10" s="22" t="str">
        <x:v>Platform</x:v>
      </x:c>
      <x:c r="E10" s="22" t="str">
        <x:v>Key rotation</x:v>
      </x:c>
      <x:c r="F10" s="22" t="str">
        <x:v>Infrastructure</x:v>
      </x:c>
      <x:c r="G10" s="22" t="str">
        <x:v>Audit provider</x:v>
      </x:c>
      <x:c r="H10" s="22" t="str">
        <x:v>N/A</x:v>
      </x:c>
      <x:c r="I10" s="22" t="str">
        <x:v>KMS</x:v>
      </x:c>
      <x:c r="J10" s="22" t="str">
        <x:v>No plaintext backup</x:v>
      </x:c>
      <x:c r="K10" s="22" t="str">
        <x:v>N/A</x:v>
      </x:c>
      <x:c r="L10" s="22" t="str">
        <x:v>Yes</x:v>
      </x:c>
      <x:c r="M10" s="22" t="str">
        <x:v>High</x:v>
      </x:c>
      <x:c r="N10" s="22" t="str">
        <x:v>Platform</x:v>
      </x:c>
      <x:c r="O10" s="38" t="str"/>
    </x:row>
    <x:row r="11">
      <x:c r="A11" s="37" t="str">
        <x:v>Encryption in transit</x:v>
      </x:c>
      <x:c r="B11" s="22" t="str">
        <x:v>All network calls</x:v>
      </x:c>
      <x:c r="C11" s="22" t="str">
        <x:v>TLS</x:v>
      </x:c>
      <x:c r="D11" s="22" t="str">
        <x:v>Platform</x:v>
      </x:c>
      <x:c r="E11" s="22" t="str">
        <x:v>Cert rotation</x:v>
      </x:c>
      <x:c r="F11" s="22" t="str">
        <x:v>Network</x:v>
      </x:c>
      <x:c r="G11" s="22" t="str">
        <x:v>Logs</x:v>
      </x:c>
      <x:c r="H11" s="22" t="str">
        <x:v>N/A</x:v>
      </x:c>
      <x:c r="I11" s="22" t="str">
        <x:v>Managed certs</x:v>
      </x:c>
      <x:c r="J11" s="22" t="str">
        <x:v>Reject insecure</x:v>
      </x:c>
      <x:c r="K11" s="22" t="str">
        <x:v>N/A</x:v>
      </x:c>
      <x:c r="L11" s="22" t="str">
        <x:v>Yes</x:v>
      </x:c>
      <x:c r="M11" s="22" t="str">
        <x:v>Critical</x:v>
      </x:c>
      <x:c r="N11" s="22" t="str">
        <x:v>Platform</x:v>
      </x:c>
      <x:c r="O11" s="38" t="str"/>
    </x:row>
    <x:row r="12">
      <x:c r="A12" s="37" t="str">
        <x:v>Sensitive data minimization</x:v>
      </x:c>
      <x:c r="B12" s="22" t="str">
        <x:v>Wallet/user mapping</x:v>
      </x:c>
      <x:c r="C12" s="22" t="str">
        <x:v>Store only required identifiers</x:v>
      </x:c>
      <x:c r="D12" s="22" t="str">
        <x:v>Schema review</x:v>
      </x:c>
      <x:c r="E12" s="22" t="str">
        <x:v>N/A</x:v>
      </x:c>
      <x:c r="F12" s="22" t="str">
        <x:v>Identity</x:v>
      </x:c>
      <x:c r="G12" s="22" t="str">
        <x:v>Yes</x:v>
      </x:c>
      <x:c r="H12" s="22" t="str">
        <x:v>N/A</x:v>
      </x:c>
      <x:c r="I12" s="22" t="str">
        <x:v>No unnecessary PII</x:v>
      </x:c>
      <x:c r="J12" s="22" t="str">
        <x:v>Do not collect</x:v>
      </x:c>
      <x:c r="K12" s="22" t="str">
        <x:v>N/A</x:v>
      </x:c>
      <x:c r="L12" s="22" t="str">
        <x:v>Yes</x:v>
      </x:c>
      <x:c r="M12" s="22" t="str">
        <x:v>High</x:v>
      </x:c>
      <x:c r="N12" s="22" t="str">
        <x:v>Identity</x:v>
      </x:c>
      <x:c r="O12" s="38" t="str"/>
    </x:row>
    <x:row r="13">
      <x:c r="A13" s="39" t="str">
        <x:v>Admin mutation guard</x:v>
      </x:c>
      <x:c r="B13" s="40" t="str">
        <x:v>Cash/rep/rewards</x:v>
      </x:c>
      <x:c r="C13" s="40" t="str">
        <x:v>No direct DB editing; privileged command with reason</x:v>
      </x:c>
      <x:c r="D13" s="40" t="str">
        <x:v>Validation + audit ledger</x:v>
      </x:c>
      <x:c r="E13" s="40" t="str">
        <x:v>N/A</x:v>
      </x:c>
      <x:c r="F13" s="40" t="str">
        <x:v>Admin</x:v>
      </x:c>
      <x:c r="G13" s="40" t="str">
        <x:v>Yes</x:v>
      </x:c>
      <x:c r="H13" s="40" t="str">
        <x:v>Strict</x:v>
      </x:c>
      <x:c r="I13" s="40" t="str">
        <x:v>No DB creds for routine ops</x:v>
      </x:c>
      <x:c r="J13" s="40" t="str">
        <x:v>Reject outside command path</x:v>
      </x:c>
      <x:c r="K13" s="40" t="str">
        <x:v>Idempotent admin request</x:v>
      </x:c>
      <x:c r="L13" s="40" t="str">
        <x:v>Yes</x:v>
      </x:c>
      <x:c r="M13" s="40" t="str">
        <x:v>Critical</x:v>
      </x:c>
      <x:c r="N13" s="40" t="str">
        <x:v>Platform</x:v>
      </x:c>
      <x:c r="O13" s="41" t="str"/>
    </x:row>
    <x:row r="14">
      <x:c r="A14" s="92" t="str">
        <x:v>Module effect allowlist</x:v>
      </x:c>
      <x:c r="B14" s="93" t="str">
        <x:v>Module configs/runtime</x:v>
      </x:c>
      <x:c r="C14" s="93" t="str">
        <x:v>Schema allowlist for effect_type/operation/conditions; no arbitrary executable expressions</x:v>
      </x:c>
      <x:c r="D14" s="93" t="str">
        <x:v>Validate config on publish and load</x:v>
      </x:c>
      <x:c r="E14" s="93" t="str">
        <x:v>Versioned</x:v>
      </x:c>
      <x:c r="F14" s="93" t="str">
        <x:v>Game Systems</x:v>
      </x:c>
      <x:c r="G14" s="93" t="str">
        <x:v>Yes</x:v>
      </x:c>
      <x:c r="H14" s="93" t="str">
        <x:v>N/A</x:v>
      </x:c>
      <x:c r="I14" s="93" t="str">
        <x:v>Config signing/store</x:v>
      </x:c>
      <x:c r="J14" s="93" t="str">
        <x:v>Reject invalid config</x:v>
      </x:c>
      <x:c r="K14" s="93" t="str">
        <x:v>Version hash</x:v>
      </x:c>
      <x:c r="L14" s="93" t="str">
        <x:v>Yes</x:v>
      </x:c>
      <x:c r="M14" s="93" t="str">
        <x:v>Critical</x:v>
      </x:c>
      <x:c r="N14" s="93" t="str">
        <x:v>Game Systems</x:v>
      </x:c>
      <x:c r="O14" s="94" t="str">
        <x:v>Prevents config-as-code injection</x:v>
      </x:c>
    </x:row>
    <x:row r="15">
      <x:c r="A15" s="95" t="str">
        <x:v>Module reward authority</x:v>
      </x:c>
      <x:c r="B15" s="96" t="str">
        <x:v>Grant/craft/mastery/Hunt/Event rewards</x:v>
      </x:c>
      <x:c r="C15" s="96" t="str">
        <x:v>Service-only grant commands with unique source_event</x:v>
      </x:c>
      <x:c r="D15" s="96" t="str">
        <x:v>Verify source service + eligibility</x:v>
      </x:c>
      <x:c r="E15" s="96" t="str">
        <x:v>N/A</x:v>
      </x:c>
      <x:c r="F15" s="96" t="str">
        <x:v>Reward/Module roles</x:v>
      </x:c>
      <x:c r="G15" s="96" t="str">
        <x:v>Yes</x:v>
      </x:c>
      <x:c r="H15" s="96" t="str">
        <x:v>Strict</x:v>
      </x:c>
      <x:c r="I15" s="96" t="str">
        <x:v>No client secret</x:v>
      </x:c>
      <x:c r="J15" s="96" t="str">
        <x:v>403/fail closed</x:v>
      </x:c>
      <x:c r="K15" s="96" t="str">
        <x:v>Idempotent source_event</x:v>
      </x:c>
      <x:c r="L15" s="96" t="str">
        <x:v>Yes</x:v>
      </x:c>
      <x:c r="M15" s="96" t="str">
        <x:v>Critical</x:v>
      </x:c>
      <x:c r="N15" s="96" t="str">
        <x:v>Reward</x:v>
      </x:c>
      <x:c r="O15" s="97" t="str">
        <x:v>Client cannot self-grant Modules or Parts</x:v>
      </x:c>
    </x:row>
    <x:row r="16">
      <x:c r="A16" s="98" t="str">
        <x:v>Module admin changes</x:v>
      </x:c>
      <x:c r="B16" s="99" t="str">
        <x:v>Live Ops content</x:v>
      </x:c>
      <x:c r="C16" s="99" t="str">
        <x:v>RBAC + approved immutable config publish</x:v>
      </x:c>
      <x:c r="D16" s="99" t="str">
        <x:v>Validate caps, cash-pack rules, no direct score/PLOT fields</x:v>
      </x:c>
      <x:c r="E16" s="99" t="str">
        <x:v>Per publish</x:v>
      </x:c>
      <x:c r="F16" s="99" t="str">
        <x:v>Live Ops/Game Systems</x:v>
      </x:c>
      <x:c r="G16" s="99" t="str">
        <x:v>Yes</x:v>
      </x:c>
      <x:c r="H16" s="99" t="str">
        <x:v>Strict</x:v>
      </x:c>
      <x:c r="I16" s="99" t="str">
        <x:v>SSO-managed</x:v>
      </x:c>
      <x:c r="J16" s="99" t="str">
        <x:v>Reject publish</x:v>
      </x:c>
      <x:c r="K16" s="99" t="str">
        <x:v>Config version hash</x:v>
      </x:c>
      <x:c r="L16" s="99" t="str">
        <x:v>Yes</x:v>
      </x:c>
      <x:c r="M16" s="99" t="str">
        <x:v>High</x:v>
      </x:c>
      <x:c r="N16" s="99" t="str">
        <x:v>Game Systems</x:v>
      </x:c>
      <x:c r="O16" s="100" t="str">
        <x:v>Production changes audited</x:v>
      </x:c>
    </x:row>
  </x:sheetData>
  <x:mergeCells>
    <x:mergeCell ref="A1:O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Deployment Topology &amp; Service Scaling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</x:row>
    <x:row r="3">
      <x:c r="A3" s="14" t="str">
        <x:v>Component</x:v>
      </x:c>
      <x:c r="B3" s="14" t="str">
        <x:v>MVP Deployment</x:v>
      </x:c>
      <x:c r="C3" s="14" t="str">
        <x:v>Scale Trigger</x:v>
      </x:c>
      <x:c r="D3" s="14" t="str">
        <x:v>Scale Strategy</x:v>
      </x:c>
      <x:c r="E3" s="14" t="str">
        <x:v>Stateful?</x:v>
      </x:c>
      <x:c r="F3" s="14" t="str">
        <x:v>Autoscale Metric</x:v>
      </x:c>
      <x:c r="G3" s="14" t="str">
        <x:v>Min Replicas</x:v>
      </x:c>
      <x:c r="H3" s="14" t="str">
        <x:v>Max Replicas</x:v>
      </x:c>
      <x:c r="I3" s="14" t="str">
        <x:v>HA Requirement</x:v>
      </x:c>
      <x:c r="J3" s="14" t="str">
        <x:v>Cross-Zone?</x:v>
      </x:c>
      <x:c r="K3" s="14" t="str">
        <x:v>Blue/Green?</x:v>
      </x:c>
      <x:c r="L3" s="14" t="str">
        <x:v>Rollback Strategy</x:v>
      </x:c>
      <x:c r="M3" s="14" t="str">
        <x:v>Cost Sensitivity</x:v>
      </x:c>
      <x:c r="N3" s="14" t="str">
        <x:v>Priority</x:v>
      </x:c>
      <x:c r="O3" s="14" t="str">
        <x:v>Notes</x:v>
      </x:c>
    </x:row>
    <x:row r="4">
      <x:c r="A4" s="34" t="str">
        <x:v>API/BFF</x:v>
      </x:c>
      <x:c r="B4" s="35" t="str">
        <x:v>Stateless containers</x:v>
      </x:c>
      <x:c r="C4" s="35" t="str">
        <x:v>p95 latency / CPU / RPS</x:v>
      </x:c>
      <x:c r="D4" s="35" t="str">
        <x:v>Horizontal</x:v>
      </x:c>
      <x:c r="E4" s="35" t="str">
        <x:v>No</x:v>
      </x:c>
      <x:c r="F4" s="35" t="str">
        <x:v>CPU + RPS</x:v>
      </x:c>
      <x:c r="G4" s="64" t="n">
        <x:v>2</x:v>
      </x:c>
      <x:c r="H4" s="64" t="n">
        <x:v>20</x:v>
      </x:c>
      <x:c r="I4" s="35" t="str">
        <x:v>High</x:v>
      </x:c>
      <x:c r="J4" s="35" t="str">
        <x:v>Yes</x:v>
      </x:c>
      <x:c r="K4" s="35" t="str">
        <x:v>Yes</x:v>
      </x:c>
      <x:c r="L4" s="35" t="str">
        <x:v>Previous image</x:v>
      </x:c>
      <x:c r="M4" s="35" t="str">
        <x:v>Medium</x:v>
      </x:c>
      <x:c r="N4" s="35" t="str">
        <x:v>P0</x:v>
      </x:c>
      <x:c r="O4" s="36" t="str"/>
    </x:row>
    <x:row r="5">
      <x:c r="A5" s="37" t="str">
        <x:v>Game Core modular monolith</x:v>
      </x:c>
      <x:c r="B5" s="22" t="str">
        <x:v>Stateless app + domain modules</x:v>
      </x:c>
      <x:c r="C5" s="22" t="str">
        <x:v>CPU/RPS/domain bottleneck</x:v>
      </x:c>
      <x:c r="D5" s="22" t="str">
        <x:v>Horizontal then split domains</x:v>
      </x:c>
      <x:c r="E5" s="22" t="str">
        <x:v>No</x:v>
      </x:c>
      <x:c r="F5" s="22" t="str">
        <x:v>CPU + queue backlog</x:v>
      </x:c>
      <x:c r="G5" s="65" t="n">
        <x:v>2</x:v>
      </x:c>
      <x:c r="H5" s="65" t="n">
        <x:v>20</x:v>
      </x:c>
      <x:c r="I5" s="22" t="str">
        <x:v>High</x:v>
      </x:c>
      <x:c r="J5" s="22" t="str">
        <x:v>Yes</x:v>
      </x:c>
      <x:c r="K5" s="22" t="str">
        <x:v>Yes</x:v>
      </x:c>
      <x:c r="L5" s="22" t="str">
        <x:v>Previous image/config</x:v>
      </x:c>
      <x:c r="M5" s="22" t="str">
        <x:v>Medium</x:v>
      </x:c>
      <x:c r="N5" s="22" t="str">
        <x:v>P0</x:v>
      </x:c>
      <x:c r="O5" s="38" t="str"/>
    </x:row>
    <x:row r="6">
      <x:c r="A6" s="37" t="str">
        <x:v>Worker pool: Economy</x:v>
      </x:c>
      <x:c r="B6" s="22" t="str">
        <x:v>Dedicated workers</x:v>
      </x:c>
      <x:c r="C6" s="22" t="str">
        <x:v>tick lag</x:v>
      </x:c>
      <x:c r="D6" s="22" t="str">
        <x:v>Horizontal by player shard</x:v>
      </x:c>
      <x:c r="E6" s="22" t="str">
        <x:v>No local state</x:v>
      </x:c>
      <x:c r="F6" s="22" t="str">
        <x:v>Queue lag</x:v>
      </x:c>
      <x:c r="G6" s="65" t="n">
        <x:v>2</x:v>
      </x:c>
      <x:c r="H6" s="65" t="n">
        <x:v>50</x:v>
      </x:c>
      <x:c r="I6" s="22" t="str">
        <x:v>Critical</x:v>
      </x:c>
      <x:c r="J6" s="22" t="str">
        <x:v>Yes</x:v>
      </x:c>
      <x:c r="K6" s="22" t="str">
        <x:v>Rolling</x:v>
      </x:c>
      <x:c r="L6" s="22" t="str">
        <x:v>Previous image</x:v>
      </x:c>
      <x:c r="M6" s="22" t="str">
        <x:v>High</x:v>
      </x:c>
      <x:c r="N6" s="22" t="str">
        <x:v>P0</x:v>
      </x:c>
      <x:c r="O6" s="38" t="str"/>
    </x:row>
    <x:row r="7">
      <x:c r="A7" s="37" t="str">
        <x:v>Worker pool: Customer/Risk</x:v>
      </x:c>
      <x:c r="B7" s="22" t="str">
        <x:v>Dedicated workers</x:v>
      </x:c>
      <x:c r="C7" s="22" t="str">
        <x:v>refresh lag</x:v>
      </x:c>
      <x:c r="D7" s="22" t="str">
        <x:v>Horizontal</x:v>
      </x:c>
      <x:c r="E7" s="22" t="str">
        <x:v>No local state</x:v>
      </x:c>
      <x:c r="F7" s="22" t="str">
        <x:v>Queue lag</x:v>
      </x:c>
      <x:c r="G7" s="65" t="n">
        <x:v>2</x:v>
      </x:c>
      <x:c r="H7" s="65" t="n">
        <x:v>30</x:v>
      </x:c>
      <x:c r="I7" s="22" t="str">
        <x:v>High</x:v>
      </x:c>
      <x:c r="J7" s="22" t="str">
        <x:v>Yes</x:v>
      </x:c>
      <x:c r="K7" s="22" t="str">
        <x:v>Rolling</x:v>
      </x:c>
      <x:c r="L7" s="22" t="str">
        <x:v>Previous image</x:v>
      </x:c>
      <x:c r="M7" s="22" t="str">
        <x:v>Medium</x:v>
      </x:c>
      <x:c r="N7" s="22" t="str">
        <x:v>P0</x:v>
      </x:c>
      <x:c r="O7" s="38" t="str"/>
    </x:row>
    <x:row r="8">
      <x:c r="A8" s="37" t="str">
        <x:v>Event/Hunt workers</x:v>
      </x:c>
      <x:c r="B8" s="22" t="str">
        <x:v>Shared or separate workers</x:v>
      </x:c>
      <x:c r="C8" s="22" t="str">
        <x:v>scheduler lag</x:v>
      </x:c>
      <x:c r="D8" s="22" t="str">
        <x:v>Horizontal</x:v>
      </x:c>
      <x:c r="E8" s="22" t="str">
        <x:v>No local state</x:v>
      </x:c>
      <x:c r="F8" s="22" t="str">
        <x:v>Queue lag</x:v>
      </x:c>
      <x:c r="G8" s="65" t="n">
        <x:v>2</x:v>
      </x:c>
      <x:c r="H8" s="65" t="n">
        <x:v>20</x:v>
      </x:c>
      <x:c r="I8" s="22" t="str">
        <x:v>High</x:v>
      </x:c>
      <x:c r="J8" s="22" t="str">
        <x:v>Yes</x:v>
      </x:c>
      <x:c r="K8" s="22" t="str">
        <x:v>Rolling</x:v>
      </x:c>
      <x:c r="L8" s="22" t="str">
        <x:v>Previous image</x:v>
      </x:c>
      <x:c r="M8" s="22" t="str">
        <x:v>Low/Medium</x:v>
      </x:c>
      <x:c r="N8" s="22" t="str">
        <x:v>P0</x:v>
      </x:c>
      <x:c r="O8" s="38" t="str"/>
    </x:row>
    <x:row r="9">
      <x:c r="A9" s="37" t="str">
        <x:v>Settlement workers</x:v>
      </x:c>
      <x:c r="B9" s="22" t="str">
        <x:v>Dedicated restricted job</x:v>
      </x:c>
      <x:c r="C9" s="22" t="str">
        <x:v>Settlement SLA</x:v>
      </x:c>
      <x:c r="D9" s="22" t="str">
        <x:v>Batch shards</x:v>
      </x:c>
      <x:c r="E9" s="22" t="str">
        <x:v>No local state</x:v>
      </x:c>
      <x:c r="F9" s="22" t="str">
        <x:v>Job progress</x:v>
      </x:c>
      <x:c r="G9" s="65" t="n">
        <x:v>1</x:v>
      </x:c>
      <x:c r="H9" s="65" t="n">
        <x:v>20</x:v>
      </x:c>
      <x:c r="I9" s="22" t="str">
        <x:v>Critical</x:v>
      </x:c>
      <x:c r="J9" s="22" t="str">
        <x:v>Yes</x:v>
      </x:c>
      <x:c r="K9" s="22" t="str">
        <x:v>Controlled</x:v>
      </x:c>
      <x:c r="L9" s="22" t="str">
        <x:v>Previous version + rerun phase</x:v>
      </x:c>
      <x:c r="M9" s="22" t="str">
        <x:v>Low frequency</x:v>
      </x:c>
      <x:c r="N9" s="22" t="str">
        <x:v>P0</x:v>
      </x:c>
      <x:c r="O9" s="38" t="str"/>
    </x:row>
    <x:row r="10">
      <x:c r="A10" s="37" t="str">
        <x:v>Relational DB</x:v>
      </x:c>
      <x:c r="B10" s="22" t="str">
        <x:v>Managed primary + replica</x:v>
      </x:c>
      <x:c r="C10" s="22" t="str">
        <x:v>CPU/IO/storage/locks</x:v>
      </x:c>
      <x:c r="D10" s="22" t="str">
        <x:v>Vertical + read replicas + partitioning</x:v>
      </x:c>
      <x:c r="E10" s="22" t="str">
        <x:v>Yes</x:v>
      </x:c>
      <x:c r="F10" s="22" t="str">
        <x:v>Provider metrics</x:v>
      </x:c>
      <x:c r="G10" s="65" t="n">
        <x:v>1</x:v>
      </x:c>
      <x:c r="H10" s="65" t="n">
        <x:v>1</x:v>
      </x:c>
      <x:c r="I10" s="22" t="str">
        <x:v>Critical</x:v>
      </x:c>
      <x:c r="J10" s="22" t="str">
        <x:v>Multi-zone</x:v>
      </x:c>
      <x:c r="K10" s="22" t="str">
        <x:v>Managed</x:v>
      </x:c>
      <x:c r="L10" s="22" t="str">
        <x:v>Point-in-time restore/failover</x:v>
      </x:c>
      <x:c r="M10" s="22" t="str">
        <x:v>High</x:v>
      </x:c>
      <x:c r="N10" s="22" t="str">
        <x:v>P0</x:v>
      </x:c>
      <x:c r="O10" s="38" t="str"/>
    </x:row>
    <x:row r="11">
      <x:c r="A11" s="37" t="str">
        <x:v>Cache</x:v>
      </x:c>
      <x:c r="B11" s="22" t="str">
        <x:v>Managed Redis-compatible cluster</x:v>
      </x:c>
      <x:c r="C11" s="22" t="str">
        <x:v>Memory/ops/latency</x:v>
      </x:c>
      <x:c r="D11" s="22" t="str">
        <x:v>Cluster/shard</x:v>
      </x:c>
      <x:c r="E11" s="22" t="str">
        <x:v>Yes ephemeral</x:v>
      </x:c>
      <x:c r="F11" s="22" t="str">
        <x:v>Ops/memory</x:v>
      </x:c>
      <x:c r="G11" s="65" t="n">
        <x:v>2</x:v>
      </x:c>
      <x:c r="H11" s="65" t="n">
        <x:v>10</x:v>
      </x:c>
      <x:c r="I11" s="22" t="str">
        <x:v>High</x:v>
      </x:c>
      <x:c r="J11" s="22" t="str">
        <x:v>Yes</x:v>
      </x:c>
      <x:c r="K11" s="22" t="str">
        <x:v>Managed</x:v>
      </x:c>
      <x:c r="L11" s="22" t="str">
        <x:v>Fail to DB</x:v>
      </x:c>
      <x:c r="M11" s="22" t="str">
        <x:v>Medium</x:v>
      </x:c>
      <x:c r="N11" s="22" t="str">
        <x:v>P0</x:v>
      </x:c>
      <x:c r="O11" s="38" t="str"/>
    </x:row>
    <x:row r="12">
      <x:c r="A12" s="37" t="str">
        <x:v>Queue/Stream</x:v>
      </x:c>
      <x:c r="B12" s="22" t="str">
        <x:v>Managed durable service</x:v>
      </x:c>
      <x:c r="C12" s="22" t="str">
        <x:v>lag/throughput</x:v>
      </x:c>
      <x:c r="D12" s="22" t="str">
        <x:v>Partitions/workers</x:v>
      </x:c>
      <x:c r="E12" s="22" t="str">
        <x:v>Yes durable</x:v>
      </x:c>
      <x:c r="F12" s="22" t="str">
        <x:v>Lag/throughput</x:v>
      </x:c>
      <x:c r="G12" s="65" t="str">
        <x:v>N/A</x:v>
      </x:c>
      <x:c r="H12" s="65" t="str">
        <x:v>N/A</x:v>
      </x:c>
      <x:c r="I12" s="22" t="str">
        <x:v>Critical</x:v>
      </x:c>
      <x:c r="J12" s="22" t="str">
        <x:v>Provider HA</x:v>
      </x:c>
      <x:c r="K12" s="22" t="str">
        <x:v>Managed</x:v>
      </x:c>
      <x:c r="L12" s="22" t="str">
        <x:v>Replay/DLQ</x:v>
      </x:c>
      <x:c r="M12" s="22" t="str">
        <x:v>Medium</x:v>
      </x:c>
      <x:c r="N12" s="22" t="str">
        <x:v>P0</x:v>
      </x:c>
      <x:c r="O12" s="38" t="str"/>
    </x:row>
    <x:row r="13">
      <x:c r="A13" s="37" t="str">
        <x:v>Analytics warehouse</x:v>
      </x:c>
      <x:c r="B13" s="22" t="str">
        <x:v>Managed warehouse</x:v>
      </x:c>
      <x:c r="C13" s="22" t="str">
        <x:v>Event volume/query cost</x:v>
      </x:c>
      <x:c r="D13" s="22" t="str">
        <x:v>Partition/storage</x:v>
      </x:c>
      <x:c r="E13" s="22" t="str">
        <x:v>Yes</x:v>
      </x:c>
      <x:c r="F13" s="22" t="str">
        <x:v>Cost/query</x:v>
      </x:c>
      <x:c r="G13" s="65" t="str">
        <x:v>N/A</x:v>
      </x:c>
      <x:c r="H13" s="65" t="str">
        <x:v>N/A</x:v>
      </x:c>
      <x:c r="I13" s="22" t="str">
        <x:v>Medium</x:v>
      </x:c>
      <x:c r="J13" s="22" t="str">
        <x:v>Provider</x:v>
      </x:c>
      <x:c r="K13" s="22" t="str">
        <x:v>N/A</x:v>
      </x:c>
      <x:c r="L13" s="22" t="str">
        <x:v>Rebuild from raw events</x:v>
      </x:c>
      <x:c r="M13" s="22" t="str">
        <x:v>Medium</x:v>
      </x:c>
      <x:c r="N13" s="22" t="str">
        <x:v>P1</x:v>
      </x:c>
      <x:c r="O13" s="38" t="str"/>
    </x:row>
    <x:row r="14">
      <x:c r="A14" s="39" t="str">
        <x:v>Chain listener</x:v>
      </x:c>
      <x:c r="B14" s="40" t="str">
        <x:v>Dedicated stateless + cursor store</x:v>
      </x:c>
      <x:c r="C14" s="40" t="str">
        <x:v>event lag/provider limits</x:v>
      </x:c>
      <x:c r="D14" s="40" t="str">
        <x:v>Multiple providers/instances</x:v>
      </x:c>
      <x:c r="E14" s="40" t="str">
        <x:v>Cursor state external</x:v>
      </x:c>
      <x:c r="F14" s="40" t="str">
        <x:v>Block lag</x:v>
      </x:c>
      <x:c r="G14" s="66" t="n">
        <x:v>2</x:v>
      </x:c>
      <x:c r="H14" s="66" t="n">
        <x:v>6</x:v>
      </x:c>
      <x:c r="I14" s="40" t="str">
        <x:v>Critical</x:v>
      </x:c>
      <x:c r="J14" s="40" t="str">
        <x:v>Yes</x:v>
      </x:c>
      <x:c r="K14" s="40" t="str">
        <x:v>Rolling</x:v>
      </x:c>
      <x:c r="L14" s="40" t="str">
        <x:v>Replay cursor</x:v>
      </x:c>
      <x:c r="M14" s="40" t="str">
        <x:v>Low</x:v>
      </x:c>
      <x:c r="N14" s="40" t="str">
        <x:v>P1</x:v>
      </x:c>
      <x:c r="O14" s="41" t="str"/>
    </x:row>
    <x:row r="15">
      <x:c r="A15" s="92" t="str">
        <x:v>Module domain in Game Core</x:v>
      </x:c>
      <x:c r="B15" s="93" t="str">
        <x:v>MVP domain module inside modular monolith</x:v>
      </x:c>
      <x:c r="C15" s="93" t="str">
        <x:v>resolver CPU / inventory API RPS / operational risk</x:v>
      </x:c>
      <x:c r="D15" s="93" t="str">
        <x:v>Horizontal with Game Core; split service later if needed</x:v>
      </x:c>
      <x:c r="E15" s="93" t="str">
        <x:v>No local state</x:v>
      </x:c>
      <x:c r="F15" s="93" t="str">
        <x:v>CPU + mutation RPS</x:v>
      </x:c>
      <x:c r="G15" s="93" t="n">
        <x:v>2</x:v>
      </x:c>
      <x:c r="H15" s="93" t="n">
        <x:v>20</x:v>
      </x:c>
      <x:c r="I15" s="93" t="str">
        <x:v>High</x:v>
      </x:c>
      <x:c r="J15" s="93" t="str">
        <x:v>Yes</x:v>
      </x:c>
      <x:c r="K15" s="93" t="str">
        <x:v>Yes</x:v>
      </x:c>
      <x:c r="L15" s="93" t="str">
        <x:v>Previous image/config pointer</x:v>
      </x:c>
      <x:c r="M15" s="93" t="str">
        <x:v>Low/Medium</x:v>
      </x:c>
      <x:c r="N15" s="93" t="str">
        <x:v>P0</x:v>
      </x:c>
      <x:c r="O15" s="94" t="str">
        <x:v>Keep effect resolution in-process near economy/customer/risk to avoid network hop</x:v>
      </x:c>
    </x:row>
    <x:row r="16">
      <x:c r="A16" s="98" t="str">
        <x:v>Module craft/mastery workers</x:v>
      </x:c>
      <x:c r="B16" s="99" t="str">
        <x:v>Shared async worker pool initially</x:v>
      </x:c>
      <x:c r="C16" s="99" t="str">
        <x:v>craft/mastery queue lag</x:v>
      </x:c>
      <x:c r="D16" s="99" t="str">
        <x:v>Horizontal by player shard</x:v>
      </x:c>
      <x:c r="E16" s="99" t="str">
        <x:v>No local state</x:v>
      </x:c>
      <x:c r="F16" s="99" t="str">
        <x:v>Queue lag</x:v>
      </x:c>
      <x:c r="G16" s="99" t="n">
        <x:v>1</x:v>
      </x:c>
      <x:c r="H16" s="99" t="n">
        <x:v>20</x:v>
      </x:c>
      <x:c r="I16" s="99" t="str">
        <x:v>Medium/High</x:v>
      </x:c>
      <x:c r="J16" s="99" t="str">
        <x:v>Yes</x:v>
      </x:c>
      <x:c r="K16" s="99" t="str">
        <x:v>Rolling</x:v>
      </x:c>
      <x:c r="L16" s="99" t="str">
        <x:v>Previous image; replay queue</x:v>
      </x:c>
      <x:c r="M16" s="99" t="str">
        <x:v>Low</x:v>
      </x:c>
      <x:c r="N16" s="99" t="str">
        <x:v>P1/P2</x:v>
      </x:c>
      <x:c r="O16" s="100" t="str">
        <x:v>Can share Event/Hunt workers early</x:v>
      </x:c>
    </x:row>
  </x:sheetData>
  <x:mergeCells>
    <x:mergeCell ref="A1:O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Game Config Versioning, Schema Migration &amp; Deterministic Replay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22"/>
      <x:c r="Q1" s="22"/>
    </x:row>
    <x:row r="3">
      <x:c r="A3" s="14" t="str">
        <x:v>Versioned Artifact</x:v>
      </x:c>
      <x:c r="B3" s="14" t="str">
        <x:v>Version Key</x:v>
      </x:c>
      <x:c r="C3" s="14" t="str">
        <x:v>When Pinned</x:v>
      </x:c>
      <x:c r="D3" s="14" t="str">
        <x:v>Can Change Mid-Epoch?</x:v>
      </x:c>
      <x:c r="E3" s="14" t="str">
        <x:v>Replay Uses Old Version?</x:v>
      </x:c>
      <x:c r="F3" s="14" t="str">
        <x:v>Migration Strategy</x:v>
      </x:c>
      <x:c r="G3" s="14" t="str">
        <x:v>Backward Compatible?</x:v>
      </x:c>
      <x:c r="H3" s="14" t="str">
        <x:v>Rollback</x:v>
      </x:c>
      <x:c r="I3" s="14" t="str">
        <x:v>Data Backfill?</x:v>
      </x:c>
      <x:c r="J3" s="14" t="str">
        <x:v>Audit Required?</x:v>
      </x:c>
      <x:c r="K3" s="14" t="str">
        <x:v>Player Visible?</x:v>
      </x:c>
      <x:c r="L3" s="14" t="str">
        <x:v>Settlement Risk</x:v>
      </x:c>
      <x:c r="M3" s="14" t="str">
        <x:v>MVP?</x:v>
      </x:c>
      <x:c r="N3" s="14" t="str">
        <x:v>Owner</x:v>
      </x:c>
      <x:c r="O3" s="14" t="str">
        <x:v>Notes</x:v>
      </x:c>
    </x:row>
    <x:row r="4">
      <x:c r="A4" s="34" t="str">
        <x:v>Building balance config</x:v>
      </x:c>
      <x:c r="B4" s="35" t="str">
        <x:v>building_balance_v</x:v>
      </x:c>
      <x:c r="C4" s="35" t="str">
        <x:v>At action/tick</x:v>
      </x:c>
      <x:c r="D4" s="35" t="str">
        <x:v>Yes prospectively; never rewrite past ledger</x:v>
      </x:c>
      <x:c r="E4" s="35" t="str">
        <x:v>Yes</x:v>
      </x:c>
      <x:c r="F4" s="35" t="str">
        <x:v>Publish immutable config rows</x:v>
      </x:c>
      <x:c r="G4" s="35" t="str">
        <x:v>Yes</x:v>
      </x:c>
      <x:c r="H4" s="35" t="str">
        <x:v>Switch active pointer</x:v>
      </x:c>
      <x:c r="I4" s="35" t="str">
        <x:v>Only derived caches</x:v>
      </x:c>
      <x:c r="J4" s="35" t="str">
        <x:v>Yes</x:v>
      </x:c>
      <x:c r="K4" s="35" t="str">
        <x:v>Indirect</x:v>
      </x:c>
      <x:c r="L4" s="35" t="str">
        <x:v>High</x:v>
      </x:c>
      <x:c r="M4" s="35" t="str">
        <x:v>Yes</x:v>
      </x:c>
      <x:c r="N4" s="35" t="str">
        <x:v>Game Systems</x:v>
      </x:c>
      <x:c r="O4" s="36" t="str"/>
    </x:row>
    <x:row r="5">
      <x:c r="A5" s="37" t="str">
        <x:v>Customer/economy config</x:v>
      </x:c>
      <x:c r="B5" s="22" t="str">
        <x:v>economy_config_v</x:v>
      </x:c>
      <x:c r="C5" s="22" t="str">
        <x:v>Per tick</x:v>
      </x:c>
      <x:c r="D5" s="22" t="str">
        <x:v>Yes prospectively</x:v>
      </x:c>
      <x:c r="E5" s="22" t="str">
        <x:v>Yes</x:v>
      </x:c>
      <x:c r="F5" s="22" t="str">
        <x:v>Immutable config + effective_at</x:v>
      </x:c>
      <x:c r="G5" s="22" t="str">
        <x:v>Yes</x:v>
      </x:c>
      <x:c r="H5" s="22" t="str">
        <x:v>Pointer rollback</x:v>
      </x:c>
      <x:c r="I5" s="22" t="str">
        <x:v>Recompute if bug</x:v>
      </x:c>
      <x:c r="J5" s="22" t="str">
        <x:v>Yes</x:v>
      </x:c>
      <x:c r="K5" s="22" t="str">
        <x:v>Indirect</x:v>
      </x:c>
      <x:c r="L5" s="22" t="str">
        <x:v>Critical</x:v>
      </x:c>
      <x:c r="M5" s="22" t="str">
        <x:v>Yes</x:v>
      </x:c>
      <x:c r="N5" s="22" t="str">
        <x:v>Economy</x:v>
      </x:c>
      <x:c r="O5" s="38" t="str"/>
    </x:row>
    <x:row r="6">
      <x:c r="A6" s="37" t="str">
        <x:v>Risk config</x:v>
      </x:c>
      <x:c r="B6" s="22" t="str">
        <x:v>risk_config_v</x:v>
      </x:c>
      <x:c r="C6" s="22" t="str">
        <x:v>Per evaluation</x:v>
      </x:c>
      <x:c r="D6" s="22" t="str">
        <x:v>Yes prospectively</x:v>
      </x:c>
      <x:c r="E6" s="22" t="str">
        <x:v>Yes</x:v>
      </x:c>
      <x:c r="F6" s="22" t="str">
        <x:v>Immutable versions</x:v>
      </x:c>
      <x:c r="G6" s="22" t="str">
        <x:v>Yes</x:v>
      </x:c>
      <x:c r="H6" s="22" t="str">
        <x:v>Pointer rollback</x:v>
      </x:c>
      <x:c r="I6" s="22" t="str">
        <x:v>Re-evaluate current/future</x:v>
      </x:c>
      <x:c r="J6" s="22" t="str">
        <x:v>Yes</x:v>
      </x:c>
      <x:c r="K6" s="22" t="str">
        <x:v>Yes</x:v>
      </x:c>
      <x:c r="L6" s="22" t="str">
        <x:v>Critical</x:v>
      </x:c>
      <x:c r="M6" s="22" t="str">
        <x:v>Yes</x:v>
      </x:c>
      <x:c r="N6" s="22" t="str">
        <x:v>Risk</x:v>
      </x:c>
      <x:c r="O6" s="38" t="str"/>
    </x:row>
    <x:row r="7">
      <x:c r="A7" s="37" t="str">
        <x:v>Event config</x:v>
      </x:c>
      <x:c r="B7" s="22" t="str">
        <x:v>event_config_v</x:v>
      </x:c>
      <x:c r="C7" s="22" t="str">
        <x:v>At event creation</x:v>
      </x:c>
      <x:c r="D7" s="22" t="str">
        <x:v>No for active event unless explicit migration</x:v>
      </x:c>
      <x:c r="E7" s="22" t="str">
        <x:v>Yes</x:v>
      </x:c>
      <x:c r="F7" s="22" t="str">
        <x:v>Event instance stores version</x:v>
      </x:c>
      <x:c r="G7" s="22" t="str">
        <x:v>Yes</x:v>
      </x:c>
      <x:c r="H7" s="22" t="str">
        <x:v>New events use rollback version</x:v>
      </x:c>
      <x:c r="I7" s="22" t="str">
        <x:v>No normally</x:v>
      </x:c>
      <x:c r="J7" s="22" t="str">
        <x:v>Yes</x:v>
      </x:c>
      <x:c r="K7" s="22" t="str">
        <x:v>Yes</x:v>
      </x:c>
      <x:c r="L7" s="22" t="str">
        <x:v>Medium</x:v>
      </x:c>
      <x:c r="M7" s="22" t="str">
        <x:v>Yes</x:v>
      </x:c>
      <x:c r="N7" s="22" t="str">
        <x:v>Live Ops</x:v>
      </x:c>
      <x:c r="O7" s="38" t="str"/>
    </x:row>
    <x:row r="8">
      <x:c r="A8" s="37" t="str">
        <x:v>Hunt config</x:v>
      </x:c>
      <x:c r="B8" s="22" t="str">
        <x:v>hunt_config_v</x:v>
      </x:c>
      <x:c r="C8" s="22" t="str">
        <x:v>At assignment</x:v>
      </x:c>
      <x:c r="D8" s="22" t="str">
        <x:v>No for assigned Hunt except bug migration</x:v>
      </x:c>
      <x:c r="E8" s="22" t="str">
        <x:v>Yes</x:v>
      </x:c>
      <x:c r="F8" s="22" t="str">
        <x:v>Assignment stores template/version</x:v>
      </x:c>
      <x:c r="G8" s="22" t="str">
        <x:v>Yes</x:v>
      </x:c>
      <x:c r="H8" s="22" t="str">
        <x:v>New assignments rollback</x:v>
      </x:c>
      <x:c r="I8" s="22" t="str">
        <x:v>No normally</x:v>
      </x:c>
      <x:c r="J8" s="22" t="str">
        <x:v>Yes</x:v>
      </x:c>
      <x:c r="K8" s="22" t="str">
        <x:v>Yes</x:v>
      </x:c>
      <x:c r="L8" s="22" t="str">
        <x:v>High</x:v>
      </x:c>
      <x:c r="M8" s="22" t="str">
        <x:v>Yes</x:v>
      </x:c>
      <x:c r="N8" s="22" t="str">
        <x:v>Hunt</x:v>
      </x:c>
      <x:c r="O8" s="38" t="str"/>
    </x:row>
    <x:row r="9">
      <x:c r="A9" s="37" t="str">
        <x:v>Performance score config</x:v>
      </x:c>
      <x:c r="B9" s="22" t="str">
        <x:v>score_config_v</x:v>
      </x:c>
      <x:c r="C9" s="22" t="str">
        <x:v>At epoch open/snapshot</x:v>
      </x:c>
      <x:c r="D9" s="22" t="str">
        <x:v>No after epoch opens recommended</x:v>
      </x:c>
      <x:c r="E9" s="22" t="str">
        <x:v>Yes</x:v>
      </x:c>
      <x:c r="F9" s="22" t="str">
        <x:v>Epoch pins config</x:v>
      </x:c>
      <x:c r="G9" s="22" t="str">
        <x:v>Yes</x:v>
      </x:c>
      <x:c r="H9" s="22" t="str">
        <x:v>Next epoch rollback</x:v>
      </x:c>
      <x:c r="I9" s="22" t="str">
        <x:v>Correction only pre-final</x:v>
      </x:c>
      <x:c r="J9" s="22" t="str">
        <x:v>Yes</x:v>
      </x:c>
      <x:c r="K9" s="22" t="str">
        <x:v>Yes</x:v>
      </x:c>
      <x:c r="L9" s="22" t="str">
        <x:v>Critical</x:v>
      </x:c>
      <x:c r="M9" s="22" t="str">
        <x:v>Yes</x:v>
      </x:c>
      <x:c r="N9" s="22" t="str">
        <x:v>Performance</x:v>
      </x:c>
      <x:c r="O9" s="38" t="str"/>
    </x:row>
    <x:row r="10">
      <x:c r="A10" s="37" t="str">
        <x:v>League/payout config</x:v>
      </x:c>
      <x:c r="B10" s="22" t="str">
        <x:v>competition_config_v</x:v>
      </x:c>
      <x:c r="C10" s="22" t="str">
        <x:v>At epoch open</x:v>
      </x:c>
      <x:c r="D10" s="22" t="str">
        <x:v>No within epoch</x:v>
      </x:c>
      <x:c r="E10" s="22" t="str">
        <x:v>Yes</x:v>
      </x:c>
      <x:c r="F10" s="22" t="str">
        <x:v>Epoch config snapshot</x:v>
      </x:c>
      <x:c r="G10" s="22" t="str">
        <x:v>Yes</x:v>
      </x:c>
      <x:c r="H10" s="22" t="str">
        <x:v>Next epoch rollback</x:v>
      </x:c>
      <x:c r="I10" s="22" t="str">
        <x:v>No finalized rewrite</x:v>
      </x:c>
      <x:c r="J10" s="22" t="str">
        <x:v>Yes</x:v>
      </x:c>
      <x:c r="K10" s="22" t="str">
        <x:v>Yes</x:v>
      </x:c>
      <x:c r="L10" s="22" t="str">
        <x:v>Critical</x:v>
      </x:c>
      <x:c r="M10" s="22" t="str">
        <x:v>Yes</x:v>
      </x:c>
      <x:c r="N10" s="22" t="str">
        <x:v>Competition</x:v>
      </x:c>
      <x:c r="O10" s="38" t="str"/>
    </x:row>
    <x:row r="11">
      <x:c r="A11" s="37" t="str">
        <x:v>DB schema</x:v>
      </x:c>
      <x:c r="B11" s="22" t="str">
        <x:v>migration id</x:v>
      </x:c>
      <x:c r="C11" s="22" t="str">
        <x:v>Deploy</x:v>
      </x:c>
      <x:c r="D11" s="22" t="str">
        <x:v>N/A</x:v>
      </x:c>
      <x:c r="E11" s="22" t="str">
        <x:v>N/A</x:v>
      </x:c>
      <x:c r="F11" s="22" t="str">
        <x:v>Expand/contract migrations</x:v>
      </x:c>
      <x:c r="G11" s="22" t="str">
        <x:v>Required for rolling deploy</x:v>
      </x:c>
      <x:c r="H11" s="22" t="str">
        <x:v>App rollback compatible window</x:v>
      </x:c>
      <x:c r="I11" s="22" t="str">
        <x:v>Maybe</x:v>
      </x:c>
      <x:c r="J11" s="22" t="str">
        <x:v>Yes</x:v>
      </x:c>
      <x:c r="K11" s="22" t="str">
        <x:v>No</x:v>
      </x:c>
      <x:c r="L11" s="22" t="str">
        <x:v>Critical</x:v>
      </x:c>
      <x:c r="M11" s="22" t="str">
        <x:v>Yes</x:v>
      </x:c>
      <x:c r="N11" s="22" t="str">
        <x:v>Platform</x:v>
      </x:c>
      <x:c r="O11" s="38" t="str"/>
    </x:row>
    <x:row r="12">
      <x:c r="A12" s="39" t="str">
        <x:v>API schema</x:v>
      </x:c>
      <x:c r="B12" s="40" t="str">
        <x:v>api version</x:v>
      </x:c>
      <x:c r="C12" s="40" t="str">
        <x:v>Request</x:v>
      </x:c>
      <x:c r="D12" s="40" t="str">
        <x:v>N/A</x:v>
      </x:c>
      <x:c r="E12" s="40" t="str">
        <x:v>N/A</x:v>
      </x:c>
      <x:c r="F12" s="40" t="str">
        <x:v>Versioned endpoint or additive changes</x:v>
      </x:c>
      <x:c r="G12" s="40" t="str">
        <x:v>Yes</x:v>
      </x:c>
      <x:c r="H12" s="40" t="str">
        <x:v>Serve prior version</x:v>
      </x:c>
      <x:c r="I12" s="40" t="str">
        <x:v>No</x:v>
      </x:c>
      <x:c r="J12" s="40" t="str">
        <x:v>Yes</x:v>
      </x:c>
      <x:c r="K12" s="40" t="str">
        <x:v>Yes</x:v>
      </x:c>
      <x:c r="L12" s="40" t="str">
        <x:v>Medium</x:v>
      </x:c>
      <x:c r="M12" s="40" t="str">
        <x:v>Yes</x:v>
      </x:c>
      <x:c r="N12" s="40" t="str">
        <x:v>Platform</x:v>
      </x:c>
      <x:c r="O12" s="41" t="str"/>
    </x:row>
    <x:row r="14" ht="22" customHeight="1">
      <x:c r="A14" s="31" t="str">
        <x:v>Migration Sequence</x:v>
      </x:c>
      <x:c r="B14" s="31"/>
      <x:c r="C14" s="31"/>
      <x:c r="D14" s="31"/>
      <x:c r="E14" s="31"/>
      <x:c r="F14" s="31"/>
      <x:c r="G14" s="31"/>
      <x:c r="H14" s="31"/>
      <x:c r="I14" s="31"/>
      <x:c r="J14" s="31"/>
      <x:c r="K14" s="31"/>
      <x:c r="L14" s="31"/>
      <x:c r="M14" s="31"/>
      <x:c r="N14" s="31"/>
      <x:c r="O14" s="31"/>
    </x:row>
    <x:row r="15">
      <x:c r="A15" s="14" t="str">
        <x:v>Step</x:v>
      </x:c>
      <x:c r="B15" s="14" t="str">
        <x:v>Rule</x:v>
      </x:c>
    </x:row>
    <x:row r="16">
      <x:c r="A16" s="34" t="n">
        <x:v>1</x:v>
      </x:c>
      <x:c r="B16" s="36" t="str">
        <x:v>Add new nullable/additive schema first.</x:v>
      </x:c>
    </x:row>
    <x:row r="17">
      <x:c r="A17" s="37" t="n">
        <x:v>2</x:v>
      </x:c>
      <x:c r="B17" s="38" t="str">
        <x:v>Deploy code that can read old + new representations.</x:v>
      </x:c>
    </x:row>
    <x:row r="18">
      <x:c r="A18" s="37" t="n">
        <x:v>3</x:v>
      </x:c>
      <x:c r="B18" s="38" t="str">
        <x:v>Backfill asynchronously with checkpoints and idempotent batches.</x:v>
      </x:c>
    </x:row>
    <x:row r="19">
      <x:c r="A19" s="37" t="n">
        <x:v>4</x:v>
      </x:c>
      <x:c r="B19" s="38" t="str">
        <x:v>Switch writes to new representation behind config/feature flag.</x:v>
      </x:c>
    </x:row>
    <x:row r="20">
      <x:c r="A20" s="37" t="n">
        <x:v>5</x:v>
      </x:c>
      <x:c r="B20" s="38" t="str">
        <x:v>Observe and validate settlement/economy checks.</x:v>
      </x:c>
    </x:row>
    <x:row r="21">
      <x:c r="A21" s="39" t="n">
        <x:v>6</x:v>
      </x:c>
      <x:c r="B21" s="41" t="str">
        <x:v>Remove old fields only after rollback window closes.</x:v>
      </x:c>
    </x:row>
    <x:row r="22" ht="22" customHeight="1">
      <x:c r="A22" s="102" t="str">
        <x:v>Module Versioning Additions</x:v>
      </x:c>
      <x:c r="B22" s="102"/>
      <x:c r="C22" s="102"/>
      <x:c r="D22" s="102"/>
      <x:c r="E22" s="102"/>
      <x:c r="F22" s="102"/>
      <x:c r="G22" s="102"/>
      <x:c r="H22" s="102"/>
      <x:c r="I22" s="102"/>
      <x:c r="J22" s="102"/>
      <x:c r="K22" s="102"/>
      <x:c r="L22" s="102"/>
      <x:c r="M22" s="102"/>
      <x:c r="N22" s="102"/>
      <x:c r="O22" s="102"/>
    </x:row>
    <x:row r="23">
      <x:c r="A23" s="105" t="str">
        <x:v>Versioned Artifact</x:v>
      </x:c>
      <x:c r="B23" s="105" t="str">
        <x:v>Version Key</x:v>
      </x:c>
      <x:c r="C23" s="105" t="str">
        <x:v>When Pinned</x:v>
      </x:c>
      <x:c r="D23" s="105" t="str">
        <x:v>Can Change Mid-Epoch?</x:v>
      </x:c>
      <x:c r="E23" s="105" t="str">
        <x:v>Replay Uses Old Version?</x:v>
      </x:c>
      <x:c r="F23" s="105" t="str">
        <x:v>Migration Strategy</x:v>
      </x:c>
      <x:c r="G23" s="105" t="str">
        <x:v>Backward Compatible?</x:v>
      </x:c>
      <x:c r="H23" s="105" t="str">
        <x:v>Rollback</x:v>
      </x:c>
      <x:c r="I23" s="105" t="str">
        <x:v>Data Backfill?</x:v>
      </x:c>
      <x:c r="J23" s="105" t="str">
        <x:v>Audit Required?</x:v>
      </x:c>
      <x:c r="K23" s="105" t="str">
        <x:v>Player Visible?</x:v>
      </x:c>
      <x:c r="L23" s="105" t="str">
        <x:v>Settlement Risk</x:v>
      </x:c>
      <x:c r="M23" s="105" t="str">
        <x:v>MVP?</x:v>
      </x:c>
      <x:c r="N23" s="105" t="str">
        <x:v>Owner</x:v>
      </x:c>
      <x:c r="O23" s="105" t="str">
        <x:v>Notes</x:v>
      </x:c>
    </x:row>
    <x:row r="24">
      <x:c r="A24" s="92" t="str">
        <x:v>Module config</x:v>
      </x:c>
      <x:c r="B24" s="93" t="str">
        <x:v>module_config_version</x:v>
      </x:c>
      <x:c r="C24" s="93" t="str">
        <x:v>At reward grant/equip/effect resolution/craft start</x:v>
      </x:c>
      <x:c r="D24" s="93" t="str">
        <x:v>Yes prospectively; never rewrite past effects</x:v>
      </x:c>
      <x:c r="E24" s="93" t="str">
        <x:v>Yes</x:v>
      </x:c>
      <x:c r="F24" s="93" t="str">
        <x:v>Immutable config rows + effective_at</x:v>
      </x:c>
      <x:c r="G24" s="93" t="str">
        <x:v>Yes</x:v>
      </x:c>
      <x:c r="H24" s="93" t="str">
        <x:v>Switch active pointer; existing pinned refs remain</x:v>
      </x:c>
      <x:c r="I24" s="93" t="str">
        <x:v>Only caches/read models</x:v>
      </x:c>
      <x:c r="J24" s="93" t="str">
        <x:v>Yes</x:v>
      </x:c>
      <x:c r="K24" s="93" t="str">
        <x:v>Yes</x:v>
      </x:c>
      <x:c r="L24" s="93" t="str">
        <x:v>High lineage</x:v>
      </x:c>
      <x:c r="M24" s="93" t="str">
        <x:v>Yes</x:v>
      </x:c>
      <x:c r="N24" s="93" t="str">
        <x:v>Game Systems</x:v>
      </x:c>
      <x:c r="O24" s="94" t="str">
        <x:v>Never reuse Module ID for materially different effect</x:v>
      </x:c>
    </x:row>
    <x:row r="25">
      <x:c r="A25" s="95" t="str">
        <x:v>Module loadout</x:v>
      </x:c>
      <x:c r="B25" s="96" t="str">
        <x:v>loadout_version</x:v>
      </x:c>
      <x:c r="C25" s="96" t="str">
        <x:v>Every equip/unequip/building removal</x:v>
      </x:c>
      <x:c r="D25" s="96" t="str">
        <x:v>N/A player mutation</x:v>
      </x:c>
      <x:c r="E25" s="96" t="str">
        <x:v>Yes</x:v>
      </x:c>
      <x:c r="F25" s="96" t="str">
        <x:v>Monotonic per building</x:v>
      </x:c>
      <x:c r="G25" s="96" t="str">
        <x:v>Yes</x:v>
      </x:c>
      <x:c r="H25" s="96" t="str">
        <x:v>Restore prior committed version only as explicit mutation</x:v>
      </x:c>
      <x:c r="I25" s="96" t="str">
        <x:v>No</x:v>
      </x:c>
      <x:c r="J25" s="96" t="str">
        <x:v>Yes</x:v>
      </x:c>
      <x:c r="K25" s="96" t="str">
        <x:v>Yes</x:v>
      </x:c>
      <x:c r="L25" s="96" t="str">
        <x:v>High lineage</x:v>
      </x:c>
      <x:c r="M25" s="96" t="str">
        <x:v>Yes</x:v>
      </x:c>
      <x:c r="N25" s="96" t="str">
        <x:v>Module</x:v>
      </x:c>
      <x:c r="O25" s="97" t="str">
        <x:v>effective_at stored separately</x:v>
      </x:c>
    </x:row>
    <x:row r="26">
      <x:c r="A26" s="95" t="str">
        <x:v>Mastery objective config</x:v>
      </x:c>
      <x:c r="B26" s="96" t="str">
        <x:v>mastery_config_version</x:v>
      </x:c>
      <x:c r="C26" s="96" t="str">
        <x:v>At tier activation/progress evidence</x:v>
      </x:c>
      <x:c r="D26" s="96" t="str">
        <x:v>Prefer no mid-objective rewrite; migrate explicitly</x:v>
      </x:c>
      <x:c r="E26" s="96" t="str">
        <x:v>Yes</x:v>
      </x:c>
      <x:c r="F26" s="96" t="str">
        <x:v>Version objective definitions</x:v>
      </x:c>
      <x:c r="G26" s="96" t="str">
        <x:v>Yes</x:v>
      </x:c>
      <x:c r="H26" s="96" t="str">
        <x:v>New objectives use rollback version</x:v>
      </x:c>
      <x:c r="I26" s="96" t="str">
        <x:v>Maybe projector re-run</x:v>
      </x:c>
      <x:c r="J26" s="96" t="str">
        <x:v>Yes</x:v>
      </x:c>
      <x:c r="K26" s="96" t="str">
        <x:v>Yes</x:v>
      </x:c>
      <x:c r="L26" s="96" t="str">
        <x:v>Low direct</x:v>
      </x:c>
      <x:c r="M26" s="96" t="str">
        <x:v>P1</x:v>
      </x:c>
      <x:c r="N26" s="96" t="str">
        <x:v>Game Systems</x:v>
      </x:c>
      <x:c r="O26" s="97" t="str">
        <x:v>Claim uses the objective version actually completed</x:v>
      </x:c>
    </x:row>
    <x:row r="27">
      <x:c r="A27" s="95" t="str">
        <x:v>Craft recipe</x:v>
      </x:c>
      <x:c r="B27" s="96" t="str">
        <x:v>recipe_version</x:v>
      </x:c>
      <x:c r="C27" s="96" t="str">
        <x:v>At craft start</x:v>
      </x:c>
      <x:c r="D27" s="96" t="str">
        <x:v>Yes for new jobs only</x:v>
      </x:c>
      <x:c r="E27" s="96" t="str">
        <x:v>Yes</x:v>
      </x:c>
      <x:c r="F27" s="96" t="str">
        <x:v>Craft job stores recipe version</x:v>
      </x:c>
      <x:c r="G27" s="96" t="str">
        <x:v>Yes</x:v>
      </x:c>
      <x:c r="H27" s="96" t="str">
        <x:v>New crafts use rollback version</x:v>
      </x:c>
      <x:c r="I27" s="96" t="str">
        <x:v>No existing job rewrite</x:v>
      </x:c>
      <x:c r="J27" s="96" t="str">
        <x:v>Yes</x:v>
      </x:c>
      <x:c r="K27" s="96" t="str">
        <x:v>Yes</x:v>
      </x:c>
      <x:c r="L27" s="96" t="str">
        <x:v>No direct</x:v>
      </x:c>
      <x:c r="M27" s="96" t="str">
        <x:v>P2</x:v>
      </x:c>
      <x:c r="N27" s="96" t="str">
        <x:v>Economy</x:v>
      </x:c>
      <x:c r="O27" s="97" t="str">
        <x:v>Mid-craft config change does not alter cost/time/output</x:v>
      </x:c>
    </x:row>
    <x:row r="28">
      <x:c r="A28" s="98" t="str">
        <x:v>Module runtime engine</x:v>
      </x:c>
      <x:c r="B28" s="99" t="str">
        <x:v>module_runtime_version</x:v>
      </x:c>
      <x:c r="C28" s="99" t="str">
        <x:v>At tick/bucket trace/lineage</x:v>
      </x:c>
      <x:c r="D28" s="99" t="str">
        <x:v>Deploy boundary</x:v>
      </x:c>
      <x:c r="E28" s="99" t="str">
        <x:v>Yes where dispute/replay requires</x:v>
      </x:c>
      <x:c r="F28" s="99" t="str">
        <x:v>Compatible resolver releases + trace schema</x:v>
      </x:c>
      <x:c r="G28" s="99" t="str">
        <x:v>Required</x:v>
      </x:c>
      <x:c r="H28" s="99" t="str">
        <x:v>App rollback + previous config</x:v>
      </x:c>
      <x:c r="I28" s="99" t="str">
        <x:v>Maybe recompute affected pre-final sources</x:v>
      </x:c>
      <x:c r="J28" s="99" t="str">
        <x:v>Yes</x:v>
      </x:c>
      <x:c r="K28" s="99" t="str">
        <x:v>Indirect</x:v>
      </x:c>
      <x:c r="L28" s="99" t="str">
        <x:v>Critical lineage</x:v>
      </x:c>
      <x:c r="M28" s="99" t="str">
        <x:v>Yes</x:v>
      </x:c>
      <x:c r="N28" s="99" t="str">
        <x:v>Backend</x:v>
      </x:c>
      <x:c r="O28" s="100" t="str">
        <x:v>Settlement does not directly consume Modules but source metrics may depend on resolver lineage</x:v>
      </x:c>
    </x:row>
  </x:sheetData>
  <x:mergeCells>
    <x:mergeCell ref="A1:O1"/>
    <x:mergeCell ref="A14:O14"/>
    <x:mergeCell ref="A22:O22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Backend Delivery Phases &amp; Dependencies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</x:row>
    <x:row r="3">
      <x:c r="A3" s="14" t="str">
        <x:v>Phase</x:v>
      </x:c>
      <x:c r="B3" s="14" t="str">
        <x:v>Scope</x:v>
      </x:c>
      <x:c r="C3" s="14" t="str">
        <x:v>Must Ship</x:v>
      </x:c>
      <x:c r="D3" s="14" t="str">
        <x:v>Can Stub</x:v>
      </x:c>
      <x:c r="E3" s="14" t="str">
        <x:v>Do Not Ship Yet</x:v>
      </x:c>
      <x:c r="F3" s="14" t="str">
        <x:v>Exit Criteria</x:v>
      </x:c>
      <x:c r="G3" s="14" t="str">
        <x:v>Dependencies</x:v>
      </x:c>
      <x:c r="H3" s="14" t="str">
        <x:v>Data Migration Needed?</x:v>
      </x:c>
      <x:c r="I3" s="14" t="str">
        <x:v>Chain Dependency</x:v>
      </x:c>
      <x:c r="J3" s="14" t="str">
        <x:v>Load Test</x:v>
      </x:c>
      <x:c r="K3" s="14" t="str">
        <x:v>Integrity Test</x:v>
      </x:c>
      <x:c r="L3" s="14" t="str">
        <x:v>Settlement Test</x:v>
      </x:c>
      <x:c r="M3" s="14" t="str">
        <x:v>Priority</x:v>
      </x:c>
      <x:c r="N3" s="14" t="str">
        <x:v>Notes</x:v>
      </x:c>
    </x:row>
    <x:row r="4">
      <x:c r="A4" s="92" t="str">
        <x:v>P0 — Core Loop + Module Runtime</x:v>
      </x:c>
      <x:c r="B4" s="93" t="str">
        <x:v>Identity, Player, Plot mirror, Layout, Economy, Customers, Cash ledger, Module config/inventory/loadout/effect runtime</x:v>
      </x:c>
      <x:c r="C4" s="93" t="str">
        <x:v>First Plot, 8 starter buildings, customer activity, Cash, saves; Module inventory/equip and 6–10 low-complexity Common/Uncommon Modules actually affect simulation</x:v>
      </x:c>
      <x:c r="D4" s="93" t="str">
        <x:v>Advanced mastery/crafting, advanced risk, mergers, seasons</x:v>
      </x:c>
      <x:c r="E4" s="93" t="str">
        <x:v>Real-money gameplay Modules, global aura Modules, arbitrary effect scripting</x:v>
      </x:c>
      <x:c r="F4" s="93" t="str">
        <x:v>First 30-min loop stable; Module grant→equip→effect→tick path works with no duplicate inventory/Cash</x:v>
      </x:c>
      <x:c r="G4" s="93" t="str">
        <x:v>Family session + DB/cache/queue + Module config</x:v>
      </x:c>
      <x:c r="H4" s="93" t="str">
        <x:v>Add Module tables; no legacy blueprint entitlement migration required if unshipped</x:v>
      </x:c>
      <x:c r="I4" s="93" t="str">
        <x:v>Plot ownership mirror only</x:v>
      </x:c>
      <x:c r="J4" s="93" t="str">
        <x:v>1k concurrency + resolver microbench</x:v>
      </x:c>
      <x:c r="K4" s="93" t="str">
        <x:v>Inventory/loadout invariants + client-forged effect rejection</x:v>
      </x:c>
      <x:c r="L4" s="93" t="str">
        <x:v>Simulated payout only; Module fields absent from score schema</x:v>
      </x:c>
      <x:c r="M4" s="93" t="str">
        <x:v>Critical</x:v>
      </x:c>
      <x:c r="N4" s="94" t="str">
        <x:v>Module domain stays inside modular monolith initially</x:v>
      </x:c>
    </x:row>
    <x:row r="5">
      <x:c r="A5" s="95" t="str">
        <x:v>P0.5 — Hunts, Mastery &amp; Weekly Score</x:v>
      </x:c>
      <x:c r="B5" s="96" t="str">
        <x:v>Events, Hunts, stock reward simulation, Performance Score, Module Mastery I–III + Module reward resolver</x:v>
      </x:c>
      <x:c r="C5" s="96" t="str">
        <x:v>1–3 Hunts/day, score components, weekly snapshot/reconcile; deterministic mastery rewards + Hunt/Event Module discovery</x:v>
      </x:c>
      <x:c r="D5" s="96" t="str">
        <x:v>External stock settlement; Parts crafting may remain disabled</x:v>
      </x:c>
      <x:c r="E5" s="96" t="str">
        <x:v>Legendary/Epic live meta before telemetry</x:v>
      </x:c>
      <x:c r="F5" s="96" t="str">
        <x:v>Reproducible weekly score from ledgers; exactly-once Module rewards; mastery progress replayable</x:v>
      </x:c>
      <x:c r="G5" s="96" t="str">
        <x:v>P0 stable</x:v>
      </x:c>
      <x:c r="H5" s="96" t="str">
        <x:v>Config only / additive Module mastery tables</x:v>
      </x:c>
      <x:c r="I5" s="96" t="str">
        <x:v>Optional $PLOT claim testnet</x:v>
      </x:c>
      <x:c r="J5" s="96" t="str">
        <x:v>Settlement batch + reward burst</x:v>
      </x:c>
      <x:c r="K5" s="96" t="str">
        <x:v>Hunt bot + duplicate Module source-event tests</x:v>
      </x:c>
      <x:c r="L5" s="96" t="str">
        <x:v>Full dry-run confirms no direct Module score/PLOT fields</x:v>
      </x:c>
      <x:c r="M5" s="96" t="str">
        <x:v>Critical</x:v>
      </x:c>
      <x:c r="N5" s="97" t="str"/>
    </x:row>
    <x:row r="6">
      <x:c r="A6" s="95" t="str">
        <x:v>P1 — Risk, Competition &amp; Module Crafting</x:v>
      </x:c>
      <x:c r="B6" s="96" t="str">
        <x:v>Risk/Rep, incidents, leagues, seasons, real claim workflow, Module Parts/dismantle/craft, Rare/Epic content</x:v>
      </x:c>
      <x:c r="C6" s="96" t="str">
        <x:v>Risk gates, Rep, weekly league payout, rating; exact Module crafting and Parts ledgers</x:v>
      </x:c>
      <x:c r="D6" s="96" t="str">
        <x:v>Legendary endgame content can be feature-flagged</x:v>
      </x:c>
      <x:c r="E6" s="96" t="str">
        <x:v>Complex Sybil graph; paid power</x:v>
      </x:c>
      <x:c r="F6" s="96" t="str">
        <x:v>Weekly league settlement stable; Parts cannot underflow; crafts complete exactly once</x:v>
      </x:c>
      <x:c r="G6" s="96" t="str">
        <x:v>P0.5</x:v>
      </x:c>
      <x:c r="H6" s="96" t="str">
        <x:v>Add craft jobs/Parts ledgers</x:v>
      </x:c>
      <x:c r="I6" s="96" t="str">
        <x:v>$PLOT claim contract/provider</x:v>
      </x:c>
      <x:c r="J6" s="96" t="str">
        <x:v>10k eligible settlement + craft worker load</x:v>
      </x:c>
      <x:c r="K6" s="96" t="str">
        <x:v>Integrity holds + Parts double-spend tests</x:v>
      </x:c>
      <x:c r="L6" s="96" t="str">
        <x:v>Claim/pool conservation + Module source lineage</x:v>
      </x:c>
      <x:c r="M6" s="96" t="str">
        <x:v>High</x:v>
      </x:c>
      <x:c r="N6" s="97" t="str"/>
    </x:row>
    <x:row r="7">
      <x:c r="A7" s="95" t="str">
        <x:v>P1.5 — Module Prestige / LiveOps</x:v>
      </x:c>
      <x:c r="B7" s="96" t="str">
        <x:v>Mastery IV–V, Legendary Modules, seasonal sidegrades, Module LiveOps/telemetry</x:v>
      </x:c>
      <x:c r="C7" s="96" t="str">
        <x:v>Legendary deterministic path, one-Legendary/building enforcement, config rollback and meta concentration dashboards</x:v>
      </x:c>
      <x:c r="D7" s="96" t="str">
        <x:v>Cosmetic tradable variants</x:v>
      </x:c>
      <x:c r="E7" s="96" t="str">
        <x:v>Onchain gameplay Modules</x:v>
      </x:c>
      <x:c r="F7" s="96" t="str">
        <x:v>No Legendary mandatory best-in-slot; config changes replayable and safe</x:v>
      </x:c>
      <x:c r="G7" s="96" t="str">
        <x:v>P1 telemetry</x:v>
      </x:c>
      <x:c r="H7" s="96" t="str">
        <x:v>Content/config only mostly</x:v>
      </x:c>
      <x:c r="I7" s="96" t="str">
        <x:v>None</x:v>
      </x:c>
      <x:c r="J7" s="96" t="str">
        <x:v>High-tier resolver/loadout scenarios</x:v>
      </x:c>
      <x:c r="K7" s="96" t="str">
        <x:v>Config abuse / reward-source tests</x:v>
      </x:c>
      <x:c r="L7" s="96" t="str">
        <x:v>No direct payout influence</x:v>
      </x:c>
      <x:c r="M7" s="96" t="str">
        <x:v>High</x:v>
      </x:c>
      <x:c r="N7" s="97" t="str"/>
    </x:row>
    <x:row r="8">
      <x:c r="A8" s="106" t="str">
        <x:v>P2 — Land Expansion</x:v>
      </x:c>
      <x:c r="B8" s="40" t="str">
        <x:v>Additional active Plots, merges, marketplace sync</x:v>
      </x:c>
      <x:c r="C8" s="40" t="str">
        <x:v>2/4 Plot activation, merge/unmerge, territory overhead</x:v>
      </x:c>
      <x:c r="D8" s="40" t="str">
        <x:v>ERC-6551 extras</x:v>
      </x:c>
      <x:c r="E8" s="40" t="str">
        <x:v>Cross-border buildings initially</x:v>
      </x:c>
      <x:c r="F8" s="40" t="str">
        <x:v>Ownership/merge reconciliation stable; Module loadouts remain player/building state and survive valid moves</x:v>
      </x:c>
      <x:c r="G8" s="40" t="str">
        <x:v>P1/P1.5</x:v>
      </x:c>
      <x:c r="H8" s="40" t="str">
        <x:v>Yes territory schema</x:v>
      </x:c>
      <x:c r="I8" s="40" t="str">
        <x:v>High</x:v>
      </x:c>
      <x:c r="J8" s="40" t="str">
        <x:v>Ownership event load</x:v>
      </x:c>
      <x:c r="K8" s="40" t="str">
        <x:v>Transfer + Module return/reconciliation tests</x:v>
      </x:c>
      <x:c r="L8" s="40" t="str">
        <x:v>No payout land/Module ownership bonus</x:v>
      </x:c>
      <x:c r="M8" s="40" t="str">
        <x:v>High</x:v>
      </x:c>
      <x:c r="N8" s="107" t="str"/>
    </x:row>
    <x:row r="9">
      <x:c r="A9" s="98" t="str">
        <x:v>P3 — Advanced Endgame</x:v>
      </x:c>
      <x:c r="B9" s="99" t="str">
        <x:v>9/16 Plot territory, cross-border, advanced prestige</x:v>
      </x:c>
      <x:c r="C9" s="99" t="str">
        <x:v>Endgame scaling</x:v>
      </x:c>
      <x:c r="D9" s="99" t="str">
        <x:v>N/A</x:v>
      </x:c>
      <x:c r="E9" s="99" t="str">
        <x:v>Only after telemetry</x:v>
      </x:c>
      <x:c r="F9" s="99" t="str">
        <x:v>No one-layout/land-count/Module-loadout domination</x:v>
      </x:c>
      <x:c r="G9" s="99" t="str">
        <x:v>All prior</x:v>
      </x:c>
      <x:c r="H9" s="99" t="str">
        <x:v>Possible</x:v>
      </x:c>
      <x:c r="I9" s="99" t="str">
        <x:v>High</x:v>
      </x:c>
      <x:c r="J9" s="99" t="str">
        <x:v>Large territory geometry + resolver context</x:v>
      </x:c>
      <x:c r="K9" s="99" t="str">
        <x:v>Anti-whale/integrity</x:v>
      </x:c>
      <x:c r="L9" s="99" t="str">
        <x:v>Season stress</x:v>
      </x:c>
      <x:c r="M9" s="99" t="str">
        <x:v>Later</x:v>
      </x:c>
      <x:c r="N9" s="100" t="str"/>
    </x:row>
  </x:sheetData>
  <x:mergeCells>
    <x:mergeCell ref="A1:N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86" t="str">
        <x:v>Illustrative Backend Capacity &amp; Throughput Model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22"/>
      <x:c r="P1" s="22"/>
    </x:row>
    <x:row r="3">
      <x:c r="A3" s="14" t="str">
        <x:v>Workload</x:v>
      </x:c>
      <x:c r="B3" s="14" t="str">
        <x:v>Population Basis</x:v>
      </x:c>
      <x:c r="C3" s="14" t="str">
        <x:v>Frequency</x:v>
      </x:c>
      <x:c r="D3" s="14" t="str">
        <x:v>Events / Run</x:v>
      </x:c>
      <x:c r="E3" s="14" t="str">
        <x:v>Runs / Day</x:v>
      </x:c>
      <x:c r="F3" s="14" t="str">
        <x:v>Events / Day</x:v>
      </x:c>
      <x:c r="G3" s="14" t="str">
        <x:v>Avg Events / Sec</x:v>
      </x:c>
      <x:c r="H3" s="14" t="str">
        <x:v>Peak Multiplier</x:v>
      </x:c>
      <x:c r="I3" s="14" t="str">
        <x:v>Peak Events / Sec</x:v>
      </x:c>
      <x:c r="J3" s="14" t="str">
        <x:v>Write Amplification</x:v>
      </x:c>
      <x:c r="K3" s="14" t="str">
        <x:v>Approx DB Writes / Sec</x:v>
      </x:c>
      <x:c r="L3" s="14" t="str">
        <x:v>Queue Required?</x:v>
      </x:c>
      <x:c r="M3" s="14" t="str">
        <x:v>Scaling Key</x:v>
      </x:c>
      <x:c r="N3" s="14" t="str">
        <x:v>Notes</x:v>
      </x:c>
    </x:row>
    <x:row r="4">
      <x:c r="A4" s="34" t="str">
        <x:v>Economy ticks</x:v>
      </x:c>
      <x:c r="B4" s="64" t="n">
        <x:v>25000</x:v>
      </x:c>
      <x:c r="C4" s="64" t="str">
        <x:v>5 min</x:v>
      </x:c>
      <x:c r="D4" s="64" t="n">
        <x:f>B4</x:f>
        <x:v>25000</x:v>
      </x:c>
      <x:c r="E4" s="64" t="n">
        <x:v>288</x:v>
      </x:c>
      <x:c r="F4" s="64" t="n">
        <x:f>D4*E4</x:f>
        <x:v>7200000</x:v>
      </x:c>
      <x:c r="G4" s="70" t="n">
        <x:f>F4/86400</x:f>
        <x:v>83.33333333333333</x:v>
      </x:c>
      <x:c r="H4" s="70" t="n">
        <x:v>3</x:v>
      </x:c>
      <x:c r="I4" s="70" t="n">
        <x:f>G4*H4</x:f>
        <x:v>250</x:v>
      </x:c>
      <x:c r="J4" s="70" t="n">
        <x:v>3</x:v>
      </x:c>
      <x:c r="K4" s="70" t="n">
        <x:f>I4*J4</x:f>
        <x:v>750</x:v>
      </x:c>
      <x:c r="L4" s="35" t="str">
        <x:v>Yes</x:v>
      </x:c>
      <x:c r="M4" s="35" t="str">
        <x:v>player shard</x:v>
      </x:c>
      <x:c r="N4" s="36" t="str">
        <x:v>DAU assumed tick-eligible during active/offline windows</x:v>
      </x:c>
    </x:row>
    <x:row r="5">
      <x:c r="A5" s="37" t="str">
        <x:v>Customer refresh</x:v>
      </x:c>
      <x:c r="B5" s="65" t="n">
        <x:v>25000</x:v>
      </x:c>
      <x:c r="C5" s="65" t="str">
        <x:v>15 min</x:v>
      </x:c>
      <x:c r="D5" s="65" t="n">
        <x:f>B5</x:f>
        <x:v>25000</x:v>
      </x:c>
      <x:c r="E5" s="65" t="n">
        <x:v>96</x:v>
      </x:c>
      <x:c r="F5" s="65" t="n">
        <x:f>D5*E5</x:f>
        <x:v>2400000</x:v>
      </x:c>
      <x:c r="G5" s="71" t="n">
        <x:f>F5/86400</x:f>
        <x:v>27.77777777777778</x:v>
      </x:c>
      <x:c r="H5" s="71" t="n">
        <x:v>3</x:v>
      </x:c>
      <x:c r="I5" s="71" t="n">
        <x:f>G5*H5</x:f>
        <x:v>83.33333333333334</x:v>
      </x:c>
      <x:c r="J5" s="71" t="n">
        <x:v>2</x:v>
      </x:c>
      <x:c r="K5" s="71" t="n">
        <x:f>I5*J5</x:f>
        <x:v>166.66666666666669</x:v>
      </x:c>
      <x:c r="L5" s="22" t="str">
        <x:v>Yes</x:v>
      </x:c>
      <x:c r="M5" s="22" t="str">
        <x:v>player shard</x:v>
      </x:c>
      <x:c r="N5" s="38" t="str"/>
    </x:row>
    <x:row r="6">
      <x:c r="A6" s="37" t="str">
        <x:v>Risk evaluation</x:v>
      </x:c>
      <x:c r="B6" s="65" t="n">
        <x:v>25000</x:v>
      </x:c>
      <x:c r="C6" s="65" t="str">
        <x:v>15 min</x:v>
      </x:c>
      <x:c r="D6" s="65" t="n">
        <x:f>B6</x:f>
        <x:v>25000</x:v>
      </x:c>
      <x:c r="E6" s="65" t="n">
        <x:v>96</x:v>
      </x:c>
      <x:c r="F6" s="65" t="n">
        <x:f>D6*E6</x:f>
        <x:v>2400000</x:v>
      </x:c>
      <x:c r="G6" s="71" t="n">
        <x:f>F6/86400</x:f>
        <x:v>27.77777777777778</x:v>
      </x:c>
      <x:c r="H6" s="71" t="n">
        <x:v>4</x:v>
      </x:c>
      <x:c r="I6" s="71" t="n">
        <x:f>G6*H6</x:f>
        <x:v>111.11111111111111</x:v>
      </x:c>
      <x:c r="J6" s="71" t="n">
        <x:v>1</x:v>
      </x:c>
      <x:c r="K6" s="71" t="n">
        <x:f>I6*J6</x:f>
        <x:v>111.11111111111111</x:v>
      </x:c>
      <x:c r="L6" s="22" t="str">
        <x:v>Yes</x:v>
      </x:c>
      <x:c r="M6" s="22" t="str">
        <x:v>player shard</x:v>
      </x:c>
      <x:c r="N6" s="38" t="str">
        <x:v>Includes trigger-driven extras later</x:v>
      </x:c>
    </x:row>
    <x:row r="7">
      <x:c r="A7" s="37" t="str">
        <x:v>Daily Hunt spawn</x:v>
      </x:c>
      <x:c r="B7" s="65" t="n">
        <x:v>25000</x:v>
      </x:c>
      <x:c r="C7" s="65" t="str">
        <x:v>daily</x:v>
      </x:c>
      <x:c r="D7" s="65" t="n">
        <x:f>B7</x:f>
        <x:v>25000</x:v>
      </x:c>
      <x:c r="E7" s="65" t="n">
        <x:v>1</x:v>
      </x:c>
      <x:c r="F7" s="65" t="n">
        <x:f>D7*E7</x:f>
        <x:v>25000</x:v>
      </x:c>
      <x:c r="G7" s="71" t="n">
        <x:f>F7/86400</x:f>
        <x:v>0.28935185185185186</x:v>
      </x:c>
      <x:c r="H7" s="71" t="n">
        <x:v>5</x:v>
      </x:c>
      <x:c r="I7" s="71" t="n">
        <x:f>G7*H7</x:f>
        <x:v>1.4467592592592593</x:v>
      </x:c>
      <x:c r="J7" s="71" t="n">
        <x:v>2</x:v>
      </x:c>
      <x:c r="K7" s="71" t="n">
        <x:f>I7*J7</x:f>
        <x:v>2.8935185185185186</x:v>
      </x:c>
      <x:c r="L7" s="22" t="str">
        <x:v>Yes</x:v>
      </x:c>
      <x:c r="M7" s="22" t="str">
        <x:v>player/day</x:v>
      </x:c>
      <x:c r="N7" s="38" t="str">
        <x:v>Can spread across UTC window</x:v>
      </x:c>
    </x:row>
    <x:row r="8">
      <x:c r="A8" s="37" t="str">
        <x:v>API reads</x:v>
      </x:c>
      <x:c r="B8" s="65" t="n">
        <x:v>3000</x:v>
      </x:c>
      <x:c r="C8" s="65" t="str">
        <x:v>concurrent</x:v>
      </x:c>
      <x:c r="D8" s="65" t="str">
        <x:v>N/A</x:v>
      </x:c>
      <x:c r="E8" s="65" t="str">
        <x:v>N/A</x:v>
      </x:c>
      <x:c r="F8" s="65" t="n">
        <x:f>G8*86400</x:f>
        <x:v>12960000</x:v>
      </x:c>
      <x:c r="G8" s="71" t="n">
        <x:v>150</x:v>
      </x:c>
      <x:c r="H8" s="71" t="n">
        <x:v>2</x:v>
      </x:c>
      <x:c r="I8" s="71" t="n">
        <x:f>G8*H8</x:f>
        <x:v>300</x:v>
      </x:c>
      <x:c r="J8" s="71" t="n">
        <x:v>0</x:v>
      </x:c>
      <x:c r="K8" s="71" t="n">
        <x:f>I8*J8</x:f>
        <x:v>0</x:v>
      </x:c>
      <x:c r="L8" s="22" t="str">
        <x:v>No</x:v>
      </x:c>
      <x:c r="M8" s="22" t="str">
        <x:v>stateless replicas</x:v>
      </x:c>
      <x:c r="N8" s="38" t="str">
        <x:v>Illustrative 0.05 read req/sec/concurrent? overridden below</x:v>
      </x:c>
    </x:row>
    <x:row r="9">
      <x:c r="A9" s="37" t="str">
        <x:v>Layout mutations</x:v>
      </x:c>
      <x:c r="B9" s="65" t="n">
        <x:v>3000</x:v>
      </x:c>
      <x:c r="C9" s="65" t="str">
        <x:v>interactive</x:v>
      </x:c>
      <x:c r="D9" s="65" t="str">
        <x:v>N/A</x:v>
      </x:c>
      <x:c r="E9" s="65" t="str">
        <x:v>N/A</x:v>
      </x:c>
      <x:c r="F9" s="65" t="n">
        <x:f>G9*86400</x:f>
        <x:v>432000</x:v>
      </x:c>
      <x:c r="G9" s="71" t="n">
        <x:v>5</x:v>
      </x:c>
      <x:c r="H9" s="71" t="n">
        <x:v>3</x:v>
      </x:c>
      <x:c r="I9" s="71" t="n">
        <x:f>G9*H9</x:f>
        <x:v>15</x:v>
      </x:c>
      <x:c r="J9" s="71" t="n">
        <x:v>3</x:v>
      </x:c>
      <x:c r="K9" s="71" t="n">
        <x:f>I9*J9</x:f>
        <x:v>45</x:v>
      </x:c>
      <x:c r="L9" s="22" t="str">
        <x:v>No/async events</x:v>
      </x:c>
      <x:c r="M9" s="22" t="str">
        <x:v>player</x:v>
      </x:c>
      <x:c r="N9" s="38" t="str">
        <x:v>Illustrative peak user actions</x:v>
      </x:c>
    </x:row>
    <x:row r="10">
      <x:c r="A10" s="39" t="str">
        <x:v>Weekly settlement players</x:v>
      </x:c>
      <x:c r="B10" s="66" t="n">
        <x:v>10000</x:v>
      </x:c>
      <x:c r="C10" s="66" t="str">
        <x:v>weekly</x:v>
      </x:c>
      <x:c r="D10" s="66" t="n">
        <x:v>10000</x:v>
      </x:c>
      <x:c r="E10" s="66" t="n">
        <x:v>1</x:v>
      </x:c>
      <x:c r="F10" s="66" t="n">
        <x:v>10000</x:v>
      </x:c>
      <x:c r="G10" s="72" t="n">
        <x:f>F10/(6*3600)</x:f>
        <x:v>0.46296296296296297</x:v>
      </x:c>
      <x:c r="H10" s="72" t="n">
        <x:v>2</x:v>
      </x:c>
      <x:c r="I10" s="72" t="n">
        <x:f>G10*H10</x:f>
        <x:v>0.9259259259259259</x:v>
      </x:c>
      <x:c r="J10" s="72" t="n">
        <x:v>8</x:v>
      </x:c>
      <x:c r="K10" s="72" t="n">
        <x:f>I10*J10</x:f>
        <x:v>7.407407407407407</x:v>
      </x:c>
      <x:c r="L10" s="40" t="str">
        <x:v>Batch</x:v>
      </x:c>
      <x:c r="M10" s="40" t="str">
        <x:v>epoch/player shard</x:v>
      </x:c>
      <x:c r="N10" s="41" t="str">
        <x:v>6h settlement window</x:v>
      </x:c>
    </x:row>
    <x:row r="12" ht="22" customHeight="1">
      <x:c r="A12" s="31" t="str">
        <x:v>Capacity Interpretation</x:v>
      </x:c>
      <x:c r="B12" s="31"/>
      <x:c r="C12" s="31"/>
      <x:c r="D12" s="31"/>
      <x:c r="E12" s="31"/>
      <x:c r="F12" s="31"/>
      <x:c r="G12" s="31"/>
      <x:c r="H12" s="31"/>
      <x:c r="I12" s="31"/>
      <x:c r="J12" s="31"/>
      <x:c r="K12" s="31"/>
      <x:c r="L12" s="31"/>
      <x:c r="M12" s="31"/>
      <x:c r="N12" s="31"/>
    </x:row>
    <x:row r="13">
      <x:c r="A13" s="14" t="str">
        <x:v>Rule</x:v>
      </x:c>
      <x:c r="B13" s="14" t="str">
        <x:v>Interpretation</x:v>
      </x:c>
    </x:row>
    <x:row r="14">
      <x:c r="A14" s="34" t="str">
        <x:v>Periodic jobs should be jittered</x:v>
      </x:c>
      <x:c r="B14" s="36" t="str">
        <x:v>Do not enqueue every player at exactly :00; spread buckets through each interval.</x:v>
      </x:c>
    </x:row>
    <x:row r="15">
      <x:c r="A15" s="37" t="str">
        <x:v>Partition by player</x:v>
      </x:c>
      <x:c r="B15" s="38" t="str">
        <x:v>Economy/customer/risk ordering is easiest when a player's events share a partition/shard key.</x:v>
      </x:c>
    </x:row>
    <x:row r="16">
      <x:c r="A16" s="37" t="str">
        <x:v>Settlement is batch, not realtime</x:v>
      </x:c>
      <x:c r="B16" s="38" t="str">
        <x:v>Use frozen source cursors and parallel shards; correctness outranks speed.</x:v>
      </x:c>
    </x:row>
    <x:row r="17">
      <x:c r="A17" s="37" t="str">
        <x:v>Cache absorbs read-heavy HUD/leaderboards</x:v>
      </x:c>
      <x:c r="B17" s="38" t="str">
        <x:v>Canonical writes still land in DB/ledgers.</x:v>
      </x:c>
    </x:row>
    <x:row r="18">
      <x:c r="A18" s="39" t="str">
        <x:v>Scale assumptions are illustrative</x:v>
      </x:c>
      <x:c r="B18" s="41" t="str">
        <x:v>Load tests should replace these numbers before production sizing.</x:v>
      </x:c>
    </x:row>
    <x:row r="19" ht="22" customHeight="1">
      <x:c r="A19" s="102" t="str">
        <x:v>Module Workload Additions</x:v>
      </x:c>
      <x:c r="B19" s="102"/>
      <x:c r="C19" s="102"/>
      <x:c r="D19" s="102"/>
      <x:c r="E19" s="102"/>
      <x:c r="F19" s="102"/>
      <x:c r="G19" s="102"/>
      <x:c r="H19" s="102"/>
      <x:c r="I19" s="102"/>
      <x:c r="J19" s="102"/>
      <x:c r="K19" s="102"/>
      <x:c r="L19" s="102"/>
      <x:c r="M19" s="102"/>
      <x:c r="N19" s="102"/>
    </x:row>
    <x:row r="20">
      <x:c r="A20" s="105" t="str">
        <x:v>Workload</x:v>
      </x:c>
      <x:c r="B20" s="105" t="str">
        <x:v>Population Basis</x:v>
      </x:c>
      <x:c r="C20" s="105" t="str">
        <x:v>Frequency</x:v>
      </x:c>
      <x:c r="D20" s="105" t="str">
        <x:v>Events / Run</x:v>
      </x:c>
      <x:c r="E20" s="105" t="str">
        <x:v>Runs / Day</x:v>
      </x:c>
      <x:c r="F20" s="105" t="str">
        <x:v>Events / Day</x:v>
      </x:c>
      <x:c r="G20" s="105" t="str">
        <x:v>Avg Events / Sec</x:v>
      </x:c>
      <x:c r="H20" s="105" t="str">
        <x:v>Peak Multiplier</x:v>
      </x:c>
      <x:c r="I20" s="105" t="str">
        <x:v>Peak Events / Sec</x:v>
      </x:c>
      <x:c r="J20" s="105" t="str">
        <x:v>Write Amplification</x:v>
      </x:c>
      <x:c r="K20" s="105" t="str">
        <x:v>Approx DB Writes / Sec</x:v>
      </x:c>
      <x:c r="L20" s="105" t="str">
        <x:v>Queue Required?</x:v>
      </x:c>
      <x:c r="M20" s="105" t="str">
        <x:v>Scaling Key</x:v>
      </x:c>
      <x:c r="N20" s="105" t="str">
        <x:v>Notes</x:v>
      </x:c>
    </x:row>
    <x:row r="21">
      <x:c r="A21" s="92" t="str">
        <x:v>Module effect resolution (in-process)</x:v>
      </x:c>
      <x:c r="B21" s="93" t="n">
        <x:v>25000</x:v>
      </x:c>
      <x:c r="C21" s="93" t="str">
        <x:v>Piggybacks 5m/15m ticks</x:v>
      </x:c>
      <x:c r="D21" s="93" t="str">
        <x:v>N/A</x:v>
      </x:c>
      <x:c r="E21" s="93" t="str">
        <x:v>N/A</x:v>
      </x:c>
      <x:c r="F21" s="93" t="n">
        <x:v>9600000</x:v>
      </x:c>
      <x:c r="G21" s="93" t="n">
        <x:v>111.1111111111</x:v>
      </x:c>
      <x:c r="H21" s="93" t="n">
        <x:v>3</x:v>
      </x:c>
      <x:c r="I21" s="93" t="n">
        <x:v>333.3333333333</x:v>
      </x:c>
      <x:c r="J21" s="93" t="n">
        <x:v>0</x:v>
      </x:c>
      <x:c r="K21" s="93" t="n">
        <x:v>0</x:v>
      </x:c>
      <x:c r="L21" s="93" t="str">
        <x:v>No</x:v>
      </x:c>
      <x:c r="M21" s="93" t="str">
        <x:v>player/building</x:v>
      </x:c>
      <x:c r="N21" s="94" t="str">
        <x:v>CPU work inside Economy/Customer/Risk; cache compiled plans by loadout+config; no standalone DB write required</x:v>
      </x:c>
    </x:row>
    <x:row r="22">
      <x:c r="A22" s="95" t="str">
        <x:v>Module equip/unequip</x:v>
      </x:c>
      <x:c r="B22" s="96" t="n">
        <x:v>3000</x:v>
      </x:c>
      <x:c r="C22" s="96" t="str">
        <x:v>interactive</x:v>
      </x:c>
      <x:c r="D22" s="96" t="str">
        <x:v>N/A</x:v>
      </x:c>
      <x:c r="E22" s="96" t="str">
        <x:v>N/A</x:v>
      </x:c>
      <x:c r="F22" s="96" t="n">
        <x:v>120000</x:v>
      </x:c>
      <x:c r="G22" s="96" t="n">
        <x:v>1.3888888889</x:v>
      </x:c>
      <x:c r="H22" s="96" t="n">
        <x:v>5</x:v>
      </x:c>
      <x:c r="I22" s="96" t="n">
        <x:v>6.9444444444</x:v>
      </x:c>
      <x:c r="J22" s="96" t="n">
        <x:v>3</x:v>
      </x:c>
      <x:c r="K22" s="96" t="n">
        <x:v>20.8333333333</x:v>
      </x:c>
      <x:c r="L22" s="96" t="str">
        <x:v>Async audit event</x:v>
      </x:c>
      <x:c r="M22" s="96" t="str">
        <x:v>player/building</x:v>
      </x:c>
      <x:c r="N22" s="97" t="str">
        <x:v>Illustrative 4 mutations/day for active Module users; replace with telemetry</x:v>
      </x:c>
    </x:row>
    <x:row r="23">
      <x:c r="A23" s="95" t="str">
        <x:v>Mastery projection</x:v>
      </x:c>
      <x:c r="B23" s="96" t="n">
        <x:v>25000</x:v>
      </x:c>
      <x:c r="C23" s="96" t="str">
        <x:v>event-driven + 15m repair</x:v>
      </x:c>
      <x:c r="D23" s="96" t="str">
        <x:v>N/A</x:v>
      </x:c>
      <x:c r="E23" s="96" t="str">
        <x:v>N/A</x:v>
      </x:c>
      <x:c r="F23" s="96" t="n">
        <x:v>2400000</x:v>
      </x:c>
      <x:c r="G23" s="96" t="n">
        <x:v>27.7777777778</x:v>
      </x:c>
      <x:c r="H23" s="96" t="n">
        <x:v>3</x:v>
      </x:c>
      <x:c r="I23" s="96" t="n">
        <x:v>83.3333333333</x:v>
      </x:c>
      <x:c r="J23" s="96" t="n">
        <x:v>1</x:v>
      </x:c>
      <x:c r="K23" s="96" t="n">
        <x:v>83.3333333333</x:v>
      </x:c>
      <x:c r="L23" s="96" t="str">
        <x:v>Yes</x:v>
      </x:c>
      <x:c r="M23" s="96" t="str">
        <x:v>player</x:v>
      </x:c>
      <x:c r="N23" s="97" t="str">
        <x:v>Can consume existing activity/customer/risk streams instead of separate poll</x:v>
      </x:c>
    </x:row>
    <x:row r="24">
      <x:c r="A24" s="98" t="str">
        <x:v>Craft completion</x:v>
      </x:c>
      <x:c r="B24" s="99" t="n">
        <x:v>10000</x:v>
      </x:c>
      <x:c r="C24" s="99" t="str">
        <x:v>due-time</x:v>
      </x:c>
      <x:c r="D24" s="99" t="str">
        <x:v>N/A</x:v>
      </x:c>
      <x:c r="E24" s="99" t="str">
        <x:v>N/A</x:v>
      </x:c>
      <x:c r="F24" s="99" t="n">
        <x:v>20000</x:v>
      </x:c>
      <x:c r="G24" s="99" t="n">
        <x:v>0.2314814815</x:v>
      </x:c>
      <x:c r="H24" s="99" t="n">
        <x:v>10</x:v>
      </x:c>
      <x:c r="I24" s="99" t="n">
        <x:v>2.3148148148</x:v>
      </x:c>
      <x:c r="J24" s="99" t="n">
        <x:v>3</x:v>
      </x:c>
      <x:c r="K24" s="99" t="n">
        <x:v>6.9444444444</x:v>
      </x:c>
      <x:c r="L24" s="99" t="str">
        <x:v>Yes</x:v>
      </x:c>
      <x:c r="M24" s="99" t="str">
        <x:v>player/craft_job</x:v>
      </x:c>
      <x:c r="N24" s="100" t="str">
        <x:v>Illustrative; low average, burst around content events</x:v>
      </x:c>
    </x:row>
  </x:sheetData>
  <x:mergeCells>
    <x:mergeCell ref="A1:N1"/>
    <x:mergeCell ref="A12:N12"/>
    <x:mergeCell ref="A19:N19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32" hidden="0" customWidth="1"/>
    <x:col min="6" max="6" width="32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8" customHeight="1">
      <x:c r="A1" s="86" t="str">
        <x:v>End-to-End Technical Scenarios</x:v>
      </x:c>
      <x:c r="B1" s="86"/>
      <x:c r="C1" s="86"/>
      <x:c r="D1" s="86"/>
      <x:c r="E1" s="86"/>
      <x:c r="F1" s="86"/>
      <x:c r="G1" s="86"/>
      <x:c r="H1" s="86"/>
      <x:c r="I1" s="86"/>
      <x:c r="J1" s="86"/>
      <x:c r="K1" s="86"/>
      <x:c r="L1" s="86"/>
      <x:c r="M1" s="86"/>
      <x:c r="N1" s="86"/>
      <x:c r="O1" s="86"/>
      <x:c r="P1" s="86"/>
      <x:c r="Q1" s="22"/>
    </x:row>
    <x:row r="3">
      <x:c r="A3" s="14" t="str">
        <x:v>Scenario</x:v>
      </x:c>
      <x:c r="B3" s="14" t="str">
        <x:v>Step</x:v>
      </x:c>
      <x:c r="C3" s="14" t="str">
        <x:v>Client Action</x:v>
      </x:c>
      <x:c r="D3" s="14" t="str">
        <x:v>API / Job</x:v>
      </x:c>
      <x:c r="E3" s="14" t="str">
        <x:v>Authoritative Checks</x:v>
      </x:c>
      <x:c r="F3" s="14" t="str">
        <x:v>DB Transaction</x:v>
      </x:c>
      <x:c r="G3" s="14" t="str">
        <x:v>Event Published</x:v>
      </x:c>
      <x:c r="H3" s="14" t="str">
        <x:v>Async Consumer</x:v>
      </x:c>
      <x:c r="I3" s="14" t="str">
        <x:v>Cache Change</x:v>
      </x:c>
      <x:c r="J3" s="14" t="str">
        <x:v>Ledger Entry</x:v>
      </x:c>
      <x:c r="K3" s="14" t="str">
        <x:v>Chain Call</x:v>
      </x:c>
      <x:c r="L3" s="14" t="str">
        <x:v>Failure Retry</x:v>
      </x:c>
      <x:c r="M3" s="14" t="str">
        <x:v>User Result</x:v>
      </x:c>
      <x:c r="N3" s="14" t="str">
        <x:v>Settlement Evidence</x:v>
      </x:c>
      <x:c r="O3" s="14" t="str">
        <x:v>Priority</x:v>
      </x:c>
      <x:c r="P3" s="14" t="str">
        <x:v>Notes</x:v>
      </x:c>
    </x:row>
    <x:row r="4">
      <x:c r="A4" s="34" t="str">
        <x:v>Place Building</x:v>
      </x:c>
      <x:c r="B4" s="35" t="n">
        <x:v>1</x:v>
      </x:c>
      <x:c r="C4" s="35" t="str">
        <x:v>Drag + confirm</x:v>
      </x:c>
      <x:c r="D4" s="35" t="str">
        <x:v>POST /buildings/place</x:v>
      </x:c>
      <x:c r="E4" s="35" t="str">
        <x:v>session,ownership,active Plot,geometry,layout version</x:v>
      </x:c>
      <x:c r="F4" s="35" t="str">
        <x:v>placement + new layout version</x:v>
      </x:c>
      <x:c r="G4" s="35" t="str">
        <x:v>layout.updated</x:v>
      </x:c>
      <x:c r="H4" s="35" t="str">
        <x:v>Economy/Risk recompute</x:v>
      </x:c>
      <x:c r="I4" s="35" t="str">
        <x:v>Invalidate layout/economy</x:v>
      </x:c>
      <x:c r="J4" s="35" t="str">
        <x:v>layout mutation audit</x:v>
      </x:c>
      <x:c r="K4" s="35" t="str">
        <x:v>No</x:v>
      </x:c>
      <x:c r="L4" s="35" t="str">
        <x:v>Same idempotency key</x:v>
      </x:c>
      <x:c r="M4" s="35" t="str">
        <x:v>Building appears</x:v>
      </x:c>
      <x:c r="N4" s="35" t="str">
        <x:v>Layout version in weekly snapshot</x:v>
      </x:c>
      <x:c r="O4" s="35" t="str">
        <x:v>P0</x:v>
      </x:c>
      <x:c r="P4" s="36" t="str"/>
    </x:row>
    <x:row r="5">
      <x:c r="A5" s="37" t="str">
        <x:v>Upgrade Building</x:v>
      </x:c>
      <x:c r="B5" s="22" t="n">
        <x:v>1</x:v>
      </x:c>
      <x:c r="C5" s="22" t="str">
        <x:v>Tap upgrade</x:v>
      </x:c>
      <x:c r="D5" s="22" t="str">
        <x:v>POST /buildings/{id}/upgrade</x:v>
      </x:c>
      <x:c r="E5" s="22" t="str">
        <x:v>unlock,level,Cash,asset version</x:v>
      </x:c>
      <x:c r="F5" s="22" t="str">
        <x:v>Cash debit + level change + XP event</x:v>
      </x:c>
      <x:c r="G5" s="22" t="str">
        <x:v>building.upgraded</x:v>
      </x:c>
      <x:c r="H5" s="22" t="str">
        <x:v>Economy/Layout</x:v>
      </x:c>
      <x:c r="I5" s="22" t="str">
        <x:v>Invalidate asset/economy</x:v>
      </x:c>
      <x:c r="J5" s="22" t="str">
        <x:v>cash + upgrade ledgers</x:v>
      </x:c>
      <x:c r="K5" s="22" t="str">
        <x:v>No</x:v>
      </x:c>
      <x:c r="L5" s="22" t="str">
        <x:v>Return prior result on duplicate</x:v>
      </x:c>
      <x:c r="M5" s="22" t="str">
        <x:v>Stats update</x:v>
      </x:c>
      <x:c r="N5" s="22" t="str">
        <x:v>Eligible revenue begins on future ticks</x:v>
      </x:c>
      <x:c r="O5" s="22" t="str">
        <x:v>P0</x:v>
      </x:c>
      <x:c r="P5" s="38" t="str"/>
    </x:row>
    <x:row r="6">
      <x:c r="A6" s="37" t="str">
        <x:v>Economy Tick</x:v>
      </x:c>
      <x:c r="B6" s="22" t="n">
        <x:v>1</x:v>
      </x:c>
      <x:c r="C6" s="22" t="str">
        <x:v>None</x:v>
      </x:c>
      <x:c r="D6" s="22" t="str">
        <x:v>Worker tick</x:v>
      </x:c>
      <x:c r="E6" s="22" t="str">
        <x:v>player tick not processed, active/offline eligibility</x:v>
      </x:c>
      <x:c r="F6" s="22" t="str">
        <x:v>Post eligible Cash/activity ledger entries + checkpoint</x:v>
      </x:c>
      <x:c r="G6" s="22" t="str">
        <x:v>economy.tick_posted</x:v>
      </x:c>
      <x:c r="H6" s="22" t="str">
        <x:v>Performance/Analytics</x:v>
      </x:c>
      <x:c r="I6" s="22" t="str">
        <x:v>Update HUD cache</x:v>
      </x:c>
      <x:c r="J6" s="22" t="str">
        <x:v>Cash/activity ledger</x:v>
      </x:c>
      <x:c r="K6" s="22" t="str">
        <x:v>No</x:v>
      </x:c>
      <x:c r="L6" s="22" t="str">
        <x:v>Retry tick id</x:v>
      </x:c>
      <x:c r="M6" s="22" t="str">
        <x:v>Cash/activity update</x:v>
      </x:c>
      <x:c r="N6" s="22" t="str">
        <x:v>Ledger cursor</x:v>
      </x:c>
      <x:c r="O6" s="22" t="str">
        <x:v>P0</x:v>
      </x:c>
      <x:c r="P6" s="38" t="str"/>
    </x:row>
    <x:row r="7">
      <x:c r="A7" s="37" t="str">
        <x:v>Customer Refresh</x:v>
      </x:c>
      <x:c r="B7" s="22" t="n">
        <x:v>1</x:v>
      </x:c>
      <x:c r="C7" s="22" t="str">
        <x:v>None</x:v>
      </x:c>
      <x:c r="D7" s="22" t="str">
        <x:v>Worker refresh</x:v>
      </x:c>
      <x:c r="E7" s="22" t="str">
        <x:v>demand,Rep,Risk,capacity,event modifiers</x:v>
      </x:c>
      <x:c r="F7" s="22" t="str">
        <x:v>Customer deltas + snapshot</x:v>
      </x:c>
      <x:c r="G7" s="22" t="str">
        <x:v>customer.updated</x:v>
      </x:c>
      <x:c r="H7" s="22" t="str">
        <x:v>Economy/Risk</x:v>
      </x:c>
      <x:c r="I7" s="22" t="str">
        <x:v>Update customers cache</x:v>
      </x:c>
      <x:c r="J7" s="22" t="str">
        <x:v>customer delta ledger</x:v>
      </x:c>
      <x:c r="K7" s="22" t="str">
        <x:v>No</x:v>
      </x:c>
      <x:c r="L7" s="22" t="str">
        <x:v>Retry bucket id</x:v>
      </x:c>
      <x:c r="M7" s="22" t="str">
        <x:v>Customer counts update</x:v>
      </x:c>
      <x:c r="N7" s="22" t="str">
        <x:v>Snapshot version/deltas</x:v>
      </x:c>
      <x:c r="O7" s="22" t="str">
        <x:v>P0</x:v>
      </x:c>
      <x:c r="P7" s="38" t="str"/>
    </x:row>
    <x:row r="8">
      <x:c r="A8" s="37" t="str">
        <x:v>Choose Event</x:v>
      </x:c>
      <x:c r="B8" s="22" t="n">
        <x:v>1</x:v>
      </x:c>
      <x:c r="C8" s="22" t="str">
        <x:v>Select response</x:v>
      </x:c>
      <x:c r="D8" s="22" t="str">
        <x:v>POST /events/{id}/choose</x:v>
      </x:c>
      <x:c r="E8" s="22" t="str">
        <x:v>event active,choice valid,Cash if cost</x:v>
      </x:c>
      <x:c r="F8" s="22" t="str">
        <x:v>Resolve choice + cost + rep/risk effects</x:v>
      </x:c>
      <x:c r="G8" s="22" t="str">
        <x:v>event.resolved</x:v>
      </x:c>
      <x:c r="H8" s="22" t="str">
        <x:v>Reward/Risk/Notification</x:v>
      </x:c>
      <x:c r="I8" s="22" t="str">
        <x:v>Invalidate event/risk/economy</x:v>
      </x:c>
      <x:c r="J8" s="22" t="str">
        <x:v>event/cash/rep ledgers</x:v>
      </x:c>
      <x:c r="K8" s="22" t="str">
        <x:v>No</x:v>
      </x:c>
      <x:c r="L8" s="22" t="str">
        <x:v>Resolution id</x:v>
      </x:c>
      <x:c r="M8" s="22" t="str">
        <x:v>Outcome shown</x:v>
      </x:c>
      <x:c r="N8" s="22" t="str">
        <x:v>Event resolution evidence</x:v>
      </x:c>
      <x:c r="O8" s="22" t="str">
        <x:v>P0</x:v>
      </x:c>
      <x:c r="P8" s="38" t="str"/>
    </x:row>
    <x:row r="9">
      <x:c r="A9" s="37" t="str">
        <x:v>Complete Hunt</x:v>
      </x:c>
      <x:c r="B9" s="22" t="n">
        <x:v>1</x:v>
      </x:c>
      <x:c r="C9" s="22" t="str">
        <x:v>Perform game actions</x:v>
      </x:c>
      <x:c r="D9" s="22" t="str">
        <x:v>Activity pipeline</x:v>
      </x:c>
      <x:c r="E9" s="22" t="str">
        <x:v>assigned Hunt,valid progress,integrity</x:v>
      </x:c>
      <x:c r="F9" s="22" t="str">
        <x:v>Completion snapshot + reward reservation</x:v>
      </x:c>
      <x:c r="G9" s="22" t="str">
        <x:v>hunt.completed</x:v>
      </x:c>
      <x:c r="H9" s="22" t="str">
        <x:v>Reward/Performance</x:v>
      </x:c>
      <x:c r="I9" s="22" t="str">
        <x:v>Update Hunt/reward cache</x:v>
      </x:c>
      <x:c r="J9" s="22" t="str">
        <x:v>hunt + reward ledger</x:v>
      </x:c>
      <x:c r="K9" s="22" t="str">
        <x:v>Later stock claim</x:v>
      </x:c>
      <x:c r="L9" s="22" t="str">
        <x:v>Completion id</x:v>
      </x:c>
      <x:c r="M9" s="22" t="str">
        <x:v>Reward reserved</x:v>
      </x:c>
      <x:c r="N9" s="22" t="str">
        <x:v>Valid Hunt completion</x:v>
      </x:c>
      <x:c r="O9" s="22" t="str">
        <x:v>P0</x:v>
      </x:c>
      <x:c r="P9" s="38" t="str"/>
    </x:row>
    <x:row r="10">
      <x:c r="A10" s="37" t="str">
        <x:v>Activate Plot 2</x:v>
      </x:c>
      <x:c r="B10" s="22" t="n">
        <x:v>1</x:v>
      </x:c>
      <x:c r="C10" s="22" t="str">
        <x:v>Confirm expansion</x:v>
      </x:c>
      <x:c r="D10" s="22" t="str">
        <x:v>POST /plots/{id}/activate</x:v>
      </x:c>
      <x:c r="E10" s="22" t="str">
        <x:v>chain ownership,level,Rep,Risk,cap,Cash</x:v>
      </x:c>
      <x:c r="F10" s="22" t="str">
        <x:v>Permit debit + activation state</x:v>
      </x:c>
      <x:c r="G10" s="22" t="str">
        <x:v>plot.activated</x:v>
      </x:c>
      <x:c r="H10" s="22" t="str">
        <x:v>Layout/Economy</x:v>
      </x:c>
      <x:c r="I10" s="22" t="str">
        <x:v>Ownership/plot cache</x:v>
      </x:c>
      <x:c r="J10" s="22" t="str">
        <x:v>cash + activation ledger</x:v>
      </x:c>
      <x:c r="K10" s="22" t="str">
        <x:v>No new tx if already owned</x:v>
      </x:c>
      <x:c r="L10" s="22" t="str">
        <x:v>Request id</x:v>
      </x:c>
      <x:c r="M10" s="22" t="str">
        <x:v>Plot active after cooldown</x:v>
      </x:c>
      <x:c r="N10" s="22" t="str">
        <x:v>Plot activation snapshot</x:v>
      </x:c>
      <x:c r="O10" s="22" t="str">
        <x:v>P1</x:v>
      </x:c>
      <x:c r="P10" s="38" t="str"/>
    </x:row>
    <x:row r="11">
      <x:c r="A11" s="37" t="str">
        <x:v>Plot Ownership Transfer</x:v>
      </x:c>
      <x:c r="B11" s="22" t="n">
        <x:v>1</x:v>
      </x:c>
      <x:c r="C11" s="22" t="str">
        <x:v>External sale</x:v>
      </x:c>
      <x:c r="D11" s="22" t="str">
        <x:v>Chain listener</x:v>
      </x:c>
      <x:c r="E11" s="22" t="str">
        <x:v>canonical chain event,merge/lock state</x:v>
      </x:c>
      <x:c r="F11" s="22" t="str">
        <x:v>Update mirror + freeze/archive old gameplay state</x:v>
      </x:c>
      <x:c r="G11" s="22" t="str">
        <x:v>plot.ownership_changed</x:v>
      </x:c>
      <x:c r="H11" s="22" t="str">
        <x:v>Layout/Reward/Identity</x:v>
      </x:c>
      <x:c r="I11" s="22" t="str">
        <x:v>Invalidate plot owner cache</x:v>
      </x:c>
      <x:c r="J11" s="22" t="str">
        <x:v>ownership audit</x:v>
      </x:c>
      <x:c r="K11" s="22" t="str">
        <x:v>Chain source event</x:v>
      </x:c>
      <x:c r="L11" s="22" t="str">
        <x:v>Replay by block/log id</x:v>
      </x:c>
      <x:c r="M11" s="22" t="str">
        <x:v>New owner sees inactive Plot</x:v>
      </x:c>
      <x:c r="N11" s="22" t="str">
        <x:v>Ownership manifest</x:v>
      </x:c>
      <x:c r="O11" s="22" t="str">
        <x:v>P1</x:v>
      </x:c>
      <x:c r="P11" s="38" t="str"/>
    </x:row>
    <x:row r="12">
      <x:c r="A12" s="37" t="str">
        <x:v>Weekly Settlement</x:v>
      </x:c>
      <x:c r="B12" s="22" t="n">
        <x:v>1</x:v>
      </x:c>
      <x:c r="C12" s="22" t="str">
        <x:v>None</x:v>
      </x:c>
      <x:c r="D12" s="22" t="str">
        <x:v>Snapshot/Reconcile/Finalize jobs</x:v>
      </x:c>
      <x:c r="E12" s="22" t="str">
        <x:v>source completeness,eligibility,integrity,pool conservation</x:v>
      </x:c>
      <x:c r="F12" s="22" t="str">
        <x:v>Frozen result rows + claims + rating events</x:v>
      </x:c>
      <x:c r="G12" s="22" t="str">
        <x:v>performance.finalized / league.updated</x:v>
      </x:c>
      <x:c r="H12" s="22" t="str">
        <x:v>Reward/UI/Analytics</x:v>
      </x:c>
      <x:c r="I12" s="22" t="str">
        <x:v>Replace leaderboard/result cache</x:v>
      </x:c>
      <x:c r="J12" s="22" t="str">
        <x:v>settlement/rating/reward ledgers</x:v>
      </x:c>
      <x:c r="K12" s="22" t="str">
        <x:v>Claim root/tx later</x:v>
      </x:c>
      <x:c r="L12" s="22" t="str">
        <x:v>Phase idempotency</x:v>
      </x:c>
      <x:c r="M12" s="22" t="str">
        <x:v>Final score/payout</x:v>
      </x:c>
      <x:c r="N12" s="22" t="str">
        <x:v>Full manifest + checksums</x:v>
      </x:c>
      <x:c r="O12" s="22" t="str">
        <x:v>P0</x:v>
      </x:c>
      <x:c r="P12" s="38" t="str"/>
    </x:row>
    <x:row r="13">
      <x:c r="A13" s="39" t="str">
        <x:v>Claim $PLOT</x:v>
      </x:c>
      <x:c r="B13" s="40" t="n">
        <x:v>1</x:v>
      </x:c>
      <x:c r="C13" s="40" t="str">
        <x:v>Tap claim</x:v>
      </x:c>
      <x:c r="D13" s="40" t="str">
        <x:v>POST /rewards/{id}/claim</x:v>
      </x:c>
      <x:c r="E13" s="40" t="str">
        <x:v>owner,wallet,reward open,not held/not claimed</x:v>
      </x:c>
      <x:c r="F13" s="40" t="str">
        <x:v>Mark submitted + external ref</x:v>
      </x:c>
      <x:c r="G13" s="40" t="str">
        <x:v>reward.claim_submitted</x:v>
      </x:c>
      <x:c r="H13" s="40" t="str">
        <x:v>Chain reconcile</x:v>
      </x:c>
      <x:c r="I13" s="40" t="str">
        <x:v>Update reward status cache</x:v>
      </x:c>
      <x:c r="J13" s="40" t="str">
        <x:v>claim ledger</x:v>
      </x:c>
      <x:c r="K13" s="40" t="str">
        <x:v>Yes</x:v>
      </x:c>
      <x:c r="L13" s="40" t="str">
        <x:v>Same reward/external ref</x:v>
      </x:c>
      <x:c r="M13" s="40" t="str">
        <x:v>Pending→confirmed</x:v>
      </x:c>
      <x:c r="N13" s="40" t="str">
        <x:v>Claim ledger independent of score</x:v>
      </x:c>
      <x:c r="O13" s="40" t="str">
        <x:v>P1</x:v>
      </x:c>
      <x:c r="P13" s="41" t="str"/>
    </x:row>
    <x:row r="14">
      <x:c r="A14" s="92" t="str">
        <x:v>Equip Module</x:v>
      </x:c>
      <x:c r="B14" s="93" t="n">
        <x:v>1</x:v>
      </x:c>
      <x:c r="C14" s="93" t="str">
        <x:v>Select slot + Module</x:v>
      </x:c>
      <x:c r="D14" s="93" t="str">
        <x:v>POST /buildings/{id}/modules/equip</x:v>
      </x:c>
      <x:c r="E14" s="93" t="str">
        <x:v>session,building owner,available copy,slot unlocked,compatibility,no duplicate ID,Legendary limit,event lock,loadout version</x:v>
      </x:c>
      <x:c r="F14" s="93" t="str">
        <x:v>inventory equipped count + slot + loadout version</x:v>
      </x:c>
      <x:c r="G14" s="93" t="str">
        <x:v>module.equipped</x:v>
      </x:c>
      <x:c r="H14" s="93" t="str">
        <x:v>Economy/Customer/Risk resolver invalidation</x:v>
      </x:c>
      <x:c r="I14" s="93" t="str">
        <x:v>Invalidate loadout/economy/customer/risk caches</x:v>
      </x:c>
      <x:c r="J14" s="93" t="str">
        <x:v>loadout audit</x:v>
      </x:c>
      <x:c r="K14" s="93" t="str">
        <x:v>No</x:v>
      </x:c>
      <x:c r="L14" s="93" t="str">
        <x:v>Same idempotency key</x:v>
      </x:c>
      <x:c r="M14" s="93" t="str">
        <x:v>Module shows equipped; effect starts next relevant tick</x:v>
      </x:c>
      <x:c r="N14" s="93" t="str">
        <x:v>loadout/config refs on resulting source ledgers</x:v>
      </x:c>
      <x:c r="O14" s="93" t="str">
        <x:v>P0</x:v>
      </x:c>
      <x:c r="P14" s="94" t="str">
        <x:v>Client does not submit modifier value</x:v>
      </x:c>
    </x:row>
    <x:row r="15">
      <x:c r="A15" s="95" t="str">
        <x:v>Resolve Module Effects</x:v>
      </x:c>
      <x:c r="B15" s="96" t="n">
        <x:v>1</x:v>
      </x:c>
      <x:c r="C15" s="96" t="str">
        <x:v>None</x:v>
      </x:c>
      <x:c r="D15" s="96" t="str">
        <x:v>In-process/internal resolver</x:v>
      </x:c>
      <x:c r="E15" s="96" t="str">
        <x:v>loadout/config versions,context,conditions,stacking,caps</x:v>
      </x:c>
      <x:c r="F15" s="96" t="str">
        <x:v>No gameplay DB transaction; optional trace write</x:v>
      </x:c>
      <x:c r="G15" s="96" t="str">
        <x:v>module.effect_resolved optional diagnostic</x:v>
      </x:c>
      <x:c r="H15" s="96" t="str">
        <x:v>Economy/Customer/Risk consumes vector</x:v>
      </x:c>
      <x:c r="I15" s="96" t="str">
        <x:v>Compiled-plan cache fill</x:v>
      </x:c>
      <x:c r="J15" s="96" t="str">
        <x:v>optional trace/audit</x:v>
      </x:c>
      <x:c r="K15" s="96" t="str">
        <x:v>No</x:v>
      </x:c>
      <x:c r="L15" s="96" t="str">
        <x:v>Recompute deterministic</x:v>
      </x:c>
      <x:c r="M15" s="96" t="str">
        <x:v>Underlying business modifiers applied</x:v>
      </x:c>
      <x:c r="N15" s="96" t="str">
        <x:v>lineage ref if retained</x:v>
      </x:c>
      <x:c r="O15" s="96" t="str">
        <x:v>P0</x:v>
      </x:c>
      <x:c r="P15" s="97" t="str">
        <x:v>Order: base→placement→Modules→Events→risk/rep/customer quality→caps</x:v>
      </x:c>
    </x:row>
    <x:row r="16">
      <x:c r="A16" s="95" t="str">
        <x:v>Mastery Reward</x:v>
      </x:c>
      <x:c r="B16" s="96" t="n">
        <x:v>1</x:v>
      </x:c>
      <x:c r="C16" s="96" t="str">
        <x:v>Choose reward after tier complete</x:v>
      </x:c>
      <x:c r="D16" s="96" t="str">
        <x:v>POST /building-mastery/{tier}/claim</x:v>
      </x:c>
      <x:c r="E16" s="96" t="str">
        <x:v>progress complete,quality gate,unclaimed,choice valid</x:v>
      </x:c>
      <x:c r="F16" s="96" t="str">
        <x:v>mark mastery claimed + reward ledger + inventory</x:v>
      </x:c>
      <x:c r="G16" s="96" t="str">
        <x:v>mastery.reward_claimed / module.acquired</x:v>
      </x:c>
      <x:c r="H16" s="96" t="str">
        <x:v>UI/Analytics</x:v>
      </x:c>
      <x:c r="I16" s="96" t="str">
        <x:v>Invalidate mastery/inventory</x:v>
      </x:c>
      <x:c r="J16" s="96" t="str">
        <x:v>mastery + module reward ledgers</x:v>
      </x:c>
      <x:c r="K16" s="96" t="str">
        <x:v>No</x:v>
      </x:c>
      <x:c r="L16" s="96" t="str">
        <x:v>Same request/source ids</x:v>
      </x:c>
      <x:c r="M16" s="96" t="str">
        <x:v>Module appears exactly once</x:v>
      </x:c>
      <x:c r="N16" s="96" t="str">
        <x:v>No direct score input</x:v>
      </x:c>
      <x:c r="O16" s="96" t="str">
        <x:v>P1</x:v>
      </x:c>
      <x:c r="P16" s="97" t="str"/>
    </x:row>
    <x:row r="17">
      <x:c r="A17" s="95" t="str">
        <x:v>Dismantle Module</x:v>
      </x:c>
      <x:c r="B17" s="96" t="n">
        <x:v>1</x:v>
      </x:c>
      <x:c r="C17" s="96" t="str">
        <x:v>Select unequipped copies</x:v>
      </x:c>
      <x:c r="D17" s="96" t="str">
        <x:v>POST /modules/dismantle</x:v>
      </x:c>
      <x:c r="E17" s="96" t="str">
        <x:v>available=owned-equipped &gt;= qty</x:v>
      </x:c>
      <x:c r="F17" s="96" t="str">
        <x:v>inventory decrement + same-tier Parts credit</x:v>
      </x:c>
      <x:c r="G17" s="96" t="str">
        <x:v>module.dismantled</x:v>
      </x:c>
      <x:c r="H17" s="96" t="str">
        <x:v>Analytics/UI</x:v>
      </x:c>
      <x:c r="I17" s="96" t="str">
        <x:v>Invalidate inventory/Parts</x:v>
      </x:c>
      <x:c r="J17" s="96" t="str">
        <x:v>parts + inventory audit</x:v>
      </x:c>
      <x:c r="K17" s="96" t="str">
        <x:v>No</x:v>
      </x:c>
      <x:c r="L17" s="96" t="str">
        <x:v>Same key</x:v>
      </x:c>
      <x:c r="M17" s="96" t="str">
        <x:v>Parts balance increases</x:v>
      </x:c>
      <x:c r="N17" s="96" t="str">
        <x:v>No direct settlement input</x:v>
      </x:c>
      <x:c r="O17" s="96" t="str">
        <x:v>P2</x:v>
      </x:c>
      <x:c r="P17" s="97" t="str"/>
    </x:row>
    <x:row r="18">
      <x:c r="A18" s="95" t="str">
        <x:v>Craft Module</x:v>
      </x:c>
      <x:c r="B18" s="96" t="n">
        <x:v>1</x:v>
      </x:c>
      <x:c r="C18" s="96" t="str">
        <x:v>Choose exact Module</x:v>
      </x:c>
      <x:c r="D18" s="96" t="str">
        <x:v>POST /modules/craft</x:v>
      </x:c>
      <x:c r="E18" s="96" t="str">
        <x:v>stage/mastery gate,recipe active,Parts balance,craft queue capacity</x:v>
      </x:c>
      <x:c r="F18" s="96" t="str">
        <x:v>Parts debit/reserve + craft job</x:v>
      </x:c>
      <x:c r="G18" s="96" t="str">
        <x:v>module.craft_started</x:v>
      </x:c>
      <x:c r="H18" s="96" t="str">
        <x:v>Craft scheduler/UI</x:v>
      </x:c>
      <x:c r="I18" s="96" t="str">
        <x:v>Update craft queue/Parts</x:v>
      </x:c>
      <x:c r="J18" s="96" t="str">
        <x:v>craft + Parts ledgers</x:v>
      </x:c>
      <x:c r="K18" s="96" t="str">
        <x:v>No</x:v>
      </x:c>
      <x:c r="L18" s="96" t="str">
        <x:v>Same key</x:v>
      </x:c>
      <x:c r="M18" s="96" t="str">
        <x:v>Craft timer starts</x:v>
      </x:c>
      <x:c r="N18" s="96" t="str">
        <x:v>No direct settlement input</x:v>
      </x:c>
      <x:c r="O18" s="96" t="str">
        <x:v>P2</x:v>
      </x:c>
      <x:c r="P18" s="97" t="str">
        <x:v>Completion later grants exactly once</x:v>
      </x:c>
    </x:row>
    <x:row r="19">
      <x:c r="A19" s="95" t="str">
        <x:v>Craft Completion</x:v>
      </x:c>
      <x:c r="B19" s="96" t="n">
        <x:v>2</x:v>
      </x:c>
      <x:c r="C19" s="96" t="str">
        <x:v>None</x:v>
      </x:c>
      <x:c r="D19" s="96" t="str">
        <x:v>Module Craft Completion job</x:v>
      </x:c>
      <x:c r="E19" s="96" t="str">
        <x:v>job due,not completed,recipe version pinned</x:v>
      </x:c>
      <x:c r="F19" s="96" t="str">
        <x:v>job complete + inventory grant + reward ledger</x:v>
      </x:c>
      <x:c r="G19" s="96" t="str">
        <x:v>module.crafted / module.acquired</x:v>
      </x:c>
      <x:c r="H19" s="96" t="str">
        <x:v>UI/Analytics</x:v>
      </x:c>
      <x:c r="I19" s="96" t="str">
        <x:v>Invalidate inventory/craft</x:v>
      </x:c>
      <x:c r="J19" s="96" t="str">
        <x:v>craft/reward ledgers</x:v>
      </x:c>
      <x:c r="K19" s="96" t="str">
        <x:v>No</x:v>
      </x:c>
      <x:c r="L19" s="96" t="str">
        <x:v>craft_job_id</x:v>
      </x:c>
      <x:c r="M19" s="96" t="str">
        <x:v>Module deposited even offline</x:v>
      </x:c>
      <x:c r="N19" s="96" t="str">
        <x:v>No direct settlement input</x:v>
      </x:c>
      <x:c r="O19" s="96" t="str">
        <x:v>P2</x:v>
      </x:c>
      <x:c r="P19" s="97" t="str"/>
    </x:row>
    <x:row r="20">
      <x:c r="A20" s="98" t="str">
        <x:v>Remove Building with Modules</x:v>
      </x:c>
      <x:c r="B20" s="99" t="n">
        <x:v>1</x:v>
      </x:c>
      <x:c r="C20" s="99" t="str">
        <x:v>Remove/archive building</x:v>
      </x:c>
      <x:c r="D20" s="99" t="str">
        <x:v>Building removal command</x:v>
      </x:c>
      <x:c r="E20" s="99" t="str">
        <x:v>building owner,loadout version,event locks</x:v>
      </x:c>
      <x:c r="F20" s="99" t="str">
        <x:v>building state + clear loadout + decrement equipped counters</x:v>
      </x:c>
      <x:c r="G20" s="99" t="str">
        <x:v>building.removed + module.unequipped batch/audit</x:v>
      </x:c>
      <x:c r="H20" s="99" t="str">
        <x:v>Economy/Customer/Risk/UI</x:v>
      </x:c>
      <x:c r="I20" s="99" t="str">
        <x:v>Invalidate layout/loadout/economy</x:v>
      </x:c>
      <x:c r="J20" s="99" t="str">
        <x:v>asset + loadout audit</x:v>
      </x:c>
      <x:c r="K20" s="99" t="str">
        <x:v>No</x:v>
      </x:c>
      <x:c r="L20" s="99" t="str">
        <x:v>Same request id</x:v>
      </x:c>
      <x:c r="M20" s="99" t="str">
        <x:v>Modules return to available inventory</x:v>
      </x:c>
      <x:c r="N20" s="99" t="str">
        <x:v>Future ticks use empty loadout</x:v>
      </x:c>
      <x:c r="O20" s="99" t="str">
        <x:v>P0</x:v>
      </x:c>
      <x:c r="P20" s="100" t="str">
        <x:v>Atomic to prevent lost/duplicated copies</x:v>
      </x:c>
    </x:row>
  </x:sheetData>
  <x:mergeCells>
    <x:mergeCell ref="A1:P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34" hidden="0" customWidth="1"/>
    <x:col min="7" max="7" width="34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</x:cols>
  <x:sheetData>
    <x:row r="1" ht="28" customHeight="1">
      <x:c r="A1" s="86" t="str">
        <x:v>Technical Specification Checks — Backend v0.2</x:v>
      </x:c>
      <x:c r="B1" s="86"/>
      <x:c r="C1" s="86"/>
      <x:c r="D1" s="86"/>
      <x:c r="E1" s="86"/>
      <x:c r="F1" s="86"/>
      <x:c r="G1" s="86"/>
      <x:c r="H1" s="22"/>
      <x:c r="I1" s="22"/>
      <x:c r="J1" s="22"/>
      <x:c r="K1" s="22"/>
      <x:c r="L1" s="22"/>
      <x:c r="M1" s="22"/>
      <x:c r="N1" s="22"/>
      <x:c r="O1" s="22"/>
      <x:c r="P1" s="22"/>
    </x:row>
    <x:row r="3">
      <x:c r="A3" s="105" t="str">
        <x:v>Check</x:v>
      </x:c>
      <x:c r="B3" s="105" t="str">
        <x:v>Expected</x:v>
      </x:c>
      <x:c r="C3" s="105" t="str">
        <x:v>Actual</x:v>
      </x:c>
      <x:c r="D3" s="105" t="str">
        <x:v>Status</x:v>
      </x:c>
      <x:c r="E3" s="105" t="str">
        <x:v>Severity</x:v>
      </x:c>
      <x:c r="F3" s="105" t="str">
        <x:v>Why It Matters</x:v>
      </x:c>
      <x:c r="G3" s="105" t="str">
        <x:v>Notes</x:v>
      </x:c>
    </x:row>
    <x:row r="4">
      <x:c r="A4" s="92" t="str">
        <x:v>Economy tick is 5 minutes</x:v>
      </x:c>
      <x:c r="B4" s="93" t="n">
        <x:v>5</x:v>
      </x:c>
      <x:c r="C4" s="93" t="n">
        <x:f>'01_Assumptions'!B8</x:f>
        <x:v>5</x:v>
      </x:c>
      <x:c r="D4" s="93" t="str">
        <x:f>IF(C4=B4,"PASS","CHECK")</x:f>
        <x:v>PASS</x:v>
      </x:c>
      <x:c r="E4" s="93" t="str">
        <x:v>High</x:v>
      </x:c>
      <x:c r="F4" s="93" t="str">
        <x:v>Matches economic model cadence</x:v>
      </x:c>
      <x:c r="G4" s="94" t="str"/>
    </x:row>
    <x:row r="5">
      <x:c r="A5" s="95" t="str">
        <x:v>Customer refresh is 15 minutes</x:v>
      </x:c>
      <x:c r="B5" s="96" t="n">
        <x:v>15</x:v>
      </x:c>
      <x:c r="C5" s="96" t="n">
        <x:f>'01_Assumptions'!B9</x:f>
        <x:v>15</x:v>
      </x:c>
      <x:c r="D5" s="96" t="str">
        <x:f>IF(C5=B5,"PASS","CHECK")</x:f>
        <x:v>PASS</x:v>
      </x:c>
      <x:c r="E5" s="96" t="str">
        <x:v>High</x:v>
      </x:c>
      <x:c r="F5" s="96" t="str">
        <x:v>Matches customer model cadence</x:v>
      </x:c>
      <x:c r="G5" s="97" t="str"/>
    </x:row>
    <x:row r="6">
      <x:c r="A6" s="95" t="str">
        <x:v>Event refresh is 60 minutes</x:v>
      </x:c>
      <x:c r="B6" s="96" t="n">
        <x:v>60</x:v>
      </x:c>
      <x:c r="C6" s="96" t="n">
        <x:f>'01_Assumptions'!B10</x:f>
        <x:v>60</x:v>
      </x:c>
      <x:c r="D6" s="96" t="str">
        <x:f>IF(C6=B6,"PASS","CHECK")</x:f>
        <x:v>PASS</x:v>
      </x:c>
      <x:c r="E6" s="96" t="str">
        <x:v>Medium</x:v>
      </x:c>
      <x:c r="F6" s="96" t="str">
        <x:v>Matches event model cadence</x:v>
      </x:c>
      <x:c r="G6" s="97" t="str"/>
    </x:row>
    <x:row r="7">
      <x:c r="A7" s="95" t="str">
        <x:v>Offline accrual cap is 12 hours</x:v>
      </x:c>
      <x:c r="B7" s="96" t="n">
        <x:v>12</x:v>
      </x:c>
      <x:c r="C7" s="96" t="n">
        <x:f>'01_Assumptions'!B11</x:f>
        <x:v>12</x:v>
      </x:c>
      <x:c r="D7" s="96" t="str">
        <x:f>IF(C7=B7,"PASS","CHECK")</x:f>
        <x:v>PASS</x:v>
      </x:c>
      <x:c r="E7" s="96" t="str">
        <x:v>High</x:v>
      </x:c>
      <x:c r="F7" s="96" t="str">
        <x:v>Matches current Idle / Offline Economy spec</x:v>
      </x:c>
      <x:c r="G7" s="97" t="str"/>
    </x:row>
    <x:row r="8">
      <x:c r="A8" s="95" t="str">
        <x:v>Service availability target &gt;=99.5%</x:v>
      </x:c>
      <x:c r="B8" s="112" t="n">
        <x:v>0.995</x:v>
      </x:c>
      <x:c r="C8" s="112" t="n">
        <x:f>'01_Assumptions'!B16</x:f>
        <x:v>0.999</x:v>
      </x:c>
      <x:c r="D8" s="96" t="str">
        <x:f>IF(C8&gt;=B8,"PASS","CHECK")</x:f>
        <x:v>PASS</x:v>
      </x:c>
      <x:c r="E8" s="96" t="str">
        <x:v>High</x:v>
      </x:c>
      <x:c r="F8" s="96" t="str">
        <x:v>Reliability floor</x:v>
      </x:c>
      <x:c r="G8" s="97" t="str"/>
    </x:row>
    <x:row r="9">
      <x:c r="A9" s="95" t="str">
        <x:v>Settlement window &lt;=8 hours</x:v>
      </x:c>
      <x:c r="B9" s="96" t="n">
        <x:v>8</x:v>
      </x:c>
      <x:c r="C9" s="96" t="n">
        <x:f>'01_Assumptions'!B19</x:f>
        <x:v>6</x:v>
      </x:c>
      <x:c r="D9" s="96" t="str">
        <x:f>IF(C9&lt;=B9,"PASS","CHECK")</x:f>
        <x:v>PASS</x:v>
      </x:c>
      <x:c r="E9" s="96" t="str">
        <x:v>Critical</x:v>
      </x:c>
      <x:c r="F9" s="96" t="str">
        <x:v>Weekly payout SLA</x:v>
      </x:c>
      <x:c r="G9" s="97" t="str"/>
    </x:row>
    <x:row r="10">
      <x:c r="A10" s="95" t="str">
        <x:v>Core cash ledger is append-only</x:v>
      </x:c>
      <x:c r="B10" s="96" t="n">
        <x:v>1</x:v>
      </x:c>
      <x:c r="C10" s="96" t="n">
        <x:f>IF('12_Persistence_Schema'!I10="Yes",1,0)</x:f>
        <x:v>1</x:v>
      </x:c>
      <x:c r="D10" s="96" t="str">
        <x:f>IF(C10=B10,"PASS","CHECK")</x:f>
        <x:v>PASS</x:v>
      </x:c>
      <x:c r="E10" s="96" t="str">
        <x:v>Critical</x:v>
      </x:c>
      <x:c r="F10" s="96" t="str">
        <x:v>Economic auditability</x:v>
      </x:c>
      <x:c r="G10" s="97" t="str"/>
    </x:row>
    <x:row r="11">
      <x:c r="A11" s="95" t="str">
        <x:v>Weekly results immutable after final</x:v>
      </x:c>
      <x:c r="B11" s="96" t="n">
        <x:v>1</x:v>
      </x:c>
      <x:c r="C11" s="96" t="n">
        <x:f>IF('12_Persistence_Schema'!H21="No after final",1,0)</x:f>
        <x:v>1</x:v>
      </x:c>
      <x:c r="D11" s="96" t="str">
        <x:f>IF(C11=B11,"PASS","CHECK")</x:f>
        <x:v>PASS</x:v>
      </x:c>
      <x:c r="E11" s="96" t="str">
        <x:v>Critical</x:v>
      </x:c>
      <x:c r="F11" s="96" t="str">
        <x:v>Settlement integrity</x:v>
      </x:c>
      <x:c r="G11" s="97" t="str"/>
    </x:row>
    <x:row r="12">
      <x:c r="A12" s="95" t="str">
        <x:v>Client cannot author economy outcome</x:v>
      </x:c>
      <x:c r="B12" s="96" t="n">
        <x:v>1</x:v>
      </x:c>
      <x:c r="C12" s="96" t="n">
        <x:f>IF('18_Integrity_AntiCheat'!A4="Client-forged Cash/customers",1,0)</x:f>
        <x:v>1</x:v>
      </x:c>
      <x:c r="D12" s="96" t="str">
        <x:f>IF(C12=B12,"PASS","CHECK")</x:f>
        <x:v>PASS</x:v>
      </x:c>
      <x:c r="E12" s="96" t="str">
        <x:v>Critical</x:v>
      </x:c>
      <x:c r="F12" s="96" t="str">
        <x:v>Anti-cheat trust boundary</x:v>
      </x:c>
      <x:c r="G12" s="97" t="str"/>
    </x:row>
    <x:row r="13">
      <x:c r="A13" s="95" t="str">
        <x:v>Plot ownership chain sourced</x:v>
      </x:c>
      <x:c r="B13" s="96" t="n">
        <x:v>1</x:v>
      </x:c>
      <x:c r="C13" s="96" t="n">
        <x:f>IF('03_State_Ownership'!K8="Yes",1,0)</x:f>
        <x:v>1</x:v>
      </x:c>
      <x:c r="D13" s="96" t="str">
        <x:f>IF(C13=B13,"PASS","CHECK")</x:f>
        <x:v>PASS</x:v>
      </x:c>
      <x:c r="E13" s="96" t="str">
        <x:v>Critical</x:v>
      </x:c>
      <x:c r="F13" s="96" t="str">
        <x:v>Land ownership correctness</x:v>
      </x:c>
      <x:c r="G13" s="97" t="str"/>
    </x:row>
    <x:row r="14">
      <x:c r="A14" s="95" t="str">
        <x:v>Performance score rebuildable</x:v>
      </x:c>
      <x:c r="B14" s="96" t="n">
        <x:v>1</x:v>
      </x:c>
      <x:c r="C14" s="96" t="n">
        <x:f>IF('03_State_Ownership'!L20="Yes",1,0)</x:f>
        <x:v>1</x:v>
      </x:c>
      <x:c r="D14" s="96" t="str">
        <x:f>IF(C14=B14,"PASS","CHECK")</x:f>
        <x:v>PASS</x:v>
      </x:c>
      <x:c r="E14" s="96" t="str">
        <x:v>Critical</x:v>
      </x:c>
      <x:c r="F14" s="96" t="str">
        <x:v>Dispute/recovery capability</x:v>
      </x:c>
      <x:c r="G14" s="97" t="str"/>
    </x:row>
    <x:row r="15">
      <x:c r="A15" s="95" t="str">
        <x:v>Reward claim is idempotent</x:v>
      </x:c>
      <x:c r="B15" s="96" t="n">
        <x:v>1</x:v>
      </x:c>
      <x:c r="C15" s="96" t="n">
        <x:f>IF('17_Idempotency_Concurrency'!I11="Yes",1,0)</x:f>
        <x:v>1</x:v>
      </x:c>
      <x:c r="D15" s="96" t="str">
        <x:f>IF(C15=B15,"PASS","CHECK")</x:f>
        <x:v>PASS</x:v>
      </x:c>
      <x:c r="E15" s="96" t="str">
        <x:v>Critical</x:v>
      </x:c>
      <x:c r="F15" s="96" t="str">
        <x:v>No duplicate reward claim</x:v>
      </x:c>
      <x:c r="G15" s="97" t="str"/>
    </x:row>
    <x:row r="16">
      <x:c r="A16" s="95" t="str">
        <x:v>No per-move chain dependency</x:v>
      </x:c>
      <x:c r="B16" s="96" t="n">
        <x:v>1</x:v>
      </x:c>
      <x:c r="C16" s="96" t="n">
        <x:f>IF('14_API_Surface'!M7="No",1,0)</x:f>
        <x:v>1</x:v>
      </x:c>
      <x:c r="D16" s="96" t="str">
        <x:f>IF(C16=B16,"PASS","CHECK")</x:f>
        <x:v>PASS</x:v>
      </x:c>
      <x:c r="E16" s="96" t="str">
        <x:v>High</x:v>
      </x:c>
      <x:c r="F16" s="96" t="str">
        <x:v>Low-latency Build Mode</x:v>
      </x:c>
      <x:c r="G16" s="97" t="str"/>
    </x:row>
    <x:row r="17">
      <x:c r="A17" s="95" t="str">
        <x:v>Settlement source manifest retains 7 scoring sources</x:v>
      </x:c>
      <x:c r="B17" s="96" t="n">
        <x:v>7</x:v>
      </x:c>
      <x:c r="C17" s="96" t="n">
        <x:f>COUNTA('10_Performance_Settlement'!A12:A18)</x:f>
        <x:v>7</x:v>
      </x:c>
      <x:c r="D17" s="96" t="str">
        <x:f>IF(C17=B17,"PASS","CHECK")</x:f>
        <x:v>PASS</x:v>
      </x:c>
      <x:c r="E17" s="96" t="str">
        <x:v>High</x:v>
      </x:c>
      <x:c r="F17" s="96" t="str">
        <x:v>Module lineage is separate from direct score inputs</x:v>
      </x:c>
      <x:c r="G17" s="97" t="str"/>
    </x:row>
    <x:row r="18">
      <x:c r="A18" s="95" t="str">
        <x:v>Module Service/domain is first-class</x:v>
      </x:c>
      <x:c r="B18" s="96" t="n">
        <x:v>1</x:v>
      </x:c>
      <x:c r="C18" s="96" t="n">
        <x:f>IF('02_Architecture'!A19="Module Service / Domain",1,0)</x:f>
        <x:v>1</x:v>
      </x:c>
      <x:c r="D18" s="96" t="str">
        <x:f>IF(C18=B18,"PASS","CHECK")</x:f>
        <x:v>PASS</x:v>
      </x:c>
      <x:c r="E18" s="96" t="str">
        <x:v>Critical</x:v>
      </x:c>
      <x:c r="F18" s="96" t="str">
        <x:v>Modules must not be a client-only bolt-on</x:v>
      </x:c>
      <x:c r="G18" s="97" t="str"/>
    </x:row>
    <x:row r="19">
      <x:c r="A19" s="106" t="str">
        <x:v>Module persistence tables &gt;=10</x:v>
      </x:c>
      <x:c r="B19" s="40" t="n">
        <x:v>10</x:v>
      </x:c>
      <x:c r="C19" s="40" t="n">
        <x:f>COUNTA('12_Persistence_Schema'!A24:A33)</x:f>
        <x:v>10</x:v>
      </x:c>
      <x:c r="D19" s="40" t="str">
        <x:f>IF(C19&gt;=B19,"PASS","CHECK")</x:f>
        <x:v>PASS</x:v>
      </x:c>
      <x:c r="E19" s="40" t="str">
        <x:v>Critical</x:v>
      </x:c>
      <x:c r="F19" s="40" t="str">
        <x:v>Inventory/loadout/mastery/Parts/craft state covered</x:v>
      </x:c>
      <x:c r="G19" s="107" t="str"/>
    </x:row>
    <x:row r="20">
      <x:c r="A20" s="95" t="str">
        <x:v>Module API contracts &gt;=10</x:v>
      </x:c>
      <x:c r="B20" s="96" t="n">
        <x:v>10</x:v>
      </x:c>
      <x:c r="C20" s="96" t="n">
        <x:f>COUNTA('14_API_Surface'!A21:A30)</x:f>
        <x:v>10</x:v>
      </x:c>
      <x:c r="D20" s="96" t="str">
        <x:f>IF(C20&gt;=B20,"PASS","CHECK")</x:f>
        <x:v>PASS</x:v>
      </x:c>
      <x:c r="E20" s="96" t="str">
        <x:v>High</x:v>
      </x:c>
      <x:c r="F20" s="96" t="str">
        <x:v>Implementation surface complete</x:v>
      </x:c>
      <x:c r="G20" s="97" t="str"/>
    </x:row>
    <x:row r="21">
      <x:c r="A21" s="95" t="str">
        <x:v>Max Module slots =4</x:v>
      </x:c>
      <x:c r="B21" s="96" t="n">
        <x:v>4</x:v>
      </x:c>
      <x:c r="C21" s="96" t="n">
        <x:f>'01_Assumptions'!B22</x:f>
        <x:v>4</x:v>
      </x:c>
      <x:c r="D21" s="96" t="str">
        <x:f>IF(C21=B21,"PASS","CHECK")</x:f>
        <x:v>PASS</x:v>
      </x:c>
      <x:c r="E21" s="96" t="str">
        <x:v>High</x:v>
      </x:c>
      <x:c r="F21" s="96" t="str">
        <x:v>Matches Module system</x:v>
      </x:c>
      <x:c r="G21" s="97" t="str"/>
    </x:row>
    <x:row r="22">
      <x:c r="A22" s="95" t="str">
        <x:v>Legendary limit =1</x:v>
      </x:c>
      <x:c r="B22" s="96" t="n">
        <x:v>1</x:v>
      </x:c>
      <x:c r="C22" s="96" t="n">
        <x:f>'01_Assumptions'!B23</x:f>
        <x:v>1</x:v>
      </x:c>
      <x:c r="D22" s="96" t="str">
        <x:f>IF(C22=B22,"PASS","CHECK")</x:f>
        <x:v>PASS</x:v>
      </x:c>
      <x:c r="E22" s="96" t="str">
        <x:v>High</x:v>
      </x:c>
      <x:c r="F22" s="96" t="str">
        <x:v>Prevents Legendary pileup</x:v>
      </x:c>
      <x:c r="G22" s="97" t="str"/>
    </x:row>
    <x:row r="23">
      <x:c r="A23" s="95" t="str">
        <x:v>Supported Module effect primitives =8</x:v>
      </x:c>
      <x:c r="B23" s="96" t="n">
        <x:v>8</x:v>
      </x:c>
      <x:c r="C23" s="96" t="n">
        <x:f>'01_Assumptions'!B24</x:f>
        <x:v>8</x:v>
      </x:c>
      <x:c r="D23" s="96" t="str">
        <x:f>IF(C23=B23,"PASS","CHECK")</x:f>
        <x:v>PASS</x:v>
      </x:c>
      <x:c r="E23" s="96" t="str">
        <x:v>High</x:v>
      </x:c>
      <x:c r="F23" s="96" t="str">
        <x:v>Runtime bounded to approved primitives</x:v>
      </x:c>
      <x:c r="G23" s="97" t="str"/>
    </x:row>
    <x:row r="24">
      <x:c r="A24" s="95" t="str">
        <x:v>Client-forged Module effects rejected</x:v>
      </x:c>
      <x:c r="B24" s="96" t="n">
        <x:v>1</x:v>
      </x:c>
      <x:c r="C24" s="96" t="n">
        <x:f>COUNTIF('18_Integrity_AntiCheat'!A13:A16,"Client-forged Module effect")</x:f>
        <x:v>1</x:v>
      </x:c>
      <x:c r="D24" s="96" t="str">
        <x:f>IF(C24=B24,"PASS","CHECK")</x:f>
        <x:v>PASS</x:v>
      </x:c>
      <x:c r="E24" s="96" t="str">
        <x:v>Critical</x:v>
      </x:c>
      <x:c r="F24" s="96" t="str">
        <x:v>Server owns modifier outcomes</x:v>
      </x:c>
      <x:c r="G24" s="97" t="str"/>
    </x:row>
    <x:row r="25">
      <x:c r="A25" s="95" t="str">
        <x:v>Direct Module Performance component prohibited</x:v>
      </x:c>
      <x:c r="B25" s="96" t="n">
        <x:v>1</x:v>
      </x:c>
      <x:c r="C25" s="96" t="n">
        <x:f>COUNTIF('10_Performance_Settlement'!A25:A29,"No direct Module component")</x:f>
        <x:v>1</x:v>
      </x:c>
      <x:c r="D25" s="96" t="str">
        <x:f>IF(C25=B25,"PASS","CHECK")</x:f>
        <x:v>PASS</x:v>
      </x:c>
      <x:c r="E25" s="96" t="str">
        <x:v>Critical</x:v>
      </x:c>
      <x:c r="F25" s="96" t="str">
        <x:v>Competitive fairness</x:v>
      </x:c>
      <x:c r="G25" s="97" t="str"/>
    </x:row>
    <x:row r="26">
      <x:c r="A26" s="95" t="str">
        <x:v>Direct Module PLOT multiplier prohibited</x:v>
      </x:c>
      <x:c r="B26" s="96" t="n">
        <x:v>1</x:v>
      </x:c>
      <x:c r="C26" s="96" t="n">
        <x:f>COUNTIF('10_Performance_Settlement'!A25:A29,"No direct PLOT multiplier")</x:f>
        <x:v>1</x:v>
      </x:c>
      <x:c r="D26" s="96" t="str">
        <x:f>IF(C26=B26,"PASS","CHECK")</x:f>
        <x:v>PASS</x:v>
      </x:c>
      <x:c r="E26" s="96" t="str">
        <x:v>Critical</x:v>
      </x:c>
      <x:c r="F26" s="96" t="str">
        <x:v>Payout fairness</x:v>
      </x:c>
      <x:c r="G26" s="97" t="str"/>
    </x:row>
    <x:row r="27">
      <x:c r="A27" s="95" t="str">
        <x:v>Gameplay Modules remain offchain v1.0</x:v>
      </x:c>
      <x:c r="B27" s="96" t="n">
        <x:v>1</x:v>
      </x:c>
      <x:c r="C27" s="96" t="n">
        <x:f>IF('19_Onchain_Integration'!B21="No",1,0)</x:f>
        <x:v>1</x:v>
      </x:c>
      <x:c r="D27" s="96" t="str">
        <x:f>IF(C27=B27,"PASS","CHECK")</x:f>
        <x:v>PASS</x:v>
      </x:c>
      <x:c r="E27" s="96" t="str">
        <x:v>High</x:v>
      </x:c>
      <x:c r="F27" s="96" t="str">
        <x:v>Keeps high-frequency gameplay low latency</x:v>
      </x:c>
      <x:c r="G27" s="97" t="str"/>
    </x:row>
    <x:row r="28">
      <x:c r="A28" s="95" t="str">
        <x:v>Module layer occurs before Events</x:v>
      </x:c>
      <x:c r="B28" s="96" t="n">
        <x:v>1</x:v>
      </x:c>
      <x:c r="C28" s="96" t="n">
        <x:f>IF(AND('32_Module_Effect_Runtime'!B6="Loadout Resolve",'32_Module_Effect_Runtime'!B9="Events"),1,0)</x:f>
        <x:v>1</x:v>
      </x:c>
      <x:c r="D28" s="96" t="str">
        <x:f>IF(C28=B28,"PASS","CHECK")</x:f>
        <x:v>PASS</x:v>
      </x:c>
      <x:c r="E28" s="96" t="str">
        <x:v>Critical</x:v>
      </x:c>
      <x:c r="F28" s="96" t="str">
        <x:v>Canonical calculation order</x:v>
      </x:c>
      <x:c r="G28" s="97" t="str"/>
    </x:row>
    <x:row r="29">
      <x:c r="A29" s="95" t="str">
        <x:v>Craft timers continue offline</x:v>
      </x:c>
      <x:c r="B29" s="96" t="n">
        <x:v>1</x:v>
      </x:c>
      <x:c r="C29" s="96" t="n">
        <x:f>IF('31_Module_Domain_State'!L11="Timer continues offline",1,0)</x:f>
        <x:v>1</x:v>
      </x:c>
      <x:c r="D29" s="96" t="str">
        <x:f>IF(C29=B29,"PASS","CHECK")</x:f>
        <x:v>PASS</x:v>
      </x:c>
      <x:c r="E29" s="96" t="str">
        <x:v>Medium</x:v>
      </x:c>
      <x:c r="F29" s="96" t="str">
        <x:v>Matches Module crafting rules</x:v>
      </x:c>
      <x:c r="G29" s="97" t="str"/>
    </x:row>
    <x:row r="30">
      <x:c r="A30" s="95" t="str">
        <x:v>Inventory invariant encoded</x:v>
      </x:c>
      <x:c r="B30" s="96" t="n">
        <x:v>1</x:v>
      </x:c>
      <x:c r="C30" s="96" t="n">
        <x:f>IF('31_Module_Domain_State'!G5="quantity_owned &gt;= quantity_equipped &gt;= 0",1,0)</x:f>
        <x:v>1</x:v>
      </x:c>
      <x:c r="D30" s="96" t="str">
        <x:f>IF(C30=B30,"PASS","CHECK")</x:f>
        <x:v>PASS</x:v>
      </x:c>
      <x:c r="E30" s="96" t="str">
        <x:v>Critical</x:v>
      </x:c>
      <x:c r="F30" s="96" t="str">
        <x:v>Prevents duplication/negative inventory</x:v>
      </x:c>
      <x:c r="G30" s="97" t="str"/>
    </x:row>
    <x:row r="31">
      <x:c r="A31" s="95" t="str">
        <x:v>P0 includes Module runtime</x:v>
      </x:c>
      <x:c r="B31" s="96" t="n">
        <x:v>1</x:v>
      </x:c>
      <x:c r="C31" s="96" t="n">
        <x:f>COUNTIF('27_MVP_Phases'!A4:A9,"P0 — Core Loop + Module Runtime")</x:f>
        <x:v>1</x:v>
      </x:c>
      <x:c r="D31" s="96" t="str">
        <x:f>IF(C31=B31,"PASS","CHECK")</x:f>
        <x:v>PASS</x:v>
      </x:c>
      <x:c r="E31" s="96" t="str">
        <x:v>Critical</x:v>
      </x:c>
      <x:c r="F31" s="96" t="str">
        <x:v>Module runtime ships before higher-level content</x:v>
      </x:c>
      <x:c r="G31" s="97" t="str"/>
    </x:row>
    <x:row r="32">
      <x:c r="A32" s="98" t="str">
        <x:v>Capacity model covers core + Module workloads</x:v>
      </x:c>
      <x:c r="B32" s="99" t="n">
        <x:v>11</x:v>
      </x:c>
      <x:c r="C32" s="99" t="n">
        <x:f>COUNTA('28_Capacity_Targets'!A4:A10)+COUNTA('28_Capacity_Targets'!A21:A24)</x:f>
        <x:v>11</x:v>
      </x:c>
      <x:c r="D32" s="99" t="str">
        <x:f>IF(C32=B32,"PASS","CHECK")</x:f>
        <x:v>PASS</x:v>
      </x:c>
      <x:c r="E32" s="99" t="str">
        <x:v>Medium</x:v>
      </x:c>
      <x:c r="F32" s="99" t="str">
        <x:v>Sizing includes Module compute/mutations</x:v>
      </x:c>
      <x:c r="G32" s="100" t="str"/>
    </x:row>
  </x:sheetData>
  <x:mergeCells>
    <x:mergeCell ref="A1:G1"/>
  </x:mergeCells>
  <x:conditionalFormatting sqref="D4:D19">
    <x:cfRule type="expression" dxfId="1" priority="1">
      <x:formula>D4="PASS"</x:formula>
    </x:cfRule>
    <x:cfRule type="expression" dxfId="2" priority="2">
      <x:formula>D4="CHECK"</x:formula>
    </x:cfRule>
  </x:conditionalFormatting>
  <x:conditionalFormatting sqref="D4:D32">
    <x:cfRule type="expression" dxfId="3" priority="3">
      <x:formula>D4="PASS"</x:formula>
    </x:cfRule>
    <x:cfRule type="expression" dxfId="4" priority="4">
      <x:formula>D4="CHECK"</x:formula>
    </x:cfRule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114" t="str">
        <x:v>Module Domain — Authoritative State Model v0.2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14"/>
      <x:c r="N1" s="114"/>
      <x:c r="O1" s="114"/>
      <x:c r="P1" s="114"/>
      <x:c r="Q1" s="22"/>
    </x:row>
    <x:row r="3">
      <x:c r="A3" s="105" t="str">
        <x:v>Entity / Aggregate</x:v>
      </x:c>
      <x:c r="B3" s="105" t="str">
        <x:v>Field / State</x:v>
      </x:c>
      <x:c r="C3" s="105" t="str">
        <x:v>Type</x:v>
      </x:c>
      <x:c r="D3" s="105" t="str">
        <x:v>Canonical Owner</x:v>
      </x:c>
      <x:c r="E3" s="105" t="str">
        <x:v>Canonical Store</x:v>
      </x:c>
      <x:c r="F3" s="105" t="str">
        <x:v>Mutation Source</x:v>
      </x:c>
      <x:c r="G3" s="105" t="str">
        <x:v>Validation / Invariant</x:v>
      </x:c>
      <x:c r="H3" s="105" t="str">
        <x:v>Version Strategy</x:v>
      </x:c>
      <x:c r="I3" s="105" t="str">
        <x:v>Ledger / Audit</x:v>
      </x:c>
      <x:c r="J3" s="105" t="str">
        <x:v>Cache</x:v>
      </x:c>
      <x:c r="K3" s="105" t="str">
        <x:v>Consumers</x:v>
      </x:c>
      <x:c r="L3" s="105" t="str">
        <x:v>Offline Behavior</x:v>
      </x:c>
      <x:c r="M3" s="105" t="str">
        <x:v>Performance Direct?</x:v>
      </x:c>
      <x:c r="N3" s="105" t="str">
        <x:v>Onchain?</x:v>
      </x:c>
      <x:c r="O3" s="105" t="str">
        <x:v>Recovery</x:v>
      </x:c>
      <x:c r="P3" s="105" t="str">
        <x:v>Notes</x:v>
      </x:c>
    </x:row>
    <x:row r="4">
      <x:c r="A4" s="92" t="str">
        <x:v>ModuleConfig</x:v>
      </x:c>
      <x:c r="B4" s="93" t="str">
        <x:v>module_id + config_version</x:v>
      </x:c>
      <x:c r="C4" s="93" t="str">
        <x:v>immutable config</x:v>
      </x:c>
      <x:c r="D4" s="93" t="str">
        <x:v>Module</x:v>
      </x:c>
      <x:c r="E4" s="93" t="str">
        <x:v>Immutable config store</x:v>
      </x:c>
      <x:c r="F4" s="93" t="str">
        <x:v>Approved config publish</x:v>
      </x:c>
      <x:c r="G4" s="93" t="str">
        <x:v>Stable ID; approved effect schema; effective window</x:v>
      </x:c>
      <x:c r="H4" s="93" t="str">
        <x:v>config_version</x:v>
      </x:c>
      <x:c r="I4" s="93" t="str">
        <x:v>Config publish audit</x:v>
      </x:c>
      <x:c r="J4" s="93" t="str">
        <x:v>Long TTL immutable</x:v>
      </x:c>
      <x:c r="K4" s="93" t="str">
        <x:v>Module Runtime/UI/Reward</x:v>
      </x:c>
      <x:c r="L4" s="93" t="str">
        <x:v>Same pinned config</x:v>
      </x:c>
      <x:c r="M4" s="93" t="str">
        <x:v>No</x:v>
      </x:c>
      <x:c r="N4" s="93" t="str">
        <x:v>No</x:v>
      </x:c>
      <x:c r="O4" s="93" t="str">
        <x:v>Switch active pointer / use old pinned version</x:v>
      </x:c>
      <x:c r="P4" s="94" t="str">
        <x:v>No arbitrary executable expressions</x:v>
      </x:c>
    </x:row>
    <x:row r="5">
      <x:c r="A5" s="95" t="str">
        <x:v>PlayerModuleInventory</x:v>
      </x:c>
      <x:c r="B5" s="96" t="str">
        <x:v>quantity_owned</x:v>
      </x:c>
      <x:c r="C5" s="96" t="str">
        <x:v>int64</x:v>
      </x:c>
      <x:c r="D5" s="96" t="str">
        <x:v>Module</x:v>
      </x:c>
      <x:c r="E5" s="96" t="str">
        <x:v>Relational aggregate</x:v>
      </x:c>
      <x:c r="F5" s="96" t="str">
        <x:v>Reward/Craft/Dismantle</x:v>
      </x:c>
      <x:c r="G5" s="96" t="str">
        <x:v>quantity_owned &gt;= quantity_equipped &gt;= 0</x:v>
      </x:c>
      <x:c r="H5" s="96" t="str">
        <x:v>row_version + inventory_version</x:v>
      </x:c>
      <x:c r="I5" s="96" t="str">
        <x:v>Reward/craft/dismantle ledgers</x:v>
      </x:c>
      <x:c r="J5" s="96" t="str">
        <x:v>30s</x:v>
      </x:c>
      <x:c r="K5" s="96" t="str">
        <x:v>UI/Equip/Craft</x:v>
      </x:c>
      <x:c r="L5" s="96" t="str">
        <x:v>Persists</x:v>
      </x:c>
      <x:c r="M5" s="96" t="str">
        <x:v>No</x:v>
      </x:c>
      <x:c r="N5" s="96" t="str">
        <x:v>No</x:v>
      </x:c>
      <x:c r="O5" s="96" t="str">
        <x:v>Rebuild from ledgers + loadouts</x:v>
      </x:c>
      <x:c r="P5" s="97" t="str">
        <x:v>Copies are quantities, not serial assets</x:v>
      </x:c>
    </x:row>
    <x:row r="6">
      <x:c r="A6" s="95" t="str">
        <x:v>PlayerModuleInventory</x:v>
      </x:c>
      <x:c r="B6" s="96" t="str">
        <x:v>quantity_equipped</x:v>
      </x:c>
      <x:c r="C6" s="96" t="str">
        <x:v>int64</x:v>
      </x:c>
      <x:c r="D6" s="96" t="str">
        <x:v>Module</x:v>
      </x:c>
      <x:c r="E6" s="96" t="str">
        <x:v>Relational aggregate</x:v>
      </x:c>
      <x:c r="F6" s="96" t="str">
        <x:v>Equip/Unequip/Building Removal</x:v>
      </x:c>
      <x:c r="G6" s="96" t="str">
        <x:v>&lt;= owned</x:v>
      </x:c>
      <x:c r="H6" s="96" t="str">
        <x:v>row_version</x:v>
      </x:c>
      <x:c r="I6" s="96" t="str">
        <x:v>Loadout audit</x:v>
      </x:c>
      <x:c r="J6" s="96" t="str">
        <x:v>30s</x:v>
      </x:c>
      <x:c r="K6" s="96" t="str">
        <x:v>UI/Integrity</x:v>
      </x:c>
      <x:c r="L6" s="96" t="str">
        <x:v>Persists</x:v>
      </x:c>
      <x:c r="M6" s="96" t="str">
        <x:v>No</x:v>
      </x:c>
      <x:c r="N6" s="96" t="str">
        <x:v>No</x:v>
      </x:c>
      <x:c r="O6" s="96" t="str">
        <x:v>Reconcile from loadouts</x:v>
      </x:c>
      <x:c r="P6" s="97" t="str"/>
    </x:row>
    <x:row r="7">
      <x:c r="A7" s="95" t="str">
        <x:v>BuildingModuleLoadout</x:v>
      </x:c>
      <x:c r="B7" s="96" t="str">
        <x:v>slot → module_id</x:v>
      </x:c>
      <x:c r="C7" s="96" t="str">
        <x:v>map/list</x:v>
      </x:c>
      <x:c r="D7" s="96" t="str">
        <x:v>Module + Building</x:v>
      </x:c>
      <x:c r="E7" s="96" t="str">
        <x:v>Relational loadout</x:v>
      </x:c>
      <x:c r="F7" s="96" t="str">
        <x:v>Equip/Unequip</x:v>
      </x:c>
      <x:c r="G7" s="96" t="str">
        <x:v>Slot unlocked; family compatible; same ID once/building; Legendary&lt;=1</x:v>
      </x:c>
      <x:c r="H7" s="96" t="str">
        <x:v>loadout_version</x:v>
      </x:c>
      <x:c r="I7" s="96" t="str">
        <x:v>Loadout audit</x:v>
      </x:c>
      <x:c r="J7" s="96" t="str">
        <x:v>5m/version-keyed</x:v>
      </x:c>
      <x:c r="K7" s="96" t="str">
        <x:v>Economy/Customer/Risk/UI</x:v>
      </x:c>
      <x:c r="L7" s="96" t="str">
        <x:v>Active effects apply within offline economy rules</x:v>
      </x:c>
      <x:c r="M7" s="96" t="str">
        <x:v>No</x:v>
      </x:c>
      <x:c r="N7" s="96" t="str">
        <x:v>No</x:v>
      </x:c>
      <x:c r="O7" s="96" t="str">
        <x:v>Replay audit</x:v>
      </x:c>
      <x:c r="P7" s="97" t="str">
        <x:v>One Module per slot</x:v>
      </x:c>
    </x:row>
    <x:row r="8">
      <x:c r="A8" s="95" t="str">
        <x:v>BuildingModuleLoadout</x:v>
      </x:c>
      <x:c r="B8" s="96" t="str">
        <x:v>effective_at</x:v>
      </x:c>
      <x:c r="C8" s="96" t="str">
        <x:v>timestamp</x:v>
      </x:c>
      <x:c r="D8" s="96" t="str">
        <x:v>Module</x:v>
      </x:c>
      <x:c r="E8" s="96" t="str">
        <x:v>Loadout row</x:v>
      </x:c>
      <x:c r="F8" s="96" t="str">
        <x:v>Equip/Unequip</x:v>
      </x:c>
      <x:c r="G8" s="96" t="str">
        <x:v>Next relevant simulation boundary</x:v>
      </x:c>
      <x:c r="H8" s="96" t="str">
        <x:v>loadout_version</x:v>
      </x:c>
      <x:c r="I8" s="96" t="str">
        <x:v>Loadout audit</x:v>
      </x:c>
      <x:c r="J8" s="96" t="str">
        <x:v>Version-keyed</x:v>
      </x:c>
      <x:c r="K8" s="96" t="str">
        <x:v>Economy/Customer/Risk</x:v>
      </x:c>
      <x:c r="L8" s="96" t="str">
        <x:v>No retroactive application</x:v>
      </x:c>
      <x:c r="M8" s="96" t="str">
        <x:v>No</x:v>
      </x:c>
      <x:c r="N8" s="96" t="str">
        <x:v>No</x:v>
      </x:c>
      <x:c r="O8" s="96" t="str">
        <x:v>Use last committed version</x:v>
      </x:c>
      <x:c r="P8" s="97" t="str"/>
    </x:row>
    <x:row r="9">
      <x:c r="A9" s="95" t="str">
        <x:v>BuildingMastery</x:v>
      </x:c>
      <x:c r="B9" s="96" t="str">
        <x:v>tier progress</x:v>
      </x:c>
      <x:c r="C9" s="96" t="str">
        <x:v>objective state</x:v>
      </x:c>
      <x:c r="D9" s="96" t="str">
        <x:v>Module</x:v>
      </x:c>
      <x:c r="E9" s="96" t="str">
        <x:v>Relational progress</x:v>
      </x:c>
      <x:c r="F9" s="96" t="str">
        <x:v>Evidence projector</x:v>
      </x:c>
      <x:c r="G9" s="96" t="str">
        <x:v>Evidence from validated activity/customer/risk/service; config pinned</x:v>
      </x:c>
      <x:c r="H9" s="96" t="str">
        <x:v>row_version + mastery_config_version</x:v>
      </x:c>
      <x:c r="I9" s="96" t="str">
        <x:v>Mastery events</x:v>
      </x:c>
      <x:c r="J9" s="96" t="str">
        <x:v>60s</x:v>
      </x:c>
      <x:c r="K9" s="96" t="str">
        <x:v>UI/Reward</x:v>
      </x:c>
      <x:c r="L9" s="96" t="str">
        <x:v>Progress only from valid eligible evidence; no passive fake progress</x:v>
      </x:c>
      <x:c r="M9" s="96" t="str">
        <x:v>No</x:v>
      </x:c>
      <x:c r="N9" s="96" t="str">
        <x:v>No</x:v>
      </x:c>
      <x:c r="O9" s="96" t="str">
        <x:v>Reproject from source ledgers</x:v>
      </x:c>
      <x:c r="P9" s="97" t="str"/>
    </x:row>
    <x:row r="10">
      <x:c r="A10" s="95" t="str">
        <x:v>ModuleParts</x:v>
      </x:c>
      <x:c r="B10" s="96" t="str">
        <x:v>balance by rarity</x:v>
      </x:c>
      <x:c r="C10" s="96" t="str">
        <x:v>int64</x:v>
      </x:c>
      <x:c r="D10" s="96" t="str">
        <x:v>Module</x:v>
      </x:c>
      <x:c r="E10" s="96" t="str">
        <x:v>Relational balance + append ledger</x:v>
      </x:c>
      <x:c r="F10" s="96" t="str">
        <x:v>Dismantle/Craft</x:v>
      </x:c>
      <x:c r="G10" s="96" t="str">
        <x:v>balance&gt;=0; same-tier only</x:v>
      </x:c>
      <x:c r="H10" s="96" t="str">
        <x:v>row_version</x:v>
      </x:c>
      <x:c r="I10" s="96" t="str">
        <x:v>Parts ledger</x:v>
      </x:c>
      <x:c r="J10" s="96" t="str">
        <x:v>30s</x:v>
      </x:c>
      <x:c r="K10" s="96" t="str">
        <x:v>Craft/UI</x:v>
      </x:c>
      <x:c r="L10" s="96" t="str">
        <x:v>Persists</x:v>
      </x:c>
      <x:c r="M10" s="96" t="str">
        <x:v>No</x:v>
      </x:c>
      <x:c r="N10" s="96" t="str">
        <x:v>No</x:v>
      </x:c>
      <x:c r="O10" s="96" t="str">
        <x:v>Replay ledger</x:v>
      </x:c>
      <x:c r="P10" s="97" t="str">
        <x:v>No cross-tier conversion</x:v>
      </x:c>
    </x:row>
    <x:row r="11">
      <x:c r="A11" s="95" t="str">
        <x:v>CraftJob</x:v>
      </x:c>
      <x:c r="B11" s="96" t="str">
        <x:v>state/timing</x:v>
      </x:c>
      <x:c r="C11" s="96" t="str">
        <x:v>state machine</x:v>
      </x:c>
      <x:c r="D11" s="96" t="str">
        <x:v>Module</x:v>
      </x:c>
      <x:c r="E11" s="96" t="str">
        <x:v>Relational jobs</x:v>
      </x:c>
      <x:c r="F11" s="96" t="str">
        <x:v>Craft/Cancel/Scheduler</x:v>
      </x:c>
      <x:c r="G11" s="96" t="str">
        <x:v>2 active + 3 queued; recipe pinned; UTC time</x:v>
      </x:c>
      <x:c r="H11" s="96" t="str">
        <x:v>job_version + recipe_version</x:v>
      </x:c>
      <x:c r="I11" s="96" t="str">
        <x:v>Craft ledger</x:v>
      </x:c>
      <x:c r="J11" s="96" t="str">
        <x:v>30s</x:v>
      </x:c>
      <x:c r="K11" s="96" t="str">
        <x:v>UI/Scheduler</x:v>
      </x:c>
      <x:c r="L11" s="96" t="str">
        <x:v>Timer continues offline</x:v>
      </x:c>
      <x:c r="M11" s="96" t="str">
        <x:v>No</x:v>
      </x:c>
      <x:c r="N11" s="96" t="str">
        <x:v>No</x:v>
      </x:c>
      <x:c r="O11" s="96" t="str">
        <x:v>Retry due job idempotently</x:v>
      </x:c>
      <x:c r="P11" s="97" t="str"/>
    </x:row>
    <x:row r="12">
      <x:c r="A12" s="95" t="str">
        <x:v>ModuleReward</x:v>
      </x:c>
      <x:c r="B12" s="96" t="str">
        <x:v>source reward</x:v>
      </x:c>
      <x:c r="C12" s="96" t="str">
        <x:v>ledger row</x:v>
      </x:c>
      <x:c r="D12" s="96" t="str">
        <x:v>Module/Reward</x:v>
      </x:c>
      <x:c r="E12" s="96" t="str">
        <x:v>Append-only reward ledger</x:v>
      </x:c>
      <x:c r="F12" s="96" t="str">
        <x:v>Hunt/Event/Mastery/Season/Craft</x:v>
      </x:c>
      <x:c r="G12" s="96" t="str">
        <x:v>Unique source_event + reward type</x:v>
      </x:c>
      <x:c r="H12" s="96" t="str">
        <x:v>reward/config version</x:v>
      </x:c>
      <x:c r="I12" s="96" t="str">
        <x:v>Yes</x:v>
      </x:c>
      <x:c r="J12" s="96" t="str">
        <x:v>Read model cache</x:v>
      </x:c>
      <x:c r="K12" s="96" t="str">
        <x:v>Inventory/UI/Analytics</x:v>
      </x:c>
      <x:c r="L12" s="96" t="str">
        <x:v>Grant persists</x:v>
      </x:c>
      <x:c r="M12" s="96" t="str">
        <x:v>No</x:v>
      </x:c>
      <x:c r="N12" s="96" t="str">
        <x:v>No</x:v>
      </x:c>
      <x:c r="O12" s="96" t="str">
        <x:v>Return prior grant on duplicate</x:v>
      </x:c>
      <x:c r="P12" s="97" t="str">
        <x:v>Exactly-once acquisition</x:v>
      </x:c>
    </x:row>
    <x:row r="13">
      <x:c r="A13" s="95" t="str">
        <x:v>ModuleEffectPlan</x:v>
      </x:c>
      <x:c r="B13" s="96" t="str">
        <x:v>compiled loadout plan</x:v>
      </x:c>
      <x:c r="C13" s="96" t="str">
        <x:v>derived</x:v>
      </x:c>
      <x:c r="D13" s="96" t="str">
        <x:v>Module Runtime</x:v>
      </x:c>
      <x:c r="E13" s="96" t="str">
        <x:v>Memory/cache + reconstructable state</x:v>
      </x:c>
      <x:c r="F13" s="96" t="str">
        <x:v>Loadout/config/context</x:v>
      </x:c>
      <x:c r="G13" s="96" t="str">
        <x:v>Only approved effect types/conditions</x:v>
      </x:c>
      <x:c r="H13" s="96" t="str">
        <x:v>loadout+config+runtime versions</x:v>
      </x:c>
      <x:c r="I13" s="96" t="str">
        <x:v>Optional trace</x:v>
      </x:c>
      <x:c r="J13" s="96" t="str">
        <x:v>Version-keyed short TTL</x:v>
      </x:c>
      <x:c r="K13" s="96" t="str">
        <x:v>Economy/Customer/Risk/Event</x:v>
      </x:c>
      <x:c r="L13" s="96" t="str">
        <x:v>Used by offline simulation too</x:v>
      </x:c>
      <x:c r="M13" s="96" t="str">
        <x:v>No</x:v>
      </x:c>
      <x:c r="N13" s="96" t="str">
        <x:v>No</x:v>
      </x:c>
      <x:c r="O13" s="96" t="str">
        <x:v>Recompile deterministically</x:v>
      </x:c>
      <x:c r="P13" s="97" t="str">
        <x:v>No authoritative DB outcome</x:v>
      </x:c>
    </x:row>
    <x:row r="14">
      <x:c r="A14" s="98" t="str">
        <x:v>ModuleEffectTrace</x:v>
      </x:c>
      <x:c r="B14" s="99" t="str">
        <x:v>resolution lineage</x:v>
      </x:c>
      <x:c r="C14" s="99" t="str">
        <x:v>derived/audit</x:v>
      </x:c>
      <x:c r="D14" s="99" t="str">
        <x:v>Module Runtime</x:v>
      </x:c>
      <x:c r="E14" s="99" t="str">
        <x:v>Optional diagnostic store / compact refs</x:v>
      </x:c>
      <x:c r="F14" s="99" t="str">
        <x:v>Tick/refresh resolver</x:v>
      </x:c>
      <x:c r="G14" s="99" t="str">
        <x:v>Context hash + pinned versions</x:v>
      </x:c>
      <x:c r="H14" s="99" t="str">
        <x:v>trace schema version</x:v>
      </x:c>
      <x:c r="I14" s="99" t="str">
        <x:v>Optional durable trace</x:v>
      </x:c>
      <x:c r="J14" s="99" t="str">
        <x:v>Short TTL/warehouse</x:v>
      </x:c>
      <x:c r="K14" s="99" t="str">
        <x:v>Support/Integrity/Balance</x:v>
      </x:c>
      <x:c r="L14" s="99" t="str">
        <x:v>Same rules</x:v>
      </x:c>
      <x:c r="M14" s="99" t="str">
        <x:v>No</x:v>
      </x:c>
      <x:c r="N14" s="99" t="str">
        <x:v>No</x:v>
      </x:c>
      <x:c r="O14" s="99" t="str">
        <x:v>Re-resolve if inputs retained</x:v>
      </x:c>
      <x:c r="P14" s="100" t="str">
        <x:v>At minimum persist loadout/config refs on source ledgers</x:v>
      </x:c>
    </x:row>
    <x:row r="16" ht="22" customHeight="1">
      <x:c r="A16" s="102" t="str">
        <x:v>Core Invariants</x:v>
      </x:c>
      <x:c r="B16" s="102"/>
      <x:c r="C16" s="102"/>
      <x:c r="D16" s="102"/>
      <x:c r="E16" s="102"/>
      <x:c r="F16" s="102"/>
      <x:c r="G16" s="102"/>
      <x:c r="H16" s="102"/>
      <x:c r="I16" s="102"/>
      <x:c r="J16" s="102"/>
      <x:c r="K16" s="102"/>
      <x:c r="L16" s="102"/>
      <x:c r="M16" s="102"/>
      <x:c r="N16" s="102"/>
      <x:c r="O16" s="102"/>
      <x:c r="P16" s="102"/>
    </x:row>
    <x:row r="17">
      <x:c r="A17" s="105" t="str">
        <x:v>Invariant</x:v>
      </x:c>
      <x:c r="B17" s="105" t="str">
        <x:v>Enforcement</x:v>
      </x:c>
    </x:row>
    <x:row r="18">
      <x:c r="A18" s="92" t="str">
        <x:v>owned &gt;= equipped &gt;= 0</x:v>
      </x:c>
      <x:c r="B18" s="94" t="str">
        <x:v>Atomic inventory/loadout transactions + daily reconciliation.</x:v>
      </x:c>
    </x:row>
    <x:row r="19">
      <x:c r="A19" s="95" t="str">
        <x:v>One Module per slot</x:v>
      </x:c>
      <x:c r="B19" s="97" t="str">
        <x:v>Unique building_id + slot_index.</x:v>
      </x:c>
    </x:row>
    <x:row r="20">
      <x:c r="A20" s="95" t="str">
        <x:v>Same Module ID not twice on one building</x:v>
      </x:c>
      <x:c r="B20" s="97" t="str">
        <x:v>Equip validation across active loadout.</x:v>
      </x:c>
    </x:row>
    <x:row r="21">
      <x:c r="A21" s="95" t="str">
        <x:v>Legendary &lt;=1 per building</x:v>
      </x:c>
      <x:c r="B21" s="97" t="str">
        <x:v>Server rarity count check before commit.</x:v>
      </x:c>
    </x:row>
    <x:row r="22">
      <x:c r="A22" s="95" t="str">
        <x:v>Base building functions with zero Modules</x:v>
      </x:c>
      <x:c r="B22" s="97" t="str">
        <x:v>Empty loadout is always valid.</x:v>
      </x:c>
    </x:row>
    <x:row r="23">
      <x:c r="A23" s="95" t="str">
        <x:v>Modules belong to player, not Plot NFT</x:v>
      </x:c>
      <x:c r="B23" s="97" t="str">
        <x:v>Plot transfer never implicitly transfers Module inventory.</x:v>
      </x:c>
    </x:row>
    <x:row r="24">
      <x:c r="A24" s="98" t="str">
        <x:v>No direct score/$PLOT field</x:v>
      </x:c>
      <x:c r="B24" s="100" t="str">
        <x:v>Performance and settlement schemas omit Module ownership/rarity/equip state.</x:v>
      </x:c>
    </x:row>
  </x:sheetData>
  <x:mergeCells>
    <x:mergeCell ref="A1:P1"/>
    <x:mergeCell ref="A16:P16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  <x:col min="7" max="7" width="25" hidden="0" customWidth="1"/>
    <x:col min="8" max="8" width="18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</x:cols>
  <x:sheetData>
    <x:row r="1" ht="30" customHeight="1">
      <x:c r="A1" s="114" t="str">
        <x:v>Module Effect Runtime — Deterministic Evaluation Pipeline v0.2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14"/>
      <x:c r="N1" s="114"/>
      <x:c r="O1" s="114"/>
      <x:c r="P1" s="114"/>
      <x:c r="Q1" s="114"/>
    </x:row>
    <x:row r="3">
      <x:c r="A3" s="105" t="str">
        <x:v>Order</x:v>
      </x:c>
      <x:c r="B3" s="105" t="str">
        <x:v>Layer</x:v>
      </x:c>
      <x:c r="C3" s="105" t="str">
        <x:v>Input</x:v>
      </x:c>
      <x:c r="D3" s="105" t="str">
        <x:v>Owner</x:v>
      </x:c>
      <x:c r="E3" s="105" t="str">
        <x:v>Module Action</x:v>
      </x:c>
      <x:c r="F3" s="105" t="str">
        <x:v>Output</x:v>
      </x:c>
      <x:c r="G3" s="105" t="str">
        <x:v>Pinned Version(s)</x:v>
      </x:c>
      <x:c r="H3" s="105" t="str">
        <x:v>Cache</x:v>
      </x:c>
      <x:c r="I3" s="105" t="str">
        <x:v>Recompute Trigger</x:v>
      </x:c>
      <x:c r="J3" s="105" t="str">
        <x:v>Ledger/Trace</x:v>
      </x:c>
      <x:c r="K3" s="105" t="str">
        <x:v>Failure Policy</x:v>
      </x:c>
      <x:c r="L3" s="105" t="str">
        <x:v>Customer Impact</x:v>
      </x:c>
      <x:c r="M3" s="105" t="str">
        <x:v>Economy Impact</x:v>
      </x:c>
      <x:c r="N3" s="105" t="str">
        <x:v>Risk Impact</x:v>
      </x:c>
      <x:c r="O3" s="105" t="str">
        <x:v>Event Impact</x:v>
      </x:c>
      <x:c r="P3" s="105" t="str">
        <x:v>Performance Direct?</x:v>
      </x:c>
      <x:c r="Q3" s="105" t="str">
        <x:v>Notes</x:v>
      </x:c>
    </x:row>
    <x:row r="4">
      <x:c r="A4" s="92" t="n">
        <x:v>1</x:v>
      </x:c>
      <x:c r="B4" s="93" t="str">
        <x:v>Base Building + Upgrade</x:v>
      </x:c>
      <x:c r="C4" s="93" t="str">
        <x:v>building_type,level</x:v>
      </x:c>
      <x:c r="D4" s="93" t="str">
        <x:v>Building</x:v>
      </x:c>
      <x:c r="E4" s="93" t="str">
        <x:v>None</x:v>
      </x:c>
      <x:c r="F4" s="93" t="str">
        <x:v>base stat vector</x:v>
      </x:c>
      <x:c r="G4" s="93" t="str">
        <x:v>building_config_version</x:v>
      </x:c>
      <x:c r="H4" s="93" t="str">
        <x:v>Yes</x:v>
      </x:c>
      <x:c r="I4" s="93" t="str">
        <x:v>Build/upgrade/config</x:v>
      </x:c>
      <x:c r="J4" s="93" t="str">
        <x:v>Asset audit</x:v>
      </x:c>
      <x:c r="K4" s="93" t="str">
        <x:v>Last approved config</x:v>
      </x:c>
      <x:c r="L4" s="93" t="str">
        <x:v>Base inputs</x:v>
      </x:c>
      <x:c r="M4" s="93" t="str">
        <x:v>Base inputs</x:v>
      </x:c>
      <x:c r="N4" s="93" t="str">
        <x:v>Base inputs</x:v>
      </x:c>
      <x:c r="O4" s="93" t="str">
        <x:v>Base inputs</x:v>
      </x:c>
      <x:c r="P4" s="93" t="str">
        <x:v>No</x:v>
      </x:c>
      <x:c r="Q4" s="94" t="str"/>
    </x:row>
    <x:row r="5">
      <x:c r="A5" s="95" t="n">
        <x:v>2</x:v>
      </x:c>
      <x:c r="B5" s="96" t="str">
        <x:v>Placement / Synergy / Congestion</x:v>
      </x:c>
      <x:c r="C5" s="96" t="str">
        <x:v>layout,tile,adjacency</x:v>
      </x:c>
      <x:c r="D5" s="96" t="str">
        <x:v>Layout</x:v>
      </x:c>
      <x:c r="E5" s="96" t="str">
        <x:v>None</x:v>
      </x:c>
      <x:c r="F5" s="96" t="str">
        <x:v>placement-adjusted vector</x:v>
      </x:c>
      <x:c r="G5" s="96" t="str">
        <x:v>layout_version,placement_config_version</x:v>
      </x:c>
      <x:c r="H5" s="96" t="str">
        <x:v>Yes</x:v>
      </x:c>
      <x:c r="I5" s="96" t="str">
        <x:v>Move/merge/layout</x:v>
      </x:c>
      <x:c r="J5" s="96" t="str">
        <x:v>Layout version</x:v>
      </x:c>
      <x:c r="K5" s="96" t="str">
        <x:v>Last valid layout</x:v>
      </x:c>
      <x:c r="L5" s="96" t="str">
        <x:v>Acquisition/capacity support</x:v>
      </x:c>
      <x:c r="M5" s="96" t="str">
        <x:v>Activity/capacity</x:v>
      </x:c>
      <x:c r="N5" s="96" t="str">
        <x:v>Operational exposure</x:v>
      </x:c>
      <x:c r="O5" s="96" t="str">
        <x:v>N/A</x:v>
      </x:c>
      <x:c r="P5" s="96" t="str">
        <x:v>No</x:v>
      </x:c>
      <x:c r="Q5" s="97" t="str"/>
    </x:row>
    <x:row r="6">
      <x:c r="A6" s="95" t="n">
        <x:v>3</x:v>
      </x:c>
      <x:c r="B6" s="96" t="str">
        <x:v>Loadout Resolve</x:v>
      </x:c>
      <x:c r="C6" s="96" t="str">
        <x:v>equipped Modules,effective_at</x:v>
      </x:c>
      <x:c r="D6" s="96" t="str">
        <x:v>Module Runtime</x:v>
      </x:c>
      <x:c r="E6" s="96" t="str">
        <x:v>Load approved loadout</x:v>
      </x:c>
      <x:c r="F6" s="96" t="str">
        <x:v>ordered effect list</x:v>
      </x:c>
      <x:c r="G6" s="96" t="str">
        <x:v>loadout_version,module_config_versions</x:v>
      </x:c>
      <x:c r="H6" s="96" t="str">
        <x:v>Compiled plan</x:v>
      </x:c>
      <x:c r="I6" s="96" t="str">
        <x:v>Equip/unequip/config effective boundary</x:v>
      </x:c>
      <x:c r="J6" s="96" t="str">
        <x:v>Loadout audit</x:v>
      </x:c>
      <x:c r="K6" s="96" t="str">
        <x:v>Ignore invalid Module + alert; fail closed for new mutation</x:v>
      </x:c>
      <x:c r="L6" s="96" t="str">
        <x:v>Potential</x:v>
      </x:c>
      <x:c r="M6" s="96" t="str">
        <x:v>Potential</x:v>
      </x:c>
      <x:c r="N6" s="96" t="str">
        <x:v>Potential</x:v>
      </x:c>
      <x:c r="O6" s="96" t="str">
        <x:v>Potential</x:v>
      </x:c>
      <x:c r="P6" s="96" t="str">
        <x:v>No</x:v>
      </x:c>
      <x:c r="Q6" s="97" t="str"/>
    </x:row>
    <x:row r="7">
      <x:c r="A7" s="95" t="n">
        <x:v>4</x:v>
      </x:c>
      <x:c r="B7" s="96" t="str">
        <x:v>Conditions</x:v>
      </x:c>
      <x:c r="C7" s="96" t="str">
        <x:v>service,risk,rep,reserve,utilization,market/event state</x:v>
      </x:c>
      <x:c r="D7" s="96" t="str">
        <x:v>Module Runtime</x:v>
      </x:c>
      <x:c r="E7" s="96" t="str">
        <x:v>Evaluate all/any conditions</x:v>
      </x:c>
      <x:c r="F7" s="96" t="str">
        <x:v>active effect subset</x:v>
      </x:c>
      <x:c r="G7" s="96" t="str">
        <x:v>context schema/runtime version</x:v>
      </x:c>
      <x:c r="H7" s="96" t="str">
        <x:v>Short TTL</x:v>
      </x:c>
      <x:c r="I7" s="96" t="str">
        <x:v>Context changes/tick</x:v>
      </x:c>
      <x:c r="J7" s="96" t="str">
        <x:v>Optional condition trace</x:v>
      </x:c>
      <x:c r="K7" s="96" t="str">
        <x:v>False on missing condition input</x:v>
      </x:c>
      <x:c r="L7" s="96" t="str">
        <x:v>Potential</x:v>
      </x:c>
      <x:c r="M7" s="96" t="str">
        <x:v>Potential</x:v>
      </x:c>
      <x:c r="N7" s="96" t="str">
        <x:v>Potential</x:v>
      </x:c>
      <x:c r="O7" s="96" t="str">
        <x:v>Potential</x:v>
      </x:c>
      <x:c r="P7" s="96" t="str">
        <x:v>No</x:v>
      </x:c>
      <x:c r="Q7" s="97" t="str"/>
    </x:row>
    <x:row r="8">
      <x:c r="A8" s="95" t="n">
        <x:v>5</x:v>
      </x:c>
      <x:c r="B8" s="96" t="str">
        <x:v>Stacking + Hard Caps</x:v>
      </x:c>
      <x:c r="C8" s="96" t="str">
        <x:v>active effects by stacking group</x:v>
      </x:c>
      <x:c r="D8" s="96" t="str">
        <x:v>Module Runtime</x:v>
      </x:c>
      <x:c r="E8" s="96" t="str">
        <x:v>100%/60%/30% then zero; apply type caps</x:v>
      </x:c>
      <x:c r="F8" s="96" t="str">
        <x:v>capped Module modifier vector</x:v>
      </x:c>
      <x:c r="G8" s="96" t="str">
        <x:v>module_runtime_version</x:v>
      </x:c>
      <x:c r="H8" s="96" t="str">
        <x:v>Short TTL</x:v>
      </x:c>
      <x:c r="I8" s="96" t="str">
        <x:v>Loadout/context/config</x:v>
      </x:c>
      <x:c r="J8" s="96" t="str">
        <x:v>Effect trace/ref</x:v>
      </x:c>
      <x:c r="K8" s="96" t="str">
        <x:v>Conservative cap if config ambiguity</x:v>
      </x:c>
      <x:c r="L8" s="96" t="str">
        <x:v>Acq/retention/service/capacity</x:v>
      </x:c>
      <x:c r="M8" s="96" t="str">
        <x:v>Activity/opex/capacity</x:v>
      </x:c>
      <x:c r="N8" s="96" t="str">
        <x:v>Risk delta caps</x:v>
      </x:c>
      <x:c r="O8" s="96" t="str">
        <x:v>Event resilience cap</x:v>
      </x:c>
      <x:c r="P8" s="96" t="str">
        <x:v>No</x:v>
      </x:c>
      <x:c r="Q8" s="97" t="str">
        <x:v>Negative tradeoffs apply at 100%</x:v>
      </x:c>
    </x:row>
    <x:row r="9">
      <x:c r="A9" s="95" t="n">
        <x:v>6</x:v>
      </x:c>
      <x:c r="B9" s="96" t="str">
        <x:v>Events</x:v>
      </x:c>
      <x:c r="C9" s="96" t="str">
        <x:v>active global/personal events</x:v>
      </x:c>
      <x:c r="D9" s="96" t="str">
        <x:v>Event</x:v>
      </x:c>
      <x:c r="E9" s="96" t="str">
        <x:v>Apply event modifiers after Module layer</x:v>
      </x:c>
      <x:c r="F9" s="96" t="str">
        <x:v>event-adjusted vector</x:v>
      </x:c>
      <x:c r="G9" s="96" t="str">
        <x:v>event_config_version</x:v>
      </x:c>
      <x:c r="H9" s="96" t="str">
        <x:v>Yes</x:v>
      </x:c>
      <x:c r="I9" s="96" t="str">
        <x:v>Event start/end/choice</x:v>
      </x:c>
      <x:c r="J9" s="96" t="str">
        <x:v>Event log</x:v>
      </x:c>
      <x:c r="K9" s="96" t="str">
        <x:v>Replay event window</x:v>
      </x:c>
      <x:c r="L9" s="96" t="str">
        <x:v>Yes</x:v>
      </x:c>
      <x:c r="M9" s="96" t="str">
        <x:v>Yes</x:v>
      </x:c>
      <x:c r="N9" s="96" t="str">
        <x:v>Yes</x:v>
      </x:c>
      <x:c r="O9" s="96" t="str">
        <x:v>Yes</x:v>
      </x:c>
      <x:c r="P9" s="96" t="str">
        <x:v>No</x:v>
      </x:c>
      <x:c r="Q9" s="97" t="str">
        <x:v>Module resilience may reduce eligible negative magnitude but cannot cancel event</x:v>
      </x:c>
    </x:row>
    <x:row r="10">
      <x:c r="A10" s="95" t="n">
        <x:v>7</x:v>
      </x:c>
      <x:c r="B10" s="96" t="str">
        <x:v>Risk / Reputation / Customer Quality</x:v>
      </x:c>
      <x:c r="C10" s="96" t="str">
        <x:v>risk,rep,service,quality gates</x:v>
      </x:c>
      <x:c r="D10" s="96" t="str">
        <x:v>Risk/Customer</x:v>
      </x:c>
      <x:c r="E10" s="96" t="str">
        <x:v>Consume Module-adjusted inputs</x:v>
      </x:c>
      <x:c r="F10" s="96" t="str">
        <x:v>final operating modifier context</x:v>
      </x:c>
      <x:c r="G10" s="96" t="str">
        <x:v>risk/economy/customer versions</x:v>
      </x:c>
      <x:c r="H10" s="96" t="str">
        <x:v>Yes</x:v>
      </x:c>
      <x:c r="I10" s="96" t="str">
        <x:v>15m/tick/event</x:v>
      </x:c>
      <x:c r="J10" s="96" t="str">
        <x:v>Risk/customer snapshots</x:v>
      </x:c>
      <x:c r="K10" s="96" t="str">
        <x:v>Conservative evaluate</x:v>
      </x:c>
      <x:c r="L10" s="96" t="str">
        <x:v>Yes</x:v>
      </x:c>
      <x:c r="M10" s="96" t="str">
        <x:v>Yes</x:v>
      </x:c>
      <x:c r="N10" s="96" t="str">
        <x:v>Yes</x:v>
      </x:c>
      <x:c r="O10" s="96" t="str">
        <x:v>Indirect</x:v>
      </x:c>
      <x:c r="P10" s="96" t="str">
        <x:v>No</x:v>
      </x:c>
      <x:c r="Q10" s="97" t="str"/>
    </x:row>
    <x:row r="11">
      <x:c r="A11" s="95" t="n">
        <x:v>8</x:v>
      </x:c>
      <x:c r="B11" s="96" t="str">
        <x:v>Economy / Customer Writes</x:v>
      </x:c>
      <x:c r="C11" s="96" t="str">
        <x:v>customer activity, final modifiers</x:v>
      </x:c>
      <x:c r="D11" s="96" t="str">
        <x:v>Economy/Customer</x:v>
      </x:c>
      <x:c r="E11" s="96" t="str">
        <x:v>No new Module logic</x:v>
      </x:c>
      <x:c r="F11" s="96" t="str">
        <x:v>cash/activity/customer deltas</x:v>
      </x:c>
      <x:c r="G11" s="96" t="str">
        <x:v>tick/bucket + lineage refs</x:v>
      </x:c>
      <x:c r="H11" s="96" t="str">
        <x:v>N/A authoritative write</x:v>
      </x:c>
      <x:c r="I11" s="96" t="str">
        <x:v>5m/15m</x:v>
      </x:c>
      <x:c r="J11" s="96" t="str">
        <x:v>Cash/activity/customer ledgers</x:v>
      </x:c>
      <x:c r="K11" s="96" t="str">
        <x:v>Idempotent replay</x:v>
      </x:c>
      <x:c r="L11" s="96" t="str">
        <x:v>Writes</x:v>
      </x:c>
      <x:c r="M11" s="96" t="str">
        <x:v>Writes</x:v>
      </x:c>
      <x:c r="N11" s="96" t="str">
        <x:v>Feeds future risk</x:v>
      </x:c>
      <x:c r="O11" s="96" t="str">
        <x:v>Event-sensitive</x:v>
      </x:c>
      <x:c r="P11" s="96" t="str">
        <x:v>No</x:v>
      </x:c>
      <x:c r="Q11" s="97" t="str">
        <x:v>Source rows retain Module lineage refs</x:v>
      </x:c>
    </x:row>
    <x:row r="12">
      <x:c r="A12" s="98" t="n">
        <x:v>9</x:v>
      </x:c>
      <x:c r="B12" s="99" t="str">
        <x:v>Performance Aggregation</x:v>
      </x:c>
      <x:c r="C12" s="99" t="str">
        <x:v>validated ledgers/snapshots</x:v>
      </x:c>
      <x:c r="D12" s="99" t="str">
        <x:v>Performance</x:v>
      </x:c>
      <x:c r="E12" s="99" t="str">
        <x:v>No Module fields consumed</x:v>
      </x:c>
      <x:c r="F12" s="99" t="str">
        <x:v>score components</x:v>
      </x:c>
      <x:c r="G12" s="99" t="str">
        <x:v>epoch config</x:v>
      </x:c>
      <x:c r="H12" s="99" t="str">
        <x:v>N/A</x:v>
      </x:c>
      <x:c r="I12" s="99" t="str">
        <x:v>Streaming/weekly</x:v>
      </x:c>
      <x:c r="J12" s="99" t="str">
        <x:v>Settlement manifest</x:v>
      </x:c>
      <x:c r="K12" s="99" t="str">
        <x:v>Ignore prohibited fields + integrity alert</x:v>
      </x:c>
      <x:c r="L12" s="99" t="str">
        <x:v>Reads customer</x:v>
      </x:c>
      <x:c r="M12" s="99" t="str">
        <x:v>Reads revenue/activity</x:v>
      </x:c>
      <x:c r="N12" s="99" t="str">
        <x:v>Reads risk</x:v>
      </x:c>
      <x:c r="O12" s="99" t="str">
        <x:v>Reads Hunts</x:v>
      </x:c>
      <x:c r="P12" s="99" t="str">
        <x:v>No</x:v>
      </x:c>
      <x:c r="Q12" s="100" t="str">
        <x:v>Modules only matter through legitimate underlying metrics</x:v>
      </x:c>
    </x:row>
    <x:row r="14" ht="22" customHeight="1">
      <x:c r="A14" s="102" t="str">
        <x:v>Supported Effect Primitives &amp; Caps</x:v>
      </x:c>
      <x:c r="B14" s="102"/>
      <x:c r="C14" s="102"/>
      <x:c r="D14" s="102"/>
      <x:c r="E14" s="102"/>
      <x:c r="F14" s="102"/>
      <x:c r="G14" s="102"/>
      <x:c r="H14" s="102"/>
      <x:c r="I14" s="102"/>
      <x:c r="J14" s="102"/>
      <x:c r="K14" s="102"/>
      <x:c r="L14" s="102"/>
      <x:c r="M14" s="102"/>
      <x:c r="N14" s="102"/>
      <x:c r="O14" s="102"/>
      <x:c r="P14" s="102"/>
      <x:c r="Q14" s="102"/>
    </x:row>
    <x:row r="15">
      <x:c r="A15" s="105" t="str">
        <x:v>Effect Type</x:v>
      </x:c>
      <x:c r="B15" s="105" t="str">
        <x:v>Operation</x:v>
      </x:c>
      <x:c r="C15" s="105" t="str">
        <x:v>Example</x:v>
      </x:c>
      <x:c r="D15" s="105" t="str">
        <x:v>Hard Cap</x:v>
      </x:c>
      <x:c r="E15" s="105" t="str">
        <x:v>Consumer</x:v>
      </x:c>
      <x:c r="F15" s="105" t="str">
        <x:v>Condition Support?</x:v>
      </x:c>
      <x:c r="G15" s="105" t="str">
        <x:v>Segment/Category Support?</x:v>
      </x:c>
      <x:c r="H15" s="105" t="str">
        <x:v>Notes</x:v>
      </x:c>
    </x:row>
    <x:row r="16">
      <x:c r="A16" s="92" t="str">
        <x:v>customer_acquisition</x:v>
      </x:c>
      <x:c r="B16" s="93" t="str">
        <x:v>multiply</x:v>
      </x:c>
      <x:c r="C16" s="93" t="str">
        <x:v>1.08</x:v>
      </x:c>
      <x:c r="D16" s="93" t="str">
        <x:v>+25% net Module positive</x:v>
      </x:c>
      <x:c r="E16" s="93" t="str">
        <x:v>Customer</x:v>
      </x:c>
      <x:c r="F16" s="93" t="str">
        <x:v>Yes</x:v>
      </x:c>
      <x:c r="G16" s="93" t="str">
        <x:v>Customer segment optional</x:v>
      </x:c>
      <x:c r="H16" s="94" t="str"/>
    </x:row>
    <x:row r="17">
      <x:c r="A17" s="95" t="str">
        <x:v>retention</x:v>
      </x:c>
      <x:c r="B17" s="96" t="str">
        <x:v>multiply</x:v>
      </x:c>
      <x:c r="C17" s="96" t="str">
        <x:v>1.10</x:v>
      </x:c>
      <x:c r="D17" s="96" t="str">
        <x:v>+15%</x:v>
      </x:c>
      <x:c r="E17" s="96" t="str">
        <x:v>Customer</x:v>
      </x:c>
      <x:c r="F17" s="96" t="str">
        <x:v>Yes</x:v>
      </x:c>
      <x:c r="G17" s="96" t="str">
        <x:v>Customer segment optional</x:v>
      </x:c>
      <x:c r="H17" s="97" t="str"/>
    </x:row>
    <x:row r="18">
      <x:c r="A18" s="95" t="str">
        <x:v>capacity</x:v>
      </x:c>
      <x:c r="B18" s="96" t="str">
        <x:v>multiply</x:v>
      </x:c>
      <x:c r="C18" s="96" t="str">
        <x:v>1.10</x:v>
      </x:c>
      <x:c r="D18" s="96" t="str">
        <x:v>+20%</x:v>
      </x:c>
      <x:c r="E18" s="96" t="str">
        <x:v>Customer/Economy</x:v>
      </x:c>
      <x:c r="F18" s="96" t="str">
        <x:v>Yes</x:v>
      </x:c>
      <x:c r="G18" s="96" t="str">
        <x:v>No</x:v>
      </x:c>
      <x:c r="H18" s="97" t="str"/>
    </x:row>
    <x:row r="19">
      <x:c r="A19" s="95" t="str">
        <x:v>activity_efficiency</x:v>
      </x:c>
      <x:c r="B19" s="96" t="str">
        <x:v>multiply</x:v>
      </x:c>
      <x:c r="C19" s="96" t="str">
        <x:v>1.10</x:v>
      </x:c>
      <x:c r="D19" s="96" t="str">
        <x:v>+15%</x:v>
      </x:c>
      <x:c r="E19" s="96" t="str">
        <x:v>Economy</x:v>
      </x:c>
      <x:c r="F19" s="96" t="str">
        <x:v>Yes</x:v>
      </x:c>
      <x:c r="G19" s="96" t="str">
        <x:v>No</x:v>
      </x:c>
      <x:c r="H19" s="97" t="str">
        <x:v>Does not itself mint Performance Activity Points</x:v>
      </x:c>
    </x:row>
    <x:row r="20">
      <x:c r="A20" s="95" t="str">
        <x:v>operating_cost</x:v>
      </x:c>
      <x:c r="B20" s="96" t="str">
        <x:v>multiply</x:v>
      </x:c>
      <x:c r="C20" s="96" t="str">
        <x:v>0.94</x:v>
      </x:c>
      <x:c r="D20" s="96" t="str">
        <x:v>12% max cost reduction</x:v>
      </x:c>
      <x:c r="E20" s="96" t="str">
        <x:v>Economy</x:v>
      </x:c>
      <x:c r="F20" s="96" t="str">
        <x:v>Yes</x:v>
      </x:c>
      <x:c r="G20" s="96" t="str">
        <x:v>No</x:v>
      </x:c>
      <x:c r="H20" s="97" t="str"/>
    </x:row>
    <x:row r="21">
      <x:c r="A21" s="95" t="str">
        <x:v>service_quality</x:v>
      </x:c>
      <x:c r="B21" s="96" t="str">
        <x:v>add_points</x:v>
      </x:c>
      <x:c r="C21" s="96" t="str">
        <x:v>+5</x:v>
      </x:c>
      <x:c r="D21" s="96" t="str">
        <x:v>+10 points</x:v>
      </x:c>
      <x:c r="E21" s="96" t="str">
        <x:v>Customer/Rep</x:v>
      </x:c>
      <x:c r="F21" s="96" t="str">
        <x:v>Yes</x:v>
      </x:c>
      <x:c r="G21" s="96" t="str">
        <x:v>No</x:v>
      </x:c>
      <x:c r="H21" s="97" t="str">
        <x:v>No direct Reputation points</x:v>
      </x:c>
    </x:row>
    <x:row r="22">
      <x:c r="A22" s="95" t="str">
        <x:v>risk_delta</x:v>
      </x:c>
      <x:c r="B22" s="96" t="str">
        <x:v>add_points</x:v>
      </x:c>
      <x:c r="C22" s="96" t="str">
        <x:v>-6</x:v>
      </x:c>
      <x:c r="D22" s="96" t="str">
        <x:v>-15 Module points relevant cap</x:v>
      </x:c>
      <x:c r="E22" s="96" t="str">
        <x:v>Risk</x:v>
      </x:c>
      <x:c r="F22" s="96" t="str">
        <x:v>Yes</x:v>
      </x:c>
      <x:c r="G22" s="96" t="str">
        <x:v>Risk category required</x:v>
      </x:c>
      <x:c r="H22" s="97" t="str"/>
    </x:row>
    <x:row r="23">
      <x:c r="A23" s="98" t="str">
        <x:v>event_resilience</x:v>
      </x:c>
      <x:c r="B23" s="99" t="str">
        <x:v>multiply</x:v>
      </x:c>
      <x:c r="C23" s="99" t="str">
        <x:v>0.85</x:v>
      </x:c>
      <x:c r="D23" s="99" t="str">
        <x:v>20% eligible negative-event reduction</x:v>
      </x:c>
      <x:c r="E23" s="99" t="str">
        <x:v>Event</x:v>
      </x:c>
      <x:c r="F23" s="99" t="str">
        <x:v>Yes</x:v>
      </x:c>
      <x:c r="G23" s="99" t="str">
        <x:v>Event family optional</x:v>
      </x:c>
      <x:c r="H23" s="100" t="str">
        <x:v>Cannot cancel event</x:v>
      </x:c>
    </x:row>
  </x:sheetData>
  <x:mergeCells>
    <x:mergeCell ref="A1:Q1"/>
    <x:mergeCell ref="A14:Q14"/>
  </x:mergeCells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0" customHeight="1">
      <x:c r="A1" s="114" t="str">
        <x:v>Module Transactions — Atomicity, Idempotency &amp; Failure Semantics v0.2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14"/>
      <x:c r="N1" s="114"/>
      <x:c r="O1" s="114"/>
      <x:c r="P1" s="114"/>
      <x:c r="Q1" s="114"/>
    </x:row>
    <x:row r="3">
      <x:c r="A3" s="105" t="str">
        <x:v>Flow</x:v>
      </x:c>
      <x:c r="B3" s="105" t="str">
        <x:v>Step</x:v>
      </x:c>
      <x:c r="C3" s="105" t="str">
        <x:v>Reads</x:v>
      </x:c>
      <x:c r="D3" s="105" t="str">
        <x:v>Validation</x:v>
      </x:c>
      <x:c r="E3" s="105" t="str">
        <x:v>Writes</x:v>
      </x:c>
      <x:c r="F3" s="105" t="str">
        <x:v>Transaction Boundary</x:v>
      </x:c>
      <x:c r="G3" s="105" t="str">
        <x:v>Version / Lock</x:v>
      </x:c>
      <x:c r="H3" s="105" t="str">
        <x:v>Idempotency</x:v>
      </x:c>
      <x:c r="I3" s="105" t="str">
        <x:v>Domain Event</x:v>
      </x:c>
      <x:c r="J3" s="105" t="str">
        <x:v>Retry Result</x:v>
      </x:c>
      <x:c r="K3" s="105" t="str">
        <x:v>Client Error</x:v>
      </x:c>
      <x:c r="L3" s="105" t="str">
        <x:v>System Failure</x:v>
      </x:c>
      <x:c r="M3" s="105" t="str">
        <x:v>Inventory Risk</x:v>
      </x:c>
      <x:c r="N3" s="105" t="str">
        <x:v>Score Risk</x:v>
      </x:c>
      <x:c r="O3" s="105" t="str">
        <x:v>Offline Behavior</x:v>
      </x:c>
      <x:c r="P3" s="105" t="str">
        <x:v>Priority</x:v>
      </x:c>
      <x:c r="Q3" s="105" t="str">
        <x:v>Notes</x:v>
      </x:c>
    </x:row>
    <x:row r="4">
      <x:c r="A4" s="92" t="str">
        <x:v>Equip</x:v>
      </x:c>
      <x:c r="B4" s="93" t="n">
        <x:v>1</x:v>
      </x:c>
      <x:c r="C4" s="93" t="str">
        <x:v>building,loadout,inventory,module config,event lock</x:v>
      </x:c>
      <x:c r="D4" s="93" t="str">
        <x:v>Owner; slot unlocked; copy available; compatible; no duplicate ID; Legendary&lt;=1; not locked</x:v>
      </x:c>
      <x:c r="E4" s="93" t="str">
        <x:v>slot,module equipped count,loadout_version,effective_at,audit</x:v>
      </x:c>
      <x:c r="F4" s="93" t="str">
        <x:v>Single DB transaction</x:v>
      </x:c>
      <x:c r="G4" s="93" t="str">
        <x:v>expected_loadout_version + row locks</x:v>
      </x:c>
      <x:c r="H4" s="93" t="str">
        <x:v>request_id</x:v>
      </x:c>
      <x:c r="I4" s="93" t="str">
        <x:v>module.equipped</x:v>
      </x:c>
      <x:c r="J4" s="93" t="str">
        <x:v>Return original response</x:v>
      </x:c>
      <x:c r="K4" s="93" t="str">
        <x:v>409/422/423</x:v>
      </x:c>
      <x:c r="L4" s="93" t="str">
        <x:v>Rollback whole txn</x:v>
      </x:c>
      <x:c r="M4" s="93" t="str">
        <x:v>Critical if partial</x:v>
      </x:c>
      <x:c r="N4" s="93" t="str">
        <x:v>No direct</x:v>
      </x:c>
      <x:c r="O4" s="93" t="str">
        <x:v>Effect applies next tick even if player disconnects</x:v>
      </x:c>
      <x:c r="P4" s="93" t="str">
        <x:v>P0</x:v>
      </x:c>
      <x:c r="Q4" s="94" t="str"/>
    </x:row>
    <x:row r="5">
      <x:c r="A5" s="95" t="str">
        <x:v>Unequip</x:v>
      </x:c>
      <x:c r="B5" s="96" t="n">
        <x:v>1</x:v>
      </x:c>
      <x:c r="C5" s="96" t="str">
        <x:v>building,loadout,inventory,event lock</x:v>
      </x:c>
      <x:c r="D5" s="96" t="str">
        <x:v>Owner; slot occupied; not locked</x:v>
      </x:c>
      <x:c r="E5" s="96" t="str">
        <x:v>clear slot,decrement equipped,loadout_version,effective_at,audit</x:v>
      </x:c>
      <x:c r="F5" s="96" t="str">
        <x:v>Single DB transaction</x:v>
      </x:c>
      <x:c r="G5" s="96" t="str">
        <x:v>expected_loadout_version</x:v>
      </x:c>
      <x:c r="H5" s="96" t="str">
        <x:v>request_id</x:v>
      </x:c>
      <x:c r="I5" s="96" t="str">
        <x:v>module.unequipped</x:v>
      </x:c>
      <x:c r="J5" s="96" t="str">
        <x:v>Return original</x:v>
      </x:c>
      <x:c r="K5" s="96" t="str">
        <x:v>409/423</x:v>
      </x:c>
      <x:c r="L5" s="96" t="str">
        <x:v>Rollback</x:v>
      </x:c>
      <x:c r="M5" s="96" t="str">
        <x:v>Critical if partial</x:v>
      </x:c>
      <x:c r="N5" s="96" t="str">
        <x:v>No direct</x:v>
      </x:c>
      <x:c r="O5" s="96" t="str">
        <x:v>Next tick uses new loadout</x:v>
      </x:c>
      <x:c r="P5" s="96" t="str">
        <x:v>P0</x:v>
      </x:c>
      <x:c r="Q5" s="97" t="str"/>
    </x:row>
    <x:row r="6">
      <x:c r="A6" s="95" t="str">
        <x:v>Mastery Progress</x:v>
      </x:c>
      <x:c r="B6" s="96" t="n">
        <x:v>1</x:v>
      </x:c>
      <x:c r="C6" s="96" t="str">
        <x:v>source evidence,objective config,current progress</x:v>
      </x:c>
      <x:c r="D6" s="96" t="str">
        <x:v>Evidence valid; not already consumed for that objective cursor</x:v>
      </x:c>
      <x:c r="E6" s="96" t="str">
        <x:v>progress/evidence cursor</x:v>
      </x:c>
      <x:c r="F6" s="96" t="str">
        <x:v>Projector transaction</x:v>
      </x:c>
      <x:c r="G6" s="96" t="str">
        <x:v>row_version/evidence id</x:v>
      </x:c>
      <x:c r="H6" s="96" t="str">
        <x:v>evidence_event_id+tier</x:v>
      </x:c>
      <x:c r="I6" s="96" t="str">
        <x:v>mastery.progressed</x:v>
      </x:c>
      <x:c r="J6" s="96" t="str">
        <x:v>Dedupe evidence</x:v>
      </x:c>
      <x:c r="K6" s="96" t="str">
        <x:v>N/A</x:v>
      </x:c>
      <x:c r="L6" s="96" t="str">
        <x:v>Retry projector</x:v>
      </x:c>
      <x:c r="M6" s="96" t="str">
        <x:v>Low</x:v>
      </x:c>
      <x:c r="N6" s="96" t="str">
        <x:v>No direct</x:v>
      </x:c>
      <x:c r="O6" s="96" t="str">
        <x:v>No passive fake progress</x:v>
      </x:c>
      <x:c r="P6" s="96" t="str">
        <x:v>P1</x:v>
      </x:c>
      <x:c r="Q6" s="97" t="str"/>
    </x:row>
    <x:row r="7">
      <x:c r="A7" s="95" t="str">
        <x:v>Mastery Claim</x:v>
      </x:c>
      <x:c r="B7" s="96" t="n">
        <x:v>1</x:v>
      </x:c>
      <x:c r="C7" s="96" t="str">
        <x:v>mastery row,reward choices,inventory</x:v>
      </x:c>
      <x:c r="D7" s="96" t="str">
        <x:v>Complete; unclaimed; choice valid</x:v>
      </x:c>
      <x:c r="E7" s="96" t="str">
        <x:v>mark claimed,reward ledger,inventory</x:v>
      </x:c>
      <x:c r="F7" s="96" t="str">
        <x:v>Single DB transaction</x:v>
      </x:c>
      <x:c r="G7" s="96" t="str">
        <x:v>mastery row lock/version</x:v>
      </x:c>
      <x:c r="H7" s="96" t="str">
        <x:v>request_id</x:v>
      </x:c>
      <x:c r="I7" s="96" t="str">
        <x:v>mastery.reward_claimed + module.acquired</x:v>
      </x:c>
      <x:c r="J7" s="96" t="str">
        <x:v>Return same reward</x:v>
      </x:c>
      <x:c r="K7" s="96" t="str">
        <x:v>409/422</x:v>
      </x:c>
      <x:c r="L7" s="96" t="str">
        <x:v>Rollback</x:v>
      </x:c>
      <x:c r="M7" s="96" t="str">
        <x:v>Critical</x:v>
      </x:c>
      <x:c r="N7" s="96" t="str">
        <x:v>No direct</x:v>
      </x:c>
      <x:c r="O7" s="96" t="str">
        <x:v>Claim waits for player; reward durable after claim</x:v>
      </x:c>
      <x:c r="P7" s="96" t="str">
        <x:v>P1</x:v>
      </x:c>
      <x:c r="Q7" s="97" t="str"/>
    </x:row>
    <x:row r="8">
      <x:c r="A8" s="95" t="str">
        <x:v>Dismantle</x:v>
      </x:c>
      <x:c r="B8" s="96" t="n">
        <x:v>1</x:v>
      </x:c>
      <x:c r="C8" s="96" t="str">
        <x:v>inventory,Parts balance,Module config</x:v>
      </x:c>
      <x:c r="D8" s="96" t="str">
        <x:v>available owned-equipped &gt;= qty</x:v>
      </x:c>
      <x:c r="E8" s="96" t="str">
        <x:v>owned-qty,Parts+delta,ledgers</x:v>
      </x:c>
      <x:c r="F8" s="96" t="str">
        <x:v>Single DB transaction</x:v>
      </x:c>
      <x:c r="G8" s="96" t="str">
        <x:v>inventory/Parts row versions</x:v>
      </x:c>
      <x:c r="H8" s="96" t="str">
        <x:v>request_id</x:v>
      </x:c>
      <x:c r="I8" s="96" t="str">
        <x:v>module.dismantled</x:v>
      </x:c>
      <x:c r="J8" s="96" t="str">
        <x:v>Return same balances</x:v>
      </x:c>
      <x:c r="K8" s="96" t="str">
        <x:v>409/422</x:v>
      </x:c>
      <x:c r="L8" s="96" t="str">
        <x:v>Rollback</x:v>
      </x:c>
      <x:c r="M8" s="96" t="str">
        <x:v>Critical</x:v>
      </x:c>
      <x:c r="N8" s="96" t="str">
        <x:v>No direct</x:v>
      </x:c>
      <x:c r="O8" s="96" t="str">
        <x:v>No timer</x:v>
      </x:c>
      <x:c r="P8" s="96" t="str">
        <x:v>P2</x:v>
      </x:c>
      <x:c r="Q8" s="97" t="str"/>
    </x:row>
    <x:row r="9">
      <x:c r="A9" s="95" t="str">
        <x:v>Craft Start</x:v>
      </x:c>
      <x:c r="B9" s="96" t="n">
        <x:v>1</x:v>
      </x:c>
      <x:c r="C9" s="96" t="str">
        <x:v>config,stage/mastery,Parts,craft slots</x:v>
      </x:c>
      <x:c r="D9" s="96" t="str">
        <x:v>Recipe active; gates met; Parts sufficient; slot available</x:v>
      </x:c>
      <x:c r="E9" s="96" t="str">
        <x:v>Parts debit/reserve,craft job,ledger</x:v>
      </x:c>
      <x:c r="F9" s="96" t="str">
        <x:v>Single DB transaction</x:v>
      </x:c>
      <x:c r="G9" s="96" t="str">
        <x:v>Parts + craft queue locks</x:v>
      </x:c>
      <x:c r="H9" s="96" t="str">
        <x:v>request_id</x:v>
      </x:c>
      <x:c r="I9" s="96" t="str">
        <x:v>module.craft_started</x:v>
      </x:c>
      <x:c r="J9" s="96" t="str">
        <x:v>Return same craft job</x:v>
      </x:c>
      <x:c r="K9" s="96" t="str">
        <x:v>409/422/429</x:v>
      </x:c>
      <x:c r="L9" s="96" t="str">
        <x:v>Rollback</x:v>
      </x:c>
      <x:c r="M9" s="96" t="str">
        <x:v>Critical</x:v>
      </x:c>
      <x:c r="N9" s="96" t="str">
        <x:v>No direct</x:v>
      </x:c>
      <x:c r="O9" s="96" t="str">
        <x:v>Timer begins server UTC</x:v>
      </x:c>
      <x:c r="P9" s="96" t="str">
        <x:v>P2</x:v>
      </x:c>
      <x:c r="Q9" s="97" t="str"/>
    </x:row>
    <x:row r="10">
      <x:c r="A10" s="95" t="str">
        <x:v>Craft Cancel</x:v>
      </x:c>
      <x:c r="B10" s="96" t="n">
        <x:v>1</x:v>
      </x:c>
      <x:c r="C10" s="96" t="str">
        <x:v>craft job,recipe,elapsed</x:v>
      </x:c>
      <x:c r="D10" s="96" t="str">
        <x:v>Cancellable; not complete</x:v>
      </x:c>
      <x:c r="E10" s="96" t="str">
        <x:v>state cancel,refund Parts per frozen recipe</x:v>
      </x:c>
      <x:c r="F10" s="96" t="str">
        <x:v>Single DB transaction</x:v>
      </x:c>
      <x:c r="G10" s="96" t="str">
        <x:v>craft job + Parts versions</x:v>
      </x:c>
      <x:c r="H10" s="96" t="str">
        <x:v>request_id</x:v>
      </x:c>
      <x:c r="I10" s="96" t="str">
        <x:v>module.craft_cancelled</x:v>
      </x:c>
      <x:c r="J10" s="96" t="str">
        <x:v>Return same cancelled state</x:v>
      </x:c>
      <x:c r="K10" s="96" t="str">
        <x:v>409/422</x:v>
      </x:c>
      <x:c r="L10" s="96" t="str">
        <x:v>Rollback</x:v>
      </x:c>
      <x:c r="M10" s="96" t="str">
        <x:v>High</x:v>
      </x:c>
      <x:c r="N10" s="96" t="str">
        <x:v>No direct</x:v>
      </x:c>
      <x:c r="O10" s="96" t="str">
        <x:v>Can cancel while online only via intent</x:v>
      </x:c>
      <x:c r="P10" s="96" t="str">
        <x:v>P2</x:v>
      </x:c>
      <x:c r="Q10" s="97" t="str"/>
    </x:row>
    <x:row r="11">
      <x:c r="A11" s="95" t="str">
        <x:v>Craft Complete</x:v>
      </x:c>
      <x:c r="B11" s="96" t="n">
        <x:v>1</x:v>
      </x:c>
      <x:c r="C11" s="96" t="str">
        <x:v>due craft job,recipe,inventory</x:v>
      </x:c>
      <x:c r="D11" s="96" t="str">
        <x:v>Due; not complete; recipe/config valid</x:v>
      </x:c>
      <x:c r="E11" s="96" t="str">
        <x:v>complete job,inventory +1,reward/acquisition ledger</x:v>
      </x:c>
      <x:c r="F11" s="96" t="str">
        <x:v>Single DB transaction</x:v>
      </x:c>
      <x:c r="G11" s="96" t="str">
        <x:v>craft job + inventory lock</x:v>
      </x:c>
      <x:c r="H11" s="96" t="str">
        <x:v>craft_job_id</x:v>
      </x:c>
      <x:c r="I11" s="96" t="str">
        <x:v>module.crafted + module.acquired</x:v>
      </x:c>
      <x:c r="J11" s="96" t="str">
        <x:v>No-op/return completed</x:v>
      </x:c>
      <x:c r="K11" s="96" t="str">
        <x:v>N/A</x:v>
      </x:c>
      <x:c r="L11" s="96" t="str">
        <x:v>Retry worker</x:v>
      </x:c>
      <x:c r="M11" s="96" t="str">
        <x:v>Critical</x:v>
      </x:c>
      <x:c r="N11" s="96" t="str">
        <x:v>No direct</x:v>
      </x:c>
      <x:c r="O11" s="96" t="str">
        <x:v>Completes while player offline</x:v>
      </x:c>
      <x:c r="P11" s="96" t="str">
        <x:v>P2</x:v>
      </x:c>
      <x:c r="Q11" s="97" t="str"/>
    </x:row>
    <x:row r="12">
      <x:c r="A12" s="95" t="str">
        <x:v>Reward Grant</x:v>
      </x:c>
      <x:c r="B12" s="96" t="n">
        <x:v>1</x:v>
      </x:c>
      <x:c r="C12" s="96" t="str">
        <x:v>source evidence,reward table,inventory</x:v>
      </x:c>
      <x:c r="D12" s="96" t="str">
        <x:v>Eligible source; unique source_event; config active at source</x:v>
      </x:c>
      <x:c r="E12" s="96" t="str">
        <x:v>reward ledger,inventory</x:v>
      </x:c>
      <x:c r="F12" s="96" t="str">
        <x:v>Single DB transaction</x:v>
      </x:c>
      <x:c r="G12" s="96" t="str">
        <x:v>unique source_event constraint</x:v>
      </x:c>
      <x:c r="H12" s="96" t="str">
        <x:v>source_event_id</x:v>
      </x:c>
      <x:c r="I12" s="96" t="str">
        <x:v>module.acquired</x:v>
      </x:c>
      <x:c r="J12" s="96" t="str">
        <x:v>Return existing grant</x:v>
      </x:c>
      <x:c r="K12" s="96" t="str">
        <x:v>N/A</x:v>
      </x:c>
      <x:c r="L12" s="96" t="str">
        <x:v>Retry worker</x:v>
      </x:c>
      <x:c r="M12" s="96" t="str">
        <x:v>Critical</x:v>
      </x:c>
      <x:c r="N12" s="96" t="str">
        <x:v>No direct</x:v>
      </x:c>
      <x:c r="O12" s="96" t="str">
        <x:v>Grant durable</x:v>
      </x:c>
      <x:c r="P12" s="96" t="str">
        <x:v>P1</x:v>
      </x:c>
      <x:c r="Q12" s="97" t="str"/>
    </x:row>
    <x:row r="13">
      <x:c r="A13" s="98" t="str">
        <x:v>Building Removal</x:v>
      </x:c>
      <x:c r="B13" s="99" t="n">
        <x:v>1</x:v>
      </x:c>
      <x:c r="C13" s="99" t="str">
        <x:v>building,loadout,inventory,layout</x:v>
      </x:c>
      <x:c r="D13" s="99" t="str">
        <x:v>Owner; building removable; loadout version</x:v>
      </x:c>
      <x:c r="E13" s="99" t="str">
        <x:v>archive building/placement; clear loadout; decrement equipped counts</x:v>
      </x:c>
      <x:c r="F13" s="99" t="str">
        <x:v>Single coordinated transaction</x:v>
      </x:c>
      <x:c r="G13" s="99" t="str">
        <x:v>asset+layout+loadout versions</x:v>
      </x:c>
      <x:c r="H13" s="99" t="str">
        <x:v>request_id</x:v>
      </x:c>
      <x:c r="I13" s="99" t="str">
        <x:v>building.removed + loadout audit</x:v>
      </x:c>
      <x:c r="J13" s="99" t="str">
        <x:v>Return prior result</x:v>
      </x:c>
      <x:c r="K13" s="99" t="str">
        <x:v>409/423</x:v>
      </x:c>
      <x:c r="L13" s="99" t="str">
        <x:v>Rollback all</x:v>
      </x:c>
      <x:c r="M13" s="99" t="str">
        <x:v>Critical</x:v>
      </x:c>
      <x:c r="N13" s="99" t="str">
        <x:v>No direct</x:v>
      </x:c>
      <x:c r="O13" s="99" t="str">
        <x:v>Future ticks use empty/removed building state</x:v>
      </x:c>
      <x:c r="P13" s="99" t="str">
        <x:v>P0</x:v>
      </x:c>
      <x:c r="Q13" s="100" t="str">
        <x:v>Modules never get lost with removed building</x:v>
      </x:c>
    </x:row>
  </x:sheetData>
  <x:mergeCells>
    <x:mergeCell ref="A1:Q1"/>
  </x:mergeCells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8" hidden="0" customWidth="1"/>
    <x:col min="3" max="3" width="28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18" hidden="0" customWidth="1"/>
  </x:cols>
  <x:sheetData>
    <x:row r="1" ht="30" customHeight="1">
      <x:c r="A1" s="114" t="str">
        <x:v>Module Integration Map — Existing Backend Domains v0.2</x:v>
      </x:c>
      <x:c r="B1" s="114"/>
      <x:c r="C1" s="114"/>
      <x:c r="D1" s="114"/>
      <x:c r="E1" s="114"/>
      <x:c r="F1" s="114"/>
      <x:c r="G1" s="114"/>
      <x:c r="H1" s="114"/>
      <x:c r="I1" s="114"/>
      <x:c r="J1" s="114"/>
      <x:c r="K1" s="114"/>
      <x:c r="L1" s="114"/>
      <x:c r="M1" s="114"/>
      <x:c r="N1" s="114"/>
      <x:c r="O1" s="114"/>
      <x:c r="P1" s="114"/>
      <x:c r="Q1" s="22"/>
    </x:row>
    <x:row r="3">
      <x:c r="A3" s="105" t="str">
        <x:v>Existing Domain</x:v>
      </x:c>
      <x:c r="B3" s="105" t="str">
        <x:v>Reads From Module Domain</x:v>
      </x:c>
      <x:c r="C3" s="105" t="str">
        <x:v>Writes / Triggers Module Domain</x:v>
      </x:c>
      <x:c r="D3" s="105" t="str">
        <x:v>Data Contract</x:v>
      </x:c>
      <x:c r="E3" s="105" t="str">
        <x:v>Synchronous?</x:v>
      </x:c>
      <x:c r="F3" s="105" t="str">
        <x:v>Async Event?</x:v>
      </x:c>
      <x:c r="G3" s="105" t="str">
        <x:v>Cache Dependency</x:v>
      </x:c>
      <x:c r="H3" s="105" t="str">
        <x:v>Failure Behavior</x:v>
      </x:c>
      <x:c r="I3" s="105" t="str">
        <x:v>Replay Requirement</x:v>
      </x:c>
      <x:c r="J3" s="105" t="str">
        <x:v>Offline Interaction</x:v>
      </x:c>
      <x:c r="K3" s="105" t="str">
        <x:v>Performance Interaction</x:v>
      </x:c>
      <x:c r="L3" s="105" t="str">
        <x:v>Security Boundary</x:v>
      </x:c>
      <x:c r="M3" s="105" t="str">
        <x:v>MVP Phase</x:v>
      </x:c>
      <x:c r="N3" s="105" t="str">
        <x:v>Owner</x:v>
      </x:c>
      <x:c r="O3" s="105" t="str">
        <x:v>Priority</x:v>
      </x:c>
      <x:c r="P3" s="105" t="str">
        <x:v>Notes</x:v>
      </x:c>
    </x:row>
    <x:row r="4">
      <x:c r="A4" s="92" t="str">
        <x:v>Building/Layout</x:v>
      </x:c>
      <x:c r="B4" s="93" t="str">
        <x:v>slot count,loadout version</x:v>
      </x:c>
      <x:c r="C4" s="93" t="str">
        <x:v>Building remove/upgrade can revalidate loadout</x:v>
      </x:c>
      <x:c r="D4" s="93" t="str">
        <x:v>building_id,type,level,rarity,loadout_version</x:v>
      </x:c>
      <x:c r="E4" s="93" t="str">
        <x:v>Yes</x:v>
      </x:c>
      <x:c r="F4" s="93" t="str">
        <x:v>layout/building events</x:v>
      </x:c>
      <x:c r="G4" s="93" t="str">
        <x:v>Loadout cache</x:v>
      </x:c>
      <x:c r="H4" s="93" t="str">
        <x:v>Keep last valid loadout; reject mutation conflict</x:v>
      </x:c>
      <x:c r="I4" s="93" t="str">
        <x:v>Loadout audit</x:v>
      </x:c>
      <x:c r="J4" s="93" t="str">
        <x:v>Modules follow player/building</x:v>
      </x:c>
      <x:c r="K4" s="93" t="str">
        <x:v>No direct</x:v>
      </x:c>
      <x:c r="L4" s="93" t="str">
        <x:v>Client cannot set slot/effect state</x:v>
      </x:c>
      <x:c r="M4" s="93" t="str">
        <x:v>P0</x:v>
      </x:c>
      <x:c r="N4" s="93" t="str">
        <x:v>Layout/Module</x:v>
      </x:c>
      <x:c r="O4" s="93" t="str">
        <x:v>Critical</x:v>
      </x:c>
      <x:c r="P4" s="94" t="str"/>
    </x:row>
    <x:row r="5">
      <x:c r="A5" s="95" t="str">
        <x:v>Customer</x:v>
      </x:c>
      <x:c r="B5" s="96" t="str">
        <x:v>acquisition,retention,capacity,service modifiers</x:v>
      </x:c>
      <x:c r="C5" s="96" t="str">
        <x:v>Customer evidence advances mastery</x:v>
      </x:c>
      <x:c r="D5" s="96" t="str">
        <x:v>effect vector + lineage refs</x:v>
      </x:c>
      <x:c r="E5" s="96" t="str">
        <x:v>In-process</x:v>
      </x:c>
      <x:c r="F5" s="96" t="str">
        <x:v>customer.updated → mastery</x:v>
      </x:c>
      <x:c r="G5" s="96" t="str">
        <x:v>Compiled effect cache</x:v>
      </x:c>
      <x:c r="H5" s="96" t="str">
        <x:v>Use conservative/no invalid effect; alert</x:v>
      </x:c>
      <x:c r="I5" s="96" t="str">
        <x:v>Tick/bucket replay</x:v>
      </x:c>
      <x:c r="J5" s="96" t="str">
        <x:v>Reduced offline customer simulation still uses Modules</x:v>
      </x:c>
      <x:c r="K5" s="96" t="str">
        <x:v>Customer metrics may affect score</x:v>
      </x:c>
      <x:c r="L5" s="96" t="str">
        <x:v>Server resolver only</x:v>
      </x:c>
      <x:c r="M5" s="96" t="str">
        <x:v>P0</x:v>
      </x:c>
      <x:c r="N5" s="96" t="str">
        <x:v>Customer</x:v>
      </x:c>
      <x:c r="O5" s="96" t="str">
        <x:v>Critical</x:v>
      </x:c>
      <x:c r="P5" s="97" t="str"/>
    </x:row>
    <x:row r="6">
      <x:c r="A6" s="95" t="str">
        <x:v>Economy</x:v>
      </x:c>
      <x:c r="B6" s="96" t="str">
        <x:v>activity efficiency,opex,capacity modifiers</x:v>
      </x:c>
      <x:c r="C6" s="96" t="str">
        <x:v>Activity/economy evidence advances mastery</x:v>
      </x:c>
      <x:c r="D6" s="96" t="str">
        <x:v>effect vector + loadout/config refs</x:v>
      </x:c>
      <x:c r="E6" s="96" t="str">
        <x:v>In-process</x:v>
      </x:c>
      <x:c r="F6" s="96" t="str">
        <x:v>economy.tick → mastery/performance</x:v>
      </x:c>
      <x:c r="G6" s="96" t="str">
        <x:v>Compiled effect cache</x:v>
      </x:c>
      <x:c r="H6" s="96" t="str">
        <x:v>No client fallback; replay tick</x:v>
      </x:c>
      <x:c r="I6" s="96" t="str">
        <x:v>Tick replay</x:v>
      </x:c>
      <x:c r="J6" s="96" t="str">
        <x:v>Offline economy uses same resolved effects before offline multipliers</x:v>
      </x:c>
      <x:c r="K6" s="96" t="str">
        <x:v>Revenue/activity indirect only</x:v>
      </x:c>
      <x:c r="L6" s="96" t="str">
        <x:v>Server resolver only</x:v>
      </x:c>
      <x:c r="M6" s="96" t="str">
        <x:v>P0</x:v>
      </x:c>
      <x:c r="N6" s="96" t="str">
        <x:v>Economy</x:v>
      </x:c>
      <x:c r="O6" s="96" t="str">
        <x:v>Critical</x:v>
      </x:c>
      <x:c r="P6" s="97" t="str"/>
    </x:row>
    <x:row r="7">
      <x:c r="A7" s="95" t="str">
        <x:v>Risk/Reputation</x:v>
      </x:c>
      <x:c r="B7" s="96" t="str">
        <x:v>risk_delta,service effects,event resilience context</x:v>
      </x:c>
      <x:c r="C7" s="96" t="str">
        <x:v>Risk/service evidence advances mastery</x:v>
      </x:c>
      <x:c r="D7" s="96" t="str">
        <x:v>risk modifier vector + lineage</x:v>
      </x:c>
      <x:c r="E7" s="96" t="str">
        <x:v>In-process</x:v>
      </x:c>
      <x:c r="F7" s="96" t="str">
        <x:v>risk.updated → mastery</x:v>
      </x:c>
      <x:c r="G7" s="96" t="str">
        <x:v>Compiled effect cache</x:v>
      </x:c>
      <x:c r="H7" s="96" t="str">
        <x:v>Conservative risk eval</x:v>
      </x:c>
      <x:c r="I7" s="96" t="str">
        <x:v>Risk re-evaluation</x:v>
      </x:c>
      <x:c r="J7" s="96" t="str">
        <x:v>Offline risk still evaluates Module effects</x:v>
      </x:c>
      <x:c r="K7" s="96" t="str">
        <x:v>Risk score indirect only</x:v>
      </x:c>
      <x:c r="L7" s="96" t="str">
        <x:v>No direct Rep grants</x:v>
      </x:c>
      <x:c r="M7" s="96" t="str">
        <x:v>P0</x:v>
      </x:c>
      <x:c r="N7" s="96" t="str">
        <x:v>Risk</x:v>
      </x:c>
      <x:c r="O7" s="96" t="str">
        <x:v>Critical</x:v>
      </x:c>
      <x:c r="P7" s="97" t="str"/>
    </x:row>
    <x:row r="8">
      <x:c r="A8" s="95" t="str">
        <x:v>Events</x:v>
      </x:c>
      <x:c r="B8" s="96" t="str">
        <x:v>event resilience,loadout lock rules</x:v>
      </x:c>
      <x:c r="C8" s="96" t="str">
        <x:v>Event rewards may grant Modules; events may lock swaps</x:v>
      </x:c>
      <x:c r="D8" s="96" t="str">
        <x:v>event_id,state,module family bias/lock</x:v>
      </x:c>
      <x:c r="E8" s="96" t="str">
        <x:v>Mixed</x:v>
      </x:c>
      <x:c r="F8" s="96" t="str">
        <x:v>module reward/lock events</x:v>
      </x:c>
      <x:c r="G8" s="96" t="str">
        <x:v>Event/loadout cache</x:v>
      </x:c>
      <x:c r="H8" s="96" t="str">
        <x:v>Replay event window</x:v>
      </x:c>
      <x:c r="I8" s="96" t="str">
        <x:v>Event log + loadout audit</x:v>
      </x:c>
      <x:c r="J8" s="96" t="str">
        <x:v>Cannot dodge event by logout</x:v>
      </x:c>
      <x:c r="K8" s="96" t="str">
        <x:v>Underlying metrics only</x:v>
      </x:c>
      <x:c r="L8" s="96" t="str">
        <x:v>Event cannot accept client effect override</x:v>
      </x:c>
      <x:c r="M8" s="96" t="str">
        <x:v>P1</x:v>
      </x:c>
      <x:c r="N8" s="96" t="str">
        <x:v>Event</x:v>
      </x:c>
      <x:c r="O8" s="96" t="str">
        <x:v>High</x:v>
      </x:c>
      <x:c r="P8" s="97" t="str"/>
    </x:row>
    <x:row r="9">
      <x:c r="A9" s="95" t="str">
        <x:v>Market Hunts</x:v>
      </x:c>
      <x:c r="B9" s="96" t="str">
        <x:v>No runtime power to Hunt Points</x:v>
      </x:c>
      <x:c r="C9" s="96" t="str">
        <x:v>Hunt completion may roll Module reward</x:v>
      </x:c>
      <x:c r="D9" s="96" t="str">
        <x:v>hunt completion source_event,family bias,reward table</x:v>
      </x:c>
      <x:c r="E9" s="96" t="str">
        <x:v>Async reward</x:v>
      </x:c>
      <x:c r="F9" s="96" t="str">
        <x:v>module.reward-grant</x:v>
      </x:c>
      <x:c r="G9" s="96" t="str">
        <x:v>Reward config cache</x:v>
      </x:c>
      <x:c r="H9" s="96" t="str">
        <x:v>Stock reward proceeds independently if Module grant worker delayed</x:v>
      </x:c>
      <x:c r="I9" s="96" t="str">
        <x:v>Hunt ledger</x:v>
      </x:c>
      <x:c r="J9" s="96" t="str">
        <x:v>No offline Hunt progress</x:v>
      </x:c>
      <x:c r="K9" s="96" t="str">
        <x:v>Module drop does not change Hunt Points</x:v>
      </x:c>
      <x:c r="L9" s="96" t="str">
        <x:v>Server source evidence</x:v>
      </x:c>
      <x:c r="M9" s="96" t="str">
        <x:v>P1</x:v>
      </x:c>
      <x:c r="N9" s="96" t="str">
        <x:v>Hunt/Reward</x:v>
      </x:c>
      <x:c r="O9" s="96" t="str">
        <x:v>High</x:v>
      </x:c>
      <x:c r="P9" s="97" t="str"/>
    </x:row>
    <x:row r="10">
      <x:c r="A10" s="95" t="str">
        <x:v>Reward</x:v>
      </x:c>
      <x:c r="B10" s="96" t="str">
        <x:v>Module acquisition grant</x:v>
      </x:c>
      <x:c r="C10" s="96" t="str">
        <x:v>Writes inventory/reward ledger</x:v>
      </x:c>
      <x:c r="D10" s="96" t="str">
        <x:v>module_id,qty,source_event,config_version</x:v>
      </x:c>
      <x:c r="E10" s="96" t="str">
        <x:v>Async/sync txn</x:v>
      </x:c>
      <x:c r="F10" s="96" t="str">
        <x:v>module.acquired</x:v>
      </x:c>
      <x:c r="G10" s="96" t="str">
        <x:v>Inventory cache</x:v>
      </x:c>
      <x:c r="H10" s="96" t="str">
        <x:v>Return prior grant on duplicate</x:v>
      </x:c>
      <x:c r="I10" s="96" t="str">
        <x:v>Reward ledger</x:v>
      </x:c>
      <x:c r="J10" s="96" t="str">
        <x:v>Durable</x:v>
      </x:c>
      <x:c r="K10" s="96" t="str">
        <x:v>No direct</x:v>
      </x:c>
      <x:c r="L10" s="96" t="str">
        <x:v>Service-only grant</x:v>
      </x:c>
      <x:c r="M10" s="96" t="str">
        <x:v>P1</x:v>
      </x:c>
      <x:c r="N10" s="96" t="str">
        <x:v>Reward</x:v>
      </x:c>
      <x:c r="O10" s="96" t="str">
        <x:v>Critical</x:v>
      </x:c>
      <x:c r="P10" s="97" t="str"/>
    </x:row>
    <x:row r="11">
      <x:c r="A11" s="95" t="str">
        <x:v>Performance</x:v>
      </x:c>
      <x:c r="B11" s="96" t="str">
        <x:v>No Module ownership/loadout field</x:v>
      </x:c>
      <x:c r="C11" s="96" t="str">
        <x:v>None</x:v>
      </x:c>
      <x:c r="D11" s="96" t="str">
        <x:v>Only underlying cash/activity/customer/risk/hunt source data</x:v>
      </x:c>
      <x:c r="E11" s="96" t="str">
        <x:v>No</x:v>
      </x:c>
      <x:c r="F11" s="96" t="str">
        <x:v>Reads normal domain events</x:v>
      </x:c>
      <x:c r="G11" s="96" t="str">
        <x:v>No Module cache</x:v>
      </x:c>
      <x:c r="H11" s="96" t="str">
        <x:v>Ignore prohibited Module fields</x:v>
      </x:c>
      <x:c r="I11" s="96" t="str">
        <x:v>Frozen source replay</x:v>
      </x:c>
      <x:c r="J11" s="96" t="str">
        <x:v>Offline rules already applied upstream</x:v>
      </x:c>
      <x:c r="K11" s="96" t="str">
        <x:v>Indirect only</x:v>
      </x:c>
      <x:c r="L11" s="96" t="str">
        <x:v>Input allowlist</x:v>
      </x:c>
      <x:c r="M11" s="96" t="str">
        <x:v>P0</x:v>
      </x:c>
      <x:c r="N11" s="96" t="str">
        <x:v>Performance</x:v>
      </x:c>
      <x:c r="O11" s="96" t="str">
        <x:v>Critical</x:v>
      </x:c>
      <x:c r="P11" s="97" t="str"/>
    </x:row>
    <x:row r="12">
      <x:c r="A12" s="95" t="str">
        <x:v>Competition/Settlement</x:v>
      </x:c>
      <x:c r="B12" s="96" t="str">
        <x:v>No Module state except source lineage for disputes</x:v>
      </x:c>
      <x:c r="C12" s="96" t="str">
        <x:v>None</x:v>
      </x:c>
      <x:c r="D12" s="96" t="str">
        <x:v>Final score/payout from Performance only</x:v>
      </x:c>
      <x:c r="E12" s="96" t="str">
        <x:v>No</x:v>
      </x:c>
      <x:c r="F12" s="96" t="str">
        <x:v>performance.finalized</x:v>
      </x:c>
      <x:c r="G12" s="96" t="str">
        <x:v>None</x:v>
      </x:c>
      <x:c r="H12" s="96" t="str">
        <x:v>Hold only if upstream source lineage corrupted</x:v>
      </x:c>
      <x:c r="I12" s="96" t="str">
        <x:v>Settlement manifest</x:v>
      </x:c>
      <x:c r="J12" s="96" t="str">
        <x:v>N/A</x:v>
      </x:c>
      <x:c r="K12" s="96" t="str">
        <x:v>No direct multiplier/pool share</x:v>
      </x:c>
      <x:c r="L12" s="96" t="str">
        <x:v>Strict schema</x:v>
      </x:c>
      <x:c r="M12" s="96" t="str">
        <x:v>P0.5</x:v>
      </x:c>
      <x:c r="N12" s="96" t="str">
        <x:v>Competition</x:v>
      </x:c>
      <x:c r="O12" s="96" t="str">
        <x:v>Critical</x:v>
      </x:c>
      <x:c r="P12" s="97" t="str"/>
    </x:row>
    <x:row r="13">
      <x:c r="A13" s="95" t="str">
        <x:v>Analytics/LiveOps</x:v>
      </x:c>
      <x:c r="B13" s="96" t="str">
        <x:v>Module usage/effect traces/reward sources</x:v>
      </x:c>
      <x:c r="C13" s="96" t="str">
        <x:v>Config tuning decisions</x:v>
      </x:c>
      <x:c r="D13" s="96" t="str">
        <x:v>event stream + warehouse</x:v>
      </x:c>
      <x:c r="E13" s="96" t="str">
        <x:v>Async</x:v>
      </x:c>
      <x:c r="F13" s="96" t="str">
        <x:v>Yes</x:v>
      </x:c>
      <x:c r="G13" s="96" t="str">
        <x:v>No</x:v>
      </x:c>
      <x:c r="H13" s="96" t="str">
        <x:v>Never blocks gameplay</x:v>
      </x:c>
      <x:c r="I13" s="96" t="str">
        <x:v>Historical events</x:v>
      </x:c>
      <x:c r="J13" s="96" t="str">
        <x:v>Measure offline/active mix</x:v>
      </x:c>
      <x:c r="K13" s="96" t="str">
        <x:v>No direct</x:v>
      </x:c>
      <x:c r="L13" s="96" t="str">
        <x:v>RBAC for config changes</x:v>
      </x:c>
      <x:c r="M13" s="96" t="str">
        <x:v>P1</x:v>
      </x:c>
      <x:c r="N13" s="96" t="str">
        <x:v>Analytics</x:v>
      </x:c>
      <x:c r="O13" s="96" t="str">
        <x:v>Medium</x:v>
      </x:c>
      <x:c r="P13" s="97" t="str"/>
    </x:row>
    <x:row r="14">
      <x:c r="A14" s="98" t="str">
        <x:v>Integrity</x:v>
      </x:c>
      <x:c r="B14" s="99" t="str">
        <x:v>Inventory/loadout/reward/Parts/effect traces</x:v>
      </x:c>
      <x:c r="C14" s="99" t="str">
        <x:v>Can hold Module mutations/rewards</x:v>
      </x:c>
      <x:c r="D14" s="99" t="str">
        <x:v>cases,evidence,affected windows</x:v>
      </x:c>
      <x:c r="E14" s="99" t="str">
        <x:v>Mixed</x:v>
      </x:c>
      <x:c r="F14" s="99" t="str">
        <x:v>Yes</x:v>
      </x:c>
      <x:c r="G14" s="99" t="str">
        <x:v>No</x:v>
      </x:c>
      <x:c r="H14" s="99" t="str">
        <x:v>Fail closed on high-value mutation</x:v>
      </x:c>
      <x:c r="I14" s="99" t="str">
        <x:v>Ledger replay</x:v>
      </x:c>
      <x:c r="J14" s="99" t="str">
        <x:v>Detect offline exploit patterns</x:v>
      </x:c>
      <x:c r="K14" s="99" t="str">
        <x:v>Recompute affected source metrics if needed</x:v>
      </x:c>
      <x:c r="L14" s="99" t="str">
        <x:v>Privileged only</x:v>
      </x:c>
      <x:c r="M14" s="99" t="str">
        <x:v>P1</x:v>
      </x:c>
      <x:c r="N14" s="99" t="str">
        <x:v>Integrity</x:v>
      </x:c>
      <x:c r="O14" s="99" t="str">
        <x:v>High</x:v>
      </x:c>
      <x:c r="P14" s="100" t="str"/>
    </x:row>
  </x:sheetData>
  <x:mergeCells>
    <x:mergeCell ref="A1:P1"/>
  </x:mergeCells>
  <x:pageMargins left="0.7" right="0.7" top="0.75" bottom="0.75" header="0.3" footer="0.3"/>
</x:worksheet>
</file>