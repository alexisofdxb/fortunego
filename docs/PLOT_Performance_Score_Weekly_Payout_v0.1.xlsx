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97126c65d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Overview" sheetId="1" r:id="R6c241a5e39e74f75"/>
    <x:sheet xmlns:r="http://schemas.openxmlformats.org/officeDocument/2006/relationships" name="01 Inputs" sheetId="2" r:id="R7fe38e6dbb7e44c5"/>
    <x:sheet xmlns:r="http://schemas.openxmlformats.org/officeDocument/2006/relationships" name="02 Stage Baselines" sheetId="3" r:id="Rcd449e10ed4940c8"/>
    <x:sheet xmlns:r="http://schemas.openxmlformats.org/officeDocument/2006/relationships" name="03 Score Rules" sheetId="4" r:id="R3baede23c2144e22"/>
    <x:sheet xmlns:r="http://schemas.openxmlformats.org/officeDocument/2006/relationships" name="04 Score Calc" sheetId="5" r:id="R7e414b81dc4a42bd"/>
    <x:sheet xmlns:r="http://schemas.openxmlformats.org/officeDocument/2006/relationships" name="05 Division Pools" sheetId="6" r:id="Rda4231b317994931"/>
    <x:sheet xmlns:r="http://schemas.openxmlformats.org/officeDocument/2006/relationships" name="06 Payout Scenarios" sheetId="7" r:id="Rbe780a93a21d46f6"/>
    <x:sheet xmlns:r="http://schemas.openxmlformats.org/officeDocument/2006/relationships" name="07 Eligibility" sheetId="8" r:id="Re35a74fc12024aca"/>
    <x:sheet xmlns:r="http://schemas.openxmlformats.org/officeDocument/2006/relationships" name="08 Anti-Abuse" sheetId="9" r:id="R7423904deb2f4409"/>
    <x:sheet xmlns:r="http://schemas.openxmlformats.org/officeDocument/2006/relationships" name="09 Sensitivity" sheetId="10" r:id="R991fdbeab9614289"/>
    <x:sheet xmlns:r="http://schemas.openxmlformats.org/officeDocument/2006/relationships" name="10 Live Ops" sheetId="11" r:id="R11e429395a014e6c"/>
    <x:sheet xmlns:r="http://schemas.openxmlformats.org/officeDocument/2006/relationships" name="11 Checks" sheetId="12" r:id="R745d0e8343b9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 &quot;PLOT&quot;;[Red](#,##0.0 &quot;PLOT&quot;);-"/>
    <x:numFmt numFmtId="201" formatCode="#,##0;[Red](#,##0);-"/>
    <x:numFmt numFmtId="202" formatCode="0.00x"/>
    <x:numFmt numFmtId="203" formatCode="0 &quot;days&quot;"/>
    <x:numFmt numFmtId="204" formatCode="0.0%;[Red](0.0%);-"/>
    <x:numFmt numFmtId="205" formatCode="0.0"/>
    <x:numFmt numFmtId="206" formatCode="0.00%;[Red](0.00%);-"/>
    <x:numFmt numFmtId="207" formatCode="#,##0.0;[Red](#,##0.0);-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3E8"/>
      </x:patternFill>
    </x:fill>
    <x:fill>
      <x:patternFill patternType="solid">
        <x:fgColor rgb="FFD5A93E"/>
      </x:patternFill>
    </x:fill>
    <x:fill>
      <x:patternFill patternType="solid">
        <x:fgColor rgb="FF25324A"/>
      </x:patternFill>
    </x:fill>
    <x:fill>
      <x:patternFill patternType="solid">
        <x:fgColor rgb="FFEAF0F8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7" fontId="5" fillId="0" borderId="0" xfId="0" applyNumberFormat="1" applyFont="1" applyFill="1" applyBorder="1"/>
    <x:xf numFmtId="207" fontId="7" fillId="0" borderId="0" xfId="0" applyNumberFormat="1" applyFont="1" applyFill="1" applyBorder="1"/>
    <x:xf numFmtId="207" fontId="5" fillId="0" borderId="1" xfId="0" applyNumberFormat="1" applyFont="1" applyFill="1" applyBorder="1"/>
    <x:xf numFmtId="207" fontId="7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5" fillId="0" borderId="0" xfId="0" applyNumberFormat="1" applyFont="1" applyFill="1" applyBorder="1"/>
    <x:xf numFmtId="206" fontId="5" fillId="0" borderId="1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2231678ac4b45" /><Relationship Type="http://schemas.openxmlformats.org/officeDocument/2006/relationships/theme" Target="/xl/theme/theme1.xml" Id="R51d7baa7483a43ef" /><Relationship Type="http://schemas.openxmlformats.org/officeDocument/2006/relationships/sharedStrings" Target="/xl/sharedStrings.xml" Id="R20f9d4b7b1bb456c" /><Relationship Type="http://schemas.openxmlformats.org/officeDocument/2006/relationships/worksheet" Target="/xl/worksheets/sheet1.xml" Id="R6c241a5e39e74f75" /><Relationship Type="http://schemas.openxmlformats.org/officeDocument/2006/relationships/worksheet" Target="/xl/worksheets/sheet2.xml" Id="R7fe38e6dbb7e44c5" /><Relationship Type="http://schemas.openxmlformats.org/officeDocument/2006/relationships/worksheet" Target="/xl/worksheets/sheet3.xml" Id="Rcd449e10ed4940c8" /><Relationship Type="http://schemas.openxmlformats.org/officeDocument/2006/relationships/worksheet" Target="/xl/worksheets/sheet4.xml" Id="R3baede23c2144e22" /><Relationship Type="http://schemas.openxmlformats.org/officeDocument/2006/relationships/worksheet" Target="/xl/worksheets/sheet5.xml" Id="R7e414b81dc4a42bd" /><Relationship Type="http://schemas.openxmlformats.org/officeDocument/2006/relationships/worksheet" Target="/xl/worksheets/sheet6.xml" Id="Rda4231b317994931" /><Relationship Type="http://schemas.openxmlformats.org/officeDocument/2006/relationships/worksheet" Target="/xl/worksheets/sheet7.xml" Id="Rbe780a93a21d46f6" /><Relationship Type="http://schemas.openxmlformats.org/officeDocument/2006/relationships/worksheet" Target="/xl/worksheets/sheet8.xml" Id="Re35a74fc12024aca" /><Relationship Type="http://schemas.openxmlformats.org/officeDocument/2006/relationships/worksheet" Target="/xl/worksheets/sheet9.xml" Id="R7423904deb2f4409" /><Relationship Type="http://schemas.openxmlformats.org/officeDocument/2006/relationships/worksheet" Target="/xl/worksheets/sheet10.xml" Id="R991fdbeab9614289" /><Relationship Type="http://schemas.openxmlformats.org/officeDocument/2006/relationships/worksheet" Target="/xl/worksheets/sheet11.xml" Id="R11e429395a014e6c" /><Relationship Type="http://schemas.openxmlformats.org/officeDocument/2006/relationships/worksheet" Target="/xl/worksheets/sheet12.xml" Id="R745d0e8343b94f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6ab6229f40447d" /><Relationship Type="http://schemas.openxmlformats.org/officeDocument/2006/relationships/chart" Target="/xl/drawings/charts/chart2.xml" Id="R4ddccd144bb042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Performance Score Weights (%)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Weight %</c:v>
          </c:tx>
          <c:cat>
            <c:strRef>
              <c:f>'00 Overview'!$P$3:$P$10</c:f>
              <c:strCache>
                <c:ptCount val="0"/>
              </c:strCache>
            </c:strRef>
          </c:cat>
          <c:val>
            <c:numRef>
              <c:f>'00 Overview'!$Q$3:$Q$10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$PLOT Pool by Stage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Pool</c:v>
          </c:tx>
          <c:cat>
            <c:strRef>
              <c:f>'00 Overview'!$P$13:$P$18</c:f>
              <c:strCache>
                <c:ptCount val="0"/>
              </c:strCache>
            </c:strRef>
          </c:cat>
          <c:val>
            <c:numRef>
              <c:f>'00 Overview'!$Q$13:$Q$18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6ab6229f40447d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dccd144bb042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96def686954e7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26" hidden="0" customWidth="1"/>
    <x:col min="4" max="4" width="20" hidden="0" customWidth="1"/>
    <x:col min="5" max="5" width="14" hidden="0" customWidth="1"/>
    <x:col min="6" max="6" width="24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PLOT Performance Score &amp; Weekly $PLOT Payout Balance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A tunable weekly settlement model that rewards productive financial empires rather than Cash hoarding or passive land ownership.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P2" t="str">
        <x:v>Component</x:v>
      </x:c>
      <x:c r="Q2" t="str">
        <x:v>Weight %</x:v>
      </x:c>
    </x:row>
    <x:row r="3">
      <x:c r="P3" t="str">
        <x:v>Economic Activity</x:v>
      </x:c>
      <x:c r="Q3" t="n">
        <x:f>'01 Inputs'!B14*100</x:f>
        <x:v>30</x:v>
      </x:c>
    </x:row>
    <x:row r="4">
      <x:c r="A4" s="20" t="str">
        <x:v>Model Principle</x:v>
      </x:c>
      <x:c r="B4" s="20" t="str">
        <x:v>Design Decision</x:v>
      </x:c>
      <x:c r="P4" t="str">
        <x:v>Net Business Revenue</x:v>
      </x:c>
      <x:c r="Q4" t="n">
        <x:f>'01 Inputs'!B15*100</x:f>
        <x:v>20</x:v>
      </x:c>
    </x:row>
    <x:row r="5">
      <x:c r="A5" s="26" t="str">
        <x:v>Reward basis</x:v>
      </x:c>
      <x:c r="B5" s="26" t="str">
        <x:v>Validated economic activity, customers, revenue, growth, efficiency and active gameplay.</x:v>
      </x:c>
      <x:c r="P5" t="str">
        <x:v>Active Customers</x:v>
      </x:c>
      <x:c r="Q5" t="n">
        <x:f>'01 Inputs'!B16*100</x:f>
        <x:v>15</x:v>
      </x:c>
    </x:row>
    <x:row r="6">
      <x:c r="A6" s="26" t="str">
        <x:v>Weekly $PLOT</x:v>
      </x:c>
      <x:c r="B6" s="26" t="str">
        <x:v>Fixed pool; no fixed Cash → $PLOT conversion rate.</x:v>
      </x:c>
      <x:c r="P6" t="str">
        <x:v>Customer Growth</x:v>
      </x:c>
      <x:c r="Q6" t="n">
        <x:f>'01 Inputs'!B17*100</x:f>
        <x:v>10</x:v>
      </x:c>
    </x:row>
    <x:row r="7">
      <x:c r="A7" s="26" t="str">
        <x:v>Competition</x:v>
      </x:c>
      <x:c r="B7" s="26" t="str">
        <x:v>Stage-normalized performance with stage-weighted payout divisions.</x:v>
      </x:c>
      <x:c r="P7" t="str">
        <x:v>Utilization</x:v>
      </x:c>
      <x:c r="Q7" t="n">
        <x:f>'01 Inputs'!B18*100</x:f>
        <x:v>10</x:v>
      </x:c>
    </x:row>
    <x:row r="8">
      <x:c r="A8" s="26" t="str">
        <x:v>Anti-whale</x:v>
      </x:c>
      <x:c r="B8" s="26" t="str">
        <x:v>Diminishing-return component curves + payout exponent + concentration cap.</x:v>
      </x:c>
      <x:c r="P8" t="str">
        <x:v>Reputation</x:v>
      </x:c>
      <x:c r="Q8" t="n">
        <x:f>'01 Inputs'!B19*100</x:f>
        <x:v>5</x:v>
      </x:c>
    </x:row>
    <x:row r="9">
      <x:c r="A9" s="26" t="str">
        <x:v>Cash spending</x:v>
      </x:c>
      <x:c r="B9" s="26" t="str">
        <x:v>Spending earned Cash never erases already-recorded weekly performance.</x:v>
      </x:c>
      <x:c r="P9" t="str">
        <x:v>Risk Management</x:v>
      </x:c>
      <x:c r="Q9" t="n">
        <x:f>'01 Inputs'!B20*100</x:f>
        <x:v>5</x:v>
      </x:c>
    </x:row>
    <x:row r="10">
      <x:c r="P10" t="str">
        <x:v>Market Hunts</x:v>
      </x:c>
      <x:c r="Q10" t="n">
        <x:f>'01 Inputs'!B21*100</x:f>
        <x:v>5</x:v>
      </x:c>
    </x:row>
    <x:row r="11" ht="22" customHeight="1">
      <x:c r="A11" s="30" t="str">
        <x:v>Core Weekly Inputs</x:v>
      </x:c>
      <x:c r="B11" s="30"/>
      <x:c r="C11" s="30"/>
      <x:c r="D11" s="30"/>
      <x:c r="E11" s="30"/>
      <x:c r="F11" s="30"/>
    </x:row>
    <x:row r="12">
      <x:c r="A12" s="20" t="str">
        <x:v>Metric</x:v>
      </x:c>
      <x:c r="B12" s="20" t="str">
        <x:v>Value</x:v>
      </x:c>
      <x:c r="C12" s="20" t="str">
        <x:v>Unit</x:v>
      </x:c>
      <x:c r="D12" s="20" t="str">
        <x:v>Purpose</x:v>
      </x:c>
      <x:c r="E12" s="20" t="str">
        <x:v>Editable?</x:v>
      </x:c>
      <x:c r="F12" s="20" t="str">
        <x:v>Source</x:v>
      </x:c>
      <x:c r="P12" t="str">
        <x:v>Stage</x:v>
      </x:c>
      <x:c r="Q12" t="str">
        <x:v>Pool</x:v>
      </x:c>
    </x:row>
    <x:row r="13">
      <x:c r="A13" t="str">
        <x:v>Weekly Payout Pool</x:v>
      </x:c>
      <x:c r="B13" s="36" t="n">
        <x:f>'01 Inputs'!B6</x:f>
        <x:v>2000000</x:v>
      </x:c>
      <x:c r="C13" t="str">
        <x:v>$PLOT</x:v>
      </x:c>
      <x:c r="D13" t="str">
        <x:v>Total fixed pool distributed per weekly epoch.</x:v>
      </x:c>
      <x:c r="E13" t="str">
        <x:v>Yes</x:v>
      </x:c>
      <x:c r="F13" t="str">
        <x:v>01 Inputs</x:v>
      </x:c>
      <x:c r="P13" t="str">
        <x:v>Humble</x:v>
      </x:c>
      <x:c r="Q13" t="n">
        <x:f>'05 Division Pools'!G5</x:f>
        <x:v>338123.41504649195</x:v>
      </x:c>
    </x:row>
    <x:row r="14">
      <x:c r="A14" t="str">
        <x:v>Eligible Players</x:v>
      </x:c>
      <x:c r="B14" s="38" t="n">
        <x:f>'01 Inputs'!B7</x:f>
        <x:v>10000</x:v>
      </x:c>
      <x:c r="C14" t="str">
        <x:v>players</x:v>
      </x:c>
      <x:c r="D14" t="str">
        <x:v>Illustrative active eligible player population.</x:v>
      </x:c>
      <x:c r="E14" t="str">
        <x:v>Yes</x:v>
      </x:c>
      <x:c r="F14" t="str">
        <x:v>01 Inputs</x:v>
      </x:c>
      <x:c r="P14" t="str">
        <x:v>Starter</x:v>
      </x:c>
      <x:c r="Q14" t="n">
        <x:f>'05 Division Pools'!G6</x:f>
        <x:v>380388.84192730347</x:v>
      </x:c>
    </x:row>
    <x:row r="15">
      <x:c r="A15" t="str">
        <x:v>Payout Exponent</x:v>
      </x:c>
      <x:c r="B15" s="40" t="n">
        <x:f>'01 Inputs'!B8</x:f>
        <x:v>0.85</x:v>
      </x:c>
      <x:c r="C15" t="str">
        <x:v>power</x:v>
      </x:c>
      <x:c r="D15" t="str">
        <x:v>Compresses score differences inside each division.</x:v>
      </x:c>
      <x:c r="E15" t="str">
        <x:v>Yes</x:v>
      </x:c>
      <x:c r="F15" t="str">
        <x:v>01 Inputs</x:v>
      </x:c>
      <x:c r="P15" t="str">
        <x:v>Growing</x:v>
      </x:c>
      <x:c r="Q15" t="n">
        <x:f>'05 Division Pools'!G7</x:f>
        <x:v>405748.09805579035</x:v>
      </x:c>
    </x:row>
    <x:row r="16">
      <x:c r="A16" t="str">
        <x:v>Epoch Length</x:v>
      </x:c>
      <x:c r="B16" s="42" t="n">
        <x:f>'01 Inputs'!B9</x:f>
        <x:v>7</x:v>
      </x:c>
      <x:c r="C16" t="str">
        <x:v>days</x:v>
      </x:c>
      <x:c r="D16" t="str">
        <x:v>Weekly score window.</x:v>
      </x:c>
      <x:c r="E16" t="str">
        <x:v>Yes</x:v>
      </x:c>
      <x:c r="F16" t="str">
        <x:v>01 Inputs</x:v>
      </x:c>
      <x:c r="P16" t="str">
        <x:v>Established</x:v>
      </x:c>
      <x:c r="Q16" t="n">
        <x:f>'05 Division Pools'!G8</x:f>
        <x:v>366300.3663003663</x:v>
      </x:c>
    </x:row>
    <x:row r="17">
      <x:c r="P17" t="str">
        <x:v>Elite</x:v>
      </x:c>
      <x:c r="Q17" t="n">
        <x:f>'05 Division Pools'!G9</x:f>
        <x:v>306565.2296421527</x:v>
      </x:c>
    </x:row>
    <x:row r="18" ht="22" customHeight="1">
      <x:c r="A18" s="30" t="str">
        <x:v>Performance Score Weights</x:v>
      </x:c>
      <x:c r="B18" s="30"/>
      <x:c r="C18" s="30"/>
      <x:c r="D18" s="30"/>
      <x:c r="E18" s="30"/>
      <x:c r="F18" s="30"/>
      <x:c r="P18" t="str">
        <x:v>Tycoon</x:v>
      </x:c>
      <x:c r="Q18" t="n">
        <x:f>'05 Division Pools'!G10</x:f>
        <x:v>202874.04902789518</x:v>
      </x:c>
    </x:row>
    <x:row r="19">
      <x:c r="A19" s="20" t="str">
        <x:v>Component</x:v>
      </x:c>
      <x:c r="B19" s="20" t="str">
        <x:v>Weight</x:v>
      </x:c>
      <x:c r="C19" s="20" t="str">
        <x:v>Role</x:v>
      </x:c>
    </x:row>
    <x:row r="20">
      <x:c r="A20" t="str">
        <x:v>Economic Activity</x:v>
      </x:c>
      <x:c r="B20" s="46" t="n">
        <x:f>'01 Inputs'!B14</x:f>
        <x:v>0.3</x:v>
      </x:c>
      <x:c r="C20" t="str">
        <x:v>Core transactions / volume contribution</x:v>
      </x:c>
    </x:row>
    <x:row r="21">
      <x:c r="A21" t="str">
        <x:v>Net Business Revenue</x:v>
      </x:c>
      <x:c r="B21" s="46" t="n">
        <x:f>'01 Inputs'!B15</x:f>
        <x:v>0.2</x:v>
      </x:c>
      <x:c r="C21" t="str">
        <x:v>Productive operating output</x:v>
      </x:c>
    </x:row>
    <x:row r="22">
      <x:c r="A22" t="str">
        <x:v>Active Customers</x:v>
      </x:c>
      <x:c r="B22" s="46" t="n">
        <x:f>'01 Inputs'!B16</x:f>
        <x:v>0.15</x:v>
      </x:c>
      <x:c r="C22" t="str">
        <x:v>Real adoption and breadth</x:v>
      </x:c>
    </x:row>
    <x:row r="23">
      <x:c r="A23" t="str">
        <x:v>Customer Growth</x:v>
      </x:c>
      <x:c r="B23" s="46" t="n">
        <x:f>'01 Inputs'!B17</x:f>
        <x:v>0.1</x:v>
      </x:c>
      <x:c r="C23" t="str">
        <x:v>Healthy expansion</x:v>
      </x:c>
    </x:row>
    <x:row r="24">
      <x:c r="A24" t="str">
        <x:v>Utilization</x:v>
      </x:c>
      <x:c r="B24" s="46" t="n">
        <x:f>'01 Inputs'!B18</x:f>
        <x:v>0.1</x:v>
      </x:c>
      <x:c r="C24" t="str">
        <x:v>Capacity efficiency without congestion</x:v>
      </x:c>
    </x:row>
    <x:row r="25">
      <x:c r="A25" t="str">
        <x:v>Reputation</x:v>
      </x:c>
      <x:c r="B25" s="46" t="n">
        <x:f>'01 Inputs'!B19</x:f>
        <x:v>0.05</x:v>
      </x:c>
      <x:c r="C25" t="str">
        <x:v>Sustainable service quality</x:v>
      </x:c>
    </x:row>
    <x:row r="26">
      <x:c r="A26" t="str">
        <x:v>Risk Management</x:v>
      </x:c>
      <x:c r="B26" s="46" t="n">
        <x:f>'01 Inputs'!B20</x:f>
        <x:v>0.05</x:v>
      </x:c>
      <x:c r="C26" t="str">
        <x:v>Discourages reckless scaling</x:v>
      </x:c>
    </x:row>
    <x:row r="27">
      <x:c r="A27" t="str">
        <x:v>Market Hunts</x:v>
      </x:c>
      <x:c r="B27" s="46" t="n">
        <x:f>'01 Inputs'!B21</x:f>
        <x:v>0.05</x:v>
      </x:c>
      <x:c r="C27" t="str">
        <x:v>Active gameplay and stock-discovery contribution</x:v>
      </x:c>
    </x:row>
    <x:row r="29" ht="22" customHeight="1">
      <x:c r="A29" s="30" t="str">
        <x:v>Division Pool Snapshot</x:v>
      </x:c>
      <x:c r="B29" s="30"/>
      <x:c r="C29" s="30"/>
      <x:c r="D29" s="30"/>
      <x:c r="E29" s="30"/>
      <x:c r="F29" s="30"/>
      <x:c r="G29" s="30"/>
    </x:row>
    <x:row r="30">
      <x:c r="A30" s="20" t="str">
        <x:v>Stage</x:v>
      </x:c>
      <x:c r="B30" s="20" t="str">
        <x:v>Eligible Players</x:v>
      </x:c>
      <x:c r="C30" s="20" t="str">
        <x:v>Stage Weight</x:v>
      </x:c>
      <x:c r="D30" s="20" t="str">
        <x:v>Weighted Population</x:v>
      </x:c>
      <x:c r="E30" s="20" t="str">
        <x:v>Pool Share</x:v>
      </x:c>
      <x:c r="F30" s="20" t="str">
        <x:v>Division Pool</x:v>
      </x:c>
      <x:c r="G30" s="20" t="str">
        <x:v>Avg PLOT / Player</x:v>
      </x:c>
    </x:row>
    <x:row r="31">
      <x:c r="A31" t="str">
        <x:v>Humble</x:v>
      </x:c>
      <x:c r="B31" s="38" t="n">
        <x:f>'05 Division Pools'!C5</x:f>
        <x:v>3000</x:v>
      </x:c>
      <x:c r="C31" s="40" t="n">
        <x:f>'05 Division Pools'!D5</x:f>
        <x:v>1</x:v>
      </x:c>
      <x:c r="D31" s="38" t="n">
        <x:f>'05 Division Pools'!E5</x:f>
        <x:v>3000</x:v>
      </x:c>
      <x:c r="E31" s="46" t="n">
        <x:f>'05 Division Pools'!F5</x:f>
        <x:v>0.16906170752324598</x:v>
      </x:c>
      <x:c r="F31" s="36" t="n">
        <x:f>'05 Division Pools'!G5</x:f>
        <x:v>338123.41504649195</x:v>
      </x:c>
      <x:c r="G31" s="36" t="n">
        <x:f>'05 Division Pools'!K5</x:f>
        <x:v>112.70780501549731</x:v>
      </x:c>
    </x:row>
    <x:row r="32">
      <x:c r="A32" t="str">
        <x:v>Starter</x:v>
      </x:c>
      <x:c r="B32" s="38" t="n">
        <x:f>'05 Division Pools'!C6</x:f>
        <x:v>2500</x:v>
      </x:c>
      <x:c r="C32" s="40" t="n">
        <x:f>'05 Division Pools'!D6</x:f>
        <x:v>1.35</x:v>
      </x:c>
      <x:c r="D32" s="38" t="n">
        <x:f>'05 Division Pools'!E6</x:f>
        <x:v>3375</x:v>
      </x:c>
      <x:c r="E32" s="46" t="n">
        <x:f>'05 Division Pools'!F6</x:f>
        <x:v>0.19019442096365174</x:v>
      </x:c>
      <x:c r="F32" s="36" t="n">
        <x:f>'05 Division Pools'!G6</x:f>
        <x:v>380388.84192730347</x:v>
      </x:c>
      <x:c r="G32" s="36" t="n">
        <x:f>'05 Division Pools'!K6</x:f>
        <x:v>152.15553677092137</x:v>
      </x:c>
    </x:row>
    <x:row r="33">
      <x:c r="A33" t="str">
        <x:v>Growing</x:v>
      </x:c>
      <x:c r="B33" s="38" t="n">
        <x:f>'05 Division Pools'!C7</x:f>
        <x:v>2000</x:v>
      </x:c>
      <x:c r="C33" s="40" t="n">
        <x:f>'05 Division Pools'!D7</x:f>
        <x:v>1.8</x:v>
      </x:c>
      <x:c r="D33" s="38" t="n">
        <x:f>'05 Division Pools'!E7</x:f>
        <x:v>3600</x:v>
      </x:c>
      <x:c r="E33" s="46" t="n">
        <x:f>'05 Division Pools'!F7</x:f>
        <x:v>0.2028740490278952</x:v>
      </x:c>
      <x:c r="F33" s="36" t="n">
        <x:f>'05 Division Pools'!G7</x:f>
        <x:v>405748.09805579035</x:v>
      </x:c>
      <x:c r="G33" s="36" t="n">
        <x:f>'05 Division Pools'!K7</x:f>
        <x:v>202.87404902789518</x:v>
      </x:c>
    </x:row>
    <x:row r="34">
      <x:c r="A34" t="str">
        <x:v>Established</x:v>
      </x:c>
      <x:c r="B34" s="38" t="n">
        <x:f>'05 Division Pools'!C8</x:f>
        <x:v>1300</x:v>
      </x:c>
      <x:c r="C34" s="40" t="n">
        <x:f>'05 Division Pools'!D8</x:f>
        <x:v>2.5</x:v>
      </x:c>
      <x:c r="D34" s="38" t="n">
        <x:f>'05 Division Pools'!E8</x:f>
        <x:v>3250</x:v>
      </x:c>
      <x:c r="E34" s="46" t="n">
        <x:f>'05 Division Pools'!F8</x:f>
        <x:v>0.18315018315018314</x:v>
      </x:c>
      <x:c r="F34" s="36" t="n">
        <x:f>'05 Division Pools'!G8</x:f>
        <x:v>366300.3663003663</x:v>
      </x:c>
      <x:c r="G34" s="36" t="n">
        <x:f>'05 Division Pools'!K8</x:f>
        <x:v>281.7695125387433</x:v>
      </x:c>
    </x:row>
    <x:row r="35">
      <x:c r="A35" t="str">
        <x:v>Elite</x:v>
      </x:c>
      <x:c r="B35" s="38" t="n">
        <x:f>'05 Division Pools'!C9</x:f>
        <x:v>800</x:v>
      </x:c>
      <x:c r="C35" s="40" t="n">
        <x:f>'05 Division Pools'!D9</x:f>
        <x:v>3.4</x:v>
      </x:c>
      <x:c r="D35" s="38" t="n">
        <x:f>'05 Division Pools'!E9</x:f>
        <x:v>2720</x:v>
      </x:c>
      <x:c r="E35" s="46" t="n">
        <x:f>'05 Division Pools'!F9</x:f>
        <x:v>0.15328261482107636</x:v>
      </x:c>
      <x:c r="F35" s="36" t="n">
        <x:f>'05 Division Pools'!G9</x:f>
        <x:v>306565.2296421527</x:v>
      </x:c>
      <x:c r="G35" s="36" t="n">
        <x:f>'05 Division Pools'!K9</x:f>
        <x:v>383.2065370526909</x:v>
      </x:c>
    </x:row>
    <x:row r="36">
      <x:c r="A36" t="str">
        <x:v>Tycoon</x:v>
      </x:c>
      <x:c r="B36" s="38" t="n">
        <x:f>'05 Division Pools'!C10</x:f>
        <x:v>400</x:v>
      </x:c>
      <x:c r="C36" s="40" t="n">
        <x:f>'05 Division Pools'!D10</x:f>
        <x:v>4.5</x:v>
      </x:c>
      <x:c r="D36" s="38" t="n">
        <x:f>'05 Division Pools'!E10</x:f>
        <x:v>1800</x:v>
      </x:c>
      <x:c r="E36" s="46" t="n">
        <x:f>'05 Division Pools'!F10</x:f>
        <x:v>0.1014370245139476</x:v>
      </x:c>
      <x:c r="F36" s="36" t="n">
        <x:f>'05 Division Pools'!G10</x:f>
        <x:v>202874.04902789518</x:v>
      </x:c>
      <x:c r="G36" s="36" t="n">
        <x:f>'05 Division Pools'!K10</x:f>
        <x:v>507.1851225697379</x:v>
      </x:c>
    </x:row>
  </x:sheetData>
  <x:mergeCells>
    <x:mergeCell ref="A1:N1"/>
    <x:mergeCell ref="A2:N2"/>
    <x:mergeCell ref="A11:F11"/>
    <x:mergeCell ref="A18:F18"/>
    <x:mergeCell ref="A29:G29"/>
  </x:mergeCells>
  <x:pageMargins left="0.7" right="0.7" top="0.75" bottom="0.75" header="0.3" footer="0.3"/>
  <x:drawing xmlns:r="http://schemas.openxmlformats.org/officeDocument/2006/relationships" r:id="R4396def686954e7d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9" hidden="0" customWidth="1"/>
    <x:col min="4" max="4" width="22" hidden="0" customWidth="1"/>
    <x:col min="5" max="5" width="34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28" customHeight="1">
      <x:c r="A1" s="5" t="str">
        <x:v>Global Payout &amp; Score Inputs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Blue values are editable v0.1 balance assumptions. Formula behavior should remain stable while these inputs are tuned through playtests.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30" t="str">
        <x:v>Global Weekly Payout Inputs</x:v>
      </x:c>
      <x:c r="B4" s="30"/>
      <x:c r="C4" s="30"/>
      <x:c r="D4" s="30"/>
    </x:row>
    <x:row r="5">
      <x:c r="A5" s="20" t="str">
        <x:v>Input</x:v>
      </x:c>
      <x:c r="B5" s="20" t="str">
        <x:v>Value</x:v>
      </x:c>
      <x:c r="C5" s="20" t="str">
        <x:v>Unit</x:v>
      </x:c>
      <x:c r="D5" s="20" t="str">
        <x:v>Design Intent</x:v>
      </x:c>
    </x:row>
    <x:row r="6">
      <x:c r="A6" t="str">
        <x:v>Weekly $PLOT Pool</x:v>
      </x:c>
      <x:c r="B6" s="50" t="n">
        <x:v>2000000</x:v>
      </x:c>
      <x:c r="C6" t="str">
        <x:v>PLOT</x:v>
      </x:c>
      <x:c r="D6" t="str">
        <x:v>Fixed total weekly emissions/reward budget.</x:v>
      </x:c>
    </x:row>
    <x:row r="7">
      <x:c r="A7" t="str">
        <x:v>Illustrative Eligible Players</x:v>
      </x:c>
      <x:c r="B7" s="52" t="n">
        <x:v>10000</x:v>
      </x:c>
      <x:c r="C7" t="str">
        <x:v>players</x:v>
      </x:c>
      <x:c r="D7" t="str">
        <x:v>Used for payout examples and pool sizing.</x:v>
      </x:c>
    </x:row>
    <x:row r="8">
      <x:c r="A8" t="str">
        <x:v>Payout Score Exponent</x:v>
      </x:c>
      <x:c r="B8" s="54" t="n">
        <x:v>0.85</x:v>
      </x:c>
      <x:c r="C8" t="str">
        <x:v>power</x:v>
      </x:c>
      <x:c r="D8" t="str">
        <x:v>&lt;1 compresses differences and reduces winner-take-all behavior.</x:v>
      </x:c>
    </x:row>
    <x:row r="9">
      <x:c r="A9" t="str">
        <x:v>Epoch Length</x:v>
      </x:c>
      <x:c r="B9" s="52" t="n">
        <x:v>7</x:v>
      </x:c>
      <x:c r="C9" t="str">
        <x:v>days</x:v>
      </x:c>
      <x:c r="D9" t="str">
        <x:v>Performance resets each weekly epoch.</x:v>
      </x:c>
    </x:row>
    <x:row r="10">
      <x:c r="A10" t="str">
        <x:v>Minimum Performance Score</x:v>
      </x:c>
      <x:c r="B10" s="52" t="n">
        <x:v>35</x:v>
      </x:c>
      <x:c r="C10" t="str">
        <x:v>score</x:v>
      </x:c>
      <x:c r="D10" t="str">
        <x:v>Below this threshold a player is not payout-eligible.</x:v>
      </x:c>
    </x:row>
    <x:row r="12" ht="22" customHeight="1">
      <x:c r="A12" s="30" t="str">
        <x:v>Performance Component Weights</x:v>
      </x:c>
      <x:c r="B12" s="30"/>
      <x:c r="C12" s="30"/>
      <x:c r="D12" s="30"/>
    </x:row>
    <x:row r="13">
      <x:c r="A13" s="20" t="str">
        <x:v>Component</x:v>
      </x:c>
      <x:c r="B13" s="20" t="str">
        <x:v>Weight</x:v>
      </x:c>
      <x:c r="C13" s="20" t="str">
        <x:v>Treatment</x:v>
      </x:c>
      <x:c r="D13" s="20" t="str">
        <x:v>Notes</x:v>
      </x:c>
    </x:row>
    <x:row r="14">
      <x:c r="A14" t="str">
        <x:v>Economic Activity</x:v>
      </x:c>
      <x:c r="B14" s="56" t="n">
        <x:v>0.3</x:v>
      </x:c>
      <x:c r="C14" t="str">
        <x:v>Core positive component</x:v>
      </x:c>
      <x:c r="D14" t="str"/>
    </x:row>
    <x:row r="15">
      <x:c r="A15" t="str">
        <x:v>Net Business Revenue</x:v>
      </x:c>
      <x:c r="B15" s="56" t="n">
        <x:v>0.2</x:v>
      </x:c>
      <x:c r="C15" t="str">
        <x:v>Productivity; excludes purchased/granted Cash</x:v>
      </x:c>
      <x:c r="D15" t="str"/>
    </x:row>
    <x:row r="16">
      <x:c r="A16" t="str">
        <x:v>Active Customers</x:v>
      </x:c>
      <x:c r="B16" s="56" t="n">
        <x:v>0.15</x:v>
      </x:c>
      <x:c r="C16" t="str">
        <x:v>Unique active customer adoption</x:v>
      </x:c>
      <x:c r="D16" t="str"/>
    </x:row>
    <x:row r="17">
      <x:c r="A17" t="str">
        <x:v>Customer Growth</x:v>
      </x:c>
      <x:c r="B17" s="56" t="n">
        <x:v>0.1</x:v>
      </x:c>
      <x:c r="C17" t="str">
        <x:v>Healthy new-customer expansion</x:v>
      </x:c>
      <x:c r="D17" t="str"/>
    </x:row>
    <x:row r="18">
      <x:c r="A18" t="str">
        <x:v>Utilization</x:v>
      </x:c>
      <x:c r="B18" s="56" t="n">
        <x:v>0.1</x:v>
      </x:c>
      <x:c r="C18" t="str">
        <x:v>Efficiency / congestion quality</x:v>
      </x:c>
      <x:c r="D18" t="str"/>
    </x:row>
    <x:row r="19">
      <x:c r="A19" t="str">
        <x:v>Reputation</x:v>
      </x:c>
      <x:c r="B19" s="56" t="n">
        <x:v>0.05</x:v>
      </x:c>
      <x:c r="C19" t="str">
        <x:v>Trust and sustained quality</x:v>
      </x:c>
      <x:c r="D19" t="str"/>
    </x:row>
    <x:row r="20">
      <x:c r="A20" t="str">
        <x:v>Risk Management</x:v>
      </x:c>
      <x:c r="B20" s="56" t="n">
        <x:v>0.05</x:v>
      </x:c>
      <x:c r="C20" t="str">
        <x:v>Controls reckless growth</x:v>
      </x:c>
      <x:c r="D20" t="str"/>
    </x:row>
    <x:row r="21">
      <x:c r="A21" t="str">
        <x:v>Market Hunts</x:v>
      </x:c>
      <x:c r="B21" s="56" t="n">
        <x:v>0.05</x:v>
      </x:c>
      <x:c r="C21" t="str">
        <x:v>Capped active gameplay contribution</x:v>
      </x:c>
      <x:c r="D21" t="str"/>
    </x:row>
    <x:row r="23" ht="22" customHeight="1">
      <x:c r="A23" s="30" t="str">
        <x:v>Score Curve Inputs</x:v>
      </x:c>
      <x:c r="B23" s="30"/>
      <x:c r="C23" s="30"/>
      <x:c r="D23" s="30"/>
      <x:c r="E23" s="30"/>
      <x:c r="F23" s="30"/>
    </x:row>
    <x:row r="24">
      <x:c r="A24" s="20" t="str">
        <x:v>Metric</x:v>
      </x:c>
      <x:c r="B24" s="20" t="str">
        <x:v>Exponent</x:v>
      </x:c>
      <x:c r="C24" s="20" t="str">
        <x:v>Index Cap</x:v>
      </x:c>
      <x:c r="D24" s="20" t="str">
        <x:v>Why</x:v>
      </x:c>
      <x:c r="E24" s="20" t="str">
        <x:v>Editable?</x:v>
      </x:c>
      <x:c r="F24" s="20" t="str">
        <x:v>Default</x:v>
      </x:c>
    </x:row>
    <x:row r="25">
      <x:c r="A25" t="str">
        <x:v>Economic Activity</x:v>
      </x:c>
      <x:c r="B25" s="54" t="n">
        <x:v>0.55</x:v>
      </x:c>
      <x:c r="C25" s="58" t="n">
        <x:v>130</x:v>
      </x:c>
      <x:c r="D25" t="str">
        <x:v>Strongest raw metric, but diminishing returns.</x:v>
      </x:c>
      <x:c r="E25" t="str">
        <x:v>Yes</x:v>
      </x:c>
      <x:c r="F25" t="str">
        <x:v>v0.1</x:v>
      </x:c>
    </x:row>
    <x:row r="26">
      <x:c r="A26" t="str">
        <x:v>Net Business Revenue</x:v>
      </x:c>
      <x:c r="B26" s="54" t="n">
        <x:v>0.5</x:v>
      </x:c>
      <x:c r="C26" s="58" t="n">
        <x:v>125</x:v>
      </x:c>
      <x:c r="D26" t="str">
        <x:v>Rewards productivity without making Cash king.</x:v>
      </x:c>
      <x:c r="E26" t="str">
        <x:v>Yes</x:v>
      </x:c>
      <x:c r="F26" t="str">
        <x:v>v0.1</x:v>
      </x:c>
    </x:row>
    <x:row r="27">
      <x:c r="A27" t="str">
        <x:v>Active Customers</x:v>
      </x:c>
      <x:c r="B27" s="54" t="n">
        <x:v>0.5</x:v>
      </x:c>
      <x:c r="C27" s="58" t="n">
        <x:v>120</x:v>
      </x:c>
      <x:c r="D27" t="str">
        <x:v>Broad adoption with modest top-end benefit.</x:v>
      </x:c>
      <x:c r="E27" t="str">
        <x:v>Yes</x:v>
      </x:c>
      <x:c r="F27" t="str">
        <x:v>v0.1</x:v>
      </x:c>
    </x:row>
    <x:row r="28">
      <x:c r="A28" t="str">
        <x:v>Customer Growth</x:v>
      </x:c>
      <x:c r="B28" s="54" t="n">
        <x:v>0.4</x:v>
      </x:c>
      <x:c r="C28" s="58" t="n">
        <x:v>120</x:v>
      </x:c>
      <x:c r="D28" t="str">
        <x:v>High growth is rewarded but cannot dominate.</x:v>
      </x:c>
      <x:c r="E28" t="str">
        <x:v>Yes</x:v>
      </x:c>
      <x:c r="F28" t="str">
        <x:v>v0.1</x:v>
      </x:c>
    </x:row>
    <x:row r="29">
      <x:c r="A29" t="str">
        <x:v>Final Performance Score</x:v>
      </x:c>
      <x:c r="B29" s="48"/>
      <x:c r="C29" s="58" t="n">
        <x:v>120</x:v>
      </x:c>
      <x:c r="D29" t="str">
        <x:v>Hard guardrail after weighted aggregation.</x:v>
      </x:c>
      <x:c r="E29" t="str">
        <x:v>Yes</x:v>
      </x:c>
      <x:c r="F29" t="str">
        <x:v>v0.1</x:v>
      </x:c>
    </x:row>
    <x:row r="31" ht="22" customHeight="1">
      <x:c r="A31" s="30" t="str">
        <x:v>Division Inputs</x:v>
      </x:c>
      <x:c r="B31" s="30"/>
      <x:c r="C31" s="30"/>
      <x:c r="D31" s="30"/>
      <x:c r="E31" s="30"/>
      <x:c r="F31" s="30"/>
      <x:c r="G31" s="30"/>
      <x:c r="H31" s="30"/>
    </x:row>
    <x:row r="32">
      <x:c r="A32" s="20" t="str">
        <x:v>Stage</x:v>
      </x:c>
      <x:c r="B32" s="20" t="str">
        <x:v>Player Share</x:v>
      </x:c>
      <x:c r="C32" s="20" t="str">
        <x:v>Stage Payout Weight</x:v>
      </x:c>
      <x:c r="D32" s="20" t="str">
        <x:v>Weekly Growth Target</x:v>
      </x:c>
      <x:c r="E32" s="20" t="str">
        <x:v>Market Hunts Target</x:v>
      </x:c>
      <x:c r="F32" s="20" t="str">
        <x:v>Baseline Risk Index</x:v>
      </x:c>
      <x:c r="G32" s="20" t="str">
        <x:v>Baseline Reputation</x:v>
      </x:c>
      <x:c r="H32" s="20" t="str">
        <x:v>Design Role</x:v>
      </x:c>
    </x:row>
    <x:row r="33">
      <x:c r="A33" t="str">
        <x:v>Humble</x:v>
      </x:c>
      <x:c r="B33" s="56" t="n">
        <x:v>0.3</x:v>
      </x:c>
      <x:c r="C33" s="54" t="n">
        <x:v>1</x:v>
      </x:c>
      <x:c r="D33" s="56" t="n">
        <x:v>0.15</x:v>
      </x:c>
      <x:c r="E33" s="52" t="n">
        <x:v>5</x:v>
      </x:c>
      <x:c r="F33" s="52" t="n">
        <x:v>10</x:v>
      </x:c>
      <x:c r="G33" s="52" t="n">
        <x:v>55</x:v>
      </x:c>
      <x:c r="H33" t="str">
        <x:v>Learn and grow</x:v>
      </x:c>
    </x:row>
    <x:row r="34">
      <x:c r="A34" t="str">
        <x:v>Starter</x:v>
      </x:c>
      <x:c r="B34" s="56" t="n">
        <x:v>0.25</x:v>
      </x:c>
      <x:c r="C34" s="54" t="n">
        <x:v>1.35</x:v>
      </x:c>
      <x:c r="D34" s="56" t="n">
        <x:v>0.1</x:v>
      </x:c>
      <x:c r="E34" s="52" t="n">
        <x:v>8</x:v>
      </x:c>
      <x:c r="F34" s="52" t="n">
        <x:v>12</x:v>
      </x:c>
      <x:c r="G34" s="52" t="n">
        <x:v>62</x:v>
      </x:c>
      <x:c r="H34" t="str">
        <x:v>Build a functioning district</x:v>
      </x:c>
    </x:row>
    <x:row r="35">
      <x:c r="A35" t="str">
        <x:v>Growing</x:v>
      </x:c>
      <x:c r="B35" s="56" t="n">
        <x:v>0.2</x:v>
      </x:c>
      <x:c r="C35" s="54" t="n">
        <x:v>1.8</x:v>
      </x:c>
      <x:c r="D35" s="56" t="n">
        <x:v>0.06</x:v>
      </x:c>
      <x:c r="E35" s="52" t="n">
        <x:v>10</x:v>
      </x:c>
      <x:c r="F35" s="52" t="n">
        <x:v>14</x:v>
      </x:c>
      <x:c r="G35" s="52" t="n">
        <x:v>70</x:v>
      </x:c>
      <x:c r="H35" t="str">
        <x:v>Specialize</x:v>
      </x:c>
    </x:row>
    <x:row r="36">
      <x:c r="A36" t="str">
        <x:v>Established</x:v>
      </x:c>
      <x:c r="B36" s="56" t="n">
        <x:v>0.13</x:v>
      </x:c>
      <x:c r="C36" s="54" t="n">
        <x:v>2.5</x:v>
      </x:c>
      <x:c r="D36" s="56" t="n">
        <x:v>0.035</x:v>
      </x:c>
      <x:c r="E36" s="52" t="n">
        <x:v>12</x:v>
      </x:c>
      <x:c r="F36" s="52" t="n">
        <x:v>16</x:v>
      </x:c>
      <x:c r="G36" s="52" t="n">
        <x:v>78</x:v>
      </x:c>
      <x:c r="H36" t="str">
        <x:v>Institutional efficiency</x:v>
      </x:c>
    </x:row>
    <x:row r="37">
      <x:c r="A37" t="str">
        <x:v>Elite</x:v>
      </x:c>
      <x:c r="B37" s="56" t="n">
        <x:v>0.08</x:v>
      </x:c>
      <x:c r="C37" s="54" t="n">
        <x:v>3.4</x:v>
      </x:c>
      <x:c r="D37" s="56" t="n">
        <x:v>0.02</x:v>
      </x:c>
      <x:c r="E37" s="52" t="n">
        <x:v>14</x:v>
      </x:c>
      <x:c r="F37" s="52" t="n">
        <x:v>18</x:v>
      </x:c>
      <x:c r="G37" s="52" t="n">
        <x:v>86</x:v>
      </x:c>
      <x:c r="H37" t="str">
        <x:v>Optimize</x:v>
      </x:c>
    </x:row>
    <x:row r="38">
      <x:c r="A38" t="str">
        <x:v>Tycoon</x:v>
      </x:c>
      <x:c r="B38" s="56" t="n">
        <x:v>0.04</x:v>
      </x:c>
      <x:c r="C38" s="54" t="n">
        <x:v>4.5</x:v>
      </x:c>
      <x:c r="D38" s="56" t="n">
        <x:v>0.01</x:v>
      </x:c>
      <x:c r="E38" s="52" t="n">
        <x:v>16</x:v>
      </x:c>
      <x:c r="F38" s="52" t="n">
        <x:v>20</x:v>
      </x:c>
      <x:c r="G38" s="52" t="n">
        <x:v>92</x:v>
      </x:c>
      <x:c r="H38" t="str">
        <x:v>Prestige / global competition</x:v>
      </x:c>
    </x:row>
    <x:row r="40" ht="22" customHeight="1">
      <x:c r="A40" s="30" t="str">
        <x:v>Concentration &amp; Settlement Guardrails</x:v>
      </x:c>
      <x:c r="B40" s="30"/>
      <x:c r="C40" s="30"/>
      <x:c r="D40" s="30"/>
      <x:c r="E40" s="30"/>
      <x:c r="F40" s="30"/>
    </x:row>
    <x:row r="41">
      <x:c r="A41" s="20" t="str">
        <x:v>Guardrail</x:v>
      </x:c>
      <x:c r="B41" s="20" t="str">
        <x:v>Value</x:v>
      </x:c>
      <x:c r="C41" s="20" t="str">
        <x:v>Unit</x:v>
      </x:c>
      <x:c r="D41" s="20" t="str">
        <x:v>Applies When</x:v>
      </x:c>
      <x:c r="E41" s="20" t="str">
        <x:v>Purpose</x:v>
      </x:c>
      <x:c r="F41" s="20" t="str">
        <x:v>Treatment</x:v>
      </x:c>
    </x:row>
    <x:row r="42">
      <x:c r="A42" t="str">
        <x:v>Min Active Days</x:v>
      </x:c>
      <x:c r="B42" s="48" t="n">
        <x:v>3</x:v>
      </x:c>
      <x:c r="C42" t="str">
        <x:v>days / week</x:v>
      </x:c>
      <x:c r="D42" t="str">
        <x:v>All divisions</x:v>
      </x:c>
      <x:c r="E42" t="str">
        <x:v>Prevents one-session burst farming.</x:v>
      </x:c>
      <x:c r="F42" t="str">
        <x:v>Eligibility gate</x:v>
      </x:c>
    </x:row>
    <x:row r="43">
      <x:c r="A43" t="str">
        <x:v>Plot Age</x:v>
      </x:c>
      <x:c r="B43" s="48" t="n">
        <x:v>72</x:v>
      </x:c>
      <x:c r="C43" t="str">
        <x:v>hours</x:v>
      </x:c>
      <x:c r="D43" t="str">
        <x:v>All divisions</x:v>
      </x:c>
      <x:c r="E43" t="str">
        <x:v>Reduces rapid multi-account farming.</x:v>
      </x:c>
      <x:c r="F43" t="str">
        <x:v>Eligibility gate</x:v>
      </x:c>
    </x:row>
    <x:row r="44">
      <x:c r="A44" t="str">
        <x:v>Cap Activation Size</x:v>
      </x:c>
      <x:c r="B44" s="48" t="n">
        <x:v>500</x:v>
      </x:c>
      <x:c r="C44" t="str">
        <x:v>eligible players</x:v>
      </x:c>
      <x:c r="D44" t="str">
        <x:v>Per division</x:v>
      </x:c>
      <x:c r="E44" t="str">
        <x:v>Avoids caps distorting very small divisions.</x:v>
      </x:c>
      <x:c r="F44" t="str">
        <x:v>Settlement</x:v>
      </x:c>
    </x:row>
    <x:row r="45">
      <x:c r="A45" t="str">
        <x:v>Minimum Player Pool Share</x:v>
      </x:c>
      <x:c r="B45" s="60" t="n">
        <x:v>0.0025</x:v>
      </x:c>
      <x:c r="C45" t="str">
        <x:v>% of division</x:v>
      </x:c>
      <x:c r="D45" t="str">
        <x:v>Cap active</x:v>
      </x:c>
      <x:c r="E45" t="str">
        <x:v>Lower bound used by cap formula.</x:v>
      </x:c>
      <x:c r="F45" t="str">
        <x:v>Settlement</x:v>
      </x:c>
    </x:row>
    <x:row r="46">
      <x:c r="A46" t="str">
        <x:v>Maximum Player Pool Share</x:v>
      </x:c>
      <x:c r="B46" s="60" t="n">
        <x:v>0.015</x:v>
      </x:c>
      <x:c r="C46" t="str">
        <x:v>% of division</x:v>
      </x:c>
      <x:c r="D46" t="str">
        <x:v>Cap active</x:v>
      </x:c>
      <x:c r="E46" t="str">
        <x:v>Upper bound on one-wallet concentration.</x:v>
      </x:c>
      <x:c r="F46" t="str">
        <x:v>Settlement</x:v>
      </x:c>
    </x:row>
    <x:row r="47">
      <x:c r="A47" t="str">
        <x:v>Average-Multiple Cap</x:v>
      </x:c>
      <x:c r="B47" s="48" t="n">
        <x:v>8</x:v>
      </x:c>
      <x:c r="C47" t="str">
        <x:v>x average share</x:v>
      </x:c>
      <x:c r="D47" t="str">
        <x:v>Cap active</x:v>
      </x:c>
      <x:c r="E47" t="str">
        <x:v>Target maximum relative to average account.</x:v>
      </x:c>
      <x:c r="F47" t="str">
        <x:v>Settlement</x:v>
      </x:c>
    </x:row>
    <x:row r="48">
      <x:c r="A48" t="str">
        <x:v>Claim Window</x:v>
      </x:c>
      <x:c r="B48" s="48" t="n">
        <x:v>30</x:v>
      </x:c>
      <x:c r="C48" t="str">
        <x:v>days</x:v>
      </x:c>
      <x:c r="D48" t="str">
        <x:v>After settlement</x:v>
      </x:c>
      <x:c r="E48" t="str">
        <x:v>Unclaimed rewards roll to next treasury cycle.</x:v>
      </x:c>
      <x:c r="F48" t="str">
        <x:v>Operations</x:v>
      </x:c>
    </x:row>
  </x:sheetData>
  <x:mergeCells>
    <x:mergeCell ref="A1:H1"/>
    <x:mergeCell ref="A2:H2"/>
    <x:mergeCell ref="A4:D4"/>
    <x:mergeCell ref="A12:D12"/>
    <x:mergeCell ref="A23:F23"/>
    <x:mergeCell ref="A31:H31"/>
    <x:mergeCell ref="A40:F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 ht="28" customHeight="1">
      <x:c r="A1" s="5" t="str">
        <x:v>Stage-Normalized Performance Baselines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12" t="str">
        <x:v>Copied from PLOT Customer &amp; Economic Simulation v0.1 and extended into weekly score targets. These baselines make a well-run Humble Plot competitive inside its own division without equating it economically to Tycoon scale.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0" t="str">
        <x:v>Stage</x:v>
      </x:c>
      <x:c r="B4" s="20" t="str">
        <x:v>Active Customers</x:v>
      </x:c>
      <x:c r="C4" s="20" t="str">
        <x:v>Utilization</x:v>
      </x:c>
      <x:c r="D4" s="20" t="str">
        <x:v>Net Cash / Day</x:v>
      </x:c>
      <x:c r="E4" s="20" t="str">
        <x:v>Activity / Day</x:v>
      </x:c>
      <x:c r="F4" s="20" t="str">
        <x:v>Net Cash / Week</x:v>
      </x:c>
      <x:c r="G4" s="20" t="str">
        <x:v>Activity / Week</x:v>
      </x:c>
      <x:c r="H4" s="20" t="str">
        <x:v>Growth Target %</x:v>
      </x:c>
      <x:c r="I4" s="20" t="str">
        <x:v>New Customers / Week Target</x:v>
      </x:c>
      <x:c r="J4" s="20" t="str">
        <x:v>Market Hunts / Week</x:v>
      </x:c>
      <x:c r="K4" s="20" t="str">
        <x:v>Reputation Baseline</x:v>
      </x:c>
      <x:c r="L4" s="20" t="str">
        <x:v>Risk Index Baseline</x:v>
      </x:c>
      <x:c r="M4" s="20" t="str">
        <x:v>Source</x:v>
      </x:c>
    </x:row>
    <x:row r="5">
      <x:c r="A5" t="str">
        <x:v>Humble</x:v>
      </x:c>
      <x:c r="B5" s="52" t="n">
        <x:v>240.40196712</x:v>
      </x:c>
      <x:c r="C5" s="56" t="n">
        <x:v>0.5501189179</x:v>
      </x:c>
      <x:c r="D5" s="52" t="n">
        <x:v>2990.50415629</x:v>
      </x:c>
      <x:c r="E5" s="52" t="n">
        <x:v>701.229184831</x:v>
      </x:c>
      <x:c r="F5" s="38" t="n">
        <x:f>D5*'01 Inputs'!$B$9</x:f>
        <x:v>20933.52909403</x:v>
      </x:c>
      <x:c r="G5" s="38" t="n">
        <x:f>E5*'01 Inputs'!$B$9</x:f>
        <x:v>4908.604293817</x:v>
      </x:c>
      <x:c r="H5" s="56" t="n">
        <x:v>0.15</x:v>
      </x:c>
      <x:c r="I5" s="64" t="n">
        <x:f>B5*H5</x:f>
        <x:v>36.060295067999995</x:v>
      </x:c>
      <x:c r="J5" s="52" t="n">
        <x:v>5</x:v>
      </x:c>
      <x:c r="K5" s="52" t="n">
        <x:v>55</x:v>
      </x:c>
      <x:c r="L5" s="52" t="n">
        <x:v>10</x:v>
      </x:c>
      <x:c r="M5" s="48" t="str">
        <x:v>PLOT Customer Economic Simulation v0.1</x:v>
      </x:c>
    </x:row>
    <x:row r="6">
      <x:c r="A6" t="str">
        <x:v>Starter</x:v>
      </x:c>
      <x:c r="B6" s="52" t="n">
        <x:v>3341.358236</x:v>
      </x:c>
      <x:c r="C6" s="56" t="n">
        <x:v>0.4910873363</x:v>
      </x:c>
      <x:c r="D6" s="52" t="n">
        <x:v>50100.3876874</x:v>
      </x:c>
      <x:c r="E6" s="52" t="n">
        <x:v>9623.13781711</x:v>
      </x:c>
      <x:c r="F6" s="38" t="n">
        <x:f>D6*'01 Inputs'!$B$9</x:f>
        <x:v>350702.7138118</x:v>
      </x:c>
      <x:c r="G6" s="38" t="n">
        <x:f>E6*'01 Inputs'!$B$9</x:f>
        <x:v>67361.96471977001</x:v>
      </x:c>
      <x:c r="H6" s="56" t="n">
        <x:v>0.1</x:v>
      </x:c>
      <x:c r="I6" s="64" t="n">
        <x:f>B6*H6</x:f>
        <x:v>334.13582360000004</x:v>
      </x:c>
      <x:c r="J6" s="52" t="n">
        <x:v>8</x:v>
      </x:c>
      <x:c r="K6" s="52" t="n">
        <x:v>62</x:v>
      </x:c>
      <x:c r="L6" s="52" t="n">
        <x:v>12</x:v>
      </x:c>
      <x:c r="M6" s="48" t="str">
        <x:v>PLOT Customer Economic Simulation v0.1</x:v>
      </x:c>
    </x:row>
    <x:row r="7">
      <x:c r="A7" t="str">
        <x:v>Growing</x:v>
      </x:c>
      <x:c r="B7" s="52" t="n">
        <x:v>26802.337416</x:v>
      </x:c>
      <x:c r="C7" s="56" t="n">
        <x:v>0.5574877263</x:v>
      </x:c>
      <x:c r="D7" s="52" t="n">
        <x:v>487748.116405</x:v>
      </x:c>
      <x:c r="E7" s="52" t="n">
        <x:v>81245.7916708</x:v>
      </x:c>
      <x:c r="F7" s="38" t="n">
        <x:f>D7*'01 Inputs'!$B$9</x:f>
        <x:v>3414236.814835</x:v>
      </x:c>
      <x:c r="G7" s="38" t="n">
        <x:f>E7*'01 Inputs'!$B$9</x:f>
        <x:v>568720.5416956</x:v>
      </x:c>
      <x:c r="H7" s="56" t="n">
        <x:v>0.06</x:v>
      </x:c>
      <x:c r="I7" s="64" t="n">
        <x:f>B7*H7</x:f>
        <x:v>1608.1402449599998</x:v>
      </x:c>
      <x:c r="J7" s="52" t="n">
        <x:v>10</x:v>
      </x:c>
      <x:c r="K7" s="52" t="n">
        <x:v>70</x:v>
      </x:c>
      <x:c r="L7" s="52" t="n">
        <x:v>14</x:v>
      </x:c>
      <x:c r="M7" s="48" t="str">
        <x:v>PLOT Customer Economic Simulation v0.1</x:v>
      </x:c>
    </x:row>
    <x:row r="8">
      <x:c r="A8" t="str">
        <x:v>Established</x:v>
      </x:c>
      <x:c r="B8" s="52" t="n">
        <x:v>158907.159931</x:v>
      </x:c>
      <x:c r="C8" s="56" t="n">
        <x:v>0.5804043287</x:v>
      </x:c>
      <x:c r="D8" s="52" t="n">
        <x:v>4071247.5768</x:v>
      </x:c>
      <x:c r="E8" s="52" t="n">
        <x:v>548163.994579</x:v>
      </x:c>
      <x:c r="F8" s="38" t="n">
        <x:f>D8*'01 Inputs'!$B$9</x:f>
        <x:v>28498733.0376</x:v>
      </x:c>
      <x:c r="G8" s="38" t="n">
        <x:f>E8*'01 Inputs'!$B$9</x:f>
        <x:v>3837147.9620530005</x:v>
      </x:c>
      <x:c r="H8" s="56" t="n">
        <x:v>0.035</x:v>
      </x:c>
      <x:c r="I8" s="64" t="n">
        <x:f>B8*H8</x:f>
        <x:v>5561.750597585001</x:v>
      </x:c>
      <x:c r="J8" s="52" t="n">
        <x:v>12</x:v>
      </x:c>
      <x:c r="K8" s="52" t="n">
        <x:v>78</x:v>
      </x:c>
      <x:c r="L8" s="52" t="n">
        <x:v>16</x:v>
      </x:c>
      <x:c r="M8" s="48" t="str">
        <x:v>PLOT Customer Economic Simulation v0.1</x:v>
      </x:c>
    </x:row>
    <x:row r="9">
      <x:c r="A9" t="str">
        <x:v>Elite</x:v>
      </x:c>
      <x:c r="B9" s="52" t="n">
        <x:v>461056.17713</x:v>
      </x:c>
      <x:c r="C9" s="56" t="n">
        <x:v>0.8436171527</x:v>
      </x:c>
      <x:c r="D9" s="52" t="n">
        <x:v>14792354.6143</x:v>
      </x:c>
      <x:c r="E9" s="52" t="n">
        <x:v>1806094.01882</x:v>
      </x:c>
      <x:c r="F9" s="38" t="n">
        <x:f>D9*'01 Inputs'!$B$9</x:f>
        <x:v>103546482.3001</x:v>
      </x:c>
      <x:c r="G9" s="38" t="n">
        <x:f>E9*'01 Inputs'!$B$9</x:f>
        <x:v>12642658.13174</x:v>
      </x:c>
      <x:c r="H9" s="56" t="n">
        <x:v>0.02</x:v>
      </x:c>
      <x:c r="I9" s="64" t="n">
        <x:f>B9*H9</x:f>
        <x:v>9221.1235426</x:v>
      </x:c>
      <x:c r="J9" s="52" t="n">
        <x:v>14</x:v>
      </x:c>
      <x:c r="K9" s="52" t="n">
        <x:v>86</x:v>
      </x:c>
      <x:c r="L9" s="52" t="n">
        <x:v>18</x:v>
      </x:c>
      <x:c r="M9" s="48" t="str">
        <x:v>PLOT Customer Economic Simulation v0.1</x:v>
      </x:c>
    </x:row>
    <x:row r="10">
      <x:c r="A10" t="str">
        <x:v>Tycoon</x:v>
      </x:c>
      <x:c r="B10" s="52" t="n">
        <x:v>1243100.75837</x:v>
      </x:c>
      <x:c r="C10" s="56" t="n">
        <x:v>0.9441570366</x:v>
      </x:c>
      <x:c r="D10" s="52" t="n">
        <x:v>45738213.4503</x:v>
      </x:c>
      <x:c r="E10" s="52" t="n">
        <x:v>4341887.63232</x:v>
      </x:c>
      <x:c r="F10" s="38" t="n">
        <x:f>D10*'01 Inputs'!$B$9</x:f>
        <x:v>320167494.1521</x:v>
      </x:c>
      <x:c r="G10" s="38" t="n">
        <x:f>E10*'01 Inputs'!$B$9</x:f>
        <x:v>30393213.426239997</x:v>
      </x:c>
      <x:c r="H10" s="56" t="n">
        <x:v>0.01</x:v>
      </x:c>
      <x:c r="I10" s="64" t="n">
        <x:f>B10*H10</x:f>
        <x:v>12431.0075837</x:v>
      </x:c>
      <x:c r="J10" s="52" t="n">
        <x:v>16</x:v>
      </x:c>
      <x:c r="K10" s="52" t="n">
        <x:v>92</x:v>
      </x:c>
      <x:c r="L10" s="52" t="n">
        <x:v>20</x:v>
      </x:c>
      <x:c r="M10" s="48" t="str">
        <x:v>PLOT Customer Economic Simulation v0.1</x:v>
      </x:c>
    </x:row>
    <x:row r="12" ht="22" customHeight="1">
      <x:c r="A12" s="30" t="str">
        <x:v>Interpretation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</x:row>
    <x:row r="13">
      <x:c r="A13" s="70" t="str">
        <x:v>Rule</x:v>
      </x:c>
      <x:c r="B13" s="70" t="str">
        <x:v>Meaning</x:v>
      </x:c>
      <x:c r="C13" s="70" t="str"/>
      <x:c r="D13" s="70" t="str"/>
      <x:c r="E13" s="70" t="str"/>
      <x:c r="F13" s="70" t="str"/>
      <x:c r="G13" s="70" t="str"/>
      <x:c r="H13" s="70" t="str"/>
      <x:c r="I13" s="70" t="str"/>
      <x:c r="J13" s="70" t="str"/>
      <x:c r="K13" s="70" t="str"/>
      <x:c r="L13" s="70" t="str"/>
      <x:c r="M13" s="70" t="str"/>
    </x:row>
    <x:row r="14">
      <x:c r="A14" t="str">
        <x:v>100 index</x:v>
      </x:c>
      <x:c r="B14" t="str">
        <x:v>Player is operating at the representative baseline for that stage.</x:v>
      </x:c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>
        <x:v>&gt;100 index</x:v>
      </x:c>
      <x:c r="B15" t="str">
        <x:v>Player is outperforming stage baseline; diminishing-return exponents limit runaway score.</x:v>
      </x:c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>
        <x:v>&lt;100 index</x:v>
      </x:c>
      <x:c r="B16" t="str">
        <x:v>Player is below the expected stage baseline.</x:v>
      </x:c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>
        <x:v>Stage normalization</x:v>
      </x:c>
      <x:c r="B17" t="str">
        <x:v>Raw Tycoon numbers do not directly compete against Humble raw numbers.</x:v>
      </x:c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>
        <x:v>Stage payout weight</x:v>
      </x:c>
      <x:c r="B18" t="str">
        <x:v>Higher stages still receive higher expected rewards through division pool weighting.</x:v>
      </x:c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</x:sheetData>
  <x:mergeCells>
    <x:mergeCell ref="A1:M1"/>
    <x:mergeCell ref="A2:M2"/>
    <x:mergeCell ref="A12:M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6" hidden="0" customWidth="1"/>
    <x:col min="4" max="4" width="20" hidden="0" customWidth="1"/>
    <x:col min="5" max="5" width="25" hidden="0" customWidth="1"/>
    <x:col min="6" max="6" width="14" hidden="0" customWidth="1"/>
    <x:col min="7" max="7" width="17" hidden="0" customWidth="1"/>
    <x:col min="8" max="8" width="24" hidden="0" customWidth="1"/>
    <x:col min="9" max="9" width="25" hidden="0" customWidth="1"/>
    <x:col min="10" max="10" width="26" hidden="0" customWidth="1"/>
    <x:col min="11" max="11" width="15" hidden="0" customWidth="1"/>
  </x:cols>
  <x:sheetData>
    <x:row r="1" ht="28" customHeight="1">
      <x:c r="A1" s="5" t="str">
        <x:v>Performance Score Definition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Performance Score is a weekly operating-performance index. It is not Empire Value, Cash balance, or lifetime wealth.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22" customHeight="1">
      <x:c r="A4" s="30" t="str">
        <x:v>Component Model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A5" s="20" t="str">
        <x:v>Component</x:v>
      </x:c>
      <x:c r="B5" s="20" t="str">
        <x:v>Weight</x:v>
      </x:c>
      <x:c r="C5" s="20" t="str">
        <x:v>Raw Metric</x:v>
      </x:c>
      <x:c r="D5" s="20" t="str">
        <x:v>Target</x:v>
      </x:c>
      <x:c r="E5" s="20" t="str">
        <x:v>Index Formula</x:v>
      </x:c>
      <x:c r="F5" s="20" t="str">
        <x:v>Cap</x:v>
      </x:c>
      <x:c r="G5" s="20" t="str">
        <x:v>Qualifies Offline?</x:v>
      </x:c>
      <x:c r="H5" s="20" t="str">
        <x:v>Excluded Sources</x:v>
      </x:c>
      <x:c r="I5" s="20" t="str">
        <x:v>Anti-Gaming</x:v>
      </x:c>
      <x:c r="J5" s="20" t="str">
        <x:v>Why It Exists</x:v>
      </x:c>
      <x:c r="K5" s="20" t="str">
        <x:v>Reset</x:v>
      </x:c>
    </x:row>
    <x:row r="6">
      <x:c r="A6" t="str">
        <x:v>Economic Activity</x:v>
      </x:c>
      <x:c r="B6" s="46" t="n">
        <x:f>'01 Inputs'!B14</x:f>
        <x:v>0.3</x:v>
      </x:c>
      <x:c r="C6" t="str">
        <x:v>Eligible Activity Pts / Week</x:v>
      </x:c>
      <x:c r="D6" t="str">
        <x:v>Stage baseline</x:v>
      </x:c>
      <x:c r="E6" t="str">
        <x:v>100 × (Raw/Target)^0.55</x:v>
      </x:c>
      <x:c r="F6" t="n">
        <x:v>130</x:v>
      </x:c>
      <x:c r="G6" t="str">
        <x:v>Yes, already efficiency-reduced</x:v>
      </x:c>
      <x:c r="H6" t="str">
        <x:v>Synthetic / repeated spam</x:v>
      </x:c>
      <x:c r="I6" t="str">
        <x:v>Server validated; anomaly caps</x:v>
      </x:c>
      <x:c r="J6" t="str">
        <x:v>Core transactions/volume</x:v>
      </x:c>
      <x:c r="K6" t="str">
        <x:v>Weekly</x:v>
      </x:c>
    </x:row>
    <x:row r="7">
      <x:c r="A7" t="str">
        <x:v>Net Business Revenue</x:v>
      </x:c>
      <x:c r="B7" s="46" t="n">
        <x:f>'01 Inputs'!B15</x:f>
        <x:v>0.2</x:v>
      </x:c>
      <x:c r="C7" t="str">
        <x:v>Eligible Net Cash Generated / Week</x:v>
      </x:c>
      <x:c r="D7" t="str">
        <x:v>Stage baseline</x:v>
      </x:c>
      <x:c r="E7" t="str">
        <x:v>100 × (Raw/Target)^0.50</x:v>
      </x:c>
      <x:c r="F7" t="n">
        <x:v>125</x:v>
      </x:c>
      <x:c r="G7" t="str">
        <x:v>Yes, already efficiency-reduced</x:v>
      </x:c>
      <x:c r="H7" t="str">
        <x:v>Purchased Cash, grants, refunds</x:v>
      </x:c>
      <x:c r="I7" t="str">
        <x:v>Only operating revenue</x:v>
      </x:c>
      <x:c r="J7" t="str">
        <x:v>Rewards productivity</x:v>
      </x:c>
      <x:c r="K7" t="str">
        <x:v>Weekly</x:v>
      </x:c>
    </x:row>
    <x:row r="8">
      <x:c r="A8" t="str">
        <x:v>Active Customers</x:v>
      </x:c>
      <x:c r="B8" s="46" t="n">
        <x:f>'01 Inputs'!B16</x:f>
        <x:v>0.15</x:v>
      </x:c>
      <x:c r="C8" t="str">
        <x:v>Avg unique active customers</x:v>
      </x:c>
      <x:c r="D8" t="str">
        <x:v>Stage baseline</x:v>
      </x:c>
      <x:c r="E8" t="str">
        <x:v>100 × (Raw/Target)^0.50</x:v>
      </x:c>
      <x:c r="F8" t="n">
        <x:v>120</x:v>
      </x:c>
      <x:c r="G8" t="str">
        <x:v>Yes</x:v>
      </x:c>
      <x:c r="H8" t="str">
        <x:v>Bot / self-generated identities</x:v>
      </x:c>
      <x:c r="I8" t="str">
        <x:v>Unique-customer rules</x:v>
      </x:c>
      <x:c r="J8" t="str">
        <x:v>Rewards adoption</x:v>
      </x:c>
      <x:c r="K8" t="str">
        <x:v>Weekly</x:v>
      </x:c>
    </x:row>
    <x:row r="9">
      <x:c r="A9" t="str">
        <x:v>Customer Growth</x:v>
      </x:c>
      <x:c r="B9" s="46" t="n">
        <x:f>'01 Inputs'!B17</x:f>
        <x:v>0.1</x:v>
      </x:c>
      <x:c r="C9" t="str">
        <x:v>New retained customers / Week</x:v>
      </x:c>
      <x:c r="D9" t="str">
        <x:v>Stage target</x:v>
      </x:c>
      <x:c r="E9" t="str">
        <x:v>100 × (Raw/Target)^0.40</x:v>
      </x:c>
      <x:c r="F9" t="n">
        <x:v>120</x:v>
      </x:c>
      <x:c r="G9" t="str">
        <x:v>Partially</x:v>
      </x:c>
      <x:c r="H9" t="str">
        <x:v>Self referrals / recycled identities</x:v>
      </x:c>
      <x:c r="I9" t="str">
        <x:v>Retention qualification</x:v>
      </x:c>
      <x:c r="J9" t="str">
        <x:v>Rewards healthy growth</x:v>
      </x:c>
      <x:c r="K9" t="str">
        <x:v>Weekly</x:v>
      </x:c>
    </x:row>
    <x:row r="10">
      <x:c r="A10" t="str">
        <x:v>Utilization</x:v>
      </x:c>
      <x:c r="B10" s="46" t="n">
        <x:f>'01 Inputs'!B18</x:f>
        <x:v>0.1</x:v>
      </x:c>
      <x:c r="C10" t="str">
        <x:v>Avg capacity utilization</x:v>
      </x:c>
      <x:c r="D10" t="str">
        <x:v>Optimal curve</x:v>
      </x:c>
      <x:c r="E10" t="str">
        <x:v>Piecewise quality curve</x:v>
      </x:c>
      <x:c r="F10" t="n">
        <x:v>100</x:v>
      </x:c>
      <x:c r="G10" t="str">
        <x:v>Yes</x:v>
      </x:c>
      <x:c r="H10" t="str">
        <x:v>N/A</x:v>
      </x:c>
      <x:c r="I10" t="str">
        <x:v>Congestion penalty</x:v>
      </x:c>
      <x:c r="J10" t="str">
        <x:v>Rewards efficient capacity</x:v>
      </x:c>
      <x:c r="K10" t="str">
        <x:v>Weekly</x:v>
      </x:c>
    </x:row>
    <x:row r="11">
      <x:c r="A11" t="str">
        <x:v>Reputation</x:v>
      </x:c>
      <x:c r="B11" s="46" t="n">
        <x:f>'01 Inputs'!B19</x:f>
        <x:v>0.05</x:v>
      </x:c>
      <x:c r="C11" t="str">
        <x:v>Avg reputation 0–100</x:v>
      </x:c>
      <x:c r="D11" t="str">
        <x:v>100</x:v>
      </x:c>
      <x:c r="E11" t="str">
        <x:v>Index = Reputation</x:v>
      </x:c>
      <x:c r="F11" t="n">
        <x:v>100</x:v>
      </x:c>
      <x:c r="G11" t="str">
        <x:v>Yes</x:v>
      </x:c>
      <x:c r="H11" t="str">
        <x:v>Manual/admin boosts</x:v>
      </x:c>
      <x:c r="I11" t="str">
        <x:v>Rate-limit gains</x:v>
      </x:c>
      <x:c r="J11" t="str">
        <x:v>Rewards trust</x:v>
      </x:c>
      <x:c r="K11" t="str">
        <x:v>Weekly average</x:v>
      </x:c>
    </x:row>
    <x:row r="12">
      <x:c r="A12" t="str">
        <x:v>Risk Management</x:v>
      </x:c>
      <x:c r="B12" s="46" t="n">
        <x:f>'01 Inputs'!B20</x:f>
        <x:v>0.05</x:v>
      </x:c>
      <x:c r="C12" t="str">
        <x:v>Avg risk index 0–100</x:v>
      </x:c>
      <x:c r="D12" t="str">
        <x:v>0 risk</x:v>
      </x:c>
      <x:c r="E12" t="str">
        <x:v>Index = 100 − Risk Index</x:v>
      </x:c>
      <x:c r="F12" t="n">
        <x:v>100</x:v>
      </x:c>
      <x:c r="G12" t="str">
        <x:v>Yes</x:v>
      </x:c>
      <x:c r="H12" t="str">
        <x:v>Client-side risk values</x:v>
      </x:c>
      <x:c r="I12" t="str">
        <x:v>Server authoritative</x:v>
      </x:c>
      <x:c r="J12" t="str">
        <x:v>Controls reckless scaling</x:v>
      </x:c>
      <x:c r="K12" t="str">
        <x:v>Weekly average</x:v>
      </x:c>
    </x:row>
    <x:row r="13">
      <x:c r="A13" t="str">
        <x:v>Market Hunts</x:v>
      </x:c>
      <x:c r="B13" s="46" t="n">
        <x:f>'01 Inputs'!B21</x:f>
        <x:v>0.05</x:v>
      </x:c>
      <x:c r="C13" t="str">
        <x:v>Completed eligible hunts</x:v>
      </x:c>
      <x:c r="D13" t="str">
        <x:v>Stage target</x:v>
      </x:c>
      <x:c r="E13" t="str">
        <x:v>100 × MIN(1, Raw/Target)</x:v>
      </x:c>
      <x:c r="F13" t="n">
        <x:v>100</x:v>
      </x:c>
      <x:c r="G13" t="str">
        <x:v>No</x:v>
      </x:c>
      <x:c r="H13" t="str">
        <x:v>Repeated/cancelled hunts</x:v>
      </x:c>
      <x:c r="I13" t="str">
        <x:v>Daily + weekly caps</x:v>
      </x:c>
      <x:c r="J13" t="str">
        <x:v>Active gameplay</x:v>
      </x:c>
      <x:c r="K13" t="str">
        <x:v>Weekly</x:v>
      </x:c>
    </x:row>
    <x:row r="15" ht="22" customHeight="1">
      <x:c r="A15" s="30" t="str">
        <x:v>Utilization Quality Curve</x:v>
      </x:c>
      <x:c r="B15" s="30"/>
      <x:c r="C15" s="30"/>
      <x:c r="D15" s="30"/>
      <x:c r="E15" s="30"/>
      <x:c r="F15" s="30"/>
    </x:row>
    <x:row r="16">
      <x:c r="A16" s="20" t="str">
        <x:v>Band</x:v>
      </x:c>
      <x:c r="B16" s="20" t="str">
        <x:v>Utilization</x:v>
      </x:c>
      <x:c r="C16" s="20" t="str">
        <x:v>Score Range</x:v>
      </x:c>
      <x:c r="D16" s="20" t="str">
        <x:v>Interpretation</x:v>
      </x:c>
      <x:c r="E16" s="20" t="str">
        <x:v>Design Intent</x:v>
      </x:c>
      <x:c r="F16" s="20" t="str">
        <x:v>Formula Treatment</x:v>
      </x:c>
    </x:row>
    <x:row r="17">
      <x:c r="A17" t="str">
        <x:v>Underused</x:v>
      </x:c>
      <x:c r="B17" t="str">
        <x:v>0–45%</x:v>
      </x:c>
      <x:c r="C17" t="str">
        <x:v>0–75</x:v>
      </x:c>
      <x:c r="D17" t="str">
        <x:v>Too much idle capacity</x:v>
      </x:c>
      <x:c r="E17" t="str">
        <x:v>Encourage demand creation</x:v>
      </x:c>
      <x:c r="F17" t="str">
        <x:v>Linear to 75</x:v>
      </x:c>
    </x:row>
    <x:row r="18">
      <x:c r="A18" t="str">
        <x:v>Healthy growth</x:v>
      </x:c>
      <x:c r="B18" t="str">
        <x:v>45–80%</x:v>
      </x:c>
      <x:c r="C18" t="str">
        <x:v>75–100</x:v>
      </x:c>
      <x:c r="D18" t="str">
        <x:v>Good headroom and strong usage</x:v>
      </x:c>
      <x:c r="E18" t="str">
        <x:v>Ideal scaling zone</x:v>
      </x:c>
      <x:c r="F18" t="str">
        <x:v>Linear to 100</x:v>
      </x:c>
    </x:row>
    <x:row r="19">
      <x:c r="A19" t="str">
        <x:v>Optimal</x:v>
      </x:c>
      <x:c r="B19" t="str">
        <x:v>80–90%</x:v>
      </x:c>
      <x:c r="C19" t="str">
        <x:v>100</x:v>
      </x:c>
      <x:c r="D19" t="str">
        <x:v>Strong use without congestion</x:v>
      </x:c>
      <x:c r="E19" t="str">
        <x:v>Best zone</x:v>
      </x:c>
      <x:c r="F19" t="str">
        <x:v>Flat 100</x:v>
      </x:c>
    </x:row>
    <x:row r="20">
      <x:c r="A20" t="str">
        <x:v>Congested</x:v>
      </x:c>
      <x:c r="B20" t="str">
        <x:v>90–95%</x:v>
      </x:c>
      <x:c r="C20" t="str">
        <x:v>100–90</x:v>
      </x:c>
      <x:c r="D20" t="str">
        <x:v>Very high usage</x:v>
      </x:c>
      <x:c r="E20" t="str">
        <x:v>Signal expansion need</x:v>
      </x:c>
      <x:c r="F20" t="str">
        <x:v>Declines gradually</x:v>
      </x:c>
    </x:row>
    <x:row r="21">
      <x:c r="A21" t="str">
        <x:v>Overloaded</x:v>
      </x:c>
      <x:c r="B21" t="str">
        <x:v>95–100%</x:v>
      </x:c>
      <x:c r="C21" t="str">
        <x:v>90–60</x:v>
      </x:c>
      <x:c r="D21" t="str">
        <x:v>Service strain / lost customers</x:v>
      </x:c>
      <x:c r="E21" t="str">
        <x:v>Discourage permanent saturation</x:v>
      </x:c>
      <x:c r="F21" t="str">
        <x:v>Declines sharply</x:v>
      </x:c>
    </x:row>
    <x:row r="23" ht="22" customHeight="1">
      <x:c r="A23" s="30" t="str">
        <x:v>Final Score &amp; Payout Weight</x:v>
      </x:c>
      <x:c r="B23" s="30"/>
      <x:c r="C23" s="30"/>
      <x:c r="D23" s="30"/>
      <x:c r="E23" s="30"/>
      <x:c r="F23" s="30"/>
      <x:c r="G23" s="30"/>
      <x:c r="H23" s="30"/>
    </x:row>
    <x:row r="24">
      <x:c r="A24" s="20" t="str">
        <x:v>Step</x:v>
      </x:c>
      <x:c r="B24" s="20" t="str">
        <x:v>Formula</x:v>
      </x:c>
      <x:c r="C24" s="20" t="str">
        <x:v>Purpose</x:v>
      </x:c>
      <x:c r="D24" s="20" t="str">
        <x:v>Typical Range</x:v>
      </x:c>
      <x:c r="E24" s="20" t="str">
        <x:v>Cash Spending Impact</x:v>
      </x:c>
      <x:c r="F24" s="20" t="str">
        <x:v>Stage Effect</x:v>
      </x:c>
      <x:c r="G24" s="20" t="str">
        <x:v>Anti-Whale Effect</x:v>
      </x:c>
      <x:c r="H24" s="20" t="str">
        <x:v>Notes</x:v>
      </x:c>
    </x:row>
    <x:row r="25">
      <x:c r="A25" t="str">
        <x:v>1. Component indices</x:v>
      </x:c>
      <x:c r="B25" t="str">
        <x:v>Normalize against stage targets</x:v>
      </x:c>
      <x:c r="C25" t="str">
        <x:v>Comparable performance</x:v>
      </x:c>
      <x:c r="D25" t="str">
        <x:v>0–130</x:v>
      </x:c>
      <x:c r="E25" t="str">
        <x:v>None</x:v>
      </x:c>
      <x:c r="F25" t="str">
        <x:v>Stage-normalized</x:v>
      </x:c>
      <x:c r="G25" t="str">
        <x:v>Diminishing curves</x:v>
      </x:c>
      <x:c r="H25" t="str">
        <x:v>Activity recorded when generated</x:v>
      </x:c>
    </x:row>
    <x:row r="26">
      <x:c r="A26" t="str">
        <x:v>2. Weighted score</x:v>
      </x:c>
      <x:c r="B26" t="str">
        <x:v>Σ(Index × Weight)</x:v>
      </x:c>
      <x:c r="C26" t="str">
        <x:v>Single weekly index</x:v>
      </x:c>
      <x:c r="D26" t="str">
        <x:v>0–120</x:v>
      </x:c>
      <x:c r="E26" t="str">
        <x:v>None</x:v>
      </x:c>
      <x:c r="F26" t="str">
        <x:v>None</x:v>
      </x:c>
      <x:c r="G26" t="str">
        <x:v>Component caps</x:v>
      </x:c>
      <x:c r="H26" t="str">
        <x:v>Hard final score cap</x:v>
      </x:c>
    </x:row>
    <x:row r="27">
      <x:c r="A27" t="str">
        <x:v>3. Eligibility</x:v>
      </x:c>
      <x:c r="B27" t="str">
        <x:v>Score ≥ minimum + gates</x:v>
      </x:c>
      <x:c r="C27" t="str">
        <x:v>Exclude non-participants / abuse</x:v>
      </x:c>
      <x:c r="D27" t="str">
        <x:v>Pass/Fail</x:v>
      </x:c>
      <x:c r="E27" t="str">
        <x:v>None</x:v>
      </x:c>
      <x:c r="F27" t="str">
        <x:v>Same rules</x:v>
      </x:c>
      <x:c r="G27" t="str">
        <x:v>Stops dust / farms</x:v>
      </x:c>
      <x:c r="H27" t="str">
        <x:v>See 07 Eligibility</x:v>
      </x:c>
    </x:row>
    <x:row r="28">
      <x:c r="A28" t="str">
        <x:v>4. Payout weight</x:v>
      </x:c>
      <x:c r="B28" t="str">
        <x:v>Score ^ payout exponent</x:v>
      </x:c>
      <x:c r="C28" t="str">
        <x:v>Division payout share</x:v>
      </x:c>
      <x:c r="D28" t="str">
        <x:v>Compressed</x:v>
      </x:c>
      <x:c r="E28" t="str">
        <x:v>None</x:v>
      </x:c>
      <x:c r="F28" t="str">
        <x:v>Within division</x:v>
      </x:c>
      <x:c r="G28" t="str">
        <x:v>Exponent &lt;1 compresses</x:v>
      </x:c>
      <x:c r="H28" t="str">
        <x:v>Default 0.85</x:v>
      </x:c>
    </x:row>
    <x:row r="29">
      <x:c r="A29" t="str">
        <x:v>5. Division share</x:v>
      </x:c>
      <x:c r="B29" t="str">
        <x:v>Player weight / total division weight</x:v>
      </x:c>
      <x:c r="C29" t="str">
        <x:v>Final proportional share</x:v>
      </x:c>
      <x:c r="D29" t="str">
        <x:v>0–100%</x:v>
      </x:c>
      <x:c r="E29" t="str">
        <x:v>None</x:v>
      </x:c>
      <x:c r="F29" t="str">
        <x:v>Stage pool already weighted</x:v>
      </x:c>
      <x:c r="G29" t="str">
        <x:v>Concentration cap</x:v>
      </x:c>
      <x:c r="H29" t="str">
        <x:v>Overflow redistributed</x:v>
      </x:c>
    </x:row>
    <x:row r="31">
      <x:c r="A31" s="70" t="str">
        <x:v>Implementation Rule</x:v>
      </x:c>
      <x:c r="B31" s="70" t="str">
        <x:v>Definition</x:v>
      </x:c>
      <x:c r="C31" s="70" t="str"/>
      <x:c r="D31" s="70" t="str"/>
      <x:c r="E31" s="70" t="str"/>
      <x:c r="F31" s="70" t="str"/>
      <x:c r="G31" s="70" t="str"/>
      <x:c r="H31" s="70" t="str"/>
      <x:c r="I31" s="70" t="str"/>
      <x:c r="J31" s="70" t="str"/>
      <x:c r="K31" s="70" t="str"/>
    </x:row>
    <x:row r="32">
      <x:c r="A32" t="str">
        <x:v>Cash earned then spent</x:v>
      </x:c>
      <x:c r="B32" t="str">
        <x:v>Performance remains recorded; spending does not reduce score.</x:v>
      </x:c>
      <x:c r="C32" t="str"/>
      <x:c r="D32" t="str"/>
      <x:c r="E32" t="str"/>
      <x:c r="F32" t="str"/>
      <x:c r="G32" t="str"/>
      <x:c r="H32" t="str"/>
      <x:c r="I32" t="str"/>
      <x:c r="J32" t="str"/>
      <x:c r="K32" t="str"/>
    </x:row>
    <x:row r="33">
      <x:c r="A33" t="str">
        <x:v>Purchased Cash</x:v>
      </x:c>
      <x:c r="B33" t="str">
        <x:v>Never counts as business revenue or economic activity.</x:v>
      </x:c>
      <x:c r="C33" t="str"/>
      <x:c r="D33" t="str"/>
      <x:c r="E33" t="str"/>
      <x:c r="F33" t="str"/>
      <x:c r="G33" t="str"/>
      <x:c r="H33" t="str"/>
      <x:c r="I33" t="str"/>
      <x:c r="J33" t="str"/>
      <x:c r="K33" t="str"/>
    </x:row>
    <x:row r="34">
      <x:c r="A34" t="str">
        <x:v>Transferred value</x:v>
      </x:c>
      <x:c r="B34" t="str">
        <x:v>Wallet transfers / deposits are not business revenue.</x:v>
      </x:c>
      <x:c r="C34" t="str"/>
      <x:c r="D34" t="str"/>
      <x:c r="E34" t="str"/>
      <x:c r="F34" t="str"/>
      <x:c r="G34" t="str"/>
      <x:c r="H34" t="str"/>
      <x:c r="I34" t="str"/>
      <x:c r="J34" t="str"/>
      <x:c r="K34" t="str"/>
    </x:row>
    <x:row r="35">
      <x:c r="A35" t="str">
        <x:v>Admin credits</x:v>
      </x:c>
      <x:c r="B35" t="str">
        <x:v>Excluded unless explicitly marked as eligible live-ops compensation.</x:v>
      </x:c>
      <x:c r="C35" t="str"/>
      <x:c r="D35" t="str"/>
      <x:c r="E35" t="str"/>
      <x:c r="F35" t="str"/>
      <x:c r="G35" t="str"/>
      <x:c r="H35" t="str"/>
      <x:c r="I35" t="str"/>
      <x:c r="J35" t="str"/>
      <x:c r="K35" t="str"/>
    </x:row>
  </x:sheetData>
  <x:mergeCells>
    <x:mergeCell ref="A1:K1"/>
    <x:mergeCell ref="A2:K2"/>
    <x:mergeCell ref="A4:K4"/>
    <x:mergeCell ref="A15:F15"/>
    <x:mergeCell ref="A23:H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1" hidden="0" customWidth="1"/>
    <x:col min="8" max="8" width="10" hidden="0" customWidth="1"/>
    <x:col min="9" max="9" width="10" hidden="0" customWidth="1"/>
    <x:col min="10" max="10" width="11" hidden="0" customWidth="1"/>
    <x:col min="11" max="11" width="11" hidden="0" customWidth="1"/>
    <x:col min="12" max="12" width="16" hidden="0" customWidth="1"/>
    <x:col min="13" max="13" width="18" hidden="0" customWidth="1"/>
    <x:col min="14" max="14" width="17" hidden="0" customWidth="1"/>
    <x:col min="15" max="15" width="18" hidden="0" customWidth="1"/>
    <x:col min="16" max="16" width="13" hidden="0" customWidth="1"/>
    <x:col min="17" max="17" width="12" hidden="0" customWidth="1"/>
    <x:col min="18" max="18" width="12" hidden="0" customWidth="1"/>
    <x:col min="19" max="19" width="10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3" hidden="0" customWidth="1"/>
    <x:col min="25" max="25" width="12" hidden="0" customWidth="1"/>
    <x:col min="26" max="26" width="14" hidden="0" customWidth="1"/>
    <x:col min="27" max="27" width="12" hidden="0" customWidth="1"/>
    <x:col min="28" max="28" width="17" hidden="0" customWidth="1"/>
    <x:col min="29" max="29" width="11" hidden="0" customWidth="1"/>
    <x:col min="30" max="30" width="14" hidden="0" customWidth="1"/>
    <x:col min="31" max="31" width="34" hidden="0" customWidth="1"/>
  </x:cols>
  <x:sheetData>
    <x:row r="1" ht="28" customHeight="1">
      <x:c r="A1" s="5" t="str">
        <x:v>Representative Player Performance Calculator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0" customHeight="1">
      <x:c r="A2" s="12" t="str">
        <x:v>18 illustrative archetypes (Casual / Baseline / High Performer across six stages). Blue scenario multipliers are editable; all score and payout-weight columns are formula-driven.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</x:row>
    <x:row r="4">
      <x:c r="A4" s="20" t="str">
        <x:v>Stage</x:v>
      </x:c>
      <x:c r="B4" s="20" t="str">
        <x:v>Archetype</x:v>
      </x:c>
      <x:c r="C4" s="20" t="str">
        <x:v>Activity Mult</x:v>
      </x:c>
      <x:c r="D4" s="20" t="str">
        <x:v>Revenue Mult</x:v>
      </x:c>
      <x:c r="E4" s="20" t="str">
        <x:v>Customer Mult</x:v>
      </x:c>
      <x:c r="F4" s="20" t="str">
        <x:v>Growth Mult</x:v>
      </x:c>
      <x:c r="G4" s="20" t="str">
        <x:v>Util Adj.</x:v>
      </x:c>
      <x:c r="H4" s="20" t="str">
        <x:v>Rep Adj.</x:v>
      </x:c>
      <x:c r="I4" s="20" t="str">
        <x:v>Risk Adj.</x:v>
      </x:c>
      <x:c r="J4" s="20" t="str">
        <x:v>Hunts Mult</x:v>
      </x:c>
      <x:c r="K4" s="20" t="str">
        <x:v>Active Days</x:v>
      </x:c>
      <x:c r="L4" s="20" t="str">
        <x:v>Activity / Wk</x:v>
      </x:c>
      <x:c r="M4" s="20" t="str">
        <x:v>Revenue / Wk</x:v>
      </x:c>
      <x:c r="N4" s="20" t="str">
        <x:v>Active Customers</x:v>
      </x:c>
      <x:c r="O4" s="20" t="str">
        <x:v>New Customers / Wk</x:v>
      </x:c>
      <x:c r="P4" s="20" t="str">
        <x:v>Utilization</x:v>
      </x:c>
      <x:c r="Q4" s="20" t="str">
        <x:v>Reputation</x:v>
      </x:c>
      <x:c r="R4" s="20" t="str">
        <x:v>Risk Index</x:v>
      </x:c>
      <x:c r="S4" s="20" t="str">
        <x:v>Hunts</x:v>
      </x:c>
      <x:c r="T4" s="20" t="str">
        <x:v>Activity Index</x:v>
      </x:c>
      <x:c r="U4" s="20" t="str">
        <x:v>Revenue Index</x:v>
      </x:c>
      <x:c r="V4" s="20" t="str">
        <x:v>Customer Index</x:v>
      </x:c>
      <x:c r="W4" s="20" t="str">
        <x:v>Growth Index</x:v>
      </x:c>
      <x:c r="X4" s="20" t="str">
        <x:v>Util Index</x:v>
      </x:c>
      <x:c r="Y4" s="20" t="str">
        <x:v>Rep Index</x:v>
      </x:c>
      <x:c r="Z4" s="20" t="str">
        <x:v>Risk Index Score</x:v>
      </x:c>
      <x:c r="AA4" s="20" t="str">
        <x:v>Hunt Index</x:v>
      </x:c>
      <x:c r="AB4" s="20" t="str">
        <x:v>Performance Score</x:v>
      </x:c>
      <x:c r="AC4" s="20" t="str">
        <x:v>Eligible?</x:v>
      </x:c>
      <x:c r="AD4" s="20" t="str">
        <x:v>Payout Weight</x:v>
      </x:c>
      <x:c r="AE4" s="20" t="str">
        <x:v>Notes</x:v>
      </x:c>
    </x:row>
    <x:row r="5">
      <x:c r="A5" t="str">
        <x:v>Humble</x:v>
      </x:c>
      <x:c r="B5" t="str">
        <x:v>Casual</x:v>
      </x:c>
      <x:c r="C5" s="54" t="n">
        <x:v>0.65</x:v>
      </x:c>
      <x:c r="D5" s="54" t="n">
        <x:v>0.7</x:v>
      </x:c>
      <x:c r="E5" s="54" t="n">
        <x:v>0.75</x:v>
      </x:c>
      <x:c r="F5" s="54" t="n">
        <x:v>0.6</x:v>
      </x:c>
      <x:c r="G5" s="56" t="n">
        <x:v>-0.08</x:v>
      </x:c>
      <x:c r="H5" s="52" t="n">
        <x:v>-8</x:v>
      </x:c>
      <x:c r="I5" s="52" t="n">
        <x:v>10</x:v>
      </x:c>
      <x:c r="J5" s="52" t="n">
        <x:v>0.6</x:v>
      </x:c>
      <x:c r="K5" s="52" t="n">
        <x:v>4</x:v>
      </x:c>
      <x:c r="L5" s="38" t="n">
        <x:f>'02 Stage Baselines'!G5*C5</x:f>
        <x:v>3190.5927909810503</x:v>
      </x:c>
      <x:c r="M5" s="38" t="n">
        <x:f>'02 Stage Baselines'!F5*D5</x:f>
        <x:v>14653.470365820998</x:v>
      </x:c>
      <x:c r="N5" s="38" t="n">
        <x:f>'02 Stage Baselines'!B5*E5</x:f>
        <x:v>180.30147534</x:v>
      </x:c>
      <x:c r="O5" s="38" t="n">
        <x:f>'02 Stage Baselines'!I5*F5</x:f>
        <x:v>21.636177040799996</x:v>
      </x:c>
      <x:c r="P5" s="46" t="n">
        <x:f>MAX(0,MIN(1,'02 Stage Baselines'!C5+G5))</x:f>
        <x:v>0.4701189179</x:v>
      </x:c>
      <x:c r="Q5" s="76" t="n">
        <x:f>MAX(0,MIN(100,'02 Stage Baselines'!K5+H5))</x:f>
        <x:v>47</x:v>
      </x:c>
      <x:c r="R5" s="76" t="n">
        <x:f>MAX(0,MIN(100,'02 Stage Baselines'!L5+I5))</x:f>
        <x:v>20</x:v>
      </x:c>
      <x:c r="S5" s="38" t="n">
        <x:f>ROUND('02 Stage Baselines'!J5*J5,0)</x:f>
        <x:v>3</x:v>
      </x:c>
      <x:c r="T5" s="77" t="n">
        <x:f>MIN('01 Inputs'!$C$25,100*(L5/'02 Stage Baselines'!G5)^'01 Inputs'!$B$25)</x:f>
        <x:v>78.90460428745773</x:v>
      </x:c>
      <x:c r="U5" s="77" t="n">
        <x:f>MIN('01 Inputs'!$C$26,100*(M5/'02 Stage Baselines'!F5)^'01 Inputs'!$B$26)</x:f>
        <x:v>83.66600265340756</x:v>
      </x:c>
      <x:c r="V5" s="77" t="n">
        <x:f>MIN('01 Inputs'!$C$27,100*(N5/'02 Stage Baselines'!B5)^'01 Inputs'!$B$27)</x:f>
        <x:v>86.60254037844386</x:v>
      </x:c>
      <x:c r="W5" s="77" t="n">
        <x:f>MIN('01 Inputs'!$C$28,100*(O5/'02 Stage Baselines'!I5)^'01 Inputs'!$B$28)</x:f>
        <x:v>81.51931096059228</x:v>
      </x:c>
      <x:c r="X5" s="77" t="n">
        <x:f>IF(P5&lt;0.45,P5/0.45*75,IF(P5&lt;0.8,75+(P5-0.45)/0.35*25,IF(P5&lt;=0.9,100,IF(P5&lt;=0.95,100-(P5-0.9)/0.05*10,MAX(60,90-(P5-0.95)/0.05*30)))))</x:f>
        <x:v>76.43706556428572</x:v>
      </x:c>
      <x:c r="Y5" s="77" t="n">
        <x:f>Q5</x:f>
        <x:v>47</x:v>
      </x:c>
      <x:c r="Z5" s="77" t="n">
        <x:f>MAX(0,100-R5)</x:f>
        <x:v>80</x:v>
      </x:c>
      <x:c r="AA5" s="77" t="n">
        <x:f>MIN(100,100*S5/'02 Stage Baselines'!J5)</x:f>
        <x:v>60</x:v>
      </x:c>
      <x:c r="AB5" s="77" t="n">
        <x:f>MIN('01 Inputs'!$C$29,T5*'01 Inputs'!$B$14+U5*'01 Inputs'!$B$15+V5*'01 Inputs'!$B$16+W5*'01 Inputs'!$B$17+X5*'01 Inputs'!$B$18+Y5*'01 Inputs'!$B$19+Z5*'01 Inputs'!$B$20+AA5*'01 Inputs'!$B$21)</x:f>
        <x:v>78.54060052617321</x:v>
      </x:c>
      <x:c r="AC5" s="77" t="str">
        <x:f>IF(AND(AB5&gt;='01 Inputs'!$B$10,K5&gt;='01 Inputs'!$B$42),"Yes","No")</x:f>
        <x:v>Yes</x:v>
      </x:c>
      <x:c r="AD5" s="77" t="n">
        <x:f>IF(AC5="Yes",AB5^'01 Inputs'!$B$8,0)</x:f>
        <x:v>40.81596651269349</x:v>
      </x:c>
      <x:c r="AE5" t="str">
        <x:v>Returns regularly but underuses capacity.</x:v>
      </x:c>
    </x:row>
    <x:row r="6">
      <x:c r="A6" t="str">
        <x:v>Humble</x:v>
      </x:c>
      <x:c r="B6" t="str">
        <x:v>Baseline</x:v>
      </x:c>
      <x:c r="C6" s="54" t="n">
        <x:v>1</x:v>
      </x:c>
      <x:c r="D6" s="54" t="n">
        <x:v>1</x:v>
      </x:c>
      <x:c r="E6" s="54" t="n">
        <x:v>1</x:v>
      </x:c>
      <x:c r="F6" s="54" t="n">
        <x:v>1</x:v>
      </x:c>
      <x:c r="G6" s="56" t="n">
        <x:v>0</x:v>
      </x:c>
      <x:c r="H6" s="52" t="n">
        <x:v>0</x:v>
      </x:c>
      <x:c r="I6" s="52" t="n">
        <x:v>0</x:v>
      </x:c>
      <x:c r="J6" s="52" t="n">
        <x:v>1</x:v>
      </x:c>
      <x:c r="K6" s="52" t="n">
        <x:v>6</x:v>
      </x:c>
      <x:c r="L6" s="38" t="n">
        <x:f>'02 Stage Baselines'!G5*C6</x:f>
        <x:v>4908.604293817</x:v>
      </x:c>
      <x:c r="M6" s="38" t="n">
        <x:f>'02 Stage Baselines'!F5*D6</x:f>
        <x:v>20933.52909403</x:v>
      </x:c>
      <x:c r="N6" s="38" t="n">
        <x:f>'02 Stage Baselines'!B5*E6</x:f>
        <x:v>240.40196712</x:v>
      </x:c>
      <x:c r="O6" s="38" t="n">
        <x:f>'02 Stage Baselines'!I5*F6</x:f>
        <x:v>36.060295067999995</x:v>
      </x:c>
      <x:c r="P6" s="46" t="n">
        <x:f>MAX(0,MIN(1,'02 Stage Baselines'!C5+G6))</x:f>
        <x:v>0.5501189179</x:v>
      </x:c>
      <x:c r="Q6" s="76" t="n">
        <x:f>MAX(0,MIN(100,'02 Stage Baselines'!K5+H6))</x:f>
        <x:v>55</x:v>
      </x:c>
      <x:c r="R6" s="76" t="n">
        <x:f>MAX(0,MIN(100,'02 Stage Baselines'!L5+I6))</x:f>
        <x:v>10</x:v>
      </x:c>
      <x:c r="S6" s="38" t="n">
        <x:f>ROUND('02 Stage Baselines'!J5*J6,0)</x:f>
        <x:v>5</x:v>
      </x:c>
      <x:c r="T6" s="77" t="n">
        <x:f>MIN('01 Inputs'!$C$25,100*(L6/'02 Stage Baselines'!G5)^'01 Inputs'!$B$25)</x:f>
        <x:v>100</x:v>
      </x:c>
      <x:c r="U6" s="77" t="n">
        <x:f>MIN('01 Inputs'!$C$26,100*(M6/'02 Stage Baselines'!F5)^'01 Inputs'!$B$26)</x:f>
        <x:v>100</x:v>
      </x:c>
      <x:c r="V6" s="77" t="n">
        <x:f>MIN('01 Inputs'!$C$27,100*(N6/'02 Stage Baselines'!B5)^'01 Inputs'!$B$27)</x:f>
        <x:v>100</x:v>
      </x:c>
      <x:c r="W6" s="77" t="n">
        <x:f>MIN('01 Inputs'!$C$28,100*(O6/'02 Stage Baselines'!I5)^'01 Inputs'!$B$28)</x:f>
        <x:v>100</x:v>
      </x:c>
      <x:c r="X6" s="77" t="n">
        <x:f>IF(P6&lt;0.45,P6/0.45*75,IF(P6&lt;0.8,75+(P6-0.45)/0.35*25,IF(P6&lt;=0.9,100,IF(P6&lt;=0.95,100-(P6-0.9)/0.05*10,MAX(60,90-(P6-0.95)/0.05*30)))))</x:f>
        <x:v>82.15135127857143</x:v>
      </x:c>
      <x:c r="Y6" s="77" t="n">
        <x:f>Q6</x:f>
        <x:v>55</x:v>
      </x:c>
      <x:c r="Z6" s="77" t="n">
        <x:f>MAX(0,100-R6)</x:f>
        <x:v>90</x:v>
      </x:c>
      <x:c r="AA6" s="77" t="n">
        <x:f>MIN(100,100*S6/'02 Stage Baselines'!J5)</x:f>
        <x:v>100</x:v>
      </x:c>
      <x:c r="AB6" s="77" t="n">
        <x:f>MIN('01 Inputs'!$C$29,T6*'01 Inputs'!$B$14+U6*'01 Inputs'!$B$15+V6*'01 Inputs'!$B$16+W6*'01 Inputs'!$B$17+X6*'01 Inputs'!$B$18+Y6*'01 Inputs'!$B$19+Z6*'01 Inputs'!$B$20+AA6*'01 Inputs'!$B$21)</x:f>
        <x:v>95.46513512785714</x:v>
      </x:c>
      <x:c r="AC6" s="77" t="str">
        <x:f>IF(AND(AB6&gt;='01 Inputs'!$B$10,K6&gt;='01 Inputs'!$B$42),"Yes","No")</x:f>
        <x:v>Yes</x:v>
      </x:c>
      <x:c r="AD6" s="77" t="n">
        <x:f>IF(AC6="Yes",AB6^'01 Inputs'!$B$8,0)</x:f>
        <x:v>48.1801416928984</x:v>
      </x:c>
      <x:c r="AE6" t="str">
        <x:v>Representative healthy player.</x:v>
      </x:c>
    </x:row>
    <x:row r="7">
      <x:c r="A7" t="str">
        <x:v>Humble</x:v>
      </x:c>
      <x:c r="B7" t="str">
        <x:v>High Performer</x:v>
      </x:c>
      <x:c r="C7" s="54" t="n">
        <x:v>1.45</x:v>
      </x:c>
      <x:c r="D7" s="54" t="n">
        <x:v>1.35</x:v>
      </x:c>
      <x:c r="E7" s="54" t="n">
        <x:v>1.2</x:v>
      </x:c>
      <x:c r="F7" s="54" t="n">
        <x:v>1.4</x:v>
      </x:c>
      <x:c r="G7" s="56" t="n">
        <x:v>0.05</x:v>
      </x:c>
      <x:c r="H7" s="52" t="n">
        <x:v>5</x:v>
      </x:c>
      <x:c r="I7" s="52" t="n">
        <x:v>-5</x:v>
      </x:c>
      <x:c r="J7" s="52" t="n">
        <x:v>1.15</x:v>
      </x:c>
      <x:c r="K7" s="52" t="n">
        <x:v>7</x:v>
      </x:c>
      <x:c r="L7" s="38" t="n">
        <x:f>'02 Stage Baselines'!G5*C7</x:f>
        <x:v>7117.476226034651</x:v>
      </x:c>
      <x:c r="M7" s="38" t="n">
        <x:f>'02 Stage Baselines'!F5*D7</x:f>
        <x:v>28260.264276940503</x:v>
      </x:c>
      <x:c r="N7" s="38" t="n">
        <x:f>'02 Stage Baselines'!B5*E7</x:f>
        <x:v>288.48236054399996</x:v>
      </x:c>
      <x:c r="O7" s="38" t="n">
        <x:f>'02 Stage Baselines'!I5*F7</x:f>
        <x:v>50.48441309519999</x:v>
      </x:c>
      <x:c r="P7" s="46" t="n">
        <x:f>MAX(0,MIN(1,'02 Stage Baselines'!C5+G7))</x:f>
        <x:v>0.6001189179</x:v>
      </x:c>
      <x:c r="Q7" s="76" t="n">
        <x:f>MAX(0,MIN(100,'02 Stage Baselines'!K5+H7))</x:f>
        <x:v>60</x:v>
      </x:c>
      <x:c r="R7" s="76" t="n">
        <x:f>MAX(0,MIN(100,'02 Stage Baselines'!L5+I7))</x:f>
        <x:v>5</x:v>
      </x:c>
      <x:c r="S7" s="38" t="n">
        <x:f>ROUND('02 Stage Baselines'!J5*J7,0)</x:f>
        <x:v>6</x:v>
      </x:c>
      <x:c r="T7" s="77" t="n">
        <x:f>MIN('01 Inputs'!$C$25,100*(L7/'02 Stage Baselines'!G5)^'01 Inputs'!$B$25)</x:f>
        <x:v>122.67396463350175</x:v>
      </x:c>
      <x:c r="U7" s="77" t="n">
        <x:f>MIN('01 Inputs'!$C$26,100*(M7/'02 Stage Baselines'!F5)^'01 Inputs'!$B$26)</x:f>
        <x:v>116.1895003862225</x:v>
      </x:c>
      <x:c r="V7" s="77" t="n">
        <x:f>MIN('01 Inputs'!$C$27,100*(N7/'02 Stage Baselines'!B5)^'01 Inputs'!$B$27)</x:f>
        <x:v>109.54451150103321</x:v>
      </x:c>
      <x:c r="W7" s="77" t="n">
        <x:f>MIN('01 Inputs'!$C$28,100*(O7/'02 Stage Baselines'!I5)^'01 Inputs'!$B$28)</x:f>
        <x:v>114.4066355858723</x:v>
      </x:c>
      <x:c r="X7" s="77" t="n">
        <x:f>IF(P7&lt;0.45,P7/0.45*75,IF(P7&lt;0.8,75+(P7-0.45)/0.35*25,IF(P7&lt;=0.9,100,IF(P7&lt;=0.95,100-(P7-0.9)/0.05*10,MAX(60,90-(P7-0.95)/0.05*30)))))</x:f>
        <x:v>85.72277985</x:v>
      </x:c>
      <x:c r="Y7" s="77" t="n">
        <x:f>Q7</x:f>
        <x:v>60</x:v>
      </x:c>
      <x:c r="Z7" s="77" t="n">
        <x:f>MAX(0,100-R7)</x:f>
        <x:v>95</x:v>
      </x:c>
      <x:c r="AA7" s="77" t="n">
        <x:f>MIN(100,100*S7/'02 Stage Baselines'!J5)</x:f>
        <x:v>100</x:v>
      </x:c>
      <x:c r="AB7" s="77" t="n">
        <x:f>MIN('01 Inputs'!$C$29,T7*'01 Inputs'!$B$14+U7*'01 Inputs'!$B$15+V7*'01 Inputs'!$B$16+W7*'01 Inputs'!$B$17+X7*'01 Inputs'!$B$18+Y7*'01 Inputs'!$B$19+Z7*'01 Inputs'!$B$20+AA7*'01 Inputs'!$B$21)</x:f>
        <x:v>109.23470773603724</x:v>
      </x:c>
      <x:c r="AC7" s="77" t="str">
        <x:f>IF(AND(AB7&gt;='01 Inputs'!$B$10,K7&gt;='01 Inputs'!$B$42),"Yes","No")</x:f>
        <x:v>Yes</x:v>
      </x:c>
      <x:c r="AD7" s="77" t="n">
        <x:f>IF(AC7="Yes",AB7^'01 Inputs'!$B$8,0)</x:f>
        <x:v>54.026465147928626</x:v>
      </x:c>
      <x:c r="AE7" t="str">
        <x:v>Optimized active player; diminishing returns apply.</x:v>
      </x:c>
    </x:row>
    <x:row r="8">
      <x:c r="A8" t="str">
        <x:v>Starter</x:v>
      </x:c>
      <x:c r="B8" t="str">
        <x:v>Casual</x:v>
      </x:c>
      <x:c r="C8" s="54" t="n">
        <x:v>0.65</x:v>
      </x:c>
      <x:c r="D8" s="54" t="n">
        <x:v>0.7</x:v>
      </x:c>
      <x:c r="E8" s="54" t="n">
        <x:v>0.75</x:v>
      </x:c>
      <x:c r="F8" s="54" t="n">
        <x:v>0.6</x:v>
      </x:c>
      <x:c r="G8" s="56" t="n">
        <x:v>-0.08</x:v>
      </x:c>
      <x:c r="H8" s="52" t="n">
        <x:v>-8</x:v>
      </x:c>
      <x:c r="I8" s="52" t="n">
        <x:v>10</x:v>
      </x:c>
      <x:c r="J8" s="52" t="n">
        <x:v>0.6</x:v>
      </x:c>
      <x:c r="K8" s="52" t="n">
        <x:v>4</x:v>
      </x:c>
      <x:c r="L8" s="38" t="n">
        <x:f>'02 Stage Baselines'!G6*C8</x:f>
        <x:v>43785.27706785051</x:v>
      </x:c>
      <x:c r="M8" s="38" t="n">
        <x:f>'02 Stage Baselines'!F6*D8</x:f>
        <x:v>245491.89966825998</x:v>
      </x:c>
      <x:c r="N8" s="38" t="n">
        <x:f>'02 Stage Baselines'!B6*E8</x:f>
        <x:v>2506.018677</x:v>
      </x:c>
      <x:c r="O8" s="38" t="n">
        <x:f>'02 Stage Baselines'!I6*F8</x:f>
        <x:v>200.48149416</x:v>
      </x:c>
      <x:c r="P8" s="46" t="n">
        <x:f>MAX(0,MIN(1,'02 Stage Baselines'!C6+G8))</x:f>
        <x:v>0.4110873363</x:v>
      </x:c>
      <x:c r="Q8" s="76" t="n">
        <x:f>MAX(0,MIN(100,'02 Stage Baselines'!K6+H8))</x:f>
        <x:v>54</x:v>
      </x:c>
      <x:c r="R8" s="76" t="n">
        <x:f>MAX(0,MIN(100,'02 Stage Baselines'!L6+I8))</x:f>
        <x:v>22</x:v>
      </x:c>
      <x:c r="S8" s="38" t="n">
        <x:f>ROUND('02 Stage Baselines'!J6*J8,0)</x:f>
        <x:v>5</x:v>
      </x:c>
      <x:c r="T8" s="77" t="n">
        <x:f>MIN('01 Inputs'!$C$25,100*(L8/'02 Stage Baselines'!G6)^'01 Inputs'!$B$25)</x:f>
        <x:v>78.90460428745773</x:v>
      </x:c>
      <x:c r="U8" s="77" t="n">
        <x:f>MIN('01 Inputs'!$C$26,100*(M8/'02 Stage Baselines'!F6)^'01 Inputs'!$B$26)</x:f>
        <x:v>83.66600265340756</x:v>
      </x:c>
      <x:c r="V8" s="77" t="n">
        <x:f>MIN('01 Inputs'!$C$27,100*(N8/'02 Stage Baselines'!B6)^'01 Inputs'!$B$27)</x:f>
        <x:v>86.60254037844386</x:v>
      </x:c>
      <x:c r="W8" s="77" t="n">
        <x:f>MIN('01 Inputs'!$C$28,100*(O8/'02 Stage Baselines'!I6)^'01 Inputs'!$B$28)</x:f>
        <x:v>81.51931096059228</x:v>
      </x:c>
      <x:c r="X8" s="77" t="n">
        <x:f>IF(P8&lt;0.45,P8/0.45*75,IF(P8&lt;0.8,75+(P8-0.45)/0.35*25,IF(P8&lt;=0.9,100,IF(P8&lt;=0.95,100-(P8-0.9)/0.05*10,MAX(60,90-(P8-0.95)/0.05*30)))))</x:f>
        <x:v>68.51455605</x:v>
      </x:c>
      <x:c r="Y8" s="77" t="n">
        <x:f>Q8</x:f>
        <x:v>54</x:v>
      </x:c>
      <x:c r="Z8" s="77" t="n">
        <x:f>MAX(0,100-R8)</x:f>
        <x:v>78</x:v>
      </x:c>
      <x:c r="AA8" s="77" t="n">
        <x:f>MIN(100,100*S8/'02 Stage Baselines'!J6)</x:f>
        <x:v>62.5</x:v>
      </x:c>
      <x:c r="AB8" s="77" t="n">
        <x:f>MIN('01 Inputs'!$C$29,T8*'01 Inputs'!$B$14+U8*'01 Inputs'!$B$15+V8*'01 Inputs'!$B$16+W8*'01 Inputs'!$B$17+X8*'01 Inputs'!$B$18+Y8*'01 Inputs'!$B$19+Z8*'01 Inputs'!$B$20+AA8*'01 Inputs'!$B$21)</x:f>
        <x:v>78.12334957474465</x:v>
      </x:c>
      <x:c r="AC8" s="77" t="str">
        <x:f>IF(AND(AB8&gt;='01 Inputs'!$B$10,K8&gt;='01 Inputs'!$B$42),"Yes","No")</x:f>
        <x:v>Yes</x:v>
      </x:c>
      <x:c r="AD8" s="77" t="n">
        <x:f>IF(AC8="Yes",AB8^'01 Inputs'!$B$8,0)</x:f>
        <x:v>40.63158155483073</x:v>
      </x:c>
      <x:c r="AE8" t="str">
        <x:v>Returns regularly but underuses capacity.</x:v>
      </x:c>
    </x:row>
    <x:row r="9">
      <x:c r="A9" t="str">
        <x:v>Starter</x:v>
      </x:c>
      <x:c r="B9" t="str">
        <x:v>Baseline</x:v>
      </x:c>
      <x:c r="C9" s="54" t="n">
        <x:v>1</x:v>
      </x:c>
      <x:c r="D9" s="54" t="n">
        <x:v>1</x:v>
      </x:c>
      <x:c r="E9" s="54" t="n">
        <x:v>1</x:v>
      </x:c>
      <x:c r="F9" s="54" t="n">
        <x:v>1</x:v>
      </x:c>
      <x:c r="G9" s="56" t="n">
        <x:v>0</x:v>
      </x:c>
      <x:c r="H9" s="52" t="n">
        <x:v>0</x:v>
      </x:c>
      <x:c r="I9" s="52" t="n">
        <x:v>0</x:v>
      </x:c>
      <x:c r="J9" s="52" t="n">
        <x:v>1</x:v>
      </x:c>
      <x:c r="K9" s="52" t="n">
        <x:v>6</x:v>
      </x:c>
      <x:c r="L9" s="38" t="n">
        <x:f>'02 Stage Baselines'!G6*C9</x:f>
        <x:v>67361.96471977001</x:v>
      </x:c>
      <x:c r="M9" s="38" t="n">
        <x:f>'02 Stage Baselines'!F6*D9</x:f>
        <x:v>350702.7138118</x:v>
      </x:c>
      <x:c r="N9" s="38" t="n">
        <x:f>'02 Stage Baselines'!B6*E9</x:f>
        <x:v>3341.358236</x:v>
      </x:c>
      <x:c r="O9" s="38" t="n">
        <x:f>'02 Stage Baselines'!I6*F9</x:f>
        <x:v>334.13582360000004</x:v>
      </x:c>
      <x:c r="P9" s="46" t="n">
        <x:f>MAX(0,MIN(1,'02 Stage Baselines'!C6+G9))</x:f>
        <x:v>0.4910873363</x:v>
      </x:c>
      <x:c r="Q9" s="76" t="n">
        <x:f>MAX(0,MIN(100,'02 Stage Baselines'!K6+H9))</x:f>
        <x:v>62</x:v>
      </x:c>
      <x:c r="R9" s="76" t="n">
        <x:f>MAX(0,MIN(100,'02 Stage Baselines'!L6+I9))</x:f>
        <x:v>12</x:v>
      </x:c>
      <x:c r="S9" s="38" t="n">
        <x:f>ROUND('02 Stage Baselines'!J6*J9,0)</x:f>
        <x:v>8</x:v>
      </x:c>
      <x:c r="T9" s="77" t="n">
        <x:f>MIN('01 Inputs'!$C$25,100*(L9/'02 Stage Baselines'!G6)^'01 Inputs'!$B$25)</x:f>
        <x:v>100</x:v>
      </x:c>
      <x:c r="U9" s="77" t="n">
        <x:f>MIN('01 Inputs'!$C$26,100*(M9/'02 Stage Baselines'!F6)^'01 Inputs'!$B$26)</x:f>
        <x:v>100</x:v>
      </x:c>
      <x:c r="V9" s="77" t="n">
        <x:f>MIN('01 Inputs'!$C$27,100*(N9/'02 Stage Baselines'!B6)^'01 Inputs'!$B$27)</x:f>
        <x:v>100</x:v>
      </x:c>
      <x:c r="W9" s="77" t="n">
        <x:f>MIN('01 Inputs'!$C$28,100*(O9/'02 Stage Baselines'!I6)^'01 Inputs'!$B$28)</x:f>
        <x:v>100</x:v>
      </x:c>
      <x:c r="X9" s="77" t="n">
        <x:f>IF(P9&lt;0.45,P9/0.45*75,IF(P9&lt;0.8,75+(P9-0.45)/0.35*25,IF(P9&lt;=0.9,100,IF(P9&lt;=0.95,100-(P9-0.9)/0.05*10,MAX(60,90-(P9-0.95)/0.05*30)))))</x:f>
        <x:v>77.93480973571428</x:v>
      </x:c>
      <x:c r="Y9" s="77" t="n">
        <x:f>Q9</x:f>
        <x:v>62</x:v>
      </x:c>
      <x:c r="Z9" s="77" t="n">
        <x:f>MAX(0,100-R9)</x:f>
        <x:v>88</x:v>
      </x:c>
      <x:c r="AA9" s="77" t="n">
        <x:f>MIN(100,100*S9/'02 Stage Baselines'!J6)</x:f>
        <x:v>100</x:v>
      </x:c>
      <x:c r="AB9" s="77" t="n">
        <x:f>MIN('01 Inputs'!$C$29,T9*'01 Inputs'!$B$14+U9*'01 Inputs'!$B$15+V9*'01 Inputs'!$B$16+W9*'01 Inputs'!$B$17+X9*'01 Inputs'!$B$18+Y9*'01 Inputs'!$B$19+Z9*'01 Inputs'!$B$20+AA9*'01 Inputs'!$B$21)</x:f>
        <x:v>95.29348097357143</x:v>
      </x:c>
      <x:c r="AC9" s="77" t="str">
        <x:f>IF(AND(AB9&gt;='01 Inputs'!$B$10,K9&gt;='01 Inputs'!$B$42),"Yes","No")</x:f>
        <x:v>Yes</x:v>
      </x:c>
      <x:c r="AD9" s="77" t="n">
        <x:f>IF(AC9="Yes",AB9^'01 Inputs'!$B$8,0)</x:f>
        <x:v>48.1064946812728</x:v>
      </x:c>
      <x:c r="AE9" t="str">
        <x:v>Representative healthy player.</x:v>
      </x:c>
    </x:row>
    <x:row r="10">
      <x:c r="A10" t="str">
        <x:v>Starter</x:v>
      </x:c>
      <x:c r="B10" t="str">
        <x:v>High Performer</x:v>
      </x:c>
      <x:c r="C10" s="54" t="n">
        <x:v>1.45</x:v>
      </x:c>
      <x:c r="D10" s="54" t="n">
        <x:v>1.35</x:v>
      </x:c>
      <x:c r="E10" s="54" t="n">
        <x:v>1.2</x:v>
      </x:c>
      <x:c r="F10" s="54" t="n">
        <x:v>1.4</x:v>
      </x:c>
      <x:c r="G10" s="56" t="n">
        <x:v>0.05</x:v>
      </x:c>
      <x:c r="H10" s="52" t="n">
        <x:v>5</x:v>
      </x:c>
      <x:c r="I10" s="52" t="n">
        <x:v>-5</x:v>
      </x:c>
      <x:c r="J10" s="52" t="n">
        <x:v>1.15</x:v>
      </x:c>
      <x:c r="K10" s="52" t="n">
        <x:v>7</x:v>
      </x:c>
      <x:c r="L10" s="38" t="n">
        <x:f>'02 Stage Baselines'!G6*C10</x:f>
        <x:v>97674.8488436665</x:v>
      </x:c>
      <x:c r="M10" s="38" t="n">
        <x:f>'02 Stage Baselines'!F6*D10</x:f>
        <x:v>473448.66364593</x:v>
      </x:c>
      <x:c r="N10" s="38" t="n">
        <x:f>'02 Stage Baselines'!B6*E10</x:f>
        <x:v>4009.6298831999998</x:v>
      </x:c>
      <x:c r="O10" s="38" t="n">
        <x:f>'02 Stage Baselines'!I6*F10</x:f>
        <x:v>467.79015304</x:v>
      </x:c>
      <x:c r="P10" s="46" t="n">
        <x:f>MAX(0,MIN(1,'02 Stage Baselines'!C6+G10))</x:f>
        <x:v>0.5410873363</x:v>
      </x:c>
      <x:c r="Q10" s="76" t="n">
        <x:f>MAX(0,MIN(100,'02 Stage Baselines'!K6+H10))</x:f>
        <x:v>67</x:v>
      </x:c>
      <x:c r="R10" s="76" t="n">
        <x:f>MAX(0,MIN(100,'02 Stage Baselines'!L6+I10))</x:f>
        <x:v>7</x:v>
      </x:c>
      <x:c r="S10" s="38" t="n">
        <x:f>ROUND('02 Stage Baselines'!J6*J10,0)</x:f>
        <x:v>9</x:v>
      </x:c>
      <x:c r="T10" s="77" t="n">
        <x:f>MIN('01 Inputs'!$C$25,100*(L10/'02 Stage Baselines'!G6)^'01 Inputs'!$B$25)</x:f>
        <x:v>122.67396463350175</x:v>
      </x:c>
      <x:c r="U10" s="77" t="n">
        <x:f>MIN('01 Inputs'!$C$26,100*(M10/'02 Stage Baselines'!F6)^'01 Inputs'!$B$26)</x:f>
        <x:v>116.1895003862225</x:v>
      </x:c>
      <x:c r="V10" s="77" t="n">
        <x:f>MIN('01 Inputs'!$C$27,100*(N10/'02 Stage Baselines'!B6)^'01 Inputs'!$B$27)</x:f>
        <x:v>109.54451150103321</x:v>
      </x:c>
      <x:c r="W10" s="77" t="n">
        <x:f>MIN('01 Inputs'!$C$28,100*(O10/'02 Stage Baselines'!I6)^'01 Inputs'!$B$28)</x:f>
        <x:v>114.4066355858723</x:v>
      </x:c>
      <x:c r="X10" s="77" t="n">
        <x:f>IF(P10&lt;0.45,P10/0.45*75,IF(P10&lt;0.8,75+(P10-0.45)/0.35*25,IF(P10&lt;=0.9,100,IF(P10&lt;=0.95,100-(P10-0.9)/0.05*10,MAX(60,90-(P10-0.95)/0.05*30)))))</x:f>
        <x:v>81.50623830714287</x:v>
      </x:c>
      <x:c r="Y10" s="77" t="n">
        <x:f>Q10</x:f>
        <x:v>67</x:v>
      </x:c>
      <x:c r="Z10" s="77" t="n">
        <x:f>MAX(0,100-R10)</x:f>
        <x:v>93</x:v>
      </x:c>
      <x:c r="AA10" s="77" t="n">
        <x:f>MIN(100,100*S10/'02 Stage Baselines'!J6)</x:f>
        <x:v>100</x:v>
      </x:c>
      <x:c r="AB10" s="77" t="n">
        <x:f>MIN('01 Inputs'!$C$29,T10*'01 Inputs'!$B$14+U10*'01 Inputs'!$B$15+V10*'01 Inputs'!$B$16+W10*'01 Inputs'!$B$17+X10*'01 Inputs'!$B$18+Y10*'01 Inputs'!$B$19+Z10*'01 Inputs'!$B$20+AA10*'01 Inputs'!$B$21)</x:f>
        <x:v>109.06305358175152</x:v>
      </x:c>
      <x:c r="AC10" s="77" t="str">
        <x:f>IF(AND(AB10&gt;='01 Inputs'!$B$10,K10&gt;='01 Inputs'!$B$42),"Yes","No")</x:f>
        <x:v>Yes</x:v>
      </x:c>
      <x:c r="AD10" s="77" t="n">
        <x:f>IF(AC10="Yes",AB10^'01 Inputs'!$B$8,0)</x:f>
        <x:v>53.95429287896219</x:v>
      </x:c>
      <x:c r="AE10" t="str">
        <x:v>Optimized active player; diminishing returns apply.</x:v>
      </x:c>
    </x:row>
    <x:row r="11">
      <x:c r="A11" t="str">
        <x:v>Growing</x:v>
      </x:c>
      <x:c r="B11" t="str">
        <x:v>Casual</x:v>
      </x:c>
      <x:c r="C11" s="54" t="n">
        <x:v>0.65</x:v>
      </x:c>
      <x:c r="D11" s="54" t="n">
        <x:v>0.7</x:v>
      </x:c>
      <x:c r="E11" s="54" t="n">
        <x:v>0.75</x:v>
      </x:c>
      <x:c r="F11" s="54" t="n">
        <x:v>0.6</x:v>
      </x:c>
      <x:c r="G11" s="56" t="n">
        <x:v>-0.08</x:v>
      </x:c>
      <x:c r="H11" s="52" t="n">
        <x:v>-8</x:v>
      </x:c>
      <x:c r="I11" s="52" t="n">
        <x:v>10</x:v>
      </x:c>
      <x:c r="J11" s="52" t="n">
        <x:v>0.6</x:v>
      </x:c>
      <x:c r="K11" s="52" t="n">
        <x:v>4</x:v>
      </x:c>
      <x:c r="L11" s="38" t="n">
        <x:f>'02 Stage Baselines'!G7*C11</x:f>
        <x:v>369668.35210214</x:v>
      </x:c>
      <x:c r="M11" s="38" t="n">
        <x:f>'02 Stage Baselines'!F7*D11</x:f>
        <x:v>2389965.7703845</x:v>
      </x:c>
      <x:c r="N11" s="38" t="n">
        <x:f>'02 Stage Baselines'!B7*E11</x:f>
        <x:v>20101.753062</x:v>
      </x:c>
      <x:c r="O11" s="38" t="n">
        <x:f>'02 Stage Baselines'!I7*F11</x:f>
        <x:v>964.8841469759998</x:v>
      </x:c>
      <x:c r="P11" s="46" t="n">
        <x:f>MAX(0,MIN(1,'02 Stage Baselines'!C7+G11))</x:f>
        <x:v>0.47748772629999997</x:v>
      </x:c>
      <x:c r="Q11" s="76" t="n">
        <x:f>MAX(0,MIN(100,'02 Stage Baselines'!K7+H11))</x:f>
        <x:v>62</x:v>
      </x:c>
      <x:c r="R11" s="76" t="n">
        <x:f>MAX(0,MIN(100,'02 Stage Baselines'!L7+I11))</x:f>
        <x:v>24</x:v>
      </x:c>
      <x:c r="S11" s="38" t="n">
        <x:f>ROUND('02 Stage Baselines'!J7*J11,0)</x:f>
        <x:v>6</x:v>
      </x:c>
      <x:c r="T11" s="77" t="n">
        <x:f>MIN('01 Inputs'!$C$25,100*(L11/'02 Stage Baselines'!G7)^'01 Inputs'!$B$25)</x:f>
        <x:v>78.90460428745773</x:v>
      </x:c>
      <x:c r="U11" s="77" t="n">
        <x:f>MIN('01 Inputs'!$C$26,100*(M11/'02 Stage Baselines'!F7)^'01 Inputs'!$B$26)</x:f>
        <x:v>83.66600265340756</x:v>
      </x:c>
      <x:c r="V11" s="77" t="n">
        <x:f>MIN('01 Inputs'!$C$27,100*(N11/'02 Stage Baselines'!B7)^'01 Inputs'!$B$27)</x:f>
        <x:v>86.60254037844386</x:v>
      </x:c>
      <x:c r="W11" s="77" t="n">
        <x:f>MIN('01 Inputs'!$C$28,100*(O11/'02 Stage Baselines'!I7)^'01 Inputs'!$B$28)</x:f>
        <x:v>81.51931096059228</x:v>
      </x:c>
      <x:c r="X11" s="77" t="n">
        <x:f>IF(P11&lt;0.45,P11/0.45*75,IF(P11&lt;0.8,75+(P11-0.45)/0.35*25,IF(P11&lt;=0.9,100,IF(P11&lt;=0.95,100-(P11-0.9)/0.05*10,MAX(60,90-(P11-0.95)/0.05*30)))))</x:f>
        <x:v>76.96340902142857</x:v>
      </x:c>
      <x:c r="Y11" s="77" t="n">
        <x:f>Q11</x:f>
        <x:v>62</x:v>
      </x:c>
      <x:c r="Z11" s="77" t="n">
        <x:f>MAX(0,100-R11)</x:f>
        <x:v>76</x:v>
      </x:c>
      <x:c r="AA11" s="77" t="n">
        <x:f>MIN(100,100*S11/'02 Stage Baselines'!J7)</x:f>
        <x:v>60</x:v>
      </x:c>
      <x:c r="AB11" s="77" t="n">
        <x:f>MIN('01 Inputs'!$C$29,T11*'01 Inputs'!$B$14+U11*'01 Inputs'!$B$15+V11*'01 Inputs'!$B$16+W11*'01 Inputs'!$B$17+X11*'01 Inputs'!$B$18+Y11*'01 Inputs'!$B$19+Z11*'01 Inputs'!$B$20+AA11*'01 Inputs'!$B$21)</x:f>
        <x:v>79.14323487188749</x:v>
      </x:c>
      <x:c r="AC11" s="77" t="str">
        <x:f>IF(AND(AB11&gt;='01 Inputs'!$B$10,K11&gt;='01 Inputs'!$B$42),"Yes","No")</x:f>
        <x:v>Yes</x:v>
      </x:c>
      <x:c r="AD11" s="77" t="n">
        <x:f>IF(AC11="Yes",AB11^'01 Inputs'!$B$8,0)</x:f>
        <x:v>41.08201415269276</x:v>
      </x:c>
      <x:c r="AE11" t="str">
        <x:v>Returns regularly but underuses capacity.</x:v>
      </x:c>
    </x:row>
    <x:row r="12">
      <x:c r="A12" t="str">
        <x:v>Growing</x:v>
      </x:c>
      <x:c r="B12" t="str">
        <x:v>Baseline</x:v>
      </x:c>
      <x:c r="C12" s="54" t="n">
        <x:v>1</x:v>
      </x:c>
      <x:c r="D12" s="54" t="n">
        <x:v>1</x:v>
      </x:c>
      <x:c r="E12" s="54" t="n">
        <x:v>1</x:v>
      </x:c>
      <x:c r="F12" s="54" t="n">
        <x:v>1</x:v>
      </x:c>
      <x:c r="G12" s="56" t="n">
        <x:v>0</x:v>
      </x:c>
      <x:c r="H12" s="52" t="n">
        <x:v>0</x:v>
      </x:c>
      <x:c r="I12" s="52" t="n">
        <x:v>0</x:v>
      </x:c>
      <x:c r="J12" s="52" t="n">
        <x:v>1</x:v>
      </x:c>
      <x:c r="K12" s="52" t="n">
        <x:v>6</x:v>
      </x:c>
      <x:c r="L12" s="38" t="n">
        <x:f>'02 Stage Baselines'!G7*C12</x:f>
        <x:v>568720.5416956</x:v>
      </x:c>
      <x:c r="M12" s="38" t="n">
        <x:f>'02 Stage Baselines'!F7*D12</x:f>
        <x:v>3414236.814835</x:v>
      </x:c>
      <x:c r="N12" s="38" t="n">
        <x:f>'02 Stage Baselines'!B7*E12</x:f>
        <x:v>26802.337416</x:v>
      </x:c>
      <x:c r="O12" s="38" t="n">
        <x:f>'02 Stage Baselines'!I7*F12</x:f>
        <x:v>1608.1402449599998</x:v>
      </x:c>
      <x:c r="P12" s="46" t="n">
        <x:f>MAX(0,MIN(1,'02 Stage Baselines'!C7+G12))</x:f>
        <x:v>0.5574877263</x:v>
      </x:c>
      <x:c r="Q12" s="76" t="n">
        <x:f>MAX(0,MIN(100,'02 Stage Baselines'!K7+H12))</x:f>
        <x:v>70</x:v>
      </x:c>
      <x:c r="R12" s="76" t="n">
        <x:f>MAX(0,MIN(100,'02 Stage Baselines'!L7+I12))</x:f>
        <x:v>14</x:v>
      </x:c>
      <x:c r="S12" s="38" t="n">
        <x:f>ROUND('02 Stage Baselines'!J7*J12,0)</x:f>
        <x:v>10</x:v>
      </x:c>
      <x:c r="T12" s="77" t="n">
        <x:f>MIN('01 Inputs'!$C$25,100*(L12/'02 Stage Baselines'!G7)^'01 Inputs'!$B$25)</x:f>
        <x:v>100</x:v>
      </x:c>
      <x:c r="U12" s="77" t="n">
        <x:f>MIN('01 Inputs'!$C$26,100*(M12/'02 Stage Baselines'!F7)^'01 Inputs'!$B$26)</x:f>
        <x:v>100</x:v>
      </x:c>
      <x:c r="V12" s="77" t="n">
        <x:f>MIN('01 Inputs'!$C$27,100*(N12/'02 Stage Baselines'!B7)^'01 Inputs'!$B$27)</x:f>
        <x:v>100</x:v>
      </x:c>
      <x:c r="W12" s="77" t="n">
        <x:f>MIN('01 Inputs'!$C$28,100*(O12/'02 Stage Baselines'!I7)^'01 Inputs'!$B$28)</x:f>
        <x:v>100</x:v>
      </x:c>
      <x:c r="X12" s="77" t="n">
        <x:f>IF(P12&lt;0.45,P12/0.45*75,IF(P12&lt;0.8,75+(P12-0.45)/0.35*25,IF(P12&lt;=0.9,100,IF(P12&lt;=0.95,100-(P12-0.9)/0.05*10,MAX(60,90-(P12-0.95)/0.05*30)))))</x:f>
        <x:v>82.67769473571428</x:v>
      </x:c>
      <x:c r="Y12" s="77" t="n">
        <x:f>Q12</x:f>
        <x:v>70</x:v>
      </x:c>
      <x:c r="Z12" s="77" t="n">
        <x:f>MAX(0,100-R12)</x:f>
        <x:v>86</x:v>
      </x:c>
      <x:c r="AA12" s="77" t="n">
        <x:f>MIN(100,100*S12/'02 Stage Baselines'!J7)</x:f>
        <x:v>100</x:v>
      </x:c>
      <x:c r="AB12" s="77" t="n">
        <x:f>MIN('01 Inputs'!$C$29,T12*'01 Inputs'!$B$14+U12*'01 Inputs'!$B$15+V12*'01 Inputs'!$B$16+W12*'01 Inputs'!$B$17+X12*'01 Inputs'!$B$18+Y12*'01 Inputs'!$B$19+Z12*'01 Inputs'!$B$20+AA12*'01 Inputs'!$B$21)</x:f>
        <x:v>96.06776947357143</x:v>
      </x:c>
      <x:c r="AC12" s="77" t="str">
        <x:f>IF(AND(AB12&gt;='01 Inputs'!$B$10,K12&gt;='01 Inputs'!$B$42),"Yes","No")</x:f>
        <x:v>Yes</x:v>
      </x:c>
      <x:c r="AD12" s="77" t="n">
        <x:f>IF(AC12="Yes",AB12^'01 Inputs'!$B$8,0)</x:f>
        <x:v>48.43854074672282</x:v>
      </x:c>
      <x:c r="AE12" t="str">
        <x:v>Representative healthy player.</x:v>
      </x:c>
    </x:row>
    <x:row r="13">
      <x:c r="A13" t="str">
        <x:v>Growing</x:v>
      </x:c>
      <x:c r="B13" t="str">
        <x:v>High Performer</x:v>
      </x:c>
      <x:c r="C13" s="54" t="n">
        <x:v>1.45</x:v>
      </x:c>
      <x:c r="D13" s="54" t="n">
        <x:v>1.35</x:v>
      </x:c>
      <x:c r="E13" s="54" t="n">
        <x:v>1.2</x:v>
      </x:c>
      <x:c r="F13" s="54" t="n">
        <x:v>1.4</x:v>
      </x:c>
      <x:c r="G13" s="56" t="n">
        <x:v>0.05</x:v>
      </x:c>
      <x:c r="H13" s="52" t="n">
        <x:v>5</x:v>
      </x:c>
      <x:c r="I13" s="52" t="n">
        <x:v>-5</x:v>
      </x:c>
      <x:c r="J13" s="52" t="n">
        <x:v>1.15</x:v>
      </x:c>
      <x:c r="K13" s="52" t="n">
        <x:v>7</x:v>
      </x:c>
      <x:c r="L13" s="38" t="n">
        <x:f>'02 Stage Baselines'!G7*C13</x:f>
        <x:v>824644.78545862</x:v>
      </x:c>
      <x:c r="M13" s="38" t="n">
        <x:f>'02 Stage Baselines'!F7*D13</x:f>
        <x:v>4609219.70002725</x:v>
      </x:c>
      <x:c r="N13" s="38" t="n">
        <x:f>'02 Stage Baselines'!B7*E13</x:f>
        <x:v>32162.804899199997</x:v>
      </x:c>
      <x:c r="O13" s="38" t="n">
        <x:f>'02 Stage Baselines'!I7*F13</x:f>
        <x:v>2251.3963429439996</x:v>
      </x:c>
      <x:c r="P13" s="46" t="n">
        <x:f>MAX(0,MIN(1,'02 Stage Baselines'!C7+G13))</x:f>
        <x:v>0.6074877263</x:v>
      </x:c>
      <x:c r="Q13" s="76" t="n">
        <x:f>MAX(0,MIN(100,'02 Stage Baselines'!K7+H13))</x:f>
        <x:v>75</x:v>
      </x:c>
      <x:c r="R13" s="76" t="n">
        <x:f>MAX(0,MIN(100,'02 Stage Baselines'!L7+I13))</x:f>
        <x:v>9</x:v>
      </x:c>
      <x:c r="S13" s="38" t="n">
        <x:f>ROUND('02 Stage Baselines'!J7*J13,0)</x:f>
        <x:v>12</x:v>
      </x:c>
      <x:c r="T13" s="77" t="n">
        <x:f>MIN('01 Inputs'!$C$25,100*(L13/'02 Stage Baselines'!G7)^'01 Inputs'!$B$25)</x:f>
        <x:v>122.67396463350175</x:v>
      </x:c>
      <x:c r="U13" s="77" t="n">
        <x:f>MIN('01 Inputs'!$C$26,100*(M13/'02 Stage Baselines'!F7)^'01 Inputs'!$B$26)</x:f>
        <x:v>116.1895003862225</x:v>
      </x:c>
      <x:c r="V13" s="77" t="n">
        <x:f>MIN('01 Inputs'!$C$27,100*(N13/'02 Stage Baselines'!B7)^'01 Inputs'!$B$27)</x:f>
        <x:v>109.54451150103321</x:v>
      </x:c>
      <x:c r="W13" s="77" t="n">
        <x:f>MIN('01 Inputs'!$C$28,100*(O13/'02 Stage Baselines'!I7)^'01 Inputs'!$B$28)</x:f>
        <x:v>114.4066355858723</x:v>
      </x:c>
      <x:c r="X13" s="77" t="n">
        <x:f>IF(P13&lt;0.45,P13/0.45*75,IF(P13&lt;0.8,75+(P13-0.45)/0.35*25,IF(P13&lt;=0.9,100,IF(P13&lt;=0.95,100-(P13-0.9)/0.05*10,MAX(60,90-(P13-0.95)/0.05*30)))))</x:f>
        <x:v>86.24912330714287</x:v>
      </x:c>
      <x:c r="Y13" s="77" t="n">
        <x:f>Q13</x:f>
        <x:v>75</x:v>
      </x:c>
      <x:c r="Z13" s="77" t="n">
        <x:f>MAX(0,100-R13)</x:f>
        <x:v>91</x:v>
      </x:c>
      <x:c r="AA13" s="77" t="n">
        <x:f>MIN(100,100*S13/'02 Stage Baselines'!J7)</x:f>
        <x:v>100</x:v>
      </x:c>
      <x:c r="AB13" s="77" t="n">
        <x:f>MIN('01 Inputs'!$C$29,T13*'01 Inputs'!$B$14+U13*'01 Inputs'!$B$15+V13*'01 Inputs'!$B$16+W13*'01 Inputs'!$B$17+X13*'01 Inputs'!$B$18+Y13*'01 Inputs'!$B$19+Z13*'01 Inputs'!$B$20+AA13*'01 Inputs'!$B$21)</x:f>
        <x:v>109.83734208175152</x:v>
      </x:c>
      <x:c r="AC13" s="77" t="str">
        <x:f>IF(AND(AB13&gt;='01 Inputs'!$B$10,K13&gt;='01 Inputs'!$B$42),"Yes","No")</x:f>
        <x:v>Yes</x:v>
      </x:c>
      <x:c r="AD13" s="77" t="n">
        <x:f>IF(AC13="Yes",AB13^'01 Inputs'!$B$8,0)</x:f>
        <x:v>54.279709258013604</x:v>
      </x:c>
      <x:c r="AE13" t="str">
        <x:v>Optimized active player; diminishing returns apply.</x:v>
      </x:c>
    </x:row>
    <x:row r="14">
      <x:c r="A14" t="str">
        <x:v>Established</x:v>
      </x:c>
      <x:c r="B14" t="str">
        <x:v>Casual</x:v>
      </x:c>
      <x:c r="C14" s="54" t="n">
        <x:v>0.65</x:v>
      </x:c>
      <x:c r="D14" s="54" t="n">
        <x:v>0.7</x:v>
      </x:c>
      <x:c r="E14" s="54" t="n">
        <x:v>0.75</x:v>
      </x:c>
      <x:c r="F14" s="54" t="n">
        <x:v>0.6</x:v>
      </x:c>
      <x:c r="G14" s="56" t="n">
        <x:v>-0.08</x:v>
      </x:c>
      <x:c r="H14" s="52" t="n">
        <x:v>-8</x:v>
      </x:c>
      <x:c r="I14" s="52" t="n">
        <x:v>10</x:v>
      </x:c>
      <x:c r="J14" s="52" t="n">
        <x:v>0.6</x:v>
      </x:c>
      <x:c r="K14" s="52" t="n">
        <x:v>4</x:v>
      </x:c>
      <x:c r="L14" s="38" t="n">
        <x:f>'02 Stage Baselines'!G8*C14</x:f>
        <x:v>2494146.1753344503</x:v>
      </x:c>
      <x:c r="M14" s="38" t="n">
        <x:f>'02 Stage Baselines'!F8*D14</x:f>
        <x:v>19949113.126319997</x:v>
      </x:c>
      <x:c r="N14" s="38" t="n">
        <x:f>'02 Stage Baselines'!B8*E14</x:f>
        <x:v>119180.36994825001</x:v>
      </x:c>
      <x:c r="O14" s="38" t="n">
        <x:f>'02 Stage Baselines'!I8*F14</x:f>
        <x:v>3337.0503585510005</x:v>
      </x:c>
      <x:c r="P14" s="46" t="n">
        <x:f>MAX(0,MIN(1,'02 Stage Baselines'!C8+G14))</x:f>
        <x:v>0.5004043287000001</x:v>
      </x:c>
      <x:c r="Q14" s="76" t="n">
        <x:f>MAX(0,MIN(100,'02 Stage Baselines'!K8+H14))</x:f>
        <x:v>70</x:v>
      </x:c>
      <x:c r="R14" s="76" t="n">
        <x:f>MAX(0,MIN(100,'02 Stage Baselines'!L8+I14))</x:f>
        <x:v>26</x:v>
      </x:c>
      <x:c r="S14" s="38" t="n">
        <x:f>ROUND('02 Stage Baselines'!J8*J14,0)</x:f>
        <x:v>7</x:v>
      </x:c>
      <x:c r="T14" s="77" t="n">
        <x:f>MIN('01 Inputs'!$C$25,100*(L14/'02 Stage Baselines'!G8)^'01 Inputs'!$B$25)</x:f>
        <x:v>78.90460428745773</x:v>
      </x:c>
      <x:c r="U14" s="77" t="n">
        <x:f>MIN('01 Inputs'!$C$26,100*(M14/'02 Stage Baselines'!F8)^'01 Inputs'!$B$26)</x:f>
        <x:v>83.66600265340756</x:v>
      </x:c>
      <x:c r="V14" s="77" t="n">
        <x:f>MIN('01 Inputs'!$C$27,100*(N14/'02 Stage Baselines'!B8)^'01 Inputs'!$B$27)</x:f>
        <x:v>86.60254037844386</x:v>
      </x:c>
      <x:c r="W14" s="77" t="n">
        <x:f>MIN('01 Inputs'!$C$28,100*(O14/'02 Stage Baselines'!I8)^'01 Inputs'!$B$28)</x:f>
        <x:v>81.51931096059228</x:v>
      </x:c>
      <x:c r="X14" s="77" t="n">
        <x:f>IF(P14&lt;0.45,P14/0.45*75,IF(P14&lt;0.8,75+(P14-0.45)/0.35*25,IF(P14&lt;=0.9,100,IF(P14&lt;=0.95,100-(P14-0.9)/0.05*10,MAX(60,90-(P14-0.95)/0.05*30)))))</x:f>
        <x:v>78.60030919285715</x:v>
      </x:c>
      <x:c r="Y14" s="77" t="n">
        <x:f>Q14</x:f>
        <x:v>70</x:v>
      </x:c>
      <x:c r="Z14" s="77" t="n">
        <x:f>MAX(0,100-R14)</x:f>
        <x:v>74</x:v>
      </x:c>
      <x:c r="AA14" s="77" t="n">
        <x:f>MIN(100,100*S14/'02 Stage Baselines'!J8)</x:f>
        <x:v>58.333333333333336</x:v>
      </x:c>
      <x:c r="AB14" s="77" t="n">
        <x:f>MIN('01 Inputs'!$C$29,T14*'01 Inputs'!$B$14+U14*'01 Inputs'!$B$15+V14*'01 Inputs'!$B$16+W14*'01 Inputs'!$B$17+X14*'01 Inputs'!$B$18+Y14*'01 Inputs'!$B$19+Z14*'01 Inputs'!$B$20+AA14*'01 Inputs'!$B$21)</x:f>
        <x:v>79.52359155569702</x:v>
      </x:c>
      <x:c r="AC14" s="77" t="str">
        <x:f>IF(AND(AB14&gt;='01 Inputs'!$B$10,K14&gt;='01 Inputs'!$B$42),"Yes","No")</x:f>
        <x:v>Yes</x:v>
      </x:c>
      <x:c r="AD14" s="77" t="n">
        <x:f>IF(AC14="Yes",AB14^'01 Inputs'!$B$8,0)</x:f>
        <x:v>41.249775393184265</x:v>
      </x:c>
      <x:c r="AE14" t="str">
        <x:v>Returns regularly but underuses capacity.</x:v>
      </x:c>
    </x:row>
    <x:row r="15">
      <x:c r="A15" t="str">
        <x:v>Established</x:v>
      </x:c>
      <x:c r="B15" t="str">
        <x:v>Baseline</x:v>
      </x:c>
      <x:c r="C15" s="54" t="n">
        <x:v>1</x:v>
      </x:c>
      <x:c r="D15" s="54" t="n">
        <x:v>1</x:v>
      </x:c>
      <x:c r="E15" s="54" t="n">
        <x:v>1</x:v>
      </x:c>
      <x:c r="F15" s="54" t="n">
        <x:v>1</x:v>
      </x:c>
      <x:c r="G15" s="56" t="n">
        <x:v>0</x:v>
      </x:c>
      <x:c r="H15" s="52" t="n">
        <x:v>0</x:v>
      </x:c>
      <x:c r="I15" s="52" t="n">
        <x:v>0</x:v>
      </x:c>
      <x:c r="J15" s="52" t="n">
        <x:v>1</x:v>
      </x:c>
      <x:c r="K15" s="52" t="n">
        <x:v>6</x:v>
      </x:c>
      <x:c r="L15" s="38" t="n">
        <x:f>'02 Stage Baselines'!G8*C15</x:f>
        <x:v>3837147.9620530005</x:v>
      </x:c>
      <x:c r="M15" s="38" t="n">
        <x:f>'02 Stage Baselines'!F8*D15</x:f>
        <x:v>28498733.0376</x:v>
      </x:c>
      <x:c r="N15" s="38" t="n">
        <x:f>'02 Stage Baselines'!B8*E15</x:f>
        <x:v>158907.159931</x:v>
      </x:c>
      <x:c r="O15" s="38" t="n">
        <x:f>'02 Stage Baselines'!I8*F15</x:f>
        <x:v>5561.750597585001</x:v>
      </x:c>
      <x:c r="P15" s="46" t="n">
        <x:f>MAX(0,MIN(1,'02 Stage Baselines'!C8+G15))</x:f>
        <x:v>0.5804043287</x:v>
      </x:c>
      <x:c r="Q15" s="76" t="n">
        <x:f>MAX(0,MIN(100,'02 Stage Baselines'!K8+H15))</x:f>
        <x:v>78</x:v>
      </x:c>
      <x:c r="R15" s="76" t="n">
        <x:f>MAX(0,MIN(100,'02 Stage Baselines'!L8+I15))</x:f>
        <x:v>16</x:v>
      </x:c>
      <x:c r="S15" s="38" t="n">
        <x:f>ROUND('02 Stage Baselines'!J8*J15,0)</x:f>
        <x:v>12</x:v>
      </x:c>
      <x:c r="T15" s="77" t="n">
        <x:f>MIN('01 Inputs'!$C$25,100*(L15/'02 Stage Baselines'!G8)^'01 Inputs'!$B$25)</x:f>
        <x:v>100</x:v>
      </x:c>
      <x:c r="U15" s="77" t="n">
        <x:f>MIN('01 Inputs'!$C$26,100*(M15/'02 Stage Baselines'!F8)^'01 Inputs'!$B$26)</x:f>
        <x:v>100</x:v>
      </x:c>
      <x:c r="V15" s="77" t="n">
        <x:f>MIN('01 Inputs'!$C$27,100*(N15/'02 Stage Baselines'!B8)^'01 Inputs'!$B$27)</x:f>
        <x:v>100</x:v>
      </x:c>
      <x:c r="W15" s="77" t="n">
        <x:f>MIN('01 Inputs'!$C$28,100*(O15/'02 Stage Baselines'!I8)^'01 Inputs'!$B$28)</x:f>
        <x:v>100</x:v>
      </x:c>
      <x:c r="X15" s="77" t="n">
        <x:f>IF(P15&lt;0.45,P15/0.45*75,IF(P15&lt;0.8,75+(P15-0.45)/0.35*25,IF(P15&lt;=0.9,100,IF(P15&lt;=0.95,100-(P15-0.9)/0.05*10,MAX(60,90-(P15-0.95)/0.05*30)))))</x:f>
        <x:v>84.31459490714286</x:v>
      </x:c>
      <x:c r="Y15" s="77" t="n">
        <x:f>Q15</x:f>
        <x:v>78</x:v>
      </x:c>
      <x:c r="Z15" s="77" t="n">
        <x:f>MAX(0,100-R15)</x:f>
        <x:v>84</x:v>
      </x:c>
      <x:c r="AA15" s="77" t="n">
        <x:f>MIN(100,100*S15/'02 Stage Baselines'!J8)</x:f>
        <x:v>100</x:v>
      </x:c>
      <x:c r="AB15" s="77" t="n">
        <x:f>MIN('01 Inputs'!$C$29,T15*'01 Inputs'!$B$14+U15*'01 Inputs'!$B$15+V15*'01 Inputs'!$B$16+W15*'01 Inputs'!$B$17+X15*'01 Inputs'!$B$18+Y15*'01 Inputs'!$B$19+Z15*'01 Inputs'!$B$20+AA15*'01 Inputs'!$B$21)</x:f>
        <x:v>96.5314594907143</x:v>
      </x:c>
      <x:c r="AC15" s="77" t="str">
        <x:f>IF(AND(AB15&gt;='01 Inputs'!$B$10,K15&gt;='01 Inputs'!$B$42),"Yes","No")</x:f>
        <x:v>Yes</x:v>
      </x:c>
      <x:c r="AD15" s="77" t="n">
        <x:f>IF(AC15="Yes",AB15^'01 Inputs'!$B$8,0)</x:f>
        <x:v>48.637197375789384</x:v>
      </x:c>
      <x:c r="AE15" t="str">
        <x:v>Representative healthy player.</x:v>
      </x:c>
    </x:row>
    <x:row r="16">
      <x:c r="A16" t="str">
        <x:v>Established</x:v>
      </x:c>
      <x:c r="B16" t="str">
        <x:v>High Performer</x:v>
      </x:c>
      <x:c r="C16" s="54" t="n">
        <x:v>1.45</x:v>
      </x:c>
      <x:c r="D16" s="54" t="n">
        <x:v>1.35</x:v>
      </x:c>
      <x:c r="E16" s="54" t="n">
        <x:v>1.2</x:v>
      </x:c>
      <x:c r="F16" s="54" t="n">
        <x:v>1.4</x:v>
      </x:c>
      <x:c r="G16" s="56" t="n">
        <x:v>0.05</x:v>
      </x:c>
      <x:c r="H16" s="52" t="n">
        <x:v>5</x:v>
      </x:c>
      <x:c r="I16" s="52" t="n">
        <x:v>-5</x:v>
      </x:c>
      <x:c r="J16" s="52" t="n">
        <x:v>1.15</x:v>
      </x:c>
      <x:c r="K16" s="52" t="n">
        <x:v>7</x:v>
      </x:c>
      <x:c r="L16" s="38" t="n">
        <x:f>'02 Stage Baselines'!G8*C16</x:f>
        <x:v>5563864.54497685</x:v>
      </x:c>
      <x:c r="M16" s="38" t="n">
        <x:f>'02 Stage Baselines'!F8*D16</x:f>
        <x:v>38473289.600760005</x:v>
      </x:c>
      <x:c r="N16" s="38" t="n">
        <x:f>'02 Stage Baselines'!B8*E16</x:f>
        <x:v>190688.59191719998</x:v>
      </x:c>
      <x:c r="O16" s="38" t="n">
        <x:f>'02 Stage Baselines'!I8*F16</x:f>
        <x:v>7786.450836619</x:v>
      </x:c>
      <x:c r="P16" s="46" t="n">
        <x:f>MAX(0,MIN(1,'02 Stage Baselines'!C8+G16))</x:f>
        <x:v>0.6304043287000001</x:v>
      </x:c>
      <x:c r="Q16" s="76" t="n">
        <x:f>MAX(0,MIN(100,'02 Stage Baselines'!K8+H16))</x:f>
        <x:v>83</x:v>
      </x:c>
      <x:c r="R16" s="76" t="n">
        <x:f>MAX(0,MIN(100,'02 Stage Baselines'!L8+I16))</x:f>
        <x:v>11</x:v>
      </x:c>
      <x:c r="S16" s="38" t="n">
        <x:f>ROUND('02 Stage Baselines'!J8*J16,0)</x:f>
        <x:v>14</x:v>
      </x:c>
      <x:c r="T16" s="77" t="n">
        <x:f>MIN('01 Inputs'!$C$25,100*(L16/'02 Stage Baselines'!G8)^'01 Inputs'!$B$25)</x:f>
        <x:v>122.67396463350173</x:v>
      </x:c>
      <x:c r="U16" s="77" t="n">
        <x:f>MIN('01 Inputs'!$C$26,100*(M16/'02 Stage Baselines'!F8)^'01 Inputs'!$B$26)</x:f>
        <x:v>116.1895003862225</x:v>
      </x:c>
      <x:c r="V16" s="77" t="n">
        <x:f>MIN('01 Inputs'!$C$27,100*(N16/'02 Stage Baselines'!B8)^'01 Inputs'!$B$27)</x:f>
        <x:v>109.54451150103321</x:v>
      </x:c>
      <x:c r="W16" s="77" t="n">
        <x:f>MIN('01 Inputs'!$C$28,100*(O16/'02 Stage Baselines'!I8)^'01 Inputs'!$B$28)</x:f>
        <x:v>114.4066355858723</x:v>
      </x:c>
      <x:c r="X16" s="77" t="n">
        <x:f>IF(P16&lt;0.45,P16/0.45*75,IF(P16&lt;0.8,75+(P16-0.45)/0.35*25,IF(P16&lt;=0.9,100,IF(P16&lt;=0.95,100-(P16-0.9)/0.05*10,MAX(60,90-(P16-0.95)/0.05*30)))))</x:f>
        <x:v>87.88602347857143</x:v>
      </x:c>
      <x:c r="Y16" s="77" t="n">
        <x:f>Q16</x:f>
        <x:v>83</x:v>
      </x:c>
      <x:c r="Z16" s="77" t="n">
        <x:f>MAX(0,100-R16)</x:f>
        <x:v>89</x:v>
      </x:c>
      <x:c r="AA16" s="77" t="n">
        <x:f>MIN(100,100*S16/'02 Stage Baselines'!J8)</x:f>
        <x:v>100</x:v>
      </x:c>
      <x:c r="AB16" s="77" t="n">
        <x:f>MIN('01 Inputs'!$C$29,T16*'01 Inputs'!$B$14+U16*'01 Inputs'!$B$15+V16*'01 Inputs'!$B$16+W16*'01 Inputs'!$B$17+X16*'01 Inputs'!$B$18+Y16*'01 Inputs'!$B$19+Z16*'01 Inputs'!$B$20+AA16*'01 Inputs'!$B$21)</x:f>
        <x:v>110.3010320988944</x:v>
      </x:c>
      <x:c r="AC16" s="77" t="str">
        <x:f>IF(AND(AB16&gt;='01 Inputs'!$B$10,K16&gt;='01 Inputs'!$B$42),"Yes","No")</x:f>
        <x:v>Yes</x:v>
      </x:c>
      <x:c r="AD16" s="77" t="n">
        <x:f>IF(AC16="Yes",AB16^'01 Inputs'!$B$8,0)</x:f>
        <x:v>54.474423116650314</x:v>
      </x:c>
      <x:c r="AE16" t="str">
        <x:v>Optimized active player; diminishing returns apply.</x:v>
      </x:c>
    </x:row>
    <x:row r="17">
      <x:c r="A17" t="str">
        <x:v>Elite</x:v>
      </x:c>
      <x:c r="B17" t="str">
        <x:v>Casual</x:v>
      </x:c>
      <x:c r="C17" s="54" t="n">
        <x:v>0.65</x:v>
      </x:c>
      <x:c r="D17" s="54" t="n">
        <x:v>0.7</x:v>
      </x:c>
      <x:c r="E17" s="54" t="n">
        <x:v>0.75</x:v>
      </x:c>
      <x:c r="F17" s="54" t="n">
        <x:v>0.6</x:v>
      </x:c>
      <x:c r="G17" s="56" t="n">
        <x:v>-0.08</x:v>
      </x:c>
      <x:c r="H17" s="52" t="n">
        <x:v>-8</x:v>
      </x:c>
      <x:c r="I17" s="52" t="n">
        <x:v>10</x:v>
      </x:c>
      <x:c r="J17" s="52" t="n">
        <x:v>0.6</x:v>
      </x:c>
      <x:c r="K17" s="52" t="n">
        <x:v>4</x:v>
      </x:c>
      <x:c r="L17" s="38" t="n">
        <x:f>'02 Stage Baselines'!G9*C17</x:f>
        <x:v>8217727.785631</x:v>
      </x:c>
      <x:c r="M17" s="38" t="n">
        <x:f>'02 Stage Baselines'!F9*D17</x:f>
        <x:v>72482537.61006999</x:v>
      </x:c>
      <x:c r="N17" s="38" t="n">
        <x:f>'02 Stage Baselines'!B9*E17</x:f>
        <x:v>345792.13284750003</x:v>
      </x:c>
      <x:c r="O17" s="38" t="n">
        <x:f>'02 Stage Baselines'!I9*F17</x:f>
        <x:v>5532.67412556</x:v>
      </x:c>
      <x:c r="P17" s="46" t="n">
        <x:f>MAX(0,MIN(1,'02 Stage Baselines'!C9+G17))</x:f>
        <x:v>0.7636171527000001</x:v>
      </x:c>
      <x:c r="Q17" s="76" t="n">
        <x:f>MAX(0,MIN(100,'02 Stage Baselines'!K9+H17))</x:f>
        <x:v>78</x:v>
      </x:c>
      <x:c r="R17" s="76" t="n">
        <x:f>MAX(0,MIN(100,'02 Stage Baselines'!L9+I17))</x:f>
        <x:v>28</x:v>
      </x:c>
      <x:c r="S17" s="38" t="n">
        <x:f>ROUND('02 Stage Baselines'!J9*J17,0)</x:f>
        <x:v>8</x:v>
      </x:c>
      <x:c r="T17" s="77" t="n">
        <x:f>MIN('01 Inputs'!$C$25,100*(L17/'02 Stage Baselines'!G9)^'01 Inputs'!$B$25)</x:f>
        <x:v>78.90460428745773</x:v>
      </x:c>
      <x:c r="U17" s="77" t="n">
        <x:f>MIN('01 Inputs'!$C$26,100*(M17/'02 Stage Baselines'!F9)^'01 Inputs'!$B$26)</x:f>
        <x:v>83.66600265340756</x:v>
      </x:c>
      <x:c r="V17" s="77" t="n">
        <x:f>MIN('01 Inputs'!$C$27,100*(N17/'02 Stage Baselines'!B9)^'01 Inputs'!$B$27)</x:f>
        <x:v>86.60254037844386</x:v>
      </x:c>
      <x:c r="W17" s="77" t="n">
        <x:f>MIN('01 Inputs'!$C$28,100*(O17/'02 Stage Baselines'!I9)^'01 Inputs'!$B$28)</x:f>
        <x:v>81.51931096059228</x:v>
      </x:c>
      <x:c r="X17" s="77" t="n">
        <x:f>IF(P17&lt;0.45,P17/0.45*75,IF(P17&lt;0.8,75+(P17-0.45)/0.35*25,IF(P17&lt;=0.9,100,IF(P17&lt;=0.95,100-(P17-0.9)/0.05*10,MAX(60,90-(P17-0.95)/0.05*30)))))</x:f>
        <x:v>97.40122519285715</x:v>
      </x:c>
      <x:c r="Y17" s="77" t="n">
        <x:f>Q17</x:f>
        <x:v>78</x:v>
      </x:c>
      <x:c r="Z17" s="77" t="n">
        <x:f>MAX(0,100-R17)</x:f>
        <x:v>72</x:v>
      </x:c>
      <x:c r="AA17" s="77" t="n">
        <x:f>MIN(100,100*S17/'02 Stage Baselines'!J9)</x:f>
        <x:v>57.142857142857146</x:v>
      </x:c>
      <x:c r="AB17" s="77" t="n">
        <x:f>MIN('01 Inputs'!$C$29,T17*'01 Inputs'!$B$14+U17*'01 Inputs'!$B$15+V17*'01 Inputs'!$B$16+W17*'01 Inputs'!$B$17+X17*'01 Inputs'!$B$18+Y17*'01 Inputs'!$B$19+Z17*'01 Inputs'!$B$20+AA17*'01 Inputs'!$B$21)</x:f>
        <x:v>81.64415934617321</x:v>
      </x:c>
      <x:c r="AC17" s="77" t="str">
        <x:f>IF(AND(AB17&gt;='01 Inputs'!$B$10,K17&gt;='01 Inputs'!$B$42),"Yes","No")</x:f>
        <x:v>Yes</x:v>
      </x:c>
      <x:c r="AD17" s="77" t="n">
        <x:f>IF(AC17="Yes",AB17^'01 Inputs'!$B$8,0)</x:f>
        <x:v>42.182892229535064</x:v>
      </x:c>
      <x:c r="AE17" t="str">
        <x:v>Returns regularly but underuses capacity.</x:v>
      </x:c>
    </x:row>
    <x:row r="18">
      <x:c r="A18" t="str">
        <x:v>Elite</x:v>
      </x:c>
      <x:c r="B18" t="str">
        <x:v>Baseline</x:v>
      </x:c>
      <x:c r="C18" s="54" t="n">
        <x:v>1</x:v>
      </x:c>
      <x:c r="D18" s="54" t="n">
        <x:v>1</x:v>
      </x:c>
      <x:c r="E18" s="54" t="n">
        <x:v>1</x:v>
      </x:c>
      <x:c r="F18" s="54" t="n">
        <x:v>1</x:v>
      </x:c>
      <x:c r="G18" s="56" t="n">
        <x:v>0</x:v>
      </x:c>
      <x:c r="H18" s="52" t="n">
        <x:v>0</x:v>
      </x:c>
      <x:c r="I18" s="52" t="n">
        <x:v>0</x:v>
      </x:c>
      <x:c r="J18" s="52" t="n">
        <x:v>1</x:v>
      </x:c>
      <x:c r="K18" s="52" t="n">
        <x:v>6</x:v>
      </x:c>
      <x:c r="L18" s="38" t="n">
        <x:f>'02 Stage Baselines'!G9*C18</x:f>
        <x:v>12642658.13174</x:v>
      </x:c>
      <x:c r="M18" s="38" t="n">
        <x:f>'02 Stage Baselines'!F9*D18</x:f>
        <x:v>103546482.3001</x:v>
      </x:c>
      <x:c r="N18" s="38" t="n">
        <x:f>'02 Stage Baselines'!B9*E18</x:f>
        <x:v>461056.17713</x:v>
      </x:c>
      <x:c r="O18" s="38" t="n">
        <x:f>'02 Stage Baselines'!I9*F18</x:f>
        <x:v>9221.1235426</x:v>
      </x:c>
      <x:c r="P18" s="46" t="n">
        <x:f>MAX(0,MIN(1,'02 Stage Baselines'!C9+G18))</x:f>
        <x:v>0.8436171527</x:v>
      </x:c>
      <x:c r="Q18" s="76" t="n">
        <x:f>MAX(0,MIN(100,'02 Stage Baselines'!K9+H18))</x:f>
        <x:v>86</x:v>
      </x:c>
      <x:c r="R18" s="76" t="n">
        <x:f>MAX(0,MIN(100,'02 Stage Baselines'!L9+I18))</x:f>
        <x:v>18</x:v>
      </x:c>
      <x:c r="S18" s="38" t="n">
        <x:f>ROUND('02 Stage Baselines'!J9*J18,0)</x:f>
        <x:v>14</x:v>
      </x:c>
      <x:c r="T18" s="77" t="n">
        <x:f>MIN('01 Inputs'!$C$25,100*(L18/'02 Stage Baselines'!G9)^'01 Inputs'!$B$25)</x:f>
        <x:v>100</x:v>
      </x:c>
      <x:c r="U18" s="77" t="n">
        <x:f>MIN('01 Inputs'!$C$26,100*(M18/'02 Stage Baselines'!F9)^'01 Inputs'!$B$26)</x:f>
        <x:v>100</x:v>
      </x:c>
      <x:c r="V18" s="77" t="n">
        <x:f>MIN('01 Inputs'!$C$27,100*(N18/'02 Stage Baselines'!B9)^'01 Inputs'!$B$27)</x:f>
        <x:v>100</x:v>
      </x:c>
      <x:c r="W18" s="77" t="n">
        <x:f>MIN('01 Inputs'!$C$28,100*(O18/'02 Stage Baselines'!I9)^'01 Inputs'!$B$28)</x:f>
        <x:v>100</x:v>
      </x:c>
      <x:c r="X18" s="77" t="n">
        <x:f>IF(P18&lt;0.45,P18/0.45*75,IF(P18&lt;0.8,75+(P18-0.45)/0.35*25,IF(P18&lt;=0.9,100,IF(P18&lt;=0.95,100-(P18-0.9)/0.05*10,MAX(60,90-(P18-0.95)/0.05*30)))))</x:f>
        <x:v>100</x:v>
      </x:c>
      <x:c r="Y18" s="77" t="n">
        <x:f>Q18</x:f>
        <x:v>86</x:v>
      </x:c>
      <x:c r="Z18" s="77" t="n">
        <x:f>MAX(0,100-R18)</x:f>
        <x:v>82</x:v>
      </x:c>
      <x:c r="AA18" s="77" t="n">
        <x:f>MIN(100,100*S18/'02 Stage Baselines'!J9)</x:f>
        <x:v>100</x:v>
      </x:c>
      <x:c r="AB18" s="77" t="n">
        <x:f>MIN('01 Inputs'!$C$29,T18*'01 Inputs'!$B$14+U18*'01 Inputs'!$B$15+V18*'01 Inputs'!$B$16+W18*'01 Inputs'!$B$17+X18*'01 Inputs'!$B$18+Y18*'01 Inputs'!$B$19+Z18*'01 Inputs'!$B$20+AA18*'01 Inputs'!$B$21)</x:f>
        <x:v>98.39999999999999</x:v>
      </x:c>
      <x:c r="AC18" s="77" t="str">
        <x:f>IF(AND(AB18&gt;='01 Inputs'!$B$10,K18&gt;='01 Inputs'!$B$42),"Yes","No")</x:f>
        <x:v>Yes</x:v>
      </x:c>
      <x:c r="AD18" s="77" t="n">
        <x:f>IF(AC18="Yes",AB18^'01 Inputs'!$B$8,0)</x:f>
        <x:v>49.43628572716188</x:v>
      </x:c>
      <x:c r="AE18" t="str">
        <x:v>Representative healthy player.</x:v>
      </x:c>
    </x:row>
    <x:row r="19">
      <x:c r="A19" t="str">
        <x:v>Elite</x:v>
      </x:c>
      <x:c r="B19" t="str">
        <x:v>High Performer</x:v>
      </x:c>
      <x:c r="C19" s="54" t="n">
        <x:v>1.45</x:v>
      </x:c>
      <x:c r="D19" s="54" t="n">
        <x:v>1.35</x:v>
      </x:c>
      <x:c r="E19" s="54" t="n">
        <x:v>1.2</x:v>
      </x:c>
      <x:c r="F19" s="54" t="n">
        <x:v>1.4</x:v>
      </x:c>
      <x:c r="G19" s="56" t="n">
        <x:v>0.05</x:v>
      </x:c>
      <x:c r="H19" s="52" t="n">
        <x:v>5</x:v>
      </x:c>
      <x:c r="I19" s="52" t="n">
        <x:v>-5</x:v>
      </x:c>
      <x:c r="J19" s="52" t="n">
        <x:v>1.15</x:v>
      </x:c>
      <x:c r="K19" s="52" t="n">
        <x:v>7</x:v>
      </x:c>
      <x:c r="L19" s="38" t="n">
        <x:f>'02 Stage Baselines'!G9*C19</x:f>
        <x:v>18331854.291023</x:v>
      </x:c>
      <x:c r="M19" s="38" t="n">
        <x:f>'02 Stage Baselines'!F9*D19</x:f>
        <x:v>139787751.105135</x:v>
      </x:c>
      <x:c r="N19" s="38" t="n">
        <x:f>'02 Stage Baselines'!B9*E19</x:f>
        <x:v>553267.412556</x:v>
      </x:c>
      <x:c r="O19" s="38" t="n">
        <x:f>'02 Stage Baselines'!I9*F19</x:f>
        <x:v>12909.57295964</x:v>
      </x:c>
      <x:c r="P19" s="46" t="n">
        <x:f>MAX(0,MIN(1,'02 Stage Baselines'!C9+G19))</x:f>
        <x:v>0.8936171527000001</x:v>
      </x:c>
      <x:c r="Q19" s="76" t="n">
        <x:f>MAX(0,MIN(100,'02 Stage Baselines'!K9+H19))</x:f>
        <x:v>91</x:v>
      </x:c>
      <x:c r="R19" s="76" t="n">
        <x:f>MAX(0,MIN(100,'02 Stage Baselines'!L9+I19))</x:f>
        <x:v>13</x:v>
      </x:c>
      <x:c r="S19" s="38" t="n">
        <x:f>ROUND('02 Stage Baselines'!J9*J19,0)</x:f>
        <x:v>16</x:v>
      </x:c>
      <x:c r="T19" s="77" t="n">
        <x:f>MIN('01 Inputs'!$C$25,100*(L19/'02 Stage Baselines'!G9)^'01 Inputs'!$B$25)</x:f>
        <x:v>122.67396463350175</x:v>
      </x:c>
      <x:c r="U19" s="77" t="n">
        <x:f>MIN('01 Inputs'!$C$26,100*(M19/'02 Stage Baselines'!F9)^'01 Inputs'!$B$26)</x:f>
        <x:v>116.1895003862225</x:v>
      </x:c>
      <x:c r="V19" s="77" t="n">
        <x:f>MIN('01 Inputs'!$C$27,100*(N19/'02 Stage Baselines'!B9)^'01 Inputs'!$B$27)</x:f>
        <x:v>109.54451150103321</x:v>
      </x:c>
      <x:c r="W19" s="77" t="n">
        <x:f>MIN('01 Inputs'!$C$28,100*(O19/'02 Stage Baselines'!I9)^'01 Inputs'!$B$28)</x:f>
        <x:v>114.4066355858723</x:v>
      </x:c>
      <x:c r="X19" s="77" t="n">
        <x:f>IF(P19&lt;0.45,P19/0.45*75,IF(P19&lt;0.8,75+(P19-0.45)/0.35*25,IF(P19&lt;=0.9,100,IF(P19&lt;=0.95,100-(P19-0.9)/0.05*10,MAX(60,90-(P19-0.95)/0.05*30)))))</x:f>
        <x:v>100</x:v>
      </x:c>
      <x:c r="Y19" s="77" t="n">
        <x:f>Q19</x:f>
        <x:v>91</x:v>
      </x:c>
      <x:c r="Z19" s="77" t="n">
        <x:f>MAX(0,100-R19)</x:f>
        <x:v>87</x:v>
      </x:c>
      <x:c r="AA19" s="77" t="n">
        <x:f>MIN(100,100*S19/'02 Stage Baselines'!J9)</x:f>
        <x:v>100</x:v>
      </x:c>
      <x:c r="AB19" s="77" t="n">
        <x:f>MIN('01 Inputs'!$C$29,T19*'01 Inputs'!$B$14+U19*'01 Inputs'!$B$15+V19*'01 Inputs'!$B$16+W19*'01 Inputs'!$B$17+X19*'01 Inputs'!$B$18+Y19*'01 Inputs'!$B$19+Z19*'01 Inputs'!$B$20+AA19*'01 Inputs'!$B$21)</x:f>
        <x:v>111.81242975103723</x:v>
      </x:c>
      <x:c r="AC19" s="77" t="str">
        <x:f>IF(AND(AB19&gt;='01 Inputs'!$B$10,K19&gt;='01 Inputs'!$B$42),"Yes","No")</x:f>
        <x:v>Yes</x:v>
      </x:c>
      <x:c r="AD19" s="77" t="n">
        <x:f>IF(AC19="Yes",AB19^'01 Inputs'!$B$8,0)</x:f>
        <x:v>55.108243956084024</x:v>
      </x:c>
      <x:c r="AE19" t="str">
        <x:v>Optimized active player; diminishing returns apply.</x:v>
      </x:c>
    </x:row>
    <x:row r="20">
      <x:c r="A20" t="str">
        <x:v>Tycoon</x:v>
      </x:c>
      <x:c r="B20" t="str">
        <x:v>Casual</x:v>
      </x:c>
      <x:c r="C20" s="54" t="n">
        <x:v>0.65</x:v>
      </x:c>
      <x:c r="D20" s="54" t="n">
        <x:v>0.7</x:v>
      </x:c>
      <x:c r="E20" s="54" t="n">
        <x:v>0.75</x:v>
      </x:c>
      <x:c r="F20" s="54" t="n">
        <x:v>0.6</x:v>
      </x:c>
      <x:c r="G20" s="56" t="n">
        <x:v>-0.08</x:v>
      </x:c>
      <x:c r="H20" s="52" t="n">
        <x:v>-8</x:v>
      </x:c>
      <x:c r="I20" s="52" t="n">
        <x:v>10</x:v>
      </x:c>
      <x:c r="J20" s="52" t="n">
        <x:v>0.6</x:v>
      </x:c>
      <x:c r="K20" s="52" t="n">
        <x:v>4</x:v>
      </x:c>
      <x:c r="L20" s="38" t="n">
        <x:f>'02 Stage Baselines'!G10*C20</x:f>
        <x:v>19755588.727056</x:v>
      </x:c>
      <x:c r="M20" s="38" t="n">
        <x:f>'02 Stage Baselines'!F10*D20</x:f>
        <x:v>224117245.90647</x:v>
      </x:c>
      <x:c r="N20" s="38" t="n">
        <x:f>'02 Stage Baselines'!B10*E20</x:f>
        <x:v>932325.5687775</x:v>
      </x:c>
      <x:c r="O20" s="38" t="n">
        <x:f>'02 Stage Baselines'!I10*F20</x:f>
        <x:v>7458.6045502199995</x:v>
      </x:c>
      <x:c r="P20" s="46" t="n">
        <x:f>MAX(0,MIN(1,'02 Stage Baselines'!C10+G20))</x:f>
        <x:v>0.8641570366000001</x:v>
      </x:c>
      <x:c r="Q20" s="76" t="n">
        <x:f>MAX(0,MIN(100,'02 Stage Baselines'!K10+H20))</x:f>
        <x:v>84</x:v>
      </x:c>
      <x:c r="R20" s="76" t="n">
        <x:f>MAX(0,MIN(100,'02 Stage Baselines'!L10+I20))</x:f>
        <x:v>30</x:v>
      </x:c>
      <x:c r="S20" s="38" t="n">
        <x:f>ROUND('02 Stage Baselines'!J10*J20,0)</x:f>
        <x:v>10</x:v>
      </x:c>
      <x:c r="T20" s="77" t="n">
        <x:f>MIN('01 Inputs'!$C$25,100*(L20/'02 Stage Baselines'!G10)^'01 Inputs'!$B$25)</x:f>
        <x:v>78.90460428745773</x:v>
      </x:c>
      <x:c r="U20" s="77" t="n">
        <x:f>MIN('01 Inputs'!$C$26,100*(M20/'02 Stage Baselines'!F10)^'01 Inputs'!$B$26)</x:f>
        <x:v>83.66600265340756</x:v>
      </x:c>
      <x:c r="V20" s="77" t="n">
        <x:f>MIN('01 Inputs'!$C$27,100*(N20/'02 Stage Baselines'!B10)^'01 Inputs'!$B$27)</x:f>
        <x:v>86.60254037844386</x:v>
      </x:c>
      <x:c r="W20" s="77" t="n">
        <x:f>MIN('01 Inputs'!$C$28,100*(O20/'02 Stage Baselines'!I10)^'01 Inputs'!$B$28)</x:f>
        <x:v>81.51931096059228</x:v>
      </x:c>
      <x:c r="X20" s="77" t="n">
        <x:f>IF(P20&lt;0.45,P20/0.45*75,IF(P20&lt;0.8,75+(P20-0.45)/0.35*25,IF(P20&lt;=0.9,100,IF(P20&lt;=0.95,100-(P20-0.9)/0.05*10,MAX(60,90-(P20-0.95)/0.05*30)))))</x:f>
        <x:v>100</x:v>
      </x:c>
      <x:c r="Y20" s="77" t="n">
        <x:f>Q20</x:f>
        <x:v>84</x:v>
      </x:c>
      <x:c r="Z20" s="77" t="n">
        <x:f>MAX(0,100-R20)</x:f>
        <x:v>70</x:v>
      </x:c>
      <x:c r="AA20" s="77" t="n">
        <x:f>MIN(100,100*S20/'02 Stage Baselines'!J10)</x:f>
        <x:v>62.5</x:v>
      </x:c>
      <x:c r="AB20" s="77" t="n">
        <x:f>MIN('01 Inputs'!$C$29,T20*'01 Inputs'!$B$14+U20*'01 Inputs'!$B$15+V20*'01 Inputs'!$B$16+W20*'01 Inputs'!$B$17+X20*'01 Inputs'!$B$18+Y20*'01 Inputs'!$B$19+Z20*'01 Inputs'!$B$20+AA20*'01 Inputs'!$B$21)</x:f>
        <x:v>82.37189396974465</x:v>
      </x:c>
      <x:c r="AC20" s="77" t="str">
        <x:f>IF(AND(AB20&gt;='01 Inputs'!$B$10,K20&gt;='01 Inputs'!$B$42),"Yes","No")</x:f>
        <x:v>Yes</x:v>
      </x:c>
      <x:c r="AD20" s="77" t="n">
        <x:f>IF(AC20="Yes",AB20^'01 Inputs'!$B$8,0)</x:f>
        <x:v>42.50227667037982</x:v>
      </x:c>
      <x:c r="AE20" t="str">
        <x:v>Returns regularly but underuses capacity.</x:v>
      </x:c>
    </x:row>
    <x:row r="21">
      <x:c r="A21" t="str">
        <x:v>Tycoon</x:v>
      </x:c>
      <x:c r="B21" t="str">
        <x:v>Baseline</x:v>
      </x:c>
      <x:c r="C21" s="54" t="n">
        <x:v>1</x:v>
      </x:c>
      <x:c r="D21" s="54" t="n">
        <x:v>1</x:v>
      </x:c>
      <x:c r="E21" s="54" t="n">
        <x:v>1</x:v>
      </x:c>
      <x:c r="F21" s="54" t="n">
        <x:v>1</x:v>
      </x:c>
      <x:c r="G21" s="56" t="n">
        <x:v>0</x:v>
      </x:c>
      <x:c r="H21" s="52" t="n">
        <x:v>0</x:v>
      </x:c>
      <x:c r="I21" s="52" t="n">
        <x:v>0</x:v>
      </x:c>
      <x:c r="J21" s="52" t="n">
        <x:v>1</x:v>
      </x:c>
      <x:c r="K21" s="52" t="n">
        <x:v>6</x:v>
      </x:c>
      <x:c r="L21" s="38" t="n">
        <x:f>'02 Stage Baselines'!G10*C21</x:f>
        <x:v>30393213.426239997</x:v>
      </x:c>
      <x:c r="M21" s="38" t="n">
        <x:f>'02 Stage Baselines'!F10*D21</x:f>
        <x:v>320167494.1521</x:v>
      </x:c>
      <x:c r="N21" s="38" t="n">
        <x:f>'02 Stage Baselines'!B10*E21</x:f>
        <x:v>1243100.75837</x:v>
      </x:c>
      <x:c r="O21" s="38" t="n">
        <x:f>'02 Stage Baselines'!I10*F21</x:f>
        <x:v>12431.0075837</x:v>
      </x:c>
      <x:c r="P21" s="46" t="n">
        <x:f>MAX(0,MIN(1,'02 Stage Baselines'!C10+G21))</x:f>
        <x:v>0.9441570366</x:v>
      </x:c>
      <x:c r="Q21" s="76" t="n">
        <x:f>MAX(0,MIN(100,'02 Stage Baselines'!K10+H21))</x:f>
        <x:v>92</x:v>
      </x:c>
      <x:c r="R21" s="76" t="n">
        <x:f>MAX(0,MIN(100,'02 Stage Baselines'!L10+I21))</x:f>
        <x:v>20</x:v>
      </x:c>
      <x:c r="S21" s="38" t="n">
        <x:f>ROUND('02 Stage Baselines'!J10*J21,0)</x:f>
        <x:v>16</x:v>
      </x:c>
      <x:c r="T21" s="77" t="n">
        <x:f>MIN('01 Inputs'!$C$25,100*(L21/'02 Stage Baselines'!G10)^'01 Inputs'!$B$25)</x:f>
        <x:v>100</x:v>
      </x:c>
      <x:c r="U21" s="77" t="n">
        <x:f>MIN('01 Inputs'!$C$26,100*(M21/'02 Stage Baselines'!F10)^'01 Inputs'!$B$26)</x:f>
        <x:v>100</x:v>
      </x:c>
      <x:c r="V21" s="77" t="n">
        <x:f>MIN('01 Inputs'!$C$27,100*(N21/'02 Stage Baselines'!B10)^'01 Inputs'!$B$27)</x:f>
        <x:v>100</x:v>
      </x:c>
      <x:c r="W21" s="77" t="n">
        <x:f>MIN('01 Inputs'!$C$28,100*(O21/'02 Stage Baselines'!I10)^'01 Inputs'!$B$28)</x:f>
        <x:v>100</x:v>
      </x:c>
      <x:c r="X21" s="77" t="n">
        <x:f>IF(P21&lt;0.45,P21/0.45*75,IF(P21&lt;0.8,75+(P21-0.45)/0.35*25,IF(P21&lt;=0.9,100,IF(P21&lt;=0.95,100-(P21-0.9)/0.05*10,MAX(60,90-(P21-0.95)/0.05*30)))))</x:f>
        <x:v>91.16859267999999</x:v>
      </x:c>
      <x:c r="Y21" s="77" t="n">
        <x:f>Q21</x:f>
        <x:v>92</x:v>
      </x:c>
      <x:c r="Z21" s="77" t="n">
        <x:f>MAX(0,100-R21)</x:f>
        <x:v>80</x:v>
      </x:c>
      <x:c r="AA21" s="77" t="n">
        <x:f>MIN(100,100*S21/'02 Stage Baselines'!J10)</x:f>
        <x:v>100</x:v>
      </x:c>
      <x:c r="AB21" s="77" t="n">
        <x:f>MIN('01 Inputs'!$C$29,T21*'01 Inputs'!$B$14+U21*'01 Inputs'!$B$15+V21*'01 Inputs'!$B$16+W21*'01 Inputs'!$B$17+X21*'01 Inputs'!$B$18+Y21*'01 Inputs'!$B$19+Z21*'01 Inputs'!$B$20+AA21*'01 Inputs'!$B$21)</x:f>
        <x:v>97.716859268</x:v>
      </x:c>
      <x:c r="AC21" s="77" t="str">
        <x:f>IF(AND(AB21&gt;='01 Inputs'!$B$10,K21&gt;='01 Inputs'!$B$42),"Yes","No")</x:f>
        <x:v>Yes</x:v>
      </x:c>
      <x:c r="AD21" s="77" t="n">
        <x:f>IF(AC21="Yes",AB21^'01 Inputs'!$B$8,0)</x:f>
        <x:v>49.14440426183007</x:v>
      </x:c>
      <x:c r="AE21" t="str">
        <x:v>Representative healthy player.</x:v>
      </x:c>
    </x:row>
    <x:row r="22">
      <x:c r="A22" t="str">
        <x:v>Tycoon</x:v>
      </x:c>
      <x:c r="B22" t="str">
        <x:v>High Performer</x:v>
      </x:c>
      <x:c r="C22" s="54" t="n">
        <x:v>1.45</x:v>
      </x:c>
      <x:c r="D22" s="54" t="n">
        <x:v>1.35</x:v>
      </x:c>
      <x:c r="E22" s="54" t="n">
        <x:v>1.2</x:v>
      </x:c>
      <x:c r="F22" s="54" t="n">
        <x:v>1.4</x:v>
      </x:c>
      <x:c r="G22" s="56" t="n">
        <x:v>0.05</x:v>
      </x:c>
      <x:c r="H22" s="52" t="n">
        <x:v>5</x:v>
      </x:c>
      <x:c r="I22" s="52" t="n">
        <x:v>-5</x:v>
      </x:c>
      <x:c r="J22" s="52" t="n">
        <x:v>1.15</x:v>
      </x:c>
      <x:c r="K22" s="52" t="n">
        <x:v>7</x:v>
      </x:c>
      <x:c r="L22" s="38" t="n">
        <x:f>'02 Stage Baselines'!G10*C22</x:f>
        <x:v>44070159.46804799</x:v>
      </x:c>
      <x:c r="M22" s="38" t="n">
        <x:f>'02 Stage Baselines'!F10*D22</x:f>
        <x:v>432226117.10533506</x:v>
      </x:c>
      <x:c r="N22" s="38" t="n">
        <x:f>'02 Stage Baselines'!B10*E22</x:f>
        <x:v>1491720.9100439998</x:v>
      </x:c>
      <x:c r="O22" s="38" t="n">
        <x:f>'02 Stage Baselines'!I10*F22</x:f>
        <x:v>17403.410617179998</x:v>
      </x:c>
      <x:c r="P22" s="46" t="n">
        <x:f>MAX(0,MIN(1,'02 Stage Baselines'!C10+G22))</x:f>
        <x:v>0.9941570366000001</x:v>
      </x:c>
      <x:c r="Q22" s="76" t="n">
        <x:f>MAX(0,MIN(100,'02 Stage Baselines'!K10+H22))</x:f>
        <x:v>97</x:v>
      </x:c>
      <x:c r="R22" s="76" t="n">
        <x:f>MAX(0,MIN(100,'02 Stage Baselines'!L10+I22))</x:f>
        <x:v>15</x:v>
      </x:c>
      <x:c r="S22" s="38" t="n">
        <x:f>ROUND('02 Stage Baselines'!J10*J22,0)</x:f>
        <x:v>18</x:v>
      </x:c>
      <x:c r="T22" s="77" t="n">
        <x:f>MIN('01 Inputs'!$C$25,100*(L22/'02 Stage Baselines'!G10)^'01 Inputs'!$B$25)</x:f>
        <x:v>122.67396463350175</x:v>
      </x:c>
      <x:c r="U22" s="77" t="n">
        <x:f>MIN('01 Inputs'!$C$26,100*(M22/'02 Stage Baselines'!F10)^'01 Inputs'!$B$26)</x:f>
        <x:v>116.1895003862225</x:v>
      </x:c>
      <x:c r="V22" s="77" t="n">
        <x:f>MIN('01 Inputs'!$C$27,100*(N22/'02 Stage Baselines'!B10)^'01 Inputs'!$B$27)</x:f>
        <x:v>109.54451150103321</x:v>
      </x:c>
      <x:c r="W22" s="77" t="n">
        <x:f>MIN('01 Inputs'!$C$28,100*(O22/'02 Stage Baselines'!I10)^'01 Inputs'!$B$28)</x:f>
        <x:v>114.4066355858723</x:v>
      </x:c>
      <x:c r="X22" s="77" t="n">
        <x:f>IF(P22&lt;0.45,P22/0.45*75,IF(P22&lt;0.8,75+(P22-0.45)/0.35*25,IF(P22&lt;=0.9,100,IF(P22&lt;=0.95,100-(P22-0.9)/0.05*10,MAX(60,90-(P22-0.95)/0.05*30)))))</x:f>
        <x:v>63.50577803999991</x:v>
      </x:c>
      <x:c r="Y22" s="77" t="n">
        <x:f>Q22</x:f>
        <x:v>97</x:v>
      </x:c>
      <x:c r="Z22" s="77" t="n">
        <x:f>MAX(0,100-R22)</x:f>
        <x:v>85</x:v>
      </x:c>
      <x:c r="AA22" s="77" t="n">
        <x:f>MIN(100,100*S22/'02 Stage Baselines'!J10)</x:f>
        <x:v>100</x:v>
      </x:c>
      <x:c r="AB22" s="77" t="n">
        <x:f>MIN('01 Inputs'!$C$29,T22*'01 Inputs'!$B$14+U22*'01 Inputs'!$B$15+V22*'01 Inputs'!$B$16+W22*'01 Inputs'!$B$17+X22*'01 Inputs'!$B$18+Y22*'01 Inputs'!$B$19+Z22*'01 Inputs'!$B$20+AA22*'01 Inputs'!$B$21)</x:f>
        <x:v>108.36300755503723</x:v>
      </x:c>
      <x:c r="AC22" s="77" t="str">
        <x:f>IF(AND(AB22&gt;='01 Inputs'!$B$10,K22&gt;='01 Inputs'!$B$42),"Yes","No")</x:f>
        <x:v>Yes</x:v>
      </x:c>
      <x:c r="AD22" s="77" t="n">
        <x:f>IF(AC22="Yes",AB22^'01 Inputs'!$B$8,0)</x:f>
        <x:v>53.65978059768173</x:v>
      </x:c>
      <x:c r="AE22" t="str">
        <x:v>Optimized active player; diminishing returns apply.</x:v>
      </x:c>
    </x:row>
  </x:sheetData>
  <x:mergeCells>
    <x:mergeCell ref="A1:AE1"/>
    <x:mergeCell ref="A2:AE2"/>
  </x:mergeCells>
  <x:conditionalFormatting sqref="AB5:AB22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C5:AC22">
    <x:cfRule type="expression" dxfId="2" priority="2">
      <x:formula>AC5="Yes"</x:formula>
    </x:cfRule>
    <x:cfRule type="expression" dxfId="3" priority="3">
      <x:formula>AC5="No"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7" hidden="0" customWidth="1"/>
    <x:col min="4" max="4" width="14" hidden="0" customWidth="1"/>
    <x:col min="5" max="5" width="20" hidden="0" customWidth="1"/>
    <x:col min="6" max="6" width="13" hidden="0" customWidth="1"/>
    <x:col min="7" max="7" width="18" hidden="0" customWidth="1"/>
    <x:col min="8" max="8" width="16" hidden="0" customWidth="1"/>
    <x:col min="9" max="9" width="17" hidden="0" customWidth="1"/>
    <x:col min="10" max="10" width="20" hidden="0" customWidth="1"/>
    <x:col min="11" max="11" width="18" hidden="0" customWidth="1"/>
    <x:col min="12" max="12" width="13" hidden="0" customWidth="1"/>
    <x:col min="13" max="13" width="19" hidden="0" customWidth="1"/>
  </x:cols>
  <x:sheetData>
    <x:row r="1" ht="28" customHeight="1">
      <x:c r="A1" s="5" t="str">
        <x:v>Stage-Weighted Division Pool Allocation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12" t="str">
        <x:v>The weekly global pool is split dynamically by eligible population × stage weight. Within each division, players compete on stage-normalized Performance Score.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0" t="str">
        <x:v>Stage</x:v>
      </x:c>
      <x:c r="B4" s="20" t="str">
        <x:v>Player Share</x:v>
      </x:c>
      <x:c r="C4" s="20" t="str">
        <x:v>Eligible Players</x:v>
      </x:c>
      <x:c r="D4" s="20" t="str">
        <x:v>Stage Weight</x:v>
      </x:c>
      <x:c r="E4" s="20" t="str">
        <x:v>Weighted Population</x:v>
      </x:c>
      <x:c r="F4" s="20" t="str">
        <x:v>Pool Share</x:v>
      </x:c>
      <x:c r="G4" s="20" t="str">
        <x:v>Division Pool</x:v>
      </x:c>
      <x:c r="H4" s="20" t="str">
        <x:v>Baseline Score</x:v>
      </x:c>
      <x:c r="I4" s="20" t="str">
        <x:v>Avg Payout Weight</x:v>
      </x:c>
      <x:c r="J4" s="20" t="str">
        <x:v>Total Division Weight</x:v>
      </x:c>
      <x:c r="K4" s="20" t="str">
        <x:v>Avg PLOT / Player</x:v>
      </x:c>
      <x:c r="L4" s="20" t="str">
        <x:v>Cap Share</x:v>
      </x:c>
      <x:c r="M4" s="20" t="str">
        <x:v>Max Player Payout</x:v>
      </x:c>
    </x:row>
    <x:row r="5">
      <x:c r="A5" t="str">
        <x:v>Humble</x:v>
      </x:c>
      <x:c r="B5" s="46" t="n">
        <x:f>'01 Inputs'!B33</x:f>
        <x:v>0.3</x:v>
      </x:c>
      <x:c r="C5" s="38" t="n">
        <x:f>ROUND('01 Inputs'!$B$7*B5,0)</x:f>
        <x:v>3000</x:v>
      </x:c>
      <x:c r="D5" s="38" t="n">
        <x:f>'01 Inputs'!C33</x:f>
        <x:v>1</x:v>
      </x:c>
      <x:c r="E5" s="82" t="n">
        <x:f>C5*D5</x:f>
        <x:v>3000</x:v>
      </x:c>
      <x:c r="F5" s="44" t="n">
        <x:f>E5/SUM($E$5:$E$10)</x:f>
        <x:v>0.16906170752324598</x:v>
      </x:c>
      <x:c r="G5" s="80" t="n">
        <x:f>'01 Inputs'!$B$6*F5</x:f>
        <x:v>338123.41504649195</x:v>
      </x:c>
      <x:c r="H5" s="84" t="n">
        <x:f>'04 Score Calc'!AB6</x:f>
        <x:v>95.46513512785714</x:v>
      </x:c>
      <x:c r="I5" s="84" t="n">
        <x:f>H5^'01 Inputs'!$B$8</x:f>
        <x:v>48.1801416928984</x:v>
      </x:c>
      <x:c r="J5" s="84" t="n">
        <x:f>C5*I5</x:f>
        <x:v>144540.4250786952</x:v>
      </x:c>
      <x:c r="K5" s="80" t="n">
        <x:f>G5/C5</x:f>
        <x:v>112.70780501549731</x:v>
      </x:c>
      <x:c r="L5" s="86" t="n">
        <x:f>IF(C5&gt;='01 Inputs'!$B$44,MAX('01 Inputs'!$B$45,MIN('01 Inputs'!$B$46,'01 Inputs'!$B$47/C5)),1)</x:f>
        <x:v>0.0026666666666666666</x:v>
      </x:c>
      <x:c r="M5" s="80" t="n">
        <x:f>G5*L5</x:f>
        <x:v>901.6624401239785</x:v>
      </x:c>
    </x:row>
    <x:row r="6">
      <x:c r="A6" t="str">
        <x:v>Starter</x:v>
      </x:c>
      <x:c r="B6" s="46" t="n">
        <x:f>'01 Inputs'!B34</x:f>
        <x:v>0.25</x:v>
      </x:c>
      <x:c r="C6" s="38" t="n">
        <x:f>ROUND('01 Inputs'!$B$7*B6,0)</x:f>
        <x:v>2500</x:v>
      </x:c>
      <x:c r="D6" s="38" t="n">
        <x:f>'01 Inputs'!C34</x:f>
        <x:v>1.35</x:v>
      </x:c>
      <x:c r="E6" s="82" t="n">
        <x:f>C6*D6</x:f>
        <x:v>3375</x:v>
      </x:c>
      <x:c r="F6" s="44" t="n">
        <x:f>E6/SUM($E$5:$E$10)</x:f>
        <x:v>0.19019442096365174</x:v>
      </x:c>
      <x:c r="G6" s="80" t="n">
        <x:f>'01 Inputs'!$B$6*F6</x:f>
        <x:v>380388.84192730347</x:v>
      </x:c>
      <x:c r="H6" s="84" t="n">
        <x:f>'04 Score Calc'!AB9</x:f>
        <x:v>95.29348097357143</x:v>
      </x:c>
      <x:c r="I6" s="84" t="n">
        <x:f>H6^'01 Inputs'!$B$8</x:f>
        <x:v>48.1064946812728</x:v>
      </x:c>
      <x:c r="J6" s="84" t="n">
        <x:f>C6*I6</x:f>
        <x:v>120266.236703182</x:v>
      </x:c>
      <x:c r="K6" s="80" t="n">
        <x:f>G6/C6</x:f>
        <x:v>152.15553677092137</x:v>
      </x:c>
      <x:c r="L6" s="86" t="n">
        <x:f>IF(C6&gt;='01 Inputs'!$B$44,MAX('01 Inputs'!$B$45,MIN('01 Inputs'!$B$46,'01 Inputs'!$B$47/C6)),1)</x:f>
        <x:v>0.0032</x:v>
      </x:c>
      <x:c r="M6" s="80" t="n">
        <x:f>G6*L6</x:f>
        <x:v>1217.2442941673712</x:v>
      </x:c>
    </x:row>
    <x:row r="7">
      <x:c r="A7" t="str">
        <x:v>Growing</x:v>
      </x:c>
      <x:c r="B7" s="46" t="n">
        <x:f>'01 Inputs'!B35</x:f>
        <x:v>0.2</x:v>
      </x:c>
      <x:c r="C7" s="38" t="n">
        <x:f>ROUND('01 Inputs'!$B$7*B7,0)</x:f>
        <x:v>2000</x:v>
      </x:c>
      <x:c r="D7" s="38" t="n">
        <x:f>'01 Inputs'!C35</x:f>
        <x:v>1.8</x:v>
      </x:c>
      <x:c r="E7" s="82" t="n">
        <x:f>C7*D7</x:f>
        <x:v>3600</x:v>
      </x:c>
      <x:c r="F7" s="44" t="n">
        <x:f>E7/SUM($E$5:$E$10)</x:f>
        <x:v>0.2028740490278952</x:v>
      </x:c>
      <x:c r="G7" s="80" t="n">
        <x:f>'01 Inputs'!$B$6*F7</x:f>
        <x:v>405748.09805579035</x:v>
      </x:c>
      <x:c r="H7" s="84" t="n">
        <x:f>'04 Score Calc'!AB12</x:f>
        <x:v>96.06776947357143</x:v>
      </x:c>
      <x:c r="I7" s="84" t="n">
        <x:f>H7^'01 Inputs'!$B$8</x:f>
        <x:v>48.43854074672282</x:v>
      </x:c>
      <x:c r="J7" s="84" t="n">
        <x:f>C7*I7</x:f>
        <x:v>96877.08149344564</x:v>
      </x:c>
      <x:c r="K7" s="80" t="n">
        <x:f>G7/C7</x:f>
        <x:v>202.87404902789518</x:v>
      </x:c>
      <x:c r="L7" s="86" t="n">
        <x:f>IF(C7&gt;='01 Inputs'!$B$44,MAX('01 Inputs'!$B$45,MIN('01 Inputs'!$B$46,'01 Inputs'!$B$47/C7)),1)</x:f>
        <x:v>0.004</x:v>
      </x:c>
      <x:c r="M7" s="80" t="n">
        <x:f>G7*L7</x:f>
        <x:v>1622.9923922231615</x:v>
      </x:c>
    </x:row>
    <x:row r="8">
      <x:c r="A8" t="str">
        <x:v>Established</x:v>
      </x:c>
      <x:c r="B8" s="46" t="n">
        <x:f>'01 Inputs'!B36</x:f>
        <x:v>0.13</x:v>
      </x:c>
      <x:c r="C8" s="38" t="n">
        <x:f>ROUND('01 Inputs'!$B$7*B8,0)</x:f>
        <x:v>1300</x:v>
      </x:c>
      <x:c r="D8" s="38" t="n">
        <x:f>'01 Inputs'!C36</x:f>
        <x:v>2.5</x:v>
      </x:c>
      <x:c r="E8" s="82" t="n">
        <x:f>C8*D8</x:f>
        <x:v>3250</x:v>
      </x:c>
      <x:c r="F8" s="44" t="n">
        <x:f>E8/SUM($E$5:$E$10)</x:f>
        <x:v>0.18315018315018314</x:v>
      </x:c>
      <x:c r="G8" s="80" t="n">
        <x:f>'01 Inputs'!$B$6*F8</x:f>
        <x:v>366300.3663003663</x:v>
      </x:c>
      <x:c r="H8" s="84" t="n">
        <x:f>'04 Score Calc'!AB15</x:f>
        <x:v>96.5314594907143</x:v>
      </x:c>
      <x:c r="I8" s="84" t="n">
        <x:f>H8^'01 Inputs'!$B$8</x:f>
        <x:v>48.637197375789384</x:v>
      </x:c>
      <x:c r="J8" s="84" t="n">
        <x:f>C8*I8</x:f>
        <x:v>63228.3565885262</x:v>
      </x:c>
      <x:c r="K8" s="80" t="n">
        <x:f>G8/C8</x:f>
        <x:v>281.7695125387433</x:v>
      </x:c>
      <x:c r="L8" s="86" t="n">
        <x:f>IF(C8&gt;='01 Inputs'!$B$44,MAX('01 Inputs'!$B$45,MIN('01 Inputs'!$B$46,'01 Inputs'!$B$47/C8)),1)</x:f>
        <x:v>0.006153846153846154</x:v>
      </x:c>
      <x:c r="M8" s="80" t="n">
        <x:f>G8*L8</x:f>
        <x:v>2254.1561003099464</x:v>
      </x:c>
    </x:row>
    <x:row r="9">
      <x:c r="A9" t="str">
        <x:v>Elite</x:v>
      </x:c>
      <x:c r="B9" s="46" t="n">
        <x:f>'01 Inputs'!B37</x:f>
        <x:v>0.08</x:v>
      </x:c>
      <x:c r="C9" s="38" t="n">
        <x:f>ROUND('01 Inputs'!$B$7*B9,0)</x:f>
        <x:v>800</x:v>
      </x:c>
      <x:c r="D9" s="38" t="n">
        <x:f>'01 Inputs'!C37</x:f>
        <x:v>3.4</x:v>
      </x:c>
      <x:c r="E9" s="82" t="n">
        <x:f>C9*D9</x:f>
        <x:v>2720</x:v>
      </x:c>
      <x:c r="F9" s="44" t="n">
        <x:f>E9/SUM($E$5:$E$10)</x:f>
        <x:v>0.15328261482107636</x:v>
      </x:c>
      <x:c r="G9" s="80" t="n">
        <x:f>'01 Inputs'!$B$6*F9</x:f>
        <x:v>306565.2296421527</x:v>
      </x:c>
      <x:c r="H9" s="84" t="n">
        <x:f>'04 Score Calc'!AB18</x:f>
        <x:v>98.39999999999999</x:v>
      </x:c>
      <x:c r="I9" s="84" t="n">
        <x:f>H9^'01 Inputs'!$B$8</x:f>
        <x:v>49.43628572716188</x:v>
      </x:c>
      <x:c r="J9" s="84" t="n">
        <x:f>C9*I9</x:f>
        <x:v>39549.02858172951</x:v>
      </x:c>
      <x:c r="K9" s="80" t="n">
        <x:f>G9/C9</x:f>
        <x:v>383.2065370526909</x:v>
      </x:c>
      <x:c r="L9" s="86" t="n">
        <x:f>IF(C9&gt;='01 Inputs'!$B$44,MAX('01 Inputs'!$B$45,MIN('01 Inputs'!$B$46,'01 Inputs'!$B$47/C9)),1)</x:f>
        <x:v>0.01</x:v>
      </x:c>
      <x:c r="M9" s="80" t="n">
        <x:f>G9*L9</x:f>
        <x:v>3065.6522964215274</x:v>
      </x:c>
    </x:row>
    <x:row r="10">
      <x:c r="A10" t="str">
        <x:v>Tycoon</x:v>
      </x:c>
      <x:c r="B10" s="46" t="n">
        <x:f>'01 Inputs'!B38</x:f>
        <x:v>0.04</x:v>
      </x:c>
      <x:c r="C10" s="38" t="n">
        <x:f>ROUND('01 Inputs'!$B$7*B10,0)</x:f>
        <x:v>400</x:v>
      </x:c>
      <x:c r="D10" s="38" t="n">
        <x:f>'01 Inputs'!C38</x:f>
        <x:v>4.5</x:v>
      </x:c>
      <x:c r="E10" s="82" t="n">
        <x:f>C10*D10</x:f>
        <x:v>1800</x:v>
      </x:c>
      <x:c r="F10" s="44" t="n">
        <x:f>E10/SUM($E$5:$E$10)</x:f>
        <x:v>0.1014370245139476</x:v>
      </x:c>
      <x:c r="G10" s="80" t="n">
        <x:f>'01 Inputs'!$B$6*F10</x:f>
        <x:v>202874.04902789518</x:v>
      </x:c>
      <x:c r="H10" s="84" t="n">
        <x:f>'04 Score Calc'!AB21</x:f>
        <x:v>97.716859268</x:v>
      </x:c>
      <x:c r="I10" s="84" t="n">
        <x:f>H10^'01 Inputs'!$B$8</x:f>
        <x:v>49.14440426183007</x:v>
      </x:c>
      <x:c r="J10" s="84" t="n">
        <x:f>C10*I10</x:f>
        <x:v>19657.761704732027</x:v>
      </x:c>
      <x:c r="K10" s="80" t="n">
        <x:f>G10/C10</x:f>
        <x:v>507.1851225697379</x:v>
      </x:c>
      <x:c r="L10" s="86" t="n">
        <x:f>IF(C10&gt;='01 Inputs'!$B$44,MAX('01 Inputs'!$B$45,MIN('01 Inputs'!$B$46,'01 Inputs'!$B$47/C10)),1)</x:f>
        <x:v>1</x:v>
      </x:c>
      <x:c r="M10" s="80" t="n">
        <x:f>G10*L10</x:f>
        <x:v>202874.04902789518</x:v>
      </x:c>
    </x:row>
    <x:row r="12">
      <x:c r="A12" s="70" t="str">
        <x:v>Check</x:v>
      </x:c>
      <x:c r="B12" s="70" t="str">
        <x:v>Value</x:v>
      </x:c>
      <x:c r="C12" s="70" t="str">
        <x:v>Target</x:v>
      </x:c>
      <x:c r="D12" s="70" t="str"/>
      <x:c r="E12" s="70" t="str"/>
      <x:c r="F12" s="70" t="str"/>
      <x:c r="G12" s="70" t="str"/>
      <x:c r="H12" s="70" t="str"/>
      <x:c r="I12" s="70" t="str"/>
      <x:c r="J12" s="70" t="str"/>
      <x:c r="K12" s="70" t="str"/>
      <x:c r="L12" s="70" t="str"/>
      <x:c r="M12" s="70" t="str"/>
      <x:c r="N12" t="str"/>
    </x:row>
    <x:row r="13">
      <x:c r="A13" t="str">
        <x:v>Pool Share Total</x:v>
      </x:c>
      <x:c r="B13" s="44" t="n">
        <x:f>SUM(F5:F10)</x:f>
        <x:v>1</x:v>
      </x:c>
      <x:c r="C13" t="n">
        <x:v>1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</x:row>
    <x:row r="14">
      <x:c r="A14" t="str">
        <x:v>Allocated Pool</x:v>
      </x:c>
      <x:c r="B14" s="80" t="n">
        <x:f>SUM(G5:G10)</x:f>
        <x:v>2000000</x:v>
      </x:c>
      <x:c r="C14" s="80" t="n">
        <x:f>'01 Inputs'!B6</x:f>
        <x:v>2000000</x:v>
      </x:c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15" hidden="0" customWidth="1"/>
    <x:col min="5" max="5" width="15" hidden="0" customWidth="1"/>
    <x:col min="6" max="6" width="17" hidden="0" customWidth="1"/>
    <x:col min="7" max="7" width="18" hidden="0" customWidth="1"/>
    <x:col min="8" max="8" width="12" hidden="0" customWidth="1"/>
    <x:col min="9" max="9" width="16" hidden="0" customWidth="1"/>
    <x:col min="10" max="10" width="12" hidden="0" customWidth="1"/>
    <x:col min="11" max="11" width="16" hidden="0" customWidth="1"/>
    <x:col min="12" max="12" width="18" hidden="0" customWidth="1"/>
    <x:col min="13" max="13" width="14" hidden="0" customWidth="1"/>
    <x:col min="14" max="14" width="45" hidden="0" customWidth="1"/>
  </x:cols>
  <x:sheetData>
    <x:row r="1" ht="28" customHeight="1">
      <x:c r="A1" s="5" t="str">
        <x:v>Illustrative Weekly Payout 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These are balance examples, not promises. Actual payout depends on the finalized score distribution of all eligible players in the same division.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20" t="str">
        <x:v>Stage</x:v>
      </x:c>
      <x:c r="B4" s="20" t="str">
        <x:v>Archetype</x:v>
      </x:c>
      <x:c r="C4" s="20" t="str">
        <x:v>Performance Score</x:v>
      </x:c>
      <x:c r="D4" s="20" t="str">
        <x:v>Payout Weight</x:v>
      </x:c>
      <x:c r="E4" s="20" t="str">
        <x:v>Division Players</x:v>
      </x:c>
      <x:c r="F4" s="20" t="str">
        <x:v>Division Pool</x:v>
      </x:c>
      <x:c r="G4" s="20" t="str">
        <x:v>Avg Division Weight</x:v>
      </x:c>
      <x:c r="H4" s="20" t="str">
        <x:v>Raw Share</x:v>
      </x:c>
      <x:c r="I4" s="20" t="str">
        <x:v>Raw Payout</x:v>
      </x:c>
      <x:c r="J4" s="20" t="str">
        <x:v>Cap Share</x:v>
      </x:c>
      <x:c r="K4" s="20" t="str">
        <x:v>Cap Payout</x:v>
      </x:c>
      <x:c r="L4" s="20" t="str">
        <x:v>Illustrative Final*</x:v>
      </x:c>
      <x:c r="M4" s="20" t="str">
        <x:v>Vs Avg Player</x:v>
      </x:c>
      <x:c r="N4" s="20" t="str">
        <x:v>Interpretation</x:v>
      </x:c>
    </x:row>
    <x:row r="5">
      <x:c r="A5" s="34" t="str">
        <x:f>'04 Score Calc'!A5</x:f>
        <x:v>Humble</x:v>
      </x:c>
      <x:c r="B5" s="34" t="str">
        <x:f>'04 Score Calc'!B5</x:f>
        <x:v>Casual</x:v>
      </x:c>
      <x:c r="C5" s="76" t="n">
        <x:f>'04 Score Calc'!AB5</x:f>
        <x:v>78.54060052617321</x:v>
      </x:c>
      <x:c r="D5" s="76" t="n">
        <x:f>'04 Score Calc'!AD5</x:f>
        <x:v>40.81596651269349</x:v>
      </x:c>
      <x:c r="E5" s="38" t="n">
        <x:f>'05 Division Pools'!C5</x:f>
        <x:v>3000</x:v>
      </x:c>
      <x:c r="F5" s="36" t="n">
        <x:f>'05 Division Pools'!G5</x:f>
        <x:v>338123.41504649195</x:v>
      </x:c>
      <x:c r="G5" s="36" t="n">
        <x:f>'05 Division Pools'!I5</x:f>
        <x:v>48.1801416928984</x:v>
      </x:c>
      <x:c r="H5" s="88" t="n">
        <x:f>IF(D5=0,0,D5/(E5*G5))</x:f>
        <x:v>0.0002823844366755611</x:v>
      </x:c>
      <x:c r="I5" s="36" t="n">
        <x:f>F5*H5</x:f>
        <x:v>95.48079008472057</x:v>
      </x:c>
      <x:c r="J5" s="88" t="n">
        <x:f>'05 Division Pools'!L5</x:f>
        <x:v>0.0026666666666666666</x:v>
      </x:c>
      <x:c r="K5" s="36" t="n">
        <x:f>F5*J5</x:f>
        <x:v>901.6624401239785</x:v>
      </x:c>
      <x:c r="L5" s="36" t="n">
        <x:f>MIN(I5,K5)</x:f>
        <x:v>95.48079008472057</x:v>
      </x:c>
      <x:c r="M5" s="40" t="n">
        <x:f>L5/('05 Division Pools'!K5)</x:f>
        <x:v>0.8471533100266833</x:v>
      </x:c>
      <x:c r="N5" t="str">
        <x:v>Casual player: below-stage baseline but still eligible if active enough.</x:v>
      </x:c>
    </x:row>
    <x:row r="6">
      <x:c r="A6" s="34" t="str">
        <x:f>'04 Score Calc'!A6</x:f>
        <x:v>Humble</x:v>
      </x:c>
      <x:c r="B6" s="34" t="str">
        <x:f>'04 Score Calc'!B6</x:f>
        <x:v>Baseline</x:v>
      </x:c>
      <x:c r="C6" s="76" t="n">
        <x:f>'04 Score Calc'!AB6</x:f>
        <x:v>95.46513512785714</x:v>
      </x:c>
      <x:c r="D6" s="76" t="n">
        <x:f>'04 Score Calc'!AD6</x:f>
        <x:v>48.1801416928984</x:v>
      </x:c>
      <x:c r="E6" s="38" t="n">
        <x:f>'05 Division Pools'!C5</x:f>
        <x:v>3000</x:v>
      </x:c>
      <x:c r="F6" s="36" t="n">
        <x:f>'05 Division Pools'!G5</x:f>
        <x:v>338123.41504649195</x:v>
      </x:c>
      <x:c r="G6" s="36" t="n">
        <x:f>'05 Division Pools'!I5</x:f>
        <x:v>48.1801416928984</x:v>
      </x:c>
      <x:c r="H6" s="88" t="n">
        <x:f>IF(D6=0,0,D6/(E6*G6))</x:f>
        <x:v>0.0003333333333333333</x:v>
      </x:c>
      <x:c r="I6" s="36" t="n">
        <x:f>F6*H6</x:f>
        <x:v>112.70780501549731</x:v>
      </x:c>
      <x:c r="J6" s="88" t="n">
        <x:f>'05 Division Pools'!L5</x:f>
        <x:v>0.0026666666666666666</x:v>
      </x:c>
      <x:c r="K6" s="36" t="n">
        <x:f>F6*J6</x:f>
        <x:v>901.6624401239785</x:v>
      </x:c>
      <x:c r="L6" s="36" t="n">
        <x:f>MIN(I6,K6)</x:f>
        <x:v>112.70780501549731</x:v>
      </x:c>
      <x:c r="M6" s="40" t="n">
        <x:f>L6/('05 Division Pools'!K5)</x:f>
        <x:v>1</x:v>
      </x:c>
      <x:c r="N6" t="str">
        <x:v>Representative healthy operator at stage baseline.</x:v>
      </x:c>
    </x:row>
    <x:row r="7">
      <x:c r="A7" s="34" t="str">
        <x:f>'04 Score Calc'!A7</x:f>
        <x:v>Humble</x:v>
      </x:c>
      <x:c r="B7" s="34" t="str">
        <x:f>'04 Score Calc'!B7</x:f>
        <x:v>High Performer</x:v>
      </x:c>
      <x:c r="C7" s="76" t="n">
        <x:f>'04 Score Calc'!AB7</x:f>
        <x:v>109.23470773603724</x:v>
      </x:c>
      <x:c r="D7" s="76" t="n">
        <x:f>'04 Score Calc'!AD7</x:f>
        <x:v>54.026465147928626</x:v>
      </x:c>
      <x:c r="E7" s="38" t="n">
        <x:f>'05 Division Pools'!C5</x:f>
        <x:v>3000</x:v>
      </x:c>
      <x:c r="F7" s="36" t="n">
        <x:f>'05 Division Pools'!G5</x:f>
        <x:v>338123.41504649195</x:v>
      </x:c>
      <x:c r="G7" s="36" t="n">
        <x:f>'05 Division Pools'!I5</x:f>
        <x:v>48.1801416928984</x:v>
      </x:c>
      <x:c r="H7" s="88" t="n">
        <x:f>IF(D7=0,0,D7/(E7*G7))</x:f>
        <x:v>0.0003737810036086019</x:v>
      </x:c>
      <x:c r="I7" s="36" t="n">
        <x:f>F7*H7</x:f>
        <x:v>126.38410941964561</x:v>
      </x:c>
      <x:c r="J7" s="88" t="n">
        <x:f>'05 Division Pools'!L5</x:f>
        <x:v>0.0026666666666666666</x:v>
      </x:c>
      <x:c r="K7" s="36" t="n">
        <x:f>F7*J7</x:f>
        <x:v>901.6624401239785</x:v>
      </x:c>
      <x:c r="L7" s="36" t="n">
        <x:f>MIN(I7,K7)</x:f>
        <x:v>126.38410941964561</x:v>
      </x:c>
      <x:c r="M7" s="40" t="n">
        <x:f>L7/('05 Division Pools'!K5)</x:f>
        <x:v>1.1213430108258058</x:v>
      </x:c>
      <x:c r="N7" t="str">
        <x:v>High performer: stronger payout, but compressed by diminishing returns and caps.</x:v>
      </x:c>
    </x:row>
    <x:row r="8">
      <x:c r="A8" s="34" t="str">
        <x:f>'04 Score Calc'!A8</x:f>
        <x:v>Starter</x:v>
      </x:c>
      <x:c r="B8" s="34" t="str">
        <x:f>'04 Score Calc'!B8</x:f>
        <x:v>Casual</x:v>
      </x:c>
      <x:c r="C8" s="76" t="n">
        <x:f>'04 Score Calc'!AB8</x:f>
        <x:v>78.12334957474465</x:v>
      </x:c>
      <x:c r="D8" s="76" t="n">
        <x:f>'04 Score Calc'!AD8</x:f>
        <x:v>40.63158155483073</x:v>
      </x:c>
      <x:c r="E8" s="38" t="n">
        <x:f>'05 Division Pools'!C6</x:f>
        <x:v>2500</x:v>
      </x:c>
      <x:c r="F8" s="36" t="n">
        <x:f>'05 Division Pools'!G6</x:f>
        <x:v>380388.84192730347</x:v>
      </x:c>
      <x:c r="G8" s="36" t="n">
        <x:f>'05 Division Pools'!I6</x:f>
        <x:v>48.1064946812728</x:v>
      </x:c>
      <x:c r="H8" s="88" t="n">
        <x:f>IF(D8=0,0,D8/(E8*G8))</x:f>
        <x:v>0.00033784695246688216</x:v>
      </x:c>
      <x:c r="I8" s="36" t="n">
        <x:f>F8*H8</x:f>
        <x:v>128.51321099754605</x:v>
      </x:c>
      <x:c r="J8" s="88" t="n">
        <x:f>'05 Division Pools'!L6</x:f>
        <x:v>0.0032</x:v>
      </x:c>
      <x:c r="K8" s="36" t="n">
        <x:f>F8*J8</x:f>
        <x:v>1217.2442941673712</x:v>
      </x:c>
      <x:c r="L8" s="36" t="n">
        <x:f>MIN(I8,K8)</x:f>
        <x:v>128.51321099754605</x:v>
      </x:c>
      <x:c r="M8" s="40" t="n">
        <x:f>L8/('05 Division Pools'!K6)</x:f>
        <x:v>0.8446173811672055</x:v>
      </x:c>
      <x:c r="N8" t="str">
        <x:v>Casual player: below-stage baseline but still eligible if active enough.</x:v>
      </x:c>
    </x:row>
    <x:row r="9">
      <x:c r="A9" s="34" t="str">
        <x:f>'04 Score Calc'!A9</x:f>
        <x:v>Starter</x:v>
      </x:c>
      <x:c r="B9" s="34" t="str">
        <x:f>'04 Score Calc'!B9</x:f>
        <x:v>Baseline</x:v>
      </x:c>
      <x:c r="C9" s="76" t="n">
        <x:f>'04 Score Calc'!AB9</x:f>
        <x:v>95.29348097357143</x:v>
      </x:c>
      <x:c r="D9" s="76" t="n">
        <x:f>'04 Score Calc'!AD9</x:f>
        <x:v>48.1064946812728</x:v>
      </x:c>
      <x:c r="E9" s="38" t="n">
        <x:f>'05 Division Pools'!C6</x:f>
        <x:v>2500</x:v>
      </x:c>
      <x:c r="F9" s="36" t="n">
        <x:f>'05 Division Pools'!G6</x:f>
        <x:v>380388.84192730347</x:v>
      </x:c>
      <x:c r="G9" s="36" t="n">
        <x:f>'05 Division Pools'!I6</x:f>
        <x:v>48.1064946812728</x:v>
      </x:c>
      <x:c r="H9" s="88" t="n">
        <x:f>IF(D9=0,0,D9/(E9*G9))</x:f>
        <x:v>0.00039999999999999996</x:v>
      </x:c>
      <x:c r="I9" s="36" t="n">
        <x:f>F9*H9</x:f>
        <x:v>152.15553677092137</x:v>
      </x:c>
      <x:c r="J9" s="88" t="n">
        <x:f>'05 Division Pools'!L6</x:f>
        <x:v>0.0032</x:v>
      </x:c>
      <x:c r="K9" s="36" t="n">
        <x:f>F9*J9</x:f>
        <x:v>1217.2442941673712</x:v>
      </x:c>
      <x:c r="L9" s="36" t="n">
        <x:f>MIN(I9,K9)</x:f>
        <x:v>152.15553677092137</x:v>
      </x:c>
      <x:c r="M9" s="40" t="n">
        <x:f>L9/('05 Division Pools'!K6)</x:f>
        <x:v>1</x:v>
      </x:c>
      <x:c r="N9" t="str">
        <x:v>Representative healthy operator at stage baseline.</x:v>
      </x:c>
    </x:row>
    <x:row r="10">
      <x:c r="A10" s="34" t="str">
        <x:f>'04 Score Calc'!A10</x:f>
        <x:v>Starter</x:v>
      </x:c>
      <x:c r="B10" s="34" t="str">
        <x:f>'04 Score Calc'!B10</x:f>
        <x:v>High Performer</x:v>
      </x:c>
      <x:c r="C10" s="76" t="n">
        <x:f>'04 Score Calc'!AB10</x:f>
        <x:v>109.06305358175152</x:v>
      </x:c>
      <x:c r="D10" s="76" t="n">
        <x:f>'04 Score Calc'!AD10</x:f>
        <x:v>53.95429287896219</x:v>
      </x:c>
      <x:c r="E10" s="38" t="n">
        <x:f>'05 Division Pools'!C6</x:f>
        <x:v>2500</x:v>
      </x:c>
      <x:c r="F10" s="36" t="n">
        <x:f>'05 Division Pools'!G6</x:f>
        <x:v>380388.84192730347</x:v>
      </x:c>
      <x:c r="G10" s="36" t="n">
        <x:f>'05 Division Pools'!I6</x:f>
        <x:v>48.1064946812728</x:v>
      </x:c>
      <x:c r="H10" s="88" t="n">
        <x:f>IF(D10=0,0,D10/(E10*G10))</x:f>
        <x:v>0.0004486237730388272</x:v>
      </x:c>
      <x:c r="I10" s="36" t="n">
        <x:f>F10*H10</x:f>
        <x:v>170.65147748729692</x:v>
      </x:c>
      <x:c r="J10" s="88" t="n">
        <x:f>'05 Division Pools'!L6</x:f>
        <x:v>0.0032</x:v>
      </x:c>
      <x:c r="K10" s="36" t="n">
        <x:f>F10*J10</x:f>
        <x:v>1217.2442941673712</x:v>
      </x:c>
      <x:c r="L10" s="36" t="n">
        <x:f>MIN(I10,K10)</x:f>
        <x:v>170.65147748729692</x:v>
      </x:c>
      <x:c r="M10" s="40" t="n">
        <x:f>L10/('05 Division Pools'!K6)</x:f>
        <x:v>1.1215594325970681</x:v>
      </x:c>
      <x:c r="N10" t="str">
        <x:v>High performer: stronger payout, but compressed by diminishing returns and caps.</x:v>
      </x:c>
    </x:row>
    <x:row r="11">
      <x:c r="A11" s="34" t="str">
        <x:f>'04 Score Calc'!A11</x:f>
        <x:v>Growing</x:v>
      </x:c>
      <x:c r="B11" s="34" t="str">
        <x:f>'04 Score Calc'!B11</x:f>
        <x:v>Casual</x:v>
      </x:c>
      <x:c r="C11" s="76" t="n">
        <x:f>'04 Score Calc'!AB11</x:f>
        <x:v>79.14323487188749</x:v>
      </x:c>
      <x:c r="D11" s="76" t="n">
        <x:f>'04 Score Calc'!AD11</x:f>
        <x:v>41.08201415269276</x:v>
      </x:c>
      <x:c r="E11" s="38" t="n">
        <x:f>'05 Division Pools'!C7</x:f>
        <x:v>2000</x:v>
      </x:c>
      <x:c r="F11" s="36" t="n">
        <x:f>'05 Division Pools'!G7</x:f>
        <x:v>405748.09805579035</x:v>
      </x:c>
      <x:c r="G11" s="36" t="n">
        <x:f>'05 Division Pools'!I7</x:f>
        <x:v>48.43854074672282</x:v>
      </x:c>
      <x:c r="H11" s="88" t="n">
        <x:f>IF(D11=0,0,D11/(E11*G11))</x:f>
        <x:v>0.00042406329257010304</x:v>
      </x:c>
      <x:c r="I11" s="36" t="n">
        <x:f>F11*H11</x:f>
        <x:v>172.06287441559547</x:v>
      </x:c>
      <x:c r="J11" s="88" t="n">
        <x:f>'05 Division Pools'!L7</x:f>
        <x:v>0.004</x:v>
      </x:c>
      <x:c r="K11" s="36" t="n">
        <x:f>F11*J11</x:f>
        <x:v>1622.9923922231615</x:v>
      </x:c>
      <x:c r="L11" s="36" t="n">
        <x:f>MIN(I11,K11)</x:f>
        <x:v>172.06287441559547</x:v>
      </x:c>
      <x:c r="M11" s="40" t="n">
        <x:f>L11/('05 Division Pools'!K7)</x:f>
        <x:v>0.848126585140206</x:v>
      </x:c>
      <x:c r="N11" t="str">
        <x:v>Casual player: below-stage baseline but still eligible if active enough.</x:v>
      </x:c>
    </x:row>
    <x:row r="12">
      <x:c r="A12" s="34" t="str">
        <x:f>'04 Score Calc'!A12</x:f>
        <x:v>Growing</x:v>
      </x:c>
      <x:c r="B12" s="34" t="str">
        <x:f>'04 Score Calc'!B12</x:f>
        <x:v>Baseline</x:v>
      </x:c>
      <x:c r="C12" s="76" t="n">
        <x:f>'04 Score Calc'!AB12</x:f>
        <x:v>96.06776947357143</x:v>
      </x:c>
      <x:c r="D12" s="76" t="n">
        <x:f>'04 Score Calc'!AD12</x:f>
        <x:v>48.43854074672282</x:v>
      </x:c>
      <x:c r="E12" s="38" t="n">
        <x:f>'05 Division Pools'!C7</x:f>
        <x:v>2000</x:v>
      </x:c>
      <x:c r="F12" s="36" t="n">
        <x:f>'05 Division Pools'!G7</x:f>
        <x:v>405748.09805579035</x:v>
      </x:c>
      <x:c r="G12" s="36" t="n">
        <x:f>'05 Division Pools'!I7</x:f>
        <x:v>48.43854074672282</x:v>
      </x:c>
      <x:c r="H12" s="88" t="n">
        <x:f>IF(D12=0,0,D12/(E12*G12))</x:f>
        <x:v>0.0005</x:v>
      </x:c>
      <x:c r="I12" s="36" t="n">
        <x:f>F12*H12</x:f>
        <x:v>202.87404902789518</x:v>
      </x:c>
      <x:c r="J12" s="88" t="n">
        <x:f>'05 Division Pools'!L7</x:f>
        <x:v>0.004</x:v>
      </x:c>
      <x:c r="K12" s="36" t="n">
        <x:f>F12*J12</x:f>
        <x:v>1622.9923922231615</x:v>
      </x:c>
      <x:c r="L12" s="36" t="n">
        <x:f>MIN(I12,K12)</x:f>
        <x:v>202.87404902789518</x:v>
      </x:c>
      <x:c r="M12" s="40" t="n">
        <x:f>L12/('05 Division Pools'!K7)</x:f>
        <x:v>1</x:v>
      </x:c>
      <x:c r="N12" t="str">
        <x:v>Representative healthy operator at stage baseline.</x:v>
      </x:c>
    </x:row>
    <x:row r="13">
      <x:c r="A13" s="34" t="str">
        <x:f>'04 Score Calc'!A13</x:f>
        <x:v>Growing</x:v>
      </x:c>
      <x:c r="B13" s="34" t="str">
        <x:f>'04 Score Calc'!B13</x:f>
        <x:v>High Performer</x:v>
      </x:c>
      <x:c r="C13" s="76" t="n">
        <x:f>'04 Score Calc'!AB13</x:f>
        <x:v>109.83734208175152</x:v>
      </x:c>
      <x:c r="D13" s="76" t="n">
        <x:f>'04 Score Calc'!AD13</x:f>
        <x:v>54.279709258013604</x:v>
      </x:c>
      <x:c r="E13" s="38" t="n">
        <x:f>'05 Division Pools'!C7</x:f>
        <x:v>2000</x:v>
      </x:c>
      <x:c r="F13" s="36" t="n">
        <x:f>'05 Division Pools'!G7</x:f>
        <x:v>405748.09805579035</x:v>
      </x:c>
      <x:c r="G13" s="36" t="n">
        <x:f>'05 Division Pools'!I7</x:f>
        <x:v>48.43854074672282</x:v>
      </x:c>
      <x:c r="H13" s="88" t="n">
        <x:f>IF(D13=0,0,D13/(E13*G13))</x:f>
        <x:v>0.000560294637506044</x:v>
      </x:c>
      <x:c r="I13" s="36" t="n">
        <x:f>F13*H13</x:f>
        <x:v>227.33848351893585</x:v>
      </x:c>
      <x:c r="J13" s="88" t="n">
        <x:f>'05 Division Pools'!L7</x:f>
        <x:v>0.004</x:v>
      </x:c>
      <x:c r="K13" s="36" t="n">
        <x:f>F13*J13</x:f>
        <x:v>1622.9923922231615</x:v>
      </x:c>
      <x:c r="L13" s="36" t="n">
        <x:f>MIN(I13,K13)</x:f>
        <x:v>227.33848351893585</x:v>
      </x:c>
      <x:c r="M13" s="40" t="n">
        <x:f>L13/('05 Division Pools'!K7)</x:f>
        <x:v>1.1205892750120878</x:v>
      </x:c>
      <x:c r="N13" t="str">
        <x:v>High performer: stronger payout, but compressed by diminishing returns and caps.</x:v>
      </x:c>
    </x:row>
    <x:row r="14">
      <x:c r="A14" s="34" t="str">
        <x:f>'04 Score Calc'!A14</x:f>
        <x:v>Established</x:v>
      </x:c>
      <x:c r="B14" s="34" t="str">
        <x:f>'04 Score Calc'!B14</x:f>
        <x:v>Casual</x:v>
      </x:c>
      <x:c r="C14" s="76" t="n">
        <x:f>'04 Score Calc'!AB14</x:f>
        <x:v>79.52359155569702</x:v>
      </x:c>
      <x:c r="D14" s="76" t="n">
        <x:f>'04 Score Calc'!AD14</x:f>
        <x:v>41.249775393184265</x:v>
      </x:c>
      <x:c r="E14" s="38" t="n">
        <x:f>'05 Division Pools'!C8</x:f>
        <x:v>1300</x:v>
      </x:c>
      <x:c r="F14" s="36" t="n">
        <x:f>'05 Division Pools'!G8</x:f>
        <x:v>366300.3663003663</x:v>
      </x:c>
      <x:c r="G14" s="36" t="n">
        <x:f>'05 Division Pools'!I8</x:f>
        <x:v>48.637197375789384</x:v>
      </x:c>
      <x:c r="H14" s="88" t="n">
        <x:f>IF(D14=0,0,D14/(E14*G14))</x:f>
        <x:v>0.0006523936034211222</x:v>
      </x:c>
      <x:c r="I14" s="36" t="n">
        <x:f>F14*H14</x:f>
        <x:v>238.97201590517298</x:v>
      </x:c>
      <x:c r="J14" s="88" t="n">
        <x:f>'05 Division Pools'!L8</x:f>
        <x:v>0.006153846153846154</x:v>
      </x:c>
      <x:c r="K14" s="36" t="n">
        <x:f>F14*J14</x:f>
        <x:v>2254.1561003099464</x:v>
      </x:c>
      <x:c r="L14" s="36" t="n">
        <x:f>MIN(I14,K14)</x:f>
        <x:v>238.97201590517298</x:v>
      </x:c>
      <x:c r="M14" s="40" t="n">
        <x:f>L14/('05 Division Pools'!K8)</x:f>
        <x:v>0.8481116844474589</x:v>
      </x:c>
      <x:c r="N14" t="str">
        <x:v>Casual player: below-stage baseline but still eligible if active enough.</x:v>
      </x:c>
    </x:row>
    <x:row r="15">
      <x:c r="A15" s="34" t="str">
        <x:f>'04 Score Calc'!A15</x:f>
        <x:v>Established</x:v>
      </x:c>
      <x:c r="B15" s="34" t="str">
        <x:f>'04 Score Calc'!B15</x:f>
        <x:v>Baseline</x:v>
      </x:c>
      <x:c r="C15" s="76" t="n">
        <x:f>'04 Score Calc'!AB15</x:f>
        <x:v>96.5314594907143</x:v>
      </x:c>
      <x:c r="D15" s="76" t="n">
        <x:f>'04 Score Calc'!AD15</x:f>
        <x:v>48.637197375789384</x:v>
      </x:c>
      <x:c r="E15" s="38" t="n">
        <x:f>'05 Division Pools'!C8</x:f>
        <x:v>1300</x:v>
      </x:c>
      <x:c r="F15" s="36" t="n">
        <x:f>'05 Division Pools'!G8</x:f>
        <x:v>366300.3663003663</x:v>
      </x:c>
      <x:c r="G15" s="36" t="n">
        <x:f>'05 Division Pools'!I8</x:f>
        <x:v>48.637197375789384</x:v>
      </x:c>
      <x:c r="H15" s="88" t="n">
        <x:f>IF(D15=0,0,D15/(E15*G15))</x:f>
        <x:v>0.0007692307692307692</x:v>
      </x:c>
      <x:c r="I15" s="36" t="n">
        <x:f>F15*H15</x:f>
        <x:v>281.7695125387433</x:v>
      </x:c>
      <x:c r="J15" s="88" t="n">
        <x:f>'05 Division Pools'!L8</x:f>
        <x:v>0.006153846153846154</x:v>
      </x:c>
      <x:c r="K15" s="36" t="n">
        <x:f>F15*J15</x:f>
        <x:v>2254.1561003099464</x:v>
      </x:c>
      <x:c r="L15" s="36" t="n">
        <x:f>MIN(I15,K15)</x:f>
        <x:v>281.7695125387433</x:v>
      </x:c>
      <x:c r="M15" s="40" t="n">
        <x:f>L15/('05 Division Pools'!K8)</x:f>
        <x:v>1</x:v>
      </x:c>
      <x:c r="N15" t="str">
        <x:v>Representative healthy operator at stage baseline.</x:v>
      </x:c>
    </x:row>
    <x:row r="16">
      <x:c r="A16" s="34" t="str">
        <x:f>'04 Score Calc'!A16</x:f>
        <x:v>Established</x:v>
      </x:c>
      <x:c r="B16" s="34" t="str">
        <x:f>'04 Score Calc'!B16</x:f>
        <x:v>High Performer</x:v>
      </x:c>
      <x:c r="C16" s="76" t="n">
        <x:f>'04 Score Calc'!AB16</x:f>
        <x:v>110.3010320988944</x:v>
      </x:c>
      <x:c r="D16" s="76" t="n">
        <x:f>'04 Score Calc'!AD16</x:f>
        <x:v>54.474423116650314</x:v>
      </x:c>
      <x:c r="E16" s="38" t="n">
        <x:f>'05 Division Pools'!C8</x:f>
        <x:v>1300</x:v>
      </x:c>
      <x:c r="F16" s="36" t="n">
        <x:f>'05 Division Pools'!G8</x:f>
        <x:v>366300.3663003663</x:v>
      </x:c>
      <x:c r="G16" s="36" t="n">
        <x:f>'05 Division Pools'!I8</x:f>
        <x:v>48.637197375789384</x:v>
      </x:c>
      <x:c r="H16" s="88" t="n">
        <x:f>IF(D16=0,0,D16/(E16*G16))</x:f>
        <x:v>0.0008615505139751738</x:v>
      </x:c>
      <x:c r="I16" s="36" t="n">
        <x:f>F16*H16</x:f>
        <x:v>315.586268855375</x:v>
      </x:c>
      <x:c r="J16" s="88" t="n">
        <x:f>'05 Division Pools'!L8</x:f>
        <x:v>0.006153846153846154</x:v>
      </x:c>
      <x:c r="K16" s="36" t="n">
        <x:f>F16*J16</x:f>
        <x:v>2254.1561003099464</x:v>
      </x:c>
      <x:c r="L16" s="36" t="n">
        <x:f>MIN(I16,K16)</x:f>
        <x:v>315.586268855375</x:v>
      </x:c>
      <x:c r="M16" s="40" t="n">
        <x:f>L16/('05 Division Pools'!K8)</x:f>
        <x:v>1.120015668167726</x:v>
      </x:c>
      <x:c r="N16" t="str">
        <x:v>High performer: stronger payout, but compressed by diminishing returns and caps.</x:v>
      </x:c>
    </x:row>
    <x:row r="17">
      <x:c r="A17" s="34" t="str">
        <x:f>'04 Score Calc'!A17</x:f>
        <x:v>Elite</x:v>
      </x:c>
      <x:c r="B17" s="34" t="str">
        <x:f>'04 Score Calc'!B17</x:f>
        <x:v>Casual</x:v>
      </x:c>
      <x:c r="C17" s="76" t="n">
        <x:f>'04 Score Calc'!AB17</x:f>
        <x:v>81.64415934617321</x:v>
      </x:c>
      <x:c r="D17" s="76" t="n">
        <x:f>'04 Score Calc'!AD17</x:f>
        <x:v>42.182892229535064</x:v>
      </x:c>
      <x:c r="E17" s="38" t="n">
        <x:f>'05 Division Pools'!C9</x:f>
        <x:v>800</x:v>
      </x:c>
      <x:c r="F17" s="36" t="n">
        <x:f>'05 Division Pools'!G9</x:f>
        <x:v>306565.2296421527</x:v>
      </x:c>
      <x:c r="G17" s="36" t="n">
        <x:f>'05 Division Pools'!I9</x:f>
        <x:v>49.43628572716188</x:v>
      </x:c>
      <x:c r="H17" s="88" t="n">
        <x:f>IF(D17=0,0,D17/(E17*G17))</x:f>
        <x:v>0.0010665974296274455</x:v>
      </x:c>
      <x:c r="I17" s="36" t="n">
        <x:f>F17*H17</x:f>
        <x:v>326.98168594946765</x:v>
      </x:c>
      <x:c r="J17" s="88" t="n">
        <x:f>'05 Division Pools'!L9</x:f>
        <x:v>0.01</x:v>
      </x:c>
      <x:c r="K17" s="36" t="n">
        <x:f>F17*J17</x:f>
        <x:v>3065.6522964215274</x:v>
      </x:c>
      <x:c r="L17" s="36" t="n">
        <x:f>MIN(I17,K17)</x:f>
        <x:v>326.98168594946765</x:v>
      </x:c>
      <x:c r="M17" s="40" t="n">
        <x:f>L17/('05 Division Pools'!K9)</x:f>
        <x:v>0.8532779437019563</x:v>
      </x:c>
      <x:c r="N17" t="str">
        <x:v>Casual player: below-stage baseline but still eligible if active enough.</x:v>
      </x:c>
    </x:row>
    <x:row r="18">
      <x:c r="A18" s="34" t="str">
        <x:f>'04 Score Calc'!A18</x:f>
        <x:v>Elite</x:v>
      </x:c>
      <x:c r="B18" s="34" t="str">
        <x:f>'04 Score Calc'!B18</x:f>
        <x:v>Baseline</x:v>
      </x:c>
      <x:c r="C18" s="76" t="n">
        <x:f>'04 Score Calc'!AB18</x:f>
        <x:v>98.39999999999999</x:v>
      </x:c>
      <x:c r="D18" s="76" t="n">
        <x:f>'04 Score Calc'!AD18</x:f>
        <x:v>49.43628572716188</x:v>
      </x:c>
      <x:c r="E18" s="38" t="n">
        <x:f>'05 Division Pools'!C9</x:f>
        <x:v>800</x:v>
      </x:c>
      <x:c r="F18" s="36" t="n">
        <x:f>'05 Division Pools'!G9</x:f>
        <x:v>306565.2296421527</x:v>
      </x:c>
      <x:c r="G18" s="36" t="n">
        <x:f>'05 Division Pools'!I9</x:f>
        <x:v>49.43628572716188</x:v>
      </x:c>
      <x:c r="H18" s="88" t="n">
        <x:f>IF(D18=0,0,D18/(E18*G18))</x:f>
        <x:v>0.0012499999999999998</x:v>
      </x:c>
      <x:c r="I18" s="36" t="n">
        <x:f>F18*H18</x:f>
        <x:v>383.20653705269086</x:v>
      </x:c>
      <x:c r="J18" s="88" t="n">
        <x:f>'05 Division Pools'!L9</x:f>
        <x:v>0.01</x:v>
      </x:c>
      <x:c r="K18" s="36" t="n">
        <x:f>F18*J18</x:f>
        <x:v>3065.6522964215274</x:v>
      </x:c>
      <x:c r="L18" s="36" t="n">
        <x:f>MIN(I18,K18)</x:f>
        <x:v>383.20653705269086</x:v>
      </x:c>
      <x:c r="M18" s="40" t="n">
        <x:f>L18/('05 Division Pools'!K9)</x:f>
        <x:v>0.9999999999999999</x:v>
      </x:c>
      <x:c r="N18" t="str">
        <x:v>Representative healthy operator at stage baseline.</x:v>
      </x:c>
    </x:row>
    <x:row r="19">
      <x:c r="A19" s="34" t="str">
        <x:f>'04 Score Calc'!A19</x:f>
        <x:v>Elite</x:v>
      </x:c>
      <x:c r="B19" s="34" t="str">
        <x:f>'04 Score Calc'!B19</x:f>
        <x:v>High Performer</x:v>
      </x:c>
      <x:c r="C19" s="76" t="n">
        <x:f>'04 Score Calc'!AB19</x:f>
        <x:v>111.81242975103723</x:v>
      </x:c>
      <x:c r="D19" s="76" t="n">
        <x:f>'04 Score Calc'!AD19</x:f>
        <x:v>55.108243956084024</x:v>
      </x:c>
      <x:c r="E19" s="38" t="n">
        <x:f>'05 Division Pools'!C9</x:f>
        <x:v>800</x:v>
      </x:c>
      <x:c r="F19" s="36" t="n">
        <x:f>'05 Division Pools'!G9</x:f>
        <x:v>306565.2296421527</x:v>
      </x:c>
      <x:c r="G19" s="36" t="n">
        <x:f>'05 Division Pools'!I9</x:f>
        <x:v>49.43628572716188</x:v>
      </x:c>
      <x:c r="H19" s="88" t="n">
        <x:f>IF(D19=0,0,D19/(E19*G19))</x:f>
        <x:v>0.0013934158671483126</x:v>
      </x:c>
      <x:c r="I19" s="36" t="n">
        <x:f>F19*H19</x:f>
        <x:v>427.17285529934185</x:v>
      </x:c>
      <x:c r="J19" s="88" t="n">
        <x:f>'05 Division Pools'!L9</x:f>
        <x:v>0.01</x:v>
      </x:c>
      <x:c r="K19" s="36" t="n">
        <x:f>F19*J19</x:f>
        <x:v>3065.6522964215274</x:v>
      </x:c>
      <x:c r="L19" s="36" t="n">
        <x:f>MIN(I19,K19)</x:f>
        <x:v>427.17285529934185</x:v>
      </x:c>
      <x:c r="M19" s="40" t="n">
        <x:f>L19/('05 Division Pools'!K9)</x:f>
        <x:v>1.1147326937186501</x:v>
      </x:c>
      <x:c r="N19" t="str">
        <x:v>High performer: stronger payout, but compressed by diminishing returns and caps.</x:v>
      </x:c>
    </x:row>
    <x:row r="20">
      <x:c r="A20" s="34" t="str">
        <x:f>'04 Score Calc'!A20</x:f>
        <x:v>Tycoon</x:v>
      </x:c>
      <x:c r="B20" s="34" t="str">
        <x:f>'04 Score Calc'!B20</x:f>
        <x:v>Casual</x:v>
      </x:c>
      <x:c r="C20" s="76" t="n">
        <x:f>'04 Score Calc'!AB20</x:f>
        <x:v>82.37189396974465</x:v>
      </x:c>
      <x:c r="D20" s="76" t="n">
        <x:f>'04 Score Calc'!AD20</x:f>
        <x:v>42.50227667037982</x:v>
      </x:c>
      <x:c r="E20" s="38" t="n">
        <x:f>'05 Division Pools'!C10</x:f>
        <x:v>400</x:v>
      </x:c>
      <x:c r="F20" s="36" t="n">
        <x:f>'05 Division Pools'!G10</x:f>
        <x:v>202874.04902789518</x:v>
      </x:c>
      <x:c r="G20" s="36" t="n">
        <x:f>'05 Division Pools'!I10</x:f>
        <x:v>49.14440426183007</x:v>
      </x:c>
      <x:c r="H20" s="88" t="n">
        <x:f>IF(D20=0,0,D20/(E20*G20))</x:f>
        <x:v>0.002162111704719091</x:v>
      </x:c>
      <x:c r="I20" s="36" t="n">
        <x:f>F20*H20</x:f>
        <x:v>438.63635598696686</x:v>
      </x:c>
      <x:c r="J20" s="88" t="n">
        <x:f>'05 Division Pools'!L10</x:f>
        <x:v>1</x:v>
      </x:c>
      <x:c r="K20" s="36" t="n">
        <x:f>F20*J20</x:f>
        <x:v>202874.04902789518</x:v>
      </x:c>
      <x:c r="L20" s="36" t="n">
        <x:f>MIN(I20,K20)</x:f>
        <x:v>438.63635598696686</x:v>
      </x:c>
      <x:c r="M20" s="40" t="n">
        <x:f>L20/('05 Division Pools'!K10)</x:f>
        <x:v>0.8648446818876364</x:v>
      </x:c>
      <x:c r="N20" t="str">
        <x:v>Casual player: below-stage baseline but still eligible if active enough.</x:v>
      </x:c>
    </x:row>
    <x:row r="21">
      <x:c r="A21" s="34" t="str">
        <x:f>'04 Score Calc'!A21</x:f>
        <x:v>Tycoon</x:v>
      </x:c>
      <x:c r="B21" s="34" t="str">
        <x:f>'04 Score Calc'!B21</x:f>
        <x:v>Baseline</x:v>
      </x:c>
      <x:c r="C21" s="76" t="n">
        <x:f>'04 Score Calc'!AB21</x:f>
        <x:v>97.716859268</x:v>
      </x:c>
      <x:c r="D21" s="76" t="n">
        <x:f>'04 Score Calc'!AD21</x:f>
        <x:v>49.14440426183007</x:v>
      </x:c>
      <x:c r="E21" s="38" t="n">
        <x:f>'05 Division Pools'!C10</x:f>
        <x:v>400</x:v>
      </x:c>
      <x:c r="F21" s="36" t="n">
        <x:f>'05 Division Pools'!G10</x:f>
        <x:v>202874.04902789518</x:v>
      </x:c>
      <x:c r="G21" s="36" t="n">
        <x:f>'05 Division Pools'!I10</x:f>
        <x:v>49.14440426183007</x:v>
      </x:c>
      <x:c r="H21" s="88" t="n">
        <x:f>IF(D21=0,0,D21/(E21*G21))</x:f>
        <x:v>0.0025</x:v>
      </x:c>
      <x:c r="I21" s="36" t="n">
        <x:f>F21*H21</x:f>
        <x:v>507.1851225697379</x:v>
      </x:c>
      <x:c r="J21" s="88" t="n">
        <x:f>'05 Division Pools'!L10</x:f>
        <x:v>1</x:v>
      </x:c>
      <x:c r="K21" s="36" t="n">
        <x:f>F21*J21</x:f>
        <x:v>202874.04902789518</x:v>
      </x:c>
      <x:c r="L21" s="36" t="n">
        <x:f>MIN(I21,K21)</x:f>
        <x:v>507.1851225697379</x:v>
      </x:c>
      <x:c r="M21" s="40" t="n">
        <x:f>L21/('05 Division Pools'!K10)</x:f>
        <x:v>1</x:v>
      </x:c>
      <x:c r="N21" t="str">
        <x:v>Representative healthy operator at stage baseline.</x:v>
      </x:c>
    </x:row>
    <x:row r="22">
      <x:c r="A22" s="34" t="str">
        <x:f>'04 Score Calc'!A22</x:f>
        <x:v>Tycoon</x:v>
      </x:c>
      <x:c r="B22" s="34" t="str">
        <x:f>'04 Score Calc'!B22</x:f>
        <x:v>High Performer</x:v>
      </x:c>
      <x:c r="C22" s="76" t="n">
        <x:f>'04 Score Calc'!AB22</x:f>
        <x:v>108.36300755503723</x:v>
      </x:c>
      <x:c r="D22" s="76" t="n">
        <x:f>'04 Score Calc'!AD22</x:f>
        <x:v>53.65978059768173</x:v>
      </x:c>
      <x:c r="E22" s="38" t="n">
        <x:f>'05 Division Pools'!C10</x:f>
        <x:v>400</x:v>
      </x:c>
      <x:c r="F22" s="36" t="n">
        <x:f>'05 Division Pools'!G10</x:f>
        <x:v>202874.04902789518</x:v>
      </x:c>
      <x:c r="G22" s="36" t="n">
        <x:f>'05 Division Pools'!I10</x:f>
        <x:v>49.14440426183007</x:v>
      </x:c>
      <x:c r="H22" s="88" t="n">
        <x:f>IF(D22=0,0,D22/(E22*G22))</x:f>
        <x:v>0.002729699413578949</x:v>
      </x:c>
      <x:c r="I22" s="36" t="n">
        <x:f>F22*H22</x:f>
        <x:v>553.7851726618323</x:v>
      </x:c>
      <x:c r="J22" s="88" t="n">
        <x:f>'05 Division Pools'!L10</x:f>
        <x:v>1</x:v>
      </x:c>
      <x:c r="K22" s="36" t="n">
        <x:f>F22*J22</x:f>
        <x:v>202874.04902789518</x:v>
      </x:c>
      <x:c r="L22" s="36" t="n">
        <x:f>MIN(I22,K22)</x:f>
        <x:v>553.7851726618323</x:v>
      </x:c>
      <x:c r="M22" s="40" t="n">
        <x:f>L22/('05 Division Pools'!K10)</x:f>
        <x:v>1.0918797654315795</x:v>
      </x:c>
      <x:c r="N22" t="str">
        <x:v>High performer: stronger payout, but compressed by diminishing returns and caps.</x:v>
      </x:c>
    </x:row>
    <x:row r="24">
      <x:c r="A24" s="70" t="str">
        <x:v>* Settlement Note</x:v>
      </x:c>
      <x:c r="B24" s="70" t="str">
        <x:v>If a player is capped, overflow is redistributed pro-rata to uncapped eligible players during final settlement. This table does not perform the second redistribution pass.</x:v>
      </x:c>
      <x:c r="C24" s="70" t="str"/>
      <x:c r="D24" s="70" t="str"/>
      <x:c r="E24" s="70" t="str"/>
      <x:c r="F24" s="70" t="str"/>
      <x:c r="G24" s="70" t="str"/>
      <x:c r="H24" s="70" t="str"/>
      <x:c r="I24" s="70" t="str"/>
      <x:c r="J24" s="70" t="str"/>
      <x:c r="K24" s="70" t="str"/>
      <x:c r="L24" s="70" t="str"/>
      <x:c r="M24" s="70" t="str"/>
      <x:c r="N24" s="70" t="str"/>
    </x:row>
    <x:row r="25">
      <x:c r="A25" t="str">
        <x:v>Why stage pools?</x:v>
      </x:c>
      <x:c r="B25" t="str">
        <x:v>Raw Tycoon activity is millions of times larger than a Humble kiosk economy. Stage-normalized divisions preserve meaningful competition at every progression level.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</x:row>
    <x:row r="26">
      <x:c r="A26" t="str">
        <x:v>Why stage weights?</x:v>
      </x:c>
      <x:c r="B26" t="str">
        <x:v>Higher progression still earns a higher expected payout per average player without allowing raw financial scale to consume the entire pool.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</x:row>
    <x:row r="27">
      <x:c r="A27" t="str">
        <x:v>Why score exponent?</x:v>
      </x:c>
      <x:c r="B27" t="str">
        <x:v>A sub-1 exponent compresses payout differences after performance is measured, reducing winner-take-all dynamics.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</x:row>
  </x:sheetData>
  <x:mergeCells>
    <x:mergeCell ref="A1:N1"/>
    <x:mergeCell ref="A2:N2"/>
  </x:mergeCells>
  <x:conditionalFormatting sqref="L5:L2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{3F934115-641C-2290-4542-E4BC7C4FD58C}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F934115-641C-2290-4542-E4BC7C4FD58C}">
            <x14:dataBar gradient="1">
              <x14:cfvo type="min"/>
              <x14:cfvo type="max"/>
              <x14:fillColor rgb="FFA02B93"/>
            </x14:dataBar>
          </x14:cfRule>
          <xm:sqref>L5:L22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7" hidden="0" customWidth="1"/>
    <x:col min="4" max="4" width="23" hidden="0" customWidth="1"/>
    <x:col min="5" max="5" width="19" hidden="0" customWidth="1"/>
    <x:col min="6" max="6" width="31" hidden="0" customWidth="1"/>
    <x:col min="7" max="7" width="22" hidden="0" customWidth="1"/>
    <x:col min="8" max="8" width="16" hidden="0" customWidth="1"/>
    <x:col min="9" max="9" width="31" hidden="0" customWidth="1"/>
  </x:cols>
  <x:sheetData>
    <x:row r="1" ht="28" customHeight="1">
      <x:c r="A1" s="5" t="str">
        <x:v>Payout Eligibility &amp; Metric Qualification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2" t="str">
        <x:v>Eligibility is intentionally separate from score. A player can have a high raw metric but still be ineligible if the activity is too new, too concentrated, or fails integrity checks.</x:v>
      </x:c>
      <x:c r="B2" s="12"/>
      <x:c r="C2" s="12"/>
      <x:c r="D2" s="12"/>
      <x:c r="E2" s="12"/>
      <x:c r="F2" s="12"/>
      <x:c r="G2" s="12"/>
      <x:c r="H2" s="12"/>
      <x:c r="I2" s="12"/>
    </x:row>
    <x:row r="4" ht="22" customHeight="1">
      <x:c r="A4" s="30" t="str">
        <x:v>Eligibility Gates</x:v>
      </x:c>
      <x:c r="B4" s="30"/>
      <x:c r="C4" s="30"/>
      <x:c r="D4" s="30"/>
      <x:c r="E4" s="30"/>
      <x:c r="F4" s="30"/>
      <x:c r="G4" s="30"/>
      <x:c r="H4" s="30"/>
      <x:c r="I4" s="30"/>
    </x:row>
    <x:row r="5">
      <x:c r="A5" s="20" t="str">
        <x:v>Gate</x:v>
      </x:c>
      <x:c r="B5" s="20" t="str">
        <x:v>Default</x:v>
      </x:c>
      <x:c r="C5" s="20" t="str">
        <x:v>Unit</x:v>
      </x:c>
      <x:c r="D5" s="20" t="str">
        <x:v>Required?</x:v>
      </x:c>
      <x:c r="E5" s="20" t="str">
        <x:v>Reason</x:v>
      </x:c>
      <x:c r="F5" s="20" t="str">
        <x:v>Failure Result</x:v>
      </x:c>
      <x:c r="G5" s="20" t="str">
        <x:v>Server Source</x:v>
      </x:c>
      <x:c r="H5" s="20" t="str">
        <x:v>Appeal?</x:v>
      </x:c>
      <x:c r="I5" s="20" t="str">
        <x:v>Tuning</x:v>
      </x:c>
    </x:row>
    <x:row r="6">
      <x:c r="A6" t="str">
        <x:v>Minimum Performance Score</x:v>
      </x:c>
      <x:c r="B6" s="48" t="n">
        <x:v>35</x:v>
      </x:c>
      <x:c r="C6" t="str">
        <x:v>score</x:v>
      </x:c>
      <x:c r="D6" t="str">
        <x:v>Yes</x:v>
      </x:c>
      <x:c r="E6" t="str">
        <x:v>Avoids dust rewards to essentially inactive accounts.</x:v>
      </x:c>
      <x:c r="F6" t="str">
        <x:v>No payout</x:v>
      </x:c>
      <x:c r="G6" t="str">
        <x:v>Performance service</x:v>
      </x:c>
      <x:c r="H6" t="str">
        <x:v>No</x:v>
      </x:c>
      <x:c r="I6" t="str">
        <x:v>Weekly</x:v>
      </x:c>
    </x:row>
    <x:row r="7">
      <x:c r="A7" t="str">
        <x:v>Minimum Active Days</x:v>
      </x:c>
      <x:c r="B7" s="48" t="n">
        <x:v>3</x:v>
      </x:c>
      <x:c r="C7" t="str">
        <x:v>days</x:v>
      </x:c>
      <x:c r="D7" t="str">
        <x:v>Yes</x:v>
      </x:c>
      <x:c r="E7" t="str">
        <x:v>Requires sustained participation across epoch.</x:v>
      </x:c>
      <x:c r="F7" t="str">
        <x:v>No payout</x:v>
      </x:c>
      <x:c r="G7" t="str">
        <x:v>Session/action logs</x:v>
      </x:c>
      <x:c r="H7" t="str">
        <x:v>No</x:v>
      </x:c>
      <x:c r="I7" t="str">
        <x:v>Seasonal</x:v>
      </x:c>
    </x:row>
    <x:row r="8">
      <x:c r="A8" t="str">
        <x:v>Minimum Plot Age</x:v>
      </x:c>
      <x:c r="B8" s="48" t="n">
        <x:v>72</x:v>
      </x:c>
      <x:c r="C8" t="str">
        <x:v>hours</x:v>
      </x:c>
      <x:c r="D8" t="str">
        <x:v>Yes</x:v>
      </x:c>
      <x:c r="E8" t="str">
        <x:v>Reduces instant farm-account creation.</x:v>
      </x:c>
      <x:c r="F8" t="str">
        <x:v>No payout</x:v>
      </x:c>
      <x:c r="G8" t="str">
        <x:v>Plot ownership</x:v>
      </x:c>
      <x:c r="H8" t="str">
        <x:v>No</x:v>
      </x:c>
      <x:c r="I8" t="str">
        <x:v>Rare</x:v>
      </x:c>
    </x:row>
    <x:row r="9">
      <x:c r="A9" t="str">
        <x:v>Valid Wallet</x:v>
      </x:c>
      <x:c r="B9" s="48" t="n">
        <x:v>1</x:v>
      </x:c>
      <x:c r="C9" t="str">
        <x:v>boolean</x:v>
      </x:c>
      <x:c r="D9" t="str">
        <x:v>Yes</x:v>
      </x:c>
      <x:c r="E9" t="str">
        <x:v>Payout destination must be valid.</x:v>
      </x:c>
      <x:c r="F9" t="str">
        <x:v>Hold payout</x:v>
      </x:c>
      <x:c r="G9" t="str">
        <x:v>Wallet service</x:v>
      </x:c>
      <x:c r="H9" t="str">
        <x:v>Yes</x:v>
      </x:c>
      <x:c r="I9" t="str">
        <x:v>No</x:v>
      </x:c>
    </x:row>
    <x:row r="10">
      <x:c r="A10" t="str">
        <x:v>Integrity Status</x:v>
      </x:c>
      <x:c r="B10" s="48" t="str">
        <x:v>Clean</x:v>
      </x:c>
      <x:c r="C10" t="str">
        <x:v>state</x:v>
      </x:c>
      <x:c r="D10" t="str">
        <x:v>Yes</x:v>
      </x:c>
      <x:c r="E10" t="str">
        <x:v>Cheat/sybil flags require review.</x:v>
      </x:c>
      <x:c r="F10" t="str">
        <x:v>Hold / reject</x:v>
      </x:c>
      <x:c r="G10" t="str">
        <x:v>Risk service</x:v>
      </x:c>
      <x:c r="H10" t="str">
        <x:v>Yes</x:v>
      </x:c>
      <x:c r="I10" t="str">
        <x:v>Continuous</x:v>
      </x:c>
    </x:row>
    <x:row r="11">
      <x:c r="A11" t="str">
        <x:v>Economic Activity</x:v>
      </x:c>
      <x:c r="B11" s="48" t="str">
        <x:v>&gt;0</x:v>
      </x:c>
      <x:c r="C11" t="str">
        <x:v>eligible activity</x:v>
      </x:c>
      <x:c r="D11" t="str">
        <x:v>Yes</x:v>
      </x:c>
      <x:c r="E11" t="str">
        <x:v>Passive ownership alone does not qualify.</x:v>
      </x:c>
      <x:c r="F11" t="str">
        <x:v>No payout</x:v>
      </x:c>
      <x:c r="G11" t="str">
        <x:v>Simulation backend</x:v>
      </x:c>
      <x:c r="H11" t="str">
        <x:v>No</x:v>
      </x:c>
      <x:c r="I11" t="str">
        <x:v>No</x:v>
      </x:c>
    </x:row>
    <x:row r="12">
      <x:c r="A12" t="str">
        <x:v>Active Customers</x:v>
      </x:c>
      <x:c r="B12" s="48" t="str">
        <x:v>&gt;0</x:v>
      </x:c>
      <x:c r="C12" t="str">
        <x:v>customers</x:v>
      </x:c>
      <x:c r="D12" t="str">
        <x:v>Yes</x:v>
      </x:c>
      <x:c r="E12" t="str">
        <x:v>Requires actual operating business.</x:v>
      </x:c>
      <x:c r="F12" t="str">
        <x:v>No payout</x:v>
      </x:c>
      <x:c r="G12" t="str">
        <x:v>Customer backend</x:v>
      </x:c>
      <x:c r="H12" t="str">
        <x:v>No</x:v>
      </x:c>
      <x:c r="I12" t="str">
        <x:v>No</x:v>
      </x:c>
    </x:row>
    <x:row r="13">
      <x:c r="A13" t="str">
        <x:v>Settlement Snapshot</x:v>
      </x:c>
      <x:c r="B13" s="48" t="str">
        <x:v>Finalized</x:v>
      </x:c>
      <x:c r="C13" t="str">
        <x:v>state</x:v>
      </x:c>
      <x:c r="D13" t="str">
        <x:v>Yes</x:v>
      </x:c>
      <x:c r="E13" t="str">
        <x:v>Prevents late mutation of weekly score.</x:v>
      </x:c>
      <x:c r="F13" t="str">
        <x:v>Hold payout</x:v>
      </x:c>
      <x:c r="G13" t="str">
        <x:v>Epoch service</x:v>
      </x:c>
      <x:c r="H13" t="str">
        <x:v>No</x:v>
      </x:c>
      <x:c r="I13" t="str">
        <x:v>No</x:v>
      </x:c>
    </x:row>
    <x:row r="14">
      <x:c r="A14" t="str">
        <x:v>Claim Window</x:v>
      </x:c>
      <x:c r="B14" s="48" t="n">
        <x:v>30</x:v>
      </x:c>
      <x:c r="C14" t="str">
        <x:v>days</x:v>
      </x:c>
      <x:c r="D14" t="str">
        <x:v>No</x:v>
      </x:c>
      <x:c r="E14" t="str">
        <x:v>Limits indefinitely outstanding claims.</x:v>
      </x:c>
      <x:c r="F14" t="str">
        <x:v>Roll after expiry</x:v>
      </x:c>
      <x:c r="G14" t="str">
        <x:v>Rewards service</x:v>
      </x:c>
      <x:c r="H14" t="str">
        <x:v>No</x:v>
      </x:c>
      <x:c r="I14" t="str">
        <x:v>Rare</x:v>
      </x:c>
    </x:row>
    <x:row r="15">
      <x:c r="B15" s="48"/>
    </x:row>
    <x:row r="17" ht="22" customHeight="1">
      <x:c r="A17" s="30" t="str">
        <x:v>Eligible vs Excluded Economic Inputs</x:v>
      </x:c>
      <x:c r="B17" s="30"/>
      <x:c r="C17" s="30"/>
      <x:c r="D17" s="30"/>
      <x:c r="E17" s="30"/>
      <x:c r="F17" s="30"/>
      <x:c r="G17" s="30"/>
      <x:c r="H17" s="30"/>
      <x:c r="I17" s="30"/>
    </x:row>
    <x:row r="18">
      <x:c r="A18" s="20" t="str">
        <x:v>Input</x:v>
      </x:c>
      <x:c r="B18" s="20" t="str">
        <x:v>Counts as Revenue?</x:v>
      </x:c>
      <x:c r="C18" s="20" t="str">
        <x:v>Counts as Activity?</x:v>
      </x:c>
      <x:c r="D18" s="20" t="str">
        <x:v>Counts as Customer Growth?</x:v>
      </x:c>
      <x:c r="E18" s="20" t="str">
        <x:v>Counts toward Score?</x:v>
      </x:c>
      <x:c r="F18" s="20" t="str">
        <x:v>Reason</x:v>
      </x:c>
      <x:c r="G18" s="20" t="str">
        <x:v>Validation</x:v>
      </x:c>
      <x:c r="H18" s="20" t="str">
        <x:v>Cap</x:v>
      </x:c>
      <x:c r="I18" s="20" t="str">
        <x:v>Notes</x:v>
      </x:c>
    </x:row>
    <x:row r="19">
      <x:c r="A19" t="str">
        <x:v>Business operating revenue</x:v>
      </x:c>
      <x:c r="B19" t="str">
        <x:v>Yes</x:v>
      </x:c>
      <x:c r="C19" t="str">
        <x:v>If tied to service activity</x:v>
      </x:c>
      <x:c r="D19" t="str">
        <x:v>No</x:v>
      </x:c>
      <x:c r="E19" t="str">
        <x:v>Yes</x:v>
      </x:c>
      <x:c r="F19" t="str">
        <x:v>Core productive output</x:v>
      </x:c>
      <x:c r="G19" t="str">
        <x:v>Server generated</x:v>
      </x:c>
      <x:c r="H19" t="str">
        <x:v>Component caps</x:v>
      </x:c>
      <x:c r="I19" t="str">
        <x:v>Net of operating costs</x:v>
      </x:c>
    </x:row>
    <x:row r="20">
      <x:c r="A20" t="str">
        <x:v>Customer transactions</x:v>
      </x:c>
      <x:c r="B20" t="str">
        <x:v>No</x:v>
      </x:c>
      <x:c r="C20" t="str">
        <x:v>Yes</x:v>
      </x:c>
      <x:c r="D20" t="str">
        <x:v>No</x:v>
      </x:c>
      <x:c r="E20" t="str">
        <x:v>Yes</x:v>
      </x:c>
      <x:c r="F20" t="str">
        <x:v>Core economic activity</x:v>
      </x:c>
      <x:c r="G20" t="str">
        <x:v>Server generated</x:v>
      </x:c>
      <x:c r="H20" t="str">
        <x:v>Anomaly limits</x:v>
      </x:c>
      <x:c r="I20" t="str">
        <x:v>Deduplicate spam</x:v>
      </x:c>
    </x:row>
    <x:row r="21">
      <x:c r="A21" t="str">
        <x:v>New retained customers</x:v>
      </x:c>
      <x:c r="B21" t="str">
        <x:v>No</x:v>
      </x:c>
      <x:c r="C21" t="str">
        <x:v>Indirectly</x:v>
      </x:c>
      <x:c r="D21" t="str">
        <x:v>Yes</x:v>
      </x:c>
      <x:c r="E21" t="str">
        <x:v>Yes</x:v>
      </x:c>
      <x:c r="F21" t="str">
        <x:v>Healthy growth</x:v>
      </x:c>
      <x:c r="G21" t="str">
        <x:v>Retention window</x:v>
      </x:c>
      <x:c r="H21" t="str">
        <x:v>Growth cap</x:v>
      </x:c>
      <x:c r="I21" t="str">
        <x:v>Must remain active</x:v>
      </x:c>
    </x:row>
    <x:row r="22">
      <x:c r="A22" t="str">
        <x:v>Purchased Cash</x:v>
      </x:c>
      <x:c r="B22" t="str">
        <x:v>No</x:v>
      </x:c>
      <x:c r="C22" t="str">
        <x:v>No</x:v>
      </x:c>
      <x:c r="D22" t="str">
        <x:v>No</x:v>
      </x:c>
      <x:c r="E22" t="str">
        <x:v>No</x:v>
      </x:c>
      <x:c r="F22" t="str">
        <x:v>Would make score pay-to-win</x:v>
      </x:c>
      <x:c r="G22" t="str">
        <x:v>Payment ledger</x:v>
      </x:c>
      <x:c r="H22" t="str">
        <x:v>N/A</x:v>
      </x:c>
      <x:c r="I22" t="str">
        <x:v>Never eligible</x:v>
      </x:c>
    </x:row>
    <x:row r="23">
      <x:c r="A23" t="str">
        <x:v>Wallet deposits/transfers</x:v>
      </x:c>
      <x:c r="B23" t="str">
        <x:v>No</x:v>
      </x:c>
      <x:c r="C23" t="str">
        <x:v>No</x:v>
      </x:c>
      <x:c r="D23" t="str">
        <x:v>No</x:v>
      </x:c>
      <x:c r="E23" t="str">
        <x:v>No</x:v>
      </x:c>
      <x:c r="F23" t="str">
        <x:v>Capital movement is not business performance</x:v>
      </x:c>
      <x:c r="G23" t="str">
        <x:v>Wallet ledger</x:v>
      </x:c>
      <x:c r="H23" t="str">
        <x:v>N/A</x:v>
      </x:c>
      <x:c r="I23" t="str">
        <x:v>Never eligible</x:v>
      </x:c>
    </x:row>
    <x:row r="24">
      <x:c r="A24" t="str">
        <x:v>Login bonus</x:v>
      </x:c>
      <x:c r="B24" t="str">
        <x:v>No</x:v>
      </x:c>
      <x:c r="C24" t="str">
        <x:v>No</x:v>
      </x:c>
      <x:c r="D24" t="str">
        <x:v>No</x:v>
      </x:c>
      <x:c r="E24" t="str">
        <x:v>No</x:v>
      </x:c>
      <x:c r="F24" t="str">
        <x:v>Promotional value is not production</x:v>
      </x:c>
      <x:c r="G24" t="str">
        <x:v>Rewards ledger</x:v>
      </x:c>
      <x:c r="H24" t="str">
        <x:v>N/A</x:v>
      </x:c>
      <x:c r="I24" t="str">
        <x:v>Can be spent normally</x:v>
      </x:c>
    </x:row>
    <x:row r="25">
      <x:c r="A25" t="str">
        <x:v>Admin compensation</x:v>
      </x:c>
      <x:c r="B25" t="str">
        <x:v>Default No</x:v>
      </x:c>
      <x:c r="C25" t="str">
        <x:v>Default No</x:v>
      </x:c>
      <x:c r="D25" t="str">
        <x:v>No</x:v>
      </x:c>
      <x:c r="E25" t="str">
        <x:v>Default No</x:v>
      </x:c>
      <x:c r="F25" t="str">
        <x:v>Avoid manual score distortion</x:v>
      </x:c>
      <x:c r="G25" t="str">
        <x:v>Admin ledger</x:v>
      </x:c>
      <x:c r="H25" t="str">
        <x:v>N/A</x:v>
      </x:c>
      <x:c r="I25" t="str">
        <x:v>Can be explicitly whitelisted only</x:v>
      </x:c>
    </x:row>
    <x:row r="26">
      <x:c r="A26" t="str">
        <x:v>Refunds/reversals</x:v>
      </x:c>
      <x:c r="B26" t="str">
        <x:v>No</x:v>
      </x:c>
      <x:c r="C26" t="str">
        <x:v>No</x:v>
      </x:c>
      <x:c r="D26" t="str">
        <x:v>No</x:v>
      </x:c>
      <x:c r="E26" t="str">
        <x:v>No</x:v>
      </x:c>
      <x:c r="F26" t="str">
        <x:v>Not productive output</x:v>
      </x:c>
      <x:c r="G26" t="str">
        <x:v>Ledger</x:v>
      </x:c>
      <x:c r="H26" t="str">
        <x:v>N/A</x:v>
      </x:c>
      <x:c r="I26" t="str">
        <x:v>Reverse prior eligible value if needed</x:v>
      </x:c>
    </x:row>
    <x:row r="27">
      <x:c r="A27" t="str">
        <x:v>Market Hunt completion</x:v>
      </x:c>
      <x:c r="B27" t="str">
        <x:v>No</x:v>
      </x:c>
      <x:c r="C27" t="str">
        <x:v>Mission activity</x:v>
      </x:c>
      <x:c r="D27" t="str">
        <x:v>No</x:v>
      </x:c>
      <x:c r="E27" t="str">
        <x:v>Yes</x:v>
      </x:c>
      <x:c r="F27" t="str">
        <x:v>Active stock-discovery gameplay</x:v>
      </x:c>
      <x:c r="G27" t="str">
        <x:v>Mission service</x:v>
      </x:c>
      <x:c r="H27" t="str">
        <x:v>100 index</x:v>
      </x:c>
      <x:c r="I27" t="str">
        <x:v>Separate 5% component</x:v>
      </x:c>
    </x:row>
    <x:row r="28">
      <x:c r="A28" t="str">
        <x:v>Stock reward value</x:v>
      </x:c>
      <x:c r="B28" t="str">
        <x:v>No</x:v>
      </x:c>
      <x:c r="C28" t="str">
        <x:v>No</x:v>
      </x:c>
      <x:c r="D28" t="str">
        <x:v>No</x:v>
      </x:c>
      <x:c r="E28" t="str">
        <x:v>No</x:v>
      </x:c>
      <x:c r="F28" t="str">
        <x:v>Reward outcome should not recursively increase score</x:v>
      </x:c>
      <x:c r="G28" t="str">
        <x:v>Portfolio ledger</x:v>
      </x:c>
      <x:c r="H28" t="str">
        <x:v>N/A</x:v>
      </x:c>
      <x:c r="I28" t="str">
        <x:v>Collection system only</x:v>
      </x:c>
    </x:row>
    <x:row r="29">
      <x:c r="A29" t="str">
        <x:v>$PLOT received</x:v>
      </x:c>
      <x:c r="B29" t="str">
        <x:v>No</x:v>
      </x:c>
      <x:c r="C29" t="str">
        <x:v>No</x:v>
      </x:c>
      <x:c r="D29" t="str">
        <x:v>No</x:v>
      </x:c>
      <x:c r="E29" t="str">
        <x:v>No</x:v>
      </x:c>
      <x:c r="F29" t="str">
        <x:v>Payout cannot generate more payout score</x:v>
      </x:c>
      <x:c r="G29" t="str">
        <x:v>Token ledger</x:v>
      </x:c>
      <x:c r="H29" t="str">
        <x:v>N/A</x:v>
      </x:c>
      <x:c r="I29" t="str">
        <x:v>No reflexive farming</x:v>
      </x:c>
    </x:row>
  </x:sheetData>
  <x:mergeCells>
    <x:mergeCell ref="A1:I1"/>
    <x:mergeCell ref="A2:I2"/>
    <x:mergeCell ref="A4:I4"/>
    <x:mergeCell ref="A17:I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28" hidden="0" customWidth="1"/>
    <x:col min="4" max="4" width="27" hidden="0" customWidth="1"/>
    <x:col min="5" max="5" width="20" hidden="0" customWidth="1"/>
    <x:col min="6" max="6" width="24" hidden="0" customWidth="1"/>
    <x:col min="7" max="7" width="30" hidden="0" customWidth="1"/>
    <x:col min="8" max="8" width="18" hidden="0" customWidth="1"/>
    <x:col min="9" max="9" width="18" hidden="0" customWidth="1"/>
  </x:cols>
  <x:sheetData>
    <x:row r="1" ht="28" customHeight="1">
      <x:c r="A1" s="5" t="str">
        <x:v>Economic Integrity &amp; Anti-Abuse Rules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2" t="str">
        <x:v>Because $PLOT and stock rewards can carry value, reward logic must be server-authoritative and designed under the assumption that players will automate or multi-account the system.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20" t="str">
        <x:v>Threat</x:v>
      </x:c>
      <x:c r="B4" s="20" t="str">
        <x:v>Example</x:v>
      </x:c>
      <x:c r="C4" s="20" t="str">
        <x:v>Detection Signal</x:v>
      </x:c>
      <x:c r="D4" s="20" t="str">
        <x:v>Preventive Rule</x:v>
      </x:c>
      <x:c r="E4" s="20" t="str">
        <x:v>Score Treatment</x:v>
      </x:c>
      <x:c r="F4" s="20" t="str">
        <x:v>Payout Treatment</x:v>
      </x:c>
      <x:c r="G4" s="20" t="str">
        <x:v>Severity</x:v>
      </x:c>
      <x:c r="H4" s="20" t="str">
        <x:v>Review</x:v>
      </x:c>
      <x:c r="I4" s="20" t="str">
        <x:v>Owner</x:v>
      </x:c>
    </x:row>
    <x:row r="5">
      <x:c r="A5" t="str">
        <x:v>Action spam</x:v>
      </x:c>
      <x:c r="B5" t="str">
        <x:v>Thousands of low-value repeated transactions</x:v>
      </x:c>
      <x:c r="C5" t="str">
        <x:v>Unnatural frequency / repeated pattern</x:v>
      </x:c>
      <x:c r="D5" t="str">
        <x:v>Per-service activity uniqueness rules</x:v>
      </x:c>
      <x:c r="E5" t="str">
        <x:v>Excess activity excluded</x:v>
      </x:c>
      <x:c r="F5" t="str">
        <x:v>Normal payout after clean score</x:v>
      </x:c>
      <x:c r="G5" t="str">
        <x:v>Medium</x:v>
      </x:c>
      <x:c r="H5" t="str">
        <x:v>Automated</x:v>
      </x:c>
      <x:c r="I5" t="str">
        <x:v>Game backend</x:v>
      </x:c>
    </x:row>
    <x:row r="6">
      <x:c r="A6" t="str">
        <x:v>Multi-account farming</x:v>
      </x:c>
      <x:c r="B6" t="str">
        <x:v>Many fresh Plots controlled together</x:v>
      </x:c>
      <x:c r="C6" t="str">
        <x:v>Wallet/device/action clustering</x:v>
      </x:c>
      <x:c r="D6" t="str">
        <x:v>72h Plot age + identity heuristics</x:v>
      </x:c>
      <x:c r="E6" t="str">
        <x:v>Flag related activity</x:v>
      </x:c>
      <x:c r="F6" t="str">
        <x:v>Hold pending review</x:v>
      </x:c>
      <x:c r="G6" t="str">
        <x:v>High</x:v>
      </x:c>
      <x:c r="H6" t="str">
        <x:v>Hybrid</x:v>
      </x:c>
      <x:c r="I6" t="str">
        <x:v>Risk</x:v>
      </x:c>
    </x:row>
    <x:row r="7">
      <x:c r="A7" t="str">
        <x:v>Self-referral loops</x:v>
      </x:c>
      <x:c r="B7" t="str">
        <x:v>Accounts create customers for each other</x:v>
      </x:c>
      <x:c r="C7" t="str">
        <x:v>Circular referral graph</x:v>
      </x:c>
      <x:c r="D7" t="str">
        <x:v>Referral/customer uniqueness rules</x:v>
      </x:c>
      <x:c r="E7" t="str">
        <x:v>Exclude growth</x:v>
      </x:c>
      <x:c r="F7" t="str">
        <x:v>Hold if material</x:v>
      </x:c>
      <x:c r="G7" t="str">
        <x:v>High</x:v>
      </x:c>
      <x:c r="H7" t="str">
        <x:v>Automated</x:v>
      </x:c>
      <x:c r="I7" t="str">
        <x:v>Customer service</x:v>
      </x:c>
    </x:row>
    <x:row r="8">
      <x:c r="A8" t="str">
        <x:v>Purchased score</x:v>
      </x:c>
      <x:c r="B8" t="str">
        <x:v>Buy Cash then cycle through businesses</x:v>
      </x:c>
      <x:c r="C8" t="str">
        <x:v>Payment ledger → unusual activity</x:v>
      </x:c>
      <x:c r="D8" t="str">
        <x:v>Purchased Cash tagged non-eligible</x:v>
      </x:c>
      <x:c r="E8" t="str">
        <x:v>No revenue credit</x:v>
      </x:c>
      <x:c r="F8" t="str">
        <x:v>Normal if otherwise clean</x:v>
      </x:c>
      <x:c r="G8" t="str">
        <x:v>High</x:v>
      </x:c>
      <x:c r="H8" t="str">
        <x:v>Automated</x:v>
      </x:c>
      <x:c r="I8" t="str">
        <x:v>Ledger</x:v>
      </x:c>
    </x:row>
    <x:row r="9">
      <x:c r="A9" t="str">
        <x:v>Fake utilization</x:v>
      </x:c>
      <x:c r="B9" t="str">
        <x:v>Keep building permanently at 100% via spam</x:v>
      </x:c>
      <x:c r="C9" t="str">
        <x:v>Perfect utilization + low diversity</x:v>
      </x:c>
      <x:c r="D9" t="str">
        <x:v>Utilization quality declines &gt;90%</x:v>
      </x:c>
      <x:c r="E9" t="str">
        <x:v>Lower utilization index</x:v>
      </x:c>
      <x:c r="F9" t="str">
        <x:v>Normal</x:v>
      </x:c>
      <x:c r="G9" t="str">
        <x:v>Medium</x:v>
      </x:c>
      <x:c r="H9" t="str">
        <x:v>Automated</x:v>
      </x:c>
      <x:c r="I9" t="str">
        <x:v>Simulation</x:v>
      </x:c>
    </x:row>
    <x:row r="10">
      <x:c r="A10" t="str">
        <x:v>Market Hunt bot</x:v>
      </x:c>
      <x:c r="B10" t="str">
        <x:v>Perfect mission completion timing</x:v>
      </x:c>
      <x:c r="C10" t="str">
        <x:v>Near-zero reaction variance</x:v>
      </x:c>
      <x:c r="D10" t="str">
        <x:v>Daily mission caps + behavioral checks</x:v>
      </x:c>
      <x:c r="E10" t="str">
        <x:v>Exclude invalid hunts</x:v>
      </x:c>
      <x:c r="F10" t="str">
        <x:v>Hold if repeated</x:v>
      </x:c>
      <x:c r="G10" t="str">
        <x:v>Medium</x:v>
      </x:c>
      <x:c r="H10" t="str">
        <x:v>Automated</x:v>
      </x:c>
      <x:c r="I10" t="str">
        <x:v>Mission service</x:v>
      </x:c>
    </x:row>
    <x:row r="11">
      <x:c r="A11" t="str">
        <x:v>Client tampering</x:v>
      </x:c>
      <x:c r="B11" t="str">
        <x:v>Client reports fake Cash or score</x:v>
      </x:c>
      <x:c r="C11" t="str">
        <x:v>Client/server mismatch</x:v>
      </x:c>
      <x:c r="D11" t="str">
        <x:v>Server authoritative calculations</x:v>
      </x:c>
      <x:c r="E11" t="str">
        <x:v>Ignore client values</x:v>
      </x:c>
      <x:c r="F11" t="str">
        <x:v>Reject fraudulent claim</x:v>
      </x:c>
      <x:c r="G11" t="str">
        <x:v>Critical</x:v>
      </x:c>
      <x:c r="H11" t="str">
        <x:v>Automated</x:v>
      </x:c>
      <x:c r="I11" t="str">
        <x:v>Backend</x:v>
      </x:c>
    </x:row>
    <x:row r="12">
      <x:c r="A12" t="str">
        <x:v>Wash activity</x:v>
      </x:c>
      <x:c r="B12" t="str">
        <x:v>Circular or zero-economic-value actions</x:v>
      </x:c>
      <x:c r="C12" t="str">
        <x:v>Repeated counterparties / value loops</x:v>
      </x:c>
      <x:c r="D12" t="str">
        <x:v>Activity qualification rules</x:v>
      </x:c>
      <x:c r="E12" t="str">
        <x:v>Exclude affected activity</x:v>
      </x:c>
      <x:c r="F12" t="str">
        <x:v>Hold if material</x:v>
      </x:c>
      <x:c r="G12" t="str">
        <x:v>High</x:v>
      </x:c>
      <x:c r="H12" t="str">
        <x:v>Hybrid</x:v>
      </x:c>
      <x:c r="I12" t="str">
        <x:v>Risk</x:v>
      </x:c>
    </x:row>
    <x:row r="13">
      <x:c r="A13" t="str">
        <x:v>Sybil stock farming</x:v>
      </x:c>
      <x:c r="B13" t="str">
        <x:v>Many accounts only farming stock drops</x:v>
      </x:c>
      <x:c r="C13" t="str">
        <x:v>Low business depth + synchronized hunts</x:v>
      </x:c>
      <x:c r="D13" t="str">
        <x:v>Reward eligibility + per-identity controls</x:v>
      </x:c>
      <x:c r="E13" t="str">
        <x:v>Cap/void hunt score</x:v>
      </x:c>
      <x:c r="F13" t="str">
        <x:v>Stock/$PLOT hold</x:v>
      </x:c>
      <x:c r="G13" t="str">
        <x:v>High</x:v>
      </x:c>
      <x:c r="H13" t="str">
        <x:v>Hybrid</x:v>
      </x:c>
      <x:c r="I13" t="str">
        <x:v>Risk</x:v>
      </x:c>
    </x:row>
    <x:row r="14">
      <x:c r="A14" t="str">
        <x:v>Exploit discovery</x:v>
      </x:c>
      <x:c r="B14" t="str">
        <x:v>Unexpected multiplier / duplicate claim</x:v>
      </x:c>
      <x:c r="C14" t="str">
        <x:v>Anomalous payout concentration</x:v>
      </x:c>
      <x:c r="D14" t="str">
        <x:v>Epoch freeze + emergency disable</x:v>
      </x:c>
      <x:c r="E14" t="str">
        <x:v>Quarantine score</x:v>
      </x:c>
      <x:c r="F14" t="str">
        <x:v>Pause affected payout</x:v>
      </x:c>
      <x:c r="G14" t="str">
        <x:v>Critical</x:v>
      </x:c>
      <x:c r="H14" t="str">
        <x:v>Manual</x:v>
      </x:c>
      <x:c r="I14" t="str">
        <x:v>Live Ops</x:v>
      </x:c>
    </x:row>
    <x:row r="15">
      <x:c r="A15" t="str">
        <x:v>Collusion</x:v>
      </x:c>
      <x:c r="B15" t="str">
        <x:v>Groups coordinate artificial customer activity</x:v>
      </x:c>
      <x:c r="C15" t="str">
        <x:v>Graph anomalies</x:v>
      </x:c>
      <x:c r="D15" t="str">
        <x:v>Counterparty diversity rules</x:v>
      </x:c>
      <x:c r="E15" t="str">
        <x:v>Discount suspect activity</x:v>
      </x:c>
      <x:c r="F15" t="str">
        <x:v>Review top accounts</x:v>
      </x:c>
      <x:c r="G15" t="str">
        <x:v>High</x:v>
      </x:c>
      <x:c r="H15" t="str">
        <x:v>Hybrid</x:v>
      </x:c>
      <x:c r="I15" t="str">
        <x:v>Risk</x:v>
      </x:c>
    </x:row>
    <x:row r="16">
      <x:c r="A16" t="str">
        <x:v>Inactive farming</x:v>
      </x:c>
      <x:c r="B16" t="str">
        <x:v>Mostly offline with minimal active play</x:v>
      </x:c>
      <x:c r="C16" t="str">
        <x:v>Low active days, high passive output</x:v>
      </x:c>
      <x:c r="D16" t="str">
        <x:v>Min active days; offline efficiencies</x:v>
      </x:c>
      <x:c r="E16" t="str">
        <x:v>Eligible metrics reduced upstream</x:v>
      </x:c>
      <x:c r="F16" t="str">
        <x:v>No payout if gate fails</x:v>
      </x:c>
      <x:c r="G16" t="str">
        <x:v>Low</x:v>
      </x:c>
      <x:c r="H16" t="str">
        <x:v>Automated</x:v>
      </x:c>
      <x:c r="I16" t="str">
        <x:v>Game backend</x:v>
      </x:c>
    </x:row>
    <x:row r="17">
      <x:c r="A17" t="str">
        <x:v>Reward recursion</x:v>
      </x:c>
      <x:c r="B17" t="str">
        <x:v>PLOT/stock rewards counted as new economic value</x:v>
      </x:c>
      <x:c r="C17" t="str">
        <x:v>Ledger category mismatch</x:v>
      </x:c>
      <x:c r="D17" t="str">
        <x:v>Reward assets never score themselves</x:v>
      </x:c>
      <x:c r="E17" t="str">
        <x:v>Exclude entirely</x:v>
      </x:c>
      <x:c r="F17" t="str">
        <x:v>Normal</x:v>
      </x:c>
      <x:c r="G17" t="str">
        <x:v>Critical</x:v>
      </x:c>
      <x:c r="H17" t="str">
        <x:v>Automated</x:v>
      </x:c>
      <x:c r="I17" t="str">
        <x:v>Ledger</x:v>
      </x:c>
    </x:row>
    <x:row r="19" ht="22" customHeight="1">
      <x:c r="A19" s="30" t="str">
        <x:v>Settlement Control Flow</x:v>
      </x:c>
      <x:c r="B19" s="30"/>
      <x:c r="C19" s="30"/>
      <x:c r="D19" s="30"/>
      <x:c r="E19" s="30"/>
      <x:c r="F19" s="30"/>
      <x:c r="G19" s="30"/>
    </x:row>
    <x:row r="20">
      <x:c r="A20" s="20" t="str">
        <x:v>Step</x:v>
      </x:c>
      <x:c r="B20" s="20" t="str">
        <x:v>Timing</x:v>
      </x:c>
      <x:c r="C20" s="20" t="str">
        <x:v>Action</x:v>
      </x:c>
      <x:c r="D20" s="20" t="str">
        <x:v>Can Score Change?</x:v>
      </x:c>
      <x:c r="E20" s="20" t="str">
        <x:v>Can Claim?</x:v>
      </x:c>
      <x:c r="F20" s="20" t="str">
        <x:v>Integrity Action</x:v>
      </x:c>
      <x:c r="G20" s="20" t="str">
        <x:v>Notes</x:v>
      </x:c>
    </x:row>
    <x:row r="21">
      <x:c r="A21" t="str">
        <x:v>Epoch Open</x:v>
      </x:c>
      <x:c r="B21" t="str">
        <x:v>Day 1 00:00 UTC</x:v>
      </x:c>
      <x:c r="C21" t="str">
        <x:v>Reset weekly score counters</x:v>
      </x:c>
      <x:c r="D21" t="str">
        <x:v>Yes</x:v>
      </x:c>
      <x:c r="E21" t="str">
        <x:v>Previous epoch only</x:v>
      </x:c>
      <x:c r="F21" t="str">
        <x:v>Normal monitoring</x:v>
      </x:c>
      <x:c r="G21" t="str">
        <x:v>All new activity assigned to new epoch</x:v>
      </x:c>
    </x:row>
    <x:row r="22">
      <x:c r="A22" t="str">
        <x:v>Live Week</x:v>
      </x:c>
      <x:c r="B22" t="str">
        <x:v>Days 1–7</x:v>
      </x:c>
      <x:c r="C22" t="str">
        <x:v>Accumulate validated metrics</x:v>
      </x:c>
      <x:c r="D22" t="str">
        <x:v>Yes</x:v>
      </x:c>
      <x:c r="E22" t="str">
        <x:v>Previous epoch only</x:v>
      </x:c>
      <x:c r="F22" t="str">
        <x:v>Realtime anomaly checks</x:v>
      </x:c>
      <x:c r="G22" t="str">
        <x:v>No client-authoritative rewards</x:v>
      </x:c>
    </x:row>
    <x:row r="23">
      <x:c r="A23" t="str">
        <x:v>Snapshot</x:v>
      </x:c>
      <x:c r="B23" t="str">
        <x:v>Day 7 23:59:59 UTC</x:v>
      </x:c>
      <x:c r="C23" t="str">
        <x:v>Freeze metric window</x:v>
      </x:c>
      <x:c r="D23" t="str">
        <x:v>No</x:v>
      </x:c>
      <x:c r="E23" t="str">
        <x:v>No</x:v>
      </x:c>
      <x:c r="F23" t="str">
        <x:v>Lock source metrics</x:v>
      </x:c>
      <x:c r="G23" t="str">
        <x:v>Late events move to next epoch</x:v>
      </x:c>
    </x:row>
    <x:row r="24">
      <x:c r="A24" t="str">
        <x:v>Reconciliation</x:v>
      </x:c>
      <x:c r="B24" t="str">
        <x:v>+0–2h</x:v>
      </x:c>
      <x:c r="C24" t="str">
        <x:v>Resolve reversals / final server jobs</x:v>
      </x:c>
      <x:c r="D24" t="str">
        <x:v>No</x:v>
      </x:c>
      <x:c r="E24" t="str">
        <x:v>No</x:v>
      </x:c>
      <x:c r="F24" t="str">
        <x:v>Ledger reconciliation</x:v>
      </x:c>
      <x:c r="G24" t="str">
        <x:v>No manual score edits except audited corrections</x:v>
      </x:c>
    </x:row>
    <x:row r="25">
      <x:c r="A25" t="str">
        <x:v>Integrity Review</x:v>
      </x:c>
      <x:c r="B25" t="str">
        <x:v>+2–6h</x:v>
      </x:c>
      <x:c r="C25" t="str">
        <x:v>Run abuse models and cap logic</x:v>
      </x:c>
      <x:c r="D25" t="str">
        <x:v>No</x:v>
      </x:c>
      <x:c r="E25" t="str">
        <x:v>No</x:v>
      </x:c>
      <x:c r="F25" t="str">
        <x:v>Hold flagged accounts</x:v>
      </x:c>
      <x:c r="G25" t="str">
        <x:v>Overflow redistribution can run here</x:v>
      </x:c>
    </x:row>
    <x:row r="26">
      <x:c r="A26" t="str">
        <x:v>Finalize</x:v>
      </x:c>
      <x:c r="B26" t="str">
        <x:v>+6h</x:v>
      </x:c>
      <x:c r="C26" t="str">
        <x:v>Calculate final pool shares</x:v>
      </x:c>
      <x:c r="D26" t="str">
        <x:v>No</x:v>
      </x:c>
      <x:c r="E26" t="str">
        <x:v>No</x:v>
      </x:c>
      <x:c r="F26" t="str">
        <x:v>Store immutable payout record</x:v>
      </x:c>
      <x:c r="G26" t="str">
        <x:v>Publish score breakdown</x:v>
      </x:c>
    </x:row>
    <x:row r="27">
      <x:c r="A27" t="str">
        <x:v>Claim Open</x:v>
      </x:c>
      <x:c r="B27" t="str">
        <x:v>After finalize</x:v>
      </x:c>
      <x:c r="C27" t="str">
        <x:v>Players claim $PLOT</x:v>
      </x:c>
      <x:c r="D27" t="str">
        <x:v>No</x:v>
      </x:c>
      <x:c r="E27" t="str">
        <x:v>Yes</x:v>
      </x:c>
      <x:c r="F27" t="str">
        <x:v>Claim validation</x:v>
      </x:c>
      <x:c r="G27" t="str">
        <x:v>Default claim window 30 days</x:v>
      </x:c>
    </x:row>
  </x:sheetData>
  <x:mergeCells>
    <x:mergeCell ref="A1:I1"/>
    <x:mergeCell ref="A2:I2"/>
    <x:mergeCell ref="A19:G1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20" hidden="0" customWidth="1"/>
    <x:col min="7" max="7" width="26" hidden="0" customWidth="1"/>
  </x:cols>
  <x:sheetData>
    <x:row r="1" ht="28" customHeight="1">
      <x:c r="A1" s="5" t="str">
        <x:v>Payout Sensitivity &amp; Scale Testing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Use this sheet to sanity-check average reward size as the player base or weekly pool changes. Values are simple pool ÷ eligible-player averages before stage and performance differentiation.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30" t="str">
        <x:v>Average $PLOT per Eligible Player</x:v>
      </x:c>
      <x:c r="B4" s="30"/>
      <x:c r="C4" s="30"/>
      <x:c r="D4" s="30"/>
      <x:c r="E4" s="30"/>
      <x:c r="F4" s="30"/>
      <x:c r="G4" s="30"/>
    </x:row>
    <x:row r="5">
      <x:c r="A5" s="20" t="str">
        <x:v>Eligible Players</x:v>
      </x:c>
      <x:c r="B5" s="90" t="n">
        <x:v>250000</x:v>
      </x:c>
      <x:c r="C5" s="90" t="n">
        <x:v>500000</x:v>
      </x:c>
      <x:c r="D5" s="90" t="n">
        <x:v>1000000</x:v>
      </x:c>
      <x:c r="E5" s="90" t="n">
        <x:v>2000000</x:v>
      </x:c>
      <x:c r="F5" s="90" t="n">
        <x:v>5000000</x:v>
      </x:c>
      <x:c r="G5" s="20"/>
    </x:row>
    <x:row r="6">
      <x:c r="A6" s="48" t="n">
        <x:v>1000</x:v>
      </x:c>
      <x:c r="B6" s="80" t="n">
        <x:f>B$5/$A6</x:f>
        <x:v>250</x:v>
      </x:c>
      <x:c r="C6" s="80" t="n">
        <x:f>C$5/$A6</x:f>
        <x:v>500</x:v>
      </x:c>
      <x:c r="D6" s="80" t="n">
        <x:f>D$5/$A6</x:f>
        <x:v>1000</x:v>
      </x:c>
      <x:c r="E6" s="80" t="n">
        <x:f>E$5/$A6</x:f>
        <x:v>2000</x:v>
      </x:c>
      <x:c r="F6" s="80" t="n">
        <x:f>F$5/$A6</x:f>
        <x:v>5000</x:v>
      </x:c>
    </x:row>
    <x:row r="7">
      <x:c r="A7" s="48" t="n">
        <x:v>2500</x:v>
      </x:c>
      <x:c r="B7" s="80" t="n">
        <x:f>B$5/$A7</x:f>
        <x:v>100</x:v>
      </x:c>
      <x:c r="C7" s="80" t="n">
        <x:f>C$5/$A7</x:f>
        <x:v>200</x:v>
      </x:c>
      <x:c r="D7" s="80" t="n">
        <x:f>D$5/$A7</x:f>
        <x:v>400</x:v>
      </x:c>
      <x:c r="E7" s="80" t="n">
        <x:f>E$5/$A7</x:f>
        <x:v>800</x:v>
      </x:c>
      <x:c r="F7" s="80" t="n">
        <x:f>F$5/$A7</x:f>
        <x:v>2000</x:v>
      </x:c>
    </x:row>
    <x:row r="8">
      <x:c r="A8" s="48" t="n">
        <x:v>5000</x:v>
      </x:c>
      <x:c r="B8" s="80" t="n">
        <x:f>B$5/$A8</x:f>
        <x:v>50</x:v>
      </x:c>
      <x:c r="C8" s="80" t="n">
        <x:f>C$5/$A8</x:f>
        <x:v>100</x:v>
      </x:c>
      <x:c r="D8" s="80" t="n">
        <x:f>D$5/$A8</x:f>
        <x:v>200</x:v>
      </x:c>
      <x:c r="E8" s="80" t="n">
        <x:f>E$5/$A8</x:f>
        <x:v>400</x:v>
      </x:c>
      <x:c r="F8" s="80" t="n">
        <x:f>F$5/$A8</x:f>
        <x:v>1000</x:v>
      </x:c>
    </x:row>
    <x:row r="9">
      <x:c r="A9" s="48" t="n">
        <x:v>10000</x:v>
      </x:c>
      <x:c r="B9" s="80" t="n">
        <x:f>B$5/$A9</x:f>
        <x:v>25</x:v>
      </x:c>
      <x:c r="C9" s="80" t="n">
        <x:f>C$5/$A9</x:f>
        <x:v>50</x:v>
      </x:c>
      <x:c r="D9" s="80" t="n">
        <x:f>D$5/$A9</x:f>
        <x:v>100</x:v>
      </x:c>
      <x:c r="E9" s="80" t="n">
        <x:f>E$5/$A9</x:f>
        <x:v>200</x:v>
      </x:c>
      <x:c r="F9" s="80" t="n">
        <x:f>F$5/$A9</x:f>
        <x:v>500</x:v>
      </x:c>
    </x:row>
    <x:row r="10">
      <x:c r="A10" s="48" t="n">
        <x:v>25000</x:v>
      </x:c>
      <x:c r="B10" s="80" t="n">
        <x:f>B$5/$A10</x:f>
        <x:v>10</x:v>
      </x:c>
      <x:c r="C10" s="80" t="n">
        <x:f>C$5/$A10</x:f>
        <x:v>20</x:v>
      </x:c>
      <x:c r="D10" s="80" t="n">
        <x:f>D$5/$A10</x:f>
        <x:v>40</x:v>
      </x:c>
      <x:c r="E10" s="80" t="n">
        <x:f>E$5/$A10</x:f>
        <x:v>80</x:v>
      </x:c>
      <x:c r="F10" s="80" t="n">
        <x:f>F$5/$A10</x:f>
        <x:v>200</x:v>
      </x:c>
    </x:row>
    <x:row r="11">
      <x:c r="A11" s="48" t="n">
        <x:v>50000</x:v>
      </x:c>
      <x:c r="B11" s="80" t="n">
        <x:f>B$5/$A11</x:f>
        <x:v>5</x:v>
      </x:c>
      <x:c r="C11" s="80" t="n">
        <x:f>C$5/$A11</x:f>
        <x:v>10</x:v>
      </x:c>
      <x:c r="D11" s="80" t="n">
        <x:f>D$5/$A11</x:f>
        <x:v>20</x:v>
      </x:c>
      <x:c r="E11" s="80" t="n">
        <x:f>E$5/$A11</x:f>
        <x:v>40</x:v>
      </x:c>
      <x:c r="F11" s="80" t="n">
        <x:f>F$5/$A11</x:f>
        <x:v>100</x:v>
      </x:c>
    </x:row>
    <x:row r="13" ht="22" customHeight="1">
      <x:c r="A13" s="30" t="str">
        <x:v>Diminishing-Return Exponent Sensitivity</x:v>
      </x:c>
      <x:c r="B13" s="30"/>
      <x:c r="C13" s="30"/>
      <x:c r="D13" s="30"/>
      <x:c r="E13" s="30"/>
      <x:c r="F13" s="30"/>
      <x:c r="G13" s="30"/>
    </x:row>
    <x:row r="14">
      <x:c r="A14" s="20" t="str">
        <x:v>Exponent</x:v>
      </x:c>
      <x:c r="B14" s="20" t="str">
        <x:v>Score 60 Weight</x:v>
      </x:c>
      <x:c r="C14" s="20" t="str">
        <x:v>Score 80 Weight</x:v>
      </x:c>
      <x:c r="D14" s="20" t="str">
        <x:v>Score 100 Weight</x:v>
      </x:c>
      <x:c r="E14" s="20" t="str">
        <x:v>Score 120 Weight</x:v>
      </x:c>
      <x:c r="F14" s="20" t="str">
        <x:v>120 vs 80</x:v>
      </x:c>
      <x:c r="G14" s="20" t="str">
        <x:v>Design Note</x:v>
      </x:c>
    </x:row>
    <x:row r="15">
      <x:c r="A15" s="48" t="n">
        <x:v>0.7</x:v>
      </x:c>
      <x:c r="B15" s="84" t="n">
        <x:f>60^A15</x:f>
        <x:v>17.567334681314133</x:v>
      </x:c>
      <x:c r="C15" s="84" t="n">
        <x:f>80^A15</x:f>
        <x:v>21.486367070547505</x:v>
      </x:c>
      <x:c r="D15" s="84" t="n">
        <x:f>100^A15</x:f>
        <x:v>25.118864315095795</x:v>
      </x:c>
      <x:c r="E15" s="84" t="n">
        <x:f>120^A15</x:f>
        <x:v>28.53821938497882</x:v>
      </x:c>
      <x:c r="F15" s="92" t="n">
        <x:f>E15/C15</x:f>
        <x:v>1.328201239943334</x:v>
      </x:c>
      <x:c r="G15" t="str">
        <x:v>Strong compression</x:v>
      </x:c>
    </x:row>
    <x:row r="16">
      <x:c r="A16" s="48" t="n">
        <x:v>0.8</x:v>
      </x:c>
      <x:c r="B16" s="84" t="n">
        <x:f>60^A16</x:f>
        <x:v>26.45580618665162</x:v>
      </x:c>
      <x:c r="C16" s="84" t="n">
        <x:f>80^A16</x:f>
        <x:v>33.30212829607493</x:v>
      </x:c>
      <x:c r="D16" s="84" t="n">
        <x:f>100^A16</x:f>
        <x:v>39.810717055349734</x:v>
      </x:c>
      <x:c r="E16" s="84" t="n">
        <x:f>120^A16</x:f>
        <x:v>46.06223395648531</x:v>
      </x:c>
      <x:c r="F16" s="92" t="n">
        <x:f>E16/C16</x:f>
        <x:v>1.3831618672225916</x:v>
      </x:c>
      <x:c r="G16" t="str">
        <x:v>Moderate-strong compression</x:v>
      </x:c>
    </x:row>
    <x:row r="17">
      <x:c r="A17" s="48" t="n">
        <x:v>0.85</x:v>
      </x:c>
      <x:c r="B17" s="84" t="n">
        <x:f>60^A17</x:f>
        <x:v>32.46598344234852</x:v>
      </x:c>
      <x:c r="C17" s="84" t="n">
        <x:f>80^A17</x:f>
        <x:v>41.459731856872885</x:v>
      </x:c>
      <x:c r="D17" s="84" t="n">
        <x:f>100^A17</x:f>
        <x:v>50.11872336272722</x:v>
      </x:c>
      <x:c r="E17" s="84" t="n">
        <x:f>120^A17</x:f>
        <x:v>58.51996519306431</x:v>
      </x:c>
      <x:c r="F17" s="92" t="n">
        <x:f>E17/C17</x:f>
        <x:v>1.4114892347853742</x:v>
      </x:c>
      <x:c r="G17" t="str">
        <x:v>v0.1 default</x:v>
      </x:c>
    </x:row>
    <x:row r="18">
      <x:c r="A18" s="48" t="n">
        <x:v>0.9</x:v>
      </x:c>
      <x:c r="B18" s="84" t="n">
        <x:f>60^A18</x:f>
        <x:v>39.84154077340756</x:v>
      </x:c>
      <x:c r="C18" s="84" t="n">
        <x:f>80^A18</x:f>
        <x:v>51.61560097185728</x:v>
      </x:c>
      <x:c r="D18" s="84" t="n">
        <x:f>100^A18</x:f>
        <x:v>63.09573444801933</x:v>
      </x:c>
      <x:c r="E18" s="84" t="n">
        <x:f>120^A18</x:f>
        <x:v>74.3469439504963</x:v>
      </x:c>
      <x:c r="F18" s="92" t="n">
        <x:f>E18/C18</x:f>
        <x:v>1.4403967511883273</x:v>
      </x:c>
      <x:c r="G18" t="str">
        <x:v>Moderate compression</x:v>
      </x:c>
    </x:row>
    <x:row r="19">
      <x:c r="A19" s="48" t="n">
        <x:v>0.95</x:v>
      </x:c>
      <x:c r="B19" s="84" t="n">
        <x:f>60^A19</x:f>
        <x:v>48.89266250067031</x:v>
      </x:c>
      <x:c r="C19" s="84" t="n">
        <x:f>80^A19</x:f>
        <x:v>64.25922562362996</x:v>
      </x:c>
      <x:c r="D19" s="84" t="n">
        <x:f>100^A19</x:f>
        <x:v>79.43282347242814</x:v>
      </x:c>
      <x:c r="E19" s="84" t="n">
        <x:f>120^A19</x:f>
        <x:v>94.45439785451786</x:v>
      </x:c>
      <x:c r="F19" s="92" t="n">
        <x:f>E19/C19</x:f>
        <x:v>1.4698962979688364</x:v>
      </x:c>
      <x:c r="G19" t="str">
        <x:v>Light compression</x:v>
      </x:c>
    </x:row>
    <x:row r="20">
      <x:c r="A20" s="48" t="n">
        <x:v>1</x:v>
      </x:c>
      <x:c r="B20" s="84" t="n">
        <x:f>60^A20</x:f>
        <x:v>60</x:v>
      </x:c>
      <x:c r="C20" s="84" t="n">
        <x:f>80^A20</x:f>
        <x:v>80</x:v>
      </x:c>
      <x:c r="D20" s="84" t="n">
        <x:f>100^A20</x:f>
        <x:v>100</x:v>
      </x:c>
      <x:c r="E20" s="84" t="n">
        <x:f>120^A20</x:f>
        <x:v>120</x:v>
      </x:c>
      <x:c r="F20" s="92" t="n">
        <x:f>E20/C20</x:f>
        <x:v>1.5</x:v>
      </x:c>
      <x:c r="G20" t="str">
        <x:v>No payout compression</x:v>
      </x:c>
    </x:row>
    <x:row r="22" ht="22" customHeight="1">
      <x:c r="A22" s="30" t="str">
        <x:v>Recommended Operating Ranges</x:v>
      </x:c>
      <x:c r="B22" s="30"/>
      <x:c r="C22" s="30"/>
      <x:c r="D22" s="30"/>
      <x:c r="E22" s="30"/>
      <x:c r="F22" s="30"/>
      <x:c r="G22" s="30"/>
    </x:row>
    <x:row r="23">
      <x:c r="A23" s="20" t="str">
        <x:v>Lever</x:v>
      </x:c>
      <x:c r="B23" s="20" t="str">
        <x:v>Default</x:v>
      </x:c>
      <x:c r="C23" s="20" t="str">
        <x:v>Recommended Test Range</x:v>
      </x:c>
      <x:c r="D23" s="20" t="str">
        <x:v>Too Low</x:v>
      </x:c>
      <x:c r="E23" s="20" t="str">
        <x:v>Too High</x:v>
      </x:c>
      <x:c r="F23" s="20" t="str">
        <x:v>Tune Frequency</x:v>
      </x:c>
      <x:c r="G23" s="20" t="str">
        <x:v>Primary Risk</x:v>
      </x:c>
    </x:row>
    <x:row r="24">
      <x:c r="A24" t="str">
        <x:v>Weekly Pool</x:v>
      </x:c>
      <x:c r="B24" s="50" t="n">
        <x:v>2000000</x:v>
      </x:c>
      <x:c r="C24" t="str">
        <x:v>Depends on treasury/tokenomics</x:v>
      </x:c>
      <x:c r="D24" t="str">
        <x:v>Rewards feel irrelevant</x:v>
      </x:c>
      <x:c r="E24" t="str">
        <x:v>Excess sell pressure</x:v>
      </x:c>
      <x:c r="F24" t="str">
        <x:v>Monthly / governance</x:v>
      </x:c>
      <x:c r="G24" t="str">
        <x:v>Token economy</x:v>
      </x:c>
    </x:row>
    <x:row r="25">
      <x:c r="A25" t="str">
        <x:v>Payout Exponent</x:v>
      </x:c>
      <x:c r="B25" s="54" t="n">
        <x:v>0.85</x:v>
      </x:c>
      <x:c r="C25" t="str">
        <x:v>0.80–0.95</x:v>
      </x:c>
      <x:c r="D25" t="str">
        <x:v>Top players under-rewarded</x:v>
      </x:c>
      <x:c r="E25" t="str">
        <x:v>Winner-take-all</x:v>
      </x:c>
      <x:c r="F25" t="str">
        <x:v>Seasonal</x:v>
      </x:c>
      <x:c r="G25" t="str">
        <x:v>Concentration</x:v>
      </x:c>
    </x:row>
    <x:row r="26">
      <x:c r="A26" t="str">
        <x:v>Min Performance Score</x:v>
      </x:c>
      <x:c r="B26" s="52" t="n">
        <x:v>35</x:v>
      </x:c>
      <x:c r="C26" t="str">
        <x:v>25–45</x:v>
      </x:c>
      <x:c r="D26" t="str">
        <x:v>Dust farms qualify</x:v>
      </x:c>
      <x:c r="E26" t="str">
        <x:v>Casuals excluded</x:v>
      </x:c>
      <x:c r="F26" t="str">
        <x:v>Monthly</x:v>
      </x:c>
      <x:c r="G26" t="str">
        <x:v>Accessibility</x:v>
      </x:c>
    </x:row>
    <x:row r="27">
      <x:c r="A27" t="str">
        <x:v>Stage Weight: Tycoon</x:v>
      </x:c>
      <x:c r="B27" s="54" t="n">
        <x:v>4.5</x:v>
      </x:c>
      <x:c r="C27" t="str">
        <x:v>3.5–5.5</x:v>
      </x:c>
      <x:c r="D27" t="str">
        <x:v>Endgame lacks incentive</x:v>
      </x:c>
      <x:c r="E27" t="str">
        <x:v>Tycoon capture</x:v>
      </x:c>
      <x:c r="F27" t="str">
        <x:v>Seasonal</x:v>
      </x:c>
      <x:c r="G27" t="str">
        <x:v>Stage fairness</x:v>
      </x:c>
    </x:row>
    <x:row r="28">
      <x:c r="A28" t="str">
        <x:v>Market Hunt Weight</x:v>
      </x:c>
      <x:c r="B28" s="56" t="n">
        <x:v>0.05</x:v>
      </x:c>
      <x:c r="C28" t="str">
        <x:v>3%–8%</x:v>
      </x:c>
      <x:c r="D28" t="str">
        <x:v>Active play feels weak</x:v>
      </x:c>
      <x:c r="E28" t="str">
        <x:v>Mission bots dominate</x:v>
      </x:c>
      <x:c r="F28" t="str">
        <x:v>Seasonal</x:v>
      </x:c>
      <x:c r="G28" t="str">
        <x:v>Botting</x:v>
      </x:c>
    </x:row>
    <x:row r="29">
      <x:c r="A29" t="str">
        <x:v>Activity Weight</x:v>
      </x:c>
      <x:c r="B29" s="56" t="n">
        <x:v>0.3</x:v>
      </x:c>
      <x:c r="C29" t="str">
        <x:v>25%–35%</x:v>
      </x:c>
      <x:c r="D29" t="str">
        <x:v>Economy feels cosmetic</x:v>
      </x:c>
      <x:c r="E29" t="str">
        <x:v>Spam incentives</x:v>
      </x:c>
      <x:c r="F29" t="str">
        <x:v>Seasonal</x:v>
      </x:c>
      <x:c r="G29" t="str">
        <x:v>Activity quality</x:v>
      </x:c>
    </x:row>
  </x:sheetData>
  <x:mergeCells>
    <x:mergeCell ref="A1:H1"/>
    <x:mergeCell ref="A2:H2"/>
    <x:mergeCell ref="A4:G4"/>
    <x:mergeCell ref="A13:G13"/>
    <x:mergeCell ref="A22:G22"/>
  </x:mergeCells>
  <x:conditionalFormatting sqref="B6:F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3" hidden="0" customWidth="1"/>
    <x:col min="4" max="4" width="22" hidden="0" customWidth="1"/>
    <x:col min="5" max="5" width="28" hidden="0" customWidth="1"/>
    <x:col min="6" max="6" width="20" hidden="0" customWidth="1"/>
    <x:col min="7" max="7" width="28" hidden="0" customWidth="1"/>
    <x:col min="8" max="8" width="17" hidden="0" customWidth="1"/>
  </x:cols>
  <x:sheetData>
    <x:row r="1" ht="28" customHeight="1">
      <x:c r="A1" s="5" t="str">
        <x:v>Live-Ops Tuning &amp; Governance Rules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Balance should be changed through explicit levers between epochs, not ad-hoc edits to individual player scores.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Lever</x:v>
      </x:c>
      <x:c r="B4" s="20" t="str">
        <x:v>Owner</x:v>
      </x:c>
      <x:c r="C4" s="20" t="str">
        <x:v>Default Cadence</x:v>
      </x:c>
      <x:c r="D4" s="20" t="str">
        <x:v>Can Change Mid-Epoch?</x:v>
      </x:c>
      <x:c r="E4" s="20" t="str">
        <x:v>Safe Change</x:v>
      </x:c>
      <x:c r="F4" s="20" t="str">
        <x:v>Requires Announcement?</x:v>
      </x:c>
      <x:c r="G4" s="20" t="str">
        <x:v>Metric to Watch</x:v>
      </x:c>
      <x:c r="H4" s="20" t="str">
        <x:v>Rollback Trigger</x:v>
      </x:c>
    </x:row>
    <x:row r="5">
      <x:c r="A5" t="str">
        <x:v>Weekly $PLOT Pool</x:v>
      </x:c>
      <x:c r="B5" t="str">
        <x:v>Token/Economy</x:v>
      </x:c>
      <x:c r="C5" t="str">
        <x:v>Monthly / governance</x:v>
      </x:c>
      <x:c r="D5" t="str">
        <x:v>No</x:v>
      </x:c>
      <x:c r="E5" t="str">
        <x:v>Policy-defined</x:v>
      </x:c>
      <x:c r="F5" t="str">
        <x:v>Yes</x:v>
      </x:c>
      <x:c r="G5" t="str">
        <x:v>Claim rate, sell pressure</x:v>
      </x:c>
      <x:c r="H5" t="str">
        <x:v>Treasury stress</x:v>
      </x:c>
    </x:row>
    <x:row r="6">
      <x:c r="A6" t="str">
        <x:v>Component Weights</x:v>
      </x:c>
      <x:c r="B6" t="str">
        <x:v>Game Economy</x:v>
      </x:c>
      <x:c r="C6" t="str">
        <x:v>Seasonal</x:v>
      </x:c>
      <x:c r="D6" t="str">
        <x:v>No</x:v>
      </x:c>
      <x:c r="E6" t="str">
        <x:v>±2–5 pts</x:v>
      </x:c>
      <x:c r="F6" t="str">
        <x:v>Yes</x:v>
      </x:c>
      <x:c r="G6" t="str">
        <x:v>Score concentration</x:v>
      </x:c>
      <x:c r="H6" t="str">
        <x:v>One strategy dominates</x:v>
      </x:c>
    </x:row>
    <x:row r="7">
      <x:c r="A7" t="str">
        <x:v>Curve Exponents</x:v>
      </x:c>
      <x:c r="B7" t="str">
        <x:v>Game Economy</x:v>
      </x:c>
      <x:c r="C7" t="str">
        <x:v>Seasonal</x:v>
      </x:c>
      <x:c r="D7" t="str">
        <x:v>No</x:v>
      </x:c>
      <x:c r="E7" t="str">
        <x:v>±0.05</x:v>
      </x:c>
      <x:c r="F7" t="str">
        <x:v>Yes</x:v>
      </x:c>
      <x:c r="G7" t="str">
        <x:v>Top 1% payout share</x:v>
      </x:c>
      <x:c r="H7" t="str">
        <x:v>Compression too weak/strong</x:v>
      </x:c>
    </x:row>
    <x:row r="8">
      <x:c r="A8" t="str">
        <x:v>Stage Payout Weights</x:v>
      </x:c>
      <x:c r="B8" t="str">
        <x:v>Game Economy</x:v>
      </x:c>
      <x:c r="C8" t="str">
        <x:v>Seasonal</x:v>
      </x:c>
      <x:c r="D8" t="str">
        <x:v>No</x:v>
      </x:c>
      <x:c r="E8" t="str">
        <x:v>±10–15%</x:v>
      </x:c>
      <x:c r="F8" t="str">
        <x:v>Yes</x:v>
      </x:c>
      <x:c r="G8" t="str">
        <x:v>Payout by progression stage</x:v>
      </x:c>
      <x:c r="H8" t="str">
        <x:v>Stage migration distorted</x:v>
      </x:c>
    </x:row>
    <x:row r="9">
      <x:c r="A9" t="str">
        <x:v>Market Hunt Targets</x:v>
      </x:c>
      <x:c r="B9" t="str">
        <x:v>Content / Economy</x:v>
      </x:c>
      <x:c r="C9" t="str">
        <x:v>Weekly</x:v>
      </x:c>
      <x:c r="D9" t="str">
        <x:v>Future hunts only</x:v>
      </x:c>
      <x:c r="E9" t="str">
        <x:v>±20%</x:v>
      </x:c>
      <x:c r="F9" t="str">
        <x:v>Usually</x:v>
      </x:c>
      <x:c r="G9" t="str">
        <x:v>Completion rates</x:v>
      </x:c>
      <x:c r="H9" t="str">
        <x:v>Too easy/hard</x:v>
      </x:c>
    </x:row>
    <x:row r="10">
      <x:c r="A10" t="str">
        <x:v>Customer Growth Targets</x:v>
      </x:c>
      <x:c r="B10" t="str">
        <x:v>Economy</x:v>
      </x:c>
      <x:c r="C10" t="str">
        <x:v>Seasonal</x:v>
      </x:c>
      <x:c r="D10" t="str">
        <x:v>No</x:v>
      </x:c>
      <x:c r="E10" t="str">
        <x:v>±15%</x:v>
      </x:c>
      <x:c r="F10" t="str">
        <x:v>Yes</x:v>
      </x:c>
      <x:c r="G10" t="str">
        <x:v>Growth-score distribution</x:v>
      </x:c>
      <x:c r="H10" t="str">
        <x:v>Stage score drift</x:v>
      </x:c>
    </x:row>
    <x:row r="11">
      <x:c r="A11" t="str">
        <x:v>Minimum Score</x:v>
      </x:c>
      <x:c r="B11" t="str">
        <x:v>Economy/Risk</x:v>
      </x:c>
      <x:c r="C11" t="str">
        <x:v>Monthly</x:v>
      </x:c>
      <x:c r="D11" t="str">
        <x:v>No</x:v>
      </x:c>
      <x:c r="E11" t="str">
        <x:v>±5</x:v>
      </x:c>
      <x:c r="F11" t="str">
        <x:v>Yes</x:v>
      </x:c>
      <x:c r="G11" t="str">
        <x:v>Eligible population</x:v>
      </x:c>
      <x:c r="H11" t="str">
        <x:v>Dust farms / exclusion</x:v>
      </x:c>
    </x:row>
    <x:row r="12">
      <x:c r="A12" t="str">
        <x:v>Integrity Rules</x:v>
      </x:c>
      <x:c r="B12" t="str">
        <x:v>Risk</x:v>
      </x:c>
      <x:c r="C12" t="str">
        <x:v>Continuous</x:v>
      </x:c>
      <x:c r="D12" t="str">
        <x:v>Yes for exploit block</x:v>
      </x:c>
      <x:c r="E12" t="str">
        <x:v>As needed</x:v>
      </x:c>
      <x:c r="F12" t="str">
        <x:v>If material</x:v>
      </x:c>
      <x:c r="G12" t="str">
        <x:v>Fraud loss</x:v>
      </x:c>
      <x:c r="H12" t="str">
        <x:v>Active exploit</x:v>
      </x:c>
    </x:row>
    <x:row r="13">
      <x:c r="A13" t="str">
        <x:v>Per-wallet cap</x:v>
      </x:c>
      <x:c r="B13" t="str">
        <x:v>Economy/Risk</x:v>
      </x:c>
      <x:c r="C13" t="str">
        <x:v>Seasonal</x:v>
      </x:c>
      <x:c r="D13" t="str">
        <x:v>No</x:v>
      </x:c>
      <x:c r="E13" t="str">
        <x:v>±25%</x:v>
      </x:c>
      <x:c r="F13" t="str">
        <x:v>Yes</x:v>
      </x:c>
      <x:c r="G13" t="str">
        <x:v>Top 0.1% share</x:v>
      </x:c>
      <x:c r="H13" t="str">
        <x:v>Concentration spike</x:v>
      </x:c>
    </x:row>
    <x:row r="14">
      <x:c r="A14" t="str">
        <x:v>Claim Window</x:v>
      </x:c>
      <x:c r="B14" t="str">
        <x:v>Operations</x:v>
      </x:c>
      <x:c r="C14" t="str">
        <x:v>Rare</x:v>
      </x:c>
      <x:c r="D14" t="str">
        <x:v>No</x:v>
      </x:c>
      <x:c r="E14" t="str">
        <x:v>7–60 days</x:v>
      </x:c>
      <x:c r="F14" t="str">
        <x:v>Yes</x:v>
      </x:c>
      <x:c r="G14" t="str">
        <x:v>Unclaimed rewards</x:v>
      </x:c>
      <x:c r="H14" t="str">
        <x:v>Support burden</x:v>
      </x:c>
    </x:row>
    <x:row r="15">
      <x:c r="A15" t="str">
        <x:v>Stage Baselines</x:v>
      </x:c>
      <x:c r="B15" t="str">
        <x:v>Economy</x:v>
      </x:c>
      <x:c r="C15" t="str">
        <x:v>After major balance patch</x:v>
      </x:c>
      <x:c r="D15" t="str">
        <x:v>No</x:v>
      </x:c>
      <x:c r="E15" t="str">
        <x:v>Recalibrate from live median</x:v>
      </x:c>
      <x:c r="F15" t="str">
        <x:v>Yes</x:v>
      </x:c>
      <x:c r="G15" t="str">
        <x:v>Median index by stage</x:v>
      </x:c>
      <x:c r="H15" t="str">
        <x:v>Systemic drift</x:v>
      </x:c>
    </x:row>
    <x:row r="16">
      <x:c r="A16" t="str">
        <x:v>Utilization Curve</x:v>
      </x:c>
      <x:c r="B16" t="str">
        <x:v>Economy</x:v>
      </x:c>
      <x:c r="C16" t="str">
        <x:v>Seasonal</x:v>
      </x:c>
      <x:c r="D16" t="str">
        <x:v>No</x:v>
      </x:c>
      <x:c r="E16" t="str">
        <x:v>Small band moves</x:v>
      </x:c>
      <x:c r="F16" t="str">
        <x:v>Yes</x:v>
      </x:c>
      <x:c r="G16" t="str">
        <x:v>Capacity behavior</x:v>
      </x:c>
      <x:c r="H16" t="str">
        <x:v>Players intentionally overload</x:v>
      </x:c>
    </x:row>
    <x:row r="17">
      <x:c r="A17" t="str">
        <x:v>Offline Efficiency</x:v>
      </x:c>
      <x:c r="B17" t="str">
        <x:v>Game Economy</x:v>
      </x:c>
      <x:c r="C17" t="str">
        <x:v>Seasonal</x:v>
      </x:c>
      <x:c r="D17" t="str">
        <x:v>No</x:v>
      </x:c>
      <x:c r="E17" t="str">
        <x:v>±10 pts</x:v>
      </x:c>
      <x:c r="F17" t="str">
        <x:v>Yes</x:v>
      </x:c>
      <x:c r="G17" t="str">
        <x:v>Offline share of score</x:v>
      </x:c>
      <x:c r="H17" t="str">
        <x:v>AFK meta</x:v>
      </x:c>
    </x:row>
    <x:row r="18">
      <x:c r="A18" t="str">
        <x:v>Anomaly Thresholds</x:v>
      </x:c>
      <x:c r="B18" t="str">
        <x:v>Risk</x:v>
      </x:c>
      <x:c r="C18" t="str">
        <x:v>Continuous</x:v>
      </x:c>
      <x:c r="D18" t="str">
        <x:v>Yes</x:v>
      </x:c>
      <x:c r="E18" t="str">
        <x:v>Model-defined</x:v>
      </x:c>
      <x:c r="F18" t="str">
        <x:v>Not necessarily</x:v>
      </x:c>
      <x:c r="G18" t="str">
        <x:v>False positive rate</x:v>
      </x:c>
      <x:c r="H18" t="str">
        <x:v>High false positives</x:v>
      </x:c>
    </x:row>
    <x:row r="20" ht="22" customHeight="1">
      <x:c r="A20" s="30" t="str">
        <x:v>Weekly Monitoring Dashboard Requirements</x:v>
      </x:c>
      <x:c r="B20" s="30"/>
      <x:c r="C20" s="30"/>
      <x:c r="D20" s="30"/>
      <x:c r="E20" s="30"/>
      <x:c r="F20" s="30"/>
      <x:c r="G20" s="30"/>
      <x:c r="H20" s="30"/>
    </x:row>
    <x:row r="21">
      <x:c r="A21" s="20" t="str">
        <x:v>Metric</x:v>
      </x:c>
      <x:c r="B21" s="20" t="str">
        <x:v>Target / Question</x:v>
      </x:c>
      <x:c r="C21" s="20" t="str">
        <x:v>Breakdown</x:v>
      </x:c>
      <x:c r="D21" s="20" t="str">
        <x:v>Alert</x:v>
      </x:c>
      <x:c r="E21" s="20" t="str">
        <x:v>Why</x:v>
      </x:c>
      <x:c r="F21" s="20" t="str">
        <x:v>Owner</x:v>
      </x:c>
      <x:c r="G21" s="20" t="str">
        <x:v>Action</x:v>
      </x:c>
      <x:c r="H21" s="20" t="str">
        <x:v>Frequency</x:v>
      </x:c>
    </x:row>
    <x:row r="22">
      <x:c r="A22" t="str">
        <x:v>Eligible players</x:v>
      </x:c>
      <x:c r="B22" t="str">
        <x:v>How many qualify?</x:v>
      </x:c>
      <x:c r="C22" t="str">
        <x:v>Stage</x:v>
      </x:c>
      <x:c r="D22" t="str">
        <x:v>±25% WoW</x:v>
      </x:c>
      <x:c r="E22" t="str">
        <x:v>Detect gating issues</x:v>
      </x:c>
      <x:c r="F22" t="str">
        <x:v>Economy</x:v>
      </x:c>
      <x:c r="G22" t="str">
        <x:v>Review eligibility</x:v>
      </x:c>
      <x:c r="H22" t="str">
        <x:v>Weekly</x:v>
      </x:c>
    </x:row>
    <x:row r="23">
      <x:c r="A23" t="str">
        <x:v>Score median</x:v>
      </x:c>
      <x:c r="B23" t="str">
        <x:v>Is 100 near healthy baseline?</x:v>
      </x:c>
      <x:c r="C23" t="str">
        <x:v>Stage</x:v>
      </x:c>
      <x:c r="D23" t="str">
        <x:v>&lt;75 or &gt;110</x:v>
      </x:c>
      <x:c r="E23" t="str">
        <x:v>Baseline drift</x:v>
      </x:c>
      <x:c r="F23" t="str">
        <x:v>Economy</x:v>
      </x:c>
      <x:c r="G23" t="str">
        <x:v>Recalibrate targets</x:v>
      </x:c>
      <x:c r="H23" t="str">
        <x:v>Weekly</x:v>
      </x:c>
    </x:row>
    <x:row r="24">
      <x:c r="A24" t="str">
        <x:v>Payout concentration</x:v>
      </x:c>
      <x:c r="B24" t="str">
        <x:v>Top 1% share</x:v>
      </x:c>
      <x:c r="C24" t="str">
        <x:v>Stage + global</x:v>
      </x:c>
      <x:c r="D24" t="str">
        <x:v>&gt;25% global</x:v>
      </x:c>
      <x:c r="E24" t="str">
        <x:v>Whale dominance</x:v>
      </x:c>
      <x:c r="F24" t="str">
        <x:v>Economy/Risk</x:v>
      </x:c>
      <x:c r="G24" t="str">
        <x:v>Adjust curve/cap</x:v>
      </x:c>
      <x:c r="H24" t="str">
        <x:v>Weekly</x:v>
      </x:c>
    </x:row>
    <x:row r="25">
      <x:c r="A25" t="str">
        <x:v>Payout Gini</x:v>
      </x:c>
      <x:c r="B25" t="str">
        <x:v>How unequal?</x:v>
      </x:c>
      <x:c r="C25" t="str">
        <x:v>Stage + global</x:v>
      </x:c>
      <x:c r="D25" t="str">
        <x:v>&gt;design target</x:v>
      </x:c>
      <x:c r="E25" t="str">
        <x:v>Distribution health</x:v>
      </x:c>
      <x:c r="F25" t="str">
        <x:v>Analytics</x:v>
      </x:c>
      <x:c r="G25" t="str">
        <x:v>Review exponent</x:v>
      </x:c>
      <x:c r="H25" t="str">
        <x:v>Weekly</x:v>
      </x:c>
    </x:row>
    <x:row r="26">
      <x:c r="A26" t="str">
        <x:v>Activity/revenue ratio</x:v>
      </x:c>
      <x:c r="B26" t="str">
        <x:v>Is spam growing?</x:v>
      </x:c>
      <x:c r="C26" t="str">
        <x:v>Building/category</x:v>
      </x:c>
      <x:c r="D26" t="str">
        <x:v>Outlier shift</x:v>
      </x:c>
      <x:c r="E26" t="str">
        <x:v>Activity quality</x:v>
      </x:c>
      <x:c r="F26" t="str">
        <x:v>Risk</x:v>
      </x:c>
      <x:c r="G26" t="str">
        <x:v>Tighten qualification</x:v>
      </x:c>
      <x:c r="H26" t="str">
        <x:v>Daily</x:v>
      </x:c>
    </x:row>
    <x:row r="27">
      <x:c r="A27" t="str">
        <x:v>Market Hunt score share</x:v>
      </x:c>
      <x:c r="B27" t="str">
        <x:v>Near intended 5%?</x:v>
      </x:c>
      <x:c r="C27" t="str">
        <x:v>Stage</x:v>
      </x:c>
      <x:c r="D27" t="str">
        <x:v>Outlier &gt;8% effective</x:v>
      </x:c>
      <x:c r="E27" t="str">
        <x:v>Mission dominance</x:v>
      </x:c>
      <x:c r="F27" t="str">
        <x:v>Content</x:v>
      </x:c>
      <x:c r="G27" t="str">
        <x:v>Tune hunts</x:v>
      </x:c>
      <x:c r="H27" t="str">
        <x:v>Weekly</x:v>
      </x:c>
    </x:row>
    <x:row r="28">
      <x:c r="A28" t="str">
        <x:v>Offline contribution</x:v>
      </x:c>
      <x:c r="B28" t="str">
        <x:v>What % of score is passive?</x:v>
      </x:c>
      <x:c r="C28" t="str">
        <x:v>Stage</x:v>
      </x:c>
      <x:c r="D28" t="str">
        <x:v>&gt;40%</x:v>
      </x:c>
      <x:c r="E28" t="str">
        <x:v>AFK meta</x:v>
      </x:c>
      <x:c r="F28" t="str">
        <x:v>Economy</x:v>
      </x:c>
      <x:c r="G28" t="str">
        <x:v>Tune offline efficiencies</x:v>
      </x:c>
      <x:c r="H28" t="str">
        <x:v>Weekly</x:v>
      </x:c>
    </x:row>
    <x:row r="29">
      <x:c r="A29" t="str">
        <x:v>Cap hits</x:v>
      </x:c>
      <x:c r="B29" t="str">
        <x:v>How many accounts capped?</x:v>
      </x:c>
      <x:c r="C29" t="str">
        <x:v>Stage</x:v>
      </x:c>
      <x:c r="D29" t="str">
        <x:v>&gt;1% players</x:v>
      </x:c>
      <x:c r="E29" t="str">
        <x:v>Cap too low or exploit</x:v>
      </x:c>
      <x:c r="F29" t="str">
        <x:v>Economy/Risk</x:v>
      </x:c>
      <x:c r="G29" t="str">
        <x:v>Review concentration</x:v>
      </x:c>
      <x:c r="H29" t="str">
        <x:v>Weekly</x:v>
      </x:c>
    </x:row>
    <x:row r="30">
      <x:c r="A30" t="str">
        <x:v>Held payouts</x:v>
      </x:c>
      <x:c r="B30" t="str">
        <x:v>Fraud/support pressure</x:v>
      </x:c>
      <x:c r="C30" t="str">
        <x:v>Reason</x:v>
      </x:c>
      <x:c r="D30" t="str">
        <x:v>Spike &gt;2× baseline</x:v>
      </x:c>
      <x:c r="E30" t="str">
        <x:v>Integrity health</x:v>
      </x:c>
      <x:c r="F30" t="str">
        <x:v>Risk</x:v>
      </x:c>
      <x:c r="G30" t="str">
        <x:v>Investigate</x:v>
      </x:c>
      <x:c r="H30" t="str">
        <x:v>Daily</x:v>
      </x:c>
    </x:row>
    <x:row r="31">
      <x:c r="A31" t="str">
        <x:v>Unclaimed rewards</x:v>
      </x:c>
      <x:c r="B31" t="str">
        <x:v>Claim friction?</x:v>
      </x:c>
      <x:c r="C31" t="str">
        <x:v>Stage</x:v>
      </x:c>
      <x:c r="D31" t="str">
        <x:v>High after 7d</x:v>
      </x:c>
      <x:c r="E31" t="str">
        <x:v>UX / wallet issue</x:v>
      </x:c>
      <x:c r="F31" t="str">
        <x:v>Operations</x:v>
      </x:c>
      <x:c r="G31" t="str">
        <x:v>Improve claiming</x:v>
      </x:c>
      <x:c r="H31" t="str">
        <x:v>Weekly</x:v>
      </x:c>
    </x:row>
  </x:sheetData>
  <x:mergeCells>
    <x:mergeCell ref="A1:H1"/>
    <x:mergeCell ref="A2:H2"/>
    <x:mergeCell ref="A20:H2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7" hidden="0" customWidth="1"/>
    <x:col min="4" max="4" width="12" hidden="0" customWidth="1"/>
    <x:col min="5" max="5" width="34" hidden="0" customWidth="1"/>
    <x:col min="6" max="6" width="30" hidden="0" customWidth="1"/>
  </x:cols>
  <x:sheetData>
    <x:row r="1" ht="28" customHeight="1">
      <x:c r="A1" s="5" t="str">
        <x:v>Model Checks</x:v>
      </x:c>
      <x:c r="B1" s="5"/>
      <x:c r="C1" s="5"/>
      <x:c r="D1" s="5"/>
      <x:c r="E1" s="5"/>
      <x:c r="F1" s="5"/>
    </x:row>
    <x:row r="2" ht="30" customHeight="1">
      <x:c r="A2" s="12" t="str">
        <x:v>All checks should read PASS before using the workbook as a balance baseline.</x:v>
      </x:c>
      <x:c r="B2" s="12"/>
      <x:c r="C2" s="12"/>
      <x:c r="D2" s="12"/>
      <x:c r="E2" s="12"/>
      <x:c r="F2" s="12"/>
    </x:row>
    <x:row r="4">
      <x:c r="A4" s="20" t="str">
        <x:v>Check</x:v>
      </x:c>
      <x:c r="B4" s="20" t="str">
        <x:v>Formula Result</x:v>
      </x:c>
      <x:c r="C4" s="20" t="str">
        <x:v>Target</x:v>
      </x:c>
      <x:c r="D4" s="20" t="str">
        <x:v>Status</x:v>
      </x:c>
      <x:c r="E4" s="20" t="str">
        <x:v>Why</x:v>
      </x:c>
      <x:c r="F4" s="20" t="str">
        <x:v>Fix</x:v>
      </x:c>
    </x:row>
    <x:row r="5">
      <x:c r="A5" t="str">
        <x:v>Component weights total</x:v>
      </x:c>
      <x:c r="B5" s="44" t="n">
        <x:f>SUM('01 Inputs'!B14:B21)</x:f>
        <x:v>1</x:v>
      </x:c>
      <x:c r="C5" s="44" t="n">
        <x:v>1</x:v>
      </x:c>
      <x:c r="D5" t="str">
        <x:f>IF(ABS(B5-C5)&lt;0.0001,"PASS","FAIL")</x:f>
        <x:v>PASS</x:v>
      </x:c>
      <x:c r="E5" t="str">
        <x:v>Score weights must equal 100%.</x:v>
      </x:c>
      <x:c r="F5" t="str">
        <x:v>Adjust 01 Inputs weights.</x:v>
      </x:c>
    </x:row>
    <x:row r="6">
      <x:c r="A6" t="str">
        <x:v>Player distribution total</x:v>
      </x:c>
      <x:c r="B6" s="44" t="n">
        <x:f>SUM('01 Inputs'!B33:B38)</x:f>
        <x:v>1</x:v>
      </x:c>
      <x:c r="C6" s="44" t="n">
        <x:v>1</x:v>
      </x:c>
      <x:c r="D6" t="str">
        <x:f>IF(ABS(B6-C6)&lt;0.0001,"PASS","FAIL")</x:f>
        <x:v>PASS</x:v>
      </x:c>
      <x:c r="E6" t="str">
        <x:v>Stage player shares must equal 100%.</x:v>
      </x:c>
      <x:c r="F6" t="str">
        <x:v>Adjust 01 Inputs division shares.</x:v>
      </x:c>
    </x:row>
    <x:row r="7">
      <x:c r="A7" t="str">
        <x:v>Division pool share total</x:v>
      </x:c>
      <x:c r="B7" s="44" t="n">
        <x:f>SUM('05 Division Pools'!F5:F10)</x:f>
        <x:v>1</x:v>
      </x:c>
      <x:c r="C7" s="44" t="n">
        <x:v>1</x:v>
      </x:c>
      <x:c r="D7" t="str">
        <x:f>IF(ABS(B7-C7)&lt;0.0001,"PASS","FAIL")</x:f>
        <x:v>PASS</x:v>
      </x:c>
      <x:c r="E7" t="str">
        <x:v>All weekly pool must be allocated.</x:v>
      </x:c>
      <x:c r="F7" t="str">
        <x:v>Check weights / player counts.</x:v>
      </x:c>
    </x:row>
    <x:row r="8">
      <x:c r="A8" t="str">
        <x:v>Allocated $PLOT total</x:v>
      </x:c>
      <x:c r="B8" s="80" t="n">
        <x:f>SUM('05 Division Pools'!G5:G10)</x:f>
        <x:v>2000000</x:v>
      </x:c>
      <x:c r="C8" s="80" t="n">
        <x:f>'01 Inputs'!B6</x:f>
        <x:v>2000000</x:v>
      </x:c>
      <x:c r="D8" t="str">
        <x:f>IF(ABS(B8-C8)&lt;0.01,"PASS","FAIL")</x:f>
        <x:v>PASS</x:v>
      </x:c>
      <x:c r="E8" t="str">
        <x:v>Must equal weekly global pool.</x:v>
      </x:c>
      <x:c r="F8" t="str">
        <x:v>Check pool formulas.</x:v>
      </x:c>
    </x:row>
    <x:row r="9">
      <x:c r="A9" t="str">
        <x:v>Score cap positive</x:v>
      </x:c>
      <x:c r="B9" t="n">
        <x:f>'01 Inputs'!C29</x:f>
        <x:v>120</x:v>
      </x:c>
      <x:c r="C9" t="str">
        <x:v>&gt;0</x:v>
      </x:c>
      <x:c r="D9" t="str">
        <x:f>IF(B9&gt;0,"PASS","FAIL")</x:f>
        <x:v>PASS</x:v>
      </x:c>
      <x:c r="E9" t="str">
        <x:v>Final score cap must be valid.</x:v>
      </x:c>
      <x:c r="F9" t="str">
        <x:v>Check score curve inputs.</x:v>
      </x:c>
    </x:row>
    <x:row r="10">
      <x:c r="A10" t="str">
        <x:v>Minimum score below cap</x:v>
      </x:c>
      <x:c r="B10" t="b">
        <x:f>'01 Inputs'!B10&lt;'01 Inputs'!C29</x:f>
        <x:v>1</x:v>
      </x:c>
      <x:c r="C10" t="str">
        <x:v>TRUE</x:v>
      </x:c>
      <x:c r="D10" t="str">
        <x:f>IF(B10,"PASS","FAIL")</x:f>
        <x:v>PASS</x:v>
      </x:c>
      <x:c r="E10" t="str">
        <x:v>Eligibility threshold must be attainable.</x:v>
      </x:c>
      <x:c r="F10" t="str">
        <x:v>Lower min or raise cap.</x:v>
      </x:c>
    </x:row>
    <x:row r="11">
      <x:c r="A11" t="str">
        <x:v>Payout exponent range</x:v>
      </x:c>
      <x:c r="B11" t="b">
        <x:f>AND('01 Inputs'!B8&gt;0,'01 Inputs'!B8&lt;=1)</x:f>
        <x:v>1</x:v>
      </x:c>
      <x:c r="C11" t="str">
        <x:v>0&lt;exp&lt;=1</x:v>
      </x:c>
      <x:c r="D11" t="str">
        <x:f>IF(B11,"PASS","FAIL")</x:f>
        <x:v>PASS</x:v>
      </x:c>
      <x:c r="E11" t="str">
        <x:v>v0.1 uses compression, not amplification.</x:v>
      </x:c>
      <x:c r="F11" t="str">
        <x:v>Set between 0.70 and 1.00.</x:v>
      </x:c>
    </x:row>
    <x:row r="12">
      <x:c r="A12" t="str">
        <x:v>Stage weights positive</x:v>
      </x:c>
      <x:c r="B12" t="n">
        <x:f>MIN('01 Inputs'!C33:C38)</x:f>
        <x:v>1</x:v>
      </x:c>
      <x:c r="C12" t="str">
        <x:v>&gt;0</x:v>
      </x:c>
      <x:c r="D12" t="str">
        <x:f>IF(B12&gt;0,"PASS","FAIL")</x:f>
        <x:v>PASS</x:v>
      </x:c>
      <x:c r="E12" t="str">
        <x:v>Every division needs positive payout weight.</x:v>
      </x:c>
      <x:c r="F12" t="str">
        <x:v>Fix stage weights.</x:v>
      </x:c>
    </x:row>
    <x:row r="13">
      <x:c r="A13" t="str">
        <x:v>Eligible player count positive</x:v>
      </x:c>
      <x:c r="B13" t="n">
        <x:f>'01 Inputs'!B7</x:f>
        <x:v>10000</x:v>
      </x:c>
      <x:c r="C13" t="str">
        <x:v>&gt;0</x:v>
      </x:c>
      <x:c r="D13" t="str">
        <x:f>IF(B13&gt;0,"PASS","FAIL")</x:f>
        <x:v>PASS</x:v>
      </x:c>
      <x:c r="E13" t="str">
        <x:v>Scenario requires participants.</x:v>
      </x:c>
      <x:c r="F13" t="str">
        <x:v>Set player input.</x:v>
      </x:c>
    </x:row>
    <x:row r="14">
      <x:c r="A14" t="str">
        <x:v>Baseline scores nonzero</x:v>
      </x:c>
      <x:c r="B14" t="n">
        <x:f>MIN('04 Score Calc'!AB6,'04 Score Calc'!AB9,'04 Score Calc'!AB12,'04 Score Calc'!AB15,'04 Score Calc'!AB18,'04 Score Calc'!AB21)</x:f>
        <x:v>95.29348097357143</x:v>
      </x:c>
      <x:c r="C14" t="str">
        <x:v>&gt;0</x:v>
      </x:c>
      <x:c r="D14" t="str">
        <x:f>IF(B14&gt;0,"PASS","FAIL")</x:f>
        <x:v>PASS</x:v>
      </x:c>
      <x:c r="E14" t="str">
        <x:v>All stages need valid representative score.</x:v>
      </x:c>
      <x:c r="F14" t="str">
        <x:v>Check score formulas.</x:v>
      </x:c>
    </x:row>
    <x:row r="15">
      <x:c r="A15" t="str">
        <x:v>No negative pool</x:v>
      </x:c>
      <x:c r="B15" t="n">
        <x:f>MIN('05 Division Pools'!G5:G10)</x:f>
        <x:v>202874.04902789518</x:v>
      </x:c>
      <x:c r="C15" t="str">
        <x:v>&gt;=0</x:v>
      </x:c>
      <x:c r="D15" t="str">
        <x:f>IF(B15&gt;=0,"PASS","FAIL")</x:f>
        <x:v>PASS</x:v>
      </x:c>
      <x:c r="E15" t="str">
        <x:v>Pool allocations cannot be negative.</x:v>
      </x:c>
      <x:c r="F15" t="str">
        <x:v>Check inputs.</x:v>
      </x:c>
    </x:row>
  </x:sheetData>
  <x:mergeCells>
    <x:mergeCell ref="A1:F1"/>
    <x:mergeCell ref="A2:F2"/>
  </x:mergeCells>
  <x:conditionalFormatting sqref="D5:D15">
    <x:cfRule type="expression" dxfId="0" priority="1">
      <x:formula>D5="PASS"</x:formula>
    </x:cfRule>
    <x:cfRule type="expression" dxfId="1" priority="2">
      <x:formula>D5="FAIL"</x:formula>
    </x:cfRule>
  </x:conditionalFormatting>
  <x:pageMargins left="0.7" right="0.7" top="0.75" bottom="0.75" header="0.3" footer="0.3"/>
</x:worksheet>
</file>