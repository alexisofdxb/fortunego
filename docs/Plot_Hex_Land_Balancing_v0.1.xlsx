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305a07942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0499954c3b0410a"/>
    <x:sheet xmlns:r="http://schemas.openxmlformats.org/officeDocument/2006/relationships" name="Level &amp; Hex Capacity" sheetId="2" r:id="R007dea3bfdbd4321"/>
    <x:sheet xmlns:r="http://schemas.openxmlformats.org/officeDocument/2006/relationships" name="Hex Balancing" sheetId="3" r:id="Re8d523d9b8064635"/>
    <x:sheet xmlns:r="http://schemas.openxmlformats.org/officeDocument/2006/relationships" name="50 Building Catalog" sheetId="4" r:id="R216e8e2c1148449e"/>
    <x:sheet xmlns:r="http://schemas.openxmlformats.org/officeDocument/2006/relationships" name="Category Affinities" sheetId="5" r:id="R64de0714b9384de3"/>
    <x:sheet xmlns:r="http://schemas.openxmlformats.org/officeDocument/2006/relationships" name="Pricing Assumptions" sheetId="6" r:id="R7790fe9d714c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#,##0"/>
    <x:numFmt numFmtId="202" formatCode="0.000x"/>
    <x:numFmt numFmtId="203" formatCode="0.0"/>
    <x:numFmt numFmtId="204" formatCode="0.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B1F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7EEF6"/>
      </x:patternFill>
    </x:fill>
    <x:fill>
      <x:patternFill patternType="solid">
        <x:fgColor rgb="FFD9A441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5" fillId="5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20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5" fillId="5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/>
    <x:xf numFmtId="20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1" fontId="5" fillId="0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17668bd4a4e1c" /><Relationship Type="http://schemas.openxmlformats.org/officeDocument/2006/relationships/theme" Target="/xl/theme/theme1.xml" Id="Rfb23c672344a4499" /><Relationship Type="http://schemas.openxmlformats.org/officeDocument/2006/relationships/sharedStrings" Target="/xl/sharedStrings.xml" Id="Ra649736028974bac" /><Relationship Type="http://schemas.openxmlformats.org/officeDocument/2006/relationships/worksheet" Target="/xl/worksheets/sheet1.xml" Id="Rb0499954c3b0410a" /><Relationship Type="http://schemas.openxmlformats.org/officeDocument/2006/relationships/worksheet" Target="/xl/worksheets/sheet2.xml" Id="R007dea3bfdbd4321" /><Relationship Type="http://schemas.openxmlformats.org/officeDocument/2006/relationships/worksheet" Target="/xl/worksheets/sheet3.xml" Id="Re8d523d9b8064635" /><Relationship Type="http://schemas.openxmlformats.org/officeDocument/2006/relationships/worksheet" Target="/xl/worksheets/sheet4.xml" Id="R216e8e2c1148449e" /><Relationship Type="http://schemas.openxmlformats.org/officeDocument/2006/relationships/worksheet" Target="/xl/worksheets/sheet5.xml" Id="R64de0714b9384de3" /><Relationship Type="http://schemas.openxmlformats.org/officeDocument/2006/relationships/worksheet" Target="/xl/worksheets/sheet6.xml" Id="R7790fe9d714c49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b9050862364b53" /><Relationship Type="http://schemas.openxmlformats.org/officeDocument/2006/relationships/chart" Target="/xl/drawings/charts/chart2.xml" Id="Rb96af1d1a4a64e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Land Unlock Cost Curve</a:t>
            </a:r>
          </a:p>
        </c:rich>
      </c:tx>
    </c:title>
    <c:plotArea>
      <c:lineChart>
        <c:grouping val="standard"/>
        <c:ser>
          <c:idx val="0"/>
          <c:order val="0"/>
          <c:tx>
            <c:v>Required Level</c:v>
          </c:tx>
          <c:marker>
            <c:symbol val="none"/>
          </c:marker>
          <c:cat>
            <c:strRef>
              <c:f>'Pricing Assumptions'!$A$2:$A$36</c:f>
              <c:strCache>
                <c:ptCount val="0"/>
              </c:strCache>
            </c:strRef>
          </c:cat>
          <c:val>
            <c:numRef>
              <c:f>'Pricing Assumptions'!$B$2:$B$36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Base Cost</c:v>
          </c:tx>
          <c:marker>
            <c:symbol val="none"/>
          </c:marker>
          <c:cat>
            <c:strRef>
              <c:f>'Pricing Assumptions'!$A$2:$A$36</c:f>
              <c:strCache>
                <c:ptCount val="0"/>
              </c:strCache>
            </c:strRef>
          </c:cat>
          <c:val>
            <c:numRef>
              <c:f>'Pricing Assumptions'!$C$2:$C$36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Hex Capacity Through Growing Rank</a:t>
            </a:r>
          </a:p>
        </c:rich>
      </c:tx>
    </c:title>
    <c:plotArea>
      <c:lineChart>
        <c:grouping val="standard"/>
        <c:ser>
          <c:idx val="0"/>
          <c:order val="0"/>
          <c:tx>
            <c:v>Rank</c:v>
          </c:tx>
          <c:marker>
            <c:symbol val="none"/>
          </c:marker>
          <c:cat>
            <c:strRef>
              <c:f>'Level &amp; Hex Capacity'!$A$2:$A$31</c:f>
              <c:strCache>
                <c:ptCount val="0"/>
              </c:strCache>
            </c:strRef>
          </c:cat>
          <c:val>
            <c:numRef>
              <c:f>'Level &amp; Hex Capacity'!$B$2:$B$31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Max Owned Hexes</c:v>
          </c:tx>
          <c:marker>
            <c:symbol val="none"/>
          </c:marker>
          <c:cat>
            <c:strRef>
              <c:f>'Level &amp; Hex Capacity'!$A$2:$A$31</c:f>
              <c:strCache>
                <c:ptCount val="0"/>
              </c:strCache>
            </c:strRef>
          </c:cat>
          <c:val>
            <c:numRef>
              <c:f>'Level &amp; Hex Capacity'!$C$2:$C$31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b9050862364b53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6af1d1a4a64e3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daac8e32cd467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</x:cols>
  <x:sheetData>
    <x:row r="1" ht="30" customHeight="1">
      <x:c r="A1" s="48" t="str">
        <x:v>PLOT Land / Hex Balancing v0.1</x:v>
      </x:c>
      <x:c r="B1" s="48"/>
      <x:c r="C1" s="48"/>
      <x:c r="D1" s="48"/>
      <x:c r="E1" s="48"/>
      <x:c r="F1" s="48"/>
      <x:c r="G1" s="48"/>
      <x:c r="H1" s="48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5" t="str">
        <x:v>Core rule</x:v>
      </x:c>
      <x:c r="B3" s="66" t="str">
        <x:v>Each owned hex holds one building.</x:v>
      </x:c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5" t="str">
        <x:v>Progression rule</x:v>
      </x:c>
      <x:c r="B4" s="66" t="str">
        <x:v>Empire Level sets maximum land capacity; Cash buys the land.</x:v>
      </x:c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5" t="str">
        <x:v>Map size</x:v>
      </x:c>
      <x:c r="B5" s="66" t="str">
        <x:v>35 purchasable hexes.</x:v>
      </x:c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5" t="str">
        <x:v>35-hex target</x:v>
      </x:c>
      <x:c r="B6" s="66" t="str">
        <x:v>Full 35-hex ownership becomes level-eligible at Empire Level 30 (end of Growing).</x:v>
      </x:c>
      <x:c r="C6" s="64"/>
      <x:c r="D6" s="64"/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5" t="str">
        <x:v>Pricing principle</x:v>
      </x:c>
      <x:c r="B7" s="66" t="str">
        <x:v>Later parcels intentionally cost millions of Cash; level eligibility never grants land for free.</x:v>
      </x:c>
      <x:c r="C7" s="64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5" t="str">
        <x:v>Valuation principle</x:v>
      </x:c>
      <x:c r="B8" s="66" t="str">
        <x:v>Location value = commerce + roads + capital + prestige + footfall + talent/data + security + amenity + adjacency.</x:v>
      </x:c>
      <x:c r="C8" s="64"/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5" t="str">
        <x:v>Building compatibility</x:v>
      </x:c>
      <x:c r="B9" s="66" t="str">
        <x:v>All 50 buildings are grouped into economic categories; each hex has category affinities.</x:v>
      </x:c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4"/>
      <x:c r="B10" s="64"/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7" t="str">
        <x:v>Important balancing note</x:v>
      </x:c>
      <x:c r="B11" s="67"/>
      <x:c r="C11" s="67"/>
      <x:c r="D11" s="67"/>
      <x:c r="E11" s="67"/>
      <x:c r="F11" s="67"/>
      <x:c r="G11" s="67"/>
      <x:c r="H11" s="67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8" t="str">
        <x:v>Current map numbers 1–35 are treated only as visual reference labels. Final Parcel IDs P01–P35 are re-ranked by land quality/progression. All Cash values and location scores are v0.1 balancing assumptions derived from the current concept map and should be tuned after full 50-building income simulation.</x:v>
      </x:c>
      <x:c r="B12" s="68"/>
      <x:c r="C12" s="68"/>
      <x:c r="D12" s="68"/>
      <x:c r="E12" s="68"/>
      <x:c r="F12" s="68"/>
      <x:c r="G12" s="68"/>
      <x:c r="H12" s="68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8"/>
      <x:c r="B13" s="68"/>
      <x:c r="C13" s="68"/>
      <x:c r="D13" s="68"/>
      <x:c r="E13" s="68"/>
      <x:c r="F13" s="68"/>
      <x:c r="G13" s="68"/>
      <x:c r="H13" s="68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8"/>
      <x:c r="B14" s="68"/>
      <x:c r="C14" s="68"/>
      <x:c r="D14" s="68"/>
      <x:c r="E14" s="68"/>
      <x:c r="F14" s="68"/>
      <x:c r="G14" s="68"/>
      <x:c r="H14" s="68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9" t="str">
        <x:v>Land Grade</x:v>
      </x:c>
      <x:c r="B16" s="69" t="str">
        <x:v>Universal efficiency bonus</x:v>
      </x:c>
      <x:c r="C16" s="69" t="str">
        <x:v>Meaning</x:v>
      </x:c>
      <x:c r="D16" s="69" t="str">
        <x:v>Typical use</x:v>
      </x:c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 t="str">
        <x:v>Entry</x:v>
      </x:c>
      <x:c r="B17" s="70" t="n">
        <x:v>0</x:v>
      </x:c>
      <x:c r="C17" s="64" t="str">
        <x:v>Low-cost expansion</x:v>
      </x:c>
      <x:c r="D17" s="64" t="str">
        <x:v>Early/support buildings</x:v>
      </x:c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 t="str">
        <x:v>Growth</x:v>
      </x:c>
      <x:c r="B18" s="70" t="n">
        <x:v>0.02</x:v>
      </x:c>
      <x:c r="C18" s="64" t="str">
        <x:v>Useful mixed-use land</x:v>
      </x:c>
      <x:c r="D18" s="64" t="str">
        <x:v>General growth</x:v>
      </x:c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 t="str">
        <x:v>Premium</x:v>
      </x:c>
      <x:c r="B19" s="70" t="n">
        <x:v>0.04</x:v>
      </x:c>
      <x:c r="C19" s="64" t="str">
        <x:v>Strong commercial land</x:v>
      </x:c>
      <x:c r="D19" s="64" t="str">
        <x:v>Mid/late businesses</x:v>
      </x:c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 t="str">
        <x:v>Prime</x:v>
      </x:c>
      <x:c r="B20" s="70" t="n">
        <x:v>0.06</x:v>
      </x:c>
      <x:c r="C20" s="64" t="str">
        <x:v>Highly competitive land</x:v>
      </x:c>
      <x:c r="D20" s="64" t="str">
        <x:v>High-value institutions</x:v>
      </x:c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 t="str">
        <x:v>Trophy</x:v>
      </x:c>
      <x:c r="B21" s="70" t="n">
        <x:v>0.08</x:v>
      </x:c>
      <x:c r="C21" s="64" t="str">
        <x:v>Best strategic parcels</x:v>
      </x:c>
      <x:c r="D21" s="64" t="str">
        <x:v>Late-stage flagship placements</x:v>
      </x:c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</x:sheetData>
  <x:mergeCells>
    <x:mergeCell ref="A1:H1"/>
    <x:mergeCell ref="A11:H11"/>
    <x:mergeCell ref="A12:H14"/>
  </x:mergeCells>
  <x:pageMargins left="0.7" right="0.7" top="0.75" bottom="0.75" header="0.3" footer="0.3"/>
  <x:drawing xmlns:r="http://schemas.openxmlformats.org/officeDocument/2006/relationships" r:id="R66daac8e32cd467a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8" hidden="0" customWidth="1"/>
    <x:col min="5" max="5" width="28" hidden="0" customWidth="1"/>
    <x:col min="6" max="6" width="30" hidden="0" customWidth="1"/>
  </x:cols>
  <x:sheetData>
    <x:row r="1">
      <x:c r="A1" s="80" t="str">
        <x:v>Empire Level</x:v>
      </x:c>
      <x:c r="B1" s="80" t="str">
        <x:v>Rank</x:v>
      </x:c>
      <x:c r="C1" s="80" t="str">
        <x:v>Max Owned Hexes</x:v>
      </x:c>
      <x:c r="D1" s="80" t="str">
        <x:v>New Capacity This Level</x:v>
      </x:c>
      <x:c r="E1" s="80" t="str">
        <x:v>Building Unlocked</x:v>
      </x:c>
      <x:c r="F1" s="80" t="str">
        <x:v>Notes</x:v>
      </x:c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6" t="n">
        <x:v>1</x:v>
      </x:c>
      <x:c r="B2" s="66" t="str">
        <x:v>Humble</x:v>
      </x:c>
      <x:c r="C2" s="66" t="n">
        <x:v>1</x:v>
      </x:c>
      <x:c r="D2" s="66" t="n">
        <x:v>1</x:v>
      </x:c>
      <x:c r="E2" s="66" t="str">
        <x:v>Cash Kiosk</x:v>
      </x:c>
      <x:c r="F2" s="66" t="str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6" t="n">
        <x:v>2</x:v>
      </x:c>
      <x:c r="B3" s="66" t="str">
        <x:v>Humble</x:v>
      </x:c>
      <x:c r="C3" s="66" t="n">
        <x:v>2</x:v>
      </x:c>
      <x:c r="D3" s="66" t="n">
        <x:v>1</x:v>
      </x:c>
      <x:c r="E3" s="66" t="str">
        <x:v>Trading Booth</x:v>
      </x:c>
      <x:c r="F3" s="66" t="str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6" t="n">
        <x:v>3</x:v>
      </x:c>
      <x:c r="B4" s="66" t="str">
        <x:v>Humble</x:v>
      </x:c>
      <x:c r="C4" s="66" t="n">
        <x:v>3</x:v>
      </x:c>
      <x:c r="D4" s="66" t="n">
        <x:v>1</x:v>
      </x:c>
      <x:c r="E4" s="66" t="str">
        <x:v>Savings Stand</x:v>
      </x:c>
      <x:c r="F4" s="66" t="str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6" t="n">
        <x:v>4</x:v>
      </x:c>
      <x:c r="B5" s="66" t="str">
        <x:v>Humble</x:v>
      </x:c>
      <x:c r="C5" s="66" t="n">
        <x:v>4</x:v>
      </x:c>
      <x:c r="D5" s="66" t="n">
        <x:v>1</x:v>
      </x:c>
      <x:c r="E5" s="66" t="str">
        <x:v>Mini Brokerage Desk</x:v>
      </x:c>
      <x:c r="F5" s="66" t="str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6" t="n">
        <x:v>5</x:v>
      </x:c>
      <x:c r="B6" s="66" t="str">
        <x:v>Humble</x:v>
      </x:c>
      <x:c r="C6" s="66" t="n">
        <x:v>5</x:v>
      </x:c>
      <x:c r="D6" s="66" t="n">
        <x:v>1</x:v>
      </x:c>
      <x:c r="E6" s="66" t="str">
        <x:v>Market Info Kiosk</x:v>
      </x:c>
      <x:c r="F6" s="66" t="str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6" t="n">
        <x:v>6</x:v>
      </x:c>
      <x:c r="B7" s="66" t="str">
        <x:v>Humble</x:v>
      </x:c>
      <x:c r="C7" s="66" t="n">
        <x:v>6</x:v>
      </x:c>
      <x:c r="D7" s="66" t="n">
        <x:v>1</x:v>
      </x:c>
      <x:c r="E7" s="66" t="str">
        <x:v>Micro Loan Booth</x:v>
      </x:c>
      <x:c r="F7" s="66" t="str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6" t="n">
        <x:v>7</x:v>
      </x:c>
      <x:c r="B8" s="66" t="str">
        <x:v>Humble</x:v>
      </x:c>
      <x:c r="C8" s="66" t="n">
        <x:v>6</x:v>
      </x:c>
      <x:c r="D8" s="66" t="n">
        <x:v>0</x:v>
      </x:c>
      <x:c r="E8" s="66" t="str">
        <x:v>Currency Exchange Stand</x:v>
      </x:c>
      <x:c r="F8" s="66" t="str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6" t="n">
        <x:v>8</x:v>
      </x:c>
      <x:c r="B9" s="66" t="str">
        <x:v>Humble</x:v>
      </x:c>
      <x:c r="C9" s="66" t="n">
        <x:v>7</x:v>
      </x:c>
      <x:c r="D9" s="66" t="n">
        <x:v>1</x:v>
      </x:c>
      <x:c r="E9" s="66" t="str">
        <x:v>Insurance Desk</x:v>
      </x:c>
      <x:c r="F9" s="66" t="str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6" t="n">
        <x:v>9</x:v>
      </x:c>
      <x:c r="B10" s="66" t="str">
        <x:v>Humble</x:v>
      </x:c>
      <x:c r="C10" s="66" t="n">
        <x:v>7</x:v>
      </x:c>
      <x:c r="D10" s="66" t="n">
        <x:v>0</x:v>
      </x:c>
      <x:c r="E10" s="66" t="str">
        <x:v>Investment Advice Booth</x:v>
      </x:c>
      <x:c r="F10" s="66" t="str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6" t="n">
        <x:v>10</x:v>
      </x:c>
      <x:c r="B11" s="66" t="str">
        <x:v>Humble</x:v>
      </x:c>
      <x:c r="C11" s="66" t="n">
        <x:v>8</x:v>
      </x:c>
      <x:c r="D11" s="66" t="n">
        <x:v>1</x:v>
      </x:c>
      <x:c r="E11" s="66" t="str">
        <x:v>Secure Cash Locker</x:v>
      </x:c>
      <x:c r="F11" s="66" t="str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6" t="n">
        <x:v>11</x:v>
      </x:c>
      <x:c r="B12" s="66" t="str">
        <x:v>Starter</x:v>
      </x:c>
      <x:c r="C12" s="66" t="n">
        <x:v>9</x:v>
      </x:c>
      <x:c r="D12" s="66" t="n">
        <x:v>1</x:v>
      </x:c>
      <x:c r="E12" s="66" t="str">
        <x:v>Neighborhood Finance Shop</x:v>
      </x:c>
      <x:c r="F12" s="66" t="str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6" t="n">
        <x:v>12</x:v>
      </x:c>
      <x:c r="B13" s="66" t="str">
        <x:v>Starter</x:v>
      </x:c>
      <x:c r="C13" s="66" t="n">
        <x:v>10</x:v>
      </x:c>
      <x:c r="D13" s="66" t="n">
        <x:v>1</x:v>
      </x:c>
      <x:c r="E13" s="66" t="str">
        <x:v>Small Brokerage Office</x:v>
      </x:c>
      <x:c r="F13" s="66" t="str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6" t="n">
        <x:v>13</x:v>
      </x:c>
      <x:c r="B14" s="66" t="str">
        <x:v>Starter</x:v>
      </x:c>
      <x:c r="C14" s="66" t="n">
        <x:v>11</x:v>
      </x:c>
      <x:c r="D14" s="66" t="n">
        <x:v>1</x:v>
      </x:c>
      <x:c r="E14" s="66" t="str">
        <x:v>Local Savings Office</x:v>
      </x:c>
      <x:c r="F14" s="66" t="str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6" t="n">
        <x:v>14</x:v>
      </x:c>
      <x:c r="B15" s="66" t="str">
        <x:v>Starter</x:v>
      </x:c>
      <x:c r="C15" s="66" t="n">
        <x:v>12</x:v>
      </x:c>
      <x:c r="D15" s="66" t="n">
        <x:v>1</x:v>
      </x:c>
      <x:c r="E15" s="66" t="str">
        <x:v>Microfinance Office</x:v>
      </x:c>
      <x:c r="F15" s="66" t="str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6" t="n">
        <x:v>15</x:v>
      </x:c>
      <x:c r="B16" s="66" t="str">
        <x:v>Starter</x:v>
      </x:c>
      <x:c r="C16" s="66" t="n">
        <x:v>13</x:v>
      </x:c>
      <x:c r="D16" s="66" t="n">
        <x:v>1</x:v>
      </x:c>
      <x:c r="E16" s="66" t="str">
        <x:v>Trading Room</x:v>
      </x:c>
      <x:c r="F16" s="66" t="str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6" t="n">
        <x:v>16</x:v>
      </x:c>
      <x:c r="B17" s="66" t="str">
        <x:v>Starter</x:v>
      </x:c>
      <x:c r="C17" s="66" t="n">
        <x:v>14</x:v>
      </x:c>
      <x:c r="D17" s="66" t="n">
        <x:v>1</x:v>
      </x:c>
      <x:c r="E17" s="66" t="str">
        <x:v>Small Research Office</x:v>
      </x:c>
      <x:c r="F17" s="66" t="str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6" t="n">
        <x:v>17</x:v>
      </x:c>
      <x:c r="B18" s="66" t="str">
        <x:v>Starter</x:v>
      </x:c>
      <x:c r="C18" s="66" t="n">
        <x:v>15</x:v>
      </x:c>
      <x:c r="D18" s="66" t="n">
        <x:v>1</x:v>
      </x:c>
      <x:c r="E18" s="66" t="str">
        <x:v>Local Insurance Office</x:v>
      </x:c>
      <x:c r="F18" s="66" t="str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6" t="n">
        <x:v>18</x:v>
      </x:c>
      <x:c r="B19" s="66" t="str">
        <x:v>Starter</x:v>
      </x:c>
      <x:c r="C19" s="66" t="n">
        <x:v>16</x:v>
      </x:c>
      <x:c r="D19" s="66" t="n">
        <x:v>1</x:v>
      </x:c>
      <x:c r="E19" s="66" t="str">
        <x:v>Treasury Office</x:v>
      </x:c>
      <x:c r="F19" s="66" t="str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6" t="n">
        <x:v>19</x:v>
      </x:c>
      <x:c r="B20" s="66" t="str">
        <x:v>Starter</x:v>
      </x:c>
      <x:c r="C20" s="66" t="n">
        <x:v>17</x:v>
      </x:c>
      <x:c r="D20" s="66" t="n">
        <x:v>1</x:v>
      </x:c>
      <x:c r="E20" s="66" t="str">
        <x:v>Small Fund Office</x:v>
      </x:c>
      <x:c r="F20" s="66" t="str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6" t="n">
        <x:v>20</x:v>
      </x:c>
      <x:c r="B21" s="66" t="str">
        <x:v>Starter</x:v>
      </x:c>
      <x:c r="C21" s="66" t="n">
        <x:v>18</x:v>
      </x:c>
      <x:c r="D21" s="66" t="n">
        <x:v>1</x:v>
      </x:c>
      <x:c r="E21" s="66" t="str">
        <x:v>Financial Services Hub</x:v>
      </x:c>
      <x:c r="F21" s="66" t="str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6" t="n">
        <x:v>21</x:v>
      </x:c>
      <x:c r="B22" s="66" t="str">
        <x:v>Growing</x:v>
      </x:c>
      <x:c r="C22" s="66" t="n">
        <x:v>20</x:v>
      </x:c>
      <x:c r="D22" s="66" t="n">
        <x:v>2</x:v>
      </x:c>
      <x:c r="E22" s="66" t="str">
        <x:v>Community Bank Branch</x:v>
      </x:c>
      <x:c r="F22" s="66" t="str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6" t="n">
        <x:v>22</x:v>
      </x:c>
      <x:c r="B23" s="66" t="str">
        <x:v>Growing</x:v>
      </x:c>
      <x:c r="C23" s="66" t="n">
        <x:v>22</x:v>
      </x:c>
      <x:c r="D23" s="66" t="n">
        <x:v>2</x:v>
      </x:c>
      <x:c r="E23" s="66" t="str">
        <x:v>Brokerage House</x:v>
      </x:c>
      <x:c r="F23" s="66" t="str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6" t="n">
        <x:v>23</x:v>
      </x:c>
      <x:c r="B24" s="66" t="str">
        <x:v>Growing</x:v>
      </x:c>
      <x:c r="C24" s="66" t="n">
        <x:v>24</x:v>
      </x:c>
      <x:c r="D24" s="66" t="n">
        <x:v>2</x:v>
      </x:c>
      <x:c r="E24" s="66" t="str">
        <x:v>Investment Advisory Firm</x:v>
      </x:c>
      <x:c r="F24" s="66" t="str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6" t="n">
        <x:v>24</x:v>
      </x:c>
      <x:c r="B25" s="66" t="str">
        <x:v>Growing</x:v>
      </x:c>
      <x:c r="C25" s="66" t="n">
        <x:v>26</x:v>
      </x:c>
      <x:c r="D25" s="66" t="n">
        <x:v>2</x:v>
      </x:c>
      <x:c r="E25" s="66" t="str">
        <x:v>Asset Management Office</x:v>
      </x:c>
      <x:c r="F25" s="66" t="str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6" t="n">
        <x:v>25</x:v>
      </x:c>
      <x:c r="B26" s="66" t="str">
        <x:v>Growing</x:v>
      </x:c>
      <x:c r="C26" s="66" t="n">
        <x:v>28</x:v>
      </x:c>
      <x:c r="D26" s="66" t="n">
        <x:v>2</x:v>
      </x:c>
      <x:c r="E26" s="66" t="str">
        <x:v>Market Research Center</x:v>
      </x:c>
      <x:c r="F26" s="66" t="str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6" t="n">
        <x:v>26</x:v>
      </x:c>
      <x:c r="B27" s="66" t="str">
        <x:v>Growing</x:v>
      </x:c>
      <x:c r="C27" s="66" t="n">
        <x:v>30</x:v>
      </x:c>
      <x:c r="D27" s="66" t="n">
        <x:v>2</x:v>
      </x:c>
      <x:c r="E27" s="66" t="str">
        <x:v>Lending Center</x:v>
      </x:c>
      <x:c r="F27" s="66" t="str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6" t="n">
        <x:v>27</x:v>
      </x:c>
      <x:c r="B28" s="66" t="str">
        <x:v>Growing</x:v>
      </x:c>
      <x:c r="C28" s="66" t="n">
        <x:v>31</x:v>
      </x:c>
      <x:c r="D28" s="66" t="n">
        <x:v>1</x:v>
      </x:c>
      <x:c r="E28" s="66" t="str">
        <x:v>Wealth Management Office</x:v>
      </x:c>
      <x:c r="F28" s="66" t="str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6" t="n">
        <x:v>28</x:v>
      </x:c>
      <x:c r="B29" s="66" t="str">
        <x:v>Growing</x:v>
      </x:c>
      <x:c r="C29" s="66" t="n">
        <x:v>32</x:v>
      </x:c>
      <x:c r="D29" s="66" t="n">
        <x:v>1</x:v>
      </x:c>
      <x:c r="E29" s="66" t="str">
        <x:v>Digital Finance Hub</x:v>
      </x:c>
      <x:c r="F29" s="66" t="str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6" t="n">
        <x:v>29</x:v>
      </x:c>
      <x:c r="B30" s="66" t="str">
        <x:v>Growing</x:v>
      </x:c>
      <x:c r="C30" s="66" t="n">
        <x:v>34</x:v>
      </x:c>
      <x:c r="D30" s="66" t="n">
        <x:v>2</x:v>
      </x:c>
      <x:c r="E30" s="66" t="str">
        <x:v>Trading House</x:v>
      </x:c>
      <x:c r="F30" s="66" t="str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6" t="n">
        <x:v>30</x:v>
      </x:c>
      <x:c r="B31" s="66" t="str">
        <x:v>Growing</x:v>
      </x:c>
      <x:c r="C31" s="66" t="n">
        <x:v>35</x:v>
      </x:c>
      <x:c r="D31" s="66" t="n">
        <x:v>1</x:v>
      </x:c>
      <x:c r="E31" s="66" t="str">
        <x:v>Private Vault Facility</x:v>
      </x:c>
      <x:c r="F31" s="66" t="str">
        <x:v>Full 35-hex map level-eligible</x:v>
      </x:c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6" t="n">
        <x:v>31</x:v>
      </x:c>
      <x:c r="B32" s="66" t="str">
        <x:v>Established</x:v>
      </x:c>
      <x:c r="C32" s="66" t="n">
        <x:v>35</x:v>
      </x:c>
      <x:c r="D32" s="66" t="n">
        <x:v>0</x:v>
      </x:c>
      <x:c r="E32" s="66" t="str">
        <x:v>Regional Bank</x:v>
      </x:c>
      <x:c r="F32" s="66" t="str">
        <x:v>Land capacity capped</x:v>
      </x:c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6" t="n">
        <x:v>32</x:v>
      </x:c>
      <x:c r="B33" s="66" t="str">
        <x:v>Established</x:v>
      </x:c>
      <x:c r="C33" s="66" t="n">
        <x:v>35</x:v>
      </x:c>
      <x:c r="D33" s="66" t="n">
        <x:v>0</x:v>
      </x:c>
      <x:c r="E33" s="66" t="str">
        <x:v>Stock Brokerage Center</x:v>
      </x:c>
      <x:c r="F33" s="66" t="str">
        <x:v>Land capacity capped</x:v>
      </x:c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6" t="n">
        <x:v>33</x:v>
      </x:c>
      <x:c r="B34" s="66" t="str">
        <x:v>Established</x:v>
      </x:c>
      <x:c r="C34" s="66" t="n">
        <x:v>35</x:v>
      </x:c>
      <x:c r="D34" s="66" t="n">
        <x:v>0</x:v>
      </x:c>
      <x:c r="E34" s="66" t="str">
        <x:v>Investment Fund HQ</x:v>
      </x:c>
      <x:c r="F34" s="66" t="str">
        <x:v>Land capacity capped</x:v>
      </x:c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6" t="n">
        <x:v>34</x:v>
      </x:c>
      <x:c r="B35" s="66" t="str">
        <x:v>Established</x:v>
      </x:c>
      <x:c r="C35" s="66" t="n">
        <x:v>35</x:v>
      </x:c>
      <x:c r="D35" s="66" t="n">
        <x:v>0</x:v>
      </x:c>
      <x:c r="E35" s="66" t="str">
        <x:v>Insurance Company HQ</x:v>
      </x:c>
      <x:c r="F35" s="66" t="str">
        <x:v>Land capacity capped</x:v>
      </x:c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6" t="n">
        <x:v>35</x:v>
      </x:c>
      <x:c r="B36" s="66" t="str">
        <x:v>Established</x:v>
      </x:c>
      <x:c r="C36" s="66" t="n">
        <x:v>35</x:v>
      </x:c>
      <x:c r="D36" s="66" t="n">
        <x:v>0</x:v>
      </x:c>
      <x:c r="E36" s="66" t="str">
        <x:v>Financial Data Center</x:v>
      </x:c>
      <x:c r="F36" s="66" t="str">
        <x:v>Land capacity capped</x:v>
      </x:c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6" t="n">
        <x:v>36</x:v>
      </x:c>
      <x:c r="B37" s="66" t="str">
        <x:v>Established</x:v>
      </x:c>
      <x:c r="C37" s="66" t="n">
        <x:v>35</x:v>
      </x:c>
      <x:c r="D37" s="66" t="n">
        <x:v>0</x:v>
      </x:c>
      <x:c r="E37" s="66" t="str">
        <x:v>Market Maker Office</x:v>
      </x:c>
      <x:c r="F37" s="66" t="str">
        <x:v>Land capacity capped</x:v>
      </x:c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6" t="n">
        <x:v>37</x:v>
      </x:c>
      <x:c r="B38" s="66" t="str">
        <x:v>Established</x:v>
      </x:c>
      <x:c r="C38" s="66" t="n">
        <x:v>35</x:v>
      </x:c>
      <x:c r="D38" s="66" t="n">
        <x:v>0</x:v>
      </x:c>
      <x:c r="E38" s="66" t="str">
        <x:v>Private Banking Center</x:v>
      </x:c>
      <x:c r="F38" s="66" t="str">
        <x:v>Land capacity capped</x:v>
      </x:c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6" t="n">
        <x:v>38</x:v>
      </x:c>
      <x:c r="B39" s="66" t="str">
        <x:v>Established</x:v>
      </x:c>
      <x:c r="C39" s="66" t="n">
        <x:v>35</x:v>
      </x:c>
      <x:c r="D39" s="66" t="n">
        <x:v>0</x:v>
      </x:c>
      <x:c r="E39" s="66" t="str">
        <x:v>Corporate Treasury Center</x:v>
      </x:c>
      <x:c r="F39" s="66" t="str">
        <x:v>Land capacity capped</x:v>
      </x:c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6" t="n">
        <x:v>39</x:v>
      </x:c>
      <x:c r="B40" s="66" t="str">
        <x:v>Established</x:v>
      </x:c>
      <x:c r="C40" s="66" t="n">
        <x:v>35</x:v>
      </x:c>
      <x:c r="D40" s="66" t="n">
        <x:v>0</x:v>
      </x:c>
      <x:c r="E40" s="66" t="str">
        <x:v>Securities Exchange</x:v>
      </x:c>
      <x:c r="F40" s="66" t="str">
        <x:v>Land capacity capped</x:v>
      </x:c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6" t="n">
        <x:v>40</x:v>
      </x:c>
      <x:c r="B41" s="66" t="str">
        <x:v>Established</x:v>
      </x:c>
      <x:c r="C41" s="66" t="n">
        <x:v>35</x:v>
      </x:c>
      <x:c r="D41" s="66" t="n">
        <x:v>0</x:v>
      </x:c>
      <x:c r="E41" s="66" t="str">
        <x:v>Investment Bank</x:v>
      </x:c>
      <x:c r="F41" s="66" t="str">
        <x:v>Land capacity capped</x:v>
      </x:c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6" t="n">
        <x:v>41</x:v>
      </x:c>
      <x:c r="B42" s="66" t="str">
        <x:v>Elite</x:v>
      </x:c>
      <x:c r="C42" s="66" t="n">
        <x:v>35</x:v>
      </x:c>
      <x:c r="D42" s="66" t="n">
        <x:v>0</x:v>
      </x:c>
      <x:c r="E42" s="66" t="str">
        <x:v>Global Brokerage Tower</x:v>
      </x:c>
      <x:c r="F42" s="66" t="str">
        <x:v>Land capacity capped</x:v>
      </x:c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6" t="n">
        <x:v>42</x:v>
      </x:c>
      <x:c r="B43" s="66" t="str">
        <x:v>Elite</x:v>
      </x:c>
      <x:c r="C43" s="66" t="n">
        <x:v>35</x:v>
      </x:c>
      <x:c r="D43" s="66" t="n">
        <x:v>0</x:v>
      </x:c>
      <x:c r="E43" s="66" t="str">
        <x:v>Major Asset Manager</x:v>
      </x:c>
      <x:c r="F43" s="66" t="str">
        <x:v>Land capacity capped</x:v>
      </x:c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6" t="n">
        <x:v>43</x:v>
      </x:c>
      <x:c r="B44" s="66" t="str">
        <x:v>Elite</x:v>
      </x:c>
      <x:c r="C44" s="66" t="n">
        <x:v>35</x:v>
      </x:c>
      <x:c r="D44" s="66" t="n">
        <x:v>0</x:v>
      </x:c>
      <x:c r="E44" s="66" t="str">
        <x:v>Institutional Trading Center</x:v>
      </x:c>
      <x:c r="F44" s="66" t="str">
        <x:v>Land capacity capped</x:v>
      </x:c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6" t="n">
        <x:v>44</x:v>
      </x:c>
      <x:c r="B45" s="66" t="str">
        <x:v>Elite</x:v>
      </x:c>
      <x:c r="C45" s="66" t="n">
        <x:v>35</x:v>
      </x:c>
      <x:c r="D45" s="66" t="n">
        <x:v>0</x:v>
      </x:c>
      <x:c r="E45" s="66" t="str">
        <x:v>Global Wealth Center</x:v>
      </x:c>
      <x:c r="F45" s="66" t="str">
        <x:v>Land capacity capped</x:v>
      </x:c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6" t="n">
        <x:v>45</x:v>
      </x:c>
      <x:c r="B46" s="66" t="str">
        <x:v>Elite</x:v>
      </x:c>
      <x:c r="C46" s="66" t="n">
        <x:v>35</x:v>
      </x:c>
      <x:c r="D46" s="66" t="n">
        <x:v>0</x:v>
      </x:c>
      <x:c r="E46" s="66" t="str">
        <x:v>Financial Exchange Tower</x:v>
      </x:c>
      <x:c r="F46" s="66" t="str">
        <x:v>Land capacity capped</x:v>
      </x:c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6" t="n">
        <x:v>46</x:v>
      </x:c>
      <x:c r="B47" s="66" t="str">
        <x:v>Tycoon</x:v>
      </x:c>
      <x:c r="C47" s="66" t="n">
        <x:v>35</x:v>
      </x:c>
      <x:c r="D47" s="66" t="n">
        <x:v>0</x:v>
      </x:c>
      <x:c r="E47" s="66" t="str">
        <x:v>International Bank HQ</x:v>
      </x:c>
      <x:c r="F47" s="66" t="str">
        <x:v>Land capacity capped</x:v>
      </x:c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6" t="n">
        <x:v>47</x:v>
      </x:c>
      <x:c r="B48" s="66" t="str">
        <x:v>Tycoon</x:v>
      </x:c>
      <x:c r="C48" s="66" t="n">
        <x:v>35</x:v>
      </x:c>
      <x:c r="D48" s="66" t="n">
        <x:v>0</x:v>
      </x:c>
      <x:c r="E48" s="66" t="str">
        <x:v>Global Investment Bank</x:v>
      </x:c>
      <x:c r="F48" s="66" t="str">
        <x:v>Land capacity capped</x:v>
      </x:c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6" t="n">
        <x:v>48</x:v>
      </x:c>
      <x:c r="B49" s="66" t="str">
        <x:v>Tycoon</x:v>
      </x:c>
      <x:c r="C49" s="66" t="n">
        <x:v>35</x:v>
      </x:c>
      <x:c r="D49" s="66" t="n">
        <x:v>0</x:v>
      </x:c>
      <x:c r="E49" s="66" t="str">
        <x:v>Sovereign Fund Tower</x:v>
      </x:c>
      <x:c r="F49" s="66" t="str">
        <x:v>Land capacity capped</x:v>
      </x:c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6" t="n">
        <x:v>49</x:v>
      </x:c>
      <x:c r="B50" s="66" t="str">
        <x:v>Tycoon</x:v>
      </x:c>
      <x:c r="C50" s="66" t="n">
        <x:v>35</x:v>
      </x:c>
      <x:c r="D50" s="66" t="n">
        <x:v>0</x:v>
      </x:c>
      <x:c r="E50" s="66" t="str">
        <x:v>World Financial Exchange</x:v>
      </x:c>
      <x:c r="F50" s="66" t="str">
        <x:v>Land capacity capped</x:v>
      </x:c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6" t="n">
        <x:v>50</x:v>
      </x:c>
      <x:c r="B51" s="66" t="str">
        <x:v>Tycoon</x:v>
      </x:c>
      <x:c r="C51" s="66" t="n">
        <x:v>35</x:v>
      </x:c>
      <x:c r="D51" s="66" t="n">
        <x:v>0</x:v>
      </x:c>
      <x:c r="E51" s="66" t="str">
        <x:v>Financial Empire Headquarters</x:v>
      </x:c>
      <x:c r="F51" s="66" t="str">
        <x:v>Land capacity capped</x:v>
      </x:c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</x:sheetData>
  <x:conditionalFormatting sqref="C2:C5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{4875D850-C878-AC6F-BD1B-FACF4CE02AD7}</x14:id>
        </x:ext>
      </x:extLst>
    </x:cfRule>
  </x:conditionalFormatting>
  <x:conditionalFormatting sqref="D2:D51">
    <x:cfRule type="cellIs" dxfId="0" priority="2" operator="greaterThan">
      <x:formula>0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875D850-C878-AC6F-BD1B-FACF4CE02AD7}">
            <x14:dataBar gradient="1">
              <x14:cfvo type="min"/>
              <x14:cfvo type="max"/>
              <x14:fillColor rgb="FFA02B93"/>
            </x14:dataBar>
          </x14:cfRule>
          <xm:sqref>C2:C51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15" hidden="0" customWidth="1"/>
    <x:col min="10" max="10" width="18" hidden="0" customWidth="1"/>
    <x:col min="11" max="11" width="16" hidden="0" customWidth="1"/>
    <x:col min="12" max="12" width="11" hidden="0" customWidth="1"/>
    <x:col min="13" max="13" width="11" hidden="0" customWidth="1"/>
    <x:col min="14" max="14" width="12" hidden="0" customWidth="1"/>
    <x:col min="15" max="15" width="11" hidden="0" customWidth="1"/>
    <x:col min="16" max="16" width="13" hidden="0" customWidth="1"/>
    <x:col min="17" max="17" width="13" hidden="0" customWidth="1"/>
    <x:col min="18" max="18" width="10" hidden="0" customWidth="1"/>
    <x:col min="19" max="19" width="11" hidden="0" customWidth="1"/>
    <x:col min="20" max="20" width="16" hidden="0" customWidth="1"/>
    <x:col min="21" max="21" width="26" hidden="0" customWidth="1"/>
    <x:col min="22" max="22" width="26" hidden="0" customWidth="1"/>
    <x:col min="23" max="23" width="14" hidden="0" customWidth="1"/>
    <x:col min="24" max="24" width="26" hidden="0" customWidth="1"/>
    <x:col min="25" max="25" width="16" hidden="0" customWidth="1"/>
    <x:col min="26" max="26" width="44" hidden="0" customWidth="1"/>
  </x:cols>
  <x:sheetData>
    <x:row r="1">
      <x:c r="A1" s="80" t="str">
        <x:v>Parcel ID</x:v>
      </x:c>
      <x:c r="B1" s="80" t="str">
        <x:v>Current Map Label</x:v>
      </x:c>
      <x:c r="C1" s="80" t="str">
        <x:v>Required Empire Level</x:v>
      </x:c>
      <x:c r="D1" s="80" t="str">
        <x:v>Rank</x:v>
      </x:c>
      <x:c r="E1" s="80" t="str">
        <x:v>Land Grade</x:v>
      </x:c>
      <x:c r="F1" s="80" t="str">
        <x:v>Base Cost</x:v>
      </x:c>
      <x:c r="G1" s="80" t="str">
        <x:v>Location Multiplier</x:v>
      </x:c>
      <x:c r="H1" s="80" t="str">
        <x:v>Final Unlock Cost</x:v>
      </x:c>
      <x:c r="I1" s="80" t="str">
        <x:v>Land Value Score</x:v>
      </x:c>
      <x:c r="J1" s="80" t="str">
        <x:v>Universal Efficiency Bonus</x:v>
      </x:c>
      <x:c r="K1" s="80" t="str">
        <x:v>Empire Value Gain</x:v>
      </x:c>
      <x:c r="L1" s="80" t="str">
        <x:v>Commerce</x:v>
      </x:c>
      <x:c r="M1" s="80" t="str">
        <x:v>Footfall</x:v>
      </x:c>
      <x:c r="N1" s="80" t="str">
        <x:v>Road Access</x:v>
      </x:c>
      <x:c r="O1" s="80" t="str">
        <x:v>Prestige</x:v>
      </x:c>
      <x:c r="P1" s="80" t="str">
        <x:v>Capital Access</x:v>
      </x:c>
      <x:c r="Q1" s="80" t="str">
        <x:v>Data / Talent</x:v>
      </x:c>
      <x:c r="R1" s="80" t="str">
        <x:v>Security</x:v>
      </x:c>
      <x:c r="S1" s="80" t="str">
        <x:v>Amenity</x:v>
      </x:c>
      <x:c r="T1" s="80" t="str">
        <x:v>Adjacency Potential</x:v>
      </x:c>
      <x:c r="U1" s="80" t="str">
        <x:v>Primary Landmark Influence</x:v>
      </x:c>
      <x:c r="V1" s="80" t="str">
        <x:v>Best Building Category</x:v>
      </x:c>
      <x:c r="W1" s="80" t="str">
        <x:v>Best Fit Score</x:v>
      </x:c>
      <x:c r="X1" s="80" t="str">
        <x:v>Secondary Category</x:v>
      </x:c>
      <x:c r="Y1" s="80" t="str">
        <x:v>Secondary Fit Score</x:v>
      </x:c>
      <x:c r="Z1" s="80" t="str">
        <x:v>Design / Balance Notes</x:v>
      </x:c>
    </x:row>
    <x:row r="2">
      <x:c r="A2" s="66" t="str">
        <x:v>P01</x:v>
      </x:c>
      <x:c r="B2" s="66" t="n">
        <x:v>35</x:v>
      </x:c>
      <x:c r="C2" s="66" t="n">
        <x:v>1</x:v>
      </x:c>
      <x:c r="D2" s="66" t="str">
        <x:v>Humble</x:v>
      </x:c>
      <x:c r="E2" s="66" t="str">
        <x:f>IF(I2&gt;='Pricing Assumptions'!$I$7,"Trophy",IF(I2&gt;='Pricing Assumptions'!$I$6,"Prime",IF(I2&gt;='Pricing Assumptions'!$I$5,"Premium",IF(I2&gt;='Pricing Assumptions'!$I$4,"Growth","Entry"))))</x:f>
        <x:v>Entry</x:v>
      </x:c>
      <x:c r="F2" s="90" t="n">
        <x:v>0</x:v>
      </x:c>
      <x:c r="G2" s="91" t="n">
        <x:f>'Pricing Assumptions'!$I$2+(I2/100)*'Pricing Assumptions'!$I$3</x:f>
        <x:v>1.0484</x:v>
      </x:c>
      <x:c r="H2" s="90" t="n">
        <x:f>ROUND(F2*G2,-2)</x:f>
        <x:v>0</x:v>
      </x:c>
      <x:c r="I2" s="92" t="n">
        <x:f>ROUND(L2*'Pricing Assumptions'!$L$2+M2*'Pricing Assumptions'!$L$3+N2*'Pricing Assumptions'!$L$4+O2*'Pricing Assumptions'!$L$5+P2*'Pricing Assumptions'!$L$6+Q2*'Pricing Assumptions'!$L$7+R2*'Pricing Assumptions'!$L$8+S2*'Pricing Assumptions'!$L$9+T2*'Pricing Assumptions'!$L$10,1)</x:f>
        <x:v>49.6</x:v>
      </x:c>
      <x:c r="J2" s="93" t="n">
        <x:f>IF(E2="Trophy",8%,IF(E2="Prime",6%,IF(E2="Premium",4%,IF(E2="Growth",2%,0%))))</x:f>
        <x:v>0</x:v>
      </x:c>
      <x:c r="K2" s="90" t="n">
        <x:f>IF(H2=0,5000,ROUND(H2*'Pricing Assumptions'!$I$8+I2*'Pricing Assumptions'!$I$9,-3))</x:f>
        <x:v>5000</x:v>
      </x:c>
      <x:c r="L2" s="66" t="n">
        <x:v>42</x:v>
      </x:c>
      <x:c r="M2" s="66" t="n">
        <x:v>46</x:v>
      </x:c>
      <x:c r="N2" s="66" t="n">
        <x:v>64</x:v>
      </x:c>
      <x:c r="O2" s="66" t="n">
        <x:v>56</x:v>
      </x:c>
      <x:c r="P2" s="66" t="n">
        <x:v>42</x:v>
      </x:c>
      <x:c r="Q2" s="66" t="n">
        <x:v>40</x:v>
      </x:c>
      <x:c r="R2" s="66" t="n">
        <x:v>48</x:v>
      </x:c>
      <x:c r="S2" s="66" t="n">
        <x:v>88</x:v>
      </x:c>
      <x:c r="T2" s="66" t="n">
        <x:v>38</x:v>
      </x:c>
      <x:c r="U2" s="66" t="str">
        <x:v>Far south amenity edge</x:v>
      </x:c>
      <x:c r="V2" s="66" t="str">
        <x:v>Wealth &amp; Advisory</x:v>
      </x:c>
      <x:c r="W2" s="66" t="n">
        <x:v>54.5</x:v>
      </x:c>
      <x:c r="X2" s="66" t="str">
        <x:v>Insurance &amp; Risk</x:v>
      </x:c>
      <x:c r="Y2" s="66" t="n">
        <x:v>54.3</x:v>
      </x:c>
      <x:c r="Z2" s="66" t="str">
        <x:v>Entry parcel. Cost intentionally tied to both progression order and location quality.</x:v>
      </x:c>
    </x:row>
    <x:row r="3">
      <x:c r="A3" s="66" t="str">
        <x:v>P02</x:v>
      </x:c>
      <x:c r="B3" s="66" t="n">
        <x:v>2</x:v>
      </x:c>
      <x:c r="C3" s="66" t="n">
        <x:v>2</x:v>
      </x:c>
      <x:c r="D3" s="66" t="str">
        <x:v>Humble</x:v>
      </x:c>
      <x:c r="E3" s="66" t="str">
        <x:f>IF(I3&gt;='Pricing Assumptions'!$I$7,"Trophy",IF(I3&gt;='Pricing Assumptions'!$I$6,"Prime",IF(I3&gt;='Pricing Assumptions'!$I$5,"Premium",IF(I3&gt;='Pricing Assumptions'!$I$4,"Growth","Entry"))))</x:f>
        <x:v>Entry</x:v>
      </x:c>
      <x:c r="F3" s="90" t="n">
        <x:v>5000</x:v>
      </x:c>
      <x:c r="G3" s="91" t="n">
        <x:f>'Pricing Assumptions'!$I$2+(I3/100)*'Pricing Assumptions'!$I$3</x:f>
        <x:v>1.0532</x:v>
      </x:c>
      <x:c r="H3" s="90" t="n">
        <x:f>ROUND(F3*G3,-2)</x:f>
        <x:v>5300</x:v>
      </x:c>
      <x:c r="I3" s="92" t="n">
        <x:f>ROUND(L3*'Pricing Assumptions'!$L$2+M3*'Pricing Assumptions'!$L$3+N3*'Pricing Assumptions'!$L$4+O3*'Pricing Assumptions'!$L$5+P3*'Pricing Assumptions'!$L$6+Q3*'Pricing Assumptions'!$L$7+R3*'Pricing Assumptions'!$L$8+S3*'Pricing Assumptions'!$L$9+T3*'Pricing Assumptions'!$L$10,1)</x:f>
        <x:v>50.8</x:v>
      </x:c>
      <x:c r="J3" s="93" t="n">
        <x:f>IF(E3="Trophy",8%,IF(E3="Prime",6%,IF(E3="Premium",4%,IF(E3="Growth",2%,0%))))</x:f>
        <x:v>0</x:v>
      </x:c>
      <x:c r="K3" s="90" t="n">
        <x:f>IF(H3=0,5000,ROUND(H3*'Pricing Assumptions'!$I$8+I3*'Pricing Assumptions'!$I$9,-3))</x:f>
        <x:v>52000</x:v>
      </x:c>
      <x:c r="L3" s="66" t="n">
        <x:v>48</x:v>
      </x:c>
      <x:c r="M3" s="66" t="n">
        <x:v>42</x:v>
      </x:c>
      <x:c r="N3" s="66" t="n">
        <x:v>52</x:v>
      </x:c>
      <x:c r="O3" s="66" t="n">
        <x:v>60</x:v>
      </x:c>
      <x:c r="P3" s="66" t="n">
        <x:v>50</x:v>
      </x:c>
      <x:c r="Q3" s="66" t="n">
        <x:v>46</x:v>
      </x:c>
      <x:c r="R3" s="66" t="n">
        <x:v>50</x:v>
      </x:c>
      <x:c r="S3" s="66" t="n">
        <x:v>78</x:v>
      </x:c>
      <x:c r="T3" s="66" t="n">
        <x:v>40</x:v>
      </x:c>
      <x:c r="U3" s="66" t="str">
        <x:v>Park-edge / outer north-east</x:v>
      </x:c>
      <x:c r="V3" s="66" t="str">
        <x:v>Wealth &amp; Advisory</x:v>
      </x:c>
      <x:c r="W3" s="66" t="n">
        <x:v>56.3</x:v>
      </x:c>
      <x:c r="X3" s="66" t="str">
        <x:v>Treasury, Vault &amp; Custody</x:v>
      </x:c>
      <x:c r="Y3" s="66" t="n">
        <x:v>53.9</x:v>
      </x:c>
      <x:c r="Z3" s="66" t="str">
        <x:v>Entry parcel. Cost intentionally tied to both progression order and location quality.</x:v>
      </x:c>
    </x:row>
    <x:row r="4">
      <x:c r="A4" s="66" t="str">
        <x:v>P03</x:v>
      </x:c>
      <x:c r="B4" s="66" t="n">
        <x:v>24</x:v>
      </x:c>
      <x:c r="C4" s="66" t="n">
        <x:v>3</x:v>
      </x:c>
      <x:c r="D4" s="66" t="str">
        <x:v>Humble</x:v>
      </x:c>
      <x:c r="E4" s="66" t="str">
        <x:f>IF(I4&gt;='Pricing Assumptions'!$I$7,"Trophy",IF(I4&gt;='Pricing Assumptions'!$I$6,"Prime",IF(I4&gt;='Pricing Assumptions'!$I$5,"Premium",IF(I4&gt;='Pricing Assumptions'!$I$4,"Growth","Entry"))))</x:f>
        <x:v>Entry</x:v>
      </x:c>
      <x:c r="F4" s="90" t="n">
        <x:v>8000</x:v>
      </x:c>
      <x:c r="G4" s="91" t="n">
        <x:f>'Pricing Assumptions'!$I$2+(I4/100)*'Pricing Assumptions'!$I$3</x:f>
        <x:v>1.054</x:v>
      </x:c>
      <x:c r="H4" s="90" t="n">
        <x:f>ROUND(F4*G4,-2)</x:f>
        <x:v>8400</x:v>
      </x:c>
      <x:c r="I4" s="92" t="n">
        <x:f>ROUND(L4*'Pricing Assumptions'!$L$2+M4*'Pricing Assumptions'!$L$3+N4*'Pricing Assumptions'!$L$4+O4*'Pricing Assumptions'!$L$5+P4*'Pricing Assumptions'!$L$6+Q4*'Pricing Assumptions'!$L$7+R4*'Pricing Assumptions'!$L$8+S4*'Pricing Assumptions'!$L$9+T4*'Pricing Assumptions'!$L$10,1)</x:f>
        <x:v>51</x:v>
      </x:c>
      <x:c r="J4" s="93" t="n">
        <x:f>IF(E4="Trophy",8%,IF(E4="Prime",6%,IF(E4="Premium",4%,IF(E4="Growth",2%,0%))))</x:f>
        <x:v>0</x:v>
      </x:c>
      <x:c r="K4" s="90" t="n">
        <x:f>IF(H4=0,5000,ROUND(H4*'Pricing Assumptions'!$I$8+I4*'Pricing Assumptions'!$I$9,-3))</x:f>
        <x:v>53000</x:v>
      </x:c>
      <x:c r="L4" s="66" t="n">
        <x:v>44</x:v>
      </x:c>
      <x:c r="M4" s="66" t="n">
        <x:v>50</x:v>
      </x:c>
      <x:c r="N4" s="66" t="n">
        <x:v>72</x:v>
      </x:c>
      <x:c r="O4" s="66" t="n">
        <x:v>50</x:v>
      </x:c>
      <x:c r="P4" s="66" t="n">
        <x:v>44</x:v>
      </x:c>
      <x:c r="Q4" s="66" t="n">
        <x:v>38</x:v>
      </x:c>
      <x:c r="R4" s="66" t="n">
        <x:v>48</x:v>
      </x:c>
      <x:c r="S4" s="66" t="n">
        <x:v>84</x:v>
      </x:c>
      <x:c r="T4" s="66" t="n">
        <x:v>40</x:v>
      </x:c>
      <x:c r="U4" s="66" t="str">
        <x:v>Outer south-west parks</x:v>
      </x:c>
      <x:c r="V4" s="66" t="str">
        <x:v>Retail Finance</x:v>
      </x:c>
      <x:c r="W4" s="66" t="n">
        <x:v>57.1</x:v>
      </x:c>
      <x:c r="X4" s="66" t="str">
        <x:v>Lending &amp; Credit</x:v>
      </x:c>
      <x:c r="Y4" s="66" t="n">
        <x:v>56.7</x:v>
      </x:c>
      <x:c r="Z4" s="66" t="str">
        <x:v>Entry parcel. Cost intentionally tied to both progression order and location quality.</x:v>
      </x:c>
    </x:row>
    <x:row r="5">
      <x:c r="A5" s="66" t="str">
        <x:v>P04</x:v>
      </x:c>
      <x:c r="B5" s="66" t="n">
        <x:v>31</x:v>
      </x:c>
      <x:c r="C5" s="66" t="n">
        <x:v>4</x:v>
      </x:c>
      <x:c r="D5" s="66" t="str">
        <x:v>Humble</x:v>
      </x:c>
      <x:c r="E5" s="66" t="str">
        <x:f>IF(I5&gt;='Pricing Assumptions'!$I$7,"Trophy",IF(I5&gt;='Pricing Assumptions'!$I$6,"Prime",IF(I5&gt;='Pricing Assumptions'!$I$5,"Premium",IF(I5&gt;='Pricing Assumptions'!$I$4,"Growth","Entry"))))</x:f>
        <x:v>Entry</x:v>
      </x:c>
      <x:c r="F5" s="90" t="n">
        <x:v>12000</x:v>
      </x:c>
      <x:c r="G5" s="91" t="n">
        <x:f>'Pricing Assumptions'!$I$2+(I5/100)*'Pricing Assumptions'!$I$3</x:f>
        <x:v>1.0575999999999999</x:v>
      </x:c>
      <x:c r="H5" s="90" t="n">
        <x:f>ROUND(F5*G5,-2)</x:f>
        <x:v>12700</x:v>
      </x:c>
      <x:c r="I5" s="92" t="n">
        <x:f>ROUND(L5*'Pricing Assumptions'!$L$2+M5*'Pricing Assumptions'!$L$3+N5*'Pricing Assumptions'!$L$4+O5*'Pricing Assumptions'!$L$5+P5*'Pricing Assumptions'!$L$6+Q5*'Pricing Assumptions'!$L$7+R5*'Pricing Assumptions'!$L$8+S5*'Pricing Assumptions'!$L$9+T5*'Pricing Assumptions'!$L$10,1)</x:f>
        <x:v>51.9</x:v>
      </x:c>
      <x:c r="J5" s="93" t="n">
        <x:f>IF(E5="Trophy",8%,IF(E5="Prime",6%,IF(E5="Premium",4%,IF(E5="Growth",2%,0%))))</x:f>
        <x:v>0</x:v>
      </x:c>
      <x:c r="K5" s="90" t="n">
        <x:f>IF(H5=0,5000,ROUND(H5*'Pricing Assumptions'!$I$8+I5*'Pricing Assumptions'!$I$9,-3))</x:f>
        <x:v>54000</x:v>
      </x:c>
      <x:c r="L5" s="66" t="n">
        <x:v>46</x:v>
      </x:c>
      <x:c r="M5" s="66" t="n">
        <x:v>50</x:v>
      </x:c>
      <x:c r="N5" s="66" t="n">
        <x:v>66</x:v>
      </x:c>
      <x:c r="O5" s="66" t="n">
        <x:v>54</x:v>
      </x:c>
      <x:c r="P5" s="66" t="n">
        <x:v>44</x:v>
      </x:c>
      <x:c r="Q5" s="66" t="n">
        <x:v>42</x:v>
      </x:c>
      <x:c r="R5" s="66" t="n">
        <x:v>50</x:v>
      </x:c>
      <x:c r="S5" s="66" t="n">
        <x:v>84</x:v>
      </x:c>
      <x:c r="T5" s="66" t="n">
        <x:v>48</x:v>
      </x:c>
      <x:c r="U5" s="66" t="str">
        <x:v>South-west outer</x:v>
      </x:c>
      <x:c r="V5" s="66" t="str">
        <x:v>Retail Finance</x:v>
      </x:c>
      <x:c r="W5" s="66" t="n">
        <x:v>56.3</x:v>
      </x:c>
      <x:c r="X5" s="66" t="str">
        <x:v>Lending &amp; Credit</x:v>
      </x:c>
      <x:c r="Y5" s="66" t="n">
        <x:v>56</x:v>
      </x:c>
      <x:c r="Z5" s="66" t="str">
        <x:v>Entry parcel. Cost intentionally tied to both progression order and location quality.</x:v>
      </x:c>
    </x:row>
    <x:row r="6">
      <x:c r="A6" s="66" t="str">
        <x:v>P05</x:v>
      </x:c>
      <x:c r="B6" s="66" t="n">
        <x:v>28</x:v>
      </x:c>
      <x:c r="C6" s="66" t="n">
        <x:v>5</x:v>
      </x:c>
      <x:c r="D6" s="66" t="str">
        <x:v>Humble</x:v>
      </x:c>
      <x:c r="E6" s="66" t="str">
        <x:f>IF(I6&gt;='Pricing Assumptions'!$I$7,"Trophy",IF(I6&gt;='Pricing Assumptions'!$I$6,"Prime",IF(I6&gt;='Pricing Assumptions'!$I$5,"Premium",IF(I6&gt;='Pricing Assumptions'!$I$4,"Growth","Entry"))))</x:f>
        <x:v>Entry</x:v>
      </x:c>
      <x:c r="F6" s="90" t="n">
        <x:v>18000</x:v>
      </x:c>
      <x:c r="G6" s="91" t="n">
        <x:f>'Pricing Assumptions'!$I$2+(I6/100)*'Pricing Assumptions'!$I$3</x:f>
        <x:v>1.0632</x:v>
      </x:c>
      <x:c r="H6" s="90" t="n">
        <x:f>ROUND(F6*G6,-2)</x:f>
        <x:v>19100</x:v>
      </x:c>
      <x:c r="I6" s="92" t="n">
        <x:f>ROUND(L6*'Pricing Assumptions'!$L$2+M6*'Pricing Assumptions'!$L$3+N6*'Pricing Assumptions'!$L$4+O6*'Pricing Assumptions'!$L$5+P6*'Pricing Assumptions'!$L$6+Q6*'Pricing Assumptions'!$L$7+R6*'Pricing Assumptions'!$L$8+S6*'Pricing Assumptions'!$L$9+T6*'Pricing Assumptions'!$L$10,1)</x:f>
        <x:v>53.3</x:v>
      </x:c>
      <x:c r="J6" s="93" t="n">
        <x:f>IF(E6="Trophy",8%,IF(E6="Prime",6%,IF(E6="Premium",4%,IF(E6="Growth",2%,0%))))</x:f>
        <x:v>0</x:v>
      </x:c>
      <x:c r="K6" s="90" t="n">
        <x:f>IF(H6=0,5000,ROUND(H6*'Pricing Assumptions'!$I$8+I6*'Pricing Assumptions'!$I$9,-3))</x:f>
        <x:v>57000</x:v>
      </x:c>
      <x:c r="L6" s="66" t="n">
        <x:v>48</x:v>
      </x:c>
      <x:c r="M6" s="66" t="n">
        <x:v>54</x:v>
      </x:c>
      <x:c r="N6" s="66" t="n">
        <x:v>70</x:v>
      </x:c>
      <x:c r="O6" s="66" t="n">
        <x:v>52</x:v>
      </x:c>
      <x:c r="P6" s="66" t="n">
        <x:v>46</x:v>
      </x:c>
      <x:c r="Q6" s="66" t="n">
        <x:v>40</x:v>
      </x:c>
      <x:c r="R6" s="66" t="n">
        <x:v>48</x:v>
      </x:c>
      <x:c r="S6" s="66" t="n">
        <x:v>82</x:v>
      </x:c>
      <x:c r="T6" s="66" t="n">
        <x:v>52</x:v>
      </x:c>
      <x:c r="U6" s="66" t="str">
        <x:v>South-west park edge</x:v>
      </x:c>
      <x:c r="V6" s="66" t="str">
        <x:v>Retail Finance</x:v>
      </x:c>
      <x:c r="W6" s="66" t="n">
        <x:v>58.8</x:v>
      </x:c>
      <x:c r="X6" s="66" t="str">
        <x:v>Lending &amp; Credit</x:v>
      </x:c>
      <x:c r="Y6" s="66" t="n">
        <x:v>58.1</x:v>
      </x:c>
      <x:c r="Z6" s="66" t="str">
        <x:v>Entry parcel. Cost intentionally tied to both progression order and location quality.</x:v>
      </x:c>
    </x:row>
    <x:row r="7">
      <x:c r="A7" s="66" t="str">
        <x:v>P06</x:v>
      </x:c>
      <x:c r="B7" s="66" t="n">
        <x:v>33</x:v>
      </x:c>
      <x:c r="C7" s="66" t="n">
        <x:v>6</x:v>
      </x:c>
      <x:c r="D7" s="66" t="str">
        <x:v>Humble</x:v>
      </x:c>
      <x:c r="E7" s="66" t="str">
        <x:f>IF(I7&gt;='Pricing Assumptions'!$I$7,"Trophy",IF(I7&gt;='Pricing Assumptions'!$I$6,"Prime",IF(I7&gt;='Pricing Assumptions'!$I$5,"Premium",IF(I7&gt;='Pricing Assumptions'!$I$4,"Growth","Entry"))))</x:f>
        <x:v>Entry</x:v>
      </x:c>
      <x:c r="F7" s="90" t="n">
        <x:v>25000</x:v>
      </x:c>
      <x:c r="G7" s="91" t="n">
        <x:f>'Pricing Assumptions'!$I$2+(I7/100)*'Pricing Assumptions'!$I$3</x:f>
        <x:v>1.0676</x:v>
      </x:c>
      <x:c r="H7" s="90" t="n">
        <x:f>ROUND(F7*G7,-2)</x:f>
        <x:v>26700</x:v>
      </x:c>
      <x:c r="I7" s="92" t="n">
        <x:f>ROUND(L7*'Pricing Assumptions'!$L$2+M7*'Pricing Assumptions'!$L$3+N7*'Pricing Assumptions'!$L$4+O7*'Pricing Assumptions'!$L$5+P7*'Pricing Assumptions'!$L$6+Q7*'Pricing Assumptions'!$L$7+R7*'Pricing Assumptions'!$L$8+S7*'Pricing Assumptions'!$L$9+T7*'Pricing Assumptions'!$L$10,1)</x:f>
        <x:v>54.4</x:v>
      </x:c>
      <x:c r="J7" s="93" t="n">
        <x:f>IF(E7="Trophy",8%,IF(E7="Prime",6%,IF(E7="Premium",4%,IF(E7="Growth",2%,0%))))</x:f>
        <x:v>0</x:v>
      </x:c>
      <x:c r="K7" s="90" t="n">
        <x:f>IF(H7=0,5000,ROUND(H7*'Pricing Assumptions'!$I$8+I7*'Pricing Assumptions'!$I$9,-3))</x:f>
        <x:v>60000</x:v>
      </x:c>
      <x:c r="L7" s="66" t="n">
        <x:v>50</x:v>
      </x:c>
      <x:c r="M7" s="66" t="n">
        <x:v>48</x:v>
      </x:c>
      <x:c r="N7" s="66" t="n">
        <x:v>68</x:v>
      </x:c>
      <x:c r="O7" s="66" t="n">
        <x:v>58</x:v>
      </x:c>
      <x:c r="P7" s="66" t="n">
        <x:v>50</x:v>
      </x:c>
      <x:c r="Q7" s="66" t="n">
        <x:v>44</x:v>
      </x:c>
      <x:c r="R7" s="66" t="n">
        <x:v>50</x:v>
      </x:c>
      <x:c r="S7" s="66" t="n">
        <x:v>82</x:v>
      </x:c>
      <x:c r="T7" s="66" t="n">
        <x:v>46</x:v>
      </x:c>
      <x:c r="U7" s="66" t="str">
        <x:v>South-east outer</x:v>
      </x:c>
      <x:c r="V7" s="66" t="str">
        <x:v>Lending &amp; Credit</x:v>
      </x:c>
      <x:c r="W7" s="66" t="n">
        <x:v>57.7</x:v>
      </x:c>
      <x:c r="X7" s="66" t="str">
        <x:v>Retail Finance</x:v>
      </x:c>
      <x:c r="Y7" s="66" t="n">
        <x:v>57.5</x:v>
      </x:c>
      <x:c r="Z7" s="66" t="str">
        <x:v>Entry parcel. Cost intentionally tied to both progression order and location quality.</x:v>
      </x:c>
    </x:row>
    <x:row r="8">
      <x:c r="A8" s="66" t="str">
        <x:v>P07</x:v>
      </x:c>
      <x:c r="B8" s="66" t="n">
        <x:v>5</x:v>
      </x:c>
      <x:c r="C8" s="66" t="n">
        <x:v>8</x:v>
      </x:c>
      <x:c r="D8" s="66" t="str">
        <x:v>Humble</x:v>
      </x:c>
      <x:c r="E8" s="66" t="str">
        <x:f>IF(I8&gt;='Pricing Assumptions'!$I$7,"Trophy",IF(I8&gt;='Pricing Assumptions'!$I$6,"Prime",IF(I8&gt;='Pricing Assumptions'!$I$5,"Premium",IF(I8&gt;='Pricing Assumptions'!$I$4,"Growth","Entry"))))</x:f>
        <x:v>Entry</x:v>
      </x:c>
      <x:c r="F8" s="90" t="n">
        <x:v>40000</x:v>
      </x:c>
      <x:c r="G8" s="91" t="n">
        <x:f>'Pricing Assumptions'!$I$2+(I8/100)*'Pricing Assumptions'!$I$3</x:f>
        <x:v>1.07</x:v>
      </x:c>
      <x:c r="H8" s="90" t="n">
        <x:f>ROUND(F8*G8,-2)</x:f>
        <x:v>42800</x:v>
      </x:c>
      <x:c r="I8" s="92" t="n">
        <x:f>ROUND(L8*'Pricing Assumptions'!$L$2+M8*'Pricing Assumptions'!$L$3+N8*'Pricing Assumptions'!$L$4+O8*'Pricing Assumptions'!$L$5+P8*'Pricing Assumptions'!$L$6+Q8*'Pricing Assumptions'!$L$7+R8*'Pricing Assumptions'!$L$8+S8*'Pricing Assumptions'!$L$9+T8*'Pricing Assumptions'!$L$10,1)</x:f>
        <x:v>55</x:v>
      </x:c>
      <x:c r="J8" s="93" t="n">
        <x:f>IF(E8="Trophy",8%,IF(E8="Prime",6%,IF(E8="Premium",4%,IF(E8="Growth",2%,0%))))</x:f>
        <x:v>0</x:v>
      </x:c>
      <x:c r="K8" s="90" t="n">
        <x:f>IF(H8=0,5000,ROUND(H8*'Pricing Assumptions'!$I$8+I8*'Pricing Assumptions'!$I$9,-3))</x:f>
        <x:v>64000</x:v>
      </x:c>
      <x:c r="L8" s="66" t="n">
        <x:v>52</x:v>
      </x:c>
      <x:c r="M8" s="66" t="n">
        <x:v>44</x:v>
      </x:c>
      <x:c r="N8" s="66" t="n">
        <x:v>60</x:v>
      </x:c>
      <x:c r="O8" s="66" t="n">
        <x:v>64</x:v>
      </x:c>
      <x:c r="P8" s="66" t="n">
        <x:v>55</x:v>
      </x:c>
      <x:c r="Q8" s="66" t="n">
        <x:v>48</x:v>
      </x:c>
      <x:c r="R8" s="66" t="n">
        <x:v>52</x:v>
      </x:c>
      <x:c r="S8" s="66" t="n">
        <x:v>75</x:v>
      </x:c>
      <x:c r="T8" s="66" t="n">
        <x:v>50</x:v>
      </x:c>
      <x:c r="U8" s="66" t="str">
        <x:v>North-east mixed edge</x:v>
      </x:c>
      <x:c r="V8" s="66" t="str">
        <x:v>Wealth &amp; Advisory</x:v>
      </x:c>
      <x:c r="W8" s="66" t="n">
        <x:v>59.2</x:v>
      </x:c>
      <x:c r="X8" s="66" t="str">
        <x:v>Insurance &amp; Risk</x:v>
      </x:c>
      <x:c r="Y8" s="66" t="n">
        <x:v>57</x:v>
      </x:c>
      <x:c r="Z8" s="66" t="str">
        <x:v>Entry parcel. Cost intentionally tied to both progression order and location quality.</x:v>
      </x:c>
    </x:row>
    <x:row r="9">
      <x:c r="A9" s="66" t="str">
        <x:v>P08</x:v>
      </x:c>
      <x:c r="B9" s="66" t="n">
        <x:v>18</x:v>
      </x:c>
      <x:c r="C9" s="66" t="n">
        <x:v>10</x:v>
      </x:c>
      <x:c r="D9" s="66" t="str">
        <x:v>Humble</x:v>
      </x:c>
      <x:c r="E9" s="66" t="str">
        <x:f>IF(I9&gt;='Pricing Assumptions'!$I$7,"Trophy",IF(I9&gt;='Pricing Assumptions'!$I$6,"Prime",IF(I9&gt;='Pricing Assumptions'!$I$5,"Premium",IF(I9&gt;='Pricing Assumptions'!$I$4,"Growth","Entry"))))</x:f>
        <x:v>Entry</x:v>
      </x:c>
      <x:c r="F9" s="90" t="n">
        <x:v>60000</x:v>
      </x:c>
      <x:c r="G9" s="91" t="n">
        <x:f>'Pricing Assumptions'!$I$2+(I9/100)*'Pricing Assumptions'!$I$3</x:f>
        <x:v>1.0708</x:v>
      </x:c>
      <x:c r="H9" s="90" t="n">
        <x:f>ROUND(F9*G9,-2)</x:f>
        <x:v>64200</x:v>
      </x:c>
      <x:c r="I9" s="92" t="n">
        <x:f>ROUND(L9*'Pricing Assumptions'!$L$2+M9*'Pricing Assumptions'!$L$3+N9*'Pricing Assumptions'!$L$4+O9*'Pricing Assumptions'!$L$5+P9*'Pricing Assumptions'!$L$6+Q9*'Pricing Assumptions'!$L$7+R9*'Pricing Assumptions'!$L$8+S9*'Pricing Assumptions'!$L$9+T9*'Pricing Assumptions'!$L$10,1)</x:f>
        <x:v>55.2</x:v>
      </x:c>
      <x:c r="J9" s="93" t="n">
        <x:f>IF(E9="Trophy",8%,IF(E9="Prime",6%,IF(E9="Premium",4%,IF(E9="Growth",2%,0%))))</x:f>
        <x:v>0</x:v>
      </x:c>
      <x:c r="K9" s="90" t="n">
        <x:f>IF(H9=0,5000,ROUND(H9*'Pricing Assumptions'!$I$8+I9*'Pricing Assumptions'!$I$9,-3))</x:f>
        <x:v>68000</x:v>
      </x:c>
      <x:c r="L9" s="66" t="n">
        <x:v>50</x:v>
      </x:c>
      <x:c r="M9" s="66" t="n">
        <x:v>58</x:v>
      </x:c>
      <x:c r="N9" s="66" t="n">
        <x:v>76</x:v>
      </x:c>
      <x:c r="O9" s="66" t="n">
        <x:v>52</x:v>
      </x:c>
      <x:c r="P9" s="66" t="n">
        <x:v>48</x:v>
      </x:c>
      <x:c r="Q9" s="66" t="n">
        <x:v>40</x:v>
      </x:c>
      <x:c r="R9" s="66" t="n">
        <x:v>48</x:v>
      </x:c>
      <x:c r="S9" s="66" t="n">
        <x:v>82</x:v>
      </x:c>
      <x:c r="T9" s="66" t="n">
        <x:v>48</x:v>
      </x:c>
      <x:c r="U9" s="66" t="str">
        <x:v>Outer west parks/roads</x:v>
      </x:c>
      <x:c r="V9" s="66" t="str">
        <x:v>Retail Finance</x:v>
      </x:c>
      <x:c r="W9" s="66" t="n">
        <x:v>62.1</x:v>
      </x:c>
      <x:c r="X9" s="66" t="str">
        <x:v>Lending &amp; Credit</x:v>
      </x:c>
      <x:c r="Y9" s="66" t="n">
        <x:v>61.1</x:v>
      </x:c>
      <x:c r="Z9" s="66" t="str">
        <x:v>Entry parcel. Cost intentionally tied to both progression order and location quality.</x:v>
      </x:c>
    </x:row>
    <x:row r="10">
      <x:c r="A10" s="66" t="str">
        <x:v>P09</x:v>
      </x:c>
      <x:c r="B10" s="66" t="n">
        <x:v>32</x:v>
      </x:c>
      <x:c r="C10" s="66" t="n">
        <x:v>11</x:v>
      </x:c>
      <x:c r="D10" s="66" t="str">
        <x:v>Starter</x:v>
      </x:c>
      <x:c r="E10" s="66" t="str">
        <x:f>IF(I10&gt;='Pricing Assumptions'!$I$7,"Trophy",IF(I10&gt;='Pricing Assumptions'!$I$6,"Prime",IF(I10&gt;='Pricing Assumptions'!$I$5,"Premium",IF(I10&gt;='Pricing Assumptions'!$I$4,"Growth","Entry"))))</x:f>
        <x:v>Growth</x:v>
      </x:c>
      <x:c r="F10" s="90" t="n">
        <x:v>85000</x:v>
      </x:c>
      <x:c r="G10" s="91" t="n">
        <x:f>'Pricing Assumptions'!$I$2+(I10/100)*'Pricing Assumptions'!$I$3</x:f>
        <x:v>1.0884</x:v>
      </x:c>
      <x:c r="H10" s="90" t="n">
        <x:f>ROUND(F10*G10,-2)</x:f>
        <x:v>92500</x:v>
      </x:c>
      <x:c r="I10" s="92" t="n">
        <x:f>ROUND(L10*'Pricing Assumptions'!$L$2+M10*'Pricing Assumptions'!$L$3+N10*'Pricing Assumptions'!$L$4+O10*'Pricing Assumptions'!$L$5+P10*'Pricing Assumptions'!$L$6+Q10*'Pricing Assumptions'!$L$7+R10*'Pricing Assumptions'!$L$8+S10*'Pricing Assumptions'!$L$9+T10*'Pricing Assumptions'!$L$10,1)</x:f>
        <x:v>59.6</x:v>
      </x:c>
      <x:c r="J10" s="93" t="n">
        <x:f>IF(E10="Trophy",8%,IF(E10="Prime",6%,IF(E10="Premium",4%,IF(E10="Growth",2%,0%))))</x:f>
        <x:v>0.02</x:v>
      </x:c>
      <x:c r="K10" s="90" t="n">
        <x:f>IF(H10=0,5000,ROUND(H10*'Pricing Assumptions'!$I$8+I10*'Pricing Assumptions'!$I$9,-3))</x:f>
        <x:v>78000</x:v>
      </x:c>
      <x:c r="L10" s="66" t="n">
        <x:v>58</x:v>
      </x:c>
      <x:c r="M10" s="66" t="n">
        <x:v>54</x:v>
      </x:c>
      <x:c r="N10" s="66" t="n">
        <x:v>64</x:v>
      </x:c>
      <x:c r="O10" s="66" t="n">
        <x:v>62</x:v>
      </x:c>
      <x:c r="P10" s="66" t="n">
        <x:v>58</x:v>
      </x:c>
      <x:c r="Q10" s="66" t="n">
        <x:v>52</x:v>
      </x:c>
      <x:c r="R10" s="66" t="n">
        <x:v>52</x:v>
      </x:c>
      <x:c r="S10" s="66" t="n">
        <x:v>80</x:v>
      </x:c>
      <x:c r="T10" s="66" t="n">
        <x:v>64</x:v>
      </x:c>
      <x:c r="U10" s="66" t="str">
        <x:v>South-central park edge</x:v>
      </x:c>
      <x:c r="V10" s="66" t="str">
        <x:v>Wealth &amp; Advisory</x:v>
      </x:c>
      <x:c r="W10" s="66" t="n">
        <x:v>61.7</x:v>
      </x:c>
      <x:c r="X10" s="66" t="str">
        <x:v>Lending &amp; Credit</x:v>
      </x:c>
      <x:c r="Y10" s="66" t="n">
        <x:v>60.8</x:v>
      </x:c>
      <x:c r="Z10" s="66" t="str">
        <x:v>Growth parcel. Cost intentionally tied to both progression order and location quality.</x:v>
      </x:c>
    </x:row>
    <x:row r="11">
      <x:c r="A11" s="66" t="str">
        <x:v>P10</x:v>
      </x:c>
      <x:c r="B11" s="66" t="n">
        <x:v>22</x:v>
      </x:c>
      <x:c r="C11" s="66" t="n">
        <x:v>12</x:v>
      </x:c>
      <x:c r="D11" s="66" t="str">
        <x:v>Starter</x:v>
      </x:c>
      <x:c r="E11" s="66" t="str">
        <x:f>IF(I11&gt;='Pricing Assumptions'!$I$7,"Trophy",IF(I11&gt;='Pricing Assumptions'!$I$6,"Prime",IF(I11&gt;='Pricing Assumptions'!$I$5,"Premium",IF(I11&gt;='Pricing Assumptions'!$I$4,"Growth","Entry"))))</x:f>
        <x:v>Growth</x:v>
      </x:c>
      <x:c r="F11" s="90" t="n">
        <x:v>120000</x:v>
      </x:c>
      <x:c r="G11" s="91" t="n">
        <x:f>'Pricing Assumptions'!$I$2+(I11/100)*'Pricing Assumptions'!$I$3</x:f>
        <x:v>1.092</x:v>
      </x:c>
      <x:c r="H11" s="90" t="n">
        <x:f>ROUND(F11*G11,-2)</x:f>
        <x:v>131000</x:v>
      </x:c>
      <x:c r="I11" s="92" t="n">
        <x:f>ROUND(L11*'Pricing Assumptions'!$L$2+M11*'Pricing Assumptions'!$L$3+N11*'Pricing Assumptions'!$L$4+O11*'Pricing Assumptions'!$L$5+P11*'Pricing Assumptions'!$L$6+Q11*'Pricing Assumptions'!$L$7+R11*'Pricing Assumptions'!$L$8+S11*'Pricing Assumptions'!$L$9+T11*'Pricing Assumptions'!$L$10,1)</x:f>
        <x:v>60.5</x:v>
      </x:c>
      <x:c r="J11" s="93" t="n">
        <x:f>IF(E11="Trophy",8%,IF(E11="Prime",6%,IF(E11="Premium",4%,IF(E11="Growth",2%,0%))))</x:f>
        <x:v>0.02</x:v>
      </x:c>
      <x:c r="K11" s="90" t="n">
        <x:f>IF(H11=0,5000,ROUND(H11*'Pricing Assumptions'!$I$8+I11*'Pricing Assumptions'!$I$9,-3))</x:f>
        <x:v>87000</x:v>
      </x:c>
      <x:c r="L11" s="66" t="n">
        <x:v>58</x:v>
      </x:c>
      <x:c r="M11" s="66" t="n">
        <x:v>64</x:v>
      </x:c>
      <x:c r="N11" s="66" t="n">
        <x:v>74</x:v>
      </x:c>
      <x:c r="O11" s="66" t="n">
        <x:v>56</x:v>
      </x:c>
      <x:c r="P11" s="66" t="n">
        <x:v>56</x:v>
      </x:c>
      <x:c r="Q11" s="66" t="n">
        <x:v>44</x:v>
      </x:c>
      <x:c r="R11" s="66" t="n">
        <x:v>50</x:v>
      </x:c>
      <x:c r="S11" s="66" t="n">
        <x:v>76</x:v>
      </x:c>
      <x:c r="T11" s="66" t="n">
        <x:v>72</x:v>
      </x:c>
      <x:c r="U11" s="66" t="str">
        <x:v>West growth corridor</x:v>
      </x:c>
      <x:c r="V11" s="66" t="str">
        <x:v>Retail Finance</x:v>
      </x:c>
      <x:c r="W11" s="66" t="n">
        <x:v>65.4</x:v>
      </x:c>
      <x:c r="X11" s="66" t="str">
        <x:v>Lending &amp; Credit</x:v>
      </x:c>
      <x:c r="Y11" s="66" t="n">
        <x:v>64.3</x:v>
      </x:c>
      <x:c r="Z11" s="66" t="str">
        <x:v>Growth parcel. Cost intentionally tied to both progression order and location quality.</x:v>
      </x:c>
    </x:row>
    <x:row r="12">
      <x:c r="A12" s="66" t="str">
        <x:v>P11</x:v>
      </x:c>
      <x:c r="B12" s="66" t="n">
        <x:v>29</x:v>
      </x:c>
      <x:c r="C12" s="66" t="n">
        <x:v>13</x:v>
      </x:c>
      <x:c r="D12" s="66" t="str">
        <x:v>Starter</x:v>
      </x:c>
      <x:c r="E12" s="66" t="str">
        <x:f>IF(I12&gt;='Pricing Assumptions'!$I$7,"Trophy",IF(I12&gt;='Pricing Assumptions'!$I$6,"Prime",IF(I12&gt;='Pricing Assumptions'!$I$5,"Premium",IF(I12&gt;='Pricing Assumptions'!$I$4,"Growth","Entry"))))</x:f>
        <x:v>Growth</x:v>
      </x:c>
      <x:c r="F12" s="90" t="n">
        <x:v>170000</x:v>
      </x:c>
      <x:c r="G12" s="91" t="n">
        <x:f>'Pricing Assumptions'!$I$2+(I12/100)*'Pricing Assumptions'!$I$3</x:f>
        <x:v>1.096</x:v>
      </x:c>
      <x:c r="H12" s="90" t="n">
        <x:f>ROUND(F12*G12,-2)</x:f>
        <x:v>186300</x:v>
      </x:c>
      <x:c r="I12" s="92" t="n">
        <x:f>ROUND(L12*'Pricing Assumptions'!$L$2+M12*'Pricing Assumptions'!$L$3+N12*'Pricing Assumptions'!$L$4+O12*'Pricing Assumptions'!$L$5+P12*'Pricing Assumptions'!$L$6+Q12*'Pricing Assumptions'!$L$7+R12*'Pricing Assumptions'!$L$8+S12*'Pricing Assumptions'!$L$9+T12*'Pricing Assumptions'!$L$10,1)</x:f>
        <x:v>61.5</x:v>
      </x:c>
      <x:c r="J12" s="93" t="n">
        <x:f>IF(E12="Trophy",8%,IF(E12="Prime",6%,IF(E12="Premium",4%,IF(E12="Growth",2%,0%))))</x:f>
        <x:v>0.02</x:v>
      </x:c>
      <x:c r="K12" s="90" t="n">
        <x:f>IF(H12=0,5000,ROUND(H12*'Pricing Assumptions'!$I$8+I12*'Pricing Assumptions'!$I$9,-3))</x:f>
        <x:v>99000</x:v>
      </x:c>
      <x:c r="L12" s="66" t="n">
        <x:v>60</x:v>
      </x:c>
      <x:c r="M12" s="66" t="n">
        <x:v>58</x:v>
      </x:c>
      <x:c r="N12" s="66" t="n">
        <x:v>66</x:v>
      </x:c>
      <x:c r="O12" s="66" t="n">
        <x:v>62</x:v>
      </x:c>
      <x:c r="P12" s="66" t="n">
        <x:v>60</x:v>
      </x:c>
      <x:c r="Q12" s="66" t="n">
        <x:v>50</x:v>
      </x:c>
      <x:c r="R12" s="66" t="n">
        <x:v>52</x:v>
      </x:c>
      <x:c r="S12" s="66" t="n">
        <x:v>78</x:v>
      </x:c>
      <x:c r="T12" s="66" t="n">
        <x:v>78</x:v>
      </x:c>
      <x:c r="U12" s="66" t="str">
        <x:v>South inner-west</x:v>
      </x:c>
      <x:c r="V12" s="66" t="str">
        <x:v>Retail Finance</x:v>
      </x:c>
      <x:c r="W12" s="66" t="n">
        <x:v>62.8</x:v>
      </x:c>
      <x:c r="X12" s="66" t="str">
        <x:v>Lending &amp; Credit</x:v>
      </x:c>
      <x:c r="Y12" s="66" t="n">
        <x:v>62.6</x:v>
      </x:c>
      <x:c r="Z12" s="66" t="str">
        <x:v>Growth parcel. Cost intentionally tied to both progression order and location quality.</x:v>
      </x:c>
    </x:row>
    <x:row r="13">
      <x:c r="A13" s="66" t="str">
        <x:v>P12</x:v>
      </x:c>
      <x:c r="B13" s="66" t="n">
        <x:v>23</x:v>
      </x:c>
      <x:c r="C13" s="66" t="n">
        <x:v>14</x:v>
      </x:c>
      <x:c r="D13" s="66" t="str">
        <x:v>Starter</x:v>
      </x:c>
      <x:c r="E13" s="66" t="str">
        <x:f>IF(I13&gt;='Pricing Assumptions'!$I$7,"Trophy",IF(I13&gt;='Pricing Assumptions'!$I$6,"Prime",IF(I13&gt;='Pricing Assumptions'!$I$5,"Premium",IF(I13&gt;='Pricing Assumptions'!$I$4,"Growth","Entry"))))</x:f>
        <x:v>Growth</x:v>
      </x:c>
      <x:c r="F13" s="90" t="n">
        <x:v>240000</x:v>
      </x:c>
      <x:c r="G13" s="91" t="n">
        <x:f>'Pricing Assumptions'!$I$2+(I13/100)*'Pricing Assumptions'!$I$3</x:f>
        <x:v>1.0968</x:v>
      </x:c>
      <x:c r="H13" s="90" t="n">
        <x:f>ROUND(F13*G13,-2)</x:f>
        <x:v>263200</x:v>
      </x:c>
      <x:c r="I13" s="92" t="n">
        <x:f>ROUND(L13*'Pricing Assumptions'!$L$2+M13*'Pricing Assumptions'!$L$3+N13*'Pricing Assumptions'!$L$4+O13*'Pricing Assumptions'!$L$5+P13*'Pricing Assumptions'!$L$6+Q13*'Pricing Assumptions'!$L$7+R13*'Pricing Assumptions'!$L$8+S13*'Pricing Assumptions'!$L$9+T13*'Pricing Assumptions'!$L$10,1)</x:f>
        <x:v>61.7</x:v>
      </x:c>
      <x:c r="J13" s="93" t="n">
        <x:f>IF(E13="Trophy",8%,IF(E13="Prime",6%,IF(E13="Premium",4%,IF(E13="Growth",2%,0%))))</x:f>
        <x:v>0.02</x:v>
      </x:c>
      <x:c r="K13" s="90" t="n">
        <x:f>IF(H13=0,5000,ROUND(H13*'Pricing Assumptions'!$I$8+I13*'Pricing Assumptions'!$I$9,-3))</x:f>
        <x:v>114000</x:v>
      </x:c>
      <x:c r="L13" s="66" t="n">
        <x:v>62</x:v>
      </x:c>
      <x:c r="M13" s="66" t="n">
        <x:v>58</x:v>
      </x:c>
      <x:c r="N13" s="66" t="n">
        <x:v>70</x:v>
      </x:c>
      <x:c r="O13" s="66" t="n">
        <x:v>64</x:v>
      </x:c>
      <x:c r="P13" s="66" t="n">
        <x:v>64</x:v>
      </x:c>
      <x:c r="Q13" s="66" t="n">
        <x:v>50</x:v>
      </x:c>
      <x:c r="R13" s="66" t="n">
        <x:v>52</x:v>
      </x:c>
      <x:c r="S13" s="66" t="n">
        <x:v>66</x:v>
      </x:c>
      <x:c r="T13" s="66" t="n">
        <x:v>55</x:v>
      </x:c>
      <x:c r="U13" s="66" t="str">
        <x:v>Outer east office/park</x:v>
      </x:c>
      <x:c r="V13" s="66" t="str">
        <x:v>Retail Finance</x:v>
      </x:c>
      <x:c r="W13" s="66" t="n">
        <x:v>63.4</x:v>
      </x:c>
      <x:c r="X13" s="66" t="str">
        <x:v>Lending &amp; Credit</x:v>
      </x:c>
      <x:c r="Y13" s="66" t="n">
        <x:v>63.4</x:v>
      </x:c>
      <x:c r="Z13" s="66" t="str">
        <x:v>Growth parcel. Cost intentionally tied to both progression order and location quality.</x:v>
      </x:c>
    </x:row>
    <x:row r="14">
      <x:c r="A14" s="66" t="str">
        <x:v>P13</x:v>
      </x:c>
      <x:c r="B14" s="66" t="n">
        <x:v>15</x:v>
      </x:c>
      <x:c r="C14" s="66" t="n">
        <x:v>15</x:v>
      </x:c>
      <x:c r="D14" s="66" t="str">
        <x:v>Starter</x:v>
      </x:c>
      <x:c r="E14" s="66" t="str">
        <x:f>IF(I14&gt;='Pricing Assumptions'!$I$7,"Trophy",IF(I14&gt;='Pricing Assumptions'!$I$6,"Prime",IF(I14&gt;='Pricing Assumptions'!$I$5,"Premium",IF(I14&gt;='Pricing Assumptions'!$I$4,"Growth","Entry"))))</x:f>
        <x:v>Growth</x:v>
      </x:c>
      <x:c r="F14" s="90" t="n">
        <x:v>340000</x:v>
      </x:c>
      <x:c r="G14" s="91" t="n">
        <x:f>'Pricing Assumptions'!$I$2+(I14/100)*'Pricing Assumptions'!$I$3</x:f>
        <x:v>1.1016</x:v>
      </x:c>
      <x:c r="H14" s="90" t="n">
        <x:f>ROUND(F14*G14,-2)</x:f>
        <x:v>374500</x:v>
      </x:c>
      <x:c r="I14" s="92" t="n">
        <x:f>ROUND(L14*'Pricing Assumptions'!$L$2+M14*'Pricing Assumptions'!$L$3+N14*'Pricing Assumptions'!$L$4+O14*'Pricing Assumptions'!$L$5+P14*'Pricing Assumptions'!$L$6+Q14*'Pricing Assumptions'!$L$7+R14*'Pricing Assumptions'!$L$8+S14*'Pricing Assumptions'!$L$9+T14*'Pricing Assumptions'!$L$10,1)</x:f>
        <x:v>62.9</x:v>
      </x:c>
      <x:c r="J14" s="93" t="n">
        <x:f>IF(E14="Trophy",8%,IF(E14="Prime",6%,IF(E14="Premium",4%,IF(E14="Growth",2%,0%))))</x:f>
        <x:v>0.02</x:v>
      </x:c>
      <x:c r="K14" s="90" t="n">
        <x:f>IF(H14=0,5000,ROUND(H14*'Pricing Assumptions'!$I$8+I14*'Pricing Assumptions'!$I$9,-3))</x:f>
        <x:v>138000</x:v>
      </x:c>
      <x:c r="L14" s="66" t="n">
        <x:v>62</x:v>
      </x:c>
      <x:c r="M14" s="66" t="n">
        <x:v>68</x:v>
      </x:c>
      <x:c r="N14" s="66" t="n">
        <x:v>78</x:v>
      </x:c>
      <x:c r="O14" s="66" t="n">
        <x:v>58</x:v>
      </x:c>
      <x:c r="P14" s="66" t="n">
        <x:v>60</x:v>
      </x:c>
      <x:c r="Q14" s="66" t="n">
        <x:v>44</x:v>
      </x:c>
      <x:c r="R14" s="66" t="n">
        <x:v>50</x:v>
      </x:c>
      <x:c r="S14" s="66" t="n">
        <x:v>70</x:v>
      </x:c>
      <x:c r="T14" s="66" t="n">
        <x:v>68</x:v>
      </x:c>
      <x:c r="U14" s="66" t="str">
        <x:v>West mixed-use</x:v>
      </x:c>
      <x:c r="V14" s="66" t="str">
        <x:v>Retail Finance</x:v>
      </x:c>
      <x:c r="W14" s="66" t="n">
        <x:v>68.3</x:v>
      </x:c>
      <x:c r="X14" s="66" t="str">
        <x:v>Lending &amp; Credit</x:v>
      </x:c>
      <x:c r="Y14" s="66" t="n">
        <x:v>67</x:v>
      </x:c>
      <x:c r="Z14" s="66" t="str">
        <x:v>Growth parcel. Cost intentionally tied to both progression order and location quality.</x:v>
      </x:c>
    </x:row>
    <x:row r="15">
      <x:c r="A15" s="66" t="str">
        <x:v>P14</x:v>
      </x:c>
      <x:c r="B15" s="66" t="n">
        <x:v>34</x:v>
      </x:c>
      <x:c r="C15" s="66" t="n">
        <x:v>16</x:v>
      </x:c>
      <x:c r="D15" s="66" t="str">
        <x:v>Starter</x:v>
      </x:c>
      <x:c r="E15" s="66" t="str">
        <x:f>IF(I15&gt;='Pricing Assumptions'!$I$7,"Trophy",IF(I15&gt;='Pricing Assumptions'!$I$6,"Prime",IF(I15&gt;='Pricing Assumptions'!$I$5,"Premium",IF(I15&gt;='Pricing Assumptions'!$I$4,"Growth","Entry"))))</x:f>
        <x:v>Growth</x:v>
      </x:c>
      <x:c r="F15" s="90" t="n">
        <x:v>480000</x:v>
      </x:c>
      <x:c r="G15" s="91" t="n">
        <x:f>'Pricing Assumptions'!$I$2+(I15/100)*'Pricing Assumptions'!$I$3</x:f>
        <x:v>1.1124</x:v>
      </x:c>
      <x:c r="H15" s="90" t="n">
        <x:f>ROUND(F15*G15,-2)</x:f>
        <x:v>534000</x:v>
      </x:c>
      <x:c r="I15" s="92" t="n">
        <x:f>ROUND(L15*'Pricing Assumptions'!$L$2+M15*'Pricing Assumptions'!$L$3+N15*'Pricing Assumptions'!$L$4+O15*'Pricing Assumptions'!$L$5+P15*'Pricing Assumptions'!$L$6+Q15*'Pricing Assumptions'!$L$7+R15*'Pricing Assumptions'!$L$8+S15*'Pricing Assumptions'!$L$9+T15*'Pricing Assumptions'!$L$10,1)</x:f>
        <x:v>65.6</x:v>
      </x:c>
      <x:c r="J15" s="93" t="n">
        <x:f>IF(E15="Trophy",8%,IF(E15="Prime",6%,IF(E15="Premium",4%,IF(E15="Growth",2%,0%))))</x:f>
        <x:v>0.02</x:v>
      </x:c>
      <x:c r="K15" s="90" t="n">
        <x:f>IF(H15=0,5000,ROUND(H15*'Pricing Assumptions'!$I$8+I15*'Pricing Assumptions'!$I$9,-3))</x:f>
        <x:v>172000</x:v>
      </x:c>
      <x:c r="L15" s="66" t="n">
        <x:v>66</x:v>
      </x:c>
      <x:c r="M15" s="66" t="n">
        <x:v>56</x:v>
      </x:c>
      <x:c r="N15" s="66" t="n">
        <x:v>70</x:v>
      </x:c>
      <x:c r="O15" s="66" t="n">
        <x:v>70</x:v>
      </x:c>
      <x:c r="P15" s="66" t="n">
        <x:v>68</x:v>
      </x:c>
      <x:c r="Q15" s="66" t="n">
        <x:v>54</x:v>
      </x:c>
      <x:c r="R15" s="66" t="n">
        <x:v>56</x:v>
      </x:c>
      <x:c r="S15" s="66" t="n">
        <x:v>76</x:v>
      </x:c>
      <x:c r="T15" s="66" t="n">
        <x:v>70</x:v>
      </x:c>
      <x:c r="U15" s="66" t="str">
        <x:v>South-east premium edge</x:v>
      </x:c>
      <x:c r="V15" s="66" t="str">
        <x:v>Wealth &amp; Advisory</x:v>
      </x:c>
      <x:c r="W15" s="66" t="n">
        <x:v>67.1</x:v>
      </x:c>
      <x:c r="X15" s="66" t="str">
        <x:v>Institutional Finance</x:v>
      </x:c>
      <x:c r="Y15" s="66" t="n">
        <x:v>66.1</x:v>
      </x:c>
      <x:c r="Z15" s="66" t="str">
        <x:v>Growth parcel. Cost intentionally tied to both progression order and location quality.</x:v>
      </x:c>
    </x:row>
    <x:row r="16">
      <x:c r="A16" s="66" t="str">
        <x:v>P15</x:v>
      </x:c>
      <x:c r="B16" s="66" t="n">
        <x:v>7</x:v>
      </x:c>
      <x:c r="C16" s="66" t="n">
        <x:v>17</x:v>
      </x:c>
      <x:c r="D16" s="66" t="str">
        <x:v>Starter</x:v>
      </x:c>
      <x:c r="E16" s="66" t="str">
        <x:f>IF(I16&gt;='Pricing Assumptions'!$I$7,"Trophy",IF(I16&gt;='Pricing Assumptions'!$I$6,"Prime",IF(I16&gt;='Pricing Assumptions'!$I$5,"Premium",IF(I16&gt;='Pricing Assumptions'!$I$4,"Growth","Entry"))))</x:f>
        <x:v>Growth</x:v>
      </x:c>
      <x:c r="F16" s="90" t="n">
        <x:v>650000</x:v>
      </x:c>
      <x:c r="G16" s="91" t="n">
        <x:f>'Pricing Assumptions'!$I$2+(I16/100)*'Pricing Assumptions'!$I$3</x:f>
        <x:v>1.1139999999999999</x:v>
      </x:c>
      <x:c r="H16" s="90" t="n">
        <x:f>ROUND(F16*G16,-2)</x:f>
        <x:v>724100</x:v>
      </x:c>
      <x:c r="I16" s="92" t="n">
        <x:f>ROUND(L16*'Pricing Assumptions'!$L$2+M16*'Pricing Assumptions'!$L$3+N16*'Pricing Assumptions'!$L$4+O16*'Pricing Assumptions'!$L$5+P16*'Pricing Assumptions'!$L$6+Q16*'Pricing Assumptions'!$L$7+R16*'Pricing Assumptions'!$L$8+S16*'Pricing Assumptions'!$L$9+T16*'Pricing Assumptions'!$L$10,1)</x:f>
        <x:v>66</x:v>
      </x:c>
      <x:c r="J16" s="93" t="n">
        <x:f>IF(E16="Trophy",8%,IF(E16="Prime",6%,IF(E16="Premium",4%,IF(E16="Growth",2%,0%))))</x:f>
        <x:v>0.02</x:v>
      </x:c>
      <x:c r="K16" s="90" t="n">
        <x:f>IF(H16=0,5000,ROUND(H16*'Pricing Assumptions'!$I$8+I16*'Pricing Assumptions'!$I$9,-3))</x:f>
        <x:v>211000</x:v>
      </x:c>
      <x:c r="L16" s="66" t="n">
        <x:v>68</x:v>
      </x:c>
      <x:c r="M16" s="66" t="n">
        <x:v>60</x:v>
      </x:c>
      <x:c r="N16" s="66" t="n">
        <x:v>66</x:v>
      </x:c>
      <x:c r="O16" s="66" t="n">
        <x:v>64</x:v>
      </x:c>
      <x:c r="P16" s="66" t="n">
        <x:v>70</x:v>
      </x:c>
      <x:c r="Q16" s="66" t="n">
        <x:v>62</x:v>
      </x:c>
      <x:c r="R16" s="66" t="n">
        <x:v>52</x:v>
      </x:c>
      <x:c r="S16" s="66" t="n">
        <x:v>60</x:v>
      </x:c>
      <x:c r="T16" s="66" t="n">
        <x:v>88</x:v>
      </x:c>
      <x:c r="U16" s="66" t="str">
        <x:v>Inner north-west connector</x:v>
      </x:c>
      <x:c r="V16" s="66" t="str">
        <x:v>Trading &amp; Markets</x:v>
      </x:c>
      <x:c r="W16" s="66" t="n">
        <x:v>65.7</x:v>
      </x:c>
      <x:c r="X16" s="66" t="str">
        <x:v>Institutional Finance</x:v>
      </x:c>
      <x:c r="Y16" s="66" t="n">
        <x:v>65.4</x:v>
      </x:c>
      <x:c r="Z16" s="66" t="str">
        <x:v>Growth parcel. Cost intentionally tied to both progression order and location quality.</x:v>
      </x:c>
    </x:row>
    <x:row r="17">
      <x:c r="A17" s="66" t="str">
        <x:v>P16</x:v>
      </x:c>
      <x:c r="B17" s="66" t="n">
        <x:v>6</x:v>
      </x:c>
      <x:c r="C17" s="66" t="n">
        <x:v>18</x:v>
      </x:c>
      <x:c r="D17" s="66" t="str">
        <x:v>Starter</x:v>
      </x:c>
      <x:c r="E17" s="66" t="str">
        <x:f>IF(I17&gt;='Pricing Assumptions'!$I$7,"Trophy",IF(I17&gt;='Pricing Assumptions'!$I$6,"Prime",IF(I17&gt;='Pricing Assumptions'!$I$5,"Premium",IF(I17&gt;='Pricing Assumptions'!$I$4,"Growth","Entry"))))</x:f>
        <x:v>Growth</x:v>
      </x:c>
      <x:c r="F17" s="90" t="n">
        <x:v>900000</x:v>
      </x:c>
      <x:c r="G17" s="91" t="n">
        <x:f>'Pricing Assumptions'!$I$2+(I17/100)*'Pricing Assumptions'!$I$3</x:f>
        <x:v>1.1164</x:v>
      </x:c>
      <x:c r="H17" s="90" t="n">
        <x:f>ROUND(F17*G17,-2)</x:f>
        <x:v>1004800</x:v>
      </x:c>
      <x:c r="I17" s="92" t="n">
        <x:f>ROUND(L17*'Pricing Assumptions'!$L$2+M17*'Pricing Assumptions'!$L$3+N17*'Pricing Assumptions'!$L$4+O17*'Pricing Assumptions'!$L$5+P17*'Pricing Assumptions'!$L$6+Q17*'Pricing Assumptions'!$L$7+R17*'Pricing Assumptions'!$L$8+S17*'Pricing Assumptions'!$L$9+T17*'Pricing Assumptions'!$L$10,1)</x:f>
        <x:v>66.6</x:v>
      </x:c>
      <x:c r="J17" s="93" t="n">
        <x:f>IF(E17="Trophy",8%,IF(E17="Prime",6%,IF(E17="Premium",4%,IF(E17="Growth",2%,0%))))</x:f>
        <x:v>0.02</x:v>
      </x:c>
      <x:c r="K17" s="90" t="n">
        <x:f>IF(H17=0,5000,ROUND(H17*'Pricing Assumptions'!$I$8+I17*'Pricing Assumptions'!$I$9,-3))</x:f>
        <x:v>268000</x:v>
      </x:c>
      <x:c r="L17" s="66" t="n">
        <x:v>70</x:v>
      </x:c>
      <x:c r="M17" s="66" t="n">
        <x:v>62</x:v>
      </x:c>
      <x:c r="N17" s="66" t="n">
        <x:v>74</x:v>
      </x:c>
      <x:c r="O17" s="66" t="n">
        <x:v>68</x:v>
      </x:c>
      <x:c r="P17" s="66" t="n">
        <x:v>72</x:v>
      </x:c>
      <x:c r="Q17" s="66" t="n">
        <x:v>55</x:v>
      </x:c>
      <x:c r="R17" s="66" t="n">
        <x:v>54</x:v>
      </x:c>
      <x:c r="S17" s="66" t="n">
        <x:v>56</x:v>
      </x:c>
      <x:c r="T17" s="66" t="n">
        <x:v>58</x:v>
      </x:c>
      <x:c r="U17" s="66" t="str">
        <x:v>East office cluster</x:v>
      </x:c>
      <x:c r="V17" s="66" t="str">
        <x:v>Lending &amp; Credit</x:v>
      </x:c>
      <x:c r="W17" s="66" t="n">
        <x:v>67.3</x:v>
      </x:c>
      <x:c r="X17" s="66" t="str">
        <x:v>Retail Finance</x:v>
      </x:c>
      <x:c r="Y17" s="66" t="n">
        <x:v>67.2</x:v>
      </x:c>
      <x:c r="Z17" s="66" t="str">
        <x:v>Growth parcel. Cost intentionally tied to both progression order and location quality.</x:v>
      </x:c>
    </x:row>
    <x:row r="18">
      <x:c r="A18" s="66" t="str">
        <x:v>P17</x:v>
      </x:c>
      <x:c r="B18" s="66" t="n">
        <x:v>10</x:v>
      </x:c>
      <x:c r="C18" s="66" t="n">
        <x:v>19</x:v>
      </x:c>
      <x:c r="D18" s="66" t="str">
        <x:v>Starter</x:v>
      </x:c>
      <x:c r="E18" s="66" t="str">
        <x:f>IF(I18&gt;='Pricing Assumptions'!$I$7,"Trophy",IF(I18&gt;='Pricing Assumptions'!$I$6,"Prime",IF(I18&gt;='Pricing Assumptions'!$I$5,"Premium",IF(I18&gt;='Pricing Assumptions'!$I$4,"Growth","Entry"))))</x:f>
        <x:v>Growth</x:v>
      </x:c>
      <x:c r="F18" s="90" t="n">
        <x:v>1200000</x:v>
      </x:c>
      <x:c r="G18" s="91" t="n">
        <x:f>'Pricing Assumptions'!$I$2+(I18/100)*'Pricing Assumptions'!$I$3</x:f>
        <x:v>1.1176</x:v>
      </x:c>
      <x:c r="H18" s="90" t="n">
        <x:f>ROUND(F18*G18,-2)</x:f>
        <x:v>1341100</x:v>
      </x:c>
      <x:c r="I18" s="92" t="n">
        <x:f>ROUND(L18*'Pricing Assumptions'!$L$2+M18*'Pricing Assumptions'!$L$3+N18*'Pricing Assumptions'!$L$4+O18*'Pricing Assumptions'!$L$5+P18*'Pricing Assumptions'!$L$6+Q18*'Pricing Assumptions'!$L$7+R18*'Pricing Assumptions'!$L$8+S18*'Pricing Assumptions'!$L$9+T18*'Pricing Assumptions'!$L$10,1)</x:f>
        <x:v>66.9</x:v>
      </x:c>
      <x:c r="J18" s="93" t="n">
        <x:f>IF(E18="Trophy",8%,IF(E18="Prime",6%,IF(E18="Premium",4%,IF(E18="Growth",2%,0%))))</x:f>
        <x:v>0.02</x:v>
      </x:c>
      <x:c r="K18" s="90" t="n">
        <x:f>IF(H18=0,5000,ROUND(H18*'Pricing Assumptions'!$I$8+I18*'Pricing Assumptions'!$I$9,-3))</x:f>
        <x:v>335000</x:v>
      </x:c>
      <x:c r="L18" s="66" t="n">
        <x:v>68</x:v>
      </x:c>
      <x:c r="M18" s="66" t="n">
        <x:v>70</x:v>
      </x:c>
      <x:c r="N18" s="66" t="n">
        <x:v>82</x:v>
      </x:c>
      <x:c r="O18" s="66" t="n">
        <x:v>62</x:v>
      </x:c>
      <x:c r="P18" s="66" t="n">
        <x:v>66</x:v>
      </x:c>
      <x:c r="Q18" s="66" t="n">
        <x:v>48</x:v>
      </x:c>
      <x:c r="R18" s="66" t="n">
        <x:v>52</x:v>
      </x:c>
      <x:c r="S18" s="66" t="n">
        <x:v>64</x:v>
      </x:c>
      <x:c r="T18" s="66" t="n">
        <x:v>72</x:v>
      </x:c>
      <x:c r="U18" s="66" t="str">
        <x:v>West road-commercial</x:v>
      </x:c>
      <x:c r="V18" s="66" t="str">
        <x:v>Retail Finance</x:v>
      </x:c>
      <x:c r="W18" s="66" t="n">
        <x:v>71.3</x:v>
      </x:c>
      <x:c r="X18" s="66" t="str">
        <x:v>Lending &amp; Credit</x:v>
      </x:c>
      <x:c r="Y18" s="66" t="n">
        <x:v>70.2</x:v>
      </x:c>
      <x:c r="Z18" s="66" t="str">
        <x:v>Growth parcel. Cost intentionally tied to both progression order and location quality.</x:v>
      </x:c>
    </x:row>
    <x:row r="19">
      <x:c r="A19" s="66" t="str">
        <x:v>P18</x:v>
      </x:c>
      <x:c r="B19" s="66" t="n">
        <x:v>3</x:v>
      </x:c>
      <x:c r="C19" s="66" t="n">
        <x:v>20</x:v>
      </x:c>
      <x:c r="D19" s="66" t="str">
        <x:v>Starter</x:v>
      </x:c>
      <x:c r="E19" s="66" t="str">
        <x:f>IF(I19&gt;='Pricing Assumptions'!$I$7,"Trophy",IF(I19&gt;='Pricing Assumptions'!$I$6,"Prime",IF(I19&gt;='Pricing Assumptions'!$I$5,"Premium",IF(I19&gt;='Pricing Assumptions'!$I$4,"Growth","Entry"))))</x:f>
        <x:v>Premium</x:v>
      </x:c>
      <x:c r="F19" s="90" t="n">
        <x:v>1600000</x:v>
      </x:c>
      <x:c r="G19" s="91" t="n">
        <x:f>'Pricing Assumptions'!$I$2+(I19/100)*'Pricing Assumptions'!$I$3</x:f>
        <x:v>1.1219999999999999</x:v>
      </x:c>
      <x:c r="H19" s="90" t="n">
        <x:f>ROUND(F19*G19,-2)</x:f>
        <x:v>1795200</x:v>
      </x:c>
      <x:c r="I19" s="92" t="n">
        <x:f>ROUND(L19*'Pricing Assumptions'!$L$2+M19*'Pricing Assumptions'!$L$3+N19*'Pricing Assumptions'!$L$4+O19*'Pricing Assumptions'!$L$5+P19*'Pricing Assumptions'!$L$6+Q19*'Pricing Assumptions'!$L$7+R19*'Pricing Assumptions'!$L$8+S19*'Pricing Assumptions'!$L$9+T19*'Pricing Assumptions'!$L$10,1)</x:f>
        <x:v>68</x:v>
      </x:c>
      <x:c r="J19" s="93" t="n">
        <x:f>IF(E19="Trophy",8%,IF(E19="Prime",6%,IF(E19="Premium",4%,IF(E19="Growth",2%,0%))))</x:f>
        <x:v>0.04</x:v>
      </x:c>
      <x:c r="K19" s="90" t="n">
        <x:f>IF(H19=0,5000,ROUND(H19*'Pricing Assumptions'!$I$8+I19*'Pricing Assumptions'!$I$9,-3))</x:f>
        <x:v>427000</x:v>
      </x:c>
      <x:c r="L19" s="66" t="n">
        <x:v>72</x:v>
      </x:c>
      <x:c r="M19" s="66" t="n">
        <x:v>66</x:v>
      </x:c>
      <x:c r="N19" s="66" t="n">
        <x:v>76</x:v>
      </x:c>
      <x:c r="O19" s="66" t="n">
        <x:v>68</x:v>
      </x:c>
      <x:c r="P19" s="66" t="n">
        <x:v>70</x:v>
      </x:c>
      <x:c r="Q19" s="66" t="n">
        <x:v>58</x:v>
      </x:c>
      <x:c r="R19" s="66" t="n">
        <x:v>52</x:v>
      </x:c>
      <x:c r="S19" s="66" t="n">
        <x:v>62</x:v>
      </x:c>
      <x:c r="T19" s="66" t="n">
        <x:v>60</x:v>
      </x:c>
      <x:c r="U19" s="66" t="str">
        <x:v>North-west office cluster</x:v>
      </x:c>
      <x:c r="V19" s="66" t="str">
        <x:v>Retail Finance</x:v>
      </x:c>
      <x:c r="W19" s="66" t="n">
        <x:v>69.9</x:v>
      </x:c>
      <x:c r="X19" s="66" t="str">
        <x:v>Lending &amp; Credit</x:v>
      </x:c>
      <x:c r="Y19" s="66" t="n">
        <x:v>69.4</x:v>
      </x:c>
      <x:c r="Z19" s="66" t="str">
        <x:v>Premium parcel. Cost intentionally tied to both progression order and location quality.</x:v>
      </x:c>
    </x:row>
    <x:row r="20">
      <x:c r="A20" s="66" t="str">
        <x:v>P19</x:v>
      </x:c>
      <x:c r="B20" s="66" t="n">
        <x:v>30</x:v>
      </x:c>
      <x:c r="C20" s="66" t="n">
        <x:v>21</x:v>
      </x:c>
      <x:c r="D20" s="66" t="str">
        <x:v>Growing</x:v>
      </x:c>
      <x:c r="E20" s="66" t="str">
        <x:f>IF(I20&gt;='Pricing Assumptions'!$I$7,"Trophy",IF(I20&gt;='Pricing Assumptions'!$I$6,"Prime",IF(I20&gt;='Pricing Assumptions'!$I$5,"Premium",IF(I20&gt;='Pricing Assumptions'!$I$4,"Growth","Entry"))))</x:f>
        <x:v>Premium</x:v>
      </x:c>
      <x:c r="F20" s="90" t="n">
        <x:v>2100000</x:v>
      </x:c>
      <x:c r="G20" s="91" t="n">
        <x:f>'Pricing Assumptions'!$I$2+(I20/100)*'Pricing Assumptions'!$I$3</x:f>
        <x:v>1.1223999999999998</x:v>
      </x:c>
      <x:c r="H20" s="90" t="n">
        <x:f>ROUND(F20*G20,-2)</x:f>
        <x:v>2357000</x:v>
      </x:c>
      <x:c r="I20" s="92" t="n">
        <x:f>ROUND(L20*'Pricing Assumptions'!$L$2+M20*'Pricing Assumptions'!$L$3+N20*'Pricing Assumptions'!$L$4+O20*'Pricing Assumptions'!$L$5+P20*'Pricing Assumptions'!$L$6+Q20*'Pricing Assumptions'!$L$7+R20*'Pricing Assumptions'!$L$8+S20*'Pricing Assumptions'!$L$9+T20*'Pricing Assumptions'!$L$10,1)</x:f>
        <x:v>68.1</x:v>
      </x:c>
      <x:c r="J20" s="93" t="n">
        <x:f>IF(E20="Trophy",8%,IF(E20="Prime",6%,IF(E20="Premium",4%,IF(E20="Growth",2%,0%))))</x:f>
        <x:v>0.04</x:v>
      </x:c>
      <x:c r="K20" s="90" t="n">
        <x:f>IF(H20=0,5000,ROUND(H20*'Pricing Assumptions'!$I$8+I20*'Pricing Assumptions'!$I$9,-3))</x:f>
        <x:v>540000</x:v>
      </x:c>
      <x:c r="L20" s="66" t="n">
        <x:v>70</x:v>
      </x:c>
      <x:c r="M20" s="66" t="n">
        <x:v>62</x:v>
      </x:c>
      <x:c r="N20" s="66" t="n">
        <x:v>68</x:v>
      </x:c>
      <x:c r="O20" s="66" t="n">
        <x:v>68</x:v>
      </x:c>
      <x:c r="P20" s="66" t="n">
        <x:v>72</x:v>
      </x:c>
      <x:c r="Q20" s="66" t="n">
        <x:v>58</x:v>
      </x:c>
      <x:c r="R20" s="66" t="n">
        <x:v>56</x:v>
      </x:c>
      <x:c r="S20" s="66" t="n">
        <x:v>74</x:v>
      </x:c>
      <x:c r="T20" s="66" t="n">
        <x:v>82</x:v>
      </x:c>
      <x:c r="U20" s="66" t="str">
        <x:v>South inner core</x:v>
      </x:c>
      <x:c r="V20" s="66" t="str">
        <x:v>Wealth &amp; Advisory</x:v>
      </x:c>
      <x:c r="W20" s="66" t="n">
        <x:v>68</x:v>
      </x:c>
      <x:c r="X20" s="66" t="str">
        <x:v>Institutional Finance</x:v>
      </x:c>
      <x:c r="Y20" s="66" t="n">
        <x:v>67.9</x:v>
      </x:c>
      <x:c r="Z20" s="66" t="str">
        <x:v>Premium parcel. Cost intentionally tied to both progression order and location quality.</x:v>
      </x:c>
    </x:row>
    <x:row r="21">
      <x:c r="A21" s="66" t="str">
        <x:v>P20</x:v>
      </x:c>
      <x:c r="B21" s="66" t="n">
        <x:v>27</x:v>
      </x:c>
      <x:c r="C21" s="66" t="n">
        <x:v>21</x:v>
      </x:c>
      <x:c r="D21" s="66" t="str">
        <x:v>Growing</x:v>
      </x:c>
      <x:c r="E21" s="66" t="str">
        <x:f>IF(I21&gt;='Pricing Assumptions'!$I$7,"Trophy",IF(I21&gt;='Pricing Assumptions'!$I$6,"Prime",IF(I21&gt;='Pricing Assumptions'!$I$5,"Premium",IF(I21&gt;='Pricing Assumptions'!$I$4,"Growth","Entry"))))</x:f>
        <x:v>Premium</x:v>
      </x:c>
      <x:c r="F21" s="90" t="n">
        <x:v>2800000</x:v>
      </x:c>
      <x:c r="G21" s="91" t="n">
        <x:f>'Pricing Assumptions'!$I$2+(I21/100)*'Pricing Assumptions'!$I$3</x:f>
        <x:v>1.1276</x:v>
      </x:c>
      <x:c r="H21" s="90" t="n">
        <x:f>ROUND(F21*G21,-2)</x:f>
        <x:v>3157300</x:v>
      </x:c>
      <x:c r="I21" s="92" t="n">
        <x:f>ROUND(L21*'Pricing Assumptions'!$L$2+M21*'Pricing Assumptions'!$L$3+N21*'Pricing Assumptions'!$L$4+O21*'Pricing Assumptions'!$L$5+P21*'Pricing Assumptions'!$L$6+Q21*'Pricing Assumptions'!$L$7+R21*'Pricing Assumptions'!$L$8+S21*'Pricing Assumptions'!$L$9+T21*'Pricing Assumptions'!$L$10,1)</x:f>
        <x:v>69.4</x:v>
      </x:c>
      <x:c r="J21" s="93" t="n">
        <x:f>IF(E21="Trophy",8%,IF(E21="Prime",6%,IF(E21="Premium",4%,IF(E21="Growth",2%,0%))))</x:f>
        <x:v>0.04</x:v>
      </x:c>
      <x:c r="K21" s="90" t="n">
        <x:f>IF(H21=0,5000,ROUND(H21*'Pricing Assumptions'!$I$8+I21*'Pricing Assumptions'!$I$9,-3))</x:f>
        <x:v>701000</x:v>
      </x:c>
      <x:c r="L21" s="66" t="n">
        <x:v>72</x:v>
      </x:c>
      <x:c r="M21" s="66" t="n">
        <x:v>66</x:v>
      </x:c>
      <x:c r="N21" s="66" t="n">
        <x:v>76</x:v>
      </x:c>
      <x:c r="O21" s="66" t="n">
        <x:v>72</x:v>
      </x:c>
      <x:c r="P21" s="66" t="n">
        <x:v>74</x:v>
      </x:c>
      <x:c r="Q21" s="66" t="n">
        <x:v>54</x:v>
      </x:c>
      <x:c r="R21" s="66" t="n">
        <x:v>54</x:v>
      </x:c>
      <x:c r="S21" s="66" t="n">
        <x:v>62</x:v>
      </x:c>
      <x:c r="T21" s="66" t="n">
        <x:v>70</x:v>
      </x:c>
      <x:c r="U21" s="66" t="str">
        <x:v>East growth corridor</x:v>
      </x:c>
      <x:c r="V21" s="66" t="str">
        <x:v>Retail Finance</x:v>
      </x:c>
      <x:c r="W21" s="66" t="n">
        <x:v>70.3</x:v>
      </x:c>
      <x:c r="X21" s="66" t="str">
        <x:v>Lending &amp; Credit</x:v>
      </x:c>
      <x:c r="Y21" s="66" t="n">
        <x:v>70.1</x:v>
      </x:c>
      <x:c r="Z21" s="66" t="str">
        <x:v>Premium parcel. Cost intentionally tied to both progression order and location quality.</x:v>
      </x:c>
    </x:row>
    <x:row r="22">
      <x:c r="A22" s="66" t="str">
        <x:v>P21</x:v>
      </x:c>
      <x:c r="B22" s="66" t="n">
        <x:v>4</x:v>
      </x:c>
      <x:c r="C22" s="66" t="n">
        <x:v>22</x:v>
      </x:c>
      <x:c r="D22" s="66" t="str">
        <x:v>Growing</x:v>
      </x:c>
      <x:c r="E22" s="66" t="str">
        <x:f>IF(I22&gt;='Pricing Assumptions'!$I$7,"Trophy",IF(I22&gt;='Pricing Assumptions'!$I$6,"Prime",IF(I22&gt;='Pricing Assumptions'!$I$5,"Premium",IF(I22&gt;='Pricing Assumptions'!$I$4,"Growth","Entry"))))</x:f>
        <x:v>Premium</x:v>
      </x:c>
      <x:c r="F22" s="90" t="n">
        <x:v>3600000</x:v>
      </x:c>
      <x:c r="G22" s="91" t="n">
        <x:f>'Pricing Assumptions'!$I$2+(I22/100)*'Pricing Assumptions'!$I$3</x:f>
        <x:v>1.1296</x:v>
      </x:c>
      <x:c r="H22" s="90" t="n">
        <x:f>ROUND(F22*G22,-2)</x:f>
        <x:v>4066600</x:v>
      </x:c>
      <x:c r="I22" s="92" t="n">
        <x:f>ROUND(L22*'Pricing Assumptions'!$L$2+M22*'Pricing Assumptions'!$L$3+N22*'Pricing Assumptions'!$L$4+O22*'Pricing Assumptions'!$L$5+P22*'Pricing Assumptions'!$L$6+Q22*'Pricing Assumptions'!$L$7+R22*'Pricing Assumptions'!$L$8+S22*'Pricing Assumptions'!$L$9+T22*'Pricing Assumptions'!$L$10,1)</x:f>
        <x:v>69.9</x:v>
      </x:c>
      <x:c r="J22" s="93" t="n">
        <x:f>IF(E22="Trophy",8%,IF(E22="Prime",6%,IF(E22="Premium",4%,IF(E22="Growth",2%,0%))))</x:f>
        <x:v>0.04</x:v>
      </x:c>
      <x:c r="K22" s="90" t="n">
        <x:f>IF(H22=0,5000,ROUND(H22*'Pricing Assumptions'!$I$8+I22*'Pricing Assumptions'!$I$9,-3))</x:f>
        <x:v>883000</x:v>
      </x:c>
      <x:c r="L22" s="66" t="n">
        <x:v>75</x:v>
      </x:c>
      <x:c r="M22" s="66" t="n">
        <x:v>60</x:v>
      </x:c>
      <x:c r="N22" s="66" t="n">
        <x:v>68</x:v>
      </x:c>
      <x:c r="O22" s="66" t="n">
        <x:v>70</x:v>
      </x:c>
      <x:c r="P22" s="66" t="n">
        <x:v>78</x:v>
      </x:c>
      <x:c r="Q22" s="66" t="n">
        <x:v>65</x:v>
      </x:c>
      <x:c r="R22" s="66" t="n">
        <x:v>55</x:v>
      </x:c>
      <x:c r="S22" s="66" t="n">
        <x:v>60</x:v>
      </x:c>
      <x:c r="T22" s="66" t="n">
        <x:v>78</x:v>
      </x:c>
      <x:c r="U22" s="66" t="str">
        <x:v>North commercial corridor</x:v>
      </x:c>
      <x:c r="V22" s="66" t="str">
        <x:v>Institutional Finance</x:v>
      </x:c>
      <x:c r="W22" s="66" t="n">
        <x:v>70.7</x:v>
      </x:c>
      <x:c r="X22" s="66" t="str">
        <x:v>Trading &amp; Markets</x:v>
      </x:c>
      <x:c r="Y22" s="66" t="n">
        <x:v>70.5</x:v>
      </x:c>
      <x:c r="Z22" s="66" t="str">
        <x:v>Premium parcel. Cost intentionally tied to both progression order and location quality.</x:v>
      </x:c>
    </x:row>
    <x:row r="23">
      <x:c r="A23" s="66" t="str">
        <x:v>P22</x:v>
      </x:c>
      <x:c r="B23" s="66" t="n">
        <x:v>9</x:v>
      </x:c>
      <x:c r="C23" s="66" t="n">
        <x:v>22</x:v>
      </x:c>
      <x:c r="D23" s="66" t="str">
        <x:v>Growing</x:v>
      </x:c>
      <x:c r="E23" s="66" t="str">
        <x:f>IF(I23&gt;='Pricing Assumptions'!$I$7,"Trophy",IF(I23&gt;='Pricing Assumptions'!$I$6,"Prime",IF(I23&gt;='Pricing Assumptions'!$I$5,"Premium",IF(I23&gt;='Pricing Assumptions'!$I$4,"Growth","Entry"))))</x:f>
        <x:v>Premium</x:v>
      </x:c>
      <x:c r="F23" s="90" t="n">
        <x:v>4600000</x:v>
      </x:c>
      <x:c r="G23" s="91" t="n">
        <x:f>'Pricing Assumptions'!$I$2+(I23/100)*'Pricing Assumptions'!$I$3</x:f>
        <x:v>1.1303999999999998</x:v>
      </x:c>
      <x:c r="H23" s="90" t="n">
        <x:f>ROUND(F23*G23,-2)</x:f>
        <x:v>5199800</x:v>
      </x:c>
      <x:c r="I23" s="92" t="n">
        <x:f>ROUND(L23*'Pricing Assumptions'!$L$2+M23*'Pricing Assumptions'!$L$3+N23*'Pricing Assumptions'!$L$4+O23*'Pricing Assumptions'!$L$5+P23*'Pricing Assumptions'!$L$6+Q23*'Pricing Assumptions'!$L$7+R23*'Pricing Assumptions'!$L$8+S23*'Pricing Assumptions'!$L$9+T23*'Pricing Assumptions'!$L$10,1)</x:f>
        <x:v>70.1</x:v>
      </x:c>
      <x:c r="J23" s="93" t="n">
        <x:f>IF(E23="Trophy",8%,IF(E23="Prime",6%,IF(E23="Premium",4%,IF(E23="Growth",2%,0%))))</x:f>
        <x:v>0.04</x:v>
      </x:c>
      <x:c r="K23" s="90" t="n">
        <x:f>IF(H23=0,5000,ROUND(H23*'Pricing Assumptions'!$I$8+I23*'Pricing Assumptions'!$I$9,-3))</x:f>
        <x:v>1110000</x:v>
      </x:c>
      <x:c r="L23" s="66" t="n">
        <x:v>74</x:v>
      </x:c>
      <x:c r="M23" s="66" t="n">
        <x:v>65</x:v>
      </x:c>
      <x:c r="N23" s="66" t="n">
        <x:v>72</x:v>
      </x:c>
      <x:c r="O23" s="66" t="n">
        <x:v>70</x:v>
      </x:c>
      <x:c r="P23" s="66" t="n">
        <x:v>76</x:v>
      </x:c>
      <x:c r="Q23" s="66" t="n">
        <x:v>60</x:v>
      </x:c>
      <x:c r="R23" s="66" t="n">
        <x:v>54</x:v>
      </x:c>
      <x:c r="S23" s="66" t="n">
        <x:v>58</x:v>
      </x:c>
      <x:c r="T23" s="66" t="n">
        <x:v>82</x:v>
      </x:c>
      <x:c r="U23" s="66" t="str">
        <x:v>Inner north-east connector</x:v>
      </x:c>
      <x:c r="V23" s="66" t="str">
        <x:v>Institutional Finance</x:v>
      </x:c>
      <x:c r="W23" s="66" t="n">
        <x:v>70</x:v>
      </x:c>
      <x:c r="X23" s="66" t="str">
        <x:v>Trading &amp; Markets</x:v>
      </x:c>
      <x:c r="Y23" s="66" t="n">
        <x:v>69.6</x:v>
      </x:c>
      <x:c r="Z23" s="66" t="str">
        <x:v>Premium parcel. Cost intentionally tied to both progression order and location quality.</x:v>
      </x:c>
    </x:row>
    <x:row r="24">
      <x:c r="A24" s="66" t="str">
        <x:v>P23</x:v>
      </x:c>
      <x:c r="B24" s="66" t="n">
        <x:v>13</x:v>
      </x:c>
      <x:c r="C24" s="66" t="n">
        <x:v>23</x:v>
      </x:c>
      <x:c r="D24" s="66" t="str">
        <x:v>Growing</x:v>
      </x:c>
      <x:c r="E24" s="66" t="str">
        <x:f>IF(I24&gt;='Pricing Assumptions'!$I$7,"Trophy",IF(I24&gt;='Pricing Assumptions'!$I$6,"Prime",IF(I24&gt;='Pricing Assumptions'!$I$5,"Premium",IF(I24&gt;='Pricing Assumptions'!$I$4,"Growth","Entry"))))</x:f>
        <x:v>Premium</x:v>
      </x:c>
      <x:c r="F24" s="90" t="n">
        <x:v>5800000</x:v>
      </x:c>
      <x:c r="G24" s="91" t="n">
        <x:f>'Pricing Assumptions'!$I$2+(I24/100)*'Pricing Assumptions'!$I$3</x:f>
        <x:v>1.1368</x:v>
      </x:c>
      <x:c r="H24" s="90" t="n">
        <x:f>ROUND(F24*G24,-2)</x:f>
        <x:v>6593400</x:v>
      </x:c>
      <x:c r="I24" s="92" t="n">
        <x:f>ROUND(L24*'Pricing Assumptions'!$L$2+M24*'Pricing Assumptions'!$L$3+N24*'Pricing Assumptions'!$L$4+O24*'Pricing Assumptions'!$L$5+P24*'Pricing Assumptions'!$L$6+Q24*'Pricing Assumptions'!$L$7+R24*'Pricing Assumptions'!$L$8+S24*'Pricing Assumptions'!$L$9+T24*'Pricing Assumptions'!$L$10,1)</x:f>
        <x:v>71.7</x:v>
      </x:c>
      <x:c r="J24" s="93" t="n">
        <x:f>IF(E24="Trophy",8%,IF(E24="Prime",6%,IF(E24="Premium",4%,IF(E24="Growth",2%,0%))))</x:f>
        <x:v>0.04</x:v>
      </x:c>
      <x:c r="K24" s="90" t="n">
        <x:f>IF(H24=0,5000,ROUND(H24*'Pricing Assumptions'!$I$8+I24*'Pricing Assumptions'!$I$9,-3))</x:f>
        <x:v>1390000</x:v>
      </x:c>
      <x:c r="L24" s="66" t="n">
        <x:v>76</x:v>
      </x:c>
      <x:c r="M24" s="66" t="n">
        <x:v>70</x:v>
      </x:c>
      <x:c r="N24" s="66" t="n">
        <x:v>80</x:v>
      </x:c>
      <x:c r="O24" s="66" t="n">
        <x:v>70</x:v>
      </x:c>
      <x:c r="P24" s="66" t="n">
        <x:v>78</x:v>
      </x:c>
      <x:c r="Q24" s="66" t="n">
        <x:v>58</x:v>
      </x:c>
      <x:c r="R24" s="66" t="n">
        <x:v>54</x:v>
      </x:c>
      <x:c r="S24" s="66" t="n">
        <x:v>54</x:v>
      </x:c>
      <x:c r="T24" s="66" t="n">
        <x:v>72</x:v>
      </x:c>
      <x:c r="U24" s="66" t="str">
        <x:v>East road-commercial</x:v>
      </x:c>
      <x:c r="V24" s="66" t="str">
        <x:v>Retail Finance</x:v>
      </x:c>
      <x:c r="W24" s="66" t="n">
        <x:v>72.8</x:v>
      </x:c>
      <x:c r="X24" s="66" t="str">
        <x:v>Lending &amp; Credit</x:v>
      </x:c>
      <x:c r="Y24" s="66" t="n">
        <x:v>72.4</x:v>
      </x:c>
      <x:c r="Z24" s="66" t="str">
        <x:v>Premium parcel. Cost intentionally tied to both progression order and location quality.</x:v>
      </x:c>
    </x:row>
    <x:row r="25">
      <x:c r="A25" s="66" t="str">
        <x:v>P24</x:v>
      </x:c>
      <x:c r="B25" s="66" t="n">
        <x:v>1</x:v>
      </x:c>
      <x:c r="C25" s="66" t="n">
        <x:v>23</x:v>
      </x:c>
      <x:c r="D25" s="66" t="str">
        <x:v>Growing</x:v>
      </x:c>
      <x:c r="E25" s="66" t="str">
        <x:f>IF(I25&gt;='Pricing Assumptions'!$I$7,"Trophy",IF(I25&gt;='Pricing Assumptions'!$I$6,"Prime",IF(I25&gt;='Pricing Assumptions'!$I$5,"Premium",IF(I25&gt;='Pricing Assumptions'!$I$4,"Growth","Entry"))))</x:f>
        <x:v>Premium</x:v>
      </x:c>
      <x:c r="F25" s="90" t="n">
        <x:v>7200000</x:v>
      </x:c>
      <x:c r="G25" s="91" t="n">
        <x:f>'Pricing Assumptions'!$I$2+(I25/100)*'Pricing Assumptions'!$I$3</x:f>
        <x:v>1.1376</x:v>
      </x:c>
      <x:c r="H25" s="90" t="n">
        <x:f>ROUND(F25*G25,-2)</x:f>
        <x:v>8190700</x:v>
      </x:c>
      <x:c r="I25" s="92" t="n">
        <x:f>ROUND(L25*'Pricing Assumptions'!$L$2+M25*'Pricing Assumptions'!$L$3+N25*'Pricing Assumptions'!$L$4+O25*'Pricing Assumptions'!$L$5+P25*'Pricing Assumptions'!$L$6+Q25*'Pricing Assumptions'!$L$7+R25*'Pricing Assumptions'!$L$8+S25*'Pricing Assumptions'!$L$9+T25*'Pricing Assumptions'!$L$10,1)</x:f>
        <x:v>71.9</x:v>
      </x:c>
      <x:c r="J25" s="93" t="n">
        <x:f>IF(E25="Trophy",8%,IF(E25="Prime",6%,IF(E25="Premium",4%,IF(E25="Growth",2%,0%))))</x:f>
        <x:v>0.04</x:v>
      </x:c>
      <x:c r="K25" s="90" t="n">
        <x:f>IF(H25=0,5000,ROUND(H25*'Pricing Assumptions'!$I$8+I25*'Pricing Assumptions'!$I$9,-3))</x:f>
        <x:v>1710000</x:v>
      </x:c>
      <x:c r="L25" s="66" t="n">
        <x:v>78</x:v>
      </x:c>
      <x:c r="M25" s="66" t="n">
        <x:v>62</x:v>
      </x:c>
      <x:c r="N25" s="66" t="n">
        <x:v>70</x:v>
      </x:c>
      <x:c r="O25" s="66" t="n">
        <x:v>74</x:v>
      </x:c>
      <x:c r="P25" s="66" t="n">
        <x:v>82</x:v>
      </x:c>
      <x:c r="Q25" s="66" t="n">
        <x:v>66</x:v>
      </x:c>
      <x:c r="R25" s="66" t="n">
        <x:v>55</x:v>
      </x:c>
      <x:c r="S25" s="66" t="n">
        <x:v>58</x:v>
      </x:c>
      <x:c r="T25" s="66" t="n">
        <x:v>72</x:v>
      </x:c>
      <x:c r="U25" s="66" t="str">
        <x:v>North commercial cluster</x:v>
      </x:c>
      <x:c r="V25" s="66" t="str">
        <x:v>Institutional Finance</x:v>
      </x:c>
      <x:c r="W25" s="66" t="n">
        <x:v>73.5</x:v>
      </x:c>
      <x:c r="X25" s="66" t="str">
        <x:v>Trading &amp; Markets</x:v>
      </x:c>
      <x:c r="Y25" s="66" t="n">
        <x:v>73</x:v>
      </x:c>
      <x:c r="Z25" s="66" t="str">
        <x:v>Premium parcel. Cost intentionally tied to both progression order and location quality.</x:v>
      </x:c>
    </x:row>
    <x:row r="26">
      <x:c r="A26" s="66" t="str">
        <x:v>P25</x:v>
      </x:c>
      <x:c r="B26" s="66" t="n">
        <x:v>21</x:v>
      </x:c>
      <x:c r="C26" s="66" t="n">
        <x:v>24</x:v>
      </x:c>
      <x:c r="D26" s="66" t="str">
        <x:v>Growing</x:v>
      </x:c>
      <x:c r="E26" s="66" t="str">
        <x:f>IF(I26&gt;='Pricing Assumptions'!$I$7,"Trophy",IF(I26&gt;='Pricing Assumptions'!$I$6,"Prime",IF(I26&gt;='Pricing Assumptions'!$I$5,"Premium",IF(I26&gt;='Pricing Assumptions'!$I$4,"Growth","Entry"))))</x:f>
        <x:v>Premium</x:v>
      </x:c>
      <x:c r="F26" s="90" t="n">
        <x:v>9000000</x:v>
      </x:c>
      <x:c r="G26" s="91" t="n">
        <x:f>'Pricing Assumptions'!$I$2+(I26/100)*'Pricing Assumptions'!$I$3</x:f>
        <x:v>1.1452</x:v>
      </x:c>
      <x:c r="H26" s="90" t="n">
        <x:f>ROUND(F26*G26,-2)</x:f>
        <x:v>10306800</x:v>
      </x:c>
      <x:c r="I26" s="92" t="n">
        <x:f>ROUND(L26*'Pricing Assumptions'!$L$2+M26*'Pricing Assumptions'!$L$3+N26*'Pricing Assumptions'!$L$4+O26*'Pricing Assumptions'!$L$5+P26*'Pricing Assumptions'!$L$6+Q26*'Pricing Assumptions'!$L$7+R26*'Pricing Assumptions'!$L$8+S26*'Pricing Assumptions'!$L$9+T26*'Pricing Assumptions'!$L$10,1)</x:f>
        <x:v>73.8</x:v>
      </x:c>
      <x:c r="J26" s="93" t="n">
        <x:f>IF(E26="Trophy",8%,IF(E26="Prime",6%,IF(E26="Premium",4%,IF(E26="Growth",2%,0%))))</x:f>
        <x:v>0.04</x:v>
      </x:c>
      <x:c r="K26" s="90" t="n">
        <x:f>IF(H26=0,5000,ROUND(H26*'Pricing Assumptions'!$I$8+I26*'Pricing Assumptions'!$I$9,-3))</x:f>
        <x:v>2135000</x:v>
      </x:c>
      <x:c r="L26" s="66" t="n">
        <x:v>78</x:v>
      </x:c>
      <x:c r="M26" s="66" t="n">
        <x:v>72</x:v>
      </x:c>
      <x:c r="N26" s="66" t="n">
        <x:v>82</x:v>
      </x:c>
      <x:c r="O26" s="66" t="n">
        <x:v>72</x:v>
      </x:c>
      <x:c r="P26" s="66" t="n">
        <x:v>80</x:v>
      </x:c>
      <x:c r="Q26" s="66" t="n">
        <x:v>58</x:v>
      </x:c>
      <x:c r="R26" s="66" t="n">
        <x:v>56</x:v>
      </x:c>
      <x:c r="S26" s="66" t="n">
        <x:v>56</x:v>
      </x:c>
      <x:c r="T26" s="66" t="n">
        <x:v>78</x:v>
      </x:c>
      <x:c r="U26" s="66" t="str">
        <x:v>East commercial connector</x:v>
      </x:c>
      <x:c r="V26" s="66" t="str">
        <x:v>Retail Finance</x:v>
      </x:c>
      <x:c r="W26" s="66" t="n">
        <x:v>74.8</x:v>
      </x:c>
      <x:c r="X26" s="66" t="str">
        <x:v>Lending &amp; Credit</x:v>
      </x:c>
      <x:c r="Y26" s="66" t="n">
        <x:v>74.4</x:v>
      </x:c>
      <x:c r="Z26" s="66" t="str">
        <x:v>Premium parcel. Cost intentionally tied to both progression order and location quality.</x:v>
      </x:c>
    </x:row>
    <x:row r="27">
      <x:c r="A27" s="66" t="str">
        <x:v>P26</x:v>
      </x:c>
      <x:c r="B27" s="66" t="n">
        <x:v>8</x:v>
      </x:c>
      <x:c r="C27" s="66" t="n">
        <x:v>24</x:v>
      </x:c>
      <x:c r="D27" s="66" t="str">
        <x:v>Growing</x:v>
      </x:c>
      <x:c r="E27" s="66" t="str">
        <x:f>IF(I27&gt;='Pricing Assumptions'!$I$7,"Trophy",IF(I27&gt;='Pricing Assumptions'!$I$6,"Prime",IF(I27&gt;='Pricing Assumptions'!$I$5,"Premium",IF(I27&gt;='Pricing Assumptions'!$I$4,"Growth","Entry"))))</x:f>
        <x:v>Premium</x:v>
      </x:c>
      <x:c r="F27" s="90" t="n">
        <x:v>11000000</x:v>
      </x:c>
      <x:c r="G27" s="91" t="n">
        <x:f>'Pricing Assumptions'!$I$2+(I27/100)*'Pricing Assumptions'!$I$3</x:f>
        <x:v>1.1568</x:v>
      </x:c>
      <x:c r="H27" s="90" t="n">
        <x:f>ROUND(F27*G27,-2)</x:f>
        <x:v>12724800</x:v>
      </x:c>
      <x:c r="I27" s="92" t="n">
        <x:f>ROUND(L27*'Pricing Assumptions'!$L$2+M27*'Pricing Assumptions'!$L$3+N27*'Pricing Assumptions'!$L$4+O27*'Pricing Assumptions'!$L$5+P27*'Pricing Assumptions'!$L$6+Q27*'Pricing Assumptions'!$L$7+R27*'Pricing Assumptions'!$L$8+S27*'Pricing Assumptions'!$L$9+T27*'Pricing Assumptions'!$L$10,1)</x:f>
        <x:v>76.7</x:v>
      </x:c>
      <x:c r="J27" s="93" t="n">
        <x:f>IF(E27="Trophy",8%,IF(E27="Prime",6%,IF(E27="Premium",4%,IF(E27="Growth",2%,0%))))</x:f>
        <x:v>0.04</x:v>
      </x:c>
      <x:c r="K27" s="90" t="n">
        <x:f>IF(H27=0,5000,ROUND(H27*'Pricing Assumptions'!$I$8+I27*'Pricing Assumptions'!$I$9,-3))</x:f>
        <x:v>2622000</x:v>
      </x:c>
      <x:c r="L27" s="66" t="n">
        <x:v>82</x:v>
      </x:c>
      <x:c r="M27" s="66" t="n">
        <x:v>68</x:v>
      </x:c>
      <x:c r="N27" s="66" t="n">
        <x:v>74</x:v>
      </x:c>
      <x:c r="O27" s="66" t="n">
        <x:v>78</x:v>
      </x:c>
      <x:c r="P27" s="66" t="n">
        <x:v>86</x:v>
      </x:c>
      <x:c r="Q27" s="66" t="n">
        <x:v>72</x:v>
      </x:c>
      <x:c r="R27" s="66" t="n">
        <x:v>58</x:v>
      </x:c>
      <x:c r="S27" s="66" t="n">
        <x:v>60</x:v>
      </x:c>
      <x:c r="T27" s="66" t="n">
        <x:v>88</x:v>
      </x:c>
      <x:c r="U27" s="66" t="str">
        <x:v>Inner north commercial</x:v>
      </x:c>
      <x:c r="V27" s="66" t="str">
        <x:v>Institutional Finance</x:v>
      </x:c>
      <x:c r="W27" s="66" t="n">
        <x:v>77.6</x:v>
      </x:c>
      <x:c r="X27" s="66" t="str">
        <x:v>Trading &amp; Markets</x:v>
      </x:c>
      <x:c r="Y27" s="66" t="n">
        <x:v>77.5</x:v>
      </x:c>
      <x:c r="Z27" s="66" t="str">
        <x:v>Premium parcel. Cost intentionally tied to both progression order and location quality.</x:v>
      </x:c>
    </x:row>
    <x:row r="28">
      <x:c r="A28" s="66" t="str">
        <x:v>P27</x:v>
      </x:c>
      <x:c r="B28" s="66" t="n">
        <x:v>17</x:v>
      </x:c>
      <x:c r="C28" s="66" t="n">
        <x:v>25</x:v>
      </x:c>
      <x:c r="D28" s="66" t="str">
        <x:v>Growing</x:v>
      </x:c>
      <x:c r="E28" s="66" t="str">
        <x:f>IF(I28&gt;='Pricing Assumptions'!$I$7,"Trophy",IF(I28&gt;='Pricing Assumptions'!$I$6,"Prime",IF(I28&gt;='Pricing Assumptions'!$I$5,"Premium",IF(I28&gt;='Pricing Assumptions'!$I$4,"Growth","Entry"))))</x:f>
        <x:v>Premium</x:v>
      </x:c>
      <x:c r="F28" s="90" t="n">
        <x:v>13500000</x:v>
      </x:c>
      <x:c r="G28" s="91" t="n">
        <x:f>'Pricing Assumptions'!$I$2+(I28/100)*'Pricing Assumptions'!$I$3</x:f>
        <x:v>1.1568</x:v>
      </x:c>
      <x:c r="H28" s="90" t="n">
        <x:f>ROUND(F28*G28,-2)</x:f>
        <x:v>15616800</x:v>
      </x:c>
      <x:c r="I28" s="92" t="n">
        <x:f>ROUND(L28*'Pricing Assumptions'!$L$2+M28*'Pricing Assumptions'!$L$3+N28*'Pricing Assumptions'!$L$4+O28*'Pricing Assumptions'!$L$5+P28*'Pricing Assumptions'!$L$6+Q28*'Pricing Assumptions'!$L$7+R28*'Pricing Assumptions'!$L$8+S28*'Pricing Assumptions'!$L$9+T28*'Pricing Assumptions'!$L$10,1)</x:f>
        <x:v>76.7</x:v>
      </x:c>
      <x:c r="J28" s="93" t="n">
        <x:f>IF(E28="Trophy",8%,IF(E28="Prime",6%,IF(E28="Premium",4%,IF(E28="Growth",2%,0%))))</x:f>
        <x:v>0.04</x:v>
      </x:c>
      <x:c r="K28" s="90" t="n">
        <x:f>IF(H28=0,5000,ROUND(H28*'Pricing Assumptions'!$I$8+I28*'Pricing Assumptions'!$I$9,-3))</x:f>
        <x:v>3200000</x:v>
      </x:c>
      <x:c r="L28" s="66" t="n">
        <x:v>82</x:v>
      </x:c>
      <x:c r="M28" s="66" t="n">
        <x:v>72</x:v>
      </x:c>
      <x:c r="N28" s="66" t="n">
        <x:v>78</x:v>
      </x:c>
      <x:c r="O28" s="66" t="n">
        <x:v>76</x:v>
      </x:c>
      <x:c r="P28" s="66" t="n">
        <x:v>86</x:v>
      </x:c>
      <x:c r="Q28" s="66" t="n">
        <x:v>64</x:v>
      </x:c>
      <x:c r="R28" s="66" t="n">
        <x:v>58</x:v>
      </x:c>
      <x:c r="S28" s="66" t="n">
        <x:v>58</x:v>
      </x:c>
      <x:c r="T28" s="66" t="n">
        <x:v>88</x:v>
      </x:c>
      <x:c r="U28" s="66" t="str">
        <x:v>Central-east connector</x:v>
      </x:c>
      <x:c r="V28" s="66" t="str">
        <x:v>Institutional Finance</x:v>
      </x:c>
      <x:c r="W28" s="66" t="n">
        <x:v>76.9</x:v>
      </x:c>
      <x:c r="X28" s="66" t="str">
        <x:v>Trading &amp; Markets</x:v>
      </x:c>
      <x:c r="Y28" s="66" t="n">
        <x:v>76.5</x:v>
      </x:c>
      <x:c r="Z28" s="66" t="str">
        <x:v>Premium parcel. Cost intentionally tied to both progression order and location quality.</x:v>
      </x:c>
    </x:row>
    <x:row r="29">
      <x:c r="A29" s="66" t="str">
        <x:v>P28</x:v>
      </x:c>
      <x:c r="B29" s="66" t="n">
        <x:v>26</x:v>
      </x:c>
      <x:c r="C29" s="66" t="n">
        <x:v>25</x:v>
      </x:c>
      <x:c r="D29" s="66" t="str">
        <x:v>Growing</x:v>
      </x:c>
      <x:c r="E29" s="66" t="str">
        <x:f>IF(I29&gt;='Pricing Assumptions'!$I$7,"Trophy",IF(I29&gt;='Pricing Assumptions'!$I$6,"Prime",IF(I29&gt;='Pricing Assumptions'!$I$5,"Premium",IF(I29&gt;='Pricing Assumptions'!$I$4,"Growth","Entry"))))</x:f>
        <x:v>Prime</x:v>
      </x:c>
      <x:c r="F29" s="90" t="n">
        <x:v>16000000</x:v>
      </x:c>
      <x:c r="G29" s="91" t="n">
        <x:f>'Pricing Assumptions'!$I$2+(I29/100)*'Pricing Assumptions'!$I$3</x:f>
        <x:v>1.162</x:v>
      </x:c>
      <x:c r="H29" s="90" t="n">
        <x:f>ROUND(F29*G29,-2)</x:f>
        <x:v>18592000</x:v>
      </x:c>
      <x:c r="I29" s="92" t="n">
        <x:f>ROUND(L29*'Pricing Assumptions'!$L$2+M29*'Pricing Assumptions'!$L$3+N29*'Pricing Assumptions'!$L$4+O29*'Pricing Assumptions'!$L$5+P29*'Pricing Assumptions'!$L$6+Q29*'Pricing Assumptions'!$L$7+R29*'Pricing Assumptions'!$L$8+S29*'Pricing Assumptions'!$L$9+T29*'Pricing Assumptions'!$L$10,1)</x:f>
        <x:v>78</x:v>
      </x:c>
      <x:c r="J29" s="93" t="n">
        <x:f>IF(E29="Trophy",8%,IF(E29="Prime",6%,IF(E29="Premium",4%,IF(E29="Growth",2%,0%))))</x:f>
        <x:v>0.06</x:v>
      </x:c>
      <x:c r="K29" s="90" t="n">
        <x:f>IF(H29=0,5000,ROUND(H29*'Pricing Assumptions'!$I$8+I29*'Pricing Assumptions'!$I$9,-3))</x:f>
        <x:v>3796000</x:v>
      </x:c>
      <x:c r="L29" s="66" t="n">
        <x:v>84</x:v>
      </x:c>
      <x:c r="M29" s="66" t="n">
        <x:v>70</x:v>
      </x:c>
      <x:c r="N29" s="66" t="n">
        <x:v>72</x:v>
      </x:c>
      <x:c r="O29" s="66" t="n">
        <x:v>80</x:v>
      </x:c>
      <x:c r="P29" s="66" t="n">
        <x:v>88</x:v>
      </x:c>
      <x:c r="Q29" s="66" t="n">
        <x:v>68</x:v>
      </x:c>
      <x:c r="R29" s="66" t="n">
        <x:v>62</x:v>
      </x:c>
      <x:c r="S29" s="66" t="n">
        <x:v>68</x:v>
      </x:c>
      <x:c r="T29" s="66" t="n">
        <x:v>90</x:v>
      </x:c>
      <x:c r="U29" s="66" t="str">
        <x:v>Central-south east premium</x:v>
      </x:c>
      <x:c r="V29" s="66" t="str">
        <x:v>Institutional Finance</x:v>
      </x:c>
      <x:c r="W29" s="66" t="n">
        <x:v>79</x:v>
      </x:c>
      <x:c r="X29" s="66" t="str">
        <x:v>Trading &amp; Markets</x:v>
      </x:c>
      <x:c r="Y29" s="66" t="n">
        <x:v>78.2</x:v>
      </x:c>
      <x:c r="Z29" s="66" t="str">
        <x:v>Prime parcel. Cost intentionally tied to both progression order and location quality.</x:v>
      </x:c>
    </x:row>
    <x:row r="30">
      <x:c r="A30" s="66" t="str">
        <x:v>P29</x:v>
      </x:c>
      <x:c r="B30" s="66" t="n">
        <x:v>11</x:v>
      </x:c>
      <x:c r="C30" s="66" t="n">
        <x:v>26</x:v>
      </x:c>
      <x:c r="D30" s="66" t="str">
        <x:v>Growing</x:v>
      </x:c>
      <x:c r="E30" s="66" t="str">
        <x:f>IF(I30&gt;='Pricing Assumptions'!$I$7,"Trophy",IF(I30&gt;='Pricing Assumptions'!$I$6,"Prime",IF(I30&gt;='Pricing Assumptions'!$I$5,"Premium",IF(I30&gt;='Pricing Assumptions'!$I$4,"Growth","Entry"))))</x:f>
        <x:v>Prime</x:v>
      </x:c>
      <x:c r="F30" s="90" t="n">
        <x:v>19000000</x:v>
      </x:c>
      <x:c r="G30" s="91" t="n">
        <x:f>'Pricing Assumptions'!$I$2+(I30/100)*'Pricing Assumptions'!$I$3</x:f>
        <x:v>1.1628</x:v>
      </x:c>
      <x:c r="H30" s="90" t="n">
        <x:f>ROUND(F30*G30,-2)</x:f>
        <x:v>22093200</x:v>
      </x:c>
      <x:c r="I30" s="92" t="n">
        <x:f>ROUND(L30*'Pricing Assumptions'!$L$2+M30*'Pricing Assumptions'!$L$3+N30*'Pricing Assumptions'!$L$4+O30*'Pricing Assumptions'!$L$5+P30*'Pricing Assumptions'!$L$6+Q30*'Pricing Assumptions'!$L$7+R30*'Pricing Assumptions'!$L$8+S30*'Pricing Assumptions'!$L$9+T30*'Pricing Assumptions'!$L$10,1)</x:f>
        <x:v>78.2</x:v>
      </x:c>
      <x:c r="J30" s="93" t="n">
        <x:f>IF(E30="Trophy",8%,IF(E30="Prime",6%,IF(E30="Premium",4%,IF(E30="Growth",2%,0%))))</x:f>
        <x:v>0.06</x:v>
      </x:c>
      <x:c r="K30" s="90" t="n">
        <x:f>IF(H30=0,5000,ROUND(H30*'Pricing Assumptions'!$I$8+I30*'Pricing Assumptions'!$I$9,-3))</x:f>
        <x:v>4497000</x:v>
      </x:c>
      <x:c r="L30" s="66" t="n">
        <x:v>84</x:v>
      </x:c>
      <x:c r="M30" s="66" t="n">
        <x:v>70</x:v>
      </x:c>
      <x:c r="N30" s="66" t="n">
        <x:v>72</x:v>
      </x:c>
      <x:c r="O30" s="66" t="n">
        <x:v>80</x:v>
      </x:c>
      <x:c r="P30" s="66" t="n">
        <x:v>90</x:v>
      </x:c>
      <x:c r="Q30" s="66" t="n">
        <x:v>70</x:v>
      </x:c>
      <x:c r="R30" s="66" t="n">
        <x:v>60</x:v>
      </x:c>
      <x:c r="S30" s="66" t="n">
        <x:v>58</x:v>
      </x:c>
      <x:c r="T30" s="66" t="n">
        <x:v>95</x:v>
      </x:c>
      <x:c r="U30" s="66" t="str">
        <x:v>Central commercial core</x:v>
      </x:c>
      <x:c r="V30" s="66" t="str">
        <x:v>Institutional Finance</x:v>
      </x:c>
      <x:c r="W30" s="66" t="n">
        <x:v>79.2</x:v>
      </x:c>
      <x:c r="X30" s="66" t="str">
        <x:v>Trading &amp; Markets</x:v>
      </x:c>
      <x:c r="Y30" s="66" t="n">
        <x:v>78.6</x:v>
      </x:c>
      <x:c r="Z30" s="66" t="str">
        <x:v>Prime parcel. Cost intentionally tied to both progression order and location quality.</x:v>
      </x:c>
    </x:row>
    <x:row r="31">
      <x:c r="A31" s="66" t="str">
        <x:v>P30</x:v>
      </x:c>
      <x:c r="B31" s="66" t="n">
        <x:v>25</x:v>
      </x:c>
      <x:c r="C31" s="66" t="n">
        <x:v>26</x:v>
      </x:c>
      <x:c r="D31" s="66" t="str">
        <x:v>Growing</x:v>
      </x:c>
      <x:c r="E31" s="66" t="str">
        <x:f>IF(I31&gt;='Pricing Assumptions'!$I$7,"Trophy",IF(I31&gt;='Pricing Assumptions'!$I$6,"Prime",IF(I31&gt;='Pricing Assumptions'!$I$5,"Premium",IF(I31&gt;='Pricing Assumptions'!$I$4,"Growth","Entry"))))</x:f>
        <x:v>Prime</x:v>
      </x:c>
      <x:c r="F31" s="90" t="n">
        <x:v>22000000</x:v>
      </x:c>
      <x:c r="G31" s="91" t="n">
        <x:f>'Pricing Assumptions'!$I$2+(I31/100)*'Pricing Assumptions'!$I$3</x:f>
        <x:v>1.1708</x:v>
      </x:c>
      <x:c r="H31" s="90" t="n">
        <x:f>ROUND(F31*G31,-2)</x:f>
        <x:v>25757600</x:v>
      </x:c>
      <x:c r="I31" s="92" t="n">
        <x:f>ROUND(L31*'Pricing Assumptions'!$L$2+M31*'Pricing Assumptions'!$L$3+N31*'Pricing Assumptions'!$L$4+O31*'Pricing Assumptions'!$L$5+P31*'Pricing Assumptions'!$L$6+Q31*'Pricing Assumptions'!$L$7+R31*'Pricing Assumptions'!$L$8+S31*'Pricing Assumptions'!$L$9+T31*'Pricing Assumptions'!$L$10,1)</x:f>
        <x:v>80.2</x:v>
      </x:c>
      <x:c r="J31" s="93" t="n">
        <x:f>IF(E31="Trophy",8%,IF(E31="Prime",6%,IF(E31="Premium",4%,IF(E31="Growth",2%,0%))))</x:f>
        <x:v>0.06</x:v>
      </x:c>
      <x:c r="K31" s="90" t="n">
        <x:f>IF(H31=0,5000,ROUND(H31*'Pricing Assumptions'!$I$8+I31*'Pricing Assumptions'!$I$9,-3))</x:f>
        <x:v>5232000</x:v>
      </x:c>
      <x:c r="L31" s="66" t="n">
        <x:v>88</x:v>
      </x:c>
      <x:c r="M31" s="66" t="n">
        <x:v>72</x:v>
      </x:c>
      <x:c r="N31" s="66" t="n">
        <x:v>68</x:v>
      </x:c>
      <x:c r="O31" s="66" t="n">
        <x:v>82</x:v>
      </x:c>
      <x:c r="P31" s="66" t="n">
        <x:v>92</x:v>
      </x:c>
      <x:c r="Q31" s="66" t="n">
        <x:v>74</x:v>
      </x:c>
      <x:c r="R31" s="66" t="n">
        <x:v>64</x:v>
      </x:c>
      <x:c r="S31" s="66" t="n">
        <x:v>70</x:v>
      </x:c>
      <x:c r="T31" s="66" t="n">
        <x:v>90</x:v>
      </x:c>
      <x:c r="U31" s="66" t="str">
        <x:v>Central-south west premium</x:v>
      </x:c>
      <x:c r="V31" s="66" t="str">
        <x:v>Institutional Finance</x:v>
      </x:c>
      <x:c r="W31" s="66" t="n">
        <x:v>81.7</x:v>
      </x:c>
      <x:c r="X31" s="66" t="str">
        <x:v>Trading &amp; Markets</x:v>
      </x:c>
      <x:c r="Y31" s="66" t="n">
        <x:v>81.4</x:v>
      </x:c>
      <x:c r="Z31" s="66" t="str">
        <x:v>Prime parcel. Cost intentionally tied to both progression order and location quality.</x:v>
      </x:c>
    </x:row>
    <x:row r="32">
      <x:c r="A32" s="66" t="str">
        <x:v>P31</x:v>
      </x:c>
      <x:c r="B32" s="66" t="n">
        <x:v>12</x:v>
      </x:c>
      <x:c r="C32" s="66" t="n">
        <x:v>27</x:v>
      </x:c>
      <x:c r="D32" s="66" t="str">
        <x:v>Growing</x:v>
      </x:c>
      <x:c r="E32" s="66" t="str">
        <x:f>IF(I32&gt;='Pricing Assumptions'!$I$7,"Trophy",IF(I32&gt;='Pricing Assumptions'!$I$6,"Prime",IF(I32&gt;='Pricing Assumptions'!$I$5,"Premium",IF(I32&gt;='Pricing Assumptions'!$I$4,"Growth","Entry"))))</x:f>
        <x:v>Prime</x:v>
      </x:c>
      <x:c r="F32" s="90" t="n">
        <x:v>26000000</x:v>
      </x:c>
      <x:c r="G32" s="91" t="n">
        <x:f>'Pricing Assumptions'!$I$2+(I32/100)*'Pricing Assumptions'!$I$3</x:f>
        <x:v>1.1720000000000002</x:v>
      </x:c>
      <x:c r="H32" s="90" t="n">
        <x:f>ROUND(F32*G32,-2)</x:f>
        <x:v>30472000</x:v>
      </x:c>
      <x:c r="I32" s="92" t="n">
        <x:f>ROUND(L32*'Pricing Assumptions'!$L$2+M32*'Pricing Assumptions'!$L$3+N32*'Pricing Assumptions'!$L$4+O32*'Pricing Assumptions'!$L$5+P32*'Pricing Assumptions'!$L$6+Q32*'Pricing Assumptions'!$L$7+R32*'Pricing Assumptions'!$L$8+S32*'Pricing Assumptions'!$L$9+T32*'Pricing Assumptions'!$L$10,1)</x:f>
        <x:v>80.5</x:v>
      </x:c>
      <x:c r="J32" s="93" t="n">
        <x:f>IF(E32="Trophy",8%,IF(E32="Prime",6%,IF(E32="Premium",4%,IF(E32="Growth",2%,0%))))</x:f>
        <x:v>0.06</x:v>
      </x:c>
      <x:c r="K32" s="90" t="n">
        <x:f>IF(H32=0,5000,ROUND(H32*'Pricing Assumptions'!$I$8+I32*'Pricing Assumptions'!$I$9,-3))</x:f>
        <x:v>6175000</x:v>
      </x:c>
      <x:c r="L32" s="66" t="n">
        <x:v>86</x:v>
      </x:c>
      <x:c r="M32" s="66" t="n">
        <x:v>74</x:v>
      </x:c>
      <x:c r="N32" s="66" t="n">
        <x:v>76</x:v>
      </x:c>
      <x:c r="O32" s="66" t="n">
        <x:v>82</x:v>
      </x:c>
      <x:c r="P32" s="66" t="n">
        <x:v>92</x:v>
      </x:c>
      <x:c r="Q32" s="66" t="n">
        <x:v>72</x:v>
      </x:c>
      <x:c r="R32" s="66" t="n">
        <x:v>62</x:v>
      </x:c>
      <x:c r="S32" s="66" t="n">
        <x:v>58</x:v>
      </x:c>
      <x:c r="T32" s="66" t="n">
        <x:v>95</x:v>
      </x:c>
      <x:c r="U32" s="66" t="str">
        <x:v>Central-east commercial core</x:v>
      </x:c>
      <x:c r="V32" s="66" t="str">
        <x:v>Institutional Finance</x:v>
      </x:c>
      <x:c r="W32" s="66" t="n">
        <x:v>81.4</x:v>
      </x:c>
      <x:c r="X32" s="66" t="str">
        <x:v>Trading &amp; Markets</x:v>
      </x:c>
      <x:c r="Y32" s="66" t="n">
        <x:v>80.9</x:v>
      </x:c>
      <x:c r="Z32" s="66" t="str">
        <x:v>Prime parcel. Cost intentionally tied to both progression order and location quality. Late-Growing trophy land; should require deliberate saving versus building upgrades.</x:v>
      </x:c>
    </x:row>
    <x:row r="33">
      <x:c r="A33" s="66" t="str">
        <x:v>P32</x:v>
      </x:c>
      <x:c r="B33" s="66" t="n">
        <x:v>19</x:v>
      </x:c>
      <x:c r="C33" s="66" t="n">
        <x:v>28</x:v>
      </x:c>
      <x:c r="D33" s="66" t="str">
        <x:v>Growing</x:v>
      </x:c>
      <x:c r="E33" s="66" t="str">
        <x:f>IF(I33&gt;='Pricing Assumptions'!$I$7,"Trophy",IF(I33&gt;='Pricing Assumptions'!$I$6,"Prime",IF(I33&gt;='Pricing Assumptions'!$I$5,"Premium",IF(I33&gt;='Pricing Assumptions'!$I$4,"Growth","Entry"))))</x:f>
        <x:v>Prime</x:v>
      </x:c>
      <x:c r="F33" s="90" t="n">
        <x:v>30000000</x:v>
      </x:c>
      <x:c r="G33" s="91" t="n">
        <x:f>'Pricing Assumptions'!$I$2+(I33/100)*'Pricing Assumptions'!$I$3</x:f>
        <x:v>1.1776</x:v>
      </x:c>
      <x:c r="H33" s="90" t="n">
        <x:f>ROUND(F33*G33,-2)</x:f>
        <x:v>35328000</x:v>
      </x:c>
      <x:c r="I33" s="92" t="n">
        <x:f>ROUND(L33*'Pricing Assumptions'!$L$2+M33*'Pricing Assumptions'!$L$3+N33*'Pricing Assumptions'!$L$4+O33*'Pricing Assumptions'!$L$5+P33*'Pricing Assumptions'!$L$6+Q33*'Pricing Assumptions'!$L$7+R33*'Pricing Assumptions'!$L$8+S33*'Pricing Assumptions'!$L$9+T33*'Pricing Assumptions'!$L$10,1)</x:f>
        <x:v>81.9</x:v>
      </x:c>
      <x:c r="J33" s="93" t="n">
        <x:f>IF(E33="Trophy",8%,IF(E33="Prime",6%,IF(E33="Premium",4%,IF(E33="Growth",2%,0%))))</x:f>
        <x:v>0.06</x:v>
      </x:c>
      <x:c r="K33" s="90" t="n">
        <x:f>IF(H33=0,5000,ROUND(H33*'Pricing Assumptions'!$I$8+I33*'Pricing Assumptions'!$I$9,-3))</x:f>
        <x:v>7148000</x:v>
      </x:c>
      <x:c r="L33" s="66" t="n">
        <x:v>90</x:v>
      </x:c>
      <x:c r="M33" s="66" t="n">
        <x:v>74</x:v>
      </x:c>
      <x:c r="N33" s="66" t="n">
        <x:v>70</x:v>
      </x:c>
      <x:c r="O33" s="66" t="n">
        <x:v>84</x:v>
      </x:c>
      <x:c r="P33" s="66" t="n">
        <x:v>94</x:v>
      </x:c>
      <x:c r="Q33" s="66" t="n">
        <x:v>76</x:v>
      </x:c>
      <x:c r="R33" s="66" t="n">
        <x:v>64</x:v>
      </x:c>
      <x:c r="S33" s="66" t="n">
        <x:v>66</x:v>
      </x:c>
      <x:c r="T33" s="66" t="n">
        <x:v>95</x:v>
      </x:c>
      <x:c r="U33" s="66" t="str">
        <x:v>Central landmark south-west</x:v>
      </x:c>
      <x:c r="V33" s="66" t="str">
        <x:v>Institutional Finance</x:v>
      </x:c>
      <x:c r="W33" s="66" t="n">
        <x:v>83.3</x:v>
      </x:c>
      <x:c r="X33" s="66" t="str">
        <x:v>Trading &amp; Markets</x:v>
      </x:c>
      <x:c r="Y33" s="66" t="n">
        <x:v>83.1</x:v>
      </x:c>
      <x:c r="Z33" s="66" t="str">
        <x:v>Prime parcel. Cost intentionally tied to both progression order and location quality. Late-Growing trophy land; should require deliberate saving versus building upgrades.</x:v>
      </x:c>
    </x:row>
    <x:row r="34">
      <x:c r="A34" s="66" t="str">
        <x:v>P33</x:v>
      </x:c>
      <x:c r="B34" s="66" t="n">
        <x:v>14</x:v>
      </x:c>
      <x:c r="C34" s="66" t="n">
        <x:v>29</x:v>
      </x:c>
      <x:c r="D34" s="66" t="str">
        <x:v>Growing</x:v>
      </x:c>
      <x:c r="E34" s="66" t="str">
        <x:f>IF(I34&gt;='Pricing Assumptions'!$I$7,"Trophy",IF(I34&gt;='Pricing Assumptions'!$I$6,"Prime",IF(I34&gt;='Pricing Assumptions'!$I$5,"Premium",IF(I34&gt;='Pricing Assumptions'!$I$4,"Growth","Entry"))))</x:f>
        <x:v>Prime</x:v>
      </x:c>
      <x:c r="F34" s="90" t="n">
        <x:v>35000000</x:v>
      </x:c>
      <x:c r="G34" s="91" t="n">
        <x:f>'Pricing Assumptions'!$I$2+(I34/100)*'Pricing Assumptions'!$I$3</x:f>
        <x:v>1.1848</x:v>
      </x:c>
      <x:c r="H34" s="90" t="n">
        <x:f>ROUND(F34*G34,-2)</x:f>
        <x:v>41468000</x:v>
      </x:c>
      <x:c r="I34" s="92" t="n">
        <x:f>ROUND(L34*'Pricing Assumptions'!$L$2+M34*'Pricing Assumptions'!$L$3+N34*'Pricing Assumptions'!$L$4+O34*'Pricing Assumptions'!$L$5+P34*'Pricing Assumptions'!$L$6+Q34*'Pricing Assumptions'!$L$7+R34*'Pricing Assumptions'!$L$8+S34*'Pricing Assumptions'!$L$9+T34*'Pricing Assumptions'!$L$10,1)</x:f>
        <x:v>83.7</x:v>
      </x:c>
      <x:c r="J34" s="93" t="n">
        <x:f>IF(E34="Trophy",8%,IF(E34="Prime",6%,IF(E34="Premium",4%,IF(E34="Growth",2%,0%))))</x:f>
        <x:v>0.06</x:v>
      </x:c>
      <x:c r="K34" s="90" t="n">
        <x:f>IF(H34=0,5000,ROUND(H34*'Pricing Assumptions'!$I$8+I34*'Pricing Assumptions'!$I$9,-3))</x:f>
        <x:v>8377000</x:v>
      </x:c>
      <x:c r="L34" s="66" t="n">
        <x:v>92</x:v>
      </x:c>
      <x:c r="M34" s="66" t="n">
        <x:v>76</x:v>
      </x:c>
      <x:c r="N34" s="66" t="n">
        <x:v>72</x:v>
      </x:c>
      <x:c r="O34" s="66" t="n">
        <x:v>86</x:v>
      </x:c>
      <x:c r="P34" s="66" t="n">
        <x:v>96</x:v>
      </x:c>
      <x:c r="Q34" s="66" t="n">
        <x:v>78</x:v>
      </x:c>
      <x:c r="R34" s="66" t="n">
        <x:v>66</x:v>
      </x:c>
      <x:c r="S34" s="66" t="n">
        <x:v>60</x:v>
      </x:c>
      <x:c r="T34" s="66" t="n">
        <x:v>100</x:v>
      </x:c>
      <x:c r="U34" s="66" t="str">
        <x:v>Central landmark west</x:v>
      </x:c>
      <x:c r="V34" s="66" t="str">
        <x:v>Institutional Finance</x:v>
      </x:c>
      <x:c r="W34" s="66" t="n">
        <x:v>84.9</x:v>
      </x:c>
      <x:c r="X34" s="66" t="str">
        <x:v>Trading &amp; Markets</x:v>
      </x:c>
      <x:c r="Y34" s="66" t="n">
        <x:v>84.7</x:v>
      </x:c>
      <x:c r="Z34" s="66" t="str">
        <x:v>Prime parcel. Cost intentionally tied to both progression order and location quality. Late-Growing trophy land; should require deliberate saving versus building upgrades.</x:v>
      </x:c>
    </x:row>
    <x:row r="35">
      <x:c r="A35" s="66" t="str">
        <x:v>P34</x:v>
      </x:c>
      <x:c r="B35" s="66" t="n">
        <x:v>20</x:v>
      </x:c>
      <x:c r="C35" s="66" t="n">
        <x:v>29</x:v>
      </x:c>
      <x:c r="D35" s="66" t="str">
        <x:v>Growing</x:v>
      </x:c>
      <x:c r="E35" s="66" t="str">
        <x:f>IF(I35&gt;='Pricing Assumptions'!$I$7,"Trophy",IF(I35&gt;='Pricing Assumptions'!$I$6,"Prime",IF(I35&gt;='Pricing Assumptions'!$I$5,"Premium",IF(I35&gt;='Pricing Assumptions'!$I$4,"Growth","Entry"))))</x:f>
        <x:v>Prime</x:v>
      </x:c>
      <x:c r="F35" s="90" t="n">
        <x:v>42000000</x:v>
      </x:c>
      <x:c r="G35" s="91" t="n">
        <x:f>'Pricing Assumptions'!$I$2+(I35/100)*'Pricing Assumptions'!$I$3</x:f>
        <x:v>1.1852</x:v>
      </x:c>
      <x:c r="H35" s="90" t="n">
        <x:f>ROUND(F35*G35,-2)</x:f>
        <x:v>49778400</x:v>
      </x:c>
      <x:c r="I35" s="92" t="n">
        <x:f>ROUND(L35*'Pricing Assumptions'!$L$2+M35*'Pricing Assumptions'!$L$3+N35*'Pricing Assumptions'!$L$4+O35*'Pricing Assumptions'!$L$5+P35*'Pricing Assumptions'!$L$6+Q35*'Pricing Assumptions'!$L$7+R35*'Pricing Assumptions'!$L$8+S35*'Pricing Assumptions'!$L$9+T35*'Pricing Assumptions'!$L$10,1)</x:f>
        <x:v>83.8</x:v>
      </x:c>
      <x:c r="J35" s="93" t="n">
        <x:f>IF(E35="Trophy",8%,IF(E35="Prime",6%,IF(E35="Premium",4%,IF(E35="Growth",2%,0%))))</x:f>
        <x:v>0.06</x:v>
      </x:c>
      <x:c r="K35" s="90" t="n">
        <x:f>IF(H35=0,5000,ROUND(H35*'Pricing Assumptions'!$I$8+I35*'Pricing Assumptions'!$I$9,-3))</x:f>
        <x:v>10039000</x:v>
      </x:c>
      <x:c r="L35" s="66" t="n">
        <x:v>92</x:v>
      </x:c>
      <x:c r="M35" s="66" t="n">
        <x:v>76</x:v>
      </x:c>
      <x:c r="N35" s="66" t="n">
        <x:v>74</x:v>
      </x:c>
      <x:c r="O35" s="66" t="n">
        <x:v>86</x:v>
      </x:c>
      <x:c r="P35" s="66" t="n">
        <x:v>96</x:v>
      </x:c>
      <x:c r="Q35" s="66" t="n">
        <x:v>78</x:v>
      </x:c>
      <x:c r="R35" s="66" t="n">
        <x:v>66</x:v>
      </x:c>
      <x:c r="S35" s="66" t="n">
        <x:v>62</x:v>
      </x:c>
      <x:c r="T35" s="66" t="n">
        <x:v>95</x:v>
      </x:c>
      <x:c r="U35" s="66" t="str">
        <x:v>Central landmark south-east</x:v>
      </x:c>
      <x:c r="V35" s="66" t="str">
        <x:v>Institutional Finance</x:v>
      </x:c>
      <x:c r="W35" s="66" t="n">
        <x:v>85.2</x:v>
      </x:c>
      <x:c r="X35" s="66" t="str">
        <x:v>Trading &amp; Markets</x:v>
      </x:c>
      <x:c r="Y35" s="66" t="n">
        <x:v>85</x:v>
      </x:c>
      <x:c r="Z35" s="66" t="str">
        <x:v>Prime parcel. Cost intentionally tied to both progression order and location quality. Late-Growing trophy land; should require deliberate saving versus building upgrades.</x:v>
      </x:c>
    </x:row>
    <x:row r="36">
      <x:c r="A36" s="66" t="str">
        <x:v>P35</x:v>
      </x:c>
      <x:c r="B36" s="66" t="n">
        <x:v>16</x:v>
      </x:c>
      <x:c r="C36" s="66" t="n">
        <x:v>30</x:v>
      </x:c>
      <x:c r="D36" s="66" t="str">
        <x:v>Growing</x:v>
      </x:c>
      <x:c r="E36" s="66" t="str">
        <x:f>IF(I36&gt;='Pricing Assumptions'!$I$7,"Trophy",IF(I36&gt;='Pricing Assumptions'!$I$6,"Prime",IF(I36&gt;='Pricing Assumptions'!$I$5,"Premium",IF(I36&gt;='Pricing Assumptions'!$I$4,"Growth","Entry"))))</x:f>
        <x:v>Trophy</x:v>
      </x:c>
      <x:c r="F36" s="90" t="n">
        <x:v>50000000</x:v>
      </x:c>
      <x:c r="G36" s="91" t="n">
        <x:f>'Pricing Assumptions'!$I$2+(I36/100)*'Pricing Assumptions'!$I$3</x:f>
        <x:v>1.194</x:v>
      </x:c>
      <x:c r="H36" s="90" t="n">
        <x:f>ROUND(F36*G36,-2)</x:f>
        <x:v>59700000</x:v>
      </x:c>
      <x:c r="I36" s="92" t="n">
        <x:f>ROUND(L36*'Pricing Assumptions'!$L$2+M36*'Pricing Assumptions'!$L$3+N36*'Pricing Assumptions'!$L$4+O36*'Pricing Assumptions'!$L$5+P36*'Pricing Assumptions'!$L$6+Q36*'Pricing Assumptions'!$L$7+R36*'Pricing Assumptions'!$L$8+S36*'Pricing Assumptions'!$L$9+T36*'Pricing Assumptions'!$L$10,1)</x:f>
        <x:v>86</x:v>
      </x:c>
      <x:c r="J36" s="93" t="n">
        <x:f>IF(E36="Trophy",8%,IF(E36="Prime",6%,IF(E36="Premium",4%,IF(E36="Growth",2%,0%))))</x:f>
        <x:v>0.08</x:v>
      </x:c>
      <x:c r="K36" s="90" t="n">
        <x:f>IF(H36=0,5000,ROUND(H36*'Pricing Assumptions'!$I$8+I36*'Pricing Assumptions'!$I$9,-3))</x:f>
        <x:v>12026000</x:v>
      </x:c>
      <x:c r="L36" s="66" t="n">
        <x:v>95</x:v>
      </x:c>
      <x:c r="M36" s="66" t="n">
        <x:v>78</x:v>
      </x:c>
      <x:c r="N36" s="66" t="n">
        <x:v>74</x:v>
      </x:c>
      <x:c r="O36" s="66" t="n">
        <x:v>90</x:v>
      </x:c>
      <x:c r="P36" s="66" t="n">
        <x:v>98</x:v>
      </x:c>
      <x:c r="Q36" s="66" t="n">
        <x:v>80</x:v>
      </x:c>
      <x:c r="R36" s="66" t="n">
        <x:v>68</x:v>
      </x:c>
      <x:c r="S36" s="66" t="n">
        <x:v>60</x:v>
      </x:c>
      <x:c r="T36" s="66" t="n">
        <x:v>100</x:v>
      </x:c>
      <x:c r="U36" s="66" t="str">
        <x:v>Central landmark east</x:v>
      </x:c>
      <x:c r="V36" s="66" t="str">
        <x:v>Institutional Finance</x:v>
      </x:c>
      <x:c r="W36" s="66" t="n">
        <x:v>87.3</x:v>
      </x:c>
      <x:c r="X36" s="66" t="str">
        <x:v>Trading &amp; Markets</x:v>
      </x:c>
      <x:c r="Y36" s="66" t="n">
        <x:v>87</x:v>
      </x:c>
      <x:c r="Z36" s="66" t="str">
        <x:v>Trophy parcel. Cost intentionally tied to both progression order and location quality. Late-Growing trophy land; should require deliberate saving versus building upgrades.</x:v>
      </x:c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</x:sheetData>
  <x:conditionalFormatting sqref="L2:T36">
    <x:cfRule type="colorScale" priority="1">
      <x:colorScale>
        <x:cfvo type="min"/>
        <x:cfvo type="percentile" val="50"/>
        <x:cfvo type="max"/>
        <x:color rgb="FFFDEDEC"/>
        <x:color rgb="FFFFF4CC"/>
        <x:color rgb="FFD9F2E6"/>
      </x:colorScale>
    </x:cfRule>
  </x:conditionalFormatting>
  <x:conditionalFormatting sqref="H2:H3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{7D78E016-5CC1-30A0-7E0A-2E051502E2D6}</x14:id>
        </x:ext>
      </x:extLst>
    </x:cfRule>
  </x:conditionalFormatting>
  <x:conditionalFormatting sqref="I2:I36">
    <x:cfRule type="colorScale" priority="3">
      <x:colorScale>
        <x:cfvo type="min"/>
        <x:cfvo type="percentile" val="50"/>
        <x:cfvo type="max"/>
        <x:color rgb="FFFDEDEC"/>
        <x:color rgb="FFFFF4CC"/>
        <x:color rgb="FFD9F2E6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D78E016-5CC1-30A0-7E0A-2E051502E2D6}">
            <x14:dataBar gradient="1">
              <x14:cfvo type="min"/>
              <x14:cfvo type="max"/>
              <x14:fillColor rgb="FFA02B93"/>
            </x14:dataBar>
          </x14:cfRule>
          <xm:sqref>H2:H36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30" hidden="0" customWidth="1"/>
    <x:col min="4" max="4" width="28" hidden="0" customWidth="1"/>
    <x:col min="5" max="5" width="34" hidden="0" customWidth="1"/>
    <x:col min="6" max="6" width="48" hidden="0" customWidth="1"/>
  </x:cols>
  <x:sheetData>
    <x:row r="1">
      <x:c r="A1" s="80" t="str">
        <x:v>Level</x:v>
      </x:c>
      <x:c r="B1" s="80" t="str">
        <x:v>Rank</x:v>
      </x:c>
      <x:c r="C1" s="80" t="str">
        <x:v>Building</x:v>
      </x:c>
      <x:c r="D1" s="80" t="str">
        <x:v>Economic Category</x:v>
      </x:c>
      <x:c r="E1" s="80" t="str">
        <x:v>Land Attributes Favored</x:v>
      </x:c>
      <x:c r="F1" s="80" t="str">
        <x:v>Placement Intent</x:v>
      </x:c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6" t="n">
        <x:v>1</x:v>
      </x:c>
      <x:c r="B2" s="66" t="str">
        <x:v>Humble</x:v>
      </x:c>
      <x:c r="C2" s="66" t="str">
        <x:v>Cash Kiosk</x:v>
      </x:c>
      <x:c r="D2" s="66" t="str">
        <x:v>Retail Finance</x:v>
      </x:c>
      <x:c r="E2" s="66" t="str">
        <x:v>Footfall, Commerce, Road</x:v>
      </x:c>
      <x:c r="F2" s="66" t="str">
        <x:v>Humble placement; low-cost parcels remain viable.</x:v>
      </x:c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6" t="n">
        <x:v>2</x:v>
      </x:c>
      <x:c r="B3" s="66" t="str">
        <x:v>Humble</x:v>
      </x:c>
      <x:c r="C3" s="66" t="str">
        <x:v>Trading Booth</x:v>
      </x:c>
      <x:c r="D3" s="66" t="str">
        <x:v>Trading &amp; Markets</x:v>
      </x:c>
      <x:c r="E3" s="66" t="str">
        <x:v>Commerce, Capital, Data/Talent</x:v>
      </x:c>
      <x:c r="F3" s="66" t="str">
        <x:v>Humble placement; low-cost parcels remain viable.</x:v>
      </x:c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6" t="n">
        <x:v>3</x:v>
      </x:c>
      <x:c r="B4" s="66" t="str">
        <x:v>Humble</x:v>
      </x:c>
      <x:c r="C4" s="66" t="str">
        <x:v>Savings Stand</x:v>
      </x:c>
      <x:c r="D4" s="66" t="str">
        <x:v>Banking &amp; Savings</x:v>
      </x:c>
      <x:c r="E4" s="66" t="str">
        <x:v>Commerce, Capital, Road</x:v>
      </x:c>
      <x:c r="F4" s="66" t="str">
        <x:v>Humble placement; low-cost parcels remain viable.</x:v>
      </x:c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6" t="n">
        <x:v>4</x:v>
      </x:c>
      <x:c r="B5" s="66" t="str">
        <x:v>Humble</x:v>
      </x:c>
      <x:c r="C5" s="66" t="str">
        <x:v>Mini Brokerage Desk</x:v>
      </x:c>
      <x:c r="D5" s="66" t="str">
        <x:v>Brokerage</x:v>
      </x:c>
      <x:c r="E5" s="66" t="str">
        <x:v>Commerce, Capital, Footfall</x:v>
      </x:c>
      <x:c r="F5" s="66" t="str">
        <x:v>Humble placement; low-cost parcels remain viable.</x:v>
      </x:c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6" t="n">
        <x:v>5</x:v>
      </x:c>
      <x:c r="B6" s="66" t="str">
        <x:v>Humble</x:v>
      </x:c>
      <x:c r="C6" s="66" t="str">
        <x:v>Market Info Kiosk</x:v>
      </x:c>
      <x:c r="D6" s="66" t="str">
        <x:v>Research, Data &amp; Fintech</x:v>
      </x:c>
      <x:c r="E6" s="66" t="str">
        <x:v>Data/Talent, Commerce, Road</x:v>
      </x:c>
      <x:c r="F6" s="66" t="str">
        <x:v>Humble placement; low-cost parcels remain viable.</x:v>
      </x:c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6" t="n">
        <x:v>6</x:v>
      </x:c>
      <x:c r="B7" s="66" t="str">
        <x:v>Humble</x:v>
      </x:c>
      <x:c r="C7" s="66" t="str">
        <x:v>Micro Loan Booth</x:v>
      </x:c>
      <x:c r="D7" s="66" t="str">
        <x:v>Lending &amp; Credit</x:v>
      </x:c>
      <x:c r="E7" s="66" t="str">
        <x:v>Commerce, Road, Footfall</x:v>
      </x:c>
      <x:c r="F7" s="66" t="str">
        <x:v>Humble placement; low-cost parcels remain viable.</x:v>
      </x:c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6" t="n">
        <x:v>7</x:v>
      </x:c>
      <x:c r="B8" s="66" t="str">
        <x:v>Humble</x:v>
      </x:c>
      <x:c r="C8" s="66" t="str">
        <x:v>Currency Exchange Stand</x:v>
      </x:c>
      <x:c r="D8" s="66" t="str">
        <x:v>Trading &amp; Markets</x:v>
      </x:c>
      <x:c r="E8" s="66" t="str">
        <x:v>Commerce, Capital, Data/Talent</x:v>
      </x:c>
      <x:c r="F8" s="66" t="str">
        <x:v>Humble placement; low-cost parcels remain viable.</x:v>
      </x:c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6" t="n">
        <x:v>8</x:v>
      </x:c>
      <x:c r="B9" s="66" t="str">
        <x:v>Humble</x:v>
      </x:c>
      <x:c r="C9" s="66" t="str">
        <x:v>Insurance Desk</x:v>
      </x:c>
      <x:c r="D9" s="66" t="str">
        <x:v>Insurance &amp; Risk</x:v>
      </x:c>
      <x:c r="E9" s="66" t="str">
        <x:v>Road, Commerce, Prestige</x:v>
      </x:c>
      <x:c r="F9" s="66" t="str">
        <x:v>Humble placement; low-cost parcels remain viable.</x:v>
      </x:c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6" t="n">
        <x:v>9</x:v>
      </x:c>
      <x:c r="B10" s="66" t="str">
        <x:v>Humble</x:v>
      </x:c>
      <x:c r="C10" s="66" t="str">
        <x:v>Investment Advice Booth</x:v>
      </x:c>
      <x:c r="D10" s="66" t="str">
        <x:v>Wealth &amp; Advisory</x:v>
      </x:c>
      <x:c r="E10" s="66" t="str">
        <x:v>Prestige, Capital, Amenity</x:v>
      </x:c>
      <x:c r="F10" s="66" t="str">
        <x:v>Humble placement; low-cost parcels remain viable.</x:v>
      </x:c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6" t="n">
        <x:v>10</x:v>
      </x:c>
      <x:c r="B11" s="66" t="str">
        <x:v>Humble</x:v>
      </x:c>
      <x:c r="C11" s="66" t="str">
        <x:v>Secure Cash Locker</x:v>
      </x:c>
      <x:c r="D11" s="66" t="str">
        <x:v>Treasury, Vault &amp; Custody</x:v>
      </x:c>
      <x:c r="E11" s="66" t="str">
        <x:v>Security, Capital, Road</x:v>
      </x:c>
      <x:c r="F11" s="66" t="str">
        <x:v>Humble placement; low-cost parcels remain viable.</x:v>
      </x:c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6" t="n">
        <x:v>11</x:v>
      </x:c>
      <x:c r="B12" s="66" t="str">
        <x:v>Starter</x:v>
      </x:c>
      <x:c r="C12" s="66" t="str">
        <x:v>Neighborhood Finance Shop</x:v>
      </x:c>
      <x:c r="D12" s="66" t="str">
        <x:v>Retail Finance</x:v>
      </x:c>
      <x:c r="E12" s="66" t="str">
        <x:v>Footfall, Commerce, Road</x:v>
      </x:c>
      <x:c r="F12" s="66" t="str">
        <x:v>Starter business; benefits from first meaningful location choices.</x:v>
      </x:c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6" t="n">
        <x:v>12</x:v>
      </x:c>
      <x:c r="B13" s="66" t="str">
        <x:v>Starter</x:v>
      </x:c>
      <x:c r="C13" s="66" t="str">
        <x:v>Small Brokerage Office</x:v>
      </x:c>
      <x:c r="D13" s="66" t="str">
        <x:v>Brokerage</x:v>
      </x:c>
      <x:c r="E13" s="66" t="str">
        <x:v>Commerce, Capital, Footfall</x:v>
      </x:c>
      <x:c r="F13" s="66" t="str">
        <x:v>Starter business; benefits from first meaningful location choices.</x:v>
      </x:c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6" t="n">
        <x:v>13</x:v>
      </x:c>
      <x:c r="B14" s="66" t="str">
        <x:v>Starter</x:v>
      </x:c>
      <x:c r="C14" s="66" t="str">
        <x:v>Local Savings Office</x:v>
      </x:c>
      <x:c r="D14" s="66" t="str">
        <x:v>Banking &amp; Savings</x:v>
      </x:c>
      <x:c r="E14" s="66" t="str">
        <x:v>Commerce, Capital, Road</x:v>
      </x:c>
      <x:c r="F14" s="66" t="str">
        <x:v>Starter business; benefits from first meaningful location choices.</x:v>
      </x:c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6" t="n">
        <x:v>14</x:v>
      </x:c>
      <x:c r="B15" s="66" t="str">
        <x:v>Starter</x:v>
      </x:c>
      <x:c r="C15" s="66" t="str">
        <x:v>Microfinance Office</x:v>
      </x:c>
      <x:c r="D15" s="66" t="str">
        <x:v>Lending &amp; Credit</x:v>
      </x:c>
      <x:c r="E15" s="66" t="str">
        <x:v>Commerce, Road, Footfall</x:v>
      </x:c>
      <x:c r="F15" s="66" t="str">
        <x:v>Starter business; benefits from first meaningful location choices.</x:v>
      </x:c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6" t="n">
        <x:v>15</x:v>
      </x:c>
      <x:c r="B16" s="66" t="str">
        <x:v>Starter</x:v>
      </x:c>
      <x:c r="C16" s="66" t="str">
        <x:v>Trading Room</x:v>
      </x:c>
      <x:c r="D16" s="66" t="str">
        <x:v>Trading &amp; Markets</x:v>
      </x:c>
      <x:c r="E16" s="66" t="str">
        <x:v>Commerce, Capital, Data/Talent</x:v>
      </x:c>
      <x:c r="F16" s="66" t="str">
        <x:v>Starter business; benefits from first meaningful location choices.</x:v>
      </x:c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6" t="n">
        <x:v>16</x:v>
      </x:c>
      <x:c r="B17" s="66" t="str">
        <x:v>Starter</x:v>
      </x:c>
      <x:c r="C17" s="66" t="str">
        <x:v>Small Research Office</x:v>
      </x:c>
      <x:c r="D17" s="66" t="str">
        <x:v>Research, Data &amp; Fintech</x:v>
      </x:c>
      <x:c r="E17" s="66" t="str">
        <x:v>Data/Talent, Commerce, Road</x:v>
      </x:c>
      <x:c r="F17" s="66" t="str">
        <x:v>Starter business; benefits from first meaningful location choices.</x:v>
      </x:c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6" t="n">
        <x:v>17</x:v>
      </x:c>
      <x:c r="B18" s="66" t="str">
        <x:v>Starter</x:v>
      </x:c>
      <x:c r="C18" s="66" t="str">
        <x:v>Local Insurance Office</x:v>
      </x:c>
      <x:c r="D18" s="66" t="str">
        <x:v>Insurance &amp; Risk</x:v>
      </x:c>
      <x:c r="E18" s="66" t="str">
        <x:v>Road, Commerce, Prestige</x:v>
      </x:c>
      <x:c r="F18" s="66" t="str">
        <x:v>Starter business; benefits from first meaningful location choices.</x:v>
      </x:c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6" t="n">
        <x:v>18</x:v>
      </x:c>
      <x:c r="B19" s="66" t="str">
        <x:v>Starter</x:v>
      </x:c>
      <x:c r="C19" s="66" t="str">
        <x:v>Treasury Office</x:v>
      </x:c>
      <x:c r="D19" s="66" t="str">
        <x:v>Treasury, Vault &amp; Custody</x:v>
      </x:c>
      <x:c r="E19" s="66" t="str">
        <x:v>Security, Capital, Road</x:v>
      </x:c>
      <x:c r="F19" s="66" t="str">
        <x:v>Starter business; benefits from first meaningful location choices.</x:v>
      </x:c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6" t="n">
        <x:v>19</x:v>
      </x:c>
      <x:c r="B20" s="66" t="str">
        <x:v>Starter</x:v>
      </x:c>
      <x:c r="C20" s="66" t="str">
        <x:v>Small Fund Office</x:v>
      </x:c>
      <x:c r="D20" s="66" t="str">
        <x:v>Funds &amp; Asset Management</x:v>
      </x:c>
      <x:c r="E20" s="66" t="str">
        <x:v>Prestige, Capital, Data/Talent</x:v>
      </x:c>
      <x:c r="F20" s="66" t="str">
        <x:v>Starter business; benefits from first meaningful location choices.</x:v>
      </x:c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6" t="n">
        <x:v>20</x:v>
      </x:c>
      <x:c r="B21" s="66" t="str">
        <x:v>Starter</x:v>
      </x:c>
      <x:c r="C21" s="66" t="str">
        <x:v>Financial Services Hub</x:v>
      </x:c>
      <x:c r="D21" s="66" t="str">
        <x:v>Retail Finance</x:v>
      </x:c>
      <x:c r="E21" s="66" t="str">
        <x:v>Footfall, Commerce, Road</x:v>
      </x:c>
      <x:c r="F21" s="66" t="str">
        <x:v>Starter business; benefits from first meaningful location choices.</x:v>
      </x:c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6" t="n">
        <x:v>21</x:v>
      </x:c>
      <x:c r="B22" s="66" t="str">
        <x:v>Growing</x:v>
      </x:c>
      <x:c r="C22" s="66" t="str">
        <x:v>Community Bank Branch</x:v>
      </x:c>
      <x:c r="D22" s="66" t="str">
        <x:v>Banking &amp; Savings</x:v>
      </x:c>
      <x:c r="E22" s="66" t="str">
        <x:v>Commerce, Capital, Road</x:v>
      </x:c>
      <x:c r="F22" s="66" t="str">
        <x:v>Growing-stage building; premium land begins to materially matter.</x:v>
      </x:c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6" t="n">
        <x:v>22</x:v>
      </x:c>
      <x:c r="B23" s="66" t="str">
        <x:v>Growing</x:v>
      </x:c>
      <x:c r="C23" s="66" t="str">
        <x:v>Brokerage House</x:v>
      </x:c>
      <x:c r="D23" s="66" t="str">
        <x:v>Brokerage</x:v>
      </x:c>
      <x:c r="E23" s="66" t="str">
        <x:v>Commerce, Capital, Footfall</x:v>
      </x:c>
      <x:c r="F23" s="66" t="str">
        <x:v>Growing-stage building; premium land begins to materially matter.</x:v>
      </x:c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6" t="n">
        <x:v>23</x:v>
      </x:c>
      <x:c r="B24" s="66" t="str">
        <x:v>Growing</x:v>
      </x:c>
      <x:c r="C24" s="66" t="str">
        <x:v>Investment Advisory Firm</x:v>
      </x:c>
      <x:c r="D24" s="66" t="str">
        <x:v>Wealth &amp; Advisory</x:v>
      </x:c>
      <x:c r="E24" s="66" t="str">
        <x:v>Prestige, Capital, Amenity</x:v>
      </x:c>
      <x:c r="F24" s="66" t="str">
        <x:v>Growing-stage building; premium land begins to materially matter.</x:v>
      </x:c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6" t="n">
        <x:v>24</x:v>
      </x:c>
      <x:c r="B25" s="66" t="str">
        <x:v>Growing</x:v>
      </x:c>
      <x:c r="C25" s="66" t="str">
        <x:v>Asset Management Office</x:v>
      </x:c>
      <x:c r="D25" s="66" t="str">
        <x:v>Funds &amp; Asset Management</x:v>
      </x:c>
      <x:c r="E25" s="66" t="str">
        <x:v>Prestige, Capital, Data/Talent</x:v>
      </x:c>
      <x:c r="F25" s="66" t="str">
        <x:v>Growing-stage building; premium land begins to materially matter.</x:v>
      </x:c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6" t="n">
        <x:v>25</x:v>
      </x:c>
      <x:c r="B26" s="66" t="str">
        <x:v>Growing</x:v>
      </x:c>
      <x:c r="C26" s="66" t="str">
        <x:v>Market Research Center</x:v>
      </x:c>
      <x:c r="D26" s="66" t="str">
        <x:v>Research, Data &amp; Fintech</x:v>
      </x:c>
      <x:c r="E26" s="66" t="str">
        <x:v>Data/Talent, Commerce, Road</x:v>
      </x:c>
      <x:c r="F26" s="66" t="str">
        <x:v>Growing-stage building; premium land begins to materially matter.</x:v>
      </x:c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6" t="n">
        <x:v>26</x:v>
      </x:c>
      <x:c r="B27" s="66" t="str">
        <x:v>Growing</x:v>
      </x:c>
      <x:c r="C27" s="66" t="str">
        <x:v>Lending Center</x:v>
      </x:c>
      <x:c r="D27" s="66" t="str">
        <x:v>Lending &amp; Credit</x:v>
      </x:c>
      <x:c r="E27" s="66" t="str">
        <x:v>Commerce, Road, Footfall</x:v>
      </x:c>
      <x:c r="F27" s="66" t="str">
        <x:v>Growing-stage building; premium land begins to materially matter.</x:v>
      </x:c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6" t="n">
        <x:v>27</x:v>
      </x:c>
      <x:c r="B28" s="66" t="str">
        <x:v>Growing</x:v>
      </x:c>
      <x:c r="C28" s="66" t="str">
        <x:v>Wealth Management Office</x:v>
      </x:c>
      <x:c r="D28" s="66" t="str">
        <x:v>Wealth &amp; Advisory</x:v>
      </x:c>
      <x:c r="E28" s="66" t="str">
        <x:v>Prestige, Capital, Amenity</x:v>
      </x:c>
      <x:c r="F28" s="66" t="str">
        <x:v>Growing-stage building; premium land begins to materially matter.</x:v>
      </x:c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6" t="n">
        <x:v>28</x:v>
      </x:c>
      <x:c r="B29" s="66" t="str">
        <x:v>Growing</x:v>
      </x:c>
      <x:c r="C29" s="66" t="str">
        <x:v>Digital Finance Hub</x:v>
      </x:c>
      <x:c r="D29" s="66" t="str">
        <x:v>Research, Data &amp; Fintech</x:v>
      </x:c>
      <x:c r="E29" s="66" t="str">
        <x:v>Data/Talent, Commerce, Road</x:v>
      </x:c>
      <x:c r="F29" s="66" t="str">
        <x:v>Growing-stage building; premium land begins to materially matter.</x:v>
      </x:c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6" t="n">
        <x:v>29</x:v>
      </x:c>
      <x:c r="B30" s="66" t="str">
        <x:v>Growing</x:v>
      </x:c>
      <x:c r="C30" s="66" t="str">
        <x:v>Trading House</x:v>
      </x:c>
      <x:c r="D30" s="66" t="str">
        <x:v>Trading &amp; Markets</x:v>
      </x:c>
      <x:c r="E30" s="66" t="str">
        <x:v>Commerce, Capital, Data/Talent</x:v>
      </x:c>
      <x:c r="F30" s="66" t="str">
        <x:v>Growing-stage building; premium land begins to materially matter.</x:v>
      </x:c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6" t="n">
        <x:v>30</x:v>
      </x:c>
      <x:c r="B31" s="66" t="str">
        <x:v>Growing</x:v>
      </x:c>
      <x:c r="C31" s="66" t="str">
        <x:v>Private Vault Facility</x:v>
      </x:c>
      <x:c r="D31" s="66" t="str">
        <x:v>Treasury, Vault &amp; Custody</x:v>
      </x:c>
      <x:c r="E31" s="66" t="str">
        <x:v>Security, Capital, Road</x:v>
      </x:c>
      <x:c r="F31" s="66" t="str">
        <x:v>Growing-stage building; premium land begins to materially matter.</x:v>
      </x:c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6" t="n">
        <x:v>31</x:v>
      </x:c>
      <x:c r="B32" s="66" t="str">
        <x:v>Established</x:v>
      </x:c>
      <x:c r="C32" s="66" t="str">
        <x:v>Regional Bank</x:v>
      </x:c>
      <x:c r="D32" s="66" t="str">
        <x:v>Banking &amp; Savings</x:v>
      </x:c>
      <x:c r="E32" s="66" t="str">
        <x:v>Commerce, Capital, Road</x:v>
      </x:c>
      <x:c r="F32" s="66" t="str">
        <x:v>Established institution; strong category fit should be rewarded.</x:v>
      </x:c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6" t="n">
        <x:v>32</x:v>
      </x:c>
      <x:c r="B33" s="66" t="str">
        <x:v>Established</x:v>
      </x:c>
      <x:c r="C33" s="66" t="str">
        <x:v>Stock Brokerage Center</x:v>
      </x:c>
      <x:c r="D33" s="66" t="str">
        <x:v>Brokerage</x:v>
      </x:c>
      <x:c r="E33" s="66" t="str">
        <x:v>Commerce, Capital, Footfall</x:v>
      </x:c>
      <x:c r="F33" s="66" t="str">
        <x:v>Established institution; strong category fit should be rewarded.</x:v>
      </x:c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6" t="n">
        <x:v>33</x:v>
      </x:c>
      <x:c r="B34" s="66" t="str">
        <x:v>Established</x:v>
      </x:c>
      <x:c r="C34" s="66" t="str">
        <x:v>Investment Fund HQ</x:v>
      </x:c>
      <x:c r="D34" s="66" t="str">
        <x:v>Funds &amp; Asset Management</x:v>
      </x:c>
      <x:c r="E34" s="66" t="str">
        <x:v>Prestige, Capital, Data/Talent</x:v>
      </x:c>
      <x:c r="F34" s="66" t="str">
        <x:v>Established institution; strong category fit should be rewarded.</x:v>
      </x:c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6" t="n">
        <x:v>34</x:v>
      </x:c>
      <x:c r="B35" s="66" t="str">
        <x:v>Established</x:v>
      </x:c>
      <x:c r="C35" s="66" t="str">
        <x:v>Insurance Company HQ</x:v>
      </x:c>
      <x:c r="D35" s="66" t="str">
        <x:v>Insurance &amp; Risk</x:v>
      </x:c>
      <x:c r="E35" s="66" t="str">
        <x:v>Road, Commerce, Prestige</x:v>
      </x:c>
      <x:c r="F35" s="66" t="str">
        <x:v>Established institution; strong category fit should be rewarded.</x:v>
      </x:c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6" t="n">
        <x:v>35</x:v>
      </x:c>
      <x:c r="B36" s="66" t="str">
        <x:v>Established</x:v>
      </x:c>
      <x:c r="C36" s="66" t="str">
        <x:v>Financial Data Center</x:v>
      </x:c>
      <x:c r="D36" s="66" t="str">
        <x:v>Research, Data &amp; Fintech</x:v>
      </x:c>
      <x:c r="E36" s="66" t="str">
        <x:v>Data/Talent, Commerce, Road</x:v>
      </x:c>
      <x:c r="F36" s="66" t="str">
        <x:v>Established institution; strong category fit should be rewarded.</x:v>
      </x:c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6" t="n">
        <x:v>36</x:v>
      </x:c>
      <x:c r="B37" s="66" t="str">
        <x:v>Established</x:v>
      </x:c>
      <x:c r="C37" s="66" t="str">
        <x:v>Market Maker Office</x:v>
      </x:c>
      <x:c r="D37" s="66" t="str">
        <x:v>Trading &amp; Markets</x:v>
      </x:c>
      <x:c r="E37" s="66" t="str">
        <x:v>Commerce, Capital, Data/Talent</x:v>
      </x:c>
      <x:c r="F37" s="66" t="str">
        <x:v>Established institution; strong category fit should be rewarded.</x:v>
      </x:c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6" t="n">
        <x:v>37</x:v>
      </x:c>
      <x:c r="B38" s="66" t="str">
        <x:v>Established</x:v>
      </x:c>
      <x:c r="C38" s="66" t="str">
        <x:v>Private Banking Center</x:v>
      </x:c>
      <x:c r="D38" s="66" t="str">
        <x:v>Wealth &amp; Advisory</x:v>
      </x:c>
      <x:c r="E38" s="66" t="str">
        <x:v>Prestige, Capital, Amenity</x:v>
      </x:c>
      <x:c r="F38" s="66" t="str">
        <x:v>Established institution; strong category fit should be rewarded.</x:v>
      </x:c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6" t="n">
        <x:v>38</x:v>
      </x:c>
      <x:c r="B39" s="66" t="str">
        <x:v>Established</x:v>
      </x:c>
      <x:c r="C39" s="66" t="str">
        <x:v>Corporate Treasury Center</x:v>
      </x:c>
      <x:c r="D39" s="66" t="str">
        <x:v>Treasury, Vault &amp; Custody</x:v>
      </x:c>
      <x:c r="E39" s="66" t="str">
        <x:v>Security, Capital, Road</x:v>
      </x:c>
      <x:c r="F39" s="66" t="str">
        <x:v>Established institution; strong category fit should be rewarded.</x:v>
      </x:c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6" t="n">
        <x:v>39</x:v>
      </x:c>
      <x:c r="B40" s="66" t="str">
        <x:v>Established</x:v>
      </x:c>
      <x:c r="C40" s="66" t="str">
        <x:v>Securities Exchange</x:v>
      </x:c>
      <x:c r="D40" s="66" t="str">
        <x:v>Trading &amp; Markets</x:v>
      </x:c>
      <x:c r="E40" s="66" t="str">
        <x:v>Commerce, Capital, Data/Talent</x:v>
      </x:c>
      <x:c r="F40" s="66" t="str">
        <x:v>Established institution; strong category fit should be rewarded.</x:v>
      </x:c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6" t="n">
        <x:v>40</x:v>
      </x:c>
      <x:c r="B41" s="66" t="str">
        <x:v>Established</x:v>
      </x:c>
      <x:c r="C41" s="66" t="str">
        <x:v>Investment Bank</x:v>
      </x:c>
      <x:c r="D41" s="66" t="str">
        <x:v>Institutional Finance</x:v>
      </x:c>
      <x:c r="E41" s="66" t="str">
        <x:v>Capital, Prestige, Commerce</x:v>
      </x:c>
      <x:c r="F41" s="66" t="str">
        <x:v>Established institution; strong category fit should be rewarded.</x:v>
      </x:c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6" t="n">
        <x:v>41</x:v>
      </x:c>
      <x:c r="B42" s="66" t="str">
        <x:v>Elite</x:v>
      </x:c>
      <x:c r="C42" s="66" t="str">
        <x:v>Global Brokerage Tower</x:v>
      </x:c>
      <x:c r="D42" s="66" t="str">
        <x:v>Brokerage</x:v>
      </x:c>
      <x:c r="E42" s="66" t="str">
        <x:v>Commerce, Capital, Footfall</x:v>
      </x:c>
      <x:c r="F42" s="66" t="str">
        <x:v>Elite building; Prime/Trophy placement preferred.</x:v>
      </x:c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6" t="n">
        <x:v>42</x:v>
      </x:c>
      <x:c r="B43" s="66" t="str">
        <x:v>Elite</x:v>
      </x:c>
      <x:c r="C43" s="66" t="str">
        <x:v>Major Asset Manager</x:v>
      </x:c>
      <x:c r="D43" s="66" t="str">
        <x:v>Funds &amp; Asset Management</x:v>
      </x:c>
      <x:c r="E43" s="66" t="str">
        <x:v>Prestige, Capital, Data/Talent</x:v>
      </x:c>
      <x:c r="F43" s="66" t="str">
        <x:v>Elite building; Prime/Trophy placement preferred.</x:v>
      </x:c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6" t="n">
        <x:v>43</x:v>
      </x:c>
      <x:c r="B44" s="66" t="str">
        <x:v>Elite</x:v>
      </x:c>
      <x:c r="C44" s="66" t="str">
        <x:v>Institutional Trading Center</x:v>
      </x:c>
      <x:c r="D44" s="66" t="str">
        <x:v>Trading &amp; Markets</x:v>
      </x:c>
      <x:c r="E44" s="66" t="str">
        <x:v>Commerce, Capital, Data/Talent</x:v>
      </x:c>
      <x:c r="F44" s="66" t="str">
        <x:v>Elite building; Prime/Trophy placement preferred.</x:v>
      </x:c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6" t="n">
        <x:v>44</x:v>
      </x:c>
      <x:c r="B45" s="66" t="str">
        <x:v>Elite</x:v>
      </x:c>
      <x:c r="C45" s="66" t="str">
        <x:v>Global Wealth Center</x:v>
      </x:c>
      <x:c r="D45" s="66" t="str">
        <x:v>Wealth &amp; Advisory</x:v>
      </x:c>
      <x:c r="E45" s="66" t="str">
        <x:v>Prestige, Capital, Amenity</x:v>
      </x:c>
      <x:c r="F45" s="66" t="str">
        <x:v>Elite building; Prime/Trophy placement preferred.</x:v>
      </x:c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6" t="n">
        <x:v>45</x:v>
      </x:c>
      <x:c r="B46" s="66" t="str">
        <x:v>Elite</x:v>
      </x:c>
      <x:c r="C46" s="66" t="str">
        <x:v>Financial Exchange Tower</x:v>
      </x:c>
      <x:c r="D46" s="66" t="str">
        <x:v>Trading &amp; Markets</x:v>
      </x:c>
      <x:c r="E46" s="66" t="str">
        <x:v>Commerce, Capital, Data/Talent</x:v>
      </x:c>
      <x:c r="F46" s="66" t="str">
        <x:v>Elite building; Prime/Trophy placement preferred.</x:v>
      </x:c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6" t="n">
        <x:v>46</x:v>
      </x:c>
      <x:c r="B47" s="66" t="str">
        <x:v>Tycoon</x:v>
      </x:c>
      <x:c r="C47" s="66" t="str">
        <x:v>International Bank HQ</x:v>
      </x:c>
      <x:c r="D47" s="66" t="str">
        <x:v>Banking &amp; Savings</x:v>
      </x:c>
      <x:c r="E47" s="66" t="str">
        <x:v>Commerce, Capital, Road</x:v>
      </x:c>
      <x:c r="F47" s="66" t="str">
        <x:v>Tycoon building; best parcels should materially amplify prestige/output.</x:v>
      </x:c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6" t="n">
        <x:v>47</x:v>
      </x:c>
      <x:c r="B48" s="66" t="str">
        <x:v>Tycoon</x:v>
      </x:c>
      <x:c r="C48" s="66" t="str">
        <x:v>Global Investment Bank</x:v>
      </x:c>
      <x:c r="D48" s="66" t="str">
        <x:v>Institutional Finance</x:v>
      </x:c>
      <x:c r="E48" s="66" t="str">
        <x:v>Capital, Prestige, Commerce</x:v>
      </x:c>
      <x:c r="F48" s="66" t="str">
        <x:v>Tycoon building; best parcels should materially amplify prestige/output.</x:v>
      </x:c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6" t="n">
        <x:v>48</x:v>
      </x:c>
      <x:c r="B49" s="66" t="str">
        <x:v>Tycoon</x:v>
      </x:c>
      <x:c r="C49" s="66" t="str">
        <x:v>Sovereign Fund Tower</x:v>
      </x:c>
      <x:c r="D49" s="66" t="str">
        <x:v>Funds &amp; Asset Management</x:v>
      </x:c>
      <x:c r="E49" s="66" t="str">
        <x:v>Prestige, Capital, Data/Talent</x:v>
      </x:c>
      <x:c r="F49" s="66" t="str">
        <x:v>Tycoon building; best parcels should materially amplify prestige/output.</x:v>
      </x:c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6" t="n">
        <x:v>49</x:v>
      </x:c>
      <x:c r="B50" s="66" t="str">
        <x:v>Tycoon</x:v>
      </x:c>
      <x:c r="C50" s="66" t="str">
        <x:v>World Financial Exchange</x:v>
      </x:c>
      <x:c r="D50" s="66" t="str">
        <x:v>Trading &amp; Markets</x:v>
      </x:c>
      <x:c r="E50" s="66" t="str">
        <x:v>Commerce, Capital, Data/Talent</x:v>
      </x:c>
      <x:c r="F50" s="66" t="str">
        <x:v>Tycoon building; best parcels should materially amplify prestige/output.</x:v>
      </x:c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6" t="n">
        <x:v>50</x:v>
      </x:c>
      <x:c r="B51" s="66" t="str">
        <x:v>Tycoon</x:v>
      </x:c>
      <x:c r="C51" s="66" t="str">
        <x:v>Financial Empire Headquarters</x:v>
      </x:c>
      <x:c r="D51" s="66" t="str">
        <x:v>Institutional Finance</x:v>
      </x:c>
      <x:c r="E51" s="66" t="str">
        <x:v>Capital, Prestige, Commerce</x:v>
      </x:c>
      <x:c r="F51" s="66" t="str">
        <x:v>Tycoon building; best parcels should materially amplify prestige/output.</x:v>
      </x:c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50" hidden="0" customWidth="1"/>
  </x:cols>
  <x:sheetData>
    <x:row r="1">
      <x:c r="A1" s="80" t="str">
        <x:v>Category</x:v>
      </x:c>
      <x:c r="B1" s="80" t="str">
        <x:v>Commerce %</x:v>
      </x:c>
      <x:c r="C1" s="80" t="str">
        <x:v>Footfall %</x:v>
      </x:c>
      <x:c r="D1" s="80" t="str">
        <x:v>Road %</x:v>
      </x:c>
      <x:c r="E1" s="80" t="str">
        <x:v>Prestige %</x:v>
      </x:c>
      <x:c r="F1" s="80" t="str">
        <x:v>Capital %</x:v>
      </x:c>
      <x:c r="G1" s="80" t="str">
        <x:v>Data/Talent %</x:v>
      </x:c>
      <x:c r="H1" s="80" t="str">
        <x:v>Security %</x:v>
      </x:c>
      <x:c r="I1" s="80" t="str">
        <x:v>Amenity %</x:v>
      </x:c>
      <x:c r="J1" s="80" t="str">
        <x:v>Rule Summary</x:v>
      </x:c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6" t="str">
        <x:v>Retail Finance</x:v>
      </x:c>
      <x:c r="B2" s="93" t="n">
        <x:v>0.25</x:v>
      </x:c>
      <x:c r="C2" s="93" t="n">
        <x:v>0.3</x:v>
      </x:c>
      <x:c r="D2" s="93" t="n">
        <x:v>0.25</x:v>
      </x:c>
      <x:c r="E2" s="93" t="n">
        <x:v>0.05</x:v>
      </x:c>
      <x:c r="F2" s="93" t="n">
        <x:v>0.05</x:v>
      </x:c>
      <x:c r="G2" s="93" t="n">
        <x:v>0</x:v>
      </x:c>
      <x:c r="H2" s="93" t="n">
        <x:v>0</x:v>
      </x:c>
      <x:c r="I2" s="93" t="n">
        <x:v>0.1</x:v>
      </x:c>
      <x:c r="J2" s="66" t="str">
        <x:v>Best on land with strong Footfall, Commerce, Road Access.</x:v>
      </x:c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6" t="str">
        <x:v>Banking &amp; Savings</x:v>
      </x:c>
      <x:c r="B3" s="93" t="n">
        <x:v>0.2</x:v>
      </x:c>
      <x:c r="C3" s="93" t="n">
        <x:v>0.1</x:v>
      </x:c>
      <x:c r="D3" s="93" t="n">
        <x:v>0.15</x:v>
      </x:c>
      <x:c r="E3" s="93" t="n">
        <x:v>0.15</x:v>
      </x:c>
      <x:c r="F3" s="93" t="n">
        <x:v>0.2</x:v>
      </x:c>
      <x:c r="G3" s="93" t="n">
        <x:v>0</x:v>
      </x:c>
      <x:c r="H3" s="93" t="n">
        <x:v>0.15</x:v>
      </x:c>
      <x:c r="I3" s="93" t="n">
        <x:v>0.05</x:v>
      </x:c>
      <x:c r="J3" s="66" t="str">
        <x:v>Best on land with strong Commerce, Capital, Road Access.</x:v>
      </x:c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6" t="str">
        <x:v>Brokerage</x:v>
      </x:c>
      <x:c r="B4" s="93" t="n">
        <x:v>0.25</x:v>
      </x:c>
      <x:c r="C4" s="93" t="n">
        <x:v>0.15</x:v>
      </x:c>
      <x:c r="D4" s="93" t="n">
        <x:v>0.1</x:v>
      </x:c>
      <x:c r="E4" s="93" t="n">
        <x:v>0.1</x:v>
      </x:c>
      <x:c r="F4" s="93" t="n">
        <x:v>0.2</x:v>
      </x:c>
      <x:c r="G4" s="93" t="n">
        <x:v>0.15</x:v>
      </x:c>
      <x:c r="H4" s="93" t="n">
        <x:v>0</x:v>
      </x:c>
      <x:c r="I4" s="93" t="n">
        <x:v>0.05</x:v>
      </x:c>
      <x:c r="J4" s="66" t="str">
        <x:v>Best on land with strong Commerce, Capital, Footfall.</x:v>
      </x:c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6" t="str">
        <x:v>Trading &amp; Markets</x:v>
      </x:c>
      <x:c r="B5" s="93" t="n">
        <x:v>0.25</x:v>
      </x:c>
      <x:c r="C5" s="93" t="n">
        <x:v>0.1</x:v>
      </x:c>
      <x:c r="D5" s="93" t="n">
        <x:v>0.1</x:v>
      </x:c>
      <x:c r="E5" s="93" t="n">
        <x:v>0.05</x:v>
      </x:c>
      <x:c r="F5" s="93" t="n">
        <x:v>0.25</x:v>
      </x:c>
      <x:c r="G5" s="93" t="n">
        <x:v>0.2</x:v>
      </x:c>
      <x:c r="H5" s="93" t="n">
        <x:v>0</x:v>
      </x:c>
      <x:c r="I5" s="93" t="n">
        <x:v>0.05</x:v>
      </x:c>
      <x:c r="J5" s="66" t="str">
        <x:v>Best on land with strong Commerce, Capital, Data/Talent.</x:v>
      </x:c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6" t="str">
        <x:v>Lending &amp; Credit</x:v>
      </x:c>
      <x:c r="B6" s="93" t="n">
        <x:v>0.25</x:v>
      </x:c>
      <x:c r="C6" s="93" t="n">
        <x:v>0.2</x:v>
      </x:c>
      <x:c r="D6" s="93" t="n">
        <x:v>0.25</x:v>
      </x:c>
      <x:c r="E6" s="93" t="n">
        <x:v>0.05</x:v>
      </x:c>
      <x:c r="F6" s="93" t="n">
        <x:v>0.1</x:v>
      </x:c>
      <x:c r="G6" s="93" t="n">
        <x:v>0</x:v>
      </x:c>
      <x:c r="H6" s="93" t="n">
        <x:v>0.05</x:v>
      </x:c>
      <x:c r="I6" s="93" t="n">
        <x:v>0.1</x:v>
      </x:c>
      <x:c r="J6" s="66" t="str">
        <x:v>Best on land with strong Commerce, Road Access, Footfall.</x:v>
      </x:c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6" t="str">
        <x:v>Insurance &amp; Risk</x:v>
      </x:c>
      <x:c r="B7" s="93" t="n">
        <x:v>0.15</x:v>
      </x:c>
      <x:c r="C7" s="93" t="n">
        <x:v>0.1</x:v>
      </x:c>
      <x:c r="D7" s="93" t="n">
        <x:v>0.2</x:v>
      </x:c>
      <x:c r="E7" s="93" t="n">
        <x:v>0.15</x:v>
      </x:c>
      <x:c r="F7" s="93" t="n">
        <x:v>0.1</x:v>
      </x:c>
      <x:c r="G7" s="93" t="n">
        <x:v>0.05</x:v>
      </x:c>
      <x:c r="H7" s="93" t="n">
        <x:v>0.15</x:v>
      </x:c>
      <x:c r="I7" s="93" t="n">
        <x:v>0.1</x:v>
      </x:c>
      <x:c r="J7" s="66" t="str">
        <x:v>Best on land with strong Road Access, Commerce, Prestige.</x:v>
      </x:c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6" t="str">
        <x:v>Funds &amp; Asset Management</x:v>
      </x:c>
      <x:c r="B8" s="93" t="n">
        <x:v>0.1</x:v>
      </x:c>
      <x:c r="C8" s="93" t="n">
        <x:v>0.05</x:v>
      </x:c>
      <x:c r="D8" s="93" t="n">
        <x:v>0.05</x:v>
      </x:c>
      <x:c r="E8" s="93" t="n">
        <x:v>0.25</x:v>
      </x:c>
      <x:c r="F8" s="93" t="n">
        <x:v>0.25</x:v>
      </x:c>
      <x:c r="G8" s="93" t="n">
        <x:v>0.2</x:v>
      </x:c>
      <x:c r="H8" s="93" t="n">
        <x:v>0.05</x:v>
      </x:c>
      <x:c r="I8" s="93" t="n">
        <x:v>0.05</x:v>
      </x:c>
      <x:c r="J8" s="66" t="str">
        <x:v>Best on land with strong Prestige, Capital, Data/Talent.</x:v>
      </x:c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6" t="str">
        <x:v>Wealth &amp; Advisory</x:v>
      </x:c>
      <x:c r="B9" s="93" t="n">
        <x:v>0.1</x:v>
      </x:c>
      <x:c r="C9" s="93" t="n">
        <x:v>0.05</x:v>
      </x:c>
      <x:c r="D9" s="93" t="n">
        <x:v>0.05</x:v>
      </x:c>
      <x:c r="E9" s="93" t="n">
        <x:v>0.3</x:v>
      </x:c>
      <x:c r="F9" s="93" t="n">
        <x:v>0.2</x:v>
      </x:c>
      <x:c r="G9" s="93" t="n">
        <x:v>0.1</x:v>
      </x:c>
      <x:c r="H9" s="93" t="n">
        <x:v>0.05</x:v>
      </x:c>
      <x:c r="I9" s="93" t="n">
        <x:v>0.15</x:v>
      </x:c>
      <x:c r="J9" s="66" t="str">
        <x:v>Best on land with strong Prestige, Capital, Amenity.</x:v>
      </x:c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6" t="str">
        <x:v>Treasury, Vault &amp; Custody</x:v>
      </x:c>
      <x:c r="B10" s="93" t="n">
        <x:v>0.05</x:v>
      </x:c>
      <x:c r="C10" s="93" t="n">
        <x:v>0</x:v>
      </x:c>
      <x:c r="D10" s="93" t="n">
        <x:v>0.1</x:v>
      </x:c>
      <x:c r="E10" s="93" t="n">
        <x:v>0.1</x:v>
      </x:c>
      <x:c r="F10" s="93" t="n">
        <x:v>0.2</x:v>
      </x:c>
      <x:c r="G10" s="93" t="n">
        <x:v>0</x:v>
      </x:c>
      <x:c r="H10" s="93" t="n">
        <x:v>0.45</x:v>
      </x:c>
      <x:c r="I10" s="93" t="n">
        <x:v>0.1</x:v>
      </x:c>
      <x:c r="J10" s="66" t="str">
        <x:v>Best on land with strong Security, Capital, Road Access.</x:v>
      </x:c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6" t="str">
        <x:v>Research, Data &amp; Fintech</x:v>
      </x:c>
      <x:c r="B11" s="93" t="n">
        <x:v>0.1</x:v>
      </x:c>
      <x:c r="C11" s="93" t="n">
        <x:v>0.05</x:v>
      </x:c>
      <x:c r="D11" s="93" t="n">
        <x:v>0.1</x:v>
      </x:c>
      <x:c r="E11" s="93" t="n">
        <x:v>0.05</x:v>
      </x:c>
      <x:c r="F11" s="93" t="n">
        <x:v>0.1</x:v>
      </x:c>
      <x:c r="G11" s="93" t="n">
        <x:v>0.45</x:v>
      </x:c>
      <x:c r="H11" s="93" t="n">
        <x:v>0.05</x:v>
      </x:c>
      <x:c r="I11" s="93" t="n">
        <x:v>0.1</x:v>
      </x:c>
      <x:c r="J11" s="66" t="str">
        <x:v>Best on land with strong Data/Talent, Commerce, Road Access.</x:v>
      </x:c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6" t="str">
        <x:v>Institutional Finance</x:v>
      </x:c>
      <x:c r="B12" s="93" t="n">
        <x:v>0.15</x:v>
      </x:c>
      <x:c r="C12" s="93" t="n">
        <x:v>0.05</x:v>
      </x:c>
      <x:c r="D12" s="93" t="n">
        <x:v>0.1</x:v>
      </x:c>
      <x:c r="E12" s="93" t="n">
        <x:v>0.2</x:v>
      </x:c>
      <x:c r="F12" s="93" t="n">
        <x:v>0.3</x:v>
      </x:c>
      <x:c r="G12" s="93" t="n">
        <x:v>0.1</x:v>
      </x:c>
      <x:c r="H12" s="93" t="n">
        <x:v>0.05</x:v>
      </x:c>
      <x:c r="I12" s="93" t="n">
        <x:v>0.05</x:v>
      </x:c>
      <x:c r="J12" s="66" t="str">
        <x:v>Best on land with strong Capital, Prestige, Commerce.</x:v>
      </x:c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</x:sheetData>
  <x:conditionalFormatting sqref="B2:I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{8935B9DE-1866-9EBC-4E6C-F1D0E1DBD4C5}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935B9DE-1866-9EBC-4E6C-F1D0E1DBD4C5}">
            <x14:dataBar gradient="1">
              <x14:cfvo type="min"/>
              <x14:cfvo type="max"/>
              <x14:fillColor rgb="FFA02B93"/>
            </x14:dataBar>
          </x14:cfRule>
          <xm:sqref>B2:I12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30" hidden="0" customWidth="1"/>
    <x:col min="6" max="6" width="32" hidden="0" customWidth="1"/>
    <x:col min="8" max="8" width="30" hidden="0" customWidth="1"/>
    <x:col min="9" max="9" width="14" hidden="0" customWidth="1"/>
    <x:col min="11" max="11" width="24" hidden="0" customWidth="1"/>
    <x:col min="12" max="12" width="12" hidden="0" customWidth="1"/>
  </x:cols>
  <x:sheetData>
    <x:row r="1">
      <x:c r="A1" s="69" t="str">
        <x:v>Parcel Order</x:v>
      </x:c>
      <x:c r="B1" s="69" t="str">
        <x:v>Required Level</x:v>
      </x:c>
      <x:c r="C1" s="69" t="str">
        <x:v>Base Cost</x:v>
      </x:c>
      <x:c r="D1" s="69" t="str">
        <x:v>Target Max Hexes at Level</x:v>
      </x:c>
      <x:c r="E1" s="69" t="str">
        <x:v>Design Goal</x:v>
      </x:c>
      <x:c r="F1" s="69" t="str">
        <x:v>Notes</x:v>
      </x:c>
      <x:c r="G1" s="64"/>
      <x:c r="H1" s="67" t="str">
        <x:v>Land Model Constant</x:v>
      </x:c>
      <x:c r="I1" s="67" t="str">
        <x:v>Value</x:v>
      </x:c>
      <x:c r="J1" s="64"/>
      <x:c r="K1" s="67" t="str">
        <x:v>Land Attribute</x:v>
      </x:c>
      <x:c r="L1" s="67" t="str">
        <x:v>Weight</x:v>
      </x:c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>
      <x:c r="A2" s="64" t="n">
        <x:v>1</x:v>
      </x:c>
      <x:c r="B2" s="64" t="n">
        <x:v>1</x:v>
      </x:c>
      <x:c r="C2" s="100" t="n">
        <x:v>0</x:v>
      </x:c>
      <x:c r="D2" s="64" t="n">
        <x:v>1</x:v>
      </x:c>
      <x:c r="E2" s="64" t="str">
        <x:v>Humble expansion</x:v>
      </x:c>
      <x:c r="F2" s="64" t="str">
        <x:v>Free starter parcel</x:v>
      </x:c>
      <x:c r="G2" s="64"/>
      <x:c r="H2" s="64" t="str">
        <x:v>Minimum location multiplier</x:v>
      </x:c>
      <x:c r="I2" s="104" t="n">
        <x:v>0.85</x:v>
      </x:c>
      <x:c r="J2" s="64"/>
      <x:c r="K2" s="64" t="str">
        <x:v>Commerce</x:v>
      </x:c>
      <x:c r="L2" s="70" t="n">
        <x:v>0.25</x:v>
      </x:c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4" t="n">
        <x:v>2</x:v>
      </x:c>
      <x:c r="B3" s="64" t="n">
        <x:v>2</x:v>
      </x:c>
      <x:c r="C3" s="100" t="n">
        <x:v>5000</x:v>
      </x:c>
      <x:c r="D3" s="64" t="n">
        <x:v>2</x:v>
      </x:c>
      <x:c r="E3" s="64" t="str">
        <x:v>Humble expansion</x:v>
      </x:c>
      <x:c r="F3" s="64" t="str"/>
      <x:c r="G3" s="64"/>
      <x:c r="H3" s="64" t="str">
        <x:v>Score multiplier span</x:v>
      </x:c>
      <x:c r="I3" s="104" t="n">
        <x:v>0.4</x:v>
      </x:c>
      <x:c r="J3" s="64"/>
      <x:c r="K3" s="64" t="str">
        <x:v>Footfall</x:v>
      </x:c>
      <x:c r="L3" s="70" t="n">
        <x:v>0.1</x:v>
      </x:c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>
      <x:c r="A4" s="64" t="n">
        <x:v>3</x:v>
      </x:c>
      <x:c r="B4" s="64" t="n">
        <x:v>3</x:v>
      </x:c>
      <x:c r="C4" s="100" t="n">
        <x:v>8000</x:v>
      </x:c>
      <x:c r="D4" s="64" t="n">
        <x:v>3</x:v>
      </x:c>
      <x:c r="E4" s="64" t="str">
        <x:v>Humble expansion</x:v>
      </x:c>
      <x:c r="F4" s="64" t="str"/>
      <x:c r="G4" s="64"/>
      <x:c r="H4" s="64" t="str">
        <x:v>Growth grade threshold</x:v>
      </x:c>
      <x:c r="I4" s="104" t="n">
        <x:v>56</x:v>
      </x:c>
      <x:c r="J4" s="64"/>
      <x:c r="K4" s="64" t="str">
        <x:v>Road Access</x:v>
      </x:c>
      <x:c r="L4" s="70" t="n">
        <x:v>0.15</x:v>
      </x:c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64" t="n">
        <x:v>4</x:v>
      </x:c>
      <x:c r="B5" s="64" t="n">
        <x:v>4</x:v>
      </x:c>
      <x:c r="C5" s="100" t="n">
        <x:v>12000</x:v>
      </x:c>
      <x:c r="D5" s="64" t="n">
        <x:v>4</x:v>
      </x:c>
      <x:c r="E5" s="64" t="str">
        <x:v>Humble expansion</x:v>
      </x:c>
      <x:c r="F5" s="64" t="str"/>
      <x:c r="G5" s="64"/>
      <x:c r="H5" s="64" t="str">
        <x:v>Premium grade threshold</x:v>
      </x:c>
      <x:c r="I5" s="104" t="n">
        <x:v>68</x:v>
      </x:c>
      <x:c r="J5" s="64"/>
      <x:c r="K5" s="64" t="str">
        <x:v>Prestige</x:v>
      </x:c>
      <x:c r="L5" s="70" t="n">
        <x:v>0.12</x:v>
      </x:c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64" t="n">
        <x:v>5</x:v>
      </x:c>
      <x:c r="B6" s="64" t="n">
        <x:v>5</x:v>
      </x:c>
      <x:c r="C6" s="100" t="n">
        <x:v>18000</x:v>
      </x:c>
      <x:c r="D6" s="64" t="n">
        <x:v>5</x:v>
      </x:c>
      <x:c r="E6" s="64" t="str">
        <x:v>Humble expansion</x:v>
      </x:c>
      <x:c r="F6" s="64" t="str"/>
      <x:c r="G6" s="64"/>
      <x:c r="H6" s="64" t="str">
        <x:v>Prime grade threshold</x:v>
      </x:c>
      <x:c r="I6" s="104" t="n">
        <x:v>78</x:v>
      </x:c>
      <x:c r="J6" s="64"/>
      <x:c r="K6" s="64" t="str">
        <x:v>Capital Access</x:v>
      </x:c>
      <x:c r="L6" s="70" t="n">
        <x:v>0.15</x:v>
      </x:c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64" t="n">
        <x:v>6</x:v>
      </x:c>
      <x:c r="B7" s="64" t="n">
        <x:v>6</x:v>
      </x:c>
      <x:c r="C7" s="100" t="n">
        <x:v>25000</x:v>
      </x:c>
      <x:c r="D7" s="64" t="n">
        <x:v>6</x:v>
      </x:c>
      <x:c r="E7" s="64" t="str">
        <x:v>Humble expansion</x:v>
      </x:c>
      <x:c r="F7" s="64" t="str"/>
      <x:c r="G7" s="64"/>
      <x:c r="H7" s="64" t="str">
        <x:v>Trophy grade threshold</x:v>
      </x:c>
      <x:c r="I7" s="104" t="n">
        <x:v>85</x:v>
      </x:c>
      <x:c r="J7" s="64"/>
      <x:c r="K7" s="64" t="str">
        <x:v>Data / Talent</x:v>
      </x:c>
      <x:c r="L7" s="70" t="n">
        <x:v>0.08</x:v>
      </x:c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64" t="n">
        <x:v>7</x:v>
      </x:c>
      <x:c r="B8" s="64" t="n">
        <x:v>8</x:v>
      </x:c>
      <x:c r="C8" s="100" t="n">
        <x:v>40000</x:v>
      </x:c>
      <x:c r="D8" s="64" t="n">
        <x:v>7</x:v>
      </x:c>
      <x:c r="E8" s="64" t="str">
        <x:v>Starter / early Growing</x:v>
      </x:c>
      <x:c r="F8" s="64" t="str"/>
      <x:c r="G8" s="64"/>
      <x:c r="H8" s="64" t="str">
        <x:v>Empire value cost factor</x:v>
      </x:c>
      <x:c r="I8" s="104" t="n">
        <x:v>0.2</x:v>
      </x:c>
      <x:c r="J8" s="64"/>
      <x:c r="K8" s="64" t="str">
        <x:v>Security</x:v>
      </x:c>
      <x:c r="L8" s="70" t="n">
        <x:v>0.05</x:v>
      </x:c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64" t="n">
        <x:v>8</x:v>
      </x:c>
      <x:c r="B9" s="64" t="n">
        <x:v>10</x:v>
      </x:c>
      <x:c r="C9" s="100" t="n">
        <x:v>60000</x:v>
      </x:c>
      <x:c r="D9" s="64" t="n">
        <x:v>8</x:v>
      </x:c>
      <x:c r="E9" s="64" t="str">
        <x:v>Starter / early Growing</x:v>
      </x:c>
      <x:c r="F9" s="64" t="str"/>
      <x:c r="G9" s="64"/>
      <x:c r="H9" s="64" t="str">
        <x:v>Empire value score factor</x:v>
      </x:c>
      <x:c r="I9" s="104" t="n">
        <x:v>1000</x:v>
      </x:c>
      <x:c r="J9" s="64"/>
      <x:c r="K9" s="64" t="str">
        <x:v>Amenity</x:v>
      </x:c>
      <x:c r="L9" s="70" t="n">
        <x:v>0.05</x:v>
      </x:c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64" t="n">
        <x:v>9</x:v>
      </x:c>
      <x:c r="B10" s="64" t="n">
        <x:v>11</x:v>
      </x:c>
      <x:c r="C10" s="100" t="n">
        <x:v>85000</x:v>
      </x:c>
      <x:c r="D10" s="64" t="n">
        <x:v>9</x:v>
      </x:c>
      <x:c r="E10" s="64" t="str">
        <x:v>Starter / early Growing</x:v>
      </x:c>
      <x:c r="F10" s="64" t="str"/>
      <x:c r="G10" s="64"/>
      <x:c r="H10" s="64"/>
      <x:c r="I10" s="64"/>
      <x:c r="J10" s="64"/>
      <x:c r="K10" s="64" t="str">
        <x:v>Adjacency Potential</x:v>
      </x:c>
      <x:c r="L10" s="70" t="n">
        <x:v>0.05</x:v>
      </x:c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4" t="n">
        <x:v>10</x:v>
      </x:c>
      <x:c r="B11" s="64" t="n">
        <x:v>12</x:v>
      </x:c>
      <x:c r="C11" s="100" t="n">
        <x:v>120000</x:v>
      </x:c>
      <x:c r="D11" s="64" t="n">
        <x:v>10</x:v>
      </x:c>
      <x:c r="E11" s="64" t="str">
        <x:v>Starter / early Growing</x:v>
      </x:c>
      <x:c r="F11" s="64" t="str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4" t="n">
        <x:v>11</x:v>
      </x:c>
      <x:c r="B12" s="64" t="n">
        <x:v>13</x:v>
      </x:c>
      <x:c r="C12" s="100" t="n">
        <x:v>170000</x:v>
      </x:c>
      <x:c r="D12" s="64" t="n">
        <x:v>11</x:v>
      </x:c>
      <x:c r="E12" s="64" t="str">
        <x:v>Starter / early Growing</x:v>
      </x:c>
      <x:c r="F12" s="64" t="str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 t="n">
        <x:v>12</x:v>
      </x:c>
      <x:c r="B13" s="64" t="n">
        <x:v>14</x:v>
      </x:c>
      <x:c r="C13" s="100" t="n">
        <x:v>240000</x:v>
      </x:c>
      <x:c r="D13" s="64" t="n">
        <x:v>12</x:v>
      </x:c>
      <x:c r="E13" s="64" t="str">
        <x:v>Starter / early Growing</x:v>
      </x:c>
      <x:c r="F13" s="64" t="str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 t="n">
        <x:v>13</x:v>
      </x:c>
      <x:c r="B14" s="64" t="n">
        <x:v>15</x:v>
      </x:c>
      <x:c r="C14" s="100" t="n">
        <x:v>340000</x:v>
      </x:c>
      <x:c r="D14" s="64" t="n">
        <x:v>13</x:v>
      </x:c>
      <x:c r="E14" s="64" t="str">
        <x:v>Starter / early Growing</x:v>
      </x:c>
      <x:c r="F14" s="64" t="str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 t="n">
        <x:v>14</x:v>
      </x:c>
      <x:c r="B15" s="64" t="n">
        <x:v>16</x:v>
      </x:c>
      <x:c r="C15" s="100" t="n">
        <x:v>480000</x:v>
      </x:c>
      <x:c r="D15" s="64" t="n">
        <x:v>14</x:v>
      </x:c>
      <x:c r="E15" s="64" t="str">
        <x:v>Starter / early Growing</x:v>
      </x:c>
      <x:c r="F15" s="64" t="str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 t="n">
        <x:v>15</x:v>
      </x:c>
      <x:c r="B16" s="64" t="n">
        <x:v>17</x:v>
      </x:c>
      <x:c r="C16" s="100" t="n">
        <x:v>650000</x:v>
      </x:c>
      <x:c r="D16" s="64" t="n">
        <x:v>15</x:v>
      </x:c>
      <x:c r="E16" s="64" t="str">
        <x:v>Starter / early Growing</x:v>
      </x:c>
      <x:c r="F16" s="64" t="str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 t="n">
        <x:v>16</x:v>
      </x:c>
      <x:c r="B17" s="64" t="n">
        <x:v>18</x:v>
      </x:c>
      <x:c r="C17" s="100" t="n">
        <x:v>900000</x:v>
      </x:c>
      <x:c r="D17" s="64" t="n">
        <x:v>16</x:v>
      </x:c>
      <x:c r="E17" s="64" t="str">
        <x:v>Growing expansion</x:v>
      </x:c>
      <x:c r="F17" s="64" t="str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 t="n">
        <x:v>17</x:v>
      </x:c>
      <x:c r="B18" s="64" t="n">
        <x:v>19</x:v>
      </x:c>
      <x:c r="C18" s="100" t="n">
        <x:v>1200000</x:v>
      </x:c>
      <x:c r="D18" s="64" t="n">
        <x:v>17</x:v>
      </x:c>
      <x:c r="E18" s="64" t="str">
        <x:v>Growing expansion</x:v>
      </x:c>
      <x:c r="F18" s="64" t="str">
        <x:v>Intentional multi-million sink</x:v>
      </x:c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 t="n">
        <x:v>18</x:v>
      </x:c>
      <x:c r="B19" s="64" t="n">
        <x:v>20</x:v>
      </x:c>
      <x:c r="C19" s="100" t="n">
        <x:v>1600000</x:v>
      </x:c>
      <x:c r="D19" s="64" t="n">
        <x:v>18</x:v>
      </x:c>
      <x:c r="E19" s="64" t="str">
        <x:v>Growing expansion</x:v>
      </x:c>
      <x:c r="F19" s="64" t="str">
        <x:v>Intentional multi-million sink</x:v>
      </x:c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 t="n">
        <x:v>19</x:v>
      </x:c>
      <x:c r="B20" s="64" t="n">
        <x:v>21</x:v>
      </x:c>
      <x:c r="C20" s="100" t="n">
        <x:v>2100000</x:v>
      </x:c>
      <x:c r="D20" s="64" t="n">
        <x:v>20</x:v>
      </x:c>
      <x:c r="E20" s="64" t="str">
        <x:v>Growing expansion</x:v>
      </x:c>
      <x:c r="F20" s="64" t="str">
        <x:v>Intentional multi-million sink</x:v>
      </x:c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 t="n">
        <x:v>20</x:v>
      </x:c>
      <x:c r="B21" s="64" t="n">
        <x:v>21</x:v>
      </x:c>
      <x:c r="C21" s="100" t="n">
        <x:v>2800000</x:v>
      </x:c>
      <x:c r="D21" s="64" t="n">
        <x:v>20</x:v>
      </x:c>
      <x:c r="E21" s="64" t="str">
        <x:v>Growing expansion</x:v>
      </x:c>
      <x:c r="F21" s="64" t="str">
        <x:v>Intentional multi-million sink</x:v>
      </x:c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 t="n">
        <x:v>21</x:v>
      </x:c>
      <x:c r="B22" s="64" t="n">
        <x:v>22</x:v>
      </x:c>
      <x:c r="C22" s="100" t="n">
        <x:v>3600000</x:v>
      </x:c>
      <x:c r="D22" s="64" t="n">
        <x:v>22</x:v>
      </x:c>
      <x:c r="E22" s="64" t="str">
        <x:v>Growing expansion</x:v>
      </x:c>
      <x:c r="F22" s="64" t="str">
        <x:v>Intentional multi-million sink</x:v>
      </x:c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 t="n">
        <x:v>22</x:v>
      </x:c>
      <x:c r="B23" s="64" t="n">
        <x:v>22</x:v>
      </x:c>
      <x:c r="C23" s="100" t="n">
        <x:v>4600000</x:v>
      </x:c>
      <x:c r="D23" s="64" t="n">
        <x:v>22</x:v>
      </x:c>
      <x:c r="E23" s="64" t="str">
        <x:v>Growing expansion</x:v>
      </x:c>
      <x:c r="F23" s="64" t="str">
        <x:v>Intentional multi-million sink</x:v>
      </x:c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 t="n">
        <x:v>23</x:v>
      </x:c>
      <x:c r="B24" s="64" t="n">
        <x:v>23</x:v>
      </x:c>
      <x:c r="C24" s="100" t="n">
        <x:v>5800000</x:v>
      </x:c>
      <x:c r="D24" s="64" t="n">
        <x:v>24</x:v>
      </x:c>
      <x:c r="E24" s="64" t="str">
        <x:v>Growing expansion</x:v>
      </x:c>
      <x:c r="F24" s="64" t="str">
        <x:v>Intentional multi-million sink</x:v>
      </x:c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 t="n">
        <x:v>24</x:v>
      </x:c>
      <x:c r="B25" s="64" t="n">
        <x:v>23</x:v>
      </x:c>
      <x:c r="C25" s="100" t="n">
        <x:v>7200000</x:v>
      </x:c>
      <x:c r="D25" s="64" t="n">
        <x:v>24</x:v>
      </x:c>
      <x:c r="E25" s="64" t="str">
        <x:v>Growing expansion</x:v>
      </x:c>
      <x:c r="F25" s="64" t="str">
        <x:v>Intentional multi-million sink</x:v>
      </x:c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 t="n">
        <x:v>25</x:v>
      </x:c>
      <x:c r="B26" s="64" t="n">
        <x:v>24</x:v>
      </x:c>
      <x:c r="C26" s="100" t="n">
        <x:v>9000000</x:v>
      </x:c>
      <x:c r="D26" s="64" t="n">
        <x:v>26</x:v>
      </x:c>
      <x:c r="E26" s="64" t="str">
        <x:v>Growing expansion</x:v>
      </x:c>
      <x:c r="F26" s="64" t="str">
        <x:v>Intentional multi-million sink</x:v>
      </x:c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 t="n">
        <x:v>26</x:v>
      </x:c>
      <x:c r="B27" s="64" t="n">
        <x:v>24</x:v>
      </x:c>
      <x:c r="C27" s="100" t="n">
        <x:v>11000000</x:v>
      </x:c>
      <x:c r="D27" s="64" t="n">
        <x:v>26</x:v>
      </x:c>
      <x:c r="E27" s="64" t="str">
        <x:v>High-cost Growing</x:v>
      </x:c>
      <x:c r="F27" s="64" t="str">
        <x:v>Intentional multi-million sink</x:v>
      </x:c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 t="n">
        <x:v>27</x:v>
      </x:c>
      <x:c r="B28" s="64" t="n">
        <x:v>25</x:v>
      </x:c>
      <x:c r="C28" s="100" t="n">
        <x:v>13500000</x:v>
      </x:c>
      <x:c r="D28" s="64" t="n">
        <x:v>28</x:v>
      </x:c>
      <x:c r="E28" s="64" t="str">
        <x:v>High-cost Growing</x:v>
      </x:c>
      <x:c r="F28" s="64" t="str">
        <x:v>Intentional multi-million sink</x:v>
      </x:c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 t="n">
        <x:v>28</x:v>
      </x:c>
      <x:c r="B29" s="64" t="n">
        <x:v>25</x:v>
      </x:c>
      <x:c r="C29" s="100" t="n">
        <x:v>16000000</x:v>
      </x:c>
      <x:c r="D29" s="64" t="n">
        <x:v>28</x:v>
      </x:c>
      <x:c r="E29" s="64" t="str">
        <x:v>High-cost Growing</x:v>
      </x:c>
      <x:c r="F29" s="64" t="str">
        <x:v>Intentional multi-million sink</x:v>
      </x:c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 t="n">
        <x:v>29</x:v>
      </x:c>
      <x:c r="B30" s="64" t="n">
        <x:v>26</x:v>
      </x:c>
      <x:c r="C30" s="100" t="n">
        <x:v>19000000</x:v>
      </x:c>
      <x:c r="D30" s="64" t="n">
        <x:v>30</x:v>
      </x:c>
      <x:c r="E30" s="64" t="str">
        <x:v>High-cost Growing</x:v>
      </x:c>
      <x:c r="F30" s="64" t="str">
        <x:v>Intentional multi-million sink</x:v>
      </x:c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 t="n">
        <x:v>30</x:v>
      </x:c>
      <x:c r="B31" s="64" t="n">
        <x:v>26</x:v>
      </x:c>
      <x:c r="C31" s="100" t="n">
        <x:v>22000000</x:v>
      </x:c>
      <x:c r="D31" s="64" t="n">
        <x:v>30</x:v>
      </x:c>
      <x:c r="E31" s="64" t="str">
        <x:v>High-cost Growing</x:v>
      </x:c>
      <x:c r="F31" s="64" t="str">
        <x:v>Intentional multi-million sink</x:v>
      </x:c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 t="n">
        <x:v>31</x:v>
      </x:c>
      <x:c r="B32" s="64" t="n">
        <x:v>27</x:v>
      </x:c>
      <x:c r="C32" s="100" t="n">
        <x:v>26000000</x:v>
      </x:c>
      <x:c r="D32" s="64" t="n">
        <x:v>31</x:v>
      </x:c>
      <x:c r="E32" s="64" t="str">
        <x:v>Late-Growing premium / trophy</x:v>
      </x:c>
      <x:c r="F32" s="64" t="str">
        <x:v>Intentional multi-million sink</x:v>
      </x:c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 t="n">
        <x:v>32</x:v>
      </x:c>
      <x:c r="B33" s="64" t="n">
        <x:v>28</x:v>
      </x:c>
      <x:c r="C33" s="100" t="n">
        <x:v>30000000</x:v>
      </x:c>
      <x:c r="D33" s="64" t="n">
        <x:v>32</x:v>
      </x:c>
      <x:c r="E33" s="64" t="str">
        <x:v>Late-Growing premium / trophy</x:v>
      </x:c>
      <x:c r="F33" s="64" t="str">
        <x:v>Intentional multi-million sink</x:v>
      </x:c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 t="n">
        <x:v>33</x:v>
      </x:c>
      <x:c r="B34" s="64" t="n">
        <x:v>29</x:v>
      </x:c>
      <x:c r="C34" s="100" t="n">
        <x:v>35000000</x:v>
      </x:c>
      <x:c r="D34" s="64" t="n">
        <x:v>34</x:v>
      </x:c>
      <x:c r="E34" s="64" t="str">
        <x:v>Late-Growing premium / trophy</x:v>
      </x:c>
      <x:c r="F34" s="64" t="str">
        <x:v>Intentional multi-million sink</x:v>
      </x:c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 t="n">
        <x:v>34</x:v>
      </x:c>
      <x:c r="B35" s="64" t="n">
        <x:v>29</x:v>
      </x:c>
      <x:c r="C35" s="100" t="n">
        <x:v>42000000</x:v>
      </x:c>
      <x:c r="D35" s="64" t="n">
        <x:v>34</x:v>
      </x:c>
      <x:c r="E35" s="64" t="str">
        <x:v>Late-Growing premium / trophy</x:v>
      </x:c>
      <x:c r="F35" s="64" t="str">
        <x:v>Intentional multi-million sink</x:v>
      </x:c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 t="n">
        <x:v>35</x:v>
      </x:c>
      <x:c r="B36" s="64" t="n">
        <x:v>30</x:v>
      </x:c>
      <x:c r="C36" s="100" t="n">
        <x:v>50000000</x:v>
      </x:c>
      <x:c r="D36" s="64" t="n">
        <x:v>35</x:v>
      </x:c>
      <x:c r="E36" s="64" t="str">
        <x:v>Late-Growing premium / trophy</x:v>
      </x:c>
      <x:c r="F36" s="64" t="str">
        <x:v>Intentional multi-million sink</x:v>
      </x:c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</x:sheetData>
  <x:conditionalFormatting sqref="C2:C3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{1EC21244-20D9-B4F4-E5C0-2A8DAEA09E79}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EC21244-20D9-B4F4-E5C0-2A8DAEA09E79}">
            <x14:dataBar gradient="1">
              <x14:cfvo type="min"/>
              <x14:cfvo type="max"/>
              <x14:fillColor rgb="FFA02B93"/>
            </x14:dataBar>
          </x14:cfRule>
          <xm:sqref>C2:C36</xm:sqref>
        </x14:conditionalFormatting>
      </x14:conditionalFormattings>
    </x:ext>
  </x:extLst>
</x:worksheet>
</file>