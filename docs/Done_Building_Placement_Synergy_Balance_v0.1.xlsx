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426a04104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8c500ef9348d4865"/>
    <x:sheet xmlns:r="http://schemas.openxmlformats.org/officeDocument/2006/relationships" name="01_Assumptions" sheetId="2" r:id="Rffec30caa7f246ef"/>
    <x:sheet xmlns:r="http://schemas.openxmlformats.org/officeDocument/2006/relationships" name="02_Building_Footprints" sheetId="3" r:id="R74a94506d63c4425"/>
    <x:sheet xmlns:r="http://schemas.openxmlformats.org/officeDocument/2006/relationships" name="03_Placement_Rules" sheetId="4" r:id="R504f3a3b011a4e42"/>
    <x:sheet xmlns:r="http://schemas.openxmlformats.org/officeDocument/2006/relationships" name="04_Family_Synergy_Matrix" sheetId="5" r:id="R00321b2b3b354a82"/>
    <x:sheet xmlns:r="http://schemas.openxmlformats.org/officeDocument/2006/relationships" name="05_Detailed_Synergies" sheetId="6" r:id="Raeffb0b5f37e4614"/>
    <x:sheet xmlns:r="http://schemas.openxmlformats.org/officeDocument/2006/relationships" name="06_Congestion_Duplicates" sheetId="7" r:id="R4ed21dd51b734e1f"/>
    <x:sheet xmlns:r="http://schemas.openxmlformats.org/officeDocument/2006/relationships" name="07_Special_Tiles" sheetId="8" r:id="R287b7430050e4d01"/>
    <x:sheet xmlns:r="http://schemas.openxmlformats.org/officeDocument/2006/relationships" name="08_District_Bonuses" sheetId="9" r:id="Rc0a06969cd0f4e82"/>
    <x:sheet xmlns:r="http://schemas.openxmlformats.org/officeDocument/2006/relationships" name="09_Relocation_Upgrades" sheetId="10" r:id="Rc8d843db6e5d41cc"/>
    <x:sheet xmlns:r="http://schemas.openxmlformats.org/officeDocument/2006/relationships" name="10_Placement_Score" sheetId="11" r:id="R84c69150352b467d"/>
    <x:sheet xmlns:r="http://schemas.openxmlformats.org/officeDocument/2006/relationships" name="11_Board_Simulations" sheetId="12" r:id="Rdce1f2fc6e52491c"/>
    <x:sheet xmlns:r="http://schemas.openxmlformats.org/officeDocument/2006/relationships" name="12_Example_Layouts" sheetId="13" r:id="Re510c69283044777"/>
    <x:sheet xmlns:r="http://schemas.openxmlformats.org/officeDocument/2006/relationships" name="13_Merged_Plot_Compatibility" sheetId="14" r:id="Rcec577b5877a45e2"/>
    <x:sheet xmlns:r="http://schemas.openxmlformats.org/officeDocument/2006/relationships" name="14_LiveOps" sheetId="15" r:id="R66dd586b5c414ffd"/>
    <x:sheet xmlns:r="http://schemas.openxmlformats.org/officeDocument/2006/relationships" name="15_Technical_Rules" sheetId="16" r:id="R388b849c358647ec"/>
    <x:sheet xmlns:r="http://schemas.openxmlformats.org/officeDocument/2006/relationships" name="16_Model_Checks" sheetId="17" r:id="Re0f3ed93fd50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#,##0;[Red](#,##0);-"/>
    <x:numFmt numFmtId="202" formatCode="0.00;[Red](0.00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D8A93A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47">
    <x:dxf>
      <x:fill>
        <x:patternFill patternType="solid">
          <x:bgColor rgb="FFFFF200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</x:font>
      <x:fill>
        <x:patternFill patternType="solid">
          <x:bgColor rgb="FFDDEFE2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F7F1E3"/>
        </x:patternFill>
      </x:fill>
    </x:dxf>
    <x:dxf>
      <x:fill>
        <x:patternFill patternType="solid">
          <x:bgColor rgb="FFF5D6D6"/>
        </x:patternFill>
      </x:fill>
    </x:dxf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224146cbb40c4" /><Relationship Type="http://schemas.openxmlformats.org/officeDocument/2006/relationships/theme" Target="/xl/theme/theme1.xml" Id="R59a238fd20da4e0f" /><Relationship Type="http://schemas.openxmlformats.org/officeDocument/2006/relationships/sharedStrings" Target="/xl/sharedStrings.xml" Id="Raa0138ac736744fc" /><Relationship Type="http://schemas.openxmlformats.org/officeDocument/2006/relationships/worksheet" Target="/xl/worksheets/sheet1.xml" Id="R8c500ef9348d4865" /><Relationship Type="http://schemas.openxmlformats.org/officeDocument/2006/relationships/worksheet" Target="/xl/worksheets/sheet2.xml" Id="Rffec30caa7f246ef" /><Relationship Type="http://schemas.openxmlformats.org/officeDocument/2006/relationships/worksheet" Target="/xl/worksheets/sheet3.xml" Id="R74a94506d63c4425" /><Relationship Type="http://schemas.openxmlformats.org/officeDocument/2006/relationships/worksheet" Target="/xl/worksheets/sheet4.xml" Id="R504f3a3b011a4e42" /><Relationship Type="http://schemas.openxmlformats.org/officeDocument/2006/relationships/worksheet" Target="/xl/worksheets/sheet5.xml" Id="R00321b2b3b354a82" /><Relationship Type="http://schemas.openxmlformats.org/officeDocument/2006/relationships/worksheet" Target="/xl/worksheets/sheet6.xml" Id="Raeffb0b5f37e4614" /><Relationship Type="http://schemas.openxmlformats.org/officeDocument/2006/relationships/worksheet" Target="/xl/worksheets/sheet7.xml" Id="R4ed21dd51b734e1f" /><Relationship Type="http://schemas.openxmlformats.org/officeDocument/2006/relationships/worksheet" Target="/xl/worksheets/sheet8.xml" Id="R287b7430050e4d01" /><Relationship Type="http://schemas.openxmlformats.org/officeDocument/2006/relationships/worksheet" Target="/xl/worksheets/sheet9.xml" Id="Rc0a06969cd0f4e82" /><Relationship Type="http://schemas.openxmlformats.org/officeDocument/2006/relationships/worksheet" Target="/xl/worksheets/sheet10.xml" Id="Rc8d843db6e5d41cc" /><Relationship Type="http://schemas.openxmlformats.org/officeDocument/2006/relationships/worksheet" Target="/xl/worksheets/sheet11.xml" Id="R84c69150352b467d" /><Relationship Type="http://schemas.openxmlformats.org/officeDocument/2006/relationships/worksheet" Target="/xl/worksheets/sheet12.xml" Id="Rdce1f2fc6e52491c" /><Relationship Type="http://schemas.openxmlformats.org/officeDocument/2006/relationships/worksheet" Target="/xl/worksheets/sheet13.xml" Id="Re510c69283044777" /><Relationship Type="http://schemas.openxmlformats.org/officeDocument/2006/relationships/worksheet" Target="/xl/worksheets/sheet14.xml" Id="Rcec577b5877a45e2" /><Relationship Type="http://schemas.openxmlformats.org/officeDocument/2006/relationships/worksheet" Target="/xl/worksheets/sheet15.xml" Id="R66dd586b5c414ffd" /><Relationship Type="http://schemas.openxmlformats.org/officeDocument/2006/relationships/worksheet" Target="/xl/worksheets/sheet16.xml" Id="R388b849c358647ec" /><Relationship Type="http://schemas.openxmlformats.org/officeDocument/2006/relationships/worksheet" Target="/xl/worksheets/sheet17.xml" Id="Re0f3ed93fd5049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ca2befd67644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Board occupancy through progression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Tiles Used</c:v>
          </c:tx>
          <c:cat>
            <c:strRef>
              <c:f>'00_Dashboard'!$A$28:$A$34</c:f>
              <c:strCache>
                <c:ptCount val="0"/>
              </c:strCache>
            </c:strRef>
          </c:cat>
          <c:val>
            <c:numRef>
              <c:f>'00_Dashboard'!$B$28:$B$34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Total Tiles</c:v>
          </c:tx>
          <c:cat>
            <c:strRef>
              <c:f>'00_Dashboard'!$A$28:$A$34</c:f>
              <c:strCache>
                <c:ptCount val="0"/>
              </c:strCache>
            </c:strRef>
          </c:cat>
          <c:val>
            <c:numRef>
              <c:f>'00_Dashboard'!$C$28:$C$34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Occupancy</c:v>
          </c:tx>
          <c:cat>
            <c:strRef>
              <c:f>'00_Dashboard'!$A$28:$A$34</c:f>
              <c:strCache>
                <c:ptCount val="0"/>
              </c:strCache>
            </c:strRef>
          </c:cat>
          <c:val>
            <c:numRef>
              <c:f>'00_Dashboard'!$D$28:$D$34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26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ca2befd676449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16a01703f14af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PLOT — Building Placement &amp; Synergy Balance v0.1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22"/>
      <x:c r="N1" s="22"/>
      <x:c r="O1" s="22"/>
      <x:c r="P1" s="22"/>
      <x:c r="Q1" s="22"/>
    </x:row>
    <x:row r="3">
      <x:c r="A3" s="14" t="str">
        <x:v>System Goal</x:v>
      </x:c>
      <x:c r="B3" s="14" t="str">
        <x:v>Base Board</x:v>
      </x:c>
      <x:c r="C3" s="14" t="str">
        <x:v>Total Tiles</x:v>
      </x:c>
      <x:c r="D3" s="14" t="str">
        <x:v>Footprint Classes</x:v>
      </x:c>
      <x:c r="E3" s="14" t="str">
        <x:v>Direct Adjacency</x:v>
      </x:c>
      <x:c r="F3" s="14" t="str">
        <x:v>Support Radius</x:v>
      </x:c>
      <x:c r="G3" s="14" t="str">
        <x:v>Diagonal Rule</x:v>
      </x:c>
      <x:c r="H3" s="14" t="str">
        <x:v>Synergy Stack Cap</x:v>
      </x:c>
      <x:c r="I3" s="14" t="str">
        <x:v>Relocation Rule</x:v>
      </x:c>
      <x:c r="J3" s="14" t="str">
        <x:v>Upgrade Footprint Rule</x:v>
      </x:c>
      <x:c r="K3" s="14" t="str">
        <x:v>Special Tiles</x:v>
      </x:c>
      <x:c r="L3" s="14" t="str">
        <x:v>Core Principle</x:v>
      </x:c>
    </x:row>
    <x:row r="4">
      <x:c r="A4" s="24" t="str">
        <x:v>Make the 12×12 board a strategic financial operating system rather than a storage grid</x:v>
      </x:c>
      <x:c r="B4" s="25" t="str">
        <x:v>12×12</x:v>
      </x:c>
      <x:c r="C4" s="25" t="n">
        <x:v>144</x:v>
      </x:c>
      <x:c r="D4" s="25" t="n">
        <x:v>6</x:v>
      </x:c>
      <x:c r="E4" s="25" t="str">
        <x:v>Shared edge</x:v>
      </x:c>
      <x:c r="F4" s="25" t="str">
        <x:v>Manhattan radius 2</x:v>
      </x:c>
      <x:c r="G4" s="25" t="str">
        <x:v>Does not count by default</x:v>
      </x:c>
      <x:c r="H4" s="25" t="str">
        <x:v>4 effective bonuses / building</x:v>
      </x:c>
      <x:c r="I4" s="25" t="str">
        <x:v>Allowed outside event cooldowns</x:v>
      </x:c>
      <x:c r="J4" s="25" t="str">
        <x:v>Upgrades keep footprint fixed</x:v>
      </x:c>
      <x:c r="K4" s="25" t="str">
        <x:v>Small, deterministic bonuses</x:v>
      </x:c>
      <x:c r="L4" s="26" t="str">
        <x:v>Placement should create tradeoffs without one solved meta</x:v>
      </x:c>
    </x:row>
    <x:row r="6" ht="22" customHeight="1">
      <x:c r="A6" s="31" t="str">
        <x:v>Placement Architecture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14" t="str">
        <x:v>Rule</x:v>
      </x:c>
      <x:c r="B7" s="14" t="str">
        <x:v>Default</x:v>
      </x:c>
      <x:c r="C7" s="14" t="str">
        <x:v>Why</x:v>
      </x:c>
      <x:c r="D7" s="14" t="str">
        <x:v>Humble</x:v>
      </x:c>
      <x:c r="E7" s="14" t="str">
        <x:v>Starter</x:v>
      </x:c>
      <x:c r="F7" s="14" t="str">
        <x:v>Growing</x:v>
      </x:c>
      <x:c r="G7" s="14" t="str">
        <x:v>Established</x:v>
      </x:c>
      <x:c r="H7" s="14" t="str">
        <x:v>Elite/Tycoon</x:v>
      </x:c>
    </x:row>
    <x:row r="8">
      <x:c r="A8" s="34" t="str">
        <x:v>Direct synergy</x:v>
      </x:c>
      <x:c r="B8" s="35" t="str">
        <x:v>Orthogonal edge-sharing</x:v>
      </x:c>
      <x:c r="C8" s="35" t="str">
        <x:v>Easy to read visually</x:v>
      </x:c>
      <x:c r="D8" s="35" t="str">
        <x:v>Yes</x:v>
      </x:c>
      <x:c r="E8" s="35" t="str">
        <x:v>Yes</x:v>
      </x:c>
      <x:c r="F8" s="35" t="str">
        <x:v>Yes</x:v>
      </x:c>
      <x:c r="G8" s="35" t="str">
        <x:v>Yes</x:v>
      </x:c>
      <x:c r="H8" s="36" t="str">
        <x:v>Yes</x:v>
      </x:c>
    </x:row>
    <x:row r="9">
      <x:c r="A9" s="37" t="str">
        <x:v>Support synergy</x:v>
      </x:c>
      <x:c r="B9" s="22" t="str">
        <x:v>Radius 2 Manhattan</x:v>
      </x:c>
      <x:c r="C9" s="22" t="str">
        <x:v>Lets infrastructure serve clusters</x:v>
      </x:c>
      <x:c r="D9" s="22" t="str">
        <x:v>Limited</x:v>
      </x:c>
      <x:c r="E9" s="22" t="str">
        <x:v>Yes</x:v>
      </x:c>
      <x:c r="F9" s="22" t="str">
        <x:v>Yes</x:v>
      </x:c>
      <x:c r="G9" s="22" t="str">
        <x:v>Yes</x:v>
      </x:c>
      <x:c r="H9" s="38" t="str">
        <x:v>Yes</x:v>
      </x:c>
    </x:row>
    <x:row r="10">
      <x:c r="A10" s="37" t="str">
        <x:v>Diagonal adjacency</x:v>
      </x:c>
      <x:c r="B10" s="22" t="str">
        <x:v>No</x:v>
      </x:c>
      <x:c r="C10" s="22" t="str">
        <x:v>Avoid ambiguous layouts</x:v>
      </x:c>
      <x:c r="D10" s="22" t="str">
        <x:v>No</x:v>
      </x:c>
      <x:c r="E10" s="22" t="str">
        <x:v>No</x:v>
      </x:c>
      <x:c r="F10" s="22" t="str">
        <x:v>No</x:v>
      </x:c>
      <x:c r="G10" s="22" t="str">
        <x:v>No</x:v>
      </x:c>
      <x:c r="H10" s="38" t="str">
        <x:v>No</x:v>
      </x:c>
    </x:row>
    <x:row r="11">
      <x:c r="A11" s="37" t="str">
        <x:v>Rotation</x:v>
      </x:c>
      <x:c r="B11" s="22" t="str">
        <x:v>Allowed for non-square cards</x:v>
      </x:c>
      <x:c r="C11" s="22" t="str">
        <x:v>Improves board planning</x:v>
      </x:c>
      <x:c r="D11" s="22" t="str">
        <x:v>Yes</x:v>
      </x:c>
      <x:c r="E11" s="22" t="str">
        <x:v>Yes</x:v>
      </x:c>
      <x:c r="F11" s="22" t="str">
        <x:v>Yes</x:v>
      </x:c>
      <x:c r="G11" s="22" t="str">
        <x:v>Yes</x:v>
      </x:c>
      <x:c r="H11" s="38" t="str">
        <x:v>Yes</x:v>
      </x:c>
    </x:row>
    <x:row r="12">
      <x:c r="A12" s="37" t="str">
        <x:v>Reposition</x:v>
      </x:c>
      <x:c r="B12" s="22" t="str">
        <x:v>Free in Build Mode before confirmation; paid after operation</x:v>
      </x:c>
      <x:c r="C12" s="22" t="str">
        <x:v>Prevents accidental punishment</x:v>
      </x:c>
      <x:c r="D12" s="22" t="str">
        <x:v>Yes</x:v>
      </x:c>
      <x:c r="E12" s="22" t="str">
        <x:v>Yes</x:v>
      </x:c>
      <x:c r="F12" s="22" t="str">
        <x:v>Yes</x:v>
      </x:c>
      <x:c r="G12" s="22" t="str">
        <x:v>Yes</x:v>
      </x:c>
      <x:c r="H12" s="38" t="str">
        <x:v>Yes</x:v>
      </x:c>
    </x:row>
    <x:row r="13">
      <x:c r="A13" s="37" t="str">
        <x:v>Upgrade footprint</x:v>
      </x:c>
      <x:c r="B13" s="22" t="str">
        <x:v>Fixed</x:v>
      </x:c>
      <x:c r="C13" s="22" t="str">
        <x:v>No board destruction from upgrades</x:v>
      </x:c>
      <x:c r="D13" s="22" t="str">
        <x:v>Yes</x:v>
      </x:c>
      <x:c r="E13" s="22" t="str">
        <x:v>Yes</x:v>
      </x:c>
      <x:c r="F13" s="22" t="str">
        <x:v>Yes</x:v>
      </x:c>
      <x:c r="G13" s="22" t="str">
        <x:v>Yes</x:v>
      </x:c>
      <x:c r="H13" s="38" t="str">
        <x:v>Yes</x:v>
      </x:c>
    </x:row>
    <x:row r="14">
      <x:c r="A14" s="37" t="str">
        <x:v>Duplicate penalty</x:v>
      </x:c>
      <x:c r="B14" s="22" t="str">
        <x:v>Diminishing family density after threshold</x:v>
      </x:c>
      <x:c r="C14" s="22" t="str">
        <x:v>Avoid single-family spam</x:v>
      </x:c>
      <x:c r="D14" s="22" t="str">
        <x:v>Light</x:v>
      </x:c>
      <x:c r="E14" s="22" t="str">
        <x:v>Light</x:v>
      </x:c>
      <x:c r="F14" s="22" t="str">
        <x:v>Yes</x:v>
      </x:c>
      <x:c r="G14" s="22" t="str">
        <x:v>Yes</x:v>
      </x:c>
      <x:c r="H14" s="38" t="str">
        <x:v>Yes</x:v>
      </x:c>
    </x:row>
    <x:row r="15">
      <x:c r="A15" s="39" t="str">
        <x:v>Infrastructure requirement</x:v>
      </x:c>
      <x:c r="B15" s="40" t="str">
        <x:v>Soft capacity support</x:v>
      </x:c>
      <x:c r="C15" s="40" t="str">
        <x:v>Makes Data/Treasury/Research meaningful</x:v>
      </x:c>
      <x:c r="D15" s="40" t="str">
        <x:v>No</x:v>
      </x:c>
      <x:c r="E15" s="40" t="str">
        <x:v>Light</x:v>
      </x:c>
      <x:c r="F15" s="40" t="str">
        <x:v>Yes</x:v>
      </x:c>
      <x:c r="G15" s="40" t="str">
        <x:v>Yes</x:v>
      </x:c>
      <x:c r="H15" s="41" t="str">
        <x:v>Yes</x:v>
      </x:c>
    </x:row>
    <x:row r="17" ht="22" customHeight="1">
      <x:c r="A17" s="31" t="str">
        <x:v>Balance North Star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14" t="str">
        <x:v>Question</x:v>
      </x:c>
      <x:c r="B18" s="14" t="str">
        <x:v>Desired Answer</x:v>
      </x:c>
    </x:row>
    <x:row r="19">
      <x:c r="A19" s="34" t="str">
        <x:v>Should adjacent buildings always be better?</x:v>
      </x:c>
      <x:c r="B19" s="36" t="str">
        <x:v>No. Only financially logical relationships create benefits.</x:v>
      </x:c>
    </x:row>
    <x:row r="20">
      <x:c r="A20" s="37" t="str">
        <x:v>Should one layout dominate?</x:v>
      </x:c>
      <x:c r="B20" s="38" t="str">
        <x:v>No. Banking, trading, fund, wealth and diversified layouts should all be viable.</x:v>
      </x:c>
    </x:row>
    <x:row r="21">
      <x:c r="A21" s="37" t="str">
        <x:v>Should large buildings always be superior?</x:v>
      </x:c>
      <x:c r="B21" s="38" t="str">
        <x:v>No. They offer capacity and efficiency but consume scarce board space.</x:v>
      </x:c>
    </x:row>
    <x:row r="22">
      <x:c r="A22" s="37" t="str">
        <x:v>Should upgrades resize cards?</x:v>
      </x:c>
      <x:c r="B22" s="38" t="str">
        <x:v>No in v0.1. Upgrades improve the same card footprint.</x:v>
      </x:c>
    </x:row>
    <x:row r="23">
      <x:c r="A23" s="39" t="str">
        <x:v>Should land itself create payout?</x:v>
      </x:c>
      <x:c r="B23" s="41" t="str">
        <x:v>No. Land and placement create productive capacity; Performance Score still requires actual activity.</x:v>
      </x:c>
    </x:row>
    <x:row r="26" ht="22" customHeight="1">
      <x:c r="A26" s="31" t="str">
        <x:v>Board Space Progression</x:v>
      </x:c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</x:row>
    <x:row r="27">
      <x:c r="A27" s="14" t="str">
        <x:v>Scenario</x:v>
      </x:c>
      <x:c r="B27" s="14" t="str">
        <x:v>Tiles Used</x:v>
      </x:c>
      <x:c r="C27" s="14" t="str">
        <x:v>Total Tiles</x:v>
      </x:c>
      <x:c r="D27" s="14" t="str">
        <x:v>Occupancy</x:v>
      </x:c>
    </x:row>
    <x:row r="28">
      <x:c r="A28" s="34" t="str">
        <x:v>Humble graduation</x:v>
      </x:c>
      <x:c r="B28" s="60" t="n">
        <x:v>11</x:v>
      </x:c>
      <x:c r="C28" s="60" t="n">
        <x:v>144</x:v>
      </x:c>
      <x:c r="D28" s="84" t="n">
        <x:f>B28/C28</x:f>
        <x:v>0.0763888888888889</x:v>
      </x:c>
    </x:row>
    <x:row r="29">
      <x:c r="A29" s="37" t="str">
        <x:v>Starter finance strip</x:v>
      </x:c>
      <x:c r="B29" s="61" t="n">
        <x:v>24</x:v>
      </x:c>
      <x:c r="C29" s="61" t="n">
        <x:v>144</x:v>
      </x:c>
      <x:c r="D29" s="85" t="n">
        <x:f>B29/C29</x:f>
        <x:v>0.16666666666666666</x:v>
      </x:c>
    </x:row>
    <x:row r="30">
      <x:c r="A30" s="37" t="str">
        <x:v>Growing trading district</x:v>
      </x:c>
      <x:c r="B30" s="61" t="n">
        <x:v>43</x:v>
      </x:c>
      <x:c r="C30" s="61" t="n">
        <x:v>144</x:v>
      </x:c>
      <x:c r="D30" s="85" t="n">
        <x:f>B30/C30</x:f>
        <x:v>0.2986111111111111</x:v>
      </x:c>
    </x:row>
    <x:row r="31">
      <x:c r="A31" s="37" t="str">
        <x:v>Established diversified center</x:v>
      </x:c>
      <x:c r="B31" s="61" t="n">
        <x:v>69</x:v>
      </x:c>
      <x:c r="C31" s="61" t="n">
        <x:v>144</x:v>
      </x:c>
      <x:c r="D31" s="85" t="n">
        <x:f>B31/C31</x:f>
        <x:v>0.4791666666666667</x:v>
      </x:c>
    </x:row>
    <x:row r="32">
      <x:c r="A32" s="37" t="str">
        <x:v>Elite single Plot</x:v>
      </x:c>
      <x:c r="B32" s="61" t="n">
        <x:v>88</x:v>
      </x:c>
      <x:c r="C32" s="61" t="n">
        <x:v>144</x:v>
      </x:c>
      <x:c r="D32" s="85" t="n">
        <x:f>B32/C32</x:f>
        <x:v>0.6111111111111112</x:v>
      </x:c>
    </x:row>
    <x:row r="33">
      <x:c r="A33" s="37" t="str">
        <x:v>Tycoon single Plot</x:v>
      </x:c>
      <x:c r="B33" s="61" t="n">
        <x:v>104</x:v>
      </x:c>
      <x:c r="C33" s="61" t="n">
        <x:v>144</x:v>
      </x:c>
      <x:c r="D33" s="85" t="n">
        <x:f>B33/C33</x:f>
        <x:v>0.7222222222222222</x:v>
      </x:c>
    </x:row>
    <x:row r="34">
      <x:c r="A34" s="39" t="str">
        <x:v>Tycoon merged 2 Plots</x:v>
      </x:c>
      <x:c r="B34" s="62" t="n">
        <x:v>188</x:v>
      </x:c>
      <x:c r="C34" s="62" t="n">
        <x:v>288</x:v>
      </x:c>
      <x:c r="D34" s="86" t="n">
        <x:f>B34/C34</x:f>
        <x:v>0.6527777777777778</x:v>
      </x:c>
    </x:row>
  </x:sheetData>
  <x:mergeCells>
    <x:mergeCell ref="A1:L1"/>
    <x:mergeCell ref="A6:L6"/>
    <x:mergeCell ref="A17:L17"/>
    <x:mergeCell ref="A26:L26"/>
  </x:mergeCells>
  <x:pageMargins left="0.7" right="0.7" top="0.75" bottom="0.75" header="0.3" footer="0.3"/>
  <x:drawing xmlns:r="http://schemas.openxmlformats.org/officeDocument/2006/relationships" r:id="R3e16a01703f14aff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Placement &amp; Synergy Global Assumptions</x:v>
      </x:c>
      <x:c r="B1" s="92"/>
      <x:c r="C1" s="92"/>
      <x:c r="D1" s="92"/>
      <x:c r="E1" s="92"/>
      <x:c r="F1" s="92"/>
      <x:c r="G1" s="92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Parameter</x:v>
      </x:c>
      <x:c r="B3" s="14" t="str">
        <x:v>Value</x:v>
      </x:c>
      <x:c r="C3" s="14" t="str">
        <x:v>Unit</x:v>
      </x:c>
      <x:c r="D3" s="14" t="str">
        <x:v>Editable?</x:v>
      </x:c>
      <x:c r="E3" s="14" t="str">
        <x:v>Purpose</x:v>
      </x:c>
      <x:c r="F3" s="14" t="str">
        <x:v>Recommended Range</x:v>
      </x:c>
      <x:c r="G3" s="14" t="str">
        <x:v>Notes</x:v>
      </x:c>
    </x:row>
    <x:row r="4">
      <x:c r="A4" s="34" t="str">
        <x:v>Board Width</x:v>
      </x:c>
      <x:c r="B4" s="50" t="n">
        <x:v>12</x:v>
      </x:c>
      <x:c r="C4" s="35" t="str">
        <x:v>tiles</x:v>
      </x:c>
      <x:c r="D4" s="35" t="str">
        <x:v>No</x:v>
      </x:c>
      <x:c r="E4" s="35" t="str">
        <x:v>Base Plot width</x:v>
      </x:c>
      <x:c r="F4" s="35" t="str">
        <x:v>12</x:v>
      </x:c>
      <x:c r="G4" s="36" t="str"/>
    </x:row>
    <x:row r="5">
      <x:c r="A5" s="37" t="str">
        <x:v>Board Height</x:v>
      </x:c>
      <x:c r="B5" s="51" t="n">
        <x:v>12</x:v>
      </x:c>
      <x:c r="C5" s="22" t="str">
        <x:v>tiles</x:v>
      </x:c>
      <x:c r="D5" s="22" t="str">
        <x:v>No</x:v>
      </x:c>
      <x:c r="E5" s="22" t="str">
        <x:v>Base Plot height</x:v>
      </x:c>
      <x:c r="F5" s="22" t="str">
        <x:v>12</x:v>
      </x:c>
      <x:c r="G5" s="38" t="str"/>
    </x:row>
    <x:row r="6">
      <x:c r="A6" s="37" t="str">
        <x:v>Total Base Tiles</x:v>
      </x:c>
      <x:c r="B6" s="51" t="n">
        <x:v>144</x:v>
      </x:c>
      <x:c r="C6" s="22" t="str">
        <x:v>tiles</x:v>
      </x:c>
      <x:c r="D6" s="22" t="str">
        <x:v>No</x:v>
      </x:c>
      <x:c r="E6" s="22" t="str">
        <x:v>Base Plot area</x:v>
      </x:c>
      <x:c r="F6" s="22" t="str">
        <x:v>144</x:v>
      </x:c>
      <x:c r="G6" s="38" t="str">
        <x:v>12×12</x:v>
      </x:c>
    </x:row>
    <x:row r="7">
      <x:c r="A7" s="37" t="str">
        <x:v>Direct Synergy Radius</x:v>
      </x:c>
      <x:c r="B7" s="51" t="n">
        <x:v>1</x:v>
      </x:c>
      <x:c r="C7" s="22" t="str">
        <x:v>Manhattan tile</x:v>
      </x:c>
      <x:c r="D7" s="22" t="str">
        <x:v>No</x:v>
      </x:c>
      <x:c r="E7" s="22" t="str">
        <x:v>Edge-sharing relationship</x:v>
      </x:c>
      <x:c r="F7" s="22" t="str">
        <x:v>1</x:v>
      </x:c>
      <x:c r="G7" s="38" t="str">
        <x:v>Diagonals excluded</x:v>
      </x:c>
    </x:row>
    <x:row r="8">
      <x:c r="A8" s="37" t="str">
        <x:v>Support Synergy Radius</x:v>
      </x:c>
      <x:c r="B8" s="51" t="n">
        <x:v>2</x:v>
      </x:c>
      <x:c r="C8" s="22" t="str">
        <x:v>Manhattan tiles</x:v>
      </x:c>
      <x:c r="D8" s="22" t="str">
        <x:v>Yes</x:v>
      </x:c>
      <x:c r="E8" s="22" t="str">
        <x:v>Infrastructure/support coverage</x:v>
      </x:c>
      <x:c r="F8" s="22" t="str">
        <x:v>1–3</x:v>
      </x:c>
      <x:c r="G8" s="38" t="str">
        <x:v>Use building edge-to-edge distance</x:v>
      </x:c>
    </x:row>
    <x:row r="9">
      <x:c r="A9" s="37" t="str">
        <x:v>Max Effective Synergies / Building</x:v>
      </x:c>
      <x:c r="B9" s="51" t="n">
        <x:v>4</x:v>
      </x:c>
      <x:c r="C9" s="22" t="str">
        <x:v>links</x:v>
      </x:c>
      <x:c r="D9" s="22" t="str">
        <x:v>Yes</x:v>
      </x:c>
      <x:c r="E9" s="22" t="str">
        <x:v>Stops adjacency stacking</x:v>
      </x:c>
      <x:c r="F9" s="22" t="str">
        <x:v>3–5</x:v>
      </x:c>
      <x:c r="G9" s="38" t="str">
        <x:v>Extra links may display but add no bonus</x:v>
      </x:c>
    </x:row>
    <x:row r="10">
      <x:c r="A10" s="37" t="str">
        <x:v>Synergy 1 Effectiveness</x:v>
      </x:c>
      <x:c r="B10" s="56" t="n">
        <x:v>1</x:v>
      </x:c>
      <x:c r="C10" s="22" t="str">
        <x:v>% of listed bonus</x:v>
      </x:c>
      <x:c r="D10" s="22" t="str">
        <x:v>Yes</x:v>
      </x:c>
      <x:c r="E10" s="22" t="str">
        <x:v>First synergy</x:v>
      </x:c>
      <x:c r="F10" s="22" t="str">
        <x:v>100%</x:v>
      </x:c>
      <x:c r="G10" s="38" t="str"/>
    </x:row>
    <x:row r="11">
      <x:c r="A11" s="37" t="str">
        <x:v>Synergy 2 Effectiveness</x:v>
      </x:c>
      <x:c r="B11" s="56" t="n">
        <x:v>0.75</x:v>
      </x:c>
      <x:c r="C11" s="22" t="str">
        <x:v>% of listed bonus</x:v>
      </x:c>
      <x:c r="D11" s="22" t="str">
        <x:v>Yes</x:v>
      </x:c>
      <x:c r="E11" s="22" t="str">
        <x:v>Second synergy</x:v>
      </x:c>
      <x:c r="F11" s="22" t="str">
        <x:v>60%–80%</x:v>
      </x:c>
      <x:c r="G11" s="38" t="str"/>
    </x:row>
    <x:row r="12">
      <x:c r="A12" s="37" t="str">
        <x:v>Synergy 3 Effectiveness</x:v>
      </x:c>
      <x:c r="B12" s="56" t="n">
        <x:v>0.5</x:v>
      </x:c>
      <x:c r="C12" s="22" t="str">
        <x:v>% of listed bonus</x:v>
      </x:c>
      <x:c r="D12" s="22" t="str">
        <x:v>Yes</x:v>
      </x:c>
      <x:c r="E12" s="22" t="str">
        <x:v>Third synergy</x:v>
      </x:c>
      <x:c r="F12" s="22" t="str">
        <x:v>40%–60%</x:v>
      </x:c>
      <x:c r="G12" s="38" t="str"/>
    </x:row>
    <x:row r="13">
      <x:c r="A13" s="37" t="str">
        <x:v>Synergy 4 Effectiveness</x:v>
      </x:c>
      <x:c r="B13" s="56" t="n">
        <x:v>0.25</x:v>
      </x:c>
      <x:c r="C13" s="22" t="str">
        <x:v>% of listed bonus</x:v>
      </x:c>
      <x:c r="D13" s="22" t="str">
        <x:v>Yes</x:v>
      </x:c>
      <x:c r="E13" s="22" t="str">
        <x:v>Fourth synergy</x:v>
      </x:c>
      <x:c r="F13" s="22" t="str">
        <x:v>20%–40%</x:v>
      </x:c>
      <x:c r="G13" s="38" t="str"/>
    </x:row>
    <x:row r="14">
      <x:c r="A14" s="37" t="str">
        <x:v>Max Total Positive Placement Bonus</x:v>
      </x:c>
      <x:c r="B14" s="56" t="n">
        <x:v>0.25</x:v>
      </x:c>
      <x:c r="C14" s="22" t="str">
        <x:v>% per building</x:v>
      </x:c>
      <x:c r="D14" s="22" t="str">
        <x:v>Yes</x:v>
      </x:c>
      <x:c r="E14" s="22" t="str">
        <x:v>Prevents runaway stacking</x:v>
      </x:c>
      <x:c r="F14" s="22" t="str">
        <x:v>20%–30%</x:v>
      </x:c>
      <x:c r="G14" s="38" t="str">
        <x:v>Across revenue/activity/capacity weighted effects</x:v>
      </x:c>
    </x:row>
    <x:row r="15">
      <x:c r="A15" s="37" t="str">
        <x:v>Duplicate Family Soft Threshold</x:v>
      </x:c>
      <x:c r="B15" s="51" t="n">
        <x:v>3</x:v>
      </x:c>
      <x:c r="C15" s="22" t="str">
        <x:v>buildings in local cluster</x:v>
      </x:c>
      <x:c r="D15" s="22" t="str">
        <x:v>Yes</x:v>
      </x:c>
      <x:c r="E15" s="22" t="str">
        <x:v>Anti-spam trigger</x:v>
      </x:c>
      <x:c r="F15" s="22" t="str">
        <x:v>2–4</x:v>
      </x:c>
      <x:c r="G15" s="38" t="str">
        <x:v>Cluster = radius 3</x:v>
      </x:c>
    </x:row>
    <x:row r="16">
      <x:c r="A16" s="37" t="str">
        <x:v>Duplicate Family Penalty / Excess Building</x:v>
      </x:c>
      <x:c r="B16" s="56" t="n">
        <x:v>0.04</x:v>
      </x:c>
      <x:c r="C16" s="22" t="str">
        <x:v>% efficiency</x:v>
      </x:c>
      <x:c r="D16" s="22" t="str">
        <x:v>Yes</x:v>
      </x:c>
      <x:c r="E16" s="22" t="str">
        <x:v>Diminishing local returns</x:v>
      </x:c>
      <x:c r="F16" s="22" t="str">
        <x:v>2%–6%</x:v>
      </x:c>
      <x:c r="G16" s="38" t="str">
        <x:v>Applies after threshold</x:v>
      </x:c>
    </x:row>
    <x:row r="17">
      <x:c r="A17" s="37" t="str">
        <x:v>Max Duplicate Penalty</x:v>
      </x:c>
      <x:c r="B17" s="56" t="n">
        <x:v>0.16</x:v>
      </x:c>
      <x:c r="C17" s="22" t="str">
        <x:v>% efficiency</x:v>
      </x:c>
      <x:c r="D17" s="22" t="str">
        <x:v>Yes</x:v>
      </x:c>
      <x:c r="E17" s="22" t="str">
        <x:v>Penalty ceiling</x:v>
      </x:c>
      <x:c r="F17" s="22" t="str">
        <x:v>10%–20%</x:v>
      </x:c>
      <x:c r="G17" s="38" t="str"/>
    </x:row>
    <x:row r="18">
      <x:c r="A18" s="37" t="str">
        <x:v>Relocation Fee</x:v>
      </x:c>
      <x:c r="B18" s="56" t="n">
        <x:v>0.05</x:v>
      </x:c>
      <x:c r="C18" s="22" t="str">
        <x:v>% of current build value</x:v>
      </x:c>
      <x:c r="D18" s="22" t="str">
        <x:v>Yes</x:v>
      </x:c>
      <x:c r="E18" s="22" t="str">
        <x:v>Makes layout changes meaningful</x:v>
      </x:c>
      <x:c r="F18" s="22" t="str">
        <x:v>2%–8%</x:v>
      </x:c>
      <x:c r="G18" s="38" t="str">
        <x:v>Waived first 24h after placement</x:v>
      </x:c>
    </x:row>
    <x:row r="19">
      <x:c r="A19" s="37" t="str">
        <x:v>Relocation Downtime</x:v>
      </x:c>
      <x:c r="B19" s="51" t="n">
        <x:v>15</x:v>
      </x:c>
      <x:c r="C19" s="22" t="str">
        <x:v>minutes</x:v>
      </x:c>
      <x:c r="D19" s="22" t="str">
        <x:v>Yes</x:v>
      </x:c>
      <x:c r="E19" s="22" t="str">
        <x:v>Small friction</x:v>
      </x:c>
      <x:c r="F19" s="22" t="str">
        <x:v>0–60</x:v>
      </x:c>
      <x:c r="G19" s="38" t="str">
        <x:v>No downtime during onboarding</x:v>
      </x:c>
    </x:row>
    <x:row r="20">
      <x:c r="A20" s="37" t="str">
        <x:v>Event Move Lock</x:v>
      </x:c>
      <x:c r="B20" s="51" t="n">
        <x:v>30</x:v>
      </x:c>
      <x:c r="C20" s="22" t="str">
        <x:v>minutes</x:v>
      </x:c>
      <x:c r="D20" s="22" t="str">
        <x:v>Yes</x:v>
      </x:c>
      <x:c r="E20" s="22" t="str">
        <x:v>Prevents event-response exploit</x:v>
      </x:c>
      <x:c r="F20" s="22" t="str">
        <x:v>15–60</x:v>
      </x:c>
      <x:c r="G20" s="38" t="str">
        <x:v>Only for affected buildings</x:v>
      </x:c>
    </x:row>
    <x:row r="21">
      <x:c r="A21" s="37" t="str">
        <x:v>Special Tile Bonus Cap</x:v>
      </x:c>
      <x:c r="B21" s="56" t="n">
        <x:v>0.05</x:v>
      </x:c>
      <x:c r="C21" s="22" t="str">
        <x:v>%</x:v>
      </x:c>
      <x:c r="D21" s="22" t="str">
        <x:v>Yes</x:v>
      </x:c>
      <x:c r="E21" s="22" t="str">
        <x:v>Keeps tile RNG secondary</x:v>
      </x:c>
      <x:c r="F21" s="22" t="str">
        <x:v>3%–7%</x:v>
      </x:c>
      <x:c r="G21" s="38" t="str">
        <x:v>Deterministic tile map preferred</x:v>
      </x:c>
    </x:row>
    <x:row r="22">
      <x:c r="A22" s="37" t="str">
        <x:v>Congestion Trigger</x:v>
      </x:c>
      <x:c r="B22" s="51" t="n">
        <x:v>4</x:v>
      </x:c>
      <x:c r="C22" s="22" t="str">
        <x:v>customer-facing buildings</x:v>
      </x:c>
      <x:c r="D22" s="22" t="str">
        <x:v>Yes</x:v>
      </x:c>
      <x:c r="E22" s="22" t="str">
        <x:v>Dense cluster threshold</x:v>
      </x:c>
      <x:c r="F22" s="22" t="str">
        <x:v>3–5</x:v>
      </x:c>
      <x:c r="G22" s="38" t="str">
        <x:v>Within radius 2</x:v>
      </x:c>
    </x:row>
    <x:row r="23">
      <x:c r="A23" s="39" t="str">
        <x:v>Congestion Penalty</x:v>
      </x:c>
      <x:c r="B23" s="58" t="n">
        <x:v>0.03</x:v>
      </x:c>
      <x:c r="C23" s="40" t="str">
        <x:v>% activity per excess</x:v>
      </x:c>
      <x:c r="D23" s="40" t="str">
        <x:v>Yes</x:v>
      </x:c>
      <x:c r="E23" s="40" t="str">
        <x:v>Space management pressure</x:v>
      </x:c>
      <x:c r="F23" s="40" t="str">
        <x:v>2%–5%</x:v>
      </x:c>
      <x:c r="G23" s="41" t="str">
        <x:v>Can be offset by Data/Digital/Services</x:v>
      </x:c>
    </x:row>
  </x:sheetData>
  <x:mergeCells>
    <x:mergeCell ref="A1:G1"/>
  </x:mergeCells>
  <x:conditionalFormatting sqref="B4:B23">
    <x:cfRule type="expression" dxfId="0" priority="1">
      <x:formula>B4&lt;&gt;""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4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All 50 Building Footprints &amp; Placement Properties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22"/>
      <x:c r="P1" s="22"/>
      <x:c r="Q1" s="22"/>
    </x:row>
    <x:row r="3">
      <x:c r="A3" s="14" t="str">
        <x:v>#</x:v>
      </x:c>
      <x:c r="B3" s="14" t="str">
        <x:v>Building</x:v>
      </x:c>
      <x:c r="C3" s="14" t="str">
        <x:v>Stage</x:v>
      </x:c>
      <x:c r="D3" s="14" t="str">
        <x:v>Family</x:v>
      </x:c>
      <x:c r="E3" s="14" t="str">
        <x:v>Width</x:v>
      </x:c>
      <x:c r="F3" s="14" t="str">
        <x:v>Height</x:v>
      </x:c>
      <x:c r="G3" s="14" t="str">
        <x:v>Tiles</x:v>
      </x:c>
      <x:c r="H3" s="14" t="str">
        <x:v>Footprint</x:v>
      </x:c>
      <x:c r="I3" s="14" t="str">
        <x:v>Rotation</x:v>
      </x:c>
      <x:c r="J3" s="14" t="str">
        <x:v>Direct Synergy Slots</x:v>
      </x:c>
      <x:c r="K3" s="14" t="str">
        <x:v>Support Slots</x:v>
      </x:c>
      <x:c r="L3" s="14" t="str">
        <x:v>Customer-Facing?</x:v>
      </x:c>
      <x:c r="M3" s="14" t="str">
        <x:v>Infrastructure?</x:v>
      </x:c>
      <x:c r="N3" s="14" t="str">
        <x:v>Placement Notes</x:v>
      </x:c>
    </x:row>
    <x:row r="4">
      <x:c r="A4" s="34" t="n">
        <x:v>1</x:v>
      </x:c>
      <x:c r="B4" s="35" t="str">
        <x:v>Cash Kiosk</x:v>
      </x:c>
      <x:c r="C4" s="35" t="str">
        <x:v>Humble</x:v>
      </x:c>
      <x:c r="D4" s="35" t="str">
        <x:v>Financial Services</x:v>
      </x:c>
      <x:c r="E4" s="60" t="n">
        <x:v>1</x:v>
      </x:c>
      <x:c r="F4" s="60" t="n">
        <x:v>1</x:v>
      </x:c>
      <x:c r="G4" s="60" t="n">
        <x:v>1</x:v>
      </x:c>
      <x:c r="H4" s="35" t="str">
        <x:v>1×1</x:v>
      </x:c>
      <x:c r="I4" s="35" t="str">
        <x:v>N/A</x:v>
      </x:c>
      <x:c r="J4" s="60" t="n">
        <x:v>2</x:v>
      </x:c>
      <x:c r="K4" s="60" t="n">
        <x:v>1</x:v>
      </x:c>
      <x:c r="L4" s="35" t="str">
        <x:v>Yes</x:v>
      </x:c>
      <x:c r="M4" s="35" t="str">
        <x:v>No</x:v>
      </x:c>
      <x:c r="N4" s="36" t="str">
        <x:v>Flexible early-game placement</x:v>
      </x:c>
    </x:row>
    <x:row r="5">
      <x:c r="A5" s="37" t="n">
        <x:v>2</x:v>
      </x:c>
      <x:c r="B5" s="22" t="str">
        <x:v>Trading Booth</x:v>
      </x:c>
      <x:c r="C5" s="22" t="str">
        <x:v>Humble</x:v>
      </x:c>
      <x:c r="D5" s="22" t="str">
        <x:v>Exchange / Trading</x:v>
      </x:c>
      <x:c r="E5" s="61" t="n">
        <x:v>1</x:v>
      </x:c>
      <x:c r="F5" s="61" t="n">
        <x:v>1</x:v>
      </x:c>
      <x:c r="G5" s="61" t="n">
        <x:v>1</x:v>
      </x:c>
      <x:c r="H5" s="22" t="str">
        <x:v>1×1</x:v>
      </x:c>
      <x:c r="I5" s="22" t="str">
        <x:v>N/A</x:v>
      </x:c>
      <x:c r="J5" s="61" t="n">
        <x:v>2</x:v>
      </x:c>
      <x:c r="K5" s="61" t="n">
        <x:v>1</x:v>
      </x:c>
      <x:c r="L5" s="22" t="str">
        <x:v>Yes</x:v>
      </x:c>
      <x:c r="M5" s="22" t="str">
        <x:v>No</x:v>
      </x:c>
      <x:c r="N5" s="38" t="str">
        <x:v>Benefits from Brokerage/Data/Market Maker proximity</x:v>
      </x:c>
    </x:row>
    <x:row r="6">
      <x:c r="A6" s="37" t="n">
        <x:v>3</x:v>
      </x:c>
      <x:c r="B6" s="22" t="str">
        <x:v>Savings Stand</x:v>
      </x:c>
      <x:c r="C6" s="22" t="str">
        <x:v>Humble</x:v>
      </x:c>
      <x:c r="D6" s="22" t="str">
        <x:v>Banking</x:v>
      </x:c>
      <x:c r="E6" s="61" t="n">
        <x:v>1</x:v>
      </x:c>
      <x:c r="F6" s="61" t="n">
        <x:v>1</x:v>
      </x:c>
      <x:c r="G6" s="61" t="n">
        <x:v>1</x:v>
      </x:c>
      <x:c r="H6" s="22" t="str">
        <x:v>1×1</x:v>
      </x:c>
      <x:c r="I6" s="22" t="str">
        <x:v>N/A</x:v>
      </x:c>
      <x:c r="J6" s="61" t="n">
        <x:v>2</x:v>
      </x:c>
      <x:c r="K6" s="61" t="n">
        <x:v>1</x:v>
      </x:c>
      <x:c r="L6" s="22" t="str">
        <x:v>Yes</x:v>
      </x:c>
      <x:c r="M6" s="22" t="str">
        <x:v>No</x:v>
      </x:c>
      <x:c r="N6" s="38" t="str">
        <x:v>Benefits from Treasury/Insurance proximity</x:v>
      </x:c>
    </x:row>
    <x:row r="7">
      <x:c r="A7" s="37" t="n">
        <x:v>4</x:v>
      </x:c>
      <x:c r="B7" s="22" t="str">
        <x:v>Mini Brokerage Desk</x:v>
      </x:c>
      <x:c r="C7" s="22" t="str">
        <x:v>Humble</x:v>
      </x:c>
      <x:c r="D7" s="22" t="str">
        <x:v>Brokerage</x:v>
      </x:c>
      <x:c r="E7" s="61" t="n">
        <x:v>1</x:v>
      </x:c>
      <x:c r="F7" s="61" t="n">
        <x:v>2</x:v>
      </x:c>
      <x:c r="G7" s="61" t="n">
        <x:v>2</x:v>
      </x:c>
      <x:c r="H7" s="22" t="str">
        <x:v>1×2</x:v>
      </x:c>
      <x:c r="I7" s="22" t="str">
        <x:v>Yes</x:v>
      </x:c>
      <x:c r="J7" s="61" t="n">
        <x:v>3</x:v>
      </x:c>
      <x:c r="K7" s="61" t="n">
        <x:v>1</x:v>
      </x:c>
      <x:c r="L7" s="22" t="str">
        <x:v>Yes</x:v>
      </x:c>
      <x:c r="M7" s="22" t="str">
        <x:v>No</x:v>
      </x:c>
      <x:c r="N7" s="38" t="str">
        <x:v>Flexible early-game placement</x:v>
      </x:c>
    </x:row>
    <x:row r="8">
      <x:c r="A8" s="37" t="n">
        <x:v>5</x:v>
      </x:c>
      <x:c r="B8" s="22" t="str">
        <x:v>Market Info Kiosk</x:v>
      </x:c>
      <x:c r="C8" s="22" t="str">
        <x:v>Humble</x:v>
      </x:c>
      <x:c r="D8" s="22" t="str">
        <x:v>Financial Services</x:v>
      </x:c>
      <x:c r="E8" s="61" t="n">
        <x:v>1</x:v>
      </x:c>
      <x:c r="F8" s="61" t="n">
        <x:v>1</x:v>
      </x:c>
      <x:c r="G8" s="61" t="n">
        <x:v>1</x:v>
      </x:c>
      <x:c r="H8" s="22" t="str">
        <x:v>1×1</x:v>
      </x:c>
      <x:c r="I8" s="22" t="str">
        <x:v>N/A</x:v>
      </x:c>
      <x:c r="J8" s="61" t="n">
        <x:v>2</x:v>
      </x:c>
      <x:c r="K8" s="61" t="n">
        <x:v>1</x:v>
      </x:c>
      <x:c r="L8" s="22" t="str">
        <x:v>No</x:v>
      </x:c>
      <x:c r="M8" s="22" t="str">
        <x:v>Yes</x:v>
      </x:c>
      <x:c r="N8" s="38" t="str">
        <x:v>Flexible early-game placement</x:v>
      </x:c>
    </x:row>
    <x:row r="9">
      <x:c r="A9" s="37" t="n">
        <x:v>6</x:v>
      </x:c>
      <x:c r="B9" s="22" t="str">
        <x:v>Micro Loan Booth</x:v>
      </x:c>
      <x:c r="C9" s="22" t="str">
        <x:v>Humble</x:v>
      </x:c>
      <x:c r="D9" s="22" t="str">
        <x:v>Banking</x:v>
      </x:c>
      <x:c r="E9" s="61" t="n">
        <x:v>1</x:v>
      </x:c>
      <x:c r="F9" s="61" t="n">
        <x:v>1</x:v>
      </x:c>
      <x:c r="G9" s="61" t="n">
        <x:v>1</x:v>
      </x:c>
      <x:c r="H9" s="22" t="str">
        <x:v>1×1</x:v>
      </x:c>
      <x:c r="I9" s="22" t="str">
        <x:v>N/A</x:v>
      </x:c>
      <x:c r="J9" s="61" t="n">
        <x:v>2</x:v>
      </x:c>
      <x:c r="K9" s="61" t="n">
        <x:v>1</x:v>
      </x:c>
      <x:c r="L9" s="22" t="str">
        <x:v>Yes</x:v>
      </x:c>
      <x:c r="M9" s="22" t="str">
        <x:v>No</x:v>
      </x:c>
      <x:c r="N9" s="38" t="str">
        <x:v>Flexible early-game placement</x:v>
      </x:c>
    </x:row>
    <x:row r="10">
      <x:c r="A10" s="37" t="n">
        <x:v>7</x:v>
      </x:c>
      <x:c r="B10" s="22" t="str">
        <x:v>Currency Exchange Stand</x:v>
      </x:c>
      <x:c r="C10" s="22" t="str">
        <x:v>Humble</x:v>
      </x:c>
      <x:c r="D10" s="22" t="str">
        <x:v>Exchange / Trading</x:v>
      </x:c>
      <x:c r="E10" s="61" t="n">
        <x:v>1</x:v>
      </x:c>
      <x:c r="F10" s="61" t="n">
        <x:v>1</x:v>
      </x:c>
      <x:c r="G10" s="61" t="n">
        <x:v>1</x:v>
      </x:c>
      <x:c r="H10" s="22" t="str">
        <x:v>1×1</x:v>
      </x:c>
      <x:c r="I10" s="22" t="str">
        <x:v>N/A</x:v>
      </x:c>
      <x:c r="J10" s="61" t="n">
        <x:v>2</x:v>
      </x:c>
      <x:c r="K10" s="61" t="n">
        <x:v>1</x:v>
      </x:c>
      <x:c r="L10" s="22" t="str">
        <x:v>Yes</x:v>
      </x:c>
      <x:c r="M10" s="22" t="str">
        <x:v>No</x:v>
      </x:c>
      <x:c r="N10" s="38" t="str">
        <x:v>Benefits from Brokerage/Data/Market Maker proximity</x:v>
      </x:c>
    </x:row>
    <x:row r="11">
      <x:c r="A11" s="37" t="n">
        <x:v>8</x:v>
      </x:c>
      <x:c r="B11" s="22" t="str">
        <x:v>Insurance Desk</x:v>
      </x:c>
      <x:c r="C11" s="22" t="str">
        <x:v>Humble</x:v>
      </x:c>
      <x:c r="D11" s="22" t="str">
        <x:v>Insurance</x:v>
      </x:c>
      <x:c r="E11" s="61" t="n">
        <x:v>1</x:v>
      </x:c>
      <x:c r="F11" s="61" t="n">
        <x:v>1</x:v>
      </x:c>
      <x:c r="G11" s="61" t="n">
        <x:v>1</x:v>
      </x:c>
      <x:c r="H11" s="22" t="str">
        <x:v>1×1</x:v>
      </x:c>
      <x:c r="I11" s="22" t="str">
        <x:v>N/A</x:v>
      </x:c>
      <x:c r="J11" s="61" t="n">
        <x:v>2</x:v>
      </x:c>
      <x:c r="K11" s="61" t="n">
        <x:v>1</x:v>
      </x:c>
      <x:c r="L11" s="22" t="str">
        <x:v>Yes</x:v>
      </x:c>
      <x:c r="M11" s="22" t="str">
        <x:v>No</x:v>
      </x:c>
      <x:c r="N11" s="38" t="str">
        <x:v>Flexible early-game placement</x:v>
      </x:c>
    </x:row>
    <x:row r="12">
      <x:c r="A12" s="37" t="n">
        <x:v>9</x:v>
      </x:c>
      <x:c r="B12" s="22" t="str">
        <x:v>Investment Advice Booth</x:v>
      </x:c>
      <x:c r="C12" s="22" t="str">
        <x:v>Humble</x:v>
      </x:c>
      <x:c r="D12" s="22" t="str">
        <x:v>Financial Services</x:v>
      </x:c>
      <x:c r="E12" s="61" t="n">
        <x:v>1</x:v>
      </x:c>
      <x:c r="F12" s="61" t="n">
        <x:v>1</x:v>
      </x:c>
      <x:c r="G12" s="61" t="n">
        <x:v>1</x:v>
      </x:c>
      <x:c r="H12" s="22" t="str">
        <x:v>1×1</x:v>
      </x:c>
      <x:c r="I12" s="22" t="str">
        <x:v>N/A</x:v>
      </x:c>
      <x:c r="J12" s="61" t="n">
        <x:v>2</x:v>
      </x:c>
      <x:c r="K12" s="61" t="n">
        <x:v>1</x:v>
      </x:c>
      <x:c r="L12" s="22" t="str">
        <x:v>Yes</x:v>
      </x:c>
      <x:c r="M12" s="22" t="str">
        <x:v>No</x:v>
      </x:c>
      <x:c r="N12" s="38" t="str">
        <x:v>Flexible early-game placement</x:v>
      </x:c>
    </x:row>
    <x:row r="13">
      <x:c r="A13" s="37" t="n">
        <x:v>10</x:v>
      </x:c>
      <x:c r="B13" s="22" t="str">
        <x:v>Secure Cash Locker</x:v>
      </x:c>
      <x:c r="C13" s="22" t="str">
        <x:v>Humble</x:v>
      </x:c>
      <x:c r="D13" s="22" t="str">
        <x:v>Treasury / Vault</x:v>
      </x:c>
      <x:c r="E13" s="61" t="n">
        <x:v>1</x:v>
      </x:c>
      <x:c r="F13" s="61" t="n">
        <x:v>1</x:v>
      </x:c>
      <x:c r="G13" s="61" t="n">
        <x:v>1</x:v>
      </x:c>
      <x:c r="H13" s="22" t="str">
        <x:v>1×1</x:v>
      </x:c>
      <x:c r="I13" s="22" t="str">
        <x:v>N/A</x:v>
      </x:c>
      <x:c r="J13" s="61" t="n">
        <x:v>2</x:v>
      </x:c>
      <x:c r="K13" s="61" t="n">
        <x:v>1</x:v>
      </x:c>
      <x:c r="L13" s="22" t="str">
        <x:v>No</x:v>
      </x:c>
      <x:c r="M13" s="22" t="str">
        <x:v>Yes</x:v>
      </x:c>
      <x:c r="N13" s="38" t="str">
        <x:v>Flexible early-game placement</x:v>
      </x:c>
    </x:row>
    <x:row r="14">
      <x:c r="A14" s="37" t="n">
        <x:v>11</x:v>
      </x:c>
      <x:c r="B14" s="22" t="str">
        <x:v>Neighborhood Finance Shop</x:v>
      </x:c>
      <x:c r="C14" s="22" t="str">
        <x:v>Starter</x:v>
      </x:c>
      <x:c r="D14" s="22" t="str">
        <x:v>Financial Services</x:v>
      </x:c>
      <x:c r="E14" s="61" t="n">
        <x:v>2</x:v>
      </x:c>
      <x:c r="F14" s="61" t="n">
        <x:v>2</x:v>
      </x:c>
      <x:c r="G14" s="61" t="n">
        <x:v>4</x:v>
      </x:c>
      <x:c r="H14" s="22" t="str">
        <x:v>2×2</x:v>
      </x:c>
      <x:c r="I14" s="22" t="str">
        <x:v>N/A</x:v>
      </x:c>
      <x:c r="J14" s="61" t="n">
        <x:v>4</x:v>
      </x:c>
      <x:c r="K14" s="61" t="n">
        <x:v>2</x:v>
      </x:c>
      <x:c r="L14" s="22" t="str">
        <x:v>Yes</x:v>
      </x:c>
      <x:c r="M14" s="22" t="str">
        <x:v>No</x:v>
      </x:c>
      <x:c r="N14" s="38" t="str">
        <x:v>Flexible early-game placement</x:v>
      </x:c>
    </x:row>
    <x:row r="15">
      <x:c r="A15" s="37" t="n">
        <x:v>12</x:v>
      </x:c>
      <x:c r="B15" s="22" t="str">
        <x:v>Small Brokerage Office</x:v>
      </x:c>
      <x:c r="C15" s="22" t="str">
        <x:v>Starter</x:v>
      </x:c>
      <x:c r="D15" s="22" t="str">
        <x:v>Brokerage</x:v>
      </x:c>
      <x:c r="E15" s="61" t="n">
        <x:v>1</x:v>
      </x:c>
      <x:c r="F15" s="61" t="n">
        <x:v>2</x:v>
      </x:c>
      <x:c r="G15" s="61" t="n">
        <x:v>2</x:v>
      </x:c>
      <x:c r="H15" s="22" t="str">
        <x:v>1×2</x:v>
      </x:c>
      <x:c r="I15" s="22" t="str">
        <x:v>Yes</x:v>
      </x:c>
      <x:c r="J15" s="61" t="n">
        <x:v>3</x:v>
      </x:c>
      <x:c r="K15" s="61" t="n">
        <x:v>1</x:v>
      </x:c>
      <x:c r="L15" s="22" t="str">
        <x:v>Yes</x:v>
      </x:c>
      <x:c r="M15" s="22" t="str">
        <x:v>No</x:v>
      </x:c>
      <x:c r="N15" s="38" t="str">
        <x:v>Flexible early-game placement</x:v>
      </x:c>
    </x:row>
    <x:row r="16">
      <x:c r="A16" s="37" t="n">
        <x:v>13</x:v>
      </x:c>
      <x:c r="B16" s="22" t="str">
        <x:v>Local Savings Office</x:v>
      </x:c>
      <x:c r="C16" s="22" t="str">
        <x:v>Starter</x:v>
      </x:c>
      <x:c r="D16" s="22" t="str">
        <x:v>Banking</x:v>
      </x:c>
      <x:c r="E16" s="61" t="n">
        <x:v>1</x:v>
      </x:c>
      <x:c r="F16" s="61" t="n">
        <x:v>2</x:v>
      </x:c>
      <x:c r="G16" s="61" t="n">
        <x:v>2</x:v>
      </x:c>
      <x:c r="H16" s="22" t="str">
        <x:v>1×2</x:v>
      </x:c>
      <x:c r="I16" s="22" t="str">
        <x:v>Yes</x:v>
      </x:c>
      <x:c r="J16" s="61" t="n">
        <x:v>3</x:v>
      </x:c>
      <x:c r="K16" s="61" t="n">
        <x:v>1</x:v>
      </x:c>
      <x:c r="L16" s="22" t="str">
        <x:v>Yes</x:v>
      </x:c>
      <x:c r="M16" s="22" t="str">
        <x:v>No</x:v>
      </x:c>
      <x:c r="N16" s="38" t="str">
        <x:v>Benefits from Treasury/Insurance proximity</x:v>
      </x:c>
    </x:row>
    <x:row r="17">
      <x:c r="A17" s="37" t="n">
        <x:v>14</x:v>
      </x:c>
      <x:c r="B17" s="22" t="str">
        <x:v>Microfinance Office</x:v>
      </x:c>
      <x:c r="C17" s="22" t="str">
        <x:v>Starter</x:v>
      </x:c>
      <x:c r="D17" s="22" t="str">
        <x:v>Banking</x:v>
      </x:c>
      <x:c r="E17" s="61" t="n">
        <x:v>1</x:v>
      </x:c>
      <x:c r="F17" s="61" t="n">
        <x:v>2</x:v>
      </x:c>
      <x:c r="G17" s="61" t="n">
        <x:v>2</x:v>
      </x:c>
      <x:c r="H17" s="22" t="str">
        <x:v>1×2</x:v>
      </x:c>
      <x:c r="I17" s="22" t="str">
        <x:v>Yes</x:v>
      </x:c>
      <x:c r="J17" s="61" t="n">
        <x:v>3</x:v>
      </x:c>
      <x:c r="K17" s="61" t="n">
        <x:v>1</x:v>
      </x:c>
      <x:c r="L17" s="22" t="str">
        <x:v>Yes</x:v>
      </x:c>
      <x:c r="M17" s="22" t="str">
        <x:v>No</x:v>
      </x:c>
      <x:c r="N17" s="38" t="str">
        <x:v>Flexible early-game placement</x:v>
      </x:c>
    </x:row>
    <x:row r="18">
      <x:c r="A18" s="37" t="n">
        <x:v>15</x:v>
      </x:c>
      <x:c r="B18" s="22" t="str">
        <x:v>Trading Room</x:v>
      </x:c>
      <x:c r="C18" s="22" t="str">
        <x:v>Starter</x:v>
      </x:c>
      <x:c r="D18" s="22" t="str">
        <x:v>Exchange / Trading</x:v>
      </x:c>
      <x:c r="E18" s="61" t="n">
        <x:v>2</x:v>
      </x:c>
      <x:c r="F18" s="61" t="n">
        <x:v>2</x:v>
      </x:c>
      <x:c r="G18" s="61" t="n">
        <x:v>4</x:v>
      </x:c>
      <x:c r="H18" s="22" t="str">
        <x:v>2×2</x:v>
      </x:c>
      <x:c r="I18" s="22" t="str">
        <x:v>N/A</x:v>
      </x:c>
      <x:c r="J18" s="61" t="n">
        <x:v>4</x:v>
      </x:c>
      <x:c r="K18" s="61" t="n">
        <x:v>2</x:v>
      </x:c>
      <x:c r="L18" s="22" t="str">
        <x:v>Yes</x:v>
      </x:c>
      <x:c r="M18" s="22" t="str">
        <x:v>No</x:v>
      </x:c>
      <x:c r="N18" s="38" t="str">
        <x:v>Benefits from Brokerage/Data/Market Maker proximity</x:v>
      </x:c>
    </x:row>
    <x:row r="19">
      <x:c r="A19" s="37" t="n">
        <x:v>16</x:v>
      </x:c>
      <x:c r="B19" s="22" t="str">
        <x:v>Small Research Office</x:v>
      </x:c>
      <x:c r="C19" s="22" t="str">
        <x:v>Starter</x:v>
      </x:c>
      <x:c r="D19" s="22" t="str">
        <x:v>Research / Data</x:v>
      </x:c>
      <x:c r="E19" s="61" t="n">
        <x:v>1</x:v>
      </x:c>
      <x:c r="F19" s="61" t="n">
        <x:v>2</x:v>
      </x:c>
      <x:c r="G19" s="61" t="n">
        <x:v>2</x:v>
      </x:c>
      <x:c r="H19" s="22" t="str">
        <x:v>1×2</x:v>
      </x:c>
      <x:c r="I19" s="22" t="str">
        <x:v>Yes</x:v>
      </x:c>
      <x:c r="J19" s="61" t="n">
        <x:v>3</x:v>
      </x:c>
      <x:c r="K19" s="61" t="n">
        <x:v>1</x:v>
      </x:c>
      <x:c r="L19" s="22" t="str">
        <x:v>No</x:v>
      </x:c>
      <x:c r="M19" s="22" t="str">
        <x:v>Yes</x:v>
      </x:c>
      <x:c r="N19" s="38" t="str">
        <x:v>Flexible early-game placement</x:v>
      </x:c>
    </x:row>
    <x:row r="20">
      <x:c r="A20" s="37" t="n">
        <x:v>17</x:v>
      </x:c>
      <x:c r="B20" s="22" t="str">
        <x:v>Local Insurance Office</x:v>
      </x:c>
      <x:c r="C20" s="22" t="str">
        <x:v>Starter</x:v>
      </x:c>
      <x:c r="D20" s="22" t="str">
        <x:v>Insurance</x:v>
      </x:c>
      <x:c r="E20" s="61" t="n">
        <x:v>1</x:v>
      </x:c>
      <x:c r="F20" s="61" t="n">
        <x:v>2</x:v>
      </x:c>
      <x:c r="G20" s="61" t="n">
        <x:v>2</x:v>
      </x:c>
      <x:c r="H20" s="22" t="str">
        <x:v>1×2</x:v>
      </x:c>
      <x:c r="I20" s="22" t="str">
        <x:v>Yes</x:v>
      </x:c>
      <x:c r="J20" s="61" t="n">
        <x:v>3</x:v>
      </x:c>
      <x:c r="K20" s="61" t="n">
        <x:v>1</x:v>
      </x:c>
      <x:c r="L20" s="22" t="str">
        <x:v>Yes</x:v>
      </x:c>
      <x:c r="M20" s="22" t="str">
        <x:v>No</x:v>
      </x:c>
      <x:c r="N20" s="38" t="str">
        <x:v>Flexible early-game placement</x:v>
      </x:c>
    </x:row>
    <x:row r="21">
      <x:c r="A21" s="37" t="n">
        <x:v>18</x:v>
      </x:c>
      <x:c r="B21" s="22" t="str">
        <x:v>Treasury Office</x:v>
      </x:c>
      <x:c r="C21" s="22" t="str">
        <x:v>Starter</x:v>
      </x:c>
      <x:c r="D21" s="22" t="str">
        <x:v>Treasury / Vault</x:v>
      </x:c>
      <x:c r="E21" s="61" t="n">
        <x:v>1</x:v>
      </x:c>
      <x:c r="F21" s="61" t="n">
        <x:v>2</x:v>
      </x:c>
      <x:c r="G21" s="61" t="n">
        <x:v>2</x:v>
      </x:c>
      <x:c r="H21" s="22" t="str">
        <x:v>1×2</x:v>
      </x:c>
      <x:c r="I21" s="22" t="str">
        <x:v>Yes</x:v>
      </x:c>
      <x:c r="J21" s="61" t="n">
        <x:v>3</x:v>
      </x:c>
      <x:c r="K21" s="61" t="n">
        <x:v>1</x:v>
      </x:c>
      <x:c r="L21" s="22" t="str">
        <x:v>No</x:v>
      </x:c>
      <x:c r="M21" s="22" t="str">
        <x:v>Yes</x:v>
      </x:c>
      <x:c r="N21" s="38" t="str">
        <x:v>Flexible early-game placement</x:v>
      </x:c>
    </x:row>
    <x:row r="22">
      <x:c r="A22" s="37" t="n">
        <x:v>19</x:v>
      </x:c>
      <x:c r="B22" s="22" t="str">
        <x:v>Small Fund Office</x:v>
      </x:c>
      <x:c r="C22" s="22" t="str">
        <x:v>Starter</x:v>
      </x:c>
      <x:c r="D22" s="22" t="str">
        <x:v>Fund / Asset Mgmt</x:v>
      </x:c>
      <x:c r="E22" s="61" t="n">
        <x:v>2</x:v>
      </x:c>
      <x:c r="F22" s="61" t="n">
        <x:v>2</x:v>
      </x:c>
      <x:c r="G22" s="61" t="n">
        <x:v>4</x:v>
      </x:c>
      <x:c r="H22" s="22" t="str">
        <x:v>2×2</x:v>
      </x:c>
      <x:c r="I22" s="22" t="str">
        <x:v>N/A</x:v>
      </x:c>
      <x:c r="J22" s="61" t="n">
        <x:v>4</x:v>
      </x:c>
      <x:c r="K22" s="61" t="n">
        <x:v>2</x:v>
      </x:c>
      <x:c r="L22" s="22" t="str">
        <x:v>Yes</x:v>
      </x:c>
      <x:c r="M22" s="22" t="str">
        <x:v>No</x:v>
      </x:c>
      <x:c r="N22" s="38" t="str">
        <x:v>Benefits from Research/Treasury proximity</x:v>
      </x:c>
    </x:row>
    <x:row r="23">
      <x:c r="A23" s="37" t="n">
        <x:v>20</x:v>
      </x:c>
      <x:c r="B23" s="22" t="str">
        <x:v>Financial Services Hub</x:v>
      </x:c>
      <x:c r="C23" s="22" t="str">
        <x:v>Starter</x:v>
      </x:c>
      <x:c r="D23" s="22" t="str">
        <x:v>Financial Services</x:v>
      </x:c>
      <x:c r="E23" s="61" t="n">
        <x:v>2</x:v>
      </x:c>
      <x:c r="F23" s="61" t="n">
        <x:v>2</x:v>
      </x:c>
      <x:c r="G23" s="61" t="n">
        <x:v>4</x:v>
      </x:c>
      <x:c r="H23" s="22" t="str">
        <x:v>2×2</x:v>
      </x:c>
      <x:c r="I23" s="22" t="str">
        <x:v>N/A</x:v>
      </x:c>
      <x:c r="J23" s="61" t="n">
        <x:v>4</x:v>
      </x:c>
      <x:c r="K23" s="61" t="n">
        <x:v>2</x:v>
      </x:c>
      <x:c r="L23" s="22" t="str">
        <x:v>No</x:v>
      </x:c>
      <x:c r="M23" s="22" t="str">
        <x:v>Yes</x:v>
      </x:c>
      <x:c r="N23" s="38" t="str">
        <x:v>Flexible early-game placement</x:v>
      </x:c>
    </x:row>
    <x:row r="24">
      <x:c r="A24" s="37" t="n">
        <x:v>21</x:v>
      </x:c>
      <x:c r="B24" s="22" t="str">
        <x:v>Community Bank Branch</x:v>
      </x:c>
      <x:c r="C24" s="22" t="str">
        <x:v>Growing</x:v>
      </x:c>
      <x:c r="D24" s="22" t="str">
        <x:v>Banking</x:v>
      </x:c>
      <x:c r="E24" s="61" t="n">
        <x:v>2</x:v>
      </x:c>
      <x:c r="F24" s="61" t="n">
        <x:v>2</x:v>
      </x:c>
      <x:c r="G24" s="61" t="n">
        <x:v>4</x:v>
      </x:c>
      <x:c r="H24" s="22" t="str">
        <x:v>2×2</x:v>
      </x:c>
      <x:c r="I24" s="22" t="str">
        <x:v>N/A</x:v>
      </x:c>
      <x:c r="J24" s="61" t="n">
        <x:v>4</x:v>
      </x:c>
      <x:c r="K24" s="61" t="n">
        <x:v>2</x:v>
      </x:c>
      <x:c r="L24" s="22" t="str">
        <x:v>Yes</x:v>
      </x:c>
      <x:c r="M24" s="22" t="str">
        <x:v>No</x:v>
      </x:c>
      <x:c r="N24" s="38" t="str">
        <x:v>Benefits from Treasury/Insurance proximity</x:v>
      </x:c>
    </x:row>
    <x:row r="25">
      <x:c r="A25" s="37" t="n">
        <x:v>22</x:v>
      </x:c>
      <x:c r="B25" s="22" t="str">
        <x:v>Brokerage House</x:v>
      </x:c>
      <x:c r="C25" s="22" t="str">
        <x:v>Growing</x:v>
      </x:c>
      <x:c r="D25" s="22" t="str">
        <x:v>Brokerage</x:v>
      </x:c>
      <x:c r="E25" s="61" t="n">
        <x:v>2</x:v>
      </x:c>
      <x:c r="F25" s="61" t="n">
        <x:v>2</x:v>
      </x:c>
      <x:c r="G25" s="61" t="n">
        <x:v>4</x:v>
      </x:c>
      <x:c r="H25" s="22" t="str">
        <x:v>2×2</x:v>
      </x:c>
      <x:c r="I25" s="22" t="str">
        <x:v>N/A</x:v>
      </x:c>
      <x:c r="J25" s="61" t="n">
        <x:v>4</x:v>
      </x:c>
      <x:c r="K25" s="61" t="n">
        <x:v>2</x:v>
      </x:c>
      <x:c r="L25" s="22" t="str">
        <x:v>Yes</x:v>
      </x:c>
      <x:c r="M25" s="22" t="str">
        <x:v>No</x:v>
      </x:c>
      <x:c r="N25" s="38" t="str">
        <x:v>Flexible early-game placement</x:v>
      </x:c>
    </x:row>
    <x:row r="26">
      <x:c r="A26" s="37" t="n">
        <x:v>23</x:v>
      </x:c>
      <x:c r="B26" s="22" t="str">
        <x:v>Investment Advisory Firm</x:v>
      </x:c>
      <x:c r="C26" s="22" t="str">
        <x:v>Growing</x:v>
      </x:c>
      <x:c r="D26" s="22" t="str">
        <x:v>Fund / Asset Mgmt</x:v>
      </x:c>
      <x:c r="E26" s="61" t="n">
        <x:v>2</x:v>
      </x:c>
      <x:c r="F26" s="61" t="n">
        <x:v>2</x:v>
      </x:c>
      <x:c r="G26" s="61" t="n">
        <x:v>4</x:v>
      </x:c>
      <x:c r="H26" s="22" t="str">
        <x:v>2×2</x:v>
      </x:c>
      <x:c r="I26" s="22" t="str">
        <x:v>N/A</x:v>
      </x:c>
      <x:c r="J26" s="61" t="n">
        <x:v>4</x:v>
      </x:c>
      <x:c r="K26" s="61" t="n">
        <x:v>2</x:v>
      </x:c>
      <x:c r="L26" s="22" t="str">
        <x:v>Yes</x:v>
      </x:c>
      <x:c r="M26" s="22" t="str">
        <x:v>No</x:v>
      </x:c>
      <x:c r="N26" s="38" t="str">
        <x:v>Flexible early-game placement</x:v>
      </x:c>
    </x:row>
    <x:row r="27">
      <x:c r="A27" s="37" t="n">
        <x:v>24</x:v>
      </x:c>
      <x:c r="B27" s="22" t="str">
        <x:v>Asset Management Office</x:v>
      </x:c>
      <x:c r="C27" s="22" t="str">
        <x:v>Growing</x:v>
      </x:c>
      <x:c r="D27" s="22" t="str">
        <x:v>Fund / Asset Mgmt</x:v>
      </x:c>
      <x:c r="E27" s="61" t="n">
        <x:v>2</x:v>
      </x:c>
      <x:c r="F27" s="61" t="n">
        <x:v>3</x:v>
      </x:c>
      <x:c r="G27" s="61" t="n">
        <x:v>6</x:v>
      </x:c>
      <x:c r="H27" s="22" t="str">
        <x:v>2×3</x:v>
      </x:c>
      <x:c r="I27" s="22" t="str">
        <x:v>Yes</x:v>
      </x:c>
      <x:c r="J27" s="61" t="n">
        <x:v>5</x:v>
      </x:c>
      <x:c r="K27" s="61" t="n">
        <x:v>3</x:v>
      </x:c>
      <x:c r="L27" s="22" t="str">
        <x:v>Yes</x:v>
      </x:c>
      <x:c r="M27" s="22" t="str">
        <x:v>No</x:v>
      </x:c>
      <x:c r="N27" s="38" t="str">
        <x:v>Benefits from Research/Treasury proximity</x:v>
      </x:c>
    </x:row>
    <x:row r="28">
      <x:c r="A28" s="37" t="n">
        <x:v>25</x:v>
      </x:c>
      <x:c r="B28" s="22" t="str">
        <x:v>Market Research Center</x:v>
      </x:c>
      <x:c r="C28" s="22" t="str">
        <x:v>Growing</x:v>
      </x:c>
      <x:c r="D28" s="22" t="str">
        <x:v>Research / Data</x:v>
      </x:c>
      <x:c r="E28" s="61" t="n">
        <x:v>2</x:v>
      </x:c>
      <x:c r="F28" s="61" t="n">
        <x:v>2</x:v>
      </x:c>
      <x:c r="G28" s="61" t="n">
        <x:v>4</x:v>
      </x:c>
      <x:c r="H28" s="22" t="str">
        <x:v>2×2</x:v>
      </x:c>
      <x:c r="I28" s="22" t="str">
        <x:v>N/A</x:v>
      </x:c>
      <x:c r="J28" s="61" t="n">
        <x:v>4</x:v>
      </x:c>
      <x:c r="K28" s="61" t="n">
        <x:v>2</x:v>
      </x:c>
      <x:c r="L28" s="22" t="str">
        <x:v>No</x:v>
      </x:c>
      <x:c r="M28" s="22" t="str">
        <x:v>Yes</x:v>
      </x:c>
      <x:c r="N28" s="38" t="str">
        <x:v>Flexible early-game placement</x:v>
      </x:c>
    </x:row>
    <x:row r="29">
      <x:c r="A29" s="37" t="n">
        <x:v>26</x:v>
      </x:c>
      <x:c r="B29" s="22" t="str">
        <x:v>Lending Center</x:v>
      </x:c>
      <x:c r="C29" s="22" t="str">
        <x:v>Growing</x:v>
      </x:c>
      <x:c r="D29" s="22" t="str">
        <x:v>Financial Services</x:v>
      </x:c>
      <x:c r="E29" s="61" t="n">
        <x:v>2</x:v>
      </x:c>
      <x:c r="F29" s="61" t="n">
        <x:v>2</x:v>
      </x:c>
      <x:c r="G29" s="61" t="n">
        <x:v>4</x:v>
      </x:c>
      <x:c r="H29" s="22" t="str">
        <x:v>2×2</x:v>
      </x:c>
      <x:c r="I29" s="22" t="str">
        <x:v>N/A</x:v>
      </x:c>
      <x:c r="J29" s="61" t="n">
        <x:v>4</x:v>
      </x:c>
      <x:c r="K29" s="61" t="n">
        <x:v>2</x:v>
      </x:c>
      <x:c r="L29" s="22" t="str">
        <x:v>Yes</x:v>
      </x:c>
      <x:c r="M29" s="22" t="str">
        <x:v>No</x:v>
      </x:c>
      <x:c r="N29" s="38" t="str">
        <x:v>Flexible early-game placement</x:v>
      </x:c>
    </x:row>
    <x:row r="30">
      <x:c r="A30" s="37" t="n">
        <x:v>27</x:v>
      </x:c>
      <x:c r="B30" s="22" t="str">
        <x:v>Wealth Management Office</x:v>
      </x:c>
      <x:c r="C30" s="22" t="str">
        <x:v>Growing</x:v>
      </x:c>
      <x:c r="D30" s="22" t="str">
        <x:v>Wealth / Private</x:v>
      </x:c>
      <x:c r="E30" s="61" t="n">
        <x:v>2</x:v>
      </x:c>
      <x:c r="F30" s="61" t="n">
        <x:v>2</x:v>
      </x:c>
      <x:c r="G30" s="61" t="n">
        <x:v>4</x:v>
      </x:c>
      <x:c r="H30" s="22" t="str">
        <x:v>2×2</x:v>
      </x:c>
      <x:c r="I30" s="22" t="str">
        <x:v>N/A</x:v>
      </x:c>
      <x:c r="J30" s="61" t="n">
        <x:v>4</x:v>
      </x:c>
      <x:c r="K30" s="61" t="n">
        <x:v>2</x:v>
      </x:c>
      <x:c r="L30" s="22" t="str">
        <x:v>Yes</x:v>
      </x:c>
      <x:c r="M30" s="22" t="str">
        <x:v>No</x:v>
      </x:c>
      <x:c r="N30" s="38" t="str">
        <x:v>Benefits from Bank/Fund proximity</x:v>
      </x:c>
    </x:row>
    <x:row r="31">
      <x:c r="A31" s="37" t="n">
        <x:v>28</x:v>
      </x:c>
      <x:c r="B31" s="22" t="str">
        <x:v>Digital Finance Hub</x:v>
      </x:c>
      <x:c r="C31" s="22" t="str">
        <x:v>Growing</x:v>
      </x:c>
      <x:c r="D31" s="22" t="str">
        <x:v>Financial Services</x:v>
      </x:c>
      <x:c r="E31" s="61" t="n">
        <x:v>2</x:v>
      </x:c>
      <x:c r="F31" s="61" t="n">
        <x:v>3</x:v>
      </x:c>
      <x:c r="G31" s="61" t="n">
        <x:v>6</x:v>
      </x:c>
      <x:c r="H31" s="22" t="str">
        <x:v>2×3</x:v>
      </x:c>
      <x:c r="I31" s="22" t="str">
        <x:v>Yes</x:v>
      </x:c>
      <x:c r="J31" s="61" t="n">
        <x:v>5</x:v>
      </x:c>
      <x:c r="K31" s="61" t="n">
        <x:v>3</x:v>
      </x:c>
      <x:c r="L31" s="22" t="str">
        <x:v>No</x:v>
      </x:c>
      <x:c r="M31" s="22" t="str">
        <x:v>Yes</x:v>
      </x:c>
      <x:c r="N31" s="38" t="str">
        <x:v>Flexible early-game placement</x:v>
      </x:c>
    </x:row>
    <x:row r="32">
      <x:c r="A32" s="37" t="n">
        <x:v>29</x:v>
      </x:c>
      <x:c r="B32" s="22" t="str">
        <x:v>Trading House</x:v>
      </x:c>
      <x:c r="C32" s="22" t="str">
        <x:v>Growing</x:v>
      </x:c>
      <x:c r="D32" s="22" t="str">
        <x:v>Exchange / Trading</x:v>
      </x:c>
      <x:c r="E32" s="61" t="n">
        <x:v>2</x:v>
      </x:c>
      <x:c r="F32" s="61" t="n">
        <x:v>3</x:v>
      </x:c>
      <x:c r="G32" s="61" t="n">
        <x:v>6</x:v>
      </x:c>
      <x:c r="H32" s="22" t="str">
        <x:v>2×3</x:v>
      </x:c>
      <x:c r="I32" s="22" t="str">
        <x:v>Yes</x:v>
      </x:c>
      <x:c r="J32" s="61" t="n">
        <x:v>5</x:v>
      </x:c>
      <x:c r="K32" s="61" t="n">
        <x:v>3</x:v>
      </x:c>
      <x:c r="L32" s="22" t="str">
        <x:v>Yes</x:v>
      </x:c>
      <x:c r="M32" s="22" t="str">
        <x:v>No</x:v>
      </x:c>
      <x:c r="N32" s="38" t="str">
        <x:v>Benefits from Brokerage/Data/Market Maker proximity</x:v>
      </x:c>
    </x:row>
    <x:row r="33">
      <x:c r="A33" s="37" t="n">
        <x:v>30</x:v>
      </x:c>
      <x:c r="B33" s="22" t="str">
        <x:v>Private Vault Facility</x:v>
      </x:c>
      <x:c r="C33" s="22" t="str">
        <x:v>Growing</x:v>
      </x:c>
      <x:c r="D33" s="22" t="str">
        <x:v>Treasury / Vault</x:v>
      </x:c>
      <x:c r="E33" s="61" t="n">
        <x:v>2</x:v>
      </x:c>
      <x:c r="F33" s="61" t="n">
        <x:v>2</x:v>
      </x:c>
      <x:c r="G33" s="61" t="n">
        <x:v>4</x:v>
      </x:c>
      <x:c r="H33" s="22" t="str">
        <x:v>2×2</x:v>
      </x:c>
      <x:c r="I33" s="22" t="str">
        <x:v>N/A</x:v>
      </x:c>
      <x:c r="J33" s="61" t="n">
        <x:v>4</x:v>
      </x:c>
      <x:c r="K33" s="61" t="n">
        <x:v>2</x:v>
      </x:c>
      <x:c r="L33" s="22" t="str">
        <x:v>No</x:v>
      </x:c>
      <x:c r="M33" s="22" t="str">
        <x:v>Yes</x:v>
      </x:c>
      <x:c r="N33" s="38" t="str">
        <x:v>Benefits from Bank/Fund proximity</x:v>
      </x:c>
    </x:row>
    <x:row r="34">
      <x:c r="A34" s="37" t="n">
        <x:v>31</x:v>
      </x:c>
      <x:c r="B34" s="22" t="str">
        <x:v>Regional Bank</x:v>
      </x:c>
      <x:c r="C34" s="22" t="str">
        <x:v>Established</x:v>
      </x:c>
      <x:c r="D34" s="22" t="str">
        <x:v>Banking</x:v>
      </x:c>
      <x:c r="E34" s="61" t="n">
        <x:v>3</x:v>
      </x:c>
      <x:c r="F34" s="61" t="n">
        <x:v>3</x:v>
      </x:c>
      <x:c r="G34" s="61" t="n">
        <x:v>9</x:v>
      </x:c>
      <x:c r="H34" s="22" t="str">
        <x:v>3×3</x:v>
      </x:c>
      <x:c r="I34" s="22" t="str">
        <x:v>N/A</x:v>
      </x:c>
      <x:c r="J34" s="61" t="n">
        <x:v>6</x:v>
      </x:c>
      <x:c r="K34" s="61" t="n">
        <x:v>3</x:v>
      </x:c>
      <x:c r="L34" s="22" t="str">
        <x:v>Yes</x:v>
      </x:c>
      <x:c r="M34" s="22" t="str">
        <x:v>No</x:v>
      </x:c>
      <x:c r="N34" s="38" t="str">
        <x:v>Benefits from Treasury/Insurance proximity</x:v>
      </x:c>
    </x:row>
    <x:row r="35">
      <x:c r="A35" s="37" t="n">
        <x:v>32</x:v>
      </x:c>
      <x:c r="B35" s="22" t="str">
        <x:v>Stock Brokerage Center</x:v>
      </x:c>
      <x:c r="C35" s="22" t="str">
        <x:v>Established</x:v>
      </x:c>
      <x:c r="D35" s="22" t="str">
        <x:v>Brokerage</x:v>
      </x:c>
      <x:c r="E35" s="61" t="n">
        <x:v>2</x:v>
      </x:c>
      <x:c r="F35" s="61" t="n">
        <x:v>3</x:v>
      </x:c>
      <x:c r="G35" s="61" t="n">
        <x:v>6</x:v>
      </x:c>
      <x:c r="H35" s="22" t="str">
        <x:v>2×3</x:v>
      </x:c>
      <x:c r="I35" s="22" t="str">
        <x:v>Yes</x:v>
      </x:c>
      <x:c r="J35" s="61" t="n">
        <x:v>5</x:v>
      </x:c>
      <x:c r="K35" s="61" t="n">
        <x:v>3</x:v>
      </x:c>
      <x:c r="L35" s="22" t="str">
        <x:v>Yes</x:v>
      </x:c>
      <x:c r="M35" s="22" t="str">
        <x:v>No</x:v>
      </x:c>
      <x:c r="N35" s="38" t="str">
        <x:v>Flexible early-game placement</x:v>
      </x:c>
    </x:row>
    <x:row r="36">
      <x:c r="A36" s="37" t="n">
        <x:v>33</x:v>
      </x:c>
      <x:c r="B36" s="22" t="str">
        <x:v>Investment Fund HQ</x:v>
      </x:c>
      <x:c r="C36" s="22" t="str">
        <x:v>Established</x:v>
      </x:c>
      <x:c r="D36" s="22" t="str">
        <x:v>Fund / Asset Mgmt</x:v>
      </x:c>
      <x:c r="E36" s="61" t="n">
        <x:v>3</x:v>
      </x:c>
      <x:c r="F36" s="61" t="n">
        <x:v>3</x:v>
      </x:c>
      <x:c r="G36" s="61" t="n">
        <x:v>9</x:v>
      </x:c>
      <x:c r="H36" s="22" t="str">
        <x:v>3×3</x:v>
      </x:c>
      <x:c r="I36" s="22" t="str">
        <x:v>N/A</x:v>
      </x:c>
      <x:c r="J36" s="61" t="n">
        <x:v>6</x:v>
      </x:c>
      <x:c r="K36" s="61" t="n">
        <x:v>3</x:v>
      </x:c>
      <x:c r="L36" s="22" t="str">
        <x:v>Yes</x:v>
      </x:c>
      <x:c r="M36" s="22" t="str">
        <x:v>No</x:v>
      </x:c>
      <x:c r="N36" s="38" t="str">
        <x:v>Benefits from Research/Treasury proximity</x:v>
      </x:c>
    </x:row>
    <x:row r="37">
      <x:c r="A37" s="37" t="n">
        <x:v>34</x:v>
      </x:c>
      <x:c r="B37" s="22" t="str">
        <x:v>Insurance Company HQ</x:v>
      </x:c>
      <x:c r="C37" s="22" t="str">
        <x:v>Established</x:v>
      </x:c>
      <x:c r="D37" s="22" t="str">
        <x:v>Insurance</x:v>
      </x:c>
      <x:c r="E37" s="61" t="n">
        <x:v>3</x:v>
      </x:c>
      <x:c r="F37" s="61" t="n">
        <x:v>3</x:v>
      </x:c>
      <x:c r="G37" s="61" t="n">
        <x:v>9</x:v>
      </x:c>
      <x:c r="H37" s="22" t="str">
        <x:v>3×3</x:v>
      </x:c>
      <x:c r="I37" s="22" t="str">
        <x:v>N/A</x:v>
      </x:c>
      <x:c r="J37" s="61" t="n">
        <x:v>6</x:v>
      </x:c>
      <x:c r="K37" s="61" t="n">
        <x:v>3</x:v>
      </x:c>
      <x:c r="L37" s="22" t="str">
        <x:v>Yes</x:v>
      </x:c>
      <x:c r="M37" s="22" t="str">
        <x:v>No</x:v>
      </x:c>
      <x:c r="N37" s="38" t="str">
        <x:v>Keep at least one exposed edge for readability</x:v>
      </x:c>
    </x:row>
    <x:row r="38">
      <x:c r="A38" s="37" t="n">
        <x:v>35</x:v>
      </x:c>
      <x:c r="B38" s="22" t="str">
        <x:v>Financial Data Center</x:v>
      </x:c>
      <x:c r="C38" s="22" t="str">
        <x:v>Established</x:v>
      </x:c>
      <x:c r="D38" s="22" t="str">
        <x:v>Research / Data</x:v>
      </x:c>
      <x:c r="E38" s="61" t="n">
        <x:v>2</x:v>
      </x:c>
      <x:c r="F38" s="61" t="n">
        <x:v>3</x:v>
      </x:c>
      <x:c r="G38" s="61" t="n">
        <x:v>6</x:v>
      </x:c>
      <x:c r="H38" s="22" t="str">
        <x:v>2×3</x:v>
      </x:c>
      <x:c r="I38" s="22" t="str">
        <x:v>Yes</x:v>
      </x:c>
      <x:c r="J38" s="61" t="n">
        <x:v>5</x:v>
      </x:c>
      <x:c r="K38" s="61" t="n">
        <x:v>3</x:v>
      </x:c>
      <x:c r="L38" s="22" t="str">
        <x:v>No</x:v>
      </x:c>
      <x:c r="M38" s="22" t="str">
        <x:v>Yes</x:v>
      </x:c>
      <x:c r="N38" s="38" t="str">
        <x:v>Flexible early-game placement</x:v>
      </x:c>
    </x:row>
    <x:row r="39">
      <x:c r="A39" s="37" t="n">
        <x:v>36</x:v>
      </x:c>
      <x:c r="B39" s="22" t="str">
        <x:v>Market Maker Office</x:v>
      </x:c>
      <x:c r="C39" s="22" t="str">
        <x:v>Established</x:v>
      </x:c>
      <x:c r="D39" s="22" t="str">
        <x:v>Market Maker</x:v>
      </x:c>
      <x:c r="E39" s="61" t="n">
        <x:v>2</x:v>
      </x:c>
      <x:c r="F39" s="61" t="n">
        <x:v>3</x:v>
      </x:c>
      <x:c r="G39" s="61" t="n">
        <x:v>6</x:v>
      </x:c>
      <x:c r="H39" s="22" t="str">
        <x:v>2×3</x:v>
      </x:c>
      <x:c r="I39" s="22" t="str">
        <x:v>Yes</x:v>
      </x:c>
      <x:c r="J39" s="61" t="n">
        <x:v>5</x:v>
      </x:c>
      <x:c r="K39" s="61" t="n">
        <x:v>3</x:v>
      </x:c>
      <x:c r="L39" s="22" t="str">
        <x:v>No</x:v>
      </x:c>
      <x:c r="M39" s="22" t="str">
        <x:v>No</x:v>
      </x:c>
      <x:c r="N39" s="38" t="str">
        <x:v>Flexible early-game placement</x:v>
      </x:c>
    </x:row>
    <x:row r="40">
      <x:c r="A40" s="37" t="n">
        <x:v>37</x:v>
      </x:c>
      <x:c r="B40" s="22" t="str">
        <x:v>Private Banking Center</x:v>
      </x:c>
      <x:c r="C40" s="22" t="str">
        <x:v>Established</x:v>
      </x:c>
      <x:c r="D40" s="22" t="str">
        <x:v>Banking</x:v>
      </x:c>
      <x:c r="E40" s="61" t="n">
        <x:v>3</x:v>
      </x:c>
      <x:c r="F40" s="61" t="n">
        <x:v>3</x:v>
      </x:c>
      <x:c r="G40" s="61" t="n">
        <x:v>9</x:v>
      </x:c>
      <x:c r="H40" s="22" t="str">
        <x:v>3×3</x:v>
      </x:c>
      <x:c r="I40" s="22" t="str">
        <x:v>N/A</x:v>
      </x:c>
      <x:c r="J40" s="61" t="n">
        <x:v>6</x:v>
      </x:c>
      <x:c r="K40" s="61" t="n">
        <x:v>3</x:v>
      </x:c>
      <x:c r="L40" s="22" t="str">
        <x:v>Yes</x:v>
      </x:c>
      <x:c r="M40" s="22" t="str">
        <x:v>No</x:v>
      </x:c>
      <x:c r="N40" s="38" t="str">
        <x:v>Benefits from Treasury/Insurance proximity</x:v>
      </x:c>
    </x:row>
    <x:row r="41">
      <x:c r="A41" s="37" t="n">
        <x:v>38</x:v>
      </x:c>
      <x:c r="B41" s="22" t="str">
        <x:v>Corporate Treasury Center</x:v>
      </x:c>
      <x:c r="C41" s="22" t="str">
        <x:v>Established</x:v>
      </x:c>
      <x:c r="D41" s="22" t="str">
        <x:v>Treasury / Vault</x:v>
      </x:c>
      <x:c r="E41" s="61" t="n">
        <x:v>2</x:v>
      </x:c>
      <x:c r="F41" s="61" t="n">
        <x:v>3</x:v>
      </x:c>
      <x:c r="G41" s="61" t="n">
        <x:v>6</x:v>
      </x:c>
      <x:c r="H41" s="22" t="str">
        <x:v>2×3</x:v>
      </x:c>
      <x:c r="I41" s="22" t="str">
        <x:v>Yes</x:v>
      </x:c>
      <x:c r="J41" s="61" t="n">
        <x:v>5</x:v>
      </x:c>
      <x:c r="K41" s="61" t="n">
        <x:v>3</x:v>
      </x:c>
      <x:c r="L41" s="22" t="str">
        <x:v>No</x:v>
      </x:c>
      <x:c r="M41" s="22" t="str">
        <x:v>Yes</x:v>
      </x:c>
      <x:c r="N41" s="38" t="str">
        <x:v>Flexible early-game placement</x:v>
      </x:c>
    </x:row>
    <x:row r="42">
      <x:c r="A42" s="37" t="n">
        <x:v>39</x:v>
      </x:c>
      <x:c r="B42" s="22" t="str">
        <x:v>Securities Exchange</x:v>
      </x:c>
      <x:c r="C42" s="22" t="str">
        <x:v>Established</x:v>
      </x:c>
      <x:c r="D42" s="22" t="str">
        <x:v>Exchange / Trading</x:v>
      </x:c>
      <x:c r="E42" s="61" t="n">
        <x:v>3</x:v>
      </x:c>
      <x:c r="F42" s="61" t="n">
        <x:v>3</x:v>
      </x:c>
      <x:c r="G42" s="61" t="n">
        <x:v>9</x:v>
      </x:c>
      <x:c r="H42" s="22" t="str">
        <x:v>3×3</x:v>
      </x:c>
      <x:c r="I42" s="22" t="str">
        <x:v>N/A</x:v>
      </x:c>
      <x:c r="J42" s="61" t="n">
        <x:v>6</x:v>
      </x:c>
      <x:c r="K42" s="61" t="n">
        <x:v>3</x:v>
      </x:c>
      <x:c r="L42" s="22" t="str">
        <x:v>Yes</x:v>
      </x:c>
      <x:c r="M42" s="22" t="str">
        <x:v>No</x:v>
      </x:c>
      <x:c r="N42" s="38" t="str">
        <x:v>Benefits from Brokerage/Data/Market Maker proximity</x:v>
      </x:c>
    </x:row>
    <x:row r="43">
      <x:c r="A43" s="37" t="n">
        <x:v>40</x:v>
      </x:c>
      <x:c r="B43" s="22" t="str">
        <x:v>Investment Bank</x:v>
      </x:c>
      <x:c r="C43" s="22" t="str">
        <x:v>Established</x:v>
      </x:c>
      <x:c r="D43" s="22" t="str">
        <x:v>Banking</x:v>
      </x:c>
      <x:c r="E43" s="61" t="n">
        <x:v>3</x:v>
      </x:c>
      <x:c r="F43" s="61" t="n">
        <x:v>3</x:v>
      </x:c>
      <x:c r="G43" s="61" t="n">
        <x:v>9</x:v>
      </x:c>
      <x:c r="H43" s="22" t="str">
        <x:v>3×3</x:v>
      </x:c>
      <x:c r="I43" s="22" t="str">
        <x:v>N/A</x:v>
      </x:c>
      <x:c r="J43" s="61" t="n">
        <x:v>6</x:v>
      </x:c>
      <x:c r="K43" s="61" t="n">
        <x:v>3</x:v>
      </x:c>
      <x:c r="L43" s="22" t="str">
        <x:v>Yes</x:v>
      </x:c>
      <x:c r="M43" s="22" t="str">
        <x:v>No</x:v>
      </x:c>
      <x:c r="N43" s="38" t="str">
        <x:v>Benefits from Treasury/Insurance proximity</x:v>
      </x:c>
    </x:row>
    <x:row r="44">
      <x:c r="A44" s="37" t="n">
        <x:v>41</x:v>
      </x:c>
      <x:c r="B44" s="22" t="str">
        <x:v>Global Brokerage Tower</x:v>
      </x:c>
      <x:c r="C44" s="22" t="str">
        <x:v>Elite</x:v>
      </x:c>
      <x:c r="D44" s="22" t="str">
        <x:v>Brokerage</x:v>
      </x:c>
      <x:c r="E44" s="61" t="n">
        <x:v>3</x:v>
      </x:c>
      <x:c r="F44" s="61" t="n">
        <x:v>3</x:v>
      </x:c>
      <x:c r="G44" s="61" t="n">
        <x:v>9</x:v>
      </x:c>
      <x:c r="H44" s="22" t="str">
        <x:v>3×3</x:v>
      </x:c>
      <x:c r="I44" s="22" t="str">
        <x:v>N/A</x:v>
      </x:c>
      <x:c r="J44" s="61" t="n">
        <x:v>6</x:v>
      </x:c>
      <x:c r="K44" s="61" t="n">
        <x:v>3</x:v>
      </x:c>
      <x:c r="L44" s="22" t="str">
        <x:v>Yes</x:v>
      </x:c>
      <x:c r="M44" s="22" t="str">
        <x:v>No</x:v>
      </x:c>
      <x:c r="N44" s="38" t="str">
        <x:v>Keep at least one exposed edge for readability</x:v>
      </x:c>
    </x:row>
    <x:row r="45">
      <x:c r="A45" s="37" t="n">
        <x:v>42</x:v>
      </x:c>
      <x:c r="B45" s="22" t="str">
        <x:v>Major Asset Manager</x:v>
      </x:c>
      <x:c r="C45" s="22" t="str">
        <x:v>Elite</x:v>
      </x:c>
      <x:c r="D45" s="22" t="str">
        <x:v>Fund / Asset Mgmt</x:v>
      </x:c>
      <x:c r="E45" s="61" t="n">
        <x:v>3</x:v>
      </x:c>
      <x:c r="F45" s="61" t="n">
        <x:v>3</x:v>
      </x:c>
      <x:c r="G45" s="61" t="n">
        <x:v>9</x:v>
      </x:c>
      <x:c r="H45" s="22" t="str">
        <x:v>3×3</x:v>
      </x:c>
      <x:c r="I45" s="22" t="str">
        <x:v>N/A</x:v>
      </x:c>
      <x:c r="J45" s="61" t="n">
        <x:v>6</x:v>
      </x:c>
      <x:c r="K45" s="61" t="n">
        <x:v>3</x:v>
      </x:c>
      <x:c r="L45" s="22" t="str">
        <x:v>Yes</x:v>
      </x:c>
      <x:c r="M45" s="22" t="str">
        <x:v>No</x:v>
      </x:c>
      <x:c r="N45" s="38" t="str">
        <x:v>Benefits from Research/Treasury proximity</x:v>
      </x:c>
    </x:row>
    <x:row r="46">
      <x:c r="A46" s="37" t="n">
        <x:v>43</x:v>
      </x:c>
      <x:c r="B46" s="22" t="str">
        <x:v>Institutional Trading Center</x:v>
      </x:c>
      <x:c r="C46" s="22" t="str">
        <x:v>Elite</x:v>
      </x:c>
      <x:c r="D46" s="22" t="str">
        <x:v>Exchange / Trading</x:v>
      </x:c>
      <x:c r="E46" s="61" t="n">
        <x:v>3</x:v>
      </x:c>
      <x:c r="F46" s="61" t="n">
        <x:v>3</x:v>
      </x:c>
      <x:c r="G46" s="61" t="n">
        <x:v>9</x:v>
      </x:c>
      <x:c r="H46" s="22" t="str">
        <x:v>3×3</x:v>
      </x:c>
      <x:c r="I46" s="22" t="str">
        <x:v>N/A</x:v>
      </x:c>
      <x:c r="J46" s="61" t="n">
        <x:v>6</x:v>
      </x:c>
      <x:c r="K46" s="61" t="n">
        <x:v>3</x:v>
      </x:c>
      <x:c r="L46" s="22" t="str">
        <x:v>Yes</x:v>
      </x:c>
      <x:c r="M46" s="22" t="str">
        <x:v>No</x:v>
      </x:c>
      <x:c r="N46" s="38" t="str">
        <x:v>Benefits from Brokerage/Data/Market Maker proximity</x:v>
      </x:c>
    </x:row>
    <x:row r="47">
      <x:c r="A47" s="37" t="n">
        <x:v>44</x:v>
      </x:c>
      <x:c r="B47" s="22" t="str">
        <x:v>Global Wealth Center</x:v>
      </x:c>
      <x:c r="C47" s="22" t="str">
        <x:v>Elite</x:v>
      </x:c>
      <x:c r="D47" s="22" t="str">
        <x:v>Wealth / Private</x:v>
      </x:c>
      <x:c r="E47" s="61" t="n">
        <x:v>3</x:v>
      </x:c>
      <x:c r="F47" s="61" t="n">
        <x:v>3</x:v>
      </x:c>
      <x:c r="G47" s="61" t="n">
        <x:v>9</x:v>
      </x:c>
      <x:c r="H47" s="22" t="str">
        <x:v>3×3</x:v>
      </x:c>
      <x:c r="I47" s="22" t="str">
        <x:v>N/A</x:v>
      </x:c>
      <x:c r="J47" s="61" t="n">
        <x:v>6</x:v>
      </x:c>
      <x:c r="K47" s="61" t="n">
        <x:v>3</x:v>
      </x:c>
      <x:c r="L47" s="22" t="str">
        <x:v>Yes</x:v>
      </x:c>
      <x:c r="M47" s="22" t="str">
        <x:v>No</x:v>
      </x:c>
      <x:c r="N47" s="38" t="str">
        <x:v>Benefits from Bank/Fund proximity</x:v>
      </x:c>
    </x:row>
    <x:row r="48">
      <x:c r="A48" s="37" t="n">
        <x:v>45</x:v>
      </x:c>
      <x:c r="B48" s="22" t="str">
        <x:v>Financial Exchange Tower</x:v>
      </x:c>
      <x:c r="C48" s="22" t="str">
        <x:v>Elite</x:v>
      </x:c>
      <x:c r="D48" s="22" t="str">
        <x:v>Exchange / Trading</x:v>
      </x:c>
      <x:c r="E48" s="61" t="n">
        <x:v>4</x:v>
      </x:c>
      <x:c r="F48" s="61" t="n">
        <x:v>4</x:v>
      </x:c>
      <x:c r="G48" s="61" t="n">
        <x:v>16</x:v>
      </x:c>
      <x:c r="H48" s="22" t="str">
        <x:v>4×4</x:v>
      </x:c>
      <x:c r="I48" s="22" t="str">
        <x:v>N/A</x:v>
      </x:c>
      <x:c r="J48" s="61" t="n">
        <x:v>8</x:v>
      </x:c>
      <x:c r="K48" s="61" t="n">
        <x:v>4</x:v>
      </x:c>
      <x:c r="L48" s="22" t="str">
        <x:v>Yes</x:v>
      </x:c>
      <x:c r="M48" s="22" t="str">
        <x:v>No</x:v>
      </x:c>
      <x:c r="N48" s="38" t="str">
        <x:v>Benefits from Brokerage/Data/Market Maker proximity</x:v>
      </x:c>
    </x:row>
    <x:row r="49">
      <x:c r="A49" s="37" t="n">
        <x:v>46</x:v>
      </x:c>
      <x:c r="B49" s="22" t="str">
        <x:v>International Bank HQ</x:v>
      </x:c>
      <x:c r="C49" s="22" t="str">
        <x:v>Tycoon</x:v>
      </x:c>
      <x:c r="D49" s="22" t="str">
        <x:v>Banking</x:v>
      </x:c>
      <x:c r="E49" s="61" t="n">
        <x:v>4</x:v>
      </x:c>
      <x:c r="F49" s="61" t="n">
        <x:v>4</x:v>
      </x:c>
      <x:c r="G49" s="61" t="n">
        <x:v>16</x:v>
      </x:c>
      <x:c r="H49" s="22" t="str">
        <x:v>4×4</x:v>
      </x:c>
      <x:c r="I49" s="22" t="str">
        <x:v>N/A</x:v>
      </x:c>
      <x:c r="J49" s="61" t="n">
        <x:v>8</x:v>
      </x:c>
      <x:c r="K49" s="61" t="n">
        <x:v>4</x:v>
      </x:c>
      <x:c r="L49" s="22" t="str">
        <x:v>Yes</x:v>
      </x:c>
      <x:c r="M49" s="22" t="str">
        <x:v>No</x:v>
      </x:c>
      <x:c r="N49" s="38" t="str">
        <x:v>Benefits from Treasury/Insurance proximity</x:v>
      </x:c>
    </x:row>
    <x:row r="50">
      <x:c r="A50" s="37" t="n">
        <x:v>47</x:v>
      </x:c>
      <x:c r="B50" s="22" t="str">
        <x:v>Global Investment Bank</x:v>
      </x:c>
      <x:c r="C50" s="22" t="str">
        <x:v>Tycoon</x:v>
      </x:c>
      <x:c r="D50" s="22" t="str">
        <x:v>Banking</x:v>
      </x:c>
      <x:c r="E50" s="61" t="n">
        <x:v>4</x:v>
      </x:c>
      <x:c r="F50" s="61" t="n">
        <x:v>4</x:v>
      </x:c>
      <x:c r="G50" s="61" t="n">
        <x:v>16</x:v>
      </x:c>
      <x:c r="H50" s="22" t="str">
        <x:v>4×4</x:v>
      </x:c>
      <x:c r="I50" s="22" t="str">
        <x:v>N/A</x:v>
      </x:c>
      <x:c r="J50" s="61" t="n">
        <x:v>8</x:v>
      </x:c>
      <x:c r="K50" s="61" t="n">
        <x:v>4</x:v>
      </x:c>
      <x:c r="L50" s="22" t="str">
        <x:v>Yes</x:v>
      </x:c>
      <x:c r="M50" s="22" t="str">
        <x:v>No</x:v>
      </x:c>
      <x:c r="N50" s="38" t="str">
        <x:v>Benefits from Treasury/Insurance proximity</x:v>
      </x:c>
    </x:row>
    <x:row r="51">
      <x:c r="A51" s="37" t="n">
        <x:v>48</x:v>
      </x:c>
      <x:c r="B51" s="22" t="str">
        <x:v>Sovereign Fund Tower</x:v>
      </x:c>
      <x:c r="C51" s="22" t="str">
        <x:v>Tycoon</x:v>
      </x:c>
      <x:c r="D51" s="22" t="str">
        <x:v>Fund / Asset Mgmt</x:v>
      </x:c>
      <x:c r="E51" s="61" t="n">
        <x:v>4</x:v>
      </x:c>
      <x:c r="F51" s="61" t="n">
        <x:v>4</x:v>
      </x:c>
      <x:c r="G51" s="61" t="n">
        <x:v>16</x:v>
      </x:c>
      <x:c r="H51" s="22" t="str">
        <x:v>4×4</x:v>
      </x:c>
      <x:c r="I51" s="22" t="str">
        <x:v>N/A</x:v>
      </x:c>
      <x:c r="J51" s="61" t="n">
        <x:v>8</x:v>
      </x:c>
      <x:c r="K51" s="61" t="n">
        <x:v>4</x:v>
      </x:c>
      <x:c r="L51" s="22" t="str">
        <x:v>Yes</x:v>
      </x:c>
      <x:c r="M51" s="22" t="str">
        <x:v>No</x:v>
      </x:c>
      <x:c r="N51" s="38" t="str">
        <x:v>Benefits from Research/Treasury proximity</x:v>
      </x:c>
    </x:row>
    <x:row r="52">
      <x:c r="A52" s="37" t="n">
        <x:v>49</x:v>
      </x:c>
      <x:c r="B52" s="22" t="str">
        <x:v>World Financial Exchange</x:v>
      </x:c>
      <x:c r="C52" s="22" t="str">
        <x:v>Tycoon</x:v>
      </x:c>
      <x:c r="D52" s="22" t="str">
        <x:v>Exchange / Trading</x:v>
      </x:c>
      <x:c r="E52" s="61" t="n">
        <x:v>4</x:v>
      </x:c>
      <x:c r="F52" s="61" t="n">
        <x:v>4</x:v>
      </x:c>
      <x:c r="G52" s="61" t="n">
        <x:v>16</x:v>
      </x:c>
      <x:c r="H52" s="22" t="str">
        <x:v>4×4</x:v>
      </x:c>
      <x:c r="I52" s="22" t="str">
        <x:v>N/A</x:v>
      </x:c>
      <x:c r="J52" s="61" t="n">
        <x:v>8</x:v>
      </x:c>
      <x:c r="K52" s="61" t="n">
        <x:v>4</x:v>
      </x:c>
      <x:c r="L52" s="22" t="str">
        <x:v>Yes</x:v>
      </x:c>
      <x:c r="M52" s="22" t="str">
        <x:v>No</x:v>
      </x:c>
      <x:c r="N52" s="38" t="str">
        <x:v>Benefits from Brokerage/Data/Market Maker proximity</x:v>
      </x:c>
    </x:row>
    <x:row r="53">
      <x:c r="A53" s="39" t="n">
        <x:v>50</x:v>
      </x:c>
      <x:c r="B53" s="40" t="str">
        <x:v>Financial Empire Headquarters</x:v>
      </x:c>
      <x:c r="C53" s="40" t="str">
        <x:v>Tycoon</x:v>
      </x:c>
      <x:c r="D53" s="40" t="str">
        <x:v>Financial Services</x:v>
      </x:c>
      <x:c r="E53" s="62" t="n">
        <x:v>4</x:v>
      </x:c>
      <x:c r="F53" s="62" t="n">
        <x:v>4</x:v>
      </x:c>
      <x:c r="G53" s="62" t="n">
        <x:v>16</x:v>
      </x:c>
      <x:c r="H53" s="40" t="str">
        <x:v>4×4</x:v>
      </x:c>
      <x:c r="I53" s="40" t="str">
        <x:v>N/A</x:v>
      </x:c>
      <x:c r="J53" s="62" t="n">
        <x:v>8</x:v>
      </x:c>
      <x:c r="K53" s="62" t="n">
        <x:v>4</x:v>
      </x:c>
      <x:c r="L53" s="40" t="str">
        <x:v>Yes</x:v>
      </x:c>
      <x:c r="M53" s="40" t="str">
        <x:v>No</x:v>
      </x:c>
      <x:c r="N53" s="41" t="str">
        <x:v>Keep at least one exposed edge for readability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26" hidden="0" customWidth="1"/>
    <x:col min="5" max="5" width="26" hidden="0" customWidth="1"/>
    <x:col min="6" max="6" width="2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Core Placement, Adjacency &amp; Movement Rules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22"/>
      <x:c r="N1" s="22"/>
      <x:c r="O1" s="22"/>
      <x:c r="P1" s="22"/>
      <x:c r="Q1" s="22"/>
    </x:row>
    <x:row r="3">
      <x:c r="A3" s="14" t="str">
        <x:v>Rule</x:v>
      </x:c>
      <x:c r="B3" s="14" t="str">
        <x:v>Default</x:v>
      </x:c>
      <x:c r="C3" s="14" t="str">
        <x:v>Applies To</x:v>
      </x:c>
      <x:c r="D3" s="14" t="str">
        <x:v>Valid Condition</x:v>
      </x:c>
      <x:c r="E3" s="14" t="str">
        <x:v>Invalid Condition</x:v>
      </x:c>
      <x:c r="F3" s="14" t="str">
        <x:v>Economic Effect</x:v>
      </x:c>
      <x:c r="G3" s="14" t="str">
        <x:v>Player Feedback</x:v>
      </x:c>
      <x:c r="H3" s="14" t="str">
        <x:v>Cooldown / Cost</x:v>
      </x:c>
      <x:c r="I3" s="14" t="str">
        <x:v>MVP?</x:v>
      </x:c>
      <x:c r="J3" s="14" t="str">
        <x:v>Exploit Risk</x:v>
      </x:c>
      <x:c r="K3" s="14" t="str">
        <x:v>Mitigation</x:v>
      </x:c>
      <x:c r="L3" s="14" t="str">
        <x:v>Notes</x:v>
      </x:c>
    </x:row>
    <x:row r="4">
      <x:c r="A4" s="34" t="str">
        <x:v>Grid snap</x:v>
      </x:c>
      <x:c r="B4" s="35" t="str">
        <x:v>Required</x:v>
      </x:c>
      <x:c r="C4" s="35" t="str">
        <x:v>All buildings</x:v>
      </x:c>
      <x:c r="D4" s="35" t="str">
        <x:v>All occupied tiles inside owned Plot</x:v>
      </x:c>
      <x:c r="E4" s="35" t="str">
        <x:v>Any tile outside boundary</x:v>
      </x:c>
      <x:c r="F4" s="35" t="str">
        <x:v>None</x:v>
      </x:c>
      <x:c r="G4" s="35" t="str">
        <x:v>Green/red footprint preview</x:v>
      </x:c>
      <x:c r="H4" s="35" t="str">
        <x:v>None</x:v>
      </x:c>
      <x:c r="I4" s="35" t="str">
        <x:v>Yes</x:v>
      </x:c>
      <x:c r="J4" s="35" t="str">
        <x:v>Low</x:v>
      </x:c>
      <x:c r="K4" s="35" t="str">
        <x:v>Server validates coordinates</x:v>
      </x:c>
      <x:c r="L4" s="36" t="str"/>
    </x:row>
    <x:row r="5">
      <x:c r="A5" s="37" t="str">
        <x:v>Overlap</x:v>
      </x:c>
      <x:c r="B5" s="22" t="str">
        <x:v>Not allowed</x:v>
      </x:c>
      <x:c r="C5" s="22" t="str">
        <x:v>All buildings</x:v>
      </x:c>
      <x:c r="D5" s="22" t="str">
        <x:v>No occupied tile intersection</x:v>
      </x:c>
      <x:c r="E5" s="22" t="str">
        <x:v>Any overlap</x:v>
      </x:c>
      <x:c r="F5" s="22" t="str">
        <x:v>None</x:v>
      </x:c>
      <x:c r="G5" s="22" t="str">
        <x:v>Red blocked tiles</x:v>
      </x:c>
      <x:c r="H5" s="22" t="str">
        <x:v>None</x:v>
      </x:c>
      <x:c r="I5" s="22" t="str">
        <x:v>Yes</x:v>
      </x:c>
      <x:c r="J5" s="22" t="str">
        <x:v>Low</x:v>
      </x:c>
      <x:c r="K5" s="22" t="str">
        <x:v>Authoritative board state</x:v>
      </x:c>
      <x:c r="L5" s="38" t="str"/>
    </x:row>
    <x:row r="6">
      <x:c r="A6" s="37" t="str">
        <x:v>Rotation</x:v>
      </x:c>
      <x:c r="B6" s="22" t="str">
        <x:v>90° steps</x:v>
      </x:c>
      <x:c r="C6" s="22" t="str">
        <x:v>Non-square footprints</x:v>
      </x:c>
      <x:c r="D6" s="22" t="str">
        <x:v>Rotated footprint still fits</x:v>
      </x:c>
      <x:c r="E6" s="22" t="str">
        <x:v>Would overlap/outside board</x:v>
      </x:c>
      <x:c r="F6" s="22" t="str">
        <x:v>None</x:v>
      </x:c>
      <x:c r="G6" s="22" t="str">
        <x:v>Rotate button</x:v>
      </x:c>
      <x:c r="H6" s="22" t="str">
        <x:v>None</x:v>
      </x:c>
      <x:c r="I6" s="22" t="str">
        <x:v>Yes</x:v>
      </x:c>
      <x:c r="J6" s="22" t="str">
        <x:v>Low</x:v>
      </x:c>
      <x:c r="K6" s="22" t="str">
        <x:v>Server stores orientation</x:v>
      </x:c>
      <x:c r="L6" s="38" t="str"/>
    </x:row>
    <x:row r="7">
      <x:c r="A7" s="37" t="str">
        <x:v>Direct adjacency</x:v>
      </x:c>
      <x:c r="B7" s="22" t="str">
        <x:v>Shared edge</x:v>
      </x:c>
      <x:c r="C7" s="22" t="str">
        <x:v>Synergy-eligible pairs</x:v>
      </x:c>
      <x:c r="D7" s="22" t="str">
        <x:v>At least 1 building-edge tile touches other building-edge tile</x:v>
      </x:c>
      <x:c r="E7" s="22" t="str">
        <x:v>Diagonal-only contact</x:v>
      </x:c>
      <x:c r="F7" s="22" t="str">
        <x:v>Listed synergy bonus</x:v>
      </x:c>
      <x:c r="G7" s="22" t="str">
        <x:v>Link highlight</x:v>
      </x:c>
      <x:c r="H7" s="22" t="str">
        <x:v>None</x:v>
      </x:c>
      <x:c r="I7" s="22" t="str">
        <x:v>Yes</x:v>
      </x:c>
      <x:c r="J7" s="22" t="str">
        <x:v>Medium</x:v>
      </x:c>
      <x:c r="K7" s="22" t="str">
        <x:v>No diagonal counts</x:v>
      </x:c>
      <x:c r="L7" s="38" t="str"/>
    </x:row>
    <x:row r="8">
      <x:c r="A8" s="37" t="str">
        <x:v>Support radius</x:v>
      </x:c>
      <x:c r="B8" s="22" t="str">
        <x:v>Manhattan distance ≤2</x:v>
      </x:c>
      <x:c r="C8" s="22" t="str">
        <x:v>Infrastructure/support buildings</x:v>
      </x:c>
      <x:c r="D8" s="22" t="str">
        <x:v>Nearest edge-to-edge tile distance ≤2</x:v>
      </x:c>
      <x:c r="E8" s="22" t="str">
        <x:v>Distance &gt;2</x:v>
      </x:c>
      <x:c r="F8" s="22" t="str">
        <x:v>Listed support bonus</x:v>
      </x:c>
      <x:c r="G8" s="22" t="str">
        <x:v>Soft radius overlay</x:v>
      </x:c>
      <x:c r="H8" s="22" t="str">
        <x:v>None</x:v>
      </x:c>
      <x:c r="I8" s="22" t="str">
        <x:v>Yes</x:v>
      </x:c>
      <x:c r="J8" s="22" t="str">
        <x:v>Medium</x:v>
      </x:c>
      <x:c r="K8" s="22" t="str">
        <x:v>Limited support slots</x:v>
      </x:c>
      <x:c r="L8" s="38" t="str"/>
    </x:row>
    <x:row r="9">
      <x:c r="A9" s="37" t="str">
        <x:v>Diagonal contact</x:v>
      </x:c>
      <x:c r="B9" s="22" t="str">
        <x:v>No synergy</x:v>
      </x:c>
      <x:c r="C9" s="22" t="str">
        <x:v>All</x:v>
      </x:c>
      <x:c r="D9" s="22" t="str">
        <x:v>May place diagonally</x:v>
      </x:c>
      <x:c r="E9" s="22" t="str">
        <x:v>Does not count as direct adjacency</x:v>
      </x:c>
      <x:c r="F9" s="22" t="str">
        <x:v>0</x:v>
      </x:c>
      <x:c r="G9" s="22" t="str">
        <x:v>No link line</x:v>
      </x:c>
      <x:c r="H9" s="22" t="str">
        <x:v>None</x:v>
      </x:c>
      <x:c r="I9" s="22" t="str">
        <x:v>Yes</x:v>
      </x:c>
      <x:c r="J9" s="22" t="str">
        <x:v>Low</x:v>
      </x:c>
      <x:c r="K9" s="22" t="str">
        <x:v>Clear tutorial</x:v>
      </x:c>
      <x:c r="L9" s="38" t="str"/>
    </x:row>
    <x:row r="10">
      <x:c r="A10" s="37" t="str">
        <x:v>Reposition before confirm</x:v>
      </x:c>
      <x:c r="B10" s="22" t="str">
        <x:v>Free</x:v>
      </x:c>
      <x:c r="C10" s="22" t="str">
        <x:v>New placement</x:v>
      </x:c>
      <x:c r="D10" s="22" t="str">
        <x:v>Before placement confirmation</x:v>
      </x:c>
      <x:c r="E10" s="22" t="str">
        <x:v>After operating state</x:v>
      </x:c>
      <x:c r="F10" s="22" t="str">
        <x:v>None</x:v>
      </x:c>
      <x:c r="G10" s="22" t="str">
        <x:v>Drag ghost</x:v>
      </x:c>
      <x:c r="H10" s="22" t="str">
        <x:v>Free</x:v>
      </x:c>
      <x:c r="I10" s="22" t="str">
        <x:v>Yes</x:v>
      </x:c>
      <x:c r="J10" s="22" t="str">
        <x:v>Low</x:v>
      </x:c>
      <x:c r="K10" s="22" t="str">
        <x:v>One confirmation step</x:v>
      </x:c>
      <x:c r="L10" s="38" t="str"/>
    </x:row>
    <x:row r="11">
      <x:c r="A11" s="37" t="str">
        <x:v>Relocation after operation</x:v>
      </x:c>
      <x:c r="B11" s="22" t="str">
        <x:v>Allowed</x:v>
      </x:c>
      <x:c r="C11" s="22" t="str">
        <x:v>Placed buildings</x:v>
      </x:c>
      <x:c r="D11" s="22" t="str">
        <x:v>Not in move lock / payout settlement lock</x:v>
      </x:c>
      <x:c r="E11" s="22" t="str">
        <x:v>Affected event move lock active</x:v>
      </x:c>
      <x:c r="F11" s="22" t="str">
        <x:v>Temporary downtime + fee</x:v>
      </x:c>
      <x:c r="G11" s="22" t="str">
        <x:v>Move cost preview</x:v>
      </x:c>
      <x:c r="H11" s="22" t="str">
        <x:v>5% value + 15 min</x:v>
      </x:c>
      <x:c r="I11" s="22" t="str">
        <x:v>Yes</x:v>
      </x:c>
      <x:c r="J11" s="22" t="str">
        <x:v>High</x:v>
      </x:c>
      <x:c r="K11" s="22" t="str">
        <x:v>Event lock + server timestamps</x:v>
      </x:c>
      <x:c r="L11" s="38" t="str"/>
    </x:row>
    <x:row r="12">
      <x:c r="A12" s="37" t="str">
        <x:v>Upgrade</x:v>
      </x:c>
      <x:c r="B12" s="22" t="str">
        <x:v>Same footprint</x:v>
      </x:c>
      <x:c r="C12" s="22" t="str">
        <x:v>All buildings</x:v>
      </x:c>
      <x:c r="D12" s="22" t="str">
        <x:v>Upgrade requirements met</x:v>
      </x:c>
      <x:c r="E12" s="22" t="str">
        <x:v>No need for extra tiles</x:v>
      </x:c>
      <x:c r="F12" s="22" t="str">
        <x:v>Stats only</x:v>
      </x:c>
      <x:c r="G12" s="22" t="str">
        <x:v>Upgrade animation</x:v>
      </x:c>
      <x:c r="H12" s="22" t="str">
        <x:v>Upgrade cost only</x:v>
      </x:c>
      <x:c r="I12" s="22" t="str">
        <x:v>Yes</x:v>
      </x:c>
      <x:c r="J12" s="22" t="str">
        <x:v>Low</x:v>
      </x:c>
      <x:c r="K12" s="22" t="str">
        <x:v>Footprint immutable per building ID</x:v>
      </x:c>
      <x:c r="L12" s="38" t="str"/>
    </x:row>
    <x:row r="13">
      <x:c r="A13" s="37" t="str">
        <x:v>Sell / demolish</x:v>
      </x:c>
      <x:c r="B13" s="22" t="str">
        <x:v>Allowed</x:v>
      </x:c>
      <x:c r="C13" s="22" t="str">
        <x:v>Non-locked buildings</x:v>
      </x:c>
      <x:c r="D13" s="22" t="str">
        <x:v>No active protected event / transfer</x:v>
      </x:c>
      <x:c r="E13" s="22" t="str">
        <x:v>Locked by settlement or ownership transfer</x:v>
      </x:c>
      <x:c r="F13" s="22" t="str">
        <x:v>Recovers configured fraction</x:v>
      </x:c>
      <x:c r="G13" s="22" t="str">
        <x:v>Confirmation modal</x:v>
      </x:c>
      <x:c r="H13" s="22" t="str">
        <x:v>Cooldown optional</x:v>
      </x:c>
      <x:c r="I13" s="22" t="str">
        <x:v>Later</x:v>
      </x:c>
      <x:c r="J13" s="22" t="str">
        <x:v>Medium</x:v>
      </x:c>
      <x:c r="K13" s="22" t="str">
        <x:v>No XP re-farm</x:v>
      </x:c>
      <x:c r="L13" s="38" t="str"/>
    </x:row>
    <x:row r="14">
      <x:c r="A14" s="37" t="str">
        <x:v>Plot edge</x:v>
      </x:c>
      <x:c r="B14" s="22" t="str">
        <x:v>No special penalty</x:v>
      </x:c>
      <x:c r="C14" s="22" t="str">
        <x:v>All</x:v>
      </x:c>
      <x:c r="D14" s="22" t="str">
        <x:v>Fits inside boundary</x:v>
      </x:c>
      <x:c r="E14" s="22" t="str">
        <x:v>Outside boundary</x:v>
      </x:c>
      <x:c r="F14" s="22" t="str">
        <x:v>0</x:v>
      </x:c>
      <x:c r="G14" s="22" t="str">
        <x:v>Boundary outline</x:v>
      </x:c>
      <x:c r="H14" s="22" t="str">
        <x:v>None</x:v>
      </x:c>
      <x:c r="I14" s="22" t="str">
        <x:v>Yes</x:v>
      </x:c>
      <x:c r="J14" s="22" t="str">
        <x:v>Low</x:v>
      </x:c>
      <x:c r="K14" s="22" t="str">
        <x:v>Server geometry</x:v>
      </x:c>
      <x:c r="L14" s="38" t="str"/>
    </x:row>
    <x:row r="15">
      <x:c r="A15" s="39" t="str">
        <x:v>Merged border</x:v>
      </x:c>
      <x:c r="B15" s="40" t="str">
        <x:v>Seamless after valid merge</x:v>
      </x:c>
      <x:c r="C15" s="40" t="str">
        <x:v>Merged Plots</x:v>
      </x:c>
      <x:c r="D15" s="40" t="str">
        <x:v>Both underlying Plots owned and merged</x:v>
      </x:c>
      <x:c r="E15" s="40" t="str">
        <x:v>Unmerged neighbor</x:v>
      </x:c>
      <x:c r="F15" s="40" t="str">
        <x:v>Allows cross-border support/synergy</x:v>
      </x:c>
      <x:c r="G15" s="40" t="str">
        <x:v>District outline</x:v>
      </x:c>
      <x:c r="H15" s="40" t="str">
        <x:v>Merge rules separate</x:v>
      </x:c>
      <x:c r="I15" s="40" t="str">
        <x:v>Later</x:v>
      </x:c>
      <x:c r="J15" s="40" t="str">
        <x:v>High</x:v>
      </x:c>
      <x:c r="K15" s="40" t="str">
        <x:v>Underlying ownership retained</x:v>
      </x:c>
      <x:c r="L15" s="41" t="str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Building Family Synergy Matrix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22"/>
      <x:c r="O1" s="22"/>
      <x:c r="P1" s="22"/>
      <x:c r="Q1" s="22"/>
    </x:row>
    <x:row r="3">
      <x:c r="A3" s="14" t="str">
        <x:v>Family</x:v>
      </x:c>
      <x:c r="B3" s="14" t="str">
        <x:v>Banking</x:v>
      </x:c>
      <x:c r="C3" s="14" t="str">
        <x:v>Brokerage</x:v>
      </x:c>
      <x:c r="D3" s="14" t="str">
        <x:v>Exchange / Trading</x:v>
      </x:c>
      <x:c r="E3" s="14" t="str">
        <x:v>Fund / Asset Mgmt</x:v>
      </x:c>
      <x:c r="F3" s="14" t="str">
        <x:v>Insurance</x:v>
      </x:c>
      <x:c r="G3" s="14" t="str">
        <x:v>Research / Data</x:v>
      </x:c>
      <x:c r="H3" s="14" t="str">
        <x:v>Treasury / Vault</x:v>
      </x:c>
      <x:c r="I3" s="14" t="str">
        <x:v>Wealth / Private</x:v>
      </x:c>
      <x:c r="J3" s="14" t="str">
        <x:v>Market Maker</x:v>
      </x:c>
      <x:c r="K3" s="14" t="str">
        <x:v>Investment Banking</x:v>
      </x:c>
      <x:c r="L3" s="14" t="str">
        <x:v>Financial Services</x:v>
      </x:c>
    </x:row>
    <x:row r="4">
      <x:c r="A4" s="34" t="str">
        <x:v>Banking</x:v>
      </x:c>
      <x:c r="B4" s="35" t="str">
        <x:v>R</x:v>
      </x:c>
      <x:c r="C4" s="35" t="str">
        <x:v>L</x:v>
      </x:c>
      <x:c r="D4" s="35" t="str">
        <x:v>0</x:v>
      </x:c>
      <x:c r="E4" s="35" t="str">
        <x:v>M</x:v>
      </x:c>
      <x:c r="F4" s="35" t="str">
        <x:v>S</x:v>
      </x:c>
      <x:c r="G4" s="35" t="str">
        <x:v>L</x:v>
      </x:c>
      <x:c r="H4" s="35" t="str">
        <x:v>S</x:v>
      </x:c>
      <x:c r="I4" s="35" t="str">
        <x:v>S</x:v>
      </x:c>
      <x:c r="J4" s="35" t="str">
        <x:v>0</x:v>
      </x:c>
      <x:c r="K4" s="35" t="str">
        <x:v>M</x:v>
      </x:c>
      <x:c r="L4" s="36" t="str">
        <x:v>M</x:v>
      </x:c>
    </x:row>
    <x:row r="5">
      <x:c r="A5" s="37" t="str">
        <x:v>Brokerage</x:v>
      </x:c>
      <x:c r="B5" s="22" t="str">
        <x:v>L</x:v>
      </x:c>
      <x:c r="C5" s="22" t="str">
        <x:v>R</x:v>
      </x:c>
      <x:c r="D5" s="22" t="str">
        <x:v>S</x:v>
      </x:c>
      <x:c r="E5" s="22" t="str">
        <x:v>M</x:v>
      </x:c>
      <x:c r="F5" s="22" t="str">
        <x:v>0</x:v>
      </x:c>
      <x:c r="G5" s="22" t="str">
        <x:v>S</x:v>
      </x:c>
      <x:c r="H5" s="22" t="str">
        <x:v>L</x:v>
      </x:c>
      <x:c r="I5" s="22" t="str">
        <x:v>M</x:v>
      </x:c>
      <x:c r="J5" s="22" t="str">
        <x:v>M</x:v>
      </x:c>
      <x:c r="K5" s="22" t="str">
        <x:v>L</x:v>
      </x:c>
      <x:c r="L5" s="38" t="str">
        <x:v>M</x:v>
      </x:c>
    </x:row>
    <x:row r="6">
      <x:c r="A6" s="37" t="str">
        <x:v>Exchange / Trading</x:v>
      </x:c>
      <x:c r="B6" s="22" t="str">
        <x:v>0</x:v>
      </x:c>
      <x:c r="C6" s="22" t="str">
        <x:v>S</x:v>
      </x:c>
      <x:c r="D6" s="22" t="str">
        <x:v>R</x:v>
      </x:c>
      <x:c r="E6" s="22" t="str">
        <x:v>M</x:v>
      </x:c>
      <x:c r="F6" s="22" t="str">
        <x:v>0</x:v>
      </x:c>
      <x:c r="G6" s="22" t="str">
        <x:v>S</x:v>
      </x:c>
      <x:c r="H6" s="22" t="str">
        <x:v>M</x:v>
      </x:c>
      <x:c r="I6" s="22" t="str">
        <x:v>0</x:v>
      </x:c>
      <x:c r="J6" s="22" t="str">
        <x:v>S</x:v>
      </x:c>
      <x:c r="K6" s="22" t="str">
        <x:v>M</x:v>
      </x:c>
      <x:c r="L6" s="38" t="str">
        <x:v>L</x:v>
      </x:c>
    </x:row>
    <x:row r="7">
      <x:c r="A7" s="37" t="str">
        <x:v>Fund / Asset Mgmt</x:v>
      </x:c>
      <x:c r="B7" s="22" t="str">
        <x:v>M</x:v>
      </x:c>
      <x:c r="C7" s="22" t="str">
        <x:v>M</x:v>
      </x:c>
      <x:c r="D7" s="22" t="str">
        <x:v>M</x:v>
      </x:c>
      <x:c r="E7" s="22" t="str">
        <x:v>R</x:v>
      </x:c>
      <x:c r="F7" s="22" t="str">
        <x:v>L</x:v>
      </x:c>
      <x:c r="G7" s="22" t="str">
        <x:v>S</x:v>
      </x:c>
      <x:c r="H7" s="22" t="str">
        <x:v>S</x:v>
      </x:c>
      <x:c r="I7" s="22" t="str">
        <x:v>S</x:v>
      </x:c>
      <x:c r="J7" s="22" t="str">
        <x:v>L</x:v>
      </x:c>
      <x:c r="K7" s="22" t="str">
        <x:v>M</x:v>
      </x:c>
      <x:c r="L7" s="38" t="str">
        <x:v>M</x:v>
      </x:c>
    </x:row>
    <x:row r="8">
      <x:c r="A8" s="37" t="str">
        <x:v>Insurance</x:v>
      </x:c>
      <x:c r="B8" s="22" t="str">
        <x:v>S</x:v>
      </x:c>
      <x:c r="C8" s="22" t="str">
        <x:v>0</x:v>
      </x:c>
      <x:c r="D8" s="22" t="str">
        <x:v>0</x:v>
      </x:c>
      <x:c r="E8" s="22" t="str">
        <x:v>L</x:v>
      </x:c>
      <x:c r="F8" s="22" t="str">
        <x:v>R</x:v>
      </x:c>
      <x:c r="G8" s="22" t="str">
        <x:v>L</x:v>
      </x:c>
      <x:c r="H8" s="22" t="str">
        <x:v>S</x:v>
      </x:c>
      <x:c r="I8" s="22" t="str">
        <x:v>M</x:v>
      </x:c>
      <x:c r="J8" s="22" t="str">
        <x:v>0</x:v>
      </x:c>
      <x:c r="K8" s="22" t="str">
        <x:v>0</x:v>
      </x:c>
      <x:c r="L8" s="38" t="str">
        <x:v>M</x:v>
      </x:c>
    </x:row>
    <x:row r="9">
      <x:c r="A9" s="37" t="str">
        <x:v>Research / Data</x:v>
      </x:c>
      <x:c r="B9" s="22" t="str">
        <x:v>L</x:v>
      </x:c>
      <x:c r="C9" s="22" t="str">
        <x:v>S</x:v>
      </x:c>
      <x:c r="D9" s="22" t="str">
        <x:v>S</x:v>
      </x:c>
      <x:c r="E9" s="22" t="str">
        <x:v>S</x:v>
      </x:c>
      <x:c r="F9" s="22" t="str">
        <x:v>L</x:v>
      </x:c>
      <x:c r="G9" s="22" t="str">
        <x:v>R</x:v>
      </x:c>
      <x:c r="H9" s="22" t="str">
        <x:v>M</x:v>
      </x:c>
      <x:c r="I9" s="22" t="str">
        <x:v>M</x:v>
      </x:c>
      <x:c r="J9" s="22" t="str">
        <x:v>S</x:v>
      </x:c>
      <x:c r="K9" s="22" t="str">
        <x:v>S</x:v>
      </x:c>
      <x:c r="L9" s="38" t="str">
        <x:v>M</x:v>
      </x:c>
    </x:row>
    <x:row r="10">
      <x:c r="A10" s="37" t="str">
        <x:v>Treasury / Vault</x:v>
      </x:c>
      <x:c r="B10" s="22" t="str">
        <x:v>S</x:v>
      </x:c>
      <x:c r="C10" s="22" t="str">
        <x:v>L</x:v>
      </x:c>
      <x:c r="D10" s="22" t="str">
        <x:v>M</x:v>
      </x:c>
      <x:c r="E10" s="22" t="str">
        <x:v>S</x:v>
      </x:c>
      <x:c r="F10" s="22" t="str">
        <x:v>S</x:v>
      </x:c>
      <x:c r="G10" s="22" t="str">
        <x:v>M</x:v>
      </x:c>
      <x:c r="H10" s="22" t="str">
        <x:v>R</x:v>
      </x:c>
      <x:c r="I10" s="22" t="str">
        <x:v>M</x:v>
      </x:c>
      <x:c r="J10" s="22" t="str">
        <x:v>S</x:v>
      </x:c>
      <x:c r="K10" s="22" t="str">
        <x:v>S</x:v>
      </x:c>
      <x:c r="L10" s="38" t="str">
        <x:v>M</x:v>
      </x:c>
    </x:row>
    <x:row r="11">
      <x:c r="A11" s="37" t="str">
        <x:v>Wealth / Private</x:v>
      </x:c>
      <x:c r="B11" s="22" t="str">
        <x:v>S</x:v>
      </x:c>
      <x:c r="C11" s="22" t="str">
        <x:v>M</x:v>
      </x:c>
      <x:c r="D11" s="22" t="str">
        <x:v>0</x:v>
      </x:c>
      <x:c r="E11" s="22" t="str">
        <x:v>S</x:v>
      </x:c>
      <x:c r="F11" s="22" t="str">
        <x:v>M</x:v>
      </x:c>
      <x:c r="G11" s="22" t="str">
        <x:v>M</x:v>
      </x:c>
      <x:c r="H11" s="22" t="str">
        <x:v>M</x:v>
      </x:c>
      <x:c r="I11" s="22" t="str">
        <x:v>R</x:v>
      </x:c>
      <x:c r="J11" s="22" t="str">
        <x:v>0</x:v>
      </x:c>
      <x:c r="K11" s="22" t="str">
        <x:v>M</x:v>
      </x:c>
      <x:c r="L11" s="38" t="str">
        <x:v>S</x:v>
      </x:c>
    </x:row>
    <x:row r="12">
      <x:c r="A12" s="37" t="str">
        <x:v>Market Maker</x:v>
      </x:c>
      <x:c r="B12" s="22" t="str">
        <x:v>0</x:v>
      </x:c>
      <x:c r="C12" s="22" t="str">
        <x:v>M</x:v>
      </x:c>
      <x:c r="D12" s="22" t="str">
        <x:v>S</x:v>
      </x:c>
      <x:c r="E12" s="22" t="str">
        <x:v>L</x:v>
      </x:c>
      <x:c r="F12" s="22" t="str">
        <x:v>0</x:v>
      </x:c>
      <x:c r="G12" s="22" t="str">
        <x:v>S</x:v>
      </x:c>
      <x:c r="H12" s="22" t="str">
        <x:v>S</x:v>
      </x:c>
      <x:c r="I12" s="22" t="str">
        <x:v>0</x:v>
      </x:c>
      <x:c r="J12" s="22" t="str">
        <x:v>R</x:v>
      </x:c>
      <x:c r="K12" s="22" t="str">
        <x:v>M</x:v>
      </x:c>
      <x:c r="L12" s="38" t="str">
        <x:v>0</x:v>
      </x:c>
    </x:row>
    <x:row r="13">
      <x:c r="A13" s="37" t="str">
        <x:v>Investment Banking</x:v>
      </x:c>
      <x:c r="B13" s="22" t="str">
        <x:v>M</x:v>
      </x:c>
      <x:c r="C13" s="22" t="str">
        <x:v>L</x:v>
      </x:c>
      <x:c r="D13" s="22" t="str">
        <x:v>M</x:v>
      </x:c>
      <x:c r="E13" s="22" t="str">
        <x:v>M</x:v>
      </x:c>
      <x:c r="F13" s="22" t="str">
        <x:v>0</x:v>
      </x:c>
      <x:c r="G13" s="22" t="str">
        <x:v>S</x:v>
      </x:c>
      <x:c r="H13" s="22" t="str">
        <x:v>S</x:v>
      </x:c>
      <x:c r="I13" s="22" t="str">
        <x:v>M</x:v>
      </x:c>
      <x:c r="J13" s="22" t="str">
        <x:v>M</x:v>
      </x:c>
      <x:c r="K13" s="22" t="str">
        <x:v>R</x:v>
      </x:c>
      <x:c r="L13" s="38" t="str">
        <x:v>M</x:v>
      </x:c>
    </x:row>
    <x:row r="14">
      <x:c r="A14" s="39" t="str">
        <x:v>Financial Services</x:v>
      </x:c>
      <x:c r="B14" s="40" t="str">
        <x:v>M</x:v>
      </x:c>
      <x:c r="C14" s="40" t="str">
        <x:v>M</x:v>
      </x:c>
      <x:c r="D14" s="40" t="str">
        <x:v>L</x:v>
      </x:c>
      <x:c r="E14" s="40" t="str">
        <x:v>M</x:v>
      </x:c>
      <x:c r="F14" s="40" t="str">
        <x:v>M</x:v>
      </x:c>
      <x:c r="G14" s="40" t="str">
        <x:v>M</x:v>
      </x:c>
      <x:c r="H14" s="40" t="str">
        <x:v>M</x:v>
      </x:c>
      <x:c r="I14" s="40" t="str">
        <x:v>S</x:v>
      </x:c>
      <x:c r="J14" s="40" t="str">
        <x:v>0</x:v>
      </x:c>
      <x:c r="K14" s="40" t="str">
        <x:v>M</x:v>
      </x:c>
      <x:c r="L14" s="41" t="str">
        <x:v>R</x:v>
      </x:c>
    </x:row>
    <x:row r="16" ht="22" customHeight="1">
      <x:c r="A16" s="31" t="str">
        <x:v>Matrix Legend</x:v>
      </x:c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</x:row>
    <x:row r="17">
      <x:c r="A17" s="14" t="str">
        <x:v>Code</x:v>
      </x:c>
      <x:c r="B17" s="14" t="str">
        <x:v>Meaning</x:v>
      </x:c>
      <x:c r="C17" s="14" t="str">
        <x:v>Typical Listed Bonus</x:v>
      </x:c>
      <x:c r="D17" s="14" t="str">
        <x:v>Stacking</x:v>
      </x:c>
      <x:c r="E17" s="14" t="str">
        <x:v>Design Intent</x:v>
      </x:c>
    </x:row>
    <x:row r="18">
      <x:c r="A18" s="34" t="str">
        <x:v>S</x:v>
      </x:c>
      <x:c r="B18" s="35" t="str">
        <x:v>Strong synergy</x:v>
      </x:c>
      <x:c r="C18" s="35" t="str">
        <x:v>7%–10% targeted benefit</x:v>
      </x:c>
      <x:c r="D18" s="35" t="str">
        <x:v>Subject to link decay</x:v>
      </x:c>
      <x:c r="E18" s="36" t="str">
        <x:v>Core financial relationship</x:v>
      </x:c>
    </x:row>
    <x:row r="19">
      <x:c r="A19" s="37" t="str">
        <x:v>M</x:v>
      </x:c>
      <x:c r="B19" s="22" t="str">
        <x:v>Medium synergy</x:v>
      </x:c>
      <x:c r="C19" s="22" t="str">
        <x:v>4%–7% targeted benefit</x:v>
      </x:c>
      <x:c r="D19" s="22" t="str">
        <x:v>Subject to link decay</x:v>
      </x:c>
      <x:c r="E19" s="38" t="str">
        <x:v>Useful but not mandatory</x:v>
      </x:c>
    </x:row>
    <x:row r="20">
      <x:c r="A20" s="37" t="str">
        <x:v>L</x:v>
      </x:c>
      <x:c r="B20" s="22" t="str">
        <x:v>Light synergy</x:v>
      </x:c>
      <x:c r="C20" s="22" t="str">
        <x:v>2%–4% targeted benefit</x:v>
      </x:c>
      <x:c r="D20" s="22" t="str">
        <x:v>Subject to link decay</x:v>
      </x:c>
      <x:c r="E20" s="38" t="str">
        <x:v>Flexible support</x:v>
      </x:c>
    </x:row>
    <x:row r="21">
      <x:c r="A21" s="39" t="str">
        <x:v>R</x:v>
      </x:c>
      <x:c r="B21" s="40" t="str">
        <x:v>Redundant / density pressure</x:v>
      </x:c>
      <x:c r="C21" s="40" t="str">
        <x:v>No positive adjacency bonus</x:v>
      </x:c>
      <x:c r="D21" s="40" t="str">
        <x:v>Duplicate rules may apply</x:v>
      </x:c>
      <x:c r="E21" s="41" t="str">
        <x:v>Avoid same-family spam</x:v>
      </x:c>
    </x:row>
  </x:sheetData>
  <x:mergeCells>
    <x:mergeCell ref="A1:M1"/>
    <x:mergeCell ref="A16:M16"/>
  </x:mergeCells>
  <x:conditionalFormatting sqref="B4:B14">
    <x:cfRule type="expression" dxfId="1" priority="1">
      <x:formula>B4="S"</x:formula>
    </x:cfRule>
    <x:cfRule type="expression" dxfId="2" priority="2">
      <x:formula>B4="M"</x:formula>
    </x:cfRule>
    <x:cfRule type="expression" dxfId="3" priority="3">
      <x:formula>B4="L"</x:formula>
    </x:cfRule>
    <x:cfRule type="expression" dxfId="4" priority="4">
      <x:formula>B4="R"</x:formula>
    </x:cfRule>
  </x:conditionalFormatting>
  <x:conditionalFormatting sqref="C4:C14">
    <x:cfRule type="expression" dxfId="5" priority="5">
      <x:formula>C4="S"</x:formula>
    </x:cfRule>
    <x:cfRule type="expression" dxfId="6" priority="6">
      <x:formula>C4="M"</x:formula>
    </x:cfRule>
    <x:cfRule type="expression" dxfId="7" priority="7">
      <x:formula>C4="L"</x:formula>
    </x:cfRule>
    <x:cfRule type="expression" dxfId="8" priority="8">
      <x:formula>C4="R"</x:formula>
    </x:cfRule>
  </x:conditionalFormatting>
  <x:conditionalFormatting sqref="D4:D14">
    <x:cfRule type="expression" dxfId="9" priority="9">
      <x:formula>D4="S"</x:formula>
    </x:cfRule>
    <x:cfRule type="expression" dxfId="10" priority="10">
      <x:formula>D4="M"</x:formula>
    </x:cfRule>
    <x:cfRule type="expression" dxfId="11" priority="11">
      <x:formula>D4="L"</x:formula>
    </x:cfRule>
    <x:cfRule type="expression" dxfId="12" priority="12">
      <x:formula>D4="R"</x:formula>
    </x:cfRule>
  </x:conditionalFormatting>
  <x:conditionalFormatting sqref="E4:E14">
    <x:cfRule type="expression" dxfId="13" priority="13">
      <x:formula>E4="S"</x:formula>
    </x:cfRule>
    <x:cfRule type="expression" dxfId="14" priority="14">
      <x:formula>E4="M"</x:formula>
    </x:cfRule>
    <x:cfRule type="expression" dxfId="15" priority="15">
      <x:formula>E4="L"</x:formula>
    </x:cfRule>
    <x:cfRule type="expression" dxfId="16" priority="16">
      <x:formula>E4="R"</x:formula>
    </x:cfRule>
  </x:conditionalFormatting>
  <x:conditionalFormatting sqref="F4:F14">
    <x:cfRule type="expression" dxfId="17" priority="17">
      <x:formula>F4="S"</x:formula>
    </x:cfRule>
    <x:cfRule type="expression" dxfId="18" priority="18">
      <x:formula>F4="M"</x:formula>
    </x:cfRule>
    <x:cfRule type="expression" dxfId="19" priority="19">
      <x:formula>F4="L"</x:formula>
    </x:cfRule>
    <x:cfRule type="expression" dxfId="20" priority="20">
      <x:formula>F4="R"</x:formula>
    </x:cfRule>
  </x:conditionalFormatting>
  <x:conditionalFormatting sqref="G4:G14">
    <x:cfRule type="expression" dxfId="21" priority="21">
      <x:formula>G4="S"</x:formula>
    </x:cfRule>
    <x:cfRule type="expression" dxfId="22" priority="22">
      <x:formula>G4="M"</x:formula>
    </x:cfRule>
    <x:cfRule type="expression" dxfId="23" priority="23">
      <x:formula>G4="L"</x:formula>
    </x:cfRule>
    <x:cfRule type="expression" dxfId="24" priority="24">
      <x:formula>G4="R"</x:formula>
    </x:cfRule>
  </x:conditionalFormatting>
  <x:conditionalFormatting sqref="H4:H14">
    <x:cfRule type="expression" dxfId="25" priority="25">
      <x:formula>H4="S"</x:formula>
    </x:cfRule>
    <x:cfRule type="expression" dxfId="26" priority="26">
      <x:formula>H4="M"</x:formula>
    </x:cfRule>
    <x:cfRule type="expression" dxfId="27" priority="27">
      <x:formula>H4="L"</x:formula>
    </x:cfRule>
    <x:cfRule type="expression" dxfId="28" priority="28">
      <x:formula>H4="R"</x:formula>
    </x:cfRule>
  </x:conditionalFormatting>
  <x:conditionalFormatting sqref="I4:I14">
    <x:cfRule type="expression" dxfId="29" priority="29">
      <x:formula>I4="S"</x:formula>
    </x:cfRule>
    <x:cfRule type="expression" dxfId="30" priority="30">
      <x:formula>I4="M"</x:formula>
    </x:cfRule>
    <x:cfRule type="expression" dxfId="31" priority="31">
      <x:formula>I4="L"</x:formula>
    </x:cfRule>
    <x:cfRule type="expression" dxfId="32" priority="32">
      <x:formula>I4="R"</x:formula>
    </x:cfRule>
  </x:conditionalFormatting>
  <x:conditionalFormatting sqref="J4:J14">
    <x:cfRule type="expression" dxfId="33" priority="33">
      <x:formula>J4="S"</x:formula>
    </x:cfRule>
    <x:cfRule type="expression" dxfId="34" priority="34">
      <x:formula>J4="M"</x:formula>
    </x:cfRule>
    <x:cfRule type="expression" dxfId="35" priority="35">
      <x:formula>J4="L"</x:formula>
    </x:cfRule>
    <x:cfRule type="expression" dxfId="36" priority="36">
      <x:formula>J4="R"</x:formula>
    </x:cfRule>
  </x:conditionalFormatting>
  <x:conditionalFormatting sqref="K4:K14">
    <x:cfRule type="expression" dxfId="37" priority="37">
      <x:formula>K4="S"</x:formula>
    </x:cfRule>
    <x:cfRule type="expression" dxfId="38" priority="38">
      <x:formula>K4="M"</x:formula>
    </x:cfRule>
    <x:cfRule type="expression" dxfId="39" priority="39">
      <x:formula>K4="L"</x:formula>
    </x:cfRule>
    <x:cfRule type="expression" dxfId="40" priority="40">
      <x:formula>K4="R"</x:formula>
    </x:cfRule>
  </x:conditionalFormatting>
  <x:conditionalFormatting sqref="L4:L14">
    <x:cfRule type="expression" dxfId="41" priority="41">
      <x:formula>L4="S"</x:formula>
    </x:cfRule>
    <x:cfRule type="expression" dxfId="42" priority="42">
      <x:formula>L4="M"</x:formula>
    </x:cfRule>
    <x:cfRule type="expression" dxfId="43" priority="43">
      <x:formula>L4="L"</x:formula>
    </x:cfRule>
    <x:cfRule type="expression" dxfId="44" priority="44">
      <x:formula>L4="R"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2" hidden="0" customWidth="1"/>
    <x:col min="16" max="16" width="32" hidden="0" customWidth="1"/>
    <x:col min="17" max="17" width="15" hidden="0" customWidth="1"/>
  </x:cols>
  <x:sheetData>
    <x:row r="1" ht="28" customHeight="1">
      <x:c r="A1" s="92" t="str">
        <x:v>Detailed Synergy Rules &amp; Effects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ID</x:v>
      </x:c>
      <x:c r="B3" s="14" t="str">
        <x:v>Building / Family A</x:v>
      </x:c>
      <x:c r="C3" s="14" t="str">
        <x:v>Building / Family B</x:v>
      </x:c>
      <x:c r="D3" s="14" t="str">
        <x:v>Link Type</x:v>
      </x:c>
      <x:c r="E3" s="14" t="str">
        <x:v>Primary Effect</x:v>
      </x:c>
      <x:c r="F3" s="14" t="str">
        <x:v>Primary Bonus</x:v>
      </x:c>
      <x:c r="G3" s="14" t="str">
        <x:v>Secondary Effect</x:v>
      </x:c>
      <x:c r="H3" s="14" t="str">
        <x:v>Secondary Bonus</x:v>
      </x:c>
      <x:c r="I3" s="14" t="str">
        <x:v>Max Links Counted</x:v>
      </x:c>
      <x:c r="J3" s="14" t="str">
        <x:v>Radius</x:v>
      </x:c>
      <x:c r="K3" s="14" t="str">
        <x:v>Stage Available</x:v>
      </x:c>
      <x:c r="L3" s="14" t="str">
        <x:v>Market Hunt Effect</x:v>
      </x:c>
      <x:c r="M3" s="14" t="str">
        <x:v>Risk Effect</x:v>
      </x:c>
      <x:c r="N3" s="14" t="str">
        <x:v>Customer Effect</x:v>
      </x:c>
      <x:c r="O3" s="14" t="str">
        <x:v>Why It Makes Sense</x:v>
      </x:c>
      <x:c r="P3" s="14" t="str">
        <x:v>Notes</x:v>
      </x:c>
    </x:row>
    <x:row r="4">
      <x:c r="A4" s="34" t="n">
        <x:v>1</x:v>
      </x:c>
      <x:c r="B4" s="35" t="str">
        <x:v>Brokerage</x:v>
      </x:c>
      <x:c r="C4" s="35" t="str">
        <x:v>Exchange / Trading</x:v>
      </x:c>
      <x:c r="D4" s="35" t="str">
        <x:v>Direct</x:v>
      </x:c>
      <x:c r="E4" s="35" t="str">
        <x:v>Trading activity</x:v>
      </x:c>
      <x:c r="F4" s="66" t="n">
        <x:v>0.08</x:v>
      </x:c>
      <x:c r="G4" s="35" t="str">
        <x:v>Transaction capacity</x:v>
      </x:c>
      <x:c r="H4" s="66" t="n">
        <x:v>0.05</x:v>
      </x:c>
      <x:c r="I4" s="60" t="n">
        <x:v>2</x:v>
      </x:c>
      <x:c r="J4" s="60" t="n">
        <x:v>1</x:v>
      </x:c>
      <x:c r="K4" s="35" t="str">
        <x:v>Humble+</x:v>
      </x:c>
      <x:c r="L4" s="35" t="str">
        <x:v>Trading Hunt spawn +5%</x:v>
      </x:c>
      <x:c r="M4" s="66" t="n">
        <x:v>0</x:v>
      </x:c>
      <x:c r="N4" s="66" t="n">
        <x:v>0.02</x:v>
      </x:c>
      <x:c r="O4" s="35" t="str">
        <x:v>Brokers route customer orders into active markets</x:v>
      </x:c>
      <x:c r="P4" s="36" t="str"/>
    </x:row>
    <x:row r="5">
      <x:c r="A5" s="37" t="n">
        <x:v>2</x:v>
      </x:c>
      <x:c r="B5" s="22" t="str">
        <x:v>Exchange / Trading</x:v>
      </x:c>
      <x:c r="C5" s="22" t="str">
        <x:v>Market Maker</x:v>
      </x:c>
      <x:c r="D5" s="22" t="str">
        <x:v>Direct</x:v>
      </x:c>
      <x:c r="E5" s="22" t="str">
        <x:v>Trading activity</x:v>
      </x:c>
      <x:c r="F5" s="67" t="n">
        <x:v>0.1</x:v>
      </x:c>
      <x:c r="G5" s="22" t="str">
        <x:v>Liquidity capacity</x:v>
      </x:c>
      <x:c r="H5" s="67" t="n">
        <x:v>0.08</x:v>
      </x:c>
      <x:c r="I5" s="61" t="n">
        <x:v>2</x:v>
      </x:c>
      <x:c r="J5" s="61" t="n">
        <x:v>1</x:v>
      </x:c>
      <x:c r="K5" s="22" t="str">
        <x:v>Growing+</x:v>
      </x:c>
      <x:c r="L5" s="22" t="str">
        <x:v>Liquidity Hunt spawn +8%</x:v>
      </x:c>
      <x:c r="M5" s="67" t="n">
        <x:v>-0.04</x:v>
      </x:c>
      <x:c r="N5" s="67" t="n">
        <x:v>0</x:v>
      </x:c>
      <x:c r="O5" s="22" t="str">
        <x:v>Market makers improve depth and execution</x:v>
      </x:c>
      <x:c r="P5" s="38" t="str"/>
    </x:row>
    <x:row r="6">
      <x:c r="A6" s="37" t="n">
        <x:v>3</x:v>
      </x:c>
      <x:c r="B6" s="22" t="str">
        <x:v>Exchange / Trading</x:v>
      </x:c>
      <x:c r="C6" s="22" t="str">
        <x:v>Research / Data</x:v>
      </x:c>
      <x:c r="D6" s="22" t="str">
        <x:v>Support</x:v>
      </x:c>
      <x:c r="E6" s="22" t="str">
        <x:v>Transaction capacity</x:v>
      </x:c>
      <x:c r="F6" s="67" t="n">
        <x:v>0.1</x:v>
      </x:c>
      <x:c r="G6" s="22" t="str">
        <x:v>Operational efficiency</x:v>
      </x:c>
      <x:c r="H6" s="67" t="n">
        <x:v>0.04</x:v>
      </x:c>
      <x:c r="I6" s="61" t="n">
        <x:v>2</x:v>
      </x:c>
      <x:c r="J6" s="61" t="n">
        <x:v>2</x:v>
      </x:c>
      <x:c r="K6" s="22" t="str">
        <x:v>Starter+</x:v>
      </x:c>
      <x:c r="L6" s="22" t="str">
        <x:v>Market Hunt quality +3%</x:v>
      </x:c>
      <x:c r="M6" s="67" t="n">
        <x:v>-0.02</x:v>
      </x:c>
      <x:c r="N6" s="67" t="n">
        <x:v>0</x:v>
      </x:c>
      <x:c r="O6" s="22" t="str">
        <x:v>Data improves routing, monitoring and throughput</x:v>
      </x:c>
      <x:c r="P6" s="38" t="str"/>
    </x:row>
    <x:row r="7">
      <x:c r="A7" s="37" t="n">
        <x:v>4</x:v>
      </x:c>
      <x:c r="B7" s="22" t="str">
        <x:v>Brokerage</x:v>
      </x:c>
      <x:c r="C7" s="22" t="str">
        <x:v>Research / Data</x:v>
      </x:c>
      <x:c r="D7" s="22" t="str">
        <x:v>Support</x:v>
      </x:c>
      <x:c r="E7" s="22" t="str">
        <x:v>Active trader conversion</x:v>
      </x:c>
      <x:c r="F7" s="67" t="n">
        <x:v>0.05</x:v>
      </x:c>
      <x:c r="G7" s="22" t="str">
        <x:v>Trading activity</x:v>
      </x:c>
      <x:c r="H7" s="67" t="n">
        <x:v>0.04</x:v>
      </x:c>
      <x:c r="I7" s="61" t="n">
        <x:v>2</x:v>
      </x:c>
      <x:c r="J7" s="61" t="n">
        <x:v>2</x:v>
      </x:c>
      <x:c r="K7" s="22" t="str">
        <x:v>Starter+</x:v>
      </x:c>
      <x:c r="L7" s="22" t="str">
        <x:v>Research Hunt spawn +6%</x:v>
      </x:c>
      <x:c r="M7" s="67" t="n">
        <x:v>0</x:v>
      </x:c>
      <x:c r="N7" s="67" t="n">
        <x:v>0.03</x:v>
      </x:c>
      <x:c r="O7" s="22" t="str">
        <x:v>Research supports customer trading decisions</x:v>
      </x:c>
      <x:c r="P7" s="38" t="str"/>
    </x:row>
    <x:row r="8">
      <x:c r="A8" s="37" t="n">
        <x:v>5</x:v>
      </x:c>
      <x:c r="B8" s="22" t="str">
        <x:v>Fund / Asset Mgmt</x:v>
      </x:c>
      <x:c r="C8" s="22" t="str">
        <x:v>Research / Data</x:v>
      </x:c>
      <x:c r="D8" s="22" t="str">
        <x:v>Support</x:v>
      </x:c>
      <x:c r="E8" s="22" t="str">
        <x:v>Fund efficiency</x:v>
      </x:c>
      <x:c r="F8" s="67" t="n">
        <x:v>0.08</x:v>
      </x:c>
      <x:c r="G8" s="22" t="str">
        <x:v>AUM inflow</x:v>
      </x:c>
      <x:c r="H8" s="67" t="n">
        <x:v>0.05</x:v>
      </x:c>
      <x:c r="I8" s="61" t="n">
        <x:v>2</x:v>
      </x:c>
      <x:c r="J8" s="61" t="n">
        <x:v>2</x:v>
      </x:c>
      <x:c r="K8" s="22" t="str">
        <x:v>Starter+</x:v>
      </x:c>
      <x:c r="L8" s="22" t="str">
        <x:v>Portfolio Hunt quality +5%</x:v>
      </x:c>
      <x:c r="M8" s="67" t="n">
        <x:v>-0.02</x:v>
      </x:c>
      <x:c r="N8" s="67" t="n">
        <x:v>0.02</x:v>
      </x:c>
      <x:c r="O8" s="22" t="str">
        <x:v>Research supports portfolio decisions</x:v>
      </x:c>
      <x:c r="P8" s="38" t="str"/>
    </x:row>
    <x:row r="9">
      <x:c r="A9" s="37" t="n">
        <x:v>6</x:v>
      </x:c>
      <x:c r="B9" s="22" t="str">
        <x:v>Fund / Asset Mgmt</x:v>
      </x:c>
      <x:c r="C9" s="22" t="str">
        <x:v>Treasury / Vault</x:v>
      </x:c>
      <x:c r="D9" s="22" t="str">
        <x:v>Support</x:v>
      </x:c>
      <x:c r="E9" s="22" t="str">
        <x:v>Capital efficiency</x:v>
      </x:c>
      <x:c r="F9" s="67" t="n">
        <x:v>0.07</x:v>
      </x:c>
      <x:c r="G9" s="22" t="str">
        <x:v>Liquidity resilience</x:v>
      </x:c>
      <x:c r="H9" s="67" t="n">
        <x:v>0.06</x:v>
      </x:c>
      <x:c r="I9" s="61" t="n">
        <x:v>2</x:v>
      </x:c>
      <x:c r="J9" s="61" t="n">
        <x:v>2</x:v>
      </x:c>
      <x:c r="K9" s="22" t="str">
        <x:v>Starter+</x:v>
      </x:c>
      <x:c r="L9" s="22" t="n">
        <x:v>0</x:v>
      </x:c>
      <x:c r="M9" s="67" t="n">
        <x:v>-0.05</x:v>
      </x:c>
      <x:c r="N9" s="67" t="n">
        <x:v>0</x:v>
      </x:c>
      <x:c r="O9" s="22" t="str">
        <x:v>Treasury manages cash and liquidity around managed capital</x:v>
      </x:c>
      <x:c r="P9" s="38" t="str"/>
    </x:row>
    <x:row r="10">
      <x:c r="A10" s="37" t="n">
        <x:v>7</x:v>
      </x:c>
      <x:c r="B10" s="22" t="str">
        <x:v>Fund / Asset Mgmt</x:v>
      </x:c>
      <x:c r="C10" s="22" t="str">
        <x:v>Wealth / Private</x:v>
      </x:c>
      <x:c r="D10" s="22" t="str">
        <x:v>Direct</x:v>
      </x:c>
      <x:c r="E10" s="22" t="str">
        <x:v>AUM inflow</x:v>
      </x:c>
      <x:c r="F10" s="67" t="n">
        <x:v>0.07</x:v>
      </x:c>
      <x:c r="G10" s="22" t="str">
        <x:v>HNW conversion</x:v>
      </x:c>
      <x:c r="H10" s="67" t="n">
        <x:v>0.05</x:v>
      </x:c>
      <x:c r="I10" s="61" t="n">
        <x:v>2</x:v>
      </x:c>
      <x:c r="J10" s="61" t="n">
        <x:v>1</x:v>
      </x:c>
      <x:c r="K10" s="22" t="str">
        <x:v>Growing+</x:v>
      </x:c>
      <x:c r="L10" s="22" t="str">
        <x:v>Portfolio Hunt spawn +4%</x:v>
      </x:c>
      <x:c r="M10" s="67" t="n">
        <x:v>0</x:v>
      </x:c>
      <x:c r="N10" s="67" t="n">
        <x:v>0.05</x:v>
      </x:c>
      <x:c r="O10" s="22" t="str">
        <x:v>Wealth clients feed investable assets into funds</x:v>
      </x:c>
      <x:c r="P10" s="38" t="str"/>
    </x:row>
    <x:row r="11">
      <x:c r="A11" s="37" t="n">
        <x:v>8</x:v>
      </x:c>
      <x:c r="B11" s="22" t="str">
        <x:v>Banking</x:v>
      </x:c>
      <x:c r="C11" s="22" t="str">
        <x:v>Treasury / Vault</x:v>
      </x:c>
      <x:c r="D11" s="22" t="str">
        <x:v>Support</x:v>
      </x:c>
      <x:c r="E11" s="22" t="str">
        <x:v>Liquidity capacity</x:v>
      </x:c>
      <x:c r="F11" s="67" t="n">
        <x:v>0.09</x:v>
      </x:c>
      <x:c r="G11" s="22" t="str">
        <x:v>Capital efficiency</x:v>
      </x:c>
      <x:c r="H11" s="67" t="n">
        <x:v>0.05</x:v>
      </x:c>
      <x:c r="I11" s="61" t="n">
        <x:v>2</x:v>
      </x:c>
      <x:c r="J11" s="61" t="n">
        <x:v>2</x:v>
      </x:c>
      <x:c r="K11" s="22" t="str">
        <x:v>Humble+</x:v>
      </x:c>
      <x:c r="L11" s="22" t="n">
        <x:v>0</x:v>
      </x:c>
      <x:c r="M11" s="67" t="n">
        <x:v>-0.07</x:v>
      </x:c>
      <x:c r="N11" s="67" t="n">
        <x:v>0</x:v>
      </x:c>
      <x:c r="O11" s="22" t="str">
        <x:v>Treasury strengthens funding and reserve management</x:v>
      </x:c>
      <x:c r="P11" s="38" t="str"/>
    </x:row>
    <x:row r="12">
      <x:c r="A12" s="37" t="n">
        <x:v>9</x:v>
      </x:c>
      <x:c r="B12" s="22" t="str">
        <x:v>Banking</x:v>
      </x:c>
      <x:c r="C12" s="22" t="str">
        <x:v>Insurance</x:v>
      </x:c>
      <x:c r="D12" s="22" t="str">
        <x:v>Direct</x:v>
      </x:c>
      <x:c r="E12" s="22" t="str">
        <x:v>Customer retention</x:v>
      </x:c>
      <x:c r="F12" s="67" t="n">
        <x:v>0.06</x:v>
      </x:c>
      <x:c r="G12" s="22" t="str">
        <x:v>Credit resilience</x:v>
      </x:c>
      <x:c r="H12" s="67" t="n">
        <x:v>0.04</x:v>
      </x:c>
      <x:c r="I12" s="61" t="n">
        <x:v>2</x:v>
      </x:c>
      <x:c r="J12" s="61" t="n">
        <x:v>1</x:v>
      </x:c>
      <x:c r="K12" s="22" t="str">
        <x:v>Humble+</x:v>
      </x:c>
      <x:c r="L12" s="22" t="n">
        <x:v>0</x:v>
      </x:c>
      <x:c r="M12" s="67" t="n">
        <x:v>-0.05</x:v>
      </x:c>
      <x:c r="N12" s="67" t="n">
        <x:v>0.04</x:v>
      </x:c>
      <x:c r="O12" s="22" t="str">
        <x:v>Insurance improves customer protection and risk resilience</x:v>
      </x:c>
      <x:c r="P12" s="38" t="str"/>
    </x:row>
    <x:row r="13">
      <x:c r="A13" s="37" t="n">
        <x:v>10</x:v>
      </x:c>
      <x:c r="B13" s="22" t="str">
        <x:v>Banking</x:v>
      </x:c>
      <x:c r="C13" s="22" t="str">
        <x:v>Wealth / Private</x:v>
      </x:c>
      <x:c r="D13" s="22" t="str">
        <x:v>Direct</x:v>
      </x:c>
      <x:c r="E13" s="22" t="str">
        <x:v>HNW acquisition</x:v>
      </x:c>
      <x:c r="F13" s="67" t="n">
        <x:v>0.07</x:v>
      </x:c>
      <x:c r="G13" s="22" t="str">
        <x:v>Deposit quality</x:v>
      </x:c>
      <x:c r="H13" s="67" t="n">
        <x:v>0.04</x:v>
      </x:c>
      <x:c r="I13" s="61" t="n">
        <x:v>2</x:v>
      </x:c>
      <x:c r="J13" s="61" t="n">
        <x:v>1</x:v>
      </x:c>
      <x:c r="K13" s="22" t="str">
        <x:v>Growing+</x:v>
      </x:c>
      <x:c r="L13" s="22" t="str">
        <x:v>Wealth Hunt spawn +4%</x:v>
      </x:c>
      <x:c r="M13" s="67" t="n">
        <x:v>0</x:v>
      </x:c>
      <x:c r="N13" s="67" t="n">
        <x:v>0.05</x:v>
      </x:c>
      <x:c r="O13" s="22" t="str">
        <x:v>Private banking and retail/commercial banking cross-feed clients</x:v>
      </x:c>
      <x:c r="P13" s="38" t="str"/>
    </x:row>
    <x:row r="14">
      <x:c r="A14" s="37" t="n">
        <x:v>11</x:v>
      </x:c>
      <x:c r="B14" s="22" t="str">
        <x:v>Banking</x:v>
      </x:c>
      <x:c r="C14" s="22" t="str">
        <x:v>Financial Services</x:v>
      </x:c>
      <x:c r="D14" s="22" t="str">
        <x:v>Support</x:v>
      </x:c>
      <x:c r="E14" s="22" t="str">
        <x:v>Customer acquisition</x:v>
      </x:c>
      <x:c r="F14" s="67" t="n">
        <x:v>0.04</x:v>
      </x:c>
      <x:c r="G14" s="22" t="str">
        <x:v>Service quality</x:v>
      </x:c>
      <x:c r="H14" s="67" t="n">
        <x:v>0.04</x:v>
      </x:c>
      <x:c r="I14" s="61" t="n">
        <x:v>2</x:v>
      </x:c>
      <x:c r="J14" s="61" t="n">
        <x:v>2</x:v>
      </x:c>
      <x:c r="K14" s="22" t="str">
        <x:v>Humble+</x:v>
      </x:c>
      <x:c r="L14" s="22" t="n">
        <x:v>0</x:v>
      </x:c>
      <x:c r="M14" s="67" t="n">
        <x:v>0</x:v>
      </x:c>
      <x:c r="N14" s="67" t="n">
        <x:v>0.04</x:v>
      </x:c>
      <x:c r="O14" s="22" t="str">
        <x:v>General financial hubs route customers into specialist services</x:v>
      </x:c>
      <x:c r="P14" s="38" t="str"/>
    </x:row>
    <x:row r="15">
      <x:c r="A15" s="37" t="n">
        <x:v>12</x:v>
      </x:c>
      <x:c r="B15" s="22" t="str">
        <x:v>Insurance</x:v>
      </x:c>
      <x:c r="C15" s="22" t="str">
        <x:v>Treasury / Vault</x:v>
      </x:c>
      <x:c r="D15" s="22" t="str">
        <x:v>Support</x:v>
      </x:c>
      <x:c r="E15" s="22" t="str">
        <x:v>Claims resilience</x:v>
      </x:c>
      <x:c r="F15" s="67" t="n">
        <x:v>0.07</x:v>
      </x:c>
      <x:c r="G15" s="22" t="str">
        <x:v>Operating stability</x:v>
      </x:c>
      <x:c r="H15" s="67" t="n">
        <x:v>0.04</x:v>
      </x:c>
      <x:c r="I15" s="61" t="n">
        <x:v>2</x:v>
      </x:c>
      <x:c r="J15" s="61" t="n">
        <x:v>2</x:v>
      </x:c>
      <x:c r="K15" s="22" t="str">
        <x:v>Starter+</x:v>
      </x:c>
      <x:c r="L15" s="22" t="n">
        <x:v>0</x:v>
      </x:c>
      <x:c r="M15" s="67" t="n">
        <x:v>-0.05</x:v>
      </x:c>
      <x:c r="N15" s="67" t="n">
        <x:v>0</x:v>
      </x:c>
      <x:c r="O15" s="22" t="str">
        <x:v>Treasury reserves support claims management</x:v>
      </x:c>
      <x:c r="P15" s="38" t="str"/>
    </x:row>
    <x:row r="16">
      <x:c r="A16" s="37" t="n">
        <x:v>13</x:v>
      </x:c>
      <x:c r="B16" s="22" t="str">
        <x:v>Insurance</x:v>
      </x:c>
      <x:c r="C16" s="22" t="str">
        <x:v>Wealth / Private</x:v>
      </x:c>
      <x:c r="D16" s="22" t="str">
        <x:v>Direct</x:v>
      </x:c>
      <x:c r="E16" s="22" t="str">
        <x:v>Customer retention</x:v>
      </x:c>
      <x:c r="F16" s="67" t="n">
        <x:v>0.04</x:v>
      </x:c>
      <x:c r="G16" s="22" t="str">
        <x:v>HNW protection demand</x:v>
      </x:c>
      <x:c r="H16" s="67" t="n">
        <x:v>0.04</x:v>
      </x:c>
      <x:c r="I16" s="61" t="n">
        <x:v>1</x:v>
      </x:c>
      <x:c r="J16" s="61" t="n">
        <x:v>1</x:v>
      </x:c>
      <x:c r="K16" s="22" t="str">
        <x:v>Growing+</x:v>
      </x:c>
      <x:c r="L16" s="22" t="n">
        <x:v>0</x:v>
      </x:c>
      <x:c r="M16" s="67" t="n">
        <x:v>-0.02</x:v>
      </x:c>
      <x:c r="N16" s="67" t="n">
        <x:v>0.03</x:v>
      </x:c>
      <x:c r="O16" s="22" t="str">
        <x:v>Protection and wealth products naturally cross-sell</x:v>
      </x:c>
      <x:c r="P16" s="38" t="str"/>
    </x:row>
    <x:row r="17">
      <x:c r="A17" s="37" t="n">
        <x:v>14</x:v>
      </x:c>
      <x:c r="B17" s="22" t="str">
        <x:v>Investment Banking</x:v>
      </x:c>
      <x:c r="C17" s="22" t="str">
        <x:v>Treasury / Vault</x:v>
      </x:c>
      <x:c r="D17" s="22" t="str">
        <x:v>Support</x:v>
      </x:c>
      <x:c r="E17" s="22" t="str">
        <x:v>Corporate opportunity rate</x:v>
      </x:c>
      <x:c r="F17" s="67" t="n">
        <x:v>0.07</x:v>
      </x:c>
      <x:c r="G17" s="22" t="str">
        <x:v>Capital efficiency</x:v>
      </x:c>
      <x:c r="H17" s="67" t="n">
        <x:v>0.05</x:v>
      </x:c>
      <x:c r="I17" s="61" t="n">
        <x:v>2</x:v>
      </x:c>
      <x:c r="J17" s="61" t="n">
        <x:v>2</x:v>
      </x:c>
      <x:c r="K17" s="22" t="str">
        <x:v>Established+</x:v>
      </x:c>
      <x:c r="L17" s="22" t="str">
        <x:v>Corporate Hunt spawn +5%</x:v>
      </x:c>
      <x:c r="M17" s="67" t="n">
        <x:v>-0.03</x:v>
      </x:c>
      <x:c r="N17" s="67" t="n">
        <x:v>0</x:v>
      </x:c>
      <x:c r="O17" s="22" t="str">
        <x:v>Treasury expertise supports complex corporate transactions</x:v>
      </x:c>
      <x:c r="P17" s="38" t="str"/>
    </x:row>
    <x:row r="18">
      <x:c r="A18" s="37" t="n">
        <x:v>15</x:v>
      </x:c>
      <x:c r="B18" s="22" t="str">
        <x:v>Investment Banking</x:v>
      </x:c>
      <x:c r="C18" s="22" t="str">
        <x:v>Research / Data</x:v>
      </x:c>
      <x:c r="D18" s="22" t="str">
        <x:v>Support</x:v>
      </x:c>
      <x:c r="E18" s="22" t="str">
        <x:v>Corporate mandate quality</x:v>
      </x:c>
      <x:c r="F18" s="67" t="n">
        <x:v>0.06</x:v>
      </x:c>
      <x:c r="G18" s="22" t="str">
        <x:v>Deal activity</x:v>
      </x:c>
      <x:c r="H18" s="67" t="n">
        <x:v>0.05</x:v>
      </x:c>
      <x:c r="I18" s="61" t="n">
        <x:v>2</x:v>
      </x:c>
      <x:c r="J18" s="61" t="n">
        <x:v>2</x:v>
      </x:c>
      <x:c r="K18" s="22" t="str">
        <x:v>Established+</x:v>
      </x:c>
      <x:c r="L18" s="22" t="str">
        <x:v>IPO/Event Hunt quality +5%</x:v>
      </x:c>
      <x:c r="M18" s="67" t="n">
        <x:v>-0.02</x:v>
      </x:c>
      <x:c r="N18" s="67" t="n">
        <x:v>0</x:v>
      </x:c>
      <x:c r="O18" s="22" t="str">
        <x:v>Research/data supports deal sourcing and valuation</x:v>
      </x:c>
      <x:c r="P18" s="38" t="str"/>
    </x:row>
    <x:row r="19">
      <x:c r="A19" s="37" t="n">
        <x:v>16</x:v>
      </x:c>
      <x:c r="B19" s="22" t="str">
        <x:v>Investment Banking</x:v>
      </x:c>
      <x:c r="C19" s="22" t="str">
        <x:v>Exchange / Trading</x:v>
      </x:c>
      <x:c r="D19" s="22" t="str">
        <x:v>Direct</x:v>
      </x:c>
      <x:c r="E19" s="22" t="str">
        <x:v>Corporate market activity</x:v>
      </x:c>
      <x:c r="F19" s="67" t="n">
        <x:v>0.06</x:v>
      </x:c>
      <x:c r="G19" s="22" t="str">
        <x:v>IPO / issuance throughput</x:v>
      </x:c>
      <x:c r="H19" s="67" t="n">
        <x:v>0.07</x:v>
      </x:c>
      <x:c r="I19" s="61" t="n">
        <x:v>2</x:v>
      </x:c>
      <x:c r="J19" s="61" t="n">
        <x:v>1</x:v>
      </x:c>
      <x:c r="K19" s="22" t="str">
        <x:v>Established+</x:v>
      </x:c>
      <x:c r="L19" s="22" t="str">
        <x:v>Corporate Hunt spawn +6%</x:v>
      </x:c>
      <x:c r="M19" s="67" t="n">
        <x:v>0</x:v>
      </x:c>
      <x:c r="N19" s="67" t="n">
        <x:v>0.01</x:v>
      </x:c>
      <x:c r="O19" s="22" t="str">
        <x:v>Capital markets connect issuance and trading</x:v>
      </x:c>
      <x:c r="P19" s="38" t="str"/>
    </x:row>
    <x:row r="20">
      <x:c r="A20" s="37" t="n">
        <x:v>17</x:v>
      </x:c>
      <x:c r="B20" s="22" t="str">
        <x:v>Investment Banking</x:v>
      </x:c>
      <x:c r="C20" s="22" t="str">
        <x:v>Wealth / Private</x:v>
      </x:c>
      <x:c r="D20" s="22" t="str">
        <x:v>Direct</x:v>
      </x:c>
      <x:c r="E20" s="22" t="str">
        <x:v>Private capital conversion</x:v>
      </x:c>
      <x:c r="F20" s="67" t="n">
        <x:v>0.05</x:v>
      </x:c>
      <x:c r="G20" s="22" t="str">
        <x:v>Corporate referral rate</x:v>
      </x:c>
      <x:c r="H20" s="67" t="n">
        <x:v>0.04</x:v>
      </x:c>
      <x:c r="I20" s="61" t="n">
        <x:v>1</x:v>
      </x:c>
      <x:c r="J20" s="61" t="n">
        <x:v>1</x:v>
      </x:c>
      <x:c r="K20" s="22" t="str">
        <x:v>Established+</x:v>
      </x:c>
      <x:c r="L20" s="22" t="n">
        <x:v>0</x:v>
      </x:c>
      <x:c r="M20" s="67" t="n">
        <x:v>0</x:v>
      </x:c>
      <x:c r="N20" s="67" t="n">
        <x:v>0.03</x:v>
      </x:c>
      <x:c r="O20" s="22" t="str">
        <x:v>Wealth networks can source capital and clients</x:v>
      </x:c>
      <x:c r="P20" s="38" t="str"/>
    </x:row>
    <x:row r="21">
      <x:c r="A21" s="37" t="n">
        <x:v>18</x:v>
      </x:c>
      <x:c r="B21" s="22" t="str">
        <x:v>Market Maker</x:v>
      </x:c>
      <x:c r="C21" s="22" t="str">
        <x:v>Treasury / Vault</x:v>
      </x:c>
      <x:c r="D21" s="22" t="str">
        <x:v>Support</x:v>
      </x:c>
      <x:c r="E21" s="22" t="str">
        <x:v>Liquidity resilience</x:v>
      </x:c>
      <x:c r="F21" s="67" t="n">
        <x:v>0.08</x:v>
      </x:c>
      <x:c r="G21" s="22" t="str">
        <x:v>Capital efficiency</x:v>
      </x:c>
      <x:c r="H21" s="67" t="n">
        <x:v>0.05</x:v>
      </x:c>
      <x:c r="I21" s="61" t="n">
        <x:v>2</x:v>
      </x:c>
      <x:c r="J21" s="61" t="n">
        <x:v>2</x:v>
      </x:c>
      <x:c r="K21" s="22" t="str">
        <x:v>Growing+</x:v>
      </x:c>
      <x:c r="L21" s="22" t="str">
        <x:v>Liquidity Hunt quality +4%</x:v>
      </x:c>
      <x:c r="M21" s="67" t="n">
        <x:v>-0.06</x:v>
      </x:c>
      <x:c r="N21" s="67" t="n">
        <x:v>0</x:v>
      </x:c>
      <x:c r="O21" s="22" t="str">
        <x:v>Market making depends on inventory and treasury control</x:v>
      </x:c>
      <x:c r="P21" s="38" t="str"/>
    </x:row>
    <x:row r="22">
      <x:c r="A22" s="37" t="n">
        <x:v>19</x:v>
      </x:c>
      <x:c r="B22" s="22" t="str">
        <x:v>Market Maker</x:v>
      </x:c>
      <x:c r="C22" s="22" t="str">
        <x:v>Research / Data</x:v>
      </x:c>
      <x:c r="D22" s="22" t="str">
        <x:v>Support</x:v>
      </x:c>
      <x:c r="E22" s="22" t="str">
        <x:v>Quote efficiency</x:v>
      </x:c>
      <x:c r="F22" s="67" t="n">
        <x:v>0.07</x:v>
      </x:c>
      <x:c r="G22" s="22" t="str">
        <x:v>Transaction capacity</x:v>
      </x:c>
      <x:c r="H22" s="67" t="n">
        <x:v>0.05</x:v>
      </x:c>
      <x:c r="I22" s="61" t="n">
        <x:v>2</x:v>
      </x:c>
      <x:c r="J22" s="61" t="n">
        <x:v>2</x:v>
      </x:c>
      <x:c r="K22" s="22" t="str">
        <x:v>Growing+</x:v>
      </x:c>
      <x:c r="L22" s="22" t="str">
        <x:v>Volatility Hunt quality +4%</x:v>
      </x:c>
      <x:c r="M22" s="67" t="n">
        <x:v>-0.02</x:v>
      </x:c>
      <x:c r="N22" s="67" t="n">
        <x:v>0</x:v>
      </x:c>
      <x:c r="O22" s="22" t="str">
        <x:v>Data improves pricing and execution</x:v>
      </x:c>
      <x:c r="P22" s="38" t="str"/>
    </x:row>
    <x:row r="23">
      <x:c r="A23" s="37" t="n">
        <x:v>20</x:v>
      </x:c>
      <x:c r="B23" s="22" t="str">
        <x:v>Financial Services</x:v>
      </x:c>
      <x:c r="C23" s="22" t="str">
        <x:v>Wealth / Private</x:v>
      </x:c>
      <x:c r="D23" s="22" t="str">
        <x:v>Direct</x:v>
      </x:c>
      <x:c r="E23" s="22" t="str">
        <x:v>Customer conversion</x:v>
      </x:c>
      <x:c r="F23" s="67" t="n">
        <x:v>0.05</x:v>
      </x:c>
      <x:c r="G23" s="22" t="str">
        <x:v>Cross-sell efficiency</x:v>
      </x:c>
      <x:c r="H23" s="67" t="n">
        <x:v>0.04</x:v>
      </x:c>
      <x:c r="I23" s="61" t="n">
        <x:v>2</x:v>
      </x:c>
      <x:c r="J23" s="61" t="n">
        <x:v>1</x:v>
      </x:c>
      <x:c r="K23" s="22" t="str">
        <x:v>Starter+</x:v>
      </x:c>
      <x:c r="L23" s="22" t="n">
        <x:v>0</x:v>
      </x:c>
      <x:c r="M23" s="67" t="n">
        <x:v>0</x:v>
      </x:c>
      <x:c r="N23" s="67" t="n">
        <x:v>0.05</x:v>
      </x:c>
      <x:c r="O23" s="22" t="str">
        <x:v>General services funnel customers into wealth products</x:v>
      </x:c>
      <x:c r="P23" s="38" t="str"/>
    </x:row>
    <x:row r="24">
      <x:c r="A24" s="37" t="n">
        <x:v>21</x:v>
      </x:c>
      <x:c r="B24" s="22" t="str">
        <x:v>Financial Services</x:v>
      </x:c>
      <x:c r="C24" s="22" t="str">
        <x:v>Fund / Asset Mgmt</x:v>
      </x:c>
      <x:c r="D24" s="22" t="str">
        <x:v>Support</x:v>
      </x:c>
      <x:c r="E24" s="22" t="str">
        <x:v>Investor conversion</x:v>
      </x:c>
      <x:c r="F24" s="67" t="n">
        <x:v>0.04</x:v>
      </x:c>
      <x:c r="G24" s="22" t="str">
        <x:v>AUM inflow</x:v>
      </x:c>
      <x:c r="H24" s="67" t="n">
        <x:v>0.03</x:v>
      </x:c>
      <x:c r="I24" s="61" t="n">
        <x:v>2</x:v>
      </x:c>
      <x:c r="J24" s="61" t="n">
        <x:v>2</x:v>
      </x:c>
      <x:c r="K24" s="22" t="str">
        <x:v>Starter+</x:v>
      </x:c>
      <x:c r="L24" s="22" t="str">
        <x:v>Fund Hunt spawn +3%</x:v>
      </x:c>
      <x:c r="M24" s="67" t="n">
        <x:v>0</x:v>
      </x:c>
      <x:c r="N24" s="67" t="n">
        <x:v>0.03</x:v>
      </x:c>
      <x:c r="O24" s="22" t="str">
        <x:v>Advice/service hubs feed investment products</x:v>
      </x:c>
      <x:c r="P24" s="38" t="str"/>
    </x:row>
    <x:row r="25">
      <x:c r="A25" s="37" t="n">
        <x:v>22</x:v>
      </x:c>
      <x:c r="B25" s="22" t="str">
        <x:v>Research / Data</x:v>
      </x:c>
      <x:c r="C25" s="22" t="str">
        <x:v>Treasury / Vault</x:v>
      </x:c>
      <x:c r="D25" s="22" t="str">
        <x:v>Support</x:v>
      </x:c>
      <x:c r="E25" s="22" t="str">
        <x:v>Risk monitoring</x:v>
      </x:c>
      <x:c r="F25" s="67" t="n">
        <x:v>0.04</x:v>
      </x:c>
      <x:c r="G25" s="22" t="str">
        <x:v>Operational stability</x:v>
      </x:c>
      <x:c r="H25" s="67" t="n">
        <x:v>0.04</x:v>
      </x:c>
      <x:c r="I25" s="61" t="n">
        <x:v>2</x:v>
      </x:c>
      <x:c r="J25" s="61" t="n">
        <x:v>2</x:v>
      </x:c>
      <x:c r="K25" s="22" t="str">
        <x:v>Growing+</x:v>
      </x:c>
      <x:c r="L25" s="22" t="n">
        <x:v>0</x:v>
      </x:c>
      <x:c r="M25" s="67" t="n">
        <x:v>-0.04</x:v>
      </x:c>
      <x:c r="N25" s="67" t="n">
        <x:v>0</x:v>
      </x:c>
      <x:c r="O25" s="22" t="str">
        <x:v>Data plus treasury improves control systems</x:v>
      </x:c>
      <x:c r="P25" s="38" t="str"/>
    </x:row>
    <x:row r="26">
      <x:c r="A26" s="37" t="n">
        <x:v>23</x:v>
      </x:c>
      <x:c r="B26" s="22" t="str">
        <x:v>Regional/Global Bank</x:v>
      </x:c>
      <x:c r="C26" s="22" t="str">
        <x:v>Investment Banking</x:v>
      </x:c>
      <x:c r="D26" s="22" t="str">
        <x:v>Direct</x:v>
      </x:c>
      <x:c r="E26" s="22" t="str">
        <x:v>Corporate client referrals</x:v>
      </x:c>
      <x:c r="F26" s="67" t="n">
        <x:v>0.06</x:v>
      </x:c>
      <x:c r="G26" s="22" t="str">
        <x:v>Corporate activity</x:v>
      </x:c>
      <x:c r="H26" s="67" t="n">
        <x:v>0.05</x:v>
      </x:c>
      <x:c r="I26" s="61" t="n">
        <x:v>1</x:v>
      </x:c>
      <x:c r="J26" s="61" t="n">
        <x:v>1</x:v>
      </x:c>
      <x:c r="K26" s="22" t="str">
        <x:v>Established+</x:v>
      </x:c>
      <x:c r="L26" s="22" t="str">
        <x:v>Institutional Hunt spawn +4%</x:v>
      </x:c>
      <x:c r="M26" s="67" t="n">
        <x:v>0</x:v>
      </x:c>
      <x:c r="N26" s="67" t="n">
        <x:v>0.03</x:v>
      </x:c>
      <x:c r="O26" s="22" t="str">
        <x:v>Large banks naturally feed investment banking mandates</x:v>
      </x:c>
      <x:c r="P26" s="38" t="str"/>
    </x:row>
    <x:row r="27">
      <x:c r="A27" s="37" t="n">
        <x:v>24</x:v>
      </x:c>
      <x:c r="B27" s="22" t="str">
        <x:v>Private Bank</x:v>
      </x:c>
      <x:c r="C27" s="22" t="str">
        <x:v>Fund / Asset Mgmt</x:v>
      </x:c>
      <x:c r="D27" s="22" t="str">
        <x:v>Direct</x:v>
      </x:c>
      <x:c r="E27" s="22" t="str">
        <x:v>HNW AUM conversion</x:v>
      </x:c>
      <x:c r="F27" s="67" t="n">
        <x:v>0.08</x:v>
      </x:c>
      <x:c r="G27" s="22" t="str">
        <x:v>Fund inflows</x:v>
      </x:c>
      <x:c r="H27" s="67" t="n">
        <x:v>0.06</x:v>
      </x:c>
      <x:c r="I27" s="61" t="n">
        <x:v>2</x:v>
      </x:c>
      <x:c r="J27" s="61" t="n">
        <x:v>1</x:v>
      </x:c>
      <x:c r="K27" s="22" t="str">
        <x:v>Established+</x:v>
      </x:c>
      <x:c r="L27" s="22" t="str">
        <x:v>Portfolio Hunt spawn +5%</x:v>
      </x:c>
      <x:c r="M27" s="67" t="n">
        <x:v>0</x:v>
      </x:c>
      <x:c r="N27" s="67" t="n">
        <x:v>0.05</x:v>
      </x:c>
      <x:c r="O27" s="22" t="str">
        <x:v>Private clients allocate into managed funds</x:v>
      </x:c>
      <x:c r="P27" s="38" t="str"/>
    </x:row>
    <x:row r="28">
      <x:c r="A28" s="37" t="n">
        <x:v>25</x:v>
      </x:c>
      <x:c r="B28" s="22" t="str">
        <x:v>Securities/World Exchange</x:v>
      </x:c>
      <x:c r="C28" s="22" t="str">
        <x:v>Financial Data Center</x:v>
      </x:c>
      <x:c r="D28" s="22" t="str">
        <x:v>Support</x:v>
      </x:c>
      <x:c r="E28" s="22" t="str">
        <x:v>Transaction capacity</x:v>
      </x:c>
      <x:c r="F28" s="67" t="n">
        <x:v>0.12</x:v>
      </x:c>
      <x:c r="G28" s="22" t="str">
        <x:v>Operational efficiency</x:v>
      </x:c>
      <x:c r="H28" s="67" t="n">
        <x:v>0.05</x:v>
      </x:c>
      <x:c r="I28" s="61" t="n">
        <x:v>1</x:v>
      </x:c>
      <x:c r="J28" s="61" t="n">
        <x:v>2</x:v>
      </x:c>
      <x:c r="K28" s="22" t="str">
        <x:v>Established+</x:v>
      </x:c>
      <x:c r="L28" s="22" t="str">
        <x:v>Exchange Hunt quality +5%</x:v>
      </x:c>
      <x:c r="M28" s="67" t="n">
        <x:v>-0.03</x:v>
      </x:c>
      <x:c r="N28" s="67" t="n">
        <x:v>0</x:v>
      </x:c>
      <x:c r="O28" s="22" t="str">
        <x:v>Market infrastructure requires data throughput</x:v>
      </x:c>
      <x:c r="P28" s="38" t="str"/>
    </x:row>
    <x:row r="29">
      <x:c r="A29" s="37" t="n">
        <x:v>26</x:v>
      </x:c>
      <x:c r="B29" s="22" t="str">
        <x:v>Financial Exchange Tower</x:v>
      </x:c>
      <x:c r="C29" s="22" t="str">
        <x:v>Institutional Trading Center</x:v>
      </x:c>
      <x:c r="D29" s="22" t="str">
        <x:v>Direct</x:v>
      </x:c>
      <x:c r="E29" s="22" t="str">
        <x:v>Institutional volume</x:v>
      </x:c>
      <x:c r="F29" s="67" t="n">
        <x:v>0.09</x:v>
      </x:c>
      <x:c r="G29" s="22" t="str">
        <x:v>Transaction activity</x:v>
      </x:c>
      <x:c r="H29" s="67" t="n">
        <x:v>0.06</x:v>
      </x:c>
      <x:c r="I29" s="61" t="n">
        <x:v>1</x:v>
      </x:c>
      <x:c r="J29" s="61" t="n">
        <x:v>1</x:v>
      </x:c>
      <x:c r="K29" s="22" t="str">
        <x:v>Elite+</x:v>
      </x:c>
      <x:c r="L29" s="22" t="str">
        <x:v>Elite Trading Hunt spawn +6%</x:v>
      </x:c>
      <x:c r="M29" s="67" t="n">
        <x:v>0</x:v>
      </x:c>
      <x:c r="N29" s="67" t="n">
        <x:v>0.02</x:v>
      </x:c>
      <x:c r="O29" s="22" t="str">
        <x:v>Institutional desks create exchange flow</x:v>
      </x:c>
      <x:c r="P29" s="38" t="str"/>
    </x:row>
    <x:row r="30">
      <x:c r="A30" s="37" t="n">
        <x:v>27</x:v>
      </x:c>
      <x:c r="B30" s="22" t="str">
        <x:v>Sovereign Fund Tower</x:v>
      </x:c>
      <x:c r="C30" s="22" t="str">
        <x:v>Research / Data</x:v>
      </x:c>
      <x:c r="D30" s="22" t="str">
        <x:v>Support</x:v>
      </x:c>
      <x:c r="E30" s="22" t="str">
        <x:v>Portfolio efficiency</x:v>
      </x:c>
      <x:c r="F30" s="67" t="n">
        <x:v>0.08</x:v>
      </x:c>
      <x:c r="G30" s="22" t="str">
        <x:v>Risk monitoring</x:v>
      </x:c>
      <x:c r="H30" s="67" t="n">
        <x:v>0.05</x:v>
      </x:c>
      <x:c r="I30" s="61" t="n">
        <x:v>1</x:v>
      </x:c>
      <x:c r="J30" s="61" t="n">
        <x:v>2</x:v>
      </x:c>
      <x:c r="K30" s="22" t="str">
        <x:v>Tycoon</x:v>
      </x:c>
      <x:c r="L30" s="22" t="str">
        <x:v>Jackpot Portfolio Hunt quality +5%</x:v>
      </x:c>
      <x:c r="M30" s="67" t="n">
        <x:v>-0.04</x:v>
      </x:c>
      <x:c r="N30" s="67" t="n">
        <x:v>0</x:v>
      </x:c>
      <x:c r="O30" s="22" t="str">
        <x:v>Large funds depend on deep research</x:v>
      </x:c>
      <x:c r="P30" s="38" t="str"/>
    </x:row>
    <x:row r="31">
      <x:c r="A31" s="37" t="n">
        <x:v>28</x:v>
      </x:c>
      <x:c r="B31" s="22" t="str">
        <x:v>Financial Empire Headquarters</x:v>
      </x:c>
      <x:c r="C31" s="22" t="str">
        <x:v>Financial Services</x:v>
      </x:c>
      <x:c r="D31" s="22" t="str">
        <x:v>Support</x:v>
      </x:c>
      <x:c r="E31" s="22" t="str">
        <x:v>Empire-wide service efficiency</x:v>
      </x:c>
      <x:c r="F31" s="67" t="n">
        <x:v>0.04</x:v>
      </x:c>
      <x:c r="G31" s="22" t="str">
        <x:v>Customer routing</x:v>
      </x:c>
      <x:c r="H31" s="67" t="n">
        <x:v>0.04</x:v>
      </x:c>
      <x:c r="I31" s="61" t="n">
        <x:v>1</x:v>
      </x:c>
      <x:c r="J31" s="61" t="n">
        <x:v>2</x:v>
      </x:c>
      <x:c r="K31" s="22" t="str">
        <x:v>Tycoon</x:v>
      </x:c>
      <x:c r="L31" s="22" t="str">
        <x:v>General Hunt spawn +3%</x:v>
      </x:c>
      <x:c r="M31" s="67" t="n">
        <x:v>0</x:v>
      </x:c>
      <x:c r="N31" s="67" t="n">
        <x:v>0.03</x:v>
      </x:c>
      <x:c r="O31" s="22" t="str">
        <x:v>HQ coordinates broad financial service activity</x:v>
      </x:c>
      <x:c r="P31" s="38" t="str">
        <x:v>Cap applies to one HQ</x:v>
      </x:c>
    </x:row>
    <x:row r="32">
      <x:c r="A32" s="37" t="n">
        <x:v>29</x:v>
      </x:c>
      <x:c r="B32" s="22" t="str">
        <x:v>Financial Empire Headquarters</x:v>
      </x:c>
      <x:c r="C32" s="22" t="str">
        <x:v>Treasury / Vault</x:v>
      </x:c>
      <x:c r="D32" s="22" t="str">
        <x:v>Support</x:v>
      </x:c>
      <x:c r="E32" s="22" t="str">
        <x:v>Empire-wide capital efficiency</x:v>
      </x:c>
      <x:c r="F32" s="67" t="n">
        <x:v>0.05</x:v>
      </x:c>
      <x:c r="G32" s="22" t="str">
        <x:v>Risk resilience</x:v>
      </x:c>
      <x:c r="H32" s="67" t="n">
        <x:v>0.04</x:v>
      </x:c>
      <x:c r="I32" s="61" t="n">
        <x:v>1</x:v>
      </x:c>
      <x:c r="J32" s="61" t="n">
        <x:v>2</x:v>
      </x:c>
      <x:c r="K32" s="22" t="str">
        <x:v>Tycoon</x:v>
      </x:c>
      <x:c r="L32" s="22" t="n">
        <x:v>0</x:v>
      </x:c>
      <x:c r="M32" s="67" t="n">
        <x:v>-0.03</x:v>
      </x:c>
      <x:c r="N32" s="67" t="n">
        <x:v>0</x:v>
      </x:c>
      <x:c r="O32" s="22" t="str">
        <x:v>HQ benefits from capital control</x:v>
      </x:c>
      <x:c r="P32" s="38" t="str">
        <x:v>Cap applies to one HQ</x:v>
      </x:c>
    </x:row>
    <x:row r="33">
      <x:c r="A33" s="39" t="n">
        <x:v>30</x:v>
      </x:c>
      <x:c r="B33" s="40" t="str">
        <x:v>Financial Empire Headquarters</x:v>
      </x:c>
      <x:c r="C33" s="40" t="str">
        <x:v>Research / Data</x:v>
      </x:c>
      <x:c r="D33" s="40" t="str">
        <x:v>Support</x:v>
      </x:c>
      <x:c r="E33" s="40" t="str">
        <x:v>Empire-wide operational efficiency</x:v>
      </x:c>
      <x:c r="F33" s="68" t="n">
        <x:v>0.05</x:v>
      </x:c>
      <x:c r="G33" s="40" t="str">
        <x:v>Event readiness</x:v>
      </x:c>
      <x:c r="H33" s="68" t="n">
        <x:v>0.04</x:v>
      </x:c>
      <x:c r="I33" s="62" t="n">
        <x:v>1</x:v>
      </x:c>
      <x:c r="J33" s="62" t="n">
        <x:v>2</x:v>
      </x:c>
      <x:c r="K33" s="40" t="str">
        <x:v>Tycoon</x:v>
      </x:c>
      <x:c r="L33" s="40" t="str">
        <x:v>Event Hunt quality +3%</x:v>
      </x:c>
      <x:c r="M33" s="68" t="n">
        <x:v>-0.02</x:v>
      </x:c>
      <x:c r="N33" s="68" t="n">
        <x:v>0</x:v>
      </x:c>
      <x:c r="O33" s="40" t="str">
        <x:v>HQ coordination improves with information infrastructure</x:v>
      </x:c>
      <x:c r="P33" s="41" t="str">
        <x:v>Cap applies to one HQ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Congestion, Duplicate Buildings &amp; Anti-Meta Controls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22"/>
      <x:c r="O1" s="22"/>
      <x:c r="P1" s="22"/>
      <x:c r="Q1" s="22"/>
    </x:row>
    <x:row r="3">
      <x:c r="A3" s="14" t="str">
        <x:v>Control</x:v>
      </x:c>
      <x:c r="B3" s="14" t="str">
        <x:v>Trigger</x:v>
      </x:c>
      <x:c r="C3" s="14" t="str">
        <x:v>Metric</x:v>
      </x:c>
      <x:c r="D3" s="14" t="str">
        <x:v>Penalty Start</x:v>
      </x:c>
      <x:c r="E3" s="14" t="str">
        <x:v>Penalty Growth</x:v>
      </x:c>
      <x:c r="F3" s="14" t="str">
        <x:v>Max Penalty</x:v>
      </x:c>
      <x:c r="G3" s="14" t="str">
        <x:v>Offset By</x:v>
      </x:c>
      <x:c r="H3" s="14" t="str">
        <x:v>Applies To</x:v>
      </x:c>
      <x:c r="I3" s="14" t="str">
        <x:v>Stage</x:v>
      </x:c>
      <x:c r="J3" s="14" t="str">
        <x:v>Why It Exists</x:v>
      </x:c>
      <x:c r="K3" s="14" t="str">
        <x:v>Player Feedback</x:v>
      </x:c>
      <x:c r="L3" s="14" t="str">
        <x:v>Example</x:v>
      </x:c>
      <x:c r="M3" s="14" t="str">
        <x:v>Notes</x:v>
      </x:c>
    </x:row>
    <x:row r="4">
      <x:c r="A4" s="34" t="str">
        <x:v>Same-family local density</x:v>
      </x:c>
      <x:c r="B4" s="35" t="str">
        <x:v>More than 3 same-family buildings inside radius 3</x:v>
      </x:c>
      <x:c r="C4" s="35" t="str">
        <x:v>Operating efficiency</x:v>
      </x:c>
      <x:c r="D4" s="35" t="n">
        <x:v>4</x:v>
      </x:c>
      <x:c r="E4" s="66" t="n">
        <x:v>-0.04</x:v>
      </x:c>
      <x:c r="F4" s="66" t="n">
        <x:v>-0.16</x:v>
      </x:c>
      <x:c r="G4" s="35" t="str">
        <x:v>Financial Services / Data support</x:v>
      </x:c>
      <x:c r="H4" s="35" t="str">
        <x:v>Excess same-family buildings</x:v>
      </x:c>
      <x:c r="I4" s="35" t="str">
        <x:v>Growing+</x:v>
      </x:c>
      <x:c r="J4" s="35" t="str">
        <x:v>Stops single-family spam</x:v>
      </x:c>
      <x:c r="K4" s="35" t="str">
        <x:v>Density warning</x:v>
      </x:c>
      <x:c r="L4" s="35" t="str">
        <x:v>5 Brokerage buildings nearby → 2 excess ×4% = 8% local penalty</x:v>
      </x:c>
      <x:c r="M4" s="36" t="str"/>
    </x:row>
    <x:row r="5">
      <x:c r="A5" s="37" t="str">
        <x:v>Customer congestion</x:v>
      </x:c>
      <x:c r="B5" s="22" t="str">
        <x:v>More than 4 customer-facing buildings inside radius 2</x:v>
      </x:c>
      <x:c r="C5" s="22" t="str">
        <x:v>Activity</x:v>
      </x:c>
      <x:c r="D5" s="22" t="n">
        <x:v>5</x:v>
      </x:c>
      <x:c r="E5" s="67" t="n">
        <x:v>-0.03</x:v>
      </x:c>
      <x:c r="F5" s="67" t="n">
        <x:v>-0.12</x:v>
      </x:c>
      <x:c r="G5" s="22" t="str">
        <x:v>Digital Finance / Data / Services</x:v>
      </x:c>
      <x:c r="H5" s="22" t="str">
        <x:v>Excess customer-facing buildings</x:v>
      </x:c>
      <x:c r="I5" s="22" t="str">
        <x:v>Starter+</x:v>
      </x:c>
      <x:c r="J5" s="22" t="str">
        <x:v>Dense service clusters need support</x:v>
      </x:c>
      <x:c r="K5" s="22" t="str">
        <x:v>Traffic/load indicator</x:v>
      </x:c>
      <x:c r="L5" s="22" t="str">
        <x:v>6 customer-facing cards → 2 excess ×3% = 6% activity penalty</x:v>
      </x:c>
      <x:c r="M5" s="38" t="str"/>
    </x:row>
    <x:row r="6">
      <x:c r="A6" s="37" t="str">
        <x:v>Transaction congestion</x:v>
      </x:c>
      <x:c r="B6" s="22" t="str">
        <x:v>Exchange/Brokerage/Market Maker activity exceeds support capacity</x:v>
      </x:c>
      <x:c r="C6" s="22" t="str">
        <x:v>Transaction capacity</x:v>
      </x:c>
      <x:c r="D6" s="22" t="str">
        <x:v>100%</x:v>
      </x:c>
      <x:c r="E6" s="67" t="n">
        <x:v>-0.05</x:v>
      </x:c>
      <x:c r="F6" s="67" t="n">
        <x:v>-0.2</x:v>
      </x:c>
      <x:c r="G6" s="22" t="str">
        <x:v>Data Center / Digital Finance Hub</x:v>
      </x:c>
      <x:c r="H6" s="22" t="str">
        <x:v>Trading cluster</x:v>
      </x:c>
      <x:c r="I6" s="22" t="str">
        <x:v>Growing+</x:v>
      </x:c>
      <x:c r="J6" s="22" t="str">
        <x:v>Makes infrastructure meaningful</x:v>
      </x:c>
      <x:c r="K6" s="22" t="str">
        <x:v>Throughput meter</x:v>
      </x:c>
      <x:c r="L6" s="22" t="str">
        <x:v>Overloaded exchange cluster loses effective activity</x:v>
      </x:c>
      <x:c r="M6" s="38" t="str"/>
    </x:row>
    <x:row r="7">
      <x:c r="A7" s="37" t="str">
        <x:v>Liquidity concentration</x:v>
      </x:c>
      <x:c r="B7" s="22" t="str">
        <x:v>3+ high-liquidity businesses without Treasury/Vault support</x:v>
      </x:c>
      <x:c r="C7" s="22" t="str">
        <x:v>Risk score</x:v>
      </x:c>
      <x:c r="D7" s="22" t="n">
        <x:v>3</x:v>
      </x:c>
      <x:c r="E7" s="67" t="n">
        <x:v>0.04</x:v>
      </x:c>
      <x:c r="F7" s="67" t="n">
        <x:v>0.16</x:v>
      </x:c>
      <x:c r="G7" s="22" t="str">
        <x:v>Treasury / Vault</x:v>
      </x:c>
      <x:c r="H7" s="22" t="str">
        <x:v>Bank/Fund/Exchange/Market Maker</x:v>
      </x:c>
      <x:c r="I7" s="22" t="str">
        <x:v>Growing+</x:v>
      </x:c>
      <x:c r="J7" s="22" t="str">
        <x:v>Prevents aggressive layouts with no reserves</x:v>
      </x:c>
      <x:c r="K7" s="22" t="str">
        <x:v>Risk overlay</x:v>
      </x:c>
      <x:c r="L7" s="22" t="str">
        <x:v>Exchange + Market Maker + Fund with no Treasury → +4% risk</x:v>
      </x:c>
      <x:c r="M7" s="38" t="str"/>
    </x:row>
    <x:row r="8">
      <x:c r="A8" s="37" t="str">
        <x:v>Prestige crowding</x:v>
      </x:c>
      <x:c r="B8" s="22" t="str">
        <x:v>Two 4×4 landmarks share an edge</x:v>
      </x:c>
      <x:c r="C8" s="22" t="str">
        <x:v>Operational efficiency</x:v>
      </x:c>
      <x:c r="D8" s="22" t="n">
        <x:v>2</x:v>
      </x:c>
      <x:c r="E8" s="67" t="n">
        <x:v>-0.04</x:v>
      </x:c>
      <x:c r="F8" s="67" t="n">
        <x:v>-0.08</x:v>
      </x:c>
      <x:c r="G8" s="22" t="str">
        <x:v>1-tile spacing or support corridor</x:v>
      </x:c>
      <x:c r="H8" s="22" t="str">
        <x:v>4×4 landmarks</x:v>
      </x:c>
      <x:c r="I8" s="22" t="str">
        <x:v>Tycoon</x:v>
      </x:c>
      <x:c r="J8" s="22" t="str">
        <x:v>Keeps endgame board readable and strategic</x:v>
      </x:c>
      <x:c r="K8" s="22" t="str">
        <x:v>Prestige spacing warning</x:v>
      </x:c>
      <x:c r="L8" s="22" t="str">
        <x:v>Two global landmarks touching lose 4% efficiency each</x:v>
      </x:c>
      <x:c r="M8" s="38" t="str"/>
    </x:row>
    <x:row r="9">
      <x:c r="A9" s="37" t="str">
        <x:v>Exact duplicate spam</x:v>
      </x:c>
      <x:c r="B9" s="22" t="str">
        <x:v>More than 2 identical buildings on one base Plot</x:v>
      </x:c>
      <x:c r="C9" s="22" t="str">
        <x:v>Revenue efficiency</x:v>
      </x:c>
      <x:c r="D9" s="22" t="n">
        <x:v>3</x:v>
      </x:c>
      <x:c r="E9" s="67" t="n">
        <x:v>-0.05</x:v>
      </x:c>
      <x:c r="F9" s="67" t="n">
        <x:v>-0.2</x:v>
      </x:c>
      <x:c r="G9" s="22" t="str">
        <x:v>Diversification</x:v>
      </x:c>
      <x:c r="H9" s="22" t="str">
        <x:v>Identical building ID</x:v>
      </x:c>
      <x:c r="I9" s="22" t="str">
        <x:v>Starter+</x:v>
      </x:c>
      <x:c r="J9" s="22" t="str">
        <x:v>Encourages progression chains and variety</x:v>
      </x:c>
      <x:c r="K9" s="22" t="str">
        <x:v>Duplicate warning</x:v>
      </x:c>
      <x:c r="L9" s="22" t="str">
        <x:v>Third Brokerage House gets -5% local efficiency</x:v>
      </x:c>
      <x:c r="M9" s="38" t="str"/>
    </x:row>
    <x:row r="10">
      <x:c r="A10" s="39" t="str">
        <x:v>Support overreach</x:v>
      </x:c>
      <x:c r="B10" s="40" t="str">
        <x:v>Support building linked beyond support slot count</x:v>
      </x:c>
      <x:c r="C10" s="40" t="str">
        <x:v>Support bonus</x:v>
      </x:c>
      <x:c r="D10" s="40" t="n">
        <x:v>1</x:v>
      </x:c>
      <x:c r="E10" s="68" t="n">
        <x:v>0</x:v>
      </x:c>
      <x:c r="F10" s="68" t="n">
        <x:v>0</x:v>
      </x:c>
      <x:c r="G10" s="40" t="str">
        <x:v>Upgrade / second support building</x:v>
      </x:c>
      <x:c r="H10" s="40" t="str">
        <x:v>Support buildings</x:v>
      </x:c>
      <x:c r="I10" s="40" t="str">
        <x:v>All</x:v>
      </x:c>
      <x:c r="J10" s="40" t="str">
        <x:v>Stops one Data Center buffing whole board</x:v>
      </x:c>
      <x:c r="K10" s="40" t="str">
        <x:v>Link cap indicator</x:v>
      </x:c>
      <x:c r="L10" s="40" t="str">
        <x:v>Only first configured support links count</x:v>
      </x:c>
      <x:c r="M10" s="41" t="str"/>
    </x:row>
    <x:row r="12" ht="22" customHeight="1">
      <x:c r="A12" s="31" t="str">
        <x:v>Duplicate Penalty Example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</x:row>
    <x:row r="13">
      <x:c r="A13" s="14" t="str">
        <x:v>Same-Family Count in Cluster</x:v>
      </x:c>
      <x:c r="B13" s="14" t="str">
        <x:v>Threshold</x:v>
      </x:c>
      <x:c r="C13" s="14" t="str">
        <x:v>Excess</x:v>
      </x:c>
      <x:c r="D13" s="14" t="str">
        <x:v>Penalty per Excess</x:v>
      </x:c>
      <x:c r="E13" s="14" t="str">
        <x:v>Raw Penalty</x:v>
      </x:c>
      <x:c r="F13" s="14" t="str">
        <x:v>Max Penalty</x:v>
      </x:c>
      <x:c r="G13" s="14" t="str">
        <x:v>Applied Penalty</x:v>
      </x:c>
      <x:c r="H13" s="14" t="str">
        <x:v>Interpretation</x:v>
      </x:c>
    </x:row>
    <x:row r="14">
      <x:c r="A14" s="34" t="n">
        <x:v>1</x:v>
      </x:c>
      <x:c r="B14" s="35" t="n">
        <x:v>3</x:v>
      </x:c>
      <x:c r="C14" s="35" t="n">
        <x:v>0</x:v>
      </x:c>
      <x:c r="D14" s="66" t="n">
        <x:v>-0.04</x:v>
      </x:c>
      <x:c r="E14" s="66" t="n">
        <x:f>C14*D14</x:f>
        <x:v>0</x:v>
      </x:c>
      <x:c r="F14" s="66" t="n">
        <x:v>-0.16</x:v>
      </x:c>
      <x:c r="G14" s="66" t="n">
        <x:f>MAX(F14,E14)</x:f>
        <x:v>0</x:v>
      </x:c>
      <x:c r="H14" s="36" t="str">
        <x:v>No penalty</x:v>
      </x:c>
    </x:row>
    <x:row r="15">
      <x:c r="A15" s="37" t="n">
        <x:v>2</x:v>
      </x:c>
      <x:c r="B15" s="22" t="n">
        <x:v>3</x:v>
      </x:c>
      <x:c r="C15" s="22" t="n">
        <x:v>0</x:v>
      </x:c>
      <x:c r="D15" s="67" t="n">
        <x:v>-0.04</x:v>
      </x:c>
      <x:c r="E15" s="67" t="n">
        <x:f>C15*D15</x:f>
        <x:v>0</x:v>
      </x:c>
      <x:c r="F15" s="67" t="n">
        <x:v>-0.16</x:v>
      </x:c>
      <x:c r="G15" s="67" t="n">
        <x:f>MAX(F15,E15)</x:f>
        <x:v>0</x:v>
      </x:c>
      <x:c r="H15" s="38" t="str">
        <x:v>No penalty</x:v>
      </x:c>
    </x:row>
    <x:row r="16">
      <x:c r="A16" s="37" t="n">
        <x:v>3</x:v>
      </x:c>
      <x:c r="B16" s="22" t="n">
        <x:v>3</x:v>
      </x:c>
      <x:c r="C16" s="22" t="n">
        <x:v>0</x:v>
      </x:c>
      <x:c r="D16" s="67" t="n">
        <x:v>-0.04</x:v>
      </x:c>
      <x:c r="E16" s="67" t="n">
        <x:f>C16*D16</x:f>
        <x:v>0</x:v>
      </x:c>
      <x:c r="F16" s="67" t="n">
        <x:v>-0.16</x:v>
      </x:c>
      <x:c r="G16" s="67" t="n">
        <x:f>MAX(F16,E16)</x:f>
        <x:v>0</x:v>
      </x:c>
      <x:c r="H16" s="38" t="str">
        <x:v>No penalty</x:v>
      </x:c>
    </x:row>
    <x:row r="17">
      <x:c r="A17" s="37" t="n">
        <x:v>4</x:v>
      </x:c>
      <x:c r="B17" s="22" t="n">
        <x:v>3</x:v>
      </x:c>
      <x:c r="C17" s="22" t="n">
        <x:v>1</x:v>
      </x:c>
      <x:c r="D17" s="67" t="n">
        <x:v>-0.04</x:v>
      </x:c>
      <x:c r="E17" s="67" t="n">
        <x:f>C17*D17</x:f>
        <x:v>-0.04</x:v>
      </x:c>
      <x:c r="F17" s="67" t="n">
        <x:v>-0.16</x:v>
      </x:c>
      <x:c r="G17" s="67" t="n">
        <x:f>MAX(F17,E17)</x:f>
        <x:v>-0.04</x:v>
      </x:c>
      <x:c r="H17" s="38" t="str">
        <x:v>1 excess same-family building(s)</x:v>
      </x:c>
    </x:row>
    <x:row r="18">
      <x:c r="A18" s="37" t="n">
        <x:v>5</x:v>
      </x:c>
      <x:c r="B18" s="22" t="n">
        <x:v>3</x:v>
      </x:c>
      <x:c r="C18" s="22" t="n">
        <x:v>2</x:v>
      </x:c>
      <x:c r="D18" s="67" t="n">
        <x:v>-0.04</x:v>
      </x:c>
      <x:c r="E18" s="67" t="n">
        <x:f>C18*D18</x:f>
        <x:v>-0.08</x:v>
      </x:c>
      <x:c r="F18" s="67" t="n">
        <x:v>-0.16</x:v>
      </x:c>
      <x:c r="G18" s="67" t="n">
        <x:f>MAX(F18,E18)</x:f>
        <x:v>-0.08</x:v>
      </x:c>
      <x:c r="H18" s="38" t="str">
        <x:v>2 excess same-family building(s)</x:v>
      </x:c>
    </x:row>
    <x:row r="19">
      <x:c r="A19" s="37" t="n">
        <x:v>6</x:v>
      </x:c>
      <x:c r="B19" s="22" t="n">
        <x:v>3</x:v>
      </x:c>
      <x:c r="C19" s="22" t="n">
        <x:v>3</x:v>
      </x:c>
      <x:c r="D19" s="67" t="n">
        <x:v>-0.04</x:v>
      </x:c>
      <x:c r="E19" s="67" t="n">
        <x:f>C19*D19</x:f>
        <x:v>-0.12</x:v>
      </x:c>
      <x:c r="F19" s="67" t="n">
        <x:v>-0.16</x:v>
      </x:c>
      <x:c r="G19" s="67" t="n">
        <x:f>MAX(F19,E19)</x:f>
        <x:v>-0.12</x:v>
      </x:c>
      <x:c r="H19" s="38" t="str">
        <x:v>3 excess same-family building(s)</x:v>
      </x:c>
    </x:row>
    <x:row r="20">
      <x:c r="A20" s="37" t="n">
        <x:v>7</x:v>
      </x:c>
      <x:c r="B20" s="22" t="n">
        <x:v>3</x:v>
      </x:c>
      <x:c r="C20" s="22" t="n">
        <x:v>4</x:v>
      </x:c>
      <x:c r="D20" s="67" t="n">
        <x:v>-0.04</x:v>
      </x:c>
      <x:c r="E20" s="67" t="n">
        <x:f>C20*D20</x:f>
        <x:v>-0.16</x:v>
      </x:c>
      <x:c r="F20" s="67" t="n">
        <x:v>-0.16</x:v>
      </x:c>
      <x:c r="G20" s="67" t="n">
        <x:f>MAX(F20,E20)</x:f>
        <x:v>-0.16</x:v>
      </x:c>
      <x:c r="H20" s="38" t="str">
        <x:v>4 excess same-family building(s)</x:v>
      </x:c>
    </x:row>
    <x:row r="21">
      <x:c r="A21" s="39" t="n">
        <x:v>8</x:v>
      </x:c>
      <x:c r="B21" s="40" t="n">
        <x:v>3</x:v>
      </x:c>
      <x:c r="C21" s="40" t="n">
        <x:v>5</x:v>
      </x:c>
      <x:c r="D21" s="68" t="n">
        <x:v>-0.04</x:v>
      </x:c>
      <x:c r="E21" s="68" t="n">
        <x:f>C21*D21</x:f>
        <x:v>-0.2</x:v>
      </x:c>
      <x:c r="F21" s="68" t="n">
        <x:v>-0.16</x:v>
      </x:c>
      <x:c r="G21" s="68" t="n">
        <x:f>MAX(F21,E21)</x:f>
        <x:v>-0.16</x:v>
      </x:c>
      <x:c r="H21" s="41" t="str">
        <x:v>5 excess same-family building(s)</x:v>
      </x:c>
    </x:row>
  </x:sheetData>
  <x:mergeCells>
    <x:mergeCell ref="A1:M1"/>
    <x:mergeCell ref="A12:M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Special Board Tiles &amp; Small Positional Bonuses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22"/>
      <x:c r="N1" s="22"/>
      <x:c r="O1" s="22"/>
      <x:c r="P1" s="22"/>
      <x:c r="Q1" s="22"/>
    </x:row>
    <x:row r="3">
      <x:c r="A3" s="14" t="str">
        <x:v>Tile Type</x:v>
      </x:c>
      <x:c r="B3" s="14" t="str">
        <x:v>Base Count / 12×12</x:v>
      </x:c>
      <x:c r="C3" s="14" t="str">
        <x:v>Share</x:v>
      </x:c>
      <x:c r="D3" s="14" t="str">
        <x:v>Primary Effect</x:v>
      </x:c>
      <x:c r="E3" s="14" t="str">
        <x:v>Max Bonus</x:v>
      </x:c>
      <x:c r="F3" s="14" t="str">
        <x:v>Eligible Building Families</x:v>
      </x:c>
      <x:c r="G3" s="14" t="str">
        <x:v>Scoring Method</x:v>
      </x:c>
      <x:c r="H3" s="14" t="str">
        <x:v>Random?</x:v>
      </x:c>
      <x:c r="I3" s="14" t="str">
        <x:v>Can Move?</x:v>
      </x:c>
      <x:c r="J3" s="14" t="str">
        <x:v>Competitive Risk</x:v>
      </x:c>
      <x:c r="K3" s="14" t="str">
        <x:v>MVP?</x:v>
      </x:c>
      <x:c r="L3" s="14" t="str">
        <x:v>Notes</x:v>
      </x:c>
    </x:row>
    <x:row r="4">
      <x:c r="A4" s="34" t="str">
        <x:v>Standard</x:v>
      </x:c>
      <x:c r="B4" s="35" t="n">
        <x:v>120</x:v>
      </x:c>
      <x:c r="C4" s="66" t="n">
        <x:v>0.8333333333333334</x:v>
      </x:c>
      <x:c r="D4" s="35" t="str">
        <x:v>None</x:v>
      </x:c>
      <x:c r="E4" s="66" t="n">
        <x:v>0</x:v>
      </x:c>
      <x:c r="F4" s="35" t="str">
        <x:v>All</x:v>
      </x:c>
      <x:c r="G4" s="35" t="str">
        <x:v>Normal</x:v>
      </x:c>
      <x:c r="H4" s="35" t="str">
        <x:v>No</x:v>
      </x:c>
      <x:c r="I4" s="35" t="str">
        <x:v>No</x:v>
      </x:c>
      <x:c r="J4" s="35" t="str">
        <x:v>None</x:v>
      </x:c>
      <x:c r="K4" s="35" t="str">
        <x:v>Yes</x:v>
      </x:c>
      <x:c r="L4" s="36" t="str">
        <x:v>Default playable tile</x:v>
      </x:c>
    </x:row>
    <x:row r="5">
      <x:c r="A5" s="37" t="str">
        <x:v>Growth</x:v>
      </x:c>
      <x:c r="B5" s="22" t="n">
        <x:v>4</x:v>
      </x:c>
      <x:c r="C5" s="67" t="n">
        <x:v>0.027777777777777776</x:v>
      </x:c>
      <x:c r="D5" s="22" t="str">
        <x:v>Customer acquisition</x:v>
      </x:c>
      <x:c r="E5" s="67" t="n">
        <x:v>0.03</x:v>
      </x:c>
      <x:c r="F5" s="22" t="str">
        <x:v>Banking, Brokerage, Financial Services, Wealth</x:v>
      </x:c>
      <x:c r="G5" s="22" t="str">
        <x:v>Prorated by footprint overlap</x:v>
      </x:c>
      <x:c r="H5" s="22" t="str">
        <x:v>No</x:v>
      </x:c>
      <x:c r="I5" s="22" t="str">
        <x:v>No</x:v>
      </x:c>
      <x:c r="J5" s="22" t="str">
        <x:v>Low</x:v>
      </x:c>
      <x:c r="K5" s="22" t="str">
        <x:v>Later</x:v>
      </x:c>
      <x:c r="L5" s="38" t="str">
        <x:v>Small demand edge</x:v>
      </x:c>
    </x:row>
    <x:row r="6">
      <x:c r="A6" s="37" t="str">
        <x:v>Market</x:v>
      </x:c>
      <x:c r="B6" s="22" t="n">
        <x:v>4</x:v>
      </x:c>
      <x:c r="C6" s="67" t="n">
        <x:v>0.027777777777777776</x:v>
      </x:c>
      <x:c r="D6" s="22" t="str">
        <x:v>Economic activity</x:v>
      </x:c>
      <x:c r="E6" s="67" t="n">
        <x:v>0.03</x:v>
      </x:c>
      <x:c r="F6" s="22" t="str">
        <x:v>Brokerage, Exchange, Market Maker</x:v>
      </x:c>
      <x:c r="G6" s="22" t="str">
        <x:v>Prorated by footprint overlap</x:v>
      </x:c>
      <x:c r="H6" s="22" t="str">
        <x:v>No</x:v>
      </x:c>
      <x:c r="I6" s="22" t="str">
        <x:v>No</x:v>
      </x:c>
      <x:c r="J6" s="22" t="str">
        <x:v>Low</x:v>
      </x:c>
      <x:c r="K6" s="22" t="str">
        <x:v>Later</x:v>
      </x:c>
      <x:c r="L6" s="38" t="str">
        <x:v>Trading-oriented</x:v>
      </x:c>
    </x:row>
    <x:row r="7">
      <x:c r="A7" s="37" t="str">
        <x:v>Treasury</x:v>
      </x:c>
      <x:c r="B7" s="22" t="n">
        <x:v>4</x:v>
      </x:c>
      <x:c r="C7" s="67" t="n">
        <x:v>0.027777777777777776</x:v>
      </x:c>
      <x:c r="D7" s="22" t="str">
        <x:v>Risk reduction</x:v>
      </x:c>
      <x:c r="E7" s="67" t="n">
        <x:v>-0.03</x:v>
      </x:c>
      <x:c r="F7" s="22" t="str">
        <x:v>Banking, Fund, Treasury, Insurance</x:v>
      </x:c>
      <x:c r="G7" s="22" t="str">
        <x:v>Prorated by footprint overlap</x:v>
      </x:c>
      <x:c r="H7" s="22" t="str">
        <x:v>No</x:v>
      </x:c>
      <x:c r="I7" s="22" t="str">
        <x:v>No</x:v>
      </x:c>
      <x:c r="J7" s="22" t="str">
        <x:v>Low</x:v>
      </x:c>
      <x:c r="K7" s="22" t="str">
        <x:v>Later</x:v>
      </x:c>
      <x:c r="L7" s="38" t="str">
        <x:v>Defensive</x:v>
      </x:c>
    </x:row>
    <x:row r="8">
      <x:c r="A8" s="37" t="str">
        <x:v>Research</x:v>
      </x:c>
      <x:c r="B8" s="22" t="n">
        <x:v>4</x:v>
      </x:c>
      <x:c r="C8" s="67" t="n">
        <x:v>0.027777777777777776</x:v>
      </x:c>
      <x:c r="D8" s="22" t="str">
        <x:v>Market Hunt quality</x:v>
      </x:c>
      <x:c r="E8" s="67" t="n">
        <x:v>0.05</x:v>
      </x:c>
      <x:c r="F8" s="22" t="str">
        <x:v>Research, Data, Fund, Brokerage</x:v>
      </x:c>
      <x:c r="G8" s="22" t="str">
        <x:v>Prorated by footprint overlap</x:v>
      </x:c>
      <x:c r="H8" s="22" t="str">
        <x:v>No</x:v>
      </x:c>
      <x:c r="I8" s="22" t="str">
        <x:v>No</x:v>
      </x:c>
      <x:c r="J8" s="22" t="str">
        <x:v>Medium</x:v>
      </x:c>
      <x:c r="K8" s="22" t="str">
        <x:v>Later</x:v>
      </x:c>
      <x:c r="L8" s="38" t="str">
        <x:v>Never bypass funded reward pool</x:v>
      </x:c>
    </x:row>
    <x:row r="9">
      <x:c r="A9" s="37" t="str">
        <x:v>Event</x:v>
      </x:c>
      <x:c r="B9" s="22" t="n">
        <x:v>4</x:v>
      </x:c>
      <x:c r="C9" s="67" t="n">
        <x:v>0.027777777777777776</x:v>
      </x:c>
      <x:c r="D9" s="22" t="str">
        <x:v>Event mission progress</x:v>
      </x:c>
      <x:c r="E9" s="67" t="n">
        <x:v>0.04</x:v>
      </x:c>
      <x:c r="F9" s="22" t="str">
        <x:v>All</x:v>
      </x:c>
      <x:c r="G9" s="22" t="str">
        <x:v>Prorated by footprint overlap</x:v>
      </x:c>
      <x:c r="H9" s="22" t="str">
        <x:v>No</x:v>
      </x:c>
      <x:c r="I9" s="22" t="str">
        <x:v>No</x:v>
      </x:c>
      <x:c r="J9" s="22" t="str">
        <x:v>Medium</x:v>
      </x:c>
      <x:c r="K9" s="22" t="str">
        <x:v>Later</x:v>
      </x:c>
      <x:c r="L9" s="38" t="str">
        <x:v>Capped event benefit</x:v>
      </x:c>
    </x:row>
    <x:row r="10">
      <x:c r="A10" s="39" t="str">
        <x:v>Premium</x:v>
      </x:c>
      <x:c r="B10" s="40" t="n">
        <x:v>4</x:v>
      </x:c>
      <x:c r="C10" s="68" t="n">
        <x:v>0.027777777777777776</x:v>
      </x:c>
      <x:c r="D10" s="40" t="str">
        <x:v>Balanced operating efficiency</x:v>
      </x:c>
      <x:c r="E10" s="68" t="n">
        <x:v>0.02</x:v>
      </x:c>
      <x:c r="F10" s="40" t="str">
        <x:v>All</x:v>
      </x:c>
      <x:c r="G10" s="40" t="str">
        <x:v>Prorated by footprint overlap</x:v>
      </x:c>
      <x:c r="H10" s="40" t="str">
        <x:v>No</x:v>
      </x:c>
      <x:c r="I10" s="40" t="str">
        <x:v>No</x:v>
      </x:c>
      <x:c r="J10" s="40" t="str">
        <x:v>Low</x:v>
      </x:c>
      <x:c r="K10" s="40" t="str">
        <x:v>Later</x:v>
      </x:c>
      <x:c r="L10" s="41" t="str">
        <x:v>Prestige tile</x:v>
      </x:c>
    </x:row>
    <x:row r="12" ht="22" customHeight="1">
      <x:c r="A12" s="31" t="str">
        <x:v>Special Tile Fairness Rules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</x:row>
    <x:row r="13">
      <x:c r="A13" s="14" t="str">
        <x:v>Rule</x:v>
      </x:c>
      <x:c r="B13" s="14" t="str">
        <x:v>Specification</x:v>
      </x:c>
    </x:row>
    <x:row r="14">
      <x:c r="A14" s="34" t="str">
        <x:v>Fixed map layout</x:v>
      </x:c>
      <x:c r="B14" s="36" t="str">
        <x:v>Every base Plot uses a deterministic tile pattern or one of several balance-equivalent presets.</x:v>
      </x:c>
    </x:row>
    <x:row r="15">
      <x:c r="A15" s="37" t="str">
        <x:v>No pay-to-reroll terrain</x:v>
      </x:c>
      <x:c r="B15" s="38" t="str">
        <x:v>Players cannot purchase stronger tile seeds.</x:v>
      </x:c>
    </x:row>
    <x:row r="16">
      <x:c r="A16" s="37" t="str">
        <x:v>Prorated coverage</x:v>
      </x:c>
      <x:c r="B16" s="38" t="str">
        <x:v>For multi-tile buildings, bonus = eligible covered tiles ÷ total footprint × tile bonus.</x:v>
      </x:c>
    </x:row>
    <x:row r="17">
      <x:c r="A17" s="37" t="str">
        <x:v>Special tile cap</x:v>
      </x:c>
      <x:c r="B17" s="38" t="str">
        <x:v>A building's combined special-tile bonus cannot exceed the configured 5% cap.</x:v>
      </x:c>
    </x:row>
    <x:row r="18">
      <x:c r="A18" s="39" t="str">
        <x:v>No raw $PLOT bonus</x:v>
      </x:c>
      <x:c r="B18" s="41" t="str">
        <x:v>Special tiles affect underlying operation only; they never directly multiply weekly token payout.</x:v>
      </x:c>
    </x:row>
  </x:sheetData>
  <x:mergeCells>
    <x:mergeCell ref="A1:L1"/>
    <x:mergeCell ref="A12:L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2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District Composition Bonuses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22"/>
      <x:c r="P1" s="22"/>
      <x:c r="Q1" s="22"/>
    </x:row>
    <x:row r="3">
      <x:c r="A3" s="14" t="str">
        <x:v>District</x:v>
      </x:c>
      <x:c r="B3" s="14" t="str">
        <x:v>Required Active Families</x:v>
      </x:c>
      <x:c r="C3" s="14" t="str">
        <x:v>Minimum Buildings</x:v>
      </x:c>
      <x:c r="D3" s="14" t="str">
        <x:v>Maximum Same-Family Share</x:v>
      </x:c>
      <x:c r="E3" s="14" t="str">
        <x:v>Primary Bonus</x:v>
      </x:c>
      <x:c r="F3" s="14" t="str">
        <x:v>Primary %</x:v>
      </x:c>
      <x:c r="G3" s="14" t="str">
        <x:v>Secondary Bonus</x:v>
      </x:c>
      <x:c r="H3" s="14" t="str">
        <x:v>Secondary %</x:v>
      </x:c>
      <x:c r="I3" s="14" t="str">
        <x:v>Stage</x:v>
      </x:c>
      <x:c r="J3" s="14" t="str">
        <x:v>Radius / Scope</x:v>
      </x:c>
      <x:c r="K3" s="14" t="str">
        <x:v>Stackable?</x:v>
      </x:c>
      <x:c r="L3" s="14" t="str">
        <x:v>Performance Direct?</x:v>
      </x:c>
      <x:c r="M3" s="14" t="str">
        <x:v>Counterplay</x:v>
      </x:c>
      <x:c r="N3" s="14" t="str">
        <x:v>Design Intent</x:v>
      </x:c>
    </x:row>
    <x:row r="4">
      <x:c r="A4" s="34" t="str">
        <x:v>Retail Finance District</x:v>
      </x:c>
      <x:c r="B4" s="35" t="str">
        <x:v>Banking + Financial Services + Insurance</x:v>
      </x:c>
      <x:c r="C4" s="35" t="n">
        <x:v>4</x:v>
      </x:c>
      <x:c r="D4" s="66" t="n">
        <x:v>0.5</x:v>
      </x:c>
      <x:c r="E4" s="35" t="str">
        <x:v>Customer acquisition</x:v>
      </x:c>
      <x:c r="F4" s="66" t="n">
        <x:v>0.06</x:v>
      </x:c>
      <x:c r="G4" s="35" t="str">
        <x:v>Retention</x:v>
      </x:c>
      <x:c r="H4" s="66" t="n">
        <x:v>0.04</x:v>
      </x:c>
      <x:c r="I4" s="35" t="str">
        <x:v>Starter+</x:v>
      </x:c>
      <x:c r="J4" s="35" t="str">
        <x:v>Connected cluster radius 3</x:v>
      </x:c>
      <x:c r="K4" s="35" t="str">
        <x:v>No</x:v>
      </x:c>
      <x:c r="L4" s="35" t="str">
        <x:v>No</x:v>
      </x:c>
      <x:c r="M4" s="35" t="str">
        <x:v>Lower trading throughput</x:v>
      </x:c>
      <x:c r="N4" s="36" t="str">
        <x:v>Strong customer-service identity</x:v>
      </x:c>
    </x:row>
    <x:row r="5">
      <x:c r="A5" s="37" t="str">
        <x:v>Trading District</x:v>
      </x:c>
      <x:c r="B5" s="22" t="str">
        <x:v>Brokerage + Exchange/Trading + Research/Data</x:v>
      </x:c>
      <x:c r="C5" s="22" t="n">
        <x:v>4</x:v>
      </x:c>
      <x:c r="D5" s="67" t="n">
        <x:v>0.5</x:v>
      </x:c>
      <x:c r="E5" s="22" t="str">
        <x:v>Trading activity</x:v>
      </x:c>
      <x:c r="F5" s="67" t="n">
        <x:v>0.07</x:v>
      </x:c>
      <x:c r="G5" s="22" t="str">
        <x:v>Transaction capacity</x:v>
      </x:c>
      <x:c r="H5" s="67" t="n">
        <x:v>0.05</x:v>
      </x:c>
      <x:c r="I5" s="22" t="str">
        <x:v>Starter+</x:v>
      </x:c>
      <x:c r="J5" s="22" t="str">
        <x:v>Connected cluster radius 3</x:v>
      </x:c>
      <x:c r="K5" s="22" t="str">
        <x:v>No</x:v>
      </x:c>
      <x:c r="L5" s="22" t="str">
        <x:v>No</x:v>
      </x:c>
      <x:c r="M5" s="22" t="str">
        <x:v>Higher volatility/risk</x:v>
      </x:c>
      <x:c r="N5" s="38" t="str">
        <x:v>Active market identity</x:v>
      </x:c>
    </x:row>
    <x:row r="6">
      <x:c r="A6" s="37" t="str">
        <x:v>Investment District</x:v>
      </x:c>
      <x:c r="B6" s="22" t="str">
        <x:v>Fund/Asset Mgmt + Research/Data + Treasury/Vault</x:v>
      </x:c>
      <x:c r="C6" s="22" t="n">
        <x:v>4</x:v>
      </x:c>
      <x:c r="D6" s="67" t="n">
        <x:v>0.5</x:v>
      </x:c>
      <x:c r="E6" s="22" t="str">
        <x:v>AUM inflow</x:v>
      </x:c>
      <x:c r="F6" s="67" t="n">
        <x:v>0.06</x:v>
      </x:c>
      <x:c r="G6" s="22" t="str">
        <x:v>Capital efficiency</x:v>
      </x:c>
      <x:c r="H6" s="67" t="n">
        <x:v>0.05</x:v>
      </x:c>
      <x:c r="I6" s="22" t="str">
        <x:v>Growing+</x:v>
      </x:c>
      <x:c r="J6" s="22" t="str">
        <x:v>Connected cluster radius 3</x:v>
      </x:c>
      <x:c r="K6" s="22" t="str">
        <x:v>No</x:v>
      </x:c>
      <x:c r="L6" s="22" t="str">
        <x:v>No</x:v>
      </x:c>
      <x:c r="M6" s="22" t="str">
        <x:v>Less retail demand</x:v>
      </x:c>
      <x:c r="N6" s="38" t="str">
        <x:v>Long-term capital identity</x:v>
      </x:c>
    </x:row>
    <x:row r="7">
      <x:c r="A7" s="37" t="str">
        <x:v>Wealth District</x:v>
      </x:c>
      <x:c r="B7" s="22" t="str">
        <x:v>Wealth/Private + Banking + Fund/Asset Mgmt</x:v>
      </x:c>
      <x:c r="C7" s="22" t="n">
        <x:v>4</x:v>
      </x:c>
      <x:c r="D7" s="67" t="n">
        <x:v>0.5</x:v>
      </x:c>
      <x:c r="E7" s="22" t="str">
        <x:v>HNW conversion</x:v>
      </x:c>
      <x:c r="F7" s="67" t="n">
        <x:v>0.07</x:v>
      </x:c>
      <x:c r="G7" s="22" t="str">
        <x:v>Reputation gain</x:v>
      </x:c>
      <x:c r="H7" s="67" t="n">
        <x:v>0.03</x:v>
      </x:c>
      <x:c r="I7" s="22" t="str">
        <x:v>Growing+</x:v>
      </x:c>
      <x:c r="J7" s="22" t="str">
        <x:v>Connected cluster radius 3</x:v>
      </x:c>
      <x:c r="K7" s="22" t="str">
        <x:v>No</x:v>
      </x:c>
      <x:c r="L7" s="22" t="str">
        <x:v>No</x:v>
      </x:c>
      <x:c r="M7" s="22" t="str">
        <x:v>Lower mass-market throughput</x:v>
      </x:c>
      <x:c r="N7" s="38" t="str">
        <x:v>Premium customer identity</x:v>
      </x:c>
    </x:row>
    <x:row r="8">
      <x:c r="A8" s="37" t="str">
        <x:v>Liquidity District</x:v>
      </x:c>
      <x:c r="B8" s="22" t="str">
        <x:v>Exchange/Trading + Market Maker + Treasury/Vault</x:v>
      </x:c>
      <x:c r="C8" s="22" t="n">
        <x:v>4</x:v>
      </x:c>
      <x:c r="D8" s="67" t="n">
        <x:v>0.5</x:v>
      </x:c>
      <x:c r="E8" s="22" t="str">
        <x:v>Liquidity activity</x:v>
      </x:c>
      <x:c r="F8" s="67" t="n">
        <x:v>0.08</x:v>
      </x:c>
      <x:c r="G8" s="22" t="str">
        <x:v>Risk resilience</x:v>
      </x:c>
      <x:c r="H8" s="67" t="n">
        <x:v>0.04</x:v>
      </x:c>
      <x:c r="I8" s="22" t="str">
        <x:v>Growing+</x:v>
      </x:c>
      <x:c r="J8" s="22" t="str">
        <x:v>Connected cluster radius 3</x:v>
      </x:c>
      <x:c r="K8" s="22" t="str">
        <x:v>No</x:v>
      </x:c>
      <x:c r="L8" s="22" t="str">
        <x:v>No</x:v>
      </x:c>
      <x:c r="M8" s="22" t="str">
        <x:v>Requires specialist buildings</x:v>
      </x:c>
      <x:c r="N8" s="38" t="str">
        <x:v>Market infrastructure identity</x:v>
      </x:c>
    </x:row>
    <x:row r="9">
      <x:c r="A9" s="37" t="str">
        <x:v>Institutional District</x:v>
      </x:c>
      <x:c r="B9" s="22" t="str">
        <x:v>Investment Banking + Research/Data + Treasury/Vault</x:v>
      </x:c>
      <x:c r="C9" s="22" t="n">
        <x:v>4</x:v>
      </x:c>
      <x:c r="D9" s="67" t="n">
        <x:v>0.5</x:v>
      </x:c>
      <x:c r="E9" s="22" t="str">
        <x:v>Corporate opportunity</x:v>
      </x:c>
      <x:c r="F9" s="67" t="n">
        <x:v>0.07</x:v>
      </x:c>
      <x:c r="G9" s="22" t="str">
        <x:v>Institutional customers</x:v>
      </x:c>
      <x:c r="H9" s="67" t="n">
        <x:v>0.05</x:v>
      </x:c>
      <x:c r="I9" s="22" t="str">
        <x:v>Established+</x:v>
      </x:c>
      <x:c r="J9" s="22" t="str">
        <x:v>Connected cluster radius 4</x:v>
      </x:c>
      <x:c r="K9" s="22" t="str">
        <x:v>No</x:v>
      </x:c>
      <x:c r="L9" s="22" t="str">
        <x:v>No</x:v>
      </x:c>
      <x:c r="M9" s="22" t="str">
        <x:v>High Cash and reputation gates</x:v>
      </x:c>
      <x:c r="N9" s="38" t="str">
        <x:v>Corporate finance identity</x:v>
      </x:c>
    </x:row>
    <x:row r="10">
      <x:c r="A10" s="37" t="str">
        <x:v>Diversified Financial Center</x:v>
      </x:c>
      <x:c r="B10" s="22" t="str">
        <x:v>At least 5 distinct families</x:v>
      </x:c>
      <x:c r="C10" s="22" t="n">
        <x:v>6</x:v>
      </x:c>
      <x:c r="D10" s="67" t="n">
        <x:v>0.35</x:v>
      </x:c>
      <x:c r="E10" s="22" t="str">
        <x:v>Operating efficiency</x:v>
      </x:c>
      <x:c r="F10" s="67" t="n">
        <x:v>0.05</x:v>
      </x:c>
      <x:c r="G10" s="22" t="str">
        <x:v>Event resilience</x:v>
      </x:c>
      <x:c r="H10" s="67" t="n">
        <x:v>0.04</x:v>
      </x:c>
      <x:c r="I10" s="22" t="str">
        <x:v>Established+</x:v>
      </x:c>
      <x:c r="J10" s="22" t="str">
        <x:v>Whole base Plot</x:v>
      </x:c>
      <x:c r="K10" s="22" t="str">
        <x:v>No</x:v>
      </x:c>
      <x:c r="L10" s="22" t="str">
        <x:v>No</x:v>
      </x:c>
      <x:c r="M10" s="22" t="str">
        <x:v>Lower peak specialization bonus</x:v>
      </x:c>
      <x:c r="N10" s="38" t="str">
        <x:v>Balanced empire identity</x:v>
      </x:c>
    </x:row>
    <x:row r="11">
      <x:c r="A11" s="39" t="str">
        <x:v>Global Capital District</x:v>
      </x:c>
      <x:c r="B11" s="40" t="str">
        <x:v>At least 6 distinct families including 2 Elite/Tycoon institutions</x:v>
      </x:c>
      <x:c r="C11" s="40" t="n">
        <x:v>8</x:v>
      </x:c>
      <x:c r="D11" s="68" t="n">
        <x:v>0.35</x:v>
      </x:c>
      <x:c r="E11" s="40" t="str">
        <x:v>Institutional activity</x:v>
      </x:c>
      <x:c r="F11" s="68" t="n">
        <x:v>0.06</x:v>
      </x:c>
      <x:c r="G11" s="40" t="str">
        <x:v>Reputation</x:v>
      </x:c>
      <x:c r="H11" s="68" t="n">
        <x:v>0.04</x:v>
      </x:c>
      <x:c r="I11" s="40" t="str">
        <x:v>Elite+</x:v>
      </x:c>
      <x:c r="J11" s="40" t="str">
        <x:v>Merged territory or whole Plot</x:v>
      </x:c>
      <x:c r="K11" s="40" t="str">
        <x:v>No</x:v>
      </x:c>
      <x:c r="L11" s="40" t="str">
        <x:v>No</x:v>
      </x:c>
      <x:c r="M11" s="40" t="str">
        <x:v>Large space requirement</x:v>
      </x:c>
      <x:c r="N11" s="41" t="str">
        <x:v>Endgame diversified prestige</x:v>
      </x:c>
    </x:row>
  </x:sheetData>
  <x:mergeCells>
    <x:mergeCell ref="A1:N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0" hidden="0" customWidth="1"/>
    <x:col min="13" max="13" width="3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Relocation, Upgrade &amp; Placement Lifecycle Rules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22"/>
      <x:c r="O1" s="22"/>
      <x:c r="P1" s="22"/>
      <x:c r="Q1" s="22"/>
    </x:row>
    <x:row r="3">
      <x:c r="A3" s="14" t="str">
        <x:v>Action</x:v>
      </x:c>
      <x:c r="B3" s="14" t="str">
        <x:v>Availability</x:v>
      </x:c>
      <x:c r="C3" s="14" t="str">
        <x:v>Cost</x:v>
      </x:c>
      <x:c r="D3" s="14" t="str">
        <x:v>Downtime</x:v>
      </x:c>
      <x:c r="E3" s="14" t="str">
        <x:v>Synergy State During Action</x:v>
      </x:c>
      <x:c r="F3" s="14" t="str">
        <x:v>Customer Impact</x:v>
      </x:c>
      <x:c r="G3" s="14" t="str">
        <x:v>Event Restriction</x:v>
      </x:c>
      <x:c r="H3" s="14" t="str">
        <x:v>XP Impact</x:v>
      </x:c>
      <x:c r="I3" s="14" t="str">
        <x:v>Footprint Change</x:v>
      </x:c>
      <x:c r="J3" s="14" t="str">
        <x:v>Refund</x:v>
      </x:c>
      <x:c r="K3" s="14" t="str">
        <x:v>Abuse Risk</x:v>
      </x:c>
      <x:c r="L3" s="14" t="str">
        <x:v>Rule</x:v>
      </x:c>
      <x:c r="M3" s="14" t="str">
        <x:v>Notes</x:v>
      </x:c>
    </x:row>
    <x:row r="4">
      <x:c r="A4" s="34" t="str">
        <x:v>Initial placement</x:v>
      </x:c>
      <x:c r="B4" s="35" t="str">
        <x:v>After blueprint unlock</x:v>
      </x:c>
      <x:c r="C4" s="35" t="str">
        <x:v>Construction cost</x:v>
      </x:c>
      <x:c r="D4" s="35" t="str">
        <x:v>Build timer / instant for MVP</x:v>
      </x:c>
      <x:c r="E4" s="35" t="str">
        <x:v>Activates after placement completes</x:v>
      </x:c>
      <x:c r="F4" s="35" t="str">
        <x:v>Capacity begins after activation</x:v>
      </x:c>
      <x:c r="G4" s="35" t="str">
        <x:v>Allowed</x:v>
      </x:c>
      <x:c r="H4" s="35" t="str">
        <x:v>Normal placement XP only</x:v>
      </x:c>
      <x:c r="I4" s="35" t="str">
        <x:v>No</x:v>
      </x:c>
      <x:c r="J4" s="35" t="str">
        <x:v>N/A</x:v>
      </x:c>
      <x:c r="K4" s="35" t="str">
        <x:v>Low</x:v>
      </x:c>
      <x:c r="L4" s="35" t="str">
        <x:v>Confirm once</x:v>
      </x:c>
      <x:c r="M4" s="36" t="str"/>
    </x:row>
    <x:row r="5">
      <x:c r="A5" s="37" t="str">
        <x:v>Rotate before placement</x:v>
      </x:c>
      <x:c r="B5" s="22" t="str">
        <x:v>Build Mode</x:v>
      </x:c>
      <x:c r="C5" s="22" t="str">
        <x:v>Free</x:v>
      </x:c>
      <x:c r="D5" s="22" t="str">
        <x:v>None</x:v>
      </x:c>
      <x:c r="E5" s="22" t="str">
        <x:v>Not active yet</x:v>
      </x:c>
      <x:c r="F5" s="22" t="str">
        <x:v>None</x:v>
      </x:c>
      <x:c r="G5" s="22" t="str">
        <x:v>Allowed</x:v>
      </x:c>
      <x:c r="H5" s="22" t="str">
        <x:v>None</x:v>
      </x:c>
      <x:c r="I5" s="22" t="str">
        <x:v>Orientation only</x:v>
      </x:c>
      <x:c r="J5" s="22" t="str">
        <x:v>N/A</x:v>
      </x:c>
      <x:c r="K5" s="22" t="str">
        <x:v>Low</x:v>
      </x:c>
      <x:c r="L5" s="22" t="str">
        <x:v>Unlimited before confirm</x:v>
      </x:c>
      <x:c r="M5" s="38" t="str"/>
    </x:row>
    <x:row r="6">
      <x:c r="A6" s="37" t="str">
        <x:v>Move within first 24h</x:v>
      </x:c>
      <x:c r="B6" s="22" t="str">
        <x:v>First 24h after build</x:v>
      </x:c>
      <x:c r="C6" s="22" t="str">
        <x:v>Free</x:v>
      </x:c>
      <x:c r="D6" s="22" t="str">
        <x:v>None</x:v>
      </x:c>
      <x:c r="E6" s="22" t="str">
        <x:v>Recomputed immediately</x:v>
      </x:c>
      <x:c r="F6" s="22" t="str">
        <x:v>No loss</x:v>
      </x:c>
      <x:c r="G6" s="22" t="str">
        <x:v>Blocked only during protected settlement</x:v>
      </x:c>
      <x:c r="H6" s="22" t="str">
        <x:v>No XP</x:v>
      </x:c>
      <x:c r="I6" s="22" t="str">
        <x:v>No</x:v>
      </x:c>
      <x:c r="J6" s="22" t="str">
        <x:v>N/A</x:v>
      </x:c>
      <x:c r="K6" s="22" t="str">
        <x:v>Medium</x:v>
      </x:c>
      <x:c r="L6" s="22" t="str">
        <x:v>One free-placement grace window</x:v>
      </x:c>
      <x:c r="M6" s="38" t="str"/>
    </x:row>
    <x:row r="7">
      <x:c r="A7" s="37" t="str">
        <x:v>Standard relocation</x:v>
      </x:c>
      <x:c r="B7" s="22" t="str">
        <x:v>After 24h</x:v>
      </x:c>
      <x:c r="C7" s="22" t="str">
        <x:v>5% current build value</x:v>
      </x:c>
      <x:c r="D7" s="22" t="str">
        <x:v>15 min</x:v>
      </x:c>
      <x:c r="E7" s="22" t="str">
        <x:v>Disabled during move</x:v>
      </x:c>
      <x:c r="F7" s="22" t="str">
        <x:v>Temporary service pause</x:v>
      </x:c>
      <x:c r="G7" s="22" t="str">
        <x:v>Blocked by affected event move lock</x:v>
      </x:c>
      <x:c r="H7" s="22" t="str">
        <x:v>No XP</x:v>
      </x:c>
      <x:c r="I7" s="22" t="str">
        <x:v>No</x:v>
      </x:c>
      <x:c r="J7" s="22" t="str">
        <x:v>None</x:v>
      </x:c>
      <x:c r="K7" s="22" t="str">
        <x:v>High</x:v>
      </x:c>
      <x:c r="L7" s="22" t="str">
        <x:v>Server records origin/destination</x:v>
      </x:c>
      <x:c r="M7" s="38" t="str"/>
    </x:row>
    <x:row r="8">
      <x:c r="A8" s="37" t="str">
        <x:v>Upgrade</x:v>
      </x:c>
      <x:c r="B8" s="22" t="str">
        <x:v>Any active building meeting requirements</x:v>
      </x:c>
      <x:c r="C8" s="22" t="str">
        <x:v>Upgrade cost</x:v>
      </x:c>
      <x:c r="D8" s="22" t="str">
        <x:v>Upgrade timer</x:v>
      </x:c>
      <x:c r="E8" s="22" t="str">
        <x:v>Existing links remain</x:v>
      </x:c>
      <x:c r="F8" s="22" t="str">
        <x:v>Capacity may temporarily pause</x:v>
      </x:c>
      <x:c r="G8" s="22" t="str">
        <x:v>Allowed unless event-specific lock</x:v>
      </x:c>
      <x:c r="H8" s="22" t="str">
        <x:v>Upgrade XP once</x:v>
      </x:c>
      <x:c r="I8" s="22" t="str">
        <x:v>No</x:v>
      </x:c>
      <x:c r="J8" s="22" t="str">
        <x:v>N/A</x:v>
      </x:c>
      <x:c r="K8" s="22" t="str">
        <x:v>Low</x:v>
      </x:c>
      <x:c r="L8" s="22" t="str">
        <x:v>Footprint fixed</x:v>
      </x:c>
      <x:c r="M8" s="38" t="str"/>
    </x:row>
    <x:row r="9">
      <x:c r="A9" s="37" t="str">
        <x:v>Specialization change</x:v>
      </x:c>
      <x:c r="B9" s="22" t="str">
        <x:v>If specialization exists</x:v>
      </x:c>
      <x:c r="C9" s="22" t="str">
        <x:v>Respec fee</x:v>
      </x:c>
      <x:c r="D9" s="22" t="str">
        <x:v>30 min</x:v>
      </x:c>
      <x:c r="E9" s="22" t="str">
        <x:v>Recomputed</x:v>
      </x:c>
      <x:c r="F9" s="22" t="str">
        <x:v>Temporary pause</x:v>
      </x:c>
      <x:c r="G9" s="22" t="str">
        <x:v>Not during active competitive event</x:v>
      </x:c>
      <x:c r="H9" s="22" t="str">
        <x:v>No repeated XP</x:v>
      </x:c>
      <x:c r="I9" s="22" t="str">
        <x:v>No</x:v>
      </x:c>
      <x:c r="J9" s="22" t="str">
        <x:v>None</x:v>
      </x:c>
      <x:c r="K9" s="22" t="str">
        <x:v>Medium</x:v>
      </x:c>
      <x:c r="L9" s="22" t="str">
        <x:v>Cooldown recommended</x:v>
      </x:c>
      <x:c r="M9" s="38" t="str">
        <x:v>Later system</x:v>
      </x:c>
    </x:row>
    <x:row r="10">
      <x:c r="A10" s="37" t="str">
        <x:v>Demolish</x:v>
      </x:c>
      <x:c r="B10" s="22" t="str">
        <x:v>Allowed if not protected</x:v>
      </x:c>
      <x:c r="C10" s="22" t="str">
        <x:v>None</x:v>
      </x:c>
      <x:c r="D10" s="22" t="str">
        <x:v>Immediate</x:v>
      </x:c>
      <x:c r="E10" s="22" t="str">
        <x:v>Links removed</x:v>
      </x:c>
      <x:c r="F10" s="22" t="str">
        <x:v>Customers reallocate / churn risk</x:v>
      </x:c>
      <x:c r="G10" s="22" t="str">
        <x:v>Blocked during ownership transfer</x:v>
      </x:c>
      <x:c r="H10" s="22" t="str">
        <x:v>No XP</x:v>
      </x:c>
      <x:c r="I10" s="22" t="str">
        <x:v>N/A</x:v>
      </x:c>
      <x:c r="J10" s="22" t="str">
        <x:v>Configured salvage</x:v>
      </x:c>
      <x:c r="K10" s="22" t="str">
        <x:v>High</x:v>
      </x:c>
      <x:c r="L10" s="22" t="str">
        <x:v>No re-farming milestone rewards</x:v>
      </x:c>
      <x:c r="M10" s="38" t="str"/>
    </x:row>
    <x:row r="11">
      <x:c r="A11" s="39" t="str">
        <x:v>Sell card</x:v>
      </x:c>
      <x:c r="B11" s="40" t="str">
        <x:v>If marketplace enabled</x:v>
      </x:c>
      <x:c r="C11" s="40" t="str">
        <x:v>Market fee</x:v>
      </x:c>
      <x:c r="D11" s="40" t="str">
        <x:v>Immediate after settlement</x:v>
      </x:c>
      <x:c r="E11" s="40" t="str">
        <x:v>Links removed</x:v>
      </x:c>
      <x:c r="F11" s="40" t="str">
        <x:v>Customers reallocate</x:v>
      </x:c>
      <x:c r="G11" s="40" t="str">
        <x:v>Blocked during active settlement</x:v>
      </x:c>
      <x:c r="H11" s="40" t="str">
        <x:v>No XP</x:v>
      </x:c>
      <x:c r="I11" s="40" t="str">
        <x:v>N/A</x:v>
      </x:c>
      <x:c r="J11" s="40" t="str">
        <x:v>Market proceeds</x:v>
      </x:c>
      <x:c r="K11" s="40" t="str">
        <x:v>High</x:v>
      </x:c>
      <x:c r="L11" s="40" t="str">
        <x:v>Server settlement</x:v>
      </x:c>
      <x:c r="M11" s="41" t="str">
        <x:v>Later</x:v>
      </x:c>
    </x:row>
    <x:row r="13" ht="22" customHeight="1">
      <x:c r="A13" s="31" t="str">
        <x:v>Upgrade Footprint Principle</x:v>
      </x:c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</x:row>
    <x:row r="14">
      <x:c r="A14" s="74" t="str">
        <x:v>A building upgrade must not increase its footprint in v0.1. Visual evolution happens inside the same card boundary. If a later design needs an annex or expansion wing, that should be a separate optional support card rather than silently consuming neighboring tiles.</x:v>
      </x:c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</x:sheetData>
  <x:mergeCells>
    <x:mergeCell ref="A1:M1"/>
    <x:mergeCell ref="A13:M13"/>
    <x:mergeCell ref="A14:M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Placement Efficiency Score — Diagnostic Only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22"/>
      <x:c r="M1" s="22"/>
      <x:c r="N1" s="22"/>
      <x:c r="O1" s="22"/>
      <x:c r="P1" s="22"/>
      <x:c r="Q1" s="22"/>
    </x:row>
    <x:row r="3">
      <x:c r="A3" s="14" t="str">
        <x:v>Component</x:v>
      </x:c>
      <x:c r="B3" s="14" t="str">
        <x:v>Weight</x:v>
      </x:c>
      <x:c r="C3" s="14" t="str">
        <x:v>Player Metric</x:v>
      </x:c>
      <x:c r="D3" s="14" t="str">
        <x:v>0 Score</x:v>
      </x:c>
      <x:c r="E3" s="14" t="str">
        <x:v>50 Score</x:v>
      </x:c>
      <x:c r="F3" s="14" t="str">
        <x:v>100 Score</x:v>
      </x:c>
      <x:c r="G3" s="14" t="str">
        <x:v>Formula Concept</x:v>
      </x:c>
      <x:c r="H3" s="14" t="str">
        <x:v>Direct Performance Score?</x:v>
      </x:c>
      <x:c r="I3" s="14" t="str">
        <x:v>Why</x:v>
      </x:c>
      <x:c r="J3" s="14" t="str">
        <x:v>Common Failure</x:v>
      </x:c>
      <x:c r="K3" s="14" t="str">
        <x:v>Improvement</x:v>
      </x:c>
    </x:row>
    <x:row r="4">
      <x:c r="A4" s="34" t="str">
        <x:v>Synergy Coverage</x:v>
      </x:c>
      <x:c r="B4" s="66" t="n">
        <x:v>0.35</x:v>
      </x:c>
      <x:c r="C4" s="35" t="str">
        <x:v>% eligible buildings with at least one useful link</x:v>
      </x:c>
      <x:c r="D4" s="35" t="str">
        <x:v>0%</x:v>
      </x:c>
      <x:c r="E4" s="35" t="str">
        <x:v>50%</x:v>
      </x:c>
      <x:c r="F4" s="35" t="str">
        <x:v>90%+</x:v>
      </x:c>
      <x:c r="G4" s="35" t="str">
        <x:v>MIN(100, coverage/90%×100)</x:v>
      </x:c>
      <x:c r="H4" s="35" t="str">
        <x:v>No</x:v>
      </x:c>
      <x:c r="I4" s="35" t="str">
        <x:v>Measures logical connections</x:v>
      </x:c>
      <x:c r="J4" s="35" t="str">
        <x:v>Isolated institutions</x:v>
      </x:c>
      <x:c r="K4" s="36" t="str">
        <x:v>Rearrange into functional clusters</x:v>
      </x:c>
    </x:row>
    <x:row r="5">
      <x:c r="A5" s="37" t="str">
        <x:v>Infrastructure Coverage</x:v>
      </x:c>
      <x:c r="B5" s="67" t="n">
        <x:v>0.25</x:v>
      </x:c>
      <x:c r="C5" s="22" t="str">
        <x:v>% capacity-heavy buildings covered by support</x:v>
      </x:c>
      <x:c r="D5" s="22" t="str">
        <x:v>0%</x:v>
      </x:c>
      <x:c r="E5" s="22" t="str">
        <x:v>50%</x:v>
      </x:c>
      <x:c r="F5" s="22" t="str">
        <x:v>95%+</x:v>
      </x:c>
      <x:c r="G5" s="22" t="str">
        <x:v>MIN(100, coverage/95%×100)</x:v>
      </x:c>
      <x:c r="H5" s="22" t="str">
        <x:v>No</x:v>
      </x:c>
      <x:c r="I5" s="22" t="str">
        <x:v>Rewards Data/Treasury/Research support</x:v>
      </x:c>
      <x:c r="J5" s="22" t="str">
        <x:v>High throughput without support</x:v>
      </x:c>
      <x:c r="K5" s="38" t="str">
        <x:v>Add/relocate support buildings</x:v>
      </x:c>
    </x:row>
    <x:row r="6">
      <x:c r="A6" s="37" t="str">
        <x:v>Congestion Health</x:v>
      </x:c>
      <x:c r="B6" s="67" t="n">
        <x:v>0.2</x:v>
      </x:c>
      <x:c r="C6" s="22" t="str">
        <x:v>1 - normalized congestion penalties</x:v>
      </x:c>
      <x:c r="D6" s="22" t="str">
        <x:v>Heavy congestion</x:v>
      </x:c>
      <x:c r="E6" s="22" t="str">
        <x:v>Moderate</x:v>
      </x:c>
      <x:c r="F6" s="22" t="str">
        <x:v>No meaningful penalties</x:v>
      </x:c>
      <x:c r="G6" s="22" t="str">
        <x:v>100 - penalty index</x:v>
      </x:c>
      <x:c r="H6" s="22" t="str">
        <x:v>No</x:v>
      </x:c>
      <x:c r="I6" s="22" t="str">
        <x:v>Discourages overpacking</x:v>
      </x:c>
      <x:c r="J6" s="22" t="str">
        <x:v>Dense customer cluster</x:v>
      </x:c>
      <x:c r="K6" s="38" t="str">
        <x:v>Spread or add support</x:v>
      </x:c>
    </x:row>
    <x:row r="7">
      <x:c r="A7" s="37" t="str">
        <x:v>Space Efficiency</x:v>
      </x:c>
      <x:c r="B7" s="67" t="n">
        <x:v>0.1</x:v>
      </x:c>
      <x:c r="C7" s="22" t="str">
        <x:v>Useful occupied tiles / total occupied tiles</x:v>
      </x:c>
      <x:c r="D7" s="22" t="str">
        <x:v>Low</x:v>
      </x:c>
      <x:c r="E7" s="22" t="str">
        <x:v>Balanced</x:v>
      </x:c>
      <x:c r="F7" s="22" t="str">
        <x:v>High</x:v>
      </x:c>
      <x:c r="G7" s="22" t="str">
        <x:v>Productive tiles / occupied tiles</x:v>
      </x:c>
      <x:c r="H7" s="22" t="str">
        <x:v>No</x:v>
      </x:c>
      <x:c r="I7" s="22" t="str">
        <x:v>Avoids waste without forcing max density</x:v>
      </x:c>
      <x:c r="J7" s="22" t="str">
        <x:v>Oversized weak layout</x:v>
      </x:c>
      <x:c r="K7" s="38" t="str">
        <x:v>Upgrade productivity or relocate</x:v>
      </x:c>
    </x:row>
    <x:row r="8">
      <x:c r="A8" s="39" t="str">
        <x:v>Diversification</x:v>
      </x:c>
      <x:c r="B8" s="68" t="n">
        <x:v>0.1</x:v>
      </x:c>
      <x:c r="C8" s="40" t="str">
        <x:v>Distinct relevant families vs stage target</x:v>
      </x:c>
      <x:c r="D8" s="40" t="str">
        <x:v>1 family</x:v>
      </x:c>
      <x:c r="E8" s="40" t="str">
        <x:v>Half target</x:v>
      </x:c>
      <x:c r="F8" s="40" t="str">
        <x:v>Target+</x:v>
      </x:c>
      <x:c r="G8" s="40" t="str">
        <x:v>MIN(100, families/target×100)</x:v>
      </x:c>
      <x:c r="H8" s="40" t="str">
        <x:v>No</x:v>
      </x:c>
      <x:c r="I8" s="40" t="str">
        <x:v>Supports multiple viable districts</x:v>
      </x:c>
      <x:c r="J8" s="40" t="str">
        <x:v>Single-family spam</x:v>
      </x:c>
      <x:c r="K8" s="41" t="str">
        <x:v>Add complementary family</x:v>
      </x:c>
    </x:row>
    <x:row r="10" ht="22" customHeight="1">
      <x:c r="A10" s="31" t="str">
        <x:v>Example Board Diagnostic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</x:row>
    <x:row r="11">
      <x:c r="A11" s="14" t="str">
        <x:v>Stage</x:v>
      </x:c>
      <x:c r="B11" s="14" t="str">
        <x:v>Synergy Coverage</x:v>
      </x:c>
      <x:c r="C11" s="14" t="str">
        <x:v>Infrastructure Coverage</x:v>
      </x:c>
      <x:c r="D11" s="14" t="str">
        <x:v>Congestion Health</x:v>
      </x:c>
      <x:c r="E11" s="14" t="str">
        <x:v>Space Efficiency</x:v>
      </x:c>
      <x:c r="F11" s="14" t="str">
        <x:v>Diversification</x:v>
      </x:c>
      <x:c r="G11" s="14" t="str">
        <x:v>Placement Score</x:v>
      </x:c>
      <x:c r="H11" s="14" t="str">
        <x:v>Interpretation</x:v>
      </x:c>
    </x:row>
    <x:row r="12">
      <x:c r="A12" s="34" t="str">
        <x:v>Humble</x:v>
      </x:c>
      <x:c r="B12" s="66" t="n">
        <x:v>0.55</x:v>
      </x:c>
      <x:c r="C12" s="66" t="n">
        <x:v>0.4</x:v>
      </x:c>
      <x:c r="D12" s="66" t="n">
        <x:v>0.95</x:v>
      </x:c>
      <x:c r="E12" s="66" t="n">
        <x:v>0.75</x:v>
      </x:c>
      <x:c r="F12" s="66" t="n">
        <x:v>0.6</x:v>
      </x:c>
      <x:c r="G12" s="78" t="n">
        <x:f>(B12*35+C12*25+D12*20+E12*10+F12*10)</x:f>
        <x:v>61.75</x:v>
      </x:c>
      <x:c r="H12" s="36" t="str">
        <x:v>Healthy early board</x:v>
      </x:c>
    </x:row>
    <x:row r="13">
      <x:c r="A13" s="37" t="str">
        <x:v>Growing</x:v>
      </x:c>
      <x:c r="B13" s="67" t="n">
        <x:v>0.72</x:v>
      </x:c>
      <x:c r="C13" s="67" t="n">
        <x:v>0.68</x:v>
      </x:c>
      <x:c r="D13" s="67" t="n">
        <x:v>0.88</x:v>
      </x:c>
      <x:c r="E13" s="67" t="n">
        <x:v>0.82</x:v>
      </x:c>
      <x:c r="F13" s="67" t="n">
        <x:v>0.8</x:v>
      </x:c>
      <x:c r="G13" s="79" t="n">
        <x:f>(B13*35+C13*25+D13*20+E13*10+F13*10)</x:f>
        <x:v>76</x:v>
      </x:c>
      <x:c r="H13" s="38" t="str">
        <x:v>Strong mixed district</x:v>
      </x:c>
    </x:row>
    <x:row r="14">
      <x:c r="A14" s="37" t="str">
        <x:v>Established</x:v>
      </x:c>
      <x:c r="B14" s="67" t="n">
        <x:v>0.8</x:v>
      </x:c>
      <x:c r="C14" s="67" t="n">
        <x:v>0.78</x:v>
      </x:c>
      <x:c r="D14" s="67" t="n">
        <x:v>0.82</x:v>
      </x:c>
      <x:c r="E14" s="67" t="n">
        <x:v>0.86</x:v>
      </x:c>
      <x:c r="F14" s="67" t="n">
        <x:v>0.9</x:v>
      </x:c>
      <x:c r="G14" s="79" t="n">
        <x:f>(B14*35+C14*25+D14*20+E14*10+F14*10)</x:f>
        <x:v>81.5</x:v>
      </x:c>
      <x:c r="H14" s="38" t="str">
        <x:v>Institutional board with some congestion</x:v>
      </x:c>
    </x:row>
    <x:row r="15">
      <x:c r="A15" s="39" t="str">
        <x:v>Tycoon</x:v>
      </x:c>
      <x:c r="B15" s="68" t="n">
        <x:v>0.86</x:v>
      </x:c>
      <x:c r="C15" s="68" t="n">
        <x:v>0.9</x:v>
      </x:c>
      <x:c r="D15" s="68" t="n">
        <x:v>0.75</x:v>
      </x:c>
      <x:c r="E15" s="68" t="n">
        <x:v>0.9</x:v>
      </x:c>
      <x:c r="F15" s="68" t="n">
        <x:v>1</x:v>
      </x:c>
      <x:c r="G15" s="80" t="n">
        <x:f>(B15*35+C15*25+D15*20+E15*10+F15*10)</x:f>
        <x:v>86.6</x:v>
      </x:c>
      <x:c r="H15" s="41" t="str">
        <x:v>Dense endgame board; congestion needs management</x:v>
      </x:c>
    </x:row>
  </x:sheetData>
  <x:mergeCells>
    <x:mergeCell ref="A1:K1"/>
    <x:mergeCell ref="A10:K1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6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12×12 Board Capacity Simulations by Stage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22"/>
      <x:c r="P1" s="22"/>
      <x:c r="Q1" s="22"/>
    </x:row>
    <x:row r="3">
      <x:c r="A3" s="14" t="str">
        <x:v>Scenario</x:v>
      </x:c>
      <x:c r="B3" s="14" t="str">
        <x:v>Stage</x:v>
      </x:c>
      <x:c r="C3" s="14" t="str">
        <x:v>Buildings</x:v>
      </x:c>
      <x:c r="D3" s="14" t="str">
        <x:v>Tiles Used</x:v>
      </x:c>
      <x:c r="E3" s="14" t="str">
        <x:v>Occupancy</x:v>
      </x:c>
      <x:c r="F3" s="14" t="str">
        <x:v>Free Tiles</x:v>
      </x:c>
      <x:c r="G3" s="14" t="str">
        <x:v>Direct Links</x:v>
      </x:c>
      <x:c r="H3" s="14" t="str">
        <x:v>Support Links</x:v>
      </x:c>
      <x:c r="I3" s="14" t="str">
        <x:v>District Bonus</x:v>
      </x:c>
      <x:c r="J3" s="14" t="str">
        <x:v>Gross Placement Bonus</x:v>
      </x:c>
      <x:c r="K3" s="14" t="str">
        <x:v>Congestion Penalty</x:v>
      </x:c>
      <x:c r="L3" s="14" t="str">
        <x:v>Net Placement Effect</x:v>
      </x:c>
      <x:c r="M3" s="14" t="str">
        <x:v>Largest Footprint</x:v>
      </x:c>
      <x:c r="N3" s="14" t="str">
        <x:v>Design Interpretation</x:v>
      </x:c>
    </x:row>
    <x:row r="4">
      <x:c r="A4" s="34" t="str">
        <x:v>Early kiosk board</x:v>
      </x:c>
      <x:c r="B4" s="35" t="str">
        <x:v>Humble</x:v>
      </x:c>
      <x:c r="C4" s="60" t="n">
        <x:v>6</x:v>
      </x:c>
      <x:c r="D4" s="60" t="n">
        <x:v>7</x:v>
      </x:c>
      <x:c r="E4" s="66" t="n">
        <x:f>D4/144</x:f>
        <x:v>0.04861111111111111</x:v>
      </x:c>
      <x:c r="F4" s="60" t="n">
        <x:f>144-D4</x:f>
        <x:v>137</x:v>
      </x:c>
      <x:c r="G4" s="60" t="n">
        <x:v>4</x:v>
      </x:c>
      <x:c r="H4" s="60" t="n">
        <x:v>1</x:v>
      </x:c>
      <x:c r="I4" s="60" t="str">
        <x:v>None</x:v>
      </x:c>
      <x:c r="J4" s="66" t="n">
        <x:v>0.05</x:v>
      </x:c>
      <x:c r="K4" s="66" t="n">
        <x:v>0</x:v>
      </x:c>
      <x:c r="L4" s="66" t="n">
        <x:f>J4+K4</x:f>
        <x:v>0.05</x:v>
      </x:c>
      <x:c r="M4" s="35" t="str">
        <x:v>1×2</x:v>
      </x:c>
      <x:c r="N4" s="36" t="str">
        <x:v>Intentionally sparse; player learns basic adjacency</x:v>
      </x:c>
    </x:row>
    <x:row r="5">
      <x:c r="A5" s="37" t="str">
        <x:v>Humble graduation</x:v>
      </x:c>
      <x:c r="B5" s="22" t="str">
        <x:v>Humble</x:v>
      </x:c>
      <x:c r="C5" s="61" t="n">
        <x:v>9</x:v>
      </x:c>
      <x:c r="D5" s="61" t="n">
        <x:v>11</x:v>
      </x:c>
      <x:c r="E5" s="67" t="n">
        <x:f>D5/144</x:f>
        <x:v>0.0763888888888889</x:v>
      </x:c>
      <x:c r="F5" s="61" t="n">
        <x:f>144-D5</x:f>
        <x:v>133</x:v>
      </x:c>
      <x:c r="G5" s="61" t="n">
        <x:v>7</x:v>
      </x:c>
      <x:c r="H5" s="61" t="n">
        <x:v>2</x:v>
      </x:c>
      <x:c r="I5" s="61" t="str">
        <x:v>None</x:v>
      </x:c>
      <x:c r="J5" s="67" t="n">
        <x:v>0.08</x:v>
      </x:c>
      <x:c r="K5" s="67" t="n">
        <x:v>0</x:v>
      </x:c>
      <x:c r="L5" s="67" t="n">
        <x:f>J5+K5</x:f>
        <x:v>0.08</x:v>
      </x:c>
      <x:c r="M5" s="22" t="str">
        <x:v>1×2</x:v>
      </x:c>
      <x:c r="N5" s="38" t="str">
        <x:v>Still open, clear visual progression</x:v>
      </x:c>
    </x:row>
    <x:row r="6">
      <x:c r="A6" s="37" t="str">
        <x:v>Starter finance strip</x:v>
      </x:c>
      <x:c r="B6" s="22" t="str">
        <x:v>Starter</x:v>
      </x:c>
      <x:c r="C6" s="61" t="n">
        <x:v>11</x:v>
      </x:c>
      <x:c r="D6" s="61" t="n">
        <x:v>24</x:v>
      </x:c>
      <x:c r="E6" s="67" t="n">
        <x:f>D6/144</x:f>
        <x:v>0.16666666666666666</x:v>
      </x:c>
      <x:c r="F6" s="61" t="n">
        <x:f>144-D6</x:f>
        <x:v>120</x:v>
      </x:c>
      <x:c r="G6" s="61" t="n">
        <x:v>10</x:v>
      </x:c>
      <x:c r="H6" s="61" t="n">
        <x:v>4</x:v>
      </x:c>
      <x:c r="I6" s="61" t="str">
        <x:v>Retail Finance</x:v>
      </x:c>
      <x:c r="J6" s="67" t="n">
        <x:v>0.12</x:v>
      </x:c>
      <x:c r="K6" s="67" t="n">
        <x:v>-0.02</x:v>
      </x:c>
      <x:c r="L6" s="67" t="n">
        <x:f>J6+K6</x:f>
        <x:v>0.09999999999999999</x:v>
      </x:c>
      <x:c r="M6" s="22" t="str">
        <x:v>2×2</x:v>
      </x:c>
      <x:c r="N6" s="38" t="str">
        <x:v>First meaningful cluster planning</x:v>
      </x:c>
    </x:row>
    <x:row r="7">
      <x:c r="A7" s="37" t="str">
        <x:v>Growing trading district</x:v>
      </x:c>
      <x:c r="B7" s="22" t="str">
        <x:v>Growing</x:v>
      </x:c>
      <x:c r="C7" s="61" t="n">
        <x:v>13</x:v>
      </x:c>
      <x:c r="D7" s="61" t="n">
        <x:v>43</x:v>
      </x:c>
      <x:c r="E7" s="67" t="n">
        <x:f>D7/144</x:f>
        <x:v>0.2986111111111111</x:v>
      </x:c>
      <x:c r="F7" s="61" t="n">
        <x:f>144-D7</x:f>
        <x:v>101</x:v>
      </x:c>
      <x:c r="G7" s="61" t="n">
        <x:v>14</x:v>
      </x:c>
      <x:c r="H7" s="61" t="n">
        <x:v>7</x:v>
      </x:c>
      <x:c r="I7" s="61" t="str">
        <x:v>Trading District</x:v>
      </x:c>
      <x:c r="J7" s="67" t="n">
        <x:v>0.17</x:v>
      </x:c>
      <x:c r="K7" s="67" t="n">
        <x:v>-0.04</x:v>
      </x:c>
      <x:c r="L7" s="67" t="n">
        <x:f>J7+K7</x:f>
        <x:v>0.13</x:v>
      </x:c>
      <x:c r="M7" s="22" t="str">
        <x:v>2×3</x:v>
      </x:c>
      <x:c r="N7" s="38" t="str">
        <x:v>Infrastructure begins competing for space</x:v>
      </x:c>
    </x:row>
    <x:row r="8">
      <x:c r="A8" s="37" t="str">
        <x:v>Growing investment district</x:v>
      </x:c>
      <x:c r="B8" s="22" t="str">
        <x:v>Growing</x:v>
      </x:c>
      <x:c r="C8" s="61" t="n">
        <x:v>12</x:v>
      </x:c>
      <x:c r="D8" s="61" t="n">
        <x:v>45</x:v>
      </x:c>
      <x:c r="E8" s="67" t="n">
        <x:f>D8/144</x:f>
        <x:v>0.3125</x:v>
      </x:c>
      <x:c r="F8" s="61" t="n">
        <x:f>144-D8</x:f>
        <x:v>99</x:v>
      </x:c>
      <x:c r="G8" s="61" t="n">
        <x:v>12</x:v>
      </x:c>
      <x:c r="H8" s="61" t="n">
        <x:v>8</x:v>
      </x:c>
      <x:c r="I8" s="61" t="str">
        <x:v>Investment District</x:v>
      </x:c>
      <x:c r="J8" s="67" t="n">
        <x:v>0.16</x:v>
      </x:c>
      <x:c r="K8" s="67" t="n">
        <x:v>-0.02</x:v>
      </x:c>
      <x:c r="L8" s="67" t="n">
        <x:f>J8+K8</x:f>
        <x:v>0.14</x:v>
      </x:c>
      <x:c r="M8" s="22" t="str">
        <x:v>2×3</x:v>
      </x:c>
      <x:c r="N8" s="38" t="str">
        <x:v>Lower congestion, stronger support layout</x:v>
      </x:c>
    </x:row>
    <x:row r="9">
      <x:c r="A9" s="37" t="str">
        <x:v>Established diversified center</x:v>
      </x:c>
      <x:c r="B9" s="22" t="str">
        <x:v>Established</x:v>
      </x:c>
      <x:c r="C9" s="61" t="n">
        <x:v>12</x:v>
      </x:c>
      <x:c r="D9" s="61" t="n">
        <x:v>69</x:v>
      </x:c>
      <x:c r="E9" s="67" t="n">
        <x:f>D9/144</x:f>
        <x:v>0.4791666666666667</x:v>
      </x:c>
      <x:c r="F9" s="61" t="n">
        <x:f>144-D9</x:f>
        <x:v>75</x:v>
      </x:c>
      <x:c r="G9" s="61" t="n">
        <x:v>15</x:v>
      </x:c>
      <x:c r="H9" s="61" t="n">
        <x:v>10</x:v>
      </x:c>
      <x:c r="I9" s="61" t="str">
        <x:v>Diversified Financial Center</x:v>
      </x:c>
      <x:c r="J9" s="67" t="n">
        <x:v>0.2</x:v>
      </x:c>
      <x:c r="K9" s="67" t="n">
        <x:v>-0.05</x:v>
      </x:c>
      <x:c r="L9" s="67" t="n">
        <x:f>J9+K9</x:f>
        <x:v>0.15000000000000002</x:v>
      </x:c>
      <x:c r="M9" s="22" t="str">
        <x:v>3×3</x:v>
      </x:c>
      <x:c r="N9" s="38" t="str">
        <x:v>Major institutions dominate board geometry</x:v>
      </x:c>
    </x:row>
    <x:row r="10">
      <x:c r="A10" s="37" t="str">
        <x:v>Established specialist board</x:v>
      </x:c>
      <x:c r="B10" s="22" t="str">
        <x:v>Established</x:v>
      </x:c>
      <x:c r="C10" s="61" t="n">
        <x:v>11</x:v>
      </x:c>
      <x:c r="D10" s="61" t="n">
        <x:v>72</x:v>
      </x:c>
      <x:c r="E10" s="67" t="n">
        <x:f>D10/144</x:f>
        <x:v>0.5</x:v>
      </x:c>
      <x:c r="F10" s="61" t="n">
        <x:f>144-D10</x:f>
        <x:v>72</x:v>
      </x:c>
      <x:c r="G10" s="61" t="n">
        <x:v>14</x:v>
      </x:c>
      <x:c r="H10" s="61" t="n">
        <x:v>9</x:v>
      </x:c>
      <x:c r="I10" s="61" t="str">
        <x:v>Institutional District</x:v>
      </x:c>
      <x:c r="J10" s="67" t="n">
        <x:v>0.21</x:v>
      </x:c>
      <x:c r="K10" s="67" t="n">
        <x:v>-0.06</x:v>
      </x:c>
      <x:c r="L10" s="67" t="n">
        <x:f>J10+K10</x:f>
        <x:v>0.15</x:v>
      </x:c>
      <x:c r="M10" s="22" t="str">
        <x:v>3×3</x:v>
      </x:c>
      <x:c r="N10" s="38" t="str">
        <x:v>Higher peak bonus but less flexible</x:v>
      </x:c>
    </x:row>
    <x:row r="11">
      <x:c r="A11" s="37" t="str">
        <x:v>Elite single Plot</x:v>
      </x:c>
      <x:c r="B11" s="22" t="str">
        <x:v>Elite</x:v>
      </x:c>
      <x:c r="C11" s="61" t="n">
        <x:v>10</x:v>
      </x:c>
      <x:c r="D11" s="61" t="n">
        <x:v>88</x:v>
      </x:c>
      <x:c r="E11" s="67" t="n">
        <x:f>D11/144</x:f>
        <x:v>0.6111111111111112</x:v>
      </x:c>
      <x:c r="F11" s="61" t="n">
        <x:f>144-D11</x:f>
        <x:v>56</x:v>
      </x:c>
      <x:c r="G11" s="61" t="n">
        <x:v>15</x:v>
      </x:c>
      <x:c r="H11" s="61" t="n">
        <x:v>12</x:v>
      </x:c>
      <x:c r="I11" s="61" t="str">
        <x:v>Global Capital precursor</x:v>
      </x:c>
      <x:c r="J11" s="67" t="n">
        <x:v>0.23</x:v>
      </x:c>
      <x:c r="K11" s="67" t="n">
        <x:v>-0.08</x:v>
      </x:c>
      <x:c r="L11" s="67" t="n">
        <x:f>J11+K11</x:f>
        <x:v>0.15000000000000002</x:v>
      </x:c>
      <x:c r="M11" s="22" t="str">
        <x:v>4×4</x:v>
      </x:c>
      <x:c r="N11" s="38" t="str">
        <x:v>Board is tight; relocation and expansion become important</x:v>
      </x:c>
    </x:row>
    <x:row r="12">
      <x:c r="A12" s="37" t="str">
        <x:v>Tycoon single Plot</x:v>
      </x:c>
      <x:c r="B12" s="22" t="str">
        <x:v>Tycoon</x:v>
      </x:c>
      <x:c r="C12" s="61" t="n">
        <x:v>8</x:v>
      </x:c>
      <x:c r="D12" s="61" t="n">
        <x:v>104</x:v>
      </x:c>
      <x:c r="E12" s="67" t="n">
        <x:f>D12/144</x:f>
        <x:v>0.7222222222222222</x:v>
      </x:c>
      <x:c r="F12" s="61" t="n">
        <x:f>144-D12</x:f>
        <x:v>40</x:v>
      </x:c>
      <x:c r="G12" s="61" t="n">
        <x:v>13</x:v>
      </x:c>
      <x:c r="H12" s="61" t="n">
        <x:v>12</x:v>
      </x:c>
      <x:c r="I12" s="61" t="str">
        <x:v>Global Capital District</x:v>
      </x:c>
      <x:c r="J12" s="67" t="n">
        <x:v>0.24</x:v>
      </x:c>
      <x:c r="K12" s="67" t="n">
        <x:v>-0.1</x:v>
      </x:c>
      <x:c r="L12" s="67" t="n">
        <x:f>J12+K12</x:f>
        <x:v>0.13999999999999999</x:v>
      </x:c>
      <x:c r="M12" s="22" t="str">
        <x:v>4×4</x:v>
      </x:c>
      <x:c r="N12" s="38" t="str">
        <x:v>Can fit a few landmarks, but single Plot is intentionally restrictive</x:v>
      </x:c>
    </x:row>
    <x:row r="13">
      <x:c r="A13" s="39" t="str">
        <x:v>Tycoon merged 2 Plots</x:v>
      </x:c>
      <x:c r="B13" s="40" t="str">
        <x:v>Tycoon</x:v>
      </x:c>
      <x:c r="C13" s="62" t="n">
        <x:v>15</x:v>
      </x:c>
      <x:c r="D13" s="62" t="n">
        <x:v>188</x:v>
      </x:c>
      <x:c r="E13" s="68" t="n">
        <x:f>D13/288</x:f>
        <x:v>0.6527777777777778</x:v>
      </x:c>
      <x:c r="F13" s="62" t="n">
        <x:f>288-D13</x:f>
        <x:v>100</x:v>
      </x:c>
      <x:c r="G13" s="62" t="n">
        <x:v>24</x:v>
      </x:c>
      <x:c r="H13" s="62" t="n">
        <x:v>20</x:v>
      </x:c>
      <x:c r="I13" s="62" t="str">
        <x:v>Global Capital District</x:v>
      </x:c>
      <x:c r="J13" s="68" t="n">
        <x:v>0.25</x:v>
      </x:c>
      <x:c r="K13" s="68" t="n">
        <x:v>-0.05</x:v>
      </x:c>
      <x:c r="L13" s="68" t="n">
        <x:f>J13+K13</x:f>
        <x:v>0.2</x:v>
      </x:c>
      <x:c r="M13" s="40" t="str">
        <x:v>4×4</x:v>
      </x:c>
      <x:c r="N13" s="41" t="str">
        <x:v>Merged territory supports true endgame scale without auto-payout</x:v>
      </x:c>
    </x:row>
  </x:sheetData>
  <x:mergeCells>
    <x:mergeCell ref="A1:N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0" hidden="0" customWidth="1"/>
    <x:col min="12" max="12" width="30" hidden="0" customWidth="1"/>
    <x:col min="13" max="13" width="3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Example Layout Coordinates — Demonstrating Different Viable Boards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22"/>
      <x:c r="O1" s="22"/>
      <x:c r="P1" s="22"/>
      <x:c r="Q1" s="22"/>
    </x:row>
    <x:row r="3">
      <x:c r="A3" s="14" t="str">
        <x:v>Layout</x:v>
      </x:c>
      <x:c r="B3" s="14" t="str">
        <x:v>Stage</x:v>
      </x:c>
      <x:c r="C3" s="14" t="str">
        <x:v>Building</x:v>
      </x:c>
      <x:c r="D3" s="14" t="str">
        <x:v>X</x:v>
      </x:c>
      <x:c r="E3" s="14" t="str">
        <x:v>Y</x:v>
      </x:c>
      <x:c r="F3" s="14" t="str">
        <x:v>Width</x:v>
      </x:c>
      <x:c r="G3" s="14" t="str">
        <x:v>Height</x:v>
      </x:c>
      <x:c r="H3" s="14" t="str">
        <x:v>Orientation</x:v>
      </x:c>
      <x:c r="I3" s="14" t="str">
        <x:v>Family</x:v>
      </x:c>
      <x:c r="J3" s="14" t="str">
        <x:v>Role</x:v>
      </x:c>
      <x:c r="K3" s="14" t="str">
        <x:v>Key Adjacent / Support</x:v>
      </x:c>
      <x:c r="L3" s="14" t="str">
        <x:v>Expected Placement Benefit</x:v>
      </x:c>
      <x:c r="M3" s="14" t="str">
        <x:v>Notes</x:v>
      </x:c>
    </x:row>
    <x:row r="4">
      <x:c r="A4" s="34" t="str">
        <x:v>Humble A</x:v>
      </x:c>
      <x:c r="B4" s="35" t="str">
        <x:v>Humble</x:v>
      </x:c>
      <x:c r="C4" s="35" t="str">
        <x:v>Cash Kiosk</x:v>
      </x:c>
      <x:c r="D4" s="60" t="n">
        <x:v>2</x:v>
      </x:c>
      <x:c r="E4" s="60" t="n">
        <x:v>2</x:v>
      </x:c>
      <x:c r="F4" s="60" t="n">
        <x:v>1</x:v>
      </x:c>
      <x:c r="G4" s="60" t="n">
        <x:v>1</x:v>
      </x:c>
      <x:c r="H4" s="35" t="str">
        <x:v>0°</x:v>
      </x:c>
      <x:c r="I4" s="35" t="str">
        <x:v>Banking</x:v>
      </x:c>
      <x:c r="J4" s="35" t="str">
        <x:v>Customer anchor</x:v>
      </x:c>
      <x:c r="K4" s="35" t="str">
        <x:v>Savings Stand</x:v>
      </x:c>
      <x:c r="L4" s="66" t="n">
        <x:v>0.03</x:v>
      </x:c>
      <x:c r="M4" s="36" t="str">
        <x:v>Early banking cluster</x:v>
      </x:c>
    </x:row>
    <x:row r="5">
      <x:c r="A5" s="37" t="str">
        <x:v>Humble A</x:v>
      </x:c>
      <x:c r="B5" s="22" t="str">
        <x:v>Humble</x:v>
      </x:c>
      <x:c r="C5" s="22" t="str">
        <x:v>Savings Stand</x:v>
      </x:c>
      <x:c r="D5" s="61" t="n">
        <x:v>3</x:v>
      </x:c>
      <x:c r="E5" s="61" t="n">
        <x:v>2</x:v>
      </x:c>
      <x:c r="F5" s="61" t="n">
        <x:v>1</x:v>
      </x:c>
      <x:c r="G5" s="61" t="n">
        <x:v>1</x:v>
      </x:c>
      <x:c r="H5" s="22" t="str">
        <x:v>0°</x:v>
      </x:c>
      <x:c r="I5" s="22" t="str">
        <x:v>Banking</x:v>
      </x:c>
      <x:c r="J5" s="22" t="str">
        <x:v>Deposits</x:v>
      </x:c>
      <x:c r="K5" s="22" t="str">
        <x:v>Cash Kiosk + Secure Cash Locker</x:v>
      </x:c>
      <x:c r="L5" s="67" t="n">
        <x:v>0.04</x:v>
      </x:c>
      <x:c r="M5" s="38" t="str"/>
    </x:row>
    <x:row r="6">
      <x:c r="A6" s="37" t="str">
        <x:v>Humble A</x:v>
      </x:c>
      <x:c r="B6" s="22" t="str">
        <x:v>Humble</x:v>
      </x:c>
      <x:c r="C6" s="22" t="str">
        <x:v>Secure Cash Locker</x:v>
      </x:c>
      <x:c r="D6" s="61" t="n">
        <x:v>4</x:v>
      </x:c>
      <x:c r="E6" s="61" t="n">
        <x:v>2</x:v>
      </x:c>
      <x:c r="F6" s="61" t="n">
        <x:v>1</x:v>
      </x:c>
      <x:c r="G6" s="61" t="n">
        <x:v>1</x:v>
      </x:c>
      <x:c r="H6" s="22" t="str">
        <x:v>0°</x:v>
      </x:c>
      <x:c r="I6" s="22" t="str">
        <x:v>Treasury / Vault</x:v>
      </x:c>
      <x:c r="J6" s="22" t="str">
        <x:v>Support</x:v>
      </x:c>
      <x:c r="K6" s="22" t="str">
        <x:v>Savings Stand</x:v>
      </x:c>
      <x:c r="L6" s="67" t="n">
        <x:v>0.05</x:v>
      </x:c>
      <x:c r="M6" s="38" t="str"/>
    </x:row>
    <x:row r="7">
      <x:c r="A7" s="37" t="str">
        <x:v>Humble A</x:v>
      </x:c>
      <x:c r="B7" s="22" t="str">
        <x:v>Humble</x:v>
      </x:c>
      <x:c r="C7" s="22" t="str">
        <x:v>Trading Booth</x:v>
      </x:c>
      <x:c r="D7" s="61" t="n">
        <x:v>2</x:v>
      </x:c>
      <x:c r="E7" s="61" t="n">
        <x:v>4</x:v>
      </x:c>
      <x:c r="F7" s="61" t="n">
        <x:v>1</x:v>
      </x:c>
      <x:c r="G7" s="61" t="n">
        <x:v>1</x:v>
      </x:c>
      <x:c r="H7" s="22" t="str">
        <x:v>0°</x:v>
      </x:c>
      <x:c r="I7" s="22" t="str">
        <x:v>Exchange / Trading</x:v>
      </x:c>
      <x:c r="J7" s="22" t="str">
        <x:v>Activity</x:v>
      </x:c>
      <x:c r="K7" s="22" t="str">
        <x:v>Mini Brokerage Desk</x:v>
      </x:c>
      <x:c r="L7" s="67" t="n">
        <x:v>0.06</x:v>
      </x:c>
      <x:c r="M7" s="38" t="str"/>
    </x:row>
    <x:row r="8">
      <x:c r="A8" s="37" t="str">
        <x:v>Humble A</x:v>
      </x:c>
      <x:c r="B8" s="22" t="str">
        <x:v>Humble</x:v>
      </x:c>
      <x:c r="C8" s="22" t="str">
        <x:v>Mini Brokerage Desk</x:v>
      </x:c>
      <x:c r="D8" s="61" t="n">
        <x:v>3</x:v>
      </x:c>
      <x:c r="E8" s="61" t="n">
        <x:v>4</x:v>
      </x:c>
      <x:c r="F8" s="61" t="n">
        <x:v>1</x:v>
      </x:c>
      <x:c r="G8" s="61" t="n">
        <x:v>2</x:v>
      </x:c>
      <x:c r="H8" s="22" t="str">
        <x:v>90°</x:v>
      </x:c>
      <x:c r="I8" s="22" t="str">
        <x:v>Brokerage</x:v>
      </x:c>
      <x:c r="J8" s="22" t="str">
        <x:v>Investor flow</x:v>
      </x:c>
      <x:c r="K8" s="22" t="str">
        <x:v>Trading Booth + Market Info Kiosk</x:v>
      </x:c>
      <x:c r="L8" s="67" t="n">
        <x:v>0.06</x:v>
      </x:c>
      <x:c r="M8" s="38" t="str"/>
    </x:row>
    <x:row r="9">
      <x:c r="A9" s="37" t="str">
        <x:v>Humble A</x:v>
      </x:c>
      <x:c r="B9" s="22" t="str">
        <x:v>Humble</x:v>
      </x:c>
      <x:c r="C9" s="22" t="str">
        <x:v>Market Info Kiosk</x:v>
      </x:c>
      <x:c r="D9" s="61" t="n">
        <x:v>5</x:v>
      </x:c>
      <x:c r="E9" s="61" t="n">
        <x:v>4</x:v>
      </x:c>
      <x:c r="F9" s="61" t="n">
        <x:v>1</x:v>
      </x:c>
      <x:c r="G9" s="61" t="n">
        <x:v>1</x:v>
      </x:c>
      <x:c r="H9" s="22" t="str">
        <x:v>0°</x:v>
      </x:c>
      <x:c r="I9" s="22" t="str">
        <x:v>Research / Data</x:v>
      </x:c>
      <x:c r="J9" s="22" t="str">
        <x:v>Support</x:v>
      </x:c>
      <x:c r="K9" s="22" t="str">
        <x:v>Mini Brokerage Desk</x:v>
      </x:c>
      <x:c r="L9" s="67" t="n">
        <x:v>0.04</x:v>
      </x:c>
      <x:c r="M9" s="38" t="str"/>
    </x:row>
    <x:row r="10">
      <x:c r="A10" s="37" t="str">
        <x:v>Growing Trading</x:v>
      </x:c>
      <x:c r="B10" s="22" t="str">
        <x:v>Growing</x:v>
      </x:c>
      <x:c r="C10" s="22" t="str">
        <x:v>Brokerage House</x:v>
      </x:c>
      <x:c r="D10" s="61" t="n">
        <x:v>2</x:v>
      </x:c>
      <x:c r="E10" s="61" t="n">
        <x:v>2</x:v>
      </x:c>
      <x:c r="F10" s="61" t="n">
        <x:v>2</x:v>
      </x:c>
      <x:c r="G10" s="61" t="n">
        <x:v>2</x:v>
      </x:c>
      <x:c r="H10" s="22" t="str">
        <x:v>0°</x:v>
      </x:c>
      <x:c r="I10" s="22" t="str">
        <x:v>Brokerage</x:v>
      </x:c>
      <x:c r="J10" s="22" t="str">
        <x:v>Customer/order flow</x:v>
      </x:c>
      <x:c r="K10" s="22" t="str">
        <x:v>Trading House + Research</x:v>
      </x:c>
      <x:c r="L10" s="67" t="n">
        <x:v>0.08</x:v>
      </x:c>
      <x:c r="M10" s="38" t="str"/>
    </x:row>
    <x:row r="11">
      <x:c r="A11" s="37" t="str">
        <x:v>Growing Trading</x:v>
      </x:c>
      <x:c r="B11" s="22" t="str">
        <x:v>Growing</x:v>
      </x:c>
      <x:c r="C11" s="22" t="str">
        <x:v>Trading House</x:v>
      </x:c>
      <x:c r="D11" s="61" t="n">
        <x:v>4</x:v>
      </x:c>
      <x:c r="E11" s="61" t="n">
        <x:v>2</x:v>
      </x:c>
      <x:c r="F11" s="61" t="n">
        <x:v>2</x:v>
      </x:c>
      <x:c r="G11" s="61" t="n">
        <x:v>3</x:v>
      </x:c>
      <x:c r="H11" s="22" t="str">
        <x:v>0°</x:v>
      </x:c>
      <x:c r="I11" s="22" t="str">
        <x:v>Exchange / Trading</x:v>
      </x:c>
      <x:c r="J11" s="22" t="str">
        <x:v>Core volume</x:v>
      </x:c>
      <x:c r="K11" s="22" t="str">
        <x:v>Brokerage House + Market Maker</x:v>
      </x:c>
      <x:c r="L11" s="67" t="n">
        <x:v>0.1</x:v>
      </x:c>
      <x:c r="M11" s="38" t="str"/>
    </x:row>
    <x:row r="12">
      <x:c r="A12" s="37" t="str">
        <x:v>Growing Trading</x:v>
      </x:c>
      <x:c r="B12" s="22" t="str">
        <x:v>Growing</x:v>
      </x:c>
      <x:c r="C12" s="22" t="str">
        <x:v>Market Research Center</x:v>
      </x:c>
      <x:c r="D12" s="61" t="n">
        <x:v>2</x:v>
      </x:c>
      <x:c r="E12" s="61" t="n">
        <x:v>5</x:v>
      </x:c>
      <x:c r="F12" s="61" t="n">
        <x:v>2</x:v>
      </x:c>
      <x:c r="G12" s="61" t="n">
        <x:v>2</x:v>
      </x:c>
      <x:c r="H12" s="22" t="str">
        <x:v>0°</x:v>
      </x:c>
      <x:c r="I12" s="22" t="str">
        <x:v>Research / Data</x:v>
      </x:c>
      <x:c r="J12" s="22" t="str">
        <x:v>Support</x:v>
      </x:c>
      <x:c r="K12" s="22" t="str">
        <x:v>Brokerage House + Trading House</x:v>
      </x:c>
      <x:c r="L12" s="67" t="n">
        <x:v>0.08</x:v>
      </x:c>
      <x:c r="M12" s="38" t="str"/>
    </x:row>
    <x:row r="13">
      <x:c r="A13" s="37" t="str">
        <x:v>Growing Trading</x:v>
      </x:c>
      <x:c r="B13" s="22" t="str">
        <x:v>Growing</x:v>
      </x:c>
      <x:c r="C13" s="22" t="str">
        <x:v>Market Maker Office</x:v>
      </x:c>
      <x:c r="D13" s="61" t="n">
        <x:v>6</x:v>
      </x:c>
      <x:c r="E13" s="61" t="n">
        <x:v>2</x:v>
      </x:c>
      <x:c r="F13" s="61" t="n">
        <x:v>2</x:v>
      </x:c>
      <x:c r="G13" s="61" t="n">
        <x:v>3</x:v>
      </x:c>
      <x:c r="H13" s="22" t="str">
        <x:v>0°</x:v>
      </x:c>
      <x:c r="I13" s="22" t="str">
        <x:v>Market Maker</x:v>
      </x:c>
      <x:c r="J13" s="22" t="str">
        <x:v>Liquidity</x:v>
      </x:c>
      <x:c r="K13" s="22" t="str">
        <x:v>Trading House + Treasury</x:v>
      </x:c>
      <x:c r="L13" s="67" t="n">
        <x:v>0.1</x:v>
      </x:c>
      <x:c r="M13" s="38" t="str"/>
    </x:row>
    <x:row r="14">
      <x:c r="A14" s="37" t="str">
        <x:v>Growing Trading</x:v>
      </x:c>
      <x:c r="B14" s="22" t="str">
        <x:v>Growing</x:v>
      </x:c>
      <x:c r="C14" s="22" t="str">
        <x:v>Treasury Office</x:v>
      </x:c>
      <x:c r="D14" s="61" t="n">
        <x:v>6</x:v>
      </x:c>
      <x:c r="E14" s="61" t="n">
        <x:v>5</x:v>
      </x:c>
      <x:c r="F14" s="61" t="n">
        <x:v>1</x:v>
      </x:c>
      <x:c r="G14" s="61" t="n">
        <x:v>2</x:v>
      </x:c>
      <x:c r="H14" s="22" t="str">
        <x:v>0°</x:v>
      </x:c>
      <x:c r="I14" s="22" t="str">
        <x:v>Treasury / Vault</x:v>
      </x:c>
      <x:c r="J14" s="22" t="str">
        <x:v>Liquidity support</x:v>
      </x:c>
      <x:c r="K14" s="22" t="str">
        <x:v>Market Maker</x:v>
      </x:c>
      <x:c r="L14" s="67" t="n">
        <x:v>0.07</x:v>
      </x:c>
      <x:c r="M14" s="38" t="str"/>
    </x:row>
    <x:row r="15">
      <x:c r="A15" s="37" t="str">
        <x:v>Growing Trading</x:v>
      </x:c>
      <x:c r="B15" s="22" t="str">
        <x:v>Growing</x:v>
      </x:c>
      <x:c r="C15" s="22" t="str">
        <x:v>Digital Finance Hub</x:v>
      </x:c>
      <x:c r="D15" s="61" t="n">
        <x:v>4</x:v>
      </x:c>
      <x:c r="E15" s="61" t="n">
        <x:v>6</x:v>
      </x:c>
      <x:c r="F15" s="61" t="n">
        <x:v>2</x:v>
      </x:c>
      <x:c r="G15" s="61" t="n">
        <x:v>3</x:v>
      </x:c>
      <x:c r="H15" s="22" t="str">
        <x:v>0°</x:v>
      </x:c>
      <x:c r="I15" s="22" t="str">
        <x:v>Research / Data</x:v>
      </x:c>
      <x:c r="J15" s="22" t="str">
        <x:v>Capacity support</x:v>
      </x:c>
      <x:c r="K15" s="22" t="str">
        <x:v>Trading cluster</x:v>
      </x:c>
      <x:c r="L15" s="67" t="n">
        <x:v>0.08</x:v>
      </x:c>
      <x:c r="M15" s="38" t="str"/>
    </x:row>
    <x:row r="16">
      <x:c r="A16" s="37" t="str">
        <x:v>Growing Trading</x:v>
      </x:c>
      <x:c r="B16" s="22" t="str">
        <x:v>Growing</x:v>
      </x:c>
      <x:c r="C16" s="22" t="str">
        <x:v>Community Bank Branch</x:v>
      </x:c>
      <x:c r="D16" s="61" t="n">
        <x:v>8</x:v>
      </x:c>
      <x:c r="E16" s="61" t="n">
        <x:v>5</x:v>
      </x:c>
      <x:c r="F16" s="61" t="n">
        <x:v>2</x:v>
      </x:c>
      <x:c r="G16" s="61" t="n">
        <x:v>2</x:v>
      </x:c>
      <x:c r="H16" s="22" t="str">
        <x:v>0°</x:v>
      </x:c>
      <x:c r="I16" s="22" t="str">
        <x:v>Banking</x:v>
      </x:c>
      <x:c r="J16" s="22" t="str">
        <x:v>Diversification</x:v>
      </x:c>
      <x:c r="K16" s="22" t="str">
        <x:v>Treasury + Finance Hub</x:v>
      </x:c>
      <x:c r="L16" s="67" t="n">
        <x:v>0.05</x:v>
      </x:c>
      <x:c r="M16" s="38" t="str"/>
    </x:row>
    <x:row r="17">
      <x:c r="A17" s="37" t="str">
        <x:v>Growing Trading</x:v>
      </x:c>
      <x:c r="B17" s="22" t="str">
        <x:v>Growing</x:v>
      </x:c>
      <x:c r="C17" s="22" t="str">
        <x:v>Financial Services Hub</x:v>
      </x:c>
      <x:c r="D17" s="61" t="n">
        <x:v>8</x:v>
      </x:c>
      <x:c r="E17" s="61" t="n">
        <x:v>7</x:v>
      </x:c>
      <x:c r="F17" s="61" t="n">
        <x:v>2</x:v>
      </x:c>
      <x:c r="G17" s="61" t="n">
        <x:v>2</x:v>
      </x:c>
      <x:c r="H17" s="22" t="str">
        <x:v>0°</x:v>
      </x:c>
      <x:c r="I17" s="22" t="str">
        <x:v>Financial Services</x:v>
      </x:c>
      <x:c r="J17" s="22" t="str">
        <x:v>Customer routing</x:v>
      </x:c>
      <x:c r="K17" s="22" t="str">
        <x:v>Bank + surrounding cluster</x:v>
      </x:c>
      <x:c r="L17" s="67" t="n">
        <x:v>0.05</x:v>
      </x:c>
      <x:c r="M17" s="38" t="str"/>
    </x:row>
    <x:row r="18">
      <x:c r="A18" s="37" t="str">
        <x:v>Established Diversified</x:v>
      </x:c>
      <x:c r="B18" s="22" t="str">
        <x:v>Established</x:v>
      </x:c>
      <x:c r="C18" s="22" t="str">
        <x:v>Regional Bank</x:v>
      </x:c>
      <x:c r="D18" s="61" t="n">
        <x:v>2</x:v>
      </x:c>
      <x:c r="E18" s="61" t="n">
        <x:v>2</x:v>
      </x:c>
      <x:c r="F18" s="61" t="n">
        <x:v>3</x:v>
      </x:c>
      <x:c r="G18" s="61" t="n">
        <x:v>3</x:v>
      </x:c>
      <x:c r="H18" s="22" t="str">
        <x:v>0°</x:v>
      </x:c>
      <x:c r="I18" s="22" t="str">
        <x:v>Banking</x:v>
      </x:c>
      <x:c r="J18" s="22" t="str">
        <x:v>Banking anchor</x:v>
      </x:c>
      <x:c r="K18" s="22" t="str">
        <x:v>Treasury + Insurance + Private Bank</x:v>
      </x:c>
      <x:c r="L18" s="67" t="n">
        <x:v>0.09</x:v>
      </x:c>
      <x:c r="M18" s="38" t="str"/>
    </x:row>
    <x:row r="19">
      <x:c r="A19" s="37" t="str">
        <x:v>Established Diversified</x:v>
      </x:c>
      <x:c r="B19" s="22" t="str">
        <x:v>Established</x:v>
      </x:c>
      <x:c r="C19" s="22" t="str">
        <x:v>Corporate Treasury Center</x:v>
      </x:c>
      <x:c r="D19" s="61" t="n">
        <x:v>5</x:v>
      </x:c>
      <x:c r="E19" s="61" t="n">
        <x:v>2</x:v>
      </x:c>
      <x:c r="F19" s="61" t="n">
        <x:v>2</x:v>
      </x:c>
      <x:c r="G19" s="61" t="n">
        <x:v>3</x:v>
      </x:c>
      <x:c r="H19" s="22" t="str">
        <x:v>0°</x:v>
      </x:c>
      <x:c r="I19" s="22" t="str">
        <x:v>Treasury / Vault</x:v>
      </x:c>
      <x:c r="J19" s="22" t="str">
        <x:v>Capital support</x:v>
      </x:c>
      <x:c r="K19" s="22" t="str">
        <x:v>Regional Bank + Investment Bank</x:v>
      </x:c>
      <x:c r="L19" s="67" t="n">
        <x:v>0.09</x:v>
      </x:c>
      <x:c r="M19" s="38" t="str"/>
    </x:row>
    <x:row r="20">
      <x:c r="A20" s="37" t="str">
        <x:v>Established Diversified</x:v>
      </x:c>
      <x:c r="B20" s="22" t="str">
        <x:v>Established</x:v>
      </x:c>
      <x:c r="C20" s="22" t="str">
        <x:v>Investment Bank</x:v>
      </x:c>
      <x:c r="D20" s="61" t="n">
        <x:v>7</x:v>
      </x:c>
      <x:c r="E20" s="61" t="n">
        <x:v>2</x:v>
      </x:c>
      <x:c r="F20" s="61" t="n">
        <x:v>3</x:v>
      </x:c>
      <x:c r="G20" s="61" t="n">
        <x:v>3</x:v>
      </x:c>
      <x:c r="H20" s="22" t="str">
        <x:v>0°</x:v>
      </x:c>
      <x:c r="I20" s="22" t="str">
        <x:v>Investment Banking</x:v>
      </x:c>
      <x:c r="J20" s="22" t="str">
        <x:v>Corporate activity</x:v>
      </x:c>
      <x:c r="K20" s="22" t="str">
        <x:v>Treasury + Exchange</x:v>
      </x:c>
      <x:c r="L20" s="67" t="n">
        <x:v>0.09</x:v>
      </x:c>
      <x:c r="M20" s="38" t="str"/>
    </x:row>
    <x:row r="21">
      <x:c r="A21" s="37" t="str">
        <x:v>Established Diversified</x:v>
      </x:c>
      <x:c r="B21" s="22" t="str">
        <x:v>Established</x:v>
      </x:c>
      <x:c r="C21" s="22" t="str">
        <x:v>Securities Exchange</x:v>
      </x:c>
      <x:c r="D21" s="61" t="n">
        <x:v>7</x:v>
      </x:c>
      <x:c r="E21" s="61" t="n">
        <x:v>5</x:v>
      </x:c>
      <x:c r="F21" s="61" t="n">
        <x:v>3</x:v>
      </x:c>
      <x:c r="G21" s="61" t="n">
        <x:v>3</x:v>
      </x:c>
      <x:c r="H21" s="22" t="str">
        <x:v>0°</x:v>
      </x:c>
      <x:c r="I21" s="22" t="str">
        <x:v>Exchange / Trading</x:v>
      </x:c>
      <x:c r="J21" s="22" t="str">
        <x:v>Market activity</x:v>
      </x:c>
      <x:c r="K21" s="22" t="str">
        <x:v>Investment Bank + Data Center</x:v>
      </x:c>
      <x:c r="L21" s="67" t="n">
        <x:v>0.1</x:v>
      </x:c>
      <x:c r="M21" s="38" t="str"/>
    </x:row>
    <x:row r="22">
      <x:c r="A22" s="37" t="str">
        <x:v>Established Diversified</x:v>
      </x:c>
      <x:c r="B22" s="22" t="str">
        <x:v>Established</x:v>
      </x:c>
      <x:c r="C22" s="22" t="str">
        <x:v>Financial Data Center</x:v>
      </x:c>
      <x:c r="D22" s="61" t="n">
        <x:v>5</x:v>
      </x:c>
      <x:c r="E22" s="61" t="n">
        <x:v>5</x:v>
      </x:c>
      <x:c r="F22" s="61" t="n">
        <x:v>2</x:v>
      </x:c>
      <x:c r="G22" s="61" t="n">
        <x:v>3</x:v>
      </x:c>
      <x:c r="H22" s="22" t="str">
        <x:v>0°</x:v>
      </x:c>
      <x:c r="I22" s="22" t="str">
        <x:v>Research / Data</x:v>
      </x:c>
      <x:c r="J22" s="22" t="str">
        <x:v>Throughput support</x:v>
      </x:c>
      <x:c r="K22" s="22" t="str">
        <x:v>Exchange + Fund</x:v>
      </x:c>
      <x:c r="L22" s="67" t="n">
        <x:v>0.1</x:v>
      </x:c>
      <x:c r="M22" s="38" t="str"/>
    </x:row>
    <x:row r="23">
      <x:c r="A23" s="37" t="str">
        <x:v>Established Diversified</x:v>
      </x:c>
      <x:c r="B23" s="22" t="str">
        <x:v>Established</x:v>
      </x:c>
      <x:c r="C23" s="22" t="str">
        <x:v>Investment Fund HQ</x:v>
      </x:c>
      <x:c r="D23" s="61" t="n">
        <x:v>2</x:v>
      </x:c>
      <x:c r="E23" s="61" t="n">
        <x:v>5</x:v>
      </x:c>
      <x:c r="F23" s="61" t="n">
        <x:v>3</x:v>
      </x:c>
      <x:c r="G23" s="61" t="n">
        <x:v>3</x:v>
      </x:c>
      <x:c r="H23" s="22" t="str">
        <x:v>0°</x:v>
      </x:c>
      <x:c r="I23" s="22" t="str">
        <x:v>Fund / Asset Mgmt</x:v>
      </x:c>
      <x:c r="J23" s="22" t="str">
        <x:v>AUM anchor</x:v>
      </x:c>
      <x:c r="K23" s="22" t="str">
        <x:v>Research/Data + Private Bank</x:v>
      </x:c>
      <x:c r="L23" s="67" t="n">
        <x:v>0.09</x:v>
      </x:c>
      <x:c r="M23" s="38" t="str"/>
    </x:row>
    <x:row r="24">
      <x:c r="A24" s="37" t="str">
        <x:v>Established Diversified</x:v>
      </x:c>
      <x:c r="B24" s="22" t="str">
        <x:v>Established</x:v>
      </x:c>
      <x:c r="C24" s="22" t="str">
        <x:v>Private Banking Center</x:v>
      </x:c>
      <x:c r="D24" s="61" t="n">
        <x:v>2</x:v>
      </x:c>
      <x:c r="E24" s="61" t="n">
        <x:v>8</x:v>
      </x:c>
      <x:c r="F24" s="61" t="n">
        <x:v>3</x:v>
      </x:c>
      <x:c r="G24" s="61" t="n">
        <x:v>3</x:v>
      </x:c>
      <x:c r="H24" s="22" t="str">
        <x:v>0°</x:v>
      </x:c>
      <x:c r="I24" s="22" t="str">
        <x:v>Wealth / Private</x:v>
      </x:c>
      <x:c r="J24" s="22" t="str">
        <x:v>HNW anchor</x:v>
      </x:c>
      <x:c r="K24" s="22" t="str">
        <x:v>Fund + Regional Bank</x:v>
      </x:c>
      <x:c r="L24" s="67" t="n">
        <x:v>0.09</x:v>
      </x:c>
      <x:c r="M24" s="38" t="str"/>
    </x:row>
    <x:row r="25">
      <x:c r="A25" s="37" t="str">
        <x:v>Established Diversified</x:v>
      </x:c>
      <x:c r="B25" s="22" t="str">
        <x:v>Established</x:v>
      </x:c>
      <x:c r="C25" s="22" t="str">
        <x:v>Insurance Company HQ</x:v>
      </x:c>
      <x:c r="D25" s="61" t="n">
        <x:v>8</x:v>
      </x:c>
      <x:c r="E25" s="61" t="n">
        <x:v>8</x:v>
      </x:c>
      <x:c r="F25" s="61" t="n">
        <x:v>3</x:v>
      </x:c>
      <x:c r="G25" s="61" t="n">
        <x:v>3</x:v>
      </x:c>
      <x:c r="H25" s="22" t="str">
        <x:v>0°</x:v>
      </x:c>
      <x:c r="I25" s="22" t="str">
        <x:v>Insurance</x:v>
      </x:c>
      <x:c r="J25" s="22" t="str">
        <x:v>Risk support</x:v>
      </x:c>
      <x:c r="K25" s="22" t="str">
        <x:v>Regional services</x:v>
      </x:c>
      <x:c r="L25" s="67" t="n">
        <x:v>0.05</x:v>
      </x:c>
      <x:c r="M25" s="38" t="str"/>
    </x:row>
    <x:row r="26">
      <x:c r="A26" s="37" t="str">
        <x:v>Tycoon Single</x:v>
      </x:c>
      <x:c r="B26" s="22" t="str">
        <x:v>Tycoon</x:v>
      </x:c>
      <x:c r="C26" s="22" t="str">
        <x:v>International Bank HQ</x:v>
      </x:c>
      <x:c r="D26" s="61" t="n">
        <x:v>1</x:v>
      </x:c>
      <x:c r="E26" s="61" t="n">
        <x:v>1</x:v>
      </x:c>
      <x:c r="F26" s="61" t="n">
        <x:v>4</x:v>
      </x:c>
      <x:c r="G26" s="61" t="n">
        <x:v>4</x:v>
      </x:c>
      <x:c r="H26" s="22" t="str">
        <x:v>0°</x:v>
      </x:c>
      <x:c r="I26" s="22" t="str">
        <x:v>Banking</x:v>
      </x:c>
      <x:c r="J26" s="22" t="str">
        <x:v>Global bank anchor</x:v>
      </x:c>
      <x:c r="K26" s="22" t="str">
        <x:v>Treasury/wealth support</x:v>
      </x:c>
      <x:c r="L26" s="67" t="n">
        <x:v>0.1</x:v>
      </x:c>
      <x:c r="M26" s="38" t="str"/>
    </x:row>
    <x:row r="27">
      <x:c r="A27" s="37" t="str">
        <x:v>Tycoon Single</x:v>
      </x:c>
      <x:c r="B27" s="22" t="str">
        <x:v>Tycoon</x:v>
      </x:c>
      <x:c r="C27" s="22" t="str">
        <x:v>Global Investment Bank</x:v>
      </x:c>
      <x:c r="D27" s="61" t="n">
        <x:v>5</x:v>
      </x:c>
      <x:c r="E27" s="61" t="n">
        <x:v>1</x:v>
      </x:c>
      <x:c r="F27" s="61" t="n">
        <x:v>4</x:v>
      </x:c>
      <x:c r="G27" s="61" t="n">
        <x:v>4</x:v>
      </x:c>
      <x:c r="H27" s="22" t="str">
        <x:v>0°</x:v>
      </x:c>
      <x:c r="I27" s="22" t="str">
        <x:v>Investment Banking</x:v>
      </x:c>
      <x:c r="J27" s="22" t="str">
        <x:v>Corporate anchor</x:v>
      </x:c>
      <x:c r="K27" s="22" t="str">
        <x:v>Bank + Exchange</x:v>
      </x:c>
      <x:c r="L27" s="67" t="n">
        <x:v>0.09</x:v>
      </x:c>
      <x:c r="M27" s="38" t="str"/>
    </x:row>
    <x:row r="28">
      <x:c r="A28" s="37" t="str">
        <x:v>Tycoon Single</x:v>
      </x:c>
      <x:c r="B28" s="22" t="str">
        <x:v>Tycoon</x:v>
      </x:c>
      <x:c r="C28" s="22" t="str">
        <x:v>World Financial Exchange</x:v>
      </x:c>
      <x:c r="D28" s="61" t="n">
        <x:v>5</x:v>
      </x:c>
      <x:c r="E28" s="61" t="n">
        <x:v>5</x:v>
      </x:c>
      <x:c r="F28" s="61" t="n">
        <x:v>4</x:v>
      </x:c>
      <x:c r="G28" s="61" t="n">
        <x:v>4</x:v>
      </x:c>
      <x:c r="H28" s="22" t="str">
        <x:v>0°</x:v>
      </x:c>
      <x:c r="I28" s="22" t="str">
        <x:v>Exchange / Trading</x:v>
      </x:c>
      <x:c r="J28" s="22" t="str">
        <x:v>Global market anchor</x:v>
      </x:c>
      <x:c r="K28" s="22" t="str">
        <x:v>Investment bank + data/market maker</x:v>
      </x:c>
      <x:c r="L28" s="67" t="n">
        <x:v>0.1</x:v>
      </x:c>
      <x:c r="M28" s="38" t="str"/>
    </x:row>
    <x:row r="29">
      <x:c r="A29" s="37" t="str">
        <x:v>Tycoon Single</x:v>
      </x:c>
      <x:c r="B29" s="22" t="str">
        <x:v>Tycoon</x:v>
      </x:c>
      <x:c r="C29" s="22" t="str">
        <x:v>Sovereign Fund Tower</x:v>
      </x:c>
      <x:c r="D29" s="61" t="n">
        <x:v>1</x:v>
      </x:c>
      <x:c r="E29" s="61" t="n">
        <x:v>5</x:v>
      </x:c>
      <x:c r="F29" s="61" t="n">
        <x:v>4</x:v>
      </x:c>
      <x:c r="G29" s="61" t="n">
        <x:v>4</x:v>
      </x:c>
      <x:c r="H29" s="22" t="str">
        <x:v>0°</x:v>
      </x:c>
      <x:c r="I29" s="22" t="str">
        <x:v>Fund / Asset Mgmt</x:v>
      </x:c>
      <x:c r="J29" s="22" t="str">
        <x:v>Global AUM</x:v>
      </x:c>
      <x:c r="K29" s="22" t="str">
        <x:v>Bank + research</x:v>
      </x:c>
      <x:c r="L29" s="67" t="n">
        <x:v>0.09</x:v>
      </x:c>
      <x:c r="M29" s="38" t="str"/>
    </x:row>
    <x:row r="30">
      <x:c r="A30" s="39" t="str">
        <x:v>Tycoon Single</x:v>
      </x:c>
      <x:c r="B30" s="40" t="str">
        <x:v>Tycoon</x:v>
      </x:c>
      <x:c r="C30" s="40" t="str">
        <x:v>Financial Empire Headquarters</x:v>
      </x:c>
      <x:c r="D30" s="62" t="n">
        <x:v>9</x:v>
      </x:c>
      <x:c r="E30" s="62" t="n">
        <x:v>1</x:v>
      </x:c>
      <x:c r="F30" s="62" t="n">
        <x:v>4</x:v>
      </x:c>
      <x:c r="G30" s="62" t="n">
        <x:v>4</x:v>
      </x:c>
      <x:c r="H30" s="40" t="str">
        <x:v>0°</x:v>
      </x:c>
      <x:c r="I30" s="40" t="str">
        <x:v>Financial Services</x:v>
      </x:c>
      <x:c r="J30" s="40" t="str">
        <x:v>Empire coordination</x:v>
      </x:c>
      <x:c r="K30" s="40" t="str">
        <x:v>Multiple support links</x:v>
      </x:c>
      <x:c r="L30" s="68" t="n">
        <x:v>0.08</x:v>
      </x:c>
      <x:c r="M30" s="41" t="str">
        <x:v>Requires tight planning; may force fewer other cards</x:v>
      </x:c>
    </x:row>
  </x:sheetData>
  <x:mergeCells>
    <x:mergeCell ref="A1:M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Merged Plot Placement Compatibility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22"/>
      <x:c r="N1" s="22"/>
      <x:c r="O1" s="22"/>
      <x:c r="P1" s="22"/>
      <x:c r="Q1" s="22"/>
    </x:row>
    <x:row r="3">
      <x:c r="A3" s="14" t="str">
        <x:v>Rule</x:v>
      </x:c>
      <x:c r="B3" s="14" t="str">
        <x:v>Before Merge</x:v>
      </x:c>
      <x:c r="C3" s="14" t="str">
        <x:v>After Valid Merge</x:v>
      </x:c>
      <x:c r="D3" s="14" t="str">
        <x:v>Can Cross Original Border?</x:v>
      </x:c>
      <x:c r="E3" s="14" t="str">
        <x:v>Synergy Across Border?</x:v>
      </x:c>
      <x:c r="F3" s="14" t="str">
        <x:v>Special Tiles Preserved?</x:v>
      </x:c>
      <x:c r="G3" s="14" t="str">
        <x:v>Ownership Handling</x:v>
      </x:c>
      <x:c r="H3" s="14" t="str">
        <x:v>Unmerge Handling</x:v>
      </x:c>
      <x:c r="I3" s="14" t="str">
        <x:v>Performance Effect</x:v>
      </x:c>
      <x:c r="J3" s="14" t="str">
        <x:v>Exploit Risk</x:v>
      </x:c>
      <x:c r="K3" s="14" t="str">
        <x:v>Recommended Phase</x:v>
      </x:c>
      <x:c r="L3" s="14" t="str">
        <x:v>Notes</x:v>
      </x:c>
    </x:row>
    <x:row r="4">
      <x:c r="A4" s="34" t="str">
        <x:v>Building placement</x:v>
      </x:c>
      <x:c r="B4" s="35" t="str">
        <x:v>Restricted to one 12×12 Plot</x:v>
      </x:c>
      <x:c r="C4" s="35" t="str">
        <x:v>Uses continuous merged grid</x:v>
      </x:c>
      <x:c r="D4" s="35" t="str">
        <x:v>Yes, later phase</x:v>
      </x:c>
      <x:c r="E4" s="35" t="str">
        <x:v>N/A</x:v>
      </x:c>
      <x:c r="F4" s="35" t="str">
        <x:v>Yes</x:v>
      </x:c>
      <x:c r="G4" s="35" t="str">
        <x:v>Underlying Plot IDs remain owned separately</x:v>
      </x:c>
      <x:c r="H4" s="35" t="str">
        <x:v>Cross-border building must be relocated before unmerge</x:v>
      </x:c>
      <x:c r="I4" s="35" t="str">
        <x:v>None directly</x:v>
      </x:c>
      <x:c r="J4" s="35" t="str">
        <x:v>Medium</x:v>
      </x:c>
      <x:c r="K4" s="35" t="str">
        <x:v>Phase 2</x:v>
      </x:c>
      <x:c r="L4" s="36" t="str">
        <x:v>MVP can forbid cross-border footprints</x:v>
      </x:c>
    </x:row>
    <x:row r="5">
      <x:c r="A5" s="37" t="str">
        <x:v>Direct adjacency</x:v>
      </x:c>
      <x:c r="B5" s="22" t="str">
        <x:v>Only within same Plot</x:v>
      </x:c>
      <x:c r="C5" s="22" t="str">
        <x:v>Seam treated as normal edge</x:v>
      </x:c>
      <x:c r="D5" s="22" t="str">
        <x:v>N/A</x:v>
      </x:c>
      <x:c r="E5" s="22" t="str">
        <x:v>Yes</x:v>
      </x:c>
      <x:c r="F5" s="22" t="str">
        <x:v>N/A</x:v>
      </x:c>
      <x:c r="G5" s="22" t="str">
        <x:v>No ownership change</x:v>
      </x:c>
      <x:c r="H5" s="22" t="str">
        <x:v>Links recalculate on unmerge</x:v>
      </x:c>
      <x:c r="I5" s="22" t="str">
        <x:v>Underlying activity only</x:v>
      </x:c>
      <x:c r="J5" s="22" t="str">
        <x:v>Low</x:v>
      </x:c>
      <x:c r="K5" s="22" t="str">
        <x:v>Phase 2</x:v>
      </x:c>
      <x:c r="L5" s="38" t="str"/>
    </x:row>
    <x:row r="6">
      <x:c r="A6" s="37" t="str">
        <x:v>Support radius</x:v>
      </x:c>
      <x:c r="B6" s="22" t="str">
        <x:v>Stops at unmerged boundary</x:v>
      </x:c>
      <x:c r="C6" s="22" t="str">
        <x:v>Can cross merged seam</x:v>
      </x:c>
      <x:c r="D6" s="22" t="str">
        <x:v>N/A</x:v>
      </x:c>
      <x:c r="E6" s="22" t="str">
        <x:v>Yes</x:v>
      </x:c>
      <x:c r="F6" s="22" t="str">
        <x:v>N/A</x:v>
      </x:c>
      <x:c r="G6" s="22" t="str">
        <x:v>No ownership change</x:v>
      </x:c>
      <x:c r="H6" s="22" t="str">
        <x:v>Links recalculate</x:v>
      </x:c>
      <x:c r="I6" s="22" t="str">
        <x:v>Underlying activity only</x:v>
      </x:c>
      <x:c r="J6" s="22" t="str">
        <x:v>Medium</x:v>
      </x:c>
      <x:c r="K6" s="22" t="str">
        <x:v>Phase 2</x:v>
      </x:c>
      <x:c r="L6" s="38" t="str"/>
    </x:row>
    <x:row r="7">
      <x:c r="A7" s="37" t="str">
        <x:v>District bonus</x:v>
      </x:c>
      <x:c r="B7" s="22" t="str">
        <x:v>Per Plot only</x:v>
      </x:c>
      <x:c r="C7" s="22" t="str">
        <x:v>Can evaluate connected merged territory</x:v>
      </x:c>
      <x:c r="D7" s="22" t="str">
        <x:v>N/A</x:v>
      </x:c>
      <x:c r="E7" s="22" t="str">
        <x:v>Yes</x:v>
      </x:c>
      <x:c r="F7" s="22" t="str">
        <x:v>Yes</x:v>
      </x:c>
      <x:c r="G7" s="22" t="str">
        <x:v>No ownership change</x:v>
      </x:c>
      <x:c r="H7" s="22" t="str">
        <x:v>Falls back to per-Plot state</x:v>
      </x:c>
      <x:c r="I7" s="22" t="str">
        <x:v>No direct payout bonus</x:v>
      </x:c>
      <x:c r="J7" s="22" t="str">
        <x:v>Medium</x:v>
      </x:c>
      <x:c r="K7" s="22" t="str">
        <x:v>Phase 2</x:v>
      </x:c>
      <x:c r="L7" s="38" t="str"/>
    </x:row>
    <x:row r="8">
      <x:c r="A8" s="37" t="str">
        <x:v>Special tiles</x:v>
      </x:c>
      <x:c r="B8" s="22" t="str">
        <x:v>Per Plot deterministic layout</x:v>
      </x:c>
      <x:c r="C8" s="22" t="str">
        <x:v>Tile identity remains attached to underlying Plot</x:v>
      </x:c>
      <x:c r="D8" s="22" t="str">
        <x:v>N/A</x:v>
      </x:c>
      <x:c r="E8" s="22" t="str">
        <x:v>N/A</x:v>
      </x:c>
      <x:c r="F8" s="22" t="str">
        <x:v>Yes</x:v>
      </x:c>
      <x:c r="G8" s="22" t="str">
        <x:v>Tile map follows Plot ID</x:v>
      </x:c>
      <x:c r="H8" s="22" t="str">
        <x:v>No change</x:v>
      </x:c>
      <x:c r="I8" s="22" t="str">
        <x:v>Small operating modifier only</x:v>
      </x:c>
      <x:c r="J8" s="22" t="str">
        <x:v>Low</x:v>
      </x:c>
      <x:c r="K8" s="22" t="str">
        <x:v>Later</x:v>
      </x:c>
      <x:c r="L8" s="38" t="str"/>
    </x:row>
    <x:row r="9">
      <x:c r="A9" s="37" t="str">
        <x:v>Landmark footprint</x:v>
      </x:c>
      <x:c r="B9" s="22" t="str">
        <x:v>Must fit one Plot</x:v>
      </x:c>
      <x:c r="C9" s="22" t="str">
        <x:v>May span seam if all covered Plots same owner and merge locked</x:v>
      </x:c>
      <x:c r="D9" s="22" t="str">
        <x:v>Yes</x:v>
      </x:c>
      <x:c r="E9" s="22" t="str">
        <x:v>Yes</x:v>
      </x:c>
      <x:c r="F9" s="22" t="str">
        <x:v>Yes</x:v>
      </x:c>
      <x:c r="G9" s="22" t="str">
        <x:v>Building stores covered Plot IDs</x:v>
      </x:c>
      <x:c r="H9" s="22" t="str">
        <x:v>Must move before unmerge/transfer</x:v>
      </x:c>
      <x:c r="I9" s="22" t="str">
        <x:v>Activity only</x:v>
      </x:c>
      <x:c r="J9" s="22" t="str">
        <x:v>High</x:v>
      </x:c>
      <x:c r="K9" s="22" t="str">
        <x:v>Later</x:v>
      </x:c>
      <x:c r="L9" s="38" t="str">
        <x:v>Require server geometry lock</x:v>
      </x:c>
    </x:row>
    <x:row r="10">
      <x:c r="A10" s="37" t="str">
        <x:v>Plot transfer</x:v>
      </x:c>
      <x:c r="B10" s="22" t="str">
        <x:v>Normal transfer rules</x:v>
      </x:c>
      <x:c r="C10" s="22" t="str">
        <x:v>Merged Plot must detach before transfer</x:v>
      </x:c>
      <x:c r="D10" s="22" t="str">
        <x:v>No</x:v>
      </x:c>
      <x:c r="E10" s="22" t="str">
        <x:v>No</x:v>
      </x:c>
      <x:c r="F10" s="22" t="str">
        <x:v>Yes</x:v>
      </x:c>
      <x:c r="G10" s="22" t="str">
        <x:v>Cannot transfer subset with cross-border building</x:v>
      </x:c>
      <x:c r="H10" s="22" t="str">
        <x:v>Resolve buildings first</x:v>
      </x:c>
      <x:c r="I10" s="22" t="str">
        <x:v>None</x:v>
      </x:c>
      <x:c r="J10" s="22" t="str">
        <x:v>High</x:v>
      </x:c>
      <x:c r="K10" s="22" t="str">
        <x:v>Phase 2</x:v>
      </x:c>
      <x:c r="L10" s="38" t="str">
        <x:v>Protect ownership consistency</x:v>
      </x:c>
    </x:row>
    <x:row r="11">
      <x:c r="A11" s="39" t="str">
        <x:v>Expansion benefit</x:v>
      </x:c>
      <x:c r="B11" s="40" t="str">
        <x:v>144 tiles</x:v>
      </x:c>
      <x:c r="C11" s="40" t="str">
        <x:v>Adds actual usable tiles</x:v>
      </x:c>
      <x:c r="D11" s="40" t="str">
        <x:v>N/A</x:v>
      </x:c>
      <x:c r="E11" s="40" t="str">
        <x:v>N/A</x:v>
      </x:c>
      <x:c r="F11" s="40" t="str">
        <x:v>Yes</x:v>
      </x:c>
      <x:c r="G11" s="40" t="str">
        <x:v>Capacity grows with owned land</x:v>
      </x:c>
      <x:c r="H11" s="40" t="str">
        <x:v>Reverts when detached</x:v>
      </x:c>
      <x:c r="I11" s="40" t="str">
        <x:v>No passive Performance Score</x:v>
      </x:c>
      <x:c r="J11" s="40" t="str">
        <x:v>High</x:v>
      </x:c>
      <x:c r="K11" s="40" t="str">
        <x:v>Phase 2</x:v>
      </x:c>
      <x:c r="L11" s="41" t="str">
        <x:v>Land is capacity, not yield</x:v>
      </x:c>
    </x:row>
  </x:sheetData>
  <x:mergeCells>
    <x:mergeCell ref="A1:L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Placement &amp; Synergy Live-Ops Tuning Controls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22"/>
      <x:c r="M1" s="22"/>
      <x:c r="N1" s="22"/>
      <x:c r="O1" s="22"/>
      <x:c r="P1" s="22"/>
      <x:c r="Q1" s="22"/>
    </x:row>
    <x:row r="3">
      <x:c r="A3" s="14" t="str">
        <x:v>Control</x:v>
      </x:c>
      <x:c r="B3" s="14" t="str">
        <x:v>Default</x:v>
      </x:c>
      <x:c r="C3" s="14" t="str">
        <x:v>Review Frequency</x:v>
      </x:c>
      <x:c r="D3" s="14" t="str">
        <x:v>Primary Metric</x:v>
      </x:c>
      <x:c r="E3" s="14" t="str">
        <x:v>Increase When</x:v>
      </x:c>
      <x:c r="F3" s="14" t="str">
        <x:v>Decrease When</x:v>
      </x:c>
      <x:c r="G3" s="14" t="str">
        <x:v>Safe Change</x:v>
      </x:c>
      <x:c r="H3" s="14" t="str">
        <x:v>Owner</x:v>
      </x:c>
      <x:c r="I3" s="14" t="str">
        <x:v>Alert Threshold</x:v>
      </x:c>
      <x:c r="J3" s="14" t="str">
        <x:v>Player Impact</x:v>
      </x:c>
      <x:c r="K3" s="14" t="str">
        <x:v>Notes</x:v>
      </x:c>
    </x:row>
    <x:row r="4">
      <x:c r="A4" s="34" t="str">
        <x:v>Max positive placement bonus</x:v>
      </x:c>
      <x:c r="B4" s="35" t="str">
        <x:v>25%</x:v>
      </x:c>
      <x:c r="C4" s="35" t="str">
        <x:v>Seasonal</x:v>
      </x:c>
      <x:c r="D4" s="35" t="str">
        <x:v>Placement concentration</x:v>
      </x:c>
      <x:c r="E4" s="35" t="str">
        <x:v>Layouts feel irrelevant</x:v>
      </x:c>
      <x:c r="F4" s="35" t="str">
        <x:v>Single layout dominates</x:v>
      </x:c>
      <x:c r="G4" s="35" t="str">
        <x:v>+/-3 pts</x:v>
      </x:c>
      <x:c r="H4" s="35" t="str">
        <x:v>Economy</x:v>
      </x:c>
      <x:c r="I4" s="35" t="str">
        <x:v>Top layout &gt;20% better than median</x:v>
      </x:c>
      <x:c r="J4" s="35" t="str">
        <x:v>High</x:v>
      </x:c>
      <x:c r="K4" s="36" t="str"/>
    </x:row>
    <x:row r="5">
      <x:c r="A5" s="37" t="str">
        <x:v>Direct synergy values</x:v>
      </x:c>
      <x:c r="B5" s="22" t="str">
        <x:v>2%–10%</x:v>
      </x:c>
      <x:c r="C5" s="22" t="str">
        <x:v>Monthly</x:v>
      </x:c>
      <x:c r="D5" s="22" t="str">
        <x:v>Pair usage distribution</x:v>
      </x:c>
      <x:c r="E5" s="22" t="str">
        <x:v>Good pairs underused</x:v>
      </x:c>
      <x:c r="F5" s="22" t="str">
        <x:v>Mandatory pair emerges</x:v>
      </x:c>
      <x:c r="G5" s="22" t="str">
        <x:v>+/-1–2 pts</x:v>
      </x:c>
      <x:c r="H5" s="22" t="str">
        <x:v>Game Design</x:v>
      </x:c>
      <x:c r="I5" s="22" t="str">
        <x:v>Pair usage &gt;70% at stage</x:v>
      </x:c>
      <x:c r="J5" s="22" t="str">
        <x:v>Medium</x:v>
      </x:c>
      <x:c r="K5" s="38" t="str"/>
    </x:row>
    <x:row r="6">
      <x:c r="A6" s="37" t="str">
        <x:v>Support synergy radius</x:v>
      </x:c>
      <x:c r="B6" s="22" t="str">
        <x:v>2 tiles</x:v>
      </x:c>
      <x:c r="C6" s="22" t="str">
        <x:v>Seasonal</x:v>
      </x:c>
      <x:c r="D6" s="22" t="str">
        <x:v>Support coverage</x:v>
      </x:c>
      <x:c r="E6" s="22" t="str">
        <x:v>Support cards feel weak</x:v>
      </x:c>
      <x:c r="F6" s="22" t="str">
        <x:v>One support covers too much</x:v>
      </x:c>
      <x:c r="G6" s="22" t="str">
        <x:v>+/-1 tile</x:v>
      </x:c>
      <x:c r="H6" s="22" t="str">
        <x:v>Game Design</x:v>
      </x:c>
      <x:c r="I6" s="22" t="str">
        <x:v>Coverage &gt;90% with one card</x:v>
      </x:c>
      <x:c r="J6" s="22" t="str">
        <x:v>High</x:v>
      </x:c>
      <x:c r="K6" s="38" t="str"/>
    </x:row>
    <x:row r="7">
      <x:c r="A7" s="37" t="str">
        <x:v>Duplicate family threshold</x:v>
      </x:c>
      <x:c r="B7" s="22" t="str">
        <x:v>3</x:v>
      </x:c>
      <x:c r="C7" s="22" t="str">
        <x:v>Monthly</x:v>
      </x:c>
      <x:c r="D7" s="22" t="str">
        <x:v>Family concentration</x:v>
      </x:c>
      <x:c r="E7" s="22" t="str">
        <x:v>Players cannot specialize</x:v>
      </x:c>
      <x:c r="F7" s="22" t="str">
        <x:v>One-family meta emerges</x:v>
      </x:c>
      <x:c r="G7" s="22" t="str">
        <x:v>+/-1 building</x:v>
      </x:c>
      <x:c r="H7" s="22" t="str">
        <x:v>Economy</x:v>
      </x:c>
      <x:c r="I7" s="22" t="str">
        <x:v>Same family &gt;60% of boards</x:v>
      </x:c>
      <x:c r="J7" s="22" t="str">
        <x:v>High</x:v>
      </x:c>
      <x:c r="K7" s="38" t="str"/>
    </x:row>
    <x:row r="8">
      <x:c r="A8" s="37" t="str">
        <x:v>Duplicate penalty</x:v>
      </x:c>
      <x:c r="B8" s="22" t="str">
        <x:v>4% / excess</x:v>
      </x:c>
      <x:c r="C8" s="22" t="str">
        <x:v>Monthly</x:v>
      </x:c>
      <x:c r="D8" s="22" t="str">
        <x:v>Board diversity</x:v>
      </x:c>
      <x:c r="E8" s="22" t="str">
        <x:v>Spam remains optimal</x:v>
      </x:c>
      <x:c r="F8" s="22" t="str">
        <x:v>Specialists overpunished</x:v>
      </x:c>
      <x:c r="G8" s="22" t="str">
        <x:v>+/-1 pt</x:v>
      </x:c>
      <x:c r="H8" s="22" t="str">
        <x:v>Economy</x:v>
      </x:c>
      <x:c r="I8" s="22" t="str">
        <x:v>Dominant duplicate strategy</x:v>
      </x:c>
      <x:c r="J8" s="22" t="str">
        <x:v>High</x:v>
      </x:c>
      <x:c r="K8" s="38" t="str"/>
    </x:row>
    <x:row r="9">
      <x:c r="A9" s="37" t="str">
        <x:v>Congestion threshold</x:v>
      </x:c>
      <x:c r="B9" s="22" t="str">
        <x:v>4</x:v>
      </x:c>
      <x:c r="C9" s="22" t="str">
        <x:v>Monthly</x:v>
      </x:c>
      <x:c r="D9" s="22" t="str">
        <x:v>Dense cluster performance</x:v>
      </x:c>
      <x:c r="E9" s="22" t="str">
        <x:v>No reason to spread</x:v>
      </x:c>
      <x:c r="F9" s="22" t="str">
        <x:v>Board feels too restrictive</x:v>
      </x:c>
      <x:c r="G9" s="22" t="str">
        <x:v>+/-1 building</x:v>
      </x:c>
      <x:c r="H9" s="22" t="str">
        <x:v>Game Design</x:v>
      </x:c>
      <x:c r="I9" s="22" t="str">
        <x:v>Congestion on &gt;50% boards</x:v>
      </x:c>
      <x:c r="J9" s="22" t="str">
        <x:v>Medium</x:v>
      </x:c>
      <x:c r="K9" s="38" t="str"/>
    </x:row>
    <x:row r="10">
      <x:c r="A10" s="37" t="str">
        <x:v>Relocation fee</x:v>
      </x:c>
      <x:c r="B10" s="22" t="str">
        <x:v>5% value</x:v>
      </x:c>
      <x:c r="C10" s="22" t="str">
        <x:v>Monthly</x:v>
      </x:c>
      <x:c r="D10" s="22" t="str">
        <x:v>Move frequency</x:v>
      </x:c>
      <x:c r="E10" s="22" t="str">
        <x:v>Players never experiment</x:v>
      </x:c>
      <x:c r="F10" s="22" t="str">
        <x:v>Constant event gaming</x:v>
      </x:c>
      <x:c r="G10" s="22" t="str">
        <x:v>+/-2 pts</x:v>
      </x:c>
      <x:c r="H10" s="22" t="str">
        <x:v>Economy</x:v>
      </x:c>
      <x:c r="I10" s="22" t="str">
        <x:v>Moves &lt;0.2 or &gt;5/player/week</x:v>
      </x:c>
      <x:c r="J10" s="22" t="str">
        <x:v>Medium</x:v>
      </x:c>
      <x:c r="K10" s="38" t="str"/>
    </x:row>
    <x:row r="11">
      <x:c r="A11" s="37" t="str">
        <x:v>Relocation downtime</x:v>
      </x:c>
      <x:c r="B11" s="22" t="str">
        <x:v>15 min</x:v>
      </x:c>
      <x:c r="C11" s="22" t="str">
        <x:v>Monthly</x:v>
      </x:c>
      <x:c r="D11" s="22" t="str">
        <x:v>Move abuse / frustration</x:v>
      </x:c>
      <x:c r="E11" s="22" t="str">
        <x:v>Move exploit persists</x:v>
      </x:c>
      <x:c r="F11" s="22" t="str">
        <x:v>Players avoid layout changes</x:v>
      </x:c>
      <x:c r="G11" s="22" t="str">
        <x:v>+/-15 min</x:v>
      </x:c>
      <x:c r="H11" s="22" t="str">
        <x:v>Game Design</x:v>
      </x:c>
      <x:c r="I11" s="22" t="str">
        <x:v>Event move spikes</x:v>
      </x:c>
      <x:c r="J11" s="22" t="str">
        <x:v>Low</x:v>
      </x:c>
      <x:c r="K11" s="38" t="str"/>
    </x:row>
    <x:row r="12">
      <x:c r="A12" s="37" t="str">
        <x:v>Special tile bonus cap</x:v>
      </x:c>
      <x:c r="B12" s="22" t="str">
        <x:v>5%</x:v>
      </x:c>
      <x:c r="C12" s="22" t="str">
        <x:v>Seasonal</x:v>
      </x:c>
      <x:c r="D12" s="22" t="str">
        <x:v>Tile-driven advantage</x:v>
      </x:c>
      <x:c r="E12" s="22" t="str">
        <x:v>Tiles feel meaningless</x:v>
      </x:c>
      <x:c r="F12" s="22" t="str">
        <x:v>Seed advantage too high</x:v>
      </x:c>
      <x:c r="G12" s="22" t="str">
        <x:v>+/-1 pt</x:v>
      </x:c>
      <x:c r="H12" s="22" t="str">
        <x:v>Economy</x:v>
      </x:c>
      <x:c r="I12" s="22" t="str">
        <x:v>Seed performance spread &gt;3%</x:v>
      </x:c>
      <x:c r="J12" s="22" t="str">
        <x:v>Medium</x:v>
      </x:c>
      <x:c r="K12" s="38" t="str"/>
    </x:row>
    <x:row r="13">
      <x:c r="A13" s="39" t="str">
        <x:v>District bonus</x:v>
      </x:c>
      <x:c r="B13" s="40" t="str">
        <x:v>5%–8%</x:v>
      </x:c>
      <x:c r="C13" s="40" t="str">
        <x:v>Seasonal</x:v>
      </x:c>
      <x:c r="D13" s="40" t="str">
        <x:v>District adoption</x:v>
      </x:c>
      <x:c r="E13" s="40" t="str">
        <x:v>Districts ignored</x:v>
      </x:c>
      <x:c r="F13" s="40" t="str">
        <x:v>One district dominates</x:v>
      </x:c>
      <x:c r="G13" s="40" t="str">
        <x:v>+/-1 pt</x:v>
      </x:c>
      <x:c r="H13" s="40" t="str">
        <x:v>Game Design</x:v>
      </x:c>
      <x:c r="I13" s="40" t="str">
        <x:v>One district &gt;45% usage</x:v>
      </x:c>
      <x:c r="J13" s="40" t="str">
        <x:v>High</x:v>
      </x:c>
      <x:c r="K13" s="41" t="str"/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Backend Placement, Geometry &amp; Synergy Resolution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22"/>
      <x:c r="N1" s="22"/>
      <x:c r="O1" s="22"/>
      <x:c r="P1" s="22"/>
      <x:c r="Q1" s="22"/>
    </x:row>
    <x:row r="3">
      <x:c r="A3" s="14" t="str">
        <x:v>System</x:v>
      </x:c>
      <x:c r="B3" s="14" t="str">
        <x:v>Server Authoritative?</x:v>
      </x:c>
      <x:c r="C3" s="14" t="str">
        <x:v>State Stored</x:v>
      </x:c>
      <x:c r="D3" s="14" t="str">
        <x:v>Validation Trigger</x:v>
      </x:c>
      <x:c r="E3" s="14" t="str">
        <x:v>Calculation Method</x:v>
      </x:c>
      <x:c r="F3" s="14" t="str">
        <x:v>Client Can Submit</x:v>
      </x:c>
      <x:c r="G3" s="14" t="str">
        <x:v>Client Cannot Submit</x:v>
      </x:c>
      <x:c r="H3" s="14" t="str">
        <x:v>Recompute Trigger</x:v>
      </x:c>
      <x:c r="I3" s="14" t="str">
        <x:v>Audit Field</x:v>
      </x:c>
      <x:c r="J3" s="14" t="str">
        <x:v>Exploit Risk</x:v>
      </x:c>
      <x:c r="K3" s="14" t="str">
        <x:v>Priority</x:v>
      </x:c>
      <x:c r="L3" s="14" t="str">
        <x:v>Notes</x:v>
      </x:c>
    </x:row>
    <x:row r="4">
      <x:c r="A4" s="34" t="str">
        <x:v>Board geometry</x:v>
      </x:c>
      <x:c r="B4" s="35" t="str">
        <x:v>Yes</x:v>
      </x:c>
      <x:c r="C4" s="35" t="str">
        <x:v>Plot ID, building ID, x,y,w,h,orientation</x:v>
      </x:c>
      <x:c r="D4" s="35" t="str">
        <x:v>Place/move/rotate</x:v>
      </x:c>
      <x:c r="E4" s="35" t="str">
        <x:v>Tile occupancy map</x:v>
      </x:c>
      <x:c r="F4" s="35" t="str">
        <x:v>Requested coordinates</x:v>
      </x:c>
      <x:c r="G4" s="35" t="str">
        <x:v>Valid result</x:v>
      </x:c>
      <x:c r="H4" s="35" t="str">
        <x:v>Every placement mutation</x:v>
      </x:c>
      <x:c r="I4" s="35" t="str">
        <x:v>layout_version</x:v>
      </x:c>
      <x:c r="J4" s="35" t="str">
        <x:v>High</x:v>
      </x:c>
      <x:c r="K4" s="35" t="str">
        <x:v>P0</x:v>
      </x:c>
      <x:c r="L4" s="36" t="str"/>
    </x:row>
    <x:row r="5">
      <x:c r="A5" s="37" t="str">
        <x:v>Overlap/bounds</x:v>
      </x:c>
      <x:c r="B5" s="22" t="str">
        <x:v>Yes</x:v>
      </x:c>
      <x:c r="C5" s="22" t="str">
        <x:v>Occupied tile bitset / geometry</x:v>
      </x:c>
      <x:c r="D5" s="22" t="str">
        <x:v>Place/move</x:v>
      </x:c>
      <x:c r="E5" s="22" t="str">
        <x:v>Exact tile intersection</x:v>
      </x:c>
      <x:c r="F5" s="22" t="str">
        <x:v>Placement request</x:v>
      </x:c>
      <x:c r="G5" s="22" t="str">
        <x:v>Collision override</x:v>
      </x:c>
      <x:c r="H5" s="22" t="str">
        <x:v>Every placement mutation</x:v>
      </x:c>
      <x:c r="I5" s="22" t="str">
        <x:v>geometry_hash</x:v>
      </x:c>
      <x:c r="J5" s="22" t="str">
        <x:v>High</x:v>
      </x:c>
      <x:c r="K5" s="22" t="str">
        <x:v>P0</x:v>
      </x:c>
      <x:c r="L5" s="38" t="str"/>
    </x:row>
    <x:row r="6">
      <x:c r="A6" s="37" t="str">
        <x:v>Direct adjacency</x:v>
      </x:c>
      <x:c r="B6" s="22" t="str">
        <x:v>Yes</x:v>
      </x:c>
      <x:c r="C6" s="22" t="str">
        <x:v>Derived links</x:v>
      </x:c>
      <x:c r="D6" s="22" t="str">
        <x:v>Placement mutation</x:v>
      </x:c>
      <x:c r="E6" s="22" t="str">
        <x:v>Shared-edge detection</x:v>
      </x:c>
      <x:c r="F6" s="22" t="str">
        <x:v>None</x:v>
      </x:c>
      <x:c r="G6" s="22" t="str">
        <x:v>Synergy claim</x:v>
      </x:c>
      <x:c r="H6" s="22" t="str">
        <x:v>After layout change</x:v>
      </x:c>
      <x:c r="I6" s="22" t="str">
        <x:v>synergy_version</x:v>
      </x:c>
      <x:c r="J6" s="22" t="str">
        <x:v>High</x:v>
      </x:c>
      <x:c r="K6" s="22" t="str">
        <x:v>P0</x:v>
      </x:c>
      <x:c r="L6" s="38" t="str"/>
    </x:row>
    <x:row r="7">
      <x:c r="A7" s="37" t="str">
        <x:v>Support radius</x:v>
      </x:c>
      <x:c r="B7" s="22" t="str">
        <x:v>Yes</x:v>
      </x:c>
      <x:c r="C7" s="22" t="str">
        <x:v>Derived support links</x:v>
      </x:c>
      <x:c r="D7" s="22" t="str">
        <x:v>Placement mutation</x:v>
      </x:c>
      <x:c r="E7" s="22" t="str">
        <x:v>Min Manhattan edge distance</x:v>
      </x:c>
      <x:c r="F7" s="22" t="str">
        <x:v>None</x:v>
      </x:c>
      <x:c r="G7" s="22" t="str">
        <x:v>Support link claim</x:v>
      </x:c>
      <x:c r="H7" s="22" t="str">
        <x:v>After layout change</x:v>
      </x:c>
      <x:c r="I7" s="22" t="str">
        <x:v>support_version</x:v>
      </x:c>
      <x:c r="J7" s="22" t="str">
        <x:v>High</x:v>
      </x:c>
      <x:c r="K7" s="22" t="str">
        <x:v>P0</x:v>
      </x:c>
      <x:c r="L7" s="38" t="str"/>
    </x:row>
    <x:row r="8">
      <x:c r="A8" s="37" t="str">
        <x:v>Synergy stacking</x:v>
      </x:c>
      <x:c r="B8" s="22" t="str">
        <x:v>Yes</x:v>
      </x:c>
      <x:c r="C8" s="22" t="str">
        <x:v>Ranked applicable links</x:v>
      </x:c>
      <x:c r="D8" s="22" t="str">
        <x:v>Economic tick</x:v>
      </x:c>
      <x:c r="E8" s="22" t="str">
        <x:v>Listed bonus × stack factor</x:v>
      </x:c>
      <x:c r="F8" s="22" t="str">
        <x:v>None</x:v>
      </x:c>
      <x:c r="G8" s="22" t="str">
        <x:v>Final multiplier</x:v>
      </x:c>
      <x:c r="H8" s="22" t="str">
        <x:v>On link/economy change</x:v>
      </x:c>
      <x:c r="I8" s="22" t="str">
        <x:v>stack_version</x:v>
      </x:c>
      <x:c r="J8" s="22" t="str">
        <x:v>High</x:v>
      </x:c>
      <x:c r="K8" s="22" t="str">
        <x:v>P0</x:v>
      </x:c>
      <x:c r="L8" s="38" t="str"/>
    </x:row>
    <x:row r="9">
      <x:c r="A9" s="37" t="str">
        <x:v>Congestion</x:v>
      </x:c>
      <x:c r="B9" s="22" t="str">
        <x:v>Yes</x:v>
      </x:c>
      <x:c r="C9" s="22" t="str">
        <x:v>Local family/customer density</x:v>
      </x:c>
      <x:c r="D9" s="22" t="str">
        <x:v>Economic tick</x:v>
      </x:c>
      <x:c r="E9" s="22" t="str">
        <x:v>Radius density rules</x:v>
      </x:c>
      <x:c r="F9" s="22" t="str">
        <x:v>None</x:v>
      </x:c>
      <x:c r="G9" s="22" t="str">
        <x:v>Penalty amount</x:v>
      </x:c>
      <x:c r="H9" s="22" t="str">
        <x:v>On layout/economy change</x:v>
      </x:c>
      <x:c r="I9" s="22" t="str">
        <x:v>congestion_version</x:v>
      </x:c>
      <x:c r="J9" s="22" t="str">
        <x:v>High</x:v>
      </x:c>
      <x:c r="K9" s="22" t="str">
        <x:v>P0</x:v>
      </x:c>
      <x:c r="L9" s="38" t="str"/>
    </x:row>
    <x:row r="10">
      <x:c r="A10" s="37" t="str">
        <x:v>District qualification</x:v>
      </x:c>
      <x:c r="B10" s="22" t="str">
        <x:v>Yes</x:v>
      </x:c>
      <x:c r="C10" s="22" t="str">
        <x:v>Connected building graph + family counts</x:v>
      </x:c>
      <x:c r="D10" s="22" t="str">
        <x:v>Layout/economy change</x:v>
      </x:c>
      <x:c r="E10" s="22" t="str">
        <x:v>District rules</x:v>
      </x:c>
      <x:c r="F10" s="22" t="str">
        <x:v>None</x:v>
      </x:c>
      <x:c r="G10" s="22" t="str">
        <x:v>District activation</x:v>
      </x:c>
      <x:c r="H10" s="22" t="str">
        <x:v>On layout change</x:v>
      </x:c>
      <x:c r="I10" s="22" t="str">
        <x:v>district_version</x:v>
      </x:c>
      <x:c r="J10" s="22" t="str">
        <x:v>Medium</x:v>
      </x:c>
      <x:c r="K10" s="22" t="str">
        <x:v>P1</x:v>
      </x:c>
      <x:c r="L10" s="38" t="str"/>
    </x:row>
    <x:row r="11">
      <x:c r="A11" s="37" t="str">
        <x:v>Special tile coverage</x:v>
      </x:c>
      <x:c r="B11" s="22" t="str">
        <x:v>Yes</x:v>
      </x:c>
      <x:c r="C11" s="22" t="str">
        <x:v>Tile type per coordinate</x:v>
      </x:c>
      <x:c r="D11" s="22" t="str">
        <x:v>Placement mutation</x:v>
      </x:c>
      <x:c r="E11" s="22" t="str">
        <x:v>Covered eligible tiles / footprint</x:v>
      </x:c>
      <x:c r="F11" s="22" t="str">
        <x:v>None</x:v>
      </x:c>
      <x:c r="G11" s="22" t="str">
        <x:v>Tile bonus</x:v>
      </x:c>
      <x:c r="H11" s="22" t="str">
        <x:v>On layout change</x:v>
      </x:c>
      <x:c r="I11" s="22" t="str">
        <x:v>tilemap_version</x:v>
      </x:c>
      <x:c r="J11" s="22" t="str">
        <x:v>Medium</x:v>
      </x:c>
      <x:c r="K11" s="22" t="str">
        <x:v>P1</x:v>
      </x:c>
      <x:c r="L11" s="38" t="str"/>
    </x:row>
    <x:row r="12">
      <x:c r="A12" s="37" t="str">
        <x:v>Relocation</x:v>
      </x:c>
      <x:c r="B12" s="22" t="str">
        <x:v>Yes</x:v>
      </x:c>
      <x:c r="C12" s="22" t="str">
        <x:v>Old/new coordinates, fee, timers</x:v>
      </x:c>
      <x:c r="D12" s="22" t="str">
        <x:v>Move request</x:v>
      </x:c>
      <x:c r="E12" s="22" t="str">
        <x:v>Validate lock + charge fee</x:v>
      </x:c>
      <x:c r="F12" s="22" t="str">
        <x:v>Move destination</x:v>
      </x:c>
      <x:c r="G12" s="22" t="str">
        <x:v>Fee/downtime override</x:v>
      </x:c>
      <x:c r="H12" s="22" t="str">
        <x:v>On move</x:v>
      </x:c>
      <x:c r="I12" s="22" t="str">
        <x:v>move_tx_id</x:v>
      </x:c>
      <x:c r="J12" s="22" t="str">
        <x:v>High</x:v>
      </x:c>
      <x:c r="K12" s="22" t="str">
        <x:v>P0</x:v>
      </x:c>
      <x:c r="L12" s="38" t="str"/>
    </x:row>
    <x:row r="13">
      <x:c r="A13" s="37" t="str">
        <x:v>Merged geometry</x:v>
      </x:c>
      <x:c r="B13" s="22" t="str">
        <x:v>Yes</x:v>
      </x:c>
      <x:c r="C13" s="22" t="str">
        <x:v>Underlying Plot IDs + merge state</x:v>
      </x:c>
      <x:c r="D13" s="22" t="str">
        <x:v>Merge/unmerge/place</x:v>
      </x:c>
      <x:c r="E13" s="22" t="str">
        <x:v>Continuous coordinate transform</x:v>
      </x:c>
      <x:c r="F13" s="22" t="str">
        <x:v>Requested position</x:v>
      </x:c>
      <x:c r="G13" s="22" t="str">
        <x:v>Ownership override</x:v>
      </x:c>
      <x:c r="H13" s="22" t="str">
        <x:v>Merge state change</x:v>
      </x:c>
      <x:c r="I13" s="22" t="str">
        <x:v>merge_version</x:v>
      </x:c>
      <x:c r="J13" s="22" t="str">
        <x:v>High</x:v>
      </x:c>
      <x:c r="K13" s="22" t="str">
        <x:v>P2</x:v>
      </x:c>
      <x:c r="L13" s="38" t="str"/>
    </x:row>
    <x:row r="14">
      <x:c r="A14" s="39" t="str">
        <x:v>Placement score</x:v>
      </x:c>
      <x:c r="B14" s="40" t="str">
        <x:v>Yes/derived</x:v>
      </x:c>
      <x:c r="C14" s="40" t="str">
        <x:v>Diagnostic components</x:v>
      </x:c>
      <x:c r="D14" s="40" t="str">
        <x:v>Layout change</x:v>
      </x:c>
      <x:c r="E14" s="40" t="str">
        <x:v>Weighted normalized metrics</x:v>
      </x:c>
      <x:c r="F14" s="40" t="str">
        <x:v>None</x:v>
      </x:c>
      <x:c r="G14" s="40" t="str">
        <x:v>Score value</x:v>
      </x:c>
      <x:c r="H14" s="40" t="str">
        <x:v>After layout change</x:v>
      </x:c>
      <x:c r="I14" s="40" t="str">
        <x:v>diagnostic_version</x:v>
      </x:c>
      <x:c r="J14" s="40" t="str">
        <x:v>Low</x:v>
      </x:c>
      <x:c r="K14" s="40" t="str">
        <x:v>P1</x:v>
      </x:c>
      <x:c r="L14" s="41" t="str">
        <x:v>Not Performance Score</x:v>
      </x:c>
    </x:row>
  </x:sheetData>
  <x:mergeCells>
    <x:mergeCell ref="A1:L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2" hidden="0" customWidth="1"/>
    <x:col min="7" max="7" width="3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92" t="str">
        <x:v>Model Checks</x:v>
      </x:c>
      <x:c r="B1" s="92"/>
      <x:c r="C1" s="92"/>
      <x:c r="D1" s="92"/>
      <x:c r="E1" s="92"/>
      <x:c r="F1" s="92"/>
      <x:c r="G1" s="92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4" t="str">
        <x:v>Base board tiles equal width × height</x:v>
      </x:c>
      <x:c r="B4" s="35" t="n">
        <x:v>144</x:v>
      </x:c>
      <x:c r="C4" s="35" t="n">
        <x:f>'01_Assumptions'!B4*'01_Assumptions'!B5</x:f>
        <x:v>144</x:v>
      </x:c>
      <x:c r="D4" s="35" t="str">
        <x:f>IF(C4=B4,"PASS","CHECK")</x:f>
        <x:v>PASS</x:v>
      </x:c>
      <x:c r="E4" s="35" t="str">
        <x:v>Critical</x:v>
      </x:c>
      <x:c r="F4" s="35" t="str">
        <x:v>Board geometry must reconcile</x:v>
      </x:c>
      <x:c r="G4" s="36" t="str"/>
    </x:row>
    <x:row r="5">
      <x:c r="A5" s="37" t="str">
        <x:v>Footprints count = 50</x:v>
      </x:c>
      <x:c r="B5" s="22" t="n">
        <x:v>50</x:v>
      </x:c>
      <x:c r="C5" s="22" t="n">
        <x:f>COUNTA('02_Building_Footprints'!B4:B53)</x:f>
        <x:v>50</x:v>
      </x:c>
      <x:c r="D5" s="22" t="str">
        <x:f>IF(C5=B5,"PASS","CHECK")</x:f>
        <x:v>PASS</x:v>
      </x:c>
      <x:c r="E5" s="22" t="str">
        <x:v>Critical</x:v>
      </x:c>
      <x:c r="F5" s="22" t="str">
        <x:v>All buildings must be covered</x:v>
      </x:c>
      <x:c r="G5" s="38" t="str"/>
    </x:row>
    <x:row r="6">
      <x:c r="A6" s="37" t="str">
        <x:v>Largest footprint &lt;= 16 tiles</x:v>
      </x:c>
      <x:c r="B6" s="22" t="n">
        <x:v>16</x:v>
      </x:c>
      <x:c r="C6" s="22" t="n">
        <x:f>MAX('02_Building_Footprints'!G4:G53)</x:f>
        <x:v>16</x:v>
      </x:c>
      <x:c r="D6" s="22" t="str">
        <x:f>IF(C6&lt;=B6,"PASS","CHECK")</x:f>
        <x:v>PASS</x:v>
      </x:c>
      <x:c r="E6" s="22" t="str">
        <x:v>High</x:v>
      </x:c>
      <x:c r="F6" s="22" t="str">
        <x:v>4×4 is intended max</x:v>
      </x:c>
      <x:c r="G6" s="38" t="str"/>
    </x:row>
    <x:row r="7">
      <x:c r="A7" s="37" t="str">
        <x:v>Special tile counts total 144</x:v>
      </x:c>
      <x:c r="B7" s="22" t="n">
        <x:v>144</x:v>
      </x:c>
      <x:c r="C7" s="22" t="n">
        <x:f>SUM('07_Special_Tiles'!B4:B10)</x:f>
        <x:v>144</x:v>
      </x:c>
      <x:c r="D7" s="22" t="str">
        <x:f>IF(C7=B7,"PASS","CHECK")</x:f>
        <x:v>PASS</x:v>
      </x:c>
      <x:c r="E7" s="22" t="str">
        <x:v>Critical</x:v>
      </x:c>
      <x:c r="F7" s="22" t="str">
        <x:v>Tile map must cover base Plot</x:v>
      </x:c>
      <x:c r="G7" s="38" t="str"/>
    </x:row>
    <x:row r="8">
      <x:c r="A8" s="37" t="str">
        <x:v>Special tile shares total 100%</x:v>
      </x:c>
      <x:c r="B8" s="67" t="n">
        <x:v>1</x:v>
      </x:c>
      <x:c r="C8" s="67" t="n">
        <x:f>SUM('07_Special_Tiles'!C4:C10)</x:f>
        <x:v>1</x:v>
      </x:c>
      <x:c r="D8" s="22" t="str">
        <x:f>IF(ABS(C8-B8)&lt;0.0001,"PASS","CHECK")</x:f>
        <x:v>PASS</x:v>
      </x:c>
      <x:c r="E8" s="22" t="str">
        <x:v>Critical</x:v>
      </x:c>
      <x:c r="F8" s="22" t="str">
        <x:v>Tile distribution must reconcile</x:v>
      </x:c>
      <x:c r="G8" s="38" t="str"/>
    </x:row>
    <x:row r="9">
      <x:c r="A9" s="37" t="str">
        <x:v>Max positive placement bonus &lt;= 25%</x:v>
      </x:c>
      <x:c r="B9" s="67" t="n">
        <x:v>0.25</x:v>
      </x:c>
      <x:c r="C9" s="67" t="n">
        <x:f>'01_Assumptions'!B14</x:f>
        <x:v>0.25</x:v>
      </x:c>
      <x:c r="D9" s="22" t="str">
        <x:f>IF(C9&lt;=B9,"PASS","CHECK")</x:f>
        <x:v>PASS</x:v>
      </x:c>
      <x:c r="E9" s="22" t="str">
        <x:v>Critical</x:v>
      </x:c>
      <x:c r="F9" s="22" t="str">
        <x:v>Prevents placement from overwhelming core economy</x:v>
      </x:c>
      <x:c r="G9" s="38" t="str"/>
    </x:row>
    <x:row r="10">
      <x:c r="A10" s="37" t="str">
        <x:v>Synergy stack factors total &lt;= 2.5</x:v>
      </x:c>
      <x:c r="B10" s="67" t="n">
        <x:v>2.5</x:v>
      </x:c>
      <x:c r="C10" s="67" t="n">
        <x:f>'01_Assumptions'!B10+'01_Assumptions'!B11+'01_Assumptions'!B12+'01_Assumptions'!B13</x:f>
        <x:v>2.5</x:v>
      </x:c>
      <x:c r="D10" s="22" t="str">
        <x:f>IF(C10&lt;=B10,"PASS","CHECK")</x:f>
        <x:v>PASS</x:v>
      </x:c>
      <x:c r="E10" s="22" t="str">
        <x:v>High</x:v>
      </x:c>
      <x:c r="F10" s="22" t="str">
        <x:v>Limits multi-link amplification</x:v>
      </x:c>
      <x:c r="G10" s="38" t="str"/>
    </x:row>
    <x:row r="11">
      <x:c r="A11" s="37" t="str">
        <x:v>District count &gt;= 6</x:v>
      </x:c>
      <x:c r="B11" s="22" t="n">
        <x:v>6</x:v>
      </x:c>
      <x:c r="C11" s="22" t="n">
        <x:f>COUNTA('08_District_Bonuses'!A4:A11)</x:f>
        <x:v>8</x:v>
      </x:c>
      <x:c r="D11" s="22" t="str">
        <x:f>IF(C11&gt;=B11,"PASS","CHECK")</x:f>
        <x:v>PASS</x:v>
      </x:c>
      <x:c r="E11" s="22" t="str">
        <x:v>Medium</x:v>
      </x:c>
      <x:c r="F11" s="22" t="str">
        <x:v>Supports multiple viable strategies</x:v>
      </x:c>
      <x:c r="G11" s="38" t="str"/>
    </x:row>
    <x:row r="12">
      <x:c r="A12" s="37" t="str">
        <x:v>Tycoon single Plot occupancy &lt;= 90%</x:v>
      </x:c>
      <x:c r="B12" s="67" t="n">
        <x:v>0.9</x:v>
      </x:c>
      <x:c r="C12" s="67" t="n">
        <x:f>'11_Board_Simulations'!E12</x:f>
        <x:v>0.7222222222222222</x:v>
      </x:c>
      <x:c r="D12" s="22" t="str">
        <x:f>IF(C12&lt;=B12,"PASS","CHECK")</x:f>
        <x:v>PASS</x:v>
      </x:c>
      <x:c r="E12" s="22" t="str">
        <x:v>High</x:v>
      </x:c>
      <x:c r="F12" s="22" t="str">
        <x:v>Single Plot should be constrained but still playable</x:v>
      </x:c>
      <x:c r="G12" s="38" t="str"/>
    </x:row>
    <x:row r="13">
      <x:c r="A13" s="37" t="str">
        <x:v>Merged 2-Plot occupancy &lt;= 80%</x:v>
      </x:c>
      <x:c r="B13" s="67" t="n">
        <x:v>0.8</x:v>
      </x:c>
      <x:c r="C13" s="67" t="n">
        <x:f>'11_Board_Simulations'!E13</x:f>
        <x:v>0.6527777777777778</x:v>
      </x:c>
      <x:c r="D13" s="22" t="str">
        <x:f>IF(C13&lt;=B13,"PASS","CHECK")</x:f>
        <x:v>PASS</x:v>
      </x:c>
      <x:c r="E13" s="22" t="str">
        <x:v>Medium</x:v>
      </x:c>
      <x:c r="F13" s="22" t="str">
        <x:v>Merged territory should restore planning room</x:v>
      </x:c>
      <x:c r="G13" s="38" t="str"/>
    </x:row>
    <x:row r="14">
      <x:c r="A14" s="39" t="str">
        <x:v>Placement score weights total 100%</x:v>
      </x:c>
      <x:c r="B14" s="68" t="n">
        <x:v>1</x:v>
      </x:c>
      <x:c r="C14" s="68" t="n">
        <x:f>SUM('10_Placement_Score'!B4:B8)</x:f>
        <x:v>1</x:v>
      </x:c>
      <x:c r="D14" s="40" t="str">
        <x:f>IF(ABS(C14-B14)&lt;0.0001,"PASS","CHECK")</x:f>
        <x:v>PASS</x:v>
      </x:c>
      <x:c r="E14" s="40" t="str">
        <x:v>Critical</x:v>
      </x:c>
      <x:c r="F14" s="40" t="str">
        <x:v>Diagnostic score must reconcile</x:v>
      </x:c>
      <x:c r="G14" s="41" t="str"/>
    </x:row>
  </x:sheetData>
  <x:mergeCells>
    <x:mergeCell ref="A1:G1"/>
  </x:mergeCells>
  <x:conditionalFormatting sqref="D4:D14">
    <x:cfRule type="expression" dxfId="45" priority="1">
      <x:formula>D4="PASS"</x:formula>
    </x:cfRule>
    <x:cfRule type="expression" dxfId="46" priority="2">
      <x:formula>D4="CHECK"</x:formula>
    </x:cfRule>
  </x:conditionalFormatting>
  <x:pageMargins left="0.7" right="0.7" top="0.75" bottom="0.75" header="0.3" footer="0.3"/>
</x:worksheet>
</file>