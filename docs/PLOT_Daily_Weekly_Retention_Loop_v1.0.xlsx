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ea7091ffc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6f8fa2a24082427f"/>
    <x:sheet xmlns:r="http://schemas.openxmlformats.org/officeDocument/2006/relationships" name="01_Retention_Principles" sheetId="2" r:id="R36309cf976aa40c6"/>
    <x:sheet xmlns:r="http://schemas.openxmlformats.org/officeDocument/2006/relationships" name="02_Daily_Loop" sheetId="3" r:id="R55e4d2258ee447cc"/>
    <x:sheet xmlns:r="http://schemas.openxmlformats.org/officeDocument/2006/relationships" name="03_Weekly_Loop" sheetId="4" r:id="R68254a3617914bd3"/>
    <x:sheet xmlns:r="http://schemas.openxmlformats.org/officeDocument/2006/relationships" name="04_Daily_Briefing" sheetId="5" r:id="R59c519c3f044448f"/>
    <x:sheet xmlns:r="http://schemas.openxmlformats.org/officeDocument/2006/relationships" name="05_Market_Hunt_Reset" sheetId="6" r:id="R1d6334bc87b04298"/>
    <x:sheet xmlns:r="http://schemas.openxmlformats.org/officeDocument/2006/relationships" name="06_Customer_Return_Loop" sheetId="7" r:id="R9fc80bd0f1c3410f"/>
    <x:sheet xmlns:r="http://schemas.openxmlformats.org/officeDocument/2006/relationships" name="07_Business_Objectives" sheetId="8" r:id="R4695d52adaf1491b"/>
    <x:sheet xmlns:r="http://schemas.openxmlformats.org/officeDocument/2006/relationships" name="08_Event_Calendar" sheetId="9" r:id="R6ecd4e525ba54564"/>
    <x:sheet xmlns:r="http://schemas.openxmlformats.org/officeDocument/2006/relationships" name="09_Weekly_Payout_Countdown" sheetId="10" r:id="Rda042d1455ea4750"/>
    <x:sheet xmlns:r="http://schemas.openxmlformats.org/officeDocument/2006/relationships" name="10_Active_Day_Streaks" sheetId="11" r:id="R5608b297ebc44772"/>
    <x:sheet xmlns:r="http://schemas.openxmlformats.org/officeDocument/2006/relationships" name="11_Decision_Cadence" sheetId="12" r:id="R8ca7616dd8884ece"/>
    <x:sheet xmlns:r="http://schemas.openxmlformats.org/officeDocument/2006/relationships" name="12_Notification_Policy" sheetId="13" r:id="Rff3b1bd9e40b4aa1"/>
    <x:sheet xmlns:r="http://schemas.openxmlformats.org/officeDocument/2006/relationships" name="13_Retention_Economy_Guardrails" sheetId="14" r:id="R42b90477997d4d4f"/>
    <x:sheet xmlns:r="http://schemas.openxmlformats.org/officeDocument/2006/relationships" name="14_Backend_State_Jobs" sheetId="15" r:id="Re8c115a080d84629"/>
    <x:sheet xmlns:r="http://schemas.openxmlformats.org/officeDocument/2006/relationships" name="15_Analytics_KPIs" sheetId="16" r:id="R847416edc9984d19"/>
    <x:sheet xmlns:r="http://schemas.openxmlformats.org/officeDocument/2006/relationships" name="16_Player_Scenarios" sheetId="17" r:id="R7946a224303442c3"/>
    <x:sheet xmlns:r="http://schemas.openxmlformats.org/officeDocument/2006/relationships" name="17_QA_Acceptance" sheetId="18" r:id="R219191e486be4a9c"/>
    <x:sheet xmlns:r="http://schemas.openxmlformats.org/officeDocument/2006/relationships" name="18_Canonical_Decisions" sheetId="19" r:id="R44dcbdb3de074fa5"/>
    <x:sheet xmlns:r="http://schemas.openxmlformats.org/officeDocument/2006/relationships" name="19_Model_Checks" sheetId="20" r:id="R45144874c9c6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"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68863f77c4d7c" /><Relationship Type="http://schemas.openxmlformats.org/officeDocument/2006/relationships/theme" Target="/xl/theme/theme1.xml" Id="R67d03660557843af" /><Relationship Type="http://schemas.openxmlformats.org/officeDocument/2006/relationships/sharedStrings" Target="/xl/sharedStrings.xml" Id="R8000869ae9d349b1" /><Relationship Type="http://schemas.openxmlformats.org/officeDocument/2006/relationships/worksheet" Target="/xl/worksheets/sheet1.xml" Id="R6f8fa2a24082427f" /><Relationship Type="http://schemas.openxmlformats.org/officeDocument/2006/relationships/worksheet" Target="/xl/worksheets/sheet2.xml" Id="R36309cf976aa40c6" /><Relationship Type="http://schemas.openxmlformats.org/officeDocument/2006/relationships/worksheet" Target="/xl/worksheets/sheet3.xml" Id="R55e4d2258ee447cc" /><Relationship Type="http://schemas.openxmlformats.org/officeDocument/2006/relationships/worksheet" Target="/xl/worksheets/sheet4.xml" Id="R68254a3617914bd3" /><Relationship Type="http://schemas.openxmlformats.org/officeDocument/2006/relationships/worksheet" Target="/xl/worksheets/sheet5.xml" Id="R59c519c3f044448f" /><Relationship Type="http://schemas.openxmlformats.org/officeDocument/2006/relationships/worksheet" Target="/xl/worksheets/sheet6.xml" Id="R1d6334bc87b04298" /><Relationship Type="http://schemas.openxmlformats.org/officeDocument/2006/relationships/worksheet" Target="/xl/worksheets/sheet7.xml" Id="R9fc80bd0f1c3410f" /><Relationship Type="http://schemas.openxmlformats.org/officeDocument/2006/relationships/worksheet" Target="/xl/worksheets/sheet8.xml" Id="R4695d52adaf1491b" /><Relationship Type="http://schemas.openxmlformats.org/officeDocument/2006/relationships/worksheet" Target="/xl/worksheets/sheet9.xml" Id="R6ecd4e525ba54564" /><Relationship Type="http://schemas.openxmlformats.org/officeDocument/2006/relationships/worksheet" Target="/xl/worksheets/sheet10.xml" Id="Rda042d1455ea4750" /><Relationship Type="http://schemas.openxmlformats.org/officeDocument/2006/relationships/worksheet" Target="/xl/worksheets/sheet11.xml" Id="R5608b297ebc44772" /><Relationship Type="http://schemas.openxmlformats.org/officeDocument/2006/relationships/worksheet" Target="/xl/worksheets/sheet12.xml" Id="R8ca7616dd8884ece" /><Relationship Type="http://schemas.openxmlformats.org/officeDocument/2006/relationships/worksheet" Target="/xl/worksheets/sheet13.xml" Id="Rff3b1bd9e40b4aa1" /><Relationship Type="http://schemas.openxmlformats.org/officeDocument/2006/relationships/worksheet" Target="/xl/worksheets/sheet14.xml" Id="R42b90477997d4d4f" /><Relationship Type="http://schemas.openxmlformats.org/officeDocument/2006/relationships/worksheet" Target="/xl/worksheets/sheet15.xml" Id="Re8c115a080d84629" /><Relationship Type="http://schemas.openxmlformats.org/officeDocument/2006/relationships/worksheet" Target="/xl/worksheets/sheet16.xml" Id="R847416edc9984d19" /><Relationship Type="http://schemas.openxmlformats.org/officeDocument/2006/relationships/worksheet" Target="/xl/worksheets/sheet17.xml" Id="R7946a224303442c3" /><Relationship Type="http://schemas.openxmlformats.org/officeDocument/2006/relationships/worksheet" Target="/xl/worksheets/sheet18.xml" Id="R219191e486be4a9c" /><Relationship Type="http://schemas.openxmlformats.org/officeDocument/2006/relationships/worksheet" Target="/xl/worksheets/sheet19.xml" Id="R44dcbdb3de074fa5" /><Relationship Type="http://schemas.openxmlformats.org/officeDocument/2006/relationships/worksheet" Target="/xl/worksheets/sheet20.xml" Id="R45144874c9c649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a4caea9c3540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Target meaningful decisions by engaged session length</a:t>
            </a:r>
          </a:p>
        </c:rich>
      </c:tx>
    </c:title>
    <c:plotArea>
      <c:lineChart>
        <c:grouping val="standard"/>
        <c:ser>
          <c:idx val="0"/>
          <c:order val="0"/>
          <c:tx>
            <c:v>Target Meaningful Decisions</c:v>
          </c:tx>
          <c:marker>
            <c:symbol val="none"/>
          </c:marker>
          <c:cat>
            <c:strRef>
              <c:f>'00_Dashboard'!$A$17:$A$22</c:f>
              <c:strCache>
                <c:ptCount val="0"/>
              </c:strCache>
            </c:strRef>
          </c:cat>
          <c:val>
            <c:numRef>
              <c:f>'00_Dashboard'!$B$17:$B$22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a4caea9c35403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cc1bebc88d4b72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54" t="str">
        <x:v>PLOT — Daily / Weekly Retention Loop v1.0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22"/>
      <x:c r="P1" s="22"/>
      <x:c r="Q1" s="22"/>
    </x:row>
    <x:row r="3">
      <x:c r="A3" s="14" t="str">
        <x:v>Daily Reason to Return</x:v>
      </x:c>
      <x:c r="B3" s="14" t="str">
        <x:v>Hunt Reset</x:v>
      </x:c>
      <x:c r="C3" s="14" t="str">
        <x:v>Customer Change</x:v>
      </x:c>
      <x:c r="D3" s="14" t="str">
        <x:v>Business Objectives</x:v>
      </x:c>
      <x:c r="E3" s="14" t="str">
        <x:v>Event Calendar</x:v>
      </x:c>
      <x:c r="F3" s="14" t="str">
        <x:v>Weekly Competition</x:v>
      </x:c>
      <x:c r="G3" s="14" t="str">
        <x:v>Active-Day Rule</x:v>
      </x:c>
      <x:c r="H3" s="14" t="str">
        <x:v>Streak Policy</x:v>
      </x:c>
      <x:c r="I3" s="14" t="str">
        <x:v>Meaningful Decisions / Day</x:v>
      </x:c>
      <x:c r="J3" s="14" t="str">
        <x:v>Decision Spacing</x:v>
      </x:c>
      <x:c r="K3" s="14" t="str">
        <x:v>Weekly Epoch</x:v>
      </x:c>
      <x:c r="L3" s="14" t="str">
        <x:v>Payout Timing</x:v>
      </x:c>
      <x:c r="M3" s="14" t="str">
        <x:v>Offline Role</x:v>
      </x:c>
      <x:c r="N3" s="14" t="str">
        <x:v>Status</x:v>
      </x:c>
    </x:row>
    <x:row r="4">
      <x:c r="A4" s="24" t="str">
        <x:v>See what changed, make 1–3 management decisions, refresh Hunts, progress objectives and improve weekly position</x:v>
      </x:c>
      <x:c r="B4" s="25" t="str">
        <x:v>3 new Hunt offers at 00:00 UTC; started Hunts keep real-time expiry; max 5 active</x:v>
      </x:c>
      <x:c r="C4" s="25" t="str">
        <x:v>15-min customer simulation + return summary; acquisition/churn/utilization/risk may create action prompts</x:v>
      </x:c>
      <x:c r="D4" s="25" t="str">
        <x:v>3 daily business objectives: Operations, Growth, Market; small stage-scaled Cash only</x:v>
      </x:c>
      <x:c r="E4" s="25" t="str">
        <x:v>2 known major/global windows per week + surprise/minor events; personal decisions max 3/week</x:v>
      </x:c>
      <x:c r="F4" s="25" t="str">
        <x:v>Performance Score + league leaderboard + fixed weekly $PLOT pool</x:v>
      </x:c>
      <x:c r="G4" s="25" t="str">
        <x:v>&gt;=10 engaged minutes + &gt;=1 validated state-changing action in UTC day</x:v>
      </x:c>
      <x:c r="H4" s="25" t="str">
        <x:v>No reward-bearing login streak; Operating Streak is cosmetic/status only</x:v>
      </x:c>
      <x:c r="I4" s="25" t="str">
        <x:v>Target 4–8 optional decisions for a normal engaged day</x:v>
      </x:c>
      <x:c r="J4" s="25" t="str">
        <x:v>Normal play: one meaningful decision opportunity roughly every 8–15 engaged minutes</x:v>
      </x:c>
      <x:c r="K4" s="25" t="str">
        <x:v>Mon 00:00 UTC → Sun 23:59 UTC</x:v>
      </x:c>
      <x:c r="L4" s="25" t="str">
        <x:v>Previous week settles after close; target finalize &lt;=8h; then claimable</x:v>
      </x:c>
      <x:c r="M4" s="25" t="str">
        <x:v>Progress continues at reduced efficiency; active management remains better</x:v>
      </x:c>
      <x:c r="N4" s="26" t="str">
        <x:v>CANONICAL</x:v>
      </x:c>
    </x:row>
    <x:row r="6" ht="22" customHeight="1">
      <x:c r="A6" s="11" t="str">
        <x:v>Retention Rhythm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4" t="str">
        <x:v>Cadence</x:v>
      </x:c>
      <x:c r="B7" s="14" t="str">
        <x:v>Player Trigger</x:v>
      </x:c>
      <x:c r="C7" s="14" t="str">
        <x:v>Core Reason</x:v>
      </x:c>
      <x:c r="D7" s="14" t="str">
        <x:v>Required?</x:v>
      </x:c>
      <x:c r="E7" s="14" t="str">
        <x:v>Typical Time</x:v>
      </x:c>
      <x:c r="F7" s="14" t="str">
        <x:v>Reward Type</x:v>
      </x:c>
      <x:c r="G7" s="14" t="str">
        <x:v>Competitive Effect</x:v>
      </x:c>
      <x:c r="H7" s="14" t="str">
        <x:v>Design Goal</x:v>
      </x:c>
    </x:row>
    <x:row r="8">
      <x:c r="A8" s="30" t="str">
        <x:v>Every return</x:v>
      </x:c>
      <x:c r="B8" s="31" t="str">
        <x:v>Return Summary</x:v>
      </x:c>
      <x:c r="C8" s="31" t="str">
        <x:v>See Cash, customer, risk, event and timer changes</x:v>
      </x:c>
      <x:c r="D8" s="31" t="str">
        <x:v>No</x:v>
      </x:c>
      <x:c r="E8" s="31" t="str">
        <x:v>30–60 sec</x:v>
      </x:c>
      <x:c r="F8" s="31" t="str">
        <x:v>Information + next action</x:v>
      </x:c>
      <x:c r="G8" s="31" t="str">
        <x:v>Indirect only</x:v>
      </x:c>
      <x:c r="H8" s="32" t="str">
        <x:v>Make absence feel productive but create a reason to manage</x:v>
      </x:c>
    </x:row>
    <x:row r="9">
      <x:c r="A9" s="33" t="str">
        <x:v>Daily first engaged session</x:v>
      </x:c>
      <x:c r="B9" s="22" t="str">
        <x:v>Daily Briefing</x:v>
      </x:c>
      <x:c r="C9" s="22" t="str">
        <x:v>3 Hunts, 3 business objectives, event calendar, weekly position</x:v>
      </x:c>
      <x:c r="D9" s="22" t="str">
        <x:v>No</x:v>
      </x:c>
      <x:c r="E9" s="22" t="str">
        <x:v>1–2 min</x:v>
      </x:c>
      <x:c r="F9" s="22" t="str">
        <x:v>No login grant</x:v>
      </x:c>
      <x:c r="G9" s="22" t="str">
        <x:v>None directly</x:v>
      </x:c>
      <x:c r="H9" s="34" t="str">
        <x:v>Immediate orientation without chores</x:v>
      </x:c>
    </x:row>
    <x:row r="10">
      <x:c r="A10" s="33" t="str">
        <x:v>Daily active play</x:v>
      </x:c>
      <x:c r="B10" s="22" t="str">
        <x:v>Management decisions</x:v>
      </x:c>
      <x:c r="C10" s="22" t="str">
        <x:v>Upgrade, capacity, risk, placement, Hunt, event choice</x:v>
      </x:c>
      <x:c r="D10" s="22" t="str">
        <x:v>No</x:v>
      </x:c>
      <x:c r="E10" s="22" t="str">
        <x:v>10–30 min</x:v>
      </x:c>
      <x:c r="F10" s="22" t="str">
        <x:v>Normal economy/Hunt rewards</x:v>
      </x:c>
      <x:c r="G10" s="22" t="str">
        <x:v>Existing systems only</x:v>
      </x:c>
      <x:c r="H10" s="34" t="str">
        <x:v>2–4 satisfying decisions per session</x:v>
      </x:c>
    </x:row>
    <x:row r="11">
      <x:c r="A11" s="33" t="str">
        <x:v>Midweek</x:v>
      </x:c>
      <x:c r="B11" s="22" t="str">
        <x:v>Weekly Checkpoint</x:v>
      </x:c>
      <x:c r="C11" s="22" t="str">
        <x:v>Eligibility days, score components, league position, next event</x:v>
      </x:c>
      <x:c r="D11" s="22" t="str">
        <x:v>No</x:v>
      </x:c>
      <x:c r="E11" s="22" t="str">
        <x:v>1–3 min</x:v>
      </x:c>
      <x:c r="F11" s="22" t="str">
        <x:v>Information only</x:v>
      </x:c>
      <x:c r="G11" s="22" t="str">
        <x:v>None directly</x:v>
      </x:c>
      <x:c r="H11" s="34" t="str">
        <x:v>Give direction before final day</x:v>
      </x:c>
    </x:row>
    <x:row r="12">
      <x:c r="A12" s="33" t="str">
        <x:v>Final 24h of week</x:v>
      </x:c>
      <x:c r="B12" s="22" t="str">
        <x:v>Closing Bell</x:v>
      </x:c>
      <x:c r="C12" s="22" t="str">
        <x:v>Countdown, missing active-day eligibility, score weaknesses</x:v>
      </x:c>
      <x:c r="D12" s="22" t="str">
        <x:v>No</x:v>
      </x:c>
      <x:c r="E12" s="22" t="str">
        <x:v>1–3 min</x:v>
      </x:c>
      <x:c r="F12" s="22" t="str">
        <x:v>Information only</x:v>
      </x:c>
      <x:c r="G12" s="22" t="str">
        <x:v>None directly</x:v>
      </x:c>
      <x:c r="H12" s="34" t="str">
        <x:v>Create urgency without artificial bonuses</x:v>
      </x:c>
    </x:row>
    <x:row r="13">
      <x:c r="A13" s="35" t="str">
        <x:v>Weekly close</x:v>
      </x:c>
      <x:c r="B13" s="36" t="str">
        <x:v>Settlement</x:v>
      </x:c>
      <x:c r="C13" s="36" t="str">
        <x:v>Final score/league result and prior-week $PLOT claim</x:v>
      </x:c>
      <x:c r="D13" s="36" t="str">
        <x:v>No</x:v>
      </x:c>
      <x:c r="E13" s="36" t="str">
        <x:v>1–3 min</x:v>
      </x:c>
      <x:c r="F13" s="36" t="str">
        <x:v>Fixed weekly pool share if eligible</x:v>
      </x:c>
      <x:c r="G13" s="36" t="str">
        <x:v>Canonical payout</x:v>
      </x:c>
      <x:c r="H13" s="37" t="str">
        <x:v>Weekly payoff</x:v>
      </x:c>
    </x:row>
    <x:row r="15" ht="22" customHeight="1">
      <x:c r="A15" s="11" t="str">
        <x:v>Decision Density Targets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</x:row>
    <x:row r="16">
      <x:c r="A16" s="14" t="str">
        <x:v>Session Length (min)</x:v>
      </x:c>
      <x:c r="B16" s="14" t="str">
        <x:v>Target Meaningful Decisions</x:v>
      </x:c>
    </x:row>
    <x:row r="17">
      <x:c r="A17" s="30" t="n">
        <x:v>10</x:v>
      </x:c>
      <x:c r="B17" s="32" t="n">
        <x:v>1</x:v>
      </x:c>
    </x:row>
    <x:row r="18">
      <x:c r="A18" s="33" t="n">
        <x:v>20</x:v>
      </x:c>
      <x:c r="B18" s="34" t="n">
        <x:v>2</x:v>
      </x:c>
    </x:row>
    <x:row r="19">
      <x:c r="A19" s="33" t="n">
        <x:v>30</x:v>
      </x:c>
      <x:c r="B19" s="34" t="n">
        <x:v>3</x:v>
      </x:c>
    </x:row>
    <x:row r="20">
      <x:c r="A20" s="33" t="n">
        <x:v>45</x:v>
      </x:c>
      <x:c r="B20" s="34" t="n">
        <x:v>4</x:v>
      </x:c>
    </x:row>
    <x:row r="21">
      <x:c r="A21" s="33" t="n">
        <x:v>60</x:v>
      </x:c>
      <x:c r="B21" s="34" t="n">
        <x:v>5</x:v>
      </x:c>
    </x:row>
    <x:row r="22">
      <x:c r="A22" s="35" t="n">
        <x:v>90</x:v>
      </x:c>
      <x:c r="B22" s="37" t="n">
        <x:v>7</x:v>
      </x:c>
    </x:row>
  </x:sheetData>
  <x:mergeCells>
    <x:mergeCell ref="A1:N1"/>
    <x:mergeCell ref="A6:N6"/>
    <x:mergeCell ref="A15:N15"/>
  </x:mergeCells>
  <x:pageMargins left="0.7" right="0.7" top="0.75" bottom="0.75" header="0.3" footer="0.3"/>
  <x:drawing xmlns:r="http://schemas.openxmlformats.org/officeDocument/2006/relationships" r:id="R45cc1bebc88d4b72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54" t="str">
        <x:v>Retention Principles &amp; Anti-Chore Guardrails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2"/>
    </x:row>
    <x:row r="3">
      <x:c r="A3" s="14" t="str">
        <x:v>Principle</x:v>
      </x:c>
      <x:c r="B3" s="14" t="str">
        <x:v>Canonical Rule</x:v>
      </x:c>
      <x:c r="C3" s="14" t="str">
        <x:v>Reason</x:v>
      </x:c>
      <x:c r="D3" s="14" t="str">
        <x:v>Daily Impact</x:v>
      </x:c>
      <x:c r="E3" s="14" t="str">
        <x:v>Weekly Impact</x:v>
      </x:c>
      <x:c r="F3" s="14" t="str">
        <x:v>Offline Impact</x:v>
      </x:c>
      <x:c r="G3" s="14" t="str">
        <x:v>Performance Impact</x:v>
      </x:c>
      <x:c r="H3" s="14" t="str">
        <x:v>PLOT Impact</x:v>
      </x:c>
      <x:c r="I3" s="14" t="str">
        <x:v>Customer Impact</x:v>
      </x:c>
      <x:c r="J3" s="14" t="str">
        <x:v>Hunt Impact</x:v>
      </x:c>
      <x:c r="K3" s="14" t="str">
        <x:v>Event Impact</x:v>
      </x:c>
      <x:c r="L3" s="14" t="str">
        <x:v>Objective Impact</x:v>
      </x:c>
      <x:c r="M3" s="14" t="str">
        <x:v>Notification Impact</x:v>
      </x:c>
      <x:c r="N3" s="14" t="str">
        <x:v>Risk if Violated</x:v>
      </x:c>
      <x:c r="O3" s="14" t="str">
        <x:v>Priority</x:v>
      </x:c>
      <x:c r="P3" s="14" t="str">
        <x:v>Notes</x:v>
      </x:c>
    </x:row>
    <x:row r="4">
      <x:c r="A4" s="30" t="str">
        <x:v>Return because the world changed</x:v>
      </x:c>
      <x:c r="B4" s="31" t="str">
        <x:v>First screen after meaningful absence is a concise return summary, not a login reward popup</x:v>
      </x:c>
      <x:c r="C4" s="31" t="str">
        <x:v>The game should feel alive while away</x:v>
      </x:c>
      <x:c r="D4" s="31" t="str">
        <x:v>Shows changes and 1 recommended action</x:v>
      </x:c>
      <x:c r="E4" s="31" t="str">
        <x:v>Feeds weekly context</x:v>
      </x:c>
      <x:c r="F4" s="31" t="str">
        <x:v>Uses reduced offline simulation</x:v>
      </x:c>
      <x:c r="G4" s="31" t="str">
        <x:v>Underlying metrics only</x:v>
      </x:c>
      <x:c r="H4" s="31" t="str">
        <x:v>None direct</x:v>
      </x:c>
      <x:c r="I4" s="31" t="str">
        <x:v>New/churn/net visible</x:v>
      </x:c>
      <x:c r="J4" s="31" t="str">
        <x:v>Timers/expiry visible</x:v>
      </x:c>
      <x:c r="K4" s="31" t="str">
        <x:v>Global events continue</x:v>
      </x:c>
      <x:c r="L4" s="31" t="str">
        <x:v>Objectives resume with current state</x:v>
      </x:c>
      <x:c r="M4" s="31" t="str">
        <x:v>Useful summary notification only if materially changed</x:v>
      </x:c>
      <x:c r="N4" s="31" t="str">
        <x:v>Game becomes a daily claim chore</x:v>
      </x:c>
      <x:c r="O4" s="31" t="str">
        <x:v>P0</x:v>
      </x:c>
      <x:c r="P4" s="32" t="str"/>
    </x:row>
    <x:row r="5">
      <x:c r="A5" s="33" t="str">
        <x:v>No mandatory daily grind</x:v>
      </x:c>
      <x:c r="B5" s="22" t="str">
        <x:v>Daily systems create opportunities, not penalties for missing a day</x:v>
      </x:c>
      <x:c r="C5" s="22" t="str">
        <x:v>Supports healthy retention</x:v>
      </x:c>
      <x:c r="D5" s="22" t="str">
        <x:v>No daily loss of permanent progress</x:v>
      </x:c>
      <x:c r="E5" s="22" t="str">
        <x:v>Eligibility still needs 3/4 active days, not 7</x:v>
      </x:c>
      <x:c r="F5" s="22" t="str">
        <x:v>12h recurring offline cap still applies</x:v>
      </x:c>
      <x:c r="G5" s="22" t="str">
        <x:v>Missing days naturally reduce activity, not a punishment multiplier</x:v>
      </x:c>
      <x:c r="H5" s="22" t="str">
        <x:v>No direct penalty</x:v>
      </x:c>
      <x:c r="I5" s="22" t="str">
        <x:v>Customers continue reduced sim</x:v>
      </x:c>
      <x:c r="J5" s="22" t="str">
        <x:v>Unused offers expire</x:v>
      </x:c>
      <x:c r="K5" s="22" t="str">
        <x:v>Events continue</x:v>
      </x:c>
      <x:c r="L5" s="22" t="str">
        <x:v>Unfinished daily objectives expire without debt</x:v>
      </x:c>
      <x:c r="M5" s="22" t="str">
        <x:v>No guilt messaging</x:v>
      </x:c>
      <x:c r="N5" s="22" t="str">
        <x:v>Burnout</x:v>
      </x:c>
      <x:c r="O5" s="22" t="str">
        <x:v>P0</x:v>
      </x:c>
      <x:c r="P5" s="34" t="str"/>
    </x:row>
    <x:row r="6">
      <x:c r="A6" s="33" t="str">
        <x:v>Meaningful decisions beat taps</x:v>
      </x:c>
      <x:c r="B6" s="22" t="str">
        <x:v>Heartbeat, opening app, refresh and pan/zoom never count as engagement</x:v>
      </x:c>
      <x:c r="C6" s="22" t="str">
        <x:v>Prevents AFK/login farming</x:v>
      </x:c>
      <x:c r="D6" s="22" t="str">
        <x:v>Active day requires real state change</x:v>
      </x:c>
      <x:c r="E6" s="22" t="str">
        <x:v>League eligibility trustworthy</x:v>
      </x:c>
      <x:c r="F6" s="22" t="str">
        <x:v>AFK uses reduced economy</x:v>
      </x:c>
      <x:c r="G6" s="22" t="str">
        <x:v>Activity/Hunts require active play</x:v>
      </x:c>
      <x:c r="H6" s="22" t="str">
        <x:v>No direct</x:v>
      </x:c>
      <x:c r="I6" s="22" t="str">
        <x:v>Management choices matter</x:v>
      </x:c>
      <x:c r="J6" s="22" t="str">
        <x:v>Hunt progress validated</x:v>
      </x:c>
      <x:c r="K6" s="22" t="str">
        <x:v>Choices validated</x:v>
      </x:c>
      <x:c r="L6" s="22" t="str">
        <x:v>Objectives require real evidence</x:v>
      </x:c>
      <x:c r="M6" s="22" t="str">
        <x:v>Do not notify for trivial clicks</x:v>
      </x:c>
      <x:c r="N6" s="22" t="str">
        <x:v>Farmable retention metrics</x:v>
      </x:c>
      <x:c r="O6" s="22" t="str">
        <x:v>P0</x:v>
      </x:c>
      <x:c r="P6" s="34" t="str"/>
    </x:row>
    <x:row r="7">
      <x:c r="A7" s="33" t="str">
        <x:v>Weekly payoff, daily progress</x:v>
      </x:c>
      <x:c r="B7" s="22" t="str">
        <x:v>Daily actions should visibly affect one or more weekly components</x:v>
      </x:c>
      <x:c r="C7" s="22" t="str">
        <x:v>Keeps long-term purpose clear</x:v>
      </x:c>
      <x:c r="D7" s="22" t="str">
        <x:v>Score component deltas shown selectively</x:v>
      </x:c>
      <x:c r="E7" s="22" t="str">
        <x:v>Payout/league close is major payoff</x:v>
      </x:c>
      <x:c r="F7" s="22" t="str">
        <x:v>Offline contributes less</x:v>
      </x:c>
      <x:c r="G7" s="22" t="str">
        <x:v>Canonical score weights only</x:v>
      </x:c>
      <x:c r="H7" s="22" t="str">
        <x:v>Fixed weekly pool only</x:v>
      </x:c>
      <x:c r="I7" s="22" t="str">
        <x:v>Customers matter</x:v>
      </x:c>
      <x:c r="J7" s="22" t="str">
        <x:v>Hunts 5%</x:v>
      </x:c>
      <x:c r="K7" s="22" t="str">
        <x:v>Events affect underlying state</x:v>
      </x:c>
      <x:c r="L7" s="22" t="str">
        <x:v>Objectives never award score directly</x:v>
      </x:c>
      <x:c r="M7" s="22" t="str">
        <x:v>Countdown reminders limited</x:v>
      </x:c>
      <x:c r="N7" s="22" t="str">
        <x:v>Disconnected systems</x:v>
      </x:c>
      <x:c r="O7" s="22" t="str">
        <x:v>P0</x:v>
      </x:c>
      <x:c r="P7" s="34" t="str"/>
    </x:row>
    <x:row r="8">
      <x:c r="A8" s="33" t="str">
        <x:v>No reward-bearing login streak</x:v>
      </x:c>
      <x:c r="B8" s="22" t="str">
        <x:v>Operating Streak is status/cosmetic only</x:v>
      </x:c>
      <x:c r="C8" s="22" t="str">
        <x:v>Avoid coercive streak loss and competitive snowball</x:v>
      </x:c>
      <x:c r="D8" s="22" t="str">
        <x:v>No free Cash/Modules/Hunt Points simply for opening</x:v>
      </x:c>
      <x:c r="E8" s="22" t="str">
        <x:v>No payout multiplier</x:v>
      </x:c>
      <x:c r="F8" s="22" t="str">
        <x:v>No effect</x:v>
      </x:c>
      <x:c r="G8" s="22" t="str">
        <x:v>0 direct</x:v>
      </x:c>
      <x:c r="H8" s="22" t="str">
        <x:v>0</x:v>
      </x:c>
      <x:c r="I8" s="22" t="str">
        <x:v>0</x:v>
      </x:c>
      <x:c r="J8" s="22" t="str">
        <x:v>0</x:v>
      </x:c>
      <x:c r="K8" s="22" t="str">
        <x:v>0</x:v>
      </x:c>
      <x:c r="L8" s="22" t="str">
        <x:v>0</x:v>
      </x:c>
      <x:c r="M8" s="22" t="str">
        <x:v>No panic reminder for streak loss</x:v>
      </x:c>
      <x:c r="N8" s="22" t="str">
        <x:v>Streak becomes mandatory power</x:v>
      </x:c>
      <x:c r="O8" s="22" t="str">
        <x:v>P0</x:v>
      </x:c>
      <x:c r="P8" s="34" t="str"/>
    </x:row>
    <x:row r="9">
      <x:c r="A9" s="35" t="str">
        <x:v>Decision prompts are bounded</x:v>
      </x:c>
      <x:c r="B9" s="36" t="str">
        <x:v>Normal proactive prompt budget max 3/session; critical risk exceptions</x:v>
      </x:c>
      <x:c r="C9" s="36" t="str">
        <x:v>Avoid nagging</x:v>
      </x:c>
      <x:c r="D9" s="36" t="str">
        <x:v>One decision opportunity roughly every 8–15 engaged minutes</x:v>
      </x:c>
      <x:c r="E9" s="36" t="str">
        <x:v>Event/calendar decisions distributed</x:v>
      </x:c>
      <x:c r="F9" s="36" t="str">
        <x:v>Return summary consolidates changes</x:v>
      </x:c>
      <x:c r="G9" s="36" t="str">
        <x:v>No spam-based score advantage</x:v>
      </x:c>
      <x:c r="H9" s="36" t="str">
        <x:v>None</x:v>
      </x:c>
      <x:c r="I9" s="36" t="str">
        <x:v>Threshold alerts only</x:v>
      </x:c>
      <x:c r="J9" s="36" t="str">
        <x:v>No repeated Hunt nags</x:v>
      </x:c>
      <x:c r="K9" s="36" t="str">
        <x:v>Personal events max 3/week</x:v>
      </x:c>
      <x:c r="L9" s="36" t="str">
        <x:v>3 objectives visible but not modal</x:v>
      </x:c>
      <x:c r="M9" s="36" t="str">
        <x:v>Notification caps</x:v>
      </x:c>
      <x:c r="N9" s="36" t="str">
        <x:v>Fatigue</x:v>
      </x:c>
      <x:c r="O9" s="36" t="str">
        <x:v>P0</x:v>
      </x:c>
      <x:c r="P9" s="37" t="str"/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Daily Loop — First Session, Active Play &amp; Return Cycle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</x:row>
    <x:row r="3">
      <x:c r="A3" s="14" t="str">
        <x:v>Daily Moment</x:v>
      </x:c>
      <x:c r="B3" s="14" t="str">
        <x:v>Trigger</x:v>
      </x:c>
      <x:c r="C3" s="14" t="str">
        <x:v>Player Sees</x:v>
      </x:c>
      <x:c r="D3" s="14" t="str">
        <x:v>Primary Decision</x:v>
      </x:c>
      <x:c r="E3" s="14" t="str">
        <x:v>Secondary Decision</x:v>
      </x:c>
      <x:c r="F3" s="14" t="str">
        <x:v>Required?</x:v>
      </x:c>
      <x:c r="G3" s="14" t="str">
        <x:v>Expected Time</x:v>
      </x:c>
      <x:c r="H3" s="14" t="str">
        <x:v>System Update</x:v>
      </x:c>
      <x:c r="I3" s="14" t="str">
        <x:v>Reward</x:v>
      </x:c>
      <x:c r="J3" s="14" t="str">
        <x:v>Performance</x:v>
      </x:c>
      <x:c r="K3" s="14" t="str">
        <x:v>Customers</x:v>
      </x:c>
      <x:c r="L3" s="14" t="str">
        <x:v>Hunts</x:v>
      </x:c>
      <x:c r="M3" s="14" t="str">
        <x:v>Events</x:v>
      </x:c>
      <x:c r="N3" s="14" t="str">
        <x:v>Objectives</x:v>
      </x:c>
      <x:c r="O3" s="14" t="str">
        <x:v>If Player Leaves</x:v>
      </x:c>
      <x:c r="P3" s="14" t="str">
        <x:v>Notification</x:v>
      </x:c>
      <x:c r="Q3" s="14" t="str">
        <x:v>Priority</x:v>
      </x:c>
    </x:row>
    <x:row r="4">
      <x:c r="A4" s="30" t="str">
        <x:v>Daily reset</x:v>
      </x:c>
      <x:c r="B4" s="31" t="str">
        <x:v>00:00 UTC</x:v>
      </x:c>
      <x:c r="C4" s="31" t="str">
        <x:v>No forced popup; daily state quietly refreshes</x:v>
      </x:c>
      <x:c r="D4" s="31" t="str">
        <x:v>None</x:v>
      </x:c>
      <x:c r="E4" s="31" t="str">
        <x:v>None</x:v>
      </x:c>
      <x:c r="F4" s="31" t="str">
        <x:v>No</x:v>
      </x:c>
      <x:c r="G4" s="31" t="str">
        <x:v>0</x:v>
      </x:c>
      <x:c r="H4" s="31" t="str">
        <x:v>3 Hunt offers + 3 business objectives + daily analytics counters reset</x:v>
      </x:c>
      <x:c r="I4" s="31" t="str">
        <x:v>None</x:v>
      </x:c>
      <x:c r="J4" s="31" t="str">
        <x:v>No score reset; weekly epoch continues</x:v>
      </x:c>
      <x:c r="K4" s="31" t="str">
        <x:v>Continue normally</x:v>
      </x:c>
      <x:c r="L4" s="31" t="str">
        <x:v>Offers refresh; active Hunts keep expiry</x:v>
      </x:c>
      <x:c r="M4" s="31" t="str">
        <x:v>Event calendar unchanged unless new window</x:v>
      </x:c>
      <x:c r="N4" s="31" t="str">
        <x:v>3 new objectives</x:v>
      </x:c>
      <x:c r="O4" s="31" t="str">
        <x:v>State persists</x:v>
      </x:c>
      <x:c r="P4" s="31" t="str">
        <x:v>No midnight push by default</x:v>
      </x:c>
      <x:c r="Q4" s="32" t="str">
        <x:v>P0</x:v>
      </x:c>
    </x:row>
    <x:row r="5">
      <x:c r="A5" s="33" t="str">
        <x:v>First engaged session</x:v>
      </x:c>
      <x:c r="B5" s="22" t="str">
        <x:v>First valid open after reset or &gt;5m absence</x:v>
      </x:c>
      <x:c r="C5" s="22" t="str">
        <x:v>Return Summary + Daily Briefing</x:v>
      </x:c>
      <x:c r="D5" s="22" t="str">
        <x:v>Pick what needs attention first</x:v>
      </x:c>
      <x:c r="E5" s="22" t="str">
        <x:v>Start Hunt or objective</x:v>
      </x:c>
      <x:c r="F5" s="22" t="str">
        <x:v>No</x:v>
      </x:c>
      <x:c r="G5" s="22" t="str">
        <x:v>1–2 min</x:v>
      </x:c>
      <x:c r="H5" s="22" t="str">
        <x:v>Process offline catch-up then briefing state</x:v>
      </x:c>
      <x:c r="I5" s="22" t="str">
        <x:v>Information only</x:v>
      </x:c>
      <x:c r="J5" s="22" t="str">
        <x:v>Shows component direction and active-day progress</x:v>
      </x:c>
      <x:c r="K5" s="22" t="str">
        <x:v>New/churn/net, utilization, service</x:v>
      </x:c>
      <x:c r="L5" s="22" t="str">
        <x:v>3 offers / timers</x:v>
      </x:c>
      <x:c r="M5" s="22" t="str">
        <x:v>Known windows + current event</x:v>
      </x:c>
      <x:c r="N5" s="22" t="str">
        <x:v>Objectives shown</x:v>
      </x:c>
      <x:c r="O5" s="22" t="str">
        <x:v>Can dismiss all</x:v>
      </x:c>
      <x:c r="P5" s="22" t="str">
        <x:v>One summary notification max if opt-in and material change</x:v>
      </x:c>
      <x:c r="Q5" s="34" t="str">
        <x:v>P0</x:v>
      </x:c>
    </x:row>
    <x:row r="6">
      <x:c r="A6" s="33" t="str">
        <x:v>Early session</x:v>
      </x:c>
      <x:c r="B6" s="22" t="str">
        <x:v>First 5–10 engaged minutes</x:v>
      </x:c>
      <x:c r="C6" s="22" t="str">
        <x:v>Plot + one recommended issue/opportunity</x:v>
      </x:c>
      <x:c r="D6" s="22" t="str">
        <x:v>Capacity/risk/upgrade/layout choice</x:v>
      </x:c>
      <x:c r="E6" s="22" t="str">
        <x:v>Begin Hunt</x:v>
      </x:c>
      <x:c r="F6" s="22" t="str">
        <x:v>No</x:v>
      </x:c>
      <x:c r="G6" s="22" t="str">
        <x:v>5–10 min</x:v>
      </x:c>
      <x:c r="H6" s="22" t="str">
        <x:v>Normal 5m/15m ticks</x:v>
      </x:c>
      <x:c r="I6" s="22" t="str">
        <x:v>Normal Cash/Hunt</x:v>
      </x:c>
      <x:c r="J6" s="22" t="str">
        <x:v>Activity begins counting</x:v>
      </x:c>
      <x:c r="K6" s="22" t="str">
        <x:v>Live customer response</x:v>
      </x:c>
      <x:c r="L6" s="22" t="str">
        <x:v>Hunt progress</x:v>
      </x:c>
      <x:c r="M6" s="22" t="str">
        <x:v>Global event applies if active</x:v>
      </x:c>
      <x:c r="N6" s="22" t="str">
        <x:v>Objective progress</x:v>
      </x:c>
      <x:c r="O6" s="22" t="str">
        <x:v>Resume later</x:v>
      </x:c>
      <x:c r="P6" s="22" t="str">
        <x:v>None</x:v>
      </x:c>
      <x:c r="Q6" s="34" t="str">
        <x:v>P0</x:v>
      </x:c>
    </x:row>
    <x:row r="7">
      <x:c r="A7" s="33" t="str">
        <x:v>Mid-session</x:v>
      </x:c>
      <x:c r="B7" s="22" t="str">
        <x:v>~10–25 engaged minutes</x:v>
      </x:c>
      <x:c r="C7" s="22" t="str">
        <x:v>Next state change, Hunt progress, objective progress</x:v>
      </x:c>
      <x:c r="D7" s="22" t="str">
        <x:v>Second/third management choice</x:v>
      </x:c>
      <x:c r="E7" s="22" t="str">
        <x:v>Resolve personal event if present</x:v>
      </x:c>
      <x:c r="F7" s="22" t="str">
        <x:v>No</x:v>
      </x:c>
      <x:c r="G7" s="22" t="str">
        <x:v>10–15 min</x:v>
      </x:c>
      <x:c r="H7" s="22" t="str">
        <x:v>Normal ticks</x:v>
      </x:c>
      <x:c r="I7" s="22" t="str">
        <x:v>Normal</x:v>
      </x:c>
      <x:c r="J7" s="22" t="str">
        <x:v>Underlying metrics</x:v>
      </x:c>
      <x:c r="K7" s="22" t="str">
        <x:v>Utilization/churn can shift</x:v>
      </x:c>
      <x:c r="L7" s="22" t="str">
        <x:v>Hunt may complete</x:v>
      </x:c>
      <x:c r="M7" s="22" t="str">
        <x:v>Personal decision event possible</x:v>
      </x:c>
      <x:c r="N7" s="22" t="str">
        <x:v>Objective may complete</x:v>
      </x:c>
      <x:c r="O7" s="22" t="str">
        <x:v>Persist</x:v>
      </x:c>
      <x:c r="P7" s="22" t="str">
        <x:v>No push while already active</x:v>
      </x:c>
      <x:c r="Q7" s="34" t="str">
        <x:v>P0</x:v>
      </x:c>
    </x:row>
    <x:row r="8">
      <x:c r="A8" s="33" t="str">
        <x:v>Late session</x:v>
      </x:c>
      <x:c r="B8" s="22" t="str">
        <x:v>~25–45 engaged minutes</x:v>
      </x:c>
      <x:c r="C8" s="22" t="str">
        <x:v>Compact session summary</x:v>
      </x:c>
      <x:c r="D8" s="22" t="str">
        <x:v>Upgrade/build/save/reposition or stop</x:v>
      </x:c>
      <x:c r="E8" s="22" t="str">
        <x:v>Second Hunt if desired</x:v>
      </x:c>
      <x:c r="F8" s="22" t="str">
        <x:v>No</x:v>
      </x:c>
      <x:c r="G8" s="22" t="str">
        <x:v>5–15 min</x:v>
      </x:c>
      <x:c r="H8" s="22" t="str">
        <x:v>State saved continuously</x:v>
      </x:c>
      <x:c r="I8" s="22" t="str">
        <x:v>Normal</x:v>
      </x:c>
      <x:c r="J8" s="22" t="str">
        <x:v>Shows score component deltas, not fake points</x:v>
      </x:c>
      <x:c r="K8" s="22" t="str">
        <x:v>Snapshot</x:v>
      </x:c>
      <x:c r="L8" s="22" t="str">
        <x:v>Next Hunt optional</x:v>
      </x:c>
      <x:c r="M8" s="22" t="str">
        <x:v>Upcoming event preview</x:v>
      </x:c>
      <x:c r="N8" s="22" t="str">
        <x:v>Objective remaining count</x:v>
      </x:c>
      <x:c r="O8" s="22" t="str">
        <x:v>Leave safely</x:v>
      </x:c>
      <x:c r="P8" s="22" t="str">
        <x:v>None</x:v>
      </x:c>
      <x:c r="Q8" s="34" t="str">
        <x:v>P1</x:v>
      </x:c>
    </x:row>
    <x:row r="9">
      <x:c r="A9" s="33" t="str">
        <x:v>Later same day return</x:v>
      </x:c>
      <x:c r="B9" s="22" t="str">
        <x:v>After a genuine away window</x:v>
      </x:c>
      <x:c r="C9" s="22" t="str">
        <x:v>Delta-only Return Summary</x:v>
      </x:c>
      <x:c r="D9" s="22" t="str">
        <x:v>Respond to biggest changed state</x:v>
      </x:c>
      <x:c r="E9" s="22" t="str">
        <x:v>Continue Hunt / objective</x:v>
      </x:c>
      <x:c r="F9" s="22" t="str">
        <x:v>No</x:v>
      </x:c>
      <x:c r="G9" s="22" t="str">
        <x:v>30 sec–10 min</x:v>
      </x:c>
      <x:c r="H9" s="22" t="str">
        <x:v>Offline rules by band</x:v>
      </x:c>
      <x:c r="I9" s="22" t="str">
        <x:v>Normal reduced-offline + active</x:v>
      </x:c>
      <x:c r="J9" s="22" t="str">
        <x:v>No direct return bonus</x:v>
      </x:c>
      <x:c r="K9" s="22" t="str">
        <x:v>Changes since last engaged state</x:v>
      </x:c>
      <x:c r="L9" s="22" t="str">
        <x:v>Timers continue; no offline progress</x:v>
      </x:c>
      <x:c r="M9" s="22" t="str">
        <x:v>Global events continue</x:v>
      </x:c>
      <x:c r="N9" s="22" t="str">
        <x:v>Progress resumes</x:v>
      </x:c>
      <x:c r="O9" s="22" t="str">
        <x:v>Persist</x:v>
      </x:c>
      <x:c r="P9" s="22" t="str">
        <x:v>Only meaningful change alerts</x:v>
      </x:c>
      <x:c r="Q9" s="34" t="str">
        <x:v>P0</x:v>
      </x:c>
    </x:row>
    <x:row r="10">
      <x:c r="A10" s="35" t="str">
        <x:v>End of UTC day</x:v>
      </x:c>
      <x:c r="B10" s="36" t="str">
        <x:v>23:59:59 UTC</x:v>
      </x:c>
      <x:c r="C10" s="36" t="str">
        <x:v>No forced screen</x:v>
      </x:c>
      <x:c r="D10" s="36" t="str">
        <x:v>None</x:v>
      </x:c>
      <x:c r="E10" s="36" t="str">
        <x:v>None</x:v>
      </x:c>
      <x:c r="F10" s="36" t="str">
        <x:v>No</x:v>
      </x:c>
      <x:c r="G10" s="36" t="str">
        <x:v>0</x:v>
      </x:c>
      <x:c r="H10" s="36" t="str">
        <x:v>Active-day eligibility finalized from evidence</x:v>
      </x:c>
      <x:c r="I10" s="36" t="str">
        <x:v>None</x:v>
      </x:c>
      <x:c r="J10" s="36" t="str">
        <x:v>Active day yes/no recorded</x:v>
      </x:c>
      <x:c r="K10" s="36" t="str">
        <x:v>No special reset effect</x:v>
      </x:c>
      <x:c r="L10" s="36" t="str">
        <x:v>Unstarted offers expire at reset</x:v>
      </x:c>
      <x:c r="M10" s="36" t="str">
        <x:v>No special</x:v>
      </x:c>
      <x:c r="N10" s="36" t="str">
        <x:v>Incomplete daily objectives expire</x:v>
      </x:c>
      <x:c r="O10" s="36" t="str">
        <x:v>Weekly state persists</x:v>
      </x:c>
      <x:c r="P10" s="36" t="str">
        <x:v>No streak-loss push</x:v>
      </x:c>
      <x:c r="Q10" s="37" t="str">
        <x:v>P0</x:v>
      </x:c>
    </x:row>
  </x:sheetData>
  <x:mergeCells>
    <x:mergeCell ref="A1:Q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Weekly Loop — Performance, Events, Eligibility &amp; Payout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</x:row>
    <x:row r="3">
      <x:c r="A3" s="14" t="str">
        <x:v>Window</x:v>
      </x:c>
      <x:c r="B3" s="14" t="str">
        <x:v>Time</x:v>
      </x:c>
      <x:c r="C3" s="14" t="str">
        <x:v>Player Goal</x:v>
      </x:c>
      <x:c r="D3" s="14" t="str">
        <x:v>System State</x:v>
      </x:c>
      <x:c r="E3" s="14" t="str">
        <x:v>Primary UI</x:v>
      </x:c>
      <x:c r="F3" s="14" t="str">
        <x:v>Meaningful Decision</x:v>
      </x:c>
      <x:c r="G3" s="14" t="str">
        <x:v>Required?</x:v>
      </x:c>
      <x:c r="H3" s="14" t="str">
        <x:v>Performance Focus</x:v>
      </x:c>
      <x:c r="I3" s="14" t="str">
        <x:v>League / Eligibility</x:v>
      </x:c>
      <x:c r="J3" s="14" t="str">
        <x:v>Payout State</x:v>
      </x:c>
      <x:c r="K3" s="14" t="str">
        <x:v>Event Rhythm</x:v>
      </x:c>
      <x:c r="L3" s="14" t="str">
        <x:v>Hunts</x:v>
      </x:c>
      <x:c r="M3" s="14" t="str">
        <x:v>Business Objectives</x:v>
      </x:c>
      <x:c r="N3" s="14" t="str">
        <x:v>Notifications</x:v>
      </x:c>
      <x:c r="O3" s="14" t="str">
        <x:v>Failure / Missed Day</x:v>
      </x:c>
      <x:c r="P3" s="14" t="str">
        <x:v>Priority</x:v>
      </x:c>
      <x:c r="Q3" s="14" t="str">
        <x:v>Notes</x:v>
      </x:c>
    </x:row>
    <x:row r="4">
      <x:c r="A4" s="30" t="str">
        <x:v>Week opens</x:v>
      </x:c>
      <x:c r="B4" s="31" t="str">
        <x:v>Mon 00:00 UTC</x:v>
      </x:c>
      <x:c r="C4" s="31" t="str">
        <x:v>Set direction</x:v>
      </x:c>
      <x:c r="D4" s="31" t="str">
        <x:v>New Performance epoch opens; prior epoch moves to settlement</x:v>
      </x:c>
      <x:c r="E4" s="31" t="str">
        <x:v>Weekly Brief</x:v>
      </x:c>
      <x:c r="F4" s="31" t="str">
        <x:v>Choose focus: growth / risk / activity / customers</x:v>
      </x:c>
      <x:c r="G4" s="31" t="str">
        <x:v>No</x:v>
      </x:c>
      <x:c r="H4" s="31" t="str">
        <x:v>All components reset for new epoch</x:v>
      </x:c>
      <x:c r="I4" s="31" t="str">
        <x:v>Rating/league carried per rules; active days 0</x:v>
      </x:c>
      <x:c r="J4" s="31" t="str">
        <x:v>Previous week Pending; current no payout guarantee</x:v>
      </x:c>
      <x:c r="K4" s="31" t="str">
        <x:v>Calendar shows up to 2 announced major/global windows</x:v>
      </x:c>
      <x:c r="L4" s="31" t="str">
        <x:v>Daily Hunts continue</x:v>
      </x:c>
      <x:c r="M4" s="31" t="str">
        <x:v>Daily only; no weekly chore stack</x:v>
      </x:c>
      <x:c r="N4" s="31" t="str">
        <x:v>Optional weekly-start briefing</x:v>
      </x:c>
      <x:c r="O4" s="31" t="str">
        <x:v>No penalty</x:v>
      </x:c>
      <x:c r="P4" s="31" t="str">
        <x:v>P0</x:v>
      </x:c>
      <x:c r="Q4" s="32" t="str"/>
    </x:row>
    <x:row r="5">
      <x:c r="A5" s="33" t="str">
        <x:v>Mon–Tue</x:v>
      </x:c>
      <x:c r="B5" s="22" t="str">
        <x:v>Days 1–2</x:v>
      </x:c>
      <x:c r="C5" s="22" t="str">
        <x:v>Build baseline</x:v>
      </x:c>
      <x:c r="D5" s="22" t="str">
        <x:v>Early weekly score forms</x:v>
      </x:c>
      <x:c r="E5" s="22" t="str">
        <x:v>Performance + Plot</x:v>
      </x:c>
      <x:c r="F5" s="22" t="str">
        <x:v>Capacity/build/upgrade/Hunts</x:v>
      </x:c>
      <x:c r="G5" s="22" t="str">
        <x:v>No</x:v>
      </x:c>
      <x:c r="H5" s="22" t="str">
        <x:v>Activity, revenue, customers</x:v>
      </x:c>
      <x:c r="I5" s="22" t="str">
        <x:v>Aim for first eligible active day(s)</x:v>
      </x:c>
      <x:c r="J5" s="22" t="str">
        <x:v>Previous payout may finalize &lt;=8h after close</x:v>
      </x:c>
      <x:c r="K5" s="22" t="str">
        <x:v>One event window may occur</x:v>
      </x:c>
      <x:c r="L5" s="22" t="str">
        <x:v>Normal</x:v>
      </x:c>
      <x:c r="M5" s="22" t="str">
        <x:v>Normal</x:v>
      </x:c>
      <x:c r="N5" s="22" t="str">
        <x:v>Only event/critical alerts</x:v>
      </x:c>
      <x:c r="O5" s="22" t="str">
        <x:v>Missing day simply reduces opportunities</x:v>
      </x:c>
      <x:c r="P5" s="22" t="str">
        <x:v>P0</x:v>
      </x:c>
      <x:c r="Q5" s="34" t="str"/>
    </x:row>
    <x:row r="6">
      <x:c r="A6" s="33" t="str">
        <x:v>Wed checkpoint</x:v>
      </x:c>
      <x:c r="B6" s="22" t="str">
        <x:v>Wed first session</x:v>
      </x:c>
      <x:c r="C6" s="22" t="str">
        <x:v>Understand trajectory</x:v>
      </x:c>
      <x:c r="D6" s="22" t="str">
        <x:v>Midweek comparison available</x:v>
      </x:c>
      <x:c r="E6" s="22" t="str">
        <x:v>Weekly Checkpoint</x:v>
      </x:c>
      <x:c r="F6" s="22" t="str">
        <x:v>Fix weakest score component or ignore</x:v>
      </x:c>
      <x:c r="G6" s="22" t="str">
        <x:v>No</x:v>
      </x:c>
      <x:c r="H6" s="22" t="str">
        <x:v>Highlight 2 weakest components + quality risks</x:v>
      </x:c>
      <x:c r="I6" s="22" t="str">
        <x:v>Shows active days x/3 or x/4</x:v>
      </x:c>
      <x:c r="J6" s="22" t="str">
        <x:v>Current week provisional</x:v>
      </x:c>
      <x:c r="K6" s="22" t="str">
        <x:v>Next known event</x:v>
      </x:c>
      <x:c r="L6" s="22" t="str">
        <x:v>Normal</x:v>
      </x:c>
      <x:c r="M6" s="22" t="str">
        <x:v>Normal</x:v>
      </x:c>
      <x:c r="N6" s="22" t="str">
        <x:v>One midweek digest max</x:v>
      </x:c>
      <x:c r="O6" s="22" t="str">
        <x:v>No penalty</x:v>
      </x:c>
      <x:c r="P6" s="22" t="str">
        <x:v>P1</x:v>
      </x:c>
      <x:c r="Q6" s="34" t="str"/>
    </x:row>
    <x:row r="7">
      <x:c r="A7" s="33" t="str">
        <x:v>Thu–Fri</x:v>
      </x:c>
      <x:c r="B7" s="22" t="str">
        <x:v>Days 4–5</x:v>
      </x:c>
      <x:c r="C7" s="22" t="str">
        <x:v>Specialize / optimize</x:v>
      </x:c>
      <x:c r="D7" s="22" t="str">
        <x:v>More stable weekly data</x:v>
      </x:c>
      <x:c r="E7" s="22" t="str">
        <x:v>Plot / Performance</x:v>
      </x:c>
      <x:c r="F7" s="22" t="str">
        <x:v>Risk vs growth, utilization, event positioning</x:v>
      </x:c>
      <x:c r="G7" s="22" t="str">
        <x:v>No</x:v>
      </x:c>
      <x:c r="H7" s="22" t="str">
        <x:v>Quality and consistency</x:v>
      </x:c>
      <x:c r="I7" s="22" t="str">
        <x:v>Most players can satisfy min active days here</x:v>
      </x:c>
      <x:c r="J7" s="22" t="str">
        <x:v>Current week provisional</x:v>
      </x:c>
      <x:c r="K7" s="22" t="str">
        <x:v>Second announced major/global window likely</x:v>
      </x:c>
      <x:c r="L7" s="22" t="str">
        <x:v>Normal</x:v>
      </x:c>
      <x:c r="M7" s="22" t="str">
        <x:v>Normal</x:v>
      </x:c>
      <x:c r="N7" s="22" t="str">
        <x:v>Event-start alerts opt-in</x:v>
      </x:c>
      <x:c r="O7" s="22" t="str">
        <x:v>No penalty</x:v>
      </x:c>
      <x:c r="P7" s="22" t="str">
        <x:v>P0</x:v>
      </x:c>
      <x:c r="Q7" s="34" t="str"/>
    </x:row>
    <x:row r="8">
      <x:c r="A8" s="33" t="str">
        <x:v>Final 24h</x:v>
      </x:c>
      <x:c r="B8" s="22" t="str">
        <x:v>Epoch ends Sun 23:59 UTC</x:v>
      </x:c>
      <x:c r="C8" s="22" t="str">
        <x:v>Close gaps</x:v>
      </x:c>
      <x:c r="D8" s="22" t="str">
        <x:v>Closing Bell countdown</x:v>
      </x:c>
      <x:c r="E8" s="22" t="str">
        <x:v>Performance</x:v>
      </x:c>
      <x:c r="F8" s="22" t="str">
        <x:v>Address eligibility or weak component; no artificial last-minute bonus</x:v>
      </x:c>
      <x:c r="G8" s="22" t="str">
        <x:v>No</x:v>
      </x:c>
      <x:c r="H8" s="22" t="str">
        <x:v>Show component gaps, not 'spend to win'</x:v>
      </x:c>
      <x:c r="I8" s="22" t="str">
        <x:v>Active-day requirement status prominent</x:v>
      </x:c>
      <x:c r="J8" s="22" t="str">
        <x:v>No guaranteed payout</x:v>
      </x:c>
      <x:c r="K8" s="22" t="str">
        <x:v>Surprise/minor events can still occur</x:v>
      </x:c>
      <x:c r="L8" s="22" t="str">
        <x:v>Normal</x:v>
      </x:c>
      <x:c r="M8" s="22" t="str">
        <x:v>Normal</x:v>
      </x:c>
      <x:c r="N8" s="22" t="str">
        <x:v>24h + 6h reminders max if opted in</x:v>
      </x:c>
      <x:c r="O8" s="22" t="str">
        <x:v>No penalty beyond actual missed activity</x:v>
      </x:c>
      <x:c r="P8" s="22" t="str">
        <x:v>P0</x:v>
      </x:c>
      <x:c r="Q8" s="34" t="str"/>
    </x:row>
    <x:row r="9">
      <x:c r="A9" s="33" t="str">
        <x:v>Final hour</x:v>
      </x:c>
      <x:c r="B9" s="22" t="str">
        <x:v>Sun 23:00–23:59 UTC</x:v>
      </x:c>
      <x:c r="C9" s="22" t="str">
        <x:v>Choose whether to keep playing</x:v>
      </x:c>
      <x:c r="D9" s="22" t="str">
        <x:v>Settlement countdown</x:v>
      </x:c>
      <x:c r="E9" s="22" t="str">
        <x:v>Performance/Plot</x:v>
      </x:c>
      <x:c r="F9" s="22" t="str">
        <x:v>One last legitimate action if useful</x:v>
      </x:c>
      <x:c r="G9" s="22" t="str">
        <x:v>No</x:v>
      </x:c>
      <x:c r="H9" s="22" t="str">
        <x:v>Live provisional components</x:v>
      </x:c>
      <x:c r="I9" s="22" t="str">
        <x:v>Eligibility locks at epoch close</x:v>
      </x:c>
      <x:c r="J9" s="22" t="str">
        <x:v>Not claimable yet</x:v>
      </x:c>
      <x:c r="K9" s="22" t="str">
        <x:v>Active events continue through exact end</x:v>
      </x:c>
      <x:c r="L9" s="22" t="str">
        <x:v>Started Hunts can cross epoch; attribution follows evidence/completion rules</x:v>
      </x:c>
      <x:c r="M9" s="22" t="str">
        <x:v>Daily objectives still daily</x:v>
      </x:c>
      <x:c r="N9" s="22" t="str">
        <x:v>1h alert only if opted in and near eligibility</x:v>
      </x:c>
      <x:c r="O9" s="22" t="str">
        <x:v>No fabricated catch-up</x:v>
      </x:c>
      <x:c r="P9" s="22" t="str">
        <x:v>P1</x:v>
      </x:c>
      <x:c r="Q9" s="34" t="str"/>
    </x:row>
    <x:row r="10">
      <x:c r="A10" s="33" t="str">
        <x:v>Settlement</x:v>
      </x:c>
      <x:c r="B10" s="22" t="str">
        <x:v>Mon 00:00–&lt;=08:00 UTC target</x:v>
      </x:c>
      <x:c r="C10" s="22" t="str">
        <x:v>Review result</x:v>
      </x:c>
      <x:c r="D10" s="22" t="str">
        <x:v>Prior epoch snapshots/reconcile/integrity/finalize</x:v>
      </x:c>
      <x:c r="E10" s="22" t="str">
        <x:v>Results</x:v>
      </x:c>
      <x:c r="F10" s="22" t="str">
        <x:v>None required</x:v>
      </x:c>
      <x:c r="G10" s="22" t="str">
        <x:v>No</x:v>
      </x:c>
      <x:c r="H10" s="22" t="str">
        <x:v>Prior score frozen/final</x:v>
      </x:c>
      <x:c r="I10" s="22" t="str">
        <x:v>League result + rating update</x:v>
      </x:c>
      <x:c r="J10" s="22" t="str">
        <x:v>Pending → Final/Claimable</x:v>
      </x:c>
      <x:c r="K10" s="22" t="str">
        <x:v>New week events independent</x:v>
      </x:c>
      <x:c r="L10" s="22" t="str">
        <x:v>New daily offers at reset</x:v>
      </x:c>
      <x:c r="M10" s="22" t="str">
        <x:v>New daily objectives</x:v>
      </x:c>
      <x:c r="N10" s="22" t="str">
        <x:v>Claimable notification once</x:v>
      </x:c>
      <x:c r="O10" s="22" t="str">
        <x:v>If delayed, state says Pending</x:v>
      </x:c>
      <x:c r="P10" s="22" t="str">
        <x:v>P0</x:v>
      </x:c>
      <x:c r="Q10" s="34" t="str"/>
    </x:row>
    <x:row r="11">
      <x:c r="A11" s="35" t="str">
        <x:v>Post-settlement</x:v>
      </x:c>
      <x:c r="B11" s="36" t="str">
        <x:v>After finalization</x:v>
      </x:c>
      <x:c r="C11" s="36" t="str">
        <x:v>Claim / continue new week</x:v>
      </x:c>
      <x:c r="D11" s="36" t="str">
        <x:v>Previous payout claimable; new week already active</x:v>
      </x:c>
      <x:c r="E11" s="36" t="str">
        <x:v>Rewards + Plot</x:v>
      </x:c>
      <x:c r="F11" s="36" t="str">
        <x:v>Claim when desired; continue gameplay</x:v>
      </x:c>
      <x:c r="G11" s="36" t="str">
        <x:v>No</x:v>
      </x:c>
      <x:c r="H11" s="36" t="str">
        <x:v>New week unaffected by claim</x:v>
      </x:c>
      <x:c r="I11" s="36" t="str">
        <x:v>New week league progress</x:v>
      </x:c>
      <x:c r="J11" s="36" t="str">
        <x:v>Fixed $PLOT share if eligible</x:v>
      </x:c>
      <x:c r="K11" s="36" t="str">
        <x:v>Current week normal</x:v>
      </x:c>
      <x:c r="L11" s="36" t="str">
        <x:v>Normal</x:v>
      </x:c>
      <x:c r="M11" s="36" t="str">
        <x:v>Normal</x:v>
      </x:c>
      <x:c r="N11" s="36" t="str">
        <x:v>No repeated claim nag</x:v>
      </x:c>
      <x:c r="O11" s="36" t="str">
        <x:v>Unclaimed reward follows claim-expiry policy</x:v>
      </x:c>
      <x:c r="P11" s="36" t="str">
        <x:v>P0</x:v>
      </x:c>
      <x:c r="Q11" s="37" t="str"/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Daily Briefing — What the Player Sees First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2"/>
    </x:row>
    <x:row r="3">
      <x:c r="A3" s="14" t="str">
        <x:v>Card / Section</x:v>
      </x:c>
      <x:c r="B3" s="14" t="str">
        <x:v>Always Show?</x:v>
      </x:c>
      <x:c r="C3" s="14" t="str">
        <x:v>Show Condition</x:v>
      </x:c>
      <x:c r="D3" s="14" t="str">
        <x:v>Order</x:v>
      </x:c>
      <x:c r="E3" s="14" t="str">
        <x:v>Primary Metric</x:v>
      </x:c>
      <x:c r="F3" s="14" t="str">
        <x:v>Decision CTA</x:v>
      </x:c>
      <x:c r="G3" s="14" t="str">
        <x:v>Direct Reward?</x:v>
      </x:c>
      <x:c r="H3" s="14" t="str">
        <x:v>Performance Direct?</x:v>
      </x:c>
      <x:c r="I3" s="14" t="str">
        <x:v>Data Source</x:v>
      </x:c>
      <x:c r="J3" s="14" t="str">
        <x:v>Freshness</x:v>
      </x:c>
      <x:c r="K3" s="14" t="str">
        <x:v>Can Dismiss?</x:v>
      </x:c>
      <x:c r="L3" s="14" t="str">
        <x:v>Repeat Same Day?</x:v>
      </x:c>
      <x:c r="M3" s="14" t="str">
        <x:v>Notification Eligible?</x:v>
      </x:c>
      <x:c r="N3" s="14" t="str">
        <x:v>Priority</x:v>
      </x:c>
      <x:c r="O3" s="14" t="str">
        <x:v>MVP?</x:v>
      </x:c>
      <x:c r="P3" s="14" t="str">
        <x:v>Notes</x:v>
      </x:c>
    </x:row>
    <x:row r="4">
      <x:c r="A4" s="30" t="str">
        <x:v>Return Summary</x:v>
      </x:c>
      <x:c r="B4" s="31" t="str">
        <x:v>Yes after &gt;=5m away with meaningful changes</x:v>
      </x:c>
      <x:c r="C4" s="31" t="str">
        <x:v>Away delta exists</x:v>
      </x:c>
      <x:c r="D4" s="31" t="n">
        <x:v>1</x:v>
      </x:c>
      <x:c r="E4" s="31" t="str">
        <x:v>Time away, Cash, customers, risk/events, completed timers</x:v>
      </x:c>
      <x:c r="F4" s="31" t="str">
        <x:v>View Plot / fix issue</x:v>
      </x:c>
      <x:c r="G4" s="31" t="str">
        <x:v>No</x:v>
      </x:c>
      <x:c r="H4" s="31" t="str">
        <x:v>No</x:v>
      </x:c>
      <x:c r="I4" s="31" t="str">
        <x:v>Offline summary manifest</x:v>
      </x:c>
      <x:c r="J4" s="31" t="str">
        <x:v>At return</x:v>
      </x:c>
      <x:c r="K4" s="31" t="str">
        <x:v>Yes</x:v>
      </x:c>
      <x:c r="L4" s="31" t="str">
        <x:v>Only on new away window</x:v>
      </x:c>
      <x:c r="M4" s="31" t="str">
        <x:v>Yes if meaningful and opt-in</x:v>
      </x:c>
      <x:c r="N4" s="31" t="str">
        <x:v>Critical</x:v>
      </x:c>
      <x:c r="O4" s="31" t="str">
        <x:v>Yes</x:v>
      </x:c>
      <x:c r="P4" s="32" t="str"/>
    </x:row>
    <x:row r="5">
      <x:c r="A5" s="33" t="str">
        <x:v>Critical Business Alert</x:v>
      </x:c>
      <x:c r="B5" s="22" t="str">
        <x:v>Conditional</x:v>
      </x:c>
      <x:c r="C5" s="22" t="str">
        <x:v>Risk High/Critical, utilization &gt;95%, severe service failure</x:v>
      </x:c>
      <x:c r="D5" s="22" t="n">
        <x:v>2</x:v>
      </x:c>
      <x:c r="E5" s="22" t="str">
        <x:v>Affected building / metric</x:v>
      </x:c>
      <x:c r="F5" s="22" t="str">
        <x:v>Resolve</x:v>
      </x:c>
      <x:c r="G5" s="22" t="str">
        <x:v>No</x:v>
      </x:c>
      <x:c r="H5" s="22" t="str">
        <x:v>Indirect</x:v>
      </x:c>
      <x:c r="I5" s="22" t="str">
        <x:v>Risk/Customer</x:v>
      </x:c>
      <x:c r="J5" s="22" t="str">
        <x:v>Live</x:v>
      </x:c>
      <x:c r="K5" s="22" t="str">
        <x:v>Yes but alert remains in HUD</x:v>
      </x:c>
      <x:c r="L5" s="22" t="str">
        <x:v>Until resolved</x:v>
      </x:c>
      <x:c r="M5" s="22" t="str">
        <x:v>Yes critical only</x:v>
      </x:c>
      <x:c r="N5" s="22" t="str">
        <x:v>Critical</x:v>
      </x:c>
      <x:c r="O5" s="22" t="str">
        <x:v>Yes</x:v>
      </x:c>
      <x:c r="P5" s="34" t="str"/>
    </x:row>
    <x:row r="6">
      <x:c r="A6" s="33" t="str">
        <x:v>Hunts Today</x:v>
      </x:c>
      <x:c r="B6" s="22" t="str">
        <x:v>Yes</x:v>
      </x:c>
      <x:c r="C6" s="22" t="str">
        <x:v>First session/day</x:v>
      </x:c>
      <x:c r="D6" s="22" t="n">
        <x:v>3</x:v>
      </x:c>
      <x:c r="E6" s="22" t="str">
        <x:v>3 offers, active timers, free reroll status</x:v>
      </x:c>
      <x:c r="F6" s="22" t="str">
        <x:v>Start Hunt</x:v>
      </x:c>
      <x:c r="G6" s="22" t="str">
        <x:v>Normal Hunt reward</x:v>
      </x:c>
      <x:c r="H6" s="22" t="str">
        <x:v>Canonical Hunt Points only</x:v>
      </x:c>
      <x:c r="I6" s="22" t="str">
        <x:v>Hunt state</x:v>
      </x:c>
      <x:c r="J6" s="22" t="str">
        <x:v>Live</x:v>
      </x:c>
      <x:c r="K6" s="22" t="str">
        <x:v>Yes</x:v>
      </x:c>
      <x:c r="L6" s="22" t="str">
        <x:v>Compact card stays in Hunts</x:v>
      </x:c>
      <x:c r="M6" s="22" t="str">
        <x:v>Optional daily digest</x:v>
      </x:c>
      <x:c r="N6" s="22" t="str">
        <x:v>High</x:v>
      </x:c>
      <x:c r="O6" s="22" t="str">
        <x:v>Yes</x:v>
      </x:c>
      <x:c r="P6" s="34" t="str"/>
    </x:row>
    <x:row r="7">
      <x:c r="A7" s="33" t="str">
        <x:v>Business Objectives</x:v>
      </x:c>
      <x:c r="B7" s="22" t="str">
        <x:v>Yes</x:v>
      </x:c>
      <x:c r="C7" s="22" t="str">
        <x:v>First session/day</x:v>
      </x:c>
      <x:c r="D7" s="22" t="n">
        <x:v>4</x:v>
      </x:c>
      <x:c r="E7" s="22" t="str">
        <x:v>0/3 completed</x:v>
      </x:c>
      <x:c r="F7" s="22" t="str">
        <x:v>Choose objective</x:v>
      </x:c>
      <x:c r="G7" s="22" t="str">
        <x:v>Small Cash only</x:v>
      </x:c>
      <x:c r="H7" s="22" t="str">
        <x:v>No direct</x:v>
      </x:c>
      <x:c r="I7" s="22" t="str">
        <x:v>Objective service</x:v>
      </x:c>
      <x:c r="J7" s="22" t="str">
        <x:v>Live</x:v>
      </x:c>
      <x:c r="K7" s="22" t="str">
        <x:v>Yes</x:v>
      </x:c>
      <x:c r="L7" s="22" t="str">
        <x:v>Persistent Goals entry</x:v>
      </x:c>
      <x:c r="M7" s="22" t="str">
        <x:v>No default push</x:v>
      </x:c>
      <x:c r="N7" s="22" t="str">
        <x:v>High</x:v>
      </x:c>
      <x:c r="O7" s="22" t="str">
        <x:v>Yes</x:v>
      </x:c>
      <x:c r="P7" s="34" t="str"/>
    </x:row>
    <x:row r="8">
      <x:c r="A8" s="33" t="str">
        <x:v>Weekly Performance</x:v>
      </x:c>
      <x:c r="B8" s="22" t="str">
        <x:v>Yes after first eligible source exists</x:v>
      </x:c>
      <x:c r="C8" s="22" t="str">
        <x:v>Current epoch active</x:v>
      </x:c>
      <x:c r="D8" s="22" t="n">
        <x:v>5</x:v>
      </x:c>
      <x:c r="E8" s="22" t="str">
        <x:v>Score trend, active days, countdown</x:v>
      </x:c>
      <x:c r="F8" s="22" t="str">
        <x:v>View Performance</x:v>
      </x:c>
      <x:c r="G8" s="22" t="str">
        <x:v>No</x:v>
      </x:c>
      <x:c r="H8" s="22" t="str">
        <x:v>Existing components</x:v>
      </x:c>
      <x:c r="I8" s="22" t="str">
        <x:v>Performance aggregate</x:v>
      </x:c>
      <x:c r="J8" s="22" t="str">
        <x:v>Near-live/provisional</x:v>
      </x:c>
      <x:c r="K8" s="22" t="str">
        <x:v>Yes</x:v>
      </x:c>
      <x:c r="L8" s="22" t="str">
        <x:v>May reappear once after major state change</x:v>
      </x:c>
      <x:c r="M8" s="22" t="str">
        <x:v>Final-day only</x:v>
      </x:c>
      <x:c r="N8" s="22" t="str">
        <x:v>High</x:v>
      </x:c>
      <x:c r="O8" s="22" t="str">
        <x:v>Yes</x:v>
      </x:c>
      <x:c r="P8" s="34" t="str"/>
    </x:row>
    <x:row r="9">
      <x:c r="A9" s="33" t="str">
        <x:v>Event Calendar</x:v>
      </x:c>
      <x:c r="B9" s="22" t="str">
        <x:v>Yes</x:v>
      </x:c>
      <x:c r="C9" s="22" t="str">
        <x:v>Known/current event exists</x:v>
      </x:c>
      <x:c r="D9" s="22" t="n">
        <x:v>6</x:v>
      </x:c>
      <x:c r="E9" s="22" t="str">
        <x:v>Current + next event window</x:v>
      </x:c>
      <x:c r="F9" s="22" t="str">
        <x:v>Prepare / view details</x:v>
      </x:c>
      <x:c r="G9" s="22" t="str">
        <x:v>No</x:v>
      </x:c>
      <x:c r="H9" s="22" t="str">
        <x:v>Indirect only</x:v>
      </x:c>
      <x:c r="I9" s="22" t="str">
        <x:v>Event scheduler</x:v>
      </x:c>
      <x:c r="J9" s="22" t="str">
        <x:v>Live</x:v>
      </x:c>
      <x:c r="K9" s="22" t="str">
        <x:v>Yes</x:v>
      </x:c>
      <x:c r="L9" s="22" t="str">
        <x:v>Only if event changes</x:v>
      </x:c>
      <x:c r="M9" s="22" t="str">
        <x:v>Event start optionally</x:v>
      </x:c>
      <x:c r="N9" s="22" t="str">
        <x:v>Medium</x:v>
      </x:c>
      <x:c r="O9" s="22" t="str">
        <x:v>Yes</x:v>
      </x:c>
      <x:c r="P9" s="34" t="str"/>
    </x:row>
    <x:row r="10">
      <x:c r="A10" s="35" t="str">
        <x:v>Operating Streak</x:v>
      </x:c>
      <x:c r="B10" s="36" t="str">
        <x:v>No; small footer only</x:v>
      </x:c>
      <x:c r="C10" s="36" t="str">
        <x:v>Streak &gt;=2 active days</x:v>
      </x:c>
      <x:c r="D10" s="36" t="n">
        <x:v>7</x:v>
      </x:c>
      <x:c r="E10" s="36" t="str">
        <x:v>Consecutive eligible active days</x:v>
      </x:c>
      <x:c r="F10" s="36" t="str">
        <x:v>View history</x:v>
      </x:c>
      <x:c r="G10" s="36" t="str">
        <x:v>No</x:v>
      </x:c>
      <x:c r="H10" s="36" t="str">
        <x:v>No</x:v>
      </x:c>
      <x:c r="I10" s="36" t="str">
        <x:v>Active-day ledger</x:v>
      </x:c>
      <x:c r="J10" s="36" t="str">
        <x:v>Daily</x:v>
      </x:c>
      <x:c r="K10" s="36" t="str">
        <x:v>Yes</x:v>
      </x:c>
      <x:c r="L10" s="36" t="str">
        <x:v>No</x:v>
      </x:c>
      <x:c r="M10" s="36" t="str">
        <x:v>No loss-warning push</x:v>
      </x:c>
      <x:c r="N10" s="36" t="str">
        <x:v>Low</x:v>
      </x:c>
      <x:c r="O10" s="36" t="str">
        <x:v>Yes</x:v>
      </x:c>
      <x:c r="P10" s="37" t="str">
        <x:v>Status only</x:v>
      </x:c>
    </x:row>
  </x:sheetData>
  <x:mergeCells>
    <x:mergeCell ref="A1:P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54" t="str">
        <x:v>Daily Market Hunt Reset &amp; Carry Rules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2"/>
    </x:row>
    <x:row r="3">
      <x:c r="A3" s="14" t="str">
        <x:v>Rule</x:v>
      </x:c>
      <x:c r="B3" s="14" t="str">
        <x:v>Canonical Value</x:v>
      </x:c>
      <x:c r="C3" s="14" t="str">
        <x:v>Reset / Trigger</x:v>
      </x:c>
      <x:c r="D3" s="14" t="str">
        <x:v>Carry?</x:v>
      </x:c>
      <x:c r="E3" s="14" t="str">
        <x:v>Expiry</x:v>
      </x:c>
      <x:c r="F3" s="14" t="str">
        <x:v>Max Active</x:v>
      </x:c>
      <x:c r="G3" s="14" t="str">
        <x:v>Reroll</x:v>
      </x:c>
      <x:c r="H3" s="14" t="str">
        <x:v>Offline Progress</x:v>
      </x:c>
      <x:c r="I3" s="14" t="str">
        <x:v>AFK Progress</x:v>
      </x:c>
      <x:c r="J3" s="14" t="str">
        <x:v>Performance</x:v>
      </x:c>
      <x:c r="K3" s="14" t="str">
        <x:v>Stock Reward</x:v>
      </x:c>
      <x:c r="L3" s="14" t="str">
        <x:v>Module Reward</x:v>
      </x:c>
      <x:c r="M3" s="14" t="str">
        <x:v>Notification</x:v>
      </x:c>
      <x:c r="N3" s="14" t="str">
        <x:v>Exploit Guard</x:v>
      </x:c>
      <x:c r="O3" s="14" t="str">
        <x:v>Priority</x:v>
      </x:c>
      <x:c r="P3" s="14" t="str">
        <x:v>Notes</x:v>
      </x:c>
    </x:row>
    <x:row r="4">
      <x:c r="A4" s="30" t="str">
        <x:v>New Hunt offers/day</x:v>
      </x:c>
      <x:c r="B4" s="31" t="n">
        <x:v>3</x:v>
      </x:c>
      <x:c r="C4" s="31" t="str">
        <x:v>00:00 UTC</x:v>
      </x:c>
      <x:c r="D4" s="31" t="str">
        <x:v>Unstarted offers do not carry as daily inventory</x:v>
      </x:c>
      <x:c r="E4" s="31" t="str">
        <x:v>Next daily reset if never started</x:v>
      </x:c>
      <x:c r="F4" s="31" t="n">
        <x:v>5</x:v>
      </x:c>
      <x:c r="G4" s="31" t="str">
        <x:v>1 free reroll/day</x:v>
      </x:c>
      <x:c r="H4" s="31" t="str">
        <x:v>No</x:v>
      </x:c>
      <x:c r="I4" s="31" t="str">
        <x:v>No</x:v>
      </x:c>
      <x:c r="J4" s="31" t="str">
        <x:v>Hunt Points only when valid completion/evidence posts</x:v>
      </x:c>
      <x:c r="K4" s="31" t="str">
        <x:v>Canonical stock packet rules</x:v>
      </x:c>
      <x:c r="L4" s="31" t="str">
        <x:v>Separate Module roll if enabled</x:v>
      </x:c>
      <x:c r="M4" s="31" t="str">
        <x:v>Daily digest only; no midnight push</x:v>
      </x:c>
      <x:c r="N4" s="31" t="str">
        <x:v>Server reset id + offer ids</x:v>
      </x:c>
      <x:c r="O4" s="31" t="str">
        <x:v>P0</x:v>
      </x:c>
      <x:c r="P4" s="32" t="str"/>
    </x:row>
    <x:row r="5">
      <x:c r="A5" s="33" t="str">
        <x:v>Started Hunt</x:v>
      </x:c>
      <x:c r="B5" s="22" t="str">
        <x:v>N/A</x:v>
      </x:c>
      <x:c r="C5" s="22" t="str">
        <x:v>Player starts offer</x:v>
      </x:c>
      <x:c r="D5" s="22" t="str">
        <x:v>Yes until own timer expires</x:v>
      </x:c>
      <x:c r="E5" s="22" t="str">
        <x:v>Canonical 24h standard unless Hunt config differs</x:v>
      </x:c>
      <x:c r="F5" s="22" t="n">
        <x:v>5</x:v>
      </x:c>
      <x:c r="G5" s="22" t="str">
        <x:v>Cannot reroll active</x:v>
      </x:c>
      <x:c r="H5" s="22" t="str">
        <x:v>No</x:v>
      </x:c>
      <x:c r="I5" s="22" t="str">
        <x:v>No</x:v>
      </x:c>
      <x:c r="J5" s="22" t="str">
        <x:v>Canonical completion</x:v>
      </x:c>
      <x:c r="K5" s="22" t="str">
        <x:v>Canonical</x:v>
      </x:c>
      <x:c r="L5" s="22" t="str">
        <x:v>Canonical separate roll</x:v>
      </x:c>
      <x:c r="M5" s="22" t="str">
        <x:v>Expiry warning optional once</x:v>
      </x:c>
      <x:c r="N5" s="22" t="str">
        <x:v>Real-time server timer</x:v>
      </x:c>
      <x:c r="O5" s="22" t="str">
        <x:v>P0</x:v>
      </x:c>
      <x:c r="P5" s="34" t="str"/>
    </x:row>
    <x:row r="6">
      <x:c r="A6" s="33" t="str">
        <x:v>Active queue full at reset</x:v>
      </x:c>
      <x:c r="B6" s="22" t="str">
        <x:v>3 new offers still generated</x:v>
      </x:c>
      <x:c r="C6" s="22" t="str">
        <x:v>Daily reset</x:v>
      </x:c>
      <x:c r="D6" s="22" t="str">
        <x:v>Offers remain unstarted outside active queue</x:v>
      </x:c>
      <x:c r="E6" s="22" t="str">
        <x:v>Daily reset</x:v>
      </x:c>
      <x:c r="F6" s="22" t="n">
        <x:v>5</x:v>
      </x:c>
      <x:c r="G6" s="22" t="str">
        <x:v>Yes on offers</x:v>
      </x:c>
      <x:c r="H6" s="22" t="str">
        <x:v>N/A</x:v>
      </x:c>
      <x:c r="I6" s="22" t="str">
        <x:v>N/A</x:v>
      </x:c>
      <x:c r="J6" s="22" t="str">
        <x:v>None until start</x:v>
      </x:c>
      <x:c r="K6" s="22" t="str">
        <x:v>None</x:v>
      </x:c>
      <x:c r="L6" s="22" t="str">
        <x:v>None</x:v>
      </x:c>
      <x:c r="M6" s="22" t="str">
        <x:v>No</x:v>
      </x:c>
      <x:c r="N6" s="22" t="str">
        <x:v>Do not delete active Hunts to make room</x:v>
      </x:c>
      <x:c r="O6" s="22" t="str">
        <x:v>P0</x:v>
      </x:c>
      <x:c r="P6" s="34" t="str"/>
    </x:row>
    <x:row r="7">
      <x:c r="A7" s="33" t="str">
        <x:v>Free reroll</x:v>
      </x:c>
      <x:c r="B7" s="22" t="str">
        <x:v>1/day</x:v>
      </x:c>
      <x:c r="C7" s="22" t="str">
        <x:v>Daily reset</x:v>
      </x:c>
      <x:c r="D7" s="22" t="str">
        <x:v>No</x:v>
      </x:c>
      <x:c r="E7" s="22" t="str">
        <x:v>Daily reset</x:v>
      </x:c>
      <x:c r="F7" s="22" t="str">
        <x:v>N/A</x:v>
      </x:c>
      <x:c r="G7" s="22" t="str">
        <x:v>Replaces one unstarted offer</x:v>
      </x:c>
      <x:c r="H7" s="22" t="str">
        <x:v>N/A</x:v>
      </x:c>
      <x:c r="I7" s="22" t="str">
        <x:v>N/A</x:v>
      </x:c>
      <x:c r="J7" s="22" t="str">
        <x:v>No direct</x:v>
      </x:c>
      <x:c r="K7" s="22" t="str">
        <x:v>No direct</x:v>
      </x:c>
      <x:c r="L7" s="22" t="str">
        <x:v>No direct</x:v>
      </x:c>
      <x:c r="M7" s="22" t="str">
        <x:v>No</x:v>
      </x:c>
      <x:c r="N7" s="22" t="str">
        <x:v>Unique daily reroll key</x:v>
      </x:c>
      <x:c r="O7" s="22" t="str">
        <x:v>P0</x:v>
      </x:c>
      <x:c r="P7" s="34" t="str"/>
    </x:row>
    <x:row r="8">
      <x:c r="A8" s="33" t="str">
        <x:v>Difficulty availability</x:v>
      </x:c>
      <x:c r="B8" s="22" t="str">
        <x:v>By Empire stage / Hunt system</x:v>
      </x:c>
      <x:c r="C8" s="22" t="str">
        <x:v>Offer generation</x:v>
      </x:c>
      <x:c r="D8" s="22" t="str">
        <x:v>N/A</x:v>
      </x:c>
      <x:c r="E8" s="22" t="str">
        <x:v>N/A</x:v>
      </x:c>
      <x:c r="F8" s="22" t="str">
        <x:v>N/A</x:v>
      </x:c>
      <x:c r="G8" s="22" t="str">
        <x:v>N/A</x:v>
      </x:c>
      <x:c r="H8" s="22" t="str">
        <x:v>N/A</x:v>
      </x:c>
      <x:c r="I8" s="22" t="str">
        <x:v>N/A</x:v>
      </x:c>
      <x:c r="J8" s="22" t="str">
        <x:v>Difficulty Hunt Points canonical</x:v>
      </x:c>
      <x:c r="K8" s="22" t="str">
        <x:v>Reward tables canonical</x:v>
      </x:c>
      <x:c r="L8" s="22" t="str">
        <x:v>Module drop tables canonical</x:v>
      </x:c>
      <x:c r="M8" s="22" t="str">
        <x:v>N/A</x:v>
      </x:c>
      <x:c r="N8" s="22" t="str">
        <x:v>Server eligibility</x:v>
      </x:c>
      <x:c r="O8" s="22" t="str">
        <x:v>P0</x:v>
      </x:c>
      <x:c r="P8" s="34" t="str"/>
    </x:row>
    <x:row r="9">
      <x:c r="A9" s="35" t="str">
        <x:v>First 3 account days</x:v>
      </x:c>
      <x:c r="B9" s="36" t="str">
        <x:v>Easy / Standard only</x:v>
      </x:c>
      <x:c r="C9" s="36" t="str">
        <x:v>Account-age rule</x:v>
      </x:c>
      <x:c r="D9" s="36" t="str">
        <x:v>N/A</x:v>
      </x:c>
      <x:c r="E9" s="36" t="str">
        <x:v>N/A</x:v>
      </x:c>
      <x:c r="F9" s="36" t="str">
        <x:v>N/A</x:v>
      </x:c>
      <x:c r="G9" s="36" t="str">
        <x:v>Normal</x:v>
      </x:c>
      <x:c r="H9" s="36" t="str">
        <x:v>No</x:v>
      </x:c>
      <x:c r="I9" s="36" t="str">
        <x:v>No</x:v>
      </x:c>
      <x:c r="J9" s="36" t="str">
        <x:v>Canonical</x:v>
      </x:c>
      <x:c r="K9" s="36" t="str">
        <x:v>Canonical</x:v>
      </x:c>
      <x:c r="L9" s="36" t="str">
        <x:v>Canonical</x:v>
      </x:c>
      <x:c r="M9" s="36" t="str">
        <x:v>N/A</x:v>
      </x:c>
      <x:c r="N9" s="36" t="str">
        <x:v>Server account-age</x:v>
      </x:c>
      <x:c r="O9" s="36" t="str">
        <x:v>P0</x:v>
      </x:c>
      <x:c r="P9" s="37" t="str">
        <x:v>Existing onboarding protection</x:v>
      </x:c>
    </x:row>
  </x:sheetData>
  <x:mergeCells>
    <x:mergeCell ref="A1:P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Customer Changes as a Retention Driver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2"/>
    </x:row>
    <x:row r="3">
      <x:c r="A3" s="14" t="str">
        <x:v>Signal</x:v>
      </x:c>
      <x:c r="B3" s="14" t="str">
        <x:v>Cadence</x:v>
      </x:c>
      <x:c r="C3" s="14" t="str">
        <x:v>Meaningful Threshold</x:v>
      </x:c>
      <x:c r="D3" s="14" t="str">
        <x:v>Player Sees</x:v>
      </x:c>
      <x:c r="E3" s="14" t="str">
        <x:v>Decision</x:v>
      </x:c>
      <x:c r="F3" s="14" t="str">
        <x:v>Prompt?</x:v>
      </x:c>
      <x:c r="G3" s="14" t="str">
        <x:v>Offline Applies?</x:v>
      </x:c>
      <x:c r="H3" s="14" t="str">
        <x:v>Performance Effect</x:v>
      </x:c>
      <x:c r="I3" s="14" t="str">
        <x:v>Cash Effect</x:v>
      </x:c>
      <x:c r="J3" s="14" t="str">
        <x:v>Risk Effect</x:v>
      </x:c>
      <x:c r="K3" s="14" t="str">
        <x:v>Objective Eligible?</x:v>
      </x:c>
      <x:c r="L3" s="14" t="str">
        <x:v>Notification?</x:v>
      </x:c>
      <x:c r="M3" s="14" t="str">
        <x:v>Cooldown</x:v>
      </x:c>
      <x:c r="N3" s="14" t="str">
        <x:v>Server Evidence</x:v>
      </x:c>
      <x:c r="O3" s="14" t="str">
        <x:v>Priority</x:v>
      </x:c>
      <x:c r="P3" s="14" t="str">
        <x:v>Notes</x:v>
      </x:c>
    </x:row>
    <x:row r="4">
      <x:c r="A4" s="30" t="str">
        <x:v>Net customer change</x:v>
      </x:c>
      <x:c r="B4" s="31" t="str">
        <x:v>15m sim + return summary</x:v>
      </x:c>
      <x:c r="C4" s="31" t="str">
        <x:v>Absolute or stage-normalized change exceeds materiality</x:v>
      </x:c>
      <x:c r="D4" s="31" t="str">
        <x:v>New / churn / net by segment</x:v>
      </x:c>
      <x:c r="E4" s="31" t="str">
        <x:v>Add capacity, improve service, accept outcome</x:v>
      </x:c>
      <x:c r="F4" s="31" t="str">
        <x:v>Only when material</x:v>
      </x:c>
      <x:c r="G4" s="31" t="str">
        <x:v>Yes reduced offline intensity</x:v>
      </x:c>
      <x:c r="H4" s="31" t="str">
        <x:v>Customer Growth / Active Customers through normal rules</x:v>
      </x:c>
      <x:c r="I4" s="31" t="str">
        <x:v>Indirect revenue</x:v>
      </x:c>
      <x:c r="J4" s="31" t="str">
        <x:v>May interact</x:v>
      </x:c>
      <x:c r="K4" s="31" t="str">
        <x:v>Yes</x:v>
      </x:c>
      <x:c r="L4" s="31" t="str">
        <x:v>Return summary only</x:v>
      </x:c>
      <x:c r="M4" s="31" t="str">
        <x:v>30m</x:v>
      </x:c>
      <x:c r="N4" s="31" t="str">
        <x:v>customer_delta ledger</x:v>
      </x:c>
      <x:c r="O4" s="31" t="str">
        <x:v>P0</x:v>
      </x:c>
      <x:c r="P4" s="32" t="str"/>
    </x:row>
    <x:row r="5">
      <x:c r="A5" s="33" t="str">
        <x:v>Utilization pressure</x:v>
      </x:c>
      <x:c r="B5" s="22" t="str">
        <x:v>15m</x:v>
      </x:c>
      <x:c r="C5" s="22" t="str">
        <x:v>85–95% warning; &gt;95% critical</x:v>
      </x:c>
      <x:c r="D5" s="22" t="str">
        <x:v>Building badge + top affected building</x:v>
      </x:c>
      <x:c r="E5" s="22" t="str">
        <x:v>Upgrade/add capacity/rebalance</x:v>
      </x:c>
      <x:c r="F5" s="22" t="str">
        <x:v>Yes at 85%+, critical exception</x:v>
      </x:c>
      <x:c r="G5" s="22" t="str">
        <x:v>Yes snapshot</x:v>
      </x:c>
      <x:c r="H5" s="22" t="str">
        <x:v>Utilization component</x:v>
      </x:c>
      <x:c r="I5" s="22" t="str">
        <x:v>Can constrain revenue</x:v>
      </x:c>
      <x:c r="J5" s="22" t="str">
        <x:v>Service/risk may worsen</x:v>
      </x:c>
      <x:c r="K5" s="22" t="str">
        <x:v>Yes</x:v>
      </x:c>
      <x:c r="L5" s="22" t="str">
        <x:v>Critical only</x:v>
      </x:c>
      <x:c r="M5" s="22" t="str">
        <x:v>30m warning / immediate critical</x:v>
      </x:c>
      <x:c r="N5" s="22" t="str">
        <x:v>capacity+customer snapshot</x:v>
      </x:c>
      <x:c r="O5" s="22" t="str">
        <x:v>P0</x:v>
      </x:c>
      <x:c r="P5" s="34" t="str"/>
    </x:row>
    <x:row r="6">
      <x:c r="A6" s="33" t="str">
        <x:v>Churn spike</x:v>
      </x:c>
      <x:c r="B6" s="22" t="str">
        <x:v>15m/window</x:v>
      </x:c>
      <x:c r="C6" s="22" t="str">
        <x:v>&gt;2× recent baseline sustained 2 buckets</x:v>
      </x:c>
      <x:c r="D6" s="22" t="str">
        <x:v>Churn reason summary</x:v>
      </x:c>
      <x:c r="E6" s="22" t="str">
        <x:v>Service/capacity/risk response</x:v>
      </x:c>
      <x:c r="F6" s="22" t="str">
        <x:v>Yes if sustained</x:v>
      </x:c>
      <x:c r="G6" s="22" t="str">
        <x:v>Yes</x:v>
      </x:c>
      <x:c r="H6" s="22" t="str">
        <x:v>Growth/customers indirect</x:v>
      </x:c>
      <x:c r="I6" s="22" t="str">
        <x:v>Revenue declines</x:v>
      </x:c>
      <x:c r="J6" s="22" t="str">
        <x:v>Rep/service exposure</x:v>
      </x:c>
      <x:c r="K6" s="22" t="str">
        <x:v>Yes</x:v>
      </x:c>
      <x:c r="L6" s="22" t="str">
        <x:v>Only severe</x:v>
      </x:c>
      <x:c r="M6" s="22" t="str">
        <x:v>30m</x:v>
      </x:c>
      <x:c r="N6" s="22" t="str">
        <x:v>customer_delta + reason</x:v>
      </x:c>
      <x:c r="O6" s="22" t="str">
        <x:v>P1</x:v>
      </x:c>
      <x:c r="P6" s="34" t="str">
        <x:v>Avoid single-bucket noise</x:v>
      </x:c>
    </x:row>
    <x:row r="7">
      <x:c r="A7" s="33" t="str">
        <x:v>Premium segment unlocked</x:v>
      </x:c>
      <x:c r="B7" s="22" t="str">
        <x:v>State change</x:v>
      </x:c>
      <x:c r="C7" s="22" t="str">
        <x:v>Rep/Risk gates become valid</x:v>
      </x:c>
      <x:c r="D7" s="22" t="str">
        <x:v>New segment available</x:v>
      </x:c>
      <x:c r="E7" s="22" t="str">
        <x:v>Specialize building / do nothing</x:v>
      </x:c>
      <x:c r="F7" s="22" t="str">
        <x:v>One-time</x:v>
      </x:c>
      <x:c r="G7" s="22" t="str">
        <x:v>N/A</x:v>
      </x:c>
      <x:c r="H7" s="22" t="str">
        <x:v>Customers/revenue indirect</x:v>
      </x:c>
      <x:c r="I7" s="22" t="str">
        <x:v>Potential growth</x:v>
      </x:c>
      <x:c r="J7" s="22" t="str">
        <x:v>Must sustain quality</x:v>
      </x:c>
      <x:c r="K7" s="22" t="str">
        <x:v>Yes</x:v>
      </x:c>
      <x:c r="L7" s="22" t="str">
        <x:v>Optional</x:v>
      </x:c>
      <x:c r="M7" s="22" t="str">
        <x:v>Once</x:v>
      </x:c>
      <x:c r="N7" s="22" t="str">
        <x:v>rep/risk/customer eligibility</x:v>
      </x:c>
      <x:c r="O7" s="22" t="str">
        <x:v>P1</x:v>
      </x:c>
      <x:c r="P7" s="34" t="str">
        <x:v>Positive milestone</x:v>
      </x:c>
    </x:row>
    <x:row r="8">
      <x:c r="A8" s="33" t="str">
        <x:v>Capacity recovered</x:v>
      </x:c>
      <x:c r="B8" s="22" t="str">
        <x:v>15m</x:v>
      </x:c>
      <x:c r="C8" s="22" t="str">
        <x:v>Falls below 80% after intervention</x:v>
      </x:c>
      <x:c r="D8" s="22" t="str">
        <x:v>Success toast</x:v>
      </x:c>
      <x:c r="E8" s="22" t="str">
        <x:v>None required</x:v>
      </x:c>
      <x:c r="F8" s="22" t="str">
        <x:v>No proactive prompt</x:v>
      </x:c>
      <x:c r="G8" s="22" t="str">
        <x:v>Yes</x:v>
      </x:c>
      <x:c r="H8" s="22" t="str">
        <x:v>Snapshot</x:v>
      </x:c>
      <x:c r="I8" s="22" t="str">
        <x:v>Improves ability to grow</x:v>
      </x:c>
      <x:c r="J8" s="22" t="str">
        <x:v>Risk/service normalizes</x:v>
      </x:c>
      <x:c r="K8" s="22" t="str">
        <x:v>Objective completion possible</x:v>
      </x:c>
      <x:c r="L8" s="22" t="str">
        <x:v>No</x:v>
      </x:c>
      <x:c r="M8" s="22" t="str">
        <x:v>N/A</x:v>
      </x:c>
      <x:c r="N8" s="22" t="str">
        <x:v>customer snapshot</x:v>
      </x:c>
      <x:c r="O8" s="22" t="str">
        <x:v>P1</x:v>
      </x:c>
      <x:c r="P8" s="34" t="str">
        <x:v>Close feedback loop</x:v>
      </x:c>
    </x:row>
    <x:row r="9">
      <x:c r="A9" s="35" t="str">
        <x:v>Segment mix concentration</x:v>
      </x:c>
      <x:c r="B9" s="36" t="str">
        <x:v>Daily/weekly</x:v>
      </x:c>
      <x:c r="C9" s="36" t="str">
        <x:v>Largest segment &gt;50% warning / &gt;70% strong warning where relevant</x:v>
      </x:c>
      <x:c r="D9" s="36" t="str">
        <x:v>Mix chart</x:v>
      </x:c>
      <x:c r="E9" s="36" t="str">
        <x:v>Diversify services or accept concentration</x:v>
      </x:c>
      <x:c r="F9" s="36" t="str">
        <x:v>Daily max</x:v>
      </x:c>
      <x:c r="G9" s="36" t="str">
        <x:v>Yes</x:v>
      </x:c>
      <x:c r="H9" s="36" t="str">
        <x:v>Indirect</x:v>
      </x:c>
      <x:c r="I9" s="36" t="str">
        <x:v>Revenue composition</x:v>
      </x:c>
      <x:c r="J9" s="36" t="str">
        <x:v>Concentration Risk may increase</x:v>
      </x:c>
      <x:c r="K9" s="36" t="str">
        <x:v>Yes</x:v>
      </x:c>
      <x:c r="L9" s="36" t="str">
        <x:v>No</x:v>
      </x:c>
      <x:c r="M9" s="36" t="str">
        <x:v>24h</x:v>
      </x:c>
      <x:c r="N9" s="36" t="str">
        <x:v>segment snapshot</x:v>
      </x:c>
      <x:c r="O9" s="36" t="str">
        <x:v>P1</x:v>
      </x:c>
      <x:c r="P9" s="37" t="str">
        <x:v>Threshold tunes by stage/family</x:v>
      </x:c>
    </x:row>
  </x:sheetData>
  <x:mergeCells>
    <x:mergeCell ref="A1:P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54" t="str">
        <x:v>Daily Business Objectives — Three Lanes, No Direct Score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</x:row>
    <x:row r="3">
      <x:c r="A3" s="14" t="str">
        <x:v>Objective Lane</x:v>
      </x:c>
      <x:c r="B3" s="14" t="str">
        <x:v>Examples</x:v>
      </x:c>
      <x:c r="C3" s="14" t="str">
        <x:v>Count / Day</x:v>
      </x:c>
      <x:c r="D3" s="14" t="str">
        <x:v>Difficulty</x:v>
      </x:c>
      <x:c r="E3" s="14" t="str">
        <x:v>Expected Engaged Time</x:v>
      </x:c>
      <x:c r="F3" s="14" t="str">
        <x:v>Evidence</x:v>
      </x:c>
      <x:c r="G3" s="14" t="str">
        <x:v>Reward</x:v>
      </x:c>
      <x:c r="H3" s="14" t="str">
        <x:v>Reward Budget Cap</x:v>
      </x:c>
      <x:c r="I3" s="14" t="str">
        <x:v>Direct Performance?</x:v>
      </x:c>
      <x:c r="J3" s="14" t="str">
        <x:v>Direct PLOT?</x:v>
      </x:c>
      <x:c r="K3" s="14" t="str">
        <x:v>Can Reroll?</x:v>
      </x:c>
      <x:c r="L3" s="14" t="str">
        <x:v>Expiry</x:v>
      </x:c>
      <x:c r="M3" s="14" t="str">
        <x:v>Offline Progress?</x:v>
      </x:c>
      <x:c r="N3" s="14" t="str">
        <x:v>Repeat Prevention</x:v>
      </x:c>
      <x:c r="O3" s="14" t="str">
        <x:v>Stage Scaling</x:v>
      </x:c>
      <x:c r="P3" s="14" t="str">
        <x:v>Priority</x:v>
      </x:c>
      <x:c r="Q3" s="14" t="str">
        <x:v>Notes</x:v>
      </x:c>
    </x:row>
    <x:row r="4">
      <x:c r="A4" s="30" t="str">
        <x:v>Operations</x:v>
      </x:c>
      <x:c r="B4" s="31" t="str">
        <x:v>Upgrade a building; reduce utilization below 85%; lower relevant risk; improve Service by X</x:v>
      </x:c>
      <x:c r="C4" s="31" t="n">
        <x:v>1</x:v>
      </x:c>
      <x:c r="D4" s="31" t="str">
        <x:v>Easy/Standard</x:v>
      </x:c>
      <x:c r="E4" s="31" t="str">
        <x:v>5–15 min</x:v>
      </x:c>
      <x:c r="F4" s="31" t="str">
        <x:v>Building/risk/customer ledgers</x:v>
      </x:c>
      <x:c r="G4" s="31" t="str">
        <x:v>Small Cash</x:v>
      </x:c>
      <x:c r="H4" s="31" t="str">
        <x:v>Across all 3 objectives &lt;=5% of median stage daily earned Cash</x:v>
      </x:c>
      <x:c r="I4" s="31" t="str">
        <x:v>No</x:v>
      </x:c>
      <x:c r="J4" s="31" t="str">
        <x:v>No</x:v>
      </x:c>
      <x:c r="K4" s="31" t="str">
        <x:v>1 lane reroll/day total</x:v>
      </x:c>
      <x:c r="L4" s="31" t="str">
        <x:v>Daily reset</x:v>
      </x:c>
      <x:c r="M4" s="31" t="str">
        <x:v>Persistent state may help, but requires &gt;=1 active validated action after assignment</x:v>
      </x:c>
      <x:c r="N4" s="31" t="str">
        <x:v>Same template not &gt;2 consecutive days</x:v>
      </x:c>
      <x:c r="O4" s="31" t="str">
        <x:v>Targets scale by stage/building count</x:v>
      </x:c>
      <x:c r="P4" s="31" t="str">
        <x:v>P0</x:v>
      </x:c>
      <x:c r="Q4" s="32" t="str"/>
    </x:row>
    <x:row r="5">
      <x:c r="A5" s="33" t="str">
        <x:v>Growth</x:v>
      </x:c>
      <x:c r="B5" s="22" t="str">
        <x:v>Gain stage-normalized net customers; open a service; complete capacity expansion</x:v>
      </x:c>
      <x:c r="C5" s="22" t="n">
        <x:v>1</x:v>
      </x:c>
      <x:c r="D5" s="22" t="str">
        <x:v>Standard</x:v>
      </x:c>
      <x:c r="E5" s="22" t="str">
        <x:v>10–20 min</x:v>
      </x:c>
      <x:c r="F5" s="22" t="str">
        <x:v>Customer/building ledgers</x:v>
      </x:c>
      <x:c r="G5" s="22" t="str">
        <x:v>Small Cash</x:v>
      </x:c>
      <x:c r="H5" s="22" t="str">
        <x:v>Included in daily cap</x:v>
      </x:c>
      <x:c r="I5" s="22" t="str">
        <x:v>No</x:v>
      </x:c>
      <x:c r="J5" s="22" t="str">
        <x:v>No</x:v>
      </x:c>
      <x:c r="K5" s="22" t="str">
        <x:v>Shared reroll</x:v>
      </x:c>
      <x:c r="L5" s="22" t="str">
        <x:v>Daily reset</x:v>
      </x:c>
      <x:c r="M5" s="22" t="str">
        <x:v>Offline customer changes alone cannot complete</x:v>
      </x:c>
      <x:c r="N5" s="22" t="str">
        <x:v>Rotate segment/building focus</x:v>
      </x:c>
      <x:c r="O5" s="22" t="str">
        <x:v>Scale by stage</x:v>
      </x:c>
      <x:c r="P5" s="22" t="str">
        <x:v>P0</x:v>
      </x:c>
      <x:c r="Q5" s="34" t="str"/>
    </x:row>
    <x:row r="6">
      <x:c r="A6" s="35" t="str">
        <x:v>Market</x:v>
      </x:c>
      <x:c r="B6" s="36" t="str">
        <x:v>Complete 1 Hunt; operate during event; maintain target market activity without risk breach</x:v>
      </x:c>
      <x:c r="C6" s="36" t="n">
        <x:v>1</x:v>
      </x:c>
      <x:c r="D6" s="36" t="str">
        <x:v>Easy/Standard</x:v>
      </x:c>
      <x:c r="E6" s="36" t="str">
        <x:v>5–20 min</x:v>
      </x:c>
      <x:c r="F6" s="36" t="str">
        <x:v>Hunt/event/activity/risk</x:v>
      </x:c>
      <x:c r="G6" s="36" t="str">
        <x:v>Small Cash</x:v>
      </x:c>
      <x:c r="H6" s="36" t="str">
        <x:v>Included in daily cap</x:v>
      </x:c>
      <x:c r="I6" s="36" t="str">
        <x:v>No</x:v>
      </x:c>
      <x:c r="J6" s="36" t="str">
        <x:v>No</x:v>
      </x:c>
      <x:c r="K6" s="36" t="str">
        <x:v>Shared reroll</x:v>
      </x:c>
      <x:c r="L6" s="36" t="str">
        <x:v>Daily reset</x:v>
      </x:c>
      <x:c r="M6" s="36" t="str">
        <x:v>No Hunt progress offline</x:v>
      </x:c>
      <x:c r="N6" s="36" t="str">
        <x:v>Rotate Hunt/event templates</x:v>
      </x:c>
      <x:c r="O6" s="36" t="str">
        <x:v>Scale by available Hunts/events</x:v>
      </x:c>
      <x:c r="P6" s="36" t="str">
        <x:v>P0</x:v>
      </x:c>
      <x:c r="Q6" s="37" t="str"/>
    </x:row>
    <x:row r="8" ht="22" customHeight="1">
      <x:c r="A8" s="11" t="str">
        <x:v>Objective Reward Rules</x:v>
      </x:c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</x:row>
    <x:row r="9">
      <x:c r="A9" s="14" t="str">
        <x:v>Rule</x:v>
      </x:c>
      <x:c r="B9" s="14" t="str">
        <x:v>Decision</x:v>
      </x:c>
    </x:row>
    <x:row r="10">
      <x:c r="A10" s="30" t="str">
        <x:v>Completion reward</x:v>
      </x:c>
      <x:c r="B10" s="32" t="str">
        <x:v>Cash only in v1.0. No Module, stock, Hunt Point, Performance Point or $PLOT reward.</x:v>
      </x:c>
    </x:row>
    <x:row r="11">
      <x:c r="A11" s="33" t="str">
        <x:v>Daily objective reward budget</x:v>
      </x:c>
      <x:c r="B11" s="34" t="str">
        <x:v>Across all three objectives, target &lt;=5% of median normal daily earned Cash for the player's Empire Stage.</x:v>
      </x:c>
    </x:row>
    <x:row r="12">
      <x:c r="A12" s="33" t="str">
        <x:v>Partial completion</x:v>
      </x:c>
      <x:c r="B12" s="34" t="str">
        <x:v>No partial Cash payout. Progress persists only until reset.</x:v>
      </x:c>
    </x:row>
    <x:row r="13">
      <x:c r="A13" s="33" t="str">
        <x:v>Missing a day</x:v>
      </x:c>
      <x:c r="B13" s="34" t="str">
        <x:v>No debt, no catch-up stack and no streak penalty.</x:v>
      </x:c>
    </x:row>
    <x:row r="14">
      <x:c r="A14" s="33" t="str">
        <x:v>Anti-cheat</x:v>
      </x:c>
      <x:c r="B14" s="34" t="str">
        <x:v>Completion consumes the same authoritative gameplay evidence used by the underlying system; no client completion flag.</x:v>
      </x:c>
    </x:row>
    <x:row r="15">
      <x:c r="A15" s="33" t="str">
        <x:v>Quality gates</x:v>
      </x:c>
      <x:c r="B15" s="34" t="str">
        <x:v>Objectives cannot instruct players to intentionally enter Critical risk or &gt;100% utilization.</x:v>
      </x:c>
    </x:row>
    <x:row r="16">
      <x:c r="A16" s="35" t="str">
        <x:v>No login objective</x:v>
      </x:c>
      <x:c r="B16" s="37" t="str">
        <x:v>Opening the app, claiming a reward or viewing a screen cannot be an objective by itself.</x:v>
      </x:c>
    </x:row>
  </x:sheetData>
  <x:mergeCells>
    <x:mergeCell ref="A1:Q1"/>
    <x:mergeCell ref="A8:Q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Event Calendar &amp; Decision Distribution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2"/>
    </x:row>
    <x:row r="3">
      <x:c r="A3" s="14" t="str">
        <x:v>Event Class</x:v>
      </x:c>
      <x:c r="B3" s="14" t="str">
        <x:v>Frequency</x:v>
      </x:c>
      <x:c r="C3" s="14" t="str">
        <x:v>Calendar Visibility</x:v>
      </x:c>
      <x:c r="D3" s="14" t="str">
        <x:v>Advance Notice</x:v>
      </x:c>
      <x:c r="E3" s="14" t="str">
        <x:v>Typical Duration</x:v>
      </x:c>
      <x:c r="F3" s="14" t="str">
        <x:v>Decision Required?</x:v>
      </x:c>
      <x:c r="G3" s="14" t="str">
        <x:v>Max Decisions</x:v>
      </x:c>
      <x:c r="H3" s="14" t="str">
        <x:v>Offline Behavior</x:v>
      </x:c>
      <x:c r="I3" s="14" t="str">
        <x:v>Reward / Score</x:v>
      </x:c>
      <x:c r="J3" s="14" t="str">
        <x:v>Customer/Economy Impact</x:v>
      </x:c>
      <x:c r="K3" s="14" t="str">
        <x:v>Risk Impact</x:v>
      </x:c>
      <x:c r="L3" s="14" t="str">
        <x:v>Notification</x:v>
      </x:c>
      <x:c r="M3" s="14" t="str">
        <x:v>Overlap Rule</x:v>
      </x:c>
      <x:c r="N3" s="14" t="str">
        <x:v>Scheduling Rule</x:v>
      </x:c>
      <x:c r="O3" s="14" t="str">
        <x:v>Priority</x:v>
      </x:c>
      <x:c r="P3" s="14" t="str">
        <x:v>Notes</x:v>
      </x:c>
    </x:row>
    <x:row r="4">
      <x:c r="A4" s="30" t="str">
        <x:v>Known Major Global</x:v>
      </x:c>
      <x:c r="B4" s="31" t="str">
        <x:v>~2 windows/week displayed</x:v>
      </x:c>
      <x:c r="C4" s="31" t="str">
        <x:v>Exact/approx window displayed</x:v>
      </x:c>
      <x:c r="D4" s="31" t="str">
        <x:v>12–24h</x:v>
      </x:c>
      <x:c r="E4" s="31" t="str">
        <x:v>8–36h</x:v>
      </x:c>
      <x:c r="F4" s="31" t="str">
        <x:v>Usually management response, not modal choice</x:v>
      </x:c>
      <x:c r="G4" s="31" t="str">
        <x:v>0–2 indirect</x:v>
      </x:c>
      <x:c r="H4" s="31" t="str">
        <x:v>Continues fully</x:v>
      </x:c>
      <x:c r="I4" s="31" t="str">
        <x:v>No direct bonus</x:v>
      </x:c>
      <x:c r="J4" s="31" t="str">
        <x:v>Yes</x:v>
      </x:c>
      <x:c r="K4" s="31" t="str">
        <x:v>Yes</x:v>
      </x:c>
      <x:c r="L4" s="31" t="str">
        <x:v>Start alert optional</x:v>
      </x:c>
      <x:c r="M4" s="31" t="str">
        <x:v>Max 2 global concurrently</x:v>
      </x:c>
      <x:c r="N4" s="31" t="str">
        <x:v>Space displayed major windows &gt;=18h apart where possible</x:v>
      </x:c>
      <x:c r="O4" s="31" t="str">
        <x:v>P0</x:v>
      </x:c>
      <x:c r="P4" s="32" t="str"/>
    </x:row>
    <x:row r="5">
      <x:c r="A5" s="33" t="str">
        <x:v>Surprise Global / Minor</x:v>
      </x:c>
      <x:c r="B5" s="22" t="str">
        <x:v>Part of ~2.5 global events/week total</x:v>
      </x:c>
      <x:c r="C5" s="22" t="str">
        <x:v>Not shown until start</x:v>
      </x:c>
      <x:c r="D5" s="22" t="str">
        <x:v>0</x:v>
      </x:c>
      <x:c r="E5" s="22" t="str">
        <x:v>Minor ~8h</x:v>
      </x:c>
      <x:c r="F5" s="22" t="str">
        <x:v>No required choice</x:v>
      </x:c>
      <x:c r="G5" s="22" t="str">
        <x:v>0–1</x:v>
      </x:c>
      <x:c r="H5" s="22" t="str">
        <x:v>Continues fully</x:v>
      </x:c>
      <x:c r="I5" s="22" t="str">
        <x:v>Underlying only</x:v>
      </x:c>
      <x:c r="J5" s="22" t="str">
        <x:v>Yes</x:v>
      </x:c>
      <x:c r="K5" s="22" t="str">
        <x:v>Yes</x:v>
      </x:c>
      <x:c r="L5" s="22" t="str">
        <x:v>Only material start alert</x:v>
      </x:c>
      <x:c r="M5" s="22" t="str">
        <x:v>Max 2 global</x:v>
      </x:c>
      <x:c r="N5" s="22" t="str">
        <x:v>Respect negative-event cooldowns</x:v>
      </x:c>
      <x:c r="O5" s="22" t="str">
        <x:v>P1</x:v>
      </x:c>
      <x:c r="P5" s="34" t="str"/>
    </x:row>
    <x:row r="6">
      <x:c r="A6" s="33" t="str">
        <x:v>Personal Decision Event</x:v>
      </x:c>
      <x:c r="B6" s="22" t="str">
        <x:v>~3/week average</x:v>
      </x:c>
      <x:c r="C6" s="22" t="str">
        <x:v>May show possibility, not exact outcome</x:v>
      </x:c>
      <x:c r="D6" s="22" t="str">
        <x:v>At trigger</x:v>
      </x:c>
      <x:c r="E6" s="22" t="str">
        <x:v>Configured</x:v>
      </x:c>
      <x:c r="F6" s="22" t="str">
        <x:v>Yes</x:v>
      </x:c>
      <x:c r="G6" s="22" t="str">
        <x:v>1 per event</x:v>
      </x:c>
      <x:c r="H6" s="22" t="str">
        <x:v>Queues/pauses offline</x:v>
      </x:c>
      <x:c r="I6" s="22" t="str">
        <x:v>Underlying only</x:v>
      </x:c>
      <x:c r="J6" s="22" t="str">
        <x:v>Yes</x:v>
      </x:c>
      <x:c r="K6" s="22" t="str">
        <x:v>Yes</x:v>
      </x:c>
      <x:c r="L6" s="22" t="str">
        <x:v>One prompt when available</x:v>
      </x:c>
      <x:c r="M6" s="22" t="str">
        <x:v>Max 2 personal active; surface 1 unresolved choice at a time</x:v>
      </x:c>
      <x:c r="N6" s="22" t="str">
        <x:v>At least 6 engaged minutes between surfaced personal choices where possible</x:v>
      </x:c>
      <x:c r="O6" s="22" t="str">
        <x:v>P0</x:v>
      </x:c>
      <x:c r="P6" s="34" t="str"/>
    </x:row>
    <x:row r="7">
      <x:c r="A7" s="33" t="str">
        <x:v>Crisis</x:v>
      </x:c>
      <x:c r="B7" s="22" t="str">
        <x:v>Rare per market state</x:v>
      </x:c>
      <x:c r="C7" s="22" t="str">
        <x:v>Shown immediately</x:v>
      </x:c>
      <x:c r="D7" s="22" t="str">
        <x:v>0</x:v>
      </x:c>
      <x:c r="E7" s="22" t="str">
        <x:v>Configured</x:v>
      </x:c>
      <x:c r="F7" s="22" t="str">
        <x:v>Management decisions</x:v>
      </x:c>
      <x:c r="G7" s="22" t="str">
        <x:v>1–2</x:v>
      </x:c>
      <x:c r="H7" s="22" t="str">
        <x:v>Global crisis continues</x:v>
      </x:c>
      <x:c r="I7" s="22" t="str">
        <x:v>Underlying only</x:v>
      </x:c>
      <x:c r="J7" s="22" t="str">
        <x:v>Strong</x:v>
      </x:c>
      <x:c r="K7" s="22" t="str">
        <x:v>Strong</x:v>
      </x:c>
      <x:c r="L7" s="22" t="str">
        <x:v>Critical alert</x:v>
      </x:c>
      <x:c r="M7" s="22" t="str">
        <x:v>Overrides prompt budget only if necessary</x:v>
      </x:c>
      <x:c r="N7" s="22" t="str">
        <x:v>Respect 168h crisis cooldown</x:v>
      </x:c>
      <x:c r="O7" s="22" t="str">
        <x:v>P1</x:v>
      </x:c>
      <x:c r="P7" s="34" t="str"/>
    </x:row>
    <x:row r="8">
      <x:c r="A8" s="35" t="str">
        <x:v>Seasonal/Summit</x:v>
      </x:c>
      <x:c r="B8" s="36" t="str">
        <x:v>Scheduled LiveOps</x:v>
      </x:c>
      <x:c r="C8" s="36" t="str">
        <x:v>Calendar visible</x:v>
      </x:c>
      <x:c r="D8" s="36" t="str">
        <x:v>24–72h</x:v>
      </x:c>
      <x:c r="E8" s="36" t="str">
        <x:v>Up to72h</x:v>
      </x:c>
      <x:c r="F8" s="36" t="str">
        <x:v>Optional</x:v>
      </x:c>
      <x:c r="G8" s="36" t="str">
        <x:v>0–2</x:v>
      </x:c>
      <x:c r="H8" s="36" t="str">
        <x:v>Continues</x:v>
      </x:c>
      <x:c r="I8" s="36" t="str">
        <x:v>Season sidegrades/cosmetics per system</x:v>
      </x:c>
      <x:c r="J8" s="36" t="str">
        <x:v>Yes</x:v>
      </x:c>
      <x:c r="K8" s="36" t="str">
        <x:v>Yes</x:v>
      </x:c>
      <x:c r="L8" s="36" t="str">
        <x:v>Opt-in reminder</x:v>
      </x:c>
      <x:c r="M8" s="36" t="str">
        <x:v>Avoid final-hour stacking unless intentional</x:v>
      </x:c>
      <x:c r="N8" s="36" t="str">
        <x:v>Published calendar</x:v>
      </x:c>
      <x:c r="O8" s="36" t="str">
        <x:v>P2</x:v>
      </x:c>
      <x:c r="P8" s="37" t="str"/>
    </x:row>
  </x:sheetData>
  <x:mergeCells>
    <x:mergeCell ref="A1:P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54" t="str">
        <x:v>Weekly Payout Countdown &amp; Settlement UX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2"/>
    </x:row>
    <x:row r="3">
      <x:c r="A3" s="14" t="str">
        <x:v>Time to Epoch Close</x:v>
      </x:c>
      <x:c r="B3" s="14" t="str">
        <x:v>UI State</x:v>
      </x:c>
      <x:c r="C3" s="14" t="str">
        <x:v>Score Label</x:v>
      </x:c>
      <x:c r="D3" s="14" t="str">
        <x:v>Payout Label</x:v>
      </x:c>
      <x:c r="E3" s="14" t="str">
        <x:v>Eligibility</x:v>
      </x:c>
      <x:c r="F3" s="14" t="str">
        <x:v>Recommended CTA</x:v>
      </x:c>
      <x:c r="G3" s="14" t="str">
        <x:v>Notification?</x:v>
      </x:c>
      <x:c r="H3" s="14" t="str">
        <x:v>Can Claim?</x:v>
      </x:c>
      <x:c r="I3" s="14" t="str">
        <x:v>Data Frozen?</x:v>
      </x:c>
      <x:c r="J3" s="14" t="str">
        <x:v>League State</x:v>
      </x:c>
      <x:c r="K3" s="14" t="str">
        <x:v>Integrity State</x:v>
      </x:c>
      <x:c r="L3" s="14" t="str">
        <x:v>Event Handling</x:v>
      </x:c>
      <x:c r="M3" s="14" t="str">
        <x:v>Hunt Handling</x:v>
      </x:c>
      <x:c r="N3" s="14" t="str">
        <x:v>Failure Message</x:v>
      </x:c>
      <x:c r="O3" s="14" t="str">
        <x:v>Priority</x:v>
      </x:c>
      <x:c r="P3" s="14" t="str">
        <x:v>Notes</x:v>
      </x:c>
    </x:row>
    <x:row r="4">
      <x:c r="A4" s="30" t="str">
        <x:v>&gt;48h</x:v>
      </x:c>
      <x:c r="B4" s="31" t="str">
        <x:v>Normal week</x:v>
      </x:c>
      <x:c r="C4" s="31" t="str">
        <x:v>Provisional</x:v>
      </x:c>
      <x:c r="D4" s="31" t="str">
        <x:v>No guaranteed payout</x:v>
      </x:c>
      <x:c r="E4" s="31" t="str">
        <x:v>Show active days + min score progress</x:v>
      </x:c>
      <x:c r="F4" s="31" t="str">
        <x:v>Play normally / inspect weak component</x:v>
      </x:c>
      <x:c r="G4" s="31" t="str">
        <x:v>No default</x:v>
      </x:c>
      <x:c r="H4" s="31" t="str">
        <x:v>No</x:v>
      </x:c>
      <x:c r="I4" s="31" t="str">
        <x:v>No</x:v>
      </x:c>
      <x:c r="J4" s="31" t="str">
        <x:v>Provisional</x:v>
      </x:c>
      <x:c r="K4" s="31" t="str">
        <x:v>Live</x:v>
      </x:c>
      <x:c r="L4" s="31" t="str">
        <x:v>Normal</x:v>
      </x:c>
      <x:c r="M4" s="31" t="str">
        <x:v>Normal</x:v>
      </x:c>
      <x:c r="N4" s="31" t="str">
        <x:v>N/A</x:v>
      </x:c>
      <x:c r="O4" s="31" t="str">
        <x:v>P0</x:v>
      </x:c>
      <x:c r="P4" s="32" t="str"/>
    </x:row>
    <x:row r="5">
      <x:c r="A5" s="33" t="str">
        <x:v>24–48h</x:v>
      </x:c>
      <x:c r="B5" s="22" t="str">
        <x:v>Closing Bell soon</x:v>
      </x:c>
      <x:c r="C5" s="22" t="str">
        <x:v>Provisional</x:v>
      </x:c>
      <x:c r="D5" s="22" t="str">
        <x:v>Estimated/hidden per product setting; never guaranteed</x:v>
      </x:c>
      <x:c r="E5" s="22" t="str">
        <x:v>Highlight only actual gaps</x:v>
      </x:c>
      <x:c r="F5" s="22" t="str">
        <x:v>Manage weak component</x:v>
      </x:c>
      <x:c r="G5" s="22" t="str">
        <x:v>Optional 24h opt-in</x:v>
      </x:c>
      <x:c r="H5" s="22" t="str">
        <x:v>No</x:v>
      </x:c>
      <x:c r="I5" s="22" t="str">
        <x:v>No</x:v>
      </x:c>
      <x:c r="J5" s="22" t="str">
        <x:v>Provisional</x:v>
      </x:c>
      <x:c r="K5" s="22" t="str">
        <x:v>Live</x:v>
      </x:c>
      <x:c r="L5" s="22" t="str">
        <x:v>Normal</x:v>
      </x:c>
      <x:c r="M5" s="22" t="str">
        <x:v>Normal</x:v>
      </x:c>
      <x:c r="N5" s="22" t="str">
        <x:v>N/A</x:v>
      </x:c>
      <x:c r="O5" s="22" t="str">
        <x:v>P1</x:v>
      </x:c>
      <x:c r="P5" s="34" t="str"/>
    </x:row>
    <x:row r="6">
      <x:c r="A6" s="33" t="str">
        <x:v>6–24h</x:v>
      </x:c>
      <x:c r="B6" s="22" t="str">
        <x:v>Closing Bell</x:v>
      </x:c>
      <x:c r="C6" s="22" t="str">
        <x:v>Provisional</x:v>
      </x:c>
      <x:c r="D6" s="22" t="str">
        <x:v>No guarantee</x:v>
      </x:c>
      <x:c r="E6" s="22" t="str">
        <x:v>Eligibility prominent</x:v>
      </x:c>
      <x:c r="F6" s="22" t="str">
        <x:v>Address real gap or stop</x:v>
      </x:c>
      <x:c r="G6" s="22" t="str">
        <x:v>Optional 6h opt-in</x:v>
      </x:c>
      <x:c r="H6" s="22" t="str">
        <x:v>No</x:v>
      </x:c>
      <x:c r="I6" s="22" t="str">
        <x:v>No</x:v>
      </x:c>
      <x:c r="J6" s="22" t="str">
        <x:v>Provisional</x:v>
      </x:c>
      <x:c r="K6" s="22" t="str">
        <x:v>Live</x:v>
      </x:c>
      <x:c r="L6" s="22" t="str">
        <x:v>Normal</x:v>
      </x:c>
      <x:c r="M6" s="22" t="str">
        <x:v>Normal</x:v>
      </x:c>
      <x:c r="N6" s="22" t="str">
        <x:v>N/A</x:v>
      </x:c>
      <x:c r="O6" s="22" t="str">
        <x:v>P0</x:v>
      </x:c>
      <x:c r="P6" s="34" t="str"/>
    </x:row>
    <x:row r="7">
      <x:c r="A7" s="33" t="str">
        <x:v>1–6h</x:v>
      </x:c>
      <x:c r="B7" s="22" t="str">
        <x:v>Final stretch</x:v>
      </x:c>
      <x:c r="C7" s="22" t="str">
        <x:v>Provisional</x:v>
      </x:c>
      <x:c r="D7" s="22" t="str">
        <x:v>No guarantee</x:v>
      </x:c>
      <x:c r="E7" s="22" t="str">
        <x:v>Eligibility + exact UTC close</x:v>
      </x:c>
      <x:c r="F7" s="22" t="str">
        <x:v>One legitimate action if useful</x:v>
      </x:c>
      <x:c r="G7" s="22" t="str">
        <x:v>Optional 1h only</x:v>
      </x:c>
      <x:c r="H7" s="22" t="str">
        <x:v>No</x:v>
      </x:c>
      <x:c r="I7" s="22" t="str">
        <x:v>No</x:v>
      </x:c>
      <x:c r="J7" s="22" t="str">
        <x:v>Provisional</x:v>
      </x:c>
      <x:c r="K7" s="22" t="str">
        <x:v>Live</x:v>
      </x:c>
      <x:c r="L7" s="22" t="str">
        <x:v>Events remain valid through close</x:v>
      </x:c>
      <x:c r="M7" s="22" t="str">
        <x:v>Hunts may cross close; attribution follows evidence/completion rules</x:v>
      </x:c>
      <x:c r="N7" s="22" t="str">
        <x:v>N/A</x:v>
      </x:c>
      <x:c r="O7" s="22" t="str">
        <x:v>P0</x:v>
      </x:c>
      <x:c r="P7" s="34" t="str"/>
    </x:row>
    <x:row r="8">
      <x:c r="A8" s="33" t="str">
        <x:v>0–Settlement Final</x:v>
      </x:c>
      <x:c r="B8" s="22" t="str">
        <x:v>Settlement Pending</x:v>
      </x:c>
      <x:c r="C8" s="22" t="str">
        <x:v>Frozen source window / Pending</x:v>
      </x:c>
      <x:c r="D8" s="22" t="str">
        <x:v>Pending</x:v>
      </x:c>
      <x:c r="E8" s="22" t="str">
        <x:v>Locked for prior epoch</x:v>
      </x:c>
      <x:c r="F8" s="22" t="str">
        <x:v>View results/status</x:v>
      </x:c>
      <x:c r="G8" s="22" t="str">
        <x:v>One 'week ended' max</x:v>
      </x:c>
      <x:c r="H8" s="22" t="str">
        <x:v>No</x:v>
      </x:c>
      <x:c r="I8" s="22" t="str">
        <x:v>Source period frozen</x:v>
      </x:c>
      <x:c r="J8" s="22" t="str">
        <x:v>Pending</x:v>
      </x:c>
      <x:c r="K8" s="22" t="str">
        <x:v>Integrity checks</x:v>
      </x:c>
      <x:c r="L8" s="22" t="str">
        <x:v>New-week events separate</x:v>
      </x:c>
      <x:c r="M8" s="22" t="str">
        <x:v>New-week Hunts reset normally</x:v>
      </x:c>
      <x:c r="N8" s="22" t="str">
        <x:v>Settlement is being finalized; nothing is lost</x:v>
      </x:c>
      <x:c r="O8" s="22" t="str">
        <x:v>P0</x:v>
      </x:c>
      <x:c r="P8" s="34" t="str"/>
    </x:row>
    <x:row r="9">
      <x:c r="A9" s="35" t="str">
        <x:v>Finalized</x:v>
      </x:c>
      <x:c r="B9" s="36" t="str">
        <x:v>Final</x:v>
      </x:c>
      <x:c r="C9" s="36" t="str">
        <x:v>Final</x:v>
      </x:c>
      <x:c r="D9" s="36" t="str">
        <x:v>Claimable if eligible</x:v>
      </x:c>
      <x:c r="E9" s="36" t="str">
        <x:v>Final</x:v>
      </x:c>
      <x:c r="F9" s="36" t="str">
        <x:v>Claim / continue new week</x:v>
      </x:c>
      <x:c r="G9" s="36" t="str">
        <x:v>One claimable notification</x:v>
      </x:c>
      <x:c r="H9" s="36" t="str">
        <x:v>Yes</x:v>
      </x:c>
      <x:c r="I9" s="36" t="str">
        <x:v>Yes</x:v>
      </x:c>
      <x:c r="J9" s="36" t="str">
        <x:v>Final per rules</x:v>
      </x:c>
      <x:c r="K9" s="36" t="str">
        <x:v>Final manifest immutable</x:v>
      </x:c>
      <x:c r="L9" s="36" t="str">
        <x:v>New week independent</x:v>
      </x:c>
      <x:c r="M9" s="36" t="str">
        <x:v>New week independent</x:v>
      </x:c>
      <x:c r="N9" s="36" t="str">
        <x:v>N/A</x:v>
      </x:c>
      <x:c r="O9" s="36" t="str">
        <x:v>P0</x:v>
      </x:c>
      <x:c r="P9" s="37" t="str"/>
    </x:row>
  </x:sheetData>
  <x:mergeCells>
    <x:mergeCell ref="A1:P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54" t="str">
        <x:v>Active Days, Operating Streak &amp; Attendance Policy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2"/>
    </x:row>
    <x:row r="3">
      <x:c r="A3" s="14" t="str">
        <x:v>Concept</x:v>
      </x:c>
      <x:c r="B3" s="14" t="str">
        <x:v>Definition</x:v>
      </x:c>
      <x:c r="C3" s="14" t="str">
        <x:v>Reward?</x:v>
      </x:c>
      <x:c r="D3" s="14" t="str">
        <x:v>Performance Direct?</x:v>
      </x:c>
      <x:c r="E3" s="14" t="str">
        <x:v>PLOT Direct?</x:v>
      </x:c>
      <x:c r="F3" s="14" t="str">
        <x:v>League Impact</x:v>
      </x:c>
      <x:c r="G3" s="14" t="str">
        <x:v>Reset</x:v>
      </x:c>
      <x:c r="H3" s="14" t="str">
        <x:v>Grace?</x:v>
      </x:c>
      <x:c r="I3" s="14" t="str">
        <x:v>Offline Qualifies?</x:v>
      </x:c>
      <x:c r="J3" s="14" t="str">
        <x:v>AFK Qualifies?</x:v>
      </x:c>
      <x:c r="K3" s="14" t="str">
        <x:v>Notification</x:v>
      </x:c>
      <x:c r="L3" s="14" t="str">
        <x:v>UI</x:v>
      </x:c>
      <x:c r="M3" s="14" t="str">
        <x:v>Backend Evidence</x:v>
      </x:c>
      <x:c r="N3" s="14" t="str">
        <x:v>Exploit Guard</x:v>
      </x:c>
      <x:c r="O3" s="14" t="str">
        <x:v>Priority</x:v>
      </x:c>
      <x:c r="P3" s="14" t="str">
        <x:v>Notes</x:v>
      </x:c>
    </x:row>
    <x:row r="4">
      <x:c r="A4" s="30" t="str">
        <x:v>Eligible Active Day</x:v>
      </x:c>
      <x:c r="B4" s="31" t="str">
        <x:v>&gt;=10 cumulative engaged minutes + &gt;=1 meaningful state-changing action in UTC day</x:v>
      </x:c>
      <x:c r="C4" s="31" t="str">
        <x:v>No standalone reward</x:v>
      </x:c>
      <x:c r="D4" s="31" t="str">
        <x:v>Eligibility only, not score points</x:v>
      </x:c>
      <x:c r="E4" s="31" t="str">
        <x:v>No</x:v>
      </x:c>
      <x:c r="F4" s="31" t="str">
        <x:v>Counts toward 3-day Bronze–Gold / 4-day Platinum+ requirement</x:v>
      </x:c>
      <x:c r="G4" s="31" t="str">
        <x:v>UTC daily</x:v>
      </x:c>
      <x:c r="H4" s="31" t="str">
        <x:v>No fabricated grace</x:v>
      </x:c>
      <x:c r="I4" s="31" t="str">
        <x:v>No</x:v>
      </x:c>
      <x:c r="J4" s="31" t="str">
        <x:v>No</x:v>
      </x:c>
      <x:c r="K4" s="31" t="str">
        <x:v>No guilt push</x:v>
      </x:c>
      <x:c r="L4" s="31" t="str">
        <x:v>Weekly eligibility meter</x:v>
      </x:c>
      <x:c r="M4" s="31" t="str">
        <x:v>active_minutes_daily + meaningful action ledger</x:v>
      </x:c>
      <x:c r="N4" s="31" t="str">
        <x:v>Heartbeat/open/navigation excluded</x:v>
      </x:c>
      <x:c r="O4" s="31" t="str">
        <x:v>P0</x:v>
      </x:c>
      <x:c r="P4" s="32" t="str">
        <x:v>Canonical from Idle/League specs</x:v>
      </x:c>
    </x:row>
    <x:row r="5">
      <x:c r="A5" s="33" t="str">
        <x:v>Operating Streak</x:v>
      </x:c>
      <x:c r="B5" s="22" t="str">
        <x:v>Consecutive Eligible Active Days</x:v>
      </x:c>
      <x:c r="C5" s="22" t="str">
        <x:v>Cosmetic/status only</x:v>
      </x:c>
      <x:c r="D5" s="22" t="str">
        <x:v>No</x:v>
      </x:c>
      <x:c r="E5" s="22" t="str">
        <x:v>No</x:v>
      </x:c>
      <x:c r="F5" s="22" t="str">
        <x:v>No bonus to league/payout</x:v>
      </x:c>
      <x:c r="G5" s="22" t="str">
        <x:v>Breaks on non-eligible UTC day</x:v>
      </x:c>
      <x:c r="H5" s="22" t="str">
        <x:v>No</x:v>
      </x:c>
      <x:c r="I5" s="22" t="str">
        <x:v>No</x:v>
      </x:c>
      <x:c r="J5" s="22" t="str">
        <x:v>No</x:v>
      </x:c>
      <x:c r="K5" s="22" t="str">
        <x:v>Never warn about losing rewards</x:v>
      </x:c>
      <x:c r="L5" s="22" t="str">
        <x:v>Small profile/Empire badge; optional 7/30-day cosmetic milestone later</x:v>
      </x:c>
      <x:c r="M5" s="22" t="str">
        <x:v>active-day ledger</x:v>
      </x:c>
      <x:c r="N5" s="22" t="str">
        <x:v>Same active-day evidence</x:v>
      </x:c>
      <x:c r="O5" s="22" t="str">
        <x:v>P1</x:v>
      </x:c>
      <x:c r="P5" s="34" t="str">
        <x:v>Launch with no material reward</x:v>
      </x:c>
    </x:row>
    <x:row r="6">
      <x:c r="A6" s="33" t="str">
        <x:v>Longest Operating Streak</x:v>
      </x:c>
      <x:c r="B6" s="22" t="str">
        <x:v>Historical max consecutive eligible days</x:v>
      </x:c>
      <x:c r="C6" s="22" t="str">
        <x:v>No</x:v>
      </x:c>
      <x:c r="D6" s="22" t="str">
        <x:v>No</x:v>
      </x:c>
      <x:c r="E6" s="22" t="str">
        <x:v>No</x:v>
      </x:c>
      <x:c r="F6" s="22" t="str">
        <x:v>None</x:v>
      </x:c>
      <x:c r="G6" s="22" t="str">
        <x:v>Never resets historically</x:v>
      </x:c>
      <x:c r="H6" s="22" t="str">
        <x:v>N/A</x:v>
      </x:c>
      <x:c r="I6" s="22" t="str">
        <x:v>N/A</x:v>
      </x:c>
      <x:c r="J6" s="22" t="str">
        <x:v>N/A</x:v>
      </x:c>
      <x:c r="K6" s="22" t="str">
        <x:v>No</x:v>
      </x:c>
      <x:c r="L6" s="22" t="str">
        <x:v>Stats/profile</x:v>
      </x:c>
      <x:c r="M6" s="22" t="str">
        <x:v>Derived</x:v>
      </x:c>
      <x:c r="N6" s="22" t="str">
        <x:v>Server-derived</x:v>
      </x:c>
      <x:c r="O6" s="22" t="str">
        <x:v>P2</x:v>
      </x:c>
      <x:c r="P6" s="34" t="str">
        <x:v>Prestige only</x:v>
      </x:c>
    </x:row>
    <x:row r="7">
      <x:c r="A7" s="35" t="str">
        <x:v>Comeback status</x:v>
      </x:c>
      <x:c r="B7" s="36" t="str">
        <x:v>Return after &gt;=7 days absence</x:v>
      </x:c>
      <x:c r="C7" s="36" t="str">
        <x:v>No automatic power reward</x:v>
      </x:c>
      <x:c r="D7" s="36" t="str">
        <x:v>No</x:v>
      </x:c>
      <x:c r="E7" s="36" t="str">
        <x:v>No</x:v>
      </x:c>
      <x:c r="F7" s="36" t="str">
        <x:v>None</x:v>
      </x:c>
      <x:c r="G7" s="36" t="str">
        <x:v>One-time return state</x:v>
      </x:c>
      <x:c r="H7" s="36" t="str">
        <x:v>N/A</x:v>
      </x:c>
      <x:c r="I7" s="36" t="str">
        <x:v>No</x:v>
      </x:c>
      <x:c r="J7" s="36" t="str">
        <x:v>No</x:v>
      </x:c>
      <x:c r="K7" s="36" t="str">
        <x:v>Optional welcome-back summary, not bribe</x:v>
      </x:c>
      <x:c r="L7" s="36" t="str">
        <x:v>Return Summary</x:v>
      </x:c>
      <x:c r="M7" s="36" t="str">
        <x:v>absence history</x:v>
      </x:c>
      <x:c r="N7" s="36" t="str">
        <x:v>No free score/Hunt Points</x:v>
      </x:c>
      <x:c r="O7" s="36" t="str">
        <x:v>P2</x:v>
      </x:c>
      <x:c r="P7" s="37" t="str">
        <x:v>Optional cosmetic campaign later</x:v>
      </x:c>
    </x:row>
  </x:sheetData>
  <x:mergeCells>
    <x:mergeCell ref="A1:P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Meaningful Decision Cadence &amp; Prompt Budget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</x:row>
    <x:row r="3">
      <x:c r="A3" s="14" t="str">
        <x:v>Decision Source</x:v>
      </x:c>
      <x:c r="B3" s="14" t="str">
        <x:v>Typical Frequency</x:v>
      </x:c>
      <x:c r="C3" s="14" t="str">
        <x:v>Meaningful When</x:v>
      </x:c>
      <x:c r="D3" s="14" t="str">
        <x:v>Player Choice</x:v>
      </x:c>
      <x:c r="E3" s="14" t="str">
        <x:v>Can Ignore?</x:v>
      </x:c>
      <x:c r="F3" s="14" t="str">
        <x:v>Prompt Type</x:v>
      </x:c>
      <x:c r="G3" s="14" t="str">
        <x:v>Min Prompt Spacing</x:v>
      </x:c>
      <x:c r="H3" s="14" t="str">
        <x:v>Max Proactive Prompts / Session</x:v>
      </x:c>
      <x:c r="I3" s="14" t="str">
        <x:v>Critical Override?</x:v>
      </x:c>
      <x:c r="J3" s="14" t="str">
        <x:v>Evidence</x:v>
      </x:c>
      <x:c r="K3" s="14" t="str">
        <x:v>Performance Direct?</x:v>
      </x:c>
      <x:c r="L3" s="14" t="str">
        <x:v>Offline Decision?</x:v>
      </x:c>
      <x:c r="M3" s="14" t="str">
        <x:v>Expected Time</x:v>
      </x:c>
      <x:c r="N3" s="14" t="str">
        <x:v>Fatigue Risk</x:v>
      </x:c>
      <x:c r="O3" s="14" t="str">
        <x:v>Anti-Spam Rule</x:v>
      </x:c>
      <x:c r="P3" s="14" t="str">
        <x:v>Priority</x:v>
      </x:c>
      <x:c r="Q3" s="14" t="str">
        <x:v>Notes</x:v>
      </x:c>
    </x:row>
    <x:row r="4">
      <x:c r="A4" s="30" t="str">
        <x:v>Customer / Capacity</x:v>
      </x:c>
      <x:c r="B4" s="31" t="str">
        <x:v>0–3/day depending state</x:v>
      </x:c>
      <x:c r="C4" s="31" t="str">
        <x:v>Utilization &gt;=85%, churn shift, segment change</x:v>
      </x:c>
      <x:c r="D4" s="31" t="str">
        <x:v>Upgrade/add capacity/change service mix/accept</x:v>
      </x:c>
      <x:c r="E4" s="31" t="str">
        <x:v>Yes</x:v>
      </x:c>
      <x:c r="F4" s="31" t="str">
        <x:v>Context card</x:v>
      </x:c>
      <x:c r="G4" s="31" t="str">
        <x:v>8 min</x:v>
      </x:c>
      <x:c r="H4" s="31" t="str">
        <x:v>3 shared</x:v>
      </x:c>
      <x:c r="I4" s="31" t="str">
        <x:v>Yes &gt;95% or severe failure</x:v>
      </x:c>
      <x:c r="J4" s="31" t="str">
        <x:v>customer/capacity snapshots</x:v>
      </x:c>
      <x:c r="K4" s="31" t="str">
        <x:v>Indirect</x:v>
      </x:c>
      <x:c r="L4" s="31" t="str">
        <x:v>No; evaluate on return</x:v>
      </x:c>
      <x:c r="M4" s="31" t="str">
        <x:v>1–5 min</x:v>
      </x:c>
      <x:c r="N4" s="31" t="str">
        <x:v>Medium</x:v>
      </x:c>
      <x:c r="O4" s="31" t="str">
        <x:v>Suppress repeat until material state changes or 30m cooldown</x:v>
      </x:c>
      <x:c r="P4" s="31" t="str">
        <x:v>P0</x:v>
      </x:c>
      <x:c r="Q4" s="32" t="str"/>
    </x:row>
    <x:row r="5">
      <x:c r="A5" s="33" t="str">
        <x:v>Risk</x:v>
      </x:c>
      <x:c r="B5" s="22" t="str">
        <x:v>0–2/day typical</x:v>
      </x:c>
      <x:c r="C5" s="22" t="str">
        <x:v>Band/driver changes materially</x:v>
      </x:c>
      <x:c r="D5" s="22" t="str">
        <x:v>Reduce exposure/change strategy/accept</x:v>
      </x:c>
      <x:c r="E5" s="22" t="str">
        <x:v>Yes</x:v>
      </x:c>
      <x:c r="F5" s="22" t="str">
        <x:v>Context alert</x:v>
      </x:c>
      <x:c r="G5" s="22" t="str">
        <x:v>8 min</x:v>
      </x:c>
      <x:c r="H5" s="22" t="str">
        <x:v>3 shared</x:v>
      </x:c>
      <x:c r="I5" s="22" t="str">
        <x:v>Yes High/Critical</x:v>
      </x:c>
      <x:c r="J5" s="22" t="str">
        <x:v>risk snapshots/incidents</x:v>
      </x:c>
      <x:c r="K5" s="22" t="str">
        <x:v>Indirect</x:v>
      </x:c>
      <x:c r="L5" s="22" t="str">
        <x:v>No; risk still evolves</x:v>
      </x:c>
      <x:c r="M5" s="22" t="str">
        <x:v>1–5 min</x:v>
      </x:c>
      <x:c r="N5" s="22" t="str">
        <x:v>Medium</x:v>
      </x:c>
      <x:c r="O5" s="22" t="str">
        <x:v>One alert per driver transition</x:v>
      </x:c>
      <x:c r="P5" s="22" t="str">
        <x:v>P0</x:v>
      </x:c>
      <x:c r="Q5" s="34" t="str"/>
    </x:row>
    <x:row r="6">
      <x:c r="A6" s="33" t="str">
        <x:v>Build / Upgrade</x:v>
      </x:c>
      <x:c r="B6" s="22" t="str">
        <x:v>Player-driven</x:v>
      </x:c>
      <x:c r="C6" s="22" t="str">
        <x:v>Cash/unlock/space creates opportunity</x:v>
      </x:c>
      <x:c r="D6" s="22" t="str">
        <x:v>Build/upgrade/save/reposition</x:v>
      </x:c>
      <x:c r="E6" s="22" t="str">
        <x:v>Yes</x:v>
      </x:c>
      <x:c r="F6" s="22" t="str">
        <x:v>Recommendation, not modal</x:v>
      </x:c>
      <x:c r="G6" s="22" t="str">
        <x:v>10 min</x:v>
      </x:c>
      <x:c r="H6" s="22" t="str">
        <x:v>3 shared</x:v>
      </x:c>
      <x:c r="I6" s="22" t="str">
        <x:v>No</x:v>
      </x:c>
      <x:c r="J6" s="22" t="str">
        <x:v>building/cash state</x:v>
      </x:c>
      <x:c r="K6" s="22" t="str">
        <x:v>Indirect</x:v>
      </x:c>
      <x:c r="L6" s="22" t="str">
        <x:v>No</x:v>
      </x:c>
      <x:c r="M6" s="22" t="str">
        <x:v>1–5 min</x:v>
      </x:c>
      <x:c r="N6" s="22" t="str">
        <x:v>Low</x:v>
      </x:c>
      <x:c r="O6" s="22" t="str">
        <x:v>No repeated 'spend Cash' prompts</x:v>
      </x:c>
      <x:c r="P6" s="22" t="str">
        <x:v>P0</x:v>
      </x:c>
      <x:c r="Q6" s="34" t="str"/>
    </x:row>
    <x:row r="7">
      <x:c r="A7" s="33" t="str">
        <x:v>Market Hunt</x:v>
      </x:c>
      <x:c r="B7" s="22" t="str">
        <x:v>Up to 3 offers/day</x:v>
      </x:c>
      <x:c r="C7" s="22" t="str">
        <x:v>Player chooses offer/signal/effort</x:v>
      </x:c>
      <x:c r="D7" s="22" t="str">
        <x:v>Start, reroll, complete, ignore</x:v>
      </x:c>
      <x:c r="E7" s="22" t="str">
        <x:v>Yes</x:v>
      </x:c>
      <x:c r="F7" s="22" t="str">
        <x:v>Hunt card</x:v>
      </x:c>
      <x:c r="G7" s="22" t="str">
        <x:v>10 min</x:v>
      </x:c>
      <x:c r="H7" s="22" t="str">
        <x:v>3 shared</x:v>
      </x:c>
      <x:c r="I7" s="22" t="str">
        <x:v>No</x:v>
      </x:c>
      <x:c r="J7" s="22" t="str">
        <x:v>Hunt ledger</x:v>
      </x:c>
      <x:c r="K7" s="22" t="str">
        <x:v>Hunt Points canonical</x:v>
      </x:c>
      <x:c r="L7" s="22" t="str">
        <x:v>No progress offline</x:v>
      </x:c>
      <x:c r="M7" s="22" t="str">
        <x:v>5–20 min</x:v>
      </x:c>
      <x:c r="N7" s="22" t="str">
        <x:v>Low/Medium</x:v>
      </x:c>
      <x:c r="O7" s="22" t="str">
        <x:v>Only one expiry warning per active Hunt</x:v>
      </x:c>
      <x:c r="P7" s="22" t="str">
        <x:v>P0</x:v>
      </x:c>
      <x:c r="Q7" s="34" t="str"/>
    </x:row>
    <x:row r="8">
      <x:c r="A8" s="33" t="str">
        <x:v>Personal Event</x:v>
      </x:c>
      <x:c r="B8" s="22" t="str">
        <x:v>~3/week</x:v>
      </x:c>
      <x:c r="C8" s="22" t="str">
        <x:v>Event choice is available</x:v>
      </x:c>
      <x:c r="D8" s="22" t="str">
        <x:v>Choose option / defer</x:v>
      </x:c>
      <x:c r="E8" s="22" t="str">
        <x:v>Yes until expiry/queue policy</x:v>
      </x:c>
      <x:c r="F8" s="22" t="str">
        <x:v>Decision modal/card</x:v>
      </x:c>
      <x:c r="G8" s="22" t="str">
        <x:v>At least 6 engaged min from prior surfaced personal choice where possible</x:v>
      </x:c>
      <x:c r="H8" s="22" t="str">
        <x:v>Outside normal 3 only if event must be resolved</x:v>
      </x:c>
      <x:c r="I8" s="22" t="str">
        <x:v>Sometimes</x:v>
      </x:c>
      <x:c r="J8" s="22" t="str">
        <x:v>event state</x:v>
      </x:c>
      <x:c r="K8" s="22" t="str">
        <x:v>Indirect</x:v>
      </x:c>
      <x:c r="L8" s="22" t="str">
        <x:v>Queues offline</x:v>
      </x:c>
      <x:c r="M8" s="22" t="str">
        <x:v>1–3 min</x:v>
      </x:c>
      <x:c r="N8" s="22" t="str">
        <x:v>High</x:v>
      </x:c>
      <x:c r="O8" s="22" t="str">
        <x:v>Surface one unresolved personal decision at a time</x:v>
      </x:c>
      <x:c r="P8" s="22" t="str">
        <x:v>P0</x:v>
      </x:c>
      <x:c r="Q8" s="34" t="str"/>
    </x:row>
    <x:row r="9">
      <x:c r="A9" s="33" t="str">
        <x:v>Business Objective</x:v>
      </x:c>
      <x:c r="B9" s="22" t="str">
        <x:v>3/day visible</x:v>
      </x:c>
      <x:c r="C9" s="22" t="str">
        <x:v>Player elects to pursue one</x:v>
      </x:c>
      <x:c r="D9" s="22" t="str">
        <x:v>Choose lane / reroll / ignore</x:v>
      </x:c>
      <x:c r="E9" s="22" t="str">
        <x:v>Yes</x:v>
      </x:c>
      <x:c r="F9" s="22" t="str">
        <x:v>Goals card</x:v>
      </x:c>
      <x:c r="G9" s="22" t="str">
        <x:v>No proactive repeat</x:v>
      </x:c>
      <x:c r="H9" s="22" t="str">
        <x:v>0 repeated prompts</x:v>
      </x:c>
      <x:c r="I9" s="22" t="str">
        <x:v>No</x:v>
      </x:c>
      <x:c r="J9" s="22" t="str">
        <x:v>objective evidence</x:v>
      </x:c>
      <x:c r="K9" s="22" t="str">
        <x:v>No direct</x:v>
      </x:c>
      <x:c r="L9" s="22" t="str">
        <x:v>No passive completion</x:v>
      </x:c>
      <x:c r="M9" s="22" t="str">
        <x:v>5–20 min</x:v>
      </x:c>
      <x:c r="N9" s="22" t="str">
        <x:v>Low</x:v>
      </x:c>
      <x:c r="O9" s="22" t="str">
        <x:v>No popup on each progress tick</x:v>
      </x:c>
      <x:c r="P9" s="22" t="str">
        <x:v>P0</x:v>
      </x:c>
      <x:c r="Q9" s="34" t="str"/>
    </x:row>
    <x:row r="10">
      <x:c r="A10" s="35" t="str">
        <x:v>Weekly Performance</x:v>
      </x:c>
      <x:c r="B10" s="36" t="str">
        <x:v>1–2 deliberate checks/day max</x:v>
      </x:c>
      <x:c r="C10" s="36" t="str">
        <x:v>Eligibility/score weakness changes</x:v>
      </x:c>
      <x:c r="D10" s="36" t="str">
        <x:v>Choose what to improve / ignore</x:v>
      </x:c>
      <x:c r="E10" s="36" t="str">
        <x:v>Yes</x:v>
      </x:c>
      <x:c r="F10" s="36" t="str">
        <x:v>Briefing/Performance card</x:v>
      </x:c>
      <x:c r="G10" s="36" t="str">
        <x:v>30 min</x:v>
      </x:c>
      <x:c r="H10" s="36" t="str">
        <x:v>1/session</x:v>
      </x:c>
      <x:c r="I10" s="36" t="str">
        <x:v>No</x:v>
      </x:c>
      <x:c r="J10" s="36" t="str">
        <x:v>performance aggregate</x:v>
      </x:c>
      <x:c r="K10" s="36" t="str">
        <x:v>Existing only</x:v>
      </x:c>
      <x:c r="L10" s="36" t="str">
        <x:v>N/A</x:v>
      </x:c>
      <x:c r="M10" s="36" t="str">
        <x:v>1–3 min</x:v>
      </x:c>
      <x:c r="N10" s="36" t="str">
        <x:v>Medium</x:v>
      </x:c>
      <x:c r="O10" s="36" t="str">
        <x:v>Do not prompt after every score delta</x:v>
      </x:c>
      <x:c r="P10" s="36" t="str">
        <x:v>P0</x:v>
      </x:c>
      <x:c r="Q10" s="37" t="str"/>
    </x:row>
    <x:row r="12" ht="22" customHeight="1">
      <x:c r="A12" s="11" t="str">
        <x:v>Target Decision Counts by Player Pattern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</x:row>
    <x:row r="13">
      <x:c r="A13" s="14" t="str">
        <x:v>Player Pattern</x:v>
      </x:c>
      <x:c r="B13" s="14" t="str">
        <x:v>Engaged Min/Day</x:v>
      </x:c>
      <x:c r="C13" s="14" t="str">
        <x:v>Sessions/Day</x:v>
      </x:c>
      <x:c r="D13" s="14" t="str">
        <x:v>Target Decisions</x:v>
      </x:c>
      <x:c r="E13" s="14" t="str">
        <x:v>Low Bound</x:v>
      </x:c>
      <x:c r="F13" s="14" t="str">
        <x:v>High Bound</x:v>
      </x:c>
      <x:c r="G13" s="14" t="str">
        <x:v>Why</x:v>
      </x:c>
      <x:c r="H13" s="14" t="str">
        <x:v>Healthy?</x:v>
      </x:c>
    </x:row>
    <x:row r="14">
      <x:c r="A14" s="30" t="str">
        <x:v>Quick check-in manager</x:v>
      </x:c>
      <x:c r="B14" s="46" t="n">
        <x:v>10</x:v>
      </x:c>
      <x:c r="C14" s="46" t="n">
        <x:v>1</x:v>
      </x:c>
      <x:c r="D14" s="46" t="n">
        <x:v>1</x:v>
      </x:c>
      <x:c r="E14" s="46" t="n">
        <x:v>1</x:v>
      </x:c>
      <x:c r="F14" s="46" t="n">
        <x:v>2</x:v>
      </x:c>
      <x:c r="G14" s="31" t="str">
        <x:v>Can qualify active day and make one useful state change</x:v>
      </x:c>
      <x:c r="H14" s="32" t="str">
        <x:v>Yes</x:v>
      </x:c>
    </x:row>
    <x:row r="15">
      <x:c r="A15" s="33" t="str">
        <x:v>Normal daily manager</x:v>
      </x:c>
      <x:c r="B15" s="47" t="n">
        <x:v>25</x:v>
      </x:c>
      <x:c r="C15" s="47" t="n">
        <x:v>1</x:v>
      </x:c>
      <x:c r="D15" s="47" t="n">
        <x:v>3</x:v>
      </x:c>
      <x:c r="E15" s="47" t="n">
        <x:v>2</x:v>
      </x:c>
      <x:c r="F15" s="47" t="n">
        <x:v>4</x:v>
      </x:c>
      <x:c r="G15" s="22" t="str">
        <x:v>Enough to handle business + Hunt/objective without chores</x:v>
      </x:c>
      <x:c r="H15" s="34" t="str">
        <x:v>Yes</x:v>
      </x:c>
    </x:row>
    <x:row r="16">
      <x:c r="A16" s="33" t="str">
        <x:v>Twice-daily manager</x:v>
      </x:c>
      <x:c r="B16" s="47" t="n">
        <x:v>35</x:v>
      </x:c>
      <x:c r="C16" s="47" t="n">
        <x:v>2</x:v>
      </x:c>
      <x:c r="D16" s="47" t="n">
        <x:v>4</x:v>
      </x:c>
      <x:c r="E16" s="47" t="n">
        <x:v>3</x:v>
      </x:c>
      <x:c r="F16" s="47" t="n">
        <x:v>6</x:v>
      </x:c>
      <x:c r="G16" s="22" t="str">
        <x:v>Return summary + one decision each session + Hunt/objective</x:v>
      </x:c>
      <x:c r="H16" s="34" t="str">
        <x:v>Yes</x:v>
      </x:c>
    </x:row>
    <x:row r="17">
      <x:c r="A17" s="33" t="str">
        <x:v>Highly active operator</x:v>
      </x:c>
      <x:c r="B17" s="47" t="n">
        <x:v>60</x:v>
      </x:c>
      <x:c r="C17" s="47" t="n">
        <x:v>2</x:v>
      </x:c>
      <x:c r="D17" s="47" t="n">
        <x:v>5</x:v>
      </x:c>
      <x:c r="E17" s="47" t="n">
        <x:v>4</x:v>
      </x:c>
      <x:c r="F17" s="47" t="n">
        <x:v>8</x:v>
      </x:c>
      <x:c r="G17" s="22" t="str">
        <x:v>More choices arise organically from expansion/events</x:v>
      </x:c>
      <x:c r="H17" s="34" t="str">
        <x:v>Yes</x:v>
      </x:c>
    </x:row>
    <x:row r="18">
      <x:c r="A18" s="35" t="str">
        <x:v>Long-session optimizer</x:v>
      </x:c>
      <x:c r="B18" s="48" t="n">
        <x:v>90</x:v>
      </x:c>
      <x:c r="C18" s="48" t="n">
        <x:v>1</x:v>
      </x:c>
      <x:c r="D18" s="48" t="n">
        <x:v>7</x:v>
      </x:c>
      <x:c r="E18" s="48" t="n">
        <x:v>5</x:v>
      </x:c>
      <x:c r="F18" s="48" t="n">
        <x:v>10</x:v>
      </x:c>
      <x:c r="G18" s="36" t="str">
        <x:v>Decision density remains below one every ~8–15 min</x:v>
      </x:c>
      <x:c r="H18" s="37" t="str">
        <x:v>Yes</x:v>
      </x:c>
    </x:row>
  </x:sheetData>
  <x:mergeCells>
    <x:mergeCell ref="A1:Q1"/>
    <x:mergeCell ref="A12:Q1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Retention Notifications — Useful, Bounded, Non-Coercive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2"/>
    </x:row>
    <x:row r="3">
      <x:c r="A3" s="14" t="str">
        <x:v>Notification</x:v>
      </x:c>
      <x:c r="B3" s="14" t="str">
        <x:v>Default</x:v>
      </x:c>
      <x:c r="C3" s="14" t="str">
        <x:v>Trigger</x:v>
      </x:c>
      <x:c r="D3" s="14" t="str">
        <x:v>Max Frequency</x:v>
      </x:c>
      <x:c r="E3" s="14" t="str">
        <x:v>Quiet Hours</x:v>
      </x:c>
      <x:c r="F3" s="14" t="str">
        <x:v>Requires Opt-In?</x:v>
      </x:c>
      <x:c r="G3" s="14" t="str">
        <x:v>Deep Link</x:v>
      </x:c>
      <x:c r="H3" s="14" t="str">
        <x:v>Urgency</x:v>
      </x:c>
      <x:c r="I3" s="14" t="str">
        <x:v>If Missed</x:v>
      </x:c>
      <x:c r="J3" s="14" t="str">
        <x:v>Never Say</x:v>
      </x:c>
      <x:c r="K3" s="14" t="str">
        <x:v>Performance Effect</x:v>
      </x:c>
      <x:c r="L3" s="14" t="str">
        <x:v>Streak Effect</x:v>
      </x:c>
      <x:c r="M3" s="14" t="str">
        <x:v>Backend Key</x:v>
      </x:c>
      <x:c r="N3" s="14" t="str">
        <x:v>Analytics</x:v>
      </x:c>
      <x:c r="O3" s="14" t="str">
        <x:v>Priority</x:v>
      </x:c>
      <x:c r="P3" s="14" t="str">
        <x:v>Notes</x:v>
      </x:c>
    </x:row>
    <x:row r="4">
      <x:c r="A4" s="30" t="str">
        <x:v>Meaningful Return Summary</x:v>
      </x:c>
      <x:c r="B4" s="31" t="str">
        <x:v>Off by default / configurable</x:v>
      </x:c>
      <x:c r="C4" s="31" t="str">
        <x:v>Material offline changes after &gt;=4h away</x:v>
      </x:c>
      <x:c r="D4" s="31" t="str">
        <x:v>1/day</x:v>
      </x:c>
      <x:c r="E4" s="31" t="str">
        <x:v>Respect OS/user settings</x:v>
      </x:c>
      <x:c r="F4" s="31" t="str">
        <x:v>Yes</x:v>
      </x:c>
      <x:c r="G4" s="31" t="str">
        <x:v>Plot return summary</x:v>
      </x:c>
      <x:c r="H4" s="31" t="str">
        <x:v>Low</x:v>
      </x:c>
      <x:c r="I4" s="31" t="str">
        <x:v>Summary available in app</x:v>
      </x:c>
      <x:c r="J4" s="31" t="str">
        <x:v>Your empire is failing because you left</x:v>
      </x:c>
      <x:c r="K4" s="31" t="str">
        <x:v>None</x:v>
      </x:c>
      <x:c r="L4" s="31" t="str">
        <x:v>None</x:v>
      </x:c>
      <x:c r="M4" s="31" t="str">
        <x:v>return_summary_digest:{day}</x:v>
      </x:c>
      <x:c r="N4" s="31" t="str">
        <x:v>return_push_open</x:v>
      </x:c>
      <x:c r="O4" s="31" t="str">
        <x:v>P1</x:v>
      </x:c>
      <x:c r="P4" s="32" t="str"/>
    </x:row>
    <x:row r="5">
      <x:c r="A5" s="33" t="str">
        <x:v>Critical Risk</x:v>
      </x:c>
      <x:c r="B5" s="22" t="str">
        <x:v>On if gameplay alerts enabled</x:v>
      </x:c>
      <x:c r="C5" s="22" t="str">
        <x:v>Risk enters Critical / severe incident</x:v>
      </x:c>
      <x:c r="D5" s="22" t="str">
        <x:v>1 per incident/driver</x:v>
      </x:c>
      <x:c r="E5" s="22" t="str">
        <x:v>User settings apply</x:v>
      </x:c>
      <x:c r="F5" s="22" t="str">
        <x:v>Yes</x:v>
      </x:c>
      <x:c r="G5" s="22" t="str">
        <x:v>Affected building/risk</x:v>
      </x:c>
      <x:c r="H5" s="22" t="str">
        <x:v>High</x:v>
      </x:c>
      <x:c r="I5" s="22" t="str">
        <x:v>Persistent inbox</x:v>
      </x:c>
      <x:c r="J5" s="22" t="str">
        <x:v>Log in now or lose rewards</x:v>
      </x:c>
      <x:c r="K5" s="22" t="str">
        <x:v>Indirect state only</x:v>
      </x:c>
      <x:c r="L5" s="22" t="str">
        <x:v>None</x:v>
      </x:c>
      <x:c r="M5" s="22" t="str">
        <x:v>risk_alert:{incident}</x:v>
      </x:c>
      <x:c r="N5" s="22" t="str">
        <x:v>critical_risk_open</x:v>
      </x:c>
      <x:c r="O5" s="22" t="str">
        <x:v>P0</x:v>
      </x:c>
      <x:c r="P5" s="34" t="str"/>
    </x:row>
    <x:row r="6">
      <x:c r="A6" s="33" t="str">
        <x:v>Major Event Start</x:v>
      </x:c>
      <x:c r="B6" s="22" t="str">
        <x:v>Off by default</x:v>
      </x:c>
      <x:c r="C6" s="22" t="str">
        <x:v>Known major global event starts</x:v>
      </x:c>
      <x:c r="D6" s="22" t="str">
        <x:v>1/event</x:v>
      </x:c>
      <x:c r="E6" s="22" t="str">
        <x:v>Yes</x:v>
      </x:c>
      <x:c r="F6" s="22" t="str">
        <x:v>Yes</x:v>
      </x:c>
      <x:c r="G6" s="22" t="str">
        <x:v>Event detail</x:v>
      </x:c>
      <x:c r="H6" s="22" t="str">
        <x:v>Medium</x:v>
      </x:c>
      <x:c r="I6" s="22" t="str">
        <x:v>Event continues</x:v>
      </x:c>
      <x:c r="J6" s="22" t="str">
        <x:v>Don't miss guaranteed profit</x:v>
      </x:c>
      <x:c r="K6" s="22" t="str">
        <x:v>Indirect</x:v>
      </x:c>
      <x:c r="L6" s="22" t="str">
        <x:v>None</x:v>
      </x:c>
      <x:c r="M6" s="22" t="str">
        <x:v>event_push:{event}</x:v>
      </x:c>
      <x:c r="N6" s="22" t="str">
        <x:v>event_push_open</x:v>
      </x:c>
      <x:c r="O6" s="22" t="str">
        <x:v>P1</x:v>
      </x:c>
      <x:c r="P6" s="34" t="str"/>
    </x:row>
    <x:row r="7">
      <x:c r="A7" s="33" t="str">
        <x:v>Hunt Expiry</x:v>
      </x:c>
      <x:c r="B7" s="22" t="str">
        <x:v>Off by default</x:v>
      </x:c>
      <x:c r="C7" s="22" t="str">
        <x:v>Active Hunt &lt;=2h remaining and has progress</x:v>
      </x:c>
      <x:c r="D7" s="22" t="str">
        <x:v>1/Hunt</x:v>
      </x:c>
      <x:c r="E7" s="22" t="str">
        <x:v>Yes</x:v>
      </x:c>
      <x:c r="F7" s="22" t="str">
        <x:v>Yes</x:v>
      </x:c>
      <x:c r="G7" s="22" t="str">
        <x:v>Hunt detail</x:v>
      </x:c>
      <x:c r="H7" s="22" t="str">
        <x:v>Low</x:v>
      </x:c>
      <x:c r="I7" s="22" t="str">
        <x:v>Hunt can expire normally</x:v>
      </x:c>
      <x:c r="J7" s="22" t="str">
        <x:v>Your stock reward will be lost forever</x:v>
      </x:c>
      <x:c r="K7" s="22" t="str">
        <x:v>Canonical Hunt only</x:v>
      </x:c>
      <x:c r="L7" s="22" t="str">
        <x:v>None</x:v>
      </x:c>
      <x:c r="M7" s="22" t="str">
        <x:v>hunt_expiry:{hunt}</x:v>
      </x:c>
      <x:c r="N7" s="22" t="str">
        <x:v>hunt_expiry_open</x:v>
      </x:c>
      <x:c r="O7" s="22" t="str">
        <x:v>P1</x:v>
      </x:c>
      <x:c r="P7" s="34" t="str"/>
    </x:row>
    <x:row r="8">
      <x:c r="A8" s="33" t="str">
        <x:v>Weekly 24h</x:v>
      </x:c>
      <x:c r="B8" s="22" t="str">
        <x:v>On only if weekly alerts enabled</x:v>
      </x:c>
      <x:c r="C8" s="22" t="str">
        <x:v>24h to epoch close</x:v>
      </x:c>
      <x:c r="D8" s="22" t="str">
        <x:v>1/week</x:v>
      </x:c>
      <x:c r="E8" s="22" t="str">
        <x:v>Yes</x:v>
      </x:c>
      <x:c r="F8" s="22" t="str">
        <x:v>Yes</x:v>
      </x:c>
      <x:c r="G8" s="22" t="str">
        <x:v>Performance</x:v>
      </x:c>
      <x:c r="H8" s="22" t="str">
        <x:v>Low</x:v>
      </x:c>
      <x:c r="I8" s="22" t="str">
        <x:v>No issue</x:v>
      </x:c>
      <x:c r="J8" s="22" t="str">
        <x:v>You're falling behind / spend now</x:v>
      </x:c>
      <x:c r="K8" s="22" t="str">
        <x:v>None</x:v>
      </x:c>
      <x:c r="L8" s="22" t="str">
        <x:v>None</x:v>
      </x:c>
      <x:c r="M8" s="22" t="str">
        <x:v>week_24h:{epoch}</x:v>
      </x:c>
      <x:c r="N8" s="22" t="str">
        <x:v>weekly_24h_open</x:v>
      </x:c>
      <x:c r="O8" s="22" t="str">
        <x:v>P1</x:v>
      </x:c>
      <x:c r="P8" s="34" t="str"/>
    </x:row>
    <x:row r="9">
      <x:c r="A9" s="33" t="str">
        <x:v>Weekly 6h</x:v>
      </x:c>
      <x:c r="B9" s="22" t="str">
        <x:v>Off by default</x:v>
      </x:c>
      <x:c r="C9" s="22" t="str">
        <x:v>6h to close and user engaged this week</x:v>
      </x:c>
      <x:c r="D9" s="22" t="str">
        <x:v>1/week</x:v>
      </x:c>
      <x:c r="E9" s="22" t="str">
        <x:v>Yes</x:v>
      </x:c>
      <x:c r="F9" s="22" t="str">
        <x:v>Yes</x:v>
      </x:c>
      <x:c r="G9" s="22" t="str">
        <x:v>Performance</x:v>
      </x:c>
      <x:c r="H9" s="22" t="str">
        <x:v>Medium</x:v>
      </x:c>
      <x:c r="I9" s="22" t="str">
        <x:v>No issue</x:v>
      </x:c>
      <x:c r="J9" s="22" t="str">
        <x:v>Last chance to win</x:v>
      </x:c>
      <x:c r="K9" s="22" t="str">
        <x:v>None</x:v>
      </x:c>
      <x:c r="L9" s="22" t="str">
        <x:v>None</x:v>
      </x:c>
      <x:c r="M9" s="22" t="str">
        <x:v>week_6h:{epoch}</x:v>
      </x:c>
      <x:c r="N9" s="22" t="str">
        <x:v>weekly_6h_open</x:v>
      </x:c>
      <x:c r="O9" s="22" t="str">
        <x:v>P1</x:v>
      </x:c>
      <x:c r="P9" s="34" t="str"/>
    </x:row>
    <x:row r="10">
      <x:c r="A10" s="33" t="str">
        <x:v>Payout Claimable</x:v>
      </x:c>
      <x:c r="B10" s="22" t="str">
        <x:v>On if reward alerts enabled</x:v>
      </x:c>
      <x:c r="C10" s="22" t="str">
        <x:v>Prior week finalized + claimable amount &gt;0</x:v>
      </x:c>
      <x:c r="D10" s="22" t="str">
        <x:v>1/epoch</x:v>
      </x:c>
      <x:c r="E10" s="22" t="str">
        <x:v>Yes</x:v>
      </x:c>
      <x:c r="F10" s="22" t="str">
        <x:v>Yes</x:v>
      </x:c>
      <x:c r="G10" s="22" t="str">
        <x:v>Rewards/claim</x:v>
      </x:c>
      <x:c r="H10" s="22" t="str">
        <x:v>Medium</x:v>
      </x:c>
      <x:c r="I10" s="22" t="str">
        <x:v>Claim remains per policy</x:v>
      </x:c>
      <x:c r="J10" s="22" t="str">
        <x:v>Act now or lose it unless actual expiry applies</x:v>
      </x:c>
      <x:c r="K10" s="22" t="str">
        <x:v>None</x:v>
      </x:c>
      <x:c r="L10" s="22" t="str">
        <x:v>None</x:v>
      </x:c>
      <x:c r="M10" s="22" t="str">
        <x:v>payout_ready:{epoch}</x:v>
      </x:c>
      <x:c r="N10" s="22" t="str">
        <x:v>payout_open</x:v>
      </x:c>
      <x:c r="O10" s="22" t="str">
        <x:v>P0</x:v>
      </x:c>
      <x:c r="P10" s="34" t="str"/>
    </x:row>
    <x:row r="11">
      <x:c r="A11" s="35" t="str">
        <x:v>Streak Loss</x:v>
      </x:c>
      <x:c r="B11" s="36" t="str">
        <x:v>Never</x:v>
      </x:c>
      <x:c r="C11" s="36" t="str">
        <x:v>N/A</x:v>
      </x:c>
      <x:c r="D11" s="36" t="str">
        <x:v>0</x:v>
      </x:c>
      <x:c r="E11" s="36" t="str">
        <x:v>N/A</x:v>
      </x:c>
      <x:c r="F11" s="36" t="str">
        <x:v>N/A</x:v>
      </x:c>
      <x:c r="G11" s="36" t="str">
        <x:v>N/A</x:v>
      </x:c>
      <x:c r="H11" s="36" t="str">
        <x:v>None</x:v>
      </x:c>
      <x:c r="I11" s="36" t="str">
        <x:v>Streak can reset quietly</x:v>
      </x:c>
      <x:c r="J11" s="36" t="str">
        <x:v>Don't break your streak</x:v>
      </x:c>
      <x:c r="K11" s="36" t="str">
        <x:v>None</x:v>
      </x:c>
      <x:c r="L11" s="36" t="str">
        <x:v>Status only</x:v>
      </x:c>
      <x:c r="M11" s="36" t="str">
        <x:v>N/A</x:v>
      </x:c>
      <x:c r="N11" s="36" t="str">
        <x:v>N/A</x:v>
      </x:c>
      <x:c r="O11" s="36" t="str">
        <x:v>P0</x:v>
      </x:c>
      <x:c r="P11" s="37" t="str">
        <x:v>Explicit no-pressure rule</x:v>
      </x:c>
    </x:row>
  </x:sheetData>
  <x:mergeCells>
    <x:mergeCell ref="A1:P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54" t="str">
        <x:v>Retention Reward &amp; Economy Guardrails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2"/>
    </x:row>
    <x:row r="3">
      <x:c r="A3" s="14" t="str">
        <x:v>Mechanic</x:v>
      </x:c>
      <x:c r="B3" s="14" t="str">
        <x:v>Allowed Reward</x:v>
      </x:c>
      <x:c r="C3" s="14" t="str">
        <x:v>Max / Rule</x:v>
      </x:c>
      <x:c r="D3" s="14" t="str">
        <x:v>Direct Performance?</x:v>
      </x:c>
      <x:c r="E3" s="14" t="str">
        <x:v>Direct PLOT?</x:v>
      </x:c>
      <x:c r="F3" s="14" t="str">
        <x:v>Module Power?</x:v>
      </x:c>
      <x:c r="G3" s="14" t="str">
        <x:v>Stock Reward?</x:v>
      </x:c>
      <x:c r="H3" s="14" t="str">
        <x:v>Hunt Points?</x:v>
      </x:c>
      <x:c r="I3" s="14" t="str">
        <x:v>Offline Farmable?</x:v>
      </x:c>
      <x:c r="J3" s="14" t="str">
        <x:v>Stage Scaling</x:v>
      </x:c>
      <x:c r="K3" s="14" t="str">
        <x:v>LiveOps Tunable?</x:v>
      </x:c>
      <x:c r="L3" s="14" t="str">
        <x:v>Exploit Risk</x:v>
      </x:c>
      <x:c r="M3" s="14" t="str">
        <x:v>Failure Response</x:v>
      </x:c>
      <x:c r="N3" s="14" t="str">
        <x:v>Owner</x:v>
      </x:c>
      <x:c r="O3" s="14" t="str">
        <x:v>Priority</x:v>
      </x:c>
      <x:c r="P3" s="14" t="str">
        <x:v>Notes</x:v>
      </x:c>
    </x:row>
    <x:row r="4">
      <x:c r="A4" s="30" t="str">
        <x:v>Daily login</x:v>
      </x:c>
      <x:c r="B4" s="31" t="str">
        <x:v>None</x:v>
      </x:c>
      <x:c r="C4" s="31" t="str">
        <x:v>No login bonus</x:v>
      </x:c>
      <x:c r="D4" s="31" t="str">
        <x:v>No</x:v>
      </x:c>
      <x:c r="E4" s="31" t="str">
        <x:v>No</x:v>
      </x:c>
      <x:c r="F4" s="31" t="str">
        <x:v>No</x:v>
      </x:c>
      <x:c r="G4" s="31" t="str">
        <x:v>No</x:v>
      </x:c>
      <x:c r="H4" s="31" t="str">
        <x:v>No</x:v>
      </x:c>
      <x:c r="I4" s="31" t="str">
        <x:v>N/A</x:v>
      </x:c>
      <x:c r="J4" s="31" t="str">
        <x:v>N/A</x:v>
      </x:c>
      <x:c r="K4" s="31" t="str">
        <x:v>No</x:v>
      </x:c>
      <x:c r="L4" s="31" t="str">
        <x:v>Low</x:v>
      </x:c>
      <x:c r="M4" s="31" t="str">
        <x:v>N/A</x:v>
      </x:c>
      <x:c r="N4" s="31" t="str">
        <x:v>Product</x:v>
      </x:c>
      <x:c r="O4" s="31" t="str">
        <x:v>P0</x:v>
      </x:c>
      <x:c r="P4" s="32" t="str"/>
    </x:row>
    <x:row r="5">
      <x:c r="A5" s="33" t="str">
        <x:v>Daily business objectives</x:v>
      </x:c>
      <x:c r="B5" s="22" t="str">
        <x:v>Cash only</x:v>
      </x:c>
      <x:c r="C5" s="22" t="str">
        <x:v>Across 3 objectives &lt;=5% median stage daily earned Cash</x:v>
      </x:c>
      <x:c r="D5" s="22" t="str">
        <x:v>No</x:v>
      </x:c>
      <x:c r="E5" s="22" t="str">
        <x:v>No</x:v>
      </x:c>
      <x:c r="F5" s="22" t="str">
        <x:v>No</x:v>
      </x:c>
      <x:c r="G5" s="22" t="str">
        <x:v>No</x:v>
      </x:c>
      <x:c r="H5" s="22" t="str">
        <x:v>No</x:v>
      </x:c>
      <x:c r="I5" s="22" t="str">
        <x:v>No passive completion</x:v>
      </x:c>
      <x:c r="J5" s="22" t="str">
        <x:v>Yes</x:v>
      </x:c>
      <x:c r="K5" s="22" t="str">
        <x:v>Yes</x:v>
      </x:c>
      <x:c r="L5" s="22" t="str">
        <x:v>Medium</x:v>
      </x:c>
      <x:c r="M5" s="22" t="str">
        <x:v>Disable template/reward if source share abnormal</x:v>
      </x:c>
      <x:c r="N5" s="22" t="str">
        <x:v>Economy</x:v>
      </x:c>
      <x:c r="O5" s="22" t="str">
        <x:v>P0</x:v>
      </x:c>
      <x:c r="P5" s="34" t="str"/>
    </x:row>
    <x:row r="6">
      <x:c r="A6" s="33" t="str">
        <x:v>Operating Streak</x:v>
      </x:c>
      <x:c r="B6" s="22" t="str">
        <x:v>Cosmetic/status only</x:v>
      </x:c>
      <x:c r="C6" s="22" t="str">
        <x:v>No material reward v1.0</x:v>
      </x:c>
      <x:c r="D6" s="22" t="str">
        <x:v>No</x:v>
      </x:c>
      <x:c r="E6" s="22" t="str">
        <x:v>No</x:v>
      </x:c>
      <x:c r="F6" s="22" t="str">
        <x:v>No</x:v>
      </x:c>
      <x:c r="G6" s="22" t="str">
        <x:v>No</x:v>
      </x:c>
      <x:c r="H6" s="22" t="str">
        <x:v>No</x:v>
      </x:c>
      <x:c r="I6" s="22" t="str">
        <x:v>No</x:v>
      </x:c>
      <x:c r="J6" s="22" t="str">
        <x:v>N/A</x:v>
      </x:c>
      <x:c r="K6" s="22" t="str">
        <x:v>Cosmetic only</x:v>
      </x:c>
      <x:c r="L6" s="22" t="str">
        <x:v>Low</x:v>
      </x:c>
      <x:c r="M6" s="22" t="str">
        <x:v>Disable cosmetic campaign</x:v>
      </x:c>
      <x:c r="N6" s="22" t="str">
        <x:v>Product</x:v>
      </x:c>
      <x:c r="O6" s="22" t="str">
        <x:v>P0</x:v>
      </x:c>
      <x:c r="P6" s="34" t="str"/>
    </x:row>
    <x:row r="7">
      <x:c r="A7" s="33" t="str">
        <x:v>Daily Hunt reset</x:v>
      </x:c>
      <x:c r="B7" s="22" t="str">
        <x:v>Canonical Hunt rewards</x:v>
      </x:c>
      <x:c r="C7" s="22" t="str">
        <x:v>3 offers/day, max 5 active</x:v>
      </x:c>
      <x:c r="D7" s="22" t="str">
        <x:v>Hunt component only via canonical points</x:v>
      </x:c>
      <x:c r="E7" s="22" t="str">
        <x:v>No direct pool multiplier</x:v>
      </x:c>
      <x:c r="F7" s="22" t="str">
        <x:v>Module roll separate if enabled</x:v>
      </x:c>
      <x:c r="G7" s="22" t="str">
        <x:v>Canonical</x:v>
      </x:c>
      <x:c r="H7" s="22" t="str">
        <x:v>Canonical</x:v>
      </x:c>
      <x:c r="I7" s="22" t="str">
        <x:v>No progress offline</x:v>
      </x:c>
      <x:c r="J7" s="22" t="str">
        <x:v>By Hunt system</x:v>
      </x:c>
      <x:c r="K7" s="22" t="str">
        <x:v>Yes</x:v>
      </x:c>
      <x:c r="L7" s="22" t="str">
        <x:v>Medium</x:v>
      </x:c>
      <x:c r="M7" s="22" t="str">
        <x:v>Server reset/idempotency</x:v>
      </x:c>
      <x:c r="N7" s="22" t="str">
        <x:v>Game Systems</x:v>
      </x:c>
      <x:c r="O7" s="22" t="str">
        <x:v>P0</x:v>
      </x:c>
      <x:c r="P7" s="34" t="str"/>
    </x:row>
    <x:row r="8">
      <x:c r="A8" s="33" t="str">
        <x:v>Return Summary</x:v>
      </x:c>
      <x:c r="B8" s="22" t="str">
        <x:v>Information only</x:v>
      </x:c>
      <x:c r="C8" s="22" t="str">
        <x:v>No return Cash grant</x:v>
      </x:c>
      <x:c r="D8" s="22" t="str">
        <x:v>No</x:v>
      </x:c>
      <x:c r="E8" s="22" t="str">
        <x:v>No</x:v>
      </x:c>
      <x:c r="F8" s="22" t="str">
        <x:v>No</x:v>
      </x:c>
      <x:c r="G8" s="22" t="str">
        <x:v>No</x:v>
      </x:c>
      <x:c r="H8" s="22" t="str">
        <x:v>No</x:v>
      </x:c>
      <x:c r="I8" s="22" t="str">
        <x:v>N/A</x:v>
      </x:c>
      <x:c r="J8" s="22" t="str">
        <x:v>N/A</x:v>
      </x:c>
      <x:c r="K8" s="22" t="str">
        <x:v>No</x:v>
      </x:c>
      <x:c r="L8" s="22" t="str">
        <x:v>Low</x:v>
      </x:c>
      <x:c r="M8" s="22" t="str">
        <x:v>N/A</x:v>
      </x:c>
      <x:c r="N8" s="22" t="str">
        <x:v>Product</x:v>
      </x:c>
      <x:c r="O8" s="22" t="str">
        <x:v>P0</x:v>
      </x:c>
      <x:c r="P8" s="34" t="str"/>
    </x:row>
    <x:row r="9">
      <x:c r="A9" s="33" t="str">
        <x:v>Event calendar</x:v>
      </x:c>
      <x:c r="B9" s="22" t="str">
        <x:v>Information + normal event outcomes</x:v>
      </x:c>
      <x:c r="C9" s="22" t="str">
        <x:v>No attendance reward</x:v>
      </x:c>
      <x:c r="D9" s="22" t="str">
        <x:v>No direct</x:v>
      </x:c>
      <x:c r="E9" s="22" t="str">
        <x:v>No</x:v>
      </x:c>
      <x:c r="F9" s="22" t="str">
        <x:v>No</x:v>
      </x:c>
      <x:c r="G9" s="22" t="str">
        <x:v>No</x:v>
      </x:c>
      <x:c r="H9" s="22" t="str">
        <x:v>No</x:v>
      </x:c>
      <x:c r="I9" s="22" t="str">
        <x:v>Global events continue offline</x:v>
      </x:c>
      <x:c r="J9" s="22" t="str">
        <x:v>N/A</x:v>
      </x:c>
      <x:c r="K9" s="22" t="str">
        <x:v>Yes scheduling</x:v>
      </x:c>
      <x:c r="L9" s="22" t="str">
        <x:v>Low</x:v>
      </x:c>
      <x:c r="M9" s="22" t="str">
        <x:v>N/A</x:v>
      </x:c>
      <x:c r="N9" s="22" t="str">
        <x:v>Events</x:v>
      </x:c>
      <x:c r="O9" s="22" t="str">
        <x:v>P0</x:v>
      </x:c>
      <x:c r="P9" s="34" t="str"/>
    </x:row>
    <x:row r="10">
      <x:c r="A10" s="35" t="str">
        <x:v>Weekly payout</x:v>
      </x:c>
      <x:c r="B10" s="36" t="str">
        <x:v>Canonical fixed pool share</x:v>
      </x:c>
      <x:c r="C10" s="36" t="str">
        <x:v>No retention multiplier</x:v>
      </x:c>
      <x:c r="D10" s="36" t="str">
        <x:v>Existing score only</x:v>
      </x:c>
      <x:c r="E10" s="36" t="str">
        <x:v>Yes canonical settlement only</x:v>
      </x:c>
      <x:c r="F10" s="36" t="str">
        <x:v>No direct</x:v>
      </x:c>
      <x:c r="G10" s="36" t="str">
        <x:v>No direct</x:v>
      </x:c>
      <x:c r="H10" s="36" t="str">
        <x:v>Hunt weight existing</x:v>
      </x:c>
      <x:c r="I10" s="36" t="str">
        <x:v>Offline rules existing</x:v>
      </x:c>
      <x:c r="J10" s="36" t="str">
        <x:v>League architecture</x:v>
      </x:c>
      <x:c r="K10" s="36" t="str">
        <x:v>Pool tunable per governance/LiveOps</x:v>
      </x:c>
      <x:c r="L10" s="36" t="str">
        <x:v>Critical</x:v>
      </x:c>
      <x:c r="M10" s="36" t="str">
        <x:v>Settlement hold/reconcile</x:v>
      </x:c>
      <x:c r="N10" s="36" t="str">
        <x:v>Competition</x:v>
      </x:c>
      <x:c r="O10" s="36" t="str">
        <x:v>P0</x:v>
      </x:c>
      <x:c r="P10" s="37" t="str"/>
    </x:row>
  </x:sheetData>
  <x:mergeCells>
    <x:mergeCell ref="A1:P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Backend State &amp; Jobs for Retention Loop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</x:row>
    <x:row r="3">
      <x:c r="A3" s="14" t="str">
        <x:v>Entity / Job</x:v>
      </x:c>
      <x:c r="B3" s="14" t="str">
        <x:v>Type</x:v>
      </x:c>
      <x:c r="C3" s="14" t="str">
        <x:v>Cadence</x:v>
      </x:c>
      <x:c r="D3" s="14" t="str">
        <x:v>Key Fields</x:v>
      </x:c>
      <x:c r="E3" s="14" t="str">
        <x:v>Authoritative Source</x:v>
      </x:c>
      <x:c r="F3" s="14" t="str">
        <x:v>Idempotency Key</x:v>
      </x:c>
      <x:c r="G3" s="14" t="str">
        <x:v>Writes</x:v>
      </x:c>
      <x:c r="H3" s="14" t="str">
        <x:v>Reads</x:v>
      </x:c>
      <x:c r="I3" s="14" t="str">
        <x:v>Performance Critical?</x:v>
      </x:c>
      <x:c r="J3" s="14" t="str">
        <x:v>Offline Critical?</x:v>
      </x:c>
      <x:c r="K3" s="14" t="str">
        <x:v>Notification Producer?</x:v>
      </x:c>
      <x:c r="L3" s="14" t="str">
        <x:v>TTL / Retention</x:v>
      </x:c>
      <x:c r="M3" s="14" t="str">
        <x:v>Recovery</x:v>
      </x:c>
      <x:c r="N3" s="14" t="str">
        <x:v>Exploit Guard</x:v>
      </x:c>
      <x:c r="O3" s="14" t="str">
        <x:v>MVP?</x:v>
      </x:c>
      <x:c r="P3" s="14" t="str">
        <x:v>Priority</x:v>
      </x:c>
      <x:c r="Q3" s="14" t="str">
        <x:v>Notes</x:v>
      </x:c>
    </x:row>
    <x:row r="4">
      <x:c r="A4" s="30" t="str">
        <x:v>daily_player_state</x:v>
      </x:c>
      <x:c r="B4" s="31" t="str">
        <x:v>aggregate</x:v>
      </x:c>
      <x:c r="C4" s="31" t="str">
        <x:v>Daily UTC</x:v>
      </x:c>
      <x:c r="D4" s="31" t="str">
        <x:v>player,date,hunt_offer_set,objective_set,briefing_seen,active_minutes,meaningful_actions</x:v>
      </x:c>
      <x:c r="E4" s="31" t="str">
        <x:v>Retention/Player</x:v>
      </x:c>
      <x:c r="F4" s="31" t="str">
        <x:v>player+UTC date</x:v>
      </x:c>
      <x:c r="G4" s="31" t="str">
        <x:v>daily state</x:v>
      </x:c>
      <x:c r="H4" s="31" t="str">
        <x:v>Hunt/Objectives/Presence</x:v>
      </x:c>
      <x:c r="I4" s="31" t="str">
        <x:v>Active-day eligibility yes</x:v>
      </x:c>
      <x:c r="J4" s="31" t="str">
        <x:v>Yes presence fields</x:v>
      </x:c>
      <x:c r="K4" s="31" t="str">
        <x:v>Maybe</x:v>
      </x:c>
      <x:c r="L4" s="31" t="str">
        <x:v>90d+ / warehouse longer</x:v>
      </x:c>
      <x:c r="M4" s="31" t="str">
        <x:v>Rebuild from reset + ledgers</x:v>
      </x:c>
      <x:c r="N4" s="31" t="str">
        <x:v>Server UTC only</x:v>
      </x:c>
      <x:c r="O4" s="31" t="str">
        <x:v>Yes</x:v>
      </x:c>
      <x:c r="P4" s="31" t="str">
        <x:v>P0</x:v>
      </x:c>
      <x:c r="Q4" s="32" t="str"/>
    </x:row>
    <x:row r="5">
      <x:c r="A5" s="33" t="str">
        <x:v>daily_reset_job</x:v>
      </x:c>
      <x:c r="B5" s="22" t="str">
        <x:v>scheduler</x:v>
      </x:c>
      <x:c r="C5" s="22" t="str">
        <x:v>00:00 UTC</x:v>
      </x:c>
      <x:c r="D5" s="22" t="str">
        <x:v>date,config_version,batch_cursor</x:v>
      </x:c>
      <x:c r="E5" s="22" t="str">
        <x:v>Retention</x:v>
      </x:c>
      <x:c r="F5" s="22" t="str">
        <x:v>player+date+reset_type</x:v>
      </x:c>
      <x:c r="G5" s="22" t="str">
        <x:v>new Hunt offers/objectives/reset counters</x:v>
      </x:c>
      <x:c r="H5" s="22" t="str">
        <x:v>player eligibility/config</x:v>
      </x:c>
      <x:c r="I5" s="22" t="str">
        <x:v>No direct</x:v>
      </x:c>
      <x:c r="J5" s="22" t="str">
        <x:v>No</x:v>
      </x:c>
      <x:c r="K5" s="22" t="str">
        <x:v>No default</x:v>
      </x:c>
      <x:c r="L5" s="22" t="str">
        <x:v>30d audit</x:v>
      </x:c>
      <x:c r="M5" s="22" t="str">
        <x:v>Idempotent replay</x:v>
      </x:c>
      <x:c r="N5" s="22" t="str">
        <x:v>Cannot be farmed by client timezone</x:v>
      </x:c>
      <x:c r="O5" s="22" t="str">
        <x:v>Yes</x:v>
      </x:c>
      <x:c r="P5" s="22" t="str">
        <x:v>P0</x:v>
      </x:c>
      <x:c r="Q5" s="34" t="str"/>
    </x:row>
    <x:row r="6">
      <x:c r="A6" s="33" t="str">
        <x:v>return_summary_manifest</x:v>
      </x:c>
      <x:c r="B6" s="22" t="str">
        <x:v>derived/audit</x:v>
      </x:c>
      <x:c r="C6" s="22" t="str">
        <x:v>On genuine return</x:v>
      </x:c>
      <x:c r="D6" s="22" t="str">
        <x:v>away window,cash,customer,risk,event,timer deltas</x:v>
      </x:c>
      <x:c r="E6" s="22" t="str">
        <x:v>Offline Processor</x:v>
      </x:c>
      <x:c r="F6" s="22" t="str">
        <x:v>player+offline_window</x:v>
      </x:c>
      <x:c r="G6" s="22" t="str">
        <x:v>summary manifest</x:v>
      </x:c>
      <x:c r="H6" s="22" t="str">
        <x:v>presence/economy/customer/risk/events</x:v>
      </x:c>
      <x:c r="I6" s="22" t="str">
        <x:v>No direct</x:v>
      </x:c>
      <x:c r="J6" s="22" t="str">
        <x:v>Critical</x:v>
      </x:c>
      <x:c r="K6" s="22" t="str">
        <x:v>Maybe</x:v>
      </x:c>
      <x:c r="L6" s="22" t="str">
        <x:v>30–90d</x:v>
      </x:c>
      <x:c r="M6" s="22" t="str">
        <x:v>Rebuild from ledgers/window</x:v>
      </x:c>
      <x:c r="N6" s="22" t="str">
        <x:v>Reconnect without meaningful action does not create new grace/window</x:v>
      </x:c>
      <x:c r="O6" s="22" t="str">
        <x:v>Yes</x:v>
      </x:c>
      <x:c r="P6" s="22" t="str">
        <x:v>P0</x:v>
      </x:c>
      <x:c r="Q6" s="34" t="str"/>
    </x:row>
    <x:row r="7">
      <x:c r="A7" s="33" t="str">
        <x:v>business_objective_state</x:v>
      </x:c>
      <x:c r="B7" s="22" t="str">
        <x:v>aggregate</x:v>
      </x:c>
      <x:c r="C7" s="22" t="str">
        <x:v>Daily/event-driven</x:v>
      </x:c>
      <x:c r="D7" s="22" t="str">
        <x:v>objective ids,progress,evidence cursor,status,reward</x:v>
      </x:c>
      <x:c r="E7" s="22" t="str">
        <x:v>Objective</x:v>
      </x:c>
      <x:c r="F7" s="22" t="str">
        <x:v>player+date+lane</x:v>
      </x:c>
      <x:c r="G7" s="22" t="str">
        <x:v>progress/completion/reward</x:v>
      </x:c>
      <x:c r="H7" s="22" t="str">
        <x:v>authoritative domain ledgers</x:v>
      </x:c>
      <x:c r="I7" s="22" t="str">
        <x:v>No direct</x:v>
      </x:c>
      <x:c r="J7" s="22" t="str">
        <x:v>Objective passive completion prohibited</x:v>
      </x:c>
      <x:c r="K7" s="22" t="str">
        <x:v>No</x:v>
      </x:c>
      <x:c r="L7" s="22" t="str">
        <x:v>90d</x:v>
      </x:c>
      <x:c r="M7" s="22" t="str">
        <x:v>Reproject from evidence</x:v>
      </x:c>
      <x:c r="N7" s="22" t="str">
        <x:v>No client complete flag</x:v>
      </x:c>
      <x:c r="O7" s="22" t="str">
        <x:v>Yes</x:v>
      </x:c>
      <x:c r="P7" s="22" t="str">
        <x:v>P0</x:v>
      </x:c>
      <x:c r="Q7" s="34" t="str"/>
    </x:row>
    <x:row r="8">
      <x:c r="A8" s="33" t="str">
        <x:v>objective_reward_ledger</x:v>
      </x:c>
      <x:c r="B8" s="22" t="str">
        <x:v>append ledger</x:v>
      </x:c>
      <x:c r="C8" s="22" t="str">
        <x:v>On completion</x:v>
      </x:c>
      <x:c r="D8" s="22" t="str">
        <x:v>objective,cash amount,stage config</x:v>
      </x:c>
      <x:c r="E8" s="22" t="str">
        <x:v>Objective/Economy</x:v>
      </x:c>
      <x:c r="F8" s="22" t="str">
        <x:v>player+date+objective</x:v>
      </x:c>
      <x:c r="G8" s="22" t="str">
        <x:v>Cash reward</x:v>
      </x:c>
      <x:c r="H8" s="22" t="str">
        <x:v>objective completion</x:v>
      </x:c>
      <x:c r="I8" s="22" t="str">
        <x:v>Excluded from business revenue score</x:v>
      </x:c>
      <x:c r="J8" s="22" t="str">
        <x:v>No</x:v>
      </x:c>
      <x:c r="K8" s="22" t="str">
        <x:v>No</x:v>
      </x:c>
      <x:c r="L8" s="22" t="str">
        <x:v>730d+</x:v>
      </x:c>
      <x:c r="M8" s="22" t="str">
        <x:v>Replay</x:v>
      </x:c>
      <x:c r="N8" s="22" t="str">
        <x:v>Budget/source tagging</x:v>
      </x:c>
      <x:c r="O8" s="22" t="str">
        <x:v>Yes</x:v>
      </x:c>
      <x:c r="P8" s="22" t="str">
        <x:v>P0</x:v>
      </x:c>
      <x:c r="Q8" s="34" t="str"/>
    </x:row>
    <x:row r="9">
      <x:c r="A9" s="33" t="str">
        <x:v>weekly_retention_state</x:v>
      </x:c>
      <x:c r="B9" s="22" t="str">
        <x:v>aggregate</x:v>
      </x:c>
      <x:c r="C9" s="22" t="str">
        <x:v>Streaming/daily</x:v>
      </x:c>
      <x:c r="D9" s="22" t="str">
        <x:v>epoch,active_days,score trend,countdown state,league</x:v>
      </x:c>
      <x:c r="E9" s="22" t="str">
        <x:v>Performance/League</x:v>
      </x:c>
      <x:c r="F9" s="22" t="str">
        <x:v>player+epoch</x:v>
      </x:c>
      <x:c r="G9" s="22" t="str">
        <x:v>briefing read model</x:v>
      </x:c>
      <x:c r="H9" s="22" t="str">
        <x:v>Performance/League</x:v>
      </x:c>
      <x:c r="I9" s="22" t="str">
        <x:v>Yes read-only</x:v>
      </x:c>
      <x:c r="J9" s="22" t="str">
        <x:v>No</x:v>
      </x:c>
      <x:c r="K9" s="22" t="str">
        <x:v>Final-day/payout</x:v>
      </x:c>
      <x:c r="L9" s="22" t="str">
        <x:v>Epoch+1y</x:v>
      </x:c>
      <x:c r="M9" s="22" t="str">
        <x:v>Rebuild</x:v>
      </x:c>
      <x:c r="N9" s="22" t="str">
        <x:v>No retention multiplier fields</x:v>
      </x:c>
      <x:c r="O9" s="22" t="str">
        <x:v>Yes</x:v>
      </x:c>
      <x:c r="P9" s="22" t="str">
        <x:v>P0</x:v>
      </x:c>
      <x:c r="Q9" s="34" t="str"/>
    </x:row>
    <x:row r="10">
      <x:c r="A10" s="33" t="str">
        <x:v>event_calendar_read_model</x:v>
      </x:c>
      <x:c r="B10" s="22" t="str">
        <x:v>read model</x:v>
      </x:c>
      <x:c r="C10" s="22" t="str">
        <x:v>Schedule/config change</x:v>
      </x:c>
      <x:c r="D10" s="22" t="str">
        <x:v>known windows,current events,next event</x:v>
      </x:c>
      <x:c r="E10" s="22" t="str">
        <x:v>Event</x:v>
      </x:c>
      <x:c r="F10" s="22" t="str">
        <x:v>calendar_version</x:v>
      </x:c>
      <x:c r="G10" s="22" t="str">
        <x:v>calendar view</x:v>
      </x:c>
      <x:c r="H10" s="22" t="str">
        <x:v>Event scheduler</x:v>
      </x:c>
      <x:c r="I10" s="22" t="str">
        <x:v>Indirect</x:v>
      </x:c>
      <x:c r="J10" s="22" t="str">
        <x:v>Global events continue offline</x:v>
      </x:c>
      <x:c r="K10" s="22" t="str">
        <x:v>Event start</x:v>
      </x:c>
      <x:c r="L10" s="22" t="str">
        <x:v>Season+audit</x:v>
      </x:c>
      <x:c r="M10" s="22" t="str">
        <x:v>Rebuild</x:v>
      </x:c>
      <x:c r="N10" s="22" t="str">
        <x:v>No client scheduling</x:v>
      </x:c>
      <x:c r="O10" s="22" t="str">
        <x:v>Yes</x:v>
      </x:c>
      <x:c r="P10" s="22" t="str">
        <x:v>P0</x:v>
      </x:c>
      <x:c r="Q10" s="34" t="str"/>
    </x:row>
    <x:row r="11">
      <x:c r="A11" s="33" t="str">
        <x:v>decision_prompt_cooldown</x:v>
      </x:c>
      <x:c r="B11" s="22" t="str">
        <x:v>ephemeral state</x:v>
      </x:c>
      <x:c r="C11" s="22" t="str">
        <x:v>On surfaced prompt</x:v>
      </x:c>
      <x:c r="D11" s="22" t="str">
        <x:v>player,decision_type,last_at,session_prompt_count</x:v>
      </x:c>
      <x:c r="E11" s="22" t="str">
        <x:v>Retention</x:v>
      </x:c>
      <x:c r="F11" s="22" t="str">
        <x:v>player+session+decision_type</x:v>
      </x:c>
      <x:c r="G11" s="22" t="str">
        <x:v>cooldown</x:v>
      </x:c>
      <x:c r="H11" s="22" t="str">
        <x:v>domain state</x:v>
      </x:c>
      <x:c r="I11" s="22" t="str">
        <x:v>No</x:v>
      </x:c>
      <x:c r="J11" s="22" t="str">
        <x:v>No</x:v>
      </x:c>
      <x:c r="K11" s="22" t="str">
        <x:v>No</x:v>
      </x:c>
      <x:c r="L11" s="22" t="str">
        <x:v>Session/24h</x:v>
      </x:c>
      <x:c r="M11" s="22" t="str">
        <x:v>Recompute conservatively</x:v>
      </x:c>
      <x:c r="N11" s="22" t="str">
        <x:v>Critical alerts only bypass</x:v>
      </x:c>
      <x:c r="O11" s="22" t="str">
        <x:v>Yes</x:v>
      </x:c>
      <x:c r="P11" s="22" t="str">
        <x:v>P0</x:v>
      </x:c>
      <x:c r="Q11" s="34" t="str"/>
    </x:row>
    <x:row r="12">
      <x:c r="A12" s="33" t="str">
        <x:v>notification_outbox</x:v>
      </x:c>
      <x:c r="B12" s="22" t="str">
        <x:v>append/outbox</x:v>
      </x:c>
      <x:c r="C12" s="22" t="str">
        <x:v>Event-driven</x:v>
      </x:c>
      <x:c r="D12" s="22" t="str">
        <x:v>type,player,eligible_at,quiet hours,dedupe,state</x:v>
      </x:c>
      <x:c r="E12" s="22" t="str">
        <x:v>Notification</x:v>
      </x:c>
      <x:c r="F12" s="22" t="str">
        <x:v>notification semantic key</x:v>
      </x:c>
      <x:c r="G12" s="22" t="str">
        <x:v>notification intent</x:v>
      </x:c>
      <x:c r="H12" s="22" t="str">
        <x:v>settings/domain state</x:v>
      </x:c>
      <x:c r="I12" s="22" t="str">
        <x:v>No</x:v>
      </x:c>
      <x:c r="J12" s="22" t="str">
        <x:v>No</x:v>
      </x:c>
      <x:c r="K12" s="22" t="str">
        <x:v>N/A</x:v>
      </x:c>
      <x:c r="L12" s="22" t="str">
        <x:v>90d</x:v>
      </x:c>
      <x:c r="M12" s="22" t="str">
        <x:v>Retry outbox</x:v>
      </x:c>
      <x:c r="N12" s="22" t="str">
        <x:v>Frequency caps + opt-in</x:v>
      </x:c>
      <x:c r="O12" s="22" t="str">
        <x:v>P1</x:v>
      </x:c>
      <x:c r="P12" s="22" t="str">
        <x:v>P1</x:v>
      </x:c>
      <x:c r="Q12" s="34" t="str"/>
    </x:row>
    <x:row r="13">
      <x:c r="A13" s="35" t="str">
        <x:v>weekly_settlement_countdown_job</x:v>
      </x:c>
      <x:c r="B13" s="36" t="str">
        <x:v>scheduler/read model</x:v>
      </x:c>
      <x:c r="C13" s="36" t="str">
        <x:v>Hourly final 24h</x:v>
      </x:c>
      <x:c r="D13" s="36" t="str">
        <x:v>epoch,time_remaining,eligibility state</x:v>
      </x:c>
      <x:c r="E13" s="36" t="str">
        <x:v>Competition</x:v>
      </x:c>
      <x:c r="F13" s="36" t="str">
        <x:v>epoch+bucket</x:v>
      </x:c>
      <x:c r="G13" s="36" t="str">
        <x:v>countdown state</x:v>
      </x:c>
      <x:c r="H13" s="36" t="str">
        <x:v>Performance/League</x:v>
      </x:c>
      <x:c r="I13" s="36" t="str">
        <x:v>No mutation to score</x:v>
      </x:c>
      <x:c r="J13" s="36" t="str">
        <x:v>No</x:v>
      </x:c>
      <x:c r="K13" s="36" t="str">
        <x:v>Maybe</x:v>
      </x:c>
      <x:c r="L13" s="36" t="str">
        <x:v>Epoch</x:v>
      </x:c>
      <x:c r="M13" s="36" t="str">
        <x:v>Rebuild</x:v>
      </x:c>
      <x:c r="N13" s="36" t="str">
        <x:v>No bonus creation</x:v>
      </x:c>
      <x:c r="O13" s="36" t="str">
        <x:v>Yes</x:v>
      </x:c>
      <x:c r="P13" s="36" t="str">
        <x:v>P0</x:v>
      </x:c>
      <x:c r="Q13" s="37" t="str"/>
    </x:row>
  </x:sheetData>
  <x:mergeCells>
    <x:mergeCell ref="A1:Q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Retention Analytics &amp; Health KPIs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</x:row>
    <x:row r="3">
      <x:c r="A3" s="14" t="str">
        <x:v>KPI</x:v>
      </x:c>
      <x:c r="B3" s="14" t="str">
        <x:v>Definition</x:v>
      </x:c>
      <x:c r="C3" s="14" t="str">
        <x:v>Target / Healthy Signal</x:v>
      </x:c>
      <x:c r="D3" s="14" t="str">
        <x:v>Warning</x:v>
      </x:c>
      <x:c r="E3" s="14" t="str">
        <x:v>Critical</x:v>
      </x:c>
      <x:c r="F3" s="14" t="str">
        <x:v>Segment By</x:v>
      </x:c>
      <x:c r="G3" s="14" t="str">
        <x:v>Cadence</x:v>
      </x:c>
      <x:c r="H3" s="14" t="str">
        <x:v>Why It Matters</x:v>
      </x:c>
      <x:c r="I3" s="14" t="str">
        <x:v>Do Not Optimize Blindly</x:v>
      </x:c>
      <x:c r="J3" s="14" t="str">
        <x:v>Source</x:v>
      </x:c>
      <x:c r="K3" s="14" t="str">
        <x:v>Experimentable?</x:v>
      </x:c>
      <x:c r="L3" s="14" t="str">
        <x:v>Guardrail</x:v>
      </x:c>
      <x:c r="M3" s="14" t="str">
        <x:v>Owner</x:v>
      </x:c>
      <x:c r="N3" s="14" t="str">
        <x:v>Priority</x:v>
      </x:c>
      <x:c r="O3" s="14" t="str">
        <x:v>Launch Baseline?</x:v>
      </x:c>
      <x:c r="P3" s="14" t="str">
        <x:v>Dashboard</x:v>
      </x:c>
      <x:c r="Q3" s="14" t="str">
        <x:v>Notes</x:v>
      </x:c>
    </x:row>
    <x:row r="4">
      <x:c r="A4" s="30" t="str">
        <x:v>D1 Retention</x:v>
      </x:c>
      <x:c r="B4" s="31" t="str">
        <x:v>Players active on day 1 after first play</x:v>
      </x:c>
      <x:c r="C4" s="31" t="str">
        <x:v>Establish baseline then improve without raising chore burden</x:v>
      </x:c>
      <x:c r="D4" s="31" t="str">
        <x:v>-10% relative vs baseline</x:v>
      </x:c>
      <x:c r="E4" s="31" t="str">
        <x:v>-20%</x:v>
      </x:c>
      <x:c r="F4" s="31" t="str">
        <x:v>platform,cohort,acquisition</x:v>
      </x:c>
      <x:c r="G4" s="31" t="str">
        <x:v>Daily</x:v>
      </x:c>
      <x:c r="H4" s="31" t="str">
        <x:v>First return quality</x:v>
      </x:c>
      <x:c r="I4" s="31" t="str">
        <x:v>Do not buy D1 with login gifts</x:v>
      </x:c>
      <x:c r="J4" s="31" t="str">
        <x:v>presence/active-day</x:v>
      </x:c>
      <x:c r="K4" s="31" t="str">
        <x:v>Yes</x:v>
      </x:c>
      <x:c r="L4" s="31" t="str">
        <x:v>Session satisfaction / notification opt-outs</x:v>
      </x:c>
      <x:c r="M4" s="31" t="str">
        <x:v>Product</x:v>
      </x:c>
      <x:c r="N4" s="31" t="str">
        <x:v>High</x:v>
      </x:c>
      <x:c r="O4" s="31" t="str">
        <x:v>Yes</x:v>
      </x:c>
      <x:c r="P4" s="31" t="str">
        <x:v>Retention</x:v>
      </x:c>
      <x:c r="Q4" s="32" t="str"/>
    </x:row>
    <x:row r="5">
      <x:c r="A5" s="33" t="str">
        <x:v>D7 Retention</x:v>
      </x:c>
      <x:c r="B5" s="22" t="str">
        <x:v>Players active day 7</x:v>
      </x:c>
      <x:c r="C5" s="22" t="str">
        <x:v>Cohort trend positive</x:v>
      </x:c>
      <x:c r="D5" s="22" t="str">
        <x:v>-10% rel</x:v>
      </x:c>
      <x:c r="E5" s="22" t="str">
        <x:v>-20%</x:v>
      </x:c>
      <x:c r="F5" s="22" t="str">
        <x:v>stage,league,session pattern</x:v>
      </x:c>
      <x:c r="G5" s="22" t="str">
        <x:v>Weekly</x:v>
      </x:c>
      <x:c r="H5" s="22" t="str">
        <x:v>Weekly loop strength</x:v>
      </x:c>
      <x:c r="I5" s="22" t="str">
        <x:v>Do not require 7/7 days</x:v>
      </x:c>
      <x:c r="J5" s="22" t="str">
        <x:v>active-day</x:v>
      </x:c>
      <x:c r="K5" s="22" t="str">
        <x:v>Yes</x:v>
      </x:c>
      <x:c r="L5" s="22" t="str">
        <x:v>3/4 active-day design remains</x:v>
      </x:c>
      <x:c r="M5" s="22" t="str">
        <x:v>Product</x:v>
      </x:c>
      <x:c r="N5" s="22" t="str">
        <x:v>Critical</x:v>
      </x:c>
      <x:c r="O5" s="22" t="str">
        <x:v>Yes</x:v>
      </x:c>
      <x:c r="P5" s="22" t="str">
        <x:v>Retention</x:v>
      </x:c>
      <x:c r="Q5" s="34" t="str"/>
    </x:row>
    <x:row r="6">
      <x:c r="A6" s="33" t="str">
        <x:v>Eligible Active Days / WAU</x:v>
      </x:c>
      <x:c r="B6" s="22" t="str">
        <x:v>Mean eligible days among weekly actives</x:v>
      </x:c>
      <x:c r="C6" s="22" t="str">
        <x:v>3–5 healthy; avoid pressure toward 7</x:v>
      </x:c>
      <x:c r="D6" s="22" t="str">
        <x:v>&lt;2</x:v>
      </x:c>
      <x:c r="E6" s="22" t="str">
        <x:v>N/A</x:v>
      </x:c>
      <x:c r="F6" s="22" t="str">
        <x:v>league/stage</x:v>
      </x:c>
      <x:c r="G6" s="22" t="str">
        <x:v>Weekly</x:v>
      </x:c>
      <x:c r="H6" s="22" t="str">
        <x:v>League eligibility accessibility</x:v>
      </x:c>
      <x:c r="I6" s="22" t="str">
        <x:v>Do not maximize to 7</x:v>
      </x:c>
      <x:c r="J6" s="22" t="str">
        <x:v>active-day ledger</x:v>
      </x:c>
      <x:c r="K6" s="22" t="str">
        <x:v>Yes</x:v>
      </x:c>
      <x:c r="L6" s="22" t="str">
        <x:v>No login streak rewards</x:v>
      </x:c>
      <x:c r="M6" s="22" t="str">
        <x:v>Product</x:v>
      </x:c>
      <x:c r="N6" s="22" t="str">
        <x:v>High</x:v>
      </x:c>
      <x:c r="O6" s="22" t="str">
        <x:v>Yes</x:v>
      </x:c>
      <x:c r="P6" s="22" t="str">
        <x:v>Competition</x:v>
      </x:c>
      <x:c r="Q6" s="34" t="str"/>
    </x:row>
    <x:row r="7">
      <x:c r="A7" s="33" t="str">
        <x:v>Meaningful Actions / Engaged Hour</x:v>
      </x:c>
      <x:c r="B7" s="22" t="str">
        <x:v>Validated state-changing actions / engaged hour</x:v>
      </x:c>
      <x:c r="C7" s="22" t="str">
        <x:v>~4–8/hr depending stage</x:v>
      </x:c>
      <x:c r="D7" s="22" t="str">
        <x:v>&lt;2</x:v>
      </x:c>
      <x:c r="E7" s="22" t="str">
        <x:v>&gt;12 suggests busywork</x:v>
      </x:c>
      <x:c r="F7" s="22" t="str">
        <x:v>stage/session length</x:v>
      </x:c>
      <x:c r="G7" s="22" t="str">
        <x:v>Daily</x:v>
      </x:c>
      <x:c r="H7" s="22" t="str">
        <x:v>Decision density</x:v>
      </x:c>
      <x:c r="I7" s="22" t="str">
        <x:v>Higher is not always better</x:v>
      </x:c>
      <x:c r="J7" s="22" t="str">
        <x:v>presence/domain ledgers</x:v>
      </x:c>
      <x:c r="K7" s="22" t="str">
        <x:v>Yes</x:v>
      </x:c>
      <x:c r="L7" s="22" t="str">
        <x:v>Prompt budget</x:v>
      </x:c>
      <x:c r="M7" s="22" t="str">
        <x:v>Game Design</x:v>
      </x:c>
      <x:c r="N7" s="22" t="str">
        <x:v>High</x:v>
      </x:c>
      <x:c r="O7" s="22" t="str">
        <x:v>Yes</x:v>
      </x:c>
      <x:c r="P7" s="22" t="str">
        <x:v>Retention</x:v>
      </x:c>
      <x:c r="Q7" s="34" t="str"/>
    </x:row>
    <x:row r="8">
      <x:c r="A8" s="33" t="str">
        <x:v>Proactive Prompts / Session</x:v>
      </x:c>
      <x:c r="B8" s="22" t="str">
        <x:v>Noncritical surfaced prompts</x:v>
      </x:c>
      <x:c r="C8" s="22" t="str">
        <x:v>&lt;=3 median; 95p bounded</x:v>
      </x:c>
      <x:c r="D8" s="22" t="str">
        <x:v>&gt;4</x:v>
      </x:c>
      <x:c r="E8" s="22" t="str">
        <x:v>&gt;6</x:v>
      </x:c>
      <x:c r="F8" s="22" t="str">
        <x:v>platform/stage</x:v>
      </x:c>
      <x:c r="G8" s="22" t="str">
        <x:v>Daily</x:v>
      </x:c>
      <x:c r="H8" s="22" t="str">
        <x:v>Fatigue control</x:v>
      </x:c>
      <x:c r="I8" s="22" t="str">
        <x:v>Do not trade UX for clicks</x:v>
      </x:c>
      <x:c r="J8" s="22" t="str">
        <x:v>prompt state</x:v>
      </x:c>
      <x:c r="K8" s="22" t="str">
        <x:v>Yes</x:v>
      </x:c>
      <x:c r="L8" s="22" t="str">
        <x:v>Critical alerts separated</x:v>
      </x:c>
      <x:c r="M8" s="22" t="str">
        <x:v>Product</x:v>
      </x:c>
      <x:c r="N8" s="22" t="str">
        <x:v>High</x:v>
      </x:c>
      <x:c r="O8" s="22" t="str">
        <x:v>Yes</x:v>
      </x:c>
      <x:c r="P8" s="22" t="str">
        <x:v>UX</x:v>
      </x:c>
      <x:c r="Q8" s="34" t="str"/>
    </x:row>
    <x:row r="9">
      <x:c r="A9" s="33" t="str">
        <x:v>Objective Completion Rate</x:v>
      </x:c>
      <x:c r="B9" s="22" t="str">
        <x:v>Completed / assigned objectives</x:v>
      </x:c>
      <x:c r="C9" s="22" t="str">
        <x:v>40–70% healthy optionality</x:v>
      </x:c>
      <x:c r="D9" s="22" t="str">
        <x:v>&lt;25%</x:v>
      </x:c>
      <x:c r="E9" s="22" t="str">
        <x:v>&gt;90% may be trivial</x:v>
      </x:c>
      <x:c r="F9" s="22" t="str">
        <x:v>lane/stage</x:v>
      </x:c>
      <x:c r="G9" s="22" t="str">
        <x:v>Daily</x:v>
      </x:c>
      <x:c r="H9" s="22" t="str">
        <x:v>Difficulty tuning</x:v>
      </x:c>
      <x:c r="I9" s="22" t="str">
        <x:v>Do not target 100%</x:v>
      </x:c>
      <x:c r="J9" s="22" t="str">
        <x:v>objective ledger</x:v>
      </x:c>
      <x:c r="K9" s="22" t="str">
        <x:v>Yes</x:v>
      </x:c>
      <x:c r="L9" s="22" t="str">
        <x:v>Reward source share cap</x:v>
      </x:c>
      <x:c r="M9" s="22" t="str">
        <x:v>Game Systems</x:v>
      </x:c>
      <x:c r="N9" s="22" t="str">
        <x:v>Medium</x:v>
      </x:c>
      <x:c r="O9" s="22" t="str">
        <x:v>Yes</x:v>
      </x:c>
      <x:c r="P9" s="22" t="str">
        <x:v>Objectives</x:v>
      </x:c>
      <x:c r="Q9" s="34" t="str"/>
    </x:row>
    <x:row r="10">
      <x:c r="A10" s="33" t="str">
        <x:v>Objective Cash / Total Earned Cash</x:v>
      </x:c>
      <x:c r="B10" s="22" t="str">
        <x:v>Daily objective Cash / total positive earned Cash</x:v>
      </x:c>
      <x:c r="C10" s="22" t="str">
        <x:v>&lt;=5% stage median design target</x:v>
      </x:c>
      <x:c r="D10" s="22" t="str">
        <x:v>&gt;7%</x:v>
      </x:c>
      <x:c r="E10" s="22" t="str">
        <x:v>&gt;10%</x:v>
      </x:c>
      <x:c r="F10" s="22" t="str">
        <x:v>stage</x:v>
      </x:c>
      <x:c r="G10" s="22" t="str">
        <x:v>Daily/weekly</x:v>
      </x:c>
      <x:c r="H10" s="22" t="str">
        <x:v>Prevents retention rewards dominating economy</x:v>
      </x:c>
      <x:c r="I10" s="22" t="str">
        <x:v>Exclude tutorial credits</x:v>
      </x:c>
      <x:c r="J10" s="22" t="str">
        <x:v>cash ledger tags</x:v>
      </x:c>
      <x:c r="K10" s="22" t="str">
        <x:v>Yes</x:v>
      </x:c>
      <x:c r="L10" s="22" t="str">
        <x:v>Hard LiveOps cap</x:v>
      </x:c>
      <x:c r="M10" s="22" t="str">
        <x:v>Economy</x:v>
      </x:c>
      <x:c r="N10" s="22" t="str">
        <x:v>Critical</x:v>
      </x:c>
      <x:c r="O10" s="22" t="str">
        <x:v>Yes</x:v>
      </x:c>
      <x:c r="P10" s="22" t="str">
        <x:v>Economy</x:v>
      </x:c>
      <x:c r="Q10" s="34" t="str"/>
    </x:row>
    <x:row r="11">
      <x:c r="A11" s="33" t="str">
        <x:v>Hunts Started / Offers</x:v>
      </x:c>
      <x:c r="B11" s="22" t="str">
        <x:v>Started Hunt offers / available</x:v>
      </x:c>
      <x:c r="C11" s="22" t="str">
        <x:v>Healthy depends cohort; not 100% target</x:v>
      </x:c>
      <x:c r="D11" s="22" t="str">
        <x:v>&lt;20% after discovery</x:v>
      </x:c>
      <x:c r="E11" s="22" t="str">
        <x:v>N/A</x:v>
      </x:c>
      <x:c r="F11" s="22" t="str">
        <x:v>stage/account age</x:v>
      </x:c>
      <x:c r="G11" s="22" t="str">
        <x:v>Daily</x:v>
      </x:c>
      <x:c r="H11" s="22" t="str">
        <x:v>Hunt relevance</x:v>
      </x:c>
      <x:c r="I11" s="22" t="str">
        <x:v>Do not force all 3/day</x:v>
      </x:c>
      <x:c r="J11" s="22" t="str">
        <x:v>Hunt state</x:v>
      </x:c>
      <x:c r="K11" s="22" t="str">
        <x:v>Yes</x:v>
      </x:c>
      <x:c r="L11" s="22" t="str">
        <x:v>No push spam</x:v>
      </x:c>
      <x:c r="M11" s="22" t="str">
        <x:v>Game Systems</x:v>
      </x:c>
      <x:c r="N11" s="22" t="str">
        <x:v>Medium</x:v>
      </x:c>
      <x:c r="O11" s="22" t="str">
        <x:v>Yes</x:v>
      </x:c>
      <x:c r="P11" s="22" t="str">
        <x:v>Hunts</x:v>
      </x:c>
      <x:c r="Q11" s="34" t="str"/>
    </x:row>
    <x:row r="12">
      <x:c r="A12" s="33" t="str">
        <x:v>Return Summary Action Rate</x:v>
      </x:c>
      <x:c r="B12" s="22" t="str">
        <x:v>Returns with meaningful action within 5 min / return summaries</x:v>
      </x:c>
      <x:c r="C12" s="22" t="str">
        <x:v>Should rise if summary useful</x:v>
      </x:c>
      <x:c r="D12" s="22" t="str">
        <x:v>&lt;20%</x:v>
      </x:c>
      <x:c r="E12" s="22" t="str">
        <x:v>N/A</x:v>
      </x:c>
      <x:c r="F12" s="22" t="str">
        <x:v>absence band</x:v>
      </x:c>
      <x:c r="G12" s="22" t="str">
        <x:v>Daily</x:v>
      </x:c>
      <x:c r="H12" s="22" t="str">
        <x:v>Summary quality</x:v>
      </x:c>
      <x:c r="I12" s="22" t="str">
        <x:v>Do not add fake urgency</x:v>
      </x:c>
      <x:c r="J12" s="22" t="str">
        <x:v>presence/summary/domain</x:v>
      </x:c>
      <x:c r="K12" s="22" t="str">
        <x:v>Yes</x:v>
      </x:c>
      <x:c r="L12" s="22" t="str">
        <x:v>No reward for viewing</x:v>
      </x:c>
      <x:c r="M12" s="22" t="str">
        <x:v>Product</x:v>
      </x:c>
      <x:c r="N12" s="22" t="str">
        <x:v>Medium</x:v>
      </x:c>
      <x:c r="O12" s="22" t="str">
        <x:v>Yes</x:v>
      </x:c>
      <x:c r="P12" s="22" t="str">
        <x:v>Retention</x:v>
      </x:c>
      <x:c r="Q12" s="34" t="str"/>
    </x:row>
    <x:row r="13">
      <x:c r="A13" s="33" t="str">
        <x:v>Notification Opt-Out Rate</x:v>
      </x:c>
      <x:c r="B13" s="22" t="str">
        <x:v>Users disabling gameplay alerts</x:v>
      </x:c>
      <x:c r="C13" s="22" t="str">
        <x:v>Low/stable</x:v>
      </x:c>
      <x:c r="D13" s="22" t="str">
        <x:v>Rising &gt; baseline +25%</x:v>
      </x:c>
      <x:c r="E13" s="22" t="str">
        <x:v>Large spike</x:v>
      </x:c>
      <x:c r="F13" s="22" t="str">
        <x:v>notification type/platform</x:v>
      </x:c>
      <x:c r="G13" s="22" t="str">
        <x:v>Weekly</x:v>
      </x:c>
      <x:c r="H13" s="22" t="str">
        <x:v>Signals pressure/spam</x:v>
      </x:c>
      <x:c r="I13" s="22" t="str">
        <x:v>Never optimize opens alone</x:v>
      </x:c>
      <x:c r="J13" s="22" t="str">
        <x:v>notification settings</x:v>
      </x:c>
      <x:c r="K13" s="22" t="str">
        <x:v>Yes</x:v>
      </x:c>
      <x:c r="L13" s="22" t="str">
        <x:v>Hard caps</x:v>
      </x:c>
      <x:c r="M13" s="22" t="str">
        <x:v>Product</x:v>
      </x:c>
      <x:c r="N13" s="22" t="str">
        <x:v>High</x:v>
      </x:c>
      <x:c r="O13" s="22" t="str">
        <x:v>Yes</x:v>
      </x:c>
      <x:c r="P13" s="22" t="str">
        <x:v>Notifications</x:v>
      </x:c>
      <x:c r="Q13" s="34" t="str"/>
    </x:row>
    <x:row r="14">
      <x:c r="A14" s="33" t="str">
        <x:v>Final-Day Activity Share</x:v>
      </x:c>
      <x:c r="B14" s="22" t="str">
        <x:v>Engaged minutes final 24h / weekly engaged minutes</x:v>
      </x:c>
      <x:c r="C14" s="22" t="str">
        <x:v>Monitor concentration</x:v>
      </x:c>
      <x:c r="D14" s="22" t="str">
        <x:v>&gt;35%</x:v>
      </x:c>
      <x:c r="E14" s="22" t="str">
        <x:v>&gt;50%</x:v>
      </x:c>
      <x:c r="F14" s="22" t="str">
        <x:v>league/stage</x:v>
      </x:c>
      <x:c r="G14" s="22" t="str">
        <x:v>Weekly</x:v>
      </x:c>
      <x:c r="H14" s="22" t="str">
        <x:v>Avoid unhealthy deadline concentration</x:v>
      </x:c>
      <x:c r="I14" s="22" t="str">
        <x:v>Some uplift is natural</x:v>
      </x:c>
      <x:c r="J14" s="22" t="str">
        <x:v>presence</x:v>
      </x:c>
      <x:c r="K14" s="22" t="str">
        <x:v>Yes</x:v>
      </x:c>
      <x:c r="L14" s="22" t="str">
        <x:v>No final-day bonus</x:v>
      </x:c>
      <x:c r="M14" s="22" t="str">
        <x:v>Competition</x:v>
      </x:c>
      <x:c r="N14" s="22" t="str">
        <x:v>Medium</x:v>
      </x:c>
      <x:c r="O14" s="22" t="str">
        <x:v>Yes</x:v>
      </x:c>
      <x:c r="P14" s="22" t="str">
        <x:v>Competition</x:v>
      </x:c>
      <x:c r="Q14" s="34" t="str"/>
    </x:row>
    <x:row r="15">
      <x:c r="A15" s="35" t="str">
        <x:v>Settlement Claim Rate</x:v>
      </x:c>
      <x:c r="B15" s="36" t="str">
        <x:v>Eligible finalized payouts claimed</x:v>
      </x:c>
      <x:c r="C15" s="36" t="str">
        <x:v>Monitor UX/support</x:v>
      </x:c>
      <x:c r="D15" s="36" t="str">
        <x:v>Low can signal UX issue</x:v>
      </x:c>
      <x:c r="E15" s="36" t="str">
        <x:v>N/A</x:v>
      </x:c>
      <x:c r="F15" s="36" t="str">
        <x:v>league/amount</x:v>
      </x:c>
      <x:c r="G15" s="36" t="str">
        <x:v>Weekly</x:v>
      </x:c>
      <x:c r="H15" s="36" t="str">
        <x:v>Weekly payoff clarity</x:v>
      </x:c>
      <x:c r="I15" s="36" t="str">
        <x:v>Do not spam</x:v>
      </x:c>
      <x:c r="J15" s="36" t="str">
        <x:v>reward claim</x:v>
      </x:c>
      <x:c r="K15" s="36" t="str">
        <x:v>Yes</x:v>
      </x:c>
      <x:c r="L15" s="36" t="str">
        <x:v>One notification</x:v>
      </x:c>
      <x:c r="M15" s="36" t="str">
        <x:v>Competition</x:v>
      </x:c>
      <x:c r="N15" s="36" t="str">
        <x:v>Medium</x:v>
      </x:c>
      <x:c r="O15" s="36" t="str">
        <x:v>Post-real</x:v>
      </x:c>
      <x:c r="P15" s="36" t="str">
        <x:v>Rewards</x:v>
      </x:c>
      <x:c r="Q15" s="37" t="str"/>
    </x:row>
  </x:sheetData>
  <x:mergeCells>
    <x:mergeCell ref="A1:Q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Retention Scenarios — Healthy Patterns Without 24/7 Play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2"/>
    </x:row>
    <x:row r="3">
      <x:c r="A3" s="14" t="str">
        <x:v>Player Type</x:v>
      </x:c>
      <x:c r="B3" s="14" t="str">
        <x:v>Sessions/Day</x:v>
      </x:c>
      <x:c r="C3" s="14" t="str">
        <x:v>Engaged Min/Day</x:v>
      </x:c>
      <x:c r="D3" s="14" t="str">
        <x:v>Eligible Active Days/Week</x:v>
      </x:c>
      <x:c r="E3" s="14" t="str">
        <x:v>Typical Daily Decisions</x:v>
      </x:c>
      <x:c r="F3" s="14" t="str">
        <x:v>Hunts/Day</x:v>
      </x:c>
      <x:c r="G3" s="14" t="str">
        <x:v>Objectives/Day</x:v>
      </x:c>
      <x:c r="H3" s="14" t="str">
        <x:v>Weekly Checkpoints</x:v>
      </x:c>
      <x:c r="I3" s="14" t="str">
        <x:v>Offline Hours</x:v>
      </x:c>
      <x:c r="J3" s="14" t="str">
        <x:v>Can Be Competitive?</x:v>
      </x:c>
      <x:c r="K3" s="14" t="str">
        <x:v>Primary Return Reason</x:v>
      </x:c>
      <x:c r="L3" s="14" t="str">
        <x:v>Risk of Fatigue</x:v>
      </x:c>
      <x:c r="M3" s="14" t="str">
        <x:v>Design Support</x:v>
      </x:c>
      <x:c r="N3" s="14" t="str">
        <x:v>Expected Prompt Count</x:v>
      </x:c>
      <x:c r="O3" s="14" t="str">
        <x:v>Priority</x:v>
      </x:c>
      <x:c r="P3" s="14" t="str">
        <x:v>Notes</x:v>
      </x:c>
    </x:row>
    <x:row r="4">
      <x:c r="A4" s="30" t="str">
        <x:v>Quick manager</x:v>
      </x:c>
      <x:c r="B4" s="31" t="n">
        <x:v>1</x:v>
      </x:c>
      <x:c r="C4" s="31" t="n">
        <x:v>10</x:v>
      </x:c>
      <x:c r="D4" s="31" t="n">
        <x:v>3</x:v>
      </x:c>
      <x:c r="E4" s="31" t="n">
        <x:v>1</x:v>
      </x:c>
      <x:c r="F4" s="31" t="n">
        <x:v>0.5</x:v>
      </x:c>
      <x:c r="G4" s="31" t="n">
        <x:v>0.5</x:v>
      </x:c>
      <x:c r="H4" s="31" t="n">
        <x:v>1</x:v>
      </x:c>
      <x:c r="I4" s="31" t="n">
        <x:v>14</x:v>
      </x:c>
      <x:c r="J4" s="31" t="str">
        <x:v>Eligible in Bronze–Gold if quality/score thresholds met; not guaranteed</x:v>
      </x:c>
      <x:c r="K4" s="31" t="str">
        <x:v>Return summary + one issue</x:v>
      </x:c>
      <x:c r="L4" s="31" t="str">
        <x:v>Low</x:v>
      </x:c>
      <x:c r="M4" s="31" t="str">
        <x:v>Active day only needs 10 engaged min + state change; no daily punishment</x:v>
      </x:c>
      <x:c r="N4" s="31" t="n">
        <x:v>1</x:v>
      </x:c>
      <x:c r="O4" s="31" t="str">
        <x:v>P0</x:v>
      </x:c>
      <x:c r="P4" s="32" t="str"/>
    </x:row>
    <x:row r="5">
      <x:c r="A5" s="33" t="str">
        <x:v>Healthy daily player</x:v>
      </x:c>
      <x:c r="B5" s="22" t="n">
        <x:v>1</x:v>
      </x:c>
      <x:c r="C5" s="22" t="n">
        <x:v>25</x:v>
      </x:c>
      <x:c r="D5" s="22" t="n">
        <x:v>4</x:v>
      </x:c>
      <x:c r="E5" s="22" t="n">
        <x:v>3</x:v>
      </x:c>
      <x:c r="F5" s="22" t="n">
        <x:v>1</x:v>
      </x:c>
      <x:c r="G5" s="22" t="n">
        <x:v>1.5</x:v>
      </x:c>
      <x:c r="H5" s="22" t="n">
        <x:v>2</x:v>
      </x:c>
      <x:c r="I5" s="22" t="n">
        <x:v>12</x:v>
      </x:c>
      <x:c r="J5" s="22" t="str">
        <x:v>Yes depending performance</x:v>
      </x:c>
      <x:c r="K5" s="22" t="str">
        <x:v>Hunts/objectives/customer changes</x:v>
      </x:c>
      <x:c r="L5" s="22" t="str">
        <x:v>Low</x:v>
      </x:c>
      <x:c r="M5" s="22" t="str">
        <x:v>3 offers but no expectation to clear all</x:v>
      </x:c>
      <x:c r="N5" s="22" t="n">
        <x:v>2</x:v>
      </x:c>
      <x:c r="O5" s="22" t="str">
        <x:v>P0</x:v>
      </x:c>
      <x:c r="P5" s="34" t="str"/>
    </x:row>
    <x:row r="6">
      <x:c r="A6" s="33" t="str">
        <x:v>Twice-daily manager</x:v>
      </x:c>
      <x:c r="B6" s="22" t="n">
        <x:v>2</x:v>
      </x:c>
      <x:c r="C6" s="22" t="n">
        <x:v>35</x:v>
      </x:c>
      <x:c r="D6" s="22" t="n">
        <x:v>5</x:v>
      </x:c>
      <x:c r="E6" s="22" t="n">
        <x:v>4</x:v>
      </x:c>
      <x:c r="F6" s="22" t="n">
        <x:v>1.5</x:v>
      </x:c>
      <x:c r="G6" s="22" t="n">
        <x:v>2</x:v>
      </x:c>
      <x:c r="H6" s="22" t="n">
        <x:v>2</x:v>
      </x:c>
      <x:c r="I6" s="22" t="n">
        <x:v>10</x:v>
      </x:c>
      <x:c r="J6" s="22" t="str">
        <x:v>Yes depending performance</x:v>
      </x:c>
      <x:c r="K6" s="22" t="str">
        <x:v>Morning/evening delta management</x:v>
      </x:c>
      <x:c r="L6" s="22" t="str">
        <x:v>Low</x:v>
      </x:c>
      <x:c r="M6" s="22" t="str">
        <x:v>Offline cap supports 2-session rhythm</x:v>
      </x:c>
      <x:c r="N6" s="22" t="n">
        <x:v>2</x:v>
      </x:c>
      <x:c r="O6" s="22" t="str">
        <x:v>P0</x:v>
      </x:c>
      <x:c r="P6" s="34" t="str"/>
    </x:row>
    <x:row r="7">
      <x:c r="A7" s="33" t="str">
        <x:v>Highly active operator</x:v>
      </x:c>
      <x:c r="B7" s="22" t="n">
        <x:v>2</x:v>
      </x:c>
      <x:c r="C7" s="22" t="n">
        <x:v>60</x:v>
      </x:c>
      <x:c r="D7" s="22" t="n">
        <x:v>6</x:v>
      </x:c>
      <x:c r="E7" s="22" t="n">
        <x:v>5</x:v>
      </x:c>
      <x:c r="F7" s="22" t="n">
        <x:v>2</x:v>
      </x:c>
      <x:c r="G7" s="22" t="n">
        <x:v>2.5</x:v>
      </x:c>
      <x:c r="H7" s="22" t="n">
        <x:v>3</x:v>
      </x:c>
      <x:c r="I7" s="22" t="n">
        <x:v>6</x:v>
      </x:c>
      <x:c r="J7" s="22" t="str">
        <x:v>Yes depending performance</x:v>
      </x:c>
      <x:c r="K7" s="22" t="str">
        <x:v>Optimization/events/Hunts</x:v>
      </x:c>
      <x:c r="L7" s="22" t="str">
        <x:v>Medium</x:v>
      </x:c>
      <x:c r="M7" s="22" t="str">
        <x:v>Prompt budget prevents over-instruction</x:v>
      </x:c>
      <x:c r="N7" s="22" t="n">
        <x:v>3</x:v>
      </x:c>
      <x:c r="O7" s="22" t="str">
        <x:v>P0</x:v>
      </x:c>
      <x:c r="P7" s="34" t="str"/>
    </x:row>
    <x:row r="8">
      <x:c r="A8" s="33" t="str">
        <x:v>Weekend-focused player</x:v>
      </x:c>
      <x:c r="B8" s="22" t="n">
        <x:v>1</x:v>
      </x:c>
      <x:c r="C8" s="22" t="n">
        <x:v>45</x:v>
      </x:c>
      <x:c r="D8" s="22" t="n">
        <x:v>3</x:v>
      </x:c>
      <x:c r="E8" s="22" t="n">
        <x:v>4</x:v>
      </x:c>
      <x:c r="F8" s="22" t="n">
        <x:v>2</x:v>
      </x:c>
      <x:c r="G8" s="22" t="n">
        <x:v>2</x:v>
      </x:c>
      <x:c r="H8" s="22" t="n">
        <x:v>1</x:v>
      </x:c>
      <x:c r="I8" s="22" t="n">
        <x:v>18</x:v>
      </x:c>
      <x:c r="J8" s="22" t="str">
        <x:v>Can meet lower-league active-day count only if play spans 3 UTC days; one-day binge cannot satisfy</x:v>
      </x:c>
      <x:c r="K8" s="22" t="str">
        <x:v>Weekly closing + saved strategy</x:v>
      </x:c>
      <x:c r="L8" s="22" t="str">
        <x:v>Medium</x:v>
      </x:c>
      <x:c r="M8" s="22" t="str">
        <x:v>No catch-up chores; real active days still matter</x:v>
      </x:c>
      <x:c r="N8" s="22" t="n">
        <x:v>2</x:v>
      </x:c>
      <x:c r="O8" s="22" t="str">
        <x:v>P1</x:v>
      </x:c>
      <x:c r="P8" s="34" t="str"/>
    </x:row>
    <x:row r="9">
      <x:c r="A9" s="35" t="str">
        <x:v>Pure idle / AFK</x:v>
      </x:c>
      <x:c r="B9" s="36" t="n">
        <x:v>0</x:v>
      </x:c>
      <x:c r="C9" s="36" t="n">
        <x:v>0</x:v>
      </x:c>
      <x:c r="D9" s="36" t="n">
        <x:v>0</x:v>
      </x:c>
      <x:c r="E9" s="36" t="n">
        <x:v>0</x:v>
      </x:c>
      <x:c r="F9" s="36" t="n">
        <x:v>0</x:v>
      </x:c>
      <x:c r="G9" s="36" t="n">
        <x:v>0</x:v>
      </x:c>
      <x:c r="H9" s="36" t="n">
        <x:v>0</x:v>
      </x:c>
      <x:c r="I9" s="36" t="n">
        <x:v>24</x:v>
      </x:c>
      <x:c r="J9" s="36" t="str">
        <x:v>No</x:v>
      </x:c>
      <x:c r="K9" s="36" t="str">
        <x:v>None</x:v>
      </x:c>
      <x:c r="L9" s="36" t="str">
        <x:v>N/A</x:v>
      </x:c>
      <x:c r="M9" s="36" t="str">
        <x:v>Reduced offline economy + cap; Activity/Hunts zero</x:v>
      </x:c>
      <x:c r="N9" s="36" t="n">
        <x:v>0</x:v>
      </x:c>
      <x:c r="O9" s="36" t="str">
        <x:v>P0</x:v>
      </x:c>
      <x:c r="P9" s="37" t="str"/>
    </x:row>
  </x:sheetData>
  <x:mergeCells>
    <x:mergeCell ref="A1:P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Retention Loop QA / Acceptance Matrix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</x:row>
    <x:row r="3">
      <x:c r="A3" s="14" t="str">
        <x:v>ID</x:v>
      </x:c>
      <x:c r="B3" s="14" t="str">
        <x:v>Area</x:v>
      </x:c>
      <x:c r="C3" s="14" t="str">
        <x:v>Scenario</x:v>
      </x:c>
      <x:c r="D3" s="14" t="str">
        <x:v>Setup</x:v>
      </x:c>
      <x:c r="E3" s="14" t="str">
        <x:v>Action</x:v>
      </x:c>
      <x:c r="F3" s="14" t="str">
        <x:v>Expected</x:v>
      </x:c>
      <x:c r="G3" s="14" t="str">
        <x:v>Timing</x:v>
      </x:c>
      <x:c r="H3" s="14" t="str">
        <x:v>Reward Check</x:v>
      </x:c>
      <x:c r="I3" s="14" t="str">
        <x:v>Performance Check</x:v>
      </x:c>
      <x:c r="J3" s="14" t="str">
        <x:v>Offline Check</x:v>
      </x:c>
      <x:c r="K3" s="14" t="str">
        <x:v>Notification Check</x:v>
      </x:c>
      <x:c r="L3" s="14" t="str">
        <x:v>Evidence</x:v>
      </x:c>
      <x:c r="M3" s="14" t="str">
        <x:v>Failure Injection</x:v>
      </x:c>
      <x:c r="N3" s="14" t="str">
        <x:v>Severity</x:v>
      </x:c>
      <x:c r="O3" s="14" t="str">
        <x:v>Automation?</x:v>
      </x:c>
      <x:c r="P3" s="14" t="str">
        <x:v>Priority</x:v>
      </x:c>
      <x:c r="Q3" s="14" t="str">
        <x:v>Status</x:v>
      </x:c>
    </x:row>
    <x:row r="4">
      <x:c r="A4" s="30" t="str">
        <x:v>R001</x:v>
      </x:c>
      <x:c r="B4" s="31" t="str">
        <x:v>Daily reset</x:v>
      </x:c>
      <x:c r="C4" s="31" t="str">
        <x:v>Fresh UTC day</x:v>
      </x:c>
      <x:c r="D4" s="31" t="str">
        <x:v>Prior-day unstarted offers</x:v>
      </x:c>
      <x:c r="E4" s="31" t="str">
        <x:v>Run 00:00 reset</x:v>
      </x:c>
      <x:c r="F4" s="31" t="str">
        <x:v>3 new offers + 3 objectives; prior unstarted expire; active Hunts remain</x:v>
      </x:c>
      <x:c r="G4" s="31" t="str">
        <x:v>00:00 UTC</x:v>
      </x:c>
      <x:c r="H4" s="31" t="str">
        <x:v>No login reward</x:v>
      </x:c>
      <x:c r="I4" s="31" t="str">
        <x:v>No score grant</x:v>
      </x:c>
      <x:c r="J4" s="31" t="str">
        <x:v>N/A</x:v>
      </x:c>
      <x:c r="K4" s="31" t="str">
        <x:v>No midnight push</x:v>
      </x:c>
      <x:c r="L4" s="31" t="str">
        <x:v>daily reset id</x:v>
      </x:c>
      <x:c r="M4" s="31" t="str">
        <x:v>Retry job</x:v>
      </x:c>
      <x:c r="N4" s="31" t="str">
        <x:v>Critical</x:v>
      </x:c>
      <x:c r="O4" s="31" t="str">
        <x:v>Yes</x:v>
      </x:c>
      <x:c r="P4" s="31" t="str">
        <x:v>P0</x:v>
      </x:c>
      <x:c r="Q4" s="32" t="str">
        <x:v>Planned</x:v>
      </x:c>
    </x:row>
    <x:row r="5">
      <x:c r="A5" s="33" t="str">
        <x:v>R002</x:v>
      </x:c>
      <x:c r="B5" s="22" t="str">
        <x:v>Active day</x:v>
      </x:c>
      <x:c r="C5" s="22" t="str">
        <x:v>10 engaged min + state change</x:v>
      </x:c>
      <x:c r="D5" s="22" t="str">
        <x:v>Valid action at minute 2</x:v>
      </x:c>
      <x:c r="E5" s="22" t="str">
        <x:v>Cross 10 min</x:v>
      </x:c>
      <x:c r="F5" s="22" t="str">
        <x:v>Eligible active day true</x:v>
      </x:c>
      <x:c r="G5" s="22" t="str">
        <x:v>Same UTC day</x:v>
      </x:c>
      <x:c r="H5" s="22" t="str">
        <x:v>No reward</x:v>
      </x:c>
      <x:c r="I5" s="22" t="str">
        <x:v>Eligibility only</x:v>
      </x:c>
      <x:c r="J5" s="22" t="str">
        <x:v>Offline minutes excluded</x:v>
      </x:c>
      <x:c r="K5" s="22" t="str">
        <x:v>No push</x:v>
      </x:c>
      <x:c r="L5" s="22" t="str">
        <x:v>presence/action ledger</x:v>
      </x:c>
      <x:c r="M5" s="22" t="str">
        <x:v>Heartbeat-only alternative</x:v>
      </x:c>
      <x:c r="N5" s="22" t="str">
        <x:v>Critical</x:v>
      </x:c>
      <x:c r="O5" s="22" t="str">
        <x:v>Yes</x:v>
      </x:c>
      <x:c r="P5" s="22" t="str">
        <x:v>P0</x:v>
      </x:c>
      <x:c r="Q5" s="34" t="str">
        <x:v>Planned</x:v>
      </x:c>
    </x:row>
    <x:row r="6">
      <x:c r="A6" s="33" t="str">
        <x:v>R003</x:v>
      </x:c>
      <x:c r="B6" s="22" t="str">
        <x:v>AFK</x:v>
      </x:c>
      <x:c r="C6" s="22" t="str">
        <x:v>Connected idle 20m</x:v>
      </x:c>
      <x:c r="D6" s="22" t="str">
        <x:v>No meaningful action</x:v>
      </x:c>
      <x:c r="E6" s="22" t="str">
        <x:v>Wait</x:v>
      </x:c>
      <x:c r="F6" s="22" t="str">
        <x:v>AFK Online; reduced economy; Activity/Hunts zero</x:v>
      </x:c>
      <x:c r="G6" s="22" t="str">
        <x:v>20m</x:v>
      </x:c>
      <x:c r="H6" s="22" t="str">
        <x:v>Normal reduced economy</x:v>
      </x:c>
      <x:c r="I6" s="22" t="str">
        <x:v>0 Activity/Hunt</x:v>
      </x:c>
      <x:c r="J6" s="22" t="str">
        <x:v>Matches Idle spec</x:v>
      </x:c>
      <x:c r="K6" s="22" t="str">
        <x:v>No spam</x:v>
      </x:c>
      <x:c r="L6" s="22" t="str">
        <x:v>presence state</x:v>
      </x:c>
      <x:c r="M6" s="22" t="str">
        <x:v>Fake heartbeat</x:v>
      </x:c>
      <x:c r="N6" s="22" t="str">
        <x:v>Critical</x:v>
      </x:c>
      <x:c r="O6" s="22" t="str">
        <x:v>Yes</x:v>
      </x:c>
      <x:c r="P6" s="22" t="str">
        <x:v>P0</x:v>
      </x:c>
      <x:c r="Q6" s="34" t="str">
        <x:v>Planned</x:v>
      </x:c>
    </x:row>
    <x:row r="7">
      <x:c r="A7" s="33" t="str">
        <x:v>R004</x:v>
      </x:c>
      <x:c r="B7" s="22" t="str">
        <x:v>Return summary</x:v>
      </x:c>
      <x:c r="C7" s="22" t="str">
        <x:v>Away 6h</x:v>
      </x:c>
      <x:c r="D7" s="22" t="str">
        <x:v>Meaningful customer/Cash changes</x:v>
      </x:c>
      <x:c r="E7" s="22" t="str">
        <x:v>Return</x:v>
      </x:c>
      <x:c r="F7" s="22" t="str">
        <x:v>One consolidated summary; next action visible</x:v>
      </x:c>
      <x:c r="G7" s="22" t="str">
        <x:v>On return</x:v>
      </x:c>
      <x:c r="H7" s="22" t="str">
        <x:v>No return bonus</x:v>
      </x:c>
      <x:c r="I7" s="22" t="str">
        <x:v>No direct score</x:v>
      </x:c>
      <x:c r="J7" s="22" t="str">
        <x:v>6h band respected</x:v>
      </x:c>
      <x:c r="K7" s="22" t="str">
        <x:v>At most configured digest</x:v>
      </x:c>
      <x:c r="L7" s="22" t="str">
        <x:v>offline manifest</x:v>
      </x:c>
      <x:c r="M7" s="22" t="str">
        <x:v>Duplicate reconnect</x:v>
      </x:c>
      <x:c r="N7" s="22" t="str">
        <x:v>High</x:v>
      </x:c>
      <x:c r="O7" s="22" t="str">
        <x:v>Yes</x:v>
      </x:c>
      <x:c r="P7" s="22" t="str">
        <x:v>P0</x:v>
      </x:c>
      <x:c r="Q7" s="34" t="str">
        <x:v>Planned</x:v>
      </x:c>
    </x:row>
    <x:row r="8">
      <x:c r="A8" s="33" t="str">
        <x:v>R005</x:v>
      </x:c>
      <x:c r="B8" s="22" t="str">
        <x:v>Objective</x:v>
      </x:c>
      <x:c r="C8" s="22" t="str">
        <x:v>Growth objective</x:v>
      </x:c>
      <x:c r="D8" s="22" t="str">
        <x:v>Offline customers increase</x:v>
      </x:c>
      <x:c r="E8" s="22" t="str">
        <x:v>Return without active action</x:v>
      </x:c>
      <x:c r="F8" s="22" t="str">
        <x:v>Objective not complete until active required action validates</x:v>
      </x:c>
      <x:c r="G8" s="22" t="str">
        <x:v>Daily</x:v>
      </x:c>
      <x:c r="H8" s="22" t="str">
        <x:v>No reward yet</x:v>
      </x:c>
      <x:c r="I8" s="22" t="str">
        <x:v>No direct</x:v>
      </x:c>
      <x:c r="J8" s="22" t="str">
        <x:v>Offline alone cannot complete</x:v>
      </x:c>
      <x:c r="K8" s="22" t="str">
        <x:v>No push</x:v>
      </x:c>
      <x:c r="L8" s="22" t="str">
        <x:v>objective evidence</x:v>
      </x:c>
      <x:c r="M8" s="22" t="str">
        <x:v>Client complete flag</x:v>
      </x:c>
      <x:c r="N8" s="22" t="str">
        <x:v>Critical</x:v>
      </x:c>
      <x:c r="O8" s="22" t="str">
        <x:v>Yes</x:v>
      </x:c>
      <x:c r="P8" s="22" t="str">
        <x:v>P0</x:v>
      </x:c>
      <x:c r="Q8" s="34" t="str">
        <x:v>Planned</x:v>
      </x:c>
    </x:row>
    <x:row r="9">
      <x:c r="A9" s="33" t="str">
        <x:v>R006</x:v>
      </x:c>
      <x:c r="B9" s="22" t="str">
        <x:v>Objective reward</x:v>
      </x:c>
      <x:c r="C9" s="22" t="str">
        <x:v>Completed objective</x:v>
      </x:c>
      <x:c r="D9" s="22" t="str">
        <x:v>Valid evidence</x:v>
      </x:c>
      <x:c r="E9" s="22" t="str">
        <x:v>Complete</x:v>
      </x:c>
      <x:c r="F9" s="22" t="str">
        <x:v>Cash tagged objective reward; daily reward cap respected</x:v>
      </x:c>
      <x:c r="G9" s="22" t="str">
        <x:v>Immediate</x:v>
      </x:c>
      <x:c r="H9" s="22" t="str">
        <x:v>Cash only</x:v>
      </x:c>
      <x:c r="I9" s="22" t="str">
        <x:v>Excluded from business revenue score</x:v>
      </x:c>
      <x:c r="J9" s="22" t="str">
        <x:v>N/A</x:v>
      </x:c>
      <x:c r="K9" s="22" t="str">
        <x:v>No push</x:v>
      </x:c>
      <x:c r="L9" s="22" t="str">
        <x:v>cash/source ledger</x:v>
      </x:c>
      <x:c r="M9" s="22" t="str">
        <x:v>Double-submit</x:v>
      </x:c>
      <x:c r="N9" s="22" t="str">
        <x:v>Critical</x:v>
      </x:c>
      <x:c r="O9" s="22" t="str">
        <x:v>Yes</x:v>
      </x:c>
      <x:c r="P9" s="22" t="str">
        <x:v>P0</x:v>
      </x:c>
      <x:c r="Q9" s="34" t="str">
        <x:v>Planned</x:v>
      </x:c>
    </x:row>
    <x:row r="10">
      <x:c r="A10" s="33" t="str">
        <x:v>R007</x:v>
      </x:c>
      <x:c r="B10" s="22" t="str">
        <x:v>Streak</x:v>
      </x:c>
      <x:c r="C10" s="22" t="str">
        <x:v>Consecutive active days</x:v>
      </x:c>
      <x:c r="D10" s="22" t="str">
        <x:v>Day missed</x:v>
      </x:c>
      <x:c r="E10" s="22" t="str">
        <x:v>Next return</x:v>
      </x:c>
      <x:c r="F10" s="22" t="str">
        <x:v>Operating Streak resets quietly; no material loss</x:v>
      </x:c>
      <x:c r="G10" s="22" t="str">
        <x:v>Daily</x:v>
      </x:c>
      <x:c r="H10" s="22" t="str">
        <x:v>No material reward lost</x:v>
      </x:c>
      <x:c r="I10" s="22" t="str">
        <x:v>No effect</x:v>
      </x:c>
      <x:c r="J10" s="22" t="str">
        <x:v>N/A</x:v>
      </x:c>
      <x:c r="K10" s="22" t="str">
        <x:v>No streak-loss push</x:v>
      </x:c>
      <x:c r="L10" s="22" t="str">
        <x:v>active-day ledger</x:v>
      </x:c>
      <x:c r="M10" s="22" t="str">
        <x:v>Clock spoof</x:v>
      </x:c>
      <x:c r="N10" s="22" t="str">
        <x:v>High</x:v>
      </x:c>
      <x:c r="O10" s="22" t="str">
        <x:v>Yes</x:v>
      </x:c>
      <x:c r="P10" s="22" t="str">
        <x:v>P0</x:v>
      </x:c>
      <x:c r="Q10" s="34" t="str">
        <x:v>Planned</x:v>
      </x:c>
    </x:row>
    <x:row r="11">
      <x:c r="A11" s="33" t="str">
        <x:v>R008</x:v>
      </x:c>
      <x:c r="B11" s="22" t="str">
        <x:v>Event calendar</x:v>
      </x:c>
      <x:c r="C11" s="22" t="str">
        <x:v>Known major event</x:v>
      </x:c>
      <x:c r="D11" s="22" t="str">
        <x:v>Calendar visible</x:v>
      </x:c>
      <x:c r="E11" s="22" t="str">
        <x:v>Event starts</x:v>
      </x:c>
      <x:c r="F11" s="22" t="str">
        <x:v>Event applies; optional start alert</x:v>
      </x:c>
      <x:c r="G11" s="22" t="str">
        <x:v>Scheduled</x:v>
      </x:c>
      <x:c r="H11" s="22" t="str">
        <x:v>Normal event outcomes</x:v>
      </x:c>
      <x:c r="I11" s="22" t="str">
        <x:v>Indirect</x:v>
      </x:c>
      <x:c r="J11" s="22" t="str">
        <x:v>Continues offline</x:v>
      </x:c>
      <x:c r="K11" s="22" t="str">
        <x:v>Max 1/event</x:v>
      </x:c>
      <x:c r="L11" s="22" t="str">
        <x:v>event version</x:v>
      </x:c>
      <x:c r="M11" s="22" t="str">
        <x:v>Scheduler duplicate</x:v>
      </x:c>
      <x:c r="N11" s="22" t="str">
        <x:v>High</x:v>
      </x:c>
      <x:c r="O11" s="22" t="str">
        <x:v>Yes</x:v>
      </x:c>
      <x:c r="P11" s="22" t="str">
        <x:v>P0</x:v>
      </x:c>
      <x:c r="Q11" s="34" t="str">
        <x:v>Planned</x:v>
      </x:c>
    </x:row>
    <x:row r="12">
      <x:c r="A12" s="33" t="str">
        <x:v>R009</x:v>
      </x:c>
      <x:c r="B12" s="22" t="str">
        <x:v>Prompt budget</x:v>
      </x:c>
      <x:c r="C12" s="22" t="str">
        <x:v>Many warnings</x:v>
      </x:c>
      <x:c r="D12" s="22" t="str">
        <x:v>4 noncritical candidates</x:v>
      </x:c>
      <x:c r="E12" s="22" t="str">
        <x:v>Surface prompts</x:v>
      </x:c>
      <x:c r="F12" s="22" t="str">
        <x:v>At most 3 proactive noncritical prompts</x:v>
      </x:c>
      <x:c r="G12" s="22" t="str">
        <x:v>Session</x:v>
      </x:c>
      <x:c r="H12" s="22" t="str">
        <x:v>None</x:v>
      </x:c>
      <x:c r="I12" s="22" t="str">
        <x:v>None</x:v>
      </x:c>
      <x:c r="J12" s="22" t="str">
        <x:v>N/A</x:v>
      </x:c>
      <x:c r="K12" s="22" t="str">
        <x:v>N/A</x:v>
      </x:c>
      <x:c r="L12" s="22" t="str">
        <x:v>prompt state</x:v>
      </x:c>
      <x:c r="M12" s="22" t="str">
        <x:v>Multiple services race</x:v>
      </x:c>
      <x:c r="N12" s="22" t="str">
        <x:v>High</x:v>
      </x:c>
      <x:c r="O12" s="22" t="str">
        <x:v>Yes</x:v>
      </x:c>
      <x:c r="P12" s="22" t="str">
        <x:v>P0</x:v>
      </x:c>
      <x:c r="Q12" s="34" t="str">
        <x:v>Planned</x:v>
      </x:c>
    </x:row>
    <x:row r="13">
      <x:c r="A13" s="33" t="str">
        <x:v>R010</x:v>
      </x:c>
      <x:c r="B13" s="22" t="str">
        <x:v>Critical override</x:v>
      </x:c>
      <x:c r="C13" s="22" t="str">
        <x:v>Risk enters Critical after 3 prompts</x:v>
      </x:c>
      <x:c r="D13" s="22" t="str">
        <x:v>Budget exhausted</x:v>
      </x:c>
      <x:c r="E13" s="22" t="str">
        <x:v>Risk transition</x:v>
      </x:c>
      <x:c r="F13" s="22" t="str">
        <x:v>Critical alert may surface despite budget</x:v>
      </x:c>
      <x:c r="G13" s="22" t="str">
        <x:v>Immediate</x:v>
      </x:c>
      <x:c r="H13" s="22" t="str">
        <x:v>None</x:v>
      </x:c>
      <x:c r="I13" s="22" t="str">
        <x:v>Indirect</x:v>
      </x:c>
      <x:c r="J13" s="22" t="str">
        <x:v>Risk evolved normally</x:v>
      </x:c>
      <x:c r="K13" s="22" t="str">
        <x:v>Per incident</x:v>
      </x:c>
      <x:c r="L13" s="22" t="str">
        <x:v>risk incident</x:v>
      </x:c>
      <x:c r="M13" s="22" t="str">
        <x:v>Repeat same incident</x:v>
      </x:c>
      <x:c r="N13" s="22" t="str">
        <x:v>High</x:v>
      </x:c>
      <x:c r="O13" s="22" t="str">
        <x:v>Yes</x:v>
      </x:c>
      <x:c r="P13" s="22" t="str">
        <x:v>P0</x:v>
      </x:c>
      <x:c r="Q13" s="34" t="str">
        <x:v>Planned</x:v>
      </x:c>
    </x:row>
    <x:row r="14">
      <x:c r="A14" s="33" t="str">
        <x:v>R011</x:v>
      </x:c>
      <x:c r="B14" s="22" t="str">
        <x:v>Weekly close</x:v>
      </x:c>
      <x:c r="C14" s="22" t="str">
        <x:v>Sun 23:59:59 UTC</x:v>
      </x:c>
      <x:c r="D14" s="22" t="str">
        <x:v>Active week</x:v>
      </x:c>
      <x:c r="E14" s="22" t="str">
        <x:v>Cross epoch</x:v>
      </x:c>
      <x:c r="F14" s="22" t="str">
        <x:v>Prior sources freeze; new week opens</x:v>
      </x:c>
      <x:c r="G14" s="22" t="str">
        <x:v>Exact UTC</x:v>
      </x:c>
      <x:c r="H14" s="22" t="str">
        <x:v>No bonus</x:v>
      </x:c>
      <x:c r="I14" s="22" t="str">
        <x:v>Prior epoch pending</x:v>
      </x:c>
      <x:c r="J14" s="22" t="str">
        <x:v>N/A</x:v>
      </x:c>
      <x:c r="K14" s="22" t="str">
        <x:v>Week-ended max once</x:v>
      </x:c>
      <x:c r="L14" s="22" t="str">
        <x:v>settlement manifest</x:v>
      </x:c>
      <x:c r="M14" s="22" t="str">
        <x:v>Clock boundary</x:v>
      </x:c>
      <x:c r="N14" s="22" t="str">
        <x:v>Critical</x:v>
      </x:c>
      <x:c r="O14" s="22" t="str">
        <x:v>Yes</x:v>
      </x:c>
      <x:c r="P14" s="22" t="str">
        <x:v>P0</x:v>
      </x:c>
      <x:c r="Q14" s="34" t="str">
        <x:v>Planned</x:v>
      </x:c>
    </x:row>
    <x:row r="15">
      <x:c r="A15" s="35" t="str">
        <x:v>R012</x:v>
      </x:c>
      <x:c r="B15" s="36" t="str">
        <x:v>Settlement delay</x:v>
      </x:c>
      <x:c r="C15" s="36" t="str">
        <x:v>Finalization delayed</x:v>
      </x:c>
      <x:c r="D15" s="36" t="str">
        <x:v>Prior epoch Pending</x:v>
      </x:c>
      <x:c r="E15" s="36" t="str">
        <x:v>Open results</x:v>
      </x:c>
      <x:c r="F15" s="36" t="str">
        <x:v>Pending status; new week playable</x:v>
      </x:c>
      <x:c r="G15" s="36" t="str">
        <x:v>&lt;=8h target not guarantee</x:v>
      </x:c>
      <x:c r="H15" s="36" t="str">
        <x:v>No duplicate</x:v>
      </x:c>
      <x:c r="I15" s="36" t="str">
        <x:v>No rewrite after final</x:v>
      </x:c>
      <x:c r="J15" s="36" t="str">
        <x:v>N/A</x:v>
      </x:c>
      <x:c r="K15" s="36" t="str">
        <x:v>No repeated spam</x:v>
      </x:c>
      <x:c r="L15" s="36" t="str">
        <x:v>settlement state</x:v>
      </x:c>
      <x:c r="M15" s="36" t="str">
        <x:v>Worker outage</x:v>
      </x:c>
      <x:c r="N15" s="36" t="str">
        <x:v>Critical</x:v>
      </x:c>
      <x:c r="O15" s="36" t="str">
        <x:v>Yes</x:v>
      </x:c>
      <x:c r="P15" s="36" t="str">
        <x:v>P0</x:v>
      </x:c>
      <x:c r="Q15" s="37" t="str">
        <x:v>Planned</x:v>
      </x:c>
    </x:row>
  </x:sheetData>
  <x:mergeCells>
    <x:mergeCell ref="A1:Q1"/>
  </x:mergeCells>
  <x:dataValidations count="1">
    <x:dataValidation type="list" sqref="Q4:Q15">
      <x:formula1>"Planned,In Progress,Pass,Fail,Blocked"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54" t="str">
        <x:v>Canonical Retention Decisions / Cross-System Overrides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2"/>
    </x:row>
    <x:row r="3">
      <x:c r="A3" s="14" t="str">
        <x:v>ID</x:v>
      </x:c>
      <x:c r="B3" s="14" t="str">
        <x:v>System</x:v>
      </x:c>
      <x:c r="C3" s="14" t="str">
        <x:v>Decision</x:v>
      </x:c>
      <x:c r="D3" s="14" t="str">
        <x:v>Overrides / Clarifies</x:v>
      </x:c>
      <x:c r="E3" s="14" t="str">
        <x:v>Direct Score?</x:v>
      </x:c>
      <x:c r="F3" s="14" t="str">
        <x:v>Direct PLOT?</x:v>
      </x:c>
      <x:c r="G3" s="14" t="str">
        <x:v>Offline Rule</x:v>
      </x:c>
      <x:c r="H3" s="14" t="str">
        <x:v>Reset / Epoch</x:v>
      </x:c>
      <x:c r="I3" s="14" t="str">
        <x:v>Reward</x:v>
      </x:c>
      <x:c r="J3" s="14" t="str">
        <x:v>Backend Owner</x:v>
      </x:c>
      <x:c r="K3" s="14" t="str">
        <x:v>MVP</x:v>
      </x:c>
      <x:c r="L3" s="14" t="str">
        <x:v>Priority</x:v>
      </x:c>
      <x:c r="M3" s="14" t="str">
        <x:v>Status</x:v>
      </x:c>
      <x:c r="N3" s="14" t="str">
        <x:v>Reason</x:v>
      </x:c>
      <x:c r="O3" s="14" t="str">
        <x:v>Follow-Up</x:v>
      </x:c>
      <x:c r="P3" s="14" t="str">
        <x:v>Notes</x:v>
      </x:c>
    </x:row>
    <x:row r="4">
      <x:c r="A4" s="30" t="str">
        <x:v>R1</x:v>
      </x:c>
      <x:c r="B4" s="31" t="str">
        <x:v>Daily Retention</x:v>
      </x:c>
      <x:c r="C4" s="31" t="str">
        <x:v>No login reward. Daily reason to return is changed game state + Hunts + objectives + weekly context.</x:v>
      </x:c>
      <x:c r="D4" s="31" t="str">
        <x:v>Adds retention policy</x:v>
      </x:c>
      <x:c r="E4" s="31" t="str">
        <x:v>No</x:v>
      </x:c>
      <x:c r="F4" s="31" t="str">
        <x:v>No</x:v>
      </x:c>
      <x:c r="G4" s="31" t="str">
        <x:v>Return summary only</x:v>
      </x:c>
      <x:c r="H4" s="31" t="str">
        <x:v>Daily UTC</x:v>
      </x:c>
      <x:c r="I4" s="31" t="str">
        <x:v>None</x:v>
      </x:c>
      <x:c r="J4" s="31" t="str">
        <x:v>Retention</x:v>
      </x:c>
      <x:c r="K4" s="31" t="str">
        <x:v>Yes</x:v>
      </x:c>
      <x:c r="L4" s="31" t="str">
        <x:v>P0</x:v>
      </x:c>
      <x:c r="M4" s="31" t="str">
        <x:v>FINAL</x:v>
      </x:c>
      <x:c r="N4" s="31" t="str">
        <x:v>Avoid chore loop</x:v>
      </x:c>
      <x:c r="O4" s="31" t="str">
        <x:v>None</x:v>
      </x:c>
      <x:c r="P4" s="32" t="str"/>
    </x:row>
    <x:row r="5">
      <x:c r="A5" s="33" t="str">
        <x:v>R2</x:v>
      </x:c>
      <x:c r="B5" s="22" t="str">
        <x:v>Hunts</x:v>
      </x:c>
      <x:c r="C5" s="22" t="str">
        <x:v>Generate 3 daily offers at 00:00 UTC; unstarted offers expire next reset; started Hunts keep own real-time expiry; max 5 active.</x:v>
      </x:c>
      <x:c r="D5" s="22" t="str">
        <x:v>Clarifies daily reset semantics</x:v>
      </x:c>
      <x:c r="E5" s="22" t="str">
        <x:v>Canonical Hunt Points only</x:v>
      </x:c>
      <x:c r="F5" s="22" t="str">
        <x:v>No</x:v>
      </x:c>
      <x:c r="G5" s="22" t="str">
        <x:v>No progress offline/AFK</x:v>
      </x:c>
      <x:c r="H5" s="22" t="str">
        <x:v>00:00 UTC</x:v>
      </x:c>
      <x:c r="I5" s="22" t="str">
        <x:v>Canonical Hunt rewards</x:v>
      </x:c>
      <x:c r="J5" s="22" t="str">
        <x:v>Hunt</x:v>
      </x:c>
      <x:c r="K5" s="22" t="str">
        <x:v>Yes</x:v>
      </x:c>
      <x:c r="L5" s="22" t="str">
        <x:v>P0</x:v>
      </x:c>
      <x:c r="M5" s="22" t="str">
        <x:v>FINAL</x:v>
      </x:c>
      <x:c r="N5" s="22" t="str">
        <x:v>Clean daily market reason</x:v>
      </x:c>
      <x:c r="O5" s="22" t="str">
        <x:v>Tune offer templates</x:v>
      </x:c>
      <x:c r="P5" s="34" t="str"/>
    </x:row>
    <x:row r="6">
      <x:c r="A6" s="33" t="str">
        <x:v>R3</x:v>
      </x:c>
      <x:c r="B6" s="22" t="str">
        <x:v>Objectives</x:v>
      </x:c>
      <x:c r="C6" s="22" t="str">
        <x:v>Three daily lanes: Operations, Growth, Market. Cash-only reward, total target &lt;=5% median stage daily earned Cash.</x:v>
      </x:c>
      <x:c r="D6" s="22" t="str">
        <x:v>New system</x:v>
      </x:c>
      <x:c r="E6" s="22" t="str">
        <x:v>No</x:v>
      </x:c>
      <x:c r="F6" s="22" t="str">
        <x:v>No</x:v>
      </x:c>
      <x:c r="G6" s="22" t="str">
        <x:v>Offline alone cannot complete</x:v>
      </x:c>
      <x:c r="H6" s="22" t="str">
        <x:v>Daily UTC</x:v>
      </x:c>
      <x:c r="I6" s="22" t="str">
        <x:v>Small Cash</x:v>
      </x:c>
      <x:c r="J6" s="22" t="str">
        <x:v>Objective/Economy</x:v>
      </x:c>
      <x:c r="K6" s="22" t="str">
        <x:v>Yes</x:v>
      </x:c>
      <x:c r="L6" s="22" t="str">
        <x:v>P0</x:v>
      </x:c>
      <x:c r="M6" s="22" t="str">
        <x:v>FINAL</x:v>
      </x:c>
      <x:c r="N6" s="22" t="str">
        <x:v>Management goals without new currency</x:v>
      </x:c>
      <x:c r="O6" s="22" t="str">
        <x:v>Build template catalog</x:v>
      </x:c>
      <x:c r="P6" s="34" t="str"/>
    </x:row>
    <x:row r="7">
      <x:c r="A7" s="33" t="str">
        <x:v>R4</x:v>
      </x:c>
      <x:c r="B7" s="22" t="str">
        <x:v>Streaks</x:v>
      </x:c>
      <x:c r="C7" s="22" t="str">
        <x:v>No reward-bearing login streak. Operating Streak tracks consecutive Eligible Active Days and is cosmetic/status only.</x:v>
      </x:c>
      <x:c r="D7" s="22" t="str">
        <x:v>Clarifies streak policy</x:v>
      </x:c>
      <x:c r="E7" s="22" t="str">
        <x:v>No</x:v>
      </x:c>
      <x:c r="F7" s="22" t="str">
        <x:v>No</x:v>
      </x:c>
      <x:c r="G7" s="22" t="str">
        <x:v>Offline does not qualify</x:v>
      </x:c>
      <x:c r="H7" s="22" t="str">
        <x:v>UTC daily</x:v>
      </x:c>
      <x:c r="I7" s="22" t="str">
        <x:v>None/materially none</x:v>
      </x:c>
      <x:c r="J7" s="22" t="str">
        <x:v>Presence</x:v>
      </x:c>
      <x:c r="K7" s="22" t="str">
        <x:v>Yes</x:v>
      </x:c>
      <x:c r="L7" s="22" t="str">
        <x:v>P0</x:v>
      </x:c>
      <x:c r="M7" s="22" t="str">
        <x:v>FINAL</x:v>
      </x:c>
      <x:c r="N7" s="22" t="str">
        <x:v>Avoid coercive FOMO and power snowball</x:v>
      </x:c>
      <x:c r="O7" s="22" t="str">
        <x:v>Optional cosmetics later</x:v>
      </x:c>
      <x:c r="P7" s="34" t="str"/>
    </x:row>
    <x:row r="8">
      <x:c r="A8" s="33" t="str">
        <x:v>R5</x:v>
      </x:c>
      <x:c r="B8" s="22" t="str">
        <x:v>Decision Cadence</x:v>
      </x:c>
      <x:c r="C8" s="22" t="str">
        <x:v>Normal proactive decision opportunity target ~8–15 engaged minutes; max 3 proactive noncritical prompts/session.</x:v>
      </x:c>
      <x:c r="D8" s="22" t="str">
        <x:v>New UX rule</x:v>
      </x:c>
      <x:c r="E8" s="22" t="str">
        <x:v>No</x:v>
      </x:c>
      <x:c r="F8" s="22" t="str">
        <x:v>No</x:v>
      </x:c>
      <x:c r="G8" s="22" t="str">
        <x:v>N/A</x:v>
      </x:c>
      <x:c r="H8" s="22" t="str">
        <x:v>Session</x:v>
      </x:c>
      <x:c r="I8" s="22" t="str">
        <x:v>None</x:v>
      </x:c>
      <x:c r="J8" s="22" t="str">
        <x:v>Retention</x:v>
      </x:c>
      <x:c r="K8" s="22" t="str">
        <x:v>Yes</x:v>
      </x:c>
      <x:c r="L8" s="22" t="str">
        <x:v>P0</x:v>
      </x:c>
      <x:c r="M8" s="22" t="str">
        <x:v>FINAL</x:v>
      </x:c>
      <x:c r="N8" s="22" t="str">
        <x:v>Meaningful choices without nagging</x:v>
      </x:c>
      <x:c r="O8" s="22" t="str">
        <x:v>Tune by telemetry</x:v>
      </x:c>
      <x:c r="P8" s="34" t="str"/>
    </x:row>
    <x:row r="9">
      <x:c r="A9" s="33" t="str">
        <x:v>R6</x:v>
      </x:c>
      <x:c r="B9" s="22" t="str">
        <x:v>Events</x:v>
      </x:c>
      <x:c r="C9" s="22" t="str">
        <x:v>Calendar shows up to 2 announced major/global windows/week; minor/surprise events remain unscheduled; personal events average ~3/week.</x:v>
      </x:c>
      <x:c r="D9" s="22" t="str">
        <x:v>Clarifies event calendar surface</x:v>
      </x:c>
      <x:c r="E9" s="22" t="str">
        <x:v>Indirect</x:v>
      </x:c>
      <x:c r="F9" s="22" t="str">
        <x:v>No</x:v>
      </x:c>
      <x:c r="G9" s="22" t="str">
        <x:v>Global continue; personal queue</x:v>
      </x:c>
      <x:c r="H9" s="22" t="str">
        <x:v>Weekly/event</x:v>
      </x:c>
      <x:c r="I9" s="22" t="str">
        <x:v>Normal events</x:v>
      </x:c>
      <x:c r="J9" s="22" t="str">
        <x:v>Event</x:v>
      </x:c>
      <x:c r="K9" s="22" t="str">
        <x:v>Yes</x:v>
      </x:c>
      <x:c r="L9" s="22" t="str">
        <x:v>P0</x:v>
      </x:c>
      <x:c r="M9" s="22" t="str">
        <x:v>FINAL</x:v>
      </x:c>
      <x:c r="N9" s="22" t="str">
        <x:v>Anticipation without making week fully solved</x:v>
      </x:c>
      <x:c r="O9" s="22" t="str">
        <x:v>Calendar UI</x:v>
      </x:c>
      <x:c r="P9" s="34" t="str"/>
    </x:row>
    <x:row r="10">
      <x:c r="A10" s="33" t="str">
        <x:v>R7</x:v>
      </x:c>
      <x:c r="B10" s="22" t="str">
        <x:v>Weekly Epoch</x:v>
      </x:c>
      <x:c r="C10" s="22" t="str">
        <x:v>Performance week runs Mon 00:00 UTC through Sun 23:59:59 UTC.</x:v>
      </x:c>
      <x:c r="D10" s="22" t="str">
        <x:v>Clarifies 7-day epoch</x:v>
      </x:c>
      <x:c r="E10" s="22" t="str">
        <x:v>Existing score</x:v>
      </x:c>
      <x:c r="F10" s="22" t="str">
        <x:v>Canonical settlement</x:v>
      </x:c>
      <x:c r="G10" s="22" t="str">
        <x:v>Existing offline filtering</x:v>
      </x:c>
      <x:c r="H10" s="22" t="str">
        <x:v>Weekly UTC</x:v>
      </x:c>
      <x:c r="I10" s="22" t="str">
        <x:v>Fixed pool</x:v>
      </x:c>
      <x:c r="J10" s="22" t="str">
        <x:v>Performance/Competition</x:v>
      </x:c>
      <x:c r="K10" s="22" t="str">
        <x:v>Yes</x:v>
      </x:c>
      <x:c r="L10" s="22" t="str">
        <x:v>P0</x:v>
      </x:c>
      <x:c r="M10" s="22" t="str">
        <x:v>FINAL</x:v>
      </x:c>
      <x:c r="N10" s="22" t="str">
        <x:v>Consistent countdown and daily resets</x:v>
      </x:c>
      <x:c r="O10" s="22" t="str">
        <x:v>Align league service</x:v>
      </x:c>
      <x:c r="P10" s="34" t="str"/>
    </x:row>
    <x:row r="11">
      <x:c r="A11" s="33" t="str">
        <x:v>R8</x:v>
      </x:c>
      <x:c r="B11" s="22" t="str">
        <x:v>Settlement UX</x:v>
      </x:c>
      <x:c r="C11" s="22" t="str">
        <x:v>Previous week enters Pending at close; target finalization &lt;=8h; new week begins immediately and is never blocked by settlement.</x:v>
      </x:c>
      <x:c r="D11" s="22" t="str">
        <x:v>Clarifies backend/UX</x:v>
      </x:c>
      <x:c r="E11" s="22" t="str">
        <x:v>No new</x:v>
      </x:c>
      <x:c r="F11" s="22" t="str">
        <x:v>Canonical payout after final</x:v>
      </x:c>
      <x:c r="G11" s="22" t="str">
        <x:v>N/A</x:v>
      </x:c>
      <x:c r="H11" s="22" t="str">
        <x:v>Weekly</x:v>
      </x:c>
      <x:c r="I11" s="22" t="str">
        <x:v>Claimable PLOT if eligible</x:v>
      </x:c>
      <x:c r="J11" s="22" t="str">
        <x:v>Competition</x:v>
      </x:c>
      <x:c r="K11" s="22" t="str">
        <x:v>Yes</x:v>
      </x:c>
      <x:c r="L11" s="22" t="str">
        <x:v>P0</x:v>
      </x:c>
      <x:c r="M11" s="22" t="str">
        <x:v>FINAL</x:v>
      </x:c>
      <x:c r="N11" s="22" t="str">
        <x:v>No dead period</x:v>
      </x:c>
      <x:c r="O11" s="22" t="str">
        <x:v>Settlement SLA monitoring</x:v>
      </x:c>
      <x:c r="P11" s="34" t="str"/>
    </x:row>
    <x:row r="12">
      <x:c r="A12" s="33" t="str">
        <x:v>R9</x:v>
      </x:c>
      <x:c r="B12" s="22" t="str">
        <x:v>Notifications</x:v>
      </x:c>
      <x:c r="C12" s="22" t="str">
        <x:v>No midnight push, no streak-loss push, no profit language. Event/final-day/claim alerts are opt-in and frequency-capped.</x:v>
      </x:c>
      <x:c r="D12" s="22" t="str">
        <x:v>New policy</x:v>
      </x:c>
      <x:c r="E12" s="22" t="str">
        <x:v>No</x:v>
      </x:c>
      <x:c r="F12" s="22" t="str">
        <x:v>No</x:v>
      </x:c>
      <x:c r="G12" s="22" t="str">
        <x:v>N/A</x:v>
      </x:c>
      <x:c r="H12" s="22" t="str">
        <x:v>Event/week</x:v>
      </x:c>
      <x:c r="I12" s="22" t="str">
        <x:v>None</x:v>
      </x:c>
      <x:c r="J12" s="22" t="str">
        <x:v>Notification</x:v>
      </x:c>
      <x:c r="K12" s="22" t="str">
        <x:v>P1</x:v>
      </x:c>
      <x:c r="L12" s="22" t="str">
        <x:v>P0</x:v>
      </x:c>
      <x:c r="M12" s="22" t="str">
        <x:v>FINAL</x:v>
      </x:c>
      <x:c r="N12" s="22" t="str">
        <x:v>Retention without pressure</x:v>
      </x:c>
      <x:c r="O12" s="22" t="str">
        <x:v>Settings UI</x:v>
      </x:c>
      <x:c r="P12" s="34" t="str"/>
    </x:row>
    <x:row r="13">
      <x:c r="A13" s="35" t="str">
        <x:v>R10</x:v>
      </x:c>
      <x:c r="B13" s="36" t="str">
        <x:v>Active Day</x:v>
      </x:c>
      <x:c r="C13" s="36" t="str">
        <x:v>Keep &gt;=10 engaged minutes + &gt;=1 meaningful state-changing action; opening/heartbeat/navigation do not qualify.</x:v>
      </x:c>
      <x:c r="D13" s="36" t="str">
        <x:v>Reaffirms Idle/League spec</x:v>
      </x:c>
      <x:c r="E13" s="36" t="str">
        <x:v>Eligibility only</x:v>
      </x:c>
      <x:c r="F13" s="36" t="str">
        <x:v>No</x:v>
      </x:c>
      <x:c r="G13" s="36" t="str">
        <x:v>Offline/AFK no</x:v>
      </x:c>
      <x:c r="H13" s="36" t="str">
        <x:v>UTC daily</x:v>
      </x:c>
      <x:c r="I13" s="36" t="str">
        <x:v>None</x:v>
      </x:c>
      <x:c r="J13" s="36" t="str">
        <x:v>Presence/League</x:v>
      </x:c>
      <x:c r="K13" s="36" t="str">
        <x:v>Yes</x:v>
      </x:c>
      <x:c r="L13" s="36" t="str">
        <x:v>P0</x:v>
      </x:c>
      <x:c r="M13" s="36" t="str">
        <x:v>FINAL</x:v>
      </x:c>
      <x:c r="N13" s="36" t="str">
        <x:v>Prevents login farming</x:v>
      </x:c>
      <x:c r="O13" s="36" t="str">
        <x:v>None</x:v>
      </x:c>
      <x:c r="P13" s="37" t="str"/>
    </x:row>
  </x:sheetData>
  <x:mergeCells>
    <x:mergeCell ref="A1:P1"/>
  </x:mergeCells>
  <x:dataValidations count="1">
    <x:dataValidation type="list" sqref="M4:M13">
      <x:formula1>"FINAL,DRAFT,SUPERSEDED"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54" t="str">
        <x:v>Daily / Weekly Retention Loop — Model Checks</x:v>
      </x:c>
      <x:c r="B1" s="54"/>
      <x:c r="C1" s="54"/>
      <x:c r="D1" s="54"/>
      <x:c r="E1" s="54"/>
      <x:c r="F1" s="54"/>
      <x:c r="G1" s="54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30" t="str">
        <x:v>Daily Hunt offers</x:v>
      </x:c>
      <x:c r="B4" s="31" t="n">
        <x:v>3</x:v>
      </x:c>
      <x:c r="C4" s="31" t="n">
        <x:f>'05_Market_Hunt_Reset'!B4</x:f>
        <x:v>3</x:v>
      </x:c>
      <x:c r="D4" s="31" t="str">
        <x:f>IF(C4=B4,"PASS","CHECK")</x:f>
        <x:v>PASS</x:v>
      </x:c>
      <x:c r="E4" s="31" t="str">
        <x:v>High</x:v>
      </x:c>
      <x:c r="F4" s="31" t="str">
        <x:v>Matches Hunt cadence</x:v>
      </x:c>
      <x:c r="G4" s="32" t="str"/>
    </x:row>
    <x:row r="5">
      <x:c r="A5" s="33" t="str">
        <x:v>Max active Hunts</x:v>
      </x:c>
      <x:c r="B5" s="22" t="n">
        <x:v>5</x:v>
      </x:c>
      <x:c r="C5" s="22" t="n">
        <x:f>'05_Market_Hunt_Reset'!F4</x:f>
        <x:v>5</x:v>
      </x:c>
      <x:c r="D5" s="22" t="str">
        <x:f>IF(C5=B5,"PASS","CHECK")</x:f>
        <x:v>PASS</x:v>
      </x:c>
      <x:c r="E5" s="22" t="str">
        <x:v>High</x:v>
      </x:c>
      <x:c r="F5" s="22" t="str">
        <x:v>Matches Hunt spec</x:v>
      </x:c>
      <x:c r="G5" s="34" t="str"/>
    </x:row>
    <x:row r="6">
      <x:c r="A6" s="33" t="str">
        <x:v>Daily objective lanes</x:v>
      </x:c>
      <x:c r="B6" s="22" t="n">
        <x:v>3</x:v>
      </x:c>
      <x:c r="C6" s="22" t="n">
        <x:f>COUNTA('07_Business_Objectives'!A4:A6)</x:f>
        <x:v>3</x:v>
      </x:c>
      <x:c r="D6" s="22" t="str">
        <x:f>IF(C6=B6,"PASS","CHECK")</x:f>
        <x:v>PASS</x:v>
      </x:c>
      <x:c r="E6" s="22" t="str">
        <x:v>High</x:v>
      </x:c>
      <x:c r="F6" s="22" t="str">
        <x:v>Keep daily system focused</x:v>
      </x:c>
      <x:c r="G6" s="34" t="str"/>
    </x:row>
    <x:row r="7">
      <x:c r="A7" s="33" t="str">
        <x:v>Objective direct Performance prohibited</x:v>
      </x:c>
      <x:c r="B7" s="22" t="n">
        <x:v>3</x:v>
      </x:c>
      <x:c r="C7" s="22" t="n">
        <x:f>COUNTIF('07_Business_Objectives'!I4:I6,"No")</x:f>
        <x:v>3</x:v>
      </x:c>
      <x:c r="D7" s="22" t="str">
        <x:f>IF(C7=B7,"PASS","CHECK")</x:f>
        <x:v>PASS</x:v>
      </x:c>
      <x:c r="E7" s="22" t="str">
        <x:v>Critical</x:v>
      </x:c>
      <x:c r="F7" s="22" t="str">
        <x:v>No retention-to-score shortcut</x:v>
      </x:c>
      <x:c r="G7" s="34" t="str"/>
    </x:row>
    <x:row r="8">
      <x:c r="A8" s="33" t="str">
        <x:v>Objective direct PLOT prohibited</x:v>
      </x:c>
      <x:c r="B8" s="22" t="n">
        <x:v>3</x:v>
      </x:c>
      <x:c r="C8" s="22" t="n">
        <x:f>COUNTIF('07_Business_Objectives'!J4:J6,"No")</x:f>
        <x:v>3</x:v>
      </x:c>
      <x:c r="D8" s="22" t="str">
        <x:f>IF(C8=B8,"PASS","CHECK")</x:f>
        <x:v>PASS</x:v>
      </x:c>
      <x:c r="E8" s="22" t="str">
        <x:v>Critical</x:v>
      </x:c>
      <x:c r="F8" s="22" t="str">
        <x:v>No daily-PLOT faucet</x:v>
      </x:c>
      <x:c r="G8" s="34" t="str"/>
    </x:row>
    <x:row r="9">
      <x:c r="A9" s="33" t="str">
        <x:v>Login reward prohibited</x:v>
      </x:c>
      <x:c r="B9" s="22" t="n">
        <x:v>1</x:v>
      </x:c>
      <x:c r="C9" s="22" t="n">
        <x:f>IF('13_Retention_Economy_Guardrails'!B4="None",1,0)</x:f>
        <x:v>1</x:v>
      </x:c>
      <x:c r="D9" s="22" t="str">
        <x:f>IF(C9=B9,"PASS","CHECK")</x:f>
        <x:v>PASS</x:v>
      </x:c>
      <x:c r="E9" s="22" t="str">
        <x:v>Critical</x:v>
      </x:c>
      <x:c r="F9" s="22" t="str">
        <x:v>Avoid chore/FOMO loop</x:v>
      </x:c>
      <x:c r="G9" s="34" t="str"/>
    </x:row>
    <x:row r="10">
      <x:c r="A10" s="33" t="str">
        <x:v>Streak material reward prohibited</x:v>
      </x:c>
      <x:c r="B10" s="22" t="n">
        <x:v>1</x:v>
      </x:c>
      <x:c r="C10" s="22" t="n">
        <x:f>IF('10_Active_Day_Streaks'!C5="Cosmetic/status only",1,0)</x:f>
        <x:v>1</x:v>
      </x:c>
      <x:c r="D10" s="22" t="str">
        <x:f>IF(C10=B10,"PASS","CHECK")</x:f>
        <x:v>PASS</x:v>
      </x:c>
      <x:c r="E10" s="22" t="str">
        <x:v>Critical</x:v>
      </x:c>
      <x:c r="F10" s="22" t="str">
        <x:v>No competitive streak snowball</x:v>
      </x:c>
      <x:c r="G10" s="34" t="str"/>
    </x:row>
    <x:row r="11">
      <x:c r="A11" s="33" t="str">
        <x:v>Active day minutes</x:v>
      </x:c>
      <x:c r="B11" s="22" t="n">
        <x:v>10</x:v>
      </x:c>
      <x:c r="C11" s="22" t="n">
        <x:f>IF(ISNUMBER(SEARCH("10 cumulative",'10_Active_Day_Streaks'!B4)),10,0)</x:f>
        <x:v>10</x:v>
      </x:c>
      <x:c r="D11" s="22" t="str">
        <x:f>IF(C11=B11,"PASS","CHECK")</x:f>
        <x:v>PASS</x:v>
      </x:c>
      <x:c r="E11" s="22" t="str">
        <x:v>Critical</x:v>
      </x:c>
      <x:c r="F11" s="22" t="str">
        <x:v>Matches Idle/League spec</x:v>
      </x:c>
      <x:c r="G11" s="34" t="str"/>
    </x:row>
    <x:row r="12">
      <x:c r="A12" s="33" t="str">
        <x:v>Meaningful action required</x:v>
      </x:c>
      <x:c r="B12" s="22" t="n">
        <x:v>1</x:v>
      </x:c>
      <x:c r="C12" s="22" t="n">
        <x:f>IF(ISNUMBER(SEARCH("state-changing",'10_Active_Day_Streaks'!B4)),1,0)</x:f>
        <x:v>1</x:v>
      </x:c>
      <x:c r="D12" s="22" t="str">
        <x:f>IF(C12=B12,"PASS","CHECK")</x:f>
        <x:v>PASS</x:v>
      </x:c>
      <x:c r="E12" s="22" t="str">
        <x:v>Critical</x:v>
      </x:c>
      <x:c r="F12" s="22" t="str">
        <x:v>Prevents login farming</x:v>
      </x:c>
      <x:c r="G12" s="34" t="str"/>
    </x:row>
    <x:row r="13">
      <x:c r="A13" s="33" t="str">
        <x:v>Personal event average/week</x:v>
      </x:c>
      <x:c r="B13" s="22" t="n">
        <x:v>3</x:v>
      </x:c>
      <x:c r="C13" s="22" t="n">
        <x:f>IF(ISNUMBER(SEARCH("3/week",'08_Event_Calendar'!B6)),3,0)</x:f>
        <x:v>3</x:v>
      </x:c>
      <x:c r="D13" s="22" t="str">
        <x:f>IF(C13=B13,"PASS","CHECK")</x:f>
        <x:v>PASS</x:v>
      </x:c>
      <x:c r="E13" s="22" t="str">
        <x:v>High</x:v>
      </x:c>
      <x:c r="F13" s="22" t="str">
        <x:v>Matches Events spec</x:v>
      </x:c>
      <x:c r="G13" s="34" t="str"/>
    </x:row>
    <x:row r="14">
      <x:c r="A14" s="33" t="str">
        <x:v>Known major calendar windows &lt;=2/week</x:v>
      </x:c>
      <x:c r="B14" s="22" t="n">
        <x:v>1</x:v>
      </x:c>
      <x:c r="C14" s="22" t="n">
        <x:f>IF(ISNUMBER(SEARCH("2 windows/week",'08_Event_Calendar'!B4)),1,0)</x:f>
        <x:v>1</x:v>
      </x:c>
      <x:c r="D14" s="22" t="str">
        <x:f>IF(C14=B14,"PASS","CHECK")</x:f>
        <x:v>PASS</x:v>
      </x:c>
      <x:c r="E14" s="22" t="str">
        <x:v>Medium</x:v>
      </x:c>
      <x:c r="F14" s="22" t="str">
        <x:v>Anticipation without overload</x:v>
      </x:c>
      <x:c r="G14" s="34" t="str"/>
    </x:row>
    <x:row r="15">
      <x:c r="A15" s="33" t="str">
        <x:v>Normal prompt budget &lt;=3/session</x:v>
      </x:c>
      <x:c r="B15" s="22" t="n">
        <x:v>3</x:v>
      </x:c>
      <x:c r="C15" s="22" t="n">
        <x:f>IF(ISNUMBER(SEARCH("3/session",'01_Retention_Principles'!B9)),3,0)</x:f>
        <x:v>3</x:v>
      </x:c>
      <x:c r="D15" s="22" t="str">
        <x:f>IF(C15&lt;=B15,"PASS","CHECK")</x:f>
        <x:v>PASS</x:v>
      </x:c>
      <x:c r="E15" s="22" t="str">
        <x:v>High</x:v>
      </x:c>
      <x:c r="F15" s="22" t="str">
        <x:v>Controls fatigue</x:v>
      </x:c>
      <x:c r="G15" s="34" t="str"/>
    </x:row>
    <x:row r="16">
      <x:c r="A16" s="33" t="str">
        <x:v>Decision spacing lower bound &gt;=8 min</x:v>
      </x:c>
      <x:c r="B16" s="22" t="n">
        <x:v>8</x:v>
      </x:c>
      <x:c r="C16" s="22" t="n">
        <x:f>IF(ISNUMBER(SEARCH("8–15",'00_Dashboard'!J4)),8,0)</x:f>
        <x:v>8</x:v>
      </x:c>
      <x:c r="D16" s="22" t="str">
        <x:f>IF(C16&gt;=B16,"PASS","CHECK")</x:f>
        <x:v>PASS</x:v>
      </x:c>
      <x:c r="E16" s="22" t="str">
        <x:v>High</x:v>
      </x:c>
      <x:c r="F16" s="22" t="str">
        <x:v>Avoid busywork</x:v>
      </x:c>
      <x:c r="G16" s="34" t="str"/>
    </x:row>
    <x:row r="17">
      <x:c r="A17" s="33" t="str">
        <x:v>Weekly epoch Monday start</x:v>
      </x:c>
      <x:c r="B17" s="22" t="n">
        <x:v>1</x:v>
      </x:c>
      <x:c r="C17" s="22" t="n">
        <x:f>IF(LEFT('00_Dashboard'!K4,3)="Mon",1,0)</x:f>
        <x:v>1</x:v>
      </x:c>
      <x:c r="D17" s="22" t="str">
        <x:f>IF(C17=B17,"PASS","CHECK")</x:f>
        <x:v>PASS</x:v>
      </x:c>
      <x:c r="E17" s="22" t="str">
        <x:v>High</x:v>
      </x:c>
      <x:c r="F17" s="22" t="str">
        <x:v>Canonical schedule</x:v>
      </x:c>
      <x:c r="G17" s="34" t="str"/>
    </x:row>
    <x:row r="18">
      <x:c r="A18" s="33" t="str">
        <x:v>Weekly epoch Sunday end</x:v>
      </x:c>
      <x:c r="B18" s="22" t="n">
        <x:v>1</x:v>
      </x:c>
      <x:c r="C18" s="22" t="n">
        <x:f>IF(ISNUMBER(SEARCH("Sun 23:59",'00_Dashboard'!K4)),1,0)</x:f>
        <x:v>1</x:v>
      </x:c>
      <x:c r="D18" s="22" t="str">
        <x:f>IF(C18=B18,"PASS","CHECK")</x:f>
        <x:v>PASS</x:v>
      </x:c>
      <x:c r="E18" s="22" t="str">
        <x:v>High</x:v>
      </x:c>
      <x:c r="F18" s="22" t="str">
        <x:v>Canonical schedule</x:v>
      </x:c>
      <x:c r="G18" s="34" t="str"/>
    </x:row>
    <x:row r="19">
      <x:c r="A19" s="33" t="str">
        <x:v>Settlement target &lt;=8h</x:v>
      </x:c>
      <x:c r="B19" s="22" t="n">
        <x:v>8</x:v>
      </x:c>
      <x:c r="C19" s="22" t="n">
        <x:f>IF(ISNUMBER(SEARCH("&lt;=8h",'00_Dashboard'!L4)),8,0)</x:f>
        <x:v>8</x:v>
      </x:c>
      <x:c r="D19" s="22" t="str">
        <x:f>IF(C19=B19,"PASS","CHECK")</x:f>
        <x:v>PASS</x:v>
      </x:c>
      <x:c r="E19" s="22" t="str">
        <x:v>High</x:v>
      </x:c>
      <x:c r="F19" s="22" t="str">
        <x:v>Matches backend SLA</x:v>
      </x:c>
      <x:c r="G19" s="34" t="str"/>
    </x:row>
    <x:row r="20">
      <x:c r="A20" s="33" t="str">
        <x:v>Return summary has no direct reward</x:v>
      </x:c>
      <x:c r="B20" s="22" t="n">
        <x:v>1</x:v>
      </x:c>
      <x:c r="C20" s="22" t="n">
        <x:f>IF('13_Retention_Economy_Guardrails'!B8="Information only",1,0)</x:f>
        <x:v>1</x:v>
      </x:c>
      <x:c r="D20" s="22" t="str">
        <x:f>IF(C20=B20,"PASS","CHECK")</x:f>
        <x:v>PASS</x:v>
      </x:c>
      <x:c r="E20" s="22" t="str">
        <x:v>High</x:v>
      </x:c>
      <x:c r="F20" s="22" t="str">
        <x:v>Avoid return farming</x:v>
      </x:c>
      <x:c r="G20" s="34" t="str"/>
    </x:row>
    <x:row r="21">
      <x:c r="A21" s="35" t="str">
        <x:v>All canonical decisions final</x:v>
      </x:c>
      <x:c r="B21" s="36" t="n">
        <x:v>10</x:v>
      </x:c>
      <x:c r="C21" s="36" t="n">
        <x:f>COUNTIF('18_Canonical_Decisions'!M4:M13,"FINAL")</x:f>
        <x:v>10</x:v>
      </x:c>
      <x:c r="D21" s="36" t="str">
        <x:f>IF(C21=B21,"PASS","CHECK")</x:f>
        <x:v>PASS</x:v>
      </x:c>
      <x:c r="E21" s="36" t="str">
        <x:v>Medium</x:v>
      </x:c>
      <x:c r="F21" s="36" t="str">
        <x:v>No ambiguous rules</x:v>
      </x:c>
      <x:c r="G21" s="37" t="str"/>
    </x:row>
  </x:sheetData>
  <x:mergeCells>
    <x:mergeCell ref="A1:G1"/>
  </x:mergeCells>
  <x:conditionalFormatting sqref="D4:D21">
    <x:cfRule type="expression" dxfId="0" priority="1">
      <x:formula>D4="PASS"</x:formula>
    </x:cfRule>
    <x:cfRule type="expression" dxfId="1" priority="2">
      <x:formula>D4="CHECK"</x:formula>
    </x:cfRule>
  </x:conditionalFormatting>
  <x:pageMargins left="0.7" right="0.7" top="0.75" bottom="0.75" header="0.3" footer="0.3"/>
</x:worksheet>
</file>