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32fe2477f43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a939fc06927b4bfb"/>
    <x:sheet xmlns:r="http://schemas.openxmlformats.org/officeDocument/2006/relationships" name="01_Option_Comparison" sheetId="2" r:id="R89deea731795446f"/>
    <x:sheet xmlns:r="http://schemas.openxmlformats.org/officeDocument/2006/relationships" name="02_Phased_Rollout" sheetId="3" r:id="Rdcaea8c513364801"/>
    <x:sheet xmlns:r="http://schemas.openxmlformats.org/officeDocument/2006/relationships" name="03_Reward_State_Machine" sheetId="4" r:id="R4186f677dfed4d09"/>
    <x:sheet xmlns:r="http://schemas.openxmlformats.org/officeDocument/2006/relationships" name="04_Asset_Model" sheetId="5" r:id="R25b913e1b9f146ca"/>
    <x:sheet xmlns:r="http://schemas.openxmlformats.org/officeDocument/2006/relationships" name="05_Settlement_Flow" sheetId="6" r:id="R8b6377037525469f"/>
    <x:sheet xmlns:r="http://schemas.openxmlformats.org/officeDocument/2006/relationships" name="06_Liquidity_Treasury" sheetId="7" r:id="R2f251f7fe3214350"/>
    <x:sheet xmlns:r="http://schemas.openxmlformats.org/officeDocument/2006/relationships" name="07_Custody_Model" sheetId="8" r:id="R2a4902ab310f421a"/>
    <x:sheet xmlns:r="http://schemas.openxmlformats.org/officeDocument/2006/relationships" name="08_Corporate_Actions" sheetId="9" r:id="R3eef82a7efe54d5c"/>
    <x:sheet xmlns:r="http://schemas.openxmlformats.org/officeDocument/2006/relationships" name="09_Pricing_Market_Hours" sheetId="10" r:id="R37d5c62887b54437"/>
    <x:sheet xmlns:r="http://schemas.openxmlformats.org/officeDocument/2006/relationships" name="10_KYC_Geofencing" sheetId="11" r:id="Rcfa13f51899d4ee6"/>
    <x:sheet xmlns:r="http://schemas.openxmlformats.org/officeDocument/2006/relationships" name="11_Compliance_Control_Matrix" sheetId="12" r:id="R7770a732f43b4fc2"/>
    <x:sheet xmlns:r="http://schemas.openxmlformats.org/officeDocument/2006/relationships" name="12_Provider_Integration" sheetId="13" r:id="R02df835f811c44f5"/>
    <x:sheet xmlns:r="http://schemas.openxmlformats.org/officeDocument/2006/relationships" name="13_Onchain_Withdrawal" sheetId="14" r:id="R61becada0e814f8a"/>
    <x:sheet xmlns:r="http://schemas.openxmlformats.org/officeDocument/2006/relationships" name="14_Backend_State" sheetId="15" r:id="R8144b0b53f624b8c"/>
    <x:sheet xmlns:r="http://schemas.openxmlformats.org/officeDocument/2006/relationships" name="15_API_Surface" sheetId="16" r:id="R8584620bd2a74144"/>
    <x:sheet xmlns:r="http://schemas.openxmlformats.org/officeDocument/2006/relationships" name="16_Ledger_Accounting" sheetId="17" r:id="R0423b9d1b02b4e76"/>
    <x:sheet xmlns:r="http://schemas.openxmlformats.org/officeDocument/2006/relationships" name="17_Failure_Recovery" sheetId="18" r:id="R95b5a54be7624ae7"/>
    <x:sheet xmlns:r="http://schemas.openxmlformats.org/officeDocument/2006/relationships" name="18_Security_Integrity" sheetId="19" r:id="R698882cf701f4588"/>
    <x:sheet xmlns:r="http://schemas.openxmlformats.org/officeDocument/2006/relationships" name="19_User_UX_Disclosures" sheetId="20" r:id="R930737ab4c09433a"/>
    <x:sheet xmlns:r="http://schemas.openxmlformats.org/officeDocument/2006/relationships" name="20_Reward_Economics" sheetId="21" r:id="R2c4aeb727c3a4cb8"/>
    <x:sheet xmlns:r="http://schemas.openxmlformats.org/officeDocument/2006/relationships" name="21_Technical_Scenarios" sheetId="22" r:id="R845ead53c5d4450f"/>
    <x:sheet xmlns:r="http://schemas.openxmlformats.org/officeDocument/2006/relationships" name="22_Migration_Sim_to_Real" sheetId="23" r:id="Rc3f5b6c77f7740e3"/>
    <x:sheet xmlns:r="http://schemas.openxmlformats.org/officeDocument/2006/relationships" name="23_Implementation_Phases" sheetId="24" r:id="Rc3c050704a784e03"/>
    <x:sheet xmlns:r="http://schemas.openxmlformats.org/officeDocument/2006/relationships" name="24_Market_Reference_Examples" sheetId="25" r:id="R34b62deed3684a4f"/>
    <x:sheet xmlns:r="http://schemas.openxmlformats.org/officeDocument/2006/relationships" name="25_Regulatory_Sources" sheetId="26" r:id="R03bd495ea63d4582"/>
    <x:sheet xmlns:r="http://schemas.openxmlformats.org/officeDocument/2006/relationships" name="26_Sources" sheetId="27" r:id="R58def6805b32442d"/>
    <x:sheet xmlns:r="http://schemas.openxmlformats.org/officeDocument/2006/relationships" name="27_Model_Checks" sheetId="28" r:id="R3b29a00c2fac4b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;[Red]($#,##0.00);-"/>
    <x:numFmt numFmtId="201" formatCode="0.0%;[Red](0.0%);-"/>
    <x:numFmt numFmtId="202" formatCode="#,##0;[Red](#,##0);-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2"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c0cb55bb6456a" /><Relationship Type="http://schemas.openxmlformats.org/officeDocument/2006/relationships/theme" Target="/xl/theme/theme1.xml" Id="R0393412f329e4898" /><Relationship Type="http://schemas.openxmlformats.org/officeDocument/2006/relationships/sharedStrings" Target="/xl/sharedStrings.xml" Id="R7d60b4766e854925" /><Relationship Type="http://schemas.openxmlformats.org/officeDocument/2006/relationships/worksheet" Target="/xl/worksheets/sheet1.xml" Id="Ra939fc06927b4bfb" /><Relationship Type="http://schemas.openxmlformats.org/officeDocument/2006/relationships/worksheet" Target="/xl/worksheets/sheet2.xml" Id="R89deea731795446f" /><Relationship Type="http://schemas.openxmlformats.org/officeDocument/2006/relationships/worksheet" Target="/xl/worksheets/sheet3.xml" Id="Rdcaea8c513364801" /><Relationship Type="http://schemas.openxmlformats.org/officeDocument/2006/relationships/worksheet" Target="/xl/worksheets/sheet4.xml" Id="R4186f677dfed4d09" /><Relationship Type="http://schemas.openxmlformats.org/officeDocument/2006/relationships/worksheet" Target="/xl/worksheets/sheet5.xml" Id="R25b913e1b9f146ca" /><Relationship Type="http://schemas.openxmlformats.org/officeDocument/2006/relationships/worksheet" Target="/xl/worksheets/sheet6.xml" Id="R8b6377037525469f" /><Relationship Type="http://schemas.openxmlformats.org/officeDocument/2006/relationships/worksheet" Target="/xl/worksheets/sheet7.xml" Id="R2f251f7fe3214350" /><Relationship Type="http://schemas.openxmlformats.org/officeDocument/2006/relationships/worksheet" Target="/xl/worksheets/sheet8.xml" Id="R2a4902ab310f421a" /><Relationship Type="http://schemas.openxmlformats.org/officeDocument/2006/relationships/worksheet" Target="/xl/worksheets/sheet9.xml" Id="R3eef82a7efe54d5c" /><Relationship Type="http://schemas.openxmlformats.org/officeDocument/2006/relationships/worksheet" Target="/xl/worksheets/sheet10.xml" Id="R37d5c62887b54437" /><Relationship Type="http://schemas.openxmlformats.org/officeDocument/2006/relationships/worksheet" Target="/xl/worksheets/sheet11.xml" Id="Rcfa13f51899d4ee6" /><Relationship Type="http://schemas.openxmlformats.org/officeDocument/2006/relationships/worksheet" Target="/xl/worksheets/sheet12.xml" Id="R7770a732f43b4fc2" /><Relationship Type="http://schemas.openxmlformats.org/officeDocument/2006/relationships/worksheet" Target="/xl/worksheets/sheet13.xml" Id="R02df835f811c44f5" /><Relationship Type="http://schemas.openxmlformats.org/officeDocument/2006/relationships/worksheet" Target="/xl/worksheets/sheet14.xml" Id="R61becada0e814f8a" /><Relationship Type="http://schemas.openxmlformats.org/officeDocument/2006/relationships/worksheet" Target="/xl/worksheets/sheet15.xml" Id="R8144b0b53f624b8c" /><Relationship Type="http://schemas.openxmlformats.org/officeDocument/2006/relationships/worksheet" Target="/xl/worksheets/sheet16.xml" Id="R8584620bd2a74144" /><Relationship Type="http://schemas.openxmlformats.org/officeDocument/2006/relationships/worksheet" Target="/xl/worksheets/sheet17.xml" Id="R0423b9d1b02b4e76" /><Relationship Type="http://schemas.openxmlformats.org/officeDocument/2006/relationships/worksheet" Target="/xl/worksheets/sheet18.xml" Id="R95b5a54be7624ae7" /><Relationship Type="http://schemas.openxmlformats.org/officeDocument/2006/relationships/worksheet" Target="/xl/worksheets/sheet19.xml" Id="R698882cf701f4588" /><Relationship Type="http://schemas.openxmlformats.org/officeDocument/2006/relationships/worksheet" Target="/xl/worksheets/sheet20.xml" Id="R930737ab4c09433a" /><Relationship Type="http://schemas.openxmlformats.org/officeDocument/2006/relationships/worksheet" Target="/xl/worksheets/sheet21.xml" Id="R2c4aeb727c3a4cb8" /><Relationship Type="http://schemas.openxmlformats.org/officeDocument/2006/relationships/worksheet" Target="/xl/worksheets/sheet22.xml" Id="R845ead53c5d4450f" /><Relationship Type="http://schemas.openxmlformats.org/officeDocument/2006/relationships/worksheet" Target="/xl/worksheets/sheet23.xml" Id="Rc3f5b6c77f7740e3" /><Relationship Type="http://schemas.openxmlformats.org/officeDocument/2006/relationships/worksheet" Target="/xl/worksheets/sheet24.xml" Id="Rc3c050704a784e03" /><Relationship Type="http://schemas.openxmlformats.org/officeDocument/2006/relationships/worksheet" Target="/xl/worksheets/sheet25.xml" Id="R34b62deed3684a4f" /><Relationship Type="http://schemas.openxmlformats.org/officeDocument/2006/relationships/worksheet" Target="/xl/worksheets/sheet26.xml" Id="R03bd495ea63d4582" /><Relationship Type="http://schemas.openxmlformats.org/officeDocument/2006/relationships/worksheet" Target="/xl/worksheets/sheet27.xml" Id="R58def6805b32442d" /><Relationship Type="http://schemas.openxmlformats.org/officeDocument/2006/relationships/worksheet" Target="/xl/worksheets/sheet28.xml" Id="R3b29a00c2fac4b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PLOT — Tokenized Stock Settlement Architecture v1.0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22"/>
      <x:c r="P1" s="22"/>
      <x:c r="Q1" s="22"/>
    </x:row>
    <x:row r="3">
      <x:c r="A3" s="14" t="str">
        <x:v>Canonical Decision</x:v>
      </x:c>
      <x:c r="B3" s="14" t="str">
        <x:v>Closed Beta / MVP</x:v>
      </x:c>
      <x:c r="C3" s="14" t="str">
        <x:v>Public Real-Asset Pilot</x:v>
      </x:c>
      <x:c r="D3" s="14" t="str">
        <x:v>Later Expansion</x:v>
      </x:c>
      <x:c r="E3" s="14" t="str">
        <x:v>PLOT Custodies Stocks?</x:v>
      </x:c>
      <x:c r="F3" s="14" t="str">
        <x:v>PLOT Issues Stock Tokens?</x:v>
      </x:c>
      <x:c r="G3" s="14" t="str">
        <x:v>First Real Claim Threshold</x:v>
      </x:c>
      <x:c r="H3" s="14" t="str">
        <x:v>Reward Unit Before Settlement</x:v>
      </x:c>
      <x:c r="I3" s="14" t="str">
        <x:v>Reward Unit After Settlement</x:v>
      </x:c>
      <x:c r="J3" s="14" t="str">
        <x:v>Withdrawal</x:v>
      </x:c>
      <x:c r="K3" s="14" t="str">
        <x:v>KYC / Geo Gate</x:v>
      </x:c>
      <x:c r="L3" s="14" t="str">
        <x:v>Corporate Actions</x:v>
      </x:c>
      <x:c r="M3" s="14" t="str">
        <x:v>Performance Score</x:v>
      </x:c>
      <x:c r="N3" s="14" t="str">
        <x:v>Status</x:v>
      </x:c>
    </x:row>
    <x:row r="4">
      <x:c r="A4" s="24" t="str">
        <x:v>PHASED: simulated first → provider-delivered claimable asset → provider-supported self-custody later</x:v>
      </x:c>
      <x:c r="B4" s="25" t="str">
        <x:v>Simulated stock fragments only; non-redeemable, non-transferable, no cash value</x:v>
      </x:c>
      <x:c r="C4" s="25" t="str">
        <x:v>Accumulate USD reward notional; eligible/KYC users claim through regulated provider that credits the real tokenized asset directly</x:v>
      </x:c>
      <x:c r="D4" s="25" t="str">
        <x:v>Enable provider-supported wallet withdrawal only by eligible geography; never make PLOT the stock-token issuer</x:v>
      </x:c>
      <x:c r="E4" s="25" t="str">
        <x:v>No — preferred architecture avoids PLOT holding client stock/token balances</x:v>
      </x:c>
      <x:c r="F4" s="25" t="str">
        <x:v>No</x:v>
      </x:c>
      <x:c r="G4" s="25" t="str">
        <x:v>$1.00 default/configurable to provider minimum</x:v>
      </x:c>
      <x:c r="H4" s="25" t="str">
        <x:v>USD notional + reference ticker; estimated units only</x:v>
      </x:c>
      <x:c r="I4" s="25" t="str">
        <x:v>Actual provider-issued tokenized-stock units at provider execution price</x:v>
      </x:c>
      <x:c r="J4" s="25" t="str">
        <x:v>Provider-managed only, later phase</x:v>
      </x:c>
      <x:c r="K4" s="25" t="str">
        <x:v>Required before real-asset claim; provider/jurisdiction driven</x:v>
      </x:c>
      <x:c r="L4" s="25" t="str">
        <x:v>Provider terms govern dividends/splits/etc.; PLOT mirrors status</x:v>
      </x:c>
      <x:c r="M4" s="25" t="str">
        <x:v>Stock value/ownership remains 0 direct Performance</x:v>
      </x:c>
      <x:c r="N4" s="26" t="str">
        <x:v>CANONICAL</x:v>
      </x:c>
    </x:row>
    <x:row r="6" ht="22" customHeight="1">
      <x:c r="A6" s="11" t="str">
        <x:v>Why This Architecture</x:v>
      </x:c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</x:row>
    <x:row r="7">
      <x:c r="A7" s="14" t="str">
        <x:v>Decision</x:v>
      </x:c>
      <x:c r="B7" s="14" t="str">
        <x:v>Reason</x:v>
      </x:c>
      <x:c r="C7" s="14" t="str">
        <x:v>Technical Effect</x:v>
      </x:c>
      <x:c r="D7" s="14" t="str">
        <x:v>Liquidity Effect</x:v>
      </x:c>
      <x:c r="E7" s="14" t="str">
        <x:v>Compliance Effect</x:v>
      </x:c>
      <x:c r="F7" s="14" t="str">
        <x:v>Player Effect</x:v>
      </x:c>
    </x:row>
    <x:row r="8">
      <x:c r="A8" s="30" t="str">
        <x:v>Do not ship real tokenized stocks on day one</x:v>
      </x:c>
      <x:c r="B8" s="31" t="str">
        <x:v>Real assets immediately introduce onboarding, provider, custody, geo, disclosure and securities/derivatives complexity</x:v>
      </x:c>
      <x:c r="C8" s="31" t="str">
        <x:v>MVP can use current reward ledger without provider dependency</x:v>
      </x:c>
      <x:c r="D8" s="31" t="str">
        <x:v>No hedge/custody reserve needed in closed beta</x:v>
      </x:c>
      <x:c r="E8" s="31" t="str">
        <x:v>Keeps beta rewards clearly non-financial</x:v>
      </x:c>
      <x:c r="F8" s="32" t="str">
        <x:v>Fast onboarding; still teaches Portfolio/Hunt loop</x:v>
      </x:c>
    </x:row>
    <x:row r="9">
      <x:c r="A9" s="33" t="str">
        <x:v>Do not create PLOT-issued stock-pegged tokens</x:v>
      </x:c>
      <x:c r="B9" s="22" t="str">
        <x:v>Would make PLOT responsible for issuance, backing, redemption, oracle, corporate actions and regulatory classification</x:v>
      </x:c>
      <x:c r="C9" s="22" t="str">
        <x:v>Avoid custom stock-token contracts and reserve proof</x:v>
      </x:c>
      <x:c r="D9" s="22" t="str">
        <x:v>No 1:1 underlying asset inventory required</x:v>
      </x:c>
      <x:c r="E9" s="22" t="str">
        <x:v>Reduces issuer/custodian role</x:v>
      </x:c>
      <x:c r="F9" s="34" t="str">
        <x:v>Users receive provider product later, not synthetic PLOT IOUs</x:v>
      </x:c>
    </x:row>
    <x:row r="10">
      <x:c r="A10" s="33" t="str">
        <x:v>Do not custody real stock tokens initially</x:v>
      </x:c>
      <x:c r="B10" s="22" t="str">
        <x:v>Custody/safeguarding and reconciliation become core regulated operations</x:v>
      </x:c>
      <x:c r="C10" s="22" t="str">
        <x:v>Provider owns user asset ledger/custody</x:v>
      </x:c>
      <x:c r="D10" s="22" t="str">
        <x:v>PLOT funds rewards, not client-asset balances</x:v>
      </x:c>
      <x:c r="E10" s="22" t="str">
        <x:v>Moves KYC/custody execution to specialist provider</x:v>
      </x:c>
      <x:c r="F10" s="34" t="str">
        <x:v>Claim is separate from gameplay</x:v>
      </x:c>
    </x:row>
    <x:row r="11">
      <x:c r="A11" s="33" t="str">
        <x:v>Use USD micro-entitlements before real settlement</x:v>
      </x:c>
      <x:c r="B11" s="22" t="str">
        <x:v>Current game packets can be $0.10 while providers may impose larger trade/claim minimums</x:v>
      </x:c>
      <x:c r="C11" s="22" t="str">
        <x:v>Aggregate sub-dollar rewards safely</x:v>
      </x:c>
      <x:c r="D11" s="22" t="str">
        <x:v>Batch/claim funding is predictable</x:v>
      </x:c>
      <x:c r="E11" s="22" t="str">
        <x:v>Avoid pretending $0.10 is already a real share/token</x:v>
      </x:c>
      <x:c r="F11" s="34" t="str">
        <x:v>Tiny rewards accumulate visibly until claimable</x:v>
      </x:c>
    </x:row>
    <x:row r="12">
      <x:c r="A12" s="35" t="str">
        <x:v>Fix units only at actual provider execution</x:v>
      </x:c>
      <x:c r="B12" s="36" t="str">
        <x:v>Price can move between gameplay reward and settlement</x:v>
      </x:c>
      <x:c r="C12" s="36" t="str">
        <x:v>No price-liability mismatch or stale-price unit promise</x:v>
      </x:c>
      <x:c r="D12" s="36" t="str">
        <x:v>Treasury owes fixed USD reward budget before execution</x:v>
      </x:c>
      <x:c r="E12" s="36" t="str">
        <x:v>Clear separation between game reward and financial asset acquisition</x:v>
      </x:c>
      <x:c r="F12" s="37" t="str">
        <x:v>User sees estimated units until settlement, then final units</x:v>
      </x:c>
    </x:row>
    <x:row r="14" ht="22" customHeight="1">
      <x:c r="A14" s="11" t="str">
        <x:v>Canonical Phase Gates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</x:row>
    <x:row r="15">
      <x:c r="A15" s="14" t="str">
        <x:v>Phase</x:v>
      </x:c>
      <x:c r="B15" s="14" t="str">
        <x:v>Reward Form</x:v>
      </x:c>
      <x:c r="C15" s="14" t="str">
        <x:v>Redeemable?</x:v>
      </x:c>
      <x:c r="D15" s="14" t="str">
        <x:v>Real Market Exposure?</x:v>
      </x:c>
      <x:c r="E15" s="14" t="str">
        <x:v>Custody</x:v>
      </x:c>
      <x:c r="F15" s="14" t="str">
        <x:v>Withdrawal</x:v>
      </x:c>
      <x:c r="G15" s="14" t="str">
        <x:v>Go-Live Gate</x:v>
      </x:c>
      <x:c r="H15" s="14" t="str">
        <x:v>Label</x:v>
      </x:c>
    </x:row>
    <x:row r="16">
      <x:c r="A16" s="30" t="str">
        <x:v>Phase 0 — Closed Beta</x:v>
      </x:c>
      <x:c r="B16" s="31" t="str">
        <x:v>Simulated ticker fragment + reference value</x:v>
      </x:c>
      <x:c r="C16" s="31" t="str">
        <x:v>No</x:v>
      </x:c>
      <x:c r="D16" s="31" t="str">
        <x:v>No legal/economic claim to stock</x:v>
      </x:c>
      <x:c r="E16" s="31" t="str">
        <x:v>None</x:v>
      </x:c>
      <x:c r="F16" s="31" t="str">
        <x:v>No</x:v>
      </x:c>
      <x:c r="G16" s="31" t="str">
        <x:v>Core gameplay stable; disclosures shipped</x:v>
      </x:c>
      <x:c r="H16" s="32" t="str">
        <x:v>SIMULATED</x:v>
      </x:c>
    </x:row>
    <x:row r="17">
      <x:c r="A17" s="33" t="str">
        <x:v>Phase 1 — Public Game</x:v>
      </x:c>
      <x:c r="B17" s="22" t="str">
        <x:v>Same simulated reward OR real-asset feature disabled by geo</x:v>
      </x:c>
      <x:c r="C17" s="22" t="str">
        <x:v>No</x:v>
      </x:c>
      <x:c r="D17" s="22" t="str">
        <x:v>No</x:v>
      </x:c>
      <x:c r="E17" s="22" t="str">
        <x:v>None</x:v>
      </x:c>
      <x:c r="F17" s="22" t="str">
        <x:v>No</x:v>
      </x:c>
      <x:c r="G17" s="22" t="str">
        <x:v>Public compliance review complete</x:v>
      </x:c>
      <x:c r="H17" s="34" t="str">
        <x:v>SIMULATED</x:v>
      </x:c>
    </x:row>
    <x:row r="18">
      <x:c r="A18" s="33" t="str">
        <x:v>Phase 2 — Regulated Claim Pilot</x:v>
      </x:c>
      <x:c r="B18" s="22" t="str">
        <x:v>USD reward entitlement converted on claim by provider</x:v>
      </x:c>
      <x:c r="C18" s="22" t="str">
        <x:v>Yes via provider</x:v>
      </x:c>
      <x:c r="D18" s="22" t="str">
        <x:v>Begins when provider order settles</x:v>
      </x:c>
      <x:c r="E18" s="22" t="str">
        <x:v>Provider / user account</x:v>
      </x:c>
      <x:c r="F18" s="22" t="str">
        <x:v>No external withdrawal required</x:v>
      </x:c>
      <x:c r="G18" s="22" t="str">
        <x:v>Provider agreement + KYC + geo rules + funding + webhooks + legal approval</x:v>
      </x:c>
      <x:c r="H18" s="34" t="str">
        <x:v>PENDING / SETTLED</x:v>
      </x:c>
    </x:row>
    <x:row r="19">
      <x:c r="A19" s="35" t="str">
        <x:v>Phase 3 — Self-Custody</x:v>
      </x:c>
      <x:c r="B19" s="36" t="str">
        <x:v>Provider-issued tokenized stock delivered/withdrawable where supported</x:v>
      </x:c>
      <x:c r="C19" s="36" t="str">
        <x:v>Yes</x:v>
      </x:c>
      <x:c r="D19" s="36" t="str">
        <x:v>Yes per provider product</x:v>
      </x:c>
      <x:c r="E19" s="36" t="str">
        <x:v>Provider then user wallet</x:v>
      </x:c>
      <x:c r="F19" s="36" t="str">
        <x:v>Yes, provider-supported only</x:v>
      </x:c>
      <x:c r="G19" s="36" t="str">
        <x:v>Wallet screening + chain support + provider withdrawal capability + jurisdiction approval</x:v>
      </x:c>
      <x:c r="H19" s="37" t="str">
        <x:v>WITHDRAWABLE</x:v>
      </x:c>
    </x:row>
  </x:sheetData>
  <x:mergeCells>
    <x:mergeCell ref="A1:N1"/>
    <x:mergeCell ref="A6:N6"/>
    <x:mergeCell ref="A14:N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Settlement Model Options — Product / Technical Tradeoffs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3">
      <x:c r="A3" s="14" t="str">
        <x:v>Option</x:v>
      </x:c>
      <x:c r="B3" s="14" t="str">
        <x:v>Description</x:v>
      </x:c>
      <x:c r="C3" s="14" t="str">
        <x:v>Real Asset?</x:v>
      </x:c>
      <x:c r="D3" s="14" t="str">
        <x:v>Redeemable?</x:v>
      </x:c>
      <x:c r="E3" s="14" t="str">
        <x:v>Withdrawable?</x:v>
      </x:c>
      <x:c r="F3" s="14" t="str">
        <x:v>PLOT Custody?</x:v>
      </x:c>
      <x:c r="G3" s="14" t="str">
        <x:v>PLOT Issuer?</x:v>
      </x:c>
      <x:c r="H3" s="14" t="str">
        <x:v>KYC Burden</x:v>
      </x:c>
      <x:c r="I3" s="14" t="str">
        <x:v>Liquidity Burden</x:v>
      </x:c>
      <x:c r="J3" s="14" t="str">
        <x:v>Corporate Actions</x:v>
      </x:c>
      <x:c r="K3" s="14" t="str">
        <x:v>Backend Complexity</x:v>
      </x:c>
      <x:c r="L3" s="14" t="str">
        <x:v>Launch Speed</x:v>
      </x:c>
      <x:c r="M3" s="14" t="str">
        <x:v>User Value</x:v>
      </x:c>
      <x:c r="N3" s="14" t="str">
        <x:v>Compliance Burden</x:v>
      </x:c>
      <x:c r="O3" s="14" t="str">
        <x:v>Recommended Use</x:v>
      </x:c>
      <x:c r="P3" s="14" t="str">
        <x:v>Canonical?</x:v>
      </x:c>
      <x:c r="Q3" s="14" t="str">
        <x:v>Key Risk</x:v>
      </x:c>
    </x:row>
    <x:row r="4">
      <x:c r="A4" s="30" t="str">
        <x:v>A. Pure simulation</x:v>
      </x:c>
      <x:c r="B4" s="31" t="str">
        <x:v>Ticker-themed fragment; reference price only; no cash value</x:v>
      </x:c>
      <x:c r="C4" s="31" t="str">
        <x:v>No</x:v>
      </x:c>
      <x:c r="D4" s="31" t="str">
        <x:v>No</x:v>
      </x:c>
      <x:c r="E4" s="31" t="str">
        <x:v>No</x:v>
      </x:c>
      <x:c r="F4" s="31" t="str">
        <x:v>No</x:v>
      </x:c>
      <x:c r="G4" s="31" t="str">
        <x:v>No</x:v>
      </x:c>
      <x:c r="H4" s="31" t="str">
        <x:v>Low</x:v>
      </x:c>
      <x:c r="I4" s="31" t="str">
        <x:v>None</x:v>
      </x:c>
      <x:c r="J4" s="31" t="str">
        <x:v>Reference-only</x:v>
      </x:c>
      <x:c r="K4" s="31" t="str">
        <x:v>Low</x:v>
      </x:c>
      <x:c r="L4" s="31" t="str">
        <x:v>Fast</x:v>
      </x:c>
      <x:c r="M4" s="31" t="str">
        <x:v>Medium</x:v>
      </x:c>
      <x:c r="N4" s="31" t="str">
        <x:v>Lowest</x:v>
      </x:c>
      <x:c r="O4" s="31" t="str">
        <x:v>Closed beta / gameplay validation</x:v>
      </x:c>
      <x:c r="P4" s="31" t="str">
        <x:v>Yes — Phase 0/1</x:v>
      </x:c>
      <x:c r="Q4" s="32" t="str">
        <x:v>Must be labeled clearly; do not imply ownership</x:v>
      </x:c>
    </x:row>
    <x:row r="5">
      <x:c r="A5" s="33" t="str">
        <x:v>B. Simulated price-tracking redeemable points</x:v>
      </x:c>
      <x:c r="B5" s="22" t="str">
        <x:v>Internal balance tracks stock and can cash out</x:v>
      </x:c>
      <x:c r="C5" s="22" t="str">
        <x:v>Synthetic exposure</x:v>
      </x:c>
      <x:c r="D5" s="22" t="str">
        <x:v>Yes</x:v>
      </x:c>
      <x:c r="E5" s="22" t="str">
        <x:v>No</x:v>
      </x:c>
      <x:c r="F5" s="22" t="str">
        <x:v>Yes/operational</x:v>
      </x:c>
      <x:c r="G5" s="22" t="str">
        <x:v>Effectively yes to synthetic obligation</x:v>
      </x:c>
      <x:c r="H5" s="22" t="str">
        <x:v>High</x:v>
      </x:c>
      <x:c r="I5" s="22" t="str">
        <x:v>Hedge required</x:v>
      </x:c>
      <x:c r="J5" s="22" t="str">
        <x:v>PLOT must mimic</x:v>
      </x:c>
      <x:c r="K5" s="22" t="str">
        <x:v>High</x:v>
      </x:c>
      <x:c r="L5" s="22" t="str">
        <x:v>Medium</x:v>
      </x:c>
      <x:c r="M5" s="22" t="str">
        <x:v>High</x:v>
      </x:c>
      <x:c r="N5" s="22" t="str">
        <x:v>High</x:v>
      </x:c>
      <x:c r="O5" s="22" t="str">
        <x:v>Do not use</x:v>
      </x:c>
      <x:c r="P5" s="22" t="str">
        <x:v>No</x:v>
      </x:c>
      <x:c r="Q5" s="34" t="str">
        <x:v>Can resemble derivative/security + creates price liability</x:v>
      </x:c>
    </x:row>
    <x:row r="6">
      <x:c r="A6" s="33" t="str">
        <x:v>C. PLOT omnibus-backed internal stock balance</x:v>
      </x:c>
      <x:c r="B6" s="22" t="str">
        <x:v>PLOT buys provider assets and maintains user subledger</x:v>
      </x:c>
      <x:c r="C6" s="22" t="str">
        <x:v>Yes/backed</x:v>
      </x:c>
      <x:c r="D6" s="22" t="str">
        <x:v>Yes</x:v>
      </x:c>
      <x:c r="E6" s="22" t="str">
        <x:v>No</x:v>
      </x:c>
      <x:c r="F6" s="22" t="str">
        <x:v>Yes</x:v>
      </x:c>
      <x:c r="G6" s="22" t="str">
        <x:v>No</x:v>
      </x:c>
      <x:c r="H6" s="22" t="str">
        <x:v>High</x:v>
      </x:c>
      <x:c r="I6" s="22" t="str">
        <x:v>High</x:v>
      </x:c>
      <x:c r="J6" s="22" t="str">
        <x:v>Provider + PLOT allocation</x:v>
      </x:c>
      <x:c r="K6" s="22" t="str">
        <x:v>High</x:v>
      </x:c>
      <x:c r="L6" s="22" t="str">
        <x:v>Medium</x:v>
      </x:c>
      <x:c r="M6" s="22" t="str">
        <x:v>High</x:v>
      </x:c>
      <x:c r="N6" s="22" t="str">
        <x:v>High</x:v>
      </x:c>
      <x:c r="O6" s="22" t="str">
        <x:v>Only if licensed/legal structure later</x:v>
      </x:c>
      <x:c r="P6" s="22" t="str">
        <x:v>No preferred</x:v>
      </x:c>
      <x:c r="Q6" s="34" t="str">
        <x:v>Custody/safeguarding + reconciliation</x:v>
      </x:c>
    </x:row>
    <x:row r="7">
      <x:c r="A7" s="33" t="str">
        <x:v>D. Provider-direct claim</x:v>
      </x:c>
      <x:c r="B7" s="22" t="str">
        <x:v>PLOT tracks USD entitlement; provider KYC/executes and credits user</x:v>
      </x:c>
      <x:c r="C7" s="22" t="str">
        <x:v>Yes after claim</x:v>
      </x:c>
      <x:c r="D7" s="22" t="str">
        <x:v>Yes</x:v>
      </x:c>
      <x:c r="E7" s="22" t="str">
        <x:v>Provider-dependent</x:v>
      </x:c>
      <x:c r="F7" s="22" t="str">
        <x:v>No preferred</x:v>
      </x:c>
      <x:c r="G7" s="22" t="str">
        <x:v>No</x:v>
      </x:c>
      <x:c r="H7" s="22" t="str">
        <x:v>Medium/High</x:v>
      </x:c>
      <x:c r="I7" s="22" t="str">
        <x:v>Fund reward claims</x:v>
      </x:c>
      <x:c r="J7" s="22" t="str">
        <x:v>Provider handles product</x:v>
      </x:c>
      <x:c r="K7" s="22" t="str">
        <x:v>Medium</x:v>
      </x:c>
      <x:c r="L7" s="22" t="str">
        <x:v>Medium</x:v>
      </x:c>
      <x:c r="M7" s="22" t="str">
        <x:v>High</x:v>
      </x:c>
      <x:c r="N7" s="22" t="str">
        <x:v>Medium/High</x:v>
      </x:c>
      <x:c r="O7" s="22" t="str">
        <x:v>Public real-asset pilot</x:v>
      </x:c>
      <x:c r="P7" s="22" t="str">
        <x:v>Yes — Phase 2</x:v>
      </x:c>
      <x:c r="Q7" s="34" t="str">
        <x:v>Provider/API/geo dependence</x:v>
      </x:c>
    </x:row>
    <x:row r="8">
      <x:c r="A8" s="33" t="str">
        <x:v>E. Provider-direct + self-custody</x:v>
      </x:c>
      <x:c r="B8" s="22" t="str">
        <x:v>Provider settles then user withdraws tokenized asset</x:v>
      </x:c>
      <x:c r="C8" s="22" t="str">
        <x:v>Yes</x:v>
      </x:c>
      <x:c r="D8" s="22" t="str">
        <x:v>Yes</x:v>
      </x:c>
      <x:c r="E8" s="22" t="str">
        <x:v>Yes</x:v>
      </x:c>
      <x:c r="F8" s="22" t="str">
        <x:v>No preferred</x:v>
      </x:c>
      <x:c r="G8" s="22" t="str">
        <x:v>No</x:v>
      </x:c>
      <x:c r="H8" s="22" t="str">
        <x:v>High</x:v>
      </x:c>
      <x:c r="I8" s="22" t="str">
        <x:v>Fund claims</x:v>
      </x:c>
      <x:c r="J8" s="22" t="str">
        <x:v>Provider/token terms</x:v>
      </x:c>
      <x:c r="K8" s="22" t="str">
        <x:v>High</x:v>
      </x:c>
      <x:c r="L8" s="22" t="str">
        <x:v>Slow</x:v>
      </x:c>
      <x:c r="M8" s="22" t="str">
        <x:v>Highest</x:v>
      </x:c>
      <x:c r="N8" s="22" t="str">
        <x:v>High</x:v>
      </x:c>
      <x:c r="O8" s="22" t="str">
        <x:v>Eligible mature markets</x:v>
      </x:c>
      <x:c r="P8" s="22" t="str">
        <x:v>Yes — Phase 3</x:v>
      </x:c>
      <x:c r="Q8" s="34" t="str">
        <x:v>Wallet/chain sanctions, transfer restrictions, user support</x:v>
      </x:c>
    </x:row>
    <x:row r="9">
      <x:c r="A9" s="35" t="str">
        <x:v>F. PLOT-issued stock token</x:v>
      </x:c>
      <x:c r="B9" s="36" t="str">
        <x:v>PLOT mints stock-pegged tokens and backs/redempts them</x:v>
      </x:c>
      <x:c r="C9" s="36" t="str">
        <x:v>Yes/synthetic/backed depending structure</x:v>
      </x:c>
      <x:c r="D9" s="36" t="str">
        <x:v>Yes</x:v>
      </x:c>
      <x:c r="E9" s="36" t="str">
        <x:v>Yes</x:v>
      </x:c>
      <x:c r="F9" s="36" t="str">
        <x:v>Yes</x:v>
      </x:c>
      <x:c r="G9" s="36" t="str">
        <x:v>Yes</x:v>
      </x:c>
      <x:c r="H9" s="36" t="str">
        <x:v>Very High</x:v>
      </x:c>
      <x:c r="I9" s="36" t="str">
        <x:v>Very High</x:v>
      </x:c>
      <x:c r="J9" s="36" t="str">
        <x:v>PLOT responsible</x:v>
      </x:c>
      <x:c r="K9" s="36" t="str">
        <x:v>Very High</x:v>
      </x:c>
      <x:c r="L9" s="36" t="str">
        <x:v>Slowest</x:v>
      </x:c>
      <x:c r="M9" s="36" t="str">
        <x:v>High</x:v>
      </x:c>
      <x:c r="N9" s="36" t="str">
        <x:v>Very High</x:v>
      </x:c>
      <x:c r="O9" s="36" t="str">
        <x:v>Do not pursue for MVP</x:v>
      </x:c>
      <x:c r="P9" s="36" t="str">
        <x:v>No</x:v>
      </x:c>
      <x:c r="Q9" s="37" t="str">
        <x:v>Issuer, custody, prospectus/securities/derivative obligations</x:v>
      </x:c>
    </x:row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Phased Rollout — Exact Capability Gates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Phase</x:v>
      </x:c>
      <x:c r="B3" s="14" t="str">
        <x:v>Audience</x:v>
      </x:c>
      <x:c r="C3" s="14" t="str">
        <x:v>Reward State</x:v>
      </x:c>
      <x:c r="D3" s="14" t="str">
        <x:v>Pricing</x:v>
      </x:c>
      <x:c r="E3" s="14" t="str">
        <x:v>KYC</x:v>
      </x:c>
      <x:c r="F3" s="14" t="str">
        <x:v>Geo Screening</x:v>
      </x:c>
      <x:c r="G3" s="14" t="str">
        <x:v>Provider Integration</x:v>
      </x:c>
      <x:c r="H3" s="14" t="str">
        <x:v>Funding</x:v>
      </x:c>
      <x:c r="I3" s="14" t="str">
        <x:v>Custody</x:v>
      </x:c>
      <x:c r="J3" s="14" t="str">
        <x:v>Withdrawal</x:v>
      </x:c>
      <x:c r="K3" s="14" t="str">
        <x:v>Corporate Actions</x:v>
      </x:c>
      <x:c r="L3" s="14" t="str">
        <x:v>User Copy</x:v>
      </x:c>
      <x:c r="M3" s="14" t="str">
        <x:v>Backend Must Ship</x:v>
      </x:c>
      <x:c r="N3" s="14" t="str">
        <x:v>Legal / Compliance Gate</x:v>
      </x:c>
      <x:c r="O3" s="14" t="str">
        <x:v>Exit Criteria</x:v>
      </x:c>
      <x:c r="P3" s="14" t="str">
        <x:v>Priority</x:v>
      </x:c>
    </x:row>
    <x:row r="4">
      <x:c r="A4" s="30" t="str">
        <x:v>P0 Simulation</x:v>
      </x:c>
      <x:c r="B4" s="31" t="str">
        <x:v>Closed/private beta</x:v>
      </x:c>
      <x:c r="C4" s="31" t="str">
        <x:v>SIMULATED_ISSUED</x:v>
      </x:c>
      <x:c r="D4" s="31" t="str">
        <x:v>Reference market price for display only</x:v>
      </x:c>
      <x:c r="E4" s="31" t="str">
        <x:v>No stock KYC</x:v>
      </x:c>
      <x:c r="F4" s="31" t="str">
        <x:v>Basic app geo only</x:v>
      </x:c>
      <x:c r="G4" s="31" t="str">
        <x:v>None</x:v>
      </x:c>
      <x:c r="H4" s="31" t="str">
        <x:v>No real-asset reserve</x:v>
      </x:c>
      <x:c r="I4" s="31" t="str">
        <x:v>None</x:v>
      </x:c>
      <x:c r="J4" s="31" t="str">
        <x:v>No</x:v>
      </x:c>
      <x:c r="K4" s="31" t="str">
        <x:v>Display/reference only</x:v>
      </x:c>
      <x:c r="L4" s="31" t="str">
        <x:v>Simulated reward; no cash value or ownership</x:v>
      </x:c>
      <x:c r="M4" s="31" t="str">
        <x:v>Reward ledger + Portfolio simulation + source labels</x:v>
      </x:c>
      <x:c r="N4" s="31" t="str">
        <x:v>Terms/disclosure review</x:v>
      </x:c>
      <x:c r="O4" s="31" t="str">
        <x:v>Hunt/Portfolio loop stable; no user confusion</x:v>
      </x:c>
      <x:c r="P4" s="32" t="str">
        <x:v>P0</x:v>
      </x:c>
    </x:row>
    <x:row r="5">
      <x:c r="A5" s="33" t="str">
        <x:v>P1 Public Simulation</x:v>
      </x:c>
      <x:c r="B5" s="22" t="str">
        <x:v>Public eligible app users</x:v>
      </x:c>
      <x:c r="C5" s="22" t="str">
        <x:v>SIMULATED_ISSUED</x:v>
      </x:c>
      <x:c r="D5" s="22" t="str">
        <x:v>Reference quotes; no redemption pricing</x:v>
      </x:c>
      <x:c r="E5" s="22" t="str">
        <x:v>Normal app controls</x:v>
      </x:c>
      <x:c r="F5" s="22" t="str">
        <x:v>Block regions where even marketing/product display is restricted</x:v>
      </x:c>
      <x:c r="G5" s="22" t="str">
        <x:v>Optional provider sandbox</x:v>
      </x:c>
      <x:c r="H5" s="22" t="str">
        <x:v>No stock reserve</x:v>
      </x:c>
      <x:c r="I5" s="22" t="str">
        <x:v>None</x:v>
      </x:c>
      <x:c r="J5" s="22" t="str">
        <x:v>No</x:v>
      </x:c>
      <x:c r="K5" s="22" t="str">
        <x:v>Reference-only</x:v>
      </x:c>
      <x:c r="L5" s="22" t="str">
        <x:v>Still simulated</x:v>
      </x:c>
      <x:c r="M5" s="22" t="str">
        <x:v>Compliance flags + disclosure versioning + geo config</x:v>
      </x:c>
      <x:c r="N5" s="22" t="str">
        <x:v>Jurisdiction-by-jurisdiction legal review</x:v>
      </x:c>
      <x:c r="O5" s="22" t="str">
        <x:v>Ready to enable real claim feature selectively</x:v>
      </x:c>
      <x:c r="P5" s="34" t="str">
        <x:v>P0.5</x:v>
      </x:c>
    </x:row>
    <x:row r="6">
      <x:c r="A6" s="33" t="str">
        <x:v>P2 Provider Claim Pilot</x:v>
      </x:c>
      <x:c r="B6" s="22" t="str">
        <x:v>KYC-approved eligible adults</x:v>
      </x:c>
      <x:c r="C6" s="22" t="str">
        <x:v>PENDING_NOTIONAL → PROVIDER_SETTLED → DELIVERED</x:v>
      </x:c>
      <x:c r="D6" s="22" t="str">
        <x:v>Estimated quote before claim; final units at actual execution</x:v>
      </x:c>
      <x:c r="E6" s="22" t="str">
        <x:v>Provider-required</x:v>
      </x:c>
      <x:c r="F6" s="22" t="str">
        <x:v>Provider eligibility endpoint + PLOT denylist</x:v>
      </x:c>
      <x:c r="G6" s="22" t="str">
        <x:v>Quotes/orders/status/webhooks/KYC handoff</x:v>
      </x:c>
      <x:c r="H6" s="22" t="str">
        <x:v>Reward funding reserve</x:v>
      </x:c>
      <x:c r="I6" s="22" t="str">
        <x:v>Provider/user account</x:v>
      </x:c>
      <x:c r="J6" s="22" t="str">
        <x:v>Not required</x:v>
      </x:c>
      <x:c r="K6" s="22" t="str">
        <x:v>Provider handles economic benefits/adjustments</x:v>
      </x:c>
      <x:c r="L6" s="22" t="str">
        <x:v>Claim real tokenized asset through provider</x:v>
      </x:c>
      <x:c r="M6" s="22" t="str">
        <x:v>Claim state machine + funding + reconciliation + provider adapter</x:v>
      </x:c>
      <x:c r="N6" s="22" t="str">
        <x:v>Written approval / licenses / contractual allocation of responsibilities</x:v>
      </x:c>
      <x:c r="O6" s="22" t="str">
        <x:v>99.9% no duplicate claim; reconciliation exact; support runbook</x:v>
      </x:c>
      <x:c r="P6" s="34" t="str">
        <x:v>P1</x:v>
      </x:c>
    </x:row>
    <x:row r="7">
      <x:c r="A7" s="35" t="str">
        <x:v>P3 Self-Custody</x:v>
      </x:c>
      <x:c r="B7" s="36" t="str">
        <x:v>Eligible provider users/wallets</x:v>
      </x:c>
      <x:c r="C7" s="36" t="str">
        <x:v>DELIVERED → WITHDRAWAL_PENDING → WITHDRAWN</x:v>
      </x:c>
      <x:c r="D7" s="36" t="str">
        <x:v>Provider/market</x:v>
      </x:c>
      <x:c r="E7" s="36" t="str">
        <x:v>Provider-required + wallet checks</x:v>
      </x:c>
      <x:c r="F7" s="36" t="str">
        <x:v>Provider + chain restrictions</x:v>
      </x:c>
      <x:c r="G7" s="36" t="str">
        <x:v>Withdrawal API/tx status</x:v>
      </x:c>
      <x:c r="H7" s="36" t="str">
        <x:v>No new backing beyond claim funding</x:v>
      </x:c>
      <x:c r="I7" s="36" t="str">
        <x:v>Provider until withdrawal; then user wallet</x:v>
      </x:c>
      <x:c r="J7" s="36" t="str">
        <x:v>Yes where supported</x:v>
      </x:c>
      <x:c r="K7" s="36" t="str">
        <x:v>Provider/token smart contract behavior</x:v>
      </x:c>
      <x:c r="L7" s="36" t="str">
        <x:v>Withdraw to supported wallet; availability varies</x:v>
      </x:c>
      <x:c r="M7" s="36" t="str">
        <x:v>Chain/webhook reconciliation + wallet allowlist/risk controls</x:v>
      </x:c>
      <x:c r="N7" s="36" t="str">
        <x:v>Legal approval for each market/chain</x:v>
      </x:c>
      <x:c r="O7" s="36" t="str">
        <x:v>Low failed-withdrawal rate; custody boundary clear</x:v>
      </x:c>
      <x:c r="P7" s="37" t="str">
        <x:v>P2</x:v>
      </x:c>
    </x:row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Stock Reward State Machine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3">
      <x:c r="A3" s="14" t="str">
        <x:v>State</x:v>
      </x:c>
      <x:c r="B3" s="14" t="str">
        <x:v>Applies Phase</x:v>
      </x:c>
      <x:c r="C3" s="14" t="str">
        <x:v>Entry Trigger</x:v>
      </x:c>
      <x:c r="D3" s="14" t="str">
        <x:v>Asset / Liability Meaning</x:v>
      </x:c>
      <x:c r="E3" s="14" t="str">
        <x:v>User Can See?</x:v>
      </x:c>
      <x:c r="F3" s="14" t="str">
        <x:v>User Can Claim?</x:v>
      </x:c>
      <x:c r="G3" s="14" t="str">
        <x:v>User Can Withdraw?</x:v>
      </x:c>
      <x:c r="H3" s="14" t="str">
        <x:v>Pricing Rule</x:v>
      </x:c>
      <x:c r="I3" s="14" t="str">
        <x:v>Canonical Fields</x:v>
      </x:c>
      <x:c r="J3" s="14" t="str">
        <x:v>Next States</x:v>
      </x:c>
      <x:c r="K3" s="14" t="str">
        <x:v>Idempotency Key</x:v>
      </x:c>
      <x:c r="L3" s="14" t="str">
        <x:v>Timeout</x:v>
      </x:c>
      <x:c r="M3" s="14" t="str">
        <x:v>Failure State</x:v>
      </x:c>
      <x:c r="N3" s="14" t="str">
        <x:v>Performance Direct?</x:v>
      </x:c>
      <x:c r="O3" s="14" t="str">
        <x:v>Ledger?</x:v>
      </x:c>
      <x:c r="P3" s="14" t="str">
        <x:v>Provider Call?</x:v>
      </x:c>
      <x:c r="Q3" s="14" t="str">
        <x:v>Notes</x:v>
      </x:c>
    </x:row>
    <x:row r="4">
      <x:c r="A4" s="30" t="str">
        <x:v>SIMULATED_ISSUED</x:v>
      </x:c>
      <x:c r="B4" s="31" t="str">
        <x:v>P0/P1</x:v>
      </x:c>
      <x:c r="C4" s="31" t="str">
        <x:v>Validated Hunt reward</x:v>
      </x:c>
      <x:c r="D4" s="31" t="str">
        <x:v>Game-only reference item; no financial asset or redemption liability</x:v>
      </x:c>
      <x:c r="E4" s="31" t="str">
        <x:v>Yes</x:v>
      </x:c>
      <x:c r="F4" s="31" t="str">
        <x:v>No</x:v>
      </x:c>
      <x:c r="G4" s="31" t="str">
        <x:v>No</x:v>
      </x:c>
      <x:c r="H4" s="31" t="str">
        <x:v>Reference price; display only</x:v>
      </x:c>
      <x:c r="I4" s="31" t="str">
        <x:v>reward_id,ticker,award_usd_notional,reference_price,sim_units,disclosure_version</x:v>
      </x:c>
      <x:c r="J4" s="31" t="str">
        <x:v>SIMULATED_HELD</x:v>
      </x:c>
      <x:c r="K4" s="31" t="str">
        <x:v>source_event+reward_type</x:v>
      </x:c>
      <x:c r="L4" s="31" t="str">
        <x:v>N/A</x:v>
      </x:c>
      <x:c r="M4" s="31" t="str">
        <x:v>VOIDED if exploit</x:v>
      </x:c>
      <x:c r="N4" s="31" t="str">
        <x:v>No</x:v>
      </x:c>
      <x:c r="O4" s="31" t="str">
        <x:v>Yes</x:v>
      </x:c>
      <x:c r="P4" s="31" t="str">
        <x:v>No</x:v>
      </x:c>
      <x:c r="Q4" s="32" t="str">
        <x:v>Never call it backed/claimable</x:v>
      </x:c>
    </x:row>
    <x:row r="5">
      <x:c r="A5" s="33" t="str">
        <x:v>SIMULATED_HELD</x:v>
      </x:c>
      <x:c r="B5" s="22" t="str">
        <x:v>P0/P1</x:v>
      </x:c>
      <x:c r="C5" s="22" t="str">
        <x:v>Reward acknowledged</x:v>
      </x:c>
      <x:c r="D5" s="22" t="str">
        <x:v>Same</x:v>
      </x:c>
      <x:c r="E5" s="22" t="str">
        <x:v>Yes</x:v>
      </x:c>
      <x:c r="F5" s="22" t="str">
        <x:v>No</x:v>
      </x:c>
      <x:c r="G5" s="22" t="str">
        <x:v>No</x:v>
      </x:c>
      <x:c r="H5" s="22" t="str">
        <x:v>Reference price may update for display if desired</x:v>
      </x:c>
      <x:c r="I5" s="22" t="str">
        <x:v>same + latest_reference_price</x:v>
      </x:c>
      <x:c r="J5" s="22" t="str">
        <x:v>N/A / migration campaign only</x:v>
      </x:c>
      <x:c r="K5" s="22" t="str">
        <x:v>reward_id</x:v>
      </x:c>
      <x:c r="L5" s="22" t="str">
        <x:v>N/A</x:v>
      </x:c>
      <x:c r="M5" s="22" t="str">
        <x:v>N/A</x:v>
      </x:c>
      <x:c r="N5" s="22" t="str">
        <x:v>No</x:v>
      </x:c>
      <x:c r="O5" s="22" t="str">
        <x:v>Yes</x:v>
      </x:c>
      <x:c r="P5" s="22" t="str">
        <x:v>No</x:v>
      </x:c>
      <x:c r="Q5" s="34" t="str">
        <x:v>No conversion promise</x:v>
      </x:c>
    </x:row>
    <x:row r="6">
      <x:c r="A6" s="33" t="str">
        <x:v>PENDING_NOTIONAL</x:v>
      </x:c>
      <x:c r="B6" s="22" t="str">
        <x:v>P2/P3</x:v>
      </x:c>
      <x:c r="C6" s="22" t="str">
        <x:v>Real-reward feature enabled + validated source</x:v>
      </x:c>
      <x:c r="D6" s="22" t="str">
        <x:v>PLOT owes fixed USD promotional reward notional subject to claim terms; no stock units fixed yet</x:v>
      </x:c>
      <x:c r="E6" s="22" t="str">
        <x:v>Yes</x:v>
      </x:c>
      <x:c r="F6" s="22" t="str">
        <x:v>Not until threshold/KYC</x:v>
      </x:c>
      <x:c r="G6" s="22" t="str">
        <x:v>No</x:v>
      </x:c>
      <x:c r="H6" s="22" t="str">
        <x:v>Award USD fixed; estimated units from quote only</x:v>
      </x:c>
      <x:c r="I6" s="22" t="str">
        <x:v>reward_id,ticker,award_usd_notional,claimable_usd,status</x:v>
      </x:c>
      <x:c r="J6" s="22" t="str">
        <x:v>CLAIM_ELIGIBLE / EXPIRED / VOIDED</x:v>
      </x:c>
      <x:c r="K6" s="22" t="str">
        <x:v>source_event+real_reward</x:v>
      </x:c>
      <x:c r="L6" s="22" t="str">
        <x:v>Configurable expiry</x:v>
      </x:c>
      <x:c r="M6" s="22" t="str">
        <x:v>PROVIDER_UNAVAILABLE / RESTRICTED</x:v>
      </x:c>
      <x:c r="N6" s="22" t="str">
        <x:v>No</x:v>
      </x:c>
      <x:c r="O6" s="22" t="str">
        <x:v>Yes</x:v>
      </x:c>
      <x:c r="P6" s="22" t="str">
        <x:v>No</x:v>
      </x:c>
      <x:c r="Q6" s="34" t="str">
        <x:v>Micro-rewards aggregate here</x:v>
      </x:c>
    </x:row>
    <x:row r="7">
      <x:c r="A7" s="33" t="str">
        <x:v>CLAIM_ELIGIBLE</x:v>
      </x:c>
      <x:c r="B7" s="22" t="str">
        <x:v>P2/P3</x:v>
      </x:c>
      <x:c r="C7" s="22" t="str">
        <x:v>User aggregated &gt;= claim minimum and is region-eligible</x:v>
      </x:c>
      <x:c r="D7" s="22" t="str">
        <x:v>Unsettled promotional obligation</x:v>
      </x:c>
      <x:c r="E7" s="22" t="str">
        <x:v>Yes</x:v>
      </x:c>
      <x:c r="F7" s="22" t="str">
        <x:v>Yes</x:v>
      </x:c>
      <x:c r="G7" s="22" t="str">
        <x:v>No</x:v>
      </x:c>
      <x:c r="H7" s="22" t="str">
        <x:v>Provider quote shown as estimate</x:v>
      </x:c>
      <x:c r="I7" s="22" t="str">
        <x:v>claim_id,ticker,total_usd,provider,eligibility_version</x:v>
      </x:c>
      <x:c r="J7" s="22" t="str">
        <x:v>KYC_PENDING / ORDER_SUBMITTED / RESTRICTED</x:v>
      </x:c>
      <x:c r="K7" s="22" t="str">
        <x:v>claim_id</x:v>
      </x:c>
      <x:c r="L7" s="22" t="str">
        <x:v>Claim expiry</x:v>
      </x:c>
      <x:c r="M7" s="22" t="str">
        <x:v>RESTRICTED / USER_CANCELLED</x:v>
      </x:c>
      <x:c r="N7" s="22" t="str">
        <x:v>No</x:v>
      </x:c>
      <x:c r="O7" s="22" t="str">
        <x:v>Yes</x:v>
      </x:c>
      <x:c r="P7" s="22" t="str">
        <x:v>Eligibility/quote</x:v>
      </x:c>
      <x:c r="Q7" s="34" t="str"/>
    </x:row>
    <x:row r="8">
      <x:c r="A8" s="33" t="str">
        <x:v>KYC_PENDING</x:v>
      </x:c>
      <x:c r="B8" s="22" t="str">
        <x:v>P2/P3</x:v>
      </x:c>
      <x:c r="C8" s="22" t="str">
        <x:v>Provider requires onboarding</x:v>
      </x:c>
      <x:c r="D8" s="22" t="str">
        <x:v>Unsettled obligation</x:v>
      </x:c>
      <x:c r="E8" s="22" t="str">
        <x:v>Yes</x:v>
      </x:c>
      <x:c r="F8" s="22" t="str">
        <x:v>Resume after pass</x:v>
      </x:c>
      <x:c r="G8" s="22" t="str">
        <x:v>No</x:v>
      </x:c>
      <x:c r="H8" s="22" t="str">
        <x:v>No unit promise</x:v>
      </x:c>
      <x:c r="I8" s="22" t="str">
        <x:v>provider_user_ref,kyc_status</x:v>
      </x:c>
      <x:c r="J8" s="22" t="str">
        <x:v>ORDER_SUBMITTED / RESTRICTED</x:v>
      </x:c>
      <x:c r="K8" s="22" t="str">
        <x:v>provider_user_ref+claim_id</x:v>
      </x:c>
      <x:c r="L8" s="22" t="str">
        <x:v>Provider SLA</x:v>
      </x:c>
      <x:c r="M8" s="22" t="str">
        <x:v>KYC_FAILED / RESTRICTED</x:v>
      </x:c>
      <x:c r="N8" s="22" t="str">
        <x:v>No</x:v>
      </x:c>
      <x:c r="O8" s="22" t="str">
        <x:v>Audit</x:v>
      </x:c>
      <x:c r="P8" s="22" t="str">
        <x:v>KYC handoff/status</x:v>
      </x:c>
      <x:c r="Q8" s="34" t="str">
        <x:v>PLOT should avoid storing unnecessary KYC data</x:v>
      </x:c>
    </x:row>
    <x:row r="9">
      <x:c r="A9" s="33" t="str">
        <x:v>ORDER_SUBMITTED</x:v>
      </x:c>
      <x:c r="B9" s="22" t="str">
        <x:v>P2/P3</x:v>
      </x:c>
      <x:c r="C9" s="22" t="str">
        <x:v>Claim confirmed + funding reserved</x:v>
      </x:c>
      <x:c r="D9" s="22" t="str">
        <x:v>Provider order in flight; units not final until execution</x:v>
      </x:c>
      <x:c r="E9" s="22" t="str">
        <x:v>Yes</x:v>
      </x:c>
      <x:c r="F9" s="22" t="str">
        <x:v>No second claim</x:v>
      </x:c>
      <x:c r="G9" s="22" t="str">
        <x:v>No</x:v>
      </x:c>
      <x:c r="H9" s="22" t="str">
        <x:v>Final units use actual execution price</x:v>
      </x:c>
      <x:c r="I9" s="22" t="str">
        <x:v>provider_order_id,submitted_usd,quote_ref,funding_ref</x:v>
      </x:c>
      <x:c r="J9" s="22" t="str">
        <x:v>PROVIDER_SETTLED / PROVIDER_FAILED</x:v>
      </x:c>
      <x:c r="K9" s="22" t="str">
        <x:v>claim_id</x:v>
      </x:c>
      <x:c r="L9" s="22" t="str">
        <x:v>Provider SLA</x:v>
      </x:c>
      <x:c r="M9" s="22" t="str">
        <x:v>PROVIDER_FAILED</x:v>
      </x:c>
      <x:c r="N9" s="22" t="str">
        <x:v>No</x:v>
      </x:c>
      <x:c r="O9" s="22" t="str">
        <x:v>Yes</x:v>
      </x:c>
      <x:c r="P9" s="22" t="str">
        <x:v>Order API</x:v>
      </x:c>
      <x:c r="Q9" s="34" t="str">
        <x:v>Never retry with a new client-generated order id</x:v>
      </x:c>
    </x:row>
    <x:row r="10">
      <x:c r="A10" s="33" t="str">
        <x:v>PROVIDER_SETTLED</x:v>
      </x:c>
      <x:c r="B10" s="22" t="str">
        <x:v>P2/P3</x:v>
      </x:c>
      <x:c r="C10" s="22" t="str">
        <x:v>Provider execution confirmed</x:v>
      </x:c>
      <x:c r="D10" s="22" t="str">
        <x:v>Real tokenized asset exists at provider; final units fixed</x:v>
      </x:c>
      <x:c r="E10" s="22" t="str">
        <x:v>Yes</x:v>
      </x:c>
      <x:c r="F10" s="22" t="str">
        <x:v>Delivered automatically</x:v>
      </x:c>
      <x:c r="G10" s="22" t="str">
        <x:v>Provider-dependent later</x:v>
      </x:c>
      <x:c r="H10" s="22" t="str">
        <x:v>Execution price + units from provider</x:v>
      </x:c>
      <x:c r="I10" s="22" t="str">
        <x:v>provider_fill_id,units,execution_price,fees,asset_id</x:v>
      </x:c>
      <x:c r="J10" s="22" t="str">
        <x:v>DELIVERED / RECONCILIATION_HOLD</x:v>
      </x:c>
      <x:c r="K10" s="22" t="str">
        <x:v>provider_fill_id</x:v>
      </x:c>
      <x:c r="L10" s="22" t="str">
        <x:v>Short</x:v>
      </x:c>
      <x:c r="M10" s="22" t="str">
        <x:v>RECONCILIATION_HOLD</x:v>
      </x:c>
      <x:c r="N10" s="22" t="str">
        <x:v>No</x:v>
      </x:c>
      <x:c r="O10" s="22" t="str">
        <x:v>Yes</x:v>
      </x:c>
      <x:c r="P10" s="22" t="str">
        <x:v>Status/balance</x:v>
      </x:c>
      <x:c r="Q10" s="34" t="str"/>
    </x:row>
    <x:row r="11">
      <x:c r="A11" s="33" t="str">
        <x:v>DELIVERED</x:v>
      </x:c>
      <x:c r="B11" s="22" t="str">
        <x:v>P2/P3</x:v>
      </x:c>
      <x:c r="C11" s="22" t="str">
        <x:v>Provider credits user account/custody</x:v>
      </x:c>
      <x:c r="D11" s="22" t="str">
        <x:v>User has provider product per provider terms</x:v>
      </x:c>
      <x:c r="E11" s="22" t="str">
        <x:v>Yes</x:v>
      </x:c>
      <x:c r="F11" s="22" t="str">
        <x:v>Already delivered</x:v>
      </x:c>
      <x:c r="G11" s="22" t="str">
        <x:v>P3 only</x:v>
      </x:c>
      <x:c r="H11" s="22" t="str">
        <x:v>Provider valuation</x:v>
      </x:c>
      <x:c r="I11" s="22" t="str">
        <x:v>provider_balance_ref,units,delivered_at</x:v>
      </x:c>
      <x:c r="J11" s="22" t="str">
        <x:v>WITHDRAWAL_PENDING / HELD</x:v>
      </x:c>
      <x:c r="K11" s="22" t="str">
        <x:v>provider_fill_id</x:v>
      </x:c>
      <x:c r="L11" s="22" t="str">
        <x:v>N/A</x:v>
      </x:c>
      <x:c r="M11" s="22" t="str">
        <x:v>HELD if compliance/provider</x:v>
      </x:c>
      <x:c r="N11" s="22" t="str">
        <x:v>No</x:v>
      </x:c>
      <x:c r="O11" s="22" t="str">
        <x:v>Yes</x:v>
      </x:c>
      <x:c r="P11" s="22" t="str">
        <x:v>Balance/status</x:v>
      </x:c>
      <x:c r="Q11" s="34" t="str">
        <x:v>PLOT does not represent itself as shareholder/custodian</x:v>
      </x:c>
    </x:row>
    <x:row r="12">
      <x:c r="A12" s="33" t="str">
        <x:v>WITHDRAWAL_PENDING</x:v>
      </x:c>
      <x:c r="B12" s="22" t="str">
        <x:v>P3</x:v>
      </x:c>
      <x:c r="C12" s="22" t="str">
        <x:v>User requests provider-supported wallet withdrawal</x:v>
      </x:c>
      <x:c r="D12" s="22" t="str">
        <x:v>Provider asset moving onchain</x:v>
      </x:c>
      <x:c r="E12" s="22" t="str">
        <x:v>Yes</x:v>
      </x:c>
      <x:c r="F12" s="22" t="str">
        <x:v>N/A</x:v>
      </x:c>
      <x:c r="G12" s="22" t="str">
        <x:v>Pending</x:v>
      </x:c>
      <x:c r="H12" s="22" t="str">
        <x:v>Provider withdrawal quote/fees</x:v>
      </x:c>
      <x:c r="I12" s="22" t="str">
        <x:v>withdrawal_id,chain,address,amount,tx_ref</x:v>
      </x:c>
      <x:c r="J12" s="22" t="str">
        <x:v>WITHDRAWN / WITHDRAWAL_FAILED</x:v>
      </x:c>
      <x:c r="K12" s="22" t="str">
        <x:v>withdrawal_id</x:v>
      </x:c>
      <x:c r="L12" s="22" t="str">
        <x:v>Chain/provider SLA</x:v>
      </x:c>
      <x:c r="M12" s="22" t="str">
        <x:v>WITHDRAWAL_FAILED</x:v>
      </x:c>
      <x:c r="N12" s="22" t="str">
        <x:v>No</x:v>
      </x:c>
      <x:c r="O12" s="22" t="str">
        <x:v>Yes</x:v>
      </x:c>
      <x:c r="P12" s="22" t="str">
        <x:v>Withdrawal API</x:v>
      </x:c>
      <x:c r="Q12" s="34" t="str">
        <x:v>Provider or dedicated compliant flow validates wallet</x:v>
      </x:c>
    </x:row>
    <x:row r="13">
      <x:c r="A13" s="35" t="str">
        <x:v>WITHDRAWN</x:v>
      </x:c>
      <x:c r="B13" s="36" t="str">
        <x:v>P3</x:v>
      </x:c>
      <x:c r="C13" s="36" t="str">
        <x:v>Onchain confirmation</x:v>
      </x:c>
      <x:c r="D13" s="36" t="str">
        <x:v>User/self-custody state per token terms</x:v>
      </x:c>
      <x:c r="E13" s="36" t="str">
        <x:v>Yes</x:v>
      </x:c>
      <x:c r="F13" s="36" t="str">
        <x:v>N/A</x:v>
      </x:c>
      <x:c r="G13" s="36" t="str">
        <x:v>Complete</x:v>
      </x:c>
      <x:c r="H13" s="36" t="str">
        <x:v>Onchain/provider valuation</x:v>
      </x:c>
      <x:c r="I13" s="36" t="str">
        <x:v>tx_hash,chain,amount,confirmed_at</x:v>
      </x:c>
      <x:c r="J13" s="36" t="str">
        <x:v>N/A</x:v>
      </x:c>
      <x:c r="K13" s="36" t="str">
        <x:v>withdrawal_id</x:v>
      </x:c>
      <x:c r="L13" s="36" t="str">
        <x:v>N/A</x:v>
      </x:c>
      <x:c r="M13" s="36" t="str">
        <x:v>N/A</x:v>
      </x:c>
      <x:c r="N13" s="36" t="str">
        <x:v>No</x:v>
      </x:c>
      <x:c r="O13" s="36" t="str">
        <x:v>Audit</x:v>
      </x:c>
      <x:c r="P13" s="36" t="str">
        <x:v>Chain/provider</x:v>
      </x:c>
      <x:c r="Q13" s="37" t="str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Canonical Reward / Asset Data Model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Field</x:v>
      </x:c>
      <x:c r="B3" s="14" t="str">
        <x:v>Type</x:v>
      </x:c>
      <x:c r="C3" s="14" t="str">
        <x:v>Example</x:v>
      </x:c>
      <x:c r="D3" s="14" t="str">
        <x:v>Phase</x:v>
      </x:c>
      <x:c r="E3" s="14" t="str">
        <x:v>Authoritative Source</x:v>
      </x:c>
      <x:c r="F3" s="14" t="str">
        <x:v>Mutable?</x:v>
      </x:c>
      <x:c r="G3" s="14" t="str">
        <x:v>Meaning</x:v>
      </x:c>
      <x:c r="H3" s="14" t="str">
        <x:v>Unit</x:v>
      </x:c>
      <x:c r="I3" s="14" t="str">
        <x:v>User Visible?</x:v>
      </x:c>
      <x:c r="J3" s="14" t="str">
        <x:v>Financial Asset?</x:v>
      </x:c>
      <x:c r="K3" s="14" t="str">
        <x:v>Pricing Source</x:v>
      </x:c>
      <x:c r="L3" s="14" t="str">
        <x:v>Ledgered?</x:v>
      </x:c>
      <x:c r="M3" s="14" t="str">
        <x:v>Provider Required?</x:v>
      </x:c>
      <x:c r="N3" s="14" t="str">
        <x:v>Performance Direct?</x:v>
      </x:c>
      <x:c r="O3" s="14" t="str">
        <x:v>Validation</x:v>
      </x:c>
      <x:c r="P3" s="14" t="str">
        <x:v>Notes</x:v>
      </x:c>
    </x:row>
    <x:row r="4">
      <x:c r="A4" s="30" t="str">
        <x:v>reward_id</x:v>
      </x:c>
      <x:c r="B4" s="31" t="str">
        <x:v>UUID</x:v>
      </x:c>
      <x:c r="C4" s="31" t="str">
        <x:v>stkrew_...</x:v>
      </x:c>
      <x:c r="D4" s="31" t="str">
        <x:v>All</x:v>
      </x:c>
      <x:c r="E4" s="31" t="str">
        <x:v>PLOT Reward</x:v>
      </x:c>
      <x:c r="F4" s="31" t="str">
        <x:v>No</x:v>
      </x:c>
      <x:c r="G4" s="31" t="str">
        <x:v>Unique reward identity</x:v>
      </x:c>
      <x:c r="H4" s="31" t="str">
        <x:v>N/A</x:v>
      </x:c>
      <x:c r="I4" s="31" t="str">
        <x:v>No</x:v>
      </x:c>
      <x:c r="J4" s="31" t="str">
        <x:v>No</x:v>
      </x:c>
      <x:c r="K4" s="31" t="str">
        <x:v>N/A</x:v>
      </x:c>
      <x:c r="L4" s="31" t="str">
        <x:v>Yes</x:v>
      </x:c>
      <x:c r="M4" s="31" t="str">
        <x:v>No</x:v>
      </x:c>
      <x:c r="N4" s="31" t="str">
        <x:v>No</x:v>
      </x:c>
      <x:c r="O4" s="31" t="str">
        <x:v>Unique</x:v>
      </x:c>
      <x:c r="P4" s="32" t="str"/>
    </x:row>
    <x:row r="5">
      <x:c r="A5" s="33" t="str">
        <x:v>reference_ticker</x:v>
      </x:c>
      <x:c r="B5" s="22" t="str">
        <x:v>enum/string</x:v>
      </x:c>
      <x:c r="C5" s="22" t="str">
        <x:v>AAPL</x:v>
      </x:c>
      <x:c r="D5" s="22" t="str">
        <x:v>All</x:v>
      </x:c>
      <x:c r="E5" s="22" t="str">
        <x:v>PLOT config</x:v>
      </x:c>
      <x:c r="F5" s="22" t="str">
        <x:v>No per reward</x:v>
      </x:c>
      <x:c r="G5" s="22" t="str">
        <x:v>Theme / intended underlying reference</x:v>
      </x:c>
      <x:c r="H5" s="22" t="str">
        <x:v>Ticker</x:v>
      </x:c>
      <x:c r="I5" s="22" t="str">
        <x:v>Yes</x:v>
      </x:c>
      <x:c r="J5" s="22" t="str">
        <x:v>Not by itself</x:v>
      </x:c>
      <x:c r="K5" s="22" t="str">
        <x:v>Market data</x:v>
      </x:c>
      <x:c r="L5" s="22" t="str">
        <x:v>Yes</x:v>
      </x:c>
      <x:c r="M5" s="22" t="str">
        <x:v>No</x:v>
      </x:c>
      <x:c r="N5" s="22" t="str">
        <x:v>No</x:v>
      </x:c>
      <x:c r="O5" s="22" t="str">
        <x:v>Allowlist</x:v>
      </x:c>
      <x:c r="P5" s="34" t="str"/>
    </x:row>
    <x:row r="6">
      <x:c r="A6" s="33" t="str">
        <x:v>award_usd_notional</x:v>
      </x:c>
      <x:c r="B6" s="22" t="str">
        <x:v>decimal</x:v>
      </x:c>
      <x:c r="C6" s="22" t="str">
        <x:v>0.10</x:v>
      </x:c>
      <x:c r="D6" s="22" t="str">
        <x:v>All</x:v>
      </x:c>
      <x:c r="E6" s="22" t="str">
        <x:v>Reward table</x:v>
      </x:c>
      <x:c r="F6" s="22" t="str">
        <x:v>No after grant</x:v>
      </x:c>
      <x:c r="G6" s="22" t="str">
        <x:v>Game reward size / real claim funding amount</x:v>
      </x:c>
      <x:c r="H6" s="22" t="str">
        <x:v>USD</x:v>
      </x:c>
      <x:c r="I6" s="22" t="str">
        <x:v>Yes</x:v>
      </x:c>
      <x:c r="J6" s="22" t="str">
        <x:v>P0/1 no; P2 claim obligation</x:v>
      </x:c>
      <x:c r="K6" s="22" t="str">
        <x:v>N/A</x:v>
      </x:c>
      <x:c r="L6" s="22" t="str">
        <x:v>Yes</x:v>
      </x:c>
      <x:c r="M6" s="22" t="str">
        <x:v>No at grant</x:v>
      </x:c>
      <x:c r="N6" s="22" t="str">
        <x:v>No</x:v>
      </x:c>
      <x:c r="O6" s="22" t="str">
        <x:v>Budget cap</x:v>
      </x:c>
      <x:c r="P6" s="34" t="str">
        <x:v>Real claim units are not fixed here</x:v>
      </x:c>
    </x:row>
    <x:row r="7">
      <x:c r="A7" s="33" t="str">
        <x:v>reference_price_at_award</x:v>
      </x:c>
      <x:c r="B7" s="22" t="str">
        <x:v>decimal</x:v>
      </x:c>
      <x:c r="C7" s="22" t="str">
        <x:v>205.30</x:v>
      </x:c>
      <x:c r="D7" s="22" t="str">
        <x:v>P0/P1 optional; P2 estimate</x:v>
      </x:c>
      <x:c r="E7" s="22" t="str">
        <x:v>Market data</x:v>
      </x:c>
      <x:c r="F7" s="22" t="str">
        <x:v>No snapshot</x:v>
      </x:c>
      <x:c r="G7" s="22" t="str">
        <x:v>Educational/display reference</x:v>
      </x:c>
      <x:c r="H7" s="22" t="str">
        <x:v>USD/share</x:v>
      </x:c>
      <x:c r="I7" s="22" t="str">
        <x:v>Maybe</x:v>
      </x:c>
      <x:c r="J7" s="22" t="str">
        <x:v>No</x:v>
      </x:c>
      <x:c r="K7" s="22" t="str">
        <x:v>Approved quote feed</x:v>
      </x:c>
      <x:c r="L7" s="22" t="str">
        <x:v>Yes</x:v>
      </x:c>
      <x:c r="M7" s="22" t="str">
        <x:v>No</x:v>
      </x:c>
      <x:c r="N7" s="22" t="str">
        <x:v>No</x:v>
      </x:c>
      <x:c r="O7" s="22" t="str">
        <x:v>Timestamp freshness</x:v>
      </x:c>
      <x:c r="P7" s="34" t="str">
        <x:v>Not execution price</x:v>
      </x:c>
    </x:row>
    <x:row r="8">
      <x:c r="A8" s="33" t="str">
        <x:v>simulated_units</x:v>
      </x:c>
      <x:c r="B8" s="22" t="str">
        <x:v>decimal</x:v>
      </x:c>
      <x:c r="C8" s="22" t="str">
        <x:v>0.000487</x:v>
      </x:c>
      <x:c r="D8" s="22" t="str">
        <x:v>P0/P1</x:v>
      </x:c>
      <x:c r="E8" s="22" t="str">
        <x:v>Derived</x:v>
      </x:c>
      <x:c r="F8" s="22" t="str">
        <x:v>No snapshot</x:v>
      </x:c>
      <x:c r="G8" s="22" t="str">
        <x:v>Reference-only quantity = award_notional/reference_price</x:v>
      </x:c>
      <x:c r="H8" s="22" t="str">
        <x:v>Reference units</x:v>
      </x:c>
      <x:c r="I8" s="22" t="str">
        <x:v>Yes</x:v>
      </x:c>
      <x:c r="J8" s="22" t="str">
        <x:v>No</x:v>
      </x:c>
      <x:c r="K8" s="22" t="str">
        <x:v>Reference price</x:v>
      </x:c>
      <x:c r="L8" s="22" t="str">
        <x:v>Yes</x:v>
      </x:c>
      <x:c r="M8" s="22" t="str">
        <x:v>No</x:v>
      </x:c>
      <x:c r="N8" s="22" t="str">
        <x:v>No</x:v>
      </x:c>
      <x:c r="O8" s="22" t="str">
        <x:v>Formula</x:v>
      </x:c>
      <x:c r="P8" s="34" t="str">
        <x:v>Must be labeled simulated</x:v>
      </x:c>
    </x:row>
    <x:row r="9">
      <x:c r="A9" s="33" t="str">
        <x:v>claimable_usd_balance</x:v>
      </x:c>
      <x:c r="B9" s="22" t="str">
        <x:v>decimal</x:v>
      </x:c>
      <x:c r="C9" s="22" t="str">
        <x:v>2.40</x:v>
      </x:c>
      <x:c r="D9" s="22" t="str">
        <x:v>P2/P3</x:v>
      </x:c>
      <x:c r="E9" s="22" t="str">
        <x:v>PLOT Reward ledger</x:v>
      </x:c>
      <x:c r="F9" s="22" t="str">
        <x:v>Yes by new rewards/claims</x:v>
      </x:c>
      <x:c r="G9" s="22" t="str">
        <x:v>Unsettled real-reward notional available to claim</x:v>
      </x:c>
      <x:c r="H9" s="22" t="str">
        <x:v>USD</x:v>
      </x:c>
      <x:c r="I9" s="22" t="str">
        <x:v>Yes</x:v>
      </x:c>
      <x:c r="J9" s="22" t="str">
        <x:v>Promotional obligation</x:v>
      </x:c>
      <x:c r="K9" s="22" t="str">
        <x:v>N/A</x:v>
      </x:c>
      <x:c r="L9" s="22" t="str">
        <x:v>Yes</x:v>
      </x:c>
      <x:c r="M9" s="22" t="str">
        <x:v>No</x:v>
      </x:c>
      <x:c r="N9" s="22" t="str">
        <x:v>No</x:v>
      </x:c>
      <x:c r="O9" s="22" t="str">
        <x:v>&gt;=0</x:v>
      </x:c>
      <x:c r="P9" s="34" t="str">
        <x:v>Aggregate micro-rewards</x:v>
      </x:c>
    </x:row>
    <x:row r="10">
      <x:c r="A10" s="33" t="str">
        <x:v>provider_asset_id</x:v>
      </x:c>
      <x:c r="B10" s="22" t="str">
        <x:v>string</x:v>
      </x:c>
      <x:c r="C10" s="22" t="str">
        <x:v>AAPLx</x:v>
      </x:c>
      <x:c r="D10" s="22" t="str">
        <x:v>P2/P3</x:v>
      </x:c>
      <x:c r="E10" s="22" t="str">
        <x:v>Provider</x:v>
      </x:c>
      <x:c r="F10" s="22" t="str">
        <x:v>No for fill</x:v>
      </x:c>
      <x:c r="G10" s="22" t="str">
        <x:v>Actual provider instrument</x:v>
      </x:c>
      <x:c r="H10" s="22" t="str">
        <x:v>Provider units</x:v>
      </x:c>
      <x:c r="I10" s="22" t="str">
        <x:v>Yes</x:v>
      </x:c>
      <x:c r="J10" s="22" t="str">
        <x:v>Yes per provider product</x:v>
      </x:c>
      <x:c r="K10" s="22" t="str">
        <x:v>Provider</x:v>
      </x:c>
      <x:c r="L10" s="22" t="str">
        <x:v>Yes</x:v>
      </x:c>
      <x:c r="M10" s="22" t="str">
        <x:v>Yes</x:v>
      </x:c>
      <x:c r="N10" s="22" t="str">
        <x:v>No</x:v>
      </x:c>
      <x:c r="O10" s="22" t="str">
        <x:v>Eligible allowlist</x:v>
      </x:c>
      <x:c r="P10" s="34" t="str">
        <x:v>Do not assume shareholder rights</x:v>
      </x:c>
    </x:row>
    <x:row r="11">
      <x:c r="A11" s="33" t="str">
        <x:v>final_units</x:v>
      </x:c>
      <x:c r="B11" s="22" t="str">
        <x:v>decimal</x:v>
      </x:c>
      <x:c r="C11" s="22" t="str">
        <x:v>0.01168</x:v>
      </x:c>
      <x:c r="D11" s="22" t="str">
        <x:v>P2/P3</x:v>
      </x:c>
      <x:c r="E11" s="22" t="str">
        <x:v>Provider fill</x:v>
      </x:c>
      <x:c r="F11" s="22" t="str">
        <x:v>No</x:v>
      </x:c>
      <x:c r="G11" s="22" t="str">
        <x:v>Actual units credited after execution</x:v>
      </x:c>
      <x:c r="H11" s="22" t="str">
        <x:v>Provider token units</x:v>
      </x:c>
      <x:c r="I11" s="22" t="str">
        <x:v>Yes</x:v>
      </x:c>
      <x:c r="J11" s="22" t="str">
        <x:v>Yes per provider terms</x:v>
      </x:c>
      <x:c r="K11" s="22" t="str">
        <x:v>Execution price</x:v>
      </x:c>
      <x:c r="L11" s="22" t="str">
        <x:v>Yes</x:v>
      </x:c>
      <x:c r="M11" s="22" t="str">
        <x:v>Yes</x:v>
      </x:c>
      <x:c r="N11" s="22" t="str">
        <x:v>No</x:v>
      </x:c>
      <x:c r="O11" s="22" t="str">
        <x:v>Fill exact</x:v>
      </x:c>
      <x:c r="P11" s="34" t="str"/>
    </x:row>
    <x:row r="12">
      <x:c r="A12" s="33" t="str">
        <x:v>execution_price</x:v>
      </x:c>
      <x:c r="B12" s="22" t="str">
        <x:v>decimal</x:v>
      </x:c>
      <x:c r="C12" s="22" t="str">
        <x:v>205.48</x:v>
      </x:c>
      <x:c r="D12" s="22" t="str">
        <x:v>P2/P3</x:v>
      </x:c>
      <x:c r="E12" s="22" t="str">
        <x:v>Provider fill</x:v>
      </x:c>
      <x:c r="F12" s="22" t="str">
        <x:v>No</x:v>
      </x:c>
      <x:c r="G12" s="22" t="str">
        <x:v>Actual settlement price</x:v>
      </x:c>
      <x:c r="H12" s="22" t="str">
        <x:v>USD/unit</x:v>
      </x:c>
      <x:c r="I12" s="22" t="str">
        <x:v>Yes</x:v>
      </x:c>
      <x:c r="J12" s="22" t="str">
        <x:v>N/A</x:v>
      </x:c>
      <x:c r="K12" s="22" t="str">
        <x:v>Provider</x:v>
      </x:c>
      <x:c r="L12" s="22" t="str">
        <x:v>Yes</x:v>
      </x:c>
      <x:c r="M12" s="22" t="str">
        <x:v>Yes</x:v>
      </x:c>
      <x:c r="N12" s="22" t="str">
        <x:v>No</x:v>
      </x:c>
      <x:c r="O12" s="22" t="str">
        <x:v>Provider-signed/status</x:v>
      </x:c>
      <x:c r="P12" s="34" t="str"/>
    </x:row>
    <x:row r="13">
      <x:c r="A13" s="33" t="str">
        <x:v>provider_fee</x:v>
      </x:c>
      <x:c r="B13" s="22" t="str">
        <x:v>decimal</x:v>
      </x:c>
      <x:c r="C13" s="22" t="str">
        <x:v>0.00</x:v>
      </x:c>
      <x:c r="D13" s="22" t="str">
        <x:v>P2/P3</x:v>
      </x:c>
      <x:c r="E13" s="22" t="str">
        <x:v>Provider</x:v>
      </x:c>
      <x:c r="F13" s="22" t="str">
        <x:v>No</x:v>
      </x:c>
      <x:c r="G13" s="22" t="str">
        <x:v>Execution/settlement fee if any</x:v>
      </x:c>
      <x:c r="H13" s="22" t="str">
        <x:v>USD</x:v>
      </x:c>
      <x:c r="I13" s="22" t="str">
        <x:v>Yes</x:v>
      </x:c>
      <x:c r="J13" s="22" t="str">
        <x:v>N/A</x:v>
      </x:c>
      <x:c r="K13" s="22" t="str">
        <x:v>Provider</x:v>
      </x:c>
      <x:c r="L13" s="22" t="str">
        <x:v>Yes</x:v>
      </x:c>
      <x:c r="M13" s="22" t="str">
        <x:v>Yes</x:v>
      </x:c>
      <x:c r="N13" s="22" t="str">
        <x:v>No</x:v>
      </x:c>
      <x:c r="O13" s="22" t="str">
        <x:v>&gt;=0</x:v>
      </x:c>
      <x:c r="P13" s="34" t="str">
        <x:v>PLOT may sponsor fees</x:v>
      </x:c>
    </x:row>
    <x:row r="14">
      <x:c r="A14" s="33" t="str">
        <x:v>withdrawal_tx_hash</x:v>
      </x:c>
      <x:c r="B14" s="22" t="str">
        <x:v>string</x:v>
      </x:c>
      <x:c r="C14" s="22" t="str">
        <x:v>0x...</x:v>
      </x:c>
      <x:c r="D14" s="22" t="str">
        <x:v>P3</x:v>
      </x:c>
      <x:c r="E14" s="22" t="str">
        <x:v>Provider/chain</x:v>
      </x:c>
      <x:c r="F14" s="22" t="str">
        <x:v>No</x:v>
      </x:c>
      <x:c r="G14" s="22" t="str">
        <x:v>Proof of completed withdrawal</x:v>
      </x:c>
      <x:c r="H14" s="22" t="str">
        <x:v>N/A</x:v>
      </x:c>
      <x:c r="I14" s="22" t="str">
        <x:v>Yes</x:v>
      </x:c>
      <x:c r="J14" s="22" t="str">
        <x:v>N/A</x:v>
      </x:c>
      <x:c r="K14" s="22" t="str">
        <x:v>Chain</x:v>
      </x:c>
      <x:c r="L14" s="22" t="str">
        <x:v>Audit</x:v>
      </x:c>
      <x:c r="M14" s="22" t="str">
        <x:v>Yes</x:v>
      </x:c>
      <x:c r="N14" s="22" t="str">
        <x:v>No</x:v>
      </x:c>
      <x:c r="O14" s="22" t="str">
        <x:v>Confirmed</x:v>
      </x:c>
      <x:c r="P14" s="34" t="str"/>
    </x:row>
    <x:row r="15">
      <x:c r="A15" s="35" t="str">
        <x:v>disclosure_version</x:v>
      </x:c>
      <x:c r="B15" s="36" t="str">
        <x:v>string</x:v>
      </x:c>
      <x:c r="C15" s="36" t="str">
        <x:v>stock_reward_v3</x:v>
      </x:c>
      <x:c r="D15" s="36" t="str">
        <x:v>All</x:v>
      </x:c>
      <x:c r="E15" s="36" t="str">
        <x:v>Compliance config</x:v>
      </x:c>
      <x:c r="F15" s="36" t="str">
        <x:v>No per event</x:v>
      </x:c>
      <x:c r="G15" s="36" t="str">
        <x:v>Exact user terms shown when reward/claim occurred</x:v>
      </x:c>
      <x:c r="H15" s="36" t="str">
        <x:v>Version</x:v>
      </x:c>
      <x:c r="I15" s="36" t="str">
        <x:v>No</x:v>
      </x:c>
      <x:c r="J15" s="36" t="str">
        <x:v>N/A</x:v>
      </x:c>
      <x:c r="K15" s="36" t="str">
        <x:v>N/A</x:v>
      </x:c>
      <x:c r="L15" s="36" t="str">
        <x:v>Audit</x:v>
      </x:c>
      <x:c r="M15" s="36" t="str">
        <x:v>No</x:v>
      </x:c>
      <x:c r="N15" s="36" t="str">
        <x:v>No</x:v>
      </x:c>
      <x:c r="O15" s="36" t="str">
        <x:v>Must exist</x:v>
      </x:c>
      <x:c r="P15" s="37" t="str">
        <x:v>Critical for migration/claims</x:v>
      </x:c>
    </x:row>
  </x:sheetData>
  <x:mergeCells>
    <x:mergeCell ref="A1:P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Provider-Direct Real-Asset Settlement Flow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Step</x:v>
      </x:c>
      <x:c r="B3" s="14" t="str">
        <x:v>Actor</x:v>
      </x:c>
      <x:c r="C3" s="14" t="str">
        <x:v>Trigger</x:v>
      </x:c>
      <x:c r="D3" s="14" t="str">
        <x:v>Input</x:v>
      </x:c>
      <x:c r="E3" s="14" t="str">
        <x:v>Validation</x:v>
      </x:c>
      <x:c r="F3" s="14" t="str">
        <x:v>Synchronous?</x:v>
      </x:c>
      <x:c r="G3" s="14" t="str">
        <x:v>Write</x:v>
      </x:c>
      <x:c r="H3" s="14" t="str">
        <x:v>External Call</x:v>
      </x:c>
      <x:c r="I3" s="14" t="str">
        <x:v>Idempotency</x:v>
      </x:c>
      <x:c r="J3" s="14" t="str">
        <x:v>User Status</x:v>
      </x:c>
      <x:c r="K3" s="14" t="str">
        <x:v>Funds Status</x:v>
      </x:c>
      <x:c r="L3" s="14" t="str">
        <x:v>Asset Status</x:v>
      </x:c>
      <x:c r="M3" s="14" t="str">
        <x:v>Retry</x:v>
      </x:c>
      <x:c r="N3" s="14" t="str">
        <x:v>Failure Handling</x:v>
      </x:c>
      <x:c r="O3" s="14" t="str">
        <x:v>SLA Target</x:v>
      </x:c>
      <x:c r="P3" s="14" t="str">
        <x:v>Notes</x:v>
      </x:c>
    </x:row>
    <x:row r="4">
      <x:c r="A4" s="30" t="n">
        <x:v>1</x:v>
      </x:c>
      <x:c r="B4" s="31" t="str">
        <x:v>PLOT Hunt/Reward</x:v>
      </x:c>
      <x:c r="C4" s="31" t="str">
        <x:v>Eligible reward completes</x:v>
      </x:c>
      <x:c r="D4" s="31" t="str">
        <x:v>ticker + reward USD</x:v>
      </x:c>
      <x:c r="E4" s="31" t="str">
        <x:v>Budget/integrity/source event</x:v>
      </x:c>
      <x:c r="F4" s="31" t="str">
        <x:v>Yes</x:v>
      </x:c>
      <x:c r="G4" s="31" t="str">
        <x:v>PENDING_NOTIONAL reward ledger</x:v>
      </x:c>
      <x:c r="H4" s="31" t="str">
        <x:v>No</x:v>
      </x:c>
      <x:c r="I4" s="31" t="str">
        <x:v>source_event+stock_reward</x:v>
      </x:c>
      <x:c r="J4" s="31" t="str">
        <x:v>Reward pending</x:v>
      </x:c>
      <x:c r="K4" s="31" t="str">
        <x:v>Unreserved</x:v>
      </x:c>
      <x:c r="L4" s="31" t="str">
        <x:v>No asset</x:v>
      </x:c>
      <x:c r="M4" s="31" t="str">
        <x:v>N/A</x:v>
      </x:c>
      <x:c r="N4" s="31" t="str">
        <x:v>Void/hold if integrity</x:v>
      </x:c>
      <x:c r="O4" s="31" t="str">
        <x:v>&lt;1s</x:v>
      </x:c>
      <x:c r="P4" s="32" t="str">
        <x:v>Gameplay completion never waits on financial provider</x:v>
      </x:c>
    </x:row>
    <x:row r="5">
      <x:c r="A5" s="33" t="n">
        <x:v>2</x:v>
      </x:c>
      <x:c r="B5" s="22" t="str">
        <x:v>PLOT Claim Service</x:v>
      </x:c>
      <x:c r="C5" s="22" t="str">
        <x:v>User opens claim</x:v>
      </x:c>
      <x:c r="D5" s="22" t="str">
        <x:v>aggregated ticker USD</x:v>
      </x:c>
      <x:c r="E5" s="22" t="str">
        <x:v>claim_min,age/KYC/geo/provider availability</x:v>
      </x:c>
      <x:c r="F5" s="22" t="str">
        <x:v>Yes</x:v>
      </x:c>
      <x:c r="G5" s="22" t="str">
        <x:v>claim record</x:v>
      </x:c>
      <x:c r="H5" s="22" t="str">
        <x:v>Eligibility/quote optional</x:v>
      </x:c>
      <x:c r="I5" s="22" t="str">
        <x:v>claim_id</x:v>
      </x:c>
      <x:c r="J5" s="22" t="str">
        <x:v>Claim eligible / restricted</x:v>
      </x:c>
      <x:c r="K5" s="22" t="str">
        <x:v>Reserve planned</x:v>
      </x:c>
      <x:c r="L5" s="22" t="str">
        <x:v>No asset</x:v>
      </x:c>
      <x:c r="M5" s="22" t="str">
        <x:v>Safe same-key</x:v>
      </x:c>
      <x:c r="N5" s="22" t="str">
        <x:v>Explain restriction</x:v>
      </x:c>
      <x:c r="O5" s="22" t="str">
        <x:v>&lt;500ms + provider</x:v>
      </x:c>
      <x:c r="P5" s="34" t="str"/>
    </x:row>
    <x:row r="6">
      <x:c r="A6" s="33" t="n">
        <x:v>3</x:v>
      </x:c>
      <x:c r="B6" s="22" t="str">
        <x:v>Provider KYC/Eligibility</x:v>
      </x:c>
      <x:c r="C6" s="22" t="str">
        <x:v>Claim requires financial onboarding</x:v>
      </x:c>
      <x:c r="D6" s="22" t="str">
        <x:v>user provider reference</x:v>
      </x:c>
      <x:c r="E6" s="22" t="str">
        <x:v>Provider eligibility</x:v>
      </x:c>
      <x:c r="F6" s="22" t="str">
        <x:v>External</x:v>
      </x:c>
      <x:c r="G6" s="22" t="str">
        <x:v>kyc status ref</x:v>
      </x:c>
      <x:c r="H6" s="22" t="str">
        <x:v>Provider</x:v>
      </x:c>
      <x:c r="I6" s="22" t="str">
        <x:v>provider_user+claim</x:v>
      </x:c>
      <x:c r="J6" s="22" t="str">
        <x:v>KYC pending</x:v>
      </x:c>
      <x:c r="K6" s="22" t="str">
        <x:v>Unreserved</x:v>
      </x:c>
      <x:c r="L6" s="22" t="str">
        <x:v>No asset</x:v>
      </x:c>
      <x:c r="M6" s="22" t="str">
        <x:v>Provider polling/webhook</x:v>
      </x:c>
      <x:c r="N6" s="22" t="str">
        <x:v>No order until pass</x:v>
      </x:c>
      <x:c r="O6" s="22" t="str">
        <x:v>Provider SLA</x:v>
      </x:c>
      <x:c r="P6" s="34" t="str">
        <x:v>PLOT stores minimal status only</x:v>
      </x:c>
    </x:row>
    <x:row r="7">
      <x:c r="A7" s="33" t="n">
        <x:v>4</x:v>
      </x:c>
      <x:c r="B7" s="22" t="str">
        <x:v>Treasury/Claim</x:v>
      </x:c>
      <x:c r="C7" s="22" t="str">
        <x:v>User confirms quote/claim</x:v>
      </x:c>
      <x:c r="D7" s="22" t="str">
        <x:v>claim USD</x:v>
      </x:c>
      <x:c r="E7" s="22" t="str">
        <x:v>Funding reserve &gt;= amount+buffer</x:v>
      </x:c>
      <x:c r="F7" s="22" t="str">
        <x:v>Yes</x:v>
      </x:c>
      <x:c r="G7" s="22" t="str">
        <x:v>funding reservation</x:v>
      </x:c>
      <x:c r="H7" s="22" t="str">
        <x:v>Provider quote/order</x:v>
      </x:c>
      <x:c r="I7" s="22" t="str">
        <x:v>claim_id as client order id</x:v>
      </x:c>
      <x:c r="J7" s="22" t="str">
        <x:v>Order submitted</x:v>
      </x:c>
      <x:c r="K7" s="22" t="str">
        <x:v>Reserved</x:v>
      </x:c>
      <x:c r="L7" s="22" t="str">
        <x:v>No final asset</x:v>
      </x:c>
      <x:c r="M7" s="22" t="str">
        <x:v>Same external ref</x:v>
      </x:c>
      <x:c r="N7" s="22" t="str">
        <x:v>Release reservation on definitive failure</x:v>
      </x:c>
      <x:c r="O7" s="22" t="str">
        <x:v>&lt;2s API ack</x:v>
      </x:c>
      <x:c r="P7" s="34" t="str"/>
    </x:row>
    <x:row r="8">
      <x:c r="A8" s="33" t="n">
        <x:v>5</x:v>
      </x:c>
      <x:c r="B8" s="22" t="str">
        <x:v>Provider</x:v>
      </x:c>
      <x:c r="C8" s="22" t="str">
        <x:v>Order executes</x:v>
      </x:c>
      <x:c r="D8" s="22" t="str">
        <x:v>USD amount + asset</x:v>
      </x:c>
      <x:c r="E8" s="22" t="str">
        <x:v>Provider rules</x:v>
      </x:c>
      <x:c r="F8" s="22" t="str">
        <x:v>External</x:v>
      </x:c>
      <x:c r="G8" s="22" t="str">
        <x:v>fill record</x:v>
      </x:c>
      <x:c r="H8" s="22" t="str">
        <x:v>Execution</x:v>
      </x:c>
      <x:c r="I8" s="22" t="str">
        <x:v>provider_order_id</x:v>
      </x:c>
      <x:c r="J8" s="22" t="str">
        <x:v>Settled</x:v>
      </x:c>
      <x:c r="K8" s="22" t="str">
        <x:v>Consumed/settled</x:v>
      </x:c>
      <x:c r="L8" s="22" t="str">
        <x:v>Real provider units created/acquired</x:v>
      </x:c>
      <x:c r="M8" s="22" t="str">
        <x:v>Poll/webhook</x:v>
      </x:c>
      <x:c r="N8" s="22" t="str">
        <x:v>Reconciliation hold on mismatch</x:v>
      </x:c>
      <x:c r="O8" s="22" t="str">
        <x:v>Provider SLA</x:v>
      </x:c>
      <x:c r="P8" s="34" t="str">
        <x:v>Final units set here</x:v>
      </x:c>
    </x:row>
    <x:row r="9">
      <x:c r="A9" s="33" t="n">
        <x:v>6</x:v>
      </x:c>
      <x:c r="B9" s="22" t="str">
        <x:v>Provider</x:v>
      </x:c>
      <x:c r="C9" s="22" t="str">
        <x:v>Credits user/provider account</x:v>
      </x:c>
      <x:c r="D9" s="22" t="str">
        <x:v>fill</x:v>
      </x:c>
      <x:c r="E9" s="22" t="str">
        <x:v>User account active</x:v>
      </x:c>
      <x:c r="F9" s="22" t="str">
        <x:v>External</x:v>
      </x:c>
      <x:c r="G9" s="22" t="str">
        <x:v>delivery ref</x:v>
      </x:c>
      <x:c r="H9" s="22" t="str">
        <x:v>Balance/status</x:v>
      </x:c>
      <x:c r="I9" s="22" t="str">
        <x:v>fill_id</x:v>
      </x:c>
      <x:c r="J9" s="22" t="str">
        <x:v>Delivered</x:v>
      </x:c>
      <x:c r="K9" s="22" t="str">
        <x:v>Spent</x:v>
      </x:c>
      <x:c r="L9" s="22" t="str">
        <x:v>User provider balance</x:v>
      </x:c>
      <x:c r="M9" s="22" t="str">
        <x:v>Poll/webhook</x:v>
      </x:c>
      <x:c r="N9" s="22" t="str">
        <x:v>Support/reconcile</x:v>
      </x:c>
      <x:c r="O9" s="22" t="str">
        <x:v>Minutes</x:v>
      </x:c>
      <x:c r="P9" s="34" t="str">
        <x:v>Preferred custody boundary</x:v>
      </x:c>
    </x:row>
    <x:row r="10">
      <x:c r="A10" s="33" t="n">
        <x:v>7</x:v>
      </x:c>
      <x:c r="B10" s="22" t="str">
        <x:v>PLOT Reconciliation</x:v>
      </x:c>
      <x:c r="C10" s="22" t="str">
        <x:v>Webhook + scheduled repair</x:v>
      </x:c>
      <x:c r="D10" s="22" t="str">
        <x:v>order/fill/balance</x:v>
      </x:c>
      <x:c r="E10" s="22" t="str">
        <x:v>Amounts/units/fees exact</x:v>
      </x:c>
      <x:c r="F10" s="22" t="str">
        <x:v>Async</x:v>
      </x:c>
      <x:c r="G10" s="22" t="str">
        <x:v>reconciliation record</x:v>
      </x:c>
      <x:c r="H10" s="22" t="str">
        <x:v>Provider balance/status</x:v>
      </x:c>
      <x:c r="I10" s="22" t="str">
        <x:v>fill_id</x:v>
      </x:c>
      <x:c r="J10" s="22" t="str">
        <x:v>Delivered</x:v>
      </x:c>
      <x:c r="K10" s="22" t="str">
        <x:v>Matched</x:v>
      </x:c>
      <x:c r="L10" s="22" t="str">
        <x:v>Matched</x:v>
      </x:c>
      <x:c r="M10" s="22" t="str">
        <x:v>Retry</x:v>
      </x:c>
      <x:c r="N10" s="22" t="str">
        <x:v>Hold new claims if systemic mismatch</x:v>
      </x:c>
      <x:c r="O10" s="22" t="str">
        <x:v>&lt;15m</x:v>
      </x:c>
      <x:c r="P10" s="34" t="str">
        <x:v>Daily full reconciliation too</x:v>
      </x:c>
    </x:row>
    <x:row r="11">
      <x:c r="A11" s="35" t="n">
        <x:v>8</x:v>
      </x:c>
      <x:c r="B11" s="36" t="str">
        <x:v>Provider Withdrawal (later)</x:v>
      </x:c>
      <x:c r="C11" s="36" t="str">
        <x:v>User requests self-custody</x:v>
      </x:c>
      <x:c r="D11" s="36" t="str">
        <x:v>asset units + wallet</x:v>
      </x:c>
      <x:c r="E11" s="36" t="str">
        <x:v>KYC/geo/chain/wallet/provider limits</x:v>
      </x:c>
      <x:c r="F11" s="36" t="str">
        <x:v>External</x:v>
      </x:c>
      <x:c r="G11" s="36" t="str">
        <x:v>withdrawal record</x:v>
      </x:c>
      <x:c r="H11" s="36" t="str">
        <x:v>Provider withdrawal</x:v>
      </x:c>
      <x:c r="I11" s="36" t="str">
        <x:v>withdrawal_id</x:v>
      </x:c>
      <x:c r="J11" s="36" t="str">
        <x:v>Withdrawal pending</x:v>
      </x:c>
      <x:c r="K11" s="36" t="str">
        <x:v>N/A</x:v>
      </x:c>
      <x:c r="L11" s="36" t="str">
        <x:v>Moving</x:v>
      </x:c>
      <x:c r="M11" s="36" t="str">
        <x:v>Provider/chain retry</x:v>
      </x:c>
      <x:c r="N11" s="36" t="str">
        <x:v>Never duplicate withdrawal</x:v>
      </x:c>
      <x:c r="O11" s="36" t="str">
        <x:v>Provider/chain SLA</x:v>
      </x:c>
      <x:c r="P11" s="37" t="str">
        <x:v>PLOT should not manage private keys</x:v>
      </x:c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Reward Funding, Liquidity &amp; Treasury Model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22"/>
      <x:c r="P1" s="22"/>
      <x:c r="Q1" s="22"/>
    </x:row>
    <x:row r="3">
      <x:c r="A3" s="14" t="str">
        <x:v>Input</x:v>
      </x:c>
      <x:c r="B3" s="14" t="str">
        <x:v>Value</x:v>
      </x:c>
    </x:row>
    <x:row r="4">
      <x:c r="A4" t="str">
        <x:v>Weekly Stock Reward Budget</x:v>
      </x:c>
      <x:c r="B4" s="46" t="n">
        <x:v>5000</x:v>
      </x:c>
    </x:row>
    <x:row r="5">
      <x:c r="A5" t="str">
        <x:v>Funding Buffer</x:v>
      </x:c>
      <x:c r="B5" s="48" t="n">
        <x:v>0.05</x:v>
      </x:c>
    </x:row>
    <x:row r="6">
      <x:c r="A6" t="str">
        <x:v>Default Real Claim Minimum</x:v>
      </x:c>
      <x:c r="B6" s="46" t="n">
        <x:v>1</x:v>
      </x:c>
    </x:row>
    <x:row r="7">
      <x:c r="A7" t="str">
        <x:v>Provider Fee Assumption</x:v>
      </x:c>
      <x:c r="B7" s="48" t="n">
        <x:v>0.0025</x:v>
      </x:c>
    </x:row>
    <x:row r="8">
      <x:c r="A8" t="str">
        <x:v>Execution Slippage Buffer</x:v>
      </x:c>
      <x:c r="B8" s="48" t="n">
        <x:v>0.0015</x:v>
      </x:c>
    </x:row>
    <x:row r="9">
      <x:c r="A9" t="str">
        <x:v>Claim Conversion Rate Assumption</x:v>
      </x:c>
      <x:c r="B9" s="48" t="n">
        <x:v>0.6</x:v>
      </x:c>
    </x:row>
    <x:row r="10">
      <x:c r="A10" t="str">
        <x:v>Peak Claim Day Share</x:v>
      </x:c>
      <x:c r="B10" s="48" t="n">
        <x:v>0.35</x:v>
      </x:c>
    </x:row>
    <x:row r="11">
      <x:c r="A11" t="str">
        <x:v>Batch / Reconciliation Interval</x:v>
      </x:c>
      <x:c r="B11" s="50" t="n">
        <x:v>6</x:v>
      </x:c>
    </x:row>
    <x:row r="12">
      <x:c r="A12" t="str">
        <x:v>Treasury Stop-Loss / Funding Alert</x:v>
      </x:c>
      <x:c r="B12" s="48" t="n">
        <x:v>0.8</x:v>
      </x:c>
    </x:row>
    <x:row r="13">
      <x:c r="A13" t="str">
        <x:v>Hard Funding Pause</x:v>
      </x:c>
      <x:c r="B13" s="48" t="n">
        <x:v>0.95</x:v>
      </x:c>
    </x:row>
    <x:row r="15" ht="22" customHeight="1">
      <x:c r="A15" s="11" t="str">
        <x:v>Derived Funding Requirements</x:v>
      </x:c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</x:row>
    <x:row r="16">
      <x:c r="A16" s="14" t="str">
        <x:v>Metric</x:v>
      </x:c>
      <x:c r="B16" s="14" t="str">
        <x:v>Formula / Logic</x:v>
      </x:c>
      <x:c r="C16" s="14" t="str">
        <x:v>Value</x:v>
      </x:c>
      <x:c r="D16" s="14" t="str">
        <x:v>Interpretation</x:v>
      </x:c>
    </x:row>
    <x:row r="17">
      <x:c r="A17" s="30" t="str">
        <x:v>Weekly funded reserve target</x:v>
      </x:c>
      <x:c r="B17" s="31" t="str">
        <x:v>Budget × (1+buffer)</x:v>
      </x:c>
      <x:c r="C17" s="52" t="n">
        <x:f>$B$4*(1+$B$5)</x:f>
        <x:v>5250</x:v>
      </x:c>
      <x:c r="D17" s="32" t="str">
        <x:v>Illustrative operational funding target; legal treatment of segregated funds requires counsel/provider agreement.</x:v>
      </x:c>
    </x:row>
    <x:row r="18">
      <x:c r="A18" s="33" t="str">
        <x:v>Expected weekly real claims</x:v>
      </x:c>
      <x:c r="B18" s="22" t="str">
        <x:v>Budget × conversion rate</x:v>
      </x:c>
      <x:c r="C18" s="53" t="n">
        <x:f>$B$4*$B$9</x:f>
        <x:v>3000</x:v>
      </x:c>
      <x:c r="D18" s="34" t="str">
        <x:v>Only real claims consume provider funding in provider-direct model.</x:v>
      </x:c>
    </x:row>
    <x:row r="19">
      <x:c r="A19" s="33" t="str">
        <x:v>Estimated provider fees</x:v>
      </x:c>
      <x:c r="B19" s="22" t="str">
        <x:v>Expected claims × fee assumption</x:v>
      </x:c>
      <x:c r="C19" s="53" t="n">
        <x:f>C18*$B$7</x:f>
        <x:v>7.5</x:v>
      </x:c>
      <x:c r="D19" s="34" t="str">
        <x:v>Replace with contracted provider fee schedule.</x:v>
      </x:c>
    </x:row>
    <x:row r="20">
      <x:c r="A20" s="33" t="str">
        <x:v>Execution/slippage reserve</x:v>
      </x:c>
      <x:c r="B20" s="22" t="str">
        <x:v>Expected claims × slippage buffer</x:v>
      </x:c>
      <x:c r="C20" s="53" t="n">
        <x:f>C18*$B$8</x:f>
        <x:v>4.5</x:v>
      </x:c>
      <x:c r="D20" s="34" t="str">
        <x:v>Protects treasury against execution variance; final user units still derive from actual fill.</x:v>
      </x:c>
    </x:row>
    <x:row r="21">
      <x:c r="A21" s="33" t="str">
        <x:v>Peak-day claim funding</x:v>
      </x:c>
      <x:c r="B21" s="22" t="str">
        <x:v>Expected claims × peak-day share</x:v>
      </x:c>
      <x:c r="C21" s="53" t="n">
        <x:f>C18*$B$10</x:f>
        <x:v>1050</x:v>
      </x:c>
      <x:c r="D21" s="34" t="str">
        <x:v>Sizing for liquidity timing.</x:v>
      </x:c>
    </x:row>
    <x:row r="22">
      <x:c r="A22" s="35" t="str">
        <x:v>Unclaimed/not-yet-real portion</x:v>
      </x:c>
      <x:c r="B22" s="36" t="str">
        <x:v>Budget - expected claims</x:v>
      </x:c>
      <x:c r="C22" s="54" t="n">
        <x:f>$B$4-C18</x:f>
        <x:v>2000</x:v>
      </x:c>
      <x:c r="D22" s="37" t="str">
        <x:v>Remains simulated/pending and should not be represented as backed stock.</x:v>
      </x:c>
    </x:row>
    <x:row r="24" ht="22" customHeight="1">
      <x:c r="A24" s="11" t="str">
        <x:v>Treasury Rules</x:v>
      </x:c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</x:row>
    <x:row r="25">
      <x:c r="A25" s="14" t="str">
        <x:v>Rule</x:v>
      </x:c>
      <x:c r="B25" s="14" t="str">
        <x:v>Canonical Decision</x:v>
      </x:c>
    </x:row>
    <x:row r="26">
      <x:c r="A26" s="30" t="str">
        <x:v>No fixed stock units before execution</x:v>
      </x:c>
      <x:c r="B26" s="32" t="str">
        <x:v>Real reward obligation is USD notional until provider settles.</x:v>
      </x:c>
    </x:row>
    <x:row r="27">
      <x:c r="A27" s="33" t="str">
        <x:v>No rehypothecation assumption</x:v>
      </x:c>
      <x:c r="B27" s="34" t="str">
        <x:v>Reward funding reserve is not used as trading capital.</x:v>
      </x:c>
    </x:row>
    <x:row r="28">
      <x:c r="A28" s="33" t="str">
        <x:v>Funding alert</x:v>
      </x:c>
      <x:c r="B28" s="34" t="str">
        <x:v>At 80% of configured weekly reward budget/reserve utilization, restrict new real-stock claims or reduce future reward issuance according to LiveOps rules.</x:v>
      </x:c>
    </x:row>
    <x:row r="29">
      <x:c r="A29" s="33" t="str">
        <x:v>Hard pause</x:v>
      </x:c>
      <x:c r="B29" s="34" t="str">
        <x:v>At 95% utilization or provider funding failure, stop new real-asset claim submissions; gameplay rewards can remain simulated/pending only if terms allow.</x:v>
      </x:c>
    </x:row>
    <x:row r="30">
      <x:c r="A30" s="33" t="str">
        <x:v>Per-ticker concentration</x:v>
      </x:c>
      <x:c r="B30" s="34" t="str">
        <x:v>Optional cap per ticker to avoid treasury/provider liquidity concentration; default 25% of weekly real-stock budget per ticker.</x:v>
      </x:c>
    </x:row>
    <x:row r="31">
      <x:c r="A31" s="35" t="str">
        <x:v>No user-loss socialization</x:v>
      </x:c>
      <x:c r="B31" s="37" t="str">
        <x:v>A provider/treasury failure must not silently haircut a settled/delivered user balance.</x:v>
      </x:c>
    </x:row>
  </x:sheetData>
  <x:mergeCells>
    <x:mergeCell ref="A1:N1"/>
    <x:mergeCell ref="A15:N15"/>
    <x:mergeCell ref="A24:N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Custody Boundary — Preferred vs Rejected Models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Model</x:v>
      </x:c>
      <x:c r="B3" s="14" t="str">
        <x:v>Who Holds Underlying / Token?</x:v>
      </x:c>
      <x:c r="C3" s="14" t="str">
        <x:v>Who Keeps User Subledger?</x:v>
      </x:c>
      <x:c r="D3" s="14" t="str">
        <x:v>PLOT Private Keys?</x:v>
      </x:c>
      <x:c r="E3" s="14" t="str">
        <x:v>Client Asset Risk</x:v>
      </x:c>
      <x:c r="F3" s="14" t="str">
        <x:v>Reconciliation Burden</x:v>
      </x:c>
      <x:c r="G3" s="14" t="str">
        <x:v>Withdrawal Complexity</x:v>
      </x:c>
      <x:c r="H3" s="14" t="str">
        <x:v>Provider Dependency</x:v>
      </x:c>
      <x:c r="I3" s="14" t="str">
        <x:v>Licensing Burden</x:v>
      </x:c>
      <x:c r="J3" s="14" t="str">
        <x:v>MVP Fit</x:v>
      </x:c>
      <x:c r="K3" s="14" t="str">
        <x:v>User Experience</x:v>
      </x:c>
      <x:c r="L3" s="14" t="str">
        <x:v>Failure Mode</x:v>
      </x:c>
      <x:c r="M3" s="14" t="str">
        <x:v>Canonical?</x:v>
      </x:c>
      <x:c r="N3" s="14" t="str">
        <x:v>Phase</x:v>
      </x:c>
      <x:c r="O3" s="14" t="str">
        <x:v>Control</x:v>
      </x:c>
      <x:c r="P3" s="14" t="str">
        <x:v>Notes</x:v>
      </x:c>
    </x:row>
    <x:row r="4">
      <x:c r="A4" s="30" t="str">
        <x:v>Simulation</x:v>
      </x:c>
      <x:c r="B4" s="31" t="str">
        <x:v>Nobody</x:v>
      </x:c>
      <x:c r="C4" s="31" t="str">
        <x:v>PLOT game ledger only</x:v>
      </x:c>
      <x:c r="D4" s="31" t="str">
        <x:v>No</x:v>
      </x:c>
      <x:c r="E4" s="31" t="str">
        <x:v>None</x:v>
      </x:c>
      <x:c r="F4" s="31" t="str">
        <x:v>Low</x:v>
      </x:c>
      <x:c r="G4" s="31" t="str">
        <x:v>None</x:v>
      </x:c>
      <x:c r="H4" s="31" t="str">
        <x:v>None</x:v>
      </x:c>
      <x:c r="I4" s="31" t="str">
        <x:v>Lowest</x:v>
      </x:c>
      <x:c r="J4" s="31" t="str">
        <x:v>Excellent</x:v>
      </x:c>
      <x:c r="K4" s="31" t="str">
        <x:v>User may misunderstand if copy is poor</x:v>
      </x:c>
      <x:c r="L4" s="31" t="str">
        <x:v>Yes</x:v>
      </x:c>
      <x:c r="M4" s="31" t="str">
        <x:v>P0/P1</x:v>
      </x:c>
      <x:c r="N4" s="31" t="str">
        <x:v>Prominent simulated label</x:v>
      </x:c>
      <x:c r="O4" s="31" t="str"/>
      <x:c r="P4" s="32"/>
    </x:row>
    <x:row r="5">
      <x:c r="A5" s="33" t="str">
        <x:v>Provider-direct user account</x:v>
      </x:c>
      <x:c r="B5" s="22" t="str">
        <x:v>Provider/custodian per product terms</x:v>
      </x:c>
      <x:c r="C5" s="22" t="str">
        <x:v>Provider; PLOT stores claim/order refs</x:v>
      </x:c>
      <x:c r="D5" s="22" t="str">
        <x:v>No</x:v>
      </x:c>
      <x:c r="E5" s="22" t="str">
        <x:v>Lowest preferred real-asset model</x:v>
      </x:c>
      <x:c r="F5" s="22" t="str">
        <x:v>Medium</x:v>
      </x:c>
      <x:c r="G5" s="22" t="str">
        <x:v>Provider handles</x:v>
      </x:c>
      <x:c r="H5" s="22" t="str">
        <x:v>High</x:v>
      </x:c>
      <x:c r="I5" s="22" t="str">
        <x:v>Provider + PLOT activity still needs review</x:v>
      </x:c>
      <x:c r="J5" s="22" t="str">
        <x:v>Good</x:v>
      </x:c>
      <x:c r="K5" s="22" t="str">
        <x:v>Provider outage blocks claim, not gameplay</x:v>
      </x:c>
      <x:c r="L5" s="22" t="str">
        <x:v>Yes</x:v>
      </x:c>
      <x:c r="M5" s="22" t="str">
        <x:v>P2</x:v>
      </x:c>
      <x:c r="N5" s="22" t="str">
        <x:v>Reconcile fills/status; contractual responsibility matrix</x:v>
      </x:c>
      <x:c r="O5" s="22" t="str">
        <x:v>Preferred</x:v>
      </x:c>
      <x:c r="P5" s="34"/>
    </x:row>
    <x:row r="6">
      <x:c r="A6" s="33" t="str">
        <x:v>Provider omnibus + PLOT beneficial subledger</x:v>
      </x:c>
      <x:c r="B6" s="22" t="str">
        <x:v>Provider holds pooled assets</x:v>
      </x:c>
      <x:c r="C6" s="22" t="str">
        <x:v>PLOT</x:v>
      </x:c>
      <x:c r="D6" s="22" t="str">
        <x:v>No/possibly provider keys</x:v>
      </x:c>
      <x:c r="E6" s="22" t="str">
        <x:v>High</x:v>
      </x:c>
      <x:c r="F6" s="22" t="str">
        <x:v>High</x:v>
      </x:c>
      <x:c r="G6" s="22" t="str">
        <x:v>PLOT must allocate ownership</x:v>
      </x:c>
      <x:c r="H6" s="22" t="str">
        <x:v>High</x:v>
      </x:c>
      <x:c r="I6" s="22" t="str">
        <x:v>High</x:v>
      </x:c>
      <x:c r="J6" s="22" t="str">
        <x:v>Poor for early phase</x:v>
      </x:c>
      <x:c r="K6" s="22" t="str">
        <x:v>Smooth in-app balance</x:v>
      </x:c>
      <x:c r="L6" s="22" t="str">
        <x:v>Custody mismatch / insolvency allocation</x:v>
      </x:c>
      <x:c r="M6" s="22" t="str">
        <x:v>No preferred</x:v>
      </x:c>
      <x:c r="N6" s="22" t="str">
        <x:v>Later only</x:v>
      </x:c>
      <x:c r="O6" s="22" t="str">
        <x:v>Requires legal structure + daily reserve proof</x:v>
      </x:c>
      <x:c r="P6" s="34" t="str"/>
    </x:row>
    <x:row r="7">
      <x:c r="A7" s="33" t="str">
        <x:v>PLOT self-custody wallets</x:v>
      </x:c>
      <x:c r="B7" s="22" t="str">
        <x:v>PLOT wallets hold tokens</x:v>
      </x:c>
      <x:c r="C7" s="22" t="str">
        <x:v>PLOT</x:v>
      </x:c>
      <x:c r="D7" s="22" t="str">
        <x:v>Yes/HSM/MPC</x:v>
      </x:c>
      <x:c r="E7" s="22" t="str">
        <x:v>Very High</x:v>
      </x:c>
      <x:c r="F7" s="22" t="str">
        <x:v>High</x:v>
      </x:c>
      <x:c r="G7" s="22" t="str">
        <x:v>PLOT executes withdrawals</x:v>
      </x:c>
      <x:c r="H7" s="22" t="str">
        <x:v>Medium</x:v>
      </x:c>
      <x:c r="I7" s="22" t="str">
        <x:v>Very High</x:v>
      </x:c>
      <x:c r="J7" s="22" t="str">
        <x:v>No</x:v>
      </x:c>
      <x:c r="K7" s="22" t="str">
        <x:v>Smooth if built</x:v>
      </x:c>
      <x:c r="L7" s="22" t="str">
        <x:v>Key compromise / safeguarding</x:v>
      </x:c>
      <x:c r="M7" s="22" t="str">
        <x:v>No</x:v>
      </x:c>
      <x:c r="N7" s="22" t="str">
        <x:v>Do not use</x:v>
      </x:c>
      <x:c r="O7" s="22" t="str">
        <x:v>Would require serious custody program</x:v>
      </x:c>
      <x:c r="P7" s="34" t="str"/>
    </x:row>
    <x:row r="8">
      <x:c r="A8" s="35" t="str">
        <x:v>User self-custody from provider</x:v>
      </x:c>
      <x:c r="B8" s="36" t="str">
        <x:v>User wallet after provider withdrawal</x:v>
      </x:c>
      <x:c r="C8" s="36" t="str">
        <x:v>User wallet</x:v>
      </x:c>
      <x:c r="D8" s="36" t="str">
        <x:v>No</x:v>
      </x:c>
      <x:c r="E8" s="36" t="str">
        <x:v>Low after withdrawal</x:v>
      </x:c>
      <x:c r="F8" s="36" t="str">
        <x:v>Medium</x:v>
      </x:c>
      <x:c r="G8" s="36" t="str">
        <x:v>High</x:v>
      </x:c>
      <x:c r="H8" s="36" t="str">
        <x:v>High</x:v>
      </x:c>
      <x:c r="I8" s="36" t="str">
        <x:v>High</x:v>
      </x:c>
      <x:c r="J8" s="36" t="str">
        <x:v>Later</x:v>
      </x:c>
      <x:c r="K8" s="36" t="str">
        <x:v>Highest crypto-native control</x:v>
      </x:c>
      <x:c r="L8" s="36" t="str">
        <x:v>Wrong chain/address / blocked wallet</x:v>
      </x:c>
      <x:c r="M8" s="36" t="str">
        <x:v>Yes later</x:v>
      </x:c>
      <x:c r="N8" s="36" t="str">
        <x:v>P3</x:v>
      </x:c>
      <x:c r="O8" s="36" t="str">
        <x:v>Provider wallet checks + irreversible-transfer warning</x:v>
      </x:c>
      <x:c r="P8" s="37" t="str"/>
    </x:row>
  </x:sheetData>
  <x:mergeCells>
    <x:mergeCell ref="A1:P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Corporate Actions &amp; Economic Benefits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Action</x:v>
      </x:c>
      <x:c r="B3" s="14" t="str">
        <x:v>Simulation Phase</x:v>
      </x:c>
      <x:c r="C3" s="14" t="str">
        <x:v>Provider-Claim Phase</x:v>
      </x:c>
      <x:c r="D3" s="14" t="str">
        <x:v>PLOT Responsibility</x:v>
      </x:c>
      <x:c r="E3" s="14" t="str">
        <x:v>Provider Responsibility</x:v>
      </x:c>
      <x:c r="F3" s="14" t="str">
        <x:v>User Right Assumption</x:v>
      </x:c>
      <x:c r="G3" s="14" t="str">
        <x:v>Data Needed</x:v>
      </x:c>
      <x:c r="H3" s="14" t="str">
        <x:v>Ledger Entry</x:v>
      </x:c>
      <x:c r="I3" s="14" t="str">
        <x:v>Timing</x:v>
      </x:c>
      <x:c r="J3" s="14" t="str">
        <x:v>Fraction Handling</x:v>
      </x:c>
      <x:c r="K3" s="14" t="str">
        <x:v>Tax Data</x:v>
      </x:c>
      <x:c r="L3" s="14" t="str">
        <x:v>Failure Handling</x:v>
      </x:c>
      <x:c r="M3" s="14" t="str">
        <x:v>Performance Effect</x:v>
      </x:c>
      <x:c r="N3" s="14" t="str">
        <x:v>Withdrawal Impact</x:v>
      </x:c>
      <x:c r="O3" s="14" t="str">
        <x:v>Priority</x:v>
      </x:c>
      <x:c r="P3" s="14" t="str">
        <x:v>Notes</x:v>
      </x:c>
    </x:row>
    <x:row r="4">
      <x:c r="A4" s="30" t="str">
        <x:v>Cash dividend</x:v>
      </x:c>
      <x:c r="B4" s="31" t="str">
        <x:v>Reference-only; optional simulated visual update; no real entitlement</x:v>
      </x:c>
      <x:c r="C4" s="31" t="str">
        <x:v>Follow provider product mechanics (e.g., rebasing/reinvestment/cash equivalent)</x:v>
      </x:c>
      <x:c r="D4" s="31" t="str">
        <x:v>Mirror provider-confirmed change; do not invent entitlement</x:v>
      </x:c>
      <x:c r="E4" s="31" t="str">
        <x:v>Calculate/apply according to token terms</x:v>
      </x:c>
      <x:c r="F4" s="31" t="str">
        <x:v>No shareholder right unless provider product explicitly grants it</x:v>
      </x:c>
      <x:c r="G4" s="31" t="str">
        <x:v>provider corporate-action event, record date, amount</x:v>
      </x:c>
      <x:c r="H4" s="31" t="str">
        <x:v>provider_adjustment</x:v>
      </x:c>
      <x:c r="I4" s="31" t="str">
        <x:v>Provider-specific</x:v>
      </x:c>
      <x:c r="J4" s="31" t="str">
        <x:v>Provider rule</x:v>
      </x:c>
      <x:c r="K4" s="31" t="str">
        <x:v>Provider/tax statements</x:v>
      </x:c>
      <x:c r="L4" s="31" t="str">
        <x:v>Reconcile/hold display on mismatch</x:v>
      </x:c>
      <x:c r="M4" s="31" t="str">
        <x:v>0 direct</x:v>
      </x:c>
      <x:c r="N4" s="31" t="str">
        <x:v>Updated units/value travel with asset</x:v>
      </x:c>
      <x:c r="O4" s="31" t="str">
        <x:v>P1</x:v>
      </x:c>
      <x:c r="P4" s="32" t="str"/>
    </x:row>
    <x:row r="5">
      <x:c r="A5" s="33" t="str">
        <x:v>Stock split / reverse split</x:v>
      </x:c>
      <x:c r="B5" s="22" t="str">
        <x:v>Adjust simulated reference units/value neutrally</x:v>
      </x:c>
      <x:c r="C5" s="22" t="str">
        <x:v>Mirror provider adjustment</x:v>
      </x:c>
      <x:c r="D5" s="22" t="str">
        <x:v>Update display/history</x:v>
      </x:c>
      <x:c r="E5" s="22" t="str">
        <x:v>Apply actual token adjustment</x:v>
      </x:c>
      <x:c r="F5" s="22" t="str">
        <x:v>Economic exposure only per product terms</x:v>
      </x:c>
      <x:c r="G5" s="22" t="str">
        <x:v>ratio,effective_at</x:v>
      </x:c>
      <x:c r="H5" s="22" t="str">
        <x:v>asset_adjustment</x:v>
      </x:c>
      <x:c r="I5" s="22" t="str">
        <x:v>Effective time</x:v>
      </x:c>
      <x:c r="J5" s="22" t="str">
        <x:v>Exact decimals</x:v>
      </x:c>
      <x:c r="K5" s="22" t="str">
        <x:v>N/A</x:v>
      </x:c>
      <x:c r="L5" s="22" t="str">
        <x:v>Reconcile</x:v>
      </x:c>
      <x:c r="M5" s="22" t="str">
        <x:v>0 direct</x:v>
      </x:c>
      <x:c r="N5" s="22" t="str">
        <x:v>Units change</x:v>
      </x:c>
      <x:c r="O5" s="22" t="str">
        <x:v>P1</x:v>
      </x:c>
      <x:c r="P5" s="34" t="str"/>
    </x:row>
    <x:row r="6">
      <x:c r="A6" s="33" t="str">
        <x:v>Merger / acquisition</x:v>
      </x:c>
      <x:c r="B6" s="22" t="str">
        <x:v>Simulated reference mapping only</x:v>
      </x:c>
      <x:c r="C6" s="22" t="str">
        <x:v>Follow provider conversion/cash-out/suspension</x:v>
      </x:c>
      <x:c r="D6" s="22" t="str">
        <x:v>Surface status</x:v>
      </x:c>
      <x:c r="E6" s="22" t="str">
        <x:v>Execute product terms</x:v>
      </x:c>
      <x:c r="F6" s="22" t="str">
        <x:v>Provider contract rights only</x:v>
      </x:c>
      <x:c r="G6" s="22" t="str">
        <x:v>action type, successor asset, cash terms</x:v>
      </x:c>
      <x:c r="H6" s="22" t="str">
        <x:v>asset_conversion</x:v>
      </x:c>
      <x:c r="I6" s="22" t="str">
        <x:v>Provider-specific</x:v>
      </x:c>
      <x:c r="J6" s="22" t="str">
        <x:v>Provider rule</x:v>
      </x:c>
      <x:c r="K6" s="22" t="str">
        <x:v>Possible</x:v>
      </x:c>
      <x:c r="L6" s="22" t="str">
        <x:v>Hold claims during uncertain mapping</x:v>
      </x:c>
      <x:c r="M6" s="22" t="str">
        <x:v>0 direct</x:v>
      </x:c>
      <x:c r="N6" s="22" t="str">
        <x:v>May suspend</x:v>
      </x:c>
      <x:c r="O6" s="22" t="str">
        <x:v>P2</x:v>
      </x:c>
      <x:c r="P6" s="34" t="str"/>
    </x:row>
    <x:row r="7">
      <x:c r="A7" s="33" t="str">
        <x:v>Delisting / trading halt</x:v>
      </x:c>
      <x:c r="B7" s="22" t="str">
        <x:v>Freeze simulated reference pricing with label</x:v>
      </x:c>
      <x:c r="C7" s="22" t="str">
        <x:v>Provider may suspend redemption/trading/withdrawal</x:v>
      </x:c>
      <x:c r="D7" s="22" t="str">
        <x:v>Disable new claims/rewards for ticker</x:v>
      </x:c>
      <x:c r="E7" s="22" t="str">
        <x:v>Enforce provider restrictions</x:v>
      </x:c>
      <x:c r="F7" s="22" t="str">
        <x:v>No guarantee of immediate liquidity</x:v>
      </x:c>
      <x:c r="G7" s="22" t="str">
        <x:v>halt status,last tradable quote</x:v>
      </x:c>
      <x:c r="H7" s="22" t="str">
        <x:v>asset_status</x:v>
      </x:c>
      <x:c r="I7" s="22" t="str">
        <x:v>Immediate</x:v>
      </x:c>
      <x:c r="J7" s="22" t="str">
        <x:v>N/A</x:v>
      </x:c>
      <x:c r="K7" s="22" t="str">
        <x:v>N/A</x:v>
      </x:c>
      <x:c r="L7" s="22" t="str">
        <x:v>Fallback new rewards to approved ticker/Cash if configured</x:v>
      </x:c>
      <x:c r="M7" s="22" t="str">
        <x:v>0 direct</x:v>
      </x:c>
      <x:c r="N7" s="22" t="str">
        <x:v>May block withdrawal</x:v>
      </x:c>
      <x:c r="O7" s="22" t="str">
        <x:v>P1</x:v>
      </x:c>
      <x:c r="P7" s="34" t="str"/>
    </x:row>
    <x:row r="8">
      <x:c r="A8" s="35" t="str">
        <x:v>Voting</x:v>
      </x:c>
      <x:c r="B8" s="36" t="str">
        <x:v>None</x:v>
      </x:c>
      <x:c r="C8" s="36" t="str">
        <x:v>Assume none unless provider explicitly offers</x:v>
      </x:c>
      <x:c r="D8" s="36" t="str">
        <x:v>Do not market voting rights</x:v>
      </x:c>
      <x:c r="E8" s="36" t="str">
        <x:v>Provider/product-specific</x:v>
      </x:c>
      <x:c r="F8" s="36" t="str">
        <x:v>No default voting right</x:v>
      </x:c>
      <x:c r="G8" s="36" t="str">
        <x:v>N/A</x:v>
      </x:c>
      <x:c r="H8" s="36" t="str">
        <x:v>N/A</x:v>
      </x:c>
      <x:c r="I8" s="36" t="str">
        <x:v>N/A</x:v>
      </x:c>
      <x:c r="J8" s="36" t="str">
        <x:v>N/A</x:v>
      </x:c>
      <x:c r="K8" s="36" t="str">
        <x:v>N/A</x:v>
      </x:c>
      <x:c r="L8" s="36" t="str">
        <x:v>N/A</x:v>
      </x:c>
      <x:c r="M8" s="36" t="str">
        <x:v>0</x:v>
      </x:c>
      <x:c r="N8" s="36" t="str">
        <x:v>None</x:v>
      </x:c>
      <x:c r="O8" s="36" t="str">
        <x:v>P0</x:v>
      </x:c>
      <x:c r="P8" s="37" t="str">
        <x:v>Current tokenized-stock products may not confer voting rights</x:v>
      </x:c>
    </x:row>
  </x:sheetData>
  <x:mergeCells>
    <x:mergeCell ref="A1:P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Pricing, Quotes &amp; Market-Hours Rules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Situation</x:v>
      </x:c>
      <x:c r="B3" s="14" t="str">
        <x:v>Simulation Display</x:v>
      </x:c>
      <x:c r="C3" s="14" t="str">
        <x:v>Real Claim Pricing</x:v>
      </x:c>
      <x:c r="D3" s="14" t="str">
        <x:v>Units Fixed?</x:v>
      </x:c>
      <x:c r="E3" s="14" t="str">
        <x:v>Quote TTL</x:v>
      </x:c>
      <x:c r="F3" s="14" t="str">
        <x:v>Market Closed?</x:v>
      </x:c>
      <x:c r="G3" s="14" t="str">
        <x:v>Provider Unavailable?</x:v>
      </x:c>
      <x:c r="H3" s="14" t="str">
        <x:v>Weekend</x:v>
      </x:c>
      <x:c r="I3" s="14" t="str">
        <x:v>Volatility Control</x:v>
      </x:c>
      <x:c r="J3" s="14" t="str">
        <x:v>Slippage Treatment</x:v>
      </x:c>
      <x:c r="K3" s="14" t="str">
        <x:v>User Copy</x:v>
      </x:c>
      <x:c r="L3" s="14" t="str">
        <x:v>Treasury Risk</x:v>
      </x:c>
      <x:c r="M3" s="14" t="str">
        <x:v>Ledger Fields</x:v>
      </x:c>
      <x:c r="N3" s="14" t="str">
        <x:v>Performance Effect</x:v>
      </x:c>
      <x:c r="O3" s="14" t="str">
        <x:v>Priority</x:v>
      </x:c>
      <x:c r="P3" s="14" t="str">
        <x:v>Notes</x:v>
      </x:c>
    </x:row>
    <x:row r="4">
      <x:c r="A4" s="30" t="str">
        <x:v>Reward earned</x:v>
      </x:c>
      <x:c r="B4" s="31" t="str">
        <x:v>Latest approved reference price</x:v>
      </x:c>
      <x:c r="C4" s="31" t="str">
        <x:v>No execution yet</x:v>
      </x:c>
      <x:c r="D4" s="31" t="str">
        <x:v>No</x:v>
      </x:c>
      <x:c r="E4" s="31" t="str">
        <x:v>Display quote &lt;=60s if shown</x:v>
      </x:c>
      <x:c r="F4" s="31" t="str">
        <x:v>Reward still issues as USD pending</x:v>
      </x:c>
      <x:c r="G4" s="31" t="str">
        <x:v>Gameplay continues; claim disabled</x:v>
      </x:c>
      <x:c r="H4" s="31" t="str">
        <x:v>Same</x:v>
      </x:c>
      <x:c r="I4" s="31" t="str">
        <x:v>None needed for USD notional</x:v>
      </x:c>
      <x:c r="J4" s="31" t="str">
        <x:v>N/A</x:v>
      </x:c>
      <x:c r="K4" s="31" t="str">
        <x:v>You earned $X toward TICKER; estimated units shown</x:v>
      </x:c>
      <x:c r="L4" s="31" t="str">
        <x:v>Low</x:v>
      </x:c>
      <x:c r="M4" s="31" t="str">
        <x:v>award_usd,reference_price,quote_time</x:v>
      </x:c>
      <x:c r="N4" s="31" t="str">
        <x:v>0 direct</x:v>
      </x:c>
      <x:c r="O4" s="31" t="str">
        <x:v>P0</x:v>
      </x:c>
      <x:c r="P4" s="32" t="str"/>
    </x:row>
    <x:row r="5">
      <x:c r="A5" s="33" t="str">
        <x:v>Claim preview</x:v>
      </x:c>
      <x:c r="B5" s="22" t="str">
        <x:v>Provider quote</x:v>
      </x:c>
      <x:c r="C5" s="22" t="str">
        <x:v>Provider quote</x:v>
      </x:c>
      <x:c r="D5" s="22" t="str">
        <x:v>No</x:v>
      </x:c>
      <x:c r="E5" s="22" t="str">
        <x:v>Provider-defined, default &lt;=30s</x:v>
      </x:c>
      <x:c r="F5" s="22" t="str">
        <x:v>If provider supports out-of-hours quote, use it; else wait</x:v>
      </x:c>
      <x:c r="G5" s="22" t="str">
        <x:v>Disable confirm</x:v>
      </x:c>
      <x:c r="H5" s="22" t="str">
        <x:v>Provider capability</x:v>
      </x:c>
      <x:c r="I5" s="22" t="str">
        <x:v>Warn if wide spread / volatility</x:v>
      </x:c>
      <x:c r="J5" s="22" t="str">
        <x:v>Show fees/slippage if user bears any</x:v>
      </x:c>
      <x:c r="K5" s="22" t="str">
        <x:v>Estimated only until execution</x:v>
      </x:c>
      <x:c r="L5" s="22" t="str">
        <x:v>Low/Medium</x:v>
      </x:c>
      <x:c r="M5" s="22" t="str">
        <x:v>quote_id,expires_at,estimated_units</x:v>
      </x:c>
      <x:c r="N5" s="22" t="str">
        <x:v>0</x:v>
      </x:c>
      <x:c r="O5" s="22" t="str">
        <x:v>P1</x:v>
      </x:c>
      <x:c r="P5" s="34" t="str"/>
    </x:row>
    <x:row r="6">
      <x:c r="A6" s="33" t="str">
        <x:v>Order execution</x:v>
      </x:c>
      <x:c r="B6" s="22" t="str">
        <x:v>N/A</x:v>
      </x:c>
      <x:c r="C6" s="22" t="str">
        <x:v>Actual provider execution price</x:v>
      </x:c>
      <x:c r="D6" s="22" t="str">
        <x:v>Yes at fill</x:v>
      </x:c>
      <x:c r="E6" s="22" t="str">
        <x:v>N/A</x:v>
      </x:c>
      <x:c r="F6" s="22" t="str">
        <x:v>Provider rules</x:v>
      </x:c>
      <x:c r="G6" s="22" t="str">
        <x:v>Retry same order ref</x:v>
      </x:c>
      <x:c r="H6" s="22" t="str">
        <x:v>Provider rules</x:v>
      </x:c>
      <x:c r="I6" s="22" t="str">
        <x:v>Provider controls / PLOT max slippage if supported</x:v>
      </x:c>
      <x:c r="J6" s="22" t="str">
        <x:v>PLOT funds actual USD claim; units vary</x:v>
      </x:c>
      <x:c r="K6" s="22" t="str">
        <x:v>Final units based on execution</x:v>
      </x:c>
      <x:c r="L6" s="22" t="str">
        <x:v>Minimal because USD obligation fixed</x:v>
      </x:c>
      <x:c r="M6" s="22" t="str">
        <x:v>fill_id,price,units,fees</x:v>
      </x:c>
      <x:c r="N6" s="22" t="str">
        <x:v>0</x:v>
      </x:c>
      <x:c r="O6" s="22" t="str">
        <x:v>P1</x:v>
      </x:c>
      <x:c r="P6" s="34" t="str"/>
    </x:row>
    <x:row r="7">
      <x:c r="A7" s="33" t="str">
        <x:v>Provider/market halt</x:v>
      </x:c>
      <x:c r="B7" s="22" t="str">
        <x:v>Freeze with stale marker</x:v>
      </x:c>
      <x:c r="C7" s="22" t="str">
        <x:v>No new order</x:v>
      </x:c>
      <x:c r="D7" s="22" t="str">
        <x:v>No</x:v>
      </x:c>
      <x:c r="E7" s="22" t="str">
        <x:v>N/A</x:v>
      </x:c>
      <x:c r="F7" s="22" t="str">
        <x:v>Yes</x:v>
      </x:c>
      <x:c r="G7" s="22" t="str">
        <x:v>Yes</x:v>
      </x:c>
      <x:c r="H7" s="22" t="str">
        <x:v>Yes</x:v>
      </x:c>
      <x:c r="I7" s="22" t="str">
        <x:v>No override</x:v>
      </x:c>
      <x:c r="J7" s="22" t="str">
        <x:v>No execution</x:v>
      </x:c>
      <x:c r="K7" s="22" t="str">
        <x:v>Temporarily unavailable</x:v>
      </x:c>
      <x:c r="L7" s="22" t="str">
        <x:v>None until reopening</x:v>
      </x:c>
      <x:c r="M7" s="22" t="str">
        <x:v>halt_reason,last_quote_time</x:v>
      </x:c>
      <x:c r="N7" s="22" t="str">
        <x:v>0</x:v>
      </x:c>
      <x:c r="O7" s="22" t="str">
        <x:v>P1</x:v>
      </x:c>
      <x:c r="P7" s="34" t="str"/>
    </x:row>
    <x:row r="8">
      <x:c r="A8" s="35" t="str">
        <x:v>Withdrawal</x:v>
      </x:c>
      <x:c r="B8" s="36" t="str">
        <x:v>Provider valuation only</x:v>
      </x:c>
      <x:c r="C8" s="36" t="str">
        <x:v>Not a buy/sell</x:v>
      </x:c>
      <x:c r="D8" s="36" t="str">
        <x:v>Units already fixed</x:v>
      </x:c>
      <x:c r="E8" s="36" t="str">
        <x:v>Provider</x:v>
      </x:c>
      <x:c r="F8" s="36" t="str">
        <x:v>N/A</x:v>
      </x:c>
      <x:c r="G8" s="36" t="str">
        <x:v>Block new withdrawal</x:v>
      </x:c>
      <x:c r="H8" s="36" t="str">
        <x:v>Provider chain availability</x:v>
      </x:c>
      <x:c r="I8" s="36" t="str">
        <x:v>Network/provider rules</x:v>
      </x:c>
      <x:c r="J8" s="36" t="str">
        <x:v>Withdrawal fee provider-specific</x:v>
      </x:c>
      <x:c r="K8" s="36" t="str">
        <x:v>Withdrawal does not change reward history</x:v>
      </x:c>
      <x:c r="L8" s="36" t="str">
        <x:v>None</x:v>
      </x:c>
      <x:c r="M8" s="36" t="str">
        <x:v>withdrawal quote/fee/tx</x:v>
      </x:c>
      <x:c r="N8" s="36" t="str">
        <x:v>0</x:v>
      </x:c>
      <x:c r="O8" s="36" t="str">
        <x:v>P2</x:v>
      </x:c>
      <x:c r="P8" s="37" t="str"/>
    </x:row>
  </x:sheetData>
  <x:mergeCells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KYC, Eligibility &amp; Geographic Controls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Control</x:v>
      </x:c>
      <x:c r="B3" s="14" t="str">
        <x:v>Simulation</x:v>
      </x:c>
      <x:c r="C3" s="14" t="str">
        <x:v>Real Claim</x:v>
      </x:c>
      <x:c r="D3" s="14" t="str">
        <x:v>Self-Custody</x:v>
      </x:c>
      <x:c r="E3" s="14" t="str">
        <x:v>Owner</x:v>
      </x:c>
      <x:c r="F3" s="14" t="str">
        <x:v>Source of Truth</x:v>
      </x:c>
      <x:c r="G3" s="14" t="str">
        <x:v>When Checked</x:v>
      </x:c>
      <x:c r="H3" s="14" t="str">
        <x:v>Fail Policy</x:v>
      </x:c>
      <x:c r="I3" s="14" t="str">
        <x:v>Stored by PLOT</x:v>
      </x:c>
      <x:c r="J3" s="14" t="str">
        <x:v>User Message</x:v>
      </x:c>
      <x:c r="K3" s="14" t="str">
        <x:v>Audit</x:v>
      </x:c>
      <x:c r="L3" s="14" t="str">
        <x:v>Change Handling</x:v>
      </x:c>
      <x:c r="M3" s="14" t="str">
        <x:v>API Need</x:v>
      </x:c>
      <x:c r="N3" s="14" t="str">
        <x:v>Privacy</x:v>
      </x:c>
      <x:c r="O3" s="14" t="str">
        <x:v>Priority</x:v>
      </x:c>
      <x:c r="P3" s="14" t="str">
        <x:v>Notes</x:v>
      </x:c>
    </x:row>
    <x:row r="4">
      <x:c r="A4" s="30" t="str">
        <x:v>Age eligibility</x:v>
      </x:c>
      <x:c r="B4" s="31" t="str">
        <x:v>Game policy</x:v>
      </x:c>
      <x:c r="C4" s="31" t="str">
        <x:v>Provider/legal adult eligibility</x:v>
      </x:c>
      <x:c r="D4" s="31" t="str">
        <x:v>Same</x:v>
      </x:c>
      <x:c r="E4" s="31" t="str">
        <x:v>Provider + PLOT product policy</x:v>
      </x:c>
      <x:c r="F4" s="31" t="str">
        <x:v>Verified DOB/provider eligibility</x:v>
      </x:c>
      <x:c r="G4" s="31" t="str">
        <x:v>Before real claim</x:v>
      </x:c>
      <x:c r="H4" s="31" t="str">
        <x:v>Fail closed</x:v>
      </x:c>
      <x:c r="I4" s="31" t="str">
        <x:v>eligibility result only where possible</x:v>
      </x:c>
      <x:c r="J4" s="31" t="str">
        <x:v>Real stock rewards unavailable for this account</x:v>
      </x:c>
      <x:c r="K4" s="31" t="str">
        <x:v>Yes</x:v>
      </x:c>
      <x:c r="L4" s="31" t="str">
        <x:v>Recheck on policy change</x:v>
      </x:c>
      <x:c r="M4" s="31" t="str">
        <x:v>eligibility</x:v>
      </x:c>
      <x:c r="N4" s="31" t="str">
        <x:v>Minimize DOB storage</x:v>
      </x:c>
      <x:c r="O4" s="31" t="str">
        <x:v>P1</x:v>
      </x:c>
      <x:c r="P4" s="32" t="str"/>
    </x:row>
    <x:row r="5">
      <x:c r="A5" s="33" t="str">
        <x:v>Identity/KYC</x:v>
      </x:c>
      <x:c r="B5" s="22" t="str">
        <x:v>Not required for simulated reward</x:v>
      </x:c>
      <x:c r="C5" s="22" t="str">
        <x:v>Required as provider dictates</x:v>
      </x:c>
      <x:c r="D5" s="22" t="str">
        <x:v>Required</x:v>
      </x:c>
      <x:c r="E5" s="22" t="str">
        <x:v>Provider</x:v>
      </x:c>
      <x:c r="F5" s="22" t="str">
        <x:v>Provider KYC status</x:v>
      </x:c>
      <x:c r="G5" s="22" t="str">
        <x:v>Before first real claim and periodically</x:v>
      </x:c>
      <x:c r="H5" s="22" t="str">
        <x:v>Fail closed</x:v>
      </x:c>
      <x:c r="I5" s="22" t="str">
        <x:v>provider_user_ref + status, not documents</x:v>
      </x:c>
      <x:c r="J5" s="22" t="str">
        <x:v>Complete verification with provider</x:v>
      </x:c>
      <x:c r="K5" s="22" t="str">
        <x:v>Yes</x:v>
      </x:c>
      <x:c r="L5" s="22" t="str">
        <x:v>Webhook/status refresh</x:v>
      </x:c>
      <x:c r="M5" s="22" t="str">
        <x:v>kyc status</x:v>
      </x:c>
      <x:c r="N5" s="22" t="str">
        <x:v>Do not ingest documents unless essential</x:v>
      </x:c>
      <x:c r="O5" s="22" t="str">
        <x:v>P1</x:v>
      </x:c>
      <x:c r="P5" s="34" t="str"/>
    </x:row>
    <x:row r="6">
      <x:c r="A6" s="33" t="str">
        <x:v>Country / residency</x:v>
      </x:c>
      <x:c r="B6" s="22" t="str">
        <x:v>Disclosure/product display may be geofenced</x:v>
      </x:c>
      <x:c r="C6" s="22" t="str">
        <x:v>Mandatory</x:v>
      </x:c>
      <x:c r="D6" s="22" t="str">
        <x:v>Mandatory</x:v>
      </x:c>
      <x:c r="E6" s="22" t="str">
        <x:v>PLOT + Provider</x:v>
      </x:c>
      <x:c r="F6" s="22" t="str">
        <x:v>Provider eligibility + PLOT jurisdiction config</x:v>
      </x:c>
      <x:c r="G6" s="22" t="str">
        <x:v>Reward claim/withdrawal</x:v>
      </x:c>
      <x:c r="H6" s="22" t="str">
        <x:v>Fail closed</x:v>
      </x:c>
      <x:c r="I6" s="22" t="str">
        <x:v>country eligibility result/version</x:v>
      </x:c>
      <x:c r="J6" s="22" t="str">
        <x:v>Feature not available in your region</x:v>
      </x:c>
      <x:c r="K6" s="22" t="str">
        <x:v>Yes</x:v>
      </x:c>
      <x:c r="L6" s="22" t="str">
        <x:v>Versioned geo matrix</x:v>
      </x:c>
      <x:c r="M6" s="22" t="str">
        <x:v>eligibility</x:v>
      </x:c>
      <x:c r="N6" s="22" t="str">
        <x:v>Avoid precise location; use account residency/IP risk controls as legally appropriate</x:v>
      </x:c>
      <x:c r="O6" s="22" t="str">
        <x:v>P0/P1</x:v>
      </x:c>
      <x:c r="P6" s="34" t="str"/>
    </x:row>
    <x:row r="7">
      <x:c r="A7" s="33" t="str">
        <x:v>Sanctions / AML</x:v>
      </x:c>
      <x:c r="B7" s="22" t="str">
        <x:v>Normal platform policy</x:v>
      </x:c>
      <x:c r="C7" s="22" t="str">
        <x:v>Provider + PLOT obligations</x:v>
      </x:c>
      <x:c r="D7" s="22" t="str">
        <x:v>Provider + wallet controls</x:v>
      </x:c>
      <x:c r="E7" s="22" t="str">
        <x:v>Provider/PLOT</x:v>
      </x:c>
      <x:c r="F7" s="22" t="str">
        <x:v>Screening provider</x:v>
      </x:c>
      <x:c r="G7" s="22" t="str">
        <x:v>Claim/withdrawal</x:v>
      </x:c>
      <x:c r="H7" s="22" t="str">
        <x:v>Fail closed / hold</x:v>
      </x:c>
      <x:c r="I7" s="22" t="str">
        <x:v>case/status only</x:v>
      </x:c>
      <x:c r="J7" s="22" t="str">
        <x:v>Claim under review</x:v>
      </x:c>
      <x:c r="K7" s="22" t="str">
        <x:v>Yes</x:v>
      </x:c>
      <x:c r="L7" s="22" t="str">
        <x:v>Continuous where required</x:v>
      </x:c>
      <x:c r="M7" s="22" t="str">
        <x:v>screening</x:v>
      </x:c>
      <x:c r="N7" s="22" t="str">
        <x:v>Sensitive data controls</x:v>
      </x:c>
      <x:c r="O7" s="22" t="str">
        <x:v>P1</x:v>
      </x:c>
      <x:c r="P7" s="34" t="str"/>
    </x:row>
    <x:row r="8">
      <x:c r="A8" s="33" t="str">
        <x:v>Wallet screening</x:v>
      </x:c>
      <x:c r="B8" s="22" t="str">
        <x:v>N/A</x:v>
      </x:c>
      <x:c r="C8" s="22" t="str">
        <x:v>N/A</x:v>
      </x:c>
      <x:c r="D8" s="22" t="str">
        <x:v>Required where provider/chain policy requires</x:v>
      </x:c>
      <x:c r="E8" s="22" t="str">
        <x:v>Provider / approved vendor</x:v>
      </x:c>
      <x:c r="F8" s="22" t="str">
        <x:v>Wallet risk result</x:v>
      </x:c>
      <x:c r="G8" s="22" t="str">
        <x:v>Withdrawal request</x:v>
      </x:c>
      <x:c r="H8" s="22" t="str">
        <x:v>Fail closed/hold</x:v>
      </x:c>
      <x:c r="I8" s="22" t="str">
        <x:v>address + screening ref as needed</x:v>
      </x:c>
      <x:c r="J8" s="22" t="str">
        <x:v>Wallet cannot be used for this withdrawal</x:v>
      </x:c>
      <x:c r="K8" s="22" t="str">
        <x:v>Yes</x:v>
      </x:c>
      <x:c r="L8" s="22" t="str">
        <x:v>Rescreen at request</x:v>
      </x:c>
      <x:c r="M8" s="22" t="str">
        <x:v>withdrawal eligibility</x:v>
      </x:c>
      <x:c r="N8" s="22" t="str">
        <x:v>Treat address as sensitive account data</x:v>
      </x:c>
      <x:c r="O8" s="22" t="str">
        <x:v>P2</x:v>
      </x:c>
      <x:c r="P8" s="34" t="str"/>
    </x:row>
    <x:row r="9">
      <x:c r="A9" s="35" t="str">
        <x:v>Suitability / knowledge test</x:v>
      </x:c>
      <x:c r="B9" s="36" t="str">
        <x:v>No</x:v>
      </x:c>
      <x:c r="C9" s="36" t="str">
        <x:v>Provider/jurisdiction dependent</x:v>
      </x:c>
      <x:c r="D9" s="36" t="str">
        <x:v>Same</x:v>
      </x:c>
      <x:c r="E9" s="36" t="str">
        <x:v>Provider/legal</x:v>
      </x:c>
      <x:c r="F9" s="36" t="str">
        <x:v>Provider result</x:v>
      </x:c>
      <x:c r="G9" s="36" t="str">
        <x:v>Before claim if required</x:v>
      </x:c>
      <x:c r="H9" s="36" t="str">
        <x:v>Fail closed</x:v>
      </x:c>
      <x:c r="I9" s="36" t="str">
        <x:v>pass/fail/ref only</x:v>
      </x:c>
      <x:c r="J9" s="36" t="str">
        <x:v>Complete provider assessment</x:v>
      </x:c>
      <x:c r="K9" s="36" t="str">
        <x:v>Yes</x:v>
      </x:c>
      <x:c r="L9" s="36" t="str">
        <x:v>Recheck by expiry</x:v>
      </x:c>
      <x:c r="M9" s="36" t="str">
        <x:v>eligibility</x:v>
      </x:c>
      <x:c r="N9" s="36" t="str">
        <x:v>Minimal storage</x:v>
      </x:c>
      <x:c r="O9" s="36" t="str">
        <x:v>P1</x:v>
      </x:c>
      <x:c r="P9" s="37" t="str"/>
    </x:row>
  </x:sheetData>
  <x:mergeCells>
    <x:mergeCell ref="A1:P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Compliance Architecture — Issues to Resolve Before Real Assets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3">
      <x:c r="A3" s="14" t="str">
        <x:v>Issue</x:v>
      </x:c>
      <x:c r="B3" s="14" t="str">
        <x:v>Why Triggered</x:v>
      </x:c>
      <x:c r="C3" s="14" t="str">
        <x:v>Simulation Risk</x:v>
      </x:c>
      <x:c r="D3" s="14" t="str">
        <x:v>Real-Claim Risk</x:v>
      </x:c>
      <x:c r="E3" s="14" t="str">
        <x:v>Withdrawal Risk</x:v>
      </x:c>
      <x:c r="F3" s="14" t="str">
        <x:v>Preferred Allocation</x:v>
      </x:c>
      <x:c r="G3" s="14" t="str">
        <x:v>PLOT Control</x:v>
      </x:c>
      <x:c r="H3" s="14" t="str">
        <x:v>Provider Control</x:v>
      </x:c>
      <x:c r="I3" s="14" t="str">
        <x:v>Legal Deliverable</x:v>
      </x:c>
      <x:c r="J3" s="14" t="str">
        <x:v>Launch Blocker?</x:v>
      </x:c>
      <x:c r="K3" s="14" t="str">
        <x:v>Jurisdiction-Specific?</x:v>
      </x:c>
      <x:c r="L3" s="14" t="str">
        <x:v>Evidence / Audit</x:v>
      </x:c>
      <x:c r="M3" s="14" t="str">
        <x:v>User Disclosure</x:v>
      </x:c>
      <x:c r="N3" s="14" t="str">
        <x:v>Operational Owner</x:v>
      </x:c>
      <x:c r="O3" s="14" t="str">
        <x:v>Priority</x:v>
      </x:c>
      <x:c r="P3" s="14" t="str">
        <x:v>Status</x:v>
      </x:c>
      <x:c r="Q3" s="14" t="str">
        <x:v>Notes</x:v>
      </x:c>
    </x:row>
    <x:row r="4">
      <x:c r="A4" s="30" t="str">
        <x:v>Security / derivative classification</x:v>
      </x:c>
      <x:c r="B4" s="31" t="str">
        <x:v>Reward references/tokenized exposure to equities</x:v>
      </x:c>
      <x:c r="C4" s="31" t="str">
        <x:v>Low–Medium depending representation</x:v>
      </x:c>
      <x:c r="D4" s="31" t="str">
        <x:v>High</x:v>
      </x:c>
      <x:c r="E4" s="31" t="str">
        <x:v>High</x:v>
      </x:c>
      <x:c r="F4" s="31" t="str">
        <x:v>Provider product classification + PLOT promotional role mapped by counsel</x:v>
      </x:c>
      <x:c r="G4" s="31" t="str">
        <x:v>Do not issue synthetic redeemable exposure</x:v>
      </x:c>
      <x:c r="H4" s="31" t="str">
        <x:v>Product prospectus/terms/licenses</x:v>
      </x:c>
      <x:c r="I4" s="31" t="str">
        <x:v>Written classification memo</x:v>
      </x:c>
      <x:c r="J4" s="31" t="str">
        <x:v>Yes for P2</x:v>
      </x:c>
      <x:c r="K4" s="31" t="str">
        <x:v>Yes</x:v>
      </x:c>
      <x:c r="L4" s="31" t="str">
        <x:v>disclosure/config versions</x:v>
      </x:c>
      <x:c r="M4" s="31" t="str">
        <x:v>Explain product is provider-issued and not necessarily the underlying share</x:v>
      </x:c>
      <x:c r="N4" s="31" t="str">
        <x:v>Legal</x:v>
      </x:c>
      <x:c r="O4" s="31" t="str">
        <x:v>Critical</x:v>
      </x:c>
      <x:c r="P4" s="31" t="str">
        <x:v>OPEN</x:v>
      </x:c>
      <x:c r="Q4" s="32" t="str"/>
    </x:row>
    <x:row r="5">
      <x:c r="A5" s="33" t="str">
        <x:v>Broker/dealer / arranging activity</x:v>
      </x:c>
      <x:c r="B5" s="22" t="str">
        <x:v>PLOT may route users to financial asset acquisition</x:v>
      </x:c>
      <x:c r="C5" s="22" t="str">
        <x:v>Low</x:v>
      </x:c>
      <x:c r="D5" s="22" t="str">
        <x:v>Potentially high</x:v>
      </x:c>
      <x:c r="E5" s="22" t="str">
        <x:v>Potentially high</x:v>
      </x:c>
      <x:c r="F5" s="22" t="str">
        <x:v>Structure PLOT as reward sponsor/introducer only if permitted</x:v>
      </x:c>
      <x:c r="G5" s="22" t="str">
        <x:v>No discretionary trading/advice; user claim intent</x:v>
      </x:c>
      <x:c r="H5" s="22" t="str">
        <x:v>Execution/account services</x:v>
      </x:c>
      <x:c r="I5" s="22" t="str">
        <x:v>Activity/licensing memo + contract</x:v>
      </x:c>
      <x:c r="J5" s="22" t="str">
        <x:v>Yes</x:v>
      </x:c>
      <x:c r="K5" s="22" t="str">
        <x:v>Yes</x:v>
      </x:c>
      <x:c r="L5" s="22" t="str">
        <x:v>order/claim audit</x:v>
      </x:c>
      <x:c r="M5" s="22" t="str">
        <x:v>No investment recommendation</x:v>
      </x:c>
      <x:c r="N5" s="22" t="str">
        <x:v>Legal/Product</x:v>
      </x:c>
      <x:c r="O5" s="22" t="str">
        <x:v>Critical</x:v>
      </x:c>
      <x:c r="P5" s="22" t="str">
        <x:v>OPEN</x:v>
      </x:c>
      <x:c r="Q5" s="34" t="str"/>
    </x:row>
    <x:row r="6">
      <x:c r="A6" s="33" t="str">
        <x:v>Custody / safeguarding</x:v>
      </x:c>
      <x:c r="B6" s="22" t="str">
        <x:v>Holding tokenized stock for users</x:v>
      </x:c>
      <x:c r="C6" s="22" t="str">
        <x:v>None</x:v>
      </x:c>
      <x:c r="D6" s="22" t="str">
        <x:v>Avoid through provider-direct</x:v>
      </x:c>
      <x:c r="E6" s="22" t="str">
        <x:v>User owns wallet after withdrawal</x:v>
      </x:c>
      <x:c r="F6" s="22" t="str">
        <x:v>Provider holds until user self-custody</x:v>
      </x:c>
      <x:c r="G6" s="22" t="str">
        <x:v>No client stock custody</x:v>
      </x:c>
      <x:c r="H6" s="22" t="str">
        <x:v>Safeguarding/custody</x:v>
      </x:c>
      <x:c r="I6" s="22" t="str">
        <x:v>Responsibility matrix</x:v>
      </x:c>
      <x:c r="J6" s="22" t="str">
        <x:v>Yes if omnibus considered</x:v>
      </x:c>
      <x:c r="K6" s="22" t="str">
        <x:v>Yes</x:v>
      </x:c>
      <x:c r="L6" s="22" t="str">
        <x:v>reconciliation reports</x:v>
      </x:c>
      <x:c r="M6" s="22" t="str">
        <x:v>Where assets are held</x:v>
      </x:c>
      <x:c r="N6" s="22" t="str">
        <x:v>Finance/Legal</x:v>
      </x:c>
      <x:c r="O6" s="22" t="str">
        <x:v>Critical</x:v>
      </x:c>
      <x:c r="P6" s="22" t="str">
        <x:v>OPEN</x:v>
      </x:c>
      <x:c r="Q6" s="34" t="str"/>
    </x:row>
    <x:row r="7">
      <x:c r="A7" s="33" t="str">
        <x:v>KYC/AML/sanctions</x:v>
      </x:c>
      <x:c r="B7" s="22" t="str">
        <x:v>Financial product claim/transfer</x:v>
      </x:c>
      <x:c r="C7" s="22" t="str">
        <x:v>Low</x:v>
      </x:c>
      <x:c r="D7" s="22" t="str">
        <x:v>High</x:v>
      </x:c>
      <x:c r="E7" s="22" t="str">
        <x:v>High</x:v>
      </x:c>
      <x:c r="F7" s="22" t="str">
        <x:v>Provider-first with PLOT controls</x:v>
      </x:c>
      <x:c r="G7" s="22" t="str">
        <x:v>Geo/feature gating + minimal status</x:v>
      </x:c>
      <x:c r="H7" s="22" t="str">
        <x:v>KYC/screening</x:v>
      </x:c>
      <x:c r="I7" s="22" t="str">
        <x:v>AML responsibility matrix</x:v>
      </x:c>
      <x:c r="J7" s="22" t="str">
        <x:v>Yes</x:v>
      </x:c>
      <x:c r="K7" s="22" t="str">
        <x:v>Yes</x:v>
      </x:c>
      <x:c r="L7" s="22" t="str">
        <x:v>status/webhook audit</x:v>
      </x:c>
      <x:c r="M7" s="22" t="str">
        <x:v>Verification required</x:v>
      </x:c>
      <x:c r="N7" s="22" t="str">
        <x:v>Compliance</x:v>
      </x:c>
      <x:c r="O7" s="22" t="str">
        <x:v>Critical</x:v>
      </x:c>
      <x:c r="P7" s="22" t="str">
        <x:v>OPEN</x:v>
      </x:c>
      <x:c r="Q7" s="34" t="str"/>
    </x:row>
    <x:row r="8">
      <x:c r="A8" s="33" t="str">
        <x:v>Marketing / promotions</x:v>
      </x:c>
      <x:c r="B8" s="22" t="str">
        <x:v>Game gives branded stock rewards</x:v>
      </x:c>
      <x:c r="C8" s="22" t="str">
        <x:v>Medium</x:v>
      </x:c>
      <x:c r="D8" s="22" t="str">
        <x:v>High</x:v>
      </x:c>
      <x:c r="E8" s="22" t="str">
        <x:v>High</x:v>
      </x:c>
      <x:c r="F8" s="22" t="str">
        <x:v>Conservative factual reward copy</x:v>
      </x:c>
      <x:c r="G8" s="22" t="str">
        <x:v>No yield/investment promises</x:v>
      </x:c>
      <x:c r="H8" s="22" t="str">
        <x:v>Required product disclosures</x:v>
      </x:c>
      <x:c r="I8" s="22" t="str">
        <x:v>Marketing approval workflow</x:v>
      </x:c>
      <x:c r="J8" s="22" t="str">
        <x:v>Yes</x:v>
      </x:c>
      <x:c r="K8" s="22" t="str">
        <x:v>Yes</x:v>
      </x:c>
      <x:c r="L8" s="22" t="str">
        <x:v>copy/disclosure version</x:v>
      </x:c>
      <x:c r="M8" s="22" t="str">
        <x:v>Simulated vs real distinction</x:v>
      </x:c>
      <x:c r="N8" s="22" t="str">
        <x:v>Marketing/Legal</x:v>
      </x:c>
      <x:c r="O8" s="22" t="str">
        <x:v>High</x:v>
      </x:c>
      <x:c r="P8" s="22" t="str">
        <x:v>OPEN</x:v>
      </x:c>
      <x:c r="Q8" s="34" t="str"/>
    </x:row>
    <x:row r="9">
      <x:c r="A9" s="33" t="str">
        <x:v>Client money / reward funding</x:v>
      </x:c>
      <x:c r="B9" s="22" t="str">
        <x:v>PLOT funds provider orders</x:v>
      </x:c>
      <x:c r="C9" s="22" t="str">
        <x:v>None</x:v>
      </x:c>
      <x:c r="D9" s="22" t="str">
        <x:v>Medium/High depending structure</x:v>
      </x:c>
      <x:c r="E9" s="22" t="str">
        <x:v>Medium</x:v>
      </x:c>
      <x:c r="F9" s="22" t="str">
        <x:v>Corporate reward funding, not user deposits</x:v>
      </x:c>
      <x:c r="G9" s="22" t="str">
        <x:v>Separate treasury accounting; no user top-up for stock claims v1</x:v>
      </x:c>
      <x:c r="H9" s="22" t="str">
        <x:v>Provider settlement</x:v>
      </x:c>
      <x:c r="I9" s="22" t="str">
        <x:v>Accounting/legal memo</x:v>
      </x:c>
      <x:c r="J9" s="22" t="str">
        <x:v>Yes</x:v>
      </x:c>
      <x:c r="K9" s="22" t="str">
        <x:v>Yes</x:v>
      </x:c>
      <x:c r="L9" s="22" t="str">
        <x:v>funding ledger/bank/provider statements</x:v>
      </x:c>
      <x:c r="M9" s="22" t="str">
        <x:v>Fees/funding terms</x:v>
      </x:c>
      <x:c r="N9" s="22" t="str">
        <x:v>Finance</x:v>
      </x:c>
      <x:c r="O9" s="22" t="str">
        <x:v>High</x:v>
      </x:c>
      <x:c r="P9" s="22" t="str">
        <x:v>OPEN</x:v>
      </x:c>
      <x:c r="Q9" s="34" t="str"/>
    </x:row>
    <x:row r="10">
      <x:c r="A10" s="33" t="str">
        <x:v>Corporate actions / rights</x:v>
      </x:c>
      <x:c r="B10" s="22" t="str">
        <x:v>Token product may differ from shares</x:v>
      </x:c>
      <x:c r="C10" s="22" t="str">
        <x:v>None</x:v>
      </x:c>
      <x:c r="D10" s="22" t="str">
        <x:v>High</x:v>
      </x:c>
      <x:c r="E10" s="22" t="str">
        <x:v>High</x:v>
      </x:c>
      <x:c r="F10" s="22" t="str">
        <x:v>Provider terms control</x:v>
      </x:c>
      <x:c r="G10" s="22" t="str">
        <x:v>Mirror only confirmed provider events</x:v>
      </x:c>
      <x:c r="H10" s="22" t="str">
        <x:v>Apply product mechanics</x:v>
      </x:c>
      <x:c r="I10" s="22" t="str">
        <x:v>Terms review</x:v>
      </x:c>
      <x:c r="J10" s="22" t="str">
        <x:v>Yes</x:v>
      </x:c>
      <x:c r="K10" s="22" t="str">
        <x:v>Yes</x:v>
      </x:c>
      <x:c r="L10" s="22" t="str">
        <x:v>action ledger</x:v>
      </x:c>
      <x:c r="M10" s="22" t="str">
        <x:v>No assumed voting/shareholder rights</x:v>
      </x:c>
      <x:c r="N10" s="22" t="str">
        <x:v>Product/Legal</x:v>
      </x:c>
      <x:c r="O10" s="22" t="str">
        <x:v>High</x:v>
      </x:c>
      <x:c r="P10" s="22" t="str">
        <x:v>OPEN</x:v>
      </x:c>
      <x:c r="Q10" s="34" t="str"/>
    </x:row>
    <x:row r="11">
      <x:c r="A11" s="33" t="str">
        <x:v>Tax reporting</x:v>
      </x:c>
      <x:c r="B11" s="22" t="str">
        <x:v>Real asset rewards may be taxable</x:v>
      </x:c>
      <x:c r="C11" s="22" t="str">
        <x:v>None</x:v>
      </x:c>
      <x:c r="D11" s="22" t="str">
        <x:v>High</x:v>
      </x:c>
      <x:c r="E11" s="22" t="str">
        <x:v>High</x:v>
      </x:c>
      <x:c r="F11" s="22" t="str">
        <x:v>Provider/user responsibility mapped by market</x:v>
      </x:c>
      <x:c r="G11" s="22" t="str">
        <x:v>Store reward/fill data</x:v>
      </x:c>
      <x:c r="H11" s="22" t="str">
        <x:v>Statements/reports</x:v>
      </x:c>
      <x:c r="I11" s="22" t="str">
        <x:v>Tax memo</x:v>
      </x:c>
      <x:c r="J11" s="22" t="str">
        <x:v>Yes for markets</x:v>
      </x:c>
      <x:c r="K11" s="22" t="str">
        <x:v>Yes</x:v>
      </x:c>
      <x:c r="L11" s="22" t="str">
        <x:v>yearly exports</x:v>
      </x:c>
      <x:c r="M11" s="22" t="str">
        <x:v>Tax treatment may vary</x:v>
      </x:c>
      <x:c r="N11" s="22" t="str">
        <x:v>Finance/Legal</x:v>
      </x:c>
      <x:c r="O11" s="22" t="str">
        <x:v>High</x:v>
      </x:c>
      <x:c r="P11" s="22" t="str">
        <x:v>OPEN</x:v>
      </x:c>
      <x:c r="Q11" s="34" t="str"/>
    </x:row>
    <x:row r="12">
      <x:c r="A12" s="35" t="str">
        <x:v>Data/privacy</x:v>
      </x:c>
      <x:c r="B12" s="36" t="str">
        <x:v>KYC and financial data</x:v>
      </x:c>
      <x:c r="C12" s="36" t="str">
        <x:v>Low</x:v>
      </x:c>
      <x:c r="D12" s="36" t="str">
        <x:v>High</x:v>
      </x:c>
      <x:c r="E12" s="36" t="str">
        <x:v>High</x:v>
      </x:c>
      <x:c r="F12" s="36" t="str">
        <x:v>Minimize data passed/stored</x:v>
      </x:c>
      <x:c r="G12" s="36" t="str">
        <x:v>Use provider refs/status</x:v>
      </x:c>
      <x:c r="H12" s="36" t="str">
        <x:v>Hold KYC docs where required</x:v>
      </x:c>
      <x:c r="I12" s="36" t="str">
        <x:v>DPA/privacy impact assessment</x:v>
      </x:c>
      <x:c r="J12" s="36" t="str">
        <x:v>Yes</x:v>
      </x:c>
      <x:c r="K12" s="36" t="str">
        <x:v>Yes</x:v>
      </x:c>
      <x:c r="L12" s="36" t="str">
        <x:v>access logs</x:v>
      </x:c>
      <x:c r="M12" s="36" t="str">
        <x:v>Privacy notice</x:v>
      </x:c>
      <x:c r="N12" s="36" t="str">
        <x:v>Security/Legal</x:v>
      </x:c>
      <x:c r="O12" s="36" t="str">
        <x:v>High</x:v>
      </x:c>
      <x:c r="P12" s="36" t="str">
        <x:v>OPEN</x:v>
      </x:c>
      <x:c r="Q12" s="37" t="str"/>
    </x:row>
  </x:sheetData>
  <x:mergeCells>
    <x:mergeCell ref="A1:Q1"/>
  </x:mergeCells>
  <x:dataValidations count="1">
    <x:dataValidation type="list" sqref="P4:P12">
      <x:formula1>"OPEN,IN REVIEW,APPROVED,BLOCKED,N/A"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Provider Adapter — Required Capabilities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Capability</x:v>
      </x:c>
      <x:c r="B3" s="14" t="str">
        <x:v>Required Phase</x:v>
      </x:c>
      <x:c r="C3" s="14" t="str">
        <x:v>Direction</x:v>
      </x:c>
      <x:c r="D3" s="14" t="str">
        <x:v>Request / Event</x:v>
      </x:c>
      <x:c r="E3" s="14" t="str">
        <x:v>Required Fields</x:v>
      </x:c>
      <x:c r="F3" s="14" t="str">
        <x:v>Idempotency</x:v>
      </x:c>
      <x:c r="G3" s="14" t="str">
        <x:v>Webhook?</x:v>
      </x:c>
      <x:c r="H3" s="14" t="str">
        <x:v>p95 / SLA</x:v>
      </x:c>
      <x:c r="I3" s="14" t="str">
        <x:v>Retry</x:v>
      </x:c>
      <x:c r="J3" s="14" t="str">
        <x:v>Fallback</x:v>
      </x:c>
      <x:c r="K3" s="14" t="str">
        <x:v>Authoritative Source</x:v>
      </x:c>
      <x:c r="L3" s="14" t="str">
        <x:v>Reconciliation</x:v>
      </x:c>
      <x:c r="M3" s="14" t="str">
        <x:v>Security</x:v>
      </x:c>
      <x:c r="N3" s="14" t="str">
        <x:v>Provider-Agnostic Interface</x:v>
      </x:c>
      <x:c r="O3" s="14" t="str">
        <x:v>MVP?</x:v>
      </x:c>
      <x:c r="P3" s="14" t="str">
        <x:v>Notes</x:v>
      </x:c>
    </x:row>
    <x:row r="4">
      <x:c r="A4" s="30" t="str">
        <x:v>Eligibility</x:v>
      </x:c>
      <x:c r="B4" s="31" t="str">
        <x:v>P2</x:v>
      </x:c>
      <x:c r="C4" s="31" t="str">
        <x:v>PLOT → Provider</x:v>
      </x:c>
      <x:c r="D4" s="31" t="str">
        <x:v>Check asset/user/region eligibility</x:v>
      </x:c>
      <x:c r="E4" s="31" t="str">
        <x:v>provider_user_ref,country,asset</x:v>
      </x:c>
      <x:c r="F4" s="31" t="str">
        <x:v>request id</x:v>
      </x:c>
      <x:c r="G4" s="31" t="str">
        <x:v>Optional</x:v>
      </x:c>
      <x:c r="H4" s="31" t="str">
        <x:v>&lt;1s preferred</x:v>
      </x:c>
      <x:c r="I4" s="31" t="str">
        <x:v>Short</x:v>
      </x:c>
      <x:c r="J4" s="31" t="str">
        <x:v>Feature unavailable</x:v>
      </x:c>
      <x:c r="K4" s="31" t="str">
        <x:v>Provider</x:v>
      </x:c>
      <x:c r="L4" s="31" t="str">
        <x:v>Daily policy refresh</x:v>
      </x:c>
      <x:c r="M4" s="31" t="str">
        <x:v>mTLS/OAuth/service auth</x:v>
      </x:c>
      <x:c r="N4" s="31" t="str">
        <x:v>eligibility(user,asset)</x:v>
      </x:c>
      <x:c r="O4" s="31" t="str">
        <x:v>Yes</x:v>
      </x:c>
      <x:c r="P4" s="32" t="str"/>
    </x:row>
    <x:row r="5">
      <x:c r="A5" s="33" t="str">
        <x:v>KYC status</x:v>
      </x:c>
      <x:c r="B5" s="22" t="str">
        <x:v>P2</x:v>
      </x:c>
      <x:c r="C5" s="22" t="str">
        <x:v>Both</x:v>
      </x:c>
      <x:c r="D5" s="22" t="str">
        <x:v>Get/webhook KYC status</x:v>
      </x:c>
      <x:c r="E5" s="22" t="str">
        <x:v>provider_user_ref,status,reason_code</x:v>
      </x:c>
      <x:c r="F5" s="22" t="str">
        <x:v>provider event id</x:v>
      </x:c>
      <x:c r="G5" s="22" t="str">
        <x:v>Yes</x:v>
      </x:c>
      <x:c r="H5" s="22" t="str">
        <x:v>Minutes</x:v>
      </x:c>
      <x:c r="I5" s="22" t="str">
        <x:v>Poll/webhook</x:v>
      </x:c>
      <x:c r="J5" s="22" t="str">
        <x:v>Pending</x:v>
      </x:c>
      <x:c r="K5" s="22" t="str">
        <x:v>Provider</x:v>
      </x:c>
      <x:c r="L5" s="22" t="str">
        <x:v>Daily repair</x:v>
      </x:c>
      <x:c r="M5" s="22" t="str">
        <x:v>Signed webhook</x:v>
      </x:c>
      <x:c r="N5" s="22" t="str">
        <x:v>kyc_status(user)</x:v>
      </x:c>
      <x:c r="O5" s="22" t="str">
        <x:v>Yes</x:v>
      </x:c>
      <x:c r="P5" s="34" t="str"/>
    </x:row>
    <x:row r="6">
      <x:c r="A6" s="33" t="str">
        <x:v>Quote</x:v>
      </x:c>
      <x:c r="B6" s="22" t="str">
        <x:v>P2</x:v>
      </x:c>
      <x:c r="C6" s="22" t="str">
        <x:v>PLOT → Provider</x:v>
      </x:c>
      <x:c r="D6" s="22" t="str">
        <x:v>Quote USD notional → asset units</x:v>
      </x:c>
      <x:c r="E6" s="22" t="str">
        <x:v>asset,usd,side=buy</x:v>
      </x:c>
      <x:c r="F6" s="22" t="str">
        <x:v>quote request</x:v>
      </x:c>
      <x:c r="G6" s="22" t="str">
        <x:v>No</x:v>
      </x:c>
      <x:c r="H6" s="22" t="str">
        <x:v>&lt;1s</x:v>
      </x:c>
      <x:c r="I6" s="22" t="str">
        <x:v>Refresh expired</x:v>
      </x:c>
      <x:c r="J6" s="22" t="str">
        <x:v>Disable confirm</x:v>
      </x:c>
      <x:c r="K6" s="22" t="str">
        <x:v>Provider</x:v>
      </x:c>
      <x:c r="L6" s="22" t="str">
        <x:v>Not needed after expiry</x:v>
      </x:c>
      <x:c r="M6" s="22" t="str">
        <x:v>Auth + anti-replay</x:v>
      </x:c>
      <x:c r="N6" s="22" t="str">
        <x:v>quote(asset,usd)</x:v>
      </x:c>
      <x:c r="O6" s="22" t="str">
        <x:v>Yes</x:v>
      </x:c>
      <x:c r="P6" s="34" t="str"/>
    </x:row>
    <x:row r="7">
      <x:c r="A7" s="33" t="str">
        <x:v>Order / reward credit</x:v>
      </x:c>
      <x:c r="B7" s="22" t="str">
        <x:v>P2</x:v>
      </x:c>
      <x:c r="C7" s="22" t="str">
        <x:v>PLOT → Provider</x:v>
      </x:c>
      <x:c r="D7" s="22" t="str">
        <x:v>Execute funded buy/credit</x:v>
      </x:c>
      <x:c r="E7" s="22" t="str">
        <x:v>provider_user_ref,asset,usd,client_order_id</x:v>
      </x:c>
      <x:c r="F7" s="22" t="str">
        <x:v>client_order_id</x:v>
      </x:c>
      <x:c r="G7" s="22" t="str">
        <x:v>Yes</x:v>
      </x:c>
      <x:c r="H7" s="22" t="str">
        <x:v>Provider SLA</x:v>
      </x:c>
      <x:c r="I7" s="22" t="str">
        <x:v>Same ID only</x:v>
      </x:c>
      <x:c r="J7" s="22" t="str">
        <x:v>Pending</x:v>
      </x:c>
      <x:c r="K7" s="22" t="str">
        <x:v>Provider</x:v>
      </x:c>
      <x:c r="L7" s="22" t="str">
        <x:v>Orders/fills/balances</x:v>
      </x:c>
      <x:c r="M7" s="22" t="str">
        <x:v>High assurance</x:v>
      </x:c>
      <x:c r="N7" s="22" t="str">
        <x:v>create_order(...)</x:v>
      </x:c>
      <x:c r="O7" s="22" t="str">
        <x:v>Yes</x:v>
      </x:c>
      <x:c r="P7" s="34" t="str"/>
    </x:row>
    <x:row r="8">
      <x:c r="A8" s="33" t="str">
        <x:v>Order status / fill</x:v>
      </x:c>
      <x:c r="B8" s="22" t="str">
        <x:v>P2</x:v>
      </x:c>
      <x:c r="C8" s="22" t="str">
        <x:v>Both</x:v>
      </x:c>
      <x:c r="D8" s="22" t="str">
        <x:v>Status/webhook</x:v>
      </x:c>
      <x:c r="E8" s="22" t="str">
        <x:v>order,fill,price,units,fees</x:v>
      </x:c>
      <x:c r="F8" s="22" t="str">
        <x:v>provider_event_id</x:v>
      </x:c>
      <x:c r="G8" s="22" t="str">
        <x:v>Yes</x:v>
      </x:c>
      <x:c r="H8" s="22" t="str">
        <x:v>Minutes</x:v>
      </x:c>
      <x:c r="I8" s="22" t="str">
        <x:v>Poll repair</x:v>
      </x:c>
      <x:c r="J8" s="22" t="str">
        <x:v>Reconciliation hold</x:v>
      </x:c>
      <x:c r="K8" s="22" t="str">
        <x:v>Provider</x:v>
      </x:c>
      <x:c r="L8" s="22" t="str">
        <x:v>Mandatory</x:v>
      </x:c>
      <x:c r="M8" s="22" t="str">
        <x:v>Signed webhook</x:v>
      </x:c>
      <x:c r="N8" s="22" t="str">
        <x:v>order_status(id)</x:v>
      </x:c>
      <x:c r="O8" s="22" t="str">
        <x:v>Yes</x:v>
      </x:c>
      <x:c r="P8" s="34" t="str"/>
    </x:row>
    <x:row r="9">
      <x:c r="A9" s="33" t="str">
        <x:v>Balance / holdings</x:v>
      </x:c>
      <x:c r="B9" s="22" t="str">
        <x:v>P2</x:v>
      </x:c>
      <x:c r="C9" s="22" t="str">
        <x:v>PLOT → Provider</x:v>
      </x:c>
      <x:c r="D9" s="22" t="str">
        <x:v>Read delivered balance if permitted</x:v>
      </x:c>
      <x:c r="E9" s="22" t="str">
        <x:v>user,asset</x:v>
      </x:c>
      <x:c r="F9" s="22" t="str">
        <x:v>N/A</x:v>
      </x:c>
      <x:c r="G9" s="22" t="str">
        <x:v>No</x:v>
      </x:c>
      <x:c r="H9" s="22" t="str">
        <x:v>&lt;2s</x:v>
      </x:c>
      <x:c r="I9" s="22" t="str">
        <x:v>Retry</x:v>
      </x:c>
      <x:c r="J9" s="22" t="str">
        <x:v>Use last confirmed with stale marker</x:v>
      </x:c>
      <x:c r="K9" s="22" t="str">
        <x:v>Provider</x:v>
      </x:c>
      <x:c r="L9" s="22" t="str">
        <x:v>Daily full</x:v>
      </x:c>
      <x:c r="M9" s="22" t="str">
        <x:v>Read-only auth</x:v>
      </x:c>
      <x:c r="N9" s="22" t="str">
        <x:v>balance(user,asset)</x:v>
      </x:c>
      <x:c r="O9" s="22" t="str">
        <x:v>Yes</x:v>
      </x:c>
      <x:c r="P9" s="34" t="str"/>
    </x:row>
    <x:row r="10">
      <x:c r="A10" s="33" t="str">
        <x:v>Corporate action feed</x:v>
      </x:c>
      <x:c r="B10" s="22" t="str">
        <x:v>P2</x:v>
      </x:c>
      <x:c r="C10" s="22" t="str">
        <x:v>Provider → PLOT</x:v>
      </x:c>
      <x:c r="D10" s="22" t="str">
        <x:v>Dividend/split/halt/conversion</x:v>
      </x:c>
      <x:c r="E10" s="22" t="str">
        <x:v>asset,type,amount/ratio,effective_at</x:v>
      </x:c>
      <x:c r="F10" s="22" t="str">
        <x:v>event id</x:v>
      </x:c>
      <x:c r="G10" s="22" t="str">
        <x:v>Yes</x:v>
      </x:c>
      <x:c r="H10" s="22" t="str">
        <x:v>Provider SLA</x:v>
      </x:c>
      <x:c r="I10" s="22" t="str">
        <x:v>Replay</x:v>
      </x:c>
      <x:c r="J10" s="22" t="str">
        <x:v>Freeze display/claim if ambiguous</x:v>
      </x:c>
      <x:c r="K10" s="22" t="str">
        <x:v>Provider</x:v>
      </x:c>
      <x:c r="L10" s="22" t="str">
        <x:v>Mandatory</x:v>
      </x:c>
      <x:c r="M10" s="22" t="str">
        <x:v>Signed webhook/feed</x:v>
      </x:c>
      <x:c r="N10" s="22" t="str">
        <x:v>corporate_action(event)</x:v>
      </x:c>
      <x:c r="O10" s="22" t="str">
        <x:v>P1</x:v>
      </x:c>
      <x:c r="P10" s="34" t="str"/>
    </x:row>
    <x:row r="11">
      <x:c r="A11" s="33" t="str">
        <x:v>Withdrawal</x:v>
      </x:c>
      <x:c r="B11" s="22" t="str">
        <x:v>P3</x:v>
      </x:c>
      <x:c r="C11" s="22" t="str">
        <x:v>PLOT/Provider user flow</x:v>
      </x:c>
      <x:c r="D11" s="22" t="str">
        <x:v>Withdraw provider token to wallet</x:v>
      </x:c>
      <x:c r="E11" s="22" t="str">
        <x:v>user,asset,units,chain,address</x:v>
      </x:c>
      <x:c r="F11" s="22" t="str">
        <x:v>withdrawal id</x:v>
      </x:c>
      <x:c r="G11" s="22" t="str">
        <x:v>Yes</x:v>
      </x:c>
      <x:c r="H11" s="22" t="str">
        <x:v>Provider/chain</x:v>
      </x:c>
      <x:c r="I11" s="22" t="str">
        <x:v>Same ID only</x:v>
      </x:c>
      <x:c r="J11" s="22" t="str">
        <x:v>Pending/fail</x:v>
      </x:c>
      <x:c r="K11" s="22" t="str">
        <x:v>Provider/chain</x:v>
      </x:c>
      <x:c r="L11" s="22" t="str">
        <x:v>Mandatory</x:v>
      </x:c>
      <x:c r="M11" s="22" t="str">
        <x:v>Wallet controls + signed webhook</x:v>
      </x:c>
      <x:c r="N11" s="22" t="str">
        <x:v>withdraw(...)</x:v>
      </x:c>
      <x:c r="O11" s="22" t="str">
        <x:v>P2</x:v>
      </x:c>
      <x:c r="P11" s="34" t="str">
        <x:v>Prefer provider-hosted flow if possible</x:v>
      </x:c>
    </x:row>
    <x:row r="12">
      <x:c r="A12" s="35" t="str">
        <x:v>Asset metadata</x:v>
      </x:c>
      <x:c r="B12" s="36" t="str">
        <x:v>P2</x:v>
      </x:c>
      <x:c r="C12" s="36" t="str">
        <x:v>PLOT → Provider</x:v>
      </x:c>
      <x:c r="D12" s="36" t="str">
        <x:v>Supported assets/chains/minimums</x:v>
      </x:c>
      <x:c r="E12" s="36" t="str">
        <x:v>asset,min_trade,min_withdraw,decimals,status</x:v>
      </x:c>
      <x:c r="F12" s="36" t="str">
        <x:v>version</x:v>
      </x:c>
      <x:c r="G12" s="36" t="str">
        <x:v>Optional</x:v>
      </x:c>
      <x:c r="H12" s="36" t="str">
        <x:v>Hourly/daily</x:v>
      </x:c>
      <x:c r="I12" s="36" t="str">
        <x:v>Cache</x:v>
      </x:c>
      <x:c r="J12" s="36" t="str">
        <x:v>Disable unsupported</x:v>
      </x:c>
      <x:c r="K12" s="36" t="str">
        <x:v>Provider</x:v>
      </x:c>
      <x:c r="L12" s="36" t="str">
        <x:v>Compare config</x:v>
      </x:c>
      <x:c r="M12" s="36" t="str">
        <x:v>Read-only</x:v>
      </x:c>
      <x:c r="N12" s="36" t="str">
        <x:v>asset_catalog()</x:v>
      </x:c>
      <x:c r="O12" s="36" t="str">
        <x:v>Yes</x:v>
      </x:c>
      <x:c r="P12" s="37" t="str">
        <x:v>Critical for $0.10 micro-reward aggregation</x:v>
      </x:c>
    </x:row>
  </x:sheetData>
  <x:mergeCells>
    <x:mergeCell ref="A1:P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Self-Custody / Withdrawal Architecture — Later Phase Only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Control</x:v>
      </x:c>
      <x:c r="B3" s="14" t="str">
        <x:v>Rule</x:v>
      </x:c>
      <x:c r="C3" s="14" t="str">
        <x:v>Owner</x:v>
      </x:c>
      <x:c r="D3" s="14" t="str">
        <x:v>Precondition</x:v>
      </x:c>
      <x:c r="E3" s="14" t="str">
        <x:v>Validation</x:v>
      </x:c>
      <x:c r="F3" s="14" t="str">
        <x:v>Onchain Data Stored</x:v>
      </x:c>
      <x:c r="G3" s="14" t="str">
        <x:v>Private Key Held by PLOT?</x:v>
      </x:c>
      <x:c r="H3" s="14" t="str">
        <x:v>Replay Protection</x:v>
      </x:c>
      <x:c r="I3" s="14" t="str">
        <x:v>User Confirmation</x:v>
      </x:c>
      <x:c r="J3" s="14" t="str">
        <x:v>Failure Recovery</x:v>
      </x:c>
      <x:c r="K3" s="14" t="str">
        <x:v>Compliance Hold</x:v>
      </x:c>
      <x:c r="L3" s="14" t="str">
        <x:v>Fee Handling</x:v>
      </x:c>
      <x:c r="M3" s="14" t="str">
        <x:v>Chain Reorg</x:v>
      </x:c>
      <x:c r="N3" s="14" t="str">
        <x:v>Support Burden</x:v>
      </x:c>
      <x:c r="O3" s="14" t="str">
        <x:v>Priority</x:v>
      </x:c>
      <x:c r="P3" s="14" t="str">
        <x:v>Notes</x:v>
      </x:c>
    </x:row>
    <x:row r="4">
      <x:c r="A4" s="30" t="str">
        <x:v>Availability</x:v>
      </x:c>
      <x:c r="B4" s="31" t="str">
        <x:v>Only provider-supported assets/chains and eligible users</x:v>
      </x:c>
      <x:c r="C4" s="31" t="str">
        <x:v>Provider/PLOT</x:v>
      </x:c>
      <x:c r="D4" s="31" t="str">
        <x:v>DELIVERED state</x:v>
      </x:c>
      <x:c r="E4" s="31" t="str">
        <x:v>asset+chain+geo+KYC</x:v>
      </x:c>
      <x:c r="F4" s="31" t="str">
        <x:v>chain,token_contract,tx_hash</x:v>
      </x:c>
      <x:c r="G4" s="31" t="str">
        <x:v>No</x:v>
      </x:c>
      <x:c r="H4" s="31" t="str">
        <x:v>withdrawal_id</x:v>
      </x:c>
      <x:c r="I4" s="31" t="str">
        <x:v>Explicit irreversible-transfer confirmation</x:v>
      </x:c>
      <x:c r="J4" s="31" t="str">
        <x:v>Provider retry/status</x:v>
      </x:c>
      <x:c r="K4" s="31" t="str">
        <x:v>Yes</x:v>
      </x:c>
      <x:c r="L4" s="31" t="str">
        <x:v>Provider fee displayed</x:v>
      </x:c>
      <x:c r="M4" s="31" t="str">
        <x:v>Wait confirmations</x:v>
      </x:c>
      <x:c r="N4" s="31" t="str">
        <x:v>High</x:v>
      </x:c>
      <x:c r="O4" s="31" t="str">
        <x:v>P2</x:v>
      </x:c>
      <x:c r="P4" s="32" t="str"/>
    </x:row>
    <x:row r="5">
      <x:c r="A5" s="33" t="str">
        <x:v>Wallet address</x:v>
      </x:c>
      <x:c r="B5" s="22" t="str">
        <x:v>Never auto-infer; user/provider supplies supported address</x:v>
      </x:c>
      <x:c r="C5" s="22" t="str">
        <x:v>Provider/PLOT</x:v>
      </x:c>
      <x:c r="D5" s="22" t="str">
        <x:v>Valid chain</x:v>
      </x:c>
      <x:c r="E5" s="22" t="str">
        <x:v>format + provider screening if required</x:v>
      </x:c>
      <x:c r="F5" s="22" t="str">
        <x:v>address hash/full address per policy</x:v>
      </x:c>
      <x:c r="G5" s="22" t="str">
        <x:v>No</x:v>
      </x:c>
      <x:c r="H5" s="22" t="str">
        <x:v>nonce/request id</x:v>
      </x:c>
      <x:c r="I5" s="22" t="str">
        <x:v>Confirm address/network</x:v>
      </x:c>
      <x:c r="J5" s="22" t="str">
        <x:v>No reversal after confirmed chain transfer</x:v>
      </x:c>
      <x:c r="K5" s="22" t="str">
        <x:v>Yes</x:v>
      </x:c>
      <x:c r="L5" s="22" t="str">
        <x:v>N/A</x:v>
      </x:c>
      <x:c r="M5" s="22" t="str">
        <x:v>N/A</x:v>
      </x:c>
      <x:c r="N5" s="22" t="str">
        <x:v>High</x:v>
      </x:c>
      <x:c r="O5" s="22" t="str">
        <x:v>P2</x:v>
      </x:c>
      <x:c r="P5" s="34" t="str"/>
    </x:row>
    <x:row r="6">
      <x:c r="A6" s="33" t="str">
        <x:v>Amount</x:v>
      </x:c>
      <x:c r="B6" s="22" t="str">
        <x:v>Cannot exceed provider available units</x:v>
      </x:c>
      <x:c r="C6" s="22" t="str">
        <x:v>Provider</x:v>
      </x:c>
      <x:c r="D6" s="22" t="str">
        <x:v>Sufficient balance</x:v>
      </x:c>
      <x:c r="E6" s="22" t="str">
        <x:v>decimals/min withdrawal/fees</x:v>
      </x:c>
      <x:c r="F6" s="22" t="str">
        <x:v>units</x:v>
      </x:c>
      <x:c r="G6" s="22" t="str">
        <x:v>No</x:v>
      </x:c>
      <x:c r="H6" s="22" t="str">
        <x:v>withdrawal id</x:v>
      </x:c>
      <x:c r="I6" s="22" t="str">
        <x:v>Show net received</x:v>
      </x:c>
      <x:c r="J6" s="22" t="str">
        <x:v>Retry same withdrawal only</x:v>
      </x:c>
      <x:c r="K6" s="22" t="str">
        <x:v>Yes</x:v>
      </x:c>
      <x:c r="L6" s="22" t="str">
        <x:v>Provider policy</x:v>
      </x:c>
      <x:c r="M6" s="22" t="str">
        <x:v>Reconcile</x:v>
      </x:c>
      <x:c r="N6" s="22" t="str">
        <x:v>Medium</x:v>
      </x:c>
      <x:c r="O6" s="22" t="str">
        <x:v>P2</x:v>
      </x:c>
      <x:c r="P6" s="34" t="str"/>
    </x:row>
    <x:row r="7">
      <x:c r="A7" s="33" t="str">
        <x:v>Token contract</x:v>
      </x:c>
      <x:c r="B7" s="22" t="str">
        <x:v>Use provider's canonical contract list only</x:v>
      </x:c>
      <x:c r="C7" s="22" t="str">
        <x:v>Provider</x:v>
      </x:c>
      <x:c r="D7" s="22" t="str">
        <x:v>Asset supports withdrawal</x:v>
      </x:c>
      <x:c r="E7" s="22" t="str">
        <x:v>contract allowlist</x:v>
      </x:c>
      <x:c r="F7" s="22" t="str">
        <x:v>contract,chain</x:v>
      </x:c>
      <x:c r="G7" s="22" t="str">
        <x:v>No</x:v>
      </x:c>
      <x:c r="H7" s="22" t="str">
        <x:v>config version</x:v>
      </x:c>
      <x:c r="I7" s="22" t="str">
        <x:v>Show network/token</x:v>
      </x:c>
      <x:c r="J7" s="22" t="str">
        <x:v>Pause if metadata mismatch</x:v>
      </x:c>
      <x:c r="K7" s="22" t="str">
        <x:v>Yes</x:v>
      </x:c>
      <x:c r="L7" s="22" t="str">
        <x:v>N/A</x:v>
      </x:c>
      <x:c r="M7" s="22" t="str">
        <x:v>Reconcile</x:v>
      </x:c>
      <x:c r="N7" s="22" t="str">
        <x:v>High</x:v>
      </x:c>
      <x:c r="O7" s="22" t="str">
        <x:v>P2</x:v>
      </x:c>
      <x:c r="P7" s="34" t="str"/>
    </x:row>
    <x:row r="8">
      <x:c r="A8" s="33" t="str">
        <x:v>Wrong-chain risk</x:v>
      </x:c>
      <x:c r="B8" s="22" t="str">
        <x:v>UI blocks unsupported chain</x:v>
      </x:c>
      <x:c r="C8" s="22" t="str">
        <x:v>PLOT/Provider</x:v>
      </x:c>
      <x:c r="D8" s="22" t="str">
        <x:v>Supported mapping</x:v>
      </x:c>
      <x:c r="E8" s="22" t="str">
        <x:v>exact chain/contract pairing</x:v>
      </x:c>
      <x:c r="F8" s="22" t="str">
        <x:v>chain id</x:v>
      </x:c>
      <x:c r="G8" s="22" t="str">
        <x:v>No</x:v>
      </x:c>
      <x:c r="H8" s="22" t="str">
        <x:v>N/A</x:v>
      </x:c>
      <x:c r="I8" s="22" t="str">
        <x:v>Strong warning</x:v>
      </x:c>
      <x:c r="J8" s="22" t="str">
        <x:v>No promise of recovery</x:v>
      </x:c>
      <x:c r="K8" s="22" t="str">
        <x:v>Yes</x:v>
      </x:c>
      <x:c r="L8" s="22" t="str">
        <x:v>N/A</x:v>
      </x:c>
      <x:c r="M8" s="22" t="str">
        <x:v>N/A</x:v>
      </x:c>
      <x:c r="N8" s="22" t="str">
        <x:v>High</x:v>
      </x:c>
      <x:c r="O8" s="22" t="str">
        <x:v>P2</x:v>
      </x:c>
      <x:c r="P8" s="34" t="str"/>
    </x:row>
    <x:row r="9">
      <x:c r="A9" s="35" t="str">
        <x:v>Chain finality</x:v>
      </x:c>
      <x:c r="B9" s="36" t="str">
        <x:v>Delivered only after provider-defined confirmations</x:v>
      </x:c>
      <x:c r="C9" s="36" t="str">
        <x:v>Provider</x:v>
      </x:c>
      <x:c r="D9" s="36" t="str">
        <x:v>tx broadcast</x:v>
      </x:c>
      <x:c r="E9" s="36" t="str">
        <x:v>tx status</x:v>
      </x:c>
      <x:c r="F9" s="36" t="str">
        <x:v>tx/block/confirmations</x:v>
      </x:c>
      <x:c r="G9" s="36" t="str">
        <x:v>No</x:v>
      </x:c>
      <x:c r="H9" s="36" t="str">
        <x:v>withdrawal id</x:v>
      </x:c>
      <x:c r="I9" s="36" t="str">
        <x:v>Pending state</x:v>
      </x:c>
      <x:c r="J9" s="36" t="str">
        <x:v>Reorg repair</x:v>
      </x:c>
      <x:c r="K9" s="36" t="str">
        <x:v>Hold final status if reorg</x:v>
      </x:c>
      <x:c r="L9" s="36" t="str">
        <x:v>N/A</x:v>
      </x:c>
      <x:c r="M9" s="36" t="str">
        <x:v>Explicit</x:v>
      </x:c>
      <x:c r="N9" s="36" t="str">
        <x:v>Medium</x:v>
      </x:c>
      <x:c r="O9" s="36" t="str">
        <x:v>P2</x:v>
      </x:c>
      <x:c r="P9" s="37" t="str"/>
    </x:row>
  </x:sheetData>
  <x:mergeCells>
    <x:mergeCell ref="A1:P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Backend State &amp; Persistence Additions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Table / Aggregate</x:v>
      </x:c>
      <x:c r="B3" s="14" t="str">
        <x:v>Primary Key</x:v>
      </x:c>
      <x:c r="C3" s="14" t="str">
        <x:v>Important Columns</x:v>
      </x:c>
      <x:c r="D3" s="14" t="str">
        <x:v>Mutable?</x:v>
      </x:c>
      <x:c r="E3" s="14" t="str">
        <x:v>Append-Only?</x:v>
      </x:c>
      <x:c r="F3" s="14" t="str">
        <x:v>Authoritative Owner</x:v>
      </x:c>
      <x:c r="G3" s="14" t="str">
        <x:v>Provider Ref?</x:v>
      </x:c>
      <x:c r="H3" s="14" t="str">
        <x:v>Config Version</x:v>
      </x:c>
      <x:c r="I3" s="14" t="str">
        <x:v>Idempotency Constraint</x:v>
      </x:c>
      <x:c r="J3" s="14" t="str">
        <x:v>Retention</x:v>
      </x:c>
      <x:c r="K3" s="14" t="str">
        <x:v>Cache</x:v>
      </x:c>
      <x:c r="L3" s="14" t="str">
        <x:v>Settlement Critical?</x:v>
      </x:c>
      <x:c r="M3" s="14" t="str">
        <x:v>PII?</x:v>
      </x:c>
      <x:c r="N3" s="14" t="str">
        <x:v>Onchain?</x:v>
      </x:c>
      <x:c r="O3" s="14" t="str">
        <x:v>Phase</x:v>
      </x:c>
      <x:c r="P3" s="14" t="str">
        <x:v>Notes</x:v>
      </x:c>
    </x:row>
    <x:row r="4">
      <x:c r="A4" s="30" t="str">
        <x:v>stock_reward_ledger</x:v>
      </x:c>
      <x:c r="B4" s="31" t="str">
        <x:v>stock_reward_id</x:v>
      </x:c>
      <x:c r="C4" s="31" t="str">
        <x:v>player,ticker,mode,award_usd,reference_price,sim_units,state,source_event,disclosure_version</x:v>
      </x:c>
      <x:c r="D4" s="31" t="str">
        <x:v>State transitions only</x:v>
      </x:c>
      <x:c r="E4" s="31" t="str">
        <x:v>Yes semantic ledger</x:v>
      </x:c>
      <x:c r="F4" s="31" t="str">
        <x:v>Reward</x:v>
      </x:c>
      <x:c r="G4" s="31" t="str">
        <x:v>Optional</x:v>
      </x:c>
      <x:c r="H4" s="31" t="str">
        <x:v>reward_config</x:v>
      </x:c>
      <x:c r="I4" s="31" t="str">
        <x:v>source_event+reward_type</x:v>
      </x:c>
      <x:c r="J4" s="31" t="str">
        <x:v>730d+</x:v>
      </x:c>
      <x:c r="K4" s="31" t="str">
        <x:v>Reward cache</x:v>
      </x:c>
      <x:c r="L4" s="31" t="str">
        <x:v>Yes for reward budget; 0 direct score</x:v>
      </x:c>
      <x:c r="M4" s="31" t="str">
        <x:v>No</x:v>
      </x:c>
      <x:c r="N4" s="31" t="str">
        <x:v>No</x:v>
      </x:c>
      <x:c r="O4" s="31" t="str">
        <x:v>P0</x:v>
      </x:c>
      <x:c r="P4" s="32" t="str"/>
    </x:row>
    <x:row r="5">
      <x:c r="A5" s="33" t="str">
        <x:v>stock_claim_balance</x:v>
      </x:c>
      <x:c r="B5" s="22" t="str">
        <x:v>player+ticker</x:v>
      </x:c>
      <x:c r="C5" s="22" t="str">
        <x:v>pending_usd,claimable_usd,row_version</x:v>
      </x:c>
      <x:c r="D5" s="22" t="str">
        <x:v>Yes</x:v>
      </x:c>
      <x:c r="E5" s="22" t="str">
        <x:v>No; ledger-derived</x:v>
      </x:c>
      <x:c r="F5" s="22" t="str">
        <x:v>Claim</x:v>
      </x:c>
      <x:c r="G5" s="22" t="str">
        <x:v>No</x:v>
      </x:c>
      <x:c r="H5" s="22" t="str">
        <x:v>claim_config</x:v>
      </x:c>
      <x:c r="I5" s="22" t="str">
        <x:v>N/A</x:v>
      </x:c>
      <x:c r="J5" s="22" t="str">
        <x:v>Permanent/current</x:v>
      </x:c>
      <x:c r="K5" s="22" t="str">
        <x:v>30s</x:v>
      </x:c>
      <x:c r="L5" s="22" t="str">
        <x:v>Financial pilot</x:v>
      </x:c>
      <x:c r="M5" s="22" t="str">
        <x:v>No</x:v>
      </x:c>
      <x:c r="N5" s="22" t="str">
        <x:v>No</x:v>
      </x:c>
      <x:c r="O5" s="22" t="str">
        <x:v>P2</x:v>
      </x:c>
      <x:c r="P5" s="34" t="str">
        <x:v>Can be derived from ledger if desired</x:v>
      </x:c>
    </x:row>
    <x:row r="6">
      <x:c r="A6" s="33" t="str">
        <x:v>stock_claim</x:v>
      </x:c>
      <x:c r="B6" s="22" t="str">
        <x:v>claim_id</x:v>
      </x:c>
      <x:c r="C6" s="22" t="str">
        <x:v>player,ticker,usd,state,provider,eligibility_version,quote_ref,funding_ref</x:v>
      </x:c>
      <x:c r="D6" s="22" t="str">
        <x:v>Yes state</x:v>
      </x:c>
      <x:c r="E6" s="22" t="str">
        <x:v>Audit log separate</x:v>
      </x:c>
      <x:c r="F6" s="22" t="str">
        <x:v>Claim</x:v>
      </x:c>
      <x:c r="G6" s="22" t="str">
        <x:v>Yes</x:v>
      </x:c>
      <x:c r="H6" s="22" t="str">
        <x:v>claim_config</x:v>
      </x:c>
      <x:c r="I6" s="22" t="str">
        <x:v>player+ticker+client id</x:v>
      </x:c>
      <x:c r="J6" s="22" t="str">
        <x:v>730d+</x:v>
      </x:c>
      <x:c r="K6" s="22" t="str">
        <x:v>30s</x:v>
      </x:c>
      <x:c r="L6" s="22" t="str">
        <x:v>Critical real asset</x:v>
      </x:c>
      <x:c r="M6" s="22" t="str">
        <x:v>Sensitive gameplay</x:v>
      </x:c>
      <x:c r="N6" s="22" t="str">
        <x:v>No</x:v>
      </x:c>
      <x:c r="O6" s="22" t="str">
        <x:v>P2</x:v>
      </x:c>
      <x:c r="P6" s="34" t="str"/>
    </x:row>
    <x:row r="7">
      <x:c r="A7" s="33" t="str">
        <x:v>provider_order</x:v>
      </x:c>
      <x:c r="B7" s="22" t="str">
        <x:v>provider_order_id</x:v>
      </x:c>
      <x:c r="C7" s="22" t="str">
        <x:v>claim_id,client_order_id,asset,usd,status,fill_id,price,units,fees</x:v>
      </x:c>
      <x:c r="D7" s="22" t="str">
        <x:v>Yes state</x:v>
      </x:c>
      <x:c r="E7" s="22" t="str">
        <x:v>Provider event log</x:v>
      </x:c>
      <x:c r="F7" s="22" t="str">
        <x:v>Settlement Adapter</x:v>
      </x:c>
      <x:c r="G7" s="22" t="str">
        <x:v>Yes</x:v>
      </x:c>
      <x:c r="H7" s="22" t="str">
        <x:v>provider adapter</x:v>
      </x:c>
      <x:c r="I7" s="22" t="str">
        <x:v>client_order_id unique</x:v>
      </x:c>
      <x:c r="J7" s="22" t="str">
        <x:v>730d+</x:v>
      </x:c>
      <x:c r="K7" s="22" t="str">
        <x:v>30s</x:v>
      </x:c>
      <x:c r="L7" s="22" t="str">
        <x:v>Critical real asset</x:v>
      </x:c>
      <x:c r="M7" s="22" t="str">
        <x:v>No</x:v>
      </x:c>
      <x:c r="N7" s="22" t="str">
        <x:v>No</x:v>
      </x:c>
      <x:c r="O7" s="22" t="str">
        <x:v>P2</x:v>
      </x:c>
      <x:c r="P7" s="34" t="str"/>
    </x:row>
    <x:row r="8">
      <x:c r="A8" s="33" t="str">
        <x:v>provider_event_log</x:v>
      </x:c>
      <x:c r="B8" s="22" t="str">
        <x:v>provider_event_id</x:v>
      </x:c>
      <x:c r="C8" s="22" t="str">
        <x:v>type,order/user/asset,payload_hash,received_at,processed_at</x:v>
      </x:c>
      <x:c r="D8" s="22" t="str">
        <x:v>No</x:v>
      </x:c>
      <x:c r="E8" s="22" t="str">
        <x:v>Yes</x:v>
      </x:c>
      <x:c r="F8" s="22" t="str">
        <x:v>Settlement Adapter</x:v>
      </x:c>
      <x:c r="G8" s="22" t="str">
        <x:v>Yes</x:v>
      </x:c>
      <x:c r="H8" s="22" t="str">
        <x:v>schema_version</x:v>
      </x:c>
      <x:c r="I8" s="22" t="str">
        <x:v>provider_event_id</x:v>
      </x:c>
      <x:c r="J8" s="22" t="str">
        <x:v>730d+</x:v>
      </x:c>
      <x:c r="K8" s="22" t="str">
        <x:v>No</x:v>
      </x:c>
      <x:c r="L8" s="22" t="str">
        <x:v>Critical</x:v>
      </x:c>
      <x:c r="M8" s="22" t="str">
        <x:v>May contain refs</x:v>
      </x:c>
      <x:c r="N8" s="22" t="str">
        <x:v>No</x:v>
      </x:c>
      <x:c r="O8" s="22" t="str">
        <x:v>P2</x:v>
      </x:c>
      <x:c r="P8" s="34" t="str">
        <x:v>Signed webhook audit</x:v>
      </x:c>
    </x:row>
    <x:row r="9">
      <x:c r="A9" s="33" t="str">
        <x:v>stock_delivery</x:v>
      </x:c>
      <x:c r="B9" s="22" t="str">
        <x:v>delivery_id</x:v>
      </x:c>
      <x:c r="C9" s="22" t="str">
        <x:v>claim,provider_user,asset,units,delivered_at,balance_ref</x:v>
      </x:c>
      <x:c r="D9" s="22" t="str">
        <x:v>No after confirm</x:v>
      </x:c>
      <x:c r="E9" s="22" t="str">
        <x:v>Yes</x:v>
      </x:c>
      <x:c r="F9" s="22" t="str">
        <x:v>Claim/Provider</x:v>
      </x:c>
      <x:c r="G9" s="22" t="str">
        <x:v>Yes</x:v>
      </x:c>
      <x:c r="H9" s="22" t="str">
        <x:v>adapter version</x:v>
      </x:c>
      <x:c r="I9" s="22" t="str">
        <x:v>fill_id unique</x:v>
      </x:c>
      <x:c r="J9" s="22" t="str">
        <x:v>Permanent/730d+</x:v>
      </x:c>
      <x:c r="K9" s="22" t="str">
        <x:v>60s</x:v>
      </x:c>
      <x:c r="L9" s="22" t="str">
        <x:v>Critical</x:v>
      </x:c>
      <x:c r="M9" s="22" t="str">
        <x:v>Sensitive refs</x:v>
      </x:c>
      <x:c r="N9" s="22" t="str">
        <x:v>No</x:v>
      </x:c>
      <x:c r="O9" s="22" t="str">
        <x:v>P2</x:v>
      </x:c>
      <x:c r="P9" s="34" t="str"/>
    </x:row>
    <x:row r="10">
      <x:c r="A10" s="33" t="str">
        <x:v>stock_corporate_action</x:v>
      </x:c>
      <x:c r="B10" s="22" t="str">
        <x:v>action_id</x:v>
      </x:c>
      <x:c r="C10" s="22" t="str">
        <x:v>asset,type,effective_at,ratio/amount,status,provider_ref</x:v>
      </x:c>
      <x:c r="D10" s="22" t="str">
        <x:v>State</x:v>
      </x:c>
      <x:c r="E10" s="22" t="str">
        <x:v>Event log</x:v>
      </x:c>
      <x:c r="F10" s="22" t="str">
        <x:v>Provider Adapter</x:v>
      </x:c>
      <x:c r="G10" s="22" t="str">
        <x:v>Yes</x:v>
      </x:c>
      <x:c r="H10" s="22" t="str">
        <x:v>provider feed version</x:v>
      </x:c>
      <x:c r="I10" s="22" t="str">
        <x:v>provider action id</x:v>
      </x:c>
      <x:c r="J10" s="22" t="str">
        <x:v>Permanent/730d+</x:v>
      </x:c>
      <x:c r="K10" s="22" t="str">
        <x:v>Asset cache</x:v>
      </x:c>
      <x:c r="L10" s="22" t="str">
        <x:v>High</x:v>
      </x:c>
      <x:c r="M10" s="22" t="str">
        <x:v>No</x:v>
      </x:c>
      <x:c r="N10" s="22" t="str">
        <x:v>Maybe token later</x:v>
      </x:c>
      <x:c r="O10" s="22" t="str">
        <x:v>P2</x:v>
      </x:c>
      <x:c r="P10" s="34" t="str"/>
    </x:row>
    <x:row r="11">
      <x:c r="A11" s="33" t="str">
        <x:v>stock_withdrawal</x:v>
      </x:c>
      <x:c r="B11" s="22" t="str">
        <x:v>withdrawal_id</x:v>
      </x:c>
      <x:c r="C11" s="22" t="str">
        <x:v>player,asset,chain,address,units,fee,state,provider_ref,tx_hash</x:v>
      </x:c>
      <x:c r="D11" s="22" t="str">
        <x:v>Yes state</x:v>
      </x:c>
      <x:c r="E11" s="22" t="str">
        <x:v>Audit</x:v>
      </x:c>
      <x:c r="F11" s="22" t="str">
        <x:v>Withdrawal</x:v>
      </x:c>
      <x:c r="G11" s="22" t="str">
        <x:v>Yes</x:v>
      </x:c>
      <x:c r="H11" s="22" t="str">
        <x:v>withdraw_config</x:v>
      </x:c>
      <x:c r="I11" s="22" t="str">
        <x:v>client withdrawal id</x:v>
      </x:c>
      <x:c r="J11" s="22" t="str">
        <x:v>Permanent/730d+</x:v>
      </x:c>
      <x:c r="K11" s="22" t="str">
        <x:v>30s</x:v>
      </x:c>
      <x:c r="L11" s="22" t="str">
        <x:v>Critical</x:v>
      </x:c>
      <x:c r="M11" s="22" t="str">
        <x:v>Wallet address</x:v>
      </x:c>
      <x:c r="N11" s="22" t="str">
        <x:v>Yes tx ref</x:v>
      </x:c>
      <x:c r="O11" s="22" t="str">
        <x:v>P3</x:v>
      </x:c>
      <x:c r="P11" s="34" t="str"/>
    </x:row>
    <x:row r="12">
      <x:c r="A12" s="35" t="str">
        <x:v>reward_funding_ledger</x:v>
      </x:c>
      <x:c r="B12" s="36" t="str">
        <x:v>funding_entry_id</x:v>
      </x:c>
      <x:c r="C12" s="36" t="str">
        <x:v>claim/batch,amount,currency,type,status,provider_ref</x:v>
      </x:c>
      <x:c r="D12" s="36" t="str">
        <x:v>No semantic entries</x:v>
      </x:c>
      <x:c r="E12" s="36" t="str">
        <x:v>Yes</x:v>
      </x:c>
      <x:c r="F12" s="36" t="str">
        <x:v>Treasury</x:v>
      </x:c>
      <x:c r="G12" s="36" t="str">
        <x:v>Yes</x:v>
      </x:c>
      <x:c r="H12" s="36" t="str">
        <x:v>treasury config</x:v>
      </x:c>
      <x:c r="I12" s="36" t="str">
        <x:v>source+type</x:v>
      </x:c>
      <x:c r="J12" s="36" t="str">
        <x:v>Permanent</x:v>
      </x:c>
      <x:c r="K12" s="36" t="str">
        <x:v>Treasury aggregate</x:v>
      </x:c>
      <x:c r="L12" s="36" t="str">
        <x:v>Critical finance</x:v>
      </x:c>
      <x:c r="M12" s="36" t="str">
        <x:v>No</x:v>
      </x:c>
      <x:c r="N12" s="36" t="str">
        <x:v>No</x:v>
      </x:c>
      <x:c r="O12" s="36" t="str">
        <x:v>P2</x:v>
      </x:c>
      <x:c r="P12" s="37" t="str">
        <x:v>No user deposits in v1</x:v>
      </x:c>
    </x:row>
  </x:sheetData>
  <x:mergeCells>
    <x:mergeCell ref="A1:P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Stock Reward / Claim API Surface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Method</x:v>
      </x:c>
      <x:c r="B3" s="14" t="str">
        <x:v>Route / Command</x:v>
      </x:c>
      <x:c r="C3" s="14" t="str">
        <x:v>Phase</x:v>
      </x:c>
      <x:c r="D3" s="14" t="str">
        <x:v>Auth</x:v>
      </x:c>
      <x:c r="E3" s="14" t="str">
        <x:v>Idempotency?</x:v>
      </x:c>
      <x:c r="F3" s="14" t="str">
        <x:v>Version?</x:v>
      </x:c>
      <x:c r="G3" s="14" t="str">
        <x:v>Request Core</x:v>
      </x:c>
      <x:c r="H3" s="14" t="str">
        <x:v>Response Core</x:v>
      </x:c>
      <x:c r="I3" s="14" t="str">
        <x:v>p95 Target</x:v>
      </x:c>
      <x:c r="J3" s="14" t="str">
        <x:v>Rate Limit</x:v>
      </x:c>
      <x:c r="K3" s="14" t="str">
        <x:v>Mutation?</x:v>
      </x:c>
      <x:c r="L3" s="14" t="str">
        <x:v>Provider Dependency</x:v>
      </x:c>
      <x:c r="M3" s="14" t="str">
        <x:v>Ledger Effect</x:v>
      </x:c>
      <x:c r="N3" s="14" t="str">
        <x:v>Failure Codes</x:v>
      </x:c>
      <x:c r="O3" s="14" t="str">
        <x:v>Owner</x:v>
      </x:c>
      <x:c r="P3" s="14" t="str">
        <x:v>Notes</x:v>
      </x:c>
    </x:row>
    <x:row r="4">
      <x:c r="A4" s="30" t="str">
        <x:v>GET</x:v>
      </x:c>
      <x:c r="B4" s="31" t="str">
        <x:v>/v1/portfolio/stocks</x:v>
      </x:c>
      <x:c r="C4" s="31" t="str">
        <x:v>P0+</x:v>
      </x:c>
      <x:c r="D4" s="31" t="str">
        <x:v>Owner</x:v>
      </x:c>
      <x:c r="E4" s="31" t="str">
        <x:v>No</x:v>
      </x:c>
      <x:c r="F4" s="31" t="str">
        <x:v>No</x:v>
      </x:c>
      <x:c r="G4" s="31" t="str">
        <x:v>mode/status filters</x:v>
      </x:c>
      <x:c r="H4" s="31" t="str">
        <x:v>simulated + real positions clearly separated</x:v>
      </x:c>
      <x:c r="I4" s="31" t="str">
        <x:v>200ms</x:v>
      </x:c>
      <x:c r="J4" s="31" t="str">
        <x:v>60/min</x:v>
      </x:c>
      <x:c r="K4" s="31" t="str">
        <x:v>No</x:v>
      </x:c>
      <x:c r="L4" s="31" t="str">
        <x:v>No for simulation</x:v>
      </x:c>
      <x:c r="M4" s="31" t="str">
        <x:v>No</x:v>
      </x:c>
      <x:c r="N4" s="31" t="str">
        <x:v>503</x:v>
      </x:c>
      <x:c r="O4" s="31" t="str">
        <x:v>Portfolio</x:v>
      </x:c>
      <x:c r="P4" s="32" t="str">
        <x:v>Never merge simulated and real totals without labels</x:v>
      </x:c>
    </x:row>
    <x:row r="5">
      <x:c r="A5" s="33" t="str">
        <x:v>GET</x:v>
      </x:c>
      <x:c r="B5" s="22" t="str">
        <x:v>/v1/stock-rewards</x:v>
      </x:c>
      <x:c r="C5" s="22" t="str">
        <x:v>P0+</x:v>
      </x:c>
      <x:c r="D5" s="22" t="str">
        <x:v>Owner</x:v>
      </x:c>
      <x:c r="E5" s="22" t="str">
        <x:v>No</x:v>
      </x:c>
      <x:c r="F5" s="22" t="str">
        <x:v>No</x:v>
      </x:c>
      <x:c r="G5" s="22" t="str">
        <x:v>cursor</x:v>
      </x:c>
      <x:c r="H5" s="22" t="str">
        <x:v>reward history,state,disclosure mode</x:v>
      </x:c>
      <x:c r="I5" s="22" t="str">
        <x:v>200ms</x:v>
      </x:c>
      <x:c r="J5" s="22" t="str">
        <x:v>60/min</x:v>
      </x:c>
      <x:c r="K5" s="22" t="str">
        <x:v>No</x:v>
      </x:c>
      <x:c r="L5" s="22" t="str">
        <x:v>No/P2 status</x:v>
      </x:c>
      <x:c r="M5" s="22" t="str">
        <x:v>No</x:v>
      </x:c>
      <x:c r="N5" s="22" t="str">
        <x:v>503</x:v>
      </x:c>
      <x:c r="O5" s="22" t="str">
        <x:v>Reward</x:v>
      </x:c>
      <x:c r="P5" s="34" t="str"/>
    </x:row>
    <x:row r="6">
      <x:c r="A6" s="33" t="str">
        <x:v>GET</x:v>
      </x:c>
      <x:c r="B6" s="22" t="str">
        <x:v>/v1/stock-claims/eligibility</x:v>
      </x:c>
      <x:c r="C6" s="22" t="str">
        <x:v>P2</x:v>
      </x:c>
      <x:c r="D6" s="22" t="str">
        <x:v>Owner</x:v>
      </x:c>
      <x:c r="E6" s="22" t="str">
        <x:v>No</x:v>
      </x:c>
      <x:c r="F6" s="22" t="str">
        <x:v>No</x:v>
      </x:c>
      <x:c r="G6" s="22" t="str">
        <x:v>ticker</x:v>
      </x:c>
      <x:c r="H6" s="22" t="str">
        <x:v>claimable_usd,provider,min,status,requirements</x:v>
      </x:c>
      <x:c r="I6" s="22" t="str">
        <x:v>500ms</x:v>
      </x:c>
      <x:c r="J6" s="22" t="str">
        <x:v>30/min</x:v>
      </x:c>
      <x:c r="K6" s="22" t="str">
        <x:v>No</x:v>
      </x:c>
      <x:c r="L6" s="22" t="str">
        <x:v>Eligibility API</x:v>
      </x:c>
      <x:c r="M6" s="22" t="str">
        <x:v>Audit optional</x:v>
      </x:c>
      <x:c r="N6" s="22" t="str">
        <x:v>403/451/503</x:v>
      </x:c>
      <x:c r="O6" s="22" t="str">
        <x:v>Claim</x:v>
      </x:c>
      <x:c r="P6" s="34" t="str"/>
    </x:row>
    <x:row r="7">
      <x:c r="A7" s="33" t="str">
        <x:v>POST</x:v>
      </x:c>
      <x:c r="B7" s="22" t="str">
        <x:v>/v1/stock-claims</x:v>
      </x:c>
      <x:c r="C7" s="22" t="str">
        <x:v>P2</x:v>
      </x:c>
      <x:c r="D7" s="22" t="str">
        <x:v>Owner</x:v>
      </x:c>
      <x:c r="E7" s="22" t="str">
        <x:v>Yes</x:v>
      </x:c>
      <x:c r="F7" s="22" t="str">
        <x:v>Yes</x:v>
      </x:c>
      <x:c r="G7" s="22" t="str">
        <x:v>ticker,usd,idempotency_key,expected_balance_version</x:v>
      </x:c>
      <x:c r="H7" s="22" t="str">
        <x:v>claim + next KYC/quote step</x:v>
      </x:c>
      <x:c r="I7" s="22" t="str">
        <x:v>800ms + provider</x:v>
      </x:c>
      <x:c r="J7" s="22" t="str">
        <x:v>10/min</x:v>
      </x:c>
      <x:c r="K7" s="22" t="str">
        <x:v>Yes</x:v>
      </x:c>
      <x:c r="L7" s="22" t="str">
        <x:v>Maybe</x:v>
      </x:c>
      <x:c r="M7" s="22" t="str">
        <x:v>Claim/funding intent</x:v>
      </x:c>
      <x:c r="N7" s="22" t="str">
        <x:v>409/422/451/503</x:v>
      </x:c>
      <x:c r="O7" s="22" t="str">
        <x:v>Claim</x:v>
      </x:c>
      <x:c r="P7" s="34" t="str">
        <x:v>Does not yet create asset units</x:v>
      </x:c>
    </x:row>
    <x:row r="8">
      <x:c r="A8" s="33" t="str">
        <x:v>POST</x:v>
      </x:c>
      <x:c r="B8" s="22" t="str">
        <x:v>/v1/stock-claims/{id}/confirm</x:v>
      </x:c>
      <x:c r="C8" s="22" t="str">
        <x:v>P2</x:v>
      </x:c>
      <x:c r="D8" s="22" t="str">
        <x:v>Owner</x:v>
      </x:c>
      <x:c r="E8" s="22" t="str">
        <x:v>Yes</x:v>
      </x:c>
      <x:c r="F8" s="22" t="str">
        <x:v>Yes</x:v>
      </x:c>
      <x:c r="G8" s="22" t="str">
        <x:v>quote_id,idempotency_key</x:v>
      </x:c>
      <x:c r="H8" s="22" t="str">
        <x:v>order submitted</x:v>
      </x:c>
      <x:c r="I8" s="22" t="str">
        <x:v>1s + provider</x:v>
      </x:c>
      <x:c r="J8" s="22" t="str">
        <x:v>10/min</x:v>
      </x:c>
      <x:c r="K8" s="22" t="str">
        <x:v>Yes</x:v>
      </x:c>
      <x:c r="L8" s="22" t="str">
        <x:v>Quote/order</x:v>
      </x:c>
      <x:c r="M8" s="22" t="str">
        <x:v>Claim/funding/order ledger</x:v>
      </x:c>
      <x:c r="N8" s="22" t="str">
        <x:v>409/410/422/503</x:v>
      </x:c>
      <x:c r="O8" s="22" t="str">
        <x:v>Claim</x:v>
      </x:c>
      <x:c r="P8" s="34" t="str">
        <x:v>Final units not known until fill</x:v>
      </x:c>
    </x:row>
    <x:row r="9">
      <x:c r="A9" s="33" t="str">
        <x:v>GET</x:v>
      </x:c>
      <x:c r="B9" s="22" t="str">
        <x:v>/v1/stock-claims/{id}</x:v>
      </x:c>
      <x:c r="C9" s="22" t="str">
        <x:v>P2</x:v>
      </x:c>
      <x:c r="D9" s="22" t="str">
        <x:v>Owner</x:v>
      </x:c>
      <x:c r="E9" s="22" t="str">
        <x:v>No</x:v>
      </x:c>
      <x:c r="F9" s="22" t="str">
        <x:v>No</x:v>
      </x:c>
      <x:c r="G9" s="22" t="str">
        <x:v>claim id</x:v>
      </x:c>
      <x:c r="H9" s="22" t="str">
        <x:v>claim/order/delivery state</x:v>
      </x:c>
      <x:c r="I9" s="22" t="str">
        <x:v>200ms</x:v>
      </x:c>
      <x:c r="J9" s="22" t="str">
        <x:v>60/min</x:v>
      </x:c>
      <x:c r="K9" s="22" t="str">
        <x:v>No</x:v>
      </x:c>
      <x:c r="L9" s="22" t="str">
        <x:v>Status/balance</x:v>
      </x:c>
      <x:c r="M9" s="22" t="str">
        <x:v>No</x:v>
      </x:c>
      <x:c r="N9" s="22" t="str">
        <x:v>404/503</x:v>
      </x:c>
      <x:c r="O9" s="22" t="str">
        <x:v>Claim</x:v>
      </x:c>
      <x:c r="P9" s="34" t="str"/>
    </x:row>
    <x:row r="10">
      <x:c r="A10" s="33" t="str">
        <x:v>POST</x:v>
      </x:c>
      <x:c r="B10" s="22" t="str">
        <x:v>/internal/providers/stock/webhook</x:v>
      </x:c>
      <x:c r="C10" s="22" t="str">
        <x:v>P2</x:v>
      </x:c>
      <x:c r="D10" s="22" t="str">
        <x:v>Provider signature</x:v>
      </x:c>
      <x:c r="E10" s="22" t="str">
        <x:v>Yes</x:v>
      </x:c>
      <x:c r="F10" s="22" t="str">
        <x:v>Schema/event version</x:v>
      </x:c>
      <x:c r="G10" s="22" t="str">
        <x:v>provider event</x:v>
      </x:c>
      <x:c r="H10" s="22" t="str">
        <x:v>ack</x:v>
      </x:c>
      <x:c r="I10" s="22" t="str">
        <x:v>&lt;500ms</x:v>
      </x:c>
      <x:c r="J10" s="22" t="str">
        <x:v>Provider controlled</x:v>
      </x:c>
      <x:c r="K10" s="22" t="str">
        <x:v>Yes</x:v>
      </x:c>
      <x:c r="L10" s="22" t="str">
        <x:v>Provider</x:v>
      </x:c>
      <x:c r="M10" s="22" t="str">
        <x:v>Provider event log + downstream transitions</x:v>
      </x:c>
      <x:c r="N10" s="22" t="str">
        <x:v>401/409/422</x:v>
      </x:c>
      <x:c r="O10" s="22" t="str">
        <x:v>Provider Adapter</x:v>
      </x:c>
      <x:c r="P10" s="34" t="str">
        <x:v>Ack fast; process async</x:v>
      </x:c>
    </x:row>
    <x:row r="11">
      <x:c r="A11" s="33" t="str">
        <x:v>POST</x:v>
      </x:c>
      <x:c r="B11" s="22" t="str">
        <x:v>/internal/stock/reconcile</x:v>
      </x:c>
      <x:c r="C11" s="22" t="str">
        <x:v>P2</x:v>
      </x:c>
      <x:c r="D11" s="22" t="str">
        <x:v>Service</x:v>
      </x:c>
      <x:c r="E11" s="22" t="str">
        <x:v>Yes</x:v>
      </x:c>
      <x:c r="F11" s="22" t="str">
        <x:v>Batch version</x:v>
      </x:c>
      <x:c r="G11" s="22" t="str">
        <x:v>provider/date</x:v>
      </x:c>
      <x:c r="H11" s="22" t="str">
        <x:v>manifest</x:v>
      </x:c>
      <x:c r="I11" s="22" t="str">
        <x:v>Worker</x:v>
      </x:c>
      <x:c r="J11" s="22" t="str">
        <x:v>Restricted</x:v>
      </x:c>
      <x:c r="K11" s="22" t="str">
        <x:v>Yes</x:v>
      </x:c>
      <x:c r="L11" s="22" t="str">
        <x:v>Provider balance/orders</x:v>
      </x:c>
      <x:c r="M11" s="22" t="str">
        <x:v>Reconciliation audit</x:v>
      </x:c>
      <x:c r="N11" s="22" t="str">
        <x:v>409 incomplete</x:v>
      </x:c>
      <x:c r="O11" s="22" t="str">
        <x:v>Settlement Adapter</x:v>
      </x:c>
      <x:c r="P11" s="34" t="str"/>
    </x:row>
    <x:row r="12">
      <x:c r="A12" s="35" t="str">
        <x:v>POST</x:v>
      </x:c>
      <x:c r="B12" s="36" t="str">
        <x:v>/v1/stock-withdrawals</x:v>
      </x:c>
      <x:c r="C12" s="36" t="str">
        <x:v>P3</x:v>
      </x:c>
      <x:c r="D12" s="36" t="str">
        <x:v>Owner</x:v>
      </x:c>
      <x:c r="E12" s="36" t="str">
        <x:v>Yes</x:v>
      </x:c>
      <x:c r="F12" s="36" t="str">
        <x:v>Yes</x:v>
      </x:c>
      <x:c r="G12" s="36" t="str">
        <x:v>asset,units,chain,address,idempotency_key</x:v>
      </x:c>
      <x:c r="H12" s="36" t="str">
        <x:v>withdrawal state</x:v>
      </x:c>
      <x:c r="I12" s="36" t="str">
        <x:v>1s + provider</x:v>
      </x:c>
      <x:c r="J12" s="36" t="str">
        <x:v>5/min</x:v>
      </x:c>
      <x:c r="K12" s="36" t="str">
        <x:v>Yes</x:v>
      </x:c>
      <x:c r="L12" s="36" t="str">
        <x:v>Withdrawal</x:v>
      </x:c>
      <x:c r="M12" s="36" t="str">
        <x:v>Withdrawal audit</x:v>
      </x:c>
      <x:c r="N12" s="36" t="str">
        <x:v>409/422/451/503</x:v>
      </x:c>
      <x:c r="O12" s="36" t="str">
        <x:v>Withdrawal</x:v>
      </x:c>
      <x:c r="P12" s="37" t="str">
        <x:v>Provider-hosted withdrawal preferred</x:v>
      </x:c>
    </x:row>
  </x:sheetData>
  <x:mergeCells>
    <x:mergeCell ref="A1:P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Stock Reward Ledger &amp; Accounting Semantics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Entry Type</x:v>
      </x:c>
      <x:c r="B3" s="14" t="str">
        <x:v>Debit / Credit Concept</x:v>
      </x:c>
      <x:c r="C3" s="14" t="str">
        <x:v>Phase</x:v>
      </x:c>
      <x:c r="D3" s="14" t="str">
        <x:v>Amount Basis</x:v>
      </x:c>
      <x:c r="E3" s="14" t="str">
        <x:v>Changes Game Cash?</x:v>
      </x:c>
      <x:c r="F3" s="14" t="str">
        <x:v>Creates Real Asset?</x:v>
      </x:c>
      <x:c r="G3" s="14" t="str">
        <x:v>Creates Financial Obligation?</x:v>
      </x:c>
      <x:c r="H3" s="14" t="str">
        <x:v>Eligible Performance?</x:v>
      </x:c>
      <x:c r="I3" s="14" t="str">
        <x:v>Provider Ref?</x:v>
      </x:c>
      <x:c r="J3" s="14" t="str">
        <x:v>Reversible?</x:v>
      </x:c>
      <x:c r="K3" s="14" t="str">
        <x:v>Idempotency</x:v>
      </x:c>
      <x:c r="L3" s="14" t="str">
        <x:v>Accounting / Treasury View</x:v>
      </x:c>
      <x:c r="M3" s="14" t="str">
        <x:v>Audit Evidence</x:v>
      </x:c>
      <x:c r="N3" s="14" t="str">
        <x:v>Failure Rule</x:v>
      </x:c>
      <x:c r="O3" s="14" t="str">
        <x:v>Priority</x:v>
      </x:c>
      <x:c r="P3" s="14" t="str">
        <x:v>Notes</x:v>
      </x:c>
    </x:row>
    <x:row r="4">
      <x:c r="A4" s="30" t="str">
        <x:v>SIM_STOCK_REWARD</x:v>
      </x:c>
      <x:c r="B4" s="31" t="str">
        <x:v>Game reward only</x:v>
      </x:c>
      <x:c r="C4" s="31" t="str">
        <x:v>P0/P1</x:v>
      </x:c>
      <x:c r="D4" s="31" t="str">
        <x:v>USD reference notional</x:v>
      </x:c>
      <x:c r="E4" s="31" t="str">
        <x:v>No</x:v>
      </x:c>
      <x:c r="F4" s="31" t="str">
        <x:v>No</x:v>
      </x:c>
      <x:c r="G4" s="31" t="str">
        <x:v>No</x:v>
      </x:c>
      <x:c r="H4" s="31" t="str">
        <x:v>No</x:v>
      </x:c>
      <x:c r="I4" s="31" t="str">
        <x:v>No</x:v>
      </x:c>
      <x:c r="J4" s="31" t="str">
        <x:v>Void only for validated exploit</x:v>
      </x:c>
      <x:c r="K4" s="31" t="str">
        <x:v>source_event+ticker</x:v>
      </x:c>
      <x:c r="L4" s="31" t="str">
        <x:v>Non-financial promotional/game item</x:v>
      </x:c>
      <x:c r="M4" s="31" t="str">
        <x:v>reward source + disclosure version</x:v>
      </x:c>
      <x:c r="N4" s="31" t="str">
        <x:v>Never treat as backed reserve</x:v>
      </x:c>
      <x:c r="O4" s="31" t="str">
        <x:v>P0</x:v>
      </x:c>
      <x:c r="P4" s="32" t="str"/>
    </x:row>
    <x:row r="5">
      <x:c r="A5" s="33" t="str">
        <x:v>REAL_STOCK_PENDING</x:v>
      </x:c>
      <x:c r="B5" s="22" t="str">
        <x:v>Promotional obligation created</x:v>
      </x:c>
      <x:c r="C5" s="22" t="str">
        <x:v>P2/P3</x:v>
      </x:c>
      <x:c r="D5" s="22" t="str">
        <x:v>Fixed USD notional</x:v>
      </x:c>
      <x:c r="E5" s="22" t="str">
        <x:v>No</x:v>
      </x:c>
      <x:c r="F5" s="22" t="str">
        <x:v>No</x:v>
      </x:c>
      <x:c r="G5" s="22" t="str">
        <x:v>Yes subject to terms/eligibility</x:v>
      </x:c>
      <x:c r="H5" s="22" t="str">
        <x:v>No</x:v>
      </x:c>
      <x:c r="I5" s="22" t="str">
        <x:v>No</x:v>
      </x:c>
      <x:c r="J5" s="22" t="str">
        <x:v>May expire/void per terms</x:v>
      </x:c>
      <x:c r="K5" s="22" t="str">
        <x:v>source_event+ticker+mode</x:v>
      </x:c>
      <x:c r="L5" s="22" t="str">
        <x:v>Reward liability/funding planning subject to accounting advice</x:v>
      </x:c>
      <x:c r="M5" s="22" t="str">
        <x:v>reward ledger</x:v>
      </x:c>
      <x:c r="N5" s="22" t="str">
        <x:v>No units promised</x:v>
      </x:c>
      <x:c r="O5" s="22" t="str">
        <x:v>P1</x:v>
      </x:c>
      <x:c r="P5" s="34" t="str"/>
    </x:row>
    <x:row r="6">
      <x:c r="A6" s="33" t="str">
        <x:v>CLAIM_RESERVED</x:v>
      </x:c>
      <x:c r="B6" s="22" t="str">
        <x:v>Treasury reserve earmark</x:v>
      </x:c>
      <x:c r="C6" s="22" t="str">
        <x:v>P2/P3</x:v>
      </x:c>
      <x:c r="D6" s="22" t="str">
        <x:v>Claim USD + buffer/fees</x:v>
      </x:c>
      <x:c r="E6" s="22" t="str">
        <x:v>No</x:v>
      </x:c>
      <x:c r="F6" s="22" t="str">
        <x:v>No</x:v>
      </x:c>
      <x:c r="G6" s="22" t="str">
        <x:v>Yes</x:v>
      </x:c>
      <x:c r="H6" s="22" t="str">
        <x:v>No</x:v>
      </x:c>
      <x:c r="I6" s="22" t="str">
        <x:v>Funding ref</x:v>
      </x:c>
      <x:c r="J6" s="22" t="str">
        <x:v>Release on definitive failure</x:v>
      </x:c>
      <x:c r="K6" s="22" t="str">
        <x:v>claim_id</x:v>
      </x:c>
      <x:c r="L6" s="22" t="str">
        <x:v>Treasury reserved amount</x:v>
      </x:c>
      <x:c r="M6" s="22" t="str">
        <x:v>funding ledger</x:v>
      </x:c>
      <x:c r="N6" s="22" t="str">
        <x:v>No double reservation</x:v>
      </x:c>
      <x:c r="O6" s="22" t="str">
        <x:v>P1</x:v>
      </x:c>
      <x:c r="P6" s="34" t="str"/>
    </x:row>
    <x:row r="7">
      <x:c r="A7" s="33" t="str">
        <x:v>PROVIDER_ORDER_SUBMITTED</x:v>
      </x:c>
      <x:c r="B7" s="22" t="str">
        <x:v>Provider payable/order</x:v>
      </x:c>
      <x:c r="C7" s="22" t="str">
        <x:v>P2/P3</x:v>
      </x:c>
      <x:c r="D7" s="22" t="str">
        <x:v>USD order</x:v>
      </x:c>
      <x:c r="E7" s="22" t="str">
        <x:v>No</x:v>
      </x:c>
      <x:c r="F7" s="22" t="str">
        <x:v>No yet</x:v>
      </x:c>
      <x:c r="G7" s="22" t="str">
        <x:v>Yes</x:v>
      </x:c>
      <x:c r="H7" s="22" t="str">
        <x:v>No</x:v>
      </x:c>
      <x:c r="I7" s="22" t="str">
        <x:v>Order id</x:v>
      </x:c>
      <x:c r="J7" s="22" t="str">
        <x:v>Cancel/provider rules</x:v>
      </x:c>
      <x:c r="K7" s="22" t="str">
        <x:v>client_order_id</x:v>
      </x:c>
      <x:c r="L7" s="22" t="str">
        <x:v>Cash outflow pending</x:v>
      </x:c>
      <x:c r="M7" s="22" t="str">
        <x:v>provider order</x:v>
      </x:c>
      <x:c r="N7" s="22" t="str">
        <x:v>Never assume fill</x:v>
      </x:c>
      <x:c r="O7" s="22" t="str">
        <x:v>P1</x:v>
      </x:c>
      <x:c r="P7" s="34" t="str"/>
    </x:row>
    <x:row r="8">
      <x:c r="A8" s="33" t="str">
        <x:v>PROVIDER_FILL</x:v>
      </x:c>
      <x:c r="B8" s="22" t="str">
        <x:v>Real asset acquired/created by provider for user</x:v>
      </x:c>
      <x:c r="C8" s="22" t="str">
        <x:v>P2/P3</x:v>
      </x:c>
      <x:c r="D8" s="22" t="str">
        <x:v>Actual units + execution price</x:v>
      </x:c>
      <x:c r="E8" s="22" t="str">
        <x:v>No</x:v>
      </x:c>
      <x:c r="F8" s="22" t="str">
        <x:v>Yes</x:v>
      </x:c>
      <x:c r="G8" s="22" t="str">
        <x:v>Obligation transitions to delivery</x:v>
      </x:c>
      <x:c r="H8" s="22" t="str">
        <x:v>No</x:v>
      </x:c>
      <x:c r="I8" s="22" t="str">
        <x:v>Fill id</x:v>
      </x:c>
      <x:c r="J8" s="22" t="str">
        <x:v>Not reversible by PLOT</x:v>
      </x:c>
      <x:c r="K8" s="22" t="str">
        <x:v>fill id</x:v>
      </x:c>
      <x:c r="L8" s="22" t="str">
        <x:v>Expense/reward fulfilled when criteria met, per accounting policy</x:v>
      </x:c>
      <x:c r="M8" s="22" t="str">
        <x:v>fill/status</x:v>
      </x:c>
      <x:c r="N8" s="22" t="str">
        <x:v>Reconcile exact</x:v>
      </x:c>
      <x:c r="O8" s="22" t="str">
        <x:v>P1</x:v>
      </x:c>
      <x:c r="P8" s="34" t="str"/>
    </x:row>
    <x:row r="9">
      <x:c r="A9" s="33" t="str">
        <x:v>STOCK_DELIVERED</x:v>
      </x:c>
      <x:c r="B9" s="22" t="str">
        <x:v>User credited by provider</x:v>
      </x:c>
      <x:c r="C9" s="22" t="str">
        <x:v>P2/P3</x:v>
      </x:c>
      <x:c r="D9" s="22" t="str">
        <x:v>Units</x:v>
      </x:c>
      <x:c r="E9" s="22" t="str">
        <x:v>No</x:v>
      </x:c>
      <x:c r="F9" s="22" t="str">
        <x:v>Yes</x:v>
      </x:c>
      <x:c r="G9" s="22" t="str">
        <x:v>Fulfilled</x:v>
      </x:c>
      <x:c r="H9" s="22" t="str">
        <x:v>No</x:v>
      </x:c>
      <x:c r="I9" s="22" t="str">
        <x:v>Balance/delivery ref</x:v>
      </x:c>
      <x:c r="J9" s="22" t="str">
        <x:v>No PLOT reversal</x:v>
      </x:c>
      <x:c r="K9" s="22" t="str">
        <x:v>fill/delivery id</x:v>
      </x:c>
      <x:c r="L9" s="22" t="str">
        <x:v>Completed reward</x:v>
      </x:c>
      <x:c r="M9" s="22" t="str">
        <x:v>provider evidence</x:v>
      </x:c>
      <x:c r="N9" s="22" t="str">
        <x:v>Support only</x:v>
      </x:c>
      <x:c r="O9" s="22" t="str">
        <x:v>P1</x:v>
      </x:c>
      <x:c r="P9" s="34" t="str"/>
    </x:row>
    <x:row r="10">
      <x:c r="A10" s="35" t="str">
        <x:v>WITHDRAWAL</x:v>
      </x:c>
      <x:c r="B10" s="36" t="str">
        <x:v>Asset transferred by provider</x:v>
      </x:c>
      <x:c r="C10" s="36" t="str">
        <x:v>P3</x:v>
      </x:c>
      <x:c r="D10" s="36" t="str">
        <x:v>Units/fee</x:v>
      </x:c>
      <x:c r="E10" s="36" t="str">
        <x:v>No</x:v>
      </x:c>
      <x:c r="F10" s="36" t="str">
        <x:v>Already real</x:v>
      </x:c>
      <x:c r="G10" s="36" t="str">
        <x:v>No new obligation</x:v>
      </x:c>
      <x:c r="H10" s="36" t="str">
        <x:v>No</x:v>
      </x:c>
      <x:c r="I10" s="36" t="str">
        <x:v>withdrawal/tx</x:v>
      </x:c>
      <x:c r="J10" s="36" t="str">
        <x:v>Irreversible after chain finality</x:v>
      </x:c>
      <x:c r="K10" s="36" t="str">
        <x:v>withdrawal id</x:v>
      </x:c>
      <x:c r="L10" s="36" t="str">
        <x:v>No PLOT asset balance</x:v>
      </x:c>
      <x:c r="M10" s="36" t="str">
        <x:v>provider+chain</x:v>
      </x:c>
      <x:c r="N10" s="36" t="str">
        <x:v>Do not retry with new ID</x:v>
      </x:c>
      <x:c r="O10" s="36" t="str">
        <x:v>P2</x:v>
      </x:c>
      <x:c r="P10" s="37" t="str"/>
    </x:row>
  </x:sheetData>
  <x:mergeCells>
    <x:mergeCell ref="A1:P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Failure Recovery &amp; Reconciliation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Failure</x:v>
      </x:c>
      <x:c r="B3" s="14" t="str">
        <x:v>Detection</x:v>
      </x:c>
      <x:c r="C3" s="14" t="str">
        <x:v>Player State</x:v>
      </x:c>
      <x:c r="D3" s="14" t="str">
        <x:v>Immediate Response</x:v>
      </x:c>
      <x:c r="E3" s="14" t="str">
        <x:v>New Claims?</x:v>
      </x:c>
      <x:c r="F3" s="14" t="str">
        <x:v>Existing Delivered Assets?</x:v>
      </x:c>
      <x:c r="G3" s="14" t="str">
        <x:v>Funding Action</x:v>
      </x:c>
      <x:c r="H3" s="14" t="str">
        <x:v>Provider Action</x:v>
      </x:c>
      <x:c r="I3" s="14" t="str">
        <x:v>Reconciliation</x:v>
      </x:c>
      <x:c r="J3" s="14" t="str">
        <x:v>Retry Key</x:v>
      </x:c>
      <x:c r="K3" s="14" t="str">
        <x:v>User Copy</x:v>
      </x:c>
      <x:c r="L3" s="14" t="str">
        <x:v>Manual Review?</x:v>
      </x:c>
      <x:c r="M3" s="14" t="str">
        <x:v>RPO</x:v>
      </x:c>
      <x:c r="N3" s="14" t="str">
        <x:v>RTO Target</x:v>
      </x:c>
      <x:c r="O3" s="14" t="str">
        <x:v>Severity</x:v>
      </x:c>
      <x:c r="P3" s="14" t="str">
        <x:v>Notes</x:v>
      </x:c>
    </x:row>
    <x:row r="4">
      <x:c r="A4" s="30" t="str">
        <x:v>Market data outage</x:v>
      </x:c>
      <x:c r="B4" s="31" t="str">
        <x:v>Quote stale/missing</x:v>
      </x:c>
      <x:c r="C4" s="31" t="str">
        <x:v>Simulation display stale; pending claims cannot quote</x:v>
      </x:c>
      <x:c r="D4" s="31" t="str">
        <x:v>Mark price stale; keep gameplay reward</x:v>
      </x:c>
      <x:c r="E4" s="31" t="str">
        <x:v>Pause confirm if quote required</x:v>
      </x:c>
      <x:c r="F4" s="31" t="str">
        <x:v>Unaffected</x:v>
      </x:c>
      <x:c r="G4" s="31" t="str">
        <x:v>None</x:v>
      </x:c>
      <x:c r="H4" s="31" t="str">
        <x:v>None</x:v>
      </x:c>
      <x:c r="I4" s="31" t="str">
        <x:v>Refresh feed</x:v>
      </x:c>
      <x:c r="J4" s="31" t="str">
        <x:v>N/A</x:v>
      </x:c>
      <x:c r="K4" s="31" t="str">
        <x:v>Pricing temporarily unavailable</x:v>
      </x:c>
      <x:c r="L4" s="31" t="str">
        <x:v>No</x:v>
      </x:c>
      <x:c r="M4" s="31" t="str">
        <x:v>0 ledger loss</x:v>
      </x:c>
      <x:c r="N4" s="31" t="str">
        <x:v>&lt;30m</x:v>
      </x:c>
      <x:c r="O4" s="31" t="str">
        <x:v>Medium</x:v>
      </x:c>
      <x:c r="P4" s="32" t="str"/>
    </x:row>
    <x:row r="5">
      <x:c r="A5" s="33" t="str">
        <x:v>Provider API outage</x:v>
      </x:c>
      <x:c r="B5" s="22" t="str">
        <x:v>5xx/timeouts</x:v>
      </x:c>
      <x:c r="C5" s="22" t="str">
        <x:v>Claims pending</x:v>
      </x:c>
      <x:c r="D5" s="22" t="str">
        <x:v>Do not block Hunts/gameplay; queue/status pending</x:v>
      </x:c>
      <x:c r="E5" s="22" t="str">
        <x:v>Pause new real claims after threshold</x:v>
      </x:c>
      <x:c r="F5" s="22" t="str">
        <x:v>Unaffected</x:v>
      </x:c>
      <x:c r="G5" s="22" t="str">
        <x:v>Keep reserve</x:v>
      </x:c>
      <x:c r="H5" s="22" t="str">
        <x:v>Retry same client order IDs</x:v>
      </x:c>
      <x:c r="I5" s="22" t="str">
        <x:v>Reconcile orders before resubmit</x:v>
      </x:c>
      <x:c r="J5" s="22" t="str">
        <x:v>claim/order id</x:v>
      </x:c>
      <x:c r="K5" s="22" t="str">
        <x:v>Real stock claim delayed</x:v>
      </x:c>
      <x:c r="L5" s="22" t="str">
        <x:v>Maybe</x:v>
      </x:c>
      <x:c r="M5" s="22" t="str">
        <x:v>0</x:v>
      </x:c>
      <x:c r="N5" s="22" t="str">
        <x:v>&lt;60m target</x:v>
      </x:c>
      <x:c r="O5" s="22" t="str">
        <x:v>High</x:v>
      </x:c>
      <x:c r="P5" s="34" t="str"/>
    </x:row>
    <x:row r="6">
      <x:c r="A6" s="33" t="str">
        <x:v>Ambiguous order timeout</x:v>
      </x:c>
      <x:c r="B6" s="22" t="str">
        <x:v>No response after submit</x:v>
      </x:c>
      <x:c r="C6" s="22" t="str">
        <x:v>ORDER_SUBMITTED/UNKNOWN</x:v>
      </x:c>
      <x:c r="D6" s="22" t="str">
        <x:v>Never create second order; query by client_order_id</x:v>
      </x:c>
      <x:c r="E6" s="22" t="str">
        <x:v>Limit new claims if systemic</x:v>
      </x:c>
      <x:c r="F6" s="22" t="str">
        <x:v>Unaffected</x:v>
      </x:c>
      <x:c r="G6" s="22" t="str">
        <x:v>Keep reserved</x:v>
      </x:c>
      <x:c r="H6" s="22" t="str">
        <x:v>Status lookup</x:v>
      </x:c>
      <x:c r="I6" s="22" t="str">
        <x:v>Mandatory</x:v>
      </x:c>
      <x:c r="J6" s="22" t="str">
        <x:v>client_order_id</x:v>
      </x:c>
      <x:c r="K6" s="22" t="str">
        <x:v>Checking provider settlement</x:v>
      </x:c>
      <x:c r="L6" s="22" t="str">
        <x:v>Maybe</x:v>
      </x:c>
      <x:c r="M6" s="22" t="str">
        <x:v>0</x:v>
      </x:c>
      <x:c r="N6" s="22" t="str">
        <x:v>&lt;30m</x:v>
      </x:c>
      <x:c r="O6" s="22" t="str">
        <x:v>Critical</x:v>
      </x:c>
      <x:c r="P6" s="34" t="str"/>
    </x:row>
    <x:row r="7">
      <x:c r="A7" s="33" t="str">
        <x:v>Webhook duplicate</x:v>
      </x:c>
      <x:c r="B7" s="22" t="str">
        <x:v>Same provider event id</x:v>
      </x:c>
      <x:c r="C7" s="22" t="str">
        <x:v>No user issue</x:v>
      </x:c>
      <x:c r="D7" s="22" t="str">
        <x:v>Dedupe</x:v>
      </x:c>
      <x:c r="E7" s="22" t="str">
        <x:v>Yes</x:v>
      </x:c>
      <x:c r="F7" s="22" t="str">
        <x:v>Unaffected</x:v>
      </x:c>
      <x:c r="G7" s="22" t="str">
        <x:v>None</x:v>
      </x:c>
      <x:c r="H7" s="22" t="str">
        <x:v>Ack existing</x:v>
      </x:c>
      <x:c r="I7" s="22" t="str">
        <x:v>No-op</x:v>
      </x:c>
      <x:c r="J7" s="22" t="str">
        <x:v>provider_event_id</x:v>
      </x:c>
      <x:c r="K7" s="22" t="str">
        <x:v>None</x:v>
      </x:c>
      <x:c r="L7" s="22" t="str">
        <x:v>No</x:v>
      </x:c>
      <x:c r="M7" s="22" t="str">
        <x:v>0</x:v>
      </x:c>
      <x:c r="N7" s="22" t="str">
        <x:v>Immediate</x:v>
      </x:c>
      <x:c r="O7" s="22" t="str">
        <x:v>Low</x:v>
      </x:c>
      <x:c r="P7" s="34" t="str"/>
    </x:row>
    <x:row r="8">
      <x:c r="A8" s="33" t="str">
        <x:v>Webhook missing</x:v>
      </x:c>
      <x:c r="B8" s="22" t="str">
        <x:v>Order exists but no event</x:v>
      </x:c>
      <x:c r="C8" s="22" t="str">
        <x:v>Stale pending</x:v>
      </x:c>
      <x:c r="D8" s="22" t="str">
        <x:v>Scheduled poll/reconcile</x:v>
      </x:c>
      <x:c r="E8" s="22" t="str">
        <x:v>Yes with caution</x:v>
      </x:c>
      <x:c r="F8" s="22" t="str">
        <x:v>Unaffected</x:v>
      </x:c>
      <x:c r="G8" s="22" t="str">
        <x:v>Keep reserve</x:v>
      </x:c>
      <x:c r="H8" s="22" t="str">
        <x:v>Status/balance read</x:v>
      </x:c>
      <x:c r="I8" s="22" t="str">
        <x:v>Repair state</x:v>
      </x:c>
      <x:c r="J8" s="22" t="str">
        <x:v>order id</x:v>
      </x:c>
      <x:c r="K8" s="22" t="str">
        <x:v>Settlement taking longer</x:v>
      </x:c>
      <x:c r="L8" s="22" t="str">
        <x:v>No/Maybe</x:v>
      </x:c>
      <x:c r="M8" s="22" t="str">
        <x:v>0</x:v>
      </x:c>
      <x:c r="N8" s="22" t="str">
        <x:v>&lt;15m detection</x:v>
      </x:c>
      <x:c r="O8" s="22" t="str">
        <x:v>High</x:v>
      </x:c>
      <x:c r="P8" s="34" t="str"/>
    </x:row>
    <x:row r="9">
      <x:c r="A9" s="33" t="str">
        <x:v>Funding shortfall</x:v>
      </x:c>
      <x:c r="B9" s="22" t="str">
        <x:v>Reserve utilization / bank/provider balance</x:v>
      </x:c>
      <x:c r="C9" s="22" t="str">
        <x:v>Pending claims</x:v>
      </x:c>
      <x:c r="D9" s="22" t="str">
        <x:v>Pause new real claims; do not issue units</x:v>
      </x:c>
      <x:c r="E9" s="22" t="str">
        <x:v>No</x:v>
      </x:c>
      <x:c r="F9" s="22" t="str">
        <x:v>Unaffected</x:v>
      </x:c>
      <x:c r="G9" s="22" t="str">
        <x:v>Top up</x:v>
      </x:c>
      <x:c r="H9" s="22" t="str">
        <x:v>No new order</x:v>
      </x:c>
      <x:c r="I9" s="22" t="str">
        <x:v>Treasury reconcile</x:v>
      </x:c>
      <x:c r="J9" s="22" t="str">
        <x:v>claim id</x:v>
      </x:c>
      <x:c r="K9" s="22" t="str">
        <x:v>Real stock claims temporarily paused</x:v>
      </x:c>
      <x:c r="L9" s="22" t="str">
        <x:v>Yes</x:v>
      </x:c>
      <x:c r="M9" s="22" t="str">
        <x:v>0</x:v>
      </x:c>
      <x:c r="N9" s="22" t="str">
        <x:v>Variable</x:v>
      </x:c>
      <x:c r="O9" s="22" t="str">
        <x:v>Critical</x:v>
      </x:c>
      <x:c r="P9" s="34" t="str">
        <x:v>Gameplay may continue with simulated rewards if terms/config allow</x:v>
      </x:c>
    </x:row>
    <x:row r="10">
      <x:c r="A10" s="33" t="str">
        <x:v>Provider/asset suspended</x:v>
      </x:c>
      <x:c r="B10" s="22" t="str">
        <x:v>Provider catalog/halt</x:v>
      </x:c>
      <x:c r="C10" s="22" t="str">
        <x:v>Claimable USD remains pending</x:v>
      </x:c>
      <x:c r="D10" s="22" t="str">
        <x:v>Disable new ticker claims/rewards or route future rewards to fallback</x:v>
      </x:c>
      <x:c r="E10" s="22" t="str">
        <x:v>No for asset</x:v>
      </x:c>
      <x:c r="F10" s="22" t="str">
        <x:v>Delivered balance per provider</x:v>
      </x:c>
      <x:c r="G10" s="22" t="str">
        <x:v>None</x:v>
      </x:c>
      <x:c r="H10" s="22" t="str">
        <x:v>Provider rules</x:v>
      </x:c>
      <x:c r="I10" s="22" t="str">
        <x:v>Reconcile later</x:v>
      </x:c>
      <x:c r="J10" s="22" t="str">
        <x:v>asset+provider</x:v>
      </x:c>
      <x:c r="K10" s="22" t="str">
        <x:v>Ticker temporarily unavailable</x:v>
      </x:c>
      <x:c r="L10" s="22" t="str">
        <x:v>Maybe</x:v>
      </x:c>
      <x:c r="M10" s="22" t="str">
        <x:v>0</x:v>
      </x:c>
      <x:c r="N10" s="22" t="str">
        <x:v>Provider</x:v>
      </x:c>
      <x:c r="O10" s="22" t="str">
        <x:v>High</x:v>
      </x:c>
      <x:c r="P10" s="34" t="str"/>
    </x:row>
    <x:row r="11">
      <x:c r="A11" s="33" t="str">
        <x:v>Delivery mismatch</x:v>
      </x:c>
      <x:c r="B11" s="22" t="str">
        <x:v>Fill confirmed but user balance differs</x:v>
      </x:c>
      <x:c r="C11" s="22" t="str">
        <x:v>RECONCILIATION_HOLD</x:v>
      </x:c>
      <x:c r="D11" s="22" t="str">
        <x:v>Hold claim completion status; no duplicate order</x:v>
      </x:c>
      <x:c r="E11" s="22" t="str">
        <x:v>May pause affected provider</x:v>
      </x:c>
      <x:c r="F11" s="22" t="str">
        <x:v>Do not alter delivered assets</x:v>
      </x:c>
      <x:c r="G11" s="22" t="str">
        <x:v>No new spend</x:v>
      </x:c>
      <x:c r="H11" s="22" t="str">
        <x:v>Provider support/status</x:v>
      </x:c>
      <x:c r="I11" s="22" t="str">
        <x:v>Exact balance/order audit</x:v>
      </x:c>
      <x:c r="J11" s="22" t="str">
        <x:v>fill id</x:v>
      </x:c>
      <x:c r="K11" s="22" t="str">
        <x:v>We are reconciling your reward</x:v>
      </x:c>
      <x:c r="L11" s="22" t="str">
        <x:v>Yes</x:v>
      </x:c>
      <x:c r="M11" s="22" t="str">
        <x:v>0</x:v>
      </x:c>
      <x:c r="N11" s="22" t="str">
        <x:v>&lt;24h</x:v>
      </x:c>
      <x:c r="O11" s="22" t="str">
        <x:v>Critical</x:v>
      </x:c>
      <x:c r="P11" s="34" t="str"/>
    </x:row>
    <x:row r="12">
      <x:c r="A12" s="35" t="str">
        <x:v>Withdrawal stuck</x:v>
      </x:c>
      <x:c r="B12" s="36" t="str">
        <x:v>Provider/chain pending</x:v>
      </x:c>
      <x:c r="C12" s="36" t="str">
        <x:v>WITHDRAWAL_PENDING</x:v>
      </x:c>
      <x:c r="D12" s="36" t="str">
        <x:v>Do not resubmit with new id</x:v>
      </x:c>
      <x:c r="E12" s="36" t="str">
        <x:v>Other withdrawals provider-policy</x:v>
      </x:c>
      <x:c r="F12" s="36" t="str">
        <x:v>Delivered balance may be locked</x:v>
      </x:c>
      <x:c r="G12" s="36" t="str">
        <x:v>None</x:v>
      </x:c>
      <x:c r="H12" s="36" t="str">
        <x:v>Status lookup</x:v>
      </x:c>
      <x:c r="I12" s="36" t="str">
        <x:v>Chain/provider reconcile</x:v>
      </x:c>
      <x:c r="J12" s="36" t="str">
        <x:v>withdrawal id</x:v>
      </x:c>
      <x:c r="K12" s="36" t="str">
        <x:v>Withdrawal pending</x:v>
      </x:c>
      <x:c r="L12" s="36" t="str">
        <x:v>Maybe</x:v>
      </x:c>
      <x:c r="M12" s="36" t="str">
        <x:v>0</x:v>
      </x:c>
      <x:c r="N12" s="36" t="str">
        <x:v>Provider/chain</x:v>
      </x:c>
      <x:c r="O12" s="36" t="str">
        <x:v>High</x:v>
      </x:c>
      <x:c r="P12" s="37" t="str"/>
    </x:row>
  </x:sheetData>
  <x:mergeCells>
    <x:mergeCell ref="A1:P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Security, Fraud &amp; Integrity Controls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Threat</x:v>
      </x:c>
      <x:c r="B3" s="14" t="str">
        <x:v>Evidence</x:v>
      </x:c>
      <x:c r="C3" s="14" t="str">
        <x:v>Realtime Control</x:v>
      </x:c>
      <x:c r="D3" s="14" t="str">
        <x:v>Batch Control</x:v>
      </x:c>
      <x:c r="E3" s="14" t="str">
        <x:v>Reward Action</x:v>
      </x:c>
      <x:c r="F3" s="14" t="str">
        <x:v>Claim Action</x:v>
      </x:c>
      <x:c r="G3" s="14" t="str">
        <x:v>Withdrawal Action</x:v>
      </x:c>
      <x:c r="H3" s="14" t="str">
        <x:v>Hold?</x:v>
      </x:c>
      <x:c r="I3" s="14" t="str">
        <x:v>Review?</x:v>
      </x:c>
      <x:c r="J3" s="14" t="str">
        <x:v>Idempotency / Replay</x:v>
      </x:c>
      <x:c r="K3" s="14" t="str">
        <x:v>Data Retention</x:v>
      </x:c>
      <x:c r="L3" s="14" t="str">
        <x:v>False Positive Risk</x:v>
      </x:c>
      <x:c r="M3" s="14" t="str">
        <x:v>Owner</x:v>
      </x:c>
      <x:c r="N3" s="14" t="str">
        <x:v>Phase</x:v>
      </x:c>
      <x:c r="O3" s="14" t="str">
        <x:v>Severity</x:v>
      </x:c>
      <x:c r="P3" s="14" t="str">
        <x:v>Notes</x:v>
      </x:c>
    </x:row>
    <x:row r="4">
      <x:c r="A4" s="30" t="str">
        <x:v>Forged Hunt reward</x:v>
      </x:c>
      <x:c r="B4" s="31" t="str">
        <x:v>Activity/Hunt ledgers</x:v>
      </x:c>
      <x:c r="C4" s="31" t="str">
        <x:v>Server-only reward creation</x:v>
      </x:c>
      <x:c r="D4" s="31" t="str">
        <x:v>Recompute completion</x:v>
      </x:c>
      <x:c r="E4" s="31" t="str">
        <x:v>No reward</x:v>
      </x:c>
      <x:c r="F4" s="31" t="str">
        <x:v>No claim</x:v>
      </x:c>
      <x:c r="G4" s="31" t="str">
        <x:v>N/A</x:v>
      </x:c>
      <x:c r="H4" s="31" t="str">
        <x:v>Yes</x:v>
      </x:c>
      <x:c r="I4" s="31" t="str">
        <x:v>Maybe</x:v>
      </x:c>
      <x:c r="J4" s="31" t="str">
        <x:v>source_event unique</x:v>
      </x:c>
      <x:c r="K4" s="31" t="str">
        <x:v>730d+</x:v>
      </x:c>
      <x:c r="L4" s="31" t="str">
        <x:v>Low</x:v>
      </x:c>
      <x:c r="M4" s="31" t="str">
        <x:v>Integrity</x:v>
      </x:c>
      <x:c r="N4" s="31" t="str">
        <x:v>P0</x:v>
      </x:c>
      <x:c r="O4" s="31" t="str">
        <x:v>Critical</x:v>
      </x:c>
      <x:c r="P4" s="32" t="str"/>
    </x:row>
    <x:row r="5">
      <x:c r="A5" s="33" t="str">
        <x:v>Duplicate real claim</x:v>
      </x:c>
      <x:c r="B5" s="22" t="str">
        <x:v>Claim/reward ledgers</x:v>
      </x:c>
      <x:c r="C5" s="22" t="str">
        <x:v>Balance version + idempotency</x:v>
      </x:c>
      <x:c r="D5" s="22" t="str">
        <x:v>Ledger reconciliation</x:v>
      </x:c>
      <x:c r="E5" s="22" t="str">
        <x:v>No duplicate pending reduction</x:v>
      </x:c>
      <x:c r="F5" s="22" t="str">
        <x:v>Return existing claim/order</x:v>
      </x:c>
      <x:c r="G5" s="22" t="str">
        <x:v>N/A</x:v>
      </x:c>
      <x:c r="H5" s="22" t="str">
        <x:v>No</x:v>
      </x:c>
      <x:c r="I5" s="22" t="str">
        <x:v>No</x:v>
      </x:c>
      <x:c r="J5" s="22" t="str">
        <x:v>claim id</x:v>
      </x:c>
      <x:c r="K5" s="22" t="str">
        <x:v>Permanent</x:v>
      </x:c>
      <x:c r="L5" s="22" t="str">
        <x:v>Low</x:v>
      </x:c>
      <x:c r="M5" s="22" t="str">
        <x:v>Claim</x:v>
      </x:c>
      <x:c r="N5" s="22" t="str">
        <x:v>P2</x:v>
      </x:c>
      <x:c r="O5" s="22" t="str">
        <x:v>Critical</x:v>
      </x:c>
      <x:c r="P5" s="34" t="str"/>
    </x:row>
    <x:row r="6">
      <x:c r="A6" s="33" t="str">
        <x:v>Provider order replay</x:v>
      </x:c>
      <x:c r="B6" s="22" t="str">
        <x:v>client_order_id/provider order</x:v>
      </x:c>
      <x:c r="C6" s="22" t="str">
        <x:v>Same external ID only</x:v>
      </x:c>
      <x:c r="D6" s="22" t="str">
        <x:v>Orders/fills reconcile</x:v>
      </x:c>
      <x:c r="E6" s="22" t="str">
        <x:v>N/A</x:v>
      </x:c>
      <x:c r="F6" s="22" t="str">
        <x:v>No duplicate order</x:v>
      </x:c>
      <x:c r="G6" s="22" t="str">
        <x:v>N/A</x:v>
      </x:c>
      <x:c r="H6" s="22" t="str">
        <x:v>Yes if ambiguous</x:v>
      </x:c>
      <x:c r="I6" s="22" t="str">
        <x:v>Maybe</x:v>
      </x:c>
      <x:c r="J6" s="22" t="str">
        <x:v>client_order_id</x:v>
      </x:c>
      <x:c r="K6" s="22" t="str">
        <x:v>730d+</x:v>
      </x:c>
      <x:c r="L6" s="22" t="str">
        <x:v>Low</x:v>
      </x:c>
      <x:c r="M6" s="22" t="str">
        <x:v>Provider Adapter</x:v>
      </x:c>
      <x:c r="N6" s="22" t="str">
        <x:v>P2</x:v>
      </x:c>
      <x:c r="O6" s="22" t="str">
        <x:v>Critical</x:v>
      </x:c>
      <x:c r="P6" s="34" t="str"/>
    </x:row>
    <x:row r="7">
      <x:c r="A7" s="33" t="str">
        <x:v>Account farming / Sybil</x:v>
      </x:c>
      <x:c r="B7" s="22" t="str">
        <x:v>Identity/device/activity graph</x:v>
      </x:c>
      <x:c r="C7" s="22" t="str">
        <x:v>Rate/eligibility limits</x:v>
      </x:c>
      <x:c r="D7" s="22" t="str">
        <x:v>Cluster analysis</x:v>
      </x:c>
      <x:c r="E7" s="22" t="str">
        <x:v>May invalidate game rewards</x:v>
      </x:c>
      <x:c r="F7" s="22" t="str">
        <x:v>Hold real claims</x:v>
      </x:c>
      <x:c r="G7" s="22" t="str">
        <x:v>Hold withdrawal</x:v>
      </x:c>
      <x:c r="H7" s="22" t="str">
        <x:v>Yes</x:v>
      </x:c>
      <x:c r="I7" s="22" t="str">
        <x:v>Yes</x:v>
      </x:c>
      <x:c r="J7" s="22" t="str">
        <x:v>Player/source graph</x:v>
      </x:c>
      <x:c r="K7" s="22" t="str">
        <x:v>730d+</x:v>
      </x:c>
      <x:c r="L7" s="22" t="str">
        <x:v>High</x:v>
      </x:c>
      <x:c r="M7" s="22" t="str">
        <x:v>Integrity</x:v>
      </x:c>
      <x:c r="N7" s="22" t="str">
        <x:v>P2</x:v>
      </x:c>
      <x:c r="O7" s="22" t="str">
        <x:v>High</x:v>
      </x:c>
      <x:c r="P7" s="34" t="str"/>
    </x:row>
    <x:row r="8">
      <x:c r="A8" s="33" t="str">
        <x:v>Geo bypass</x:v>
      </x:c>
      <x:c r="B8" s="22" t="str">
        <x:v>Account residency/IP/provider mismatch</x:v>
      </x:c>
      <x:c r="C8" s="22" t="str">
        <x:v>Eligibility fail closed</x:v>
      </x:c>
      <x:c r="D8" s="22" t="str">
        <x:v>Geo anomaly review</x:v>
      </x:c>
      <x:c r="E8" s="22" t="str">
        <x:v>Simulation may remain if legal</x:v>
      </x:c>
      <x:c r="F8" s="22" t="str">
        <x:v>Block real claim</x:v>
      </x:c>
      <x:c r="G8" s="22" t="str">
        <x:v>Block withdrawal</x:v>
      </x:c>
      <x:c r="H8" s="22" t="str">
        <x:v>Yes</x:v>
      </x:c>
      <x:c r="I8" s="22" t="str">
        <x:v>Maybe</x:v>
      </x:c>
      <x:c r="J8" s="22" t="str">
        <x:v>eligibility version</x:v>
      </x:c>
      <x:c r="K8" s="22" t="str">
        <x:v>365d+</x:v>
      </x:c>
      <x:c r="L8" s="22" t="str">
        <x:v>Medium</x:v>
      </x:c>
      <x:c r="M8" s="22" t="str">
        <x:v>Compliance</x:v>
      </x:c>
      <x:c r="N8" s="22" t="str">
        <x:v>P2</x:v>
      </x:c>
      <x:c r="O8" s="22" t="str">
        <x:v>Critical</x:v>
      </x:c>
      <x:c r="P8" s="34" t="str"/>
    </x:row>
    <x:row r="9">
      <x:c r="A9" s="33" t="str">
        <x:v>Wallet laundering/sanctions risk</x:v>
      </x:c>
      <x:c r="B9" s="22" t="str">
        <x:v>Wallet screening/provider controls</x:v>
      </x:c>
      <x:c r="C9" s="22" t="str">
        <x:v>Provider/approved screening</x:v>
      </x:c>
      <x:c r="D9" s="22" t="str">
        <x:v>Rescreen/monitor</x:v>
      </x:c>
      <x:c r="E9" s="22" t="str">
        <x:v>N/A</x:v>
      </x:c>
      <x:c r="F9" s="22" t="str">
        <x:v>N/A</x:v>
      </x:c>
      <x:c r="G9" s="22" t="str">
        <x:v>Block/hold withdrawal</x:v>
      </x:c>
      <x:c r="H9" s="22" t="str">
        <x:v>Yes</x:v>
      </x:c>
      <x:c r="I9" s="22" t="str">
        <x:v>Yes</x:v>
      </x:c>
      <x:c r="J9" s="22" t="str">
        <x:v>withdrawal id</x:v>
      </x:c>
      <x:c r="K9" s="22" t="str">
        <x:v>Policy</x:v>
      </x:c>
      <x:c r="L9" s="22" t="str">
        <x:v>High</x:v>
      </x:c>
      <x:c r="M9" s="22" t="str">
        <x:v>Compliance</x:v>
      </x:c>
      <x:c r="N9" s="22" t="str">
        <x:v>P3</x:v>
      </x:c>
      <x:c r="O9" s="22" t="str">
        <x:v>Critical</x:v>
      </x:c>
      <x:c r="P9" s="34" t="str"/>
    </x:row>
    <x:row r="10">
      <x:c r="A10" s="33" t="str">
        <x:v>Price manipulation / stale quote</x:v>
      </x:c>
      <x:c r="B10" s="22" t="str">
        <x:v>Market-data timestamp/provider quote</x:v>
      </x:c>
      <x:c r="C10" s="22" t="str">
        <x:v>Quote freshness/max spread</x:v>
      </x:c>
      <x:c r="D10" s="22" t="str">
        <x:v>Outlier analysis</x:v>
      </x:c>
      <x:c r="E10" s="22" t="str">
        <x:v>Simulation label</x:v>
      </x:c>
      <x:c r="F10" s="22" t="str">
        <x:v>Do not fix units from stale price</x:v>
      </x:c>
      <x:c r="G10" s="22" t="str">
        <x:v>N/A</x:v>
      </x:c>
      <x:c r="H10" s="22" t="str">
        <x:v>Maybe</x:v>
      </x:c>
      <x:c r="I10" s="22" t="str">
        <x:v>Rare</x:v>
      </x:c>
      <x:c r="J10" s="22" t="str">
        <x:v>quote id</x:v>
      </x:c>
      <x:c r="K10" s="22" t="str">
        <x:v>180d</x:v>
      </x:c>
      <x:c r="L10" s="22" t="str">
        <x:v>Low</x:v>
      </x:c>
      <x:c r="M10" s="22" t="str">
        <x:v>Market Data</x:v>
      </x:c>
      <x:c r="N10" s="22" t="str">
        <x:v>P2</x:v>
      </x:c>
      <x:c r="O10" s="22" t="str">
        <x:v>High</x:v>
      </x:c>
      <x:c r="P10" s="34" t="str"/>
    </x:row>
    <x:row r="11">
      <x:c r="A11" s="35" t="str">
        <x:v>Internal admin abuse</x:v>
      </x:c>
      <x:c r="B11" s="36" t="str">
        <x:v>Config/funding/claims</x:v>
      </x:c>
      <x:c r="C11" s="36" t="str">
        <x:v>RBAC + no direct DB edits</x:v>
      </x:c>
      <x:c r="D11" s="36" t="str">
        <x:v>Audit anomaly</x:v>
      </x:c>
      <x:c r="E11" s="36" t="str">
        <x:v>No manual grant without reasoned command</x:v>
      </x:c>
      <x:c r="F11" s="36" t="str">
        <x:v>Two-person review for exceptional real reward adjustments</x:v>
      </x:c>
      <x:c r="G11" s="36" t="str">
        <x:v>Restricted</x:v>
      </x:c>
      <x:c r="H11" s="36" t="str">
        <x:v>Yes</x:v>
      </x:c>
      <x:c r="I11" s="36" t="str">
        <x:v>Yes</x:v>
      </x:c>
      <x:c r="J11" s="36" t="str">
        <x:v>admin request id</x:v>
      </x:c>
      <x:c r="K11" s="36" t="str">
        <x:v>Permanent</x:v>
      </x:c>
      <x:c r="L11" s="36" t="str">
        <x:v>Low</x:v>
      </x:c>
      <x:c r="M11" s="36" t="str">
        <x:v>Security</x:v>
      </x:c>
      <x:c r="N11" s="36" t="str">
        <x:v>P2</x:v>
      </x:c>
      <x:c r="O11" s="36" t="str">
        <x:v>Critical</x:v>
      </x:c>
      <x:c r="P11" s="37" t="str"/>
    </x:row>
  </x:sheetData>
  <x:mergeCells>
    <x:mergeCell ref="A1:P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User Experience &amp; Disclosure States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Surface</x:v>
      </x:c>
      <x:c r="B3" s="14" t="str">
        <x:v>Phase</x:v>
      </x:c>
      <x:c r="C3" s="14" t="str">
        <x:v>Required Label</x:v>
      </x:c>
      <x:c r="D3" s="14" t="str">
        <x:v>Must Say</x:v>
      </x:c>
      <x:c r="E3" s="14" t="str">
        <x:v>Must Not Say</x:v>
      </x:c>
      <x:c r="F3" s="14" t="str">
        <x:v>Value Display</x:v>
      </x:c>
      <x:c r="G3" s="14" t="str">
        <x:v>CTA</x:v>
      </x:c>
      <x:c r="H3" s="14" t="str">
        <x:v>KYC Message</x:v>
      </x:c>
      <x:c r="I3" s="14" t="str">
        <x:v>Geo Message</x:v>
      </x:c>
      <x:c r="J3" s="14" t="str">
        <x:v>Corporate Action Note</x:v>
      </x:c>
      <x:c r="K3" s="14" t="str">
        <x:v>Withdrawal Note</x:v>
      </x:c>
      <x:c r="L3" s="14" t="str">
        <x:v>Performance Note</x:v>
      </x:c>
      <x:c r="M3" s="14" t="str">
        <x:v>Disclosure Version</x:v>
      </x:c>
      <x:c r="N3" s="14" t="str">
        <x:v>Accessibility</x:v>
      </x:c>
      <x:c r="O3" s="14" t="str">
        <x:v>Priority</x:v>
      </x:c>
      <x:c r="P3" s="14" t="str">
        <x:v>Notes</x:v>
      </x:c>
    </x:row>
    <x:row r="4">
      <x:c r="A4" s="30" t="str">
        <x:v>Hunt reward reveal</x:v>
      </x:c>
      <x:c r="B4" s="31" t="str">
        <x:v>P0/P1</x:v>
      </x:c>
      <x:c r="C4" s="31" t="str">
        <x:v>SIMULATED</x:v>
      </x:c>
      <x:c r="D4" s="31" t="str">
        <x:v>This is a simulated stock fragment used inside PLOT; it is not a share, security, tokenized stock or cash claim.</x:v>
      </x:c>
      <x:c r="E4" s="31" t="str">
        <x:v>You now own Apple stock / backed AAPL</x:v>
      </x:c>
      <x:c r="F4" s="31" t="str">
        <x:v>Ticker + simulated/reference quantity/value clearly marked</x:v>
      </x:c>
      <x:c r="G4" s="31" t="str">
        <x:v>View Portfolio</x:v>
      </x:c>
      <x:c r="H4" s="31" t="str">
        <x:v>N/A</x:v>
      </x:c>
      <x:c r="I4" s="31" t="str">
        <x:v>N/A</x:v>
      </x:c>
      <x:c r="J4" s="31" t="str">
        <x:v>N/A</x:v>
      </x:c>
      <x:c r="K4" s="31" t="str">
        <x:v>Not withdrawable</x:v>
      </x:c>
      <x:c r="L4" s="31" t="str">
        <x:v>0 direct Performance from stock value</x:v>
      </x:c>
      <x:c r="M4" s="31" t="str">
        <x:v>Required</x:v>
      </x:c>
      <x:c r="N4" s="31" t="str">
        <x:v>Text, not color only</x:v>
      </x:c>
      <x:c r="O4" s="31" t="str">
        <x:v>P0</x:v>
      </x:c>
      <x:c r="P4" s="32" t="str"/>
    </x:row>
    <x:row r="5">
      <x:c r="A5" s="33" t="str">
        <x:v>Portfolio simulated position</x:v>
      </x:c>
      <x:c r="B5" s="22" t="str">
        <x:v>P0/P1</x:v>
      </x:c>
      <x:c r="C5" s="22" t="str">
        <x:v>SIMULATED</x:v>
      </x:c>
      <x:c r="D5" s="22" t="str">
        <x:v>Reference value only; no redemption or withdrawal.</x:v>
      </x:c>
      <x:c r="E5" s="22" t="str">
        <x:v>Investment balance / withdraw</x:v>
      </x:c>
      <x:c r="F5" s="22" t="str">
        <x:v>Separate simulated section</x:v>
      </x:c>
      <x:c r="G5" s="22" t="str">
        <x:v>Learn about reward</x:v>
      </x:c>
      <x:c r="H5" s="22" t="str">
        <x:v>N/A</x:v>
      </x:c>
      <x:c r="I5" s="22" t="str">
        <x:v>N/A</x:v>
      </x:c>
      <x:c r="J5" s="22" t="str">
        <x:v>No real dividends/rights</x:v>
      </x:c>
      <x:c r="K5" s="22" t="str">
        <x:v>No</x:v>
      </x:c>
      <x:c r="L5" s="22" t="str">
        <x:v>0 direct</x:v>
      </x:c>
      <x:c r="M5" s="22" t="str">
        <x:v>Required</x:v>
      </x:c>
      <x:c r="N5" s="22" t="str">
        <x:v>Persistent badge</x:v>
      </x:c>
      <x:c r="O5" s="22" t="str">
        <x:v>P0</x:v>
      </x:c>
      <x:c r="P5" s="34" t="str"/>
    </x:row>
    <x:row r="6">
      <x:c r="A6" s="33" t="str">
        <x:v>Claim eligibility</x:v>
      </x:c>
      <x:c r="B6" s="22" t="str">
        <x:v>P2</x:v>
      </x:c>
      <x:c r="C6" s="22" t="str">
        <x:v>REAL-ASSET CLAIM AVAILABLE</x:v>
      </x:c>
      <x:c r="D6" s="22" t="str">
        <x:v>Eligible rewards can be converted through the named provider after verification; final units depend on execution.</x:v>
      </x:c>
      <x:c r="E6" s="22" t="str">
        <x:v>Guaranteed share units before fill</x:v>
      </x:c>
      <x:c r="F6" s="22" t="str">
        <x:v>Claimable USD + estimated units</x:v>
      </x:c>
      <x:c r="G6" s="22" t="str">
        <x:v>Verify / Claim</x:v>
      </x:c>
      <x:c r="H6" s="22" t="str">
        <x:v>Provider verification required</x:v>
      </x:c>
      <x:c r="I6" s="22" t="str">
        <x:v>Unavailable where restricted</x:v>
      </x:c>
      <x:c r="J6" s="22" t="str">
        <x:v>Provider product terms apply</x:v>
      </x:c>
      <x:c r="K6" s="22" t="str">
        <x:v>Not necessarily withdrawable</x:v>
      </x:c>
      <x:c r="L6" s="22" t="str">
        <x:v>0 direct</x:v>
      </x:c>
      <x:c r="M6" s="22" t="str">
        <x:v>Required</x:v>
      </x:c>
      <x:c r="N6" s="22" t="str">
        <x:v>Plain language</x:v>
      </x:c>
      <x:c r="O6" s="22" t="str">
        <x:v>P1</x:v>
      </x:c>
      <x:c r="P6" s="34" t="str"/>
    </x:row>
    <x:row r="7">
      <x:c r="A7" s="33" t="str">
        <x:v>Order pending</x:v>
      </x:c>
      <x:c r="B7" s="22" t="str">
        <x:v>P2</x:v>
      </x:c>
      <x:c r="C7" s="22" t="str">
        <x:v>PENDING SETTLEMENT</x:v>
      </x:c>
      <x:c r="D7" s="22" t="str">
        <x:v>Your USD reward amount is fixed; asset units are not final until provider execution.</x:v>
      </x:c>
      <x:c r="E7" s="22" t="str">
        <x:v>You already own X units</x:v>
      </x:c>
      <x:c r="F7" s="22" t="str">
        <x:v>USD amount + estimated/last quote</x:v>
      </x:c>
      <x:c r="G7" s="22" t="str">
        <x:v>View status</x:v>
      </x:c>
      <x:c r="H7" s="22" t="str">
        <x:v>Completed/required</x:v>
      </x:c>
      <x:c r="I7" s="22" t="str">
        <x:v>If state changed, explain hold</x:v>
      </x:c>
      <x:c r="J7" s="22" t="str">
        <x:v>N/A</x:v>
      </x:c>
      <x:c r="K7" s="22" t="str">
        <x:v>No</x:v>
      </x:c>
      <x:c r="L7" s="22" t="str">
        <x:v>0 direct</x:v>
      </x:c>
      <x:c r="M7" s="22" t="str">
        <x:v>Required</x:v>
      </x:c>
      <x:c r="N7" s="22" t="str">
        <x:v>Status timestamp</x:v>
      </x:c>
      <x:c r="O7" s="22" t="str">
        <x:v>P1</x:v>
      </x:c>
      <x:c r="P7" s="34" t="str"/>
    </x:row>
    <x:row r="8">
      <x:c r="A8" s="33" t="str">
        <x:v>Delivered asset</x:v>
      </x:c>
      <x:c r="B8" s="22" t="str">
        <x:v>P2</x:v>
      </x:c>
      <x:c r="C8" s="22" t="str">
        <x:v>PROVIDER-DELIVERED</x:v>
      </x:c>
      <x:c r="D8" s="22" t="str">
        <x:v>Your tokenized asset is held/recorded by the provider under its terms; it may not provide shareholder rights.</x:v>
      </x:c>
      <x:c r="E8" s="22" t="str">
        <x:v>You directly own the underlying company shares unless legally true</x:v>
      </x:c>
      <x:c r="F8" s="22" t="str">
        <x:v>Actual units + provider asset name</x:v>
      </x:c>
      <x:c r="G8" s="22" t="str">
        <x:v>Open provider/details</x:v>
      </x:c>
      <x:c r="H8" s="22" t="str">
        <x:v>Completed</x:v>
      </x:c>
      <x:c r="I8" s="22" t="str">
        <x:v>Provider/jurisdiction-specific</x:v>
      </x:c>
      <x:c r="J8" s="22" t="str">
        <x:v>Benefits/actions per provider terms</x:v>
      </x:c>
      <x:c r="K8" s="22" t="str">
        <x:v>Only if provider supports</x:v>
      </x:c>
      <x:c r="L8" s="22" t="str">
        <x:v>0 direct</x:v>
      </x:c>
      <x:c r="M8" s="22" t="str">
        <x:v>Required</x:v>
      </x:c>
      <x:c r="N8" s="22" t="str">
        <x:v>Link provider terms</x:v>
      </x:c>
      <x:c r="O8" s="22" t="str">
        <x:v>P1</x:v>
      </x:c>
      <x:c r="P8" s="34" t="str"/>
    </x:row>
    <x:row r="9">
      <x:c r="A9" s="35" t="str">
        <x:v>Withdrawal</x:v>
      </x:c>
      <x:c r="B9" s="36" t="str">
        <x:v>P3</x:v>
      </x:c>
      <x:c r="C9" s="36" t="str">
        <x:v>WITHDRAWAL / SELF-CUSTODY</x:v>
      </x:c>
      <x:c r="D9" s="36" t="str">
        <x:v>Blockchain transfers can be irreversible; only supported networks/wallets can be used.</x:v>
      </x:c>
      <x:c r="E9" s="36" t="str">
        <x:v>Guaranteed recovery of wrong-chain transfers</x:v>
      </x:c>
      <x:c r="F9" s="36" t="str">
        <x:v>Units, network, fee, net amount</x:v>
      </x:c>
      <x:c r="G9" s="36" t="str">
        <x:v>Confirm withdrawal</x:v>
      </x:c>
      <x:c r="H9" s="36" t="str">
        <x:v>Verified</x:v>
      </x:c>
      <x:c r="I9" s="36" t="str">
        <x:v>Feature unavailable where restricted</x:v>
      </x:c>
      <x:c r="J9" s="36" t="str">
        <x:v>N/A</x:v>
      </x:c>
      <x:c r="K9" s="36" t="str">
        <x:v>Provider executes</x:v>
      </x:c>
      <x:c r="L9" s="36" t="str">
        <x:v>0 direct</x:v>
      </x:c>
      <x:c r="M9" s="36" t="str">
        <x:v>Required</x:v>
      </x:c>
      <x:c r="N9" s="36" t="str">
        <x:v>Strong confirmation</x:v>
      </x:c>
      <x:c r="O9" s="36" t="str">
        <x:v>P2</x:v>
      </x:c>
      <x:c r="P9" s="37" t="str"/>
    </x:row>
  </x:sheetData>
  <x:mergeCells>
    <x:mergeCell ref="A1:P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Stock Reward Economics — Simulation vs Real Claim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22"/>
      <x:c r="P1" s="22"/>
      <x:c r="Q1" s="22"/>
    </x:row>
    <x:row r="3">
      <x:c r="A3" s="14" t="str">
        <x:v>Metric</x:v>
      </x:c>
      <x:c r="B3" s="14" t="str">
        <x:v>Simulation</x:v>
      </x:c>
      <x:c r="C3" s="14" t="str">
        <x:v>Real-Claim Pilot</x:v>
      </x:c>
      <x:c r="D3" s="14" t="str">
        <x:v>Formula / Rule</x:v>
      </x:c>
      <x:c r="E3" s="14" t="str">
        <x:v>Cash Cost to PLOT</x:v>
      </x:c>
      <x:c r="F3" s="14" t="str">
        <x:v>Market Risk to PLOT</x:v>
      </x:c>
      <x:c r="G3" s="14" t="str">
        <x:v>Player Market Exposure</x:v>
      </x:c>
      <x:c r="H3" s="14" t="str">
        <x:v>Notes</x:v>
      </x:c>
    </x:row>
    <x:row r="4">
      <x:c r="A4" s="30" t="str">
        <x:v>Common packet</x:v>
      </x:c>
      <x:c r="B4" s="31" t="str">
        <x:v>$0.10 reference</x:v>
      </x:c>
      <x:c r="C4" s="31" t="str">
        <x:v>$0.10 USD pending entitlement</x:v>
      </x:c>
      <x:c r="D4" s="31" t="str">
        <x:v>Config reward table</x:v>
      </x:c>
      <x:c r="E4" s="31" t="str">
        <x:v>$0 simulation; $0.10 only if claimed/settled</x:v>
      </x:c>
      <x:c r="F4" s="31" t="str">
        <x:v>None if units fixed only at execution</x:v>
      </x:c>
      <x:c r="G4" s="31" t="str">
        <x:v>None until provider settles</x:v>
      </x:c>
      <x:c r="H4" s="32" t="str"/>
    </x:row>
    <x:row r="5">
      <x:c r="A5" s="33" t="str">
        <x:v>Uncommon packet</x:v>
      </x:c>
      <x:c r="B5" s="22" t="str">
        <x:v>$0.25 reference</x:v>
      </x:c>
      <x:c r="C5" s="22" t="str">
        <x:v>$0.25 pending</x:v>
      </x:c>
      <x:c r="D5" s="22" t="str">
        <x:v>Config</x:v>
      </x:c>
      <x:c r="E5" s="22" t="str">
        <x:v>Claim-only</x:v>
      </x:c>
      <x:c r="F5" s="22" t="str">
        <x:v>None pre-execution</x:v>
      </x:c>
      <x:c r="G5" s="22" t="str">
        <x:v>After settlement</x:v>
      </x:c>
      <x:c r="H5" s="34" t="str"/>
    </x:row>
    <x:row r="6">
      <x:c r="A6" s="33" t="str">
        <x:v>Rare packet</x:v>
      </x:c>
      <x:c r="B6" s="22" t="str">
        <x:v>$0.50 reference</x:v>
      </x:c>
      <x:c r="C6" s="22" t="str">
        <x:v>$0.50 pending</x:v>
      </x:c>
      <x:c r="D6" s="22" t="str">
        <x:v>Config</x:v>
      </x:c>
      <x:c r="E6" s="22" t="str">
        <x:v>Claim-only</x:v>
      </x:c>
      <x:c r="F6" s="22" t="str">
        <x:v>None pre-execution</x:v>
      </x:c>
      <x:c r="G6" s="22" t="str">
        <x:v>After settlement</x:v>
      </x:c>
      <x:c r="H6" s="34" t="str"/>
    </x:row>
    <x:row r="7">
      <x:c r="A7" s="33" t="str">
        <x:v>Epic packet</x:v>
      </x:c>
      <x:c r="B7" s="22" t="str">
        <x:v>$1.00 reference</x:v>
      </x:c>
      <x:c r="C7" s="22" t="str">
        <x:v>$1.00 pending</x:v>
      </x:c>
      <x:c r="D7" s="22" t="str">
        <x:v>Config</x:v>
      </x:c>
      <x:c r="E7" s="22" t="str">
        <x:v>Claim-only</x:v>
      </x:c>
      <x:c r="F7" s="22" t="str">
        <x:v>None pre-execution</x:v>
      </x:c>
      <x:c r="G7" s="22" t="str">
        <x:v>After settlement</x:v>
      </x:c>
      <x:c r="H7" s="34" t="str"/>
    </x:row>
    <x:row r="8">
      <x:c r="A8" s="33" t="str">
        <x:v>Legendary packet</x:v>
      </x:c>
      <x:c r="B8" s="22" t="str">
        <x:v>$2.50 reference</x:v>
      </x:c>
      <x:c r="C8" s="22" t="str">
        <x:v>$2.50 pending</x:v>
      </x:c>
      <x:c r="D8" s="22" t="str">
        <x:v>Config</x:v>
      </x:c>
      <x:c r="E8" s="22" t="str">
        <x:v>Claim-only</x:v>
      </x:c>
      <x:c r="F8" s="22" t="str">
        <x:v>None pre-execution</x:v>
      </x:c>
      <x:c r="G8" s="22" t="str">
        <x:v>After settlement</x:v>
      </x:c>
      <x:c r="H8" s="34" t="str"/>
    </x:row>
    <x:row r="9">
      <x:c r="A9" s="33" t="str">
        <x:v>Claim threshold</x:v>
      </x:c>
      <x:c r="B9" s="22" t="str">
        <x:v>N/A</x:v>
      </x:c>
      <x:c r="C9" s="22" t="str">
        <x:v>$1.00 default</x:v>
      </x:c>
      <x:c r="D9" s="22" t="str">
        <x:v>Provider minimum/config</x:v>
      </x:c>
      <x:c r="E9" s="22" t="str">
        <x:v>Reduces micro-order overhead</x:v>
      </x:c>
      <x:c r="F9" s="22" t="str">
        <x:v>None</x:v>
      </x:c>
      <x:c r="G9" s="22" t="str">
        <x:v>Exposure begins after execution</x:v>
      </x:c>
      <x:c r="H9" s="34" t="str">
        <x:v>Aggregate across rewards; recommend per ticker to avoid asset substitution</x:v>
      </x:c>
    </x:row>
    <x:row r="10">
      <x:c r="A10" s="35" t="str">
        <x:v>Weekly budget</x:v>
      </x:c>
      <x:c r="B10" s="36" t="str">
        <x:v>$5,000 reference cap</x:v>
      </x:c>
      <x:c r="C10" s="36" t="str">
        <x:v>$5,000 grant budget with separate claim funding monitoring</x:v>
      </x:c>
      <x:c r="D10" s="36" t="str">
        <x:v>Existing Hunt stock budget</x:v>
      </x:c>
      <x:c r="E10" s="36" t="str">
        <x:v>Real cash consumption depends on claim rate</x:v>
      </x:c>
      <x:c r="F10" s="36" t="str">
        <x:v>No unit-price liability if USD-denominated</x:v>
      </x:c>
      <x:c r="G10" s="36" t="str">
        <x:v>Settled users only</x:v>
      </x:c>
      <x:c r="H10" s="37" t="str"/>
    </x:row>
    <x:row r="12" ht="22" customHeight="1">
      <x:c r="A12" s="11" t="str">
        <x:v>Why USD Notional Is Canonical Before Settlement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</x:row>
    <x:row r="13">
      <x:c r="A13" s="14" t="str">
        <x:v>Risk</x:v>
      </x:c>
      <x:c r="B13" s="14" t="str">
        <x:v>Architecture Result</x:v>
      </x:c>
    </x:row>
    <x:row r="14">
      <x:c r="A14" s="30" t="str">
        <x:v>Stock price rises after Hunt</x:v>
      </x:c>
      <x:c r="B14" s="32" t="str">
        <x:v>PLOT still owes fixed $0.10 reward, not a fixed share fraction; provider execution buys fewer units.</x:v>
      </x:c>
    </x:row>
    <x:row r="15">
      <x:c r="A15" s="33" t="str">
        <x:v>Stock price falls after Hunt</x:v>
      </x:c>
      <x:c r="B15" s="34" t="str">
        <x:v>PLOT still owes fixed $0.10 reward, not extra Cash; provider execution buys more units.</x:v>
      </x:c>
    </x:row>
    <x:row r="16">
      <x:c r="A16" s="33" t="str">
        <x:v>Provider minimum &gt; packet size</x:v>
      </x:c>
      <x:c r="B16" s="34" t="str">
        <x:v>Rewards accumulate until claim threshold rather than creating invalid micro-orders.</x:v>
      </x:c>
    </x:row>
    <x:row r="17">
      <x:c r="A17" s="35" t="str">
        <x:v>Quote expires</x:v>
      </x:c>
      <x:c r="B17" s="37" t="str">
        <x:v>Refresh estimate; claim USD amount remains unchanged until valid order is submitted.</x:v>
      </x:c>
    </x:row>
    <x:row r="18">
      <x:c r="A18" t="str">
        <x:v>Market/provider closed</x:v>
      </x:c>
      <x:c r="B18" t="str">
        <x:v>Reward stays pending USD; do not create fictitious units.</x:v>
      </x:c>
    </x:row>
  </x:sheetData>
  <x:mergeCells>
    <x:mergeCell ref="A1:N1"/>
    <x:mergeCell ref="A12:N1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End-to-End Technical Scenarios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</x:row>
    <x:row r="3">
      <x:c r="A3" s="14" t="str">
        <x:v>Scenario</x:v>
      </x:c>
      <x:c r="B3" s="14" t="str">
        <x:v>Step</x:v>
      </x:c>
      <x:c r="C3" s="14" t="str">
        <x:v>Player Action</x:v>
      </x:c>
      <x:c r="D3" s="14" t="str">
        <x:v>PLOT API / Job</x:v>
      </x:c>
      <x:c r="E3" s="14" t="str">
        <x:v>Authoritative Checks</x:v>
      </x:c>
      <x:c r="F3" s="14" t="str">
        <x:v>DB Transaction</x:v>
      </x:c>
      <x:c r="G3" s="14" t="str">
        <x:v>Provider Call</x:v>
      </x:c>
      <x:c r="H3" s="14" t="str">
        <x:v>Event</x:v>
      </x:c>
      <x:c r="I3" s="14" t="str">
        <x:v>Cache</x:v>
      </x:c>
      <x:c r="J3" s="14" t="str">
        <x:v>Ledger</x:v>
      </x:c>
      <x:c r="K3" s="14" t="str">
        <x:v>Retry</x:v>
      </x:c>
      <x:c r="L3" s="14" t="str">
        <x:v>User Result</x:v>
      </x:c>
      <x:c r="M3" s="14" t="str">
        <x:v>Real Asset?</x:v>
      </x:c>
      <x:c r="N3" s="14" t="str">
        <x:v>Performance Evidence</x:v>
      </x:c>
      <x:c r="O3" s="14" t="str">
        <x:v>Compliance Evidence</x:v>
      </x:c>
      <x:c r="P3" s="14" t="str">
        <x:v>Phase</x:v>
      </x:c>
      <x:c r="Q3" s="14" t="str">
        <x:v>Notes</x:v>
      </x:c>
    </x:row>
    <x:row r="4">
      <x:c r="A4" s="30" t="str">
        <x:v>Simulated first reward</x:v>
      </x:c>
      <x:c r="B4" s="31" t="n">
        <x:v>1</x:v>
      </x:c>
      <x:c r="C4" s="31" t="str">
        <x:v>Complete Hunt</x:v>
      </x:c>
      <x:c r="D4" s="31" t="str">
        <x:v>Reward resolver</x:v>
      </x:c>
      <x:c r="E4" s="31" t="str">
        <x:v>valid Hunt,budget,first-reward rules</x:v>
      </x:c>
      <x:c r="F4" s="31" t="str">
        <x:v>insert SIMULATED_ISSUED</x:v>
      </x:c>
      <x:c r="G4" s="31" t="str">
        <x:v>No</x:v>
      </x:c>
      <x:c r="H4" s="31" t="str">
        <x:v>stock_reward.simulated_issued</x:v>
      </x:c>
      <x:c r="I4" s="31" t="str">
        <x:v>Portfolio cache</x:v>
      </x:c>
      <x:c r="J4" s="31" t="str">
        <x:v>stock_reward_ledger</x:v>
      </x:c>
      <x:c r="K4" s="31" t="str">
        <x:v>source event</x:v>
      </x:c>
      <x:c r="L4" s="31" t="str">
        <x:v>Simulated AAPL fragment shown</x:v>
      </x:c>
      <x:c r="M4" s="31" t="str">
        <x:v>No</x:v>
      </x:c>
      <x:c r="N4" s="31" t="str">
        <x:v>Hunt Points normal; stock value 0</x:v>
      </x:c>
      <x:c r="O4" s="31" t="str">
        <x:v>disclosure_version</x:v>
      </x:c>
      <x:c r="P4" s="31" t="str">
        <x:v>P0</x:v>
      </x:c>
      <x:c r="Q4" s="32" t="str"/>
    </x:row>
    <x:row r="5">
      <x:c r="A5" s="33" t="str">
        <x:v>Accumulate real reward</x:v>
      </x:c>
      <x:c r="B5" s="22" t="n">
        <x:v>1</x:v>
      </x:c>
      <x:c r="C5" s="22" t="str">
        <x:v>Complete Hunt</x:v>
      </x:c>
      <x:c r="D5" s="22" t="str">
        <x:v>Reward resolver</x:v>
      </x:c>
      <x:c r="E5" s="22" t="str">
        <x:v>feature enabled,eligible source</x:v>
      </x:c>
      <x:c r="F5" s="22" t="str">
        <x:v>insert PENDING_NOTIONAL + increment ticker pending USD</x:v>
      </x:c>
      <x:c r="G5" s="22" t="str">
        <x:v>No</x:v>
      </x:c>
      <x:c r="H5" s="22" t="str">
        <x:v>stock_reward.pending</x:v>
      </x:c>
      <x:c r="I5" s="22" t="str">
        <x:v>Claim balance cache</x:v>
      </x:c>
      <x:c r="J5" s="22" t="str">
        <x:v>reward ledger</x:v>
      </x:c>
      <x:c r="K5" s="22" t="str">
        <x:v>source event</x:v>
      </x:c>
      <x:c r="L5" s="22" t="str">
        <x:v>$0.10 toward AAPL claim</x:v>
      </x:c>
      <x:c r="M5" s="22" t="str">
        <x:v>No</x:v>
      </x:c>
      <x:c r="N5" s="22" t="str">
        <x:v>No stock value score</x:v>
      </x:c>
      <x:c r="O5" s="22" t="str">
        <x:v>reward terms/version</x:v>
      </x:c>
      <x:c r="P5" s="22" t="str">
        <x:v>P2</x:v>
      </x:c>
      <x:c r="Q5" s="34" t="str"/>
    </x:row>
    <x:row r="6">
      <x:c r="A6" s="33" t="str">
        <x:v>Reach claim threshold</x:v>
      </x:c>
      <x:c r="B6" s="22" t="n">
        <x:v>2</x:v>
      </x:c>
      <x:c r="C6" s="22" t="str">
        <x:v>Open Portfolio</x:v>
      </x:c>
      <x:c r="D6" s="22" t="str">
        <x:v>GET eligibility</x:v>
      </x:c>
      <x:c r="E6" s="22" t="str">
        <x:v>pending &gt;= $1,geo,provider available</x:v>
      </x:c>
      <x:c r="F6" s="22" t="str">
        <x:v>read only / eligibility audit</x:v>
      </x:c>
      <x:c r="G6" s="22" t="str">
        <x:v>Eligibility/quote</x:v>
      </x:c>
      <x:c r="H6" s="22" t="str">
        <x:v>claim.eligible</x:v>
      </x:c>
      <x:c r="I6" s="22" t="str">
        <x:v>Claim cache</x:v>
      </x:c>
      <x:c r="J6" s="22" t="str">
        <x:v>Audit</x:v>
      </x:c>
      <x:c r="K6" s="22" t="str">
        <x:v>Refresh</x:v>
      </x:c>
      <x:c r="L6" s="22" t="str">
        <x:v>Claim button visible</x:v>
      </x:c>
      <x:c r="M6" s="22" t="str">
        <x:v>No</x:v>
      </x:c>
      <x:c r="N6" s="22" t="str">
        <x:v>None</x:v>
      </x:c>
      <x:c r="O6" s="22" t="str">
        <x:v>eligibility_version</x:v>
      </x:c>
      <x:c r="P6" s="22" t="str">
        <x:v>P2</x:v>
      </x:c>
      <x:c r="Q6" s="34" t="str"/>
    </x:row>
    <x:row r="7">
      <x:c r="A7" s="33" t="str">
        <x:v>Submit real claim</x:v>
      </x:c>
      <x:c r="B7" s="22" t="n">
        <x:v>3</x:v>
      </x:c>
      <x:c r="C7" s="22" t="str">
        <x:v>Confirm claim</x:v>
      </x:c>
      <x:c r="D7" s="22" t="str">
        <x:v>POST claim/confirm</x:v>
      </x:c>
      <x:c r="E7" s="22" t="str">
        <x:v>KYC,quote,funding,idempotency</x:v>
      </x:c>
      <x:c r="F7" s="22" t="str">
        <x:v>claim+funding reserve</x:v>
      </x:c>
      <x:c r="G7" s="22" t="str">
        <x:v>Quote/order</x:v>
      </x:c>
      <x:c r="H7" s="22" t="str">
        <x:v>claim.submitted</x:v>
      </x:c>
      <x:c r="I7" s="22" t="str">
        <x:v>Claim cache</x:v>
      </x:c>
      <x:c r="J7" s="22" t="str">
        <x:v>claim/funding/order</x:v>
      </x:c>
      <x:c r="K7" s="22" t="str">
        <x:v>same claim/order ids</x:v>
      </x:c>
      <x:c r="L7" s="22" t="str">
        <x:v>Pending settlement</x:v>
      </x:c>
      <x:c r="M7" s="22" t="str">
        <x:v>No final units yet</x:v>
      </x:c>
      <x:c r="N7" s="22" t="str">
        <x:v>None</x:v>
      </x:c>
      <x:c r="O7" s="22" t="str">
        <x:v>KYC/geo/provider refs</x:v>
      </x:c>
      <x:c r="P7" s="22" t="str">
        <x:v>P2</x:v>
      </x:c>
      <x:c r="Q7" s="34" t="str"/>
    </x:row>
    <x:row r="8">
      <x:c r="A8" s="33" t="str">
        <x:v>Provider fill</x:v>
      </x:c>
      <x:c r="B8" s="22" t="n">
        <x:v>4</x:v>
      </x:c>
      <x:c r="C8" s="22" t="str">
        <x:v>None</x:v>
      </x:c>
      <x:c r="D8" s="22" t="str">
        <x:v>Webhook/status worker</x:v>
      </x:c>
      <x:c r="E8" s="22" t="str">
        <x:v>signed event,order match,amounts</x:v>
      </x:c>
      <x:c r="F8" s="22" t="str">
        <x:v>provider order/fill + delivery</x:v>
      </x:c>
      <x:c r="G8" s="22" t="str">
        <x:v>Status/balance</x:v>
      </x:c>
      <x:c r="H8" s="22" t="str">
        <x:v>claim.settled</x:v>
      </x:c>
      <x:c r="I8" s="22" t="str">
        <x:v>Portfolio real cache</x:v>
      </x:c>
      <x:c r="J8" s="22" t="str">
        <x:v>provider event/delivery</x:v>
      </x:c>
      <x:c r="K8" s="22" t="str">
        <x:v>provider event id</x:v>
      </x:c>
      <x:c r="L8" s="22" t="str">
        <x:v>Actual AAPLx units delivered</x:v>
      </x:c>
      <x:c r="M8" s="22" t="str">
        <x:v>Yes</x:v>
      </x:c>
      <x:c r="N8" s="22" t="str">
        <x:v>Stock value 0 direct</x:v>
      </x:c>
      <x:c r="O8" s="22" t="str">
        <x:v>provider evidence</x:v>
      </x:c>
      <x:c r="P8" s="22" t="str">
        <x:v>P2</x:v>
      </x:c>
      <x:c r="Q8" s="34" t="str"/>
    </x:row>
    <x:row r="9">
      <x:c r="A9" s="33" t="str">
        <x:v>Provider outage after submit</x:v>
      </x:c>
      <x:c r="B9" s="22" t="n">
        <x:v>1</x:v>
      </x:c>
      <x:c r="C9" s="22" t="str">
        <x:v>None</x:v>
      </x:c>
      <x:c r="D9" s="22" t="str">
        <x:v>Reconcile job</x:v>
      </x:c>
      <x:c r="E9" s="22" t="str">
        <x:v>unknown order</x:v>
      </x:c>
      <x:c r="F9" s="22" t="str">
        <x:v>no duplicate order</x:v>
      </x:c>
      <x:c r="G9" s="22" t="str">
        <x:v>Status by same client_order_id</x:v>
      </x:c>
      <x:c r="H9" s="22" t="str">
        <x:v>claim.unknown</x:v>
      </x:c>
      <x:c r="I9" s="22" t="str">
        <x:v>Pending status</x:v>
      </x:c>
      <x:c r="J9" s="22" t="str">
        <x:v>Audit</x:v>
      </x:c>
      <x:c r="K9" s="22" t="str">
        <x:v>same order id</x:v>
      </x:c>
      <x:c r="L9" s="22" t="str">
        <x:v>Still pending</x:v>
      </x:c>
      <x:c r="M9" s="22" t="str">
        <x:v>Unknown until resolved</x:v>
      </x:c>
      <x:c r="N9" s="22" t="str">
        <x:v>None</x:v>
      </x:c>
      <x:c r="O9" s="22" t="str">
        <x:v>outage evidence</x:v>
      </x:c>
      <x:c r="P9" s="22" t="str">
        <x:v>P2</x:v>
      </x:c>
      <x:c r="Q9" s="34" t="str"/>
    </x:row>
    <x:row r="10">
      <x:c r="A10" s="33" t="str">
        <x:v>Withdraw asset</x:v>
      </x:c>
      <x:c r="B10" s="22" t="n">
        <x:v>1</x:v>
      </x:c>
      <x:c r="C10" s="22" t="str">
        <x:v>Request withdrawal</x:v>
      </x:c>
      <x:c r="D10" s="22" t="str">
        <x:v>POST withdrawal</x:v>
      </x:c>
      <x:c r="E10" s="22" t="str">
        <x:v>KYC,geo,wallet,asset/chain,min,available units</x:v>
      </x:c>
      <x:c r="F10" s="22" t="str">
        <x:v>withdrawal state</x:v>
      </x:c>
      <x:c r="G10" s="22" t="str">
        <x:v>Provider withdrawal</x:v>
      </x:c>
      <x:c r="H10" s="22" t="str">
        <x:v>stock.withdrawal_pending</x:v>
      </x:c>
      <x:c r="I10" s="22" t="str">
        <x:v>Portfolio cache</x:v>
      </x:c>
      <x:c r="J10" s="22" t="str">
        <x:v>withdrawal audit</x:v>
      </x:c>
      <x:c r="K10" s="22" t="str">
        <x:v>same withdrawal id</x:v>
      </x:c>
      <x:c r="L10" s="22" t="str">
        <x:v>Pending then tx confirmed</x:v>
      </x:c>
      <x:c r="M10" s="22" t="str">
        <x:v>Yes/self-custody</x:v>
      </x:c>
      <x:c r="N10" s="22" t="str">
        <x:v>None</x:v>
      </x:c>
      <x:c r="O10" s="22" t="str">
        <x:v>wallet/provider screening</x:v>
      </x:c>
      <x:c r="P10" s="22" t="str">
        <x:v>P3</x:v>
      </x:c>
      <x:c r="Q10" s="34" t="str"/>
    </x:row>
    <x:row r="11">
      <x:c r="A11" s="35" t="str">
        <x:v>Corporate action</x:v>
      </x:c>
      <x:c r="B11" s="36" t="n">
        <x:v>1</x:v>
      </x:c>
      <x:c r="C11" s="36" t="str">
        <x:v>None</x:v>
      </x:c>
      <x:c r="D11" s="36" t="str">
        <x:v>Provider event worker</x:v>
      </x:c>
      <x:c r="E11" s="36" t="str">
        <x:v>signed action,asset mapping</x:v>
      </x:c>
      <x:c r="F11" s="36" t="str">
        <x:v>action event + portfolio mirror</x:v>
      </x:c>
      <x:c r="G11" s="36" t="str">
        <x:v>Provider feed</x:v>
      </x:c>
      <x:c r="H11" s="36" t="str">
        <x:v>stock.corporate_action</x:v>
      </x:c>
      <x:c r="I11" s="36" t="str">
        <x:v>Asset cache</x:v>
      </x:c>
      <x:c r="J11" s="36" t="str">
        <x:v>action ledger</x:v>
      </x:c>
      <x:c r="K11" s="36" t="str">
        <x:v>event id</x:v>
      </x:c>
      <x:c r="L11" s="36" t="str">
        <x:v>Balance/value updates per provider terms</x:v>
      </x:c>
      <x:c r="M11" s="36" t="str">
        <x:v>Yes</x:v>
      </x:c>
      <x:c r="N11" s="36" t="str">
        <x:v>0 direct</x:v>
      </x:c>
      <x:c r="O11" s="36" t="str">
        <x:v>provider terms/event</x:v>
      </x:c>
      <x:c r="P11" s="36" t="str">
        <x:v>P2</x:v>
      </x:c>
      <x:c r="Q11" s="37" t="str"/>
    </x:row>
  </x:sheetData>
  <x:mergeCells>
    <x:mergeCell ref="A1:Q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Migration from Simulated Rewards to Real-Asset Claims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Decision</x:v>
      </x:c>
      <x:c r="B3" s="14" t="str">
        <x:v>Canonical Rule</x:v>
      </x:c>
      <x:c r="C3" s="14" t="str">
        <x:v>Reason</x:v>
      </x:c>
      <x:c r="D3" s="14" t="str">
        <x:v>Player Impact</x:v>
      </x:c>
      <x:c r="E3" s="14" t="str">
        <x:v>Budget Impact</x:v>
      </x:c>
      <x:c r="F3" s="14" t="str">
        <x:v>Legal Impact</x:v>
      </x:c>
      <x:c r="G3" s="14" t="str">
        <x:v>Data Migration</x:v>
      </x:c>
      <x:c r="H3" s="14" t="str">
        <x:v>Disclosure</x:v>
      </x:c>
      <x:c r="I3" s="14" t="str">
        <x:v>Eligibility</x:v>
      </x:c>
      <x:c r="J3" s="14" t="str">
        <x:v>Expiry</x:v>
      </x:c>
      <x:c r="K3" s="14" t="str">
        <x:v>Anti-Abuse</x:v>
      </x:c>
      <x:c r="L3" s="14" t="str">
        <x:v>Backend</x:v>
      </x:c>
      <x:c r="M3" s="14" t="str">
        <x:v>Rollback</x:v>
      </x:c>
      <x:c r="N3" s="14" t="str">
        <x:v>Priority</x:v>
      </x:c>
      <x:c r="O3" s="14" t="str">
        <x:v>Status</x:v>
      </x:c>
      <x:c r="P3" s="14" t="str">
        <x:v>Notes</x:v>
      </x:c>
    </x:row>
    <x:row r="4">
      <x:c r="A4" s="30" t="str">
        <x:v>Historical simulated fragments</x:v>
      </x:c>
      <x:c r="B4" s="31" t="str">
        <x:v>Do NOT automatically convert all historical simulated balances into real stock claims</x:v>
      </x:c>
      <x:c r="C4" s="31" t="str">
        <x:v>Simulation explicitly had no cash value; automatic conversion creates unbudgeted financial obligation and may change legal characterization retroactively</x:v>
      </x:c>
      <x:c r="D4" s="31" t="str">
        <x:v>Historical items remain as game history</x:v>
      </x:c>
      <x:c r="E4" s="31" t="str">
        <x:v>None unless separate promo</x:v>
      </x:c>
      <x:c r="F4" s="31" t="str">
        <x:v>Avoid retroactive promise</x:v>
      </x:c>
      <x:c r="G4" s="31" t="str">
        <x:v>Keep SIMULATED states immutable</x:v>
      </x:c>
      <x:c r="H4" s="31" t="str">
        <x:v>Versioned launch notice</x:v>
      </x:c>
      <x:c r="I4" s="31" t="str">
        <x:v>N/A</x:v>
      </x:c>
      <x:c r="J4" s="31" t="str">
        <x:v>N/A</x:v>
      </x:c>
      <x:c r="K4" s="31" t="str">
        <x:v>N/A</x:v>
      </x:c>
      <x:c r="L4" s="31" t="str">
        <x:v>No conversion mutation</x:v>
      </x:c>
      <x:c r="M4" s="31" t="str">
        <x:v>Easy</x:v>
      </x:c>
      <x:c r="N4" s="31" t="str">
        <x:v>P0</x:v>
      </x:c>
      <x:c r="O4" s="31" t="str">
        <x:v>FINAL</x:v>
      </x:c>
      <x:c r="P4" s="32" t="str"/>
    </x:row>
    <x:row r="5">
      <x:c r="A5" s="33" t="str">
        <x:v>Optional launch conversion campaign</x:v>
      </x:c>
      <x:c r="B5" s="22" t="str">
        <x:v>May offer capped promotional conversion based on new terms, not as an entitlement</x:v>
      </x:c>
      <x:c r="C5" s="22" t="str">
        <x:v>Marketing choice can reward early users without rewriting original terms</x:v>
      </x:c>
      <x:c r="D5" s="22" t="str">
        <x:v>Eligible users can opt in</x:v>
      </x:c>
      <x:c r="E5" s="22" t="str">
        <x:v>Pre-funded fixed campaign budget</x:v>
      </x:c>
      <x:c r="F5" s="22" t="str">
        <x:v>Requires legal/marketing approval</x:v>
      </x:c>
      <x:c r="G5" s="22" t="str">
        <x:v>Create new PENDING_NOTIONAL reward entries sourced from promo, never mutate old rows</x:v>
      </x:c>
      <x:c r="H5" s="22" t="str">
        <x:v>Explicit new campaign terms</x:v>
      </x:c>
      <x:c r="I5" s="22" t="str">
        <x:v>KYC/geo for real claim</x:v>
      </x:c>
      <x:c r="J5" s="22" t="str">
        <x:v>Campaign deadline</x:v>
      </x:c>
      <x:c r="K5" s="22" t="str">
        <x:v>Per-account cap/Sybil checks</x:v>
      </x:c>
      <x:c r="L5" s="22" t="str">
        <x:v>Promo grant ledger</x:v>
      </x:c>
      <x:c r="M5" s="22" t="str">
        <x:v>Disable campaign</x:v>
      </x:c>
      <x:c r="N5" s="22" t="str">
        <x:v>P2</x:v>
      </x:c>
      <x:c r="O5" s="22" t="str">
        <x:v>OPTIONAL</x:v>
      </x:c>
      <x:c r="P5" s="34" t="str"/>
    </x:row>
    <x:row r="6">
      <x:c r="A6" s="33" t="str">
        <x:v>Portfolio display</x:v>
      </x:c>
      <x:c r="B6" s="22" t="str">
        <x:v>Separate SIMULATED and REAL tabs/sections permanently</x:v>
      </x:c>
      <x:c r="C6" s="22" t="str">
        <x:v>Prevents commingling and user confusion</x:v>
      </x:c>
      <x:c r="D6" s="22" t="str">
        <x:v>Clear history</x:v>
      </x:c>
      <x:c r="E6" s="22" t="str">
        <x:v>None</x:v>
      </x:c>
      <x:c r="F6" s="22" t="str">
        <x:v>Strong disclosure</x:v>
      </x:c>
      <x:c r="G6" s="22" t="str">
        <x:v>No destructive migration</x:v>
      </x:c>
      <x:c r="H6" s="22" t="str">
        <x:v>Persistent badges</x:v>
      </x:c>
      <x:c r="I6" s="22" t="str">
        <x:v>N/A</x:v>
      </x:c>
      <x:c r="J6" s="22" t="str">
        <x:v>N/A</x:v>
      </x:c>
      <x:c r="K6" s="22" t="str">
        <x:v>N/A</x:v>
      </x:c>
      <x:c r="L6" s="22" t="str">
        <x:v>Read model change</x:v>
      </x:c>
      <x:c r="M6" s="22" t="str">
        <x:v>Easy</x:v>
      </x:c>
      <x:c r="N6" s="22" t="str">
        <x:v>P0</x:v>
      </x:c>
      <x:c r="O6" s="22" t="str">
        <x:v>FINAL</x:v>
      </x:c>
      <x:c r="P6" s="34" t="str"/>
    </x:row>
    <x:row r="7">
      <x:c r="A7" s="35" t="str">
        <x:v>Ticker changes</x:v>
      </x:c>
      <x:c r="B7" s="36" t="str">
        <x:v>Provider real asset may use different symbol e.g. AAPLx</x:v>
      </x:c>
      <x:c r="C7" s="36" t="str">
        <x:v>Reference ticker and provider_asset_id are separate fields</x:v>
      </x:c>
      <x:c r="D7" s="36" t="str">
        <x:v>User sees mapping</x:v>
      </x:c>
      <x:c r="E7" s="36" t="str">
        <x:v>None</x:v>
      </x:c>
      <x:c r="F7" s="36" t="str">
        <x:v>Product terms</x:v>
      </x:c>
      <x:c r="G7" s="36" t="str">
        <x:v>Map via versioned asset catalog</x:v>
      </x:c>
      <x:c r="H7" s="36" t="str">
        <x:v>Explain issuer/product</x:v>
      </x:c>
      <x:c r="I7" s="36" t="str">
        <x:v>Provider eligibility</x:v>
      </x:c>
      <x:c r="J7" s="36" t="str">
        <x:v>N/A</x:v>
      </x:c>
      <x:c r="K7" s="36" t="str">
        <x:v>Allowlist only</x:v>
      </x:c>
      <x:c r="L7" s="36" t="str">
        <x:v>Asset metadata</x:v>
      </x:c>
      <x:c r="M7" s="36" t="str">
        <x:v>Rollback catalog</x:v>
      </x:c>
      <x:c r="N7" s="36" t="str">
        <x:v>P1</x:v>
      </x:c>
      <x:c r="O7" s="36" t="str">
        <x:v>FINAL</x:v>
      </x:c>
      <x:c r="P7" s="37" t="str"/>
    </x:row>
  </x:sheetData>
  <x:mergeCells>
    <x:mergeCell ref="A1:P1"/>
  </x:mergeCells>
  <x:dataValidations count="1">
    <x:dataValidation type="list" sqref="O4:O7">
      <x:formula1>"FINAL,OPTIONAL,OPEN,BLOCKED"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Implementation Roadmap &amp; Dependencies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Phase</x:v>
      </x:c>
      <x:c r="B3" s="14" t="str">
        <x:v>Must Ship</x:v>
      </x:c>
      <x:c r="C3" s="14" t="str">
        <x:v>Can Stub</x:v>
      </x:c>
      <x:c r="D3" s="14" t="str">
        <x:v>Do Not Ship Yet</x:v>
      </x:c>
      <x:c r="E3" s="14" t="str">
        <x:v>Dependencies</x:v>
      </x:c>
      <x:c r="F3" s="14" t="str">
        <x:v>Data Migration</x:v>
      </x:c>
      <x:c r="G3" s="14" t="str">
        <x:v>Provider Dependency</x:v>
      </x:c>
      <x:c r="H3" s="14" t="str">
        <x:v>Liquidity Requirement</x:v>
      </x:c>
      <x:c r="I3" s="14" t="str">
        <x:v>Compliance Requirement</x:v>
      </x:c>
      <x:c r="J3" s="14" t="str">
        <x:v>Load Test</x:v>
      </x:c>
      <x:c r="K3" s="14" t="str">
        <x:v>Integrity Test</x:v>
      </x:c>
      <x:c r="L3" s="14" t="str">
        <x:v>Reconciliation Test</x:v>
      </x:c>
      <x:c r="M3" s="14" t="str">
        <x:v>Exit Criteria</x:v>
      </x:c>
      <x:c r="N3" s="14" t="str">
        <x:v>Feature Flag</x:v>
      </x:c>
      <x:c r="O3" s="14" t="str">
        <x:v>Priority</x:v>
      </x:c>
      <x:c r="P3" s="14" t="str">
        <x:v>Notes</x:v>
      </x:c>
    </x:row>
    <x:row r="4">
      <x:c r="A4" s="30" t="str">
        <x:v>P0 — Simulation</x:v>
      </x:c>
      <x:c r="B4" s="31" t="str">
        <x:v>SIMULATED reward ledger, reference market data, separate Portfolio labels, no redemption</x:v>
      </x:c>
      <x:c r="C4" s="31" t="str">
        <x:v>Corporate action reference display</x:v>
      </x:c>
      <x:c r="D4" s="31" t="str">
        <x:v>Any real claim/withdrawal; language implying ownership</x:v>
      </x:c>
      <x:c r="E4" s="31" t="str">
        <x:v>Hunts + Reward + Portfolio</x:v>
      </x:c>
      <x:c r="F4" s="31" t="str">
        <x:v>New stock_reward_ledger</x:v>
      </x:c>
      <x:c r="G4" s="31" t="str">
        <x:v>None</x:v>
      </x:c>
      <x:c r="H4" s="31" t="str">
        <x:v>None</x:v>
      </x:c>
      <x:c r="I4" s="31" t="str">
        <x:v>Simulation disclosure approved</x:v>
      </x:c>
      <x:c r="J4" s="31" t="str">
        <x:v>Reward burst + quote reads</x:v>
      </x:c>
      <x:c r="K4" s="31" t="str">
        <x:v>No forged/duplicate reward</x:v>
      </x:c>
      <x:c r="L4" s="31" t="str">
        <x:v>N/A</x:v>
      </x:c>
      <x:c r="M4" s="31" t="str">
        <x:v>Users understand reward is simulated; first-session loop stable</x:v>
      </x:c>
      <x:c r="N4" s="31" t="str">
        <x:v>stock_rewards_sim</x:v>
      </x:c>
      <x:c r="O4" s="31" t="str">
        <x:v>Critical</x:v>
      </x:c>
      <x:c r="P4" s="32" t="str"/>
    </x:row>
    <x:row r="5">
      <x:c r="A5" s="33" t="str">
        <x:v>P0.5 — Real-Asset Readiness</x:v>
      </x:c>
      <x:c r="B5" s="22" t="str">
        <x:v>Claim balance schema, provider adapter interface, geo/KYC hooks, funding ledger, disclosure versioning</x:v>
      </x:c>
      <x:c r="C5" s="22" t="str">
        <x:v>Provider sandbox</x:v>
      </x:c>
      <x:c r="D5" s="22" t="str">
        <x:v>Production orders</x:v>
      </x:c>
      <x:c r="E5" s="22" t="str">
        <x:v>P0 stable</x:v>
      </x:c>
      <x:c r="F5" s="22" t="str">
        <x:v>Additive tables</x:v>
      </x:c>
      <x:c r="G5" s="22" t="str">
        <x:v>Sandbox</x:v>
      </x:c>
      <x:c r="H5" s="22" t="str">
        <x:v>Pre-funding test only</x:v>
      </x:c>
      <x:c r="I5" s="22" t="str">
        <x:v>Legal classification/activity mapping in progress</x:v>
      </x:c>
      <x:c r="J5" s="22" t="str">
        <x:v>Provider mock load</x:v>
      </x:c>
      <x:c r="K5" s="22" t="str">
        <x:v>Idempotency/failure injection</x:v>
      </x:c>
      <x:c r="L5" s="22" t="str">
        <x:v>Mock exact</x:v>
      </x:c>
      <x:c r="M5" s="22" t="str">
        <x:v>Can run end-to-end sandbox without real asset</x:v>
      </x:c>
      <x:c r="N5" s="22" t="str">
        <x:v>stock_claims_sandbox</x:v>
      </x:c>
      <x:c r="O5" s="22" t="str">
        <x:v>High</x:v>
      </x:c>
      <x:c r="P5" s="34" t="str"/>
    </x:row>
    <x:row r="6">
      <x:c r="A6" s="33" t="str">
        <x:v>P1 — Provider Claim Pilot</x:v>
      </x:c>
      <x:c r="B6" s="22" t="str">
        <x:v>Eligibility/KYC handoff, quotes/orders/webhooks, USD claim threshold, funding reserve, reconciliation, corporate action feed</x:v>
      </x:c>
      <x:c r="C6" s="22" t="str">
        <x:v>Limited asset allowlist</x:v>
      </x:c>
      <x:c r="D6" s="22" t="str">
        <x:v>Withdrawal/self-custody</x:v>
      </x:c>
      <x:c r="E6" s="22" t="str">
        <x:v>Provider contract + compliance approval</x:v>
      </x:c>
      <x:c r="F6" s="22" t="str">
        <x:v>No rewrite of simulated rewards</x:v>
      </x:c>
      <x:c r="G6" s="22" t="str">
        <x:v>Production provider</x:v>
      </x:c>
      <x:c r="H6" s="22" t="str">
        <x:v>&gt;= budget+buffer</x:v>
      </x:c>
      <x:c r="I6" s="22" t="str">
        <x:v>Written launch approval per target jurisdiction</x:v>
      </x:c>
      <x:c r="J6" s="22" t="str">
        <x:v>Peak claims + webhook burst</x:v>
      </x:c>
      <x:c r="K6" s="22" t="str">
        <x:v>Duplicate order/Sybil/geo tests</x:v>
      </x:c>
      <x:c r="L6" s="22" t="str">
        <x:v>Daily order/fill/balance exact</x:v>
      </x:c>
      <x:c r="M6" s="22" t="str">
        <x:v>Small cohort receives real provider assets with no PLOT custody</x:v>
      </x:c>
      <x:c r="N6" s="22" t="str">
        <x:v>stock_claims_real</x:v>
      </x:c>
      <x:c r="O6" s="22" t="str">
        <x:v>Critical</x:v>
      </x:c>
      <x:c r="P6" s="34" t="str"/>
    </x:row>
    <x:row r="7">
      <x:c r="A7" s="35" t="str">
        <x:v>P2 — Self-Custody</x:v>
      </x:c>
      <x:c r="B7" s="36" t="str">
        <x:v>Provider-supported withdrawal, chain metadata, wallet checks, tx reconciliation</x:v>
      </x:c>
      <x:c r="C7" s="36" t="str">
        <x:v>Some chains/assets disabled</x:v>
      </x:c>
      <x:c r="D7" s="36" t="str">
        <x:v>PLOT-operated custody/issuer model</x:v>
      </x:c>
      <x:c r="E7" s="36" t="str">
        <x:v>P1 stable</x:v>
      </x:c>
      <x:c r="F7" s="36" t="str">
        <x:v>Withdrawal tables</x:v>
      </x:c>
      <x:c r="G7" s="36" t="str">
        <x:v>Provider/chain</x:v>
      </x:c>
      <x:c r="H7" s="36" t="str">
        <x:v>No new asset reserve model</x:v>
      </x:c>
      <x:c r="I7" s="36" t="str">
        <x:v>Withdrawal approval per geo/provider</x:v>
      </x:c>
      <x:c r="J7" s="36" t="str">
        <x:v>Withdrawal burst</x:v>
      </x:c>
      <x:c r="K7" s="36" t="str">
        <x:v>Address/chain/replay tests</x:v>
      </x:c>
      <x:c r="L7" s="36" t="str">
        <x:v>Tx/provider exact</x:v>
      </x:c>
      <x:c r="M7" s="36" t="str">
        <x:v>Withdrawal success/support acceptable</x:v>
      </x:c>
      <x:c r="N7" s="36" t="str">
        <x:v>stock_withdrawals</x:v>
      </x:c>
      <x:c r="O7" s="36" t="str">
        <x:v>High</x:v>
      </x:c>
      <x:c r="P7" s="37" t="str"/>
    </x:row>
  </x:sheetData>
  <x:mergeCells>
    <x:mergeCell ref="A1:P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Current Market Reference Examples — Architectural Lessons (Sep 2026)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Example</x:v>
      </x:c>
      <x:c r="B3" s="14" t="str">
        <x:v>Product Form</x:v>
      </x:c>
      <x:c r="C3" s="14" t="str">
        <x:v>Backing / Legal Form</x:v>
      </x:c>
      <x:c r="D3" s="14" t="str">
        <x:v>Shareholder Rights</x:v>
      </x:c>
      <x:c r="E3" s="14" t="str">
        <x:v>Withdrawable?</x:v>
      </x:c>
      <x:c r="F3" s="14" t="str">
        <x:v>Custody / Delivery</x:v>
      </x:c>
      <x:c r="G3" s="14" t="str">
        <x:v>Geographic Restrictions</x:v>
      </x:c>
      <x:c r="H3" s="14" t="str">
        <x:v>Minimum / Fractional</x:v>
      </x:c>
      <x:c r="I3" s="14" t="str">
        <x:v>Corporate Actions</x:v>
      </x:c>
      <x:c r="J3" s="14" t="str">
        <x:v>What PLOT Learns</x:v>
      </x:c>
      <x:c r="K3" s="14" t="str">
        <x:v>Do Not Assume</x:v>
      </x:c>
      <x:c r="L3" s="14" t="str">
        <x:v>Source 1</x:v>
      </x:c>
      <x:c r="M3" s="14" t="str">
        <x:v>Source 2</x:v>
      </x:c>
      <x:c r="N3" s="14" t="str">
        <x:v>Source Date Context</x:v>
      </x:c>
      <x:c r="O3" s="14" t="str">
        <x:v>Use in Design</x:v>
      </x:c>
      <x:c r="P3" s="14" t="str">
        <x:v>Notes</x:v>
      </x:c>
    </x:row>
    <x:row r="4">
      <x:c r="A4" s="30" t="str">
        <x:v>Kraken xStocks</x:v>
      </x:c>
      <x:c r="B4" s="31" t="str">
        <x:v>Tokenized representations of U.S. stocks/ETFs</x:v>
      </x:c>
      <x:c r="C4" s="31" t="str">
        <x:v>Kraken states each xStock is backed 1:1; issued by Backed entities/product structure</x:v>
      </x:c>
      <x:c r="D4" s="31" t="str">
        <x:v>Kraken states xStocks do not confer normal shareholder rights such as voting</x:v>
      </x:c>
      <x:c r="E4" s="31" t="str">
        <x:v>Yes to compatible wallet on supported product/region</x:v>
      </x:c>
      <x:c r="F4" s="31" t="str">
        <x:v>Provider/custody then self-custody possible</x:v>
      </x:c>
      <x:c r="G4" s="31" t="str">
        <x:v>Geo restrictions apply; not universally available</x:v>
      </x:c>
      <x:c r="H4" s="31" t="str">
        <x:v>Kraken advertises fractional access from $1</x:v>
      </x:c>
      <x:c r="I4" s="31" t="str">
        <x:v>Economic benefit of dividends handled through product mechanics</x:v>
      </x:c>
      <x:c r="J4" s="31" t="str">
        <x:v>A provider can supply backing, custody, asset issuance and withdrawals; PLOT need not invent this stack</x:v>
      </x:c>
      <x:c r="K4" s="31" t="str">
        <x:v>Do not assume xStocks are available in every target country or that all assets have identical transfer hours</x:v>
      </x:c>
      <x:c r="L4" s="31" t="str">
        <x:v>https://www.kraken.com/xstocks</x:v>
      </x:c>
      <x:c r="M4" s="31" t="str">
        <x:v>https://www.kraken.com/legal/xstocks</x:v>
      </x:c>
      <x:c r="N4" s="31" t="str">
        <x:v>Official pages current/crawled Sep 2026</x:v>
      </x:c>
      <x:c r="O4" s="31" t="str">
        <x:v>Provider capability benchmark</x:v>
      </x:c>
      <x:c r="P4" s="32" t="str"/>
    </x:row>
    <x:row r="5">
      <x:c r="A5" s="33" t="str">
        <x:v>Robinhood Classic Stock Tokens (EU)</x:v>
      </x:c>
      <x:c r="B5" s="22" t="str">
        <x:v>Blockchain-tracked derivative contracts following stock/ETF prices</x:v>
      </x:c>
      <x:c r="C5" s="22" t="str">
        <x:v>Not the actual stock; tokenized contract/derivative</x:v>
      </x:c>
      <x:c r="D5" s="22" t="str">
        <x:v>Not direct share ownership</x:v>
      </x:c>
      <x:c r="E5" s="22" t="str">
        <x:v>Robinhood page says cannot send to other wallets/platforms at this time</x:v>
      </x:c>
      <x:c r="F5" s="22" t="str">
        <x:v>In-platform</x:v>
      </x:c>
      <x:c r="G5" s="22" t="str">
        <x:v>Region/product-specific</x:v>
      </x:c>
      <x:c r="H5" s="22" t="str">
        <x:v>Fractional from low amounts</x:v>
      </x:c>
      <x:c r="I5" s="22" t="str">
        <x:v>Provider terms govern dividends/benefits</x:v>
      </x:c>
      <x:c r="J5" s="22" t="str">
        <x:v>Tokenized-stock products can intentionally be non-withdrawable and still offer market exposure</x:v>
      </x:c>
      <x:c r="K5" s="22" t="str">
        <x:v>Do not assume 'tokenized stock' always means 1:1 share-backed transferable token</x:v>
      </x:c>
      <x:c r="L5" s="22" t="str">
        <x:v>https://robinhood.com/eu/en/support/articles/about-stock-tokens/</x:v>
      </x:c>
      <x:c r="M5" s="22" t="str">
        <x:v>https://robinhood.com/eu/en/about/legal/</x:v>
      </x:c>
      <x:c r="N5" s="22" t="str">
        <x:v>Official pages current/crawled Sep 2026</x:v>
      </x:c>
      <x:c r="O5" s="22" t="str">
        <x:v>Product-model benchmark</x:v>
      </x:c>
      <x:c r="P5" s="34" t="str"/>
    </x:row>
    <x:row r="6">
      <x:c r="A6" s="35" t="str">
        <x:v>Backed xStocks legal documentation</x:v>
      </x:c>
      <x:c r="B6" s="36" t="str">
        <x:v>Tokenized tracker/certificate structure</x:v>
      </x:c>
      <x:c r="C6" s="36" t="str">
        <x:v>Legal documentation identifies certificate/tracker structure and supported chains</x:v>
      </x:c>
      <x:c r="D6" s="36" t="str">
        <x:v>Product-specific, not ordinary direct equity rights</x:v>
      </x:c>
      <x:c r="E6" s="36" t="str">
        <x:v>Technical transferability depends product/venue</x:v>
      </x:c>
      <x:c r="F6" s="36" t="str">
        <x:v>Issuer/service-provider structure</x:v>
      </x:c>
      <x:c r="G6" s="36" t="str">
        <x:v>Restricted-country rules apply</x:v>
      </x:c>
      <x:c r="H6" s="36" t="str">
        <x:v>Token decimals/provider venue minimums vary</x:v>
      </x:c>
      <x:c r="I6" s="36" t="str">
        <x:v>Product terms</x:v>
      </x:c>
      <x:c r="J6" s="36" t="str">
        <x:v>Legal form of tokenized equity can differ materially from 'owning the share'</x:v>
      </x:c>
      <x:c r="K6" s="36" t="str">
        <x:v>Never write generic claims about ownership/rights without product-specific terms</x:v>
      </x:c>
      <x:c r="L6" s="36" t="str">
        <x:v>https://assets.backed.fi/legal-documentation</x:v>
      </x:c>
      <x:c r="M6" s="36" t="str"/>
      <x:c r="N6" s="36" t="str">
        <x:v>Official legal documentation crawled Sep 2026</x:v>
      </x:c>
      <x:c r="O6" s="36" t="str">
        <x:v>Due-diligence source category</x:v>
      </x:c>
      <x:c r="P6" s="37" t="str"/>
    </x:row>
  </x:sheetData>
  <x:mergeCells>
    <x:mergeCell ref="A1:P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60" t="str">
        <x:v>Regulatory Source Notes — UAE / Dubai + General Launch Implications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22"/>
    </x:row>
    <x:row r="3">
      <x:c r="A3" s="14" t="str">
        <x:v>Authority / Source</x:v>
      </x:c>
      <x:c r="B3" s="14" t="str">
        <x:v>Jurisdiction</x:v>
      </x:c>
      <x:c r="C3" s="14" t="str">
        <x:v>Relevant Point</x:v>
      </x:c>
      <x:c r="D3" s="14" t="str">
        <x:v>Design Implication</x:v>
      </x:c>
      <x:c r="E3" s="14" t="str">
        <x:v>What This Does NOT Decide</x:v>
      </x:c>
      <x:c r="F3" s="14" t="str">
        <x:v>PLOT Gate</x:v>
      </x:c>
      <x:c r="G3" s="14" t="str">
        <x:v>Source URL</x:v>
      </x:c>
      <x:c r="H3" s="14" t="str">
        <x:v>Current Context</x:v>
      </x:c>
      <x:c r="I3" s="14" t="str">
        <x:v>Needs Counsel?</x:v>
      </x:c>
      <x:c r="J3" s="14" t="str">
        <x:v>Product Phase</x:v>
      </x:c>
      <x:c r="K3" s="14" t="str">
        <x:v>Compliance Owner</x:v>
      </x:c>
      <x:c r="L3" s="14" t="str">
        <x:v>Evidence Stored</x:v>
      </x:c>
      <x:c r="M3" s="14" t="str">
        <x:v>User Copy Impact</x:v>
      </x:c>
      <x:c r="N3" s="14" t="str">
        <x:v>Risk</x:v>
      </x:c>
      <x:c r="O3" s="14" t="str">
        <x:v>Priority</x:v>
      </x:c>
      <x:c r="P3" s="14" t="str">
        <x:v>Notes</x:v>
      </x:c>
    </x:row>
    <x:row r="4">
      <x:c r="A4" s="30" t="str">
        <x:v>UAE Securities &amp; Commodities Authority (SCA) guidance</x:v>
      </x:c>
      <x:c r="B4" s="31" t="str">
        <x:v>UAE federal/onshore scope as applicable</x:v>
      </x:c>
      <x:c r="C4" s="31" t="str">
        <x:v>SCA guidance states digital securities/DLT securities are securities subject to traditional securities legislation, with technological requirements as applicable</x:v>
      </x:c>
      <x:c r="D4" s="31" t="str">
        <x:v>A real tokenized-equity reward cannot be treated as 'just a game token' solely because it is onchain</x:v>
      </x:c>
      <x:c r="E4" s="31" t="str">
        <x:v>Does not determine PLOT's exact license/activity classification</x:v>
      </x:c>
      <x:c r="F4" s="31" t="str">
        <x:v>Real-asset launch memo required</x:v>
      </x:c>
      <x:c r="G4" s="31" t="str">
        <x:v>https://www.sca.gov.ae/assets/b0c67096/guidelines-regulation-of-virtual-assets-and-virtual-assets-services-providers-en.aspx</x:v>
      </x:c>
      <x:c r="H4" s="31" t="str">
        <x:v>Official guidance surfaced in current search</x:v>
      </x:c>
      <x:c r="I4" s="31" t="str">
        <x:v>Yes</x:v>
      </x:c>
      <x:c r="J4" s="31" t="str">
        <x:v>P2/P3</x:v>
      </x:c>
      <x:c r="K4" s="31" t="str">
        <x:v>Legal/Compliance</x:v>
      </x:c>
      <x:c r="L4" s="31" t="str">
        <x:v>Classification memo/version</x:v>
      </x:c>
      <x:c r="M4" s="31" t="str">
        <x:v>Avoid generic 'stock token' ownership claims</x:v>
      </x:c>
      <x:c r="N4" s="31" t="str">
        <x:v>Critical</x:v>
      </x:c>
      <x:c r="O4" s="31" t="str">
        <x:v>Critical</x:v>
      </x:c>
      <x:c r="P4" s="32" t="str"/>
    </x:row>
    <x:row r="5">
      <x:c r="A5" s="33" t="str">
        <x:v>DFSA Investment Token framework</x:v>
      </x:c>
      <x:c r="B5" s="22" t="str">
        <x:v>DIFC</x:v>
      </x:c>
      <x:c r="C5" s="22" t="str">
        <x:v>DFSA defines Investment Tokens to include Security Tokens and Derivative Tokens / DLT representations with substantially similar rights/effect</x:v>
      </x:c>
      <x:c r="D5" s="22" t="str">
        <x:v>If activity is in/from DIFC, provider/product and PLOT activity need DFSA analysis</x:v>
      </x:c>
      <x:c r="E5" s="22" t="str">
        <x:v>Does not apply automatically outside DIFC</x:v>
      </x:c>
      <x:c r="F5" s="22" t="str">
        <x:v>DIFC-specific legal gate</x:v>
      </x:c>
      <x:c r="G5" s="22" t="str">
        <x:v>https://www.dfsa.ae/news/dfsa-introduces-regulatory-framework-investment-tokens</x:v>
      </x:c>
      <x:c r="H5" s="22" t="str">
        <x:v>Framework launched 2021; still relevant classification reference</x:v>
      </x:c>
      <x:c r="I5" s="22" t="str">
        <x:v>Yes</x:v>
      </x:c>
      <x:c r="J5" s="22" t="str">
        <x:v>P2/P3</x:v>
      </x:c>
      <x:c r="K5" s="22" t="str">
        <x:v>Legal</x:v>
      </x:c>
      <x:c r="L5" s="22" t="str">
        <x:v>Jurisdiction memo</x:v>
      </x:c>
      <x:c r="M5" s="22" t="str">
        <x:v>Provider/legal-form specific</x:v>
      </x:c>
      <x:c r="N5" s="22" t="str">
        <x:v>Critical</x:v>
      </x:c>
      <x:c r="O5" s="22" t="str">
        <x:v>High</x:v>
      </x:c>
      <x:c r="P5" s="34" t="str"/>
    </x:row>
    <x:row r="6">
      <x:c r="A6" s="33" t="str">
        <x:v>VARA RWA guidance / rulebook</x:v>
      </x:c>
      <x:c r="B6" s="22" t="str">
        <x:v>Dubai outside DIFC for VARA scope</x:v>
      </x:c>
      <x:c r="C6" s="22" t="str">
        <x:v>VARA RWA definition includes interests in financial instruments including equity/securities; VARA also prohibits unlicensed VA activities by way of business</x:v>
      </x:c>
      <x:c r="D6" s="22" t="str">
        <x:v>Map whether any PLOT/provider activity falls within VARA RWA/VA activity scope and how that interacts with securities regulation</x:v>
      </x:c>
      <x:c r="E6" s="22" t="str">
        <x:v>Does not by itself establish that VARA is the only regulator for tokenized equities</x:v>
      </x:c>
      <x:c r="F6" s="22" t="str">
        <x:v>Dubai regulatory-perimeter memo</x:v>
      </x:c>
      <x:c r="G6" s="22" t="str">
        <x:v>https://rulebooks.vara.ae/rulebook/i-guidance-topic-0</x:v>
      </x:c>
      <x:c r="H6" s="22" t="str">
        <x:v>Current VARA rulebook</x:v>
      </x:c>
      <x:c r="I6" s="22" t="str">
        <x:v>Yes</x:v>
      </x:c>
      <x:c r="J6" s="22" t="str">
        <x:v>P2/P3</x:v>
      </x:c>
      <x:c r="K6" s="22" t="str">
        <x:v>Legal</x:v>
      </x:c>
      <x:c r="L6" s="22" t="str">
        <x:v>Regulatory perimeter memo</x:v>
      </x:c>
      <x:c r="M6" s="22" t="str">
        <x:v>Marketing copy may require approval</x:v>
      </x:c>
      <x:c r="N6" s="22" t="str">
        <x:v>Critical</x:v>
      </x:c>
      <x:c r="O6" s="22" t="str">
        <x:v>High</x:v>
      </x:c>
      <x:c r="P6" s="34" t="str"/>
    </x:row>
    <x:row r="7">
      <x:c r="A7" s="35" t="str">
        <x:v>VARA general prohibition</x:v>
      </x:c>
      <x:c r="B7" s="36" t="str">
        <x:v>Dubai outside DIFC</x:v>
      </x:c>
      <x:c r="C7" s="36" t="str">
        <x:v>No entity may carry out a VA Activity by way of business unless licensed/authorized or exempt</x:v>
      </x:c>
      <x:c r="D7" s="36" t="str">
        <x:v>Do not launch provider/withdrawal flow assuming technical integration equals regulatory permission</x:v>
      </x:c>
      <x:c r="E7" s="36" t="str">
        <x:v>Does not decide whether PLOT's exact role is a VA Activity</x:v>
      </x:c>
      <x:c r="F7" s="36" t="str">
        <x:v>Legal sign-off before enabling real flow</x:v>
      </x:c>
      <x:c r="G7" s="36" t="str">
        <x:v>https://rulebooks.vara.ae/rulebook/general-prohibition-and-exemptions</x:v>
      </x:c>
      <x:c r="H7" s="36" t="str">
        <x:v>Current rulebook</x:v>
      </x:c>
      <x:c r="I7" s="36" t="str">
        <x:v>Yes</x:v>
      </x:c>
      <x:c r="J7" s="36" t="str">
        <x:v>P2/P3</x:v>
      </x:c>
      <x:c r="K7" s="36" t="str">
        <x:v>Legal</x:v>
      </x:c>
      <x:c r="L7" s="36" t="str">
        <x:v>Launch approval</x:v>
      </x:c>
      <x:c r="M7" s="36" t="str">
        <x:v>No claim of regulated status unless true</x:v>
      </x:c>
      <x:c r="N7" s="36" t="str">
        <x:v>Critical</x:v>
      </x:c>
      <x:c r="O7" s="36" t="str">
        <x:v>High</x:v>
      </x:c>
      <x:c r="P7" s="37" t="str"/>
    </x:row>
  </x:sheetData>
  <x:mergeCells>
    <x:mergeCell ref="A1:P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Source Register</x:v>
      </x:c>
      <x:c r="B1" s="60"/>
      <x:c r="C1" s="60"/>
      <x:c r="D1" s="60"/>
      <x:c r="E1" s="60"/>
      <x:c r="F1" s="60"/>
      <x:c r="G1" s="60"/>
      <x:c r="H1" s="60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Source</x:v>
      </x:c>
      <x:c r="B3" s="14" t="str">
        <x:v>Organization</x:v>
      </x:c>
      <x:c r="C3" s="14" t="str">
        <x:v>Topic</x:v>
      </x:c>
      <x:c r="D3" s="14" t="str">
        <x:v>URL</x:v>
      </x:c>
      <x:c r="E3" s="14" t="str">
        <x:v>Accessed / Context</x:v>
      </x:c>
      <x:c r="F3" s="14" t="str">
        <x:v>Used For</x:v>
      </x:c>
      <x:c r="G3" s="14" t="str">
        <x:v>Reliability</x:v>
      </x:c>
      <x:c r="H3" s="14" t="str">
        <x:v>Notes</x:v>
      </x:c>
    </x:row>
    <x:row r="4">
      <x:c r="A4" s="30" t="str">
        <x:v>xStocks product page</x:v>
      </x:c>
      <x:c r="B4" s="31" t="str">
        <x:v>Kraken</x:v>
      </x:c>
      <x:c r="C4" s="31" t="str">
        <x:v>1:1 backing, fractional access, withdrawal, rights, restrictions</x:v>
      </x:c>
      <x:c r="D4" s="31" t="str">
        <x:v>https://www.kraken.com/xstocks</x:v>
      </x:c>
      <x:c r="E4" s="31" t="str">
        <x:v>Current web result Sep 2026</x:v>
      </x:c>
      <x:c r="F4" s="31" t="str">
        <x:v>Provider architecture benchmark</x:v>
      </x:c>
      <x:c r="G4" s="31" t="str">
        <x:v>Official</x:v>
      </x:c>
      <x:c r="H4" s="32" t="str"/>
    </x:row>
    <x:row r="5">
      <x:c r="A5" s="33" t="str">
        <x:v>xStocks FAQ</x:v>
      </x:c>
      <x:c r="B5" s="22" t="str">
        <x:v>Kraken</x:v>
      </x:c>
      <x:c r="C5" s="22" t="str">
        <x:v>Backing, custody, chains, product description</x:v>
      </x:c>
      <x:c r="D5" s="22" t="str">
        <x:v>https://support.kraken.com/articles/xstocks-faq</x:v>
      </x:c>
      <x:c r="E5" s="22" t="str">
        <x:v>Updated Sep 18 2026 per page</x:v>
      </x:c>
      <x:c r="F5" s="22" t="str">
        <x:v>Provider architecture benchmark</x:v>
      </x:c>
      <x:c r="G5" s="22" t="str">
        <x:v>Official</x:v>
      </x:c>
      <x:c r="H5" s="34" t="str"/>
    </x:row>
    <x:row r="6">
      <x:c r="A6" s="33" t="str">
        <x:v>xStocks Risk Disclosure</x:v>
      </x:c>
      <x:c r="B6" s="22" t="str">
        <x:v>Kraken</x:v>
      </x:c>
      <x:c r="C6" s="22" t="str">
        <x:v>Legal/economic rights and restrictions</x:v>
      </x:c>
      <x:c r="D6" s="22" t="str">
        <x:v>https://www.kraken.com/legal/xstocks</x:v>
      </x:c>
      <x:c r="E6" s="22" t="str">
        <x:v>Current web result Sep 2026</x:v>
      </x:c>
      <x:c r="F6" s="22" t="str">
        <x:v>Rights/disclosure benchmark</x:v>
      </x:c>
      <x:c r="G6" s="22" t="str">
        <x:v>Official legal</x:v>
      </x:c>
      <x:c r="H6" s="34" t="str"/>
    </x:row>
    <x:row r="7">
      <x:c r="A7" s="33" t="str">
        <x:v>About Classic Stock Tokens</x:v>
      </x:c>
      <x:c r="B7" s="22" t="str">
        <x:v>Robinhood Europe</x:v>
      </x:c>
      <x:c r="C7" s="22" t="str">
        <x:v>Derivative form, non-transferability, market exposure</x:v>
      </x:c>
      <x:c r="D7" s="22" t="str">
        <x:v>https://robinhood.com/eu/en/support/articles/about-stock-tokens/</x:v>
      </x:c>
      <x:c r="E7" s="22" t="str">
        <x:v>Current web result Sep 2026</x:v>
      </x:c>
      <x:c r="F7" s="22" t="str">
        <x:v>Alternative product model</x:v>
      </x:c>
      <x:c r="G7" s="22" t="str">
        <x:v>Official</x:v>
      </x:c>
      <x:c r="H7" s="34" t="str"/>
    </x:row>
    <x:row r="8">
      <x:c r="A8" s="33" t="str">
        <x:v>Disclosure Library</x:v>
      </x:c>
      <x:c r="B8" s="22" t="str">
        <x:v>Robinhood Europe</x:v>
      </x:c>
      <x:c r="C8" s="22" t="str">
        <x:v>Regulated-entity/product disclosure context</x:v>
      </x:c>
      <x:c r="D8" s="22" t="str">
        <x:v>https://robinhood.com/eu/en/about/legal/</x:v>
      </x:c>
      <x:c r="E8" s="22" t="str">
        <x:v>Current web result Sep 2026</x:v>
      </x:c>
      <x:c r="F8" s="22" t="str">
        <x:v>Due diligence</x:v>
      </x:c>
      <x:c r="G8" s="22" t="str">
        <x:v>Official legal</x:v>
      </x:c>
      <x:c r="H8" s="34" t="str"/>
    </x:row>
    <x:row r="9">
      <x:c r="A9" s="33" t="str">
        <x:v>Legal Documentation</x:v>
      </x:c>
      <x:c r="B9" s="22" t="str">
        <x:v>Backed Assets</x:v>
      </x:c>
      <x:c r="C9" s="22" t="str">
        <x:v>Prospectus/product legal form/chains</x:v>
      </x:c>
      <x:c r="D9" s="22" t="str">
        <x:v>https://assets.backed.fi/legal-documentation</x:v>
      </x:c>
      <x:c r="E9" s="22" t="str">
        <x:v>Current web result Sep 2026</x:v>
      </x:c>
      <x:c r="F9" s="22" t="str">
        <x:v>Issuer/product due diligence</x:v>
      </x:c>
      <x:c r="G9" s="22" t="str">
        <x:v>Official legal</x:v>
      </x:c>
      <x:c r="H9" s="34" t="str"/>
    </x:row>
    <x:row r="10">
      <x:c r="A10" s="33" t="str">
        <x:v>SCA VA guidelines</x:v>
      </x:c>
      <x:c r="B10" s="22" t="str">
        <x:v>SCA UAE</x:v>
      </x:c>
      <x:c r="C10" s="22" t="str">
        <x:v>Digital securities treatment</x:v>
      </x:c>
      <x:c r="D10" s="22" t="str">
        <x:v>https://www.sca.gov.ae/assets/b0c67096/guidelines-regulation-of-virtual-assets-and-virtual-assets-services-providers-en.aspx</x:v>
      </x:c>
      <x:c r="E10" s="22" t="str">
        <x:v>Official source surfaced current search</x:v>
      </x:c>
      <x:c r="F10" s="22" t="str">
        <x:v>UAE legal perimeter flag</x:v>
      </x:c>
      <x:c r="G10" s="22" t="str">
        <x:v>Official regulator</x:v>
      </x:c>
      <x:c r="H10" s="34" t="str"/>
    </x:row>
    <x:row r="11">
      <x:c r="A11" s="33" t="str">
        <x:v>DFSA Investment Tokens</x:v>
      </x:c>
      <x:c r="B11" s="22" t="str">
        <x:v>DFSA</x:v>
      </x:c>
      <x:c r="C11" s="22" t="str">
        <x:v>Security/Derivative token framework</x:v>
      </x:c>
      <x:c r="D11" s="22" t="str">
        <x:v>https://www.dfsa.ae/news/dfsa-introduces-regulatory-framework-investment-tokens</x:v>
      </x:c>
      <x:c r="E11" s="22" t="str">
        <x:v>Official framework notice</x:v>
      </x:c>
      <x:c r="F11" s="22" t="str">
        <x:v>DIFC perimeter flag</x:v>
      </x:c>
      <x:c r="G11" s="22" t="str">
        <x:v>Official regulator</x:v>
      </x:c>
      <x:c r="H11" s="34" t="str"/>
    </x:row>
    <x:row r="12">
      <x:c r="A12" s="33" t="str">
        <x:v>VARA RWA Guidance</x:v>
      </x:c>
      <x:c r="B12" s="22" t="str">
        <x:v>VARA</x:v>
      </x:c>
      <x:c r="C12" s="22" t="str">
        <x:v>RWA definition includes financial instruments/equity</x:v>
      </x:c>
      <x:c r="D12" s="22" t="str">
        <x:v>https://rulebooks.vara.ae/rulebook/i-guidance-topic-0</x:v>
      </x:c>
      <x:c r="E12" s="22" t="str">
        <x:v>Current VARA rulebook</x:v>
      </x:c>
      <x:c r="F12" s="22" t="str">
        <x:v>Dubai perimeter flag</x:v>
      </x:c>
      <x:c r="G12" s="22" t="str">
        <x:v>Official regulator</x:v>
      </x:c>
      <x:c r="H12" s="34" t="str"/>
    </x:row>
    <x:row r="13">
      <x:c r="A13" s="35" t="str">
        <x:v>VARA General Prohibition</x:v>
      </x:c>
      <x:c r="B13" s="36" t="str">
        <x:v>VARA</x:v>
      </x:c>
      <x:c r="C13" s="36" t="str">
        <x:v>Licensing prohibition for VA Activities by way of business</x:v>
      </x:c>
      <x:c r="D13" s="36" t="str">
        <x:v>https://rulebooks.vara.ae/rulebook/general-prohibition-and-exemptions</x:v>
      </x:c>
      <x:c r="E13" s="36" t="str">
        <x:v>Current VARA rulebook</x:v>
      </x:c>
      <x:c r="F13" s="36" t="str">
        <x:v>Dubai launch gate</x:v>
      </x:c>
      <x:c r="G13" s="36" t="str">
        <x:v>Official regulator</x:v>
      </x:c>
      <x:c r="H13" s="37" t="str"/>
    </x:row>
  </x:sheetData>
  <x:mergeCells>
    <x:mergeCell ref="A1:H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4" hidden="0" customWidth="1"/>
    <x:col min="7" max="7" width="3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0" customHeight="1">
      <x:c r="A1" s="60" t="str">
        <x:v>Tokenized Stock Settlement Architecture — Model Checks</x:v>
      </x:c>
      <x:c r="B1" s="60"/>
      <x:c r="C1" s="60"/>
      <x:c r="D1" s="60"/>
      <x:c r="E1" s="60"/>
      <x:c r="F1" s="60"/>
      <x:c r="G1" s="60"/>
      <x:c r="H1" s="22"/>
      <x:c r="I1" s="22"/>
      <x:c r="J1" s="22"/>
      <x:c r="K1" s="22"/>
      <x:c r="L1" s="22"/>
      <x:c r="M1" s="22"/>
      <x:c r="N1" s="22"/>
      <x:c r="O1" s="22"/>
      <x:c r="P1" s="22"/>
      <x:c r="Q1" s="22"/>
    </x:row>
    <x:row r="3">
      <x:c r="A3" s="14" t="str">
        <x:v>Check</x:v>
      </x:c>
      <x:c r="B3" s="14" t="str">
        <x:v>Expected</x:v>
      </x:c>
      <x:c r="C3" s="14" t="str">
        <x:v>Actual</x:v>
      </x:c>
      <x:c r="D3" s="14" t="str">
        <x:v>Status</x:v>
      </x:c>
      <x:c r="E3" s="14" t="str">
        <x:v>Severity</x:v>
      </x:c>
      <x:c r="F3" s="14" t="str">
        <x:v>Why It Matters</x:v>
      </x:c>
      <x:c r="G3" s="14" t="str">
        <x:v>Notes</x:v>
      </x:c>
    </x:row>
    <x:row r="4">
      <x:c r="A4" s="30" t="str">
        <x:v>Canonical launch mode is simulated</x:v>
      </x:c>
      <x:c r="B4" s="31" t="n">
        <x:v>1</x:v>
      </x:c>
      <x:c r="C4" s="31" t="n">
        <x:f>IF('00_Dashboard'!B4="Simulated stock fragments only; non-redeemable, non-transferable, no cash value",1,0)</x:f>
        <x:v>1</x:v>
      </x:c>
      <x:c r="D4" s="31" t="str">
        <x:f>IF(C4=B4,"PASS","CHECK")</x:f>
        <x:v>PASS</x:v>
      </x:c>
      <x:c r="E4" s="31" t="str">
        <x:v>Critical</x:v>
      </x:c>
      <x:c r="F4" s="31" t="str">
        <x:v>Prevents accidental day-one securities/custody architecture</x:v>
      </x:c>
      <x:c r="G4" s="32" t="str"/>
    </x:row>
    <x:row r="5">
      <x:c r="A5" s="33" t="str">
        <x:v>PLOT does not custody stocks in preferred model</x:v>
      </x:c>
      <x:c r="B5" s="22" t="n">
        <x:v>1</x:v>
      </x:c>
      <x:c r="C5" s="22" t="n">
        <x:f>IF(LEFT('00_Dashboard'!E4,2)="No",1,0)</x:f>
        <x:v>1</x:v>
      </x:c>
      <x:c r="D5" s="22" t="str">
        <x:f>IF(C5=B5,"PASS","CHECK")</x:f>
        <x:v>PASS</x:v>
      </x:c>
      <x:c r="E5" s="22" t="str">
        <x:v>Critical</x:v>
      </x:c>
      <x:c r="F5" s="22" t="str">
        <x:v>Custody boundary</x:v>
      </x:c>
      <x:c r="G5" s="34" t="str"/>
    </x:row>
    <x:row r="6">
      <x:c r="A6" s="33" t="str">
        <x:v>PLOT does not issue stock tokens</x:v>
      </x:c>
      <x:c r="B6" s="22" t="n">
        <x:v>1</x:v>
      </x:c>
      <x:c r="C6" s="22" t="n">
        <x:f>IF('00_Dashboard'!F4="No",1,0)</x:f>
        <x:v>1</x:v>
      </x:c>
      <x:c r="D6" s="22" t="str">
        <x:f>IF(C6=B6,"PASS","CHECK")</x:f>
        <x:v>PASS</x:v>
      </x:c>
      <x:c r="E6" s="22" t="str">
        <x:v>Critical</x:v>
      </x:c>
      <x:c r="F6" s="22" t="str">
        <x:v>Avoid issuer architecture</x:v>
      </x:c>
      <x:c r="G6" s="34" t="str"/>
    </x:row>
    <x:row r="7">
      <x:c r="A7" s="33" t="str">
        <x:v>Real claim minimum &gt;= $1 default</x:v>
      </x:c>
      <x:c r="B7" s="22" t="n">
        <x:v>1</x:v>
      </x:c>
      <x:c r="C7" s="22" t="n">
        <x:f>IF('06_Liquidity_Treasury'!B6&gt;=1,1,0)</x:f>
        <x:v>1</x:v>
      </x:c>
      <x:c r="D7" s="22" t="str">
        <x:f>IF(C7=B7,"PASS","CHECK")</x:f>
        <x:v>PASS</x:v>
      </x:c>
      <x:c r="E7" s="22" t="str">
        <x:v>High</x:v>
      </x:c>
      <x:c r="F7" s="22" t="str">
        <x:v>Supports micro-reward aggregation / provider minimums</x:v>
      </x:c>
      <x:c r="G7" s="34" t="str"/>
    </x:row>
    <x:row r="8">
      <x:c r="A8" s="33" t="str">
        <x:v>Real units fixed only at execution</x:v>
      </x:c>
      <x:c r="B8" s="22" t="n">
        <x:v>1</x:v>
      </x:c>
      <x:c r="C8" s="22" t="n">
        <x:f>IF(ISNUMBER(SEARCH("actual execution",'02_Phased_Rollout'!D6)),1,0)</x:f>
        <x:v>1</x:v>
      </x:c>
      <x:c r="D8" s="22" t="str">
        <x:f>IF(C8=B8,"PASS","CHECK")</x:f>
        <x:v>PASS</x:v>
      </x:c>
      <x:c r="E8" s="22" t="str">
        <x:v>Critical</x:v>
      </x:c>
      <x:c r="F8" s="22" t="str">
        <x:v>Avoid stock-price liability mismatch</x:v>
      </x:c>
      <x:c r="G8" s="34" t="str"/>
    </x:row>
    <x:row r="9">
      <x:c r="A9" s="33" t="str">
        <x:v>Simulated state is non-claimable</x:v>
      </x:c>
      <x:c r="B9" s="22" t="n">
        <x:v>1</x:v>
      </x:c>
      <x:c r="C9" s="22" t="n">
        <x:f>IF('03_Reward_State_Machine'!F4="No",1,0)</x:f>
        <x:v>1</x:v>
      </x:c>
      <x:c r="D9" s="22" t="str">
        <x:f>IF(C9=B9,"PASS","CHECK")</x:f>
        <x:v>PASS</x:v>
      </x:c>
      <x:c r="E9" s="22" t="str">
        <x:v>Critical</x:v>
      </x:c>
      <x:c r="F9" s="22" t="str">
        <x:v>Clear beta boundary</x:v>
      </x:c>
      <x:c r="G9" s="34" t="str"/>
    </x:row>
    <x:row r="10">
      <x:c r="A10" s="33" t="str">
        <x:v>PENDING_NOTIONAL units not fixed</x:v>
      </x:c>
      <x:c r="B10" s="22" t="n">
        <x:v>1</x:v>
      </x:c>
      <x:c r="C10" s="22" t="n">
        <x:f>IF('03_Reward_State_Machine'!H6="Award USD fixed; estimated units from quote only",1,0)</x:f>
        <x:v>1</x:v>
      </x:c>
      <x:c r="D10" s="22" t="str">
        <x:f>IF(C10=B10,"PASS","CHECK")</x:f>
        <x:v>PASS</x:v>
      </x:c>
      <x:c r="E10" s="22" t="str">
        <x:v>Critical</x:v>
      </x:c>
      <x:c r="F10" s="22" t="str">
        <x:v>Treasury/liability control</x:v>
      </x:c>
      <x:c r="G10" s="34" t="str"/>
    </x:row>
    <x:row r="11">
      <x:c r="A11" s="33" t="str">
        <x:v>Delivered state comes from provider</x:v>
      </x:c>
      <x:c r="B11" s="22" t="n">
        <x:v>1</x:v>
      </x:c>
      <x:c r="C11" s="22" t="n">
        <x:f>IF('03_Reward_State_Machine'!D11="User has provider product per provider terms",1,0)</x:f>
        <x:v>1</x:v>
      </x:c>
      <x:c r="D11" s="22" t="str">
        <x:f>IF(C11=B11,"PASS","CHECK")</x:f>
        <x:v>PASS</x:v>
      </x:c>
      <x:c r="E11" s="22" t="str">
        <x:v>Critical</x:v>
      </x:c>
      <x:c r="F11" s="22" t="str">
        <x:v>No fictitious asset creation</x:v>
      </x:c>
      <x:c r="G11" s="34" t="str"/>
    </x:row>
    <x:row r="12">
      <x:c r="A12" s="33" t="str">
        <x:v>Stock value direct Performance = 0</x:v>
      </x:c>
      <x:c r="B12" s="22" t="n">
        <x:v>1</x:v>
      </x:c>
      <x:c r="C12" s="22" t="n">
        <x:f>IF('00_Dashboard'!M4="Stock value/ownership remains 0 direct Performance",1,0)</x:f>
        <x:v>1</x:v>
      </x:c>
      <x:c r="D12" s="22" t="str">
        <x:f>IF(C12=B12,"PASS","CHECK")</x:f>
        <x:v>PASS</x:v>
      </x:c>
      <x:c r="E12" s="22" t="str">
        <x:v>Critical</x:v>
      </x:c>
      <x:c r="F12" s="22" t="str">
        <x:v>Competitive fairness</x:v>
      </x:c>
      <x:c r="G12" s="34" t="str"/>
    </x:row>
    <x:row r="13">
      <x:c r="A13" s="33" t="str">
        <x:v>Simulation and real portfolio separated</x:v>
      </x:c>
      <x:c r="B13" s="22" t="n">
        <x:v>1</x:v>
      </x:c>
      <x:c r="C13" s="22" t="n">
        <x:f>IF('22_Migration_Sim_to_Real'!B6="Separate SIMULATED and REAL tabs/sections permanently",1,0)</x:f>
        <x:v>1</x:v>
      </x:c>
      <x:c r="D13" s="22" t="str">
        <x:f>IF(C13=B13,"PASS","CHECK")</x:f>
        <x:v>PASS</x:v>
      </x:c>
      <x:c r="E13" s="22" t="str">
        <x:v>High</x:v>
      </x:c>
      <x:c r="F13" s="22" t="str">
        <x:v>User clarity</x:v>
      </x:c>
      <x:c r="G13" s="34" t="str"/>
    </x:row>
    <x:row r="14">
      <x:c r="A14" s="33" t="str">
        <x:v>Historical simulation auto-conversion prohibited</x:v>
      </x:c>
      <x:c r="B14" s="22" t="n">
        <x:v>1</x:v>
      </x:c>
      <x:c r="C14" s="22" t="n">
        <x:f>IF(LEFT('22_Migration_Sim_to_Real'!B4,6)="Do NOT",1,0)</x:f>
        <x:v>1</x:v>
      </x:c>
      <x:c r="D14" s="22" t="str">
        <x:f>IF(C14=B14,"PASS","CHECK")</x:f>
        <x:v>PASS</x:v>
      </x:c>
      <x:c r="E14" s="22" t="str">
        <x:v>Critical</x:v>
      </x:c>
      <x:c r="F14" s="22" t="str">
        <x:v>Avoid retroactive liability</x:v>
      </x:c>
      <x:c r="G14" s="34" t="str"/>
    </x:row>
    <x:row r="15">
      <x:c r="A15" s="33" t="str">
        <x:v>Provider adapter includes eligibility/order/status/withdrawal metadata</x:v>
      </x:c>
      <x:c r="B15" s="22" t="n">
        <x:v>8</x:v>
      </x:c>
      <x:c r="C15" s="22" t="n">
        <x:f>COUNTA('12_Provider_Integration'!A4:A12)-1</x:f>
        <x:v>8</x:v>
      </x:c>
      <x:c r="D15" s="22" t="str">
        <x:f>IF(C15&gt;=B15,"PASS","CHECK")</x:f>
        <x:v>PASS</x:v>
      </x:c>
      <x:c r="E15" s="22" t="str">
        <x:v>High</x:v>
      </x:c>
      <x:c r="F15" s="22" t="str">
        <x:v>Integration completeness</x:v>
      </x:c>
      <x:c r="G15" s="34" t="str">
        <x:v>Asset metadata included as ninth capability</x:v>
      </x:c>
    </x:row>
    <x:row r="16">
      <x:c r="A16" s="33" t="str">
        <x:v>Funding buffer positive</x:v>
      </x:c>
      <x:c r="B16" s="22" t="n">
        <x:v>1</x:v>
      </x:c>
      <x:c r="C16" s="22" t="n">
        <x:f>IF('06_Liquidity_Treasury'!B5&gt;0,1,0)</x:f>
        <x:v>1</x:v>
      </x:c>
      <x:c r="D16" s="22" t="str">
        <x:f>IF(C16=B16,"PASS","CHECK")</x:f>
        <x:v>PASS</x:v>
      </x:c>
      <x:c r="E16" s="22" t="str">
        <x:v>High</x:v>
      </x:c>
      <x:c r="F16" s="22" t="str">
        <x:v>Treasury resilience</x:v>
      </x:c>
      <x:c r="G16" s="34" t="str"/>
    </x:row>
    <x:row r="17">
      <x:c r="A17" s="33" t="str">
        <x:v>Funding hard pause &gt; alert</x:v>
      </x:c>
      <x:c r="B17" s="22" t="n">
        <x:v>1</x:v>
      </x:c>
      <x:c r="C17" s="22" t="n">
        <x:f>IF('06_Liquidity_Treasury'!B13&gt;'06_Liquidity_Treasury'!B12,1,0)</x:f>
        <x:v>1</x:v>
      </x:c>
      <x:c r="D17" s="22" t="str">
        <x:f>IF(C17=B17,"PASS","CHECK")</x:f>
        <x:v>PASS</x:v>
      </x:c>
      <x:c r="E17" s="22" t="str">
        <x:v>High</x:v>
      </x:c>
      <x:c r="F17" s="22" t="str">
        <x:v>Escalation logic</x:v>
      </x:c>
      <x:c r="G17" s="34" t="str"/>
    </x:row>
    <x:row r="18">
      <x:c r="A18" s="33" t="str">
        <x:v>Withdrawal is later phase only</x:v>
      </x:c>
      <x:c r="B18" s="22" t="n">
        <x:v>1</x:v>
      </x:c>
      <x:c r="C18" s="22" t="n">
        <x:f>IF(LEFT('02_Phased_Rollout'!J7,3)="Yes",1,0)</x:f>
        <x:v>1</x:v>
      </x:c>
      <x:c r="D18" s="22" t="str">
        <x:f>IF(C18=B18,"PASS","CHECK")</x:f>
        <x:v>PASS</x:v>
      </x:c>
      <x:c r="E18" s="22" t="str">
        <x:v>High</x:v>
      </x:c>
      <x:c r="F18" s="22" t="str">
        <x:v>Avoid early chain/custody burden</x:v>
      </x:c>
      <x:c r="G18" s="34" t="str"/>
    </x:row>
    <x:row r="19">
      <x:c r="A19" s="33" t="str">
        <x:v>Compliance matrix has launch blockers</x:v>
      </x:c>
      <x:c r="B19" s="22" t="n">
        <x:v>1</x:v>
      </x:c>
      <x:c r="C19" s="22" t="n">
        <x:f>IF(COUNTIF('11_Compliance_Control_Matrix'!J4:J12,"Yes")&gt;0,1,0)</x:f>
        <x:v>1</x:v>
      </x:c>
      <x:c r="D19" s="22" t="str">
        <x:f>IF(C19=B19,"PASS","CHECK")</x:f>
        <x:v>PASS</x:v>
      </x:c>
      <x:c r="E19" s="22" t="str">
        <x:v>Critical</x:v>
      </x:c>
      <x:c r="F19" s="22" t="str">
        <x:v>Real launch cannot be purely technical</x:v>
      </x:c>
      <x:c r="G19" s="34" t="str"/>
    </x:row>
    <x:row r="20">
      <x:c r="A20" s="33" t="str">
        <x:v>Real provider claim uses KYC/geo gate</x:v>
      </x:c>
      <x:c r="B20" s="22" t="n">
        <x:v>1</x:v>
      </x:c>
      <x:c r="C20" s="22" t="n">
        <x:f>IF(AND('02_Phased_Rollout'!E6&lt;&gt;"No stock KYC",'02_Phased_Rollout'!F6&lt;&gt;""),1,0)</x:f>
        <x:v>1</x:v>
      </x:c>
      <x:c r="D20" s="22" t="str">
        <x:f>IF(C20=B20,"PASS","CHECK")</x:f>
        <x:v>PASS</x:v>
      </x:c>
      <x:c r="E20" s="22" t="str">
        <x:v>Critical</x:v>
      </x:c>
      <x:c r="F20" s="22" t="str">
        <x:v>Eligibility control</x:v>
      </x:c>
      <x:c r="G20" s="34" t="str"/>
    </x:row>
    <x:row r="21">
      <x:c r="A21" s="33" t="str">
        <x:v>No PLOT private keys in preferred real model</x:v>
      </x:c>
      <x:c r="B21" s="22" t="n">
        <x:v>1</x:v>
      </x:c>
      <x:c r="C21" s="22" t="n">
        <x:f>IF('07_Custody_Model'!D5="No",1,0)</x:f>
        <x:v>1</x:v>
      </x:c>
      <x:c r="D21" s="22" t="str">
        <x:f>IF(C21=B21,"PASS","CHECK")</x:f>
        <x:v>PASS</x:v>
      </x:c>
      <x:c r="E21" s="22" t="str">
        <x:v>Critical</x:v>
      </x:c>
      <x:c r="F21" s="22" t="str">
        <x:v>Security/custody boundary</x:v>
      </x:c>
      <x:c r="G21" s="34" t="str"/>
    </x:row>
    <x:row r="22">
      <x:c r="A22" s="33" t="str">
        <x:v>Current regulatory sources included</x:v>
      </x:c>
      <x:c r="B22" s="22" t="n">
        <x:v>4</x:v>
      </x:c>
      <x:c r="C22" s="22" t="n">
        <x:f>COUNTA('25_Regulatory_Sources'!A4:A7)</x:f>
        <x:v>4</x:v>
      </x:c>
      <x:c r="D22" s="22" t="str">
        <x:f>IF(C22&gt;=B22,"PASS","CHECK")</x:f>
        <x:v>PASS</x:v>
      </x:c>
      <x:c r="E22" s="22" t="str">
        <x:v>High</x:v>
      </x:c>
      <x:c r="F22" s="22" t="str">
        <x:v>UAE/Dubai perimeter is explicitly flagged</x:v>
      </x:c>
      <x:c r="G22" s="34" t="str"/>
    </x:row>
    <x:row r="23">
      <x:c r="A23" s="35" t="str">
        <x:v>Source register included</x:v>
      </x:c>
      <x:c r="B23" s="36" t="n">
        <x:v>10</x:v>
      </x:c>
      <x:c r="C23" s="36" t="n">
        <x:f>COUNTA('26_Sources'!A4:A13)</x:f>
        <x:v>10</x:v>
      </x:c>
      <x:c r="D23" s="36" t="str">
        <x:f>IF(C23=B23,"PASS","CHECK")</x:f>
        <x:v>PASS</x:v>
      </x:c>
      <x:c r="E23" s="36" t="str">
        <x:v>Medium</x:v>
      </x:c>
      <x:c r="F23" s="36" t="str">
        <x:v>Research traceability</x:v>
      </x:c>
      <x:c r="G23" s="37" t="str"/>
    </x:row>
  </x:sheetData>
  <x:mergeCells>
    <x:mergeCell ref="A1:G1"/>
  </x:mergeCells>
  <x:conditionalFormatting sqref="D4:D23">
    <x:cfRule type="expression" dxfId="0" priority="1">
      <x:formula>D4="PASS"</x:formula>
    </x:cfRule>
    <x:cfRule type="expression" dxfId="1" priority="2">
      <x:formula>D4="CHECK"</x:formula>
    </x:cfRule>
  </x:conditionalFormatting>
  <x:pageMargins left="0.7" right="0.7" top="0.75" bottom="0.75" header="0.3" footer="0.3"/>
</x:worksheet>
</file>