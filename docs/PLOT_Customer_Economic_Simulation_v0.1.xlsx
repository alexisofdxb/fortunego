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cd3df1c51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e960b9ee3af4fa3"/>
    <x:sheet xmlns:r="http://schemas.openxmlformats.org/officeDocument/2006/relationships" name="Model Assumptions" sheetId="2" r:id="R4a2de06933d546b5"/>
    <x:sheet xmlns:r="http://schemas.openxmlformats.org/officeDocument/2006/relationships" name="Customer Segments" sheetId="3" r:id="R2267080a225d4530"/>
    <x:sheet xmlns:r="http://schemas.openxmlformats.org/officeDocument/2006/relationships" name="Stage Demand" sheetId="4" r:id="R9fa353b75cc6498d"/>
    <x:sheet xmlns:r="http://schemas.openxmlformats.org/officeDocument/2006/relationships" name="Service Affinity" sheetId="5" r:id="Rc6ea650287cd4ce7"/>
    <x:sheet xmlns:r="http://schemas.openxmlformats.org/officeDocument/2006/relationships" name="Building Economics" sheetId="6" r:id="R81c6d0eb2e4a4ad3"/>
    <x:sheet xmlns:r="http://schemas.openxmlformats.org/officeDocument/2006/relationships" name="Acquisition &amp; Retention" sheetId="7" r:id="R6ba5e1e15b344b0e"/>
    <x:sheet xmlns:r="http://schemas.openxmlformats.org/officeDocument/2006/relationships" name="Customer Flow" sheetId="8" r:id="Rb738b4ad8b124d51"/>
    <x:sheet xmlns:r="http://schemas.openxmlformats.org/officeDocument/2006/relationships" name="Events" sheetId="9" r:id="R583af768291a4d3d"/>
    <x:sheet xmlns:r="http://schemas.openxmlformats.org/officeDocument/2006/relationships" name="Stage Scenarios" sheetId="10" r:id="R30bdae139b6c4e31"/>
    <x:sheet xmlns:r="http://schemas.openxmlformats.org/officeDocument/2006/relationships" name="Economy Targets" sheetId="11" r:id="R9d1c43a60a4349df"/>
    <x:sheet xmlns:r="http://schemas.openxmlformats.org/officeDocument/2006/relationships" name="Performance Handoff" sheetId="12" r:id="R3d2b3c872059481a"/>
    <x:sheet xmlns:r="http://schemas.openxmlformats.org/officeDocument/2006/relationships" name="Model Checks" sheetId="13" r:id="R308fbc72e14741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-"/>
    <x:numFmt numFmtId="201" formatCode="0.0"/>
    <x:numFmt numFmtId="202" formatCode="0.0%;[Red](0.0%);-"/>
    <x:numFmt numFmtId="203" formatCode="0.00x;[Red](0.00x);-"/>
    <x:numFmt numFmtId="204" formatCode="0.000"/>
    <x:numFmt numFmtId="205" formatCode="0.00"/>
    <x:numFmt numFmtId="206" formatCode="0"/>
    <x:numFmt numFmtId="207" formatCode="0.0 &quot;days&quot;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BEAFE"/>
      </x:patternFill>
    </x:fill>
    <x:fill>
      <x:patternFill patternType="solid">
        <x:fgColor rgb="FF132A3A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200" fontId="3" fillId="0" borderId="8" xfId="0" applyNumberFormat="1" applyFont="1" applyFill="1" applyBorder="1" applyAlignment="1">
      <x:alignment wrapText="1"/>
    </x:xf>
    <x:xf numFmtId="201" fontId="3" fillId="0" borderId="8" xfId="0" applyNumberFormat="1" applyFont="1" applyFill="1" applyBorder="1" applyAlignment="1">
      <x:alignment wrapText="1"/>
    </x:xf>
    <x:xf numFmtId="202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vertical="center" wrapText="1"/>
    </x:xf>
    <x:xf numFmtId="0" fontId="2" fillId="5" borderId="11" xfId="0" applyNumberFormat="1" applyFont="1" applyFill="1" applyBorder="1" applyAlignment="1">
      <x:alignment vertical="center" wrapText="1"/>
    </x:xf>
    <x:xf numFmtId="0" fontId="2" fillId="5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200" fontId="3" fillId="0" borderId="16" xfId="0" applyNumberFormat="1" applyFont="1" applyFill="1" applyBorder="1" applyAlignment="1">
      <x:alignment wrapText="1"/>
    </x:xf>
    <x:xf numFmtId="201" fontId="3" fillId="0" borderId="16" xfId="0" applyNumberFormat="1" applyFont="1" applyFill="1" applyBorder="1" applyAlignment="1">
      <x:alignment wrapText="1"/>
    </x:xf>
    <x:xf numFmtId="202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200" fontId="3" fillId="0" borderId="8" xfId="0" applyNumberFormat="1" applyFont="1" applyFill="1" applyBorder="1" applyAlignment="1">
      <x:alignment vertical="center" wrapText="1"/>
    </x:xf>
    <x:xf numFmtId="201" fontId="3" fillId="0" borderId="8" xfId="0" applyNumberFormat="1" applyFont="1" applyFill="1" applyBorder="1" applyAlignment="1">
      <x:alignment vertical="center" wrapText="1"/>
    </x:xf>
    <x:xf numFmtId="202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200" fontId="3" fillId="0" borderId="16" xfId="0" applyNumberFormat="1" applyFont="1" applyFill="1" applyBorder="1" applyAlignment="1">
      <x:alignment vertical="center" wrapText="1"/>
    </x:xf>
    <x:xf numFmtId="201" fontId="3" fillId="0" borderId="16" xfId="0" applyNumberFormat="1" applyFont="1" applyFill="1" applyBorder="1" applyAlignment="1">
      <x:alignment vertical="center" wrapText="1"/>
    </x:xf>
    <x:xf numFmtId="202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2" fontId="4" fillId="0" borderId="6" xfId="0" applyNumberFormat="1" applyFont="1" applyFill="1" applyBorder="1"/>
    <x:xf numFmtId="0" fontId="4" fillId="0" borderId="8" xfId="0" applyNumberFormat="1" applyFont="1" applyFill="1" applyBorder="1"/>
    <x:xf numFmtId="202" fontId="4" fillId="0" borderId="8" xfId="0" applyNumberFormat="1" applyFont="1" applyFill="1" applyBorder="1"/>
    <x:xf numFmtId="203" fontId="4" fillId="0" borderId="8" xfId="0" applyNumberFormat="1" applyFont="1" applyFill="1" applyBorder="1"/>
    <x:xf numFmtId="202" fontId="4" fillId="0" borderId="9" xfId="0" applyNumberFormat="1" applyFont="1" applyFill="1" applyBorder="1"/>
    <x:xf numFmtId="202" fontId="4" fillId="0" borderId="14" xfId="0" applyNumberFormat="1" applyFont="1" applyFill="1" applyBorder="1"/>
    <x:xf numFmtId="0" fontId="4" fillId="0" borderId="16" xfId="0" applyNumberFormat="1" applyFont="1" applyFill="1" applyBorder="1"/>
    <x:xf numFmtId="202" fontId="4" fillId="0" borderId="16" xfId="0" applyNumberFormat="1" applyFont="1" applyFill="1" applyBorder="1"/>
    <x:xf numFmtId="203" fontId="4" fillId="0" borderId="16" xfId="0" applyNumberFormat="1" applyFont="1" applyFill="1" applyBorder="1"/>
    <x:xf numFmtId="202" fontId="4" fillId="0" borderId="17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5" fontId="4" fillId="0" borderId="0" xfId="0" applyNumberFormat="1" applyFont="1" applyFill="1" applyBorder="1"/>
    <x:xf numFmtId="205" fontId="4" fillId="0" borderId="1" xfId="0" applyNumberFormat="1" applyFont="1" applyFill="1" applyBorder="1"/>
    <x:xf numFmtId="0" fontId="0" fillId="0" borderId="0" xfId="0" applyNumberFormat="1" applyFont="1" applyFill="1" applyBorder="1"/>
    <x:xf numFmtId="205" fontId="4" fillId="0" borderId="8" xfId="0" applyNumberFormat="1" applyFont="1" applyFill="1" applyBorder="1"/>
    <x:xf numFmtId="0" fontId="0" fillId="0" borderId="8" xfId="0" applyNumberFormat="1" applyFont="1" applyFill="1" applyBorder="1"/>
    <x:xf numFmtId="205" fontId="4" fillId="0" borderId="16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6" xfId="0" applyNumberFormat="1" applyFont="1" applyFill="1" applyBorder="1"/>
    <x:xf numFmtId="200" fontId="4" fillId="0" borderId="8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4" xfId="0" applyNumberFormat="1" applyFont="1" applyFill="1" applyBorder="1"/>
    <x:xf numFmtId="200" fontId="4" fillId="0" borderId="16" xfId="0" applyNumberFormat="1" applyFont="1" applyFill="1" applyBorder="1"/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6" fontId="3" fillId="0" borderId="0" xfId="0" applyNumberFormat="1" applyFont="1" applyFill="1" applyBorder="1"/>
    <x:xf numFmtId="206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2" fontId="0" fillId="0" borderId="8" xfId="0" applyNumberFormat="1" applyFont="1" applyFill="1" applyBorder="1"/>
    <x:xf numFmtId="200" fontId="3" fillId="0" borderId="8" xfId="0" applyNumberFormat="1" applyFont="1" applyFill="1" applyBorder="1"/>
    <x:xf numFmtId="202" fontId="3" fillId="0" borderId="8" xfId="0" applyNumberFormat="1" applyFont="1" applyFill="1" applyBorder="1"/>
    <x:xf numFmtId="206" fontId="3" fillId="0" borderId="8" xfId="0" applyNumberFormat="1" applyFont="1" applyFill="1" applyBorder="1"/>
    <x:xf numFmtId="203" fontId="3" fillId="0" borderId="8" xfId="0" applyNumberFormat="1" applyFont="1" applyFill="1" applyBorder="1"/>
    <x:xf numFmtId="202" fontId="0" fillId="0" borderId="16" xfId="0" applyNumberFormat="1" applyFont="1" applyFill="1" applyBorder="1"/>
    <x:xf numFmtId="200" fontId="3" fillId="0" borderId="16" xfId="0" applyNumberFormat="1" applyFont="1" applyFill="1" applyBorder="1"/>
    <x:xf numFmtId="202" fontId="3" fillId="0" borderId="16" xfId="0" applyNumberFormat="1" applyFont="1" applyFill="1" applyBorder="1"/>
    <x:xf numFmtId="206" fontId="3" fillId="0" borderId="16" xfId="0" applyNumberFormat="1" applyFont="1" applyFill="1" applyBorder="1"/>
    <x:xf numFmtId="203" fontId="3" fillId="0" borderId="16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8" xfId="0" applyNumberFormat="1" applyFont="1" applyFill="1" applyBorder="1"/>
    <x:xf numFmtId="203" fontId="0" fillId="0" borderId="16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6" xfId="0" applyNumberFormat="1" applyFont="1" applyFill="1" applyBorder="1"/>
    <x:xf numFmtId="201" fontId="0" fillId="0" borderId="8" xfId="0" applyNumberFormat="1" applyFont="1" applyFill="1" applyBorder="1"/>
    <x:xf numFmtId="202" fontId="0" fillId="0" borderId="9" xfId="0" applyNumberFormat="1" applyFont="1" applyFill="1" applyBorder="1"/>
    <x:xf numFmtId="202" fontId="0" fillId="0" borderId="14" xfId="0" applyNumberFormat="1" applyFont="1" applyFill="1" applyBorder="1"/>
    <x:xf numFmtId="201" fontId="0" fillId="0" borderId="16" xfId="0" applyNumberFormat="1" applyFont="1" applyFill="1" applyBorder="1"/>
    <x:xf numFmtId="202" fontId="0" fillId="0" borderId="17" xfId="0" applyNumberFormat="1" applyFont="1" applyFill="1" applyBorder="1"/>
    <x:xf numFmtId="0" fontId="3" fillId="0" borderId="8" xfId="0" applyNumberFormat="1" applyFont="1" applyFill="1" applyBorder="1"/>
    <x:xf numFmtId="0" fontId="3" fillId="0" borderId="16" xfId="0" applyNumberFormat="1" applyFont="1" applyFill="1" applyBorder="1"/>
    <x:xf numFmtId="200" fontId="3" fillId="0" borderId="6" xfId="0" applyNumberFormat="1" applyFont="1" applyFill="1" applyBorder="1"/>
    <x:xf numFmtId="200" fontId="3" fillId="0" borderId="9" xfId="0" applyNumberFormat="1" applyFont="1" applyFill="1" applyBorder="1"/>
    <x:xf numFmtId="200" fontId="3" fillId="0" borderId="14" xfId="0" applyNumberFormat="1" applyFont="1" applyFill="1" applyBorder="1"/>
    <x:xf numFmtId="200" fontId="3" fillId="0" borderId="17" xfId="0" applyNumberFormat="1" applyFont="1" applyFill="1" applyBorder="1"/>
    <x:xf numFmtId="207" fontId="4" fillId="0" borderId="0" xfId="0" applyNumberFormat="1" applyFont="1" applyFill="1" applyBorder="1"/>
    <x:xf numFmtId="207" fontId="4" fillId="0" borderId="1" xfId="0" applyNumberFormat="1" applyFont="1" applyFill="1" applyBorder="1"/>
    <x:xf numFmtId="207" fontId="4" fillId="0" borderId="8" xfId="0" applyNumberFormat="1" applyFont="1" applyFill="1" applyBorder="1"/>
    <x:xf numFmtId="207" fontId="4" fillId="0" borderId="16" xfId="0" applyNumberFormat="1" applyFont="1" applyFill="1" applyBorder="1"/>
    <x:xf numFmtId="0" fontId="0" fillId="6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8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2" fontId="4" fillId="0" borderId="14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/>
    </x:xf>
    <x:xf numFmtId="202" fontId="4" fillId="0" borderId="16" xfId="0" applyNumberFormat="1" applyFont="1" applyFill="1" applyBorder="1" applyAlignment="1">
      <x:alignment vertical="center"/>
    </x:xf>
    <x:xf numFmtId="203" fontId="4" fillId="0" borderId="16" xfId="0" applyNumberFormat="1" applyFont="1" applyFill="1" applyBorder="1" applyAlignment="1">
      <x:alignment vertical="center"/>
    </x:xf>
    <x:xf numFmtId="202" fontId="4" fillId="0" borderId="17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  <x:xf numFmtId="205" fontId="4" fillId="0" borderId="16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4" fillId="0" borderId="16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2" fontId="3" fillId="0" borderId="8" xfId="0" applyNumberFormat="1" applyFont="1" applyFill="1" applyBorder="1" applyAlignment="1">
      <x:alignment vertical="center"/>
    </x:xf>
    <x:xf numFmtId="206" fontId="3" fillId="0" borderId="8" xfId="0" applyNumberFormat="1" applyFont="1" applyFill="1" applyBorder="1" applyAlignment="1">
      <x:alignment vertical="center"/>
    </x:xf>
    <x:xf numFmtId="203" fontId="3" fillId="0" borderId="8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6" fontId="3" fillId="0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200" fontId="3" fillId="0" borderId="16" xfId="0" applyNumberFormat="1" applyFont="1" applyFill="1" applyBorder="1" applyAlignment="1">
      <x:alignment vertical="center"/>
    </x:xf>
    <x:xf numFmtId="202" fontId="3" fillId="0" borderId="16" xfId="0" applyNumberFormat="1" applyFont="1" applyFill="1" applyBorder="1" applyAlignment="1">
      <x:alignment vertical="center"/>
    </x:xf>
    <x:xf numFmtId="206" fontId="3" fillId="0" borderId="16" xfId="0" applyNumberFormat="1" applyFont="1" applyFill="1" applyBorder="1" applyAlignment="1">
      <x:alignment vertical="center"/>
    </x:xf>
    <x:xf numFmtId="203" fontId="3" fillId="0" borderId="16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8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3" fontId="0" fillId="0" borderId="16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2" fontId="0" fillId="0" borderId="17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6" xfId="0" applyNumberFormat="1" applyFont="1" applyFill="1" applyBorder="1" applyAlignment="1">
      <x:alignment vertical="center"/>
    </x:xf>
    <x:xf numFmtId="200" fontId="3" fillId="0" borderId="14" xfId="0" applyNumberFormat="1" applyFont="1" applyFill="1" applyBorder="1" applyAlignment="1">
      <x:alignment vertical="center"/>
    </x:xf>
    <x:xf numFmtId="200" fontId="3" fillId="0" borderId="17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  <x:xf numFmtId="207" fontId="4" fillId="0" borderId="8" xfId="0" applyNumberFormat="1" applyFont="1" applyFill="1" applyBorder="1" applyAlignment="1">
      <x:alignment vertical="center"/>
    </x:xf>
    <x:xf numFmtId="207" fontId="4" fillId="0" borderId="1" xfId="0" applyNumberFormat="1" applyFont="1" applyFill="1" applyBorder="1" applyAlignment="1">
      <x:alignment vertical="center"/>
    </x:xf>
    <x:xf numFmtId="207" fontId="4" fillId="0" borderId="16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6254d2eef48ee" /><Relationship Type="http://schemas.openxmlformats.org/officeDocument/2006/relationships/theme" Target="/xl/theme/theme1.xml" Id="Rb7b0f036a1244784" /><Relationship Type="http://schemas.openxmlformats.org/officeDocument/2006/relationships/sharedStrings" Target="/xl/sharedStrings.xml" Id="Re12cdd46927a48d6" /><Relationship Type="http://schemas.openxmlformats.org/officeDocument/2006/relationships/worksheet" Target="/xl/worksheets/sheet1.xml" Id="Rbe960b9ee3af4fa3" /><Relationship Type="http://schemas.openxmlformats.org/officeDocument/2006/relationships/worksheet" Target="/xl/worksheets/sheet2.xml" Id="R4a2de06933d546b5" /><Relationship Type="http://schemas.openxmlformats.org/officeDocument/2006/relationships/worksheet" Target="/xl/worksheets/sheet3.xml" Id="R2267080a225d4530" /><Relationship Type="http://schemas.openxmlformats.org/officeDocument/2006/relationships/worksheet" Target="/xl/worksheets/sheet4.xml" Id="R9fa353b75cc6498d" /><Relationship Type="http://schemas.openxmlformats.org/officeDocument/2006/relationships/worksheet" Target="/xl/worksheets/sheet5.xml" Id="Rc6ea650287cd4ce7" /><Relationship Type="http://schemas.openxmlformats.org/officeDocument/2006/relationships/worksheet" Target="/xl/worksheets/sheet6.xml" Id="R81c6d0eb2e4a4ad3" /><Relationship Type="http://schemas.openxmlformats.org/officeDocument/2006/relationships/worksheet" Target="/xl/worksheets/sheet7.xml" Id="R6ba5e1e15b344b0e" /><Relationship Type="http://schemas.openxmlformats.org/officeDocument/2006/relationships/worksheet" Target="/xl/worksheets/sheet8.xml" Id="Rb738b4ad8b124d51" /><Relationship Type="http://schemas.openxmlformats.org/officeDocument/2006/relationships/worksheet" Target="/xl/worksheets/sheet9.xml" Id="R583af768291a4d3d" /><Relationship Type="http://schemas.openxmlformats.org/officeDocument/2006/relationships/worksheet" Target="/xl/worksheets/sheet10.xml" Id="R30bdae139b6c4e31" /><Relationship Type="http://schemas.openxmlformats.org/officeDocument/2006/relationships/worksheet" Target="/xl/worksheets/sheet11.xml" Id="R9d1c43a60a4349df" /><Relationship Type="http://schemas.openxmlformats.org/officeDocument/2006/relationships/worksheet" Target="/xl/worksheets/sheet12.xml" Id="R3d2b3c872059481a" /><Relationship Type="http://schemas.openxmlformats.org/officeDocument/2006/relationships/worksheet" Target="/xl/worksheets/sheet13.xml" Id="R308fbc72e14741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9435a1f4cc4b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25d8510ff6a4c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New Plot customer ramp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Opening Customers</c:v>
          </c:tx>
          <c:marker>
            <c:symbol val="none"/>
          </c:marker>
          <c:cat>
            <c:strRef>
              <c:f>'Acquisition &amp; Retention'!$F$23:$F$53</c:f>
              <c:strCache>
                <c:ptCount val="0"/>
              </c:strCache>
            </c:strRef>
          </c:cat>
          <c:val>
            <c:numRef>
              <c:f>'Acquisition &amp; Retention'!$G$23:$G$53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Acquisitions</c:v>
          </c:tx>
          <c:marker>
            <c:symbol val="none"/>
          </c:marker>
          <c:cat>
            <c:strRef>
              <c:f>'Acquisition &amp; Retention'!$F$23:$F$53</c:f>
              <c:strCache>
                <c:ptCount val="0"/>
              </c:strCache>
            </c:strRef>
          </c:cat>
          <c:val>
            <c:numRef>
              <c:f>'Acquisition &amp; Retention'!$H$23:$H$53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Churn</c:v>
          </c:tx>
          <c:marker>
            <c:symbol val="none"/>
          </c:marker>
          <c:cat>
            <c:strRef>
              <c:f>'Acquisition &amp; Retention'!$F$23:$F$53</c:f>
              <c:strCache>
                <c:ptCount val="0"/>
              </c:strCache>
            </c:strRef>
          </c:cat>
          <c:val>
            <c:numRef>
              <c:f>'Acquisition &amp; Retention'!$I$23:$I$53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Closing Customers</c:v>
          </c:tx>
          <c:marker>
            <c:symbol val="none"/>
          </c:marker>
          <c:cat>
            <c:strRef>
              <c:f>'Acquisition &amp; Retention'!$F$23:$F$53</c:f>
              <c:strCache>
                <c:ptCount val="0"/>
              </c:strCache>
            </c:strRef>
          </c:cat>
          <c:val>
            <c:numRef>
              <c:f>'Acquisition &amp; Retention'!$J$23:$J$53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Representative net Cash/day by stage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Scenario Customers</c:v>
          </c:tx>
          <c:cat>
            <c:strRef>
              <c:f>'Economy Targets'!$A$4:$A$9</c:f>
              <c:strCache>
                <c:ptCount val="0"/>
              </c:strCache>
            </c:strRef>
          </c:cat>
          <c:val>
            <c:numRef>
              <c:f>'Economy Targets'!$B$4:$B$9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Scenario Util.</c:v>
          </c:tx>
          <c:cat>
            <c:strRef>
              <c:f>'Economy Targets'!$A$4:$A$9</c:f>
              <c:strCache>
                <c:ptCount val="0"/>
              </c:strCache>
            </c:strRef>
          </c:cat>
          <c:val>
            <c:numRef>
              <c:f>'Economy Targets'!$C$4:$C$9</c:f>
              <c:numCache>
                <c:formatCode>0.0%;[Red](0.0%);-</c:formatCode>
                <c:ptCount val="0"/>
              </c:numCache>
            </c:numRef>
          </c:val>
        </c:ser>
        <c:ser>
          <c:idx val="2"/>
          <c:order val="2"/>
          <c:tx>
            <c:v>Scenario Net Cash/Day</c:v>
          </c:tx>
          <c:cat>
            <c:strRef>
              <c:f>'Economy Targets'!$A$4:$A$9</c:f>
              <c:strCache>
                <c:ptCount val="0"/>
              </c:strCache>
            </c:strRef>
          </c:cat>
          <c:val>
            <c:numRef>
              <c:f>'Economy Targets'!$D$4:$D$9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32</xdr:row>
      <xdr:rowOff>0</xdr:rowOff>
    </xdr:from>
    <xdr:to>
      <xdr:col>5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9435a1f4cc4b3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5d8510ff6a4c8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05f843401af4b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89641fed5f6d442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6" t="str">
        <x:v>PLOT — Customer &amp; Economic Simulation Balance v0.1</x:v>
      </x:c>
      <x:c r="B1" s="6"/>
      <x:c r="C1" s="6"/>
      <x:c r="D1" s="6"/>
      <x:c r="E1" s="6"/>
      <x:c r="F1" s="6"/>
      <x:c r="G1" s="6"/>
      <x:c r="H1" s="6"/>
      <x:c r="I1" s="6"/>
      <x:c r="J1" s="6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>
      <x:c r="A3" s="75" t="str">
        <x:v>Purpose: define how NPC customers, demand, capacity, reputation, activity and business economics interact. This calibrated v0.1 model supplies the activity/revenue outputs that the later Performance Score and weekly $PLOT payout model will consume.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</x:row>
    <x:row r="6" ht="22" customHeight="1">
      <x:c r="A6" s="76" t="str">
        <x:v>Economic Loop</x:v>
      </x:c>
      <x:c r="B6" s="76"/>
      <x:c r="C6" s="76"/>
      <x:c r="D6" s="76"/>
      <x:c r="E6" s="76"/>
      <x:c r="F6" s="76"/>
      <x:c r="G6" s="76"/>
      <x:c r="H6" s="76"/>
      <x:c r="I6" s="76"/>
      <x:c r="J6" s="76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</x:row>
    <x:row r="7">
      <x:c r="A7" s="77" t="str">
        <x:v>Addressable demand → building attraction → active customers → utilization → transactions/activity → Cash generation → reinvestment/capacity → reputation &amp; customer growth → Performance Score inputs.</x:v>
      </x:c>
      <x:c r="B7" s="77"/>
      <x:c r="C7" s="77"/>
      <x:c r="D7" s="77"/>
      <x:c r="E7" s="77"/>
      <x:c r="F7" s="77"/>
      <x:c r="G7" s="77"/>
      <x:c r="H7" s="77"/>
      <x:c r="I7" s="77"/>
      <x:c r="J7" s="77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</x:row>
    <x:row r="8">
      <x:c r="A8" s="77"/>
      <x:c r="B8" s="77"/>
      <x:c r="C8" s="77"/>
      <x:c r="D8" s="77"/>
      <x:c r="E8" s="77"/>
      <x:c r="F8" s="77"/>
      <x:c r="G8" s="77"/>
      <x:c r="H8" s="77"/>
      <x:c r="I8" s="77"/>
      <x:c r="J8" s="77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</x:row>
    <x:row r="9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</x:row>
    <x:row r="10" ht="22" customHeight="1">
      <x:c r="A10" s="76" t="str">
        <x:v>Stage Calibration Snapshot</x:v>
      </x:c>
      <x:c r="B10" s="76"/>
      <x:c r="C10" s="76"/>
      <x:c r="D10" s="76"/>
      <x:c r="E10" s="76"/>
      <x:c r="F10" s="76"/>
      <x:c r="G10" s="76"/>
      <x:c r="H10" s="76"/>
      <x:c r="I10" s="76"/>
      <x:c r="J10" s="76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</x:row>
    <x:row r="11" ht="30" customHeight="1">
      <x:c r="A11" s="40" t="str">
        <x:v>Stage</x:v>
      </x:c>
      <x:c r="B11" s="41" t="str">
        <x:v>Empire Levels</x:v>
      </x:c>
      <x:c r="C11" s="41" t="str">
        <x:v>Base Demand</x:v>
      </x:c>
      <x:c r="D11" s="41" t="str">
        <x:v>Baseline Rep</x:v>
      </x:c>
      <x:c r="E11" s="41" t="str">
        <x:v>Service Quality</x:v>
      </x:c>
      <x:c r="F11" s="41" t="str">
        <x:v>Capture Coeff.</x:v>
      </x:c>
      <x:c r="G11" s="41" t="str">
        <x:v>Scenario Util.</x:v>
      </x:c>
      <x:c r="H11" s="41" t="str">
        <x:v>Net Cash / Day</x:v>
      </x:c>
      <x:c r="I11" s="41" t="str">
        <x:v>Activity Pts / Day</x:v>
      </x:c>
      <x:c r="J11" s="42" t="str">
        <x:v>Recommended Days</x:v>
      </x:c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</x:row>
    <x:row r="12">
      <x:c r="A12" s="78" t="str">
        <x:f>'Model Assumptions'!A4</x:f>
        <x:v>Humble</x:v>
      </x:c>
      <x:c r="B12" s="79" t="str">
        <x:f>'Model Assumptions'!B4&amp;"–"&amp;'Model Assumptions'!C4</x:f>
        <x:v>1–10</x:v>
      </x:c>
      <x:c r="C12" s="80" t="n">
        <x:f>'Stage Demand'!K4</x:f>
        <x:v>0.06</x:v>
      </x:c>
      <x:c r="D12" s="81" t="n">
        <x:f>'Model Assumptions'!E4</x:f>
        <x:v>55</x:v>
      </x:c>
      <x:c r="E12" s="81" t="n">
        <x:f>'Model Assumptions'!F4</x:f>
        <x:v>58</x:v>
      </x:c>
      <x:c r="F12" s="81" t="n">
        <x:f>'Model Assumptions'!D4</x:f>
        <x:v>0.04</x:v>
      </x:c>
      <x:c r="G12" s="82" t="n">
        <x:f>'Stage Scenarios'!F4</x:f>
        <x:v>0.550118917894737</x:v>
      </x:c>
      <x:c r="H12" s="80" t="n">
        <x:f>'Stage Scenarios'!H4</x:f>
        <x:v>2990.504156290939</x:v>
      </x:c>
      <x:c r="I12" s="80" t="n">
        <x:f>'Stage Scenarios'!I4</x:f>
        <x:v>701.2291848309801</x:v>
      </x:c>
      <x:c r="J12" s="83" t="n">
        <x:f>'Economy Targets'!M4</x:f>
        <x:v>3</x:v>
      </x:c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</x:row>
    <x:row r="13">
      <x:c r="A13" s="78" t="str">
        <x:f>'Model Assumptions'!A5</x:f>
        <x:v>Starter</x:v>
      </x:c>
      <x:c r="B13" s="79" t="str">
        <x:f>'Model Assumptions'!B5&amp;"–"&amp;'Model Assumptions'!C5</x:f>
        <x:v>11–20</x:v>
      </x:c>
      <x:c r="C13" s="80" t="n">
        <x:f>'Stage Demand'!K5</x:f>
        <x:v>0.07</x:v>
      </x:c>
      <x:c r="D13" s="81" t="n">
        <x:f>'Model Assumptions'!E5</x:f>
        <x:v>62</x:v>
      </x:c>
      <x:c r="E13" s="81" t="n">
        <x:f>'Model Assumptions'!F5</x:f>
        <x:v>64</x:v>
      </x:c>
      <x:c r="F13" s="81" t="n">
        <x:f>'Model Assumptions'!D5</x:f>
        <x:v>0.06</x:v>
      </x:c>
      <x:c r="G13" s="82" t="n">
        <x:f>'Stage Scenarios'!F5</x:f>
        <x:v>0.4910873362731194</x:v>
      </x:c>
      <x:c r="H13" s="80" t="n">
        <x:f>'Stage Scenarios'!H5</x:f>
        <x:v>50100.38768737657</x:v>
      </x:c>
      <x:c r="I13" s="80" t="n">
        <x:f>'Stage Scenarios'!I5</x:f>
        <x:v>9623.137817112614</x:v>
      </x:c>
      <x:c r="J13" s="83" t="n">
        <x:f>'Economy Targets'!M5</x:f>
        <x:v>5</x:v>
      </x:c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</x:row>
    <x:row r="14">
      <x:c r="A14" s="78" t="str">
        <x:f>'Model Assumptions'!A6</x:f>
        <x:v>Growing</x:v>
      </x:c>
      <x:c r="B14" s="79" t="str">
        <x:f>'Model Assumptions'!B6&amp;"–"&amp;'Model Assumptions'!C6</x:f>
        <x:v>21–30</x:v>
      </x:c>
      <x:c r="C14" s="80" t="n">
        <x:f>'Stage Demand'!K6</x:f>
        <x:v>0.08</x:v>
      </x:c>
      <x:c r="D14" s="81" t="n">
        <x:f>'Model Assumptions'!E6</x:f>
        <x:v>70</x:v>
      </x:c>
      <x:c r="E14" s="81" t="n">
        <x:f>'Model Assumptions'!F6</x:f>
        <x:v>71</x:v>
      </x:c>
      <x:c r="F14" s="81" t="n">
        <x:f>'Model Assumptions'!D6</x:f>
        <x:v>0.08</x:v>
      </x:c>
      <x:c r="G14" s="82" t="n">
        <x:f>'Stage Scenarios'!F6</x:f>
        <x:v>0.5574877262731835</x:v>
      </x:c>
      <x:c r="H14" s="80" t="n">
        <x:f>'Stage Scenarios'!H6</x:f>
        <x:v>487748.1164045315</x:v>
      </x:c>
      <x:c r="I14" s="80" t="n">
        <x:f>'Stage Scenarios'!I6</x:f>
        <x:v>81245.79167082868</x:v>
      </x:c>
      <x:c r="J14" s="83" t="n">
        <x:f>'Economy Targets'!M6</x:f>
        <x:v>8</x:v>
      </x:c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</x:row>
    <x:row r="15">
      <x:c r="A15" s="78" t="str">
        <x:f>'Model Assumptions'!A7</x:f>
        <x:v>Established</x:v>
      </x:c>
      <x:c r="B15" s="79" t="str">
        <x:f>'Model Assumptions'!B7&amp;"–"&amp;'Model Assumptions'!C7</x:f>
        <x:v>31–40</x:v>
      </x:c>
      <x:c r="C15" s="80" t="n">
        <x:f>'Stage Demand'!K7</x:f>
        <x:v>0.09</x:v>
      </x:c>
      <x:c r="D15" s="81" t="n">
        <x:f>'Model Assumptions'!E7</x:f>
        <x:v>78</x:v>
      </x:c>
      <x:c r="E15" s="81" t="n">
        <x:f>'Model Assumptions'!F7</x:f>
        <x:v>78</x:v>
      </x:c>
      <x:c r="F15" s="81" t="n">
        <x:f>'Model Assumptions'!D7</x:f>
        <x:v>0.13</x:v>
      </x:c>
      <x:c r="G15" s="82" t="n">
        <x:f>'Stage Scenarios'!F7</x:f>
        <x:v>0.5804043286614673</x:v>
      </x:c>
      <x:c r="H15" s="80" t="n">
        <x:f>'Stage Scenarios'!H7</x:f>
        <x:v>4071247.5767981904</x:v>
      </x:c>
      <x:c r="I15" s="80" t="n">
        <x:f>'Stage Scenarios'!I7</x:f>
        <x:v>548163.9945787726</x:v>
      </x:c>
      <x:c r="J15" s="83" t="n">
        <x:f>'Economy Targets'!M7</x:f>
        <x:v>12</x:v>
      </x:c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</x:row>
    <x:row r="16">
      <x:c r="A16" s="78" t="str">
        <x:f>'Model Assumptions'!A8</x:f>
        <x:v>Elite</x:v>
      </x:c>
      <x:c r="B16" s="79" t="str">
        <x:f>'Model Assumptions'!B8&amp;"–"&amp;'Model Assumptions'!C8</x:f>
        <x:v>41–45</x:v>
      </x:c>
      <x:c r="C16" s="80" t="n">
        <x:f>'Stage Demand'!K8</x:f>
        <x:v>0.1</x:v>
      </x:c>
      <x:c r="D16" s="81" t="n">
        <x:f>'Model Assumptions'!E8</x:f>
        <x:v>86</x:v>
      </x:c>
      <x:c r="E16" s="81" t="n">
        <x:f>'Model Assumptions'!F8</x:f>
        <x:v>85</x:v>
      </x:c>
      <x:c r="F16" s="81" t="n">
        <x:f>'Model Assumptions'!D8</x:f>
        <x:v>0.08</x:v>
      </x:c>
      <x:c r="G16" s="82" t="n">
        <x:f>'Stage Scenarios'!F8</x:f>
        <x:v>0.8436171526728589</x:v>
      </x:c>
      <x:c r="H16" s="80" t="n">
        <x:f>'Stage Scenarios'!H8</x:f>
        <x:v>14792354.614305926</x:v>
      </x:c>
      <x:c r="I16" s="80" t="n">
        <x:f>'Stage Scenarios'!I8</x:f>
        <x:v>1806094.0188155868</x:v>
      </x:c>
      <x:c r="J16" s="83" t="n">
        <x:f>'Economy Targets'!M8</x:f>
        <x:v>18</x:v>
      </x:c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</x:row>
    <x:row r="17">
      <x:c r="A17" s="84" t="str">
        <x:f>'Model Assumptions'!A9</x:f>
        <x:v>Tycoon</x:v>
      </x:c>
      <x:c r="B17" s="85" t="str">
        <x:f>'Model Assumptions'!B9&amp;"–"&amp;'Model Assumptions'!C9</x:f>
        <x:v>46–50</x:v>
      </x:c>
      <x:c r="C17" s="86" t="n">
        <x:f>'Stage Demand'!K9</x:f>
        <x:v>0.12</x:v>
      </x:c>
      <x:c r="D17" s="87" t="n">
        <x:f>'Model Assumptions'!E9</x:f>
        <x:v>92</x:v>
      </x:c>
      <x:c r="E17" s="87" t="n">
        <x:f>'Model Assumptions'!F9</x:f>
        <x:v>92</x:v>
      </x:c>
      <x:c r="F17" s="87" t="n">
        <x:f>'Model Assumptions'!D9</x:f>
        <x:v>0.04</x:v>
      </x:c>
      <x:c r="G17" s="88" t="n">
        <x:f>'Stage Scenarios'!F9</x:f>
        <x:v>0.9441570366408002</x:v>
      </x:c>
      <x:c r="H17" s="86" t="n">
        <x:f>'Stage Scenarios'!H9</x:f>
        <x:v>45738213.45026932</x:v>
      </x:c>
      <x:c r="I17" s="86" t="n">
        <x:f>'Stage Scenarios'!I9</x:f>
        <x:v>4341887.632320605</x:v>
      </x:c>
      <x:c r="J17" s="89" t="str">
        <x:f>'Economy Targets'!M9</x:f>
        <x:v>Ongoing</x:v>
      </x:c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</x:row>
    <x:row r="20" ht="22" customHeight="1">
      <x:c r="A20" s="76" t="str">
        <x:v>Model Outputs Used by Future Performance Score</x:v>
      </x:c>
      <x:c r="B20" s="76"/>
      <x:c r="C20" s="76"/>
      <x:c r="D20" s="76"/>
      <x:c r="E20" s="76"/>
      <x:c r="F20" s="76"/>
      <x:c r="G20" s="76"/>
      <x:c r="H20" s="76"/>
      <x:c r="I20" s="76"/>
      <x:c r="J20" s="76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</x:row>
    <x:row r="21" ht="30" customHeight="1">
      <x:c r="A21" s="40" t="str">
        <x:v>Output</x:v>
      </x:c>
      <x:c r="B21" s="42" t="str">
        <x:v>Meaning</x:v>
      </x:c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</x:row>
    <x:row r="22">
      <x:c r="A22" s="90" t="str">
        <x:v>Active customers</x:v>
      </x:c>
      <x:c r="B22" s="91" t="str">
        <x:v>How many customers are actually served.</x:v>
      </x:c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</x:row>
    <x:row r="23">
      <x:c r="A23" s="90" t="str">
        <x:v>New customers</x:v>
      </x:c>
      <x:c r="B23" s="91" t="str">
        <x:v>Growth contribution; does not disappear when Cash is spent.</x:v>
      </x:c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</x:row>
    <x:row r="24">
      <x:c r="A24" s="90" t="str">
        <x:v>Economic activity points</x:v>
      </x:c>
      <x:c r="B24" s="91" t="str">
        <x:v>Transactions, volume and service activity generated.</x:v>
      </x:c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</x:row>
    <x:row r="25">
      <x:c r="A25" s="90" t="str">
        <x:v>Gross / net Cash</x:v>
      </x:c>
      <x:c r="B25" s="91" t="str">
        <x:v>Economic productivity, not direct $PLOT conversion.</x:v>
      </x:c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</x:row>
    <x:row r="26">
      <x:c r="A26" s="90" t="str">
        <x:v>Utilization</x:v>
      </x:c>
      <x:c r="B26" s="91" t="str">
        <x:v>Whether businesses are actually being used.</x:v>
      </x:c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</x:row>
    <x:row r="27">
      <x:c r="A27" s="92" t="str">
        <x:v>Reputation / satisfaction</x:v>
      </x:c>
      <x:c r="B27" s="93" t="str">
        <x:v>Quality and sustainability of the empire.</x:v>
      </x:c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</x:row>
    <x:row r="28">
      <x:c r="A28" s="74" t="str">
        <x:v>Risk / congestion signals</x:v>
      </x:c>
      <x:c r="B28" s="74" t="str">
        <x:v>Penalties and quality controls for unhealthy growth.</x:v>
      </x:c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J1"/>
    <x:mergeCell ref="A3:J4"/>
    <x:mergeCell ref="A6:J6"/>
    <x:mergeCell ref="A7:J8"/>
    <x:mergeCell ref="A10:J10"/>
    <x:mergeCell ref="A20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6" t="str">
        <x:v>Model Assumptions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>
      <x:c r="A2" s="197" t="str">
        <x:v>Blue numbers are editable balance inputs. v0.1 values are design assumptions for playtesting, not observed live-game data.</x:v>
      </x:c>
      <x:c r="B2" s="197"/>
      <x:c r="C2" s="197"/>
      <x:c r="D2" s="197"/>
      <x:c r="E2" s="197"/>
      <x:c r="F2" s="197"/>
      <x:c r="G2" s="197"/>
      <x:c r="H2" s="197"/>
      <x:c r="I2" s="197"/>
      <x:c r="J2" s="197"/>
      <x:c r="K2" s="197"/>
      <x:c r="L2" s="197"/>
      <x:c r="M2" s="197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 ht="30" customHeight="1">
      <x:c r="A3" s="40" t="str">
        <x:v>Stage</x:v>
      </x:c>
      <x:c r="B3" s="41" t="str">
        <x:v>Start Lv</x:v>
      </x:c>
      <x:c r="C3" s="41" t="str">
        <x:v>End Lv</x:v>
      </x:c>
      <x:c r="D3" s="41" t="str">
        <x:v>Capture Coeff.</x:v>
      </x:c>
      <x:c r="E3" s="41" t="str">
        <x:v>Baseline Reputation</x:v>
      </x:c>
      <x:c r="F3" s="41" t="str">
        <x:v>Service Quality</x:v>
      </x:c>
      <x:c r="G3" s="41" t="str">
        <x:v>Synergy Mod.</x:v>
      </x:c>
      <x:c r="H3" s="41" t="str">
        <x:v>Marketing Mod.</x:v>
      </x:c>
      <x:c r="I3" s="41" t="str">
        <x:v>Operational Efficiency</x:v>
      </x:c>
      <x:c r="J3" s="41" t="str">
        <x:v>Event Demand</x:v>
      </x:c>
      <x:c r="K3" s="41" t="str">
        <x:v>Event Revenue</x:v>
      </x:c>
      <x:c r="L3" s="41" t="str">
        <x:v>Event Activity</x:v>
      </x:c>
      <x:c r="M3" s="42" t="str">
        <x:v>Cash Sink Target</x:v>
      </x:c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</x:row>
    <x:row r="4">
      <x:c r="A4" s="90" t="str">
        <x:v>Humble</x:v>
      </x:c>
      <x:c r="B4" s="198" t="n">
        <x:v>1</x:v>
      </x:c>
      <x:c r="C4" s="198" t="n">
        <x:v>10</x:v>
      </x:c>
      <x:c r="D4" s="199" t="n">
        <x:v>0.04</x:v>
      </x:c>
      <x:c r="E4" s="198" t="n">
        <x:v>55</x:v>
      </x:c>
      <x:c r="F4" s="198" t="n">
        <x:v>58</x:v>
      </x:c>
      <x:c r="G4" s="200" t="n">
        <x:v>1</x:v>
      </x:c>
      <x:c r="H4" s="200" t="n">
        <x:v>1</x:v>
      </x:c>
      <x:c r="I4" s="200" t="n">
        <x:v>0.96</x:v>
      </x:c>
      <x:c r="J4" s="200" t="n">
        <x:v>1</x:v>
      </x:c>
      <x:c r="K4" s="200" t="n">
        <x:v>1</x:v>
      </x:c>
      <x:c r="L4" s="200" t="n">
        <x:v>1</x:v>
      </x:c>
      <x:c r="M4" s="201" t="n">
        <x:v>0.65</x:v>
      </x:c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</x:row>
    <x:row r="5">
      <x:c r="A5" s="90" t="str">
        <x:v>Starter</x:v>
      </x:c>
      <x:c r="B5" s="198" t="n">
        <x:v>11</x:v>
      </x:c>
      <x:c r="C5" s="198" t="n">
        <x:v>20</x:v>
      </x:c>
      <x:c r="D5" s="199" t="n">
        <x:v>0.06</x:v>
      </x:c>
      <x:c r="E5" s="198" t="n">
        <x:v>62</x:v>
      </x:c>
      <x:c r="F5" s="198" t="n">
        <x:v>64</x:v>
      </x:c>
      <x:c r="G5" s="200" t="n">
        <x:v>1.02</x:v>
      </x:c>
      <x:c r="H5" s="200" t="n">
        <x:v>1</x:v>
      </x:c>
      <x:c r="I5" s="200" t="n">
        <x:v>1</x:v>
      </x:c>
      <x:c r="J5" s="200" t="n">
        <x:v>1</x:v>
      </x:c>
      <x:c r="K5" s="200" t="n">
        <x:v>1</x:v>
      </x:c>
      <x:c r="L5" s="200" t="n">
        <x:v>1</x:v>
      </x:c>
      <x:c r="M5" s="201" t="n">
        <x:v>0.68</x:v>
      </x:c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</x:row>
    <x:row r="6">
      <x:c r="A6" s="90" t="str">
        <x:v>Growing</x:v>
      </x:c>
      <x:c r="B6" s="198" t="n">
        <x:v>21</x:v>
      </x:c>
      <x:c r="C6" s="198" t="n">
        <x:v>30</x:v>
      </x:c>
      <x:c r="D6" s="199" t="n">
        <x:v>0.08</x:v>
      </x:c>
      <x:c r="E6" s="198" t="n">
        <x:v>70</x:v>
      </x:c>
      <x:c r="F6" s="198" t="n">
        <x:v>71</x:v>
      </x:c>
      <x:c r="G6" s="200" t="n">
        <x:v>1.04</x:v>
      </x:c>
      <x:c r="H6" s="200" t="n">
        <x:v>1.01</x:v>
      </x:c>
      <x:c r="I6" s="200" t="n">
        <x:v>1.03</x:v>
      </x:c>
      <x:c r="J6" s="200" t="n">
        <x:v>1</x:v>
      </x:c>
      <x:c r="K6" s="200" t="n">
        <x:v>1</x:v>
      </x:c>
      <x:c r="L6" s="200" t="n">
        <x:v>1</x:v>
      </x:c>
      <x:c r="M6" s="201" t="n">
        <x:v>0.72</x:v>
      </x:c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</x:row>
    <x:row r="7">
      <x:c r="A7" s="90" t="str">
        <x:v>Established</x:v>
      </x:c>
      <x:c r="B7" s="198" t="n">
        <x:v>31</x:v>
      </x:c>
      <x:c r="C7" s="198" t="n">
        <x:v>40</x:v>
      </x:c>
      <x:c r="D7" s="199" t="n">
        <x:v>0.13</x:v>
      </x:c>
      <x:c r="E7" s="198" t="n">
        <x:v>78</x:v>
      </x:c>
      <x:c r="F7" s="198" t="n">
        <x:v>78</x:v>
      </x:c>
      <x:c r="G7" s="200" t="n">
        <x:v>1.06</x:v>
      </x:c>
      <x:c r="H7" s="200" t="n">
        <x:v>1.02</x:v>
      </x:c>
      <x:c r="I7" s="200" t="n">
        <x:v>1.06</x:v>
      </x:c>
      <x:c r="J7" s="200" t="n">
        <x:v>1</x:v>
      </x:c>
      <x:c r="K7" s="200" t="n">
        <x:v>1</x:v>
      </x:c>
      <x:c r="L7" s="200" t="n">
        <x:v>1</x:v>
      </x:c>
      <x:c r="M7" s="201" t="n">
        <x:v>0.75</x:v>
      </x:c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</x:row>
    <x:row r="8">
      <x:c r="A8" s="90" t="str">
        <x:v>Elite</x:v>
      </x:c>
      <x:c r="B8" s="198" t="n">
        <x:v>41</x:v>
      </x:c>
      <x:c r="C8" s="198" t="n">
        <x:v>45</x:v>
      </x:c>
      <x:c r="D8" s="199" t="n">
        <x:v>0.08</x:v>
      </x:c>
      <x:c r="E8" s="198" t="n">
        <x:v>86</x:v>
      </x:c>
      <x:c r="F8" s="198" t="n">
        <x:v>85</x:v>
      </x:c>
      <x:c r="G8" s="200" t="n">
        <x:v>1.08</x:v>
      </x:c>
      <x:c r="H8" s="200" t="n">
        <x:v>1.03</x:v>
      </x:c>
      <x:c r="I8" s="200" t="n">
        <x:v>1.1</x:v>
      </x:c>
      <x:c r="J8" s="200" t="n">
        <x:v>1</x:v>
      </x:c>
      <x:c r="K8" s="200" t="n">
        <x:v>1</x:v>
      </x:c>
      <x:c r="L8" s="200" t="n">
        <x:v>1</x:v>
      </x:c>
      <x:c r="M8" s="201" t="n">
        <x:v>0.78</x:v>
      </x:c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</x:row>
    <x:row r="9">
      <x:c r="A9" s="92" t="str">
        <x:v>Tycoon</x:v>
      </x:c>
      <x:c r="B9" s="202" t="n">
        <x:v>46</x:v>
      </x:c>
      <x:c r="C9" s="202" t="n">
        <x:v>50</x:v>
      </x:c>
      <x:c r="D9" s="203" t="n">
        <x:v>0.04</x:v>
      </x:c>
      <x:c r="E9" s="202" t="n">
        <x:v>92</x:v>
      </x:c>
      <x:c r="F9" s="202" t="n">
        <x:v>92</x:v>
      </x:c>
      <x:c r="G9" s="204" t="n">
        <x:v>1.1</x:v>
      </x:c>
      <x:c r="H9" s="204" t="n">
        <x:v>1.04</x:v>
      </x:c>
      <x:c r="I9" s="204" t="n">
        <x:v>1.14</x:v>
      </x:c>
      <x:c r="J9" s="204" t="n">
        <x:v>1</x:v>
      </x:c>
      <x:c r="K9" s="204" t="n">
        <x:v>1</x:v>
      </x:c>
      <x:c r="L9" s="204" t="n">
        <x:v>1</x:v>
      </x:c>
      <x:c r="M9" s="205" t="n">
        <x:v>0.8</x:v>
      </x:c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</x:row>
    <x:row r="12" ht="22" customHeight="1">
      <x:c r="A12" s="76" t="str">
        <x:v>Global Simulation Parameters</x:v>
      </x:c>
      <x:c r="B12" s="76"/>
      <x:c r="C12" s="76"/>
      <x:c r="D12" s="76"/>
      <x:c r="E12" s="76"/>
      <x:c r="F12" s="76" t="str">
        <x:v>Server / Time Assumptions</x:v>
      </x:c>
      <x:c r="G12" s="76"/>
      <x:c r="H12" s="76"/>
      <x:c r="I12" s="76"/>
      <x:c r="J12" s="76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</x:row>
    <x:row r="13" ht="30" customHeight="1">
      <x:c r="A13" s="40" t="str">
        <x:v>Parameter</x:v>
      </x:c>
      <x:c r="B13" s="41" t="str">
        <x:v>Value</x:v>
      </x:c>
      <x:c r="C13" s="41" t="str">
        <x:v>Unit</x:v>
      </x:c>
      <x:c r="D13" s="42" t="str">
        <x:v>Design Intent</x:v>
      </x:c>
      <x:c r="E13" s="74"/>
      <x:c r="F13" s="40" t="str">
        <x:v>Parameter</x:v>
      </x:c>
      <x:c r="G13" s="41" t="str">
        <x:v>Value</x:v>
      </x:c>
      <x:c r="H13" s="41" t="str">
        <x:v>Unit</x:v>
      </x:c>
      <x:c r="I13" s="42" t="str">
        <x:v>Notes</x:v>
      </x:c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</x:row>
    <x:row r="14">
      <x:c r="A14" s="90" t="str">
        <x:v>Starting Cash</x:v>
      </x:c>
      <x:c r="B14" s="198" t="n">
        <x:v>2500</x:v>
      </x:c>
      <x:c r="C14" s="74" t="str">
        <x:v>Cash</x:v>
      </x:c>
      <x:c r="D14" s="91" t="str">
        <x:v>Enough to place several humble assets without removing early scarcity.</x:v>
      </x:c>
      <x:c r="E14" s="74"/>
      <x:c r="F14" s="90" t="str">
        <x:v>Economic Tick</x:v>
      </x:c>
      <x:c r="G14" s="198" t="n">
        <x:v>5</x:v>
      </x:c>
      <x:c r="H14" s="74" t="str">
        <x:v>minutes</x:v>
      </x:c>
      <x:c r="I14" s="91" t="str">
        <x:v>Revenue/activity accrues server-side.</x:v>
      </x:c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</x:row>
    <x:row r="15">
      <x:c r="A15" s="90" t="str">
        <x:v>Starting Reputation</x:v>
      </x:c>
      <x:c r="B15" s="198" t="n">
        <x:v>50</x:v>
      </x:c>
      <x:c r="C15" s="74" t="str">
        <x:v>0–100</x:v>
      </x:c>
      <x:c r="D15" s="91" t="str">
        <x:v>Neutral baseline.</x:v>
      </x:c>
      <x:c r="E15" s="74"/>
      <x:c r="F15" s="90" t="str">
        <x:v>Customer Refresh</x:v>
      </x:c>
      <x:c r="G15" s="198" t="n">
        <x:v>15</x:v>
      </x:c>
      <x:c r="H15" s="74" t="str">
        <x:v>minutes</x:v>
      </x:c>
      <x:c r="I15" s="91" t="str">
        <x:v>Demand, churn and acquisition refresh.</x:v>
      </x:c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</x:row>
    <x:row r="16">
      <x:c r="A16" s="90" t="str">
        <x:v>Starting Service Quality</x:v>
      </x:c>
      <x:c r="B16" s="198" t="n">
        <x:v>55</x:v>
      </x:c>
      <x:c r="C16" s="74" t="str">
        <x:v>0–100</x:v>
      </x:c>
      <x:c r="D16" s="91" t="str">
        <x:v>Slightly above minimum viable service.</x:v>
      </x:c>
      <x:c r="E16" s="74"/>
      <x:c r="F16" s="90" t="str">
        <x:v>Event Refresh</x:v>
      </x:c>
      <x:c r="G16" s="198" t="n">
        <x:v>60</x:v>
      </x:c>
      <x:c r="H16" s="74" t="str">
        <x:v>minutes</x:v>
      </x:c>
      <x:c r="I16" s="91" t="str">
        <x:v>Event modifiers may update hourly.</x:v>
      </x:c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</x:row>
    <x:row r="17">
      <x:c r="A17" s="90" t="str">
        <x:v>Reputation Modifier Formula Base</x:v>
      </x:c>
      <x:c r="B17" s="198" t="n">
        <x:v>0.65</x:v>
      </x:c>
      <x:c r="C17" s="74" t="str">
        <x:v>multiplier</x:v>
      </x:c>
      <x:c r="D17" s="91" t="str">
        <x:v>Modifier = base + reputation × slope.</x:v>
      </x:c>
      <x:c r="E17" s="74"/>
      <x:c r="F17" s="90" t="str">
        <x:v>Max Offline Accrual</x:v>
      </x:c>
      <x:c r="G17" s="198" t="n">
        <x:v>8</x:v>
      </x:c>
      <x:c r="H17" s="74" t="str">
        <x:v>hours</x:v>
      </x:c>
      <x:c r="I17" s="91" t="str">
        <x:v>Limits passive farming.</x:v>
      </x:c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</x:row>
    <x:row r="18">
      <x:c r="A18" s="90" t="str">
        <x:v>Reputation Modifier Slope</x:v>
      </x:c>
      <x:c r="B18" s="206" t="n">
        <x:v>0.007</x:v>
      </x:c>
      <x:c r="C18" s="74" t="str">
        <x:v>per point</x:v>
      </x:c>
      <x:c r="D18" s="91" t="str">
        <x:v>Rep 50 ≈ 1.00x; Rep 100 ≈ 1.35x.</x:v>
      </x:c>
      <x:c r="E18" s="74"/>
      <x:c r="F18" s="90" t="str">
        <x:v>New Player Acquisition Boost</x:v>
      </x:c>
      <x:c r="G18" s="198" t="n">
        <x:v>3</x:v>
      </x:c>
      <x:c r="H18" s="74" t="str">
        <x:v>x</x:v>
      </x:c>
      <x:c r="I18" s="91" t="str">
        <x:v>Applied during onboarding window.</x:v>
      </x:c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</x:row>
    <x:row r="19">
      <x:c r="A19" s="90" t="str">
        <x:v>Service Modifier Formula Base</x:v>
      </x:c>
      <x:c r="B19" s="206" t="n">
        <x:v>0.7</x:v>
      </x:c>
      <x:c r="C19" s="74" t="str">
        <x:v>multiplier</x:v>
      </x:c>
      <x:c r="D19" s="91" t="str">
        <x:v>Modifier = base + service quality × slope.</x:v>
      </x:c>
      <x:c r="E19" s="74"/>
      <x:c r="F19" s="90" t="str">
        <x:v>Boost Duration</x:v>
      </x:c>
      <x:c r="G19" s="198" t="n">
        <x:v>24</x:v>
      </x:c>
      <x:c r="H19" s="74" t="str">
        <x:v>hours</x:v>
      </x:c>
      <x:c r="I19" s="91" t="str">
        <x:v>Accelerates first customers.</x:v>
      </x:c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</x:row>
    <x:row r="20">
      <x:c r="A20" s="90" t="str">
        <x:v>Service Modifier Slope</x:v>
      </x:c>
      <x:c r="B20" s="206" t="n">
        <x:v>0.006</x:v>
      </x:c>
      <x:c r="C20" s="74" t="str">
        <x:v>per point</x:v>
      </x:c>
      <x:c r="D20" s="91" t="str">
        <x:v>Quality 50 ≈ 1.00x; Quality 100 ≈ 1.30x.</x:v>
      </x:c>
      <x:c r="E20" s="74"/>
      <x:c r="F20" s="90" t="str">
        <x:v>Default Event Modifier</x:v>
      </x:c>
      <x:c r="G20" s="198" t="n">
        <x:v>1</x:v>
      </x:c>
      <x:c r="H20" s="74" t="str">
        <x:v>x</x:v>
      </x:c>
      <x:c r="I20" s="91" t="str">
        <x:v>Neutral condition.</x:v>
      </x:c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</x:row>
    <x:row r="21">
      <x:c r="A21" s="90" t="str">
        <x:v>Competition Penalty / Extra Same-Category Business</x:v>
      </x:c>
      <x:c r="B21" s="198" t="n">
        <x:v>0.15</x:v>
      </x:c>
      <x:c r="C21" s="74" t="str">
        <x:v>factor</x:v>
      </x:c>
      <x:c r="D21" s="91" t="str">
        <x:v>Competition modifier = 1/(1+factor×(count−1)).</x:v>
      </x:c>
      <x:c r="E21" s="74"/>
      <x:c r="F21" s="92" t="str">
        <x:v>Default Competition Count</x:v>
      </x:c>
      <x:c r="G21" s="202" t="n">
        <x:v>1</x:v>
      </x:c>
      <x:c r="H21" s="207" t="str">
        <x:v>business</x:v>
      </x:c>
      <x:c r="I21" s="93" t="str">
        <x:v>No same-category penalty at count 1.</x:v>
      </x:c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</x:row>
    <x:row r="22">
      <x:c r="A22" s="90" t="str">
        <x:v>Comfortable Capacity Threshold</x:v>
      </x:c>
      <x:c r="B22" s="208" t="n">
        <x:v>0.8</x:v>
      </x:c>
      <x:c r="C22" s="74" t="str">
        <x:v>% utilization</x:v>
      </x:c>
      <x:c r="D22" s="91" t="str">
        <x:v>No congestion penalty below this point.</x:v>
      </x:c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</x:row>
    <x:row r="23">
      <x:c r="A23" s="90" t="str">
        <x:v>High Capacity Threshold</x:v>
      </x:c>
      <x:c r="B23" s="208" t="n">
        <x:v>0.95</x:v>
      </x:c>
      <x:c r="C23" s="74" t="str">
        <x:v>% utilization</x:v>
      </x:c>
      <x:c r="D23" s="91" t="str">
        <x:v>Customer satisfaction begins deteriorating above 80%.</x:v>
      </x:c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</x:row>
    <x:row r="24">
      <x:c r="A24" s="90" t="str">
        <x:v>Offline Revenue Efficiency</x:v>
      </x:c>
      <x:c r="B24" s="208" t="n">
        <x:v>0.7</x:v>
      </x:c>
      <x:c r="C24" s="74" t="str">
        <x:v>multiplier</x:v>
      </x:c>
      <x:c r="D24" s="91" t="str">
        <x:v>Offline production is weaker than active production.</x:v>
      </x:c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</x:row>
    <x:row r="25">
      <x:c r="A25" s="92" t="str">
        <x:v>Offline Customer Acquisition Efficiency</x:v>
      </x:c>
      <x:c r="B25" s="209" t="n">
        <x:v>0.5</x:v>
      </x:c>
      <x:c r="C25" s="207" t="str">
        <x:v>multiplier</x:v>
      </x:c>
      <x:c r="D25" s="93" t="str">
        <x:v>Customers still arrive offline, but slower.</x:v>
      </x:c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M1"/>
    <x:mergeCell ref="A2:M2"/>
    <x:mergeCell ref="A12:F12"/>
    <x:mergeCell ref="F12:J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30" hidden="0" customWidth="1"/>
  </x:cols>
  <x:sheetData>
    <x:row r="1" ht="30" customHeight="1">
      <x:c r="A1" s="6" t="str">
        <x:v>Customer Segments</x:v>
      </x:c>
      <x:c r="B1" s="6"/>
      <x:c r="C1" s="6"/>
      <x:c r="D1" s="6"/>
      <x:c r="E1" s="6"/>
      <x:c r="F1" s="6"/>
      <x:c r="G1" s="6"/>
      <x:c r="H1" s="6"/>
      <x:c r="I1" s="6"/>
      <x:c r="J1" s="6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 ht="30" customHeight="1">
      <x:c r="A3" s="40" t="str">
        <x:v>Segment</x:v>
      </x:c>
      <x:c r="B3" s="41" t="str">
        <x:v>Description</x:v>
      </x:c>
      <x:c r="C3" s="41" t="str">
        <x:v>Activity Intensity</x:v>
      </x:c>
      <x:c r="D3" s="41" t="str">
        <x:v>Customer Value Mod.</x:v>
      </x:c>
      <x:c r="E3" s="41" t="str">
        <x:v>Acquisition Rate / Day</x:v>
      </x:c>
      <x:c r="F3" s="41" t="str">
        <x:v>Base Churn / Day</x:v>
      </x:c>
      <x:c r="G3" s="41" t="str">
        <x:v>Satisfaction Sensitivity</x:v>
      </x:c>
      <x:c r="H3" s="41" t="str">
        <x:v>Reputation Sensitivity</x:v>
      </x:c>
      <x:c r="I3" s="41" t="str">
        <x:v>Typical Services</x:v>
      </x:c>
      <x:c r="J3" s="42" t="str">
        <x:v>Balance Notes</x:v>
      </x:c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</x:row>
    <x:row r="4">
      <x:c r="A4" s="90" t="str">
        <x:v>General Consumers</x:v>
      </x:c>
      <x:c r="B4" s="77" t="str">
        <x:v>Everyday savers, borrowers, FX users and insurance customers.</x:v>
      </x:c>
      <x:c r="C4" s="200" t="n">
        <x:v>0.65</x:v>
      </x:c>
      <x:c r="D4" s="200" t="n">
        <x:v>0.8</x:v>
      </x:c>
      <x:c r="E4" s="199" t="n">
        <x:v>0.35</x:v>
      </x:c>
      <x:c r="F4" s="199" t="n">
        <x:v>0.018</x:v>
      </x:c>
      <x:c r="G4" s="200" t="n">
        <x:v>1</x:v>
      </x:c>
      <x:c r="H4" s="200" t="n">
        <x:v>1</x:v>
      </x:c>
      <x:c r="I4" s="77" t="str">
        <x:v>Cash, banking, lending, FX, insurance</x:v>
      </x:c>
      <x:c r="J4" s="91" t="str">
        <x:v>v0.1 internal balance assumption</x:v>
      </x:c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</x:row>
    <x:row r="5">
      <x:c r="A5" s="90" t="str">
        <x:v>Retail Investors</x:v>
      </x:c>
      <x:c r="B5" s="77" t="str">
        <x:v>Individuals investing and using brokerage/fund products.</x:v>
      </x:c>
      <x:c r="C5" s="200" t="n">
        <x:v>1</x:v>
      </x:c>
      <x:c r="D5" s="200" t="n">
        <x:v>1</x:v>
      </x:c>
      <x:c r="E5" s="199" t="n">
        <x:v>0.3</x:v>
      </x:c>
      <x:c r="F5" s="199" t="n">
        <x:v>0.022</x:v>
      </x:c>
      <x:c r="G5" s="200" t="n">
        <x:v>1.1</x:v>
      </x:c>
      <x:c r="H5" s="200" t="n">
        <x:v>1.1</x:v>
      </x:c>
      <x:c r="I5" s="77" t="str">
        <x:v>Brokerage, funds, research, exchange</x:v>
      </x:c>
      <x:c r="J5" s="91" t="str">
        <x:v>v0.1 internal balance assumption</x:v>
      </x:c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</x:row>
    <x:row r="6">
      <x:c r="A6" s="90" t="str">
        <x:v>Active Traders</x:v>
      </x:c>
      <x:c r="B6" s="77" t="str">
        <x:v>High-frequency retail/pro traders generating transaction volume.</x:v>
      </x:c>
      <x:c r="C6" s="200" t="n">
        <x:v>1.65</x:v>
      </x:c>
      <x:c r="D6" s="200" t="n">
        <x:v>1.15</x:v>
      </x:c>
      <x:c r="E6" s="199" t="n">
        <x:v>0.28</x:v>
      </x:c>
      <x:c r="F6" s="199" t="n">
        <x:v>0.035</x:v>
      </x:c>
      <x:c r="G6" s="200" t="n">
        <x:v>1.3</x:v>
      </x:c>
      <x:c r="H6" s="200" t="n">
        <x:v>1.15</x:v>
      </x:c>
      <x:c r="I6" s="77" t="str">
        <x:v>Trading, exchange, market making</x:v>
      </x:c>
      <x:c r="J6" s="91" t="str">
        <x:v>v0.1 internal balance assumption</x:v>
      </x:c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</x:row>
    <x:row r="7">
      <x:c r="A7" s="90" t="str">
        <x:v>Small Businesses</x:v>
      </x:c>
      <x:c r="B7" s="77" t="str">
        <x:v>SMEs using banking, lending, insurance and treasury services.</x:v>
      </x:c>
      <x:c r="C7" s="200" t="n">
        <x:v>0.85</x:v>
      </x:c>
      <x:c r="D7" s="200" t="n">
        <x:v>1.15</x:v>
      </x:c>
      <x:c r="E7" s="199" t="n">
        <x:v>0.22</x:v>
      </x:c>
      <x:c r="F7" s="199" t="n">
        <x:v>0.015</x:v>
      </x:c>
      <x:c r="G7" s="200" t="n">
        <x:v>0.9</x:v>
      </x:c>
      <x:c r="H7" s="200" t="n">
        <x:v>1</x:v>
      </x:c>
      <x:c r="I7" s="77" t="str">
        <x:v>Banking, lending, insurance, treasury</x:v>
      </x:c>
      <x:c r="J7" s="91" t="str">
        <x:v>v0.1 internal balance assumption</x:v>
      </x:c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</x:row>
    <x:row r="8">
      <x:c r="A8" s="90" t="str">
        <x:v>Corporate Clients</x:v>
      </x:c>
      <x:c r="B8" s="77" t="str">
        <x:v>Larger companies using treasury, markets and investment banking.</x:v>
      </x:c>
      <x:c r="C8" s="200" t="n">
        <x:v>1.25</x:v>
      </x:c>
      <x:c r="D8" s="200" t="n">
        <x:v>1.45</x:v>
      </x:c>
      <x:c r="E8" s="199" t="n">
        <x:v>0.14</x:v>
      </x:c>
      <x:c r="F8" s="199" t="n">
        <x:v>0.008</x:v>
      </x:c>
      <x:c r="G8" s="200" t="n">
        <x:v>0.7</x:v>
      </x:c>
      <x:c r="H8" s="200" t="n">
        <x:v>0.9</x:v>
      </x:c>
      <x:c r="I8" s="77" t="str">
        <x:v>Treasury, investment banking, institutional services</x:v>
      </x:c>
      <x:c r="J8" s="91" t="str">
        <x:v>v0.1 internal balance assumption</x:v>
      </x:c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</x:row>
    <x:row r="9">
      <x:c r="A9" s="90" t="str">
        <x:v>HNW Customers</x:v>
      </x:c>
      <x:c r="B9" s="77" t="str">
        <x:v>Wealthy clients using private banking, funds and wealth management.</x:v>
      </x:c>
      <x:c r="C9" s="200" t="n">
        <x:v>1.1</x:v>
      </x:c>
      <x:c r="D9" s="200" t="n">
        <x:v>1.5</x:v>
      </x:c>
      <x:c r="E9" s="199" t="n">
        <x:v>0.18</x:v>
      </x:c>
      <x:c r="F9" s="199" t="n">
        <x:v>0.01</x:v>
      </x:c>
      <x:c r="G9" s="200" t="n">
        <x:v>0.8</x:v>
      </x:c>
      <x:c r="H9" s="200" t="n">
        <x:v>1.1</x:v>
      </x:c>
      <x:c r="I9" s="77" t="str">
        <x:v>Wealth, private banking, asset management</x:v>
      </x:c>
      <x:c r="J9" s="91" t="str">
        <x:v>v0.1 internal balance assumption</x:v>
      </x:c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</x:row>
    <x:row r="10">
      <x:c r="A10" s="92" t="str">
        <x:v>Institutional Clients</x:v>
      </x:c>
      <x:c r="B10" s="223" t="str">
        <x:v>Funds, institutions and professional counterparties.</x:v>
      </x:c>
      <x:c r="C10" s="204" t="n">
        <x:v>1.7</x:v>
      </x:c>
      <x:c r="D10" s="204" t="n">
        <x:v>1.7</x:v>
      </x:c>
      <x:c r="E10" s="203" t="n">
        <x:v>0.1</x:v>
      </x:c>
      <x:c r="F10" s="203" t="n">
        <x:v>0.005</x:v>
      </x:c>
      <x:c r="G10" s="204" t="n">
        <x:v>0.6</x:v>
      </x:c>
      <x:c r="H10" s="204" t="n">
        <x:v>0.85</x:v>
      </x:c>
      <x:c r="I10" s="223" t="str">
        <x:v>Exchange, market making, data, asset management</x:v>
      </x:c>
      <x:c r="J10" s="93" t="str">
        <x:v>v0.1 internal balance assumption</x:v>
      </x:c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6" t="str">
        <x:v>Addressable Customer Demand by Empire Stage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>
      <x:c r="A2" s="75" t="str">
        <x:v>Demand is the simulated addressable market available to a Plot at the start of each stage. It is not the player's guaranteed customer count.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 ht="30" customHeight="1">
      <x:c r="A3" s="40" t="str">
        <x:v>Stage</x:v>
      </x:c>
      <x:c r="B3" s="41" t="str">
        <x:v>Start Lv</x:v>
      </x:c>
      <x:c r="C3" s="41" t="str">
        <x:v>End Lv</x:v>
      </x:c>
      <x:c r="D3" s="41" t="str">
        <x:v>General Consumers</x:v>
      </x:c>
      <x:c r="E3" s="41" t="str">
        <x:v>Retail Investors</x:v>
      </x:c>
      <x:c r="F3" s="41" t="str">
        <x:v>Active Traders</x:v>
      </x:c>
      <x:c r="G3" s="41" t="str">
        <x:v>Small Businesses</x:v>
      </x:c>
      <x:c r="H3" s="41" t="str">
        <x:v>Corporate Clients</x:v>
      </x:c>
      <x:c r="I3" s="41" t="str">
        <x:v>HNW Customers</x:v>
      </x:c>
      <x:c r="J3" s="41" t="str">
        <x:v>Institutional Clients</x:v>
      </x:c>
      <x:c r="K3" s="41" t="str">
        <x:v>Growth / Lv</x:v>
      </x:c>
      <x:c r="L3" s="41" t="str">
        <x:v>Total Base Demand</x:v>
      </x:c>
      <x:c r="M3" s="42" t="str">
        <x:v>End-Stage Demand</x:v>
      </x:c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</x:row>
    <x:row r="4">
      <x:c r="A4" s="90" t="str">
        <x:v>Humble</x:v>
      </x:c>
      <x:c r="B4" s="198" t="n">
        <x:v>1</x:v>
      </x:c>
      <x:c r="C4" s="198" t="n">
        <x:v>10</x:v>
      </x:c>
      <x:c r="D4" s="225" t="n">
        <x:v>1000</x:v>
      </x:c>
      <x:c r="E4" s="225" t="n">
        <x:v>700</x:v>
      </x:c>
      <x:c r="F4" s="225" t="n">
        <x:v>400</x:v>
      </x:c>
      <x:c r="G4" s="225" t="n">
        <x:v>250</x:v>
      </x:c>
      <x:c r="H4" s="225" t="n">
        <x:v>40</x:v>
      </x:c>
      <x:c r="I4" s="225" t="n">
        <x:v>150</x:v>
      </x:c>
      <x:c r="J4" s="225" t="n">
        <x:v>20</x:v>
      </x:c>
      <x:c r="K4" s="199" t="n">
        <x:v>0.06</x:v>
      </x:c>
      <x:c r="L4" s="226" t="n">
        <x:f>SUM(D4:J4)</x:f>
        <x:v>2560</x:v>
      </x:c>
      <x:c r="M4" s="227" t="n">
        <x:f>L4*(1+K4)^(C4-B4)</x:f>
        <x:v>4325.066135046894</x:v>
      </x:c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</x:row>
    <x:row r="5">
      <x:c r="A5" s="90" t="str">
        <x:v>Starter</x:v>
      </x:c>
      <x:c r="B5" s="198" t="n">
        <x:v>11</x:v>
      </x:c>
      <x:c r="C5" s="198" t="n">
        <x:v>20</x:v>
      </x:c>
      <x:c r="D5" s="225" t="n">
        <x:v>5000</x:v>
      </x:c>
      <x:c r="E5" s="225" t="n">
        <x:v>3200</x:v>
      </x:c>
      <x:c r="F5" s="225" t="n">
        <x:v>2000</x:v>
      </x:c>
      <x:c r="G5" s="225" t="n">
        <x:v>1200</x:v>
      </x:c>
      <x:c r="H5" s="225" t="n">
        <x:v>250</x:v>
      </x:c>
      <x:c r="I5" s="225" t="n">
        <x:v>700</x:v>
      </x:c>
      <x:c r="J5" s="225" t="n">
        <x:v>120</x:v>
      </x:c>
      <x:c r="K5" s="199" t="n">
        <x:v>0.07</x:v>
      </x:c>
      <x:c r="L5" s="226" t="n">
        <x:f>SUM(D5:J5)</x:f>
        <x:v>12470</x:v>
      </x:c>
      <x:c r="M5" s="227" t="n">
        <x:f>L5*(1+K5)^(C5-B5)</x:f>
        <x:v>22925.586378879332</x:v>
      </x:c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</x:row>
    <x:row r="6">
      <x:c r="A6" s="90" t="str">
        <x:v>Growing</x:v>
      </x:c>
      <x:c r="B6" s="198" t="n">
        <x:v>21</x:v>
      </x:c>
      <x:c r="C6" s="198" t="n">
        <x:v>30</x:v>
      </x:c>
      <x:c r="D6" s="225" t="n">
        <x:v>25000</x:v>
      </x:c>
      <x:c r="E6" s="225" t="n">
        <x:v>16000</x:v>
      </x:c>
      <x:c r="F6" s="225" t="n">
        <x:v>10000</x:v>
      </x:c>
      <x:c r="G6" s="225" t="n">
        <x:v>6000</x:v>
      </x:c>
      <x:c r="H6" s="225" t="n">
        <x:v>1500</x:v>
      </x:c>
      <x:c r="I6" s="225" t="n">
        <x:v>4000</x:v>
      </x:c>
      <x:c r="J6" s="225" t="n">
        <x:v>1000</x:v>
      </x:c>
      <x:c r="K6" s="199" t="n">
        <x:v>0.08</x:v>
      </x:c>
      <x:c r="L6" s="226" t="n">
        <x:f>SUM(D6:J6)</x:f>
        <x:v>63500</x:v>
      </x:c>
      <x:c r="M6" s="227" t="n">
        <x:f>L6*(1+K6)^(C6-B6)</x:f>
        <x:v>126936.7938211315</x:v>
      </x:c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</x:row>
    <x:row r="7">
      <x:c r="A7" s="90" t="str">
        <x:v>Established</x:v>
      </x:c>
      <x:c r="B7" s="198" t="n">
        <x:v>31</x:v>
      </x:c>
      <x:c r="C7" s="198" t="n">
        <x:v>40</x:v>
      </x:c>
      <x:c r="D7" s="225" t="n">
        <x:v>125000</x:v>
      </x:c>
      <x:c r="E7" s="225" t="n">
        <x:v>80000</x:v>
      </x:c>
      <x:c r="F7" s="225" t="n">
        <x:v>50000</x:v>
      </x:c>
      <x:c r="G7" s="225" t="n">
        <x:v>30000</x:v>
      </x:c>
      <x:c r="H7" s="225" t="n">
        <x:v>10000</x:v>
      </x:c>
      <x:c r="I7" s="225" t="n">
        <x:v>22000</x:v>
      </x:c>
      <x:c r="J7" s="225" t="n">
        <x:v>8000</x:v>
      </x:c>
      <x:c r="K7" s="199" t="n">
        <x:v>0.09</x:v>
      </x:c>
      <x:c r="L7" s="226" t="n">
        <x:f>SUM(D7:J7)</x:f>
        <x:v>325000</x:v>
      </x:c>
      <x:c r="M7" s="227" t="n">
        <x:f>L7*(1+K7)^(C7-B7)</x:f>
        <x:v>705865.3158187509</x:v>
      </x:c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</x:row>
    <x:row r="8">
      <x:c r="A8" s="90" t="str">
        <x:v>Elite</x:v>
      </x:c>
      <x:c r="B8" s="198" t="n">
        <x:v>41</x:v>
      </x:c>
      <x:c r="C8" s="198" t="n">
        <x:v>45</x:v>
      </x:c>
      <x:c r="D8" s="225" t="n">
        <x:v>600000</x:v>
      </x:c>
      <x:c r="E8" s="225" t="n">
        <x:v>400000</x:v>
      </x:c>
      <x:c r="F8" s="225" t="n">
        <x:v>250000</x:v>
      </x:c>
      <x:c r="G8" s="225" t="n">
        <x:v>150000</x:v>
      </x:c>
      <x:c r="H8" s="225" t="n">
        <x:v>60000</x:v>
      </x:c>
      <x:c r="I8" s="225" t="n">
        <x:v>120000</x:v>
      </x:c>
      <x:c r="J8" s="225" t="n">
        <x:v>50000</x:v>
      </x:c>
      <x:c r="K8" s="199" t="n">
        <x:v>0.1</x:v>
      </x:c>
      <x:c r="L8" s="226" t="n">
        <x:f>SUM(D8:J8)</x:f>
        <x:v>1630000</x:v>
      </x:c>
      <x:c r="M8" s="227" t="n">
        <x:f>L8*(1+K8)^(C8-B8)</x:f>
        <x:v>2386483.0000000005</x:v>
      </x:c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</x:row>
    <x:row r="9">
      <x:c r="A9" s="92" t="str">
        <x:v>Tycoon</x:v>
      </x:c>
      <x:c r="B9" s="202" t="n">
        <x:v>46</x:v>
      </x:c>
      <x:c r="C9" s="202" t="n">
        <x:v>50</x:v>
      </x:c>
      <x:c r="D9" s="228" t="n">
        <x:v>3000000</x:v>
      </x:c>
      <x:c r="E9" s="228" t="n">
        <x:v>2000000</x:v>
      </x:c>
      <x:c r="F9" s="228" t="n">
        <x:v>1200000</x:v>
      </x:c>
      <x:c r="G9" s="228" t="n">
        <x:v>800000</x:v>
      </x:c>
      <x:c r="H9" s="228" t="n">
        <x:v>350000</x:v>
      </x:c>
      <x:c r="I9" s="228" t="n">
        <x:v>600000</x:v>
      </x:c>
      <x:c r="J9" s="228" t="n">
        <x:v>300000</x:v>
      </x:c>
      <x:c r="K9" s="203" t="n">
        <x:v>0.12</x:v>
      </x:c>
      <x:c r="L9" s="229" t="n">
        <x:f>SUM(D9:J9)</x:f>
        <x:v>8250000</x:v>
      </x:c>
      <x:c r="M9" s="230" t="n">
        <x:f>L9*(1+K9)^(C9-B9)</x:f>
        <x:v>12981534.720000003</x:v>
      </x:c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</x:row>
    <x:row r="12" ht="22" customHeight="1">
      <x:c r="A12" s="76" t="str">
        <x:v>Interpretation</x:v>
      </x:c>
      <x:c r="B12" s="76"/>
      <x:c r="C12" s="76"/>
      <x:c r="D12" s="76"/>
      <x:c r="E12" s="76"/>
      <x:c r="F12" s="76"/>
      <x:c r="G12" s="76"/>
      <x:c r="H12" s="76"/>
      <x:c r="I12" s="76"/>
      <x:c r="J12" s="76"/>
      <x:c r="K12" s="76"/>
      <x:c r="L12" s="76"/>
      <x:c r="M12" s="76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</x:row>
    <x:row r="13">
      <x:c r="A13" s="77" t="str">
        <x:v>Demand scales with stage and Empire Level. Building capacity, attraction, reputation, service quality, marketing, events and competition determine how much of this market a player actually captures. The large addressable pools at Elite/Tycoon stages intentionally represent a global simulated market rather than literal residents on one board.</x:v>
      </x:c>
      <x:c r="B13" s="77"/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</x:row>
    <x:row r="14">
      <x:c r="A14" s="77"/>
      <x:c r="B14" s="77"/>
      <x:c r="C14" s="77"/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</x:row>
    <x:row r="15">
      <x:c r="A15" s="77"/>
      <x:c r="B15" s="77"/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</x:row>
    <x:row r="16">
      <x:c r="A16" s="77"/>
      <x:c r="B16" s="77"/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M1"/>
    <x:mergeCell ref="A2:M2"/>
    <x:mergeCell ref="A12:M12"/>
    <x:mergeCell ref="A13:M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8" hidden="0" customWidth="1"/>
  </x:cols>
  <x:sheetData>
    <x:row r="1" ht="30" customHeight="1">
      <x:c r="A1" s="6" t="str">
        <x:v>Building Category → Customer Segment Affinity</x:v>
      </x:c>
      <x:c r="B1" s="6"/>
      <x:c r="C1" s="6"/>
      <x:c r="D1" s="6"/>
      <x:c r="E1" s="6"/>
      <x:c r="F1" s="6"/>
      <x:c r="G1" s="6"/>
      <x:c r="H1" s="6"/>
      <x:c r="I1" s="6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>
      <x:c r="A2" s="237" t="str">
        <x:v>Affinity ranges from 0.00 to 1.00. It determines which customer pools create demand for each category.</x:v>
      </x:c>
      <x:c r="B2" s="237"/>
      <x:c r="C2" s="237"/>
      <x:c r="D2" s="237"/>
      <x:c r="E2" s="237"/>
      <x:c r="F2" s="237"/>
      <x:c r="G2" s="237"/>
      <x:c r="H2" s="237"/>
      <x:c r="I2" s="237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 ht="30" customHeight="1">
      <x:c r="A3" s="40" t="str">
        <x:v>Category</x:v>
      </x:c>
      <x:c r="B3" s="41" t="str">
        <x:v>General Consumers</x:v>
      </x:c>
      <x:c r="C3" s="41" t="str">
        <x:v>Retail Investors</x:v>
      </x:c>
      <x:c r="D3" s="41" t="str">
        <x:v>Active Traders</x:v>
      </x:c>
      <x:c r="E3" s="41" t="str">
        <x:v>Small Businesses</x:v>
      </x:c>
      <x:c r="F3" s="41" t="str">
        <x:v>Corporate Clients</x:v>
      </x:c>
      <x:c r="G3" s="41" t="str">
        <x:v>HNW Customers</x:v>
      </x:c>
      <x:c r="H3" s="41" t="str">
        <x:v>Institutional Clients</x:v>
      </x:c>
      <x:c r="I3" s="42" t="str">
        <x:v>Notes</x:v>
      </x:c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</x:row>
    <x:row r="4">
      <x:c r="A4" s="90" t="str">
        <x:v>Cash Services</x:v>
      </x:c>
      <x:c r="B4" s="208" t="n">
        <x:v>1</x:v>
      </x:c>
      <x:c r="C4" s="208" t="n">
        <x:v>0.2</x:v>
      </x:c>
      <x:c r="D4" s="208" t="n">
        <x:v>0.05</x:v>
      </x:c>
      <x:c r="E4" s="208" t="n">
        <x:v>0.25</x:v>
      </x:c>
      <x:c r="F4" s="208" t="n">
        <x:v>0</x:v>
      </x:c>
      <x:c r="G4" s="208" t="n">
        <x:v>0.1</x:v>
      </x:c>
      <x:c r="H4" s="208" t="n">
        <x:v>0</x:v>
      </x:c>
      <x:c r="I4" s="91" t="str">
        <x:v>Everyday cash access; weak investment/institutional demand.</x:v>
      </x:c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</x:row>
    <x:row r="5">
      <x:c r="A5" s="90" t="str">
        <x:v>Trading</x:v>
      </x:c>
      <x:c r="B5" s="208" t="n">
        <x:v>0.1</x:v>
      </x:c>
      <x:c r="C5" s="208" t="n">
        <x:v>0.7</x:v>
      </x:c>
      <x:c r="D5" s="208" t="n">
        <x:v>1</x:v>
      </x:c>
      <x:c r="E5" s="208" t="n">
        <x:v>0.1</x:v>
      </x:c>
      <x:c r="F5" s="208" t="n">
        <x:v>0.1</x:v>
      </x:c>
      <x:c r="G5" s="208" t="n">
        <x:v>0.4</x:v>
      </x:c>
      <x:c r="H5" s="208" t="n">
        <x:v>0.6</x:v>
      </x:c>
      <x:c r="I5" s="91" t="str">
        <x:v>Strong trader demand; meaningful retail and institutional use.</x:v>
      </x:c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</x:row>
    <x:row r="6">
      <x:c r="A6" s="90" t="str">
        <x:v>Banking</x:v>
      </x:c>
      <x:c r="B6" s="208" t="n">
        <x:v>1</x:v>
      </x:c>
      <x:c r="C6" s="208" t="n">
        <x:v>0.4</x:v>
      </x:c>
      <x:c r="D6" s="208" t="n">
        <x:v>0.1</x:v>
      </x:c>
      <x:c r="E6" s="208" t="n">
        <x:v>0.7</x:v>
      </x:c>
      <x:c r="F6" s="208" t="n">
        <x:v>0.5</x:v>
      </x:c>
      <x:c r="G6" s="208" t="n">
        <x:v>0.6</x:v>
      </x:c>
      <x:c r="H6" s="208" t="n">
        <x:v>0.1</x:v>
      </x:c>
      <x:c r="I6" s="91" t="str">
        <x:v>Broadest general/business demand with some HNW exposure.</x:v>
      </x:c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</x:row>
    <x:row r="7">
      <x:c r="A7" s="90" t="str">
        <x:v>Brokerage</x:v>
      </x:c>
      <x:c r="B7" s="208" t="n">
        <x:v>0.1</x:v>
      </x:c>
      <x:c r="C7" s="208" t="n">
        <x:v>1</x:v>
      </x:c>
      <x:c r="D7" s="208" t="n">
        <x:v>0.9</x:v>
      </x:c>
      <x:c r="E7" s="208" t="n">
        <x:v>0.1</x:v>
      </x:c>
      <x:c r="F7" s="208" t="n">
        <x:v>0.1</x:v>
      </x:c>
      <x:c r="G7" s="208" t="n">
        <x:v>0.7</x:v>
      </x:c>
      <x:c r="H7" s="208" t="n">
        <x:v>0.5</x:v>
      </x:c>
      <x:c r="I7" s="91" t="str">
        <x:v>Retail/trader-led with HNW and institutional upside.</x:v>
      </x:c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</x:row>
    <x:row r="8">
      <x:c r="A8" s="90" t="str">
        <x:v>Research</x:v>
      </x:c>
      <x:c r="B8" s="208" t="n">
        <x:v>0</x:v>
      </x:c>
      <x:c r="C8" s="208" t="n">
        <x:v>0.7</x:v>
      </x:c>
      <x:c r="D8" s="208" t="n">
        <x:v>0.7</x:v>
      </x:c>
      <x:c r="E8" s="208" t="n">
        <x:v>0.1</x:v>
      </x:c>
      <x:c r="F8" s="208" t="n">
        <x:v>0.4</x:v>
      </x:c>
      <x:c r="G8" s="208" t="n">
        <x:v>0.6</x:v>
      </x:c>
      <x:c r="H8" s="208" t="n">
        <x:v>0.8</x:v>
      </x:c>
      <x:c r="I8" s="91" t="str">
        <x:v>Supports investors, traders and institutions more than consumers.</x:v>
      </x:c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</x:row>
    <x:row r="9">
      <x:c r="A9" s="90" t="str">
        <x:v>Lending</x:v>
      </x:c>
      <x:c r="B9" s="208" t="n">
        <x:v>0.8</x:v>
      </x:c>
      <x:c r="C9" s="208" t="n">
        <x:v>0.2</x:v>
      </x:c>
      <x:c r="D9" s="208" t="n">
        <x:v>0.05</x:v>
      </x:c>
      <x:c r="E9" s="208" t="n">
        <x:v>1</x:v>
      </x:c>
      <x:c r="F9" s="208" t="n">
        <x:v>0.7</x:v>
      </x:c>
      <x:c r="G9" s="208" t="n">
        <x:v>0.3</x:v>
      </x:c>
      <x:c r="H9" s="208" t="n">
        <x:v>0.1</x:v>
      </x:c>
      <x:c r="I9" s="91" t="str">
        <x:v>Consumer and SMB-led credit demand.</x:v>
      </x:c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</x:row>
    <x:row r="10">
      <x:c r="A10" s="90" t="str">
        <x:v>FX</x:v>
      </x:c>
      <x:c r="B10" s="208" t="n">
        <x:v>0.7</x:v>
      </x:c>
      <x:c r="C10" s="208" t="n">
        <x:v>0.3</x:v>
      </x:c>
      <x:c r="D10" s="208" t="n">
        <x:v>0.5</x:v>
      </x:c>
      <x:c r="E10" s="208" t="n">
        <x:v>0.6</x:v>
      </x:c>
      <x:c r="F10" s="208" t="n">
        <x:v>0.5</x:v>
      </x:c>
      <x:c r="G10" s="208" t="n">
        <x:v>0.4</x:v>
      </x:c>
      <x:c r="H10" s="208" t="n">
        <x:v>0.3</x:v>
      </x:c>
      <x:c r="I10" s="91" t="str">
        <x:v>Broad transactional demand across consumers and businesses.</x:v>
      </x:c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</x:row>
    <x:row r="11">
      <x:c r="A11" s="90" t="str">
        <x:v>Insurance</x:v>
      </x:c>
      <x:c r="B11" s="208" t="n">
        <x:v>1</x:v>
      </x:c>
      <x:c r="C11" s="208" t="n">
        <x:v>0.2</x:v>
      </x:c>
      <x:c r="D11" s="208" t="n">
        <x:v>0.05</x:v>
      </x:c>
      <x:c r="E11" s="208" t="n">
        <x:v>0.9</x:v>
      </x:c>
      <x:c r="F11" s="208" t="n">
        <x:v>0.7</x:v>
      </x:c>
      <x:c r="G11" s="208" t="n">
        <x:v>0.7</x:v>
      </x:c>
      <x:c r="H11" s="208" t="n">
        <x:v>0.2</x:v>
      </x:c>
      <x:c r="I11" s="91" t="str">
        <x:v>Consumer/business protection demand; HNW secondary.</x:v>
      </x:c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</x:row>
    <x:row r="12">
      <x:c r="A12" s="90" t="str">
        <x:v>Advisory</x:v>
      </x:c>
      <x:c r="B12" s="208" t="n">
        <x:v>0.1</x:v>
      </x:c>
      <x:c r="C12" s="208" t="n">
        <x:v>0.8</x:v>
      </x:c>
      <x:c r="D12" s="208" t="n">
        <x:v>0.2</x:v>
      </x:c>
      <x:c r="E12" s="208" t="n">
        <x:v>0.4</x:v>
      </x:c>
      <x:c r="F12" s="208" t="n">
        <x:v>0.5</x:v>
      </x:c>
      <x:c r="G12" s="208" t="n">
        <x:v>1</x:v>
      </x:c>
      <x:c r="H12" s="208" t="n">
        <x:v>0.4</x:v>
      </x:c>
      <x:c r="I12" s="91" t="str">
        <x:v>Investor and HNW-led conversion business.</x:v>
      </x:c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</x:row>
    <x:row r="13">
      <x:c r="A13" s="90" t="str">
        <x:v>Treasury</x:v>
      </x:c>
      <x:c r="B13" s="208" t="n">
        <x:v>0.1</x:v>
      </x:c>
      <x:c r="C13" s="208" t="n">
        <x:v>0.1</x:v>
      </x:c>
      <x:c r="D13" s="208" t="n">
        <x:v>0.05</x:v>
      </x:c>
      <x:c r="E13" s="208" t="n">
        <x:v>0.5</x:v>
      </x:c>
      <x:c r="F13" s="208" t="n">
        <x:v>1</x:v>
      </x:c>
      <x:c r="G13" s="208" t="n">
        <x:v>0.7</x:v>
      </x:c>
      <x:c r="H13" s="208" t="n">
        <x:v>0.8</x:v>
      </x:c>
      <x:c r="I13" s="91" t="str">
        <x:v>Business, corporate and institutional capital management.</x:v>
      </x:c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</x:row>
    <x:row r="14">
      <x:c r="A14" s="90" t="str">
        <x:v>Asset Management</x:v>
      </x:c>
      <x:c r="B14" s="208" t="n">
        <x:v>0.05</x:v>
      </x:c>
      <x:c r="C14" s="208" t="n">
        <x:v>0.8</x:v>
      </x:c>
      <x:c r="D14" s="208" t="n">
        <x:v>0.2</x:v>
      </x:c>
      <x:c r="E14" s="208" t="n">
        <x:v>0.1</x:v>
      </x:c>
      <x:c r="F14" s="208" t="n">
        <x:v>0.3</x:v>
      </x:c>
      <x:c r="G14" s="208" t="n">
        <x:v>1</x:v>
      </x:c>
      <x:c r="H14" s="208" t="n">
        <x:v>1</x:v>
      </x:c>
      <x:c r="I14" s="91" t="str">
        <x:v>Investor/HNW/institutional AUM demand.</x:v>
      </x:c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</x:row>
    <x:row r="15">
      <x:c r="A15" s="90" t="str">
        <x:v>Multi-Service</x:v>
      </x:c>
      <x:c r="B15" s="208" t="n">
        <x:v>0.8</x:v>
      </x:c>
      <x:c r="C15" s="208" t="n">
        <x:v>0.8</x:v>
      </x:c>
      <x:c r="D15" s="208" t="n">
        <x:v>0.5</x:v>
      </x:c>
      <x:c r="E15" s="208" t="n">
        <x:v>0.7</x:v>
      </x:c>
      <x:c r="F15" s="208" t="n">
        <x:v>0.6</x:v>
      </x:c>
      <x:c r="G15" s="208" t="n">
        <x:v>0.7</x:v>
      </x:c>
      <x:c r="H15" s="208" t="n">
        <x:v>0.5</x:v>
      </x:c>
      <x:c r="I15" s="91" t="str">
        <x:v>Broad diversified demand; intentionally high coverage.</x:v>
      </x:c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</x:row>
    <x:row r="16">
      <x:c r="A16" s="90" t="str">
        <x:v>Wealth</x:v>
      </x:c>
      <x:c r="B16" s="208" t="n">
        <x:v>0.05</x:v>
      </x:c>
      <x:c r="C16" s="208" t="n">
        <x:v>0.4</x:v>
      </x:c>
      <x:c r="D16" s="208" t="n">
        <x:v>0.1</x:v>
      </x:c>
      <x:c r="E16" s="208" t="n">
        <x:v>0.2</x:v>
      </x:c>
      <x:c r="F16" s="208" t="n">
        <x:v>0.4</x:v>
      </x:c>
      <x:c r="G16" s="208" t="n">
        <x:v>1</x:v>
      </x:c>
      <x:c r="H16" s="208" t="n">
        <x:v>0.7</x:v>
      </x:c>
      <x:c r="I16" s="91" t="str">
        <x:v>HNW-led with institutional/private client overlap.</x:v>
      </x:c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</x:row>
    <x:row r="17">
      <x:c r="A17" s="90" t="str">
        <x:v>Fintech</x:v>
      </x:c>
      <x:c r="B17" s="208" t="n">
        <x:v>0.7</x:v>
      </x:c>
      <x:c r="C17" s="208" t="n">
        <x:v>0.7</x:v>
      </x:c>
      <x:c r="D17" s="208" t="n">
        <x:v>0.7</x:v>
      </x:c>
      <x:c r="E17" s="208" t="n">
        <x:v>0.6</x:v>
      </x:c>
      <x:c r="F17" s="208" t="n">
        <x:v>0.4</x:v>
      </x:c>
      <x:c r="G17" s="208" t="n">
        <x:v>0.4</x:v>
      </x:c>
      <x:c r="H17" s="208" t="n">
        <x:v>0.3</x:v>
      </x:c>
      <x:c r="I17" s="91" t="str">
        <x:v>Broad digital transactional demand.</x:v>
      </x:c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</x:row>
    <x:row r="18">
      <x:c r="A18" s="90" t="str">
        <x:v>Data</x:v>
      </x:c>
      <x:c r="B18" s="208" t="n">
        <x:v>0</x:v>
      </x:c>
      <x:c r="C18" s="208" t="n">
        <x:v>0.1</x:v>
      </x:c>
      <x:c r="D18" s="208" t="n">
        <x:v>0.4</x:v>
      </x:c>
      <x:c r="E18" s="208" t="n">
        <x:v>0.2</x:v>
      </x:c>
      <x:c r="F18" s="208" t="n">
        <x:v>0.6</x:v>
      </x:c>
      <x:c r="G18" s="208" t="n">
        <x:v>0.2</x:v>
      </x:c>
      <x:c r="H18" s="208" t="n">
        <x:v>1</x:v>
      </x:c>
      <x:c r="I18" s="91" t="str">
        <x:v>Institutional/data-heavy utility demand.</x:v>
      </x:c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</x:row>
    <x:row r="19">
      <x:c r="A19" s="90" t="str">
        <x:v>Market Making</x:v>
      </x:c>
      <x:c r="B19" s="208" t="n">
        <x:v>0</x:v>
      </x:c>
      <x:c r="C19" s="208" t="n">
        <x:v>0.3</x:v>
      </x:c>
      <x:c r="D19" s="208" t="n">
        <x:v>0.9</x:v>
      </x:c>
      <x:c r="E19" s="208" t="n">
        <x:v>0</x:v>
      </x:c>
      <x:c r="F19" s="208" t="n">
        <x:v>0.2</x:v>
      </x:c>
      <x:c r="G19" s="208" t="n">
        <x:v>0.3</x:v>
      </x:c>
      <x:c r="H19" s="208" t="n">
        <x:v>1</x:v>
      </x:c>
      <x:c r="I19" s="91" t="str">
        <x:v>Trader/institutional liquidity demand.</x:v>
      </x:c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</x:row>
    <x:row r="20">
      <x:c r="A20" s="90" t="str">
        <x:v>Private Banking</x:v>
      </x:c>
      <x:c r="B20" s="208" t="n">
        <x:v>0.05</x:v>
      </x:c>
      <x:c r="C20" s="208" t="n">
        <x:v>0.2</x:v>
      </x:c>
      <x:c r="D20" s="208" t="n">
        <x:v>0.05</x:v>
      </x:c>
      <x:c r="E20" s="208" t="n">
        <x:v>0.2</x:v>
      </x:c>
      <x:c r="F20" s="208" t="n">
        <x:v>0.5</x:v>
      </x:c>
      <x:c r="G20" s="208" t="n">
        <x:v>1</x:v>
      </x:c>
      <x:c r="H20" s="208" t="n">
        <x:v>0.6</x:v>
      </x:c>
      <x:c r="I20" s="91" t="str">
        <x:v>HNW-led private client business.</x:v>
      </x:c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</x:row>
    <x:row r="21">
      <x:c r="A21" s="90" t="str">
        <x:v>Exchange</x:v>
      </x:c>
      <x:c r="B21" s="208" t="n">
        <x:v>0.05</x:v>
      </x:c>
      <x:c r="C21" s="208" t="n">
        <x:v>0.6</x:v>
      </x:c>
      <x:c r="D21" s="208" t="n">
        <x:v>1</x:v>
      </x:c>
      <x:c r="E21" s="208" t="n">
        <x:v>0.1</x:v>
      </x:c>
      <x:c r="F21" s="208" t="n">
        <x:v>0.3</x:v>
      </x:c>
      <x:c r="G21" s="208" t="n">
        <x:v>0.4</x:v>
      </x:c>
      <x:c r="H21" s="208" t="n">
        <x:v>1</x:v>
      </x:c>
      <x:c r="I21" s="91" t="str">
        <x:v>Trader/institutional venue with retail participation.</x:v>
      </x:c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</x:row>
    <x:row r="22">
      <x:c r="A22" s="92" t="str">
        <x:v>Investment Banking</x:v>
      </x:c>
      <x:c r="B22" s="209" t="n">
        <x:v>0</x:v>
      </x:c>
      <x:c r="C22" s="209" t="n">
        <x:v>0.05</x:v>
      </x:c>
      <x:c r="D22" s="209" t="n">
        <x:v>0.05</x:v>
      </x:c>
      <x:c r="E22" s="209" t="n">
        <x:v>0.3</x:v>
      </x:c>
      <x:c r="F22" s="209" t="n">
        <x:v>1</x:v>
      </x:c>
      <x:c r="G22" s="209" t="n">
        <x:v>0.6</x:v>
      </x:c>
      <x:c r="H22" s="209" t="n">
        <x:v>1</x:v>
      </x:c>
      <x:c r="I22" s="93" t="str">
        <x:v>Corporate and institutional deal demand.</x:v>
      </x:c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6" max="6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7" max="7" width="16" hidden="0" customWidth="1"/>
    <x:col min="8" max="8" width="16" hidden="0" customWidth="1"/>
    <x:col min="9" max="9" width="16" hidden="0" customWidth="1"/>
    <x:col min="14" max="14" width="18" hidden="0" customWidth="1"/>
    <x:col min="27" max="27" width="38" hidden="0" customWidth="1"/>
  </x:cols>
  <x:sheetData>
    <x:row r="1" ht="30" customHeight="1">
      <x:c r="A1" s="6" t="str">
        <x:v>50-Building Customer &amp; Economic Calibration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 ht="30" customHeight="1">
      <x:c r="A3" s="40" t="str">
        <x:v>ID</x:v>
      </x:c>
      <x:c r="B3" s="41" t="str">
        <x:v>Building</x:v>
      </x:c>
      <x:c r="C3" s="41" t="str">
        <x:v>Category</x:v>
      </x:c>
      <x:c r="D3" s="41" t="str">
        <x:v>Stage</x:v>
      </x:c>
      <x:c r="E3" s="41" t="str">
        <x:v>Rarity</x:v>
      </x:c>
      <x:c r="F3" s="41" t="str">
        <x:v>Unlock Lv.</x:v>
      </x:c>
      <x:c r="G3" s="41" t="str">
        <x:v>Footprint</x:v>
      </x:c>
      <x:c r="H3" s="41" t="str">
        <x:v>Role</x:v>
      </x:c>
      <x:c r="I3" s="41" t="str">
        <x:v>Risk</x:v>
      </x:c>
      <x:c r="J3" s="41" t="str">
        <x:v>Lv1 Capacity</x:v>
      </x:c>
      <x:c r="K3" s="41" t="str">
        <x:v>Base Gross Cash/h</x:v>
      </x:c>
      <x:c r="L3" s="41" t="str">
        <x:v>Base Activity Pts/h</x:v>
      </x:c>
      <x:c r="M3" s="41" t="str">
        <x:v>Op Cost %</x:v>
      </x:c>
      <x:c r="N3" s="41" t="str">
        <x:v>Weighted Stage Demand</x:v>
      </x:c>
      <x:c r="O3" s="41" t="str">
        <x:v>Capture Coeff.</x:v>
      </x:c>
      <x:c r="P3" s="41" t="str">
        <x:v>Base Service Quality</x:v>
      </x:c>
      <x:c r="Q3" s="41" t="str">
        <x:v>Weighted Customer Value</x:v>
      </x:c>
      <x:c r="R3" s="41" t="str">
        <x:v>Weighted Activity Intensity</x:v>
      </x:c>
      <x:c r="S3" s="41" t="str">
        <x:v>Weighted Acquisition / Day</x:v>
      </x:c>
      <x:c r="T3" s="41" t="str">
        <x:v>Weighted Churn / Day</x:v>
      </x:c>
      <x:c r="U3" s="41" t="str">
        <x:v>Attraction Mult.</x:v>
      </x:c>
      <x:c r="V3" s="41" t="str">
        <x:v>Expected Customers</x:v>
      </x:c>
      <x:c r="W3" s="41" t="str">
        <x:v>Baseline Utilization</x:v>
      </x:c>
      <x:c r="X3" s="41" t="str">
        <x:v>Expected Gross Cash/h</x:v>
      </x:c>
      <x:c r="Y3" s="41" t="str">
        <x:v>Expected Net Cash/h</x:v>
      </x:c>
      <x:c r="Z3" s="41" t="str">
        <x:v>Expected Activity Pts/h</x:v>
      </x:c>
      <x:c r="AA3" s="42" t="str">
        <x:v>Source / Notes</x:v>
      </x:c>
    </x:row>
    <x:row r="4">
      <x:c r="A4" s="90" t="n">
        <x:v>1</x:v>
      </x:c>
      <x:c r="B4" s="74" t="str">
        <x:v>Cash Kiosk</x:v>
      </x:c>
      <x:c r="C4" s="74" t="str">
        <x:v>Cash Services</x:v>
      </x:c>
      <x:c r="D4" s="74" t="str">
        <x:v>Humble</x:v>
      </x:c>
      <x:c r="E4" s="74" t="str">
        <x:v>Common</x:v>
      </x:c>
      <x:c r="F4" s="74" t="n">
        <x:v>1</x:v>
      </x:c>
      <x:c r="G4" s="74" t="str">
        <x:v>1x1</x:v>
      </x:c>
      <x:c r="H4" s="74" t="str">
        <x:v>Balanced</x:v>
      </x:c>
      <x:c r="I4" s="74" t="str">
        <x:v>Low</x:v>
      </x:c>
      <x:c r="J4" s="226" t="n">
        <x:v>60</x:v>
      </x:c>
      <x:c r="K4" s="226" t="n">
        <x:v>35</x:v>
      </x:c>
      <x:c r="L4" s="226" t="n">
        <x:v>6</x:v>
      </x:c>
      <x:c r="M4" s="239" t="n">
        <x:v>0.12</x:v>
      </x:c>
      <x:c r="N4" s="240" t="n">
        <x:f>SUMPRODUCT('Stage Demand'!$D$4:$J$4,'Service Affinity'!$B$4:$H$4)</x:f>
        <x:v>1237.5</x:v>
      </x:c>
      <x:c r="O4" s="241" t="n">
        <x:f>'Model Assumptions'!$D$4</x:f>
        <x:v>0.04</x:v>
      </x:c>
      <x:c r="P4" s="242" t="n">
        <x:f>'Model Assumptions'!$F$4</x:f>
        <x:v>58</x:v>
      </x:c>
      <x:c r="Q4" s="243" t="n">
        <x:f>('Stage Demand'!$D$4*'Service Affinity'!$B$4*'Customer Segments'!$D$4+'Stage Demand'!$E$4*'Service Affinity'!$C$4*'Customer Segments'!$D$5+'Stage Demand'!$F$4*'Service Affinity'!$D$4*'Customer Segments'!$D$6+'Stage Demand'!$G$4*'Service Affinity'!$E$4*'Customer Segments'!$D$7+'Stage Demand'!$H$4*'Service Affinity'!$F$4*'Customer Segments'!$D$8+'Stage Demand'!$I$4*'Service Affinity'!$G$4*'Customer Segments'!$D$9+'Stage Demand'!$J$4*'Service Affinity'!$H$4*'Customer Segments'!$D$10)/N4</x:f>
        <x:v>0.8544444444444445</x:v>
      </x:c>
      <x:c r="R4" s="243" t="n">
        <x:f>('Stage Demand'!$D$4*'Service Affinity'!$B$4*'Customer Segments'!$C$4+'Stage Demand'!$E$4*'Service Affinity'!$C$4*'Customer Segments'!$C$5+'Stage Demand'!$F$4*'Service Affinity'!$D$4*'Customer Segments'!$C$6+'Stage Demand'!$G$4*'Service Affinity'!$E$4*'Customer Segments'!$C$7+'Stage Demand'!$H$4*'Service Affinity'!$F$4*'Customer Segments'!$C$8+'Stage Demand'!$I$4*'Service Affinity'!$G$4*'Customer Segments'!$C$9+'Stage Demand'!$J$4*'Service Affinity'!$H$4*'Customer Segments'!$C$10)/N4</x:f>
        <x:v>0.7213131313131314</x:v>
      </x:c>
      <x:c r="S4" s="241" t="n">
        <x:f>('Stage Demand'!$D$4*'Service Affinity'!$B$4*'Customer Segments'!$E$4+'Stage Demand'!$E$4*'Service Affinity'!$C$4*'Customer Segments'!$E$5+'Stage Demand'!$F$4*'Service Affinity'!$D$4*'Customer Segments'!$E$6+'Stage Demand'!$G$4*'Service Affinity'!$E$4*'Customer Segments'!$E$7+'Stage Demand'!$H$4*'Service Affinity'!$F$4*'Customer Segments'!$E$8+'Stage Demand'!$I$4*'Service Affinity'!$G$4*'Customer Segments'!$E$9+'Stage Demand'!$J$4*'Service Affinity'!$H$4*'Customer Segments'!$E$10)/N4</x:f>
        <x:v>0.3345858585858586</x:v>
      </x:c>
      <x:c r="T4" s="241" t="n">
        <x:f>('Stage Demand'!$D$4*'Service Affinity'!$B$4*'Customer Segments'!$F$4+'Stage Demand'!$E$4*'Service Affinity'!$C$4*'Customer Segments'!$F$5+'Stage Demand'!$F$4*'Service Affinity'!$D$4*'Customer Segments'!$F$6+'Stage Demand'!$G$4*'Service Affinity'!$E$4*'Customer Segments'!$F$7+'Stage Demand'!$H$4*'Service Affinity'!$F$4*'Customer Segments'!$F$8+'Stage Demand'!$I$4*'Service Affinity'!$G$4*'Customer Segments'!$F$9+'Stage Demand'!$J$4*'Service Affinity'!$H$4*'Customer Segments'!$F$10)/N4</x:f>
        <x:v>0.018478787878787876</x:v>
      </x:c>
      <x:c r="U4" s="200" t="n">
        <x:v>0.9</x:v>
      </x:c>
      <x:c r="V4" s="226" t="n">
        <x:f>MIN(J4,N4*O4*U4*('Model Assumptions'!$B$17+'Model Assumptions'!$B$18*'Model Assumptions'!$E$4)*('Model Assumptions'!$B$19+'Model Assumptions'!$B$20*'Model Assumptions'!$F$4)*'Model Assumptions'!$G$4*'Model Assumptions'!$H$4*'Model Assumptions'!$J$4)</x:f>
        <x:v>48.32249400000001</x:v>
      </x:c>
      <x:c r="W4" s="239" t="n">
        <x:f>V4/J4</x:f>
        <x:v>0.8053749000000002</x:v>
      </x:c>
      <x:c r="X4" s="226" t="n">
        <x:f>K4*W4*Q4*'Model Assumptions'!$I$4*'Model Assumptions'!$K$4</x:f>
        <x:v>23.121776462400007</x:v>
      </x:c>
      <x:c r="Y4" s="226" t="n">
        <x:f>X4*(1-M4)</x:f>
        <x:v>20.347163286912007</x:v>
      </x:c>
      <x:c r="Z4" s="226" t="n">
        <x:f>L4*W4*R4*'Model Assumptions'!$L$4</x:f>
        <x:v>3.485564946000001</x:v>
      </x:c>
      <x:c r="AA4" s="91" t="str">
        <x:v>Building figures from PLOT Building Balance v0.1; customer calibration is v0.1 internal assumption.</x:v>
      </x:c>
    </x:row>
    <x:row r="5">
      <x:c r="A5" s="90" t="n">
        <x:v>2</x:v>
      </x:c>
      <x:c r="B5" s="74" t="str">
        <x:v>Trading Booth</x:v>
      </x:c>
      <x:c r="C5" s="74" t="str">
        <x:v>Trading</x:v>
      </x:c>
      <x:c r="D5" s="74" t="str">
        <x:v>Humble</x:v>
      </x:c>
      <x:c r="E5" s="74" t="str">
        <x:v>Common</x:v>
      </x:c>
      <x:c r="F5" s="74" t="n">
        <x:v>2</x:v>
      </x:c>
      <x:c r="G5" s="74" t="str">
        <x:v>1x1</x:v>
      </x:c>
      <x:c r="H5" s="74" t="str">
        <x:v>Revenue</x:v>
      </x:c>
      <x:c r="I5" s="74" t="str">
        <x:v>High</x:v>
      </x:c>
      <x:c r="J5" s="226" t="n">
        <x:v>71</x:v>
      </x:c>
      <x:c r="K5" s="226" t="n">
        <x:v>50</x:v>
      </x:c>
      <x:c r="L5" s="226" t="n">
        <x:v>10</x:v>
      </x:c>
      <x:c r="M5" s="239" t="n">
        <x:v>0.12</x:v>
      </x:c>
      <x:c r="N5" s="240" t="n">
        <x:f>SUMPRODUCT('Stage Demand'!$D$4:$J$4,'Service Affinity'!$B$5:$H$5)</x:f>
        <x:v>1091</x:v>
      </x:c>
      <x:c r="O5" s="241" t="n">
        <x:f>'Model Assumptions'!$D$4</x:f>
        <x:v>0.04</x:v>
      </x:c>
      <x:c r="P5" s="242" t="n">
        <x:f>'Model Assumptions'!$F$4</x:f>
        <x:v>58</x:v>
      </x:c>
      <x:c r="Q5" s="243" t="n">
        <x:f>('Stage Demand'!$D$4*'Service Affinity'!$B$5*'Customer Segments'!$D$4+'Stage Demand'!$E$4*'Service Affinity'!$C$5*'Customer Segments'!$D$5+'Stage Demand'!$F$4*'Service Affinity'!$D$5*'Customer Segments'!$D$6+'Stage Demand'!$G$4*'Service Affinity'!$E$5*'Customer Segments'!$D$7+'Stage Demand'!$H$4*'Service Affinity'!$F$5*'Customer Segments'!$D$8+'Stage Demand'!$I$4*'Service Affinity'!$G$5*'Customer Segments'!$D$9+'Stage Demand'!$J$4*'Service Affinity'!$H$5*'Customer Segments'!$D$10)/N5</x:f>
        <x:v>1.076947754353804</x:v>
      </x:c>
      <x:c r="R5" s="243" t="n">
        <x:f>('Stage Demand'!$D$4*'Service Affinity'!$B$5*'Customer Segments'!$C$4+'Stage Demand'!$E$4*'Service Affinity'!$C$5*'Customer Segments'!$C$5+'Stage Demand'!$F$4*'Service Affinity'!$D$5*'Customer Segments'!$C$6+'Stage Demand'!$G$4*'Service Affinity'!$E$5*'Customer Segments'!$C$7+'Stage Demand'!$H$4*'Service Affinity'!$F$5*'Customer Segments'!$C$8+'Stage Demand'!$I$4*'Service Affinity'!$G$5*'Customer Segments'!$C$9+'Stage Demand'!$J$4*'Service Affinity'!$H$5*'Customer Segments'!$C$10)/N5</x:f>
        <x:v>1.2169110907424383</x:v>
      </x:c>
      <x:c r="S5" s="241" t="n">
        <x:f>('Stage Demand'!$D$4*'Service Affinity'!$B$5*'Customer Segments'!$E$4+'Stage Demand'!$E$4*'Service Affinity'!$C$5*'Customer Segments'!$E$5+'Stage Demand'!$F$4*'Service Affinity'!$D$5*'Customer Segments'!$E$6+'Stage Demand'!$G$4*'Service Affinity'!$E$5*'Customer Segments'!$E$7+'Stage Demand'!$H$4*'Service Affinity'!$F$5*'Customer Segments'!$E$8+'Stage Demand'!$I$4*'Service Affinity'!$G$5*'Customer Segments'!$E$9+'Stage Demand'!$J$4*'Service Affinity'!$H$5*'Customer Segments'!$E$10)/N5</x:f>
        <x:v>0.28603116406966084</x:v>
      </x:c>
      <x:c r="T5" s="241" t="n">
        <x:f>('Stage Demand'!$D$4*'Service Affinity'!$B$5*'Customer Segments'!$F$4+'Stage Demand'!$E$4*'Service Affinity'!$C$5*'Customer Segments'!$F$5+'Stage Demand'!$F$4*'Service Affinity'!$D$5*'Customer Segments'!$F$6+'Stage Demand'!$G$4*'Service Affinity'!$E$5*'Customer Segments'!$F$7+'Stage Demand'!$H$4*'Service Affinity'!$F$5*'Customer Segments'!$F$8+'Stage Demand'!$I$4*'Service Affinity'!$G$5*'Customer Segments'!$F$9+'Stage Demand'!$J$4*'Service Affinity'!$H$5*'Customer Segments'!$F$10)/N5</x:f>
        <x:v>0.02534097158570119</x:v>
      </x:c>
      <x:c r="U5" s="200" t="n">
        <x:v>0.9</x:v>
      </x:c>
      <x:c r="V5" s="226" t="n">
        <x:f>MIN(J5,N5*O5*U5*('Model Assumptions'!$B$17+'Model Assumptions'!$B$18*'Model Assumptions'!$E$4)*('Model Assumptions'!$B$19+'Model Assumptions'!$B$20*'Model Assumptions'!$F$4)*'Model Assumptions'!$G$4*'Model Assumptions'!$H$4*'Model Assumptions'!$J$4)</x:f>
        <x:v>42.60189168000001</x:v>
      </x:c>
      <x:c r="W5" s="239" t="n">
        <x:f>V5/J5</x:f>
        <x:v>0.6000266433802818</x:v>
      </x:c>
      <x:c r="X5" s="226" t="n">
        <x:f>K5*W5*Q5*'Model Assumptions'!$I$4*'Model Assumptions'!$K$4</x:f>
        <x:v>31.017472614760567</x:v>
      </x:c>
      <x:c r="Y5" s="226" t="n">
        <x:f>X5*(1-M5)</x:f>
        <x:v>27.2953759009893</x:v>
      </x:c>
      <x:c r="Z5" s="226" t="n">
        <x:f>L5*W5*R5*'Model Assumptions'!$L$4</x:f>
        <x:v>7.301790770704227</x:v>
      </x:c>
      <x:c r="AA5" s="91" t="str">
        <x:v>Building figures from PLOT Building Balance v0.1; customer calibration is v0.1 internal assumption.</x:v>
      </x:c>
    </x:row>
    <x:row r="6">
      <x:c r="A6" s="90" t="n">
        <x:v>3</x:v>
      </x:c>
      <x:c r="B6" s="74" t="str">
        <x:v>Savings Stand</x:v>
      </x:c>
      <x:c r="C6" s="74" t="str">
        <x:v>Banking</x:v>
      </x:c>
      <x:c r="D6" s="74" t="str">
        <x:v>Humble</x:v>
      </x:c>
      <x:c r="E6" s="74" t="str">
        <x:v>Common</x:v>
      </x:c>
      <x:c r="F6" s="74" t="n">
        <x:v>3</x:v>
      </x:c>
      <x:c r="G6" s="74" t="str">
        <x:v>1x1</x:v>
      </x:c>
      <x:c r="H6" s="74" t="str">
        <x:v>Balanced</x:v>
      </x:c>
      <x:c r="I6" s="74" t="str">
        <x:v>Low</x:v>
      </x:c>
      <x:c r="J6" s="226" t="n">
        <x:v>85</x:v>
      </x:c>
      <x:c r="K6" s="226" t="n">
        <x:v>53</x:v>
      </x:c>
      <x:c r="L6" s="226" t="n">
        <x:v>10</x:v>
      </x:c>
      <x:c r="M6" s="239" t="n">
        <x:v>0.12</x:v>
      </x:c>
      <x:c r="N6" s="240" t="n">
        <x:f>SUMPRODUCT('Stage Demand'!$D$4:$J$4,'Service Affinity'!$B$6:$H$6)</x:f>
        <x:v>1607</x:v>
      </x:c>
      <x:c r="O6" s="241" t="n">
        <x:f>'Model Assumptions'!$D$4</x:f>
        <x:v>0.04</x:v>
      </x:c>
      <x:c r="P6" s="242" t="n">
        <x:f>'Model Assumptions'!$F$4</x:f>
        <x:v>58</x:v>
      </x:c>
      <x:c r="Q6" s="243" t="n">
        <x:f>('Stage Demand'!$D$4*'Service Affinity'!$B$6*'Customer Segments'!$D$4+'Stage Demand'!$E$4*'Service Affinity'!$C$6*'Customer Segments'!$D$5+'Stage Demand'!$F$4*'Service Affinity'!$D$6*'Customer Segments'!$D$6+'Stage Demand'!$G$4*'Service Affinity'!$E$6*'Customer Segments'!$D$7+'Stage Demand'!$H$4*'Service Affinity'!$F$6*'Customer Segments'!$D$8+'Stage Demand'!$I$4*'Service Affinity'!$G$6*'Customer Segments'!$D$9+'Stage Demand'!$J$4*'Service Affinity'!$H$6*'Customer Segments'!$D$10)/N6</x:f>
        <x:v>0.9300871188550094</x:v>
      </x:c>
      <x:c r="R6" s="243" t="n">
        <x:f>('Stage Demand'!$D$4*'Service Affinity'!$B$6*'Customer Segments'!$C$4+'Stage Demand'!$E$4*'Service Affinity'!$C$6*'Customer Segments'!$C$5+'Stage Demand'!$F$4*'Service Affinity'!$D$6*'Customer Segments'!$C$6+'Stage Demand'!$G$4*'Service Affinity'!$E$6*'Customer Segments'!$C$7+'Stage Demand'!$H$4*'Service Affinity'!$F$6*'Customer Segments'!$C$8+'Stage Demand'!$I$4*'Service Affinity'!$G$6*'Customer Segments'!$C$9+'Stage Demand'!$J$4*'Service Affinity'!$H$6*'Customer Segments'!$C$10)/N6</x:f>
        <x:v>0.7916303671437461</x:v>
      </x:c>
      <x:c r="S6" s="241" t="n">
        <x:f>('Stage Demand'!$D$4*'Service Affinity'!$B$6*'Customer Segments'!$E$4+'Stage Demand'!$E$4*'Service Affinity'!$C$6*'Customer Segments'!$E$5+'Stage Demand'!$F$4*'Service Affinity'!$D$6*'Customer Segments'!$E$6+'Stage Demand'!$G$4*'Service Affinity'!$E$6*'Customer Segments'!$E$7+'Stage Demand'!$H$4*'Service Affinity'!$F$6*'Customer Segments'!$E$8+'Stage Demand'!$I$4*'Service Affinity'!$G$6*'Customer Segments'!$E$9+'Stage Demand'!$J$4*'Service Affinity'!$H$6*'Customer Segments'!$E$10)/N6</x:f>
        <x:v>0.31294337274424394</x:v>
      </x:c>
      <x:c r="T6" s="241" t="n">
        <x:f>('Stage Demand'!$D$4*'Service Affinity'!$B$6*'Customer Segments'!$F$4+'Stage Demand'!$E$4*'Service Affinity'!$C$6*'Customer Segments'!$F$5+'Stage Demand'!$F$4*'Service Affinity'!$D$6*'Customer Segments'!$F$6+'Stage Demand'!$G$4*'Service Affinity'!$E$6*'Customer Segments'!$F$7+'Stage Demand'!$H$4*'Service Affinity'!$F$6*'Customer Segments'!$F$8+'Stage Demand'!$I$4*'Service Affinity'!$G$6*'Customer Segments'!$F$9+'Stage Demand'!$J$4*'Service Affinity'!$H$6*'Customer Segments'!$F$10)/N6</x:f>
        <x:v>0.018204729309271934</x:v>
      </x:c>
      <x:c r="U6" s="200" t="n">
        <x:v>0.9</x:v>
      </x:c>
      <x:c r="V6" s="226" t="n">
        <x:f>MIN(J6,N6*O6*U6*('Model Assumptions'!$B$17+'Model Assumptions'!$B$18*'Model Assumptions'!$E$4)*('Model Assumptions'!$B$19+'Model Assumptions'!$B$20*'Model Assumptions'!$F$4)*'Model Assumptions'!$G$4*'Model Assumptions'!$H$4*'Model Assumptions'!$J$4)</x:f>
        <x:v>62.750907360000014</x:v>
      </x:c>
      <x:c r="W6" s="239" t="n">
        <x:f>V6/J6</x:f>
        <x:v>0.7382459689411767</x:v>
      </x:c>
      <x:c r="X6" s="226" t="n">
        <x:f>K6*W6*Q6*'Model Assumptions'!$I$4*'Model Assumptions'!$K$4</x:f>
        <x:v>34.93589041124895</x:v>
      </x:c>
      <x:c r="Y6" s="226" t="n">
        <x:f>X6*(1-M6)</x:f>
        <x:v>30.743583561899076</x:v>
      </x:c>
      <x:c r="Z6" s="226" t="n">
        <x:f>L6*W6*R6*'Model Assumptions'!$L$4</x:f>
        <x:v>5.844179274352943</x:v>
      </x:c>
      <x:c r="AA6" s="91" t="str">
        <x:v>Building figures from PLOT Building Balance v0.1; customer calibration is v0.1 internal assumption.</x:v>
      </x:c>
    </x:row>
    <x:row r="7">
      <x:c r="A7" s="90" t="n">
        <x:v>4</x:v>
      </x:c>
      <x:c r="B7" s="74" t="str">
        <x:v>Mini Brokerage Desk</x:v>
      </x:c>
      <x:c r="C7" s="74" t="str">
        <x:v>Brokerage</x:v>
      </x:c>
      <x:c r="D7" s="74" t="str">
        <x:v>Humble</x:v>
      </x:c>
      <x:c r="E7" s="74" t="str">
        <x:v>Common</x:v>
      </x:c>
      <x:c r="F7" s="74" t="n">
        <x:v>4</x:v>
      </x:c>
      <x:c r="G7" s="74" t="str">
        <x:v>1x1</x:v>
      </x:c>
      <x:c r="H7" s="74" t="str">
        <x:v>Revenue</x:v>
      </x:c>
      <x:c r="I7" s="74" t="str">
        <x:v>Medium</x:v>
      </x:c>
      <x:c r="J7" s="226" t="n">
        <x:v>101</x:v>
      </x:c>
      <x:c r="K7" s="226" t="n">
        <x:v>67</x:v>
      </x:c>
      <x:c r="L7" s="226" t="n">
        <x:v>14</x:v>
      </x:c>
      <x:c r="M7" s="239" t="n">
        <x:v>0.12</x:v>
      </x:c>
      <x:c r="N7" s="240" t="n">
        <x:f>SUMPRODUCT('Stage Demand'!$D$4:$J$4,'Service Affinity'!$B$7:$H$7)</x:f>
        <x:v>1304</x:v>
      </x:c>
      <x:c r="O7" s="241" t="n">
        <x:f>'Model Assumptions'!$D$4</x:f>
        <x:v>0.04</x:v>
      </x:c>
      <x:c r="P7" s="242" t="n">
        <x:f>'Model Assumptions'!$F$4</x:f>
        <x:v>58</x:v>
      </x:c>
      <x:c r="Q7" s="243" t="n">
        <x:f>('Stage Demand'!$D$4*'Service Affinity'!$B$7*'Customer Segments'!$D$4+'Stage Demand'!$E$4*'Service Affinity'!$C$7*'Customer Segments'!$D$5+'Stage Demand'!$F$4*'Service Affinity'!$D$7*'Customer Segments'!$D$6+'Stage Demand'!$G$4*'Service Affinity'!$E$7*'Customer Segments'!$D$7+'Stage Demand'!$H$4*'Service Affinity'!$F$7*'Customer Segments'!$D$8+'Stage Demand'!$I$4*'Service Affinity'!$G$7*'Customer Segments'!$D$9+'Stage Demand'!$J$4*'Service Affinity'!$H$7*'Customer Segments'!$D$10)/N7</x:f>
        <x:v>1.075958588957055</x:v>
      </x:c>
      <x:c r="R7" s="243" t="n">
        <x:f>('Stage Demand'!$D$4*'Service Affinity'!$B$7*'Customer Segments'!$C$4+'Stage Demand'!$E$4*'Service Affinity'!$C$7*'Customer Segments'!$C$5+'Stage Demand'!$F$4*'Service Affinity'!$D$7*'Customer Segments'!$C$6+'Stage Demand'!$G$4*'Service Affinity'!$E$7*'Customer Segments'!$C$7+'Stage Demand'!$H$4*'Service Affinity'!$F$7*'Customer Segments'!$C$8+'Stage Demand'!$I$4*'Service Affinity'!$G$7*'Customer Segments'!$C$9+'Stage Demand'!$J$4*'Service Affinity'!$H$7*'Customer Segments'!$C$10)/N7</x:f>
        <x:v>1.1639187116564418</x:v>
      </x:c>
      <x:c r="S7" s="241" t="n">
        <x:f>('Stage Demand'!$D$4*'Service Affinity'!$B$7*'Customer Segments'!$E$4+'Stage Demand'!$E$4*'Service Affinity'!$C$7*'Customer Segments'!$E$5+'Stage Demand'!$F$4*'Service Affinity'!$D$7*'Customer Segments'!$E$6+'Stage Demand'!$G$4*'Service Affinity'!$E$7*'Customer Segments'!$E$7+'Stage Demand'!$H$4*'Service Affinity'!$F$7*'Customer Segments'!$E$8+'Stage Demand'!$I$4*'Service Affinity'!$G$7*'Customer Segments'!$E$9+'Stage Demand'!$J$4*'Service Affinity'!$H$7*'Customer Segments'!$E$10)/N7</x:f>
        <x:v>0.2850920245398773</x:v>
      </x:c>
      <x:c r="T7" s="241" t="n">
        <x:f>('Stage Demand'!$D$4*'Service Affinity'!$B$7*'Customer Segments'!$F$4+'Stage Demand'!$E$4*'Service Affinity'!$C$7*'Customer Segments'!$F$5+'Stage Demand'!$F$4*'Service Affinity'!$D$7*'Customer Segments'!$F$6+'Stage Demand'!$G$4*'Service Affinity'!$E$7*'Customer Segments'!$F$7+'Stage Demand'!$H$4*'Service Affinity'!$F$7*'Customer Segments'!$F$8+'Stage Demand'!$I$4*'Service Affinity'!$G$7*'Customer Segments'!$F$9+'Stage Demand'!$J$4*'Service Affinity'!$H$7*'Customer Segments'!$F$10)/N7</x:f>
        <x:v>0.024008435582822087</x:v>
      </x:c>
      <x:c r="U7" s="200" t="n">
        <x:v>0.9</x:v>
      </x:c>
      <x:c r="V7" s="226" t="n">
        <x:f>MIN(J7,N7*O7*U7*('Model Assumptions'!$B$17+'Model Assumptions'!$B$18*'Model Assumptions'!$E$4)*('Model Assumptions'!$B$19+'Model Assumptions'!$B$20*'Model Assumptions'!$F$4)*'Model Assumptions'!$G$4*'Model Assumptions'!$H$4*'Model Assumptions'!$J$4)</x:f>
        <x:v>50.91921792000001</x:v>
      </x:c>
      <x:c r="W7" s="239" t="n">
        <x:f>V7/J7</x:f>
        <x:v>0.5041506724752476</x:v>
      </x:c>
      <x:c r="X7" s="226" t="n">
        <x:f>K7*W7*Q7*'Model Assumptions'!$I$4*'Model Assumptions'!$K$4</x:f>
        <x:v>34.89007823418297</x:v>
      </x:c>
      <x:c r="Y7" s="226" t="n">
        <x:f>X7*(1-M7)</x:f>
        <x:v>30.703268846081016</x:v>
      </x:c>
      <x:c r="Z7" s="226" t="n">
        <x:f>L7*W7*R7*'Model Assumptions'!$L$4</x:f>
        <x:v>8.215065616633664</x:v>
      </x:c>
      <x:c r="AA7" s="91" t="str">
        <x:v>Building figures from PLOT Building Balance v0.1; customer calibration is v0.1 internal assumption.</x:v>
      </x:c>
    </x:row>
    <x:row r="8">
      <x:c r="A8" s="90" t="n">
        <x:v>5</x:v>
      </x:c>
      <x:c r="B8" s="74" t="str">
        <x:v>Market Info Kiosk</x:v>
      </x:c>
      <x:c r="C8" s="74" t="str">
        <x:v>Research</x:v>
      </x:c>
      <x:c r="D8" s="74" t="str">
        <x:v>Humble</x:v>
      </x:c>
      <x:c r="E8" s="74" t="str">
        <x:v>Common</x:v>
      </x:c>
      <x:c r="F8" s="74" t="n">
        <x:v>5</x:v>
      </x:c>
      <x:c r="G8" s="74" t="str">
        <x:v>1x1</x:v>
      </x:c>
      <x:c r="H8" s="74" t="str">
        <x:v>Utility</x:v>
      </x:c>
      <x:c r="I8" s="74" t="str">
        <x:v>Medium</x:v>
      </x:c>
      <x:c r="J8" s="226" t="n">
        <x:v>120</x:v>
      </x:c>
      <x:c r="K8" s="226" t="n">
        <x:v>55</x:v>
      </x:c>
      <x:c r="L8" s="226" t="n">
        <x:v>12</x:v>
      </x:c>
      <x:c r="M8" s="239" t="n">
        <x:v>0.12</x:v>
      </x:c>
      <x:c r="N8" s="240" t="n">
        <x:f>SUMPRODUCT('Stage Demand'!$D$4:$J$4,'Service Affinity'!$B$8:$H$8)</x:f>
        <x:v>917</x:v>
      </x:c>
      <x:c r="O8" s="241" t="n">
        <x:f>'Model Assumptions'!$D$4</x:f>
        <x:v>0.04</x:v>
      </x:c>
      <x:c r="P8" s="242" t="n">
        <x:f>'Model Assumptions'!$F$4</x:f>
        <x:v>58</x:v>
      </x:c>
      <x:c r="Q8" s="243" t="n">
        <x:f>('Stage Demand'!$D$4*'Service Affinity'!$B$8*'Customer Segments'!$D$4+'Stage Demand'!$E$4*'Service Affinity'!$C$8*'Customer Segments'!$D$5+'Stage Demand'!$F$4*'Service Affinity'!$D$8*'Customer Segments'!$D$6+'Stage Demand'!$G$4*'Service Affinity'!$E$8*'Customer Segments'!$D$7+'Stage Demand'!$H$4*'Service Affinity'!$F$8*'Customer Segments'!$D$8+'Stage Demand'!$I$4*'Service Affinity'!$G$8*'Customer Segments'!$D$9+'Stage Demand'!$J$4*'Service Affinity'!$H$8*'Customer Segments'!$D$10)/N8</x:f>
        <x:v>1.1190294438386041</x:v>
      </x:c>
      <x:c r="R8" s="243" t="n">
        <x:f>('Stage Demand'!$D$4*'Service Affinity'!$B$8*'Customer Segments'!$C$4+'Stage Demand'!$E$4*'Service Affinity'!$C$8*'Customer Segments'!$C$5+'Stage Demand'!$F$4*'Service Affinity'!$D$8*'Customer Segments'!$C$6+'Stage Demand'!$G$4*'Service Affinity'!$E$8*'Customer Segments'!$C$7+'Stage Demand'!$H$4*'Service Affinity'!$F$8*'Customer Segments'!$C$8+'Stage Demand'!$I$4*'Service Affinity'!$G$8*'Customer Segments'!$C$9+'Stage Demand'!$J$4*'Service Affinity'!$H$8*'Customer Segments'!$C$10)/N8</x:f>
        <x:v>1.2207742639040349</x:v>
      </x:c>
      <x:c r="S8" s="241" t="n">
        <x:f>('Stage Demand'!$D$4*'Service Affinity'!$B$8*'Customer Segments'!$E$4+'Stage Demand'!$E$4*'Service Affinity'!$C$8*'Customer Segments'!$E$5+'Stage Demand'!$F$4*'Service Affinity'!$D$8*'Customer Segments'!$E$6+'Stage Demand'!$G$4*'Service Affinity'!$E$8*'Customer Segments'!$E$7+'Stage Demand'!$H$4*'Service Affinity'!$F$8*'Customer Segments'!$E$8+'Stage Demand'!$I$4*'Service Affinity'!$G$8*'Customer Segments'!$E$9+'Stage Demand'!$J$4*'Service Affinity'!$H$8*'Customer Segments'!$E$10)/N8</x:f>
        <x:v>0.27365321701199563</x:v>
      </x:c>
      <x:c r="T8" s="241" t="n">
        <x:f>('Stage Demand'!$D$4*'Service Affinity'!$B$8*'Customer Segments'!$F$4+'Stage Demand'!$E$4*'Service Affinity'!$C$8*'Customer Segments'!$F$5+'Stage Demand'!$F$4*'Service Affinity'!$D$8*'Customer Segments'!$F$6+'Stage Demand'!$G$4*'Service Affinity'!$E$8*'Customer Segments'!$F$7+'Stage Demand'!$H$4*'Service Affinity'!$F$8*'Customer Segments'!$F$8+'Stage Demand'!$I$4*'Service Affinity'!$G$8*'Customer Segments'!$F$9+'Stage Demand'!$J$4*'Service Affinity'!$H$8*'Customer Segments'!$F$10)/N8</x:f>
        <x:v>0.024059978189749177</x:v>
      </x:c>
      <x:c r="U8" s="200" t="n">
        <x:v>0.9</x:v>
      </x:c>
      <x:c r="V8" s="226" t="n">
        <x:f>MIN(J8,N8*O8*U8*('Model Assumptions'!$B$17+'Model Assumptions'!$B$18*'Model Assumptions'!$E$4)*('Model Assumptions'!$B$19+'Model Assumptions'!$B$20*'Model Assumptions'!$F$4)*'Model Assumptions'!$G$4*'Model Assumptions'!$H$4*'Model Assumptions'!$J$4)</x:f>
        <x:v>35.80745616000001</x:v>
      </x:c>
      <x:c r="W8" s="239" t="n">
        <x:f>V8/J8</x:f>
        <x:v>0.29839546800000005</x:v>
      </x:c>
      <x:c r="X8" s="226" t="n">
        <x:f>K8*W8*Q8*'Model Assumptions'!$I$4*'Model Assumptions'!$K$4</x:f>
        <x:v>17.63062301088</x:v>
      </x:c>
      <x:c r="Y8" s="226" t="n">
        <x:f>X8*(1-M8)</x:f>
        <x:v>15.5149482495744</x:v>
      </x:c>
      <x:c r="Z8" s="226" t="n">
        <x:f>L8*W8*R8*'Model Assumptions'!$L$4</x:f>
        <x:v>4.3712820936000005</x:v>
      </x:c>
      <x:c r="AA8" s="91" t="str">
        <x:v>Building figures from PLOT Building Balance v0.1; customer calibration is v0.1 internal assumption.</x:v>
      </x:c>
    </x:row>
    <x:row r="9">
      <x:c r="A9" s="90" t="n">
        <x:v>6</x:v>
      </x:c>
      <x:c r="B9" s="74" t="str">
        <x:v>Micro Loan Booth</x:v>
      </x:c>
      <x:c r="C9" s="74" t="str">
        <x:v>Lending</x:v>
      </x:c>
      <x:c r="D9" s="74" t="str">
        <x:v>Humble</x:v>
      </x:c>
      <x:c r="E9" s="74" t="str">
        <x:v>Common</x:v>
      </x:c>
      <x:c r="F9" s="74" t="n">
        <x:v>6</x:v>
      </x:c>
      <x:c r="G9" s="74" t="str">
        <x:v>1x1</x:v>
      </x:c>
      <x:c r="H9" s="74" t="str">
        <x:v>Revenue</x:v>
      </x:c>
      <x:c r="I9" s="74" t="str">
        <x:v>High</x:v>
      </x:c>
      <x:c r="J9" s="226" t="n">
        <x:v>143</x:v>
      </x:c>
      <x:c r="K9" s="226" t="n">
        <x:v>94</x:v>
      </x:c>
      <x:c r="L9" s="226" t="n">
        <x:v>17</x:v>
      </x:c>
      <x:c r="M9" s="239" t="n">
        <x:v>0.12</x:v>
      </x:c>
      <x:c r="N9" s="240" t="n">
        <x:f>SUMPRODUCT('Stage Demand'!$D$4:$J$4,'Service Affinity'!$B$9:$H$9)</x:f>
        <x:v>1285</x:v>
      </x:c>
      <x:c r="O9" s="241" t="n">
        <x:f>'Model Assumptions'!$D$4</x:f>
        <x:v>0.04</x:v>
      </x:c>
      <x:c r="P9" s="242" t="n">
        <x:f>'Model Assumptions'!$F$4</x:f>
        <x:v>58</x:v>
      </x:c>
      <x:c r="Q9" s="243" t="n">
        <x:f>('Stage Demand'!$D$4*'Service Affinity'!$B$9*'Customer Segments'!$D$4+'Stage Demand'!$E$4*'Service Affinity'!$C$9*'Customer Segments'!$D$5+'Stage Demand'!$F$4*'Service Affinity'!$D$9*'Customer Segments'!$D$6+'Stage Demand'!$G$4*'Service Affinity'!$E$9*'Customer Segments'!$D$7+'Stage Demand'!$H$4*'Service Affinity'!$F$9*'Customer Segments'!$D$8+'Stage Demand'!$I$4*'Service Affinity'!$G$9*'Customer Segments'!$D$9+'Stage Demand'!$J$4*'Service Affinity'!$H$9*'Customer Segments'!$D$10)/N9</x:f>
        <x:v>0.935408560311284</x:v>
      </x:c>
      <x:c r="R9" s="243" t="n">
        <x:f>('Stage Demand'!$D$4*'Service Affinity'!$B$9*'Customer Segments'!$C$4+'Stage Demand'!$E$4*'Service Affinity'!$C$9*'Customer Segments'!$C$5+'Stage Demand'!$F$4*'Service Affinity'!$D$9*'Customer Segments'!$C$6+'Stage Demand'!$G$4*'Service Affinity'!$E$9*'Customer Segments'!$C$7+'Stage Demand'!$H$4*'Service Affinity'!$F$9*'Customer Segments'!$C$8+'Stage Demand'!$I$4*'Service Affinity'!$G$9*'Customer Segments'!$C$9+'Stage Demand'!$J$4*'Service Affinity'!$H$9*'Customer Segments'!$C$10)/N9</x:f>
        <x:v>0.7730739299610895</x:v>
      </x:c>
      <x:c r="S9" s="241" t="n">
        <x:f>('Stage Demand'!$D$4*'Service Affinity'!$B$9*'Customer Segments'!$E$4+'Stage Demand'!$E$4*'Service Affinity'!$C$9*'Customer Segments'!$E$5+'Stage Demand'!$F$4*'Service Affinity'!$D$9*'Customer Segments'!$E$6+'Stage Demand'!$G$4*'Service Affinity'!$E$9*'Customer Segments'!$E$7+'Stage Demand'!$H$4*'Service Affinity'!$F$9*'Customer Segments'!$E$8+'Stage Demand'!$I$4*'Service Affinity'!$G$9*'Customer Segments'!$E$9+'Stage Demand'!$J$4*'Service Affinity'!$H$9*'Customer Segments'!$E$10)/N9</x:f>
        <x:v>0.30725291828793777</x:v>
      </x:c>
      <x:c r="T9" s="241" t="n">
        <x:f>('Stage Demand'!$D$4*'Service Affinity'!$B$9*'Customer Segments'!$F$4+'Stage Demand'!$E$4*'Service Affinity'!$C$9*'Customer Segments'!$F$5+'Stage Demand'!$F$4*'Service Affinity'!$D$9*'Customer Segments'!$F$6+'Stage Demand'!$G$4*'Service Affinity'!$E$9*'Customer Segments'!$F$7+'Stage Demand'!$H$4*'Service Affinity'!$F$9*'Customer Segments'!$F$8+'Stage Demand'!$I$4*'Service Affinity'!$G$9*'Customer Segments'!$F$9+'Stage Demand'!$J$4*'Service Affinity'!$H$9*'Customer Segments'!$F$10)/N9</x:f>
        <x:v>0.017598443579766535</x:v>
      </x:c>
      <x:c r="U9" s="200" t="n">
        <x:v>0.9</x:v>
      </x:c>
      <x:c r="V9" s="226" t="n">
        <x:f>MIN(J9,N9*O9*U9*('Model Assumptions'!$B$17+'Model Assumptions'!$B$18*'Model Assumptions'!$E$4)*('Model Assumptions'!$B$19+'Model Assumptions'!$B$20*'Model Assumptions'!$F$4)*'Model Assumptions'!$G$4*'Model Assumptions'!$H$4*'Model Assumptions'!$J$4)</x:f>
        <x:v>50.1772968</x:v>
      </x:c>
      <x:c r="W9" s="239" t="n">
        <x:f>V9/J9</x:f>
        <x:v>0.35089018741258743</x:v>
      </x:c>
      <x:c r="X9" s="226" t="n">
        <x:f>K9*W9*Q9*'Model Assumptions'!$I$4*'Model Assumptions'!$K$4</x:f>
        <x:v>29.619085817555245</x:v>
      </x:c>
      <x:c r="Y9" s="226" t="n">
        <x:f>X9*(1-M9)</x:f>
        <x:v>26.064795519448616</x:v>
      </x:c>
      <x:c r="Z9" s="226" t="n">
        <x:f>L9*W9*R9*'Model Assumptions'!$L$4</x:f>
        <x:v>4.611488954853147</x:v>
      </x:c>
      <x:c r="AA9" s="91" t="str">
        <x:v>Building figures from PLOT Building Balance v0.1; customer calibration is v0.1 internal assumption.</x:v>
      </x:c>
    </x:row>
    <x:row r="10">
      <x:c r="A10" s="90" t="n">
        <x:v>7</x:v>
      </x:c>
      <x:c r="B10" s="74" t="str">
        <x:v>Currency Exchange Stand</x:v>
      </x:c>
      <x:c r="C10" s="74" t="str">
        <x:v>FX</x:v>
      </x:c>
      <x:c r="D10" s="74" t="str">
        <x:v>Humble</x:v>
      </x:c>
      <x:c r="E10" s="74" t="str">
        <x:v>Common</x:v>
      </x:c>
      <x:c r="F10" s="74" t="n">
        <x:v>7</x:v>
      </x:c>
      <x:c r="G10" s="74" t="str">
        <x:v>1x1</x:v>
      </x:c>
      <x:c r="H10" s="74" t="str">
        <x:v>Revenue</x:v>
      </x:c>
      <x:c r="I10" s="74" t="str">
        <x:v>High</x:v>
      </x:c>
      <x:c r="J10" s="226" t="n">
        <x:v>170</x:v>
      </x:c>
      <x:c r="K10" s="226" t="n">
        <x:v>114</x:v>
      </x:c>
      <x:c r="L10" s="226" t="n">
        <x:v>22</x:v>
      </x:c>
      <x:c r="M10" s="239" t="n">
        <x:v>0.12</x:v>
      </x:c>
      <x:c r="N10" s="240" t="n">
        <x:f>SUMPRODUCT('Stage Demand'!$D$4:$J$4,'Service Affinity'!$B$10:$H$10)</x:f>
        <x:v>1346</x:v>
      </x:c>
      <x:c r="O10" s="241" t="n">
        <x:f>'Model Assumptions'!$D$4</x:f>
        <x:v>0.04</x:v>
      </x:c>
      <x:c r="P10" s="242" t="n">
        <x:f>'Model Assumptions'!$F$4</x:f>
        <x:v>58</x:v>
      </x:c>
      <x:c r="Q10" s="243" t="n">
        <x:f>('Stage Demand'!$D$4*'Service Affinity'!$B$10*'Customer Segments'!$D$4+'Stage Demand'!$E$4*'Service Affinity'!$C$10*'Customer Segments'!$D$5+'Stage Demand'!$F$4*'Service Affinity'!$D$10*'Customer Segments'!$D$6+'Stage Demand'!$G$4*'Service Affinity'!$E$10*'Customer Segments'!$D$7+'Stage Demand'!$H$4*'Service Affinity'!$F$10*'Customer Segments'!$D$8+'Stage Demand'!$I$4*'Service Affinity'!$G$10*'Customer Segments'!$D$9+'Stage Demand'!$J$4*'Service Affinity'!$H$10*'Customer Segments'!$D$10)/N10</x:f>
        <x:v>0.9670876671619614</x:v>
      </x:c>
      <x:c r="R10" s="243" t="n">
        <x:f>('Stage Demand'!$D$4*'Service Affinity'!$B$10*'Customer Segments'!$C$4+'Stage Demand'!$E$4*'Service Affinity'!$C$10*'Customer Segments'!$C$5+'Stage Demand'!$F$4*'Service Affinity'!$D$10*'Customer Segments'!$C$6+'Stage Demand'!$G$4*'Service Affinity'!$E$10*'Customer Segments'!$C$7+'Stage Demand'!$H$4*'Service Affinity'!$F$10*'Customer Segments'!$C$8+'Stage Demand'!$I$4*'Service Affinity'!$G$10*'Customer Segments'!$C$9+'Stage Demand'!$J$4*'Service Affinity'!$H$10*'Customer Segments'!$C$10)/N10</x:f>
        <x:v>0.9091381872213967</x:v>
      </x:c>
      <x:c r="S10" s="241" t="n">
        <x:f>('Stage Demand'!$D$4*'Service Affinity'!$B$10*'Customer Segments'!$E$4+'Stage Demand'!$E$4*'Service Affinity'!$C$10*'Customer Segments'!$E$5+'Stage Demand'!$F$4*'Service Affinity'!$D$10*'Customer Segments'!$E$6+'Stage Demand'!$G$4*'Service Affinity'!$E$10*'Customer Segments'!$E$7+'Stage Demand'!$H$4*'Service Affinity'!$F$10*'Customer Segments'!$E$8+'Stage Demand'!$I$4*'Service Affinity'!$G$10*'Customer Segments'!$E$9+'Stage Demand'!$J$4*'Service Affinity'!$H$10*'Customer Segments'!$E$10)/N10</x:f>
        <x:v>0.30549777117384846</x:v>
      </x:c>
      <x:c r="T10" s="241" t="n">
        <x:f>('Stage Demand'!$D$4*'Service Affinity'!$B$10*'Customer Segments'!$F$4+'Stage Demand'!$E$4*'Service Affinity'!$C$10*'Customer Segments'!$F$5+'Stage Demand'!$F$4*'Service Affinity'!$D$10*'Customer Segments'!$F$6+'Stage Demand'!$G$4*'Service Affinity'!$E$10*'Customer Segments'!$F$7+'Stage Demand'!$H$4*'Service Affinity'!$F$10*'Customer Segments'!$F$8+'Stage Demand'!$I$4*'Service Affinity'!$G$10*'Customer Segments'!$F$9+'Stage Demand'!$J$4*'Service Affinity'!$H$10*'Customer Segments'!$F$10)/N10</x:f>
        <x:v>0.02025260029717682</x:v>
      </x:c>
      <x:c r="U10" s="200" t="n">
        <x:v>0.9</x:v>
      </x:c>
      <x:c r="V10" s="226" t="n">
        <x:f>MIN(J10,N10*O10*U10*('Model Assumptions'!$B$17+'Model Assumptions'!$B$18*'Model Assumptions'!$E$4)*('Model Assumptions'!$B$19+'Model Assumptions'!$B$20*'Model Assumptions'!$F$4)*'Model Assumptions'!$G$4*'Model Assumptions'!$H$4*'Model Assumptions'!$J$4)</x:f>
        <x:v>52.55925408000001</x:v>
      </x:c>
      <x:c r="W10" s="239" t="n">
        <x:f>V10/J10</x:f>
        <x:v>0.3091720828235295</x:v>
      </x:c>
      <x:c r="X10" s="226" t="n">
        <x:f>K10*W10*Q10*'Model Assumptions'!$I$4*'Model Assumptions'!$K$4</x:f>
        <x:v>32.72217787157083</x:v>
      </x:c>
      <x:c r="Y10" s="226" t="n">
        <x:f>X10*(1-M10)</x:f>
        <x:v>28.79551652698233</x:v>
      </x:c>
      <x:c r="Z10" s="226" t="n">
        <x:f>L10*W10*R10*'Model Assumptions'!$L$4</x:f>
        <x:v>6.1837632321882365</x:v>
      </x:c>
      <x:c r="AA10" s="91" t="str">
        <x:v>Building figures from PLOT Building Balance v0.1; customer calibration is v0.1 internal assumption.</x:v>
      </x:c>
    </x:row>
    <x:row r="11">
      <x:c r="A11" s="90" t="n">
        <x:v>8</x:v>
      </x:c>
      <x:c r="B11" s="74" t="str">
        <x:v>Insurance Desk</x:v>
      </x:c>
      <x:c r="C11" s="74" t="str">
        <x:v>Insurance</x:v>
      </x:c>
      <x:c r="D11" s="74" t="str">
        <x:v>Humble</x:v>
      </x:c>
      <x:c r="E11" s="74" t="str">
        <x:v>Common</x:v>
      </x:c>
      <x:c r="F11" s="74" t="n">
        <x:v>8</x:v>
      </x:c>
      <x:c r="G11" s="74" t="str">
        <x:v>1x1</x:v>
      </x:c>
      <x:c r="H11" s="74" t="str">
        <x:v>Balanced</x:v>
      </x:c>
      <x:c r="I11" s="74" t="str">
        <x:v>Low</x:v>
      </x:c>
      <x:c r="J11" s="226" t="n">
        <x:v>203</x:v>
      </x:c>
      <x:c r="K11" s="226" t="n">
        <x:v>119</x:v>
      </x:c>
      <x:c r="L11" s="226" t="n">
        <x:v>21</x:v>
      </x:c>
      <x:c r="M11" s="239" t="n">
        <x:v>0.12</x:v>
      </x:c>
      <x:c r="N11" s="240" t="n">
        <x:f>SUMPRODUCT('Stage Demand'!$D$4:$J$4,'Service Affinity'!$B$11:$H$11)</x:f>
        <x:v>1522</x:v>
      </x:c>
      <x:c r="O11" s="241" t="n">
        <x:f>'Model Assumptions'!$D$4</x:f>
        <x:v>0.04</x:v>
      </x:c>
      <x:c r="P11" s="242" t="n">
        <x:f>'Model Assumptions'!$F$4</x:f>
        <x:v>58</x:v>
      </x:c>
      <x:c r="Q11" s="243" t="n">
        <x:f>('Stage Demand'!$D$4*'Service Affinity'!$B$11*'Customer Segments'!$D$4+'Stage Demand'!$E$4*'Service Affinity'!$C$11*'Customer Segments'!$D$5+'Stage Demand'!$F$4*'Service Affinity'!$D$11*'Customer Segments'!$D$6+'Stage Demand'!$G$4*'Service Affinity'!$E$11*'Customer Segments'!$D$7+'Stage Demand'!$H$4*'Service Affinity'!$F$11*'Customer Segments'!$D$8+'Stage Demand'!$I$4*'Service Affinity'!$G$11*'Customer Segments'!$D$9+'Stage Demand'!$J$4*'Service Affinity'!$H$11*'Customer Segments'!$D$10)/N11</x:f>
        <x:v>0.9373521681997371</x:v>
      </x:c>
      <x:c r="R11" s="243" t="n">
        <x:f>('Stage Demand'!$D$4*'Service Affinity'!$B$11*'Customer Segments'!$C$4+'Stage Demand'!$E$4*'Service Affinity'!$C$11*'Customer Segments'!$C$5+'Stage Demand'!$F$4*'Service Affinity'!$D$11*'Customer Segments'!$C$6+'Stage Demand'!$G$4*'Service Affinity'!$E$11*'Customer Segments'!$C$7+'Stage Demand'!$H$4*'Service Affinity'!$F$11*'Customer Segments'!$C$8+'Stage Demand'!$I$4*'Service Affinity'!$G$11*'Customer Segments'!$C$9+'Stage Demand'!$J$4*'Service Affinity'!$H$11*'Customer Segments'!$C$10)/N11</x:f>
        <x:v>0.7697437582128778</x:v>
      </x:c>
      <x:c r="S11" s="241" t="n">
        <x:f>('Stage Demand'!$D$4*'Service Affinity'!$B$11*'Customer Segments'!$E$4+'Stage Demand'!$E$4*'Service Affinity'!$C$11*'Customer Segments'!$E$5+'Stage Demand'!$F$4*'Service Affinity'!$D$11*'Customer Segments'!$E$6+'Stage Demand'!$G$4*'Service Affinity'!$E$11*'Customer Segments'!$E$7+'Stage Demand'!$H$4*'Service Affinity'!$F$11*'Customer Segments'!$E$8+'Stage Demand'!$I$4*'Service Affinity'!$G$11*'Customer Segments'!$E$9+'Stage Demand'!$J$4*'Service Affinity'!$H$11*'Customer Segments'!$E$10)/N11</x:f>
        <x:v>0.30901445466491456</x:v>
      </x:c>
      <x:c r="T11" s="241" t="n">
        <x:f>('Stage Demand'!$D$4*'Service Affinity'!$B$11*'Customer Segments'!$F$4+'Stage Demand'!$E$4*'Service Affinity'!$C$11*'Customer Segments'!$F$5+'Stage Demand'!$F$4*'Service Affinity'!$D$11*'Customer Segments'!$F$6+'Stage Demand'!$G$4*'Service Affinity'!$E$11*'Customer Segments'!$F$7+'Stage Demand'!$H$4*'Service Affinity'!$F$11*'Customer Segments'!$F$8+'Stage Demand'!$I$4*'Service Affinity'!$G$11*'Customer Segments'!$F$9+'Stage Demand'!$J$4*'Service Affinity'!$H$11*'Customer Segments'!$F$10)/N11</x:f>
        <x:v>0.017377792378449407</x:v>
      </x:c>
      <x:c r="U11" s="200" t="n">
        <x:v>0.9</x:v>
      </x:c>
      <x:c r="V11" s="226" t="n">
        <x:f>MIN(J11,N11*O11*U11*('Model Assumptions'!$B$17+'Model Assumptions'!$B$18*'Model Assumptions'!$E$4)*('Model Assumptions'!$B$19+'Model Assumptions'!$B$20*'Model Assumptions'!$F$4)*'Model Assumptions'!$G$4*'Model Assumptions'!$H$4*'Model Assumptions'!$J$4)</x:f>
        <x:v>59.43178656000001</x:v>
      </x:c>
      <x:c r="W11" s="239" t="n">
        <x:f>V11/J11</x:f>
        <x:v>0.2927674214778326</x:v>
      </x:c>
      <x:c r="X11" s="226" t="n">
        <x:f>K11*W11*Q11*'Model Assumptions'!$I$4*'Model Assumptions'!$K$4</x:f>
        <x:v>31.350446494808278</x:v>
      </x:c>
      <x:c r="Y11" s="226" t="n">
        <x:f>X11*(1-M11)</x:f>
        <x:v>27.588392915431285</x:v>
      </x:c>
      <x:c r="Z11" s="226" t="n">
        <x:f>L11*W11*R11*'Model Assumptions'!$L$4</x:f>
        <x:v>4.732473801103449</x:v>
      </x:c>
      <x:c r="AA11" s="91" t="str">
        <x:v>Building figures from PLOT Building Balance v0.1; customer calibration is v0.1 internal assumption.</x:v>
      </x:c>
    </x:row>
    <x:row r="12">
      <x:c r="A12" s="90" t="n">
        <x:v>9</x:v>
      </x:c>
      <x:c r="B12" s="74" t="str">
        <x:v>Investment Advice Booth</x:v>
      </x:c>
      <x:c r="C12" s="74" t="str">
        <x:v>Advisory</x:v>
      </x:c>
      <x:c r="D12" s="74" t="str">
        <x:v>Humble</x:v>
      </x:c>
      <x:c r="E12" s="74" t="str">
        <x:v>Common</x:v>
      </x:c>
      <x:c r="F12" s="74" t="n">
        <x:v>9</x:v>
      </x:c>
      <x:c r="G12" s="74" t="str">
        <x:v>1x1</x:v>
      </x:c>
      <x:c r="H12" s="74" t="str">
        <x:v>Balanced</x:v>
      </x:c>
      <x:c r="I12" s="74" t="str">
        <x:v>Medium</x:v>
      </x:c>
      <x:c r="J12" s="226" t="n">
        <x:v>241</x:v>
      </x:c>
      <x:c r="K12" s="226" t="n">
        <x:v>139</x:v>
      </x:c>
      <x:c r="L12" s="226" t="n">
        <x:v>26</x:v>
      </x:c>
      <x:c r="M12" s="239" t="n">
        <x:v>0.12</x:v>
      </x:c>
      <x:c r="N12" s="240" t="n">
        <x:f>SUMPRODUCT('Stage Demand'!$D$4:$J$4,'Service Affinity'!$B$12:$H$12)</x:f>
        <x:v>1018</x:v>
      </x:c>
      <x:c r="O12" s="241" t="n">
        <x:f>'Model Assumptions'!$D$4</x:f>
        <x:v>0.04</x:v>
      </x:c>
      <x:c r="P12" s="242" t="n">
        <x:f>'Model Assumptions'!$F$4</x:f>
        <x:v>58</x:v>
      </x:c>
      <x:c r="Q12" s="243" t="n">
        <x:f>('Stage Demand'!$D$4*'Service Affinity'!$B$12*'Customer Segments'!$D$4+'Stage Demand'!$E$4*'Service Affinity'!$C$12*'Customer Segments'!$D$5+'Stage Demand'!$F$4*'Service Affinity'!$D$12*'Customer Segments'!$D$6+'Stage Demand'!$G$4*'Service Affinity'!$E$12*'Customer Segments'!$D$7+'Stage Demand'!$H$4*'Service Affinity'!$F$12*'Customer Segments'!$D$8+'Stage Demand'!$I$4*'Service Affinity'!$G$12*'Customer Segments'!$D$9+'Stage Demand'!$J$4*'Service Affinity'!$H$12*'Customer Segments'!$D$10)/N12</x:f>
        <x:v>1.0948919449901768</x:v>
      </x:c>
      <x:c r="R12" s="243" t="n">
        <x:f>('Stage Demand'!$D$4*'Service Affinity'!$B$12*'Customer Segments'!$C$4+'Stage Demand'!$E$4*'Service Affinity'!$C$12*'Customer Segments'!$C$5+'Stage Demand'!$F$4*'Service Affinity'!$D$12*'Customer Segments'!$C$6+'Stage Demand'!$G$4*'Service Affinity'!$E$12*'Customer Segments'!$C$7+'Stage Demand'!$H$4*'Service Affinity'!$F$12*'Customer Segments'!$C$8+'Stage Demand'!$I$4*'Service Affinity'!$G$12*'Customer Segments'!$C$9+'Stage Demand'!$J$4*'Service Affinity'!$H$12*'Customer Segments'!$C$10)/N12</x:f>
        <x:v>1.0271119842829075</x:v>
      </x:c>
      <x:c r="S12" s="241" t="n">
        <x:f>('Stage Demand'!$D$4*'Service Affinity'!$B$12*'Customer Segments'!$E$4+'Stage Demand'!$E$4*'Service Affinity'!$C$12*'Customer Segments'!$E$5+'Stage Demand'!$F$4*'Service Affinity'!$D$12*'Customer Segments'!$E$6+'Stage Demand'!$G$4*'Service Affinity'!$E$12*'Customer Segments'!$E$7+'Stage Demand'!$H$4*'Service Affinity'!$F$12*'Customer Segments'!$E$8+'Stage Demand'!$I$4*'Service Affinity'!$G$12*'Customer Segments'!$E$9+'Stage Demand'!$J$4*'Service Affinity'!$H$12*'Customer Segments'!$E$10)/N12</x:f>
        <x:v>0.27308447937131636</x:v>
      </x:c>
      <x:c r="T12" s="241" t="n">
        <x:f>('Stage Demand'!$D$4*'Service Affinity'!$B$12*'Customer Segments'!$F$4+'Stage Demand'!$E$4*'Service Affinity'!$C$12*'Customer Segments'!$F$5+'Stage Demand'!$F$4*'Service Affinity'!$D$12*'Customer Segments'!$F$6+'Stage Demand'!$G$4*'Service Affinity'!$E$12*'Customer Segments'!$F$7+'Stage Demand'!$H$4*'Service Affinity'!$F$12*'Customer Segments'!$F$8+'Stage Demand'!$I$4*'Service Affinity'!$G$12*'Customer Segments'!$F$9+'Stage Demand'!$J$4*'Service Affinity'!$H$12*'Customer Segments'!$F$10)/N12</x:f>
        <x:v>0.019764243614931235</x:v>
      </x:c>
      <x:c r="U12" s="200" t="n">
        <x:v>0.9</x:v>
      </x:c>
      <x:c r="V12" s="226" t="n">
        <x:f>MIN(J12,N12*O12*U12*('Model Assumptions'!$B$17+'Model Assumptions'!$B$18*'Model Assumptions'!$E$4)*('Model Assumptions'!$B$19+'Model Assumptions'!$B$20*'Model Assumptions'!$F$4)*'Model Assumptions'!$G$4*'Model Assumptions'!$H$4*'Model Assumptions'!$J$4)</x:f>
        <x:v>39.751352640000015</x:v>
      </x:c>
      <x:c r="W12" s="239" t="n">
        <x:f>V12/J12</x:f>
        <x:v>0.16494337195020753</x:v>
      </x:c>
      <x:c r="X12" s="226" t="n">
        <x:f>K12*W12*Q12*'Model Assumptions'!$I$4*'Model Assumptions'!$K$4</x:f>
        <x:v>24.09861939510175</x:v>
      </x:c>
      <x:c r="Y12" s="226" t="n">
        <x:f>X12*(1-M12)</x:f>
        <x:v>21.20678506768954</x:v>
      </x:c>
      <x:c r="Z12" s="226" t="n">
        <x:f>L12*W12*R12*'Model Assumptions'!$L$4</x:f>
        <x:v>4.404798165510374</x:v>
      </x:c>
      <x:c r="AA12" s="91" t="str">
        <x:v>Building figures from PLOT Building Balance v0.1; customer calibration is v0.1 internal assumption.</x:v>
      </x:c>
    </x:row>
    <x:row r="13">
      <x:c r="A13" s="90" t="n">
        <x:v>10</x:v>
      </x:c>
      <x:c r="B13" s="74" t="str">
        <x:v>Secure Cash Locker</x:v>
      </x:c>
      <x:c r="C13" s="74" t="str">
        <x:v>Treasury</x:v>
      </x:c>
      <x:c r="D13" s="74" t="str">
        <x:v>Humble</x:v>
      </x:c>
      <x:c r="E13" s="74" t="str">
        <x:v>Common</x:v>
      </x:c>
      <x:c r="F13" s="74" t="n">
        <x:v>10</x:v>
      </x:c>
      <x:c r="G13" s="74" t="str">
        <x:v>1x1</x:v>
      </x:c>
      <x:c r="H13" s="74" t="str">
        <x:v>Utility</x:v>
      </x:c>
      <x:c r="I13" s="74" t="str">
        <x:v>Low</x:v>
      </x:c>
      <x:c r="J13" s="226" t="n">
        <x:v>287</x:v>
      </x:c>
      <x:c r="K13" s="226" t="n">
        <x:v>142</x:v>
      </x:c>
      <x:c r="L13" s="226" t="n">
        <x:v>26</x:v>
      </x:c>
      <x:c r="M13" s="239" t="n">
        <x:v>0.12</x:v>
      </x:c>
      <x:c r="N13" s="240" t="n">
        <x:f>SUMPRODUCT('Stage Demand'!$D$4:$J$4,'Service Affinity'!$B$13:$H$13)</x:f>
        <x:v>476</x:v>
      </x:c>
      <x:c r="O13" s="241" t="n">
        <x:f>'Model Assumptions'!$D$4</x:f>
        <x:v>0.04</x:v>
      </x:c>
      <x:c r="P13" s="242" t="n">
        <x:f>'Model Assumptions'!$F$4</x:f>
        <x:v>58</x:v>
      </x:c>
      <x:c r="Q13" s="243" t="n">
        <x:f>('Stage Demand'!$D$4*'Service Affinity'!$B$13*'Customer Segments'!$D$4+'Stage Demand'!$E$4*'Service Affinity'!$C$13*'Customer Segments'!$D$5+'Stage Demand'!$F$4*'Service Affinity'!$D$13*'Customer Segments'!$D$6+'Stage Demand'!$G$4*'Service Affinity'!$E$13*'Customer Segments'!$D$7+'Stage Demand'!$H$4*'Service Affinity'!$F$13*'Customer Segments'!$D$8+'Stage Demand'!$I$4*'Service Affinity'!$G$13*'Customer Segments'!$D$9+'Stage Demand'!$J$4*'Service Affinity'!$H$13*'Customer Segments'!$D$10)/N13</x:f>
        <x:v>1.1753151260504202</x:v>
      </x:c>
      <x:c r="R13" s="243" t="n">
        <x:f>('Stage Demand'!$D$4*'Service Affinity'!$B$13*'Customer Segments'!$C$4+'Stage Demand'!$E$4*'Service Affinity'!$C$13*'Customer Segments'!$C$5+'Stage Demand'!$F$4*'Service Affinity'!$D$13*'Customer Segments'!$C$6+'Stage Demand'!$G$4*'Service Affinity'!$E$13*'Customer Segments'!$C$7+'Stage Demand'!$H$4*'Service Affinity'!$F$13*'Customer Segments'!$C$8+'Stage Demand'!$I$4*'Service Affinity'!$G$13*'Customer Segments'!$C$9+'Stage Demand'!$J$4*'Service Affinity'!$H$13*'Customer Segments'!$C$10)/N13</x:f>
        <x:v>0.9809873949579831</x:v>
      </x:c>
      <x:c r="S13" s="241" t="n">
        <x:f>('Stage Demand'!$D$4*'Service Affinity'!$B$13*'Customer Segments'!$E$4+'Stage Demand'!$E$4*'Service Affinity'!$C$13*'Customer Segments'!$E$5+'Stage Demand'!$F$4*'Service Affinity'!$D$13*'Customer Segments'!$E$6+'Stage Demand'!$G$4*'Service Affinity'!$E$13*'Customer Segments'!$E$7+'Stage Demand'!$H$4*'Service Affinity'!$F$13*'Customer Segments'!$E$8+'Stage Demand'!$I$4*'Service Affinity'!$G$13*'Customer Segments'!$E$9+'Stage Demand'!$J$4*'Service Affinity'!$H$13*'Customer Segments'!$E$10)/N13</x:f>
        <x:v>0.24201680672268905</x:v>
      </x:c>
      <x:c r="T13" s="241" t="n">
        <x:f>('Stage Demand'!$D$4*'Service Affinity'!$B$13*'Customer Segments'!$F$4+'Stage Demand'!$E$4*'Service Affinity'!$C$13*'Customer Segments'!$F$5+'Stage Demand'!$F$4*'Service Affinity'!$D$13*'Customer Segments'!$F$6+'Stage Demand'!$G$4*'Service Affinity'!$E$13*'Customer Segments'!$F$7+'Stage Demand'!$H$4*'Service Affinity'!$F$13*'Customer Segments'!$F$8+'Stage Demand'!$I$4*'Service Affinity'!$G$13*'Customer Segments'!$F$9+'Stage Demand'!$J$4*'Service Affinity'!$H$13*'Customer Segments'!$F$10)/N13</x:f>
        <x:v>0.015472689075630253</x:v>
      </x:c>
      <x:c r="U13" s="200" t="n">
        <x:v>0.9</x:v>
      </x:c>
      <x:c r="V13" s="226" t="n">
        <x:f>MIN(J13,N13*O13*U13*('Model Assumptions'!$B$17+'Model Assumptions'!$B$18*'Model Assumptions'!$E$4)*('Model Assumptions'!$B$19+'Model Assumptions'!$B$20*'Model Assumptions'!$F$4)*'Model Assumptions'!$G$4*'Model Assumptions'!$H$4*'Model Assumptions'!$J$4)</x:f>
        <x:v>18.587076480000004</x:v>
      </x:c>
      <x:c r="W13" s="239" t="n">
        <x:f>V13/J13</x:f>
        <x:v>0.06476333268292685</x:v>
      </x:c>
      <x:c r="X13" s="226" t="n">
        <x:f>K13*W13*Q13*'Model Assumptions'!$I$4*'Model Assumptions'!$K$4</x:f>
        <x:v>10.376313677977423</x:v>
      </x:c>
      <x:c r="Y13" s="226" t="n">
        <x:f>X13*(1-M13)</x:f>
        <x:v>9.131156036620132</x:v>
      </x:c>
      <x:c r="Z13" s="226" t="n">
        <x:f>L13*W13*R13*'Model Assumptions'!$L$4</x:f>
        <x:v>1.651832338452962</x:v>
      </x:c>
      <x:c r="AA13" s="91" t="str">
        <x:v>Building figures from PLOT Building Balance v0.1; customer calibration is v0.1 internal assumption.</x:v>
      </x:c>
    </x:row>
    <x:row r="14">
      <x:c r="A14" s="90" t="n">
        <x:v>11</x:v>
      </x:c>
      <x:c r="B14" s="74" t="str">
        <x:v>Neighborhood Finance Shop</x:v>
      </x:c>
      <x:c r="C14" s="74" t="str">
        <x:v>Banking</x:v>
      </x:c>
      <x:c r="D14" s="74" t="str">
        <x:v>Starter</x:v>
      </x:c>
      <x:c r="E14" s="74" t="str">
        <x:v>Uncommon</x:v>
      </x:c>
      <x:c r="F14" s="74" t="n">
        <x:v>11</x:v>
      </x:c>
      <x:c r="G14" s="74" t="str">
        <x:v>1x2</x:v>
      </x:c>
      <x:c r="H14" s="74" t="str">
        <x:v>Balanced</x:v>
      </x:c>
      <x:c r="I14" s="74" t="str">
        <x:v>Low</x:v>
      </x:c>
      <x:c r="J14" s="226" t="n">
        <x:v>342</x:v>
      </x:c>
      <x:c r="K14" s="226" t="n">
        <x:v>228</x:v>
      </x:c>
      <x:c r="L14" s="226" t="n">
        <x:v>41</x:v>
      </x:c>
      <x:c r="M14" s="239" t="n">
        <x:v>0.13</x:v>
      </x:c>
      <x:c r="N14" s="240" t="n">
        <x:f>SUMPRODUCT('Stage Demand'!$D$5:$J$5,'Service Affinity'!$B$6:$H$6)</x:f>
        <x:v>7877</x:v>
      </x:c>
      <x:c r="O14" s="241" t="n">
        <x:f>'Model Assumptions'!$D$5</x:f>
        <x:v>0.06</x:v>
      </x:c>
      <x:c r="P14" s="242" t="n">
        <x:f>'Model Assumptions'!$F$5</x:f>
        <x:v>64</x:v>
      </x:c>
      <x:c r="Q14" s="243" t="n">
        <x:f>('Stage Demand'!$D$5*'Service Affinity'!$B$6*'Customer Segments'!$D$4+'Stage Demand'!$E$5*'Service Affinity'!$C$6*'Customer Segments'!$D$5+'Stage Demand'!$F$5*'Service Affinity'!$D$6*'Customer Segments'!$D$6+'Stage Demand'!$G$5*'Service Affinity'!$E$6*'Customer Segments'!$D$7+'Stage Demand'!$H$5*'Service Affinity'!$F$6*'Customer Segments'!$D$8+'Stage Demand'!$I$5*'Service Affinity'!$G$6*'Customer Segments'!$D$9+'Stage Demand'!$J$5*'Service Affinity'!$H$6*'Customer Segments'!$D$10)/N14</x:f>
        <x:v>0.9277199441411704</x:v>
      </x:c>
      <x:c r="R14" s="243" t="n">
        <x:f>('Stage Demand'!$D$5*'Service Affinity'!$B$6*'Customer Segments'!$C$4+'Stage Demand'!$E$5*'Service Affinity'!$C$6*'Customer Segments'!$C$5+'Stage Demand'!$F$5*'Service Affinity'!$D$6*'Customer Segments'!$C$6+'Stage Demand'!$G$5*'Service Affinity'!$E$6*'Customer Segments'!$C$7+'Stage Demand'!$H$5*'Service Affinity'!$F$6*'Customer Segments'!$C$8+'Stage Demand'!$I$5*'Service Affinity'!$G$6*'Customer Segments'!$C$9+'Stage Demand'!$J$5*'Service Affinity'!$H$6*'Customer Segments'!$C$10)/N14</x:f>
        <x:v>0.7887076298083026</x:v>
      </x:c>
      <x:c r="S14" s="241" t="n">
        <x:f>('Stage Demand'!$D$5*'Service Affinity'!$B$6*'Customer Segments'!$E$4+'Stage Demand'!$E$5*'Service Affinity'!$C$6*'Customer Segments'!$E$5+'Stage Demand'!$F$5*'Service Affinity'!$D$6*'Customer Segments'!$E$6+'Stage Demand'!$G$5*'Service Affinity'!$E$6*'Customer Segments'!$E$7+'Stage Demand'!$H$5*'Service Affinity'!$F$6*'Customer Segments'!$E$8+'Stage Demand'!$I$5*'Service Affinity'!$G$6*'Customer Segments'!$E$9+'Stage Demand'!$J$5*'Service Affinity'!$H$6*'Customer Segments'!$E$10)/N14</x:f>
        <x:v>0.31345689983496255</x:v>
      </x:c>
      <x:c r="T14" s="241" t="n">
        <x:f>('Stage Demand'!$D$5*'Service Affinity'!$B$6*'Customer Segments'!$F$4+'Stage Demand'!$E$5*'Service Affinity'!$C$6*'Customer Segments'!$F$5+'Stage Demand'!$F$5*'Service Affinity'!$D$6*'Customer Segments'!$F$6+'Stage Demand'!$G$5*'Service Affinity'!$E$6*'Customer Segments'!$F$7+'Stage Demand'!$H$5*'Service Affinity'!$F$6*'Customer Segments'!$F$8+'Stage Demand'!$I$5*'Service Affinity'!$G$6*'Customer Segments'!$F$9+'Stage Demand'!$J$5*'Service Affinity'!$H$6*'Customer Segments'!$F$10)/N14</x:f>
        <x:v>0.0181566586263806</x:v>
      </x:c>
      <x:c r="U14" s="200" t="n">
        <x:v>0.98</x:v>
      </x:c>
      <x:c r="V14" s="226" t="n">
        <x:f>MIN(J14,N14*O14*U14*('Model Assumptions'!$B$17+'Model Assumptions'!$B$18*'Model Assumptions'!$E$5)*('Model Assumptions'!$B$19+'Model Assumptions'!$B$20*'Model Assumptions'!$F$5)*'Model Assumptions'!$G$5*'Model Assumptions'!$H$5*'Model Assumptions'!$J$5)</x:f>
        <x:v>342</x:v>
      </x:c>
      <x:c r="W14" s="239" t="n">
        <x:f>V14/J14</x:f>
        <x:v>1</x:v>
      </x:c>
      <x:c r="X14" s="226" t="n">
        <x:f>K14*W14*Q14*'Model Assumptions'!$I$5*'Model Assumptions'!$K$5</x:f>
        <x:v>211.52014726418685</x:v>
      </x:c>
      <x:c r="Y14" s="226" t="n">
        <x:f>X14*(1-M14)</x:f>
        <x:v>184.02252811984255</x:v>
      </x:c>
      <x:c r="Z14" s="226" t="n">
        <x:f>L14*W14*R14*'Model Assumptions'!$L$5</x:f>
        <x:v>32.3370128221404</x:v>
      </x:c>
      <x:c r="AA14" s="91" t="str">
        <x:v>Building figures from PLOT Building Balance v0.1; customer calibration is v0.1 internal assumption.</x:v>
      </x:c>
    </x:row>
    <x:row r="15">
      <x:c r="A15" s="90" t="n">
        <x:v>12</x:v>
      </x:c>
      <x:c r="B15" s="74" t="str">
        <x:v>Small Brokerage Office</x:v>
      </x:c>
      <x:c r="C15" s="74" t="str">
        <x:v>Brokerage</x:v>
      </x:c>
      <x:c r="D15" s="74" t="str">
        <x:v>Starter</x:v>
      </x:c>
      <x:c r="E15" s="74" t="str">
        <x:v>Uncommon</x:v>
      </x:c>
      <x:c r="F15" s="74" t="n">
        <x:v>12</x:v>
      </x:c>
      <x:c r="G15" s="74" t="str">
        <x:v>1x2</x:v>
      </x:c>
      <x:c r="H15" s="74" t="str">
        <x:v>Revenue</x:v>
      </x:c>
      <x:c r="I15" s="74" t="str">
        <x:v>Medium</x:v>
      </x:c>
      <x:c r="J15" s="226" t="n">
        <x:v>407</x:v>
      </x:c>
      <x:c r="K15" s="226" t="n">
        <x:v>288</x:v>
      </x:c>
      <x:c r="L15" s="226" t="n">
        <x:v>56</x:v>
      </x:c>
      <x:c r="M15" s="239" t="n">
        <x:v>0.13</x:v>
      </x:c>
      <x:c r="N15" s="240" t="n">
        <x:f>SUMPRODUCT('Stage Demand'!$D$5:$J$5,'Service Affinity'!$B$7:$H$7)</x:f>
        <x:v>6195</x:v>
      </x:c>
      <x:c r="O15" s="241" t="n">
        <x:f>'Model Assumptions'!$D$5</x:f>
        <x:v>0.06</x:v>
      </x:c>
      <x:c r="P15" s="242" t="n">
        <x:f>'Model Assumptions'!$F$5</x:f>
        <x:v>64</x:v>
      </x:c>
      <x:c r="Q15" s="243" t="n">
        <x:f>('Stage Demand'!$D$5*'Service Affinity'!$B$7*'Customer Segments'!$D$4+'Stage Demand'!$E$5*'Service Affinity'!$C$7*'Customer Segments'!$D$5+'Stage Demand'!$F$5*'Service Affinity'!$D$7*'Customer Segments'!$D$6+'Stage Demand'!$G$5*'Service Affinity'!$E$7*'Customer Segments'!$D$7+'Stage Demand'!$H$5*'Service Affinity'!$F$7*'Customer Segments'!$D$8+'Stage Demand'!$I$5*'Service Affinity'!$G$7*'Customer Segments'!$D$9+'Stage Demand'!$J$5*'Service Affinity'!$H$7*'Customer Segments'!$D$10)/N15</x:f>
        <x:v>1.078490718321227</x:v>
      </x:c>
      <x:c r="R15" s="243" t="n">
        <x:f>('Stage Demand'!$D$5*'Service Affinity'!$B$7*'Customer Segments'!$C$4+'Stage Demand'!$E$5*'Service Affinity'!$C$7*'Customer Segments'!$C$5+'Stage Demand'!$F$5*'Service Affinity'!$D$7*'Customer Segments'!$C$6+'Stage Demand'!$G$5*'Service Affinity'!$E$7*'Customer Segments'!$C$7+'Stage Demand'!$H$5*'Service Affinity'!$F$7*'Customer Segments'!$C$8+'Stage Demand'!$I$5*'Service Affinity'!$G$7*'Customer Segments'!$C$9+'Stage Demand'!$J$5*'Service Affinity'!$H$7*'Customer Segments'!$C$10)/N15</x:f>
        <x:v>1.1734059725585149</x:v>
      </x:c>
      <x:c r="S15" s="241" t="n">
        <x:f>('Stage Demand'!$D$5*'Service Affinity'!$B$7*'Customer Segments'!$E$4+'Stage Demand'!$E$5*'Service Affinity'!$C$7*'Customer Segments'!$E$5+'Stage Demand'!$F$5*'Service Affinity'!$D$7*'Customer Segments'!$E$6+'Stage Demand'!$G$5*'Service Affinity'!$E$7*'Customer Segments'!$E$7+'Stage Demand'!$H$5*'Service Affinity'!$F$7*'Customer Segments'!$E$8+'Stage Demand'!$I$5*'Service Affinity'!$G$7*'Customer Segments'!$E$9+'Stage Demand'!$J$5*'Service Affinity'!$H$7*'Customer Segments'!$E$10)/N15</x:f>
        <x:v>0.28460048426150125</x:v>
      </x:c>
      <x:c r="T15" s="241" t="n">
        <x:f>('Stage Demand'!$D$5*'Service Affinity'!$B$7*'Customer Segments'!$F$4+'Stage Demand'!$E$5*'Service Affinity'!$C$7*'Customer Segments'!$F$5+'Stage Demand'!$F$5*'Service Affinity'!$D$7*'Customer Segments'!$F$6+'Stage Demand'!$G$5*'Service Affinity'!$E$7*'Customer Segments'!$F$7+'Stage Demand'!$H$5*'Service Affinity'!$F$7*'Customer Segments'!$F$8+'Stage Demand'!$I$5*'Service Affinity'!$G$7*'Customer Segments'!$F$9+'Stage Demand'!$J$5*'Service Affinity'!$H$7*'Customer Segments'!$F$10)/N15</x:f>
        <x:v>0.02414850686037127</x:v>
      </x:c>
      <x:c r="U15" s="200" t="n">
        <x:v>0.98</x:v>
      </x:c>
      <x:c r="V15" s="226" t="n">
        <x:f>MIN(J15,N15*O15*U15*('Model Assumptions'!$B$17+'Model Assumptions'!$B$18*'Model Assumptions'!$E$5)*('Model Assumptions'!$B$19+'Model Assumptions'!$B$20*'Model Assumptions'!$F$5)*'Model Assumptions'!$G$5*'Model Assumptions'!$H$5*'Model Assumptions'!$J$5)</x:f>
        <x:v>407</x:v>
      </x:c>
      <x:c r="W15" s="239" t="n">
        <x:f>V15/J15</x:f>
        <x:v>1</x:v>
      </x:c>
      <x:c r="X15" s="226" t="n">
        <x:f>K15*W15*Q15*'Model Assumptions'!$I$5*'Model Assumptions'!$K$5</x:f>
        <x:v>310.60532687651335</x:v>
      </x:c>
      <x:c r="Y15" s="226" t="n">
        <x:f>X15*(1-M15)</x:f>
        <x:v>270.2266343825666</x:v>
      </x:c>
      <x:c r="Z15" s="226" t="n">
        <x:f>L15*W15*R15*'Model Assumptions'!$L$5</x:f>
        <x:v>65.71073446327684</x:v>
      </x:c>
      <x:c r="AA15" s="91" t="str">
        <x:v>Building figures from PLOT Building Balance v0.1; customer calibration is v0.1 internal assumption.</x:v>
      </x:c>
    </x:row>
    <x:row r="16">
      <x:c r="A16" s="90" t="n">
        <x:v>13</x:v>
      </x:c>
      <x:c r="B16" s="74" t="str">
        <x:v>Local Savings Office</x:v>
      </x:c>
      <x:c r="C16" s="74" t="str">
        <x:v>Banking</x:v>
      </x:c>
      <x:c r="D16" s="74" t="str">
        <x:v>Starter</x:v>
      </x:c>
      <x:c r="E16" s="74" t="str">
        <x:v>Uncommon</x:v>
      </x:c>
      <x:c r="F16" s="74" t="n">
        <x:v>13</x:v>
      </x:c>
      <x:c r="G16" s="74" t="str">
        <x:v>1x2</x:v>
      </x:c>
      <x:c r="H16" s="74" t="str">
        <x:v>Balanced</x:v>
      </x:c>
      <x:c r="I16" s="74" t="str">
        <x:v>Low</x:v>
      </x:c>
      <x:c r="J16" s="226" t="n">
        <x:v>484</x:v>
      </x:c>
      <x:c r="K16" s="226" t="n">
        <x:v>330</x:v>
      </x:c>
      <x:c r="L16" s="226" t="n">
        <x:v>58</x:v>
      </x:c>
      <x:c r="M16" s="239" t="n">
        <x:v>0.13</x:v>
      </x:c>
      <x:c r="N16" s="240" t="n">
        <x:f>SUMPRODUCT('Stage Demand'!$D$5:$J$5,'Service Affinity'!$B$6:$H$6)</x:f>
        <x:v>7877</x:v>
      </x:c>
      <x:c r="O16" s="241" t="n">
        <x:f>'Model Assumptions'!$D$5</x:f>
        <x:v>0.06</x:v>
      </x:c>
      <x:c r="P16" s="242" t="n">
        <x:f>'Model Assumptions'!$F$5</x:f>
        <x:v>64</x:v>
      </x:c>
      <x:c r="Q16" s="243" t="n">
        <x:f>('Stage Demand'!$D$5*'Service Affinity'!$B$6*'Customer Segments'!$D$4+'Stage Demand'!$E$5*'Service Affinity'!$C$6*'Customer Segments'!$D$5+'Stage Demand'!$F$5*'Service Affinity'!$D$6*'Customer Segments'!$D$6+'Stage Demand'!$G$5*'Service Affinity'!$E$6*'Customer Segments'!$D$7+'Stage Demand'!$H$5*'Service Affinity'!$F$6*'Customer Segments'!$D$8+'Stage Demand'!$I$5*'Service Affinity'!$G$6*'Customer Segments'!$D$9+'Stage Demand'!$J$5*'Service Affinity'!$H$6*'Customer Segments'!$D$10)/N16</x:f>
        <x:v>0.9277199441411704</x:v>
      </x:c>
      <x:c r="R16" s="243" t="n">
        <x:f>('Stage Demand'!$D$5*'Service Affinity'!$B$6*'Customer Segments'!$C$4+'Stage Demand'!$E$5*'Service Affinity'!$C$6*'Customer Segments'!$C$5+'Stage Demand'!$F$5*'Service Affinity'!$D$6*'Customer Segments'!$C$6+'Stage Demand'!$G$5*'Service Affinity'!$E$6*'Customer Segments'!$C$7+'Stage Demand'!$H$5*'Service Affinity'!$F$6*'Customer Segments'!$C$8+'Stage Demand'!$I$5*'Service Affinity'!$G$6*'Customer Segments'!$C$9+'Stage Demand'!$J$5*'Service Affinity'!$H$6*'Customer Segments'!$C$10)/N16</x:f>
        <x:v>0.7887076298083026</x:v>
      </x:c>
      <x:c r="S16" s="241" t="n">
        <x:f>('Stage Demand'!$D$5*'Service Affinity'!$B$6*'Customer Segments'!$E$4+'Stage Demand'!$E$5*'Service Affinity'!$C$6*'Customer Segments'!$E$5+'Stage Demand'!$F$5*'Service Affinity'!$D$6*'Customer Segments'!$E$6+'Stage Demand'!$G$5*'Service Affinity'!$E$6*'Customer Segments'!$E$7+'Stage Demand'!$H$5*'Service Affinity'!$F$6*'Customer Segments'!$E$8+'Stage Demand'!$I$5*'Service Affinity'!$G$6*'Customer Segments'!$E$9+'Stage Demand'!$J$5*'Service Affinity'!$H$6*'Customer Segments'!$E$10)/N16</x:f>
        <x:v>0.31345689983496255</x:v>
      </x:c>
      <x:c r="T16" s="241" t="n">
        <x:f>('Stage Demand'!$D$5*'Service Affinity'!$B$6*'Customer Segments'!$F$4+'Stage Demand'!$E$5*'Service Affinity'!$C$6*'Customer Segments'!$F$5+'Stage Demand'!$F$5*'Service Affinity'!$D$6*'Customer Segments'!$F$6+'Stage Demand'!$G$5*'Service Affinity'!$E$6*'Customer Segments'!$F$7+'Stage Demand'!$H$5*'Service Affinity'!$F$6*'Customer Segments'!$F$8+'Stage Demand'!$I$5*'Service Affinity'!$G$6*'Customer Segments'!$F$9+'Stage Demand'!$J$5*'Service Affinity'!$H$6*'Customer Segments'!$F$10)/N16</x:f>
        <x:v>0.0181566586263806</x:v>
      </x:c>
      <x:c r="U16" s="200" t="n">
        <x:v>0.98</x:v>
      </x:c>
      <x:c r="V16" s="226" t="n">
        <x:f>MIN(J16,N16*O16*U16*('Model Assumptions'!$B$17+'Model Assumptions'!$B$18*'Model Assumptions'!$E$5)*('Model Assumptions'!$B$19+'Model Assumptions'!$B$20*'Model Assumptions'!$F$5)*'Model Assumptions'!$G$5*'Model Assumptions'!$H$5*'Model Assumptions'!$J$5)</x:f>
        <x:v>484</x:v>
      </x:c>
      <x:c r="W16" s="239" t="n">
        <x:f>V16/J16</x:f>
        <x:v>1</x:v>
      </x:c>
      <x:c r="X16" s="226" t="n">
        <x:f>K16*W16*Q16*'Model Assumptions'!$I$5*'Model Assumptions'!$K$5</x:f>
        <x:v>306.14758156658627</x:v>
      </x:c>
      <x:c r="Y16" s="226" t="n">
        <x:f>X16*(1-M16)</x:f>
        <x:v>266.34839596293006</x:v>
      </x:c>
      <x:c r="Z16" s="226" t="n">
        <x:f>L16*W16*R16*'Model Assumptions'!$L$5</x:f>
        <x:v>45.74504252888155</x:v>
      </x:c>
      <x:c r="AA16" s="91" t="str">
        <x:v>Building figures from PLOT Building Balance v0.1; customer calibration is v0.1 internal assumption.</x:v>
      </x:c>
    </x:row>
    <x:row r="17">
      <x:c r="A17" s="90" t="n">
        <x:v>14</x:v>
      </x:c>
      <x:c r="B17" s="74" t="str">
        <x:v>Microfinance Office</x:v>
      </x:c>
      <x:c r="C17" s="74" t="str">
        <x:v>Lending</x:v>
      </x:c>
      <x:c r="D17" s="74" t="str">
        <x:v>Starter</x:v>
      </x:c>
      <x:c r="E17" s="74" t="str">
        <x:v>Uncommon</x:v>
      </x:c>
      <x:c r="F17" s="74" t="n">
        <x:v>14</x:v>
      </x:c>
      <x:c r="G17" s="74" t="str">
        <x:v>1x2</x:v>
      </x:c>
      <x:c r="H17" s="74" t="str">
        <x:v>Revenue</x:v>
      </x:c>
      <x:c r="I17" s="74" t="str">
        <x:v>High</x:v>
      </x:c>
      <x:c r="J17" s="226" t="n">
        <x:v>576</x:v>
      </x:c>
      <x:c r="K17" s="226" t="n">
        <x:v>410</x:v>
      </x:c>
      <x:c r="L17" s="226" t="n">
        <x:v>69</x:v>
      </x:c>
      <x:c r="M17" s="239" t="n">
        <x:v>0.13</x:v>
      </x:c>
      <x:c r="N17" s="240" t="n">
        <x:f>SUMPRODUCT('Stage Demand'!$D$5:$J$5,'Service Affinity'!$B$9:$H$9)</x:f>
        <x:v>6337</x:v>
      </x:c>
      <x:c r="O17" s="241" t="n">
        <x:f>'Model Assumptions'!$D$5</x:f>
        <x:v>0.06</x:v>
      </x:c>
      <x:c r="P17" s="242" t="n">
        <x:f>'Model Assumptions'!$F$5</x:f>
        <x:v>64</x:v>
      </x:c>
      <x:c r="Q17" s="243" t="n">
        <x:f>('Stage Demand'!$D$5*'Service Affinity'!$B$9*'Customer Segments'!$D$4+'Stage Demand'!$E$5*'Service Affinity'!$C$9*'Customer Segments'!$D$5+'Stage Demand'!$F$5*'Service Affinity'!$D$9*'Customer Segments'!$D$6+'Stage Demand'!$G$5*'Service Affinity'!$E$9*'Customer Segments'!$D$7+'Stage Demand'!$H$5*'Service Affinity'!$F$9*'Customer Segments'!$D$8+'Stage Demand'!$I$5*'Service Affinity'!$G$9*'Customer Segments'!$D$9+'Stage Demand'!$J$5*'Service Affinity'!$H$9*'Customer Segments'!$D$10)/N17</x:f>
        <x:v>0.9348508758087423</x:v>
      </x:c>
      <x:c r="R17" s="243" t="n">
        <x:f>('Stage Demand'!$D$5*'Service Affinity'!$B$9*'Customer Segments'!$C$4+'Stage Demand'!$E$5*'Service Affinity'!$C$9*'Customer Segments'!$C$5+'Stage Demand'!$F$5*'Service Affinity'!$D$9*'Customer Segments'!$C$6+'Stage Demand'!$G$5*'Service Affinity'!$E$9*'Customer Segments'!$C$7+'Stage Demand'!$H$5*'Service Affinity'!$F$9*'Customer Segments'!$C$8+'Stage Demand'!$I$5*'Service Affinity'!$G$9*'Customer Segments'!$C$9+'Stage Demand'!$J$5*'Service Affinity'!$H$9*'Customer Segments'!$C$10)/N17</x:f>
        <x:v>0.7724712008836988</x:v>
      </x:c>
      <x:c r="S17" s="241" t="n">
        <x:f>('Stage Demand'!$D$5*'Service Affinity'!$B$9*'Customer Segments'!$E$4+'Stage Demand'!$E$5*'Service Affinity'!$C$9*'Customer Segments'!$E$5+'Stage Demand'!$F$5*'Service Affinity'!$D$9*'Customer Segments'!$E$6+'Stage Demand'!$G$5*'Service Affinity'!$E$9*'Customer Segments'!$E$7+'Stage Demand'!$H$5*'Service Affinity'!$F$9*'Customer Segments'!$E$8+'Stage Demand'!$I$5*'Service Affinity'!$G$9*'Customer Segments'!$E$9+'Stage Demand'!$J$5*'Service Affinity'!$H$9*'Customer Segments'!$E$10)/N17</x:f>
        <x:v>0.3073220766924412</x:v>
      </x:c>
      <x:c r="T17" s="241" t="n">
        <x:f>('Stage Demand'!$D$5*'Service Affinity'!$B$9*'Customer Segments'!$F$4+'Stage Demand'!$E$5*'Service Affinity'!$C$9*'Customer Segments'!$F$5+'Stage Demand'!$F$5*'Service Affinity'!$D$9*'Customer Segments'!$F$6+'Stage Demand'!$G$5*'Service Affinity'!$E$9*'Customer Segments'!$F$7+'Stage Demand'!$H$5*'Service Affinity'!$F$9*'Customer Segments'!$F$8+'Stage Demand'!$I$5*'Service Affinity'!$G$9*'Customer Segments'!$F$9+'Stage Demand'!$J$5*'Service Affinity'!$H$9*'Customer Segments'!$F$10)/N17</x:f>
        <x:v>0.017538267318920626</x:v>
      </x:c>
      <x:c r="U17" s="200" t="n">
        <x:v>0.98</x:v>
      </x:c>
      <x:c r="V17" s="226" t="n">
        <x:f>MIN(J17,N17*O17*U17*('Model Assumptions'!$B$17+'Model Assumptions'!$B$18*'Model Assumptions'!$E$5)*('Model Assumptions'!$B$19+'Model Assumptions'!$B$20*'Model Assumptions'!$F$5)*'Model Assumptions'!$G$5*'Model Assumptions'!$H$5*'Model Assumptions'!$J$5)</x:f>
        <x:v>446.60108040307205</x:v>
      </x:c>
      <x:c r="W17" s="239" t="n">
        <x:f>V17/J17</x:f>
        <x:v>0.7753490979220001</x:v>
      </x:c>
      <x:c r="X17" s="226" t="n">
        <x:f>K17*W17*Q17*'Model Assumptions'!$I$5*'Model Assumptions'!$K$5</x:f>
        <x:v>297.18267113245906</x:v>
      </x:c>
      <x:c r="Y17" s="226" t="n">
        <x:f>X17*(1-M17)</x:f>
        <x:v>258.5489238852394</x:v>
      </x:c>
      <x:c r="Z17" s="226" t="n">
        <x:f>L17*W17*R17*'Model Assumptions'!$L$5</x:f>
        <x:v>41.3265045655371</x:v>
      </x:c>
      <x:c r="AA17" s="91" t="str">
        <x:v>Building figures from PLOT Building Balance v0.1; customer calibration is v0.1 internal assumption.</x:v>
      </x:c>
    </x:row>
    <x:row r="18">
      <x:c r="A18" s="90" t="n">
        <x:v>15</x:v>
      </x:c>
      <x:c r="B18" s="74" t="str">
        <x:v>Trading Room</x:v>
      </x:c>
      <x:c r="C18" s="74" t="str">
        <x:v>Trading</x:v>
      </x:c>
      <x:c r="D18" s="74" t="str">
        <x:v>Starter</x:v>
      </x:c>
      <x:c r="E18" s="74" t="str">
        <x:v>Uncommon</x:v>
      </x:c>
      <x:c r="F18" s="74" t="n">
        <x:v>15</x:v>
      </x:c>
      <x:c r="G18" s="74" t="str">
        <x:v>1x2</x:v>
      </x:c>
      <x:c r="H18" s="74" t="str">
        <x:v>Revenue</x:v>
      </x:c>
      <x:c r="I18" s="74" t="str">
        <x:v>High</x:v>
      </x:c>
      <x:c r="J18" s="226" t="n">
        <x:v>685</x:v>
      </x:c>
      <x:c r="K18" s="226" t="n">
        <x:v>528</x:v>
      </x:c>
      <x:c r="L18" s="226" t="n">
        <x:v>99</x:v>
      </x:c>
      <x:c r="M18" s="239" t="n">
        <x:v>0.13</x:v>
      </x:c>
      <x:c r="N18" s="240" t="n">
        <x:f>SUMPRODUCT('Stage Demand'!$D$5:$J$5,'Service Affinity'!$B$5:$H$5)</x:f>
        <x:v>5237</x:v>
      </x:c>
      <x:c r="O18" s="241" t="n">
        <x:f>'Model Assumptions'!$D$5</x:f>
        <x:v>0.06</x:v>
      </x:c>
      <x:c r="P18" s="242" t="n">
        <x:f>'Model Assumptions'!$F$5</x:f>
        <x:v>64</x:v>
      </x:c>
      <x:c r="Q18" s="243" t="n">
        <x:f>('Stage Demand'!$D$5*'Service Affinity'!$B$5*'Customer Segments'!$D$4+'Stage Demand'!$E$5*'Service Affinity'!$C$5*'Customer Segments'!$D$5+'Stage Demand'!$F$5*'Service Affinity'!$D$5*'Customer Segments'!$D$6+'Stage Demand'!$G$5*'Service Affinity'!$E$5*'Customer Segments'!$D$7+'Stage Demand'!$H$5*'Service Affinity'!$F$5*'Customer Segments'!$D$8+'Stage Demand'!$I$5*'Service Affinity'!$G$5*'Customer Segments'!$D$9+'Stage Demand'!$J$5*'Service Affinity'!$H$5*'Customer Segments'!$D$10)/N18</x:f>
        <x:v>1.0801317548214626</x:v>
      </x:c>
      <x:c r="R18" s="243" t="n">
        <x:f>('Stage Demand'!$D$5*'Service Affinity'!$B$5*'Customer Segments'!$C$4+'Stage Demand'!$E$5*'Service Affinity'!$C$5*'Customer Segments'!$C$5+'Stage Demand'!$F$5*'Service Affinity'!$D$5*'Customer Segments'!$C$6+'Stage Demand'!$G$5*'Service Affinity'!$E$5*'Customer Segments'!$C$7+'Stage Demand'!$H$5*'Service Affinity'!$F$5*'Customer Segments'!$C$8+'Stage Demand'!$I$5*'Service Affinity'!$G$5*'Customer Segments'!$C$9+'Stage Demand'!$J$5*'Service Affinity'!$H$5*'Customer Segments'!$C$10)/N18</x:f>
        <x:v>1.2275443956463623</x:v>
      </x:c>
      <x:c r="S18" s="241" t="n">
        <x:f>('Stage Demand'!$D$5*'Service Affinity'!$B$5*'Customer Segments'!$E$4+'Stage Demand'!$E$5*'Service Affinity'!$C$5*'Customer Segments'!$E$5+'Stage Demand'!$F$5*'Service Affinity'!$D$5*'Customer Segments'!$E$6+'Stage Demand'!$G$5*'Service Affinity'!$E$5*'Customer Segments'!$E$7+'Stage Demand'!$H$5*'Service Affinity'!$F$5*'Customer Segments'!$E$8+'Stage Demand'!$I$5*'Service Affinity'!$G$5*'Customer Segments'!$E$9+'Stage Demand'!$J$5*'Service Affinity'!$H$5*'Customer Segments'!$E$10)/N18</x:f>
        <x:v>0.2853733053274776</x:v>
      </x:c>
      <x:c r="T18" s="241" t="n">
        <x:f>('Stage Demand'!$D$5*'Service Affinity'!$B$5*'Customer Segments'!$F$4+'Stage Demand'!$E$5*'Service Affinity'!$C$5*'Customer Segments'!$F$5+'Stage Demand'!$F$5*'Service Affinity'!$D$5*'Customer Segments'!$F$6+'Stage Demand'!$G$5*'Service Affinity'!$E$5*'Customer Segments'!$F$7+'Stage Demand'!$H$5*'Service Affinity'!$F$5*'Customer Segments'!$F$8+'Stage Demand'!$I$5*'Service Affinity'!$G$5*'Customer Segments'!$F$9+'Stage Demand'!$J$5*'Service Affinity'!$H$5*'Customer Segments'!$F$10)/N18</x:f>
        <x:v>0.025480236776780605</x:v>
      </x:c>
      <x:c r="U18" s="200" t="n">
        <x:v>0.98</x:v>
      </x:c>
      <x:c r="V18" s="226" t="n">
        <x:f>MIN(J18,N18*O18*U18*('Model Assumptions'!$B$17+'Model Assumptions'!$B$18*'Model Assumptions'!$E$5)*('Model Assumptions'!$B$19+'Model Assumptions'!$B$20*'Model Assumptions'!$F$5)*'Model Assumptions'!$G$5*'Model Assumptions'!$H$5*'Model Assumptions'!$J$5)</x:f>
        <x:v>369.078405881472</x:v>
      </x:c>
      <x:c r="W18" s="239" t="n">
        <x:f>V18/J18</x:f>
        <x:v>0.5388005925276964</x:v>
      </x:c>
      <x:c r="X18" s="226" t="n">
        <x:f>K18*W18*Q18*'Model Assumptions'!$I$5*'Model Assumptions'!$K$5</x:f>
        <x:v>307.2831323790542</x:v>
      </x:c>
      <x:c r="Y18" s="226" t="n">
        <x:f>X18*(1-M18)</x:f>
        <x:v>267.3363251697772</x:v>
      </x:c>
      <x:c r="Z18" s="226" t="n">
        <x:f>L18*W18*R18*'Model Assumptions'!$L$5</x:f>
        <x:v>65.47876312510299</x:v>
      </x:c>
      <x:c r="AA18" s="91" t="str">
        <x:v>Building figures from PLOT Building Balance v0.1; customer calibration is v0.1 internal assumption.</x:v>
      </x:c>
    </x:row>
    <x:row r="19">
      <x:c r="A19" s="90" t="n">
        <x:v>16</x:v>
      </x:c>
      <x:c r="B19" s="74" t="str">
        <x:v>Small Research Office</x:v>
      </x:c>
      <x:c r="C19" s="74" t="str">
        <x:v>Research</x:v>
      </x:c>
      <x:c r="D19" s="74" t="str">
        <x:v>Starter</x:v>
      </x:c>
      <x:c r="E19" s="74" t="str">
        <x:v>Uncommon</x:v>
      </x:c>
      <x:c r="F19" s="74" t="n">
        <x:v>16</x:v>
      </x:c>
      <x:c r="G19" s="74" t="str">
        <x:v>1x2</x:v>
      </x:c>
      <x:c r="H19" s="74" t="str">
        <x:v>Utility</x:v>
      </x:c>
      <x:c r="I19" s="74" t="str">
        <x:v>Medium</x:v>
      </x:c>
      <x:c r="J19" s="226" t="n">
        <x:v>815</x:v>
      </x:c>
      <x:c r="K19" s="226" t="n">
        <x:v>417</x:v>
      </x:c>
      <x:c r="L19" s="226" t="n">
        <x:v>78</x:v>
      </x:c>
      <x:c r="M19" s="239" t="n">
        <x:v>0.13</x:v>
      </x:c>
      <x:c r="N19" s="240" t="n">
        <x:f>SUMPRODUCT('Stage Demand'!$D$5:$J$5,'Service Affinity'!$B$8:$H$8)</x:f>
        <x:v>4376</x:v>
      </x:c>
      <x:c r="O19" s="241" t="n">
        <x:f>'Model Assumptions'!$D$5</x:f>
        <x:v>0.06</x:v>
      </x:c>
      <x:c r="P19" s="242" t="n">
        <x:f>'Model Assumptions'!$F$5</x:f>
        <x:v>64</x:v>
      </x:c>
      <x:c r="Q19" s="243" t="n">
        <x:f>('Stage Demand'!$D$5*'Service Affinity'!$B$8*'Customer Segments'!$D$4+'Stage Demand'!$E$5*'Service Affinity'!$C$8*'Customer Segments'!$D$5+'Stage Demand'!$F$5*'Service Affinity'!$D$8*'Customer Segments'!$D$6+'Stage Demand'!$G$5*'Service Affinity'!$E$8*'Customer Segments'!$D$7+'Stage Demand'!$H$5*'Service Affinity'!$F$8*'Customer Segments'!$D$8+'Stage Demand'!$I$5*'Service Affinity'!$G$8*'Customer Segments'!$D$9+'Stage Demand'!$J$5*'Service Affinity'!$H$8*'Customer Segments'!$D$10)/N19</x:f>
        <x:v>1.1257312614259598</x:v>
      </x:c>
      <x:c r="R19" s="243" t="n">
        <x:f>('Stage Demand'!$D$5*'Service Affinity'!$B$8*'Customer Segments'!$C$4+'Stage Demand'!$E$5*'Service Affinity'!$C$8*'Customer Segments'!$C$5+'Stage Demand'!$F$5*'Service Affinity'!$D$8*'Customer Segments'!$C$6+'Stage Demand'!$G$5*'Service Affinity'!$E$8*'Customer Segments'!$C$7+'Stage Demand'!$H$5*'Service Affinity'!$F$8*'Customer Segments'!$C$8+'Stage Demand'!$I$5*'Service Affinity'!$G$8*'Customer Segments'!$C$9+'Stage Demand'!$J$5*'Service Affinity'!$H$8*'Customer Segments'!$C$10)/N19</x:f>
        <x:v>1.2345063985374771</x:v>
      </x:c>
      <x:c r="S19" s="241" t="n">
        <x:f>('Stage Demand'!$D$5*'Service Affinity'!$B$8*'Customer Segments'!$E$4+'Stage Demand'!$E$5*'Service Affinity'!$C$8*'Customer Segments'!$E$5+'Stage Demand'!$F$5*'Service Affinity'!$D$8*'Customer Segments'!$E$6+'Stage Demand'!$G$5*'Service Affinity'!$E$8*'Customer Segments'!$E$7+'Stage Demand'!$H$5*'Service Affinity'!$F$8*'Customer Segments'!$E$8+'Stage Demand'!$I$5*'Service Affinity'!$G$8*'Customer Segments'!$E$9+'Stage Demand'!$J$5*'Service Affinity'!$H$8*'Customer Segments'!$E$10)/N19</x:f>
        <x:v>0.2718464351005484</x:v>
      </x:c>
      <x:c r="T19" s="241" t="n">
        <x:f>('Stage Demand'!$D$5*'Service Affinity'!$B$8*'Customer Segments'!$F$4+'Stage Demand'!$E$5*'Service Affinity'!$C$8*'Customer Segments'!$F$5+'Stage Demand'!$F$5*'Service Affinity'!$D$8*'Customer Segments'!$F$6+'Stage Demand'!$G$5*'Service Affinity'!$E$8*'Customer Segments'!$F$7+'Stage Demand'!$H$5*'Service Affinity'!$F$8*'Customer Segments'!$F$8+'Stage Demand'!$I$5*'Service Affinity'!$G$8*'Customer Segments'!$F$9+'Stage Demand'!$J$5*'Service Affinity'!$H$8*'Customer Segments'!$F$10)/N19</x:f>
        <x:v>0.024122486288848263</x:v>
      </x:c>
      <x:c r="U19" s="200" t="n">
        <x:v>0.98</x:v>
      </x:c>
      <x:c r="V19" s="226" t="n">
        <x:f>MIN(J19,N19*O19*U19*('Model Assumptions'!$B$17+'Model Assumptions'!$B$18*'Model Assumptions'!$E$5)*('Model Assumptions'!$B$19+'Model Assumptions'!$B$20*'Model Assumptions'!$F$5)*'Model Assumptions'!$G$5*'Model Assumptions'!$H$5*'Model Assumptions'!$J$5)</x:f>
        <x:v>308.39929427865604</x:v>
      </x:c>
      <x:c r="W19" s="239" t="n">
        <x:f>V19/J19</x:f>
        <x:v>0.3784040420597007</x:v>
      </x:c>
      <x:c r="X19" s="226" t="n">
        <x:f>K19*W19*Q19*'Model Assumptions'!$I$5*'Model Assumptions'!$K$5</x:f>
        <x:v>177.63418525176084</x:v>
      </x:c>
      <x:c r="Y19" s="226" t="n">
        <x:f>X19*(1-M19)</x:f>
        <x:v>154.54174116903192</x:v>
      </x:c>
      <x:c r="Z19" s="226" t="n">
        <x:f>L19*W19*R19*'Model Assumptions'!$L$5</x:f>
        <x:v>36.43709247010132</x:v>
      </x:c>
      <x:c r="AA19" s="91" t="str">
        <x:v>Building figures from PLOT Building Balance v0.1; customer calibration is v0.1 internal assumption.</x:v>
      </x:c>
    </x:row>
    <x:row r="20">
      <x:c r="A20" s="90" t="n">
        <x:v>17</x:v>
      </x:c>
      <x:c r="B20" s="74" t="str">
        <x:v>Local Insurance Office</x:v>
      </x:c>
      <x:c r="C20" s="74" t="str">
        <x:v>Insurance</x:v>
      </x:c>
      <x:c r="D20" s="74" t="str">
        <x:v>Starter</x:v>
      </x:c>
      <x:c r="E20" s="74" t="str">
        <x:v>Uncommon</x:v>
      </x:c>
      <x:c r="F20" s="74" t="n">
        <x:v>17</x:v>
      </x:c>
      <x:c r="G20" s="74" t="str">
        <x:v>1x2</x:v>
      </x:c>
      <x:c r="H20" s="74" t="str">
        <x:v>Balanced</x:v>
      </x:c>
      <x:c r="I20" s="74" t="str">
        <x:v>Low</x:v>
      </x:c>
      <x:c r="J20" s="226" t="n">
        <x:v>970</x:v>
      </x:c>
      <x:c r="K20" s="226" t="n">
        <x:v>629</x:v>
      </x:c>
      <x:c r="L20" s="226" t="n">
        <x:v>99</x:v>
      </x:c>
      <x:c r="M20" s="239" t="n">
        <x:v>0.13</x:v>
      </x:c>
      <x:c r="N20" s="240" t="n">
        <x:f>SUMPRODUCT('Stage Demand'!$D$5:$J$5,'Service Affinity'!$B$11:$H$11)</x:f>
        <x:v>7509</x:v>
      </x:c>
      <x:c r="O20" s="241" t="n">
        <x:f>'Model Assumptions'!$D$5</x:f>
        <x:v>0.06</x:v>
      </x:c>
      <x:c r="P20" s="242" t="n">
        <x:f>'Model Assumptions'!$F$5</x:f>
        <x:v>64</x:v>
      </x:c>
      <x:c r="Q20" s="243" t="n">
        <x:f>('Stage Demand'!$D$5*'Service Affinity'!$B$11*'Customer Segments'!$D$4+'Stage Demand'!$E$5*'Service Affinity'!$C$11*'Customer Segments'!$D$5+'Stage Demand'!$F$5*'Service Affinity'!$D$11*'Customer Segments'!$D$6+'Stage Demand'!$G$5*'Service Affinity'!$E$11*'Customer Segments'!$D$7+'Stage Demand'!$H$5*'Service Affinity'!$F$11*'Customer Segments'!$D$8+'Stage Demand'!$I$5*'Service Affinity'!$G$11*'Customer Segments'!$D$9+'Stage Demand'!$J$5*'Service Affinity'!$H$11*'Customer Segments'!$D$10)/N20</x:f>
        <x:v>0.9357504328139566</x:v>
      </x:c>
      <x:c r="R20" s="243" t="n">
        <x:f>('Stage Demand'!$D$5*'Service Affinity'!$B$11*'Customer Segments'!$C$4+'Stage Demand'!$E$5*'Service Affinity'!$C$11*'Customer Segments'!$C$5+'Stage Demand'!$F$5*'Service Affinity'!$D$11*'Customer Segments'!$C$6+'Stage Demand'!$G$5*'Service Affinity'!$E$11*'Customer Segments'!$C$7+'Stage Demand'!$H$5*'Service Affinity'!$F$11*'Customer Segments'!$C$8+'Stage Demand'!$I$5*'Service Affinity'!$G$11*'Customer Segments'!$C$9+'Stage Demand'!$J$5*'Service Affinity'!$H$11*'Customer Segments'!$C$10)/N20</x:f>
        <x:v>0.7686176588094287</x:v>
      </x:c>
      <x:c r="S20" s="241" t="n">
        <x:f>('Stage Demand'!$D$5*'Service Affinity'!$B$11*'Customer Segments'!$E$4+'Stage Demand'!$E$5*'Service Affinity'!$C$11*'Customer Segments'!$E$5+'Stage Demand'!$F$5*'Service Affinity'!$D$11*'Customer Segments'!$E$6+'Stage Demand'!$G$5*'Service Affinity'!$E$11*'Customer Segments'!$E$7+'Stage Demand'!$H$5*'Service Affinity'!$F$11*'Customer Segments'!$E$8+'Stage Demand'!$I$5*'Service Affinity'!$G$11*'Customer Segments'!$E$9+'Stage Demand'!$J$5*'Service Affinity'!$H$11*'Customer Segments'!$E$10)/N20</x:f>
        <x:v>0.30932214675722464</x:v>
      </x:c>
      <x:c r="T20" s="241" t="n">
        <x:f>('Stage Demand'!$D$5*'Service Affinity'!$B$11*'Customer Segments'!$F$4+'Stage Demand'!$E$5*'Service Affinity'!$C$11*'Customer Segments'!$F$5+'Stage Demand'!$F$5*'Service Affinity'!$D$11*'Customer Segments'!$F$6+'Stage Demand'!$G$5*'Service Affinity'!$E$11*'Customer Segments'!$F$7+'Stage Demand'!$H$5*'Service Affinity'!$F$11*'Customer Segments'!$F$8+'Stage Demand'!$I$5*'Service Affinity'!$G$11*'Customer Segments'!$F$9+'Stage Demand'!$J$5*'Service Affinity'!$H$11*'Customer Segments'!$F$10)/N20</x:f>
        <x:v>0.01733919296843788</x:v>
      </x:c>
      <x:c r="U20" s="200" t="n">
        <x:v>0.98</x:v>
      </x:c>
      <x:c r="V20" s="226" t="n">
        <x:f>MIN(J20,N20*O20*U20*('Model Assumptions'!$B$17+'Model Assumptions'!$B$18*'Model Assumptions'!$E$5)*('Model Assumptions'!$B$19+'Model Assumptions'!$B$20*'Model Assumptions'!$F$5)*'Model Assumptions'!$G$5*'Model Assumptions'!$H$5*'Model Assumptions'!$J$5)</x:f>
        <x:v>529.1979663479041</x:v>
      </x:c>
      <x:c r="W20" s="239" t="n">
        <x:f>V20/J20</x:f>
        <x:v>0.5455649137607258</x:v>
      </x:c>
      <x:c r="X20" s="226" t="n">
        <x:f>K20*W20*Q20*'Model Assumptions'!$I$5*'Model Assumptions'!$K$5</x:f>
        <x:v>321.11242802903644</x:v>
      </x:c>
      <x:c r="Y20" s="226" t="n">
        <x:f>X20*(1-M20)</x:f>
        <x:v>279.3678123852617</x:v>
      </x:c>
      <x:c r="Z20" s="226" t="n">
        <x:f>L20*W20*R20*'Model Assumptions'!$L$5</x:f>
        <x:v>41.513751847590356</x:v>
      </x:c>
      <x:c r="AA20" s="91" t="str">
        <x:v>Building figures from PLOT Building Balance v0.1; customer calibration is v0.1 internal assumption.</x:v>
      </x:c>
    </x:row>
    <x:row r="21">
      <x:c r="A21" s="90" t="n">
        <x:v>18</x:v>
      </x:c>
      <x:c r="B21" s="74" t="str">
        <x:v>Treasury Office</x:v>
      </x:c>
      <x:c r="C21" s="74" t="str">
        <x:v>Treasury</x:v>
      </x:c>
      <x:c r="D21" s="74" t="str">
        <x:v>Starter</x:v>
      </x:c>
      <x:c r="E21" s="74" t="str">
        <x:v>Uncommon</x:v>
      </x:c>
      <x:c r="F21" s="74" t="n">
        <x:v>18</x:v>
      </x:c>
      <x:c r="G21" s="74" t="str">
        <x:v>1x2</x:v>
      </x:c>
      <x:c r="H21" s="74" t="str">
        <x:v>Utility</x:v>
      </x:c>
      <x:c r="I21" s="74" t="str">
        <x:v>Low</x:v>
      </x:c>
      <x:c r="J21" s="226" t="n">
        <x:v>1155</x:v>
      </x:c>
      <x:c r="K21" s="226" t="n">
        <x:v>633</x:v>
      </x:c>
      <x:c r="L21" s="226" t="n">
        <x:v>104</x:v>
      </x:c>
      <x:c r="M21" s="239" t="n">
        <x:v>0.13</x:v>
      </x:c>
      <x:c r="N21" s="240" t="n">
        <x:f>SUMPRODUCT('Stage Demand'!$D$5:$J$5,'Service Affinity'!$B$13:$H$13)</x:f>
        <x:v>2356</x:v>
      </x:c>
      <x:c r="O21" s="241" t="n">
        <x:f>'Model Assumptions'!$D$5</x:f>
        <x:v>0.06</x:v>
      </x:c>
      <x:c r="P21" s="242" t="n">
        <x:f>'Model Assumptions'!$F$5</x:f>
        <x:v>64</x:v>
      </x:c>
      <x:c r="Q21" s="243" t="n">
        <x:f>('Stage Demand'!$D$5*'Service Affinity'!$B$13*'Customer Segments'!$D$4+'Stage Demand'!$E$5*'Service Affinity'!$C$13*'Customer Segments'!$D$5+'Stage Demand'!$F$5*'Service Affinity'!$D$13*'Customer Segments'!$D$6+'Stage Demand'!$G$5*'Service Affinity'!$E$13*'Customer Segments'!$D$7+'Stage Demand'!$H$5*'Service Affinity'!$F$13*'Customer Segments'!$D$8+'Stage Demand'!$I$5*'Service Affinity'!$G$13*'Customer Segments'!$D$9+'Stage Demand'!$J$5*'Service Affinity'!$H$13*'Customer Segments'!$D$10)/N21</x:f>
        <x:v>1.1823853989813242</x:v>
      </x:c>
      <x:c r="R21" s="243" t="n">
        <x:f>('Stage Demand'!$D$5*'Service Affinity'!$B$13*'Customer Segments'!$C$4+'Stage Demand'!$E$5*'Service Affinity'!$C$13*'Customer Segments'!$C$5+'Stage Demand'!$F$5*'Service Affinity'!$D$13*'Customer Segments'!$C$6+'Stage Demand'!$G$5*'Service Affinity'!$E$13*'Customer Segments'!$C$7+'Stage Demand'!$H$5*'Service Affinity'!$F$13*'Customer Segments'!$C$8+'Stage Demand'!$I$5*'Service Affinity'!$G$13*'Customer Segments'!$C$9+'Stage Demand'!$J$5*'Service Affinity'!$H$13*'Customer Segments'!$C$10)/N21</x:f>
        <x:v>0.9909592529711374</x:v>
      </x:c>
      <x:c r="S21" s="241" t="n">
        <x:f>('Stage Demand'!$D$5*'Service Affinity'!$B$13*'Customer Segments'!$E$4+'Stage Demand'!$E$5*'Service Affinity'!$C$13*'Customer Segments'!$E$5+'Stage Demand'!$F$5*'Service Affinity'!$D$13*'Customer Segments'!$E$6+'Stage Demand'!$G$5*'Service Affinity'!$E$13*'Customer Segments'!$E$7+'Stage Demand'!$H$5*'Service Affinity'!$F$13*'Customer Segments'!$E$8+'Stage Demand'!$I$5*'Service Affinity'!$G$13*'Customer Segments'!$E$9+'Stage Demand'!$J$5*'Service Affinity'!$H$13*'Customer Segments'!$E$10)/N21</x:f>
        <x:v>0.23930390492359935</x:v>
      </x:c>
      <x:c r="T21" s="241" t="n">
        <x:f>('Stage Demand'!$D$5*'Service Affinity'!$B$13*'Customer Segments'!$F$4+'Stage Demand'!$E$5*'Service Affinity'!$C$13*'Customer Segments'!$F$5+'Stage Demand'!$F$5*'Service Affinity'!$D$13*'Customer Segments'!$F$6+'Stage Demand'!$G$5*'Service Affinity'!$E$13*'Customer Segments'!$F$7+'Stage Demand'!$H$5*'Service Affinity'!$F$13*'Customer Segments'!$F$8+'Stage Demand'!$I$5*'Service Affinity'!$G$13*'Customer Segments'!$F$9+'Stage Demand'!$J$5*'Service Affinity'!$H$13*'Customer Segments'!$F$10)/N21</x:f>
        <x:v>0.01524617996604414</x:v>
      </x:c>
      <x:c r="U21" s="200" t="n">
        <x:v>0.98</x:v>
      </x:c>
      <x:c r="V21" s="226" t="n">
        <x:f>MIN(J21,N21*O21*U21*('Model Assumptions'!$B$17+'Model Assumptions'!$B$18*'Model Assumptions'!$E$5)*('Model Assumptions'!$B$19+'Model Assumptions'!$B$20*'Model Assumptions'!$F$5)*'Model Assumptions'!$G$5*'Model Assumptions'!$H$5*'Model Assumptions'!$J$5)</x:f>
        <x:v>166.03947379353602</x:v>
      </x:c>
      <x:c r="W21" s="239" t="n">
        <x:f>V21/J21</x:f>
        <x:v>0.14375712016756365</x:v>
      </x:c>
      <x:c r="X21" s="226" t="n">
        <x:f>K21*W21*Q21*'Model Assumptions'!$I$5*'Model Assumptions'!$K$5</x:f>
        <x:v>107.59501048766768</x:v>
      </x:c>
      <x:c r="Y21" s="226" t="n">
        <x:f>X21*(1-M21)</x:f>
        <x:v>93.60765912427088</x:v>
      </x:c>
      <x:c r="Z21" s="226" t="n">
        <x:f>L21*W21*R21*'Model Assumptions'!$L$5</x:f>
        <x:v>14.815574634695214</x:v>
      </x:c>
      <x:c r="AA21" s="91" t="str">
        <x:v>Building figures from PLOT Building Balance v0.1; customer calibration is v0.1 internal assumption.</x:v>
      </x:c>
    </x:row>
    <x:row r="22">
      <x:c r="A22" s="90" t="n">
        <x:v>19</x:v>
      </x:c>
      <x:c r="B22" s="74" t="str">
        <x:v>Small Fund Office</x:v>
      </x:c>
      <x:c r="C22" s="74" t="str">
        <x:v>Asset Management</x:v>
      </x:c>
      <x:c r="D22" s="74" t="str">
        <x:v>Starter</x:v>
      </x:c>
      <x:c r="E22" s="74" t="str">
        <x:v>Uncommon</x:v>
      </x:c>
      <x:c r="F22" s="74" t="n">
        <x:v>19</x:v>
      </x:c>
      <x:c r="G22" s="74" t="str">
        <x:v>2x2</x:v>
      </x:c>
      <x:c r="H22" s="74" t="str">
        <x:v>Revenue</x:v>
      </x:c>
      <x:c r="I22" s="74" t="str">
        <x:v>Medium</x:v>
      </x:c>
      <x:c r="J22" s="226" t="n">
        <x:v>1374</x:v>
      </x:c>
      <x:c r="K22" s="226" t="n">
        <x:v>1081</x:v>
      </x:c>
      <x:c r="L22" s="226" t="n">
        <x:v>173</x:v>
      </x:c>
      <x:c r="M22" s="239" t="n">
        <x:v>0.13</x:v>
      </x:c>
      <x:c r="N22" s="240" t="n">
        <x:f>SUMPRODUCT('Stage Demand'!$D$5:$J$5,'Service Affinity'!$B$14:$H$14)</x:f>
        <x:v>4225</x:v>
      </x:c>
      <x:c r="O22" s="241" t="n">
        <x:f>'Model Assumptions'!$D$5</x:f>
        <x:v>0.06</x:v>
      </x:c>
      <x:c r="P22" s="242" t="n">
        <x:f>'Model Assumptions'!$F$5</x:f>
        <x:v>64</x:v>
      </x:c>
      <x:c r="Q22" s="243" t="n">
        <x:f>('Stage Demand'!$D$5*'Service Affinity'!$B$14*'Customer Segments'!$D$4+'Stage Demand'!$E$5*'Service Affinity'!$C$14*'Customer Segments'!$D$5+'Stage Demand'!$F$5*'Service Affinity'!$D$14*'Customer Segments'!$D$6+'Stage Demand'!$G$5*'Service Affinity'!$E$14*'Customer Segments'!$D$7+'Stage Demand'!$H$5*'Service Affinity'!$F$14*'Customer Segments'!$D$8+'Stage Demand'!$I$5*'Service Affinity'!$G$14*'Customer Segments'!$D$9+'Stage Demand'!$J$5*'Service Affinity'!$H$14*'Customer Segments'!$D$10)/N22</x:f>
        <x:v>1.117337278106509</x:v>
      </x:c>
      <x:c r="R22" s="243" t="n">
        <x:f>('Stage Demand'!$D$5*'Service Affinity'!$B$14*'Customer Segments'!$C$4+'Stage Demand'!$E$5*'Service Affinity'!$C$14*'Customer Segments'!$C$5+'Stage Demand'!$F$5*'Service Affinity'!$D$14*'Customer Segments'!$C$6+'Stage Demand'!$G$5*'Service Affinity'!$E$14*'Customer Segments'!$C$7+'Stage Demand'!$H$5*'Service Affinity'!$F$14*'Customer Segments'!$C$8+'Stage Demand'!$I$5*'Service Affinity'!$G$14*'Customer Segments'!$C$9+'Stage Demand'!$J$5*'Service Affinity'!$H$14*'Customer Segments'!$C$10)/N22</x:f>
        <x:v>1.0774556213017752</x:v>
      </x:c>
      <x:c r="S22" s="241" t="n">
        <x:f>('Stage Demand'!$D$5*'Service Affinity'!$B$14*'Customer Segments'!$E$4+'Stage Demand'!$E$5*'Service Affinity'!$C$14*'Customer Segments'!$E$5+'Stage Demand'!$F$5*'Service Affinity'!$D$14*'Customer Segments'!$E$6+'Stage Demand'!$G$5*'Service Affinity'!$E$14*'Customer Segments'!$E$7+'Stage Demand'!$H$5*'Service Affinity'!$F$14*'Customer Segments'!$E$8+'Stage Demand'!$I$5*'Service Affinity'!$G$14*'Customer Segments'!$E$9+'Stage Demand'!$J$5*'Service Affinity'!$H$14*'Customer Segments'!$E$10)/N22</x:f>
        <x:v>0.2703905325443787</x:v>
      </x:c>
      <x:c r="T22" s="241" t="n">
        <x:f>('Stage Demand'!$D$5*'Service Affinity'!$B$14*'Customer Segments'!$F$4+'Stage Demand'!$E$5*'Service Affinity'!$C$14*'Customer Segments'!$F$5+'Stage Demand'!$F$5*'Service Affinity'!$D$14*'Customer Segments'!$F$6+'Stage Demand'!$G$5*'Service Affinity'!$E$14*'Customer Segments'!$F$7+'Stage Demand'!$H$5*'Service Affinity'!$F$14*'Customer Segments'!$F$8+'Stage Demand'!$I$5*'Service Affinity'!$G$14*'Customer Segments'!$F$9+'Stage Demand'!$J$5*'Service Affinity'!$H$14*'Customer Segments'!$F$10)/N22</x:f>
        <x:v>0.02007573964497041</x:v>
      </x:c>
      <x:c r="U22" s="200" t="n">
        <x:v>0.98</x:v>
      </x:c>
      <x:c r="V22" s="226" t="n">
        <x:f>MIN(J22,N22*O22*U22*('Model Assumptions'!$B$17+'Model Assumptions'!$B$18*'Model Assumptions'!$E$5)*('Model Assumptions'!$B$19+'Model Assumptions'!$B$20*'Model Assumptions'!$F$5)*'Model Assumptions'!$G$5*'Model Assumptions'!$H$5*'Model Assumptions'!$J$5)</x:f>
        <x:v>297.75754532160005</x:v>
      </x:c>
      <x:c r="W22" s="239" t="n">
        <x:f>V22/J22</x:f>
        <x:v>0.21670854826899566</x:v>
      </x:c>
      <x:c r="X22" s="226" t="n">
        <x:f>K22*W22*Q22*'Model Assumptions'!$I$5*'Model Assumptions'!$K$5</x:f>
        <x:v>261.74959916198134</x:v>
      </x:c>
      <x:c r="Y22" s="226" t="n">
        <x:f>X22*(1-M22)</x:f>
        <x:v>227.72215127092377</x:v>
      </x:c>
      <x:c r="Z22" s="226" t="n">
        <x:f>L22*W22*R22*'Model Assumptions'!$L$5</x:f>
        <x:v>40.39443492836773</x:v>
      </x:c>
      <x:c r="AA22" s="91" t="str">
        <x:v>Building figures from PLOT Building Balance v0.1; customer calibration is v0.1 internal assumption.</x:v>
      </x:c>
    </x:row>
    <x:row r="23">
      <x:c r="A23" s="90" t="n">
        <x:v>20</x:v>
      </x:c>
      <x:c r="B23" s="74" t="str">
        <x:v>Financial Services Hub</x:v>
      </x:c>
      <x:c r="C23" s="74" t="str">
        <x:v>Multi-Service</x:v>
      </x:c>
      <x:c r="D23" s="74" t="str">
        <x:v>Starter</x:v>
      </x:c>
      <x:c r="E23" s="74" t="str">
        <x:v>Uncommon</x:v>
      </x:c>
      <x:c r="F23" s="74" t="n">
        <x:v>20</x:v>
      </x:c>
      <x:c r="G23" s="74" t="str">
        <x:v>2x2</x:v>
      </x:c>
      <x:c r="H23" s="74" t="str">
        <x:v>Revenue</x:v>
      </x:c>
      <x:c r="I23" s="74" t="str">
        <x:v>Medium</x:v>
      </x:c>
      <x:c r="J23" s="226" t="n">
        <x:v>1635</x:v>
      </x:c>
      <x:c r="K23" s="226" t="n">
        <x:v>1331</x:v>
      </x:c>
      <x:c r="L23" s="226" t="n">
        <x:v>216</x:v>
      </x:c>
      <x:c r="M23" s="239" t="n">
        <x:v>0.13</x:v>
      </x:c>
      <x:c r="N23" s="240" t="n">
        <x:f>SUMPRODUCT('Stage Demand'!$D$5:$J$5,'Service Affinity'!$B$15:$H$15)</x:f>
        <x:v>9100</x:v>
      </x:c>
      <x:c r="O23" s="241" t="n">
        <x:f>'Model Assumptions'!$D$5</x:f>
        <x:v>0.06</x:v>
      </x:c>
      <x:c r="P23" s="242" t="n">
        <x:f>'Model Assumptions'!$F$5</x:f>
        <x:v>64</x:v>
      </x:c>
      <x:c r="Q23" s="243" t="n">
        <x:f>('Stage Demand'!$D$5*'Service Affinity'!$B$15*'Customer Segments'!$D$4+'Stage Demand'!$E$5*'Service Affinity'!$C$15*'Customer Segments'!$D$5+'Stage Demand'!$F$5*'Service Affinity'!$D$15*'Customer Segments'!$D$6+'Stage Demand'!$G$5*'Service Affinity'!$E$15*'Customer Segments'!$D$7+'Stage Demand'!$H$5*'Service Affinity'!$F$15*'Customer Segments'!$D$8+'Stage Demand'!$I$5*'Service Affinity'!$G$15*'Customer Segments'!$D$9+'Stage Demand'!$J$5*'Service Affinity'!$H$15*'Customer Segments'!$D$10)/N23</x:f>
        <x:v>0.9813736263736264</x:v>
      </x:c>
      <x:c r="R23" s="243" t="n">
        <x:f>('Stage Demand'!$D$5*'Service Affinity'!$B$15*'Customer Segments'!$C$4+'Stage Demand'!$E$5*'Service Affinity'!$C$15*'Customer Segments'!$C$5+'Stage Demand'!$F$5*'Service Affinity'!$D$15*'Customer Segments'!$C$6+'Stage Demand'!$G$5*'Service Affinity'!$E$15*'Customer Segments'!$C$7+'Stage Demand'!$H$5*'Service Affinity'!$F$15*'Customer Segments'!$C$8+'Stage Demand'!$I$5*'Service Affinity'!$G$15*'Customer Segments'!$C$9+'Stage Demand'!$J$5*'Service Affinity'!$H$15*'Customer Segments'!$C$10)/N23</x:f>
        <x:v>0.9178571428571428</x:v>
      </x:c>
      <x:c r="S23" s="241" t="n">
        <x:f>('Stage Demand'!$D$5*'Service Affinity'!$B$15*'Customer Segments'!$E$4+'Stage Demand'!$E$5*'Service Affinity'!$C$15*'Customer Segments'!$E$5+'Stage Demand'!$F$5*'Service Affinity'!$D$15*'Customer Segments'!$E$6+'Stage Demand'!$G$5*'Service Affinity'!$E$15*'Customer Segments'!$E$7+'Stage Demand'!$H$5*'Service Affinity'!$F$15*'Customer Segments'!$E$8+'Stage Demand'!$I$5*'Service Affinity'!$G$15*'Customer Segments'!$E$9+'Stage Demand'!$J$5*'Service Affinity'!$H$15*'Customer Segments'!$E$10)/N23</x:f>
        <x:v>0.301978021978022</x:v>
      </x:c>
      <x:c r="T23" s="241" t="n">
        <x:f>('Stage Demand'!$D$5*'Service Affinity'!$B$15*'Customer Segments'!$F$4+'Stage Demand'!$E$5*'Service Affinity'!$C$15*'Customer Segments'!$F$5+'Stage Demand'!$F$5*'Service Affinity'!$D$15*'Customer Segments'!$F$6+'Stage Demand'!$G$5*'Service Affinity'!$E$15*'Customer Segments'!$F$7+'Stage Demand'!$H$5*'Service Affinity'!$F$15*'Customer Segments'!$F$8+'Stage Demand'!$I$5*'Service Affinity'!$G$15*'Customer Segments'!$F$9+'Stage Demand'!$J$5*'Service Affinity'!$H$15*'Customer Segments'!$F$10)/N23</x:f>
        <x:v>0.020035164835164834</x:v>
      </x:c>
      <x:c r="U23" s="200" t="n">
        <x:v>0.98</x:v>
      </x:c>
      <x:c r="V23" s="226" t="n">
        <x:f>MIN(J23,N23*O23*U23*('Model Assumptions'!$B$17+'Model Assumptions'!$B$18*'Model Assumptions'!$E$5)*('Model Assumptions'!$B$19+'Model Assumptions'!$B$20*'Model Assumptions'!$F$5)*'Model Assumptions'!$G$5*'Model Assumptions'!$H$5*'Model Assumptions'!$J$5)</x:f>
        <x:v>641.3239437696002</x:v>
      </x:c>
      <x:c r="W23" s="239" t="n">
        <x:f>V23/J23</x:f>
        <x:v>0.3922470604095414</x:v>
      </x:c>
      <x:c r="X23" s="226" t="n">
        <x:f>K23*W23*Q23*'Model Assumptions'!$I$5*'Model Assumptions'!$K$5</x:f>
        <x:v>512.3563646644221</x:v>
      </x:c>
      <x:c r="Y23" s="226" t="n">
        <x:f>X23*(1-M23)</x:f>
        <x:v>445.75003725804726</x:v>
      </x:c>
      <x:c r="Z23" s="226" t="n">
        <x:f>L23*W23*R23*'Model Assumptions'!$L$5</x:f>
        <x:v>77.7657814909088</x:v>
      </x:c>
      <x:c r="AA23" s="91" t="str">
        <x:v>Building figures from PLOT Building Balance v0.1; customer calibration is v0.1 internal assumption.</x:v>
      </x:c>
    </x:row>
    <x:row r="24">
      <x:c r="A24" s="90" t="n">
        <x:v>21</x:v>
      </x:c>
      <x:c r="B24" s="74" t="str">
        <x:v>Community Bank Branch</x:v>
      </x:c>
      <x:c r="C24" s="74" t="str">
        <x:v>Banking</x:v>
      </x:c>
      <x:c r="D24" s="74" t="str">
        <x:v>Growing</x:v>
      </x:c>
      <x:c r="E24" s="74" t="str">
        <x:v>Rare</x:v>
      </x:c>
      <x:c r="F24" s="74" t="n">
        <x:v>21</x:v>
      </x:c>
      <x:c r="G24" s="74" t="str">
        <x:v>2x2</x:v>
      </x:c>
      <x:c r="H24" s="74" t="str">
        <x:v>Balanced</x:v>
      </x:c>
      <x:c r="I24" s="74" t="str">
        <x:v>Low</x:v>
      </x:c>
      <x:c r="J24" s="226" t="n">
        <x:v>1946</x:v>
      </x:c>
      <x:c r="K24" s="226" t="n">
        <x:v>1490</x:v>
      </x:c>
      <x:c r="L24" s="226" t="n">
        <x:v>234</x:v>
      </x:c>
      <x:c r="M24" s="239" t="n">
        <x:v>0.14</x:v>
      </x:c>
      <x:c r="N24" s="240" t="n">
        <x:f>SUMPRODUCT('Stage Demand'!$D$6:$J$6,'Service Affinity'!$B$6:$H$6)</x:f>
        <x:v>39850</x:v>
      </x:c>
      <x:c r="O24" s="241" t="n">
        <x:f>'Model Assumptions'!$D$6</x:f>
        <x:v>0.08</x:v>
      </x:c>
      <x:c r="P24" s="242" t="n">
        <x:f>'Model Assumptions'!$F$6</x:f>
        <x:v>71</x:v>
      </x:c>
      <x:c r="Q24" s="243" t="n">
        <x:f>('Stage Demand'!$D$6*'Service Affinity'!$B$6*'Customer Segments'!$D$4+'Stage Demand'!$E$6*'Service Affinity'!$C$6*'Customer Segments'!$D$5+'Stage Demand'!$F$6*'Service Affinity'!$D$6*'Customer Segments'!$D$6+'Stage Demand'!$G$6*'Service Affinity'!$E$6*'Customer Segments'!$D$7+'Stage Demand'!$H$6*'Service Affinity'!$F$6*'Customer Segments'!$D$8+'Stage Demand'!$I$6*'Service Affinity'!$G$6*'Customer Segments'!$D$9+'Stage Demand'!$J$6*'Service Affinity'!$H$6*'Customer Segments'!$D$10)/N24</x:f>
        <x:v>0.9344416562107905</x:v>
      </x:c>
      <x:c r="R24" s="243" t="n">
        <x:f>('Stage Demand'!$D$6*'Service Affinity'!$B$6*'Customer Segments'!$C$4+'Stage Demand'!$E$6*'Service Affinity'!$C$6*'Customer Segments'!$C$5+'Stage Demand'!$F$6*'Service Affinity'!$D$6*'Customer Segments'!$C$6+'Stage Demand'!$G$6*'Service Affinity'!$E$6*'Customer Segments'!$C$7+'Stage Demand'!$H$6*'Service Affinity'!$F$6*'Customer Segments'!$C$8+'Stage Demand'!$I$6*'Service Affinity'!$G$6*'Customer Segments'!$C$9+'Stage Demand'!$J$6*'Service Affinity'!$H$6*'Customer Segments'!$C$10)/N24</x:f>
        <x:v>0.7934127979924718</x:v>
      </x:c>
      <x:c r="S24" s="241" t="n">
        <x:f>('Stage Demand'!$D$6*'Service Affinity'!$B$6*'Customer Segments'!$E$4+'Stage Demand'!$E$6*'Service Affinity'!$C$6*'Customer Segments'!$E$5+'Stage Demand'!$F$6*'Service Affinity'!$D$6*'Customer Segments'!$E$6+'Stage Demand'!$G$6*'Service Affinity'!$E$6*'Customer Segments'!$E$7+'Stage Demand'!$H$6*'Service Affinity'!$F$6*'Customer Segments'!$E$8+'Stage Demand'!$I$6*'Service Affinity'!$G$6*'Customer Segments'!$E$9+'Stage Demand'!$J$6*'Service Affinity'!$H$6*'Customer Segments'!$E$10)/N24</x:f>
        <x:v>0.311693851944793</x:v>
      </x:c>
      <x:c r="T24" s="241" t="n">
        <x:f>('Stage Demand'!$D$6*'Service Affinity'!$B$6*'Customer Segments'!$F$4+'Stage Demand'!$E$6*'Service Affinity'!$C$6*'Customer Segments'!$F$5+'Stage Demand'!$F$6*'Service Affinity'!$D$6*'Customer Segments'!$F$6+'Stage Demand'!$G$6*'Service Affinity'!$E$6*'Customer Segments'!$F$7+'Stage Demand'!$H$6*'Service Affinity'!$F$6*'Customer Segments'!$F$8+'Stage Demand'!$I$6*'Service Affinity'!$G$6*'Customer Segments'!$F$9+'Stage Demand'!$J$6*'Service Affinity'!$H$6*'Customer Segments'!$F$10)/N24</x:f>
        <x:v>0.01805018820577164</x:v>
      </x:c>
      <x:c r="U24" s="200" t="n">
        <x:v>1.06</x:v>
      </x:c>
      <x:c r="V24" s="226" t="n">
        <x:f>MIN(J24,N24*O24*U24*('Model Assumptions'!$B$17+'Model Assumptions'!$B$18*'Model Assumptions'!$E$6)*('Model Assumptions'!$B$19+'Model Assumptions'!$B$20*'Model Assumptions'!$F$6)*'Model Assumptions'!$G$6*'Model Assumptions'!$H$6*'Model Assumptions'!$J$6)</x:f>
        <x:v>1946</x:v>
      </x:c>
      <x:c r="W24" s="239" t="n">
        <x:f>V24/J24</x:f>
        <x:v>1</x:v>
      </x:c>
      <x:c r="X24" s="226" t="n">
        <x:f>K24*W24*Q24*'Model Assumptions'!$I$6*'Model Assumptions'!$K$6</x:f>
        <x:v>1434.0876097867</x:v>
      </x:c>
      <x:c r="Y24" s="226" t="n">
        <x:f>X24*(1-M24)</x:f>
        <x:v>1233.315344416562</x:v>
      </x:c>
      <x:c r="Z24" s="226" t="n">
        <x:f>L24*W24*R24*'Model Assumptions'!$L$6</x:f>
        <x:v>185.6585947302384</x:v>
      </x:c>
      <x:c r="AA24" s="91" t="str">
        <x:v>Building figures from PLOT Building Balance v0.1; customer calibration is v0.1 internal assumption.</x:v>
      </x:c>
    </x:row>
    <x:row r="25">
      <x:c r="A25" s="90" t="n">
        <x:v>22</x:v>
      </x:c>
      <x:c r="B25" s="74" t="str">
        <x:v>Brokerage House</x:v>
      </x:c>
      <x:c r="C25" s="74" t="str">
        <x:v>Brokerage</x:v>
      </x:c>
      <x:c r="D25" s="74" t="str">
        <x:v>Growing</x:v>
      </x:c>
      <x:c r="E25" s="74" t="str">
        <x:v>Rare</x:v>
      </x:c>
      <x:c r="F25" s="74" t="n">
        <x:v>22</x:v>
      </x:c>
      <x:c r="G25" s="74" t="str">
        <x:v>2x2</x:v>
      </x:c>
      <x:c r="H25" s="74" t="str">
        <x:v>Revenue</x:v>
      </x:c>
      <x:c r="I25" s="74" t="str">
        <x:v>Medium</x:v>
      </x:c>
      <x:c r="J25" s="226" t="n">
        <x:v>2315</x:v>
      </x:c>
      <x:c r="K25" s="226" t="n">
        <x:v>1893</x:v>
      </x:c>
      <x:c r="L25" s="226" t="n">
        <x:v>319</x:v>
      </x:c>
      <x:c r="M25" s="239" t="n">
        <x:v>0.14</x:v>
      </x:c>
      <x:c r="N25" s="240" t="n">
        <x:f>SUMPRODUCT('Stage Demand'!$D$6:$J$6,'Service Affinity'!$B$7:$H$7)</x:f>
        <x:v>31550</x:v>
      </x:c>
      <x:c r="O25" s="241" t="n">
        <x:f>'Model Assumptions'!$D$6</x:f>
        <x:v>0.08</x:v>
      </x:c>
      <x:c r="P25" s="242" t="n">
        <x:f>'Model Assumptions'!$F$6</x:f>
        <x:v>71</x:v>
      </x:c>
      <x:c r="Q25" s="243" t="n">
        <x:f>('Stage Demand'!$D$6*'Service Affinity'!$B$7*'Customer Segments'!$D$4+'Stage Demand'!$E$6*'Service Affinity'!$C$7*'Customer Segments'!$D$5+'Stage Demand'!$F$6*'Service Affinity'!$D$7*'Customer Segments'!$D$6+'Stage Demand'!$G$6*'Service Affinity'!$E$7*'Customer Segments'!$D$7+'Stage Demand'!$H$6*'Service Affinity'!$F$7*'Customer Segments'!$D$8+'Stage Demand'!$I$6*'Service Affinity'!$G$7*'Customer Segments'!$D$9+'Stage Demand'!$J$6*'Service Affinity'!$H$7*'Customer Segments'!$D$10)/N25</x:f>
        <x:v>1.0874009508716322</x:v>
      </x:c>
      <x:c r="R25" s="243" t="n">
        <x:f>('Stage Demand'!$D$6*'Service Affinity'!$B$7*'Customer Segments'!$C$4+'Stage Demand'!$E$6*'Service Affinity'!$C$7*'Customer Segments'!$C$5+'Stage Demand'!$F$6*'Service Affinity'!$D$7*'Customer Segments'!$C$6+'Stage Demand'!$G$6*'Service Affinity'!$E$7*'Customer Segments'!$C$7+'Stage Demand'!$H$6*'Service Affinity'!$F$7*'Customer Segments'!$C$8+'Stage Demand'!$I$6*'Service Affinity'!$G$7*'Customer Segments'!$C$9+'Stage Demand'!$J$6*'Service Affinity'!$H$7*'Customer Segments'!$C$10)/N25</x:f>
        <x:v>1.1759904912836767</x:v>
      </x:c>
      <x:c r="S25" s="241" t="n">
        <x:f>('Stage Demand'!$D$6*'Service Affinity'!$B$7*'Customer Segments'!$E$4+'Stage Demand'!$E$6*'Service Affinity'!$C$7*'Customer Segments'!$E$5+'Stage Demand'!$F$6*'Service Affinity'!$D$7*'Customer Segments'!$E$6+'Stage Demand'!$G$6*'Service Affinity'!$E$7*'Customer Segments'!$E$7+'Stage Demand'!$H$6*'Service Affinity'!$F$7*'Customer Segments'!$E$8+'Stage Demand'!$I$6*'Service Affinity'!$G$7*'Customer Segments'!$E$9+'Stage Demand'!$J$6*'Service Affinity'!$H$7*'Customer Segments'!$E$10)/N25</x:f>
        <x:v>0.2821553090332805</x:v>
      </x:c>
      <x:c r="T25" s="241" t="n">
        <x:f>('Stage Demand'!$D$6*'Service Affinity'!$B$7*'Customer Segments'!$F$4+'Stage Demand'!$E$6*'Service Affinity'!$C$7*'Customer Segments'!$F$5+'Stage Demand'!$F$6*'Service Affinity'!$D$7*'Customer Segments'!$F$6+'Stage Demand'!$G$6*'Service Affinity'!$E$7*'Customer Segments'!$F$7+'Stage Demand'!$H$6*'Service Affinity'!$F$7*'Customer Segments'!$F$8+'Stage Demand'!$I$6*'Service Affinity'!$G$7*'Customer Segments'!$F$9+'Stage Demand'!$J$6*'Service Affinity'!$H$7*'Customer Segments'!$F$10)/N25</x:f>
        <x:v>0.023857369255150557</x:v>
      </x:c>
      <x:c r="U25" s="200" t="n">
        <x:v>1.06</x:v>
      </x:c>
      <x:c r="V25" s="226" t="n">
        <x:f>MIN(J25,N25*O25*U25*('Model Assumptions'!$B$17+'Model Assumptions'!$B$18*'Model Assumptions'!$E$6)*('Model Assumptions'!$B$19+'Model Assumptions'!$B$20*'Model Assumptions'!$F$6)*'Model Assumptions'!$G$6*'Model Assumptions'!$H$6*'Model Assumptions'!$J$6)</x:f>
        <x:v>2315</x:v>
      </x:c>
      <x:c r="W25" s="239" t="n">
        <x:f>V25/J25</x:f>
        <x:v>1</x:v>
      </x:c>
      <x:c r="X25" s="226" t="n">
        <x:f>K25*W25*Q25*'Model Assumptions'!$I$6*'Model Assumptions'!$K$6</x:f>
        <x:v>2120.2035</x:v>
      </x:c>
      <x:c r="Y25" s="226" t="n">
        <x:f>X25*(1-M25)</x:f>
        <x:v>1823.37501</x:v>
      </x:c>
      <x:c r="Z25" s="226" t="n">
        <x:f>L25*W25*R25*'Model Assumptions'!$L$6</x:f>
        <x:v>375.1409667194929</x:v>
      </x:c>
      <x:c r="AA25" s="91" t="str">
        <x:v>Building figures from PLOT Building Balance v0.1; customer calibration is v0.1 internal assumption.</x:v>
      </x:c>
    </x:row>
    <x:row r="26">
      <x:c r="A26" s="90" t="n">
        <x:v>23</x:v>
      </x:c>
      <x:c r="B26" s="74" t="str">
        <x:v>Investment Advisory Firm</x:v>
      </x:c>
      <x:c r="C26" s="74" t="str">
        <x:v>Advisory</x:v>
      </x:c>
      <x:c r="D26" s="74" t="str">
        <x:v>Growing</x:v>
      </x:c>
      <x:c r="E26" s="74" t="str">
        <x:v>Rare</x:v>
      </x:c>
      <x:c r="F26" s="74" t="n">
        <x:v>23</x:v>
      </x:c>
      <x:c r="G26" s="74" t="str">
        <x:v>2x2</x:v>
      </x:c>
      <x:c r="H26" s="74" t="str">
        <x:v>Balanced</x:v>
      </x:c>
      <x:c r="I26" s="74" t="str">
        <x:v>Medium</x:v>
      </x:c>
      <x:c r="J26" s="226" t="n">
        <x:v>2755</x:v>
      </x:c>
      <x:c r="K26" s="226" t="n">
        <x:v>1920</x:v>
      </x:c>
      <x:c r="L26" s="226" t="n">
        <x:v>298</x:v>
      </x:c>
      <x:c r="M26" s="239" t="n">
        <x:v>0.14</x:v>
      </x:c>
      <x:c r="N26" s="240" t="n">
        <x:f>SUMPRODUCT('Stage Demand'!$D$6:$J$6,'Service Affinity'!$B$12:$H$12)</x:f>
        <x:v>24850</x:v>
      </x:c>
      <x:c r="O26" s="241" t="n">
        <x:f>'Model Assumptions'!$D$6</x:f>
        <x:v>0.08</x:v>
      </x:c>
      <x:c r="P26" s="242" t="n">
        <x:f>'Model Assumptions'!$F$6</x:f>
        <x:v>71</x:v>
      </x:c>
      <x:c r="Q26" s="243" t="n">
        <x:f>('Stage Demand'!$D$6*'Service Affinity'!$B$12*'Customer Segments'!$D$4+'Stage Demand'!$E$6*'Service Affinity'!$C$12*'Customer Segments'!$D$5+'Stage Demand'!$F$6*'Service Affinity'!$D$12*'Customer Segments'!$D$6+'Stage Demand'!$G$6*'Service Affinity'!$E$12*'Customer Segments'!$D$7+'Stage Demand'!$H$6*'Service Affinity'!$F$12*'Customer Segments'!$D$8+'Stage Demand'!$I$6*'Service Affinity'!$G$12*'Customer Segments'!$D$9+'Stage Demand'!$J$6*'Service Affinity'!$H$12*'Customer Segments'!$D$10)/N26</x:f>
        <x:v>1.1117706237424547</x:v>
      </x:c>
      <x:c r="R26" s="243" t="n">
        <x:f>('Stage Demand'!$D$6*'Service Affinity'!$B$12*'Customer Segments'!$C$4+'Stage Demand'!$E$6*'Service Affinity'!$C$12*'Customer Segments'!$C$5+'Stage Demand'!$F$6*'Service Affinity'!$D$12*'Customer Segments'!$C$6+'Stage Demand'!$G$6*'Service Affinity'!$E$12*'Customer Segments'!$C$7+'Stage Demand'!$H$6*'Service Affinity'!$F$12*'Customer Segments'!$C$8+'Stage Demand'!$I$6*'Service Affinity'!$G$12*'Customer Segments'!$C$9+'Stage Demand'!$J$6*'Service Affinity'!$H$12*'Customer Segments'!$C$10)/N26</x:f>
        <x:v>1.0375251509054326</x:v>
      </x:c>
      <x:c r="S26" s="241" t="n">
        <x:f>('Stage Demand'!$D$6*'Service Affinity'!$B$12*'Customer Segments'!$E$4+'Stage Demand'!$E$6*'Service Affinity'!$C$12*'Customer Segments'!$E$5+'Stage Demand'!$F$6*'Service Affinity'!$D$12*'Customer Segments'!$E$6+'Stage Demand'!$G$6*'Service Affinity'!$E$12*'Customer Segments'!$E$7+'Stage Demand'!$H$6*'Service Affinity'!$F$12*'Customer Segments'!$E$8+'Stage Demand'!$I$6*'Service Affinity'!$G$12*'Customer Segments'!$E$9+'Stage Demand'!$J$6*'Service Affinity'!$H$12*'Customer Segments'!$E$10)/N26</x:f>
        <x:v>0.26832997987927565</x:v>
      </x:c>
      <x:c r="T26" s="241" t="n">
        <x:f>('Stage Demand'!$D$6*'Service Affinity'!$B$12*'Customer Segments'!$F$4+'Stage Demand'!$E$6*'Service Affinity'!$C$12*'Customer Segments'!$F$5+'Stage Demand'!$F$6*'Service Affinity'!$D$12*'Customer Segments'!$F$6+'Stage Demand'!$G$6*'Service Affinity'!$E$12*'Customer Segments'!$F$7+'Stage Demand'!$H$6*'Service Affinity'!$F$12*'Customer Segments'!$F$8+'Stage Demand'!$I$6*'Service Affinity'!$G$12*'Customer Segments'!$F$9+'Stage Demand'!$J$6*'Service Affinity'!$H$12*'Customer Segments'!$F$10)/N26</x:f>
        <x:v>0.01934004024144869</x:v>
      </x:c>
      <x:c r="U26" s="200" t="n">
        <x:v>1.06</x:v>
      </x:c>
      <x:c r="V26" s="226" t="n">
        <x:f>MIN(J26,N26*O26*U26*('Model Assumptions'!$B$17+'Model Assumptions'!$B$18*'Model Assumptions'!$E$6)*('Model Assumptions'!$B$19+'Model Assumptions'!$B$20*'Model Assumptions'!$F$6)*'Model Assumptions'!$G$6*'Model Assumptions'!$H$6*'Model Assumptions'!$J$6)</x:f>
        <x:v>2755</x:v>
      </x:c>
      <x:c r="W26" s="239" t="n">
        <x:f>V26/J26</x:f>
        <x:v>1</x:v>
      </x:c>
      <x:c r="X26" s="226" t="n">
        <x:f>K26*W26*Q26*'Model Assumptions'!$I$6*'Model Assumptions'!$K$6</x:f>
        <x:v>2198.6375855130786</x:v>
      </x:c>
      <x:c r="Y26" s="226" t="n">
        <x:f>X26*(1-M26)</x:f>
        <x:v>1890.8283235412475</x:v>
      </x:c>
      <x:c r="Z26" s="226" t="n">
        <x:f>L26*W26*R26*'Model Assumptions'!$L$6</x:f>
        <x:v>309.18249496981895</x:v>
      </x:c>
      <x:c r="AA26" s="91" t="str">
        <x:v>Building figures from PLOT Building Balance v0.1; customer calibration is v0.1 internal assumption.</x:v>
      </x:c>
    </x:row>
    <x:row r="27">
      <x:c r="A27" s="90" t="n">
        <x:v>24</x:v>
      </x:c>
      <x:c r="B27" s="74" t="str">
        <x:v>Asset Management Office</x:v>
      </x:c>
      <x:c r="C27" s="74" t="str">
        <x:v>Asset Management</x:v>
      </x:c>
      <x:c r="D27" s="74" t="str">
        <x:v>Growing</x:v>
      </x:c>
      <x:c r="E27" s="74" t="str">
        <x:v>Rare</x:v>
      </x:c>
      <x:c r="F27" s="74" t="n">
        <x:v>24</x:v>
      </x:c>
      <x:c r="G27" s="74" t="str">
        <x:v>2x2</x:v>
      </x:c>
      <x:c r="H27" s="74" t="str">
        <x:v>Revenue</x:v>
      </x:c>
      <x:c r="I27" s="74" t="str">
        <x:v>Medium</x:v>
      </x:c>
      <x:c r="J27" s="226" t="n">
        <x:v>3279</x:v>
      </x:c>
      <x:c r="K27" s="226" t="n">
        <x:v>2801</x:v>
      </x:c>
      <x:c r="L27" s="226" t="n">
        <x:v>413</x:v>
      </x:c>
      <x:c r="M27" s="239" t="n">
        <x:v>0.14</x:v>
      </x:c>
      <x:c r="N27" s="240" t="n">
        <x:f>SUMPRODUCT('Stage Demand'!$D$6:$J$6,'Service Affinity'!$B$14:$H$14)</x:f>
        <x:v>22100</x:v>
      </x:c>
      <x:c r="O27" s="241" t="n">
        <x:f>'Model Assumptions'!$D$6</x:f>
        <x:v>0.08</x:v>
      </x:c>
      <x:c r="P27" s="242" t="n">
        <x:f>'Model Assumptions'!$F$6</x:f>
        <x:v>71</x:v>
      </x:c>
      <x:c r="Q27" s="243" t="n">
        <x:f>('Stage Demand'!$D$6*'Service Affinity'!$B$14*'Customer Segments'!$D$4+'Stage Demand'!$E$6*'Service Affinity'!$C$14*'Customer Segments'!$D$5+'Stage Demand'!$F$6*'Service Affinity'!$D$14*'Customer Segments'!$D$6+'Stage Demand'!$G$6*'Service Affinity'!$E$14*'Customer Segments'!$D$7+'Stage Demand'!$H$6*'Service Affinity'!$F$14*'Customer Segments'!$D$8+'Stage Demand'!$I$6*'Service Affinity'!$G$14*'Customer Segments'!$D$9+'Stage Demand'!$J$6*'Service Affinity'!$H$14*'Customer Segments'!$D$10)/N27</x:f>
        <x:v>1.1376696832579185</x:v>
      </x:c>
      <x:c r="R27" s="243" t="n">
        <x:f>('Stage Demand'!$D$6*'Service Affinity'!$B$14*'Customer Segments'!$C$4+'Stage Demand'!$E$6*'Service Affinity'!$C$14*'Customer Segments'!$C$5+'Stage Demand'!$F$6*'Service Affinity'!$D$14*'Customer Segments'!$C$6+'Stage Demand'!$G$6*'Service Affinity'!$E$14*'Customer Segments'!$C$7+'Stage Demand'!$H$6*'Service Affinity'!$F$14*'Customer Segments'!$C$8+'Stage Demand'!$I$6*'Service Affinity'!$G$14*'Customer Segments'!$C$9+'Stage Demand'!$J$6*'Service Affinity'!$H$14*'Customer Segments'!$C$10)/N27</x:f>
        <x:v>1.0898190045248868</x:v>
      </x:c>
      <x:c r="S27" s="241" t="n">
        <x:f>('Stage Demand'!$D$6*'Service Affinity'!$B$14*'Customer Segments'!$E$4+'Stage Demand'!$E$6*'Service Affinity'!$C$14*'Customer Segments'!$E$5+'Stage Demand'!$F$6*'Service Affinity'!$D$14*'Customer Segments'!$E$6+'Stage Demand'!$G$6*'Service Affinity'!$E$14*'Customer Segments'!$E$7+'Stage Demand'!$H$6*'Service Affinity'!$F$14*'Customer Segments'!$E$8+'Stage Demand'!$I$6*'Service Affinity'!$G$14*'Customer Segments'!$E$9+'Stage Demand'!$J$6*'Service Affinity'!$H$14*'Customer Segments'!$E$10)/N27</x:f>
        <x:v>0.2648190045248869</x:v>
      </x:c>
      <x:c r="T27" s="241" t="n">
        <x:f>('Stage Demand'!$D$6*'Service Affinity'!$B$14*'Customer Segments'!$F$4+'Stage Demand'!$E$6*'Service Affinity'!$C$14*'Customer Segments'!$F$5+'Stage Demand'!$F$6*'Service Affinity'!$D$14*'Customer Segments'!$F$6+'Stage Demand'!$G$6*'Service Affinity'!$E$14*'Customer Segments'!$F$7+'Stage Demand'!$H$6*'Service Affinity'!$F$14*'Customer Segments'!$F$8+'Stage Demand'!$I$6*'Service Affinity'!$G$14*'Customer Segments'!$F$9+'Stage Demand'!$J$6*'Service Affinity'!$H$14*'Customer Segments'!$F$10)/N27</x:f>
        <x:v>0.01953393665158371</x:v>
      </x:c>
      <x:c r="U27" s="200" t="n">
        <x:v>1.06</x:v>
      </x:c>
      <x:c r="V27" s="226" t="n">
        <x:f>MIN(J27,N27*O27*U27*('Model Assumptions'!$B$17+'Model Assumptions'!$B$18*'Model Assumptions'!$E$6)*('Model Assumptions'!$B$19+'Model Assumptions'!$B$20*'Model Assumptions'!$F$6)*'Model Assumptions'!$G$6*'Model Assumptions'!$H$6*'Model Assumptions'!$J$6)</x:f>
        <x:v>2526.8885113804804</x:v>
      </x:c>
      <x:c r="W27" s="239" t="n">
        <x:f>V27/J27</x:f>
        <x:v>0.770627786331345</x:v>
      </x:c>
      <x:c r="X27" s="226" t="n">
        <x:f>K27*W27*Q27*'Model Assumptions'!$I$6*'Model Assumptions'!$K$6</x:f>
        <x:v>2529.3631253497706</x:v>
      </x:c>
      <x:c r="Y27" s="226" t="n">
        <x:f>X27*(1-M27)</x:f>
        <x:v>2175.2522878008026</x:v>
      </x:c>
      <x:c r="Z27" s="226" t="n">
        <x:f>L27*W27*R27*'Model Assumptions'!$L$6</x:f>
        <x:v>346.8559052740024</x:v>
      </x:c>
      <x:c r="AA27" s="91" t="str">
        <x:v>Building figures from PLOT Building Balance v0.1; customer calibration is v0.1 internal assumption.</x:v>
      </x:c>
    </x:row>
    <x:row r="28">
      <x:c r="A28" s="90" t="n">
        <x:v>25</x:v>
      </x:c>
      <x:c r="B28" s="74" t="str">
        <x:v>Market Research Center</x:v>
      </x:c>
      <x:c r="C28" s="74" t="str">
        <x:v>Research</x:v>
      </x:c>
      <x:c r="D28" s="74" t="str">
        <x:v>Growing</x:v>
      </x:c>
      <x:c r="E28" s="74" t="str">
        <x:v>Rare</x:v>
      </x:c>
      <x:c r="F28" s="74" t="n">
        <x:v>25</x:v>
      </x:c>
      <x:c r="G28" s="74" t="str">
        <x:v>2x2</x:v>
      </x:c>
      <x:c r="H28" s="74" t="str">
        <x:v>Utility</x:v>
      </x:c>
      <x:c r="I28" s="74" t="str">
        <x:v>Medium</x:v>
      </x:c>
      <x:c r="J28" s="226" t="n">
        <x:v>3902</x:v>
      </x:c>
      <x:c r="K28" s="226" t="n">
        <x:v>2304</x:v>
      </x:c>
      <x:c r="L28" s="226" t="n">
        <x:v>375</x:v>
      </x:c>
      <x:c r="M28" s="239" t="n">
        <x:v>0.14</x:v>
      </x:c>
      <x:c r="N28" s="240" t="n">
        <x:f>SUMPRODUCT('Stage Demand'!$D$6:$J$6,'Service Affinity'!$B$8:$H$8)</x:f>
        <x:v>22600</x:v>
      </x:c>
      <x:c r="O28" s="241" t="n">
        <x:f>'Model Assumptions'!$D$6</x:f>
        <x:v>0.08</x:v>
      </x:c>
      <x:c r="P28" s="242" t="n">
        <x:f>'Model Assumptions'!$F$6</x:f>
        <x:v>71</x:v>
      </x:c>
      <x:c r="Q28" s="243" t="n">
        <x:f>('Stage Demand'!$D$6*'Service Affinity'!$B$8*'Customer Segments'!$D$4+'Stage Demand'!$E$6*'Service Affinity'!$C$8*'Customer Segments'!$D$5+'Stage Demand'!$F$6*'Service Affinity'!$D$8*'Customer Segments'!$D$6+'Stage Demand'!$G$6*'Service Affinity'!$E$8*'Customer Segments'!$D$7+'Stage Demand'!$H$6*'Service Affinity'!$F$8*'Customer Segments'!$D$8+'Stage Demand'!$I$6*'Service Affinity'!$G$8*'Customer Segments'!$D$9+'Stage Demand'!$J$6*'Service Affinity'!$H$8*'Customer Segments'!$D$10)/N28</x:f>
        <x:v>1.1402654867256636</x:v>
      </x:c>
      <x:c r="R28" s="243" t="n">
        <x:f>('Stage Demand'!$D$6*'Service Affinity'!$B$8*'Customer Segments'!$C$4+'Stage Demand'!$E$6*'Service Affinity'!$C$8*'Customer Segments'!$C$5+'Stage Demand'!$F$6*'Service Affinity'!$D$8*'Customer Segments'!$C$6+'Stage Demand'!$G$6*'Service Affinity'!$E$8*'Customer Segments'!$C$7+'Stage Demand'!$H$6*'Service Affinity'!$F$8*'Customer Segments'!$C$8+'Stage Demand'!$I$6*'Service Affinity'!$G$8*'Customer Segments'!$C$9+'Stage Demand'!$J$6*'Service Affinity'!$H$8*'Customer Segments'!$C$10)/N28</x:f>
        <x:v>1.2393805309734514</x:v>
      </x:c>
      <x:c r="S28" s="241" t="n">
        <x:f>('Stage Demand'!$D$6*'Service Affinity'!$B$8*'Customer Segments'!$E$4+'Stage Demand'!$E$6*'Service Affinity'!$C$8*'Customer Segments'!$E$5+'Stage Demand'!$F$6*'Service Affinity'!$D$8*'Customer Segments'!$E$6+'Stage Demand'!$G$6*'Service Affinity'!$E$8*'Customer Segments'!$E$7+'Stage Demand'!$H$6*'Service Affinity'!$F$8*'Customer Segments'!$E$8+'Stage Demand'!$I$6*'Service Affinity'!$G$8*'Customer Segments'!$E$9+'Stage Demand'!$J$6*'Service Affinity'!$H$8*'Customer Segments'!$E$10)/N28</x:f>
        <x:v>0.26761061946902653</x:v>
      </x:c>
      <x:c r="T28" s="241" t="n">
        <x:f>('Stage Demand'!$D$6*'Service Affinity'!$B$8*'Customer Segments'!$F$4+'Stage Demand'!$E$6*'Service Affinity'!$C$8*'Customer Segments'!$F$5+'Stage Demand'!$F$6*'Service Affinity'!$D$8*'Customer Segments'!$F$6+'Stage Demand'!$G$6*'Service Affinity'!$E$8*'Customer Segments'!$F$7+'Stage Demand'!$H$6*'Service Affinity'!$F$8*'Customer Segments'!$F$8+'Stage Demand'!$I$6*'Service Affinity'!$G$8*'Customer Segments'!$F$9+'Stage Demand'!$J$6*'Service Affinity'!$H$8*'Customer Segments'!$F$10)/N28</x:f>
        <x:v>0.0235929203539823</x:v>
      </x:c>
      <x:c r="U28" s="200" t="n">
        <x:v>1.06</x:v>
      </x:c>
      <x:c r="V28" s="226" t="n">
        <x:f>MIN(J28,N28*O28*U28*('Model Assumptions'!$B$17+'Model Assumptions'!$B$18*'Model Assumptions'!$E$6)*('Model Assumptions'!$B$19+'Model Assumptions'!$B$20*'Model Assumptions'!$F$6)*'Model Assumptions'!$G$6*'Model Assumptions'!$H$6*'Model Assumptions'!$J$6)</x:f>
        <x:v>2584.05793471488</x:v>
      </x:c>
      <x:c r="W28" s="239" t="n">
        <x:f>V28/J28</x:f>
        <x:v>0.662239347697304</x:v>
      </x:c>
      <x:c r="X28" s="226" t="n">
        <x:f>K28*W28*Q28*'Model Assumptions'!$I$6*'Model Assumptions'!$K$6</x:f>
        <x:v>1792.0109544074055</x:v>
      </x:c>
      <x:c r="Y28" s="226" t="n">
        <x:f>X28*(1-M28)</x:f>
        <x:v>1541.1294207903686</x:v>
      </x:c>
      <x:c r="Z28" s="226" t="n">
        <x:f>L28*W28*R28*'Model Assumptions'!$L$6</x:f>
        <x:v>307.78745789272375</x:v>
      </x:c>
      <x:c r="AA28" s="91" t="str">
        <x:v>Building figures from PLOT Building Balance v0.1; customer calibration is v0.1 internal assumption.</x:v>
      </x:c>
    </x:row>
    <x:row r="29">
      <x:c r="A29" s="90" t="n">
        <x:v>26</x:v>
      </x:c>
      <x:c r="B29" s="74" t="str">
        <x:v>Lending Center</x:v>
      </x:c>
      <x:c r="C29" s="74" t="str">
        <x:v>Lending</x:v>
      </x:c>
      <x:c r="D29" s="74" t="str">
        <x:v>Growing</x:v>
      </x:c>
      <x:c r="E29" s="74" t="str">
        <x:v>Rare</x:v>
      </x:c>
      <x:c r="F29" s="74" t="n">
        <x:v>26</x:v>
      </x:c>
      <x:c r="G29" s="74" t="str">
        <x:v>2x2</x:v>
      </x:c>
      <x:c r="H29" s="74" t="str">
        <x:v>Revenue</x:v>
      </x:c>
      <x:c r="I29" s="74" t="str">
        <x:v>High</x:v>
      </x:c>
      <x:c r="J29" s="226" t="n">
        <x:v>4643</x:v>
      </x:c>
      <x:c r="K29" s="226" t="n">
        <x:v>3994</x:v>
      </x:c>
      <x:c r="L29" s="226" t="n">
        <x:v>557</x:v>
      </x:c>
      <x:c r="M29" s="239" t="n">
        <x:v>0.14</x:v>
      </x:c>
      <x:c r="N29" s="240" t="n">
        <x:f>SUMPRODUCT('Stage Demand'!$D$6:$J$6,'Service Affinity'!$B$9:$H$9)</x:f>
        <x:v>32050</x:v>
      </x:c>
      <x:c r="O29" s="241" t="n">
        <x:f>'Model Assumptions'!$D$6</x:f>
        <x:v>0.08</x:v>
      </x:c>
      <x:c r="P29" s="242" t="n">
        <x:f>'Model Assumptions'!$F$6</x:f>
        <x:v>71</x:v>
      </x:c>
      <x:c r="Q29" s="243" t="n">
        <x:f>('Stage Demand'!$D$6*'Service Affinity'!$B$9*'Customer Segments'!$D$4+'Stage Demand'!$E$6*'Service Affinity'!$C$9*'Customer Segments'!$D$5+'Stage Demand'!$F$6*'Service Affinity'!$D$9*'Customer Segments'!$D$6+'Stage Demand'!$G$6*'Service Affinity'!$E$9*'Customer Segments'!$D$7+'Stage Demand'!$H$6*'Service Affinity'!$F$9*'Customer Segments'!$D$8+'Stage Demand'!$I$6*'Service Affinity'!$G$9*'Customer Segments'!$D$9+'Stage Demand'!$J$6*'Service Affinity'!$H$9*'Customer Segments'!$D$10)/N29</x:f>
        <x:v>0.9412636505460218</x:v>
      </x:c>
      <x:c r="R29" s="243" t="n">
        <x:f>('Stage Demand'!$D$6*'Service Affinity'!$B$9*'Customer Segments'!$C$4+'Stage Demand'!$E$6*'Service Affinity'!$C$9*'Customer Segments'!$C$5+'Stage Demand'!$F$6*'Service Affinity'!$D$9*'Customer Segments'!$C$6+'Stage Demand'!$G$6*'Service Affinity'!$E$9*'Customer Segments'!$C$7+'Stage Demand'!$H$6*'Service Affinity'!$F$9*'Customer Segments'!$C$8+'Stage Demand'!$I$6*'Service Affinity'!$G$9*'Customer Segments'!$C$9+'Stage Demand'!$J$6*'Service Affinity'!$H$9*'Customer Segments'!$C$10)/N29</x:f>
        <x:v>0.7777691107644306</x:v>
      </x:c>
      <x:c r="S29" s="241" t="n">
        <x:f>('Stage Demand'!$D$6*'Service Affinity'!$B$9*'Customer Segments'!$E$4+'Stage Demand'!$E$6*'Service Affinity'!$C$9*'Customer Segments'!$E$5+'Stage Demand'!$F$6*'Service Affinity'!$D$9*'Customer Segments'!$E$6+'Stage Demand'!$G$6*'Service Affinity'!$E$9*'Customer Segments'!$E$7+'Stage Demand'!$H$6*'Service Affinity'!$F$9*'Customer Segments'!$E$8+'Stage Demand'!$I$6*'Service Affinity'!$G$9*'Customer Segments'!$E$9+'Stage Demand'!$J$6*'Service Affinity'!$H$9*'Customer Segments'!$E$10)/N29</x:f>
        <x:v>0.3055538221528861</x:v>
      </x:c>
      <x:c r="T29" s="241" t="n">
        <x:f>('Stage Demand'!$D$6*'Service Affinity'!$B$9*'Customer Segments'!$F$4+'Stage Demand'!$E$6*'Service Affinity'!$C$9*'Customer Segments'!$F$5+'Stage Demand'!$F$6*'Service Affinity'!$D$9*'Customer Segments'!$F$6+'Stage Demand'!$G$6*'Service Affinity'!$E$9*'Customer Segments'!$F$7+'Stage Demand'!$H$6*'Service Affinity'!$F$9*'Customer Segments'!$F$8+'Stage Demand'!$I$6*'Service Affinity'!$G$9*'Customer Segments'!$F$9+'Stage Demand'!$J$6*'Service Affinity'!$H$9*'Customer Segments'!$F$10)/N29</x:f>
        <x:v>0.01743525741029641</x:v>
      </x:c>
      <x:c r="U29" s="200" t="n">
        <x:v>1.06</x:v>
      </x:c>
      <x:c r="V29" s="226" t="n">
        <x:f>MIN(J29,N29*O29*U29*('Model Assumptions'!$B$17+'Model Assumptions'!$B$18*'Model Assumptions'!$E$6)*('Model Assumptions'!$B$19+'Model Assumptions'!$B$20*'Model Assumptions'!$F$6)*'Model Assumptions'!$G$6*'Model Assumptions'!$H$6*'Model Assumptions'!$J$6)</x:f>
        <x:v>3664.5600357350404</x:v>
      </x:c>
      <x:c r="W29" s="239" t="n">
        <x:f>V29/J29</x:f>
        <x:v>0.7892655687562008</x:v>
      </x:c>
      <x:c r="X29" s="226" t="n">
        <x:f>K29*W29*Q29*'Model Assumptions'!$I$6*'Model Assumptions'!$K$6</x:f>
        <x:v>3056.185635649428</x:v>
      </x:c>
      <x:c r="Y29" s="226" t="n">
        <x:f>X29*(1-M29)</x:f>
        <x:v>2628.319646658508</x:v>
      </x:c>
      <x:c r="Z29" s="226" t="n">
        <x:f>L29*W29*R29*'Model Assumptions'!$L$6</x:f>
        <x:v>341.9235734196505</x:v>
      </x:c>
      <x:c r="AA29" s="91" t="str">
        <x:v>Building figures from PLOT Building Balance v0.1; customer calibration is v0.1 internal assumption.</x:v>
      </x:c>
    </x:row>
    <x:row r="30">
      <x:c r="A30" s="90" t="n">
        <x:v>27</x:v>
      </x:c>
      <x:c r="B30" s="74" t="str">
        <x:v>Wealth Management Office</x:v>
      </x:c>
      <x:c r="C30" s="74" t="str">
        <x:v>Wealth</x:v>
      </x:c>
      <x:c r="D30" s="74" t="str">
        <x:v>Growing</x:v>
      </x:c>
      <x:c r="E30" s="74" t="str">
        <x:v>Rare</x:v>
      </x:c>
      <x:c r="F30" s="74" t="n">
        <x:v>27</x:v>
      </x:c>
      <x:c r="G30" s="74" t="str">
        <x:v>2x2</x:v>
      </x:c>
      <x:c r="H30" s="74" t="str">
        <x:v>Balanced</x:v>
      </x:c>
      <x:c r="I30" s="74" t="str">
        <x:v>Medium</x:v>
      </x:c>
      <x:c r="J30" s="226" t="n">
        <x:v>5526</x:v>
      </x:c>
      <x:c r="K30" s="226" t="n">
        <x:v>4794</x:v>
      </x:c>
      <x:c r="L30" s="226" t="n">
        <x:v>630</x:v>
      </x:c>
      <x:c r="M30" s="239" t="n">
        <x:v>0.14</x:v>
      </x:c>
      <x:c r="N30" s="240" t="n">
        <x:f>SUMPRODUCT('Stage Demand'!$D$6:$J$6,'Service Affinity'!$B$16:$H$16)</x:f>
        <x:v>15150</x:v>
      </x:c>
      <x:c r="O30" s="241" t="n">
        <x:f>'Model Assumptions'!$D$6</x:f>
        <x:v>0.08</x:v>
      </x:c>
      <x:c r="P30" s="242" t="n">
        <x:f>'Model Assumptions'!$F$6</x:f>
        <x:v>71</x:v>
      </x:c>
      <x:c r="Q30" s="243" t="n">
        <x:f>('Stage Demand'!$D$6*'Service Affinity'!$B$16*'Customer Segments'!$D$4+'Stage Demand'!$E$6*'Service Affinity'!$C$16*'Customer Segments'!$D$5+'Stage Demand'!$F$6*'Service Affinity'!$D$16*'Customer Segments'!$D$6+'Stage Demand'!$G$6*'Service Affinity'!$E$16*'Customer Segments'!$D$7+'Stage Demand'!$H$6*'Service Affinity'!$F$16*'Customer Segments'!$D$8+'Stage Demand'!$I$6*'Service Affinity'!$G$16*'Customer Segments'!$D$9+'Stage Demand'!$J$6*'Service Affinity'!$H$16*'Customer Segments'!$D$10)/N30</x:f>
        <x:v>1.1874587458745876</x:v>
      </x:c>
      <x:c r="R30" s="243" t="n">
        <x:f>('Stage Demand'!$D$6*'Service Affinity'!$B$16*'Customer Segments'!$C$4+'Stage Demand'!$E$6*'Service Affinity'!$C$16*'Customer Segments'!$C$5+'Stage Demand'!$F$6*'Service Affinity'!$D$16*'Customer Segments'!$C$6+'Stage Demand'!$G$6*'Service Affinity'!$E$16*'Customer Segments'!$C$7+'Stage Demand'!$H$6*'Service Affinity'!$F$16*'Customer Segments'!$C$8+'Stage Demand'!$I$6*'Service Affinity'!$G$16*'Customer Segments'!$C$9+'Stage Demand'!$J$6*'Service Affinity'!$H$16*'Customer Segments'!$C$10)/N30</x:f>
        <x:v>1.0707920792079209</x:v>
      </x:c>
      <x:c r="S30" s="241" t="n">
        <x:f>('Stage Demand'!$D$6*'Service Affinity'!$B$16*'Customer Segments'!$E$4+'Stage Demand'!$E$6*'Service Affinity'!$C$16*'Customer Segments'!$E$5+'Stage Demand'!$F$6*'Service Affinity'!$D$16*'Customer Segments'!$E$6+'Stage Demand'!$G$6*'Service Affinity'!$E$16*'Customer Segments'!$E$7+'Stage Demand'!$H$6*'Service Affinity'!$F$16*'Customer Segments'!$E$8+'Stage Demand'!$I$6*'Service Affinity'!$G$16*'Customer Segments'!$E$9+'Stage Demand'!$J$6*'Service Affinity'!$H$16*'Customer Segments'!$E$10)/N30</x:f>
        <x:v>0.2492079207920792</x:v>
      </x:c>
      <x:c r="T30" s="241" t="n">
        <x:f>('Stage Demand'!$D$6*'Service Affinity'!$B$16*'Customer Segments'!$F$4+'Stage Demand'!$E$6*'Service Affinity'!$C$16*'Customer Segments'!$F$5+'Stage Demand'!$F$6*'Service Affinity'!$D$16*'Customer Segments'!$F$6+'Stage Demand'!$G$6*'Service Affinity'!$E$16*'Customer Segments'!$F$7+'Stage Demand'!$H$6*'Service Affinity'!$F$16*'Customer Segments'!$F$8+'Stage Demand'!$I$6*'Service Affinity'!$G$16*'Customer Segments'!$F$9+'Stage Demand'!$J$6*'Service Affinity'!$H$16*'Customer Segments'!$F$10)/N30</x:f>
        <x:v>0.017465346534653467</x:v>
      </x:c>
      <x:c r="U30" s="200" t="n">
        <x:v>1.06</x:v>
      </x:c>
      <x:c r="V30" s="226" t="n">
        <x:f>MIN(J30,N30*O30*U30*('Model Assumptions'!$B$17+'Model Assumptions'!$B$18*'Model Assumptions'!$E$6)*('Model Assumptions'!$B$19+'Model Assumptions'!$B$20*'Model Assumptions'!$F$6)*'Model Assumptions'!$G$6*'Model Assumptions'!$H$6*'Model Assumptions'!$J$6)</x:f>
        <x:v>1732.2335270323201</x:v>
      </x:c>
      <x:c r="W30" s="239" t="n">
        <x:f>V30/J30</x:f>
        <x:v>0.31346969363596094</x:v>
      </x:c>
      <x:c r="X30" s="226" t="n">
        <x:f>K30*W30*Q30*'Model Assumptions'!$I$6*'Model Assumptions'!$K$6</x:f>
        <x:v>1838.0162401389491</x:v>
      </x:c>
      <x:c r="Y30" s="226" t="n">
        <x:f>X30*(1-M30)</x:f>
        <x:v>1580.6939665194961</x:v>
      </x:c>
      <x:c r="Z30" s="226" t="n">
        <x:f>L30*W30*R30*'Model Assumptions'!$L$6</x:f>
        <x:v>211.46634496078596</x:v>
      </x:c>
      <x:c r="AA30" s="91" t="str">
        <x:v>Building figures from PLOT Building Balance v0.1; customer calibration is v0.1 internal assumption.</x:v>
      </x:c>
    </x:row>
    <x:row r="31">
      <x:c r="A31" s="90" t="n">
        <x:v>28</x:v>
      </x:c>
      <x:c r="B31" s="74" t="str">
        <x:v>Digital Finance Hub</x:v>
      </x:c>
      <x:c r="C31" s="74" t="str">
        <x:v>Fintech</x:v>
      </x:c>
      <x:c r="D31" s="74" t="str">
        <x:v>Growing</x:v>
      </x:c>
      <x:c r="E31" s="74" t="str">
        <x:v>Rare</x:v>
      </x:c>
      <x:c r="F31" s="74" t="n">
        <x:v>28</x:v>
      </x:c>
      <x:c r="G31" s="74" t="str">
        <x:v>2x2</x:v>
      </x:c>
      <x:c r="H31" s="74" t="str">
        <x:v>Balanced</x:v>
      </x:c>
      <x:c r="I31" s="74" t="str">
        <x:v>Medium</x:v>
      </x:c>
      <x:c r="J31" s="226" t="n">
        <x:v>6575</x:v>
      </x:c>
      <x:c r="K31" s="226" t="n">
        <x:v>5585</x:v>
      </x:c>
      <x:c r="L31" s="226" t="n">
        <x:v>907</x:v>
      </x:c>
      <x:c r="M31" s="239" t="n">
        <x:v>0.14</x:v>
      </x:c>
      <x:c r="N31" s="240" t="n">
        <x:f>SUMPRODUCT('Stage Demand'!$D$6:$J$6,'Service Affinity'!$B$17:$H$17)</x:f>
        <x:v>41800</x:v>
      </x:c>
      <x:c r="O31" s="241" t="n">
        <x:f>'Model Assumptions'!$D$6</x:f>
        <x:v>0.08</x:v>
      </x:c>
      <x:c r="P31" s="242" t="n">
        <x:f>'Model Assumptions'!$F$6</x:f>
        <x:v>71</x:v>
      </x:c>
      <x:c r="Q31" s="243" t="n">
        <x:f>('Stage Demand'!$D$6*'Service Affinity'!$B$17*'Customer Segments'!$D$4+'Stage Demand'!$E$6*'Service Affinity'!$C$17*'Customer Segments'!$D$5+'Stage Demand'!$F$6*'Service Affinity'!$D$17*'Customer Segments'!$D$6+'Stage Demand'!$G$6*'Service Affinity'!$E$17*'Customer Segments'!$D$7+'Stage Demand'!$H$6*'Service Affinity'!$F$17*'Customer Segments'!$D$8+'Stage Demand'!$I$6*'Service Affinity'!$G$17*'Customer Segments'!$D$9+'Stage Demand'!$J$6*'Service Affinity'!$H$17*'Customer Segments'!$D$10)/N31</x:f>
        <x:v>0.9849282296650718</x:v>
      </x:c>
      <x:c r="R31" s="243" t="n">
        <x:f>('Stage Demand'!$D$6*'Service Affinity'!$B$17*'Customer Segments'!$C$4+'Stage Demand'!$E$6*'Service Affinity'!$C$17*'Customer Segments'!$C$5+'Stage Demand'!$F$6*'Service Affinity'!$D$17*'Customer Segments'!$C$6+'Stage Demand'!$G$6*'Service Affinity'!$E$17*'Customer Segments'!$C$7+'Stage Demand'!$H$6*'Service Affinity'!$F$17*'Customer Segments'!$C$8+'Stage Demand'!$I$6*'Service Affinity'!$G$17*'Customer Segments'!$C$9+'Stage Demand'!$J$6*'Service Affinity'!$H$17*'Customer Segments'!$C$10)/N31</x:f>
        <x:v>0.9618421052631579</x:v>
      </x:c>
      <x:c r="S31" s="241" t="n">
        <x:f>('Stage Demand'!$D$6*'Service Affinity'!$B$17*'Customer Segments'!$E$4+'Stage Demand'!$E$6*'Service Affinity'!$C$17*'Customer Segments'!$E$5+'Stage Demand'!$F$6*'Service Affinity'!$D$17*'Customer Segments'!$E$6+'Stage Demand'!$G$6*'Service Affinity'!$E$17*'Customer Segments'!$E$7+'Stage Demand'!$H$6*'Service Affinity'!$F$17*'Customer Segments'!$E$8+'Stage Demand'!$I$6*'Service Affinity'!$G$17*'Customer Segments'!$E$9+'Stage Demand'!$J$6*'Service Affinity'!$H$17*'Customer Segments'!$E$10)/N31</x:f>
        <x:v>0.30236842105263156</x:v>
      </x:c>
      <x:c r="T31" s="241" t="n">
        <x:f>('Stage Demand'!$D$6*'Service Affinity'!$B$17*'Customer Segments'!$F$4+'Stage Demand'!$E$6*'Service Affinity'!$C$17*'Customer Segments'!$F$5+'Stage Demand'!$F$6*'Service Affinity'!$D$17*'Customer Segments'!$F$6+'Stage Demand'!$G$6*'Service Affinity'!$E$17*'Customer Segments'!$F$7+'Stage Demand'!$H$6*'Service Affinity'!$F$17*'Customer Segments'!$F$8+'Stage Demand'!$I$6*'Service Affinity'!$G$17*'Customer Segments'!$F$9+'Stage Demand'!$J$6*'Service Affinity'!$H$17*'Customer Segments'!$F$10)/N31</x:f>
        <x:v>0.021117224880382774</x:v>
      </x:c>
      <x:c r="U31" s="200" t="n">
        <x:v>1.06</x:v>
      </x:c>
      <x:c r="V31" s="226" t="n">
        <x:f>MIN(J31,N31*O31*U31*('Model Assumptions'!$B$17+'Model Assumptions'!$B$18*'Model Assumptions'!$E$6)*('Model Assumptions'!$B$19+'Model Assumptions'!$B$20*'Model Assumptions'!$F$6)*'Model Assumptions'!$G$6*'Model Assumptions'!$H$6*'Model Assumptions'!$J$6)</x:f>
        <x:v>4779.3637907558405</x:v>
      </x:c>
      <x:c r="W31" s="239" t="n">
        <x:f>V31/J31</x:f>
        <x:v>0.7268994358564016</x:v>
      </x:c>
      <x:c r="X31" s="226" t="n">
        <x:f>K31*W31*Q31*'Model Assumptions'!$I$6*'Model Assumptions'!$K$6</x:f>
        <x:v>4118.502360014845</x:v>
      </x:c>
      <x:c r="Y31" s="226" t="n">
        <x:f>X31*(1-M31)</x:f>
        <x:v>3541.9120296127667</x:v>
      </x:c>
      <x:c r="Z31" s="226" t="n">
        <x:f>L31*W31*R31*'Model Assumptions'!$L$6</x:f>
        <x:v>634.1403727147418</x:v>
      </x:c>
      <x:c r="AA31" s="91" t="str">
        <x:v>Building figures from PLOT Building Balance v0.1; customer calibration is v0.1 internal assumption.</x:v>
      </x:c>
    </x:row>
    <x:row r="32">
      <x:c r="A32" s="90" t="n">
        <x:v>29</x:v>
      </x:c>
      <x:c r="B32" s="74" t="str">
        <x:v>Trading House</x:v>
      </x:c>
      <x:c r="C32" s="74" t="str">
        <x:v>Trading</x:v>
      </x:c>
      <x:c r="D32" s="74" t="str">
        <x:v>Growing</x:v>
      </x:c>
      <x:c r="E32" s="74" t="str">
        <x:v>Rare</x:v>
      </x:c>
      <x:c r="F32" s="74" t="n">
        <x:v>29</x:v>
      </x:c>
      <x:c r="G32" s="74" t="str">
        <x:v>2x3</x:v>
      </x:c>
      <x:c r="H32" s="74" t="str">
        <x:v>Revenue</x:v>
      </x:c>
      <x:c r="I32" s="74" t="str">
        <x:v>High</x:v>
      </x:c>
      <x:c r="J32" s="226" t="n">
        <x:v>7825</x:v>
      </x:c>
      <x:c r="K32" s="226" t="n">
        <x:v>7604</x:v>
      </x:c>
      <x:c r="L32" s="226" t="n">
        <x:v>1127</x:v>
      </x:c>
      <x:c r="M32" s="239" t="n">
        <x:v>0.14</x:v>
      </x:c>
      <x:c r="N32" s="240" t="n">
        <x:f>SUMPRODUCT('Stage Demand'!$D$6:$J$6,'Service Affinity'!$B$5:$H$5)</x:f>
        <x:v>26650</x:v>
      </x:c>
      <x:c r="O32" s="241" t="n">
        <x:f>'Model Assumptions'!$D$6</x:f>
        <x:v>0.08</x:v>
      </x:c>
      <x:c r="P32" s="242" t="n">
        <x:f>'Model Assumptions'!$F$6</x:f>
        <x:v>71</x:v>
      </x:c>
      <x:c r="Q32" s="243" t="n">
        <x:f>('Stage Demand'!$D$6*'Service Affinity'!$B$5*'Customer Segments'!$D$4+'Stage Demand'!$E$6*'Service Affinity'!$C$5*'Customer Segments'!$D$5+'Stage Demand'!$F$6*'Service Affinity'!$D$5*'Customer Segments'!$D$6+'Stage Demand'!$G$6*'Service Affinity'!$E$5*'Customer Segments'!$D$7+'Stage Demand'!$H$6*'Service Affinity'!$F$5*'Customer Segments'!$D$8+'Stage Demand'!$I$6*'Service Affinity'!$G$5*'Customer Segments'!$D$9+'Stage Demand'!$J$6*'Service Affinity'!$H$5*'Customer Segments'!$D$10)/N32</x:f>
        <x:v>1.0892120075046905</x:v>
      </x:c>
      <x:c r="R32" s="243" t="n">
        <x:f>('Stage Demand'!$D$6*'Service Affinity'!$B$5*'Customer Segments'!$C$4+'Stage Demand'!$E$6*'Service Affinity'!$C$5*'Customer Segments'!$C$5+'Stage Demand'!$F$6*'Service Affinity'!$D$5*'Customer Segments'!$C$6+'Stage Demand'!$G$6*'Service Affinity'!$E$5*'Customer Segments'!$C$7+'Stage Demand'!$H$6*'Service Affinity'!$F$5*'Customer Segments'!$C$8+'Stage Demand'!$I$6*'Service Affinity'!$G$5*'Customer Segments'!$C$9+'Stage Demand'!$J$6*'Service Affinity'!$H$5*'Customer Segments'!$C$10)/N32</x:f>
        <x:v>1.2308630393996247</x:v>
      </x:c>
      <x:c r="S32" s="241" t="n">
        <x:f>('Stage Demand'!$D$6*'Service Affinity'!$B$5*'Customer Segments'!$E$4+'Stage Demand'!$E$6*'Service Affinity'!$C$5*'Customer Segments'!$E$5+'Stage Demand'!$F$6*'Service Affinity'!$D$5*'Customer Segments'!$E$6+'Stage Demand'!$G$6*'Service Affinity'!$E$5*'Customer Segments'!$E$7+'Stage Demand'!$H$6*'Service Affinity'!$F$5*'Customer Segments'!$E$8+'Stage Demand'!$I$6*'Service Affinity'!$G$5*'Customer Segments'!$E$9+'Stage Demand'!$J$6*'Service Affinity'!$H$5*'Customer Segments'!$E$10)/N32</x:f>
        <x:v>0.2827767354596623</x:v>
      </x:c>
      <x:c r="T32" s="241" t="n">
        <x:f>('Stage Demand'!$D$6*'Service Affinity'!$B$5*'Customer Segments'!$F$4+'Stage Demand'!$E$6*'Service Affinity'!$C$5*'Customer Segments'!$F$5+'Stage Demand'!$F$6*'Service Affinity'!$D$5*'Customer Segments'!$F$6+'Stage Demand'!$G$6*'Service Affinity'!$E$5*'Customer Segments'!$F$7+'Stage Demand'!$H$6*'Service Affinity'!$F$5*'Customer Segments'!$F$8+'Stage Demand'!$I$6*'Service Affinity'!$G$5*'Customer Segments'!$F$9+'Stage Demand'!$J$6*'Service Affinity'!$H$5*'Customer Segments'!$F$10)/N32</x:f>
        <x:v>0.02516322701688556</x:v>
      </x:c>
      <x:c r="U32" s="200" t="n">
        <x:v>1.06</x:v>
      </x:c>
      <x:c r="V32" s="226" t="n">
        <x:f>MIN(J32,N32*O32*U32*('Model Assumptions'!$B$17+'Model Assumptions'!$B$18*'Model Assumptions'!$E$6)*('Model Assumptions'!$B$19+'Model Assumptions'!$B$20*'Model Assumptions'!$F$6)*'Model Assumptions'!$G$6*'Model Assumptions'!$H$6*'Model Assumptions'!$J$6)</x:f>
        <x:v>3047.1302637235203</x:v>
      </x:c>
      <x:c r="W32" s="239" t="n">
        <x:f>V32/J32</x:f>
        <x:v>0.38940961836722304</x:v>
      </x:c>
      <x:c r="X32" s="226" t="n">
        <x:f>K32*W32*Q32*'Model Assumptions'!$I$6*'Model Assumptions'!$K$6</x:f>
        <x:v>3321.990817059596</x:v>
      </x:c>
      <x:c r="Y32" s="226" t="n">
        <x:f>X32*(1-M32)</x:f>
        <x:v>2856.9121026712523</x:v>
      </x:c>
      <x:c r="Z32" s="226" t="n">
        <x:f>L32*W32*R32*'Model Assumptions'!$L$6</x:f>
        <x:v>540.1822645521639</x:v>
      </x:c>
      <x:c r="AA32" s="91" t="str">
        <x:v>Building figures from PLOT Building Balance v0.1; customer calibration is v0.1 internal assumption.</x:v>
      </x:c>
    </x:row>
    <x:row r="33">
      <x:c r="A33" s="90" t="n">
        <x:v>30</x:v>
      </x:c>
      <x:c r="B33" s="74" t="str">
        <x:v>Private Vault Facility</x:v>
      </x:c>
      <x:c r="C33" s="74" t="str">
        <x:v>Treasury</x:v>
      </x:c>
      <x:c r="D33" s="74" t="str">
        <x:v>Growing</x:v>
      </x:c>
      <x:c r="E33" s="74" t="str">
        <x:v>Rare</x:v>
      </x:c>
      <x:c r="F33" s="74" t="n">
        <x:v>30</x:v>
      </x:c>
      <x:c r="G33" s="74" t="str">
        <x:v>2x2</x:v>
      </x:c>
      <x:c r="H33" s="74" t="str">
        <x:v>Utility</x:v>
      </x:c>
      <x:c r="I33" s="74" t="str">
        <x:v>Low</x:v>
      </x:c>
      <x:c r="J33" s="226" t="n">
        <x:v>9311</x:v>
      </x:c>
      <x:c r="K33" s="226" t="n">
        <x:v>6291</x:v>
      </x:c>
      <x:c r="L33" s="226" t="n">
        <x:v>838</x:v>
      </x:c>
      <x:c r="M33" s="239" t="n">
        <x:v>0.14</x:v>
      </x:c>
      <x:c r="N33" s="240" t="n">
        <x:f>SUMPRODUCT('Stage Demand'!$D$6:$J$6,'Service Affinity'!$B$13:$H$13)</x:f>
        <x:v>12700</x:v>
      </x:c>
      <x:c r="O33" s="241" t="n">
        <x:f>'Model Assumptions'!$D$6</x:f>
        <x:v>0.08</x:v>
      </x:c>
      <x:c r="P33" s="242" t="n">
        <x:f>'Model Assumptions'!$F$6</x:f>
        <x:v>71</x:v>
      </x:c>
      <x:c r="Q33" s="243" t="n">
        <x:f>('Stage Demand'!$D$6*'Service Affinity'!$B$13*'Customer Segments'!$D$4+'Stage Demand'!$E$6*'Service Affinity'!$C$13*'Customer Segments'!$D$5+'Stage Demand'!$F$6*'Service Affinity'!$D$13*'Customer Segments'!$D$6+'Stage Demand'!$G$6*'Service Affinity'!$E$13*'Customer Segments'!$D$7+'Stage Demand'!$H$6*'Service Affinity'!$F$13*'Customer Segments'!$D$8+'Stage Demand'!$I$6*'Service Affinity'!$G$13*'Customer Segments'!$D$9+'Stage Demand'!$J$6*'Service Affinity'!$H$13*'Customer Segments'!$D$10)/N33</x:f>
        <x:v>1.2094488188976378</x:v>
      </x:c>
      <x:c r="R33" s="243" t="n">
        <x:f>('Stage Demand'!$D$6*'Service Affinity'!$B$13*'Customer Segments'!$C$4+'Stage Demand'!$E$6*'Service Affinity'!$C$13*'Customer Segments'!$C$5+'Stage Demand'!$F$6*'Service Affinity'!$D$13*'Customer Segments'!$C$6+'Stage Demand'!$G$6*'Service Affinity'!$E$13*'Customer Segments'!$C$7+'Stage Demand'!$H$6*'Service Affinity'!$F$13*'Customer Segments'!$C$8+'Stage Demand'!$I$6*'Service Affinity'!$G$13*'Customer Segments'!$C$9+'Stage Demand'!$J$6*'Service Affinity'!$H$13*'Customer Segments'!$C$10)/N33</x:f>
        <x:v>1.0169291338582678</x:v>
      </x:c>
      <x:c r="S33" s="241" t="n">
        <x:f>('Stage Demand'!$D$6*'Service Affinity'!$B$13*'Customer Segments'!$E$4+'Stage Demand'!$E$6*'Service Affinity'!$C$13*'Customer Segments'!$E$5+'Stage Demand'!$F$6*'Service Affinity'!$D$13*'Customer Segments'!$E$6+'Stage Demand'!$G$6*'Service Affinity'!$E$13*'Customer Segments'!$E$7+'Stage Demand'!$H$6*'Service Affinity'!$F$13*'Customer Segments'!$E$8+'Stage Demand'!$I$6*'Service Affinity'!$G$13*'Customer Segments'!$E$9+'Stage Demand'!$J$6*'Service Affinity'!$H$13*'Customer Segments'!$E$10)/N33</x:f>
        <x:v>0.2322047244094488</x:v>
      </x:c>
      <x:c r="T33" s="241" t="n">
        <x:f>('Stage Demand'!$D$6*'Service Affinity'!$B$13*'Customer Segments'!$F$4+'Stage Demand'!$E$6*'Service Affinity'!$C$13*'Customer Segments'!$F$5+'Stage Demand'!$F$6*'Service Affinity'!$D$13*'Customer Segments'!$F$6+'Stage Demand'!$G$6*'Service Affinity'!$E$13*'Customer Segments'!$F$7+'Stage Demand'!$H$6*'Service Affinity'!$F$13*'Customer Segments'!$F$8+'Stage Demand'!$I$6*'Service Affinity'!$G$13*'Customer Segments'!$F$9+'Stage Demand'!$J$6*'Service Affinity'!$H$13*'Customer Segments'!$F$10)/N33</x:f>
        <x:v>0.014700787401574803</x:v>
      </x:c>
      <x:c r="U33" s="200" t="n">
        <x:v>1.06</x:v>
      </x:c>
      <x:c r="V33" s="226" t="n">
        <x:f>MIN(J33,N33*O33*U33*('Model Assumptions'!$B$17+'Model Assumptions'!$B$18*'Model Assumptions'!$E$6)*('Model Assumptions'!$B$19+'Model Assumptions'!$B$20*'Model Assumptions'!$F$6)*'Model Assumptions'!$G$6*'Model Assumptions'!$H$6*'Model Assumptions'!$J$6)</x:f>
        <x:v>1452.1033526937601</x:v>
      </x:c>
      <x:c r="W33" s="239" t="n">
        <x:f>V33/J33</x:f>
        <x:v>0.1559556817413554</x:v>
      </x:c>
      <x:c r="X33" s="226" t="n">
        <x:f>K33*W33*Q33*'Model Assumptions'!$I$6*'Model Assumptions'!$K$6</x:f>
        <x:v>1222.209362222257</x:v>
      </x:c>
      <x:c r="Y33" s="226" t="n">
        <x:f>X33*(1-M33)</x:f>
        <x:v>1051.100051511141</x:v>
      </x:c>
      <x:c r="Z33" s="226" t="n">
        <x:f>L33*W33*R33*'Model Assumptions'!$L$6</x:f>
        <x:v>132.90334438424324</x:v>
      </x:c>
      <x:c r="AA33" s="91" t="str">
        <x:v>Building figures from PLOT Building Balance v0.1; customer calibration is v0.1 internal assumption.</x:v>
      </x:c>
    </x:row>
    <x:row r="34">
      <x:c r="A34" s="90" t="n">
        <x:v>31</x:v>
      </x:c>
      <x:c r="B34" s="74" t="str">
        <x:v>Regional Bank</x:v>
      </x:c>
      <x:c r="C34" s="74" t="str">
        <x:v>Banking</x:v>
      </x:c>
      <x:c r="D34" s="74" t="str">
        <x:v>Established</x:v>
      </x:c>
      <x:c r="E34" s="74" t="str">
        <x:v>Epic</x:v>
      </x:c>
      <x:c r="F34" s="74" t="n">
        <x:v>31</x:v>
      </x:c>
      <x:c r="G34" s="74" t="str">
        <x:v>2x3</x:v>
      </x:c>
      <x:c r="H34" s="74" t="str">
        <x:v>Balanced</x:v>
      </x:c>
      <x:c r="I34" s="74" t="str">
        <x:v>Low</x:v>
      </x:c>
      <x:c r="J34" s="226" t="n">
        <x:v>11081</x:v>
      </x:c>
      <x:c r="K34" s="226" t="n">
        <x:v>10181</x:v>
      </x:c>
      <x:c r="L34" s="226" t="n">
        <x:v>1330</x:v>
      </x:c>
      <x:c r="M34" s="239" t="n">
        <x:v>0.15</x:v>
      </x:c>
      <x:c r="N34" s="240" t="n">
        <x:f>SUMPRODUCT('Stage Demand'!$D$7:$J$7,'Service Affinity'!$B$6:$H$6)</x:f>
        <x:v>202000</x:v>
      </x:c>
      <x:c r="O34" s="241" t="n">
        <x:f>'Model Assumptions'!$D$7</x:f>
        <x:v>0.13</x:v>
      </x:c>
      <x:c r="P34" s="242" t="n">
        <x:f>'Model Assumptions'!$F$7</x:f>
        <x:v>78</x:v>
      </x:c>
      <x:c r="Q34" s="243" t="n">
        <x:f>('Stage Demand'!$D$7*'Service Affinity'!$B$6*'Customer Segments'!$D$4+'Stage Demand'!$E$7*'Service Affinity'!$C$6*'Customer Segments'!$D$5+'Stage Demand'!$F$7*'Service Affinity'!$D$6*'Customer Segments'!$D$6+'Stage Demand'!$G$7*'Service Affinity'!$E$6*'Customer Segments'!$D$7+'Stage Demand'!$H$7*'Service Affinity'!$F$6*'Customer Segments'!$D$8+'Stage Demand'!$I$7*'Service Affinity'!$G$6*'Customer Segments'!$D$9+'Stage Demand'!$J$7*'Service Affinity'!$H$6*'Customer Segments'!$D$10)/N34</x:f>
        <x:v>0.9421287128712871</x:v>
      </x:c>
      <x:c r="R34" s="243" t="n">
        <x:f>('Stage Demand'!$D$7*'Service Affinity'!$B$6*'Customer Segments'!$C$4+'Stage Demand'!$E$7*'Service Affinity'!$C$6*'Customer Segments'!$C$5+'Stage Demand'!$F$7*'Service Affinity'!$D$6*'Customer Segments'!$C$6+'Stage Demand'!$G$7*'Service Affinity'!$E$6*'Customer Segments'!$C$7+'Stage Demand'!$H$7*'Service Affinity'!$F$6*'Customer Segments'!$C$8+'Stage Demand'!$I$7*'Service Affinity'!$G$6*'Customer Segments'!$C$9+'Stage Demand'!$J$7*'Service Affinity'!$H$6*'Customer Segments'!$C$10)/N34</x:f>
        <x:v>0.7994059405940594</x:v>
      </x:c>
      <x:c r="S34" s="241" t="n">
        <x:f>('Stage Demand'!$D$7*'Service Affinity'!$B$6*'Customer Segments'!$E$4+'Stage Demand'!$E$7*'Service Affinity'!$C$6*'Customer Segments'!$E$5+'Stage Demand'!$F$7*'Service Affinity'!$D$6*'Customer Segments'!$E$6+'Stage Demand'!$G$7*'Service Affinity'!$E$6*'Customer Segments'!$E$7+'Stage Demand'!$H$7*'Service Affinity'!$F$6*'Customer Segments'!$E$8+'Stage Demand'!$I$7*'Service Affinity'!$G$6*'Customer Segments'!$E$9+'Stage Demand'!$J$7*'Service Affinity'!$H$6*'Customer Segments'!$E$10)/N34</x:f>
        <x:v>0.30953465346534653</x:v>
      </x:c>
      <x:c r="T34" s="241" t="n">
        <x:f>('Stage Demand'!$D$7*'Service Affinity'!$B$6*'Customer Segments'!$F$4+'Stage Demand'!$E$7*'Service Affinity'!$C$6*'Customer Segments'!$F$5+'Stage Demand'!$F$7*'Service Affinity'!$D$6*'Customer Segments'!$F$6+'Stage Demand'!$G$7*'Service Affinity'!$E$6*'Customer Segments'!$F$7+'Stage Demand'!$H$7*'Service Affinity'!$F$6*'Customer Segments'!$F$8+'Stage Demand'!$I$7*'Service Affinity'!$G$6*'Customer Segments'!$F$9+'Stage Demand'!$J$7*'Service Affinity'!$H$6*'Customer Segments'!$F$10)/N34</x:f>
        <x:v>0.01792079207920792</x:v>
      </x:c>
      <x:c r="U34" s="200" t="n">
        <x:v>1.15</x:v>
      </x:c>
      <x:c r="V34" s="226" t="n">
        <x:f>MIN(J34,N34*O34*U34*('Model Assumptions'!$B$17+'Model Assumptions'!$B$18*'Model Assumptions'!$E$7)*('Model Assumptions'!$B$19+'Model Assumptions'!$B$20*'Model Assumptions'!$F$7)*'Model Assumptions'!$G$7*'Model Assumptions'!$H$7*'Model Assumptions'!$J$7)</x:f>
        <x:v>11081</x:v>
      </x:c>
      <x:c r="W34" s="239" t="n">
        <x:f>V34/J34</x:f>
        <x:v>1</x:v>
      </x:c>
      <x:c r="X34" s="226" t="n">
        <x:f>K34*W34*Q34*'Model Assumptions'!$I$7*'Model Assumptions'!$K$7</x:f>
        <x:v>10167.321171287129</x:v>
      </x:c>
      <x:c r="Y34" s="226" t="n">
        <x:f>X34*(1-M34)</x:f>
        <x:v>8642.22299559406</x:v>
      </x:c>
      <x:c r="Z34" s="226" t="n">
        <x:f>L34*W34*R34*'Model Assumptions'!$L$7</x:f>
        <x:v>1063.209900990099</x:v>
      </x:c>
      <x:c r="AA34" s="91" t="str">
        <x:v>Building figures from PLOT Building Balance v0.1; customer calibration is v0.1 internal assumption.</x:v>
      </x:c>
    </x:row>
    <x:row r="35">
      <x:c r="A35" s="90" t="n">
        <x:v>32</x:v>
      </x:c>
      <x:c r="B35" s="74" t="str">
        <x:v>Stock Brokerage Center</x:v>
      </x:c>
      <x:c r="C35" s="74" t="str">
        <x:v>Brokerage</x:v>
      </x:c>
      <x:c r="D35" s="74" t="str">
        <x:v>Established</x:v>
      </x:c>
      <x:c r="E35" s="74" t="str">
        <x:v>Epic</x:v>
      </x:c>
      <x:c r="F35" s="74" t="n">
        <x:v>32</x:v>
      </x:c>
      <x:c r="G35" s="74" t="str">
        <x:v>2x3</x:v>
      </x:c>
      <x:c r="H35" s="74" t="str">
        <x:v>Revenue</x:v>
      </x:c>
      <x:c r="I35" s="74" t="str">
        <x:v>Medium</x:v>
      </x:c>
      <x:c r="J35" s="226" t="n">
        <x:v>13186</x:v>
      </x:c>
      <x:c r="K35" s="226" t="n">
        <x:v>12978</x:v>
      </x:c>
      <x:c r="L35" s="226" t="n">
        <x:v>1820</x:v>
      </x:c>
      <x:c r="M35" s="239" t="n">
        <x:v>0.15</x:v>
      </x:c>
      <x:c r="N35" s="240" t="n">
        <x:f>SUMPRODUCT('Stage Demand'!$D$7:$J$7,'Service Affinity'!$B$7:$H$7)</x:f>
        <x:v>160900</x:v>
      </x:c>
      <x:c r="O35" s="241" t="n">
        <x:f>'Model Assumptions'!$D$7</x:f>
        <x:v>0.13</x:v>
      </x:c>
      <x:c r="P35" s="242" t="n">
        <x:f>'Model Assumptions'!$F$7</x:f>
        <x:v>78</x:v>
      </x:c>
      <x:c r="Q35" s="243" t="n">
        <x:f>('Stage Demand'!$D$7*'Service Affinity'!$B$7*'Customer Segments'!$D$4+'Stage Demand'!$E$7*'Service Affinity'!$C$7*'Customer Segments'!$D$5+'Stage Demand'!$F$7*'Service Affinity'!$D$7*'Customer Segments'!$D$6+'Stage Demand'!$G$7*'Service Affinity'!$E$7*'Customer Segments'!$D$7+'Stage Demand'!$H$7*'Service Affinity'!$F$7*'Customer Segments'!$D$8+'Stage Demand'!$I$7*'Service Affinity'!$G$7*'Customer Segments'!$D$9+'Stage Demand'!$J$7*'Service Affinity'!$H$7*'Customer Segments'!$D$10)/N35</x:f>
        <x:v>1.0972653822249845</x:v>
      </x:c>
      <x:c r="R35" s="243" t="n">
        <x:f>('Stage Demand'!$D$7*'Service Affinity'!$B$7*'Customer Segments'!$C$4+'Stage Demand'!$E$7*'Service Affinity'!$C$7*'Customer Segments'!$C$5+'Stage Demand'!$F$7*'Service Affinity'!$D$7*'Customer Segments'!$C$6+'Stage Demand'!$G$7*'Service Affinity'!$E$7*'Customer Segments'!$C$7+'Stage Demand'!$H$7*'Service Affinity'!$F$7*'Customer Segments'!$C$8+'Stage Demand'!$I$7*'Service Affinity'!$G$7*'Customer Segments'!$C$9+'Stage Demand'!$J$7*'Service Affinity'!$H$7*'Customer Segments'!$C$10)/N35</x:f>
        <x:v>1.1803293971410813</x:v>
      </x:c>
      <x:c r="S35" s="241" t="n">
        <x:f>('Stage Demand'!$D$7*'Service Affinity'!$B$7*'Customer Segments'!$E$4+'Stage Demand'!$E$7*'Service Affinity'!$C$7*'Customer Segments'!$E$5+'Stage Demand'!$F$7*'Service Affinity'!$D$7*'Customer Segments'!$E$6+'Stage Demand'!$G$7*'Service Affinity'!$E$7*'Customer Segments'!$E$7+'Stage Demand'!$H$7*'Service Affinity'!$F$7*'Customer Segments'!$E$8+'Stage Demand'!$I$7*'Service Affinity'!$G$7*'Customer Segments'!$E$9+'Stage Demand'!$J$7*'Service Affinity'!$H$7*'Customer Segments'!$E$10)/N35</x:f>
        <x:v>0.27934742075823493</x:v>
      </x:c>
      <x:c r="T35" s="241" t="n">
        <x:f>('Stage Demand'!$D$7*'Service Affinity'!$B$7*'Customer Segments'!$F$4+'Stage Demand'!$E$7*'Service Affinity'!$C$7*'Customer Segments'!$F$5+'Stage Demand'!$F$7*'Service Affinity'!$D$7*'Customer Segments'!$F$6+'Stage Demand'!$G$7*'Service Affinity'!$E$7*'Customer Segments'!$F$7+'Stage Demand'!$H$7*'Service Affinity'!$F$7*'Customer Segments'!$F$8+'Stage Demand'!$I$7*'Service Affinity'!$G$7*'Customer Segments'!$F$9+'Stage Demand'!$J$7*'Service Affinity'!$H$7*'Customer Segments'!$F$10)/N35</x:f>
        <x:v>0.02353635798632691</x:v>
      </x:c>
      <x:c r="U35" s="200" t="n">
        <x:v>1.15</x:v>
      </x:c>
      <x:c r="V35" s="226" t="n">
        <x:f>MIN(J35,N35*O35*U35*('Model Assumptions'!$B$17+'Model Assumptions'!$B$18*'Model Assumptions'!$E$7)*('Model Assumptions'!$B$19+'Model Assumptions'!$B$20*'Model Assumptions'!$F$7)*'Model Assumptions'!$G$7*'Model Assumptions'!$H$7*'Model Assumptions'!$J$7)</x:f>
        <x:v>13186</x:v>
      </x:c>
      <x:c r="W35" s="239" t="n">
        <x:f>V35/J35</x:f>
        <x:v>1</x:v>
      </x:c>
      <x:c r="X35" s="226" t="n">
        <x:f>K35*W35*Q35*'Model Assumptions'!$I$7*'Model Assumptions'!$K$7</x:f>
        <x:v>15094.728738346801</x:v>
      </x:c>
      <x:c r="Y35" s="226" t="n">
        <x:f>X35*(1-M35)</x:f>
        <x:v>12830.51942759478</x:v>
      </x:c>
      <x:c r="Z35" s="226" t="n">
        <x:f>L35*W35*R35*'Model Assumptions'!$L$7</x:f>
        <x:v>2148.199502796768</x:v>
      </x:c>
      <x:c r="AA35" s="91" t="str">
        <x:v>Building figures from PLOT Building Balance v0.1; customer calibration is v0.1 internal assumption.</x:v>
      </x:c>
    </x:row>
    <x:row r="36">
      <x:c r="A36" s="90" t="n">
        <x:v>33</x:v>
      </x:c>
      <x:c r="B36" s="74" t="str">
        <x:v>Investment Fund HQ</x:v>
      </x:c>
      <x:c r="C36" s="74" t="str">
        <x:v>Asset Management</x:v>
      </x:c>
      <x:c r="D36" s="74" t="str">
        <x:v>Established</x:v>
      </x:c>
      <x:c r="E36" s="74" t="str">
        <x:v>Epic</x:v>
      </x:c>
      <x:c r="F36" s="74" t="n">
        <x:v>33</x:v>
      </x:c>
      <x:c r="G36" s="74" t="str">
        <x:v>2x3</x:v>
      </x:c>
      <x:c r="H36" s="74" t="str">
        <x:v>Revenue</x:v>
      </x:c>
      <x:c r="I36" s="74" t="str">
        <x:v>Medium</x:v>
      </x:c>
      <x:c r="J36" s="226" t="n">
        <x:v>15691</x:v>
      </x:c>
      <x:c r="K36" s="226" t="n">
        <x:v>15911</x:v>
      </x:c>
      <x:c r="L36" s="226" t="n">
        <x:v>1977</x:v>
      </x:c>
      <x:c r="M36" s="239" t="n">
        <x:v>0.15</x:v>
      </x:c>
      <x:c r="N36" s="240" t="n">
        <x:f>SUMPRODUCT('Stage Demand'!$D$7:$J$7,'Service Affinity'!$B$14:$H$14)</x:f>
        <x:v>116250</x:v>
      </x:c>
      <x:c r="O36" s="241" t="n">
        <x:f>'Model Assumptions'!$D$7</x:f>
        <x:v>0.13</x:v>
      </x:c>
      <x:c r="P36" s="242" t="n">
        <x:f>'Model Assumptions'!$F$7</x:f>
        <x:v>78</x:v>
      </x:c>
      <x:c r="Q36" s="243" t="n">
        <x:f>('Stage Demand'!$D$7*'Service Affinity'!$B$14*'Customer Segments'!$D$4+'Stage Demand'!$E$7*'Service Affinity'!$C$14*'Customer Segments'!$D$5+'Stage Demand'!$F$7*'Service Affinity'!$D$14*'Customer Segments'!$D$6+'Stage Demand'!$G$7*'Service Affinity'!$E$14*'Customer Segments'!$D$7+'Stage Demand'!$H$7*'Service Affinity'!$F$14*'Customer Segments'!$D$8+'Stage Demand'!$I$7*'Service Affinity'!$G$14*'Customer Segments'!$D$9+'Stage Demand'!$J$7*'Service Affinity'!$H$14*'Customer Segments'!$D$10)/N36</x:f>
        <x:v>1.1604301075268817</x:v>
      </x:c>
      <x:c r="R36" s="243" t="n">
        <x:f>('Stage Demand'!$D$7*'Service Affinity'!$B$14*'Customer Segments'!$C$4+'Stage Demand'!$E$7*'Service Affinity'!$C$14*'Customer Segments'!$C$5+'Stage Demand'!$F$7*'Service Affinity'!$D$14*'Customer Segments'!$C$6+'Stage Demand'!$G$7*'Service Affinity'!$E$14*'Customer Segments'!$C$7+'Stage Demand'!$H$7*'Service Affinity'!$F$14*'Customer Segments'!$C$8+'Stage Demand'!$I$7*'Service Affinity'!$G$14*'Customer Segments'!$C$9+'Stage Demand'!$J$7*'Service Affinity'!$H$14*'Customer Segments'!$C$10)/N36</x:f>
        <x:v>1.106774193548387</x:v>
      </x:c>
      <x:c r="S36" s="241" t="n">
        <x:f>('Stage Demand'!$D$7*'Service Affinity'!$B$14*'Customer Segments'!$E$4+'Stage Demand'!$E$7*'Service Affinity'!$C$14*'Customer Segments'!$E$5+'Stage Demand'!$F$7*'Service Affinity'!$D$14*'Customer Segments'!$E$6+'Stage Demand'!$G$7*'Service Affinity'!$E$14*'Customer Segments'!$E$7+'Stage Demand'!$H$7*'Service Affinity'!$F$14*'Customer Segments'!$E$8+'Stage Demand'!$I$7*'Service Affinity'!$G$14*'Customer Segments'!$E$9+'Stage Demand'!$J$7*'Service Affinity'!$H$14*'Customer Segments'!$E$10)/N36</x:f>
        <x:v>0.2583010752688172</x:v>
      </x:c>
      <x:c r="T36" s="241" t="n">
        <x:f>('Stage Demand'!$D$7*'Service Affinity'!$B$14*'Customer Segments'!$F$4+'Stage Demand'!$E$7*'Service Affinity'!$C$14*'Customer Segments'!$F$5+'Stage Demand'!$F$7*'Service Affinity'!$D$14*'Customer Segments'!$F$6+'Stage Demand'!$G$7*'Service Affinity'!$E$14*'Customer Segments'!$F$7+'Stage Demand'!$H$7*'Service Affinity'!$F$14*'Customer Segments'!$F$8+'Stage Demand'!$I$7*'Service Affinity'!$G$14*'Customer Segments'!$F$9+'Stage Demand'!$J$7*'Service Affinity'!$H$14*'Customer Segments'!$F$10)/N36</x:f>
        <x:v>0.01892043010752688</x:v>
      </x:c>
      <x:c r="U36" s="200" t="n">
        <x:v>1.15</x:v>
      </x:c>
      <x:c r="V36" s="226" t="n">
        <x:f>MIN(J36,N36*O36*U36*('Model Assumptions'!$B$17+'Model Assumptions'!$B$18*'Model Assumptions'!$E$7)*('Model Assumptions'!$B$19+'Model Assumptions'!$B$20*'Model Assumptions'!$F$7)*'Model Assumptions'!$G$7*'Model Assumptions'!$H$7*'Model Assumptions'!$J$7)</x:f>
        <x:v>15691</x:v>
      </x:c>
      <x:c r="W36" s="239" t="n">
        <x:f>V36/J36</x:f>
        <x:v>1</x:v>
      </x:c>
      <x:c r="X36" s="226" t="n">
        <x:f>K36*W36*Q36*'Model Assumptions'!$I$7*'Model Assumptions'!$K$7</x:f>
        <x:v>19571.419647311828</x:v>
      </x:c>
      <x:c r="Y36" s="226" t="n">
        <x:f>X36*(1-M36)</x:f>
        <x:v>16635.706700215054</x:v>
      </x:c>
      <x:c r="Z36" s="226" t="n">
        <x:f>L36*W36*R36*'Model Assumptions'!$L$7</x:f>
        <x:v>2188.092580645161</x:v>
      </x:c>
      <x:c r="AA36" s="91" t="str">
        <x:v>Building figures from PLOT Building Balance v0.1; customer calibration is v0.1 internal assumption.</x:v>
      </x:c>
    </x:row>
    <x:row r="37">
      <x:c r="A37" s="90" t="n">
        <x:v>34</x:v>
      </x:c>
      <x:c r="B37" s="74" t="str">
        <x:v>Insurance Company HQ</x:v>
      </x:c>
      <x:c r="C37" s="74" t="str">
        <x:v>Insurance</x:v>
      </x:c>
      <x:c r="D37" s="74" t="str">
        <x:v>Established</x:v>
      </x:c>
      <x:c r="E37" s="74" t="str">
        <x:v>Epic</x:v>
      </x:c>
      <x:c r="F37" s="74" t="n">
        <x:v>34</x:v>
      </x:c>
      <x:c r="G37" s="74" t="str">
        <x:v>2x3</x:v>
      </x:c>
      <x:c r="H37" s="74" t="str">
        <x:v>Balanced</x:v>
      </x:c>
      <x:c r="I37" s="74" t="str">
        <x:v>Low</x:v>
      </x:c>
      <x:c r="J37" s="226" t="n">
        <x:v>18672</x:v>
      </x:c>
      <x:c r="K37" s="226" t="n">
        <x:v>16410</x:v>
      </x:c>
      <x:c r="L37" s="226" t="n">
        <x:v>1905</x:v>
      </x:c>
      <x:c r="M37" s="239" t="n">
        <x:v>0.15</x:v>
      </x:c>
      <x:c r="N37" s="240" t="n">
        <x:f>SUMPRODUCT('Stage Demand'!$D$7:$J$7,'Service Affinity'!$B$11:$H$11)</x:f>
        <x:v>194500</x:v>
      </x:c>
      <x:c r="O37" s="241" t="n">
        <x:f>'Model Assumptions'!$D$7</x:f>
        <x:v>0.13</x:v>
      </x:c>
      <x:c r="P37" s="242" t="n">
        <x:f>'Model Assumptions'!$F$7</x:f>
        <x:v>78</x:v>
      </x:c>
      <x:c r="Q37" s="243" t="n">
        <x:f>('Stage Demand'!$D$7*'Service Affinity'!$B$11*'Customer Segments'!$D$4+'Stage Demand'!$E$7*'Service Affinity'!$C$11*'Customer Segments'!$D$5+'Stage Demand'!$F$7*'Service Affinity'!$D$11*'Customer Segments'!$D$6+'Stage Demand'!$G$7*'Service Affinity'!$E$11*'Customer Segments'!$D$7+'Stage Demand'!$H$7*'Service Affinity'!$F$11*'Customer Segments'!$D$8+'Stage Demand'!$I$7*'Service Affinity'!$G$11*'Customer Segments'!$D$9+'Stage Demand'!$J$7*'Service Affinity'!$H$11*'Customer Segments'!$D$10)/N37</x:f>
        <x:v>0.9557583547557841</x:v>
      </x:c>
      <x:c r="R37" s="243" t="n">
        <x:f>('Stage Demand'!$D$7*'Service Affinity'!$B$11*'Customer Segments'!$C$4+'Stage Demand'!$E$7*'Service Affinity'!$C$11*'Customer Segments'!$C$5+'Stage Demand'!$F$7*'Service Affinity'!$D$11*'Customer Segments'!$C$6+'Stage Demand'!$G$7*'Service Affinity'!$E$11*'Customer Segments'!$C$7+'Stage Demand'!$H$7*'Service Affinity'!$F$11*'Customer Segments'!$C$8+'Stage Demand'!$I$7*'Service Affinity'!$G$11*'Customer Segments'!$C$9+'Stage Demand'!$J$7*'Service Affinity'!$H$11*'Customer Segments'!$C$10)/N37</x:f>
        <x:v>0.7852699228791774</x:v>
      </x:c>
      <x:c r="S37" s="241" t="n">
        <x:f>('Stage Demand'!$D$7*'Service Affinity'!$B$11*'Customer Segments'!$E$4+'Stage Demand'!$E$7*'Service Affinity'!$C$11*'Customer Segments'!$E$5+'Stage Demand'!$F$7*'Service Affinity'!$D$11*'Customer Segments'!$E$6+'Stage Demand'!$G$7*'Service Affinity'!$E$11*'Customer Segments'!$E$7+'Stage Demand'!$H$7*'Service Affinity'!$F$11*'Customer Segments'!$E$8+'Stage Demand'!$I$7*'Service Affinity'!$G$11*'Customer Segments'!$E$9+'Stage Demand'!$J$7*'Service Affinity'!$H$11*'Customer Segments'!$E$10)/N37</x:f>
        <x:v>0.303866323907455</x:v>
      </x:c>
      <x:c r="T37" s="241" t="n">
        <x:f>('Stage Demand'!$D$7*'Service Affinity'!$B$11*'Customer Segments'!$F$4+'Stage Demand'!$E$7*'Service Affinity'!$C$11*'Customer Segments'!$F$5+'Stage Demand'!$F$7*'Service Affinity'!$D$11*'Customer Segments'!$F$6+'Stage Demand'!$G$7*'Service Affinity'!$E$11*'Customer Segments'!$F$7+'Stage Demand'!$H$7*'Service Affinity'!$F$11*'Customer Segments'!$F$8+'Stage Demand'!$I$7*'Service Affinity'!$G$11*'Customer Segments'!$F$9+'Stage Demand'!$J$7*'Service Affinity'!$H$11*'Customer Segments'!$F$10)/N37</x:f>
        <x:v>0.01703084832904884</x:v>
      </x:c>
      <x:c r="U37" s="200" t="n">
        <x:v>1.15</x:v>
      </x:c>
      <x:c r="V37" s="226" t="n">
        <x:f>MIN(J37,N37*O37*U37*('Model Assumptions'!$B$17+'Model Assumptions'!$B$18*'Model Assumptions'!$E$7)*('Model Assumptions'!$B$19+'Model Assumptions'!$B$20*'Model Assumptions'!$F$7)*'Model Assumptions'!$G$7*'Model Assumptions'!$H$7*'Model Assumptions'!$J$7)</x:f>
        <x:v>18672</x:v>
      </x:c>
      <x:c r="W37" s="239" t="n">
        <x:f>V37/J37</x:f>
        <x:v>1</x:v>
      </x:c>
      <x:c r="X37" s="226" t="n">
        <x:f>K37*W37*Q37*'Model Assumptions'!$I$7*'Model Assumptions'!$K$7</x:f>
        <x:v>16625.034277634964</x:v>
      </x:c>
      <x:c r="Y37" s="226" t="n">
        <x:f>X37*(1-M37)</x:f>
        <x:v>14131.27913598972</x:v>
      </x:c>
      <x:c r="Z37" s="226" t="n">
        <x:f>L37*W37*R37*'Model Assumptions'!$L$7</x:f>
        <x:v>1495.939203084833</x:v>
      </x:c>
      <x:c r="AA37" s="91" t="str">
        <x:v>Building figures from PLOT Building Balance v0.1; customer calibration is v0.1 internal assumption.</x:v>
      </x:c>
    </x:row>
    <x:row r="38">
      <x:c r="A38" s="90" t="n">
        <x:v>35</x:v>
      </x:c>
      <x:c r="B38" s="74" t="str">
        <x:v>Financial Data Center</x:v>
      </x:c>
      <x:c r="C38" s="74" t="str">
        <x:v>Data</x:v>
      </x:c>
      <x:c r="D38" s="74" t="str">
        <x:v>Established</x:v>
      </x:c>
      <x:c r="E38" s="74" t="str">
        <x:v>Epic</x:v>
      </x:c>
      <x:c r="F38" s="74" t="n">
        <x:v>35</x:v>
      </x:c>
      <x:c r="G38" s="74" t="str">
        <x:v>2x3</x:v>
      </x:c>
      <x:c r="H38" s="74" t="str">
        <x:v>Utility</x:v>
      </x:c>
      <x:c r="I38" s="74" t="str">
        <x:v>Low</x:v>
      </x:c>
      <x:c r="J38" s="226" t="n">
        <x:v>22220</x:v>
      </x:c>
      <x:c r="K38" s="226" t="n">
        <x:v>17281</x:v>
      </x:c>
      <x:c r="L38" s="226" t="n">
        <x:v>2400</x:v>
      </x:c>
      <x:c r="M38" s="239" t="n">
        <x:v>0.15</x:v>
      </x:c>
      <x:c r="N38" s="240" t="n">
        <x:f>SUMPRODUCT('Stage Demand'!$D$7:$J$7,'Service Affinity'!$B$18:$H$18)</x:f>
        <x:v>52400</x:v>
      </x:c>
      <x:c r="O38" s="241" t="n">
        <x:f>'Model Assumptions'!$D$7</x:f>
        <x:v>0.13</x:v>
      </x:c>
      <x:c r="P38" s="242" t="n">
        <x:f>'Model Assumptions'!$F$7</x:f>
        <x:v>78</x:v>
      </x:c>
      <x:c r="Q38" s="243" t="n">
        <x:f>('Stage Demand'!$D$7*'Service Affinity'!$B$18*'Customer Segments'!$D$4+'Stage Demand'!$E$7*'Service Affinity'!$C$18*'Customer Segments'!$D$5+'Stage Demand'!$F$7*'Service Affinity'!$D$18*'Customer Segments'!$D$6+'Stage Demand'!$G$7*'Service Affinity'!$E$18*'Customer Segments'!$D$7+'Stage Demand'!$H$7*'Service Affinity'!$F$18*'Customer Segments'!$D$8+'Stage Demand'!$I$7*'Service Affinity'!$G$18*'Customer Segments'!$D$9+'Stage Demand'!$J$7*'Service Affinity'!$H$18*'Customer Segments'!$D$10)/N38</x:f>
        <x:v>1.2748091603053435</x:v>
      </x:c>
      <x:c r="R38" s="243" t="n">
        <x:f>('Stage Demand'!$D$7*'Service Affinity'!$B$18*'Customer Segments'!$C$4+'Stage Demand'!$E$7*'Service Affinity'!$C$18*'Customer Segments'!$C$5+'Stage Demand'!$F$7*'Service Affinity'!$D$18*'Customer Segments'!$C$6+'Stage Demand'!$G$7*'Service Affinity'!$E$18*'Customer Segments'!$C$7+'Stage Demand'!$H$7*'Service Affinity'!$F$18*'Customer Segments'!$C$8+'Stage Demand'!$I$7*'Service Affinity'!$G$18*'Customer Segments'!$C$9+'Stage Demand'!$J$7*'Service Affinity'!$H$18*'Customer Segments'!$C$10)/N38</x:f>
        <x:v>1.3748091603053436</x:v>
      </x:c>
      <x:c r="S38" s="241" t="n">
        <x:f>('Stage Demand'!$D$7*'Service Affinity'!$B$18*'Customer Segments'!$E$4+'Stage Demand'!$E$7*'Service Affinity'!$C$18*'Customer Segments'!$E$5+'Stage Demand'!$F$7*'Service Affinity'!$D$18*'Customer Segments'!$E$6+'Stage Demand'!$G$7*'Service Affinity'!$E$18*'Customer Segments'!$E$7+'Stage Demand'!$H$7*'Service Affinity'!$F$18*'Customer Segments'!$E$8+'Stage Demand'!$I$7*'Service Affinity'!$G$18*'Customer Segments'!$E$9+'Stage Demand'!$J$7*'Service Affinity'!$H$18*'Customer Segments'!$E$10)/N38</x:f>
        <x:v>0.22427480916030534</x:v>
      </x:c>
      <x:c r="T38" s="241" t="n">
        <x:f>('Stage Demand'!$D$7*'Service Affinity'!$B$18*'Customer Segments'!$F$4+'Stage Demand'!$E$7*'Service Affinity'!$C$18*'Customer Segments'!$F$5+'Stage Demand'!$F$7*'Service Affinity'!$D$18*'Customer Segments'!$F$6+'Stage Demand'!$G$7*'Service Affinity'!$E$18*'Customer Segments'!$F$7+'Stage Demand'!$H$7*'Service Affinity'!$F$18*'Customer Segments'!$F$8+'Stage Demand'!$I$7*'Service Affinity'!$G$18*'Customer Segments'!$F$9+'Stage Demand'!$J$7*'Service Affinity'!$H$18*'Customer Segments'!$F$10)/N38</x:f>
        <x:v>0.02095419847328244</x:v>
      </x:c>
      <x:c r="U38" s="200" t="n">
        <x:v>1.15</x:v>
      </x:c>
      <x:c r="V38" s="226" t="n">
        <x:f>MIN(J38,N38*O38*U38*('Model Assumptions'!$B$17+'Model Assumptions'!$B$18*'Model Assumptions'!$E$7)*('Model Assumptions'!$B$19+'Model Assumptions'!$B$20*'Model Assumptions'!$F$7)*'Model Assumptions'!$G$7*'Model Assumptions'!$H$7*'Model Assumptions'!$J$7)</x:f>
        <x:v>11831.84683719168</x:v>
      </x:c>
      <x:c r="W38" s="239" t="n">
        <x:f>V38/J38</x:f>
        <x:v>0.5324863563092566</x:v>
      </x:c>
      <x:c r="X38" s="226" t="n">
        <x:f>K38*W38*Q38*'Model Assumptions'!$I$7*'Model Assumptions'!$K$7</x:f>
        <x:v>12434.501969257819</x:v>
      </x:c>
      <x:c r="Y38" s="226" t="n">
        <x:f>X38*(1-M38)</x:f>
        <x:v>10569.326673869145</x:v>
      </x:c>
      <x:c r="Z38" s="226" t="n">
        <x:f>L38*W38*R38*'Model Assumptions'!$L$7</x:f>
        <x:v>1756.9610889397943</x:v>
      </x:c>
      <x:c r="AA38" s="91" t="str">
        <x:v>Building figures from PLOT Building Balance v0.1; customer calibration is v0.1 internal assumption.</x:v>
      </x:c>
    </x:row>
    <x:row r="39">
      <x:c r="A39" s="90" t="n">
        <x:v>36</x:v>
      </x:c>
      <x:c r="B39" s="74" t="str">
        <x:v>Market Maker Office</x:v>
      </x:c>
      <x:c r="C39" s="74" t="str">
        <x:v>Market Making</x:v>
      </x:c>
      <x:c r="D39" s="74" t="str">
        <x:v>Established</x:v>
      </x:c>
      <x:c r="E39" s="74" t="str">
        <x:v>Epic</x:v>
      </x:c>
      <x:c r="F39" s="74" t="n">
        <x:v>36</x:v>
      </x:c>
      <x:c r="G39" s="74" t="str">
        <x:v>2x3</x:v>
      </x:c>
      <x:c r="H39" s="74" t="str">
        <x:v>Revenue</x:v>
      </x:c>
      <x:c r="I39" s="74" t="str">
        <x:v>High</x:v>
      </x:c>
      <x:c r="J39" s="226" t="n">
        <x:v>26442</x:v>
      </x:c>
      <x:c r="K39" s="226" t="n">
        <x:v>29350</x:v>
      </x:c>
      <x:c r="L39" s="226" t="n">
        <x:v>3808</x:v>
      </x:c>
      <x:c r="M39" s="239" t="n">
        <x:v>0.15</x:v>
      </x:c>
      <x:c r="N39" s="240" t="n">
        <x:f>SUMPRODUCT('Stage Demand'!$D$7:$J$7,'Service Affinity'!$B$19:$H$19)</x:f>
        <x:v>85600</x:v>
      </x:c>
      <x:c r="O39" s="241" t="n">
        <x:f>'Model Assumptions'!$D$7</x:f>
        <x:v>0.13</x:v>
      </x:c>
      <x:c r="P39" s="242" t="n">
        <x:f>'Model Assumptions'!$F$7</x:f>
        <x:v>78</x:v>
      </x:c>
      <x:c r="Q39" s="243" t="n">
        <x:f>('Stage Demand'!$D$7*'Service Affinity'!$B$19*'Customer Segments'!$D$4+'Stage Demand'!$E$7*'Service Affinity'!$C$19*'Customer Segments'!$D$5+'Stage Demand'!$F$7*'Service Affinity'!$D$19*'Customer Segments'!$D$6+'Stage Demand'!$G$7*'Service Affinity'!$E$19*'Customer Segments'!$D$7+'Stage Demand'!$H$7*'Service Affinity'!$F$19*'Customer Segments'!$D$8+'Stage Demand'!$I$7*'Service Affinity'!$G$19*'Customer Segments'!$D$9+'Stage Demand'!$J$7*'Service Affinity'!$H$19*'Customer Segments'!$D$10)/N39</x:f>
        <x:v>1.1933411214953271</x:v>
      </x:c>
      <x:c r="R39" s="243" t="n">
        <x:f>('Stage Demand'!$D$7*'Service Affinity'!$B$19*'Customer Segments'!$C$4+'Stage Demand'!$E$7*'Service Affinity'!$C$19*'Customer Segments'!$C$5+'Stage Demand'!$F$7*'Service Affinity'!$D$19*'Customer Segments'!$C$6+'Stage Demand'!$G$7*'Service Affinity'!$E$19*'Customer Segments'!$C$7+'Stage Demand'!$H$7*'Service Affinity'!$F$19*'Customer Segments'!$C$8+'Stage Demand'!$I$7*'Service Affinity'!$G$19*'Customer Segments'!$C$9+'Stage Demand'!$J$7*'Service Affinity'!$H$19*'Customer Segments'!$C$10)/N39</x:f>
        <x:v>1.420677570093458</x:v>
      </x:c>
      <x:c r="S39" s="241" t="n">
        <x:f>('Stage Demand'!$D$7*'Service Affinity'!$B$19*'Customer Segments'!$E$4+'Stage Demand'!$E$7*'Service Affinity'!$C$19*'Customer Segments'!$E$5+'Stage Demand'!$F$7*'Service Affinity'!$D$19*'Customer Segments'!$E$6+'Stage Demand'!$G$7*'Service Affinity'!$E$19*'Customer Segments'!$E$7+'Stage Demand'!$H$7*'Service Affinity'!$F$19*'Customer Segments'!$E$8+'Stage Demand'!$I$7*'Service Affinity'!$G$19*'Customer Segments'!$E$9+'Stage Demand'!$J$7*'Service Affinity'!$H$19*'Customer Segments'!$E$10)/N39</x:f>
        <x:v>0.257803738317757</x:v>
      </x:c>
      <x:c r="T39" s="241" t="n">
        <x:f>('Stage Demand'!$D$7*'Service Affinity'!$B$19*'Customer Segments'!$F$4+'Stage Demand'!$E$7*'Service Affinity'!$C$19*'Customer Segments'!$F$5+'Stage Demand'!$F$7*'Service Affinity'!$D$19*'Customer Segments'!$F$6+'Stage Demand'!$G$7*'Service Affinity'!$E$19*'Customer Segments'!$F$7+'Stage Demand'!$H$7*'Service Affinity'!$F$19*'Customer Segments'!$F$8+'Stage Demand'!$I$7*'Service Affinity'!$G$19*'Customer Segments'!$F$9+'Stage Demand'!$J$7*'Service Affinity'!$H$19*'Customer Segments'!$F$10)/N39</x:f>
        <x:v>0.025992990654205607</x:v>
      </x:c>
      <x:c r="U39" s="200" t="n">
        <x:v>1.15</x:v>
      </x:c>
      <x:c r="V39" s="226" t="n">
        <x:f>MIN(J39,N39*O39*U39*('Model Assumptions'!$B$17+'Model Assumptions'!$B$18*'Model Assumptions'!$E$7)*('Model Assumptions'!$B$19+'Model Assumptions'!$B$20*'Model Assumptions'!$F$7)*'Model Assumptions'!$G$7*'Model Assumptions'!$H$7*'Model Assumptions'!$J$7)</x:f>
        <x:v>19328.360482129923</x:v>
      </x:c>
      <x:c r="W39" s="239" t="n">
        <x:f>V39/J39</x:f>
        <x:v>0.7309719568160473</x:v>
      </x:c>
      <x:c r="X39" s="226" t="n">
        <x:f>K39*W39*Q39*'Model Assumptions'!$I$7*'Model Assumptions'!$K$7</x:f>
        <x:v>27138.09091389823</x:v>
      </x:c>
      <x:c r="Y39" s="226" t="n">
        <x:f>X39*(1-M39)</x:f>
        <x:v>23067.377276813495</x:v>
      </x:c>
      <x:c r="Z39" s="226" t="n">
        <x:f>L39*W39*R39*'Model Assumptions'!$L$7</x:f>
        <x:v>3954.5145646876795</x:v>
      </x:c>
      <x:c r="AA39" s="91" t="str">
        <x:v>Building figures from PLOT Building Balance v0.1; customer calibration is v0.1 internal assumption.</x:v>
      </x:c>
    </x:row>
    <x:row r="40">
      <x:c r="A40" s="90" t="n">
        <x:v>37</x:v>
      </x:c>
      <x:c r="B40" s="74" t="str">
        <x:v>Private Banking Center</x:v>
      </x:c>
      <x:c r="C40" s="74" t="str">
        <x:v>Private Banking</x:v>
      </x:c>
      <x:c r="D40" s="74" t="str">
        <x:v>Established</x:v>
      </x:c>
      <x:c r="E40" s="74" t="str">
        <x:v>Epic</x:v>
      </x:c>
      <x:c r="F40" s="74" t="n">
        <x:v>37</x:v>
      </x:c>
      <x:c r="G40" s="74" t="str">
        <x:v>2x3</x:v>
      </x:c>
      <x:c r="H40" s="74" t="str">
        <x:v>Revenue</x:v>
      </x:c>
      <x:c r="I40" s="74" t="str">
        <x:v>Medium</x:v>
      </x:c>
      <x:c r="J40" s="226" t="n">
        <x:v>31466</x:v>
      </x:c>
      <x:c r="K40" s="226" t="n">
        <x:v>34373</x:v>
      </x:c>
      <x:c r="L40" s="226" t="n">
        <x:v>3398</x:v>
      </x:c>
      <x:c r="M40" s="239" t="n">
        <x:v>0.15</x:v>
      </x:c>
      <x:c r="N40" s="240" t="n">
        <x:f>SUMPRODUCT('Stage Demand'!$D$7:$J$7,'Service Affinity'!$B$20:$H$20)</x:f>
        <x:v>62550</x:v>
      </x:c>
      <x:c r="O40" s="241" t="n">
        <x:f>'Model Assumptions'!$D$7</x:f>
        <x:v>0.13</x:v>
      </x:c>
      <x:c r="P40" s="242" t="n">
        <x:f>'Model Assumptions'!$F$7</x:f>
        <x:v>78</x:v>
      </x:c>
      <x:c r="Q40" s="243" t="n">
        <x:f>('Stage Demand'!$D$7*'Service Affinity'!$B$20*'Customer Segments'!$D$4+'Stage Demand'!$E$7*'Service Affinity'!$C$20*'Customer Segments'!$D$5+'Stage Demand'!$F$7*'Service Affinity'!$D$20*'Customer Segments'!$D$6+'Stage Demand'!$G$7*'Service Affinity'!$E$20*'Customer Segments'!$D$7+'Stage Demand'!$H$7*'Service Affinity'!$F$20*'Customer Segments'!$D$8+'Stage Demand'!$I$7*'Service Affinity'!$G$20*'Customer Segments'!$D$9+'Stage Demand'!$J$7*'Service Affinity'!$H$20*'Customer Segments'!$D$10)/N40</x:f>
        <x:v>1.265947242206235</x:v>
      </x:c>
      <x:c r="R40" s="243" t="n">
        <x:f>('Stage Demand'!$D$7*'Service Affinity'!$B$20*'Customer Segments'!$C$4+'Stage Demand'!$E$7*'Service Affinity'!$C$20*'Customer Segments'!$C$5+'Stage Demand'!$F$7*'Service Affinity'!$D$20*'Customer Segments'!$C$6+'Stage Demand'!$G$7*'Service Affinity'!$E$20*'Customer Segments'!$C$7+'Stage Demand'!$H$7*'Service Affinity'!$F$20*'Customer Segments'!$C$8+'Stage Demand'!$I$7*'Service Affinity'!$G$20*'Customer Segments'!$C$9+'Stage Demand'!$J$7*'Service Affinity'!$H$20*'Customer Segments'!$C$10)/N40</x:f>
        <x:v>1.0854916067146283</x:v>
      </x:c>
      <x:c r="S40" s="241" t="n">
        <x:f>('Stage Demand'!$D$7*'Service Affinity'!$B$20*'Customer Segments'!$E$4+'Stage Demand'!$E$7*'Service Affinity'!$C$20*'Customer Segments'!$E$5+'Stage Demand'!$F$7*'Service Affinity'!$D$20*'Customer Segments'!$E$6+'Stage Demand'!$G$7*'Service Affinity'!$E$20*'Customer Segments'!$E$7+'Stage Demand'!$H$7*'Service Affinity'!$F$20*'Customer Segments'!$E$8+'Stage Demand'!$I$7*'Service Affinity'!$G$20*'Customer Segments'!$E$9+'Stage Demand'!$J$7*'Service Affinity'!$H$20*'Customer Segments'!$E$10)/N40</x:f>
        <x:v>0.22617905675459632</x:v>
      </x:c>
      <x:c r="T40" s="241" t="n">
        <x:f>('Stage Demand'!$D$7*'Service Affinity'!$B$20*'Customer Segments'!$F$4+'Stage Demand'!$E$7*'Service Affinity'!$C$20*'Customer Segments'!$F$5+'Stage Demand'!$F$7*'Service Affinity'!$D$20*'Customer Segments'!$F$6+'Stage Demand'!$G$7*'Service Affinity'!$E$20*'Customer Segments'!$F$7+'Stage Demand'!$H$7*'Service Affinity'!$F$20*'Customer Segments'!$F$8+'Stage Demand'!$I$7*'Service Affinity'!$G$20*'Customer Segments'!$F$9+'Stage Demand'!$J$7*'Service Affinity'!$H$20*'Customer Segments'!$F$10)/N40</x:f>
        <x:v>0.014804156674660271</x:v>
      </x:c>
      <x:c r="U40" s="200" t="n">
        <x:v>1.15</x:v>
      </x:c>
      <x:c r="V40" s="226" t="n">
        <x:f>MIN(J40,N40*O40*U40*('Model Assumptions'!$B$17+'Model Assumptions'!$B$18*'Model Assumptions'!$E$7)*('Model Assumptions'!$B$19+'Model Assumptions'!$B$20*'Model Assumptions'!$F$7)*'Model Assumptions'!$G$7*'Model Assumptions'!$H$7*'Model Assumptions'!$J$7)</x:f>
        <x:v>14123.70266538816</x:v>
      </x:c>
      <x:c r="W40" s="239" t="n">
        <x:f>V40/J40</x:f>
        <x:v>0.4488559926710786</x:v>
      </x:c>
      <x:c r="X40" s="226" t="n">
        <x:f>K40*W40*Q40*'Model Assumptions'!$I$7*'Model Assumptions'!$K$7</x:f>
        <x:v>20703.60332779161</x:v>
      </x:c>
      <x:c r="Y40" s="226" t="n">
        <x:f>X40*(1-M40)</x:f>
        <x:v>17598.062828622868</x:v>
      </x:c>
      <x:c r="Z40" s="226" t="n">
        <x:f>L40*W40*R40*'Model Assumptions'!$L$7</x:f>
        <x:v>1655.605544245927</x:v>
      </x:c>
      <x:c r="AA40" s="91" t="str">
        <x:v>Building figures from PLOT Building Balance v0.1; customer calibration is v0.1 internal assumption.</x:v>
      </x:c>
    </x:row>
    <x:row r="41">
      <x:c r="A41" s="90" t="n">
        <x:v>38</x:v>
      </x:c>
      <x:c r="B41" s="74" t="str">
        <x:v>Corporate Treasury Center</x:v>
      </x:c>
      <x:c r="C41" s="74" t="str">
        <x:v>Treasury</x:v>
      </x:c>
      <x:c r="D41" s="74" t="str">
        <x:v>Established</x:v>
      </x:c>
      <x:c r="E41" s="74" t="str">
        <x:v>Epic</x:v>
      </x:c>
      <x:c r="F41" s="74" t="n">
        <x:v>38</x:v>
      </x:c>
      <x:c r="G41" s="74" t="str">
        <x:v>2x3</x:v>
      </x:c>
      <x:c r="H41" s="74" t="str">
        <x:v>Utility</x:v>
      </x:c>
      <x:c r="I41" s="74" t="str">
        <x:v>Low</x:v>
      </x:c>
      <x:c r="J41" s="226" t="n">
        <x:v>37445</x:v>
      </x:c>
      <x:c r="K41" s="226" t="n">
        <x:v>29854</x:v>
      </x:c>
      <x:c r="L41" s="226" t="n">
        <x:v>3370</x:v>
      </x:c>
      <x:c r="M41" s="239" t="n">
        <x:v>0.15</x:v>
      </x:c>
      <x:c r="N41" s="240" t="n">
        <x:f>SUMPRODUCT('Stage Demand'!$D$7:$J$7,'Service Affinity'!$B$13:$H$13)</x:f>
        <x:v>69800</x:v>
      </x:c>
      <x:c r="O41" s="241" t="n">
        <x:f>'Model Assumptions'!$D$7</x:f>
        <x:v>0.13</x:v>
      </x:c>
      <x:c r="P41" s="242" t="n">
        <x:f>'Model Assumptions'!$F$7</x:f>
        <x:v>78</x:v>
      </x:c>
      <x:c r="Q41" s="243" t="n">
        <x:f>('Stage Demand'!$D$7*'Service Affinity'!$B$13*'Customer Segments'!$D$4+'Stage Demand'!$E$7*'Service Affinity'!$C$13*'Customer Segments'!$D$5+'Stage Demand'!$F$7*'Service Affinity'!$D$13*'Customer Segments'!$D$6+'Stage Demand'!$G$7*'Service Affinity'!$E$13*'Customer Segments'!$D$7+'Stage Demand'!$H$7*'Service Affinity'!$F$13*'Customer Segments'!$D$8+'Stage Demand'!$I$7*'Service Affinity'!$G$13*'Customer Segments'!$D$9+'Stage Demand'!$J$7*'Service Affinity'!$H$13*'Customer Segments'!$D$10)/N41</x:f>
        <x:v>1.2407593123209169</x:v>
      </x:c>
      <x:c r="R41" s="243" t="n">
        <x:f>('Stage Demand'!$D$7*'Service Affinity'!$B$13*'Customer Segments'!$C$4+'Stage Demand'!$E$7*'Service Affinity'!$C$13*'Customer Segments'!$C$5+'Stage Demand'!$F$7*'Service Affinity'!$D$13*'Customer Segments'!$C$6+'Stage Demand'!$G$7*'Service Affinity'!$E$13*'Customer Segments'!$C$7+'Stage Demand'!$H$7*'Service Affinity'!$F$13*'Customer Segments'!$C$8+'Stage Demand'!$I$7*'Service Affinity'!$G$13*'Customer Segments'!$C$9+'Stage Demand'!$J$7*'Service Affinity'!$H$13*'Customer Segments'!$C$10)/N41</x:f>
        <x:v>1.050429799426934</x:v>
      </x:c>
      <x:c r="S41" s="241" t="n">
        <x:f>('Stage Demand'!$D$7*'Service Affinity'!$B$13*'Customer Segments'!$E$4+'Stage Demand'!$E$7*'Service Affinity'!$C$13*'Customer Segments'!$E$5+'Stage Demand'!$F$7*'Service Affinity'!$D$13*'Customer Segments'!$E$6+'Stage Demand'!$G$7*'Service Affinity'!$E$13*'Customer Segments'!$E$7+'Stage Demand'!$H$7*'Service Affinity'!$F$13*'Customer Segments'!$E$8+'Stage Demand'!$I$7*'Service Affinity'!$G$13*'Customer Segments'!$E$9+'Stage Demand'!$J$7*'Service Affinity'!$H$13*'Customer Segments'!$E$10)/N41</x:f>
        <x:v>0.22330945558739254</x:v>
      </x:c>
      <x:c r="T41" s="241" t="n">
        <x:f>('Stage Demand'!$D$7*'Service Affinity'!$B$13*'Customer Segments'!$F$4+'Stage Demand'!$E$7*'Service Affinity'!$C$13*'Customer Segments'!$F$5+'Stage Demand'!$F$7*'Service Affinity'!$D$13*'Customer Segments'!$F$6+'Stage Demand'!$G$7*'Service Affinity'!$E$13*'Customer Segments'!$F$7+'Stage Demand'!$H$7*'Service Affinity'!$F$13*'Customer Segments'!$F$8+'Stage Demand'!$I$7*'Service Affinity'!$G$13*'Customer Segments'!$F$9+'Stage Demand'!$J$7*'Service Affinity'!$H$13*'Customer Segments'!$F$10)/N41</x:f>
        <x:v>0.014032951289398281</x:v>
      </x:c>
      <x:c r="U41" s="200" t="n">
        <x:v>1.15</x:v>
      </x:c>
      <x:c r="V41" s="226" t="n">
        <x:f>MIN(J41,N41*O41*U41*('Model Assumptions'!$B$17+'Model Assumptions'!$B$18*'Model Assumptions'!$E$7)*('Model Assumptions'!$B$19+'Model Assumptions'!$B$20*'Model Assumptions'!$F$7)*'Model Assumptions'!$G$7*'Model Assumptions'!$H$7*'Model Assumptions'!$J$7)</x:f>
        <x:v>15760.74254267136</x:v>
      </x:c>
      <x:c r="W41" s="239" t="n">
        <x:f>V41/J41</x:f>
        <x:v>0.42090379336817624</x:v>
      </x:c>
      <x:c r="X41" s="226" t="n">
        <x:f>K41*W41*Q41*'Model Assumptions'!$I$7*'Model Assumptions'!$K$7</x:f>
        <x:v>16526.4196695502</x:v>
      </x:c>
      <x:c r="Y41" s="226" t="n">
        <x:f>X41*(1-M41)</x:f>
        <x:v>14047.456719117668</x:v>
      </x:c>
      <x:c r="Z41" s="226" t="n">
        <x:f>L41*W41*R41*'Model Assumptions'!$L$7</x:f>
        <x:v>1489.9777200182416</x:v>
      </x:c>
      <x:c r="AA41" s="91" t="str">
        <x:v>Building figures from PLOT Building Balance v0.1; customer calibration is v0.1 internal assumption.</x:v>
      </x:c>
    </x:row>
    <x:row r="42">
      <x:c r="A42" s="90" t="n">
        <x:v>39</x:v>
      </x:c>
      <x:c r="B42" s="74" t="str">
        <x:v>Securities Exchange</x:v>
      </x:c>
      <x:c r="C42" s="74" t="str">
        <x:v>Exchange</x:v>
      </x:c>
      <x:c r="D42" s="74" t="str">
        <x:v>Established</x:v>
      </x:c>
      <x:c r="E42" s="74" t="str">
        <x:v>Epic</x:v>
      </x:c>
      <x:c r="F42" s="74" t="n">
        <x:v>39</x:v>
      </x:c>
      <x:c r="G42" s="74" t="str">
        <x:v>3x3</x:v>
      </x:c>
      <x:c r="H42" s="74" t="str">
        <x:v>Revenue</x:v>
      </x:c>
      <x:c r="I42" s="74" t="str">
        <x:v>High</x:v>
      </x:c>
      <x:c r="J42" s="226" t="n">
        <x:v>44559</x:v>
      </x:c>
      <x:c r="K42" s="226" t="n">
        <x:v>54226</x:v>
      </x:c>
      <x:c r="L42" s="226" t="n">
        <x:v>6684</x:v>
      </x:c>
      <x:c r="M42" s="239" t="n">
        <x:v>0.15</x:v>
      </x:c>
      <x:c r="N42" s="240" t="n">
        <x:f>SUMPRODUCT('Stage Demand'!$D$7:$J$7,'Service Affinity'!$B$21:$H$21)</x:f>
        <x:v>127050</x:v>
      </x:c>
      <x:c r="O42" s="241" t="n">
        <x:f>'Model Assumptions'!$D$7</x:f>
        <x:v>0.13</x:v>
      </x:c>
      <x:c r="P42" s="242" t="n">
        <x:f>'Model Assumptions'!$F$7</x:f>
        <x:v>78</x:v>
      </x:c>
      <x:c r="Q42" s="243" t="n">
        <x:f>('Stage Demand'!$D$7*'Service Affinity'!$B$21*'Customer Segments'!$D$4+'Stage Demand'!$E$7*'Service Affinity'!$C$21*'Customer Segments'!$D$5+'Stage Demand'!$F$7*'Service Affinity'!$D$21*'Customer Segments'!$D$6+'Stage Demand'!$G$7*'Service Affinity'!$E$21*'Customer Segments'!$D$7+'Stage Demand'!$H$7*'Service Affinity'!$F$21*'Customer Segments'!$D$8+'Stage Demand'!$I$7*'Service Affinity'!$G$21*'Customer Segments'!$D$9+'Stage Demand'!$J$7*'Service Affinity'!$H$21*'Customer Segments'!$D$10)/N42</x:f>
        <x:v>1.1420700511609603</x:v>
      </x:c>
      <x:c r="R42" s="243" t="n">
        <x:f>('Stage Demand'!$D$7*'Service Affinity'!$B$21*'Customer Segments'!$C$4+'Stage Demand'!$E$7*'Service Affinity'!$C$21*'Customer Segments'!$C$5+'Stage Demand'!$F$7*'Service Affinity'!$D$21*'Customer Segments'!$C$6+'Stage Demand'!$G$7*'Service Affinity'!$E$21*'Customer Segments'!$C$7+'Stage Demand'!$H$7*'Service Affinity'!$F$21*'Customer Segments'!$C$8+'Stage Demand'!$I$7*'Service Affinity'!$G$21*'Customer Segments'!$C$9+'Stage Demand'!$J$7*'Service Affinity'!$H$21*'Customer Segments'!$C$10)/N42</x:f>
        <x:v>1.2919519874065328</x:v>
      </x:c>
      <x:c r="S42" s="241" t="n">
        <x:f>('Stage Demand'!$D$7*'Service Affinity'!$B$21*'Customer Segments'!$E$4+'Stage Demand'!$E$7*'Service Affinity'!$C$21*'Customer Segments'!$E$5+'Stage Demand'!$F$7*'Service Affinity'!$D$21*'Customer Segments'!$E$6+'Stage Demand'!$G$7*'Service Affinity'!$E$21*'Customer Segments'!$E$7+'Stage Demand'!$H$7*'Service Affinity'!$F$21*'Customer Segments'!$E$8+'Stage Demand'!$I$7*'Service Affinity'!$G$21*'Customer Segments'!$E$9+'Stage Demand'!$J$7*'Service Affinity'!$H$21*'Customer Segments'!$E$10)/N42</x:f>
        <x:v>0.26801652892561983</x:v>
      </x:c>
      <x:c r="T42" s="241" t="n">
        <x:f>('Stage Demand'!$D$7*'Service Affinity'!$B$21*'Customer Segments'!$F$4+'Stage Demand'!$E$7*'Service Affinity'!$C$21*'Customer Segments'!$F$5+'Stage Demand'!$F$7*'Service Affinity'!$D$21*'Customer Segments'!$F$6+'Stage Demand'!$G$7*'Service Affinity'!$E$21*'Customer Segments'!$F$7+'Stage Demand'!$H$7*'Service Affinity'!$F$21*'Customer Segments'!$F$8+'Stage Demand'!$I$7*'Service Affinity'!$G$21*'Customer Segments'!$F$9+'Stage Demand'!$J$7*'Service Affinity'!$H$21*'Customer Segments'!$F$10)/N42</x:f>
        <x:v>0.024521841794569066</x:v>
      </x:c>
      <x:c r="U42" s="200" t="n">
        <x:v>1.15</x:v>
      </x:c>
      <x:c r="V42" s="226" t="n">
        <x:f>MIN(J42,N42*O42*U42*('Model Assumptions'!$B$17+'Model Assumptions'!$B$18*'Model Assumptions'!$E$7)*('Model Assumptions'!$B$19+'Model Assumptions'!$B$20*'Model Assumptions'!$F$7)*'Model Assumptions'!$G$7*'Model Assumptions'!$H$7*'Model Assumptions'!$J$7)</x:f>
        <x:v>28687.71260811456</x:v>
      </x:c>
      <x:c r="W42" s="239" t="n">
        <x:f>V42/J42</x:f>
        <x:v>0.6438141028325268</x:v>
      </x:c>
      <x:c r="X42" s="226" t="n">
        <x:f>K42*W42*Q42*'Model Assumptions'!$I$7*'Model Assumptions'!$K$7</x:f>
        <x:v>42263.617168543715</x:v>
      </x:c>
      <x:c r="Y42" s="226" t="n">
        <x:f>X42*(1-M42)</x:f>
        <x:v>35924.07459326216</x:v>
      </x:c>
      <x:c r="Z42" s="226" t="n">
        <x:f>L42*W42*R42*'Model Assumptions'!$L$7</x:f>
        <x:v>5559.59686426661</x:v>
      </x:c>
      <x:c r="AA42" s="91" t="str">
        <x:v>Building figures from PLOT Building Balance v0.1; customer calibration is v0.1 internal assumption.</x:v>
      </x:c>
    </x:row>
    <x:row r="43">
      <x:c r="A43" s="90" t="n">
        <x:v>40</x:v>
      </x:c>
      <x:c r="B43" s="74" t="str">
        <x:v>Investment Bank</x:v>
      </x:c>
      <x:c r="C43" s="74" t="str">
        <x:v>Investment Banking</x:v>
      </x:c>
      <x:c r="D43" s="74" t="str">
        <x:v>Established</x:v>
      </x:c>
      <x:c r="E43" s="74" t="str">
        <x:v>Epic</x:v>
      </x:c>
      <x:c r="F43" s="74" t="n">
        <x:v>40</x:v>
      </x:c>
      <x:c r="G43" s="74" t="str">
        <x:v>3x3</x:v>
      </x:c>
      <x:c r="H43" s="74" t="str">
        <x:v>Revenue</x:v>
      </x:c>
      <x:c r="I43" s="74" t="str">
        <x:v>High</x:v>
      </x:c>
      <x:c r="J43" s="226" t="n">
        <x:v>53025</x:v>
      </x:c>
      <x:c r="K43" s="226" t="n">
        <x:v>64791</x:v>
      </x:c>
      <x:c r="L43" s="226" t="n">
        <x:v>6363</x:v>
      </x:c>
      <x:c r="M43" s="239" t="n">
        <x:v>0.15</x:v>
      </x:c>
      <x:c r="N43" s="240" t="n">
        <x:f>SUMPRODUCT('Stage Demand'!$D$7:$J$7,'Service Affinity'!$B$22:$H$22)</x:f>
        <x:v>46700</x:v>
      </x:c>
      <x:c r="O43" s="241" t="n">
        <x:f>'Model Assumptions'!$D$7</x:f>
        <x:v>0.13</x:v>
      </x:c>
      <x:c r="P43" s="242" t="n">
        <x:f>'Model Assumptions'!$F$7</x:f>
        <x:v>78</x:v>
      </x:c>
      <x:c r="Q43" s="243" t="n">
        <x:f>('Stage Demand'!$D$7*'Service Affinity'!$B$22*'Customer Segments'!$D$4+'Stage Demand'!$E$7*'Service Affinity'!$C$22*'Customer Segments'!$D$5+'Stage Demand'!$F$7*'Service Affinity'!$D$22*'Customer Segments'!$D$6+'Stage Demand'!$G$7*'Service Affinity'!$E$22*'Customer Segments'!$D$7+'Stage Demand'!$H$7*'Service Affinity'!$F$22*'Customer Segments'!$D$8+'Stage Demand'!$I$7*'Service Affinity'!$G$22*'Customer Segments'!$D$9+'Stage Demand'!$J$7*'Service Affinity'!$H$22*'Customer Segments'!$D$10)/N43</x:f>
        <x:v>1.3945396145610278</x:v>
      </x:c>
      <x:c r="R43" s="243" t="n">
        <x:f>('Stage Demand'!$D$7*'Service Affinity'!$B$22*'Customer Segments'!$C$4+'Stage Demand'!$E$7*'Service Affinity'!$C$22*'Customer Segments'!$C$5+'Stage Demand'!$F$7*'Service Affinity'!$D$22*'Customer Segments'!$C$6+'Stage Demand'!$G$7*'Service Affinity'!$E$22*'Customer Segments'!$C$7+'Stage Demand'!$H$7*'Service Affinity'!$F$22*'Customer Segments'!$C$8+'Stage Demand'!$I$7*'Service Affinity'!$G$22*'Customer Segments'!$C$9+'Stage Demand'!$J$7*'Service Affinity'!$H$22*'Customer Segments'!$C$10)/N43</x:f>
        <x:v>1.2076017130620984</x:v>
      </x:c>
      <x:c r="S43" s="241" t="n">
        <x:f>('Stage Demand'!$D$7*'Service Affinity'!$B$22*'Customer Segments'!$E$4+'Stage Demand'!$E$7*'Service Affinity'!$C$22*'Customer Segments'!$E$5+'Stage Demand'!$F$7*'Service Affinity'!$D$22*'Customer Segments'!$E$6+'Stage Demand'!$G$7*'Service Affinity'!$E$22*'Customer Segments'!$E$7+'Stage Demand'!$H$7*'Service Affinity'!$F$22*'Customer Segments'!$E$8+'Stage Demand'!$I$7*'Service Affinity'!$G$22*'Customer Segments'!$E$9+'Stage Demand'!$J$7*'Service Affinity'!$H$22*'Customer Segments'!$E$10)/N43</x:f>
        <x:v>0.18107066381156317</x:v>
      </x:c>
      <x:c r="T43" s="241" t="n">
        <x:f>('Stage Demand'!$D$7*'Service Affinity'!$B$22*'Customer Segments'!$F$4+'Stage Demand'!$E$7*'Service Affinity'!$C$22*'Customer Segments'!$F$5+'Stage Demand'!$F$7*'Service Affinity'!$D$22*'Customer Segments'!$F$6+'Stage Demand'!$G$7*'Service Affinity'!$E$22*'Customer Segments'!$F$7+'Stage Demand'!$H$7*'Service Affinity'!$F$22*'Customer Segments'!$F$8+'Stage Demand'!$I$7*'Service Affinity'!$G$22*'Customer Segments'!$F$9+'Stage Demand'!$J$7*'Service Affinity'!$H$22*'Customer Segments'!$F$10)/N43</x:f>
        <x:v>0.012044967880085654</x:v>
      </x:c>
      <x:c r="U43" s="200" t="n">
        <x:v>1.15</x:v>
      </x:c>
      <x:c r="V43" s="226" t="n">
        <x:f>MIN(J43,N43*O43*U43*('Model Assumptions'!$B$17+'Model Assumptions'!$B$18*'Model Assumptions'!$E$7)*('Model Assumptions'!$B$19+'Model Assumptions'!$B$20*'Model Assumptions'!$F$7)*'Model Assumptions'!$G$7*'Model Assumptions'!$H$7*'Model Assumptions'!$J$7)</x:f>
        <x:v>10544.794795741442</x:v>
      </x:c>
      <x:c r="W43" s="239" t="n">
        <x:f>V43/J43</x:f>
        <x:v>0.19886458832138504</x:v>
      </x:c>
      <x:c r="X43" s="226" t="n">
        <x:f>K43*W43*Q43*'Model Assumptions'!$I$7*'Model Assumptions'!$K$7</x:f>
        <x:v>19046.222763347796</x:v>
      </x:c>
      <x:c r="Y43" s="226" t="n">
        <x:f>X43*(1-M43)</x:f>
        <x:v>16189.289348845627</x:v>
      </x:c>
      <x:c r="Z43" s="226" t="n">
        <x:f>L43*W43*R43*'Model Assumptions'!$L$7</x:f>
        <x:v>1528.0694711070798</x:v>
      </x:c>
      <x:c r="AA43" s="91" t="str">
        <x:v>Building figures from PLOT Building Balance v0.1; customer calibration is v0.1 internal assumption.</x:v>
      </x:c>
    </x:row>
    <x:row r="44">
      <x:c r="A44" s="90" t="n">
        <x:v>41</x:v>
      </x:c>
      <x:c r="B44" s="74" t="str">
        <x:v>Global Brokerage Tower</x:v>
      </x:c>
      <x:c r="C44" s="74" t="str">
        <x:v>Brokerage</x:v>
      </x:c>
      <x:c r="D44" s="74" t="str">
        <x:v>Elite</x:v>
      </x:c>
      <x:c r="E44" s="74" t="str">
        <x:v>Legendary</x:v>
      </x:c>
      <x:c r="F44" s="74" t="n">
        <x:v>41</x:v>
      </x:c>
      <x:c r="G44" s="74" t="str">
        <x:v>3x3</x:v>
      </x:c>
      <x:c r="H44" s="74" t="str">
        <x:v>Revenue</x:v>
      </x:c>
      <x:c r="I44" s="74" t="str">
        <x:v>Medium</x:v>
      </x:c>
      <x:c r="J44" s="226" t="n">
        <x:v>63100</x:v>
      </x:c>
      <x:c r="K44" s="226" t="n">
        <x:v>75258</x:v>
      </x:c>
      <x:c r="L44" s="226" t="n">
        <x:v>8708</x:v>
      </x:c>
      <x:c r="M44" s="239" t="n">
        <x:v>0.16</x:v>
      </x:c>
      <x:c r="N44" s="240" t="n">
        <x:f>SUMPRODUCT('Stage Demand'!$D$8:$J$8,'Service Affinity'!$B$7:$H$7)</x:f>
        <x:v>815000</x:v>
      </x:c>
      <x:c r="O44" s="241" t="n">
        <x:f>'Model Assumptions'!$D$8</x:f>
        <x:v>0.08</x:v>
      </x:c>
      <x:c r="P44" s="242" t="n">
        <x:f>'Model Assumptions'!$F$8</x:f>
        <x:v>85</x:v>
      </x:c>
      <x:c r="Q44" s="243" t="n">
        <x:f>('Stage Demand'!$D$8*'Service Affinity'!$B$7*'Customer Segments'!$D$4+'Stage Demand'!$E$8*'Service Affinity'!$C$7*'Customer Segments'!$D$5+'Stage Demand'!$F$8*'Service Affinity'!$D$7*'Customer Segments'!$D$6+'Stage Demand'!$G$8*'Service Affinity'!$E$7*'Customer Segments'!$D$7+'Stage Demand'!$H$8*'Service Affinity'!$F$7*'Customer Segments'!$D$8+'Stage Demand'!$I$8*'Service Affinity'!$G$7*'Customer Segments'!$D$9+'Stage Demand'!$J$8*'Service Affinity'!$H$7*'Customer Segments'!$D$10)/N44</x:f>
        <x:v>1.105766871165644</x:v>
      </x:c>
      <x:c r="R44" s="243" t="n">
        <x:f>('Stage Demand'!$D$8*'Service Affinity'!$B$7*'Customer Segments'!$C$4+'Stage Demand'!$E$8*'Service Affinity'!$C$7*'Customer Segments'!$C$5+'Stage Demand'!$F$8*'Service Affinity'!$D$7*'Customer Segments'!$C$6+'Stage Demand'!$G$8*'Service Affinity'!$E$7*'Customer Segments'!$C$7+'Stage Demand'!$H$8*'Service Affinity'!$F$7*'Customer Segments'!$C$8+'Stage Demand'!$I$8*'Service Affinity'!$G$7*'Customer Segments'!$C$9+'Stage Demand'!$J$8*'Service Affinity'!$H$7*'Customer Segments'!$C$10)/N44</x:f>
        <x:v>1.1845398773006135</x:v>
      </x:c>
      <x:c r="S44" s="241" t="n">
        <x:f>('Stage Demand'!$D$8*'Service Affinity'!$B$7*'Customer Segments'!$E$4+'Stage Demand'!$E$8*'Service Affinity'!$C$7*'Customer Segments'!$E$5+'Stage Demand'!$F$8*'Service Affinity'!$D$7*'Customer Segments'!$E$6+'Stage Demand'!$G$8*'Service Affinity'!$E$7*'Customer Segments'!$E$7+'Stage Demand'!$H$8*'Service Affinity'!$F$7*'Customer Segments'!$E$8+'Stage Demand'!$I$8*'Service Affinity'!$G$7*'Customer Segments'!$E$9+'Stage Demand'!$J$8*'Service Affinity'!$H$7*'Customer Segments'!$E$10)/N44</x:f>
        <x:v>0.27700613496932514</x:v>
      </x:c>
      <x:c r="T44" s="241" t="n">
        <x:f>('Stage Demand'!$D$8*'Service Affinity'!$B$7*'Customer Segments'!$F$4+'Stage Demand'!$E$8*'Service Affinity'!$C$7*'Customer Segments'!$F$5+'Stage Demand'!$F$8*'Service Affinity'!$D$7*'Customer Segments'!$F$6+'Stage Demand'!$G$8*'Service Affinity'!$E$7*'Customer Segments'!$F$7+'Stage Demand'!$H$8*'Service Affinity'!$F$7*'Customer Segments'!$F$8+'Stage Demand'!$I$8*'Service Affinity'!$G$7*'Customer Segments'!$F$9+'Stage Demand'!$J$8*'Service Affinity'!$H$7*'Customer Segments'!$F$10)/N44</x:f>
        <x:v>0.023304294478527606</x:v>
      </x:c>
      <x:c r="U44" s="200" t="n">
        <x:v>1.25</x:v>
      </x:c>
      <x:c r="V44" s="226" t="n">
        <x:f>MIN(J44,N44*O44*U44*('Model Assumptions'!$B$17+'Model Assumptions'!$B$18*'Model Assumptions'!$E$8)*('Model Assumptions'!$B$19+'Model Assumptions'!$B$20*'Model Assumptions'!$F$8)*'Model Assumptions'!$G$8*'Model Assumptions'!$H$8*'Model Assumptions'!$J$8)</x:f>
        <x:v>63100</x:v>
      </x:c>
      <x:c r="W44" s="239" t="n">
        <x:f>V44/J44</x:f>
        <x:v>1</x:v>
      </x:c>
      <x:c r="X44" s="226" t="n">
        <x:f>K44*W44*Q44*'Model Assumptions'!$I$8*'Model Assumptions'!$K$8</x:f>
        <x:v>91539.58350920245</x:v>
      </x:c>
      <x:c r="Y44" s="226" t="n">
        <x:f>X44*(1-M44)</x:f>
        <x:v>76893.25014773005</x:v>
      </x:c>
      <x:c r="Z44" s="226" t="n">
        <x:f>L44*W44*R44*'Model Assumptions'!$L$8</x:f>
        <x:v>10314.973251533742</x:v>
      </x:c>
      <x:c r="AA44" s="91" t="str">
        <x:v>Building figures from PLOT Building Balance v0.1; customer calibration is v0.1 internal assumption.</x:v>
      </x:c>
    </x:row>
    <x:row r="45">
      <x:c r="A45" s="90" t="n">
        <x:v>42</x:v>
      </x:c>
      <x:c r="B45" s="74" t="str">
        <x:v>Major Asset Manager</x:v>
      </x:c>
      <x:c r="C45" s="74" t="str">
        <x:v>Asset Management</x:v>
      </x:c>
      <x:c r="D45" s="74" t="str">
        <x:v>Elite</x:v>
      </x:c>
      <x:c r="E45" s="74" t="str">
        <x:v>Legendary</x:v>
      </x:c>
      <x:c r="F45" s="74" t="n">
        <x:v>42</x:v>
      </x:c>
      <x:c r="G45" s="74" t="str">
        <x:v>3x3</x:v>
      </x:c>
      <x:c r="H45" s="74" t="str">
        <x:v>Revenue</x:v>
      </x:c>
      <x:c r="I45" s="74" t="str">
        <x:v>Medium</x:v>
      </x:c>
      <x:c r="J45" s="226" t="n">
        <x:v>75089</x:v>
      </x:c>
      <x:c r="K45" s="226" t="n">
        <x:v>92468</x:v>
      </x:c>
      <x:c r="L45" s="226" t="n">
        <x:v>9461</x:v>
      </x:c>
      <x:c r="M45" s="239" t="n">
        <x:v>0.16</x:v>
      </x:c>
      <x:c r="N45" s="240" t="n">
        <x:f>SUMPRODUCT('Stage Demand'!$D$8:$J$8,'Service Affinity'!$B$14:$H$14)</x:f>
        <x:v>603000</x:v>
      </x:c>
      <x:c r="O45" s="241" t="n">
        <x:f>'Model Assumptions'!$D$8</x:f>
        <x:v>0.08</x:v>
      </x:c>
      <x:c r="P45" s="242" t="n">
        <x:f>'Model Assumptions'!$F$8</x:f>
        <x:v>85</x:v>
      </x:c>
      <x:c r="Q45" s="243" t="n">
        <x:f>('Stage Demand'!$D$8*'Service Affinity'!$B$14*'Customer Segments'!$D$4+'Stage Demand'!$E$8*'Service Affinity'!$C$14*'Customer Segments'!$D$5+'Stage Demand'!$F$8*'Service Affinity'!$D$14*'Customer Segments'!$D$6+'Stage Demand'!$G$8*'Service Affinity'!$E$14*'Customer Segments'!$D$7+'Stage Demand'!$H$8*'Service Affinity'!$F$14*'Customer Segments'!$D$8+'Stage Demand'!$I$8*'Service Affinity'!$G$14*'Customer Segments'!$D$9+'Stage Demand'!$J$8*'Service Affinity'!$H$14*'Customer Segments'!$D$10)/N45</x:f>
        <x:v>1.1771973466003316</x:v>
      </x:c>
      <x:c r="R45" s="243" t="n">
        <x:f>('Stage Demand'!$D$8*'Service Affinity'!$B$14*'Customer Segments'!$C$4+'Stage Demand'!$E$8*'Service Affinity'!$C$14*'Customer Segments'!$C$5+'Stage Demand'!$F$8*'Service Affinity'!$D$14*'Customer Segments'!$C$6+'Stage Demand'!$G$8*'Service Affinity'!$E$14*'Customer Segments'!$C$7+'Stage Demand'!$H$8*'Service Affinity'!$F$14*'Customer Segments'!$C$8+'Stage Demand'!$I$8*'Service Affinity'!$G$14*'Customer Segments'!$C$9+'Stage Demand'!$J$8*'Service Affinity'!$H$14*'Customer Segments'!$C$10)/N45</x:f>
        <x:v>1.1181592039800996</x:v>
      </x:c>
      <x:c r="S45" s="241" t="n">
        <x:f>('Stage Demand'!$D$8*'Service Affinity'!$B$14*'Customer Segments'!$E$4+'Stage Demand'!$E$8*'Service Affinity'!$C$14*'Customer Segments'!$E$5+'Stage Demand'!$F$8*'Service Affinity'!$D$14*'Customer Segments'!$E$6+'Stage Demand'!$G$8*'Service Affinity'!$E$14*'Customer Segments'!$E$7+'Stage Demand'!$H$8*'Service Affinity'!$F$14*'Customer Segments'!$E$8+'Stage Demand'!$I$8*'Service Affinity'!$G$14*'Customer Segments'!$E$9+'Stage Demand'!$J$8*'Service Affinity'!$H$14*'Customer Segments'!$E$10)/N45</x:f>
        <x:v>0.25359867330016583</x:v>
      </x:c>
      <x:c r="T45" s="241" t="n">
        <x:f>('Stage Demand'!$D$8*'Service Affinity'!$B$14*'Customer Segments'!$F$4+'Stage Demand'!$E$8*'Service Affinity'!$C$14*'Customer Segments'!$F$5+'Stage Demand'!$F$8*'Service Affinity'!$D$14*'Customer Segments'!$F$6+'Stage Demand'!$G$8*'Service Affinity'!$E$14*'Customer Segments'!$F$7+'Stage Demand'!$H$8*'Service Affinity'!$F$14*'Customer Segments'!$F$8+'Stage Demand'!$I$8*'Service Affinity'!$G$14*'Customer Segments'!$F$9+'Stage Demand'!$J$8*'Service Affinity'!$H$14*'Customer Segments'!$F$10)/N45</x:f>
        <x:v>0.01848922056384743</x:v>
      </x:c>
      <x:c r="U45" s="200" t="n">
        <x:v>1.25</x:v>
      </x:c>
      <x:c r="V45" s="226" t="n">
        <x:f>MIN(J45,N45*O45*U45*('Model Assumptions'!$B$17+'Model Assumptions'!$B$18*'Model Assumptions'!$E$8)*('Model Assumptions'!$B$19+'Model Assumptions'!$B$20*'Model Assumptions'!$F$8)*'Model Assumptions'!$G$8*'Model Assumptions'!$H$8*'Model Assumptions'!$J$8)</x:f>
        <x:v>75089</x:v>
      </x:c>
      <x:c r="W45" s="239" t="n">
        <x:f>V45/J45</x:f>
        <x:v>1</x:v>
      </x:c>
      <x:c r="X45" s="226" t="n">
        <x:f>K45*W45*Q45*'Model Assumptions'!$I$8*'Model Assumptions'!$K$8</x:f>
        <x:v>119738.39266998341</x:v>
      </x:c>
      <x:c r="Y45" s="226" t="n">
        <x:f>X45*(1-M45)</x:f>
        <x:v>100580.24984278606</x:v>
      </x:c>
      <x:c r="Z45" s="226" t="n">
        <x:f>L45*W45*R45*'Model Assumptions'!$L$8</x:f>
        <x:v>10578.904228855723</x:v>
      </x:c>
      <x:c r="AA45" s="91" t="str">
        <x:v>Building figures from PLOT Building Balance v0.1; customer calibration is v0.1 internal assumption.</x:v>
      </x:c>
    </x:row>
    <x:row r="46">
      <x:c r="A46" s="90" t="n">
        <x:v>43</x:v>
      </x:c>
      <x:c r="B46" s="74" t="str">
        <x:v>Institutional Trading Center</x:v>
      </x:c>
      <x:c r="C46" s="74" t="str">
        <x:v>Trading</x:v>
      </x:c>
      <x:c r="D46" s="74" t="str">
        <x:v>Elite</x:v>
      </x:c>
      <x:c r="E46" s="74" t="str">
        <x:v>Legendary</x:v>
      </x:c>
      <x:c r="F46" s="74" t="n">
        <x:v>43</x:v>
      </x:c>
      <x:c r="G46" s="74" t="str">
        <x:v>3x3</x:v>
      </x:c>
      <x:c r="H46" s="74" t="str">
        <x:v>Revenue</x:v>
      </x:c>
      <x:c r="I46" s="74" t="str">
        <x:v>High</x:v>
      </x:c>
      <x:c r="J46" s="226" t="n">
        <x:v>89356</x:v>
      </x:c>
      <x:c r="K46" s="226" t="n">
        <x:v>116815</x:v>
      </x:c>
      <x:c r="L46" s="226" t="n">
        <x:v>12867</x:v>
      </x:c>
      <x:c r="M46" s="239" t="n">
        <x:v>0.16</x:v>
      </x:c>
      <x:c r="N46" s="240" t="n">
        <x:f>SUMPRODUCT('Stage Demand'!$D$8:$J$8,'Service Affinity'!$B$5:$H$5)</x:f>
        <x:v>689000</x:v>
      </x:c>
      <x:c r="O46" s="241" t="n">
        <x:f>'Model Assumptions'!$D$8</x:f>
        <x:v>0.08</x:v>
      </x:c>
      <x:c r="P46" s="242" t="n">
        <x:f>'Model Assumptions'!$F$8</x:f>
        <x:v>85</x:v>
      </x:c>
      <x:c r="Q46" s="243" t="n">
        <x:f>('Stage Demand'!$D$8*'Service Affinity'!$B$5*'Customer Segments'!$D$4+'Stage Demand'!$E$8*'Service Affinity'!$C$5*'Customer Segments'!$D$5+'Stage Demand'!$F$8*'Service Affinity'!$D$5*'Customer Segments'!$D$6+'Stage Demand'!$G$8*'Service Affinity'!$E$5*'Customer Segments'!$D$7+'Stage Demand'!$H$8*'Service Affinity'!$F$5*'Customer Segments'!$D$8+'Stage Demand'!$I$8*'Service Affinity'!$G$5*'Customer Segments'!$D$9+'Stage Demand'!$J$8*'Service Affinity'!$H$5*'Customer Segments'!$D$10)/N46</x:f>
        <x:v>1.1095065312046444</x:v>
      </x:c>
      <x:c r="R46" s="243" t="n">
        <x:f>('Stage Demand'!$D$8*'Service Affinity'!$B$5*'Customer Segments'!$C$4+'Stage Demand'!$E$8*'Service Affinity'!$C$5*'Customer Segments'!$C$5+'Stage Demand'!$F$8*'Service Affinity'!$D$5*'Customer Segments'!$C$6+'Stage Demand'!$G$8*'Service Affinity'!$E$5*'Customer Segments'!$C$7+'Stage Demand'!$H$8*'Service Affinity'!$F$5*'Customer Segments'!$C$8+'Stage Demand'!$I$8*'Service Affinity'!$G$5*'Customer Segments'!$C$9+'Stage Demand'!$J$8*'Service Affinity'!$H$5*'Customer Segments'!$C$10)/N46</x:f>
        <x:v>1.2417271407837445</x:v>
      </x:c>
      <x:c r="S46" s="241" t="n">
        <x:f>('Stage Demand'!$D$8*'Service Affinity'!$B$5*'Customer Segments'!$E$4+'Stage Demand'!$E$8*'Service Affinity'!$C$5*'Customer Segments'!$E$5+'Stage Demand'!$F$8*'Service Affinity'!$D$5*'Customer Segments'!$E$6+'Stage Demand'!$G$8*'Service Affinity'!$E$5*'Customer Segments'!$E$7+'Stage Demand'!$H$8*'Service Affinity'!$F$5*'Customer Segments'!$E$8+'Stage Demand'!$I$8*'Service Affinity'!$G$5*'Customer Segments'!$E$9+'Stage Demand'!$J$8*'Service Affinity'!$H$5*'Customer Segments'!$E$10)/N46</x:f>
        <x:v>0.27689404934687956</x:v>
      </x:c>
      <x:c r="T46" s="241" t="n">
        <x:f>('Stage Demand'!$D$8*'Service Affinity'!$B$5*'Customer Segments'!$F$4+'Stage Demand'!$E$8*'Service Affinity'!$C$5*'Customer Segments'!$F$5+'Stage Demand'!$F$8*'Service Affinity'!$D$5*'Customer Segments'!$F$6+'Stage Demand'!$G$8*'Service Affinity'!$E$5*'Customer Segments'!$F$7+'Stage Demand'!$H$8*'Service Affinity'!$F$5*'Customer Segments'!$F$8+'Stage Demand'!$I$8*'Service Affinity'!$G$5*'Customer Segments'!$F$9+'Stage Demand'!$J$8*'Service Affinity'!$H$5*'Customer Segments'!$F$10)/N46</x:f>
        <x:v>0.02451814223512337</x:v>
      </x:c>
      <x:c r="U46" s="200" t="n">
        <x:v>1.25</x:v>
      </x:c>
      <x:c r="V46" s="226" t="n">
        <x:f>MIN(J46,N46*O46*U46*('Model Assumptions'!$B$17+'Model Assumptions'!$B$18*'Model Assumptions'!$E$8)*('Model Assumptions'!$B$19+'Model Assumptions'!$B$20*'Model Assumptions'!$F$8)*'Model Assumptions'!$G$8*'Model Assumptions'!$H$8*'Model Assumptions'!$J$8)</x:f>
        <x:v>89356</x:v>
      </x:c>
      <x:c r="W46" s="239" t="n">
        <x:f>V46/J46</x:f>
        <x:v>1</x:v>
      </x:c>
      <x:c r="X46" s="226" t="n">
        <x:f>K46*W46*Q46*'Model Assumptions'!$I$8*'Model Assumptions'!$K$8</x:f>
        <x:v>142567.7059869376</x:v>
      </x:c>
      <x:c r="Y46" s="226" t="n">
        <x:f>X46*(1-M46)</x:f>
        <x:v>119756.87302902757</x:v>
      </x:c>
      <x:c r="Z46" s="226" t="n">
        <x:f>L46*W46*R46*'Model Assumptions'!$L$8</x:f>
        <x:v>15977.30312046444</x:v>
      </x:c>
      <x:c r="AA46" s="91" t="str">
        <x:v>Building figures from PLOT Building Balance v0.1; customer calibration is v0.1 internal assumption.</x:v>
      </x:c>
    </x:row>
    <x:row r="47">
      <x:c r="A47" s="90" t="n">
        <x:v>44</x:v>
      </x:c>
      <x:c r="B47" s="74" t="str">
        <x:v>Global Wealth Center</x:v>
      </x:c>
      <x:c r="C47" s="74" t="str">
        <x:v>Wealth</x:v>
      </x:c>
      <x:c r="D47" s="74" t="str">
        <x:v>Elite</x:v>
      </x:c>
      <x:c r="E47" s="74" t="str">
        <x:v>Legendary</x:v>
      </x:c>
      <x:c r="F47" s="74" t="n">
        <x:v>44</x:v>
      </x:c>
      <x:c r="G47" s="74" t="str">
        <x:v>3x3</x:v>
      </x:c>
      <x:c r="H47" s="74" t="str">
        <x:v>Balanced</x:v>
      </x:c>
      <x:c r="I47" s="74" t="str">
        <x:v>Medium</x:v>
      </x:c>
      <x:c r="J47" s="226" t="n">
        <x:v>106334</x:v>
      </x:c>
      <x:c r="K47" s="226" t="n">
        <x:v>131889</x:v>
      </x:c>
      <x:c r="L47" s="226" t="n">
        <x:v>12122</x:v>
      </x:c>
      <x:c r="M47" s="239" t="n">
        <x:v>0.16</x:v>
      </x:c>
      <x:c r="N47" s="240" t="n">
        <x:f>SUMPRODUCT('Stage Demand'!$D$8:$J$8,'Service Affinity'!$B$16:$H$16)</x:f>
        <x:v>424000</x:v>
      </x:c>
      <x:c r="O47" s="241" t="n">
        <x:f>'Model Assumptions'!$D$8</x:f>
        <x:v>0.08</x:v>
      </x:c>
      <x:c r="P47" s="242" t="n">
        <x:f>'Model Assumptions'!$F$8</x:f>
        <x:v>85</x:v>
      </x:c>
      <x:c r="Q47" s="243" t="n">
        <x:f>('Stage Demand'!$D$8*'Service Affinity'!$B$16*'Customer Segments'!$D$4+'Stage Demand'!$E$8*'Service Affinity'!$C$16*'Customer Segments'!$D$5+'Stage Demand'!$F$8*'Service Affinity'!$D$16*'Customer Segments'!$D$6+'Stage Demand'!$G$8*'Service Affinity'!$E$16*'Customer Segments'!$D$7+'Stage Demand'!$H$8*'Service Affinity'!$F$16*'Customer Segments'!$D$8+'Stage Demand'!$I$8*'Service Affinity'!$G$16*'Customer Segments'!$D$9+'Stage Demand'!$J$8*'Service Affinity'!$H$16*'Customer Segments'!$D$10)/N47</x:f>
        <x:v>1.2300707547169811</x:v>
      </x:c>
      <x:c r="R47" s="243" t="n">
        <x:f>('Stage Demand'!$D$8*'Service Affinity'!$B$16*'Customer Segments'!$C$4+'Stage Demand'!$E$8*'Service Affinity'!$C$16*'Customer Segments'!$C$5+'Stage Demand'!$F$8*'Service Affinity'!$D$16*'Customer Segments'!$C$6+'Stage Demand'!$G$8*'Service Affinity'!$E$16*'Customer Segments'!$C$7+'Stage Demand'!$H$8*'Service Affinity'!$F$16*'Customer Segments'!$C$8+'Stage Demand'!$I$8*'Service Affinity'!$G$16*'Customer Segments'!$C$9+'Stage Demand'!$J$8*'Service Affinity'!$H$16*'Customer Segments'!$C$10)/N47</x:f>
        <x:v>1.103183962264151</x:v>
      </x:c>
      <x:c r="S47" s="241" t="n">
        <x:f>('Stage Demand'!$D$8*'Service Affinity'!$B$16*'Customer Segments'!$E$4+'Stage Demand'!$E$8*'Service Affinity'!$C$16*'Customer Segments'!$E$5+'Stage Demand'!$F$8*'Service Affinity'!$D$16*'Customer Segments'!$E$6+'Stage Demand'!$G$8*'Service Affinity'!$E$16*'Customer Segments'!$E$7+'Stage Demand'!$H$8*'Service Affinity'!$F$16*'Customer Segments'!$E$8+'Stage Demand'!$I$8*'Service Affinity'!$G$16*'Customer Segments'!$E$9+'Stage Demand'!$J$8*'Service Affinity'!$H$16*'Customer Segments'!$E$10)/N47</x:f>
        <x:v>0.2371698113207547</x:v>
      </x:c>
      <x:c r="T47" s="241" t="n">
        <x:f>('Stage Demand'!$D$8*'Service Affinity'!$B$16*'Customer Segments'!$F$4+'Stage Demand'!$E$8*'Service Affinity'!$C$16*'Customer Segments'!$F$5+'Stage Demand'!$F$8*'Service Affinity'!$D$16*'Customer Segments'!$F$6+'Stage Demand'!$G$8*'Service Affinity'!$E$16*'Customer Segments'!$F$7+'Stage Demand'!$H$8*'Service Affinity'!$F$16*'Customer Segments'!$F$8+'Stage Demand'!$I$8*'Service Affinity'!$G$16*'Customer Segments'!$F$9+'Stage Demand'!$J$8*'Service Affinity'!$H$16*'Customer Segments'!$F$10)/N47</x:f>
        <x:v>0.01639622641509434</x:v>
      </x:c>
      <x:c r="U47" s="200" t="n">
        <x:v>1.25</x:v>
      </x:c>
      <x:c r="V47" s="226" t="n">
        <x:f>MIN(J47,N47*O47*U47*('Model Assumptions'!$B$17+'Model Assumptions'!$B$18*'Model Assumptions'!$E$8)*('Model Assumptions'!$B$19+'Model Assumptions'!$B$20*'Model Assumptions'!$F$8)*'Model Assumptions'!$G$8*'Model Assumptions'!$H$8*'Model Assumptions'!$J$8)</x:f>
        <x:v>71452.3531392</x:v>
      </x:c>
      <x:c r="W47" s="239" t="n">
        <x:f>V47/J47</x:f>
        <x:v>0.6719614905787424</x:v>
      </x:c>
      <x:c r="X47" s="226" t="n">
        <x:f>K47*W47*Q47*'Model Assumptions'!$I$8*'Model Assumptions'!$K$8</x:f>
        <x:v>119915.61482711155</x:v>
      </x:c>
      <x:c r="Y47" s="226" t="n">
        <x:f>X47*(1-M47)</x:f>
        <x:v>100729.1164547737</x:v>
      </x:c>
      <x:c r="Z47" s="226" t="n">
        <x:f>L47*W47*R47*'Model Assumptions'!$L$8</x:f>
        <x:v>8986.003927026186</x:v>
      </x:c>
      <x:c r="AA47" s="91" t="str">
        <x:v>Building figures from PLOT Building Balance v0.1; customer calibration is v0.1 internal assumption.</x:v>
      </x:c>
    </x:row>
    <x:row r="48">
      <x:c r="A48" s="90" t="n">
        <x:v>45</x:v>
      </x:c>
      <x:c r="B48" s="74" t="str">
        <x:v>Financial Exchange Tower</x:v>
      </x:c>
      <x:c r="C48" s="74" t="str">
        <x:v>Exchange</x:v>
      </x:c>
      <x:c r="D48" s="74" t="str">
        <x:v>Elite</x:v>
      </x:c>
      <x:c r="E48" s="74" t="str">
        <x:v>Legendary</x:v>
      </x:c>
      <x:c r="F48" s="74" t="n">
        <x:v>45</x:v>
      </x:c>
      <x:c r="G48" s="74" t="str">
        <x:v>3x3</x:v>
      </x:c>
      <x:c r="H48" s="74" t="str">
        <x:v>Revenue</x:v>
      </x:c>
      <x:c r="I48" s="74" t="str">
        <x:v>High</x:v>
      </x:c>
      <x:c r="J48" s="226" t="n">
        <x:v>126537</x:v>
      </x:c>
      <x:c r="K48" s="226" t="n">
        <x:v>176369</x:v>
      </x:c>
      <x:c r="L48" s="226" t="n">
        <x:v>18981</x:v>
      </x:c>
      <x:c r="M48" s="239" t="n">
        <x:v>0.16</x:v>
      </x:c>
      <x:c r="N48" s="240" t="n">
        <x:f>SUMPRODUCT('Stage Demand'!$D$8:$J$8,'Service Affinity'!$B$21:$H$21)</x:f>
        <x:v>651000</x:v>
      </x:c>
      <x:c r="O48" s="241" t="n">
        <x:f>'Model Assumptions'!$D$8</x:f>
        <x:v>0.08</x:v>
      </x:c>
      <x:c r="P48" s="242" t="n">
        <x:f>'Model Assumptions'!$F$8</x:f>
        <x:v>85</x:v>
      </x:c>
      <x:c r="Q48" s="243" t="n">
        <x:f>('Stage Demand'!$D$8*'Service Affinity'!$B$21*'Customer Segments'!$D$4+'Stage Demand'!$E$8*'Service Affinity'!$C$21*'Customer Segments'!$D$5+'Stage Demand'!$F$8*'Service Affinity'!$D$21*'Customer Segments'!$D$6+'Stage Demand'!$G$8*'Service Affinity'!$E$21*'Customer Segments'!$D$7+'Stage Demand'!$H$8*'Service Affinity'!$F$21*'Customer Segments'!$D$8+'Stage Demand'!$I$8*'Service Affinity'!$G$21*'Customer Segments'!$D$9+'Stage Demand'!$J$8*'Service Affinity'!$H$21*'Customer Segments'!$D$10)/N48</x:f>
        <x:v>1.154915514592934</x:v>
      </x:c>
      <x:c r="R48" s="243" t="n">
        <x:f>('Stage Demand'!$D$8*'Service Affinity'!$B$21*'Customer Segments'!$C$4+'Stage Demand'!$E$8*'Service Affinity'!$C$21*'Customer Segments'!$C$5+'Stage Demand'!$F$8*'Service Affinity'!$D$21*'Customer Segments'!$C$6+'Stage Demand'!$G$8*'Service Affinity'!$E$21*'Customer Segments'!$C$7+'Stage Demand'!$H$8*'Service Affinity'!$F$21*'Customer Segments'!$C$8+'Stage Demand'!$I$8*'Service Affinity'!$G$21*'Customer Segments'!$C$9+'Stage Demand'!$J$8*'Service Affinity'!$H$21*'Customer Segments'!$C$10)/N48</x:f>
        <x:v>1.2980798771121351</x:v>
      </x:c>
      <x:c r="S48" s="241" t="n">
        <x:f>('Stage Demand'!$D$8*'Service Affinity'!$B$21*'Customer Segments'!$E$4+'Stage Demand'!$E$8*'Service Affinity'!$C$21*'Customer Segments'!$E$5+'Stage Demand'!$F$8*'Service Affinity'!$D$21*'Customer Segments'!$E$6+'Stage Demand'!$G$8*'Service Affinity'!$E$21*'Customer Segments'!$E$7+'Stage Demand'!$H$8*'Service Affinity'!$F$21*'Customer Segments'!$E$8+'Stage Demand'!$I$8*'Service Affinity'!$G$21*'Customer Segments'!$E$9+'Stage Demand'!$J$8*'Service Affinity'!$H$21*'Customer Segments'!$E$10)/N48</x:f>
        <x:v>0.264147465437788</x:v>
      </x:c>
      <x:c r="T48" s="241" t="n">
        <x:f>('Stage Demand'!$D$8*'Service Affinity'!$B$21*'Customer Segments'!$F$4+'Stage Demand'!$E$8*'Service Affinity'!$C$21*'Customer Segments'!$F$5+'Stage Demand'!$F$8*'Service Affinity'!$D$21*'Customer Segments'!$F$6+'Stage Demand'!$G$8*'Service Affinity'!$E$21*'Customer Segments'!$F$7+'Stage Demand'!$H$8*'Service Affinity'!$F$21*'Customer Segments'!$F$8+'Stage Demand'!$I$8*'Service Affinity'!$G$21*'Customer Segments'!$F$9+'Stage Demand'!$J$8*'Service Affinity'!$H$21*'Customer Segments'!$F$10)/N48</x:f>
        <x:v>0.024069124423963133</x:v>
      </x:c>
      <x:c r="U48" s="200" t="n">
        <x:v>1.25</x:v>
      </x:c>
      <x:c r="V48" s="226" t="n">
        <x:f>MIN(J48,N48*O48*U48*('Model Assumptions'!$B$17+'Model Assumptions'!$B$18*'Model Assumptions'!$E$8)*('Model Assumptions'!$B$19+'Model Assumptions'!$B$20*'Model Assumptions'!$F$8)*'Model Assumptions'!$G$8*'Model Assumptions'!$H$8*'Model Assumptions'!$J$8)</x:f>
        <x:v>109706.32522079999</x:v>
      </x:c>
      <x:c r="W48" s="239" t="n">
        <x:f>V48/J48</x:f>
        <x:v>0.8669900916000852</x:v>
      </x:c>
      <x:c r="X48" s="226" t="n">
        <x:f>K48*W48*Q48*'Model Assumptions'!$I$8*'Model Assumptions'!$K$8</x:f>
        <x:v>194258.1673825497</x:v>
      </x:c>
      <x:c r="Y48" s="226" t="n">
        <x:f>X48*(1-M48)</x:f>
        <x:v>163176.86060134173</x:v>
      </x:c>
      <x:c r="Z48" s="226" t="n">
        <x:f>L48*W48*R48*'Model Assumptions'!$L$8</x:f>
        <x:v>21361.6424142322</x:v>
      </x:c>
      <x:c r="AA48" s="91" t="str">
        <x:v>Building figures from PLOT Building Balance v0.1; customer calibration is v0.1 internal assumption.</x:v>
      </x:c>
    </x:row>
    <x:row r="49">
      <x:c r="A49" s="90" t="n">
        <x:v>46</x:v>
      </x:c>
      <x:c r="B49" s="74" t="str">
        <x:v>International Bank HQ</x:v>
      </x:c>
      <x:c r="C49" s="74" t="str">
        <x:v>Banking</x:v>
      </x:c>
      <x:c r="D49" s="74" t="str">
        <x:v>Tycoon</x:v>
      </x:c>
      <x:c r="E49" s="74" t="str">
        <x:v>Mythic</x:v>
      </x:c>
      <x:c r="F49" s="74" t="n">
        <x:v>46</x:v>
      </x:c>
      <x:c r="G49" s="74" t="str">
        <x:v>4x4</x:v>
      </x:c>
      <x:c r="H49" s="74" t="str">
        <x:v>Balanced</x:v>
      </x:c>
      <x:c r="I49" s="74" t="str">
        <x:v>Low</x:v>
      </x:c>
      <x:c r="J49" s="226" t="n">
        <x:v>150579</x:v>
      </x:c>
      <x:c r="K49" s="226" t="n">
        <x:v>191814</x:v>
      </x:c>
      <x:c r="L49" s="226" t="n">
        <x:v>18069</x:v>
      </x:c>
      <x:c r="M49" s="239" t="n">
        <x:v>0.17</x:v>
      </x:c>
      <x:c r="N49" s="240" t="n">
        <x:f>SUMPRODUCT('Stage Demand'!$D$9:$J$9,'Service Affinity'!$B$6:$H$6)</x:f>
        <x:v>5045000</x:v>
      </x:c>
      <x:c r="O49" s="241" t="n">
        <x:f>'Model Assumptions'!$D$9</x:f>
        <x:v>0.04</x:v>
      </x:c>
      <x:c r="P49" s="242" t="n">
        <x:f>'Model Assumptions'!$F$9</x:f>
        <x:v>92</x:v>
      </x:c>
      <x:c r="Q49" s="243" t="n">
        <x:f>('Stage Demand'!$D$9*'Service Affinity'!$B$6*'Customer Segments'!$D$4+'Stage Demand'!$E$9*'Service Affinity'!$C$6*'Customer Segments'!$D$5+'Stage Demand'!$F$9*'Service Affinity'!$D$6*'Customer Segments'!$D$6+'Stage Demand'!$G$9*'Service Affinity'!$E$6*'Customer Segments'!$D$7+'Stage Demand'!$H$9*'Service Affinity'!$F$6*'Customer Segments'!$D$8+'Stage Demand'!$I$9*'Service Affinity'!$G$6*'Customer Segments'!$D$9+'Stage Demand'!$J$9*'Service Affinity'!$H$6*'Customer Segments'!$D$10)/N49</x:f>
        <x:v>0.9567393458870168</x:v>
      </x:c>
      <x:c r="R49" s="243" t="n">
        <x:f>('Stage Demand'!$D$9*'Service Affinity'!$B$6*'Customer Segments'!$C$4+'Stage Demand'!$E$9*'Service Affinity'!$C$6*'Customer Segments'!$C$5+'Stage Demand'!$F$9*'Service Affinity'!$D$6*'Customer Segments'!$C$6+'Stage Demand'!$G$9*'Service Affinity'!$E$6*'Customer Segments'!$C$7+'Stage Demand'!$H$9*'Service Affinity'!$F$6*'Customer Segments'!$C$8+'Stage Demand'!$I$9*'Service Affinity'!$G$6*'Customer Segments'!$C$9+'Stage Demand'!$J$9*'Service Affinity'!$H$6*'Customer Segments'!$C$10)/N49</x:f>
        <x:v>0.8106541129831516</x:v>
      </x:c>
      <x:c r="S49" s="241" t="n">
        <x:f>('Stage Demand'!$D$9*'Service Affinity'!$B$6*'Customer Segments'!$E$4+'Stage Demand'!$E$9*'Service Affinity'!$C$6*'Customer Segments'!$E$5+'Stage Demand'!$F$9*'Service Affinity'!$D$6*'Customer Segments'!$E$6+'Stage Demand'!$G$9*'Service Affinity'!$E$6*'Customer Segments'!$E$7+'Stage Demand'!$H$9*'Service Affinity'!$F$6*'Customer Segments'!$E$8+'Stage Demand'!$I$9*'Service Affinity'!$G$6*'Customer Segments'!$E$9+'Stage Demand'!$J$9*'Service Affinity'!$H$6*'Customer Segments'!$E$10)/N49</x:f>
        <x:v>0.30507433102081266</x:v>
      </x:c>
      <x:c r="T49" s="241" t="n">
        <x:f>('Stage Demand'!$D$9*'Service Affinity'!$B$6*'Customer Segments'!$F$4+'Stage Demand'!$E$9*'Service Affinity'!$C$6*'Customer Segments'!$F$5+'Stage Demand'!$F$9*'Service Affinity'!$D$6*'Customer Segments'!$F$6+'Stage Demand'!$G$9*'Service Affinity'!$E$6*'Customer Segments'!$F$7+'Stage Demand'!$H$9*'Service Affinity'!$F$6*'Customer Segments'!$F$8+'Stage Demand'!$I$9*'Service Affinity'!$G$6*'Customer Segments'!$F$9+'Stage Demand'!$J$9*'Service Affinity'!$H$6*'Customer Segments'!$F$10)/N49</x:f>
        <x:v>0.017710604558969275</x:v>
      </x:c>
      <x:c r="U49" s="200" t="n">
        <x:v>1.35</x:v>
      </x:c>
      <x:c r="V49" s="226" t="n">
        <x:f>MIN(J49,N49*O49*U49*('Model Assumptions'!$B$17+'Model Assumptions'!$B$18*'Model Assumptions'!$E$9)*('Model Assumptions'!$B$19+'Model Assumptions'!$B$20*'Model Assumptions'!$F$9)*'Model Assumptions'!$G$9*'Model Assumptions'!$H$9*'Model Assumptions'!$J$9)</x:f>
        <x:v>150579</x:v>
      </x:c>
      <x:c r="W49" s="239" t="n">
        <x:f>V49/J49</x:f>
        <x:v>1</x:v>
      </x:c>
      <x:c r="X49" s="226" t="n">
        <x:f>K49*W49*Q49*'Model Assumptions'!$I$9*'Model Assumptions'!$K$9</x:f>
        <x:v>209208.24101684833</x:v>
      </x:c>
      <x:c r="Y49" s="226" t="n">
        <x:f>X49*(1-M49)</x:f>
        <x:v>173642.84004398412</x:v>
      </x:c>
      <x:c r="Z49" s="226" t="n">
        <x:f>L49*W49*R49*'Model Assumptions'!$L$9</x:f>
        <x:v>14647.709167492567</x:v>
      </x:c>
      <x:c r="AA49" s="91" t="str">
        <x:v>Building figures from PLOT Building Balance v0.1; customer calibration is v0.1 internal assumption.</x:v>
      </x:c>
    </x:row>
    <x:row r="50">
      <x:c r="A50" s="90" t="n">
        <x:v>47</x:v>
      </x:c>
      <x:c r="B50" s="74" t="str">
        <x:v>Global Investment Bank</x:v>
      </x:c>
      <x:c r="C50" s="74" t="str">
        <x:v>Investment Banking</x:v>
      </x:c>
      <x:c r="D50" s="74" t="str">
        <x:v>Tycoon</x:v>
      </x:c>
      <x:c r="E50" s="74" t="str">
        <x:v>Mythic</x:v>
      </x:c>
      <x:c r="F50" s="74" t="n">
        <x:v>47</x:v>
      </x:c>
      <x:c r="G50" s="74" t="str">
        <x:v>4x4</x:v>
      </x:c>
      <x:c r="H50" s="74" t="str">
        <x:v>Revenue</x:v>
      </x:c>
      <x:c r="I50" s="74" t="str">
        <x:v>High</x:v>
      </x:c>
      <x:c r="J50" s="226" t="n">
        <x:v>179189</x:v>
      </x:c>
      <x:c r="K50" s="226" t="n">
        <x:v>257058</x:v>
      </x:c>
      <x:c r="L50" s="226" t="n">
        <x:v>21503</x:v>
      </x:c>
      <x:c r="M50" s="239" t="n">
        <x:v>0.17</x:v>
      </x:c>
      <x:c r="N50" s="240" t="n">
        <x:f>SUMPRODUCT('Stage Demand'!$D$9:$J$9,'Service Affinity'!$B$22:$H$22)</x:f>
        <x:v>1410000</x:v>
      </x:c>
      <x:c r="O50" s="241" t="n">
        <x:f>'Model Assumptions'!$D$9</x:f>
        <x:v>0.04</x:v>
      </x:c>
      <x:c r="P50" s="242" t="n">
        <x:f>'Model Assumptions'!$F$9</x:f>
        <x:v>92</x:v>
      </x:c>
      <x:c r="Q50" s="243" t="n">
        <x:f>('Stage Demand'!$D$9*'Service Affinity'!$B$22*'Customer Segments'!$D$4+'Stage Demand'!$E$9*'Service Affinity'!$C$22*'Customer Segments'!$D$5+'Stage Demand'!$F$9*'Service Affinity'!$D$22*'Customer Segments'!$D$6+'Stage Demand'!$G$9*'Service Affinity'!$E$22*'Customer Segments'!$D$7+'Stage Demand'!$H$9*'Service Affinity'!$F$22*'Customer Segments'!$D$8+'Stage Demand'!$I$9*'Service Affinity'!$G$22*'Customer Segments'!$D$9+'Stage Demand'!$J$9*'Service Affinity'!$H$22*'Customer Segments'!$D$10)/N50</x:f>
        <x:v>1.4202127659574468</x:v>
      </x:c>
      <x:c r="R50" s="243" t="n">
        <x:f>('Stage Demand'!$D$9*'Service Affinity'!$B$22*'Customer Segments'!$C$4+'Stage Demand'!$E$9*'Service Affinity'!$C$22*'Customer Segments'!$C$5+'Stage Demand'!$F$9*'Service Affinity'!$D$22*'Customer Segments'!$C$6+'Stage Demand'!$G$9*'Service Affinity'!$E$22*'Customer Segments'!$C$7+'Stage Demand'!$H$9*'Service Affinity'!$F$22*'Customer Segments'!$C$8+'Stage Demand'!$I$9*'Service Affinity'!$G$22*'Customer Segments'!$C$9+'Stage Demand'!$J$9*'Service Affinity'!$H$22*'Customer Segments'!$C$10)/N50</x:f>
        <x:v>1.2386524822695035</x:v>
      </x:c>
      <x:c r="S50" s="241" t="n">
        <x:f>('Stage Demand'!$D$9*'Service Affinity'!$B$22*'Customer Segments'!$E$4+'Stage Demand'!$E$9*'Service Affinity'!$C$22*'Customer Segments'!$E$5+'Stage Demand'!$F$9*'Service Affinity'!$D$22*'Customer Segments'!$E$6+'Stage Demand'!$G$9*'Service Affinity'!$E$22*'Customer Segments'!$E$7+'Stage Demand'!$H$9*'Service Affinity'!$F$22*'Customer Segments'!$E$8+'Stage Demand'!$I$9*'Service Affinity'!$G$22*'Customer Segments'!$E$9+'Stage Demand'!$J$9*'Service Affinity'!$H$22*'Customer Segments'!$E$10)/N50</x:f>
        <x:v>0.1726241134751773</x:v>
      </x:c>
      <x:c r="T50" s="241" t="n">
        <x:f>('Stage Demand'!$D$9*'Service Affinity'!$B$22*'Customer Segments'!$F$4+'Stage Demand'!$E$9*'Service Affinity'!$C$22*'Customer Segments'!$F$5+'Stage Demand'!$F$9*'Service Affinity'!$D$22*'Customer Segments'!$F$6+'Stage Demand'!$G$9*'Service Affinity'!$E$22*'Customer Segments'!$F$7+'Stage Demand'!$H$9*'Service Affinity'!$F$22*'Customer Segments'!$F$8+'Stage Demand'!$I$9*'Service Affinity'!$G$22*'Customer Segments'!$F$9+'Stage Demand'!$J$9*'Service Affinity'!$H$22*'Customer Segments'!$F$10)/N50</x:f>
        <x:v>0.011205673758865248</x:v>
      </x:c>
      <x:c r="U50" s="200" t="n">
        <x:v>1.35</x:v>
      </x:c>
      <x:c r="V50" s="226" t="n">
        <x:f>MIN(J50,N50*O50*U50*('Model Assumptions'!$B$17+'Model Assumptions'!$B$18*'Model Assumptions'!$E$9)*('Model Assumptions'!$B$19+'Model Assumptions'!$B$20*'Model Assumptions'!$F$9)*'Model Assumptions'!$G$9*'Model Assumptions'!$H$9*'Model Assumptions'!$J$9)</x:f>
        <x:v>141116.40436608</x:v>
      </x:c>
      <x:c r="W50" s="239" t="n">
        <x:f>V50/J50</x:f>
        <x:v>0.7875282766580538</x:v>
      </x:c>
      <x:c r="X50" s="226" t="n">
        <x:f>K50*W50*Q50*'Model Assumptions'!$I$9*'Model Assumptions'!$K$9</x:f>
        <x:v>327759.6929039154</x:v>
      </x:c>
      <x:c r="Y50" s="226" t="n">
        <x:f>X50*(1-M50)</x:f>
        <x:v>272040.5451102498</x:v>
      </x:c>
      <x:c r="Z50" s="226" t="n">
        <x:f>L50*W50*R50*'Model Assumptions'!$L$9</x:f>
        <x:v>20975.61429847256</x:v>
      </x:c>
      <x:c r="AA50" s="91" t="str">
        <x:v>Building figures from PLOT Building Balance v0.1; customer calibration is v0.1 internal assumption.</x:v>
      </x:c>
    </x:row>
    <x:row r="51">
      <x:c r="A51" s="90" t="n">
        <x:v>48</x:v>
      </x:c>
      <x:c r="B51" s="74" t="str">
        <x:v>Sovereign Fund Tower</x:v>
      </x:c>
      <x:c r="C51" s="74" t="str">
        <x:v>Asset Management</x:v>
      </x:c>
      <x:c r="D51" s="74" t="str">
        <x:v>Tycoon</x:v>
      </x:c>
      <x:c r="E51" s="74" t="str">
        <x:v>Mythic</x:v>
      </x:c>
      <x:c r="F51" s="74" t="n">
        <x:v>48</x:v>
      </x:c>
      <x:c r="G51" s="74" t="str">
        <x:v>4x4</x:v>
      </x:c>
      <x:c r="H51" s="74" t="str">
        <x:v>Revenue</x:v>
      </x:c>
      <x:c r="I51" s="74" t="str">
        <x:v>Medium</x:v>
      </x:c>
      <x:c r="J51" s="226" t="n">
        <x:v>213235</x:v>
      </x:c>
      <x:c r="K51" s="226" t="n">
        <x:v>301842</x:v>
      </x:c>
      <x:c r="L51" s="226" t="n">
        <x:v>26868</x:v>
      </x:c>
      <x:c r="M51" s="239" t="n">
        <x:v>0.17</x:v>
      </x:c>
      <x:c r="N51" s="240" t="n">
        <x:f>SUMPRODUCT('Stage Demand'!$D$9:$J$9,'Service Affinity'!$B$14:$H$14)</x:f>
        <x:v>3075000</x:v>
      </x:c>
      <x:c r="O51" s="241" t="n">
        <x:f>'Model Assumptions'!$D$9</x:f>
        <x:v>0.04</x:v>
      </x:c>
      <x:c r="P51" s="242" t="n">
        <x:f>'Model Assumptions'!$F$9</x:f>
        <x:v>92</x:v>
      </x:c>
      <x:c r="Q51" s="243" t="n">
        <x:f>('Stage Demand'!$D$9*'Service Affinity'!$B$14*'Customer Segments'!$D$4+'Stage Demand'!$E$9*'Service Affinity'!$C$14*'Customer Segments'!$D$5+'Stage Demand'!$F$9*'Service Affinity'!$D$14*'Customer Segments'!$D$6+'Stage Demand'!$G$9*'Service Affinity'!$E$14*'Customer Segments'!$D$7+'Stage Demand'!$H$9*'Service Affinity'!$F$14*'Customer Segments'!$D$8+'Stage Demand'!$I$9*'Service Affinity'!$G$14*'Customer Segments'!$D$9+'Stage Demand'!$J$9*'Service Affinity'!$H$14*'Customer Segments'!$D$10)/N51</x:f>
        <x:v>1.1870731707317073</x:v>
      </x:c>
      <x:c r="R51" s="243" t="n">
        <x:f>('Stage Demand'!$D$9*'Service Affinity'!$B$14*'Customer Segments'!$C$4+'Stage Demand'!$E$9*'Service Affinity'!$C$14*'Customer Segments'!$C$5+'Stage Demand'!$F$9*'Service Affinity'!$D$14*'Customer Segments'!$C$6+'Stage Demand'!$G$9*'Service Affinity'!$E$14*'Customer Segments'!$C$7+'Stage Demand'!$H$9*'Service Affinity'!$F$14*'Customer Segments'!$C$8+'Stage Demand'!$I$9*'Service Affinity'!$G$14*'Customer Segments'!$C$9+'Stage Demand'!$J$9*'Service Affinity'!$H$14*'Customer Segments'!$C$10)/N51</x:f>
        <x:v>1.1260975609756096</x:v>
      </x:c>
      <x:c r="S51" s="241" t="n">
        <x:f>('Stage Demand'!$D$9*'Service Affinity'!$B$14*'Customer Segments'!$E$4+'Stage Demand'!$E$9*'Service Affinity'!$C$14*'Customer Segments'!$E$5+'Stage Demand'!$F$9*'Service Affinity'!$D$14*'Customer Segments'!$E$6+'Stage Demand'!$G$9*'Service Affinity'!$E$14*'Customer Segments'!$E$7+'Stage Demand'!$H$9*'Service Affinity'!$F$14*'Customer Segments'!$E$8+'Stage Demand'!$I$9*'Service Affinity'!$G$14*'Customer Segments'!$E$9+'Stage Demand'!$J$9*'Service Affinity'!$H$14*'Customer Segments'!$E$10)/N51</x:f>
        <x:v>0.25040650406504067</x:v>
      </x:c>
      <x:c r="T51" s="241" t="n">
        <x:f>('Stage Demand'!$D$9*'Service Affinity'!$B$14*'Customer Segments'!$F$4+'Stage Demand'!$E$9*'Service Affinity'!$C$14*'Customer Segments'!$F$5+'Stage Demand'!$F$9*'Service Affinity'!$D$14*'Customer Segments'!$F$6+'Stage Demand'!$G$9*'Service Affinity'!$E$14*'Customer Segments'!$F$7+'Stage Demand'!$H$9*'Service Affinity'!$F$14*'Customer Segments'!$F$8+'Stage Demand'!$I$9*'Service Affinity'!$G$14*'Customer Segments'!$F$9+'Stage Demand'!$J$9*'Service Affinity'!$H$14*'Customer Segments'!$F$10)/N51</x:f>
        <x:v>0.018159349593495935</x:v>
      </x:c>
      <x:c r="U51" s="200" t="n">
        <x:v>1.35</x:v>
      </x:c>
      <x:c r="V51" s="226" t="n">
        <x:f>MIN(J51,N51*O51*U51*('Model Assumptions'!$B$17+'Model Assumptions'!$B$18*'Model Assumptions'!$E$9)*('Model Assumptions'!$B$19+'Model Assumptions'!$B$20*'Model Assumptions'!$F$9)*'Model Assumptions'!$G$9*'Model Assumptions'!$H$9*'Model Assumptions'!$J$9)</x:f>
        <x:v>213235</x:v>
      </x:c>
      <x:c r="W51" s="239" t="n">
        <x:f>V51/J51</x:f>
        <x:v>1</x:v>
      </x:c>
      <x:c r="X51" s="226" t="n">
        <x:f>K51*W51*Q51*'Model Assumptions'!$I$9*'Model Assumptions'!$K$9</x:f>
        <x:v>408471.73559999996</x:v>
      </x:c>
      <x:c r="Y51" s="226" t="n">
        <x:f>X51*(1-M51)</x:f>
        <x:v>339031.54054799996</x:v>
      </x:c>
      <x:c r="Z51" s="226" t="n">
        <x:f>L51*W51*R51*'Model Assumptions'!$L$9</x:f>
        <x:v>30255.98926829268</x:v>
      </x:c>
      <x:c r="AA51" s="91" t="str">
        <x:v>Building figures from PLOT Building Balance v0.1; customer calibration is v0.1 internal assumption.</x:v>
      </x:c>
    </x:row>
    <x:row r="52">
      <x:c r="A52" s="90" t="n">
        <x:v>49</x:v>
      </x:c>
      <x:c r="B52" s="74" t="str">
        <x:v>World Financial Exchange</x:v>
      </x:c>
      <x:c r="C52" s="74" t="str">
        <x:v>Exchange</x:v>
      </x:c>
      <x:c r="D52" s="74" t="str">
        <x:v>Tycoon</x:v>
      </x:c>
      <x:c r="E52" s="74" t="str">
        <x:v>Mythic</x:v>
      </x:c>
      <x:c r="F52" s="74" t="n">
        <x:v>49</x:v>
      </x:c>
      <x:c r="G52" s="74" t="str">
        <x:v>4x4</x:v>
      </x:c>
      <x:c r="H52" s="74" t="str">
        <x:v>Revenue</x:v>
      </x:c>
      <x:c r="I52" s="74" t="str">
        <x:v>High</x:v>
      </x:c>
      <x:c r="J52" s="226" t="n">
        <x:v>253750</x:v>
      </x:c>
      <x:c r="K52" s="226" t="n">
        <x:v>388694</x:v>
      </x:c>
      <x:c r="L52" s="226" t="n">
        <x:v>38062</x:v>
      </x:c>
      <x:c r="M52" s="239" t="n">
        <x:v>0.17</x:v>
      </x:c>
      <x:c r="N52" s="240" t="n">
        <x:f>SUMPRODUCT('Stage Demand'!$D$9:$J$9,'Service Affinity'!$B$21:$H$21)</x:f>
        <x:v>3275000</x:v>
      </x:c>
      <x:c r="O52" s="241" t="n">
        <x:f>'Model Assumptions'!$D$9</x:f>
        <x:v>0.04</x:v>
      </x:c>
      <x:c r="P52" s="242" t="n">
        <x:f>'Model Assumptions'!$F$9</x:f>
        <x:v>92</x:v>
      </x:c>
      <x:c r="Q52" s="243" t="n">
        <x:f>('Stage Demand'!$D$9*'Service Affinity'!$B$21*'Customer Segments'!$D$4+'Stage Demand'!$E$9*'Service Affinity'!$C$21*'Customer Segments'!$D$5+'Stage Demand'!$F$9*'Service Affinity'!$D$21*'Customer Segments'!$D$6+'Stage Demand'!$G$9*'Service Affinity'!$E$21*'Customer Segments'!$D$7+'Stage Demand'!$H$9*'Service Affinity'!$F$21*'Customer Segments'!$D$8+'Stage Demand'!$I$9*'Service Affinity'!$G$21*'Customer Segments'!$D$9+'Stage Demand'!$J$9*'Service Affinity'!$H$21*'Customer Segments'!$D$10)/N52</x:f>
        <x:v>1.1646564885496182</x:v>
      </x:c>
      <x:c r="R52" s="243" t="n">
        <x:f>('Stage Demand'!$D$9*'Service Affinity'!$B$21*'Customer Segments'!$C$4+'Stage Demand'!$E$9*'Service Affinity'!$C$21*'Customer Segments'!$C$5+'Stage Demand'!$F$9*'Service Affinity'!$D$21*'Customer Segments'!$C$6+'Stage Demand'!$G$9*'Service Affinity'!$E$21*'Customer Segments'!$C$7+'Stage Demand'!$H$9*'Service Affinity'!$F$21*'Customer Segments'!$C$8+'Stage Demand'!$I$9*'Service Affinity'!$G$21*'Customer Segments'!$C$9+'Stage Demand'!$J$9*'Service Affinity'!$H$21*'Customer Segments'!$C$10)/N52</x:f>
        <x:v>1.2979389312977099</x:v>
      </x:c>
      <x:c r="S52" s="241" t="n">
        <x:f>('Stage Demand'!$D$9*'Service Affinity'!$B$21*'Customer Segments'!$E$4+'Stage Demand'!$E$9*'Service Affinity'!$C$21*'Customer Segments'!$E$5+'Stage Demand'!$F$9*'Service Affinity'!$D$21*'Customer Segments'!$E$6+'Stage Demand'!$G$9*'Service Affinity'!$E$21*'Customer Segments'!$E$7+'Stage Demand'!$H$9*'Service Affinity'!$F$21*'Customer Segments'!$E$8+'Stage Demand'!$I$9*'Service Affinity'!$G$21*'Customer Segments'!$E$9+'Stage Demand'!$J$9*'Service Affinity'!$H$21*'Customer Segments'!$E$10)/N52</x:f>
        <x:v>0.26076335877862594</x:v>
      </x:c>
      <x:c r="T52" s="241" t="n">
        <x:f>('Stage Demand'!$D$9*'Service Affinity'!$B$21*'Customer Segments'!$F$4+'Stage Demand'!$E$9*'Service Affinity'!$C$21*'Customer Segments'!$F$5+'Stage Demand'!$F$9*'Service Affinity'!$D$21*'Customer Segments'!$F$6+'Stage Demand'!$G$9*'Service Affinity'!$E$21*'Customer Segments'!$F$7+'Stage Demand'!$H$9*'Service Affinity'!$F$21*'Customer Segments'!$F$8+'Stage Demand'!$I$9*'Service Affinity'!$G$21*'Customer Segments'!$F$9+'Stage Demand'!$J$9*'Service Affinity'!$H$21*'Customer Segments'!$F$10)/N52</x:f>
        <x:v>0.023523664122137404</x:v>
      </x:c>
      <x:c r="U52" s="200" t="n">
        <x:v>1.35</x:v>
      </x:c>
      <x:c r="V52" s="226" t="n">
        <x:f>MIN(J52,N52*O52*U52*('Model Assumptions'!$B$17+'Model Assumptions'!$B$18*'Model Assumptions'!$E$9)*('Model Assumptions'!$B$19+'Model Assumptions'!$B$20*'Model Assumptions'!$F$9)*'Model Assumptions'!$G$9*'Model Assumptions'!$H$9*'Model Assumptions'!$J$9)</x:f>
        <x:v>253750</x:v>
      </x:c>
      <x:c r="W52" s="239" t="n">
        <x:f>V52/J52</x:f>
        <x:v>1</x:v>
      </x:c>
      <x:c r="X52" s="226" t="n">
        <x:f>K52*W52*Q52*'Model Assumptions'!$I$9*'Model Assumptions'!$K$9</x:f>
        <x:v>516072.287642748</x:v>
      </x:c>
      <x:c r="Y52" s="226" t="n">
        <x:f>X52*(1-M52)</x:f>
        <x:v>428339.9987434808</x:v>
      </x:c>
      <x:c r="Z52" s="226" t="n">
        <x:f>L52*W52*R52*'Model Assumptions'!$L$9</x:f>
        <x:v>49402.15160305343</x:v>
      </x:c>
      <x:c r="AA52" s="91" t="str">
        <x:v>Building figures from PLOT Building Balance v0.1; customer calibration is v0.1 internal assumption.</x:v>
      </x:c>
    </x:row>
    <x:row r="53">
      <x:c r="A53" s="92" t="n">
        <x:v>50</x:v>
      </x:c>
      <x:c r="B53" s="207" t="str">
        <x:v>Financial Empire Headquarters</x:v>
      </x:c>
      <x:c r="C53" s="207" t="str">
        <x:v>Multi-Service</x:v>
      </x:c>
      <x:c r="D53" s="207" t="str">
        <x:v>Tycoon</x:v>
      </x:c>
      <x:c r="E53" s="207" t="str">
        <x:v>Mythic</x:v>
      </x:c>
      <x:c r="F53" s="207" t="n">
        <x:v>50</x:v>
      </x:c>
      <x:c r="G53" s="207" t="str">
        <x:v>4x4</x:v>
      </x:c>
      <x:c r="H53" s="207" t="str">
        <x:v>Revenue</x:v>
      </x:c>
      <x:c r="I53" s="207" t="str">
        <x:v>Medium</x:v>
      </x:c>
      <x:c r="J53" s="229" t="n">
        <x:v>301962</x:v>
      </x:c>
      <x:c r="K53" s="229" t="n">
        <x:v>456881</x:v>
      </x:c>
      <x:c r="L53" s="229" t="n">
        <x:v>39859</x:v>
      </x:c>
      <x:c r="M53" s="244" t="n">
        <x:v>0.17</x:v>
      </x:c>
      <x:c r="N53" s="245" t="n">
        <x:f>SUMPRODUCT('Stage Demand'!$D$9:$J$9,'Service Affinity'!$B$15:$H$15)</x:f>
        <x:v>5940000</x:v>
      </x:c>
      <x:c r="O53" s="246" t="n">
        <x:f>'Model Assumptions'!$D$9</x:f>
        <x:v>0.04</x:v>
      </x:c>
      <x:c r="P53" s="247" t="n">
        <x:f>'Model Assumptions'!$F$9</x:f>
        <x:v>92</x:v>
      </x:c>
      <x:c r="Q53" s="248" t="n">
        <x:f>('Stage Demand'!$D$9*'Service Affinity'!$B$15*'Customer Segments'!$D$4+'Stage Demand'!$E$9*'Service Affinity'!$C$15*'Customer Segments'!$D$5+'Stage Demand'!$F$9*'Service Affinity'!$D$15*'Customer Segments'!$D$6+'Stage Demand'!$G$9*'Service Affinity'!$E$15*'Customer Segments'!$D$7+'Stage Demand'!$H$9*'Service Affinity'!$F$15*'Customer Segments'!$D$8+'Stage Demand'!$I$9*'Service Affinity'!$G$15*'Customer Segments'!$D$9+'Stage Demand'!$J$9*'Service Affinity'!$H$15*'Customer Segments'!$D$10)/N53</x:f>
        <x:v>1.0174242424242423</x:v>
      </x:c>
      <x:c r="R53" s="248" t="n">
        <x:f>('Stage Demand'!$D$9*'Service Affinity'!$B$15*'Customer Segments'!$C$4+'Stage Demand'!$E$9*'Service Affinity'!$C$15*'Customer Segments'!$C$5+'Stage Demand'!$F$9*'Service Affinity'!$D$15*'Customer Segments'!$C$6+'Stage Demand'!$G$9*'Service Affinity'!$E$15*'Customer Segments'!$C$7+'Stage Demand'!$H$9*'Service Affinity'!$F$15*'Customer Segments'!$C$8+'Stage Demand'!$I$9*'Service Affinity'!$G$15*'Customer Segments'!$C$9+'Stage Demand'!$J$9*'Service Affinity'!$H$15*'Customer Segments'!$C$10)/N53</x:f>
        <x:v>0.9436868686868687</x:v>
      </x:c>
      <x:c r="S53" s="246" t="n">
        <x:f>('Stage Demand'!$D$9*'Service Affinity'!$B$15*'Customer Segments'!$E$4+'Stage Demand'!$E$9*'Service Affinity'!$C$15*'Customer Segments'!$E$5+'Stage Demand'!$F$9*'Service Affinity'!$D$15*'Customer Segments'!$E$6+'Stage Demand'!$G$9*'Service Affinity'!$E$15*'Customer Segments'!$E$7+'Stage Demand'!$H$9*'Service Affinity'!$F$15*'Customer Segments'!$E$8+'Stage Demand'!$I$9*'Service Affinity'!$G$15*'Customer Segments'!$E$9+'Stage Demand'!$J$9*'Service Affinity'!$H$15*'Customer Segments'!$E$10)/N53</x:f>
        <x:v>0.29144781144781146</x:v>
      </x:c>
      <x:c r="T53" s="246" t="n">
        <x:f>('Stage Demand'!$D$9*'Service Affinity'!$B$15*'Customer Segments'!$F$4+'Stage Demand'!$E$9*'Service Affinity'!$C$15*'Customer Segments'!$F$5+'Stage Demand'!$F$9*'Service Affinity'!$D$15*'Customer Segments'!$F$6+'Stage Demand'!$G$9*'Service Affinity'!$E$15*'Customer Segments'!$F$7+'Stage Demand'!$H$9*'Service Affinity'!$F$15*'Customer Segments'!$F$8+'Stage Demand'!$I$9*'Service Affinity'!$G$15*'Customer Segments'!$F$9+'Stage Demand'!$J$9*'Service Affinity'!$H$15*'Customer Segments'!$F$10)/N53</x:f>
        <x:v>0.019264309764309765</x:v>
      </x:c>
      <x:c r="U53" s="204" t="n">
        <x:v>1.35</x:v>
      </x:c>
      <x:c r="V53" s="229" t="n">
        <x:f>MIN(J53,N53*O53*U53*('Model Assumptions'!$B$17+'Model Assumptions'!$B$18*'Model Assumptions'!$E$9)*('Model Assumptions'!$B$19+'Model Assumptions'!$B$20*'Model Assumptions'!$F$9)*'Model Assumptions'!$G$9*'Model Assumptions'!$H$9*'Model Assumptions'!$J$9)</x:f>
        <x:v>301962</x:v>
      </x:c>
      <x:c r="W53" s="244" t="n">
        <x:f>V53/J53</x:f>
        <x:v>1</x:v>
      </x:c>
      <x:c r="X53" s="229" t="n">
        <x:f>K53*W53*Q53*'Model Assumptions'!$I$9*'Model Assumptions'!$K$9</x:f>
        <x:v>529919.6580454544</x:v>
      </x:c>
      <x:c r="Y53" s="229" t="n">
        <x:f>X53*(1-M53)</x:f>
        <x:v>439833.31617772713</x:v>
      </x:c>
      <x:c r="Z53" s="229" t="n">
        <x:f>L53*W53*R53*'Model Assumptions'!$L$9</x:f>
        <x:v>37614.4148989899</x:v>
      </x:c>
      <x:c r="AA53" s="93" t="str">
        <x:v>Building figures from PLOT Building Balance v0.1; customer calibration is v0.1 internal assumption.</x:v>
      </x:c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AA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6" t="str">
        <x:v>Customer Acquisition, Retention &amp; Congestion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 ht="22" customHeight="1">
      <x:c r="A3" s="76" t="str">
        <x:v>Core Modifier Formulas</x:v>
      </x:c>
      <x:c r="B3" s="76"/>
      <x:c r="C3" s="76"/>
      <x:c r="D3" s="76"/>
      <x:c r="E3" s="76"/>
      <x:c r="F3" s="76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</x:row>
    <x:row r="4" ht="30" customHeight="1">
      <x:c r="A4" s="40" t="str">
        <x:v>Mechanic</x:v>
      </x:c>
      <x:c r="B4" s="41" t="str">
        <x:v>Formula / Rule</x:v>
      </x:c>
      <x:c r="C4" s="41" t="str">
        <x:v>Low Example</x:v>
      </x:c>
      <x:c r="D4" s="41" t="str">
        <x:v>Mid Example</x:v>
      </x:c>
      <x:c r="E4" s="41" t="str">
        <x:v>High Example</x:v>
      </x:c>
      <x:c r="F4" s="42" t="str">
        <x:v>Design Purpose</x:v>
      </x:c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</x:row>
    <x:row r="5">
      <x:c r="A5" s="90" t="str">
        <x:v>Reputation Modifier</x:v>
      </x:c>
      <x:c r="B5" s="77" t="str">
        <x:v>0.65 + Reputation × 0.007</x:v>
      </x:c>
      <x:c r="C5" s="259" t="n">
        <x:v>0.65</x:v>
      </x:c>
      <x:c r="D5" s="259" t="n">
        <x:v>1</x:v>
      </x:c>
      <x:c r="E5" s="259" t="n">
        <x:v>1.35</x:v>
      </x:c>
      <x:c r="F5" s="91" t="str">
        <x:v>Raises demand capture as trust grows.</x:v>
      </x:c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</x:row>
    <x:row r="6">
      <x:c r="A6" s="90" t="str">
        <x:v>Service Modifier</x:v>
      </x:c>
      <x:c r="B6" s="77" t="str">
        <x:v>0.70 + Service Quality × 0.006</x:v>
      </x:c>
      <x:c r="C6" s="259" t="n">
        <x:v>0.7</x:v>
      </x:c>
      <x:c r="D6" s="259" t="n">
        <x:v>1</x:v>
      </x:c>
      <x:c r="E6" s="259" t="n">
        <x:v>1.3</x:v>
      </x:c>
      <x:c r="F6" s="91" t="str">
        <x:v>Quality affects customer attraction.</x:v>
      </x:c>
      <x:c r="G6" s="74"/>
      <x:c r="H6" s="74"/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</x:row>
    <x:row r="7">
      <x:c r="A7" s="90" t="str">
        <x:v>Competition Modifier</x:v>
      </x:c>
      <x:c r="B7" s="77" t="str">
        <x:v>1 / (1 + 0.15 × (same-category count − 1))</x:v>
      </x:c>
      <x:c r="C7" s="259" t="n">
        <x:v>1</x:v>
      </x:c>
      <x:c r="D7" s="259" t="n">
        <x:v>0.87</x:v>
      </x:c>
      <x:c r="E7" s="259" t="n">
        <x:v>0.69</x:v>
      </x:c>
      <x:c r="F7" s="91" t="str">
        <x:v>Prevents unlimited duplicate spam.</x:v>
      </x:c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</x:row>
    <x:row r="8">
      <x:c r="A8" s="90" t="str">
        <x:v>Acquisition</x:v>
      </x:c>
      <x:c r="B8" s="77" t="str">
        <x:v>Gap to target × weighted acquisition rate × modifiers</x:v>
      </x:c>
      <x:c r="C8" s="259"/>
      <x:c r="D8" s="259"/>
      <x:c r="E8" s="259"/>
      <x:c r="F8" s="91" t="str">
        <x:v>Fills unused customer potential over time.</x:v>
      </x:c>
      <x:c r="G8" s="74"/>
      <x:c r="H8" s="74"/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</x:row>
    <x:row r="9">
      <x:c r="A9" s="90" t="str">
        <x:v>Churn</x:v>
      </x:c>
      <x:c r="B9" s="77" t="str">
        <x:v>Current customers × weighted churn rate × congestion multiplier</x:v>
      </x:c>
      <x:c r="C9" s="259"/>
      <x:c r="D9" s="259"/>
      <x:c r="E9" s="259"/>
      <x:c r="F9" s="91" t="str">
        <x:v>Maintains pressure to operate well.</x:v>
      </x:c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</x:row>
    <x:row r="10">
      <x:c r="A10" s="92" t="str">
        <x:v>Steady State</x:v>
      </x:c>
      <x:c r="B10" s="223" t="str">
        <x:v>Acquisitions ≈ churn</x:v>
      </x:c>
      <x:c r="C10" s="260"/>
      <x:c r="D10" s="260"/>
      <x:c r="E10" s="260"/>
      <x:c r="F10" s="93" t="str">
        <x:v>Healthy mature businesses stabilize around target.</x:v>
      </x:c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</x:row>
    <x:row r="13" ht="22" customHeight="1">
      <x:c r="A13" s="76" t="str">
        <x:v>Capacity / Congestion Bands</x:v>
      </x:c>
      <x:c r="B13" s="76"/>
      <x:c r="C13" s="76"/>
      <x:c r="D13" s="76"/>
      <x:c r="E13" s="76"/>
      <x:c r="F13" s="76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</x:row>
    <x:row r="14" ht="30" customHeight="1">
      <x:c r="A14" s="40" t="str">
        <x:v>Utilization</x:v>
      </x:c>
      <x:c r="B14" s="41" t="str">
        <x:v>Acquisition Mod.</x:v>
      </x:c>
      <x:c r="C14" s="41" t="str">
        <x:v>Churn Mod.</x:v>
      </x:c>
      <x:c r="D14" s="41" t="str">
        <x:v>Satisfaction Penalty</x:v>
      </x:c>
      <x:c r="E14" s="41" t="str">
        <x:v>Revenue Efficiency</x:v>
      </x:c>
      <x:c r="F14" s="42" t="str">
        <x:v>Interpretation</x:v>
      </x:c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</x:row>
    <x:row r="15">
      <x:c r="A15" s="90" t="str">
        <x:v>0–80%</x:v>
      </x:c>
      <x:c r="B15" s="200" t="n">
        <x:v>1</x:v>
      </x:c>
      <x:c r="C15" s="200" t="n">
        <x:v>1</x:v>
      </x:c>
      <x:c r="D15" s="198" t="n">
        <x:v>0</x:v>
      </x:c>
      <x:c r="E15" s="200" t="n">
        <x:v>1</x:v>
      </x:c>
      <x:c r="F15" s="261" t="str">
        <x:v>Healthy spare capacity.</x:v>
      </x:c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</x:row>
    <x:row r="16">
      <x:c r="A16" s="90" t="str">
        <x:v>80–95%</x:v>
      </x:c>
      <x:c r="B16" s="200" t="n">
        <x:v>0.9</x:v>
      </x:c>
      <x:c r="C16" s="200" t="n">
        <x:v>1.1</x:v>
      </x:c>
      <x:c r="D16" s="198" t="n">
        <x:v>-5</x:v>
      </x:c>
      <x:c r="E16" s="200" t="n">
        <x:v>1</x:v>
      </x:c>
      <x:c r="F16" s="261" t="str">
        <x:v>Busy; mild service pressure.</x:v>
      </x:c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</x:row>
    <x:row r="17">
      <x:c r="A17" s="90" t="str">
        <x:v>95–100%</x:v>
      </x:c>
      <x:c r="B17" s="200" t="n">
        <x:v>0.7</x:v>
      </x:c>
      <x:c r="C17" s="200" t="n">
        <x:v>1.35</x:v>
      </x:c>
      <x:c r="D17" s="198" t="n">
        <x:v>-12</x:v>
      </x:c>
      <x:c r="E17" s="200" t="n">
        <x:v>0.97</x:v>
      </x:c>
      <x:c r="F17" s="261" t="str">
        <x:v>Overloaded; growth slows.</x:v>
      </x:c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</x:row>
    <x:row r="18">
      <x:c r="A18" s="92" t="str">
        <x:v>&gt;100% attempted demand</x:v>
      </x:c>
      <x:c r="B18" s="204" t="n">
        <x:v>0.4</x:v>
      </x:c>
      <x:c r="C18" s="204" t="n">
        <x:v>1.75</x:v>
      </x:c>
      <x:c r="D18" s="202" t="n">
        <x:v>-20</x:v>
      </x:c>
      <x:c r="E18" s="204" t="n">
        <x:v>0.9</x:v>
      </x:c>
      <x:c r="F18" s="262" t="str">
        <x:v>Rejected demand / severe congestion.</x:v>
      </x:c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</x:row>
    <x:row r="21" ht="22" customHeight="1">
      <x:c r="A21" s="76" t="str">
        <x:v>30-Day Example: First Cash Kiosk Customer Ramp</x:v>
      </x:c>
      <x:c r="B21" s="76"/>
      <x:c r="C21" s="76"/>
      <x:c r="D21" s="76"/>
      <x:c r="E21" s="76"/>
      <x:c r="F21" s="76"/>
      <x:c r="G21" s="76"/>
      <x:c r="H21" s="76"/>
      <x:c r="I21" s="76"/>
      <x:c r="J21" s="76"/>
      <x:c r="K21" s="76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</x:row>
    <x:row r="22" ht="30" customHeight="1">
      <x:c r="A22" s="40" t="str">
        <x:v>Input</x:v>
      </x:c>
      <x:c r="B22" s="41" t="str">
        <x:v>Value</x:v>
      </x:c>
      <x:c r="C22" s="41" t="str">
        <x:v>Unit</x:v>
      </x:c>
      <x:c r="D22" s="42" t="str">
        <x:v>Notes</x:v>
      </x:c>
      <x:c r="E22" s="74"/>
      <x:c r="F22" s="40" t="str">
        <x:v>Day</x:v>
      </x:c>
      <x:c r="G22" s="41" t="str">
        <x:v>Opening Customers</x:v>
      </x:c>
      <x:c r="H22" s="41" t="str">
        <x:v>Acquisitions</x:v>
      </x:c>
      <x:c r="I22" s="41" t="str">
        <x:v>Churn</x:v>
      </x:c>
      <x:c r="J22" s="41" t="str">
        <x:v>Closing Customers</x:v>
      </x:c>
      <x:c r="K22" s="42" t="str">
        <x:v>Utilization</x:v>
      </x:c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</x:row>
    <x:row r="23">
      <x:c r="A23" s="90" t="str">
        <x:v>Target Customers</x:v>
      </x:c>
      <x:c r="B23" s="198" t="n">
        <x:v>52</x:v>
      </x:c>
      <x:c r="C23" s="74" t="str">
        <x:v>customers</x:v>
      </x:c>
      <x:c r="D23" s="261" t="str">
        <x:v>Illustrative target after demand/attraction calculation.</x:v>
      </x:c>
      <x:c r="E23" s="74"/>
      <x:c r="F23" s="90" t="n">
        <x:v>0</x:v>
      </x:c>
      <x:c r="G23" s="263" t="n">
        <x:f>$B$30</x:f>
        <x:v>0</x:v>
      </x:c>
      <x:c r="H23" s="263" t="n">
        <x:v>0</x:v>
      </x:c>
      <x:c r="I23" s="263" t="n">
        <x:v>0</x:v>
      </x:c>
      <x:c r="J23" s="263" t="n">
        <x:f>G23</x:f>
        <x:v>0</x:v>
      </x:c>
      <x:c r="K23" s="264" t="n">
        <x:f>J23/$B$23</x:f>
        <x:v>0</x:v>
      </x:c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</x:row>
    <x:row r="24">
      <x:c r="A24" s="90" t="str">
        <x:v>Base Acquisition Rate</x:v>
      </x:c>
      <x:c r="B24" s="199" t="n">
        <x:v>0.35</x:v>
      </x:c>
      <x:c r="C24" s="74" t="str">
        <x:v>% gap/day</x:v>
      </x:c>
      <x:c r="D24" s="261" t="str">
        <x:v>General-consumer weighted rate.</x:v>
      </x:c>
      <x:c r="E24" s="74"/>
      <x:c r="F24" s="90" t="n">
        <x:v>1</x:v>
      </x:c>
      <x:c r="G24" s="263" t="n">
        <x:f>J23</x:f>
        <x:v>0</x:v>
      </x:c>
      <x:c r="H24" s="263" t="n">
        <x:f>MAX(0,($B$23-G24)*$B$24*(0.65+0.007*$B$26)*(0.70+0.006*$B$27)*IF(F24&lt;=$B$29,$B$28,1))</x:f>
        <x:v>59.22352800000001</x:v>
      </x:c>
      <x:c r="I24" s="263" t="n">
        <x:f>G24*$B$25</x:f>
        <x:v>0</x:v>
      </x:c>
      <x:c r="J24" s="263" t="n">
        <x:f>MIN($B$23,MAX(0,G24+H24-I24))</x:f>
        <x:v>52</x:v>
      </x:c>
      <x:c r="K24" s="264" t="n">
        <x:f>J24/$B$23</x:f>
        <x:v>1</x:v>
      </x:c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</x:row>
    <x:row r="25">
      <x:c r="A25" s="90" t="str">
        <x:v>Base Churn Rate</x:v>
      </x:c>
      <x:c r="B25" s="199" t="n">
        <x:v>0.018</x:v>
      </x:c>
      <x:c r="C25" s="74" t="str">
        <x:v>% current/day</x:v>
      </x:c>
      <x:c r="D25" s="261" t="str">
        <x:v>General-consumer weighted churn.</x:v>
      </x:c>
      <x:c r="E25" s="74"/>
      <x:c r="F25" s="90" t="n">
        <x:v>2</x:v>
      </x:c>
      <x:c r="G25" s="263" t="n">
        <x:f>J24</x:f>
        <x:v>52</x:v>
      </x:c>
      <x:c r="H25" s="263" t="n">
        <x:f>MAX(0,($B$23-G25)*$B$24*(0.65+0.007*$B$26)*(0.70+0.006*$B$27)*IF(F25&lt;=$B$29,$B$28,1))</x:f>
        <x:v>0</x:v>
      </x:c>
      <x:c r="I25" s="263" t="n">
        <x:f>G25*$B$25</x:f>
        <x:v>0.9359999999999999</x:v>
      </x:c>
      <x:c r="J25" s="263" t="n">
        <x:f>MIN($B$23,MAX(0,G25+H25-I25))</x:f>
        <x:v>51.064</x:v>
      </x:c>
      <x:c r="K25" s="264" t="n">
        <x:f>J25/$B$23</x:f>
        <x:v>0.982</x:v>
      </x:c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</x:row>
    <x:row r="26">
      <x:c r="A26" s="90" t="str">
        <x:v>Reputation</x:v>
      </x:c>
      <x:c r="B26" s="198" t="n">
        <x:v>55</x:v>
      </x:c>
      <x:c r="C26" s="74" t="str">
        <x:v>0–100</x:v>
      </x:c>
      <x:c r="D26" s="261" t="str">
        <x:v>Starter reputation.</x:v>
      </x:c>
      <x:c r="E26" s="74"/>
      <x:c r="F26" s="90" t="n">
        <x:v>3</x:v>
      </x:c>
      <x:c r="G26" s="263" t="n">
        <x:f>J25</x:f>
        <x:v>51.064</x:v>
      </x:c>
      <x:c r="H26" s="263" t="n">
        <x:f>MAX(0,($B$23-G26)*$B$24*(0.65+0.007*$B$26)*(0.70+0.006*$B$27)*IF(F26&lt;=$B$29,$B$28,1))</x:f>
        <x:v>0.355341168</x:v>
      </x:c>
      <x:c r="I26" s="263" t="n">
        <x:f>G26*$B$25</x:f>
        <x:v>0.919152</x:v>
      </x:c>
      <x:c r="J26" s="263" t="n">
        <x:f>MIN($B$23,MAX(0,G26+H26-I26))</x:f>
        <x:v>50.500189168000006</x:v>
      </x:c>
      <x:c r="K26" s="264" t="n">
        <x:f>J26/$B$23</x:f>
        <x:v>0.9711574840000001</x:v>
      </x:c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</x:row>
    <x:row r="27">
      <x:c r="A27" s="90" t="str">
        <x:v>Service Quality</x:v>
      </x:c>
      <x:c r="B27" s="198" t="n">
        <x:v>58</x:v>
      </x:c>
      <x:c r="C27" s="74" t="str">
        <x:v>0–100</x:v>
      </x:c>
      <x:c r="D27" s="261" t="str">
        <x:v>Starter service.</x:v>
      </x:c>
      <x:c r="E27" s="74"/>
      <x:c r="F27" s="90" t="n">
        <x:v>4</x:v>
      </x:c>
      <x:c r="G27" s="263" t="n">
        <x:f>J26</x:f>
        <x:v>50.500189168000006</x:v>
      </x:c>
      <x:c r="H27" s="263" t="n">
        <x:f>MAX(0,($B$23-G27)*$B$24*(0.65+0.007*$B$26)*(0.70+0.006*$B$27)*IF(F27&lt;=$B$29,$B$28,1))</x:f>
        <x:v>0.5693851846388138</x:v>
      </x:c>
      <x:c r="I27" s="263" t="n">
        <x:f>G27*$B$25</x:f>
        <x:v>0.909003405024</x:v>
      </x:c>
      <x:c r="J27" s="263" t="n">
        <x:f>MIN($B$23,MAX(0,G27+H27-I27))</x:f>
        <x:v>50.160570947614815</x:v>
      </x:c>
      <x:c r="K27" s="264" t="n">
        <x:f>J27/$B$23</x:f>
        <x:v>0.964626364377208</x:v>
      </x:c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</x:row>
    <x:row r="28">
      <x:c r="A28" s="90" t="str">
        <x:v>Onboarding Boost</x:v>
      </x:c>
      <x:c r="B28" s="198" t="n">
        <x:v>3</x:v>
      </x:c>
      <x:c r="C28" s="74" t="str">
        <x:v>x</x:v>
      </x:c>
      <x:c r="D28" s="261" t="str">
        <x:v>Applies first day.</x:v>
      </x:c>
      <x:c r="E28" s="74"/>
      <x:c r="F28" s="90" t="n">
        <x:v>5</x:v>
      </x:c>
      <x:c r="G28" s="263" t="n">
        <x:f>J27</x:f>
        <x:v>50.160570947614815</x:v>
      </x:c>
      <x:c r="H28" s="263" t="n">
        <x:f>MAX(0,($B$23-G28)*$B$24*(0.65+0.007*$B$26)*(0.70+0.006*$B$27)*IF(F28&lt;=$B$29,$B$28,1))</x:f>
        <x:v>0.6983171665894069</x:v>
      </x:c>
      <x:c r="I28" s="263" t="n">
        <x:f>G28*$B$25</x:f>
        <x:v>0.9028902770570666</x:v>
      </x:c>
      <x:c r="J28" s="263" t="n">
        <x:f>MIN($B$23,MAX(0,G28+H28-I28))</x:f>
        <x:v>49.95599783714715</x:v>
      </x:c>
      <x:c r="K28" s="264" t="n">
        <x:f>J28/$B$23</x:f>
        <x:v>0.9606922660989837</x:v>
      </x:c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</x:row>
    <x:row r="29">
      <x:c r="A29" s="90" t="str">
        <x:v>Boost Days</x:v>
      </x:c>
      <x:c r="B29" s="198" t="n">
        <x:v>1</x:v>
      </x:c>
      <x:c r="C29" s="74" t="str">
        <x:v>days</x:v>
      </x:c>
      <x:c r="D29" s="261" t="str">
        <x:v>Accelerates first customer experience.</x:v>
      </x:c>
      <x:c r="E29" s="74"/>
      <x:c r="F29" s="90" t="n">
        <x:v>6</x:v>
      </x:c>
      <x:c r="G29" s="263" t="n">
        <x:f>J28</x:f>
        <x:v>49.95599783714715</x:v>
      </x:c>
      <x:c r="H29" s="263" t="n">
        <x:f>MAX(0,($B$23-G29)*$B$24*(0.65+0.007*$B$26)*(0.70+0.006*$B$27)*IF(F29&lt;=$B$29,$B$28,1))</x:f>
        <x:v>0.7759808931011298</x:v>
      </x:c>
      <x:c r="I29" s="263" t="n">
        <x:f>G29*$B$25</x:f>
        <x:v>0.8992079610686486</x:v>
      </x:c>
      <x:c r="J29" s="263" t="n">
        <x:f>MIN($B$23,MAX(0,G29+H29-I29))</x:f>
        <x:v>49.83277076917963</x:v>
      </x:c>
      <x:c r="K29" s="264" t="n">
        <x:f>J29/$B$23</x:f>
        <x:v>0.958322514791916</x:v>
      </x:c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</x:row>
    <x:row r="30">
      <x:c r="A30" s="92" t="str">
        <x:v>Start Customers</x:v>
      </x:c>
      <x:c r="B30" s="202" t="n">
        <x:v>0</x:v>
      </x:c>
      <x:c r="C30" s="207" t="str">
        <x:v>customers</x:v>
      </x:c>
      <x:c r="D30" s="262" t="str">
        <x:v>New Plot.</x:v>
      </x:c>
      <x:c r="E30" s="74"/>
      <x:c r="F30" s="90" t="n">
        <x:v>7</x:v>
      </x:c>
      <x:c r="G30" s="263" t="n">
        <x:f>J29</x:f>
        <x:v>49.83277076917963</x:v>
      </x:c>
      <x:c r="H30" s="263" t="n">
        <x:f>MAX(0,($B$23-G30)*$B$24*(0.65+0.007*$B$26)*(0.70+0.006*$B$27)*IF(F30&lt;=$B$29,$B$28,1))</x:f>
        <x:v>0.822762570730183</x:v>
      </x:c>
      <x:c r="I30" s="263" t="n">
        <x:f>G30*$B$25</x:f>
        <x:v>0.8969898738452333</x:v>
      </x:c>
      <x:c r="J30" s="263" t="n">
        <x:f>MIN($B$23,MAX(0,G30+H30-I30))</x:f>
        <x:v>49.75854346606458</x:v>
      </x:c>
      <x:c r="K30" s="264" t="n">
        <x:f>J30/$B$23</x:f>
        <x:v>0.9568950666550881</x:v>
      </x:c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</x:row>
    <x:row r="31">
      <x:c r="A31" s="74"/>
      <x:c r="B31" s="74"/>
      <x:c r="C31" s="74"/>
      <x:c r="D31" s="74"/>
      <x:c r="E31" s="74"/>
      <x:c r="F31" s="90" t="n">
        <x:v>8</x:v>
      </x:c>
      <x:c r="G31" s="263" t="n">
        <x:f>J30</x:f>
        <x:v>49.75854346606458</x:v>
      </x:c>
      <x:c r="H31" s="263" t="n">
        <x:f>MAX(0,($B$23-G31)*$B$24*(0.65+0.007*$B$26)*(0.70+0.006*$B$27)*IF(F31&lt;=$B$29,$B$28,1))</x:f>
        <x:v>0.8509420756301751</x:v>
      </x:c>
      <x:c r="I31" s="263" t="n">
        <x:f>G31*$B$25</x:f>
        <x:v>0.8956537823891624</x:v>
      </x:c>
      <x:c r="J31" s="263" t="n">
        <x:f>MIN($B$23,MAX(0,G31+H31-I31))</x:f>
        <x:v>49.71383175930559</x:v>
      </x:c>
      <x:c r="K31" s="264" t="n">
        <x:f>J31/$B$23</x:f>
        <x:v>0.9560352261404922</x:v>
      </x:c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</x:row>
    <x:row r="32">
      <x:c r="A32" s="74"/>
      <x:c r="B32" s="74"/>
      <x:c r="C32" s="74"/>
      <x:c r="D32" s="74"/>
      <x:c r="E32" s="74"/>
      <x:c r="F32" s="90" t="n">
        <x:v>9</x:v>
      </x:c>
      <x:c r="G32" s="263" t="n">
        <x:f>J31</x:f>
        <x:v>49.71383175930559</x:v>
      </x:c>
      <x:c r="H32" s="263" t="n">
        <x:f>MAX(0,($B$23-G32)*$B$24*(0.65+0.007*$B$26)*(0.70+0.006*$B$27)*IF(F32&lt;=$B$29,$B$28,1))</x:f>
        <x:v>0.8679163385607439</x:v>
      </x:c>
      <x:c r="I32" s="263" t="n">
        <x:f>G32*$B$25</x:f>
        <x:v>0.8948489716675005</x:v>
      </x:c>
      <x:c r="J32" s="263" t="n">
        <x:f>MIN($B$23,MAX(0,G32+H32-I32))</x:f>
        <x:v>49.68689912619884</x:v>
      </x:c>
      <x:c r="K32" s="264" t="n">
        <x:f>J32/$B$23</x:f>
        <x:v>0.9555172908884392</x:v>
      </x:c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</x:row>
    <x:row r="33">
      <x:c r="A33" s="74"/>
      <x:c r="B33" s="74"/>
      <x:c r="C33" s="74"/>
      <x:c r="D33" s="74"/>
      <x:c r="E33" s="74"/>
      <x:c r="F33" s="90" t="n">
        <x:v>10</x:v>
      </x:c>
      <x:c r="G33" s="263" t="n">
        <x:f>J32</x:f>
        <x:v>49.68689912619884</x:v>
      </x:c>
      <x:c r="H33" s="263" t="n">
        <x:f>MAX(0,($B$23-G33)*$B$24*(0.65+0.007*$B$26)*(0.70+0.006*$B$27)*IF(F33&lt;=$B$29,$B$28,1))</x:f>
        <x:v>0.8781409895281255</x:v>
      </x:c>
      <x:c r="I33" s="263" t="n">
        <x:f>G33*$B$25</x:f>
        <x:v>0.894364184271579</x:v>
      </x:c>
      <x:c r="J33" s="263" t="n">
        <x:f>MIN($B$23,MAX(0,G33+H33-I33))</x:f>
        <x:v>49.670675931455385</x:v>
      </x:c>
      <x:c r="K33" s="264" t="n">
        <x:f>J33/$B$23</x:f>
        <x:v>0.955205306374142</x:v>
      </x:c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</x:row>
    <x:row r="34">
      <x:c r="A34" s="74"/>
      <x:c r="B34" s="74"/>
      <x:c r="C34" s="74"/>
      <x:c r="D34" s="74"/>
      <x:c r="E34" s="74"/>
      <x:c r="F34" s="90" t="n">
        <x:v>11</x:v>
      </x:c>
      <x:c r="G34" s="263" t="n">
        <x:f>J33</x:f>
        <x:v>49.670675931455385</x:v>
      </x:c>
      <x:c r="H34" s="263" t="n">
        <x:f>MAX(0,($B$23-G34)*$B$24*(0.65+0.007*$B$26)*(0.70+0.006*$B$27)*IF(F34&lt;=$B$29,$B$28,1))</x:f>
        <x:v>0.8842999307341407</x:v>
      </x:c>
      <x:c r="I34" s="263" t="n">
        <x:f>G34*$B$25</x:f>
        <x:v>0.8940721667661968</x:v>
      </x:c>
      <x:c r="J34" s="263" t="n">
        <x:f>MIN($B$23,MAX(0,G34+H34-I34))</x:f>
        <x:v>49.66090369542333</x:v>
      </x:c>
      <x:c r="K34" s="264" t="n">
        <x:f>J34/$B$23</x:f>
        <x:v>0.955017378758141</x:v>
      </x:c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</x:row>
    <x:row r="35">
      <x:c r="A35" s="74"/>
      <x:c r="B35" s="74"/>
      <x:c r="C35" s="74"/>
      <x:c r="D35" s="74"/>
      <x:c r="E35" s="74"/>
      <x:c r="F35" s="90" t="n">
        <x:v>12</x:v>
      </x:c>
      <x:c r="G35" s="263" t="n">
        <x:f>J34</x:f>
        <x:v>49.66090369542333</x:v>
      </x:c>
      <x:c r="H35" s="263" t="n">
        <x:f>MAX(0,($B$23-G35)*$B$24*(0.65+0.007*$B$26)*(0.70+0.006*$B$27)*IF(F35&lt;=$B$29,$B$28,1))</x:f>
        <x:v>0.8880098428768783</x:v>
      </x:c>
      <x:c r="I35" s="263" t="n">
        <x:f>G35*$B$25</x:f>
        <x:v>0.8938962665176199</x:v>
      </x:c>
      <x:c r="J35" s="263" t="n">
        <x:f>MIN($B$23,MAX(0,G35+H35-I35))</x:f>
        <x:v>49.65501727178258</x:v>
      </x:c>
      <x:c r="K35" s="264" t="n">
        <x:f>J35/$B$23</x:f>
        <x:v>0.9549041783035113</x:v>
      </x:c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</x:row>
    <x:row r="36">
      <x:c r="A36" s="74"/>
      <x:c r="B36" s="74"/>
      <x:c r="C36" s="74"/>
      <x:c r="D36" s="74"/>
      <x:c r="E36" s="74"/>
      <x:c r="F36" s="90" t="n">
        <x:v>13</x:v>
      </x:c>
      <x:c r="G36" s="263" t="n">
        <x:f>J35</x:f>
        <x:v>49.65501727178258</x:v>
      </x:c>
      <x:c r="H36" s="263" t="n">
        <x:f>MAX(0,($B$23-G36)*$B$24*(0.65+0.007*$B$26)*(0.70+0.006*$B$27)*IF(F36&lt;=$B$29,$B$28,1))</x:f>
        <x:v>0.8902445529750038</x:v>
      </x:c>
      <x:c r="I36" s="263" t="n">
        <x:f>G36*$B$25</x:f>
        <x:v>0.8937903108920864</x:v>
      </x:c>
      <x:c r="J36" s="263" t="n">
        <x:f>MIN($B$23,MAX(0,G36+H36-I36))</x:f>
        <x:v>49.6514715138655</x:v>
      </x:c>
      <x:c r="K36" s="264" t="n">
        <x:f>J36/$B$23</x:f>
        <x:v>0.9548359906512597</x:v>
      </x:c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</x:row>
    <x:row r="37">
      <x:c r="A37" s="74"/>
      <x:c r="B37" s="74"/>
      <x:c r="C37" s="74"/>
      <x:c r="D37" s="74"/>
      <x:c r="E37" s="74"/>
      <x:c r="F37" s="90" t="n">
        <x:v>14</x:v>
      </x:c>
      <x:c r="G37" s="263" t="n">
        <x:f>J36</x:f>
        <x:v>49.6514715138655</x:v>
      </x:c>
      <x:c r="H37" s="263" t="n">
        <x:f>MAX(0,($B$23-G37)*$B$24*(0.65+0.007*$B$26)*(0.70+0.006*$B$27)*IF(F37&lt;=$B$29,$B$28,1))</x:f>
        <x:v>0.8915906574191287</x:v>
      </x:c>
      <x:c r="I37" s="263" t="n">
        <x:f>G37*$B$25</x:f>
        <x:v>0.8937264872495789</x:v>
      </x:c>
      <x:c r="J37" s="263" t="n">
        <x:f>MIN($B$23,MAX(0,G37+H37-I37))</x:f>
        <x:v>49.64933568403505</x:v>
      </x:c>
      <x:c r="K37" s="264" t="n">
        <x:f>J37/$B$23</x:f>
        <x:v>0.9547949170006741</x:v>
      </x:c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</x:row>
    <x:row r="38">
      <x:c r="A38" s="74"/>
      <x:c r="B38" s="74"/>
      <x:c r="C38" s="74"/>
      <x:c r="D38" s="74"/>
      <x:c r="E38" s="74"/>
      <x:c r="F38" s="90" t="n">
        <x:v>15</x:v>
      </x:c>
      <x:c r="G38" s="263" t="n">
        <x:f>J37</x:f>
        <x:v>49.64933568403505</x:v>
      </x:c>
      <x:c r="H38" s="263" t="n">
        <x:f>MAX(0,($B$23-G38)*$B$24*(0.65+0.007*$B$26)*(0.70+0.006*$B$27)*IF(F38&lt;=$B$29,$B$28,1))</x:f>
        <x:v>0.8924014995843011</x:v>
      </x:c>
      <x:c r="I38" s="263" t="n">
        <x:f>G38*$B$25</x:f>
        <x:v>0.8936880423126309</x:v>
      </x:c>
      <x:c r="J38" s="263" t="n">
        <x:f>MIN($B$23,MAX(0,G38+H38-I38))</x:f>
        <x:v>49.64804914130672</x:v>
      </x:c>
      <x:c r="K38" s="264" t="n">
        <x:f>J38/$B$23</x:f>
        <x:v>0.9547701757943601</x:v>
      </x:c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</x:row>
    <x:row r="39">
      <x:c r="A39" s="74"/>
      <x:c r="B39" s="74"/>
      <x:c r="C39" s="74"/>
      <x:c r="D39" s="74"/>
      <x:c r="E39" s="74"/>
      <x:c r="F39" s="90" t="n">
        <x:v>16</x:v>
      </x:c>
      <x:c r="G39" s="263" t="n">
        <x:f>J38</x:f>
        <x:v>49.64804914130672</x:v>
      </x:c>
      <x:c r="H39" s="263" t="n">
        <x:f>MAX(0,($B$23-G39)*$B$24*(0.65+0.007*$B$26)*(0.70+0.006*$B$27)*IF(F39&lt;=$B$29,$B$28,1))</x:f>
        <x:v>0.892889920092599</x:v>
      </x:c>
      <x:c r="I39" s="263" t="n">
        <x:f>G39*$B$25</x:f>
        <x:v>0.8936648845435209</x:v>
      </x:c>
      <x:c r="J39" s="263" t="n">
        <x:f>MIN($B$23,MAX(0,G39+H39-I39))</x:f>
        <x:v>49.6472741768558</x:v>
      </x:c>
      <x:c r="K39" s="264" t="n">
        <x:f>J39/$B$23</x:f>
        <x:v>0.9547552726318423</x:v>
      </x:c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</x:row>
    <x:row r="40">
      <x:c r="A40" s="74"/>
      <x:c r="B40" s="74"/>
      <x:c r="C40" s="74"/>
      <x:c r="D40" s="74"/>
      <x:c r="E40" s="74"/>
      <x:c r="F40" s="90" t="n">
        <x:v>17</x:v>
      </x:c>
      <x:c r="G40" s="263" t="n">
        <x:f>J39</x:f>
        <x:v>49.6472741768558</x:v>
      </x:c>
      <x:c r="H40" s="263" t="n">
        <x:f>MAX(0,($B$23-G40)*$B$24*(0.65+0.007*$B$26)*(0.70+0.006*$B$27)*IF(F40&lt;=$B$29,$B$28,1))</x:f>
        <x:v>0.893184126046817</x:v>
      </x:c>
      <x:c r="I40" s="263" t="n">
        <x:f>G40*$B$25</x:f>
        <x:v>0.8936509351834043</x:v>
      </x:c>
      <x:c r="J40" s="263" t="n">
        <x:f>MIN($B$23,MAX(0,G40+H40-I40))</x:f>
        <x:v>49.64680736771922</x:v>
      </x:c>
      <x:c r="K40" s="264" t="n">
        <x:f>J40/$B$23</x:f>
        <x:v>0.9547462955330619</x:v>
      </x:c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</x:row>
    <x:row r="41">
      <x:c r="A41" s="74"/>
      <x:c r="B41" s="74"/>
      <x:c r="C41" s="74"/>
      <x:c r="D41" s="74"/>
      <x:c r="E41" s="74"/>
      <x:c r="F41" s="90" t="n">
        <x:v>18</x:v>
      </x:c>
      <x:c r="G41" s="263" t="n">
        <x:f>J40</x:f>
        <x:v>49.64680736771922</x:v>
      </x:c>
      <x:c r="H41" s="263" t="n">
        <x:f>MAX(0,($B$23-G41)*$B$24*(0.65+0.007*$B$26)*(0.70+0.006*$B$27)*IF(F41&lt;=$B$29,$B$28,1))</x:f>
        <x:v>0.8933613445338112</x:v>
      </x:c>
      <x:c r="I41" s="263" t="n">
        <x:f>G41*$B$25</x:f>
        <x:v>0.8936425326189459</x:v>
      </x:c>
      <x:c r="J41" s="263" t="n">
        <x:f>MIN($B$23,MAX(0,G41+H41-I41))</x:f>
        <x:v>49.64652617963408</x:v>
      </x:c>
      <x:c r="K41" s="264" t="n">
        <x:f>J41/$B$23</x:f>
        <x:v>0.9547408880698861</x:v>
      </x:c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</x:row>
    <x:row r="42">
      <x:c r="A42" s="74"/>
      <x:c r="B42" s="74"/>
      <x:c r="C42" s="74"/>
      <x:c r="D42" s="74"/>
      <x:c r="E42" s="74"/>
      <x:c r="F42" s="90" t="n">
        <x:v>19</x:v>
      </x:c>
      <x:c r="G42" s="263" t="n">
        <x:f>J41</x:f>
        <x:v>49.64652617963408</x:v>
      </x:c>
      <x:c r="H42" s="263" t="n">
        <x:f>MAX(0,($B$23-G42)*$B$24*(0.65+0.007*$B$26)*(0.70+0.006*$B$27)*IF(F42&lt;=$B$29,$B$28,1))</x:f>
        <x:v>0.8934680942160773</x:v>
      </x:c>
      <x:c r="I42" s="263" t="n">
        <x:f>G42*$B$25</x:f>
        <x:v>0.8936374712334134</x:v>
      </x:c>
      <x:c r="J42" s="263" t="n">
        <x:f>MIN($B$23,MAX(0,G42+H42-I42))</x:f>
        <x:v>49.646356802616744</x:v>
      </x:c>
      <x:c r="K42" s="264" t="n">
        <x:f>J42/$B$23</x:f>
        <x:v>0.9547376308195528</x:v>
      </x:c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</x:row>
    <x:row r="43">
      <x:c r="A43" s="74"/>
      <x:c r="B43" s="74"/>
      <x:c r="C43" s="74"/>
      <x:c r="D43" s="74"/>
      <x:c r="E43" s="74"/>
      <x:c r="F43" s="90" t="n">
        <x:v>20</x:v>
      </x:c>
      <x:c r="G43" s="263" t="n">
        <x:f>J42</x:f>
        <x:v>49.646356802616744</x:v>
      </x:c>
      <x:c r="H43" s="263" t="n">
        <x:f>MAX(0,($B$23-G43)*$B$24*(0.65+0.007*$B$26)*(0.70+0.006*$B$27)*IF(F43&lt;=$B$29,$B$28,1))</x:f>
        <x:v>0.8935323961681848</x:v>
      </x:c>
      <x:c r="I43" s="263" t="n">
        <x:f>G43*$B$25</x:f>
        <x:v>0.8936344224471013</x:v>
      </x:c>
      <x:c r="J43" s="263" t="n">
        <x:f>MIN($B$23,MAX(0,G43+H43-I43))</x:f>
        <x:v>49.64625477633783</x:v>
      </x:c>
      <x:c r="K43" s="264" t="n">
        <x:f>J43/$B$23</x:f>
        <x:v>0.9547356687757275</x:v>
      </x:c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</x:row>
    <x:row r="44">
      <x:c r="A44" s="74"/>
      <x:c r="B44" s="74"/>
      <x:c r="C44" s="74"/>
      <x:c r="D44" s="74"/>
      <x:c r="E44" s="74"/>
      <x:c r="F44" s="90" t="n">
        <x:v>21</x:v>
      </x:c>
      <x:c r="G44" s="263" t="n">
        <x:f>J43</x:f>
        <x:v>49.64625477633783</x:v>
      </x:c>
      <x:c r="H44" s="263" t="n">
        <x:f>MAX(0,($B$23-G44)*$B$24*(0.65+0.007*$B$26)*(0.70+0.006*$B$27)*IF(F44&lt;=$B$29,$B$28,1))</x:f>
        <x:v>0.8935711292206602</x:v>
      </x:c>
      <x:c r="I44" s="263" t="n">
        <x:f>G44*$B$25</x:f>
        <x:v>0.8936325859740808</x:v>
      </x:c>
      <x:c r="J44" s="263" t="n">
        <x:f>MIN($B$23,MAX(0,G44+H44-I44))</x:f>
        <x:v>49.646193319584405</x:v>
      </x:c>
      <x:c r="K44" s="264" t="n">
        <x:f>J44/$B$23</x:f>
        <x:v>0.9547344869150847</x:v>
      </x:c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</x:row>
    <x:row r="45">
      <x:c r="A45" s="74"/>
      <x:c r="B45" s="74"/>
      <x:c r="C45" s="74"/>
      <x:c r="D45" s="74"/>
      <x:c r="E45" s="74"/>
      <x:c r="F45" s="90" t="n">
        <x:v>22</x:v>
      </x:c>
      <x:c r="G45" s="263" t="n">
        <x:f>J44</x:f>
        <x:v>49.646193319584405</x:v>
      </x:c>
      <x:c r="H45" s="263" t="n">
        <x:f>MAX(0,($B$23-G45)*$B$24*(0.65+0.007*$B$26)*(0.70+0.006*$B$27)*IF(F45&lt;=$B$29,$B$28,1))</x:f>
        <x:v>0.8935944605396157</x:v>
      </x:c>
      <x:c r="I45" s="263" t="n">
        <x:f>G45*$B$25</x:f>
        <x:v>0.8936314797525192</x:v>
      </x:c>
      <x:c r="J45" s="263" t="n">
        <x:f>MIN($B$23,MAX(0,G45+H45-I45))</x:f>
        <x:v>49.6461563003715</x:v>
      </x:c>
      <x:c r="K45" s="264" t="n">
        <x:f>J45/$B$23</x:f>
        <x:v>0.9547337750071443</x:v>
      </x:c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</x:row>
    <x:row r="46">
      <x:c r="A46" s="74"/>
      <x:c r="B46" s="74"/>
      <x:c r="C46" s="74"/>
      <x:c r="D46" s="74"/>
      <x:c r="E46" s="74"/>
      <x:c r="F46" s="90" t="n">
        <x:v>23</x:v>
      </x:c>
      <x:c r="G46" s="263" t="n">
        <x:f>J45</x:f>
        <x:v>49.6461563003715</x:v>
      </x:c>
      <x:c r="H46" s="263" t="n">
        <x:f>MAX(0,($B$23-G46)*$B$24*(0.65+0.007*$B$26)*(0.70+0.006*$B$27)*IF(F46&lt;=$B$29,$B$28,1))</x:f>
        <x:v>0.8936085144395641</x:v>
      </x:c>
      <x:c r="I46" s="263" t="n">
        <x:f>G46*$B$25</x:f>
        <x:v>0.8936308134066869</x:v>
      </x:c>
      <x:c r="J46" s="263" t="n">
        <x:f>MIN($B$23,MAX(0,G46+H46-I46))</x:f>
        <x:v>49.64613400140438</x:v>
      </x:c>
      <x:c r="K46" s="264" t="n">
        <x:f>J46/$B$23</x:f>
        <x:v>0.9547333461808534</x:v>
      </x:c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</x:row>
    <x:row r="47">
      <x:c r="A47" s="74"/>
      <x:c r="B47" s="74"/>
      <x:c r="C47" s="74"/>
      <x:c r="D47" s="74"/>
      <x:c r="E47" s="74"/>
      <x:c r="F47" s="90" t="n">
        <x:v>24</x:v>
      </x:c>
      <x:c r="G47" s="263" t="n">
        <x:f>J46</x:f>
        <x:v>49.64613400140438</x:v>
      </x:c>
      <x:c r="H47" s="263" t="n">
        <x:f>MAX(0,($B$23-G47)*$B$24*(0.65+0.007*$B$26)*(0.70+0.006*$B$27)*IF(F47&lt;=$B$29,$B$28,1))</x:f>
        <x:v>0.8936169799748452</x:v>
      </x:c>
      <x:c r="I47" s="263" t="n">
        <x:f>G47*$B$25</x:f>
        <x:v>0.8936304120252787</x:v>
      </x:c>
      <x:c r="J47" s="263" t="n">
        <x:f>MIN($B$23,MAX(0,G47+H47-I47))</x:f>
        <x:v>49.64612056935394</x:v>
      </x:c>
      <x:c r="K47" s="264" t="n">
        <x:f>J47/$B$23</x:f>
        <x:v>0.9547330878721911</x:v>
      </x:c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</x:row>
    <x:row r="48">
      <x:c r="A48" s="74"/>
      <x:c r="B48" s="74"/>
      <x:c r="C48" s="74"/>
      <x:c r="D48" s="74"/>
      <x:c r="E48" s="74"/>
      <x:c r="F48" s="90" t="n">
        <x:v>25</x:v>
      </x:c>
      <x:c r="G48" s="263" t="n">
        <x:f>J47</x:f>
        <x:v>49.64612056935394</x:v>
      </x:c>
      <x:c r="H48" s="263" t="n">
        <x:f>MAX(0,($B$23-G48)*$B$24*(0.65+0.007*$B$26)*(0.70+0.006*$B$27)*IF(F48&lt;=$B$29,$B$28,1))</x:f>
        <x:v>0.8936220792916092</x:v>
      </x:c>
      <x:c r="I48" s="263" t="n">
        <x:f>G48*$B$25</x:f>
        <x:v>0.8936301702483709</x:v>
      </x:c>
      <x:c r="J48" s="263" t="n">
        <x:f>MIN($B$23,MAX(0,G48+H48-I48))</x:f>
        <x:v>49.64611247839718</x:v>
      </x:c>
      <x:c r="K48" s="264" t="n">
        <x:f>J48/$B$23</x:f>
        <x:v>0.9547329322768688</x:v>
      </x:c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</x:row>
    <x:row r="49">
      <x:c r="A49" s="74"/>
      <x:c r="B49" s="74"/>
      <x:c r="C49" s="74"/>
      <x:c r="D49" s="74"/>
      <x:c r="E49" s="74"/>
      <x:c r="F49" s="90" t="n">
        <x:v>26</x:v>
      </x:c>
      <x:c r="G49" s="263" t="n">
        <x:f>J48</x:f>
        <x:v>49.64611247839718</x:v>
      </x:c>
      <x:c r="H49" s="263" t="n">
        <x:f>MAX(0,($B$23-G49)*$B$24*(0.65+0.007*$B$26)*(0.70+0.006*$B$27)*IF(F49&lt;=$B$29,$B$28,1))</x:f>
        <x:v>0.893625150926252</x:v>
      </x:c>
      <x:c r="I49" s="263" t="n">
        <x:f>G49*$B$25</x:f>
        <x:v>0.8936300246111492</x:v>
      </x:c>
      <x:c r="J49" s="263" t="n">
        <x:f>MIN($B$23,MAX(0,G49+H49-I49))</x:f>
        <x:v>49.646107604712284</x:v>
      </x:c>
      <x:c r="K49" s="264" t="n">
        <x:f>J49/$B$23</x:f>
        <x:v>0.9547328385521593</x:v>
      </x:c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</x:row>
    <x:row r="50">
      <x:c r="A50" s="74"/>
      <x:c r="B50" s="74"/>
      <x:c r="C50" s="74"/>
      <x:c r="D50" s="74"/>
      <x:c r="E50" s="74"/>
      <x:c r="F50" s="90" t="n">
        <x:v>27</x:v>
      </x:c>
      <x:c r="G50" s="263" t="n">
        <x:f>J49</x:f>
        <x:v>49.646107604712284</x:v>
      </x:c>
      <x:c r="H50" s="263" t="n">
        <x:f>MAX(0,($B$23-G50)*$B$24*(0.65+0.007*$B$26)*(0.70+0.006*$B$27)*IF(F50&lt;=$B$29,$B$28,1))</x:f>
        <x:v>0.8936270011622379</x:v>
      </x:c>
      <x:c r="I50" s="263" t="n">
        <x:f>G50*$B$25</x:f>
        <x:v>0.8936299368848211</x:v>
      </x:c>
      <x:c r="J50" s="263" t="n">
        <x:f>MIN($B$23,MAX(0,G50+H50-I50))</x:f>
        <x:v>49.6461046689897</x:v>
      </x:c>
      <x:c r="K50" s="264" t="n">
        <x:f>J50/$B$23</x:f>
        <x:v>0.9547327820959558</x:v>
      </x:c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</x:row>
    <x:row r="51">
      <x:c r="A51" s="74"/>
      <x:c r="B51" s="74"/>
      <x:c r="C51" s="74"/>
      <x:c r="D51" s="74"/>
      <x:c r="E51" s="74"/>
      <x:c r="F51" s="90" t="n">
        <x:v>28</x:v>
      </x:c>
      <x:c r="G51" s="263" t="n">
        <x:f>J50</x:f>
        <x:v>49.6461046689897</x:v>
      </x:c>
      <x:c r="H51" s="263" t="n">
        <x:f>MAX(0,($B$23-G51)*$B$24*(0.65+0.007*$B$26)*(0.70+0.006*$B$27)*IF(F51&lt;=$B$29,$B$28,1))</x:f>
        <x:v>0.8936281156740883</x:v>
      </x:c>
      <x:c r="I51" s="263" t="n">
        <x:f>G51*$B$25</x:f>
        <x:v>0.8936298840418145</x:v>
      </x:c>
      <x:c r="J51" s="263" t="n">
        <x:f>MIN($B$23,MAX(0,G51+H51-I51))</x:f>
        <x:v>49.646102900621976</x:v>
      </x:c>
      <x:c r="K51" s="264" t="n">
        <x:f>J51/$B$23</x:f>
        <x:v>0.9547327480888842</x:v>
      </x:c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</x:row>
    <x:row r="52">
      <x:c r="A52" s="74"/>
      <x:c r="B52" s="74"/>
      <x:c r="C52" s="74"/>
      <x:c r="D52" s="74"/>
      <x:c r="E52" s="74"/>
      <x:c r="F52" s="90" t="n">
        <x:v>29</x:v>
      </x:c>
      <x:c r="G52" s="263" t="n">
        <x:f>J51</x:f>
        <x:v>49.646102900621976</x:v>
      </x:c>
      <x:c r="H52" s="263" t="n">
        <x:f>MAX(0,($B$23-G52)*$B$24*(0.65+0.007*$B$26)*(0.70+0.006*$B$27)*IF(F52&lt;=$B$29,$B$28,1))</x:f>
        <x:v>0.8936287870136743</x:v>
      </x:c>
      <x:c r="I52" s="263" t="n">
        <x:f>G52*$B$25</x:f>
        <x:v>0.8936298522111955</x:v>
      </x:c>
      <x:c r="J52" s="263" t="n">
        <x:f>MIN($B$23,MAX(0,G52+H52-I52))</x:f>
        <x:v>49.64610183542445</x:v>
      </x:c>
      <x:c r="K52" s="264" t="n">
        <x:f>J52/$B$23</x:f>
        <x:v>0.9547327276043164</x:v>
      </x:c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</x:row>
    <x:row r="53">
      <x:c r="A53" s="74"/>
      <x:c r="B53" s="74"/>
      <x:c r="C53" s="74"/>
      <x:c r="D53" s="74"/>
      <x:c r="E53" s="74"/>
      <x:c r="F53" s="92" t="n">
        <x:v>30</x:v>
      </x:c>
      <x:c r="G53" s="265" t="n">
        <x:f>J52</x:f>
        <x:v>49.64610183542445</x:v>
      </x:c>
      <x:c r="H53" s="265" t="n">
        <x:f>MAX(0,($B$23-G53)*$B$24*(0.65+0.007*$B$26)*(0.70+0.006*$B$27)*IF(F53&lt;=$B$29,$B$28,1))</x:f>
        <x:v>0.8936291914031316</x:v>
      </x:c>
      <x:c r="I53" s="265" t="n">
        <x:f>G53*$B$25</x:f>
        <x:v>0.8936298330376401</x:v>
      </x:c>
      <x:c r="J53" s="265" t="n">
        <x:f>MIN($B$23,MAX(0,G53+H53-I53))</x:f>
        <x:v>49.64610119378994</x:v>
      </x:c>
      <x:c r="K53" s="266" t="n">
        <x:f>J53/$B$23</x:f>
        <x:v>0.9547327152651911</x:v>
      </x:c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K1"/>
    <x:mergeCell ref="A3:F3"/>
    <x:mergeCell ref="A13:F13"/>
    <x:mergeCell ref="A21:K21"/>
  </x:mergeCells>
  <x:pageMargins left="0.7" right="0.7" top="0.75" bottom="0.75" header="0.3" footer="0.3"/>
  <x:drawing xmlns:r="http://schemas.openxmlformats.org/officeDocument/2006/relationships" r:id="R605f843401af4b38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Customer Maturation &amp; Cross-Sell Flow</x:v>
      </x:c>
      <x:c r="B1" s="6"/>
      <x:c r="C1" s="6"/>
      <x:c r="D1" s="6"/>
      <x:c r="E1" s="6"/>
      <x:c r="F1" s="6"/>
      <x:c r="G1" s="6"/>
      <x:c r="H1" s="6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 ht="30" customHeight="1">
      <x:c r="A3" s="40" t="str">
        <x:v>Flow</x:v>
      </x:c>
      <x:c r="B3" s="41" t="str">
        <x:v>From Segment</x:v>
      </x:c>
      <x:c r="C3" s="41" t="str">
        <x:v>To Segment</x:v>
      </x:c>
      <x:c r="D3" s="41" t="str">
        <x:v>Base Conversion / Day</x:v>
      </x:c>
      <x:c r="E3" s="41" t="str">
        <x:v>Required Building</x:v>
      </x:c>
      <x:c r="F3" s="41" t="str">
        <x:v>Condition</x:v>
      </x:c>
      <x:c r="G3" s="41" t="str">
        <x:v>Economic Effect</x:v>
      </x:c>
      <x:c r="H3" s="42" t="str">
        <x:v>Notes</x:v>
      </x:c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</x:row>
    <x:row r="4">
      <x:c r="A4" s="90" t="str">
        <x:v>Saver to Investor</x:v>
      </x:c>
      <x:c r="B4" s="74" t="str">
        <x:v>General Consumers</x:v>
      </x:c>
      <x:c r="C4" s="74" t="str">
        <x:v>Retail Investors</x:v>
      </x:c>
      <x:c r="D4" s="199" t="n">
        <x:v>0.004</x:v>
      </x:c>
      <x:c r="E4" s="77" t="str">
        <x:v>Brokerage / Fund</x:v>
      </x:c>
      <x:c r="F4" s="77" t="str">
        <x:v>Customer has positive satisfaction and investment access</x:v>
      </x:c>
      <x:c r="G4" s="77" t="str">
        <x:v>Adds investor demand</x:v>
      </x:c>
      <x:c r="H4" s="91" t="str">
        <x:v>Creates natural progression from banking into investing.</x:v>
      </x:c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</x:row>
    <x:row r="5">
      <x:c r="A5" s="90" t="str">
        <x:v>Investor to Active Trader</x:v>
      </x:c>
      <x:c r="B5" s="74" t="str">
        <x:v>Retail Investors</x:v>
      </x:c>
      <x:c r="C5" s="74" t="str">
        <x:v>Active Traders</x:v>
      </x:c>
      <x:c r="D5" s="199" t="n">
        <x:v>0.008</x:v>
      </x:c>
      <x:c r="E5" s="77" t="str">
        <x:v>Trading / Exchange</x:v>
      </x:c>
      <x:c r="F5" s="77" t="str">
        <x:v>Trading product available</x:v>
      </x:c>
      <x:c r="G5" s="77" t="str">
        <x:v>Raises activity intensity</x:v>
      </x:c>
      <x:c r="H5" s="91" t="str">
        <x:v>High activity but also higher churn/risk.</x:v>
      </x:c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</x:row>
    <x:row r="6">
      <x:c r="A6" s="90" t="str">
        <x:v>Investor to HNW</x:v>
      </x:c>
      <x:c r="B6" s="74" t="str">
        <x:v>Retail Investors</x:v>
      </x:c>
      <x:c r="C6" s="74" t="str">
        <x:v>HNW Customers</x:v>
      </x:c>
      <x:c r="D6" s="199" t="n">
        <x:v>0.0015</x:v>
      </x:c>
      <x:c r="E6" s="77" t="str">
        <x:v>Wealth / Fund</x:v>
      </x:c>
      <x:c r="F6" s="77" t="str">
        <x:v>High Empire Value + reputation threshold</x:v>
      </x:c>
      <x:c r="G6" s="77" t="str">
        <x:v>Raises customer value</x:v>
      </x:c>
      <x:c r="H6" s="91" t="str">
        <x:v>Slow wealth maturation.</x:v>
      </x:c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</x:row>
    <x:row r="7">
      <x:c r="A7" s="90" t="str">
        <x:v>SMB to Corporate</x:v>
      </x:c>
      <x:c r="B7" s="74" t="str">
        <x:v>Small Businesses</x:v>
      </x:c>
      <x:c r="C7" s="74" t="str">
        <x:v>Corporate Clients</x:v>
      </x:c>
      <x:c r="D7" s="199" t="n">
        <x:v>0.0008</x:v>
      </x:c>
      <x:c r="E7" s="77" t="str">
        <x:v>Treasury / Investment Bank</x:v>
      </x:c>
      <x:c r="F7" s="77" t="str">
        <x:v>Business activity milestone</x:v>
      </x:c>
      <x:c r="G7" s="77" t="str">
        <x:v>Unlocks higher-value activity</x:v>
      </x:c>
      <x:c r="H7" s="91" t="str">
        <x:v>Rare but meaningful progression.</x:v>
      </x:c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</x:row>
    <x:row r="8">
      <x:c r="A8" s="90" t="str">
        <x:v>HNW to Institutional Capital</x:v>
      </x:c>
      <x:c r="B8" s="74" t="str">
        <x:v>HNW Customers</x:v>
      </x:c>
      <x:c r="C8" s="74" t="str">
        <x:v>Institutional Clients</x:v>
      </x:c>
      <x:c r="D8" s="199" t="n">
        <x:v>0.0004</x:v>
      </x:c>
      <x:c r="E8" s="77" t="str">
        <x:v>Asset Manager / Exchange</x:v>
      </x:c>
      <x:c r="F8" s="77" t="str">
        <x:v>High reputation + advanced institution</x:v>
      </x:c>
      <x:c r="G8" s="77" t="str">
        <x:v>Raises institutional demand</x:v>
      </x:c>
      <x:c r="H8" s="91" t="str">
        <x:v>Represents family office/fund formation rather than literal person conversion.</x:v>
      </x:c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</x:row>
    <x:row r="9">
      <x:c r="A9" s="92" t="str">
        <x:v>Consumer to SMB</x:v>
      </x:c>
      <x:c r="B9" s="207" t="str">
        <x:v>General Consumers</x:v>
      </x:c>
      <x:c r="C9" s="207" t="str">
        <x:v>Small Businesses</x:v>
      </x:c>
      <x:c r="D9" s="203" t="n">
        <x:v>0.001</x:v>
      </x:c>
      <x:c r="E9" s="223" t="str">
        <x:v>Lending / Banking</x:v>
      </x:c>
      <x:c r="F9" s="223" t="str">
        <x:v>Entrepreneurship event or mission</x:v>
      </x:c>
      <x:c r="G9" s="223" t="str">
        <x:v>Adds business demand</x:v>
      </x:c>
      <x:c r="H9" s="93" t="str">
        <x:v>Optional event-driven conversion.</x:v>
      </x:c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</x:row>
    <x:row r="13" ht="22" customHeight="1">
      <x:c r="A13" s="76" t="str">
        <x:v>Flow Rules</x:v>
      </x:c>
      <x:c r="B13" s="76"/>
      <x:c r="C13" s="76"/>
      <x:c r="D13" s="76"/>
      <x:c r="E13" s="76"/>
      <x:c r="F13" s="76"/>
      <x:c r="G13" s="76"/>
      <x:c r="H13" s="76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</x:row>
    <x:row r="14">
      <x:c r="A14" s="77" t="str">
        <x:v>Conversions should be small and cumulative. They do not create customers from nothing; they reclassify part of an existing customer base into higher-value behavior when the correct businesses exist. A player who builds only advanced institutions without a feeder economy should struggle to fill them.</x:v>
      </x:c>
      <x:c r="B14" s="77"/>
      <x:c r="C14" s="77"/>
      <x:c r="D14" s="77"/>
      <x:c r="E14" s="77"/>
      <x:c r="F14" s="77"/>
      <x:c r="G14" s="77"/>
      <x:c r="H14" s="77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</x:row>
    <x:row r="15">
      <x:c r="A15" s="77"/>
      <x:c r="B15" s="77"/>
      <x:c r="C15" s="77"/>
      <x:c r="D15" s="77"/>
      <x:c r="E15" s="77"/>
      <x:c r="F15" s="77"/>
      <x:c r="G15" s="77"/>
      <x:c r="H15" s="77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</x:row>
    <x:row r="16">
      <x:c r="A16" s="77"/>
      <x:c r="B16" s="77"/>
      <x:c r="C16" s="77"/>
      <x:c r="D16" s="77"/>
      <x:c r="E16" s="77"/>
      <x:c r="F16" s="77"/>
      <x:c r="G16" s="77"/>
      <x:c r="H16" s="77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</x:row>
    <x:row r="17">
      <x:c r="A17" s="77"/>
      <x:c r="B17" s="77"/>
      <x:c r="C17" s="77"/>
      <x:c r="D17" s="77"/>
      <x:c r="E17" s="77"/>
      <x:c r="F17" s="77"/>
      <x:c r="G17" s="77"/>
      <x:c r="H17" s="77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</x:row>
    <x:row r="18">
      <x:c r="A18" s="77"/>
      <x:c r="B18" s="77"/>
      <x:c r="C18" s="77"/>
      <x:c r="D18" s="77"/>
      <x:c r="E18" s="77"/>
      <x:c r="F18" s="77"/>
      <x:c r="G18" s="77"/>
      <x:c r="H18" s="77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H1"/>
    <x:mergeCell ref="A13:H13"/>
    <x:mergeCell ref="A14:H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4" hidden="0" customWidth="1"/>
  </x:cols>
  <x:sheetData>
    <x:row r="1" ht="30" customHeight="1">
      <x:c r="A1" s="6" t="str">
        <x:v>Economic &amp; Market Event Modifiers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 ht="30" customHeight="1">
      <x:c r="A3" s="40" t="str">
        <x:v>Event</x:v>
      </x:c>
      <x:c r="B3" s="41" t="str">
        <x:v>Duration (h)</x:v>
      </x:c>
      <x:c r="C3" s="41" t="str">
        <x:v>General Consumers</x:v>
      </x:c>
      <x:c r="D3" s="41" t="str">
        <x:v>Retail Investors</x:v>
      </x:c>
      <x:c r="E3" s="41" t="str">
        <x:v>Active Traders</x:v>
      </x:c>
      <x:c r="F3" s="41" t="str">
        <x:v>Small Businesses</x:v>
      </x:c>
      <x:c r="G3" s="41" t="str">
        <x:v>Corporate Clients</x:v>
      </x:c>
      <x:c r="H3" s="41" t="str">
        <x:v>HNW Customers</x:v>
      </x:c>
      <x:c r="I3" s="41" t="str">
        <x:v>Institutional Clients</x:v>
      </x:c>
      <x:c r="J3" s="41" t="str">
        <x:v>Revenue Mod.</x:v>
      </x:c>
      <x:c r="K3" s="41" t="str">
        <x:v>Activity Mod.</x:v>
      </x:c>
      <x:c r="L3" s="41" t="str">
        <x:v>Risk Mod.</x:v>
      </x:c>
      <x:c r="M3" s="41" t="str">
        <x:v>Design Notes</x:v>
      </x:c>
      <x:c r="N3" s="42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</x:row>
    <x:row r="4">
      <x:c r="A4" s="90" t="str">
        <x:v>Bull Market</x:v>
      </x:c>
      <x:c r="B4" s="198" t="n">
        <x:v>24</x:v>
      </x:c>
      <x:c r="C4" s="200" t="n">
        <x:v>1</x:v>
      </x:c>
      <x:c r="D4" s="200" t="n">
        <x:v>1.2</x:v>
      </x:c>
      <x:c r="E4" s="200" t="n">
        <x:v>1.35</x:v>
      </x:c>
      <x:c r="F4" s="200" t="n">
        <x:v>1.05</x:v>
      </x:c>
      <x:c r="G4" s="200" t="n">
        <x:v>1.1</x:v>
      </x:c>
      <x:c r="H4" s="200" t="n">
        <x:v>1.2</x:v>
      </x:c>
      <x:c r="I4" s="200" t="n">
        <x:v>1.25</x:v>
      </x:c>
      <x:c r="J4" s="200" t="n">
        <x:v>1.12</x:v>
      </x:c>
      <x:c r="K4" s="200" t="n">
        <x:v>1.25</x:v>
      </x:c>
      <x:c r="L4" s="200" t="n">
        <x:v>1.1</x:v>
      </x:c>
      <x:c r="M4" s="200" t="str">
        <x:v>Trading/investment demand expands.</x:v>
      </x:c>
      <x:c r="N4" s="91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</x:row>
    <x:row r="5">
      <x:c r="A5" s="90" t="str">
        <x:v>Market Correction</x:v>
      </x:c>
      <x:c r="B5" s="198" t="n">
        <x:v>12</x:v>
      </x:c>
      <x:c r="C5" s="200" t="n">
        <x:v>0.95</x:v>
      </x:c>
      <x:c r="D5" s="200" t="n">
        <x:v>1.1</x:v>
      </x:c>
      <x:c r="E5" s="200" t="n">
        <x:v>1.45</x:v>
      </x:c>
      <x:c r="F5" s="200" t="n">
        <x:v>0.95</x:v>
      </x:c>
      <x:c r="G5" s="200" t="n">
        <x:v>0.95</x:v>
      </x:c>
      <x:c r="H5" s="200" t="n">
        <x:v>1.05</x:v>
      </x:c>
      <x:c r="I5" s="200" t="n">
        <x:v>1.2</x:v>
      </x:c>
      <x:c r="J5" s="200" t="n">
        <x:v>1.05</x:v>
      </x:c>
      <x:c r="K5" s="200" t="n">
        <x:v>1.3</x:v>
      </x:c>
      <x:c r="L5" s="200" t="n">
        <x:v>1.3</x:v>
      </x:c>
      <x:c r="M5" s="200" t="str">
        <x:v>Volume rises but risk increases.</x:v>
      </x:c>
      <x:c r="N5" s="91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</x:row>
    <x:row r="6">
      <x:c r="A6" s="90" t="str">
        <x:v>Earnings Season</x:v>
      </x:c>
      <x:c r="B6" s="198" t="n">
        <x:v>48</x:v>
      </x:c>
      <x:c r="C6" s="200" t="n">
        <x:v>1</x:v>
      </x:c>
      <x:c r="D6" s="200" t="n">
        <x:v>1.15</x:v>
      </x:c>
      <x:c r="E6" s="200" t="n">
        <x:v>1.25</x:v>
      </x:c>
      <x:c r="F6" s="200" t="n">
        <x:v>1</x:v>
      </x:c>
      <x:c r="G6" s="200" t="n">
        <x:v>1.05</x:v>
      </x:c>
      <x:c r="H6" s="200" t="n">
        <x:v>1.1</x:v>
      </x:c>
      <x:c r="I6" s="200" t="n">
        <x:v>1.1</x:v>
      </x:c>
      <x:c r="J6" s="200" t="n">
        <x:v>1.05</x:v>
      </x:c>
      <x:c r="K6" s="200" t="n">
        <x:v>1.18</x:v>
      </x:c>
      <x:c r="L6" s="200" t="n">
        <x:v>1.05</x:v>
      </x:c>
      <x:c r="M6" s="200" t="str">
        <x:v>Strong brokerage/research activity.</x:v>
      </x:c>
      <x:c r="N6" s="91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</x:row>
    <x:row r="7">
      <x:c r="A7" s="90" t="str">
        <x:v>IPO Week</x:v>
      </x:c>
      <x:c r="B7" s="198" t="n">
        <x:v>72</x:v>
      </x:c>
      <x:c r="C7" s="200" t="n">
        <x:v>1</x:v>
      </x:c>
      <x:c r="D7" s="200" t="n">
        <x:v>1.12</x:v>
      </x:c>
      <x:c r="E7" s="200" t="n">
        <x:v>1.2</x:v>
      </x:c>
      <x:c r="F7" s="200" t="n">
        <x:v>1.05</x:v>
      </x:c>
      <x:c r="G7" s="200" t="n">
        <x:v>1.25</x:v>
      </x:c>
      <x:c r="H7" s="200" t="n">
        <x:v>1.15</x:v>
      </x:c>
      <x:c r="I7" s="200" t="n">
        <x:v>1.3</x:v>
      </x:c>
      <x:c r="J7" s="200" t="n">
        <x:v>1.1</x:v>
      </x:c>
      <x:c r="K7" s="200" t="n">
        <x:v>1.2</x:v>
      </x:c>
      <x:c r="L7" s="200" t="n">
        <x:v>1.1</x:v>
      </x:c>
      <x:c r="M7" s="200" t="str">
        <x:v>Corporate and institutional demand.</x:v>
      </x:c>
      <x:c r="N7" s="91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</x:row>
    <x:row r="8">
      <x:c r="A8" s="90" t="str">
        <x:v>Rate Cut</x:v>
      </x:c>
      <x:c r="B8" s="198" t="n">
        <x:v>24</x:v>
      </x:c>
      <x:c r="C8" s="200" t="n">
        <x:v>1.12</x:v>
      </x:c>
      <x:c r="D8" s="200" t="n">
        <x:v>1.1</x:v>
      </x:c>
      <x:c r="E8" s="200" t="n">
        <x:v>1.1</x:v>
      </x:c>
      <x:c r="F8" s="200" t="n">
        <x:v>1.18</x:v>
      </x:c>
      <x:c r="G8" s="200" t="n">
        <x:v>1.1</x:v>
      </x:c>
      <x:c r="H8" s="200" t="n">
        <x:v>1.1</x:v>
      </x:c>
      <x:c r="I8" s="200" t="n">
        <x:v>1.08</x:v>
      </x:c>
      <x:c r="J8" s="200" t="n">
        <x:v>1.04</x:v>
      </x:c>
      <x:c r="K8" s="200" t="n">
        <x:v>1.12</x:v>
      </x:c>
      <x:c r="L8" s="200" t="n">
        <x:v>0.95</x:v>
      </x:c>
      <x:c r="M8" s="200" t="str">
        <x:v>Credit demand rises; risk slightly lower.</x:v>
      </x:c>
      <x:c r="N8" s="91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</x:row>
    <x:row r="9">
      <x:c r="A9" s="90" t="str">
        <x:v>Rate Hike</x:v>
      </x:c>
      <x:c r="B9" s="198" t="n">
        <x:v>24</x:v>
      </x:c>
      <x:c r="C9" s="200" t="n">
        <x:v>0.92</x:v>
      </x:c>
      <x:c r="D9" s="200" t="n">
        <x:v>0.95</x:v>
      </x:c>
      <x:c r="E9" s="200" t="n">
        <x:v>1.1</x:v>
      </x:c>
      <x:c r="F9" s="200" t="n">
        <x:v>0.9</x:v>
      </x:c>
      <x:c r="G9" s="200" t="n">
        <x:v>0.95</x:v>
      </x:c>
      <x:c r="H9" s="200" t="n">
        <x:v>1</x:v>
      </x:c>
      <x:c r="I9" s="200" t="n">
        <x:v>1.05</x:v>
      </x:c>
      <x:c r="J9" s="200" t="n">
        <x:v>0.98</x:v>
      </x:c>
      <x:c r="K9" s="200" t="n">
        <x:v>1.05</x:v>
      </x:c>
      <x:c r="L9" s="200" t="n">
        <x:v>1.08</x:v>
      </x:c>
      <x:c r="M9" s="200" t="str">
        <x:v>Slower demand, more trading volatility.</x:v>
      </x:c>
      <x:c r="N9" s="91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</x:row>
    <x:row r="10">
      <x:c r="A10" s="90" t="str">
        <x:v>Liquidity Crunch</x:v>
      </x:c>
      <x:c r="B10" s="198" t="n">
        <x:v>12</x:v>
      </x:c>
      <x:c r="C10" s="200" t="n">
        <x:v>0.85</x:v>
      </x:c>
      <x:c r="D10" s="200" t="n">
        <x:v>0.9</x:v>
      </x:c>
      <x:c r="E10" s="200" t="n">
        <x:v>1.25</x:v>
      </x:c>
      <x:c r="F10" s="200" t="n">
        <x:v>0.8</x:v>
      </x:c>
      <x:c r="G10" s="200" t="n">
        <x:v>0.85</x:v>
      </x:c>
      <x:c r="H10" s="200" t="n">
        <x:v>0.9</x:v>
      </x:c>
      <x:c r="I10" s="200" t="n">
        <x:v>1.2</x:v>
      </x:c>
      <x:c r="J10" s="200" t="n">
        <x:v>0.92</x:v>
      </x:c>
      <x:c r="K10" s="200" t="n">
        <x:v>1.2</x:v>
      </x:c>
      <x:c r="L10" s="200" t="n">
        <x:v>1.45</x:v>
      </x:c>
      <x:c r="M10" s="200" t="str">
        <x:v>Stress event; liquidity businesses matter.</x:v>
      </x:c>
      <x:c r="N10" s="91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</x:row>
    <x:row r="11">
      <x:c r="A11" s="90" t="str">
        <x:v>Credit Boom</x:v>
      </x:c>
      <x:c r="B11" s="198" t="n">
        <x:v>48</x:v>
      </x:c>
      <x:c r="C11" s="200" t="n">
        <x:v>1.15</x:v>
      </x:c>
      <x:c r="D11" s="200" t="n">
        <x:v>1.05</x:v>
      </x:c>
      <x:c r="E11" s="200" t="n">
        <x:v>1.05</x:v>
      </x:c>
      <x:c r="F11" s="200" t="n">
        <x:v>1.3</x:v>
      </x:c>
      <x:c r="G11" s="200" t="n">
        <x:v>1.2</x:v>
      </x:c>
      <x:c r="H11" s="200" t="n">
        <x:v>1.05</x:v>
      </x:c>
      <x:c r="I11" s="200" t="n">
        <x:v>1</x:v>
      </x:c>
      <x:c r="J11" s="200" t="n">
        <x:v>1.1</x:v>
      </x:c>
      <x:c r="K11" s="200" t="n">
        <x:v>1.12</x:v>
      </x:c>
      <x:c r="L11" s="200" t="n">
        <x:v>1.2</x:v>
      </x:c>
      <x:c r="M11" s="200" t="str">
        <x:v>Lending/business activity expands.</x:v>
      </x:c>
      <x:c r="N11" s="91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</x:row>
    <x:row r="12">
      <x:c r="A12" s="90" t="str">
        <x:v>Bank Run</x:v>
      </x:c>
      <x:c r="B12" s="198" t="n">
        <x:v>8</x:v>
      </x:c>
      <x:c r="C12" s="200" t="n">
        <x:v>1.25</x:v>
      </x:c>
      <x:c r="D12" s="200" t="n">
        <x:v>1.05</x:v>
      </x:c>
      <x:c r="E12" s="200" t="n">
        <x:v>1.2</x:v>
      </x:c>
      <x:c r="F12" s="200" t="n">
        <x:v>1.1</x:v>
      </x:c>
      <x:c r="G12" s="200" t="n">
        <x:v>1.1</x:v>
      </x:c>
      <x:c r="H12" s="200" t="n">
        <x:v>1.2</x:v>
      </x:c>
      <x:c r="I12" s="200" t="n">
        <x:v>1.15</x:v>
      </x:c>
      <x:c r="J12" s="200" t="n">
        <x:v>0.85</x:v>
      </x:c>
      <x:c r="K12" s="200" t="n">
        <x:v>1.25</x:v>
      </x:c>
      <x:c r="L12" s="200" t="n">
        <x:v>1.6</x:v>
      </x:c>
      <x:c r="M12" s="200" t="str">
        <x:v>High activity, poor banking economics/risk.</x:v>
      </x:c>
      <x:c r="N12" s="91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</x:row>
    <x:row r="13">
      <x:c r="A13" s="90" t="str">
        <x:v>Tech Rally</x:v>
      </x:c>
      <x:c r="B13" s="198" t="n">
        <x:v>24</x:v>
      </x:c>
      <x:c r="C13" s="200" t="n">
        <x:v>1</x:v>
      </x:c>
      <x:c r="D13" s="200" t="n">
        <x:v>1.25</x:v>
      </x:c>
      <x:c r="E13" s="200" t="n">
        <x:v>1.35</x:v>
      </x:c>
      <x:c r="F13" s="200" t="n">
        <x:v>1</x:v>
      </x:c>
      <x:c r="G13" s="200" t="n">
        <x:v>1.05</x:v>
      </x:c>
      <x:c r="H13" s="200" t="n">
        <x:v>1.15</x:v>
      </x:c>
      <x:c r="I13" s="200" t="n">
        <x:v>1.1</x:v>
      </x:c>
      <x:c r="J13" s="200" t="n">
        <x:v>1.08</x:v>
      </x:c>
      <x:c r="K13" s="200" t="n">
        <x:v>1.22</x:v>
      </x:c>
      <x:c r="L13" s="200" t="n">
        <x:v>1.08</x:v>
      </x:c>
      <x:c r="M13" s="200" t="str">
        <x:v>Stock/Market Hunt friendly event.</x:v>
      </x:c>
      <x:c r="N13" s="91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</x:row>
    <x:row r="14">
      <x:c r="A14" s="90" t="str">
        <x:v>Recession</x:v>
      </x:c>
      <x:c r="B14" s="198" t="n">
        <x:v>72</x:v>
      </x:c>
      <x:c r="C14" s="200" t="n">
        <x:v>0.8</x:v>
      </x:c>
      <x:c r="D14" s="200" t="n">
        <x:v>0.82</x:v>
      </x:c>
      <x:c r="E14" s="200" t="n">
        <x:v>0.95</x:v>
      </x:c>
      <x:c r="F14" s="200" t="n">
        <x:v>0.72</x:v>
      </x:c>
      <x:c r="G14" s="200" t="n">
        <x:v>0.75</x:v>
      </x:c>
      <x:c r="H14" s="200" t="n">
        <x:v>0.88</x:v>
      </x:c>
      <x:c r="I14" s="200" t="n">
        <x:v>0.9</x:v>
      </x:c>
      <x:c r="J14" s="200" t="n">
        <x:v>0.85</x:v>
      </x:c>
      <x:c r="K14" s="200" t="n">
        <x:v>0.9</x:v>
      </x:c>
      <x:c r="L14" s="200" t="n">
        <x:v>1.35</x:v>
      </x:c>
      <x:c r="M14" s="200" t="str">
        <x:v>Broad demand and revenue pressure.</x:v>
      </x:c>
      <x:c r="N14" s="91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</x:row>
    <x:row r="15">
      <x:c r="A15" s="92" t="str">
        <x:v>Dividend Week</x:v>
      </x:c>
      <x:c r="B15" s="202" t="n">
        <x:v>48</x:v>
      </x:c>
      <x:c r="C15" s="204" t="n">
        <x:v>1</x:v>
      </x:c>
      <x:c r="D15" s="204" t="n">
        <x:v>1.18</x:v>
      </x:c>
      <x:c r="E15" s="204" t="n">
        <x:v>1.12</x:v>
      </x:c>
      <x:c r="F15" s="204" t="n">
        <x:v>1</x:v>
      </x:c>
      <x:c r="G15" s="204" t="n">
        <x:v>1.05</x:v>
      </x:c>
      <x:c r="H15" s="204" t="n">
        <x:v>1.22</x:v>
      </x:c>
      <x:c r="I15" s="204" t="n">
        <x:v>1.1</x:v>
      </x:c>
      <x:c r="J15" s="204" t="n">
        <x:v>1.06</x:v>
      </x:c>
      <x:c r="K15" s="204" t="n">
        <x:v>1.1</x:v>
      </x:c>
      <x:c r="L15" s="204" t="n">
        <x:v>1</x:v>
      </x:c>
      <x:c r="M15" s="204" t="str">
        <x:v>Portfolio/fund engagement event.</x:v>
      </x:c>
      <x:c r="N15" s="93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N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32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30" customHeight="1">
      <x:c r="A1" s="6" t="str">
        <x:v>Representative Stage Simulations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74"/>
      <x:c r="U1" s="74"/>
      <x:c r="V1" s="74"/>
      <x:c r="W1" s="74"/>
      <x:c r="X1" s="74"/>
      <x:c r="Y1" s="74"/>
      <x:c r="Z1" s="74"/>
      <x:c r="AA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 ht="30" customHeight="1">
      <x:c r="A3" s="40" t="str">
        <x:v>Stage</x:v>
      </x:c>
      <x:c r="B3" s="41" t="str">
        <x:v>Buildings</x:v>
      </x:c>
      <x:c r="C3" s="41" t="str">
        <x:v>Tiles Used</x:v>
      </x:c>
      <x:c r="D3" s="41" t="str">
        <x:v>Active Customers</x:v>
      </x:c>
      <x:c r="E3" s="41" t="str">
        <x:v>Total Capacity</x:v>
      </x:c>
      <x:c r="F3" s="41" t="str">
        <x:v>Utilization</x:v>
      </x:c>
      <x:c r="G3" s="41" t="str">
        <x:v>Gross Cash / Day</x:v>
      </x:c>
      <x:c r="H3" s="41" t="str">
        <x:v>Net Cash / Day</x:v>
      </x:c>
      <x:c r="I3" s="41" t="str">
        <x:v>Activity Pts / Day</x:v>
      </x:c>
      <x:c r="J3" s="41" t="str">
        <x:v>Steady-State Churn / Day</x:v>
      </x:c>
      <x:c r="K3" s="41" t="str">
        <x:v>Avg Reputation</x:v>
      </x:c>
      <x:c r="L3" s="41" t="str">
        <x:v>Avg Service</x:v>
      </x:c>
      <x:c r="M3" s="41" t="str">
        <x:v>Synergy</x:v>
      </x:c>
      <x:c r="N3" s="41" t="str">
        <x:v>Marketing</x:v>
      </x:c>
      <x:c r="O3" s="41" t="str">
        <x:v>Capture Coeff.</x:v>
      </x:c>
      <x:c r="P3" s="42" t="str">
        <x:v>Scenario Intent</x:v>
      </x:c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</x:row>
    <x:row r="4">
      <x:c r="A4" s="90" t="str">
        <x:v>Humble</x:v>
      </x:c>
      <x:c r="B4" s="74" t="n">
        <x:v>5</x:v>
      </x:c>
      <x:c r="C4" s="275" t="n">
        <x:f>SUM(D13:D17)</x:f>
        <x:v>5</x:v>
      </x:c>
      <x:c r="D4" s="240" t="n">
        <x:f>SUM(N13:N17)</x:f>
        <x:v>240.40196712000005</x:v>
      </x:c>
      <x:c r="E4" s="240" t="n">
        <x:f>SUM(E13:E17)</x:f>
        <x:v>437</x:v>
      </x:c>
      <x:c r="F4" s="241" t="n">
        <x:f>D4/E4</x:f>
        <x:v>0.550118917894737</x:v>
      </x:c>
      <x:c r="G4" s="240" t="n">
        <x:f>SUM(P13:P17)*24</x:f>
        <x:v>3398.3001776033393</x:v>
      </x:c>
      <x:c r="H4" s="240" t="n">
        <x:f>SUM(Q13:Q17)*24</x:f>
        <x:v>2990.504156290939</x:v>
      </x:c>
      <x:c r="I4" s="240" t="n">
        <x:f>SUM(R13:R17)*24</x:f>
        <x:v>701.2291848309801</x:v>
      </x:c>
      <x:c r="J4" s="240" t="n">
        <x:f>SUM(S13:S17)</x:f>
        <x:v>5.198895102960001</x:v>
      </x:c>
      <x:c r="K4" s="275" t="n">
        <x:f>'Model Assumptions'!E4</x:f>
        <x:v>55</x:v>
      </x:c>
      <x:c r="L4" s="275" t="n">
        <x:f>'Model Assumptions'!F4</x:f>
        <x:v>58</x:v>
      </x:c>
      <x:c r="M4" s="243" t="n">
        <x:f>'Model Assumptions'!G4</x:f>
        <x:v>1</x:v>
      </x:c>
      <x:c r="N4" s="243" t="n">
        <x:f>'Model Assumptions'!H4</x:f>
        <x:v>1</x:v>
      </x:c>
      <x:c r="O4" s="241" t="n">
        <x:f>'Model Assumptions'!D4</x:f>
        <x:v>0.04</x:v>
      </x:c>
      <x:c r="P4" s="91" t="str">
        <x:v>Sparse board, immediate customer feedback, visible kiosk growth.</x:v>
      </x:c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</x:row>
    <x:row r="5">
      <x:c r="A5" s="90" t="str">
        <x:v>Starter</x:v>
      </x:c>
      <x:c r="B5" s="74" t="n">
        <x:v>8</x:v>
      </x:c>
      <x:c r="C5" s="275" t="n">
        <x:f>SUM(D18:D25)</x:f>
        <x:v>20</x:v>
      </x:c>
      <x:c r="D5" s="240" t="n">
        <x:f>SUM(N18:N25)</x:f>
        <x:v>3341.3582360023042</x:v>
      </x:c>
      <x:c r="E5" s="240" t="n">
        <x:f>SUM(E18:E25)</x:f>
        <x:v>6804</x:v>
      </x:c>
      <x:c r="F5" s="241" t="n">
        <x:f>D5/E5</x:f>
        <x:v>0.4910873362731194</x:v>
      </x:c>
      <x:c r="G5" s="240" t="n">
        <x:f>SUM(P18:P25)*24</x:f>
        <x:v>57586.652514225934</x:v>
      </x:c>
      <x:c r="H5" s="240" t="n">
        <x:f>SUM(Q18:Q25)*24</x:f>
        <x:v>50100.38768737657</x:v>
      </x:c>
      <x:c r="I5" s="240" t="n">
        <x:f>SUM(R18:R25)*24</x:f>
        <x:v>9623.137817112614</x:v>
      </x:c>
      <x:c r="J5" s="240" t="n">
        <x:f>SUM(S18:S25)</x:f>
        <x:v>68.71679113458016</x:v>
      </x:c>
      <x:c r="K5" s="275" t="n">
        <x:f>'Model Assumptions'!E5</x:f>
        <x:v>62</x:v>
      </x:c>
      <x:c r="L5" s="275" t="n">
        <x:f>'Model Assumptions'!F5</x:f>
        <x:v>64</x:v>
      </x:c>
      <x:c r="M5" s="243" t="n">
        <x:f>'Model Assumptions'!G5</x:f>
        <x:v>1.02</x:v>
      </x:c>
      <x:c r="N5" s="243" t="n">
        <x:f>'Model Assumptions'!H5</x:f>
        <x:v>1</x:v>
      </x:c>
      <x:c r="O5" s="241" t="n">
        <x:f>'Model Assumptions'!D5</x:f>
        <x:v>0.06</x:v>
      </x:c>
      <x:c r="P5" s="91" t="str">
        <x:v>Multiple services begin cross-selling; Cash becomes meaningfully reinvestable.</x:v>
      </x:c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</x:row>
    <x:row r="6">
      <x:c r="A6" s="90" t="str">
        <x:v>Growing</x:v>
      </x:c>
      <x:c r="B6" s="74" t="n">
        <x:v>10</x:v>
      </x:c>
      <x:c r="C6" s="275" t="n">
        <x:f>SUM(D26:D35)</x:f>
        <x:v>42</x:v>
      </x:c>
      <x:c r="D6" s="240" t="n">
        <x:f>SUM(N26:N35)</x:f>
        <x:v>26802.337416035843</x:v>
      </x:c>
      <x:c r="E6" s="240" t="n">
        <x:f>SUM(E26:E35)</x:f>
        <x:v>48077</x:v>
      </x:c>
      <x:c r="F6" s="241" t="n">
        <x:f>D6/E6</x:f>
        <x:v>0.5574877262731835</x:v>
      </x:c>
      <x:c r="G6" s="240" t="n">
        <x:f>SUM(P26:P35)*24</x:f>
        <x:v>567148.9725634088</x:v>
      </x:c>
      <x:c r="H6" s="240" t="n">
        <x:f>SUM(Q26:Q35)*24</x:f>
        <x:v>487748.1164045315</x:v>
      </x:c>
      <x:c r="I6" s="240" t="n">
        <x:f>SUM(R26:R35)*24</x:f>
        <x:v>81245.79167082868</x:v>
      </x:c>
      <x:c r="J6" s="240" t="n">
        <x:f>SUM(S26:S35)</x:f>
        <x:v>547.0590396408235</x:v>
      </x:c>
      <x:c r="K6" s="275" t="n">
        <x:f>'Model Assumptions'!E6</x:f>
        <x:v>70</x:v>
      </x:c>
      <x:c r="L6" s="275" t="n">
        <x:f>'Model Assumptions'!F6</x:f>
        <x:v>71</x:v>
      </x:c>
      <x:c r="M6" s="243" t="n">
        <x:f>'Model Assumptions'!G6</x:f>
        <x:v>1.04</x:v>
      </x:c>
      <x:c r="N6" s="243" t="n">
        <x:f>'Model Assumptions'!H6</x:f>
        <x:v>1.01</x:v>
      </x:c>
      <x:c r="O6" s="241" t="n">
        <x:f>'Model Assumptions'!D6</x:f>
        <x:v>0.08</x:v>
      </x:c>
      <x:c r="P6" s="91" t="str">
        <x:v>Diversification and customer segmentation become strategic.</x:v>
      </x:c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</x:row>
    <x:row r="7">
      <x:c r="A7" s="90" t="str">
        <x:v>Established</x:v>
      </x:c>
      <x:c r="B7" s="74" t="n">
        <x:v>10</x:v>
      </x:c>
      <x:c r="C7" s="275" t="n">
        <x:f>SUM(D36:D45)</x:f>
        <x:v>66</x:v>
      </x:c>
      <x:c r="D7" s="240" t="n">
        <x:f>SUM(N36:N45)</x:f>
        <x:v>158907.15993123714</x:v>
      </x:c>
      <x:c r="E7" s="240" t="n">
        <x:f>SUM(E36:E45)</x:f>
        <x:v>273787</x:v>
      </x:c>
      <x:c r="F7" s="241" t="n">
        <x:f>D7/E7</x:f>
        <x:v>0.5804043286614673</x:v>
      </x:c>
      <x:c r="G7" s="240" t="n">
        <x:f>SUM(P36:P45)*24</x:f>
        <x:v>4789703.031527283</x:v>
      </x:c>
      <x:c r="H7" s="240" t="n">
        <x:f>SUM(Q36:Q45)*24</x:f>
        <x:v>4071247.5767981904</x:v>
      </x:c>
      <x:c r="I7" s="240" t="n">
        <x:f>SUM(R36:R45)*24</x:f>
        <x:v>548163.9945787726</x:v>
      </x:c>
      <x:c r="J7" s="240" t="n">
        <x:f>SUM(S36:S45)</x:f>
        <x:v>3134.8864466715545</x:v>
      </x:c>
      <x:c r="K7" s="275" t="n">
        <x:f>'Model Assumptions'!E7</x:f>
        <x:v>78</x:v>
      </x:c>
      <x:c r="L7" s="275" t="n">
        <x:f>'Model Assumptions'!F7</x:f>
        <x:v>78</x:v>
      </x:c>
      <x:c r="M7" s="243" t="n">
        <x:f>'Model Assumptions'!G7</x:f>
        <x:v>1.06</x:v>
      </x:c>
      <x:c r="N7" s="243" t="n">
        <x:f>'Model Assumptions'!H7</x:f>
        <x:v>1.02</x:v>
      </x:c>
      <x:c r="O7" s="241" t="n">
        <x:f>'Model Assumptions'!D7</x:f>
        <x:v>0.13</x:v>
      </x:c>
      <x:c r="P7" s="91" t="str">
        <x:v>Institutional products, capacity and risk begin to matter materially.</x:v>
      </x:c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</x:row>
    <x:row r="8">
      <x:c r="A8" s="90" t="str">
        <x:v>Elite</x:v>
      </x:c>
      <x:c r="B8" s="74" t="n">
        <x:v>8</x:v>
      </x:c>
      <x:c r="C8" s="275" t="n">
        <x:f>SUM(D46:D53)</x:f>
        <x:v>63</x:v>
      </x:c>
      <x:c r="D8" s="240" t="n">
        <x:f>SUM(N46:N53)</x:f>
        <x:v>461056.17713022884</x:v>
      </x:c>
      <x:c r="E8" s="240" t="n">
        <x:f>SUM(E46:E53)</x:f>
        <x:v>546523</x:v>
      </x:c>
      <x:c r="F8" s="241" t="n">
        <x:f>D8/E8</x:f>
        <x:v>0.8436171526728589</x:v>
      </x:c>
      <x:c r="G8" s="240" t="n">
        <x:f>SUM(P46:P53)*24</x:f>
        <x:v>17591387.395007193</x:v>
      </x:c>
      <x:c r="H8" s="240" t="n">
        <x:f>SUM(Q46:Q53)*24</x:f>
        <x:v>14792354.614305926</x:v>
      </x:c>
      <x:c r="I8" s="240" t="n">
        <x:f>SUM(R46:R53)*24</x:f>
        <x:v>1806094.0188155868</x:v>
      </x:c>
      <x:c r="J8" s="240" t="n">
        <x:f>SUM(S46:S53)</x:f>
        <x:v>9945.724072846855</x:v>
      </x:c>
      <x:c r="K8" s="275" t="n">
        <x:f>'Model Assumptions'!E8</x:f>
        <x:v>86</x:v>
      </x:c>
      <x:c r="L8" s="275" t="n">
        <x:f>'Model Assumptions'!F8</x:f>
        <x:v>85</x:v>
      </x:c>
      <x:c r="M8" s="243" t="n">
        <x:f>'Model Assumptions'!G8</x:f>
        <x:v>1.08</x:v>
      </x:c>
      <x:c r="N8" s="243" t="n">
        <x:f>'Model Assumptions'!H8</x:f>
        <x:v>1.03</x:v>
      </x:c>
      <x:c r="O8" s="241" t="n">
        <x:f>'Model Assumptions'!D8</x:f>
        <x:v>0.08</x:v>
      </x:c>
      <x:c r="P8" s="91" t="str">
        <x:v>High utilization, advanced market activity and specialization.</x:v>
      </x:c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</x:row>
    <x:row r="9">
      <x:c r="A9" s="92" t="str">
        <x:v>Tycoon</x:v>
      </x:c>
      <x:c r="B9" s="207" t="n">
        <x:v>8</x:v>
      </x:c>
      <x:c r="C9" s="276" t="n">
        <x:f>SUM(D54:D61)</x:f>
        <x:v>104</x:v>
      </x:c>
      <x:c r="D9" s="245" t="n">
        <x:f>SUM(N54:N61)</x:f>
        <x:v>1243100.7583671936</x:v>
      </x:c>
      <x:c r="E9" s="245" t="n">
        <x:f>SUM(E54:E61)</x:f>
        <x:v>1316625</x:v>
      </x:c>
      <x:c r="F9" s="246" t="n">
        <x:f>D9/E9</x:f>
        <x:v>0.9441570366408002</x:v>
      </x:c>
      <x:c r="G9" s="245" t="n">
        <x:f>SUM(P54:P61)*24</x:f>
        <x:v>55014545.96113378</x:v>
      </x:c>
      <x:c r="H9" s="245" t="n">
        <x:f>SUM(Q54:Q61)*24</x:f>
        <x:v>45738213.45026932</x:v>
      </x:c>
      <x:c r="I9" s="245" t="n">
        <x:f>SUM(R54:R61)*24</x:f>
        <x:v>4341887.632320605</x:v>
      </x:c>
      <x:c r="J9" s="245" t="n">
        <x:f>SUM(S54:S61)</x:f>
        <x:v>23690.125351272967</x:v>
      </x:c>
      <x:c r="K9" s="276" t="n">
        <x:f>'Model Assumptions'!E9</x:f>
        <x:v>92</x:v>
      </x:c>
      <x:c r="L9" s="276" t="n">
        <x:f>'Model Assumptions'!F9</x:f>
        <x:v>92</x:v>
      </x:c>
      <x:c r="M9" s="248" t="n">
        <x:f>'Model Assumptions'!G9</x:f>
        <x:v>1.1</x:v>
      </x:c>
      <x:c r="N9" s="248" t="n">
        <x:f>'Model Assumptions'!H9</x:f>
        <x:v>1.04</x:v>
      </x:c>
      <x:c r="O9" s="246" t="n">
        <x:f>'Model Assumptions'!D9</x:f>
        <x:v>0.04</x:v>
      </x:c>
      <x:c r="P9" s="93" t="str">
        <x:v>Global-scale demand; large institutions compete for capacity and efficiency.</x:v>
      </x:c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</x:row>
    <x:row r="12" ht="30" customHeight="1">
      <x:c r="A12" s="40" t="str">
        <x:v>Stage</x:v>
      </x:c>
      <x:c r="B12" s="41" t="str">
        <x:v>Building</x:v>
      </x:c>
      <x:c r="C12" s="41" t="str">
        <x:v>Category</x:v>
      </x:c>
      <x:c r="D12" s="41" t="str">
        <x:v>Tiles</x:v>
      </x:c>
      <x:c r="E12" s="41" t="str">
        <x:v>Capacity</x:v>
      </x:c>
      <x:c r="F12" s="41" t="str">
        <x:v>Weighted Demand</x:v>
      </x:c>
      <x:c r="G12" s="41" t="str">
        <x:v>Capture</x:v>
      </x:c>
      <x:c r="H12" s="41" t="str">
        <x:v>Attraction</x:v>
      </x:c>
      <x:c r="I12" s="41" t="str">
        <x:v>Rep Mod.</x:v>
      </x:c>
      <x:c r="J12" s="41" t="str">
        <x:v>Service Mod.</x:v>
      </x:c>
      <x:c r="K12" s="41" t="str">
        <x:v>Synergy</x:v>
      </x:c>
      <x:c r="L12" s="41" t="str">
        <x:v>Marketing</x:v>
      </x:c>
      <x:c r="M12" s="41" t="str">
        <x:v>Competition Mod.</x:v>
      </x:c>
      <x:c r="N12" s="41" t="str">
        <x:v>Expected Customers</x:v>
      </x:c>
      <x:c r="O12" s="41" t="str">
        <x:v>Utilization</x:v>
      </x:c>
      <x:c r="P12" s="41" t="str">
        <x:v>Gross Cash/h</x:v>
      </x:c>
      <x:c r="Q12" s="41" t="str">
        <x:v>Net Cash/h</x:v>
      </x:c>
      <x:c r="R12" s="41" t="str">
        <x:v>Activity Pts/h</x:v>
      </x:c>
      <x:c r="S12" s="42" t="str">
        <x:v>Churn / Day</x:v>
      </x:c>
      <x:c r="T12" s="74"/>
      <x:c r="U12" s="74"/>
      <x:c r="V12" s="74"/>
      <x:c r="W12" s="74"/>
      <x:c r="X12" s="74"/>
      <x:c r="Y12" s="74"/>
      <x:c r="Z12" s="74"/>
      <x:c r="AA12" s="74"/>
    </x:row>
    <x:row r="13">
      <x:c r="A13" s="90" t="str">
        <x:v>Humble</x:v>
      </x:c>
      <x:c r="B13" s="74" t="str">
        <x:v>Cash Kiosk</x:v>
      </x:c>
      <x:c r="C13" s="74" t="str">
        <x:v>Cash Services</x:v>
      </x:c>
      <x:c r="D13" s="226" t="n">
        <x:v>1</x:v>
      </x:c>
      <x:c r="E13" s="240" t="n">
        <x:f>'Building Economics'!J4</x:f>
        <x:v>60</x:v>
      </x:c>
      <x:c r="F13" s="240" t="n">
        <x:f>'Building Economics'!N4</x:f>
        <x:v>1237.5</x:v>
      </x:c>
      <x:c r="G13" s="241" t="n">
        <x:f>'Building Economics'!O4</x:f>
        <x:v>0.04</x:v>
      </x:c>
      <x:c r="H13" s="243" t="n">
        <x:f>'Building Economics'!U4</x:f>
        <x:v>0.9</x:v>
      </x:c>
      <x:c r="I13" s="243" t="n">
        <x:f>('Model Assumptions'!$B$17+'Model Assumptions'!$B$18*'Model Assumptions'!$E$4)</x:f>
        <x:v>1.0350000000000001</x:v>
      </x:c>
      <x:c r="J13" s="243" t="n">
        <x:f>('Model Assumptions'!$B$19+'Model Assumptions'!$B$20*'Model Assumptions'!$F$4)</x:f>
        <x:v>1.048</x:v>
      </x:c>
      <x:c r="K13" s="243" t="n">
        <x:f>'Model Assumptions'!$G$4</x:f>
        <x:v>1</x:v>
      </x:c>
      <x:c r="L13" s="243" t="n">
        <x:f>'Model Assumptions'!$H$4</x:f>
        <x:v>1</x:v>
      </x:c>
      <x:c r="M13" s="243" t="n">
        <x:f>1/(1+'Model Assumptions'!$B$22*(1-1))</x:f>
        <x:v>1</x:v>
      </x:c>
      <x:c r="N13" s="240" t="n">
        <x:f>MIN(E13,F13*G13*H13*I13*J13*K13*L13*M13*'Model Assumptions'!$J$4)</x:f>
        <x:v>48.32249400000001</x:v>
      </x:c>
      <x:c r="O13" s="241" t="n">
        <x:f>N13/E13</x:f>
        <x:v>0.8053749000000002</x:v>
      </x:c>
      <x:c r="P13" s="240" t="n">
        <x:f>'Building Economics'!K4*O13*'Building Economics'!Q4*'Model Assumptions'!$I$4*'Model Assumptions'!$K$4</x:f>
        <x:v>23.121776462400007</x:v>
      </x:c>
      <x:c r="Q13" s="240" t="n">
        <x:f>P13*(1-'Building Economics'!M4)</x:f>
        <x:v>20.347163286912007</x:v>
      </x:c>
      <x:c r="R13" s="240" t="n">
        <x:f>'Building Economics'!L4*O13*'Building Economics'!R4*'Model Assumptions'!$L$4</x:f>
        <x:v>3.485564946000001</x:v>
      </x:c>
      <x:c r="S13" s="277" t="n">
        <x:f>N13*'Building Economics'!T4</x:f>
        <x:v>0.8929411164000001</x:v>
      </x:c>
      <x:c r="T13" s="74"/>
      <x:c r="U13" s="74"/>
      <x:c r="V13" s="74"/>
      <x:c r="W13" s="74"/>
      <x:c r="X13" s="74"/>
      <x:c r="Y13" s="74"/>
      <x:c r="Z13" s="74"/>
      <x:c r="AA13" s="74"/>
    </x:row>
    <x:row r="14">
      <x:c r="A14" s="90" t="str">
        <x:v>Humble</x:v>
      </x:c>
      <x:c r="B14" s="74" t="str">
        <x:v>Trading Booth</x:v>
      </x:c>
      <x:c r="C14" s="74" t="str">
        <x:v>Trading</x:v>
      </x:c>
      <x:c r="D14" s="226" t="n">
        <x:v>1</x:v>
      </x:c>
      <x:c r="E14" s="240" t="n">
        <x:f>'Building Economics'!J5</x:f>
        <x:v>71</x:v>
      </x:c>
      <x:c r="F14" s="240" t="n">
        <x:f>'Building Economics'!N5</x:f>
        <x:v>1091</x:v>
      </x:c>
      <x:c r="G14" s="241" t="n">
        <x:f>'Building Economics'!O5</x:f>
        <x:v>0.04</x:v>
      </x:c>
      <x:c r="H14" s="243" t="n">
        <x:f>'Building Economics'!U5</x:f>
        <x:v>0.9</x:v>
      </x:c>
      <x:c r="I14" s="243" t="n">
        <x:f>('Model Assumptions'!$B$17+'Model Assumptions'!$B$18*'Model Assumptions'!$E$4)</x:f>
        <x:v>1.0350000000000001</x:v>
      </x:c>
      <x:c r="J14" s="243" t="n">
        <x:f>('Model Assumptions'!$B$19+'Model Assumptions'!$B$20*'Model Assumptions'!$F$4)</x:f>
        <x:v>1.048</x:v>
      </x:c>
      <x:c r="K14" s="243" t="n">
        <x:f>'Model Assumptions'!$G$4</x:f>
        <x:v>1</x:v>
      </x:c>
      <x:c r="L14" s="243" t="n">
        <x:f>'Model Assumptions'!$H$4</x:f>
        <x:v>1</x:v>
      </x:c>
      <x:c r="M14" s="243" t="n">
        <x:f>1/(1+'Model Assumptions'!$B$22*(1-1))</x:f>
        <x:v>1</x:v>
      </x:c>
      <x:c r="N14" s="240" t="n">
        <x:f>MIN(E14,F14*G14*H14*I14*J14*K14*L14*M14*'Model Assumptions'!$J$4)</x:f>
        <x:v>42.60189168000001</x:v>
      </x:c>
      <x:c r="O14" s="241" t="n">
        <x:f>N14/E14</x:f>
        <x:v>0.6000266433802818</x:v>
      </x:c>
      <x:c r="P14" s="240" t="n">
        <x:f>'Building Economics'!K5*O14*'Building Economics'!Q5*'Model Assumptions'!$I$4*'Model Assumptions'!$K$4</x:f>
        <x:v>31.017472614760567</x:v>
      </x:c>
      <x:c r="Q14" s="240" t="n">
        <x:f>P14*(1-'Building Economics'!M5)</x:f>
        <x:v>27.2953759009893</x:v>
      </x:c>
      <x:c r="R14" s="240" t="n">
        <x:f>'Building Economics'!L5*O14*'Building Economics'!R5*'Model Assumptions'!$L$4</x:f>
        <x:v>7.301790770704227</x:v>
      </x:c>
      <x:c r="S14" s="277" t="n">
        <x:f>N14*'Building Economics'!T5</x:f>
        <x:v>1.07957332656</x:v>
      </x:c>
      <x:c r="T14" s="74"/>
      <x:c r="U14" s="74"/>
      <x:c r="V14" s="74"/>
      <x:c r="W14" s="74"/>
      <x:c r="X14" s="74"/>
      <x:c r="Y14" s="74"/>
      <x:c r="Z14" s="74"/>
      <x:c r="AA14" s="74"/>
    </x:row>
    <x:row r="15">
      <x:c r="A15" s="90" t="str">
        <x:v>Humble</x:v>
      </x:c>
      <x:c r="B15" s="74" t="str">
        <x:v>Savings Stand</x:v>
      </x:c>
      <x:c r="C15" s="74" t="str">
        <x:v>Banking</x:v>
      </x:c>
      <x:c r="D15" s="226" t="n">
        <x:v>1</x:v>
      </x:c>
      <x:c r="E15" s="240" t="n">
        <x:f>'Building Economics'!J6</x:f>
        <x:v>85</x:v>
      </x:c>
      <x:c r="F15" s="240" t="n">
        <x:f>'Building Economics'!N6</x:f>
        <x:v>1607</x:v>
      </x:c>
      <x:c r="G15" s="241" t="n">
        <x:f>'Building Economics'!O6</x:f>
        <x:v>0.04</x:v>
      </x:c>
      <x:c r="H15" s="243" t="n">
        <x:f>'Building Economics'!U6</x:f>
        <x:v>0.9</x:v>
      </x:c>
      <x:c r="I15" s="243" t="n">
        <x:f>('Model Assumptions'!$B$17+'Model Assumptions'!$B$18*'Model Assumptions'!$E$4)</x:f>
        <x:v>1.0350000000000001</x:v>
      </x:c>
      <x:c r="J15" s="243" t="n">
        <x:f>('Model Assumptions'!$B$19+'Model Assumptions'!$B$20*'Model Assumptions'!$F$4)</x:f>
        <x:v>1.048</x:v>
      </x:c>
      <x:c r="K15" s="243" t="n">
        <x:f>'Model Assumptions'!$G$4</x:f>
        <x:v>1</x:v>
      </x:c>
      <x:c r="L15" s="243" t="n">
        <x:f>'Model Assumptions'!$H$4</x:f>
        <x:v>1</x:v>
      </x:c>
      <x:c r="M15" s="243" t="n">
        <x:f>1/(1+'Model Assumptions'!$B$22*(1-1))</x:f>
        <x:v>1</x:v>
      </x:c>
      <x:c r="N15" s="240" t="n">
        <x:f>MIN(E15,F15*G15*H15*I15*J15*K15*L15*M15*'Model Assumptions'!$J$4)</x:f>
        <x:v>62.750907360000014</x:v>
      </x:c>
      <x:c r="O15" s="241" t="n">
        <x:f>N15/E15</x:f>
        <x:v>0.7382459689411767</x:v>
      </x:c>
      <x:c r="P15" s="240" t="n">
        <x:f>'Building Economics'!K6*O15*'Building Economics'!Q6*'Model Assumptions'!$I$4*'Model Assumptions'!$K$4</x:f>
        <x:v>34.93589041124895</x:v>
      </x:c>
      <x:c r="Q15" s="240" t="n">
        <x:f>P15*(1-'Building Economics'!M6)</x:f>
        <x:v>30.743583561899076</x:v>
      </x:c>
      <x:c r="R15" s="240" t="n">
        <x:f>'Building Economics'!L6*O15*'Building Economics'!R6*'Model Assumptions'!$L$4</x:f>
        <x:v>5.844179274352943</x:v>
      </x:c>
      <x:c r="S15" s="277" t="n">
        <x:f>N15*'Building Economics'!T6</x:f>
        <x:v>1.1423632824</x:v>
      </x:c>
      <x:c r="T15" s="74"/>
      <x:c r="U15" s="74"/>
      <x:c r="V15" s="74"/>
      <x:c r="W15" s="74"/>
      <x:c r="X15" s="74"/>
      <x:c r="Y15" s="74"/>
      <x:c r="Z15" s="74"/>
      <x:c r="AA15" s="74"/>
    </x:row>
    <x:row r="16">
      <x:c r="A16" s="90" t="str">
        <x:v>Humble</x:v>
      </x:c>
      <x:c r="B16" s="74" t="str">
        <x:v>Mini Brokerage Desk</x:v>
      </x:c>
      <x:c r="C16" s="74" t="str">
        <x:v>Brokerage</x:v>
      </x:c>
      <x:c r="D16" s="226" t="n">
        <x:v>1</x:v>
      </x:c>
      <x:c r="E16" s="240" t="n">
        <x:f>'Building Economics'!J7</x:f>
        <x:v>101</x:v>
      </x:c>
      <x:c r="F16" s="240" t="n">
        <x:f>'Building Economics'!N7</x:f>
        <x:v>1304</x:v>
      </x:c>
      <x:c r="G16" s="241" t="n">
        <x:f>'Building Economics'!O7</x:f>
        <x:v>0.04</x:v>
      </x:c>
      <x:c r="H16" s="243" t="n">
        <x:f>'Building Economics'!U7</x:f>
        <x:v>0.9</x:v>
      </x:c>
      <x:c r="I16" s="243" t="n">
        <x:f>('Model Assumptions'!$B$17+'Model Assumptions'!$B$18*'Model Assumptions'!$E$4)</x:f>
        <x:v>1.0350000000000001</x:v>
      </x:c>
      <x:c r="J16" s="243" t="n">
        <x:f>('Model Assumptions'!$B$19+'Model Assumptions'!$B$20*'Model Assumptions'!$F$4)</x:f>
        <x:v>1.048</x:v>
      </x:c>
      <x:c r="K16" s="243" t="n">
        <x:f>'Model Assumptions'!$G$4</x:f>
        <x:v>1</x:v>
      </x:c>
      <x:c r="L16" s="243" t="n">
        <x:f>'Model Assumptions'!$H$4</x:f>
        <x:v>1</x:v>
      </x:c>
      <x:c r="M16" s="243" t="n">
        <x:f>1/(1+'Model Assumptions'!$B$22*(1-1))</x:f>
        <x:v>1</x:v>
      </x:c>
      <x:c r="N16" s="240" t="n">
        <x:f>MIN(E16,F16*G16*H16*I16*J16*K16*L16*M16*'Model Assumptions'!$J$4)</x:f>
        <x:v>50.91921792000001</x:v>
      </x:c>
      <x:c r="O16" s="241" t="n">
        <x:f>N16/E16</x:f>
        <x:v>0.5041506724752476</x:v>
      </x:c>
      <x:c r="P16" s="240" t="n">
        <x:f>'Building Economics'!K7*O16*'Building Economics'!Q7*'Model Assumptions'!$I$4*'Model Assumptions'!$K$4</x:f>
        <x:v>34.89007823418297</x:v>
      </x:c>
      <x:c r="Q16" s="240" t="n">
        <x:f>P16*(1-'Building Economics'!M7)</x:f>
        <x:v>30.703268846081016</x:v>
      </x:c>
      <x:c r="R16" s="240" t="n">
        <x:f>'Building Economics'!L7*O16*'Building Economics'!R7*'Model Assumptions'!$L$4</x:f>
        <x:v>8.215065616633664</x:v>
      </x:c>
      <x:c r="S16" s="277" t="n">
        <x:f>N16*'Building Economics'!T7</x:f>
        <x:v>1.2224907633600002</x:v>
      </x:c>
      <x:c r="T16" s="74"/>
      <x:c r="U16" s="74"/>
      <x:c r="V16" s="74"/>
      <x:c r="W16" s="74"/>
      <x:c r="X16" s="74"/>
      <x:c r="Y16" s="74"/>
      <x:c r="Z16" s="74"/>
      <x:c r="AA16" s="74"/>
    </x:row>
    <x:row r="17">
      <x:c r="A17" s="90" t="str">
        <x:v>Humble</x:v>
      </x:c>
      <x:c r="B17" s="74" t="str">
        <x:v>Market Info Kiosk</x:v>
      </x:c>
      <x:c r="C17" s="74" t="str">
        <x:v>Research</x:v>
      </x:c>
      <x:c r="D17" s="226" t="n">
        <x:v>1</x:v>
      </x:c>
      <x:c r="E17" s="240" t="n">
        <x:f>'Building Economics'!J8</x:f>
        <x:v>120</x:v>
      </x:c>
      <x:c r="F17" s="240" t="n">
        <x:f>'Building Economics'!N8</x:f>
        <x:v>917</x:v>
      </x:c>
      <x:c r="G17" s="241" t="n">
        <x:f>'Building Economics'!O8</x:f>
        <x:v>0.04</x:v>
      </x:c>
      <x:c r="H17" s="243" t="n">
        <x:f>'Building Economics'!U8</x:f>
        <x:v>0.9</x:v>
      </x:c>
      <x:c r="I17" s="243" t="n">
        <x:f>('Model Assumptions'!$B$17+'Model Assumptions'!$B$18*'Model Assumptions'!$E$4)</x:f>
        <x:v>1.0350000000000001</x:v>
      </x:c>
      <x:c r="J17" s="243" t="n">
        <x:f>('Model Assumptions'!$B$19+'Model Assumptions'!$B$20*'Model Assumptions'!$F$4)</x:f>
        <x:v>1.048</x:v>
      </x:c>
      <x:c r="K17" s="243" t="n">
        <x:f>'Model Assumptions'!$G$4</x:f>
        <x:v>1</x:v>
      </x:c>
      <x:c r="L17" s="243" t="n">
        <x:f>'Model Assumptions'!$H$4</x:f>
        <x:v>1</x:v>
      </x:c>
      <x:c r="M17" s="243" t="n">
        <x:f>1/(1+'Model Assumptions'!$B$22*(1-1))</x:f>
        <x:v>1</x:v>
      </x:c>
      <x:c r="N17" s="240" t="n">
        <x:f>MIN(E17,F17*G17*H17*I17*J17*K17*L17*M17*'Model Assumptions'!$J$4)</x:f>
        <x:v>35.80745616000001</x:v>
      </x:c>
      <x:c r="O17" s="241" t="n">
        <x:f>N17/E17</x:f>
        <x:v>0.29839546800000005</x:v>
      </x:c>
      <x:c r="P17" s="240" t="n">
        <x:f>'Building Economics'!K8*O17*'Building Economics'!Q8*'Model Assumptions'!$I$4*'Model Assumptions'!$K$4</x:f>
        <x:v>17.63062301088</x:v>
      </x:c>
      <x:c r="Q17" s="240" t="n">
        <x:f>P17*(1-'Building Economics'!M8)</x:f>
        <x:v>15.5149482495744</x:v>
      </x:c>
      <x:c r="R17" s="240" t="n">
        <x:f>'Building Economics'!L8*O17*'Building Economics'!R8*'Model Assumptions'!$L$4</x:f>
        <x:v>4.3712820936000005</x:v>
      </x:c>
      <x:c r="S17" s="277" t="n">
        <x:f>N17*'Building Economics'!T8</x:f>
        <x:v>0.86152661424</x:v>
      </x:c>
      <x:c r="T17" s="74"/>
      <x:c r="U17" s="74"/>
      <x:c r="V17" s="74"/>
      <x:c r="W17" s="74"/>
      <x:c r="X17" s="74"/>
      <x:c r="Y17" s="74"/>
      <x:c r="Z17" s="74"/>
      <x:c r="AA17" s="74"/>
    </x:row>
    <x:row r="18">
      <x:c r="A18" s="90" t="str">
        <x:v>Starter</x:v>
      </x:c>
      <x:c r="B18" s="74" t="str">
        <x:v>Neighborhood Finance Shop</x:v>
      </x:c>
      <x:c r="C18" s="74" t="str">
        <x:v>Banking</x:v>
      </x:c>
      <x:c r="D18" s="226" t="n">
        <x:v>2</x:v>
      </x:c>
      <x:c r="E18" s="240" t="n">
        <x:f>'Building Economics'!J14</x:f>
        <x:v>342</x:v>
      </x:c>
      <x:c r="F18" s="240" t="n">
        <x:f>'Building Economics'!N14</x:f>
        <x:v>7877</x:v>
      </x:c>
      <x:c r="G18" s="241" t="n">
        <x:f>'Building Economics'!O14</x:f>
        <x:v>0.06</x:v>
      </x:c>
      <x:c r="H18" s="243" t="n">
        <x:f>'Building Economics'!U14</x:f>
        <x:v>0.98</x:v>
      </x:c>
      <x:c r="I18" s="243" t="n">
        <x:f>('Model Assumptions'!$B$17+'Model Assumptions'!$B$18*'Model Assumptions'!$E$5)</x:f>
        <x:v>1.084</x:v>
      </x:c>
      <x:c r="J18" s="243" t="n">
        <x:f>('Model Assumptions'!$B$19+'Model Assumptions'!$B$20*'Model Assumptions'!$F$5)</x:f>
        <x:v>1.084</x:v>
      </x:c>
      <x:c r="K18" s="243" t="n">
        <x:f>'Model Assumptions'!$G$5</x:f>
        <x:v>1.02</x:v>
      </x:c>
      <x:c r="L18" s="243" t="n">
        <x:f>'Model Assumptions'!$H$5</x:f>
        <x:v>1</x:v>
      </x:c>
      <x:c r="M18" s="243" t="n">
        <x:f>1/(1+'Model Assumptions'!$B$22*(1-1))</x:f>
        <x:v>1</x:v>
      </x:c>
      <x:c r="N18" s="240" t="n">
        <x:f>MIN(E18,F18*G18*H18*I18*J18*K18*L18*M18*'Model Assumptions'!$J$5)</x:f>
        <x:v>342</x:v>
      </x:c>
      <x:c r="O18" s="241" t="n">
        <x:f>N18/E18</x:f>
        <x:v>1</x:v>
      </x:c>
      <x:c r="P18" s="240" t="n">
        <x:f>'Building Economics'!K14*O18*'Building Economics'!Q14*'Model Assumptions'!$I$5*'Model Assumptions'!$K$5</x:f>
        <x:v>211.52014726418685</x:v>
      </x:c>
      <x:c r="Q18" s="240" t="n">
        <x:f>P18*(1-'Building Economics'!M14)</x:f>
        <x:v>184.02252811984255</x:v>
      </x:c>
      <x:c r="R18" s="240" t="n">
        <x:f>'Building Economics'!L14*O18*'Building Economics'!R14*'Model Assumptions'!$L$5</x:f>
        <x:v>32.3370128221404</x:v>
      </x:c>
      <x:c r="S18" s="277" t="n">
        <x:f>N18*'Building Economics'!T14</x:f>
        <x:v>6.209577250222165</x:v>
      </x:c>
      <x:c r="T18" s="74"/>
      <x:c r="U18" s="74"/>
      <x:c r="V18" s="74"/>
      <x:c r="W18" s="74"/>
      <x:c r="X18" s="74"/>
      <x:c r="Y18" s="74"/>
      <x:c r="Z18" s="74"/>
      <x:c r="AA18" s="74"/>
    </x:row>
    <x:row r="19">
      <x:c r="A19" s="90" t="str">
        <x:v>Starter</x:v>
      </x:c>
      <x:c r="B19" s="74" t="str">
        <x:v>Small Brokerage Office</x:v>
      </x:c>
      <x:c r="C19" s="74" t="str">
        <x:v>Brokerage</x:v>
      </x:c>
      <x:c r="D19" s="226" t="n">
        <x:v>2</x:v>
      </x:c>
      <x:c r="E19" s="240" t="n">
        <x:f>'Building Economics'!J15</x:f>
        <x:v>407</x:v>
      </x:c>
      <x:c r="F19" s="240" t="n">
        <x:f>'Building Economics'!N15</x:f>
        <x:v>6195</x:v>
      </x:c>
      <x:c r="G19" s="241" t="n">
        <x:f>'Building Economics'!O15</x:f>
        <x:v>0.06</x:v>
      </x:c>
      <x:c r="H19" s="243" t="n">
        <x:f>'Building Economics'!U15</x:f>
        <x:v>0.98</x:v>
      </x:c>
      <x:c r="I19" s="243" t="n">
        <x:f>('Model Assumptions'!$B$17+'Model Assumptions'!$B$18*'Model Assumptions'!$E$5)</x:f>
        <x:v>1.084</x:v>
      </x:c>
      <x:c r="J19" s="243" t="n">
        <x:f>('Model Assumptions'!$B$19+'Model Assumptions'!$B$20*'Model Assumptions'!$F$5)</x:f>
        <x:v>1.084</x:v>
      </x:c>
      <x:c r="K19" s="243" t="n">
        <x:f>'Model Assumptions'!$G$5</x:f>
        <x:v>1.02</x:v>
      </x:c>
      <x:c r="L19" s="243" t="n">
        <x:f>'Model Assumptions'!$H$5</x:f>
        <x:v>1</x:v>
      </x:c>
      <x:c r="M19" s="243" t="n">
        <x:f>1/(1+'Model Assumptions'!$B$22*(1-1))</x:f>
        <x:v>1</x:v>
      </x:c>
      <x:c r="N19" s="240" t="n">
        <x:f>MIN(E19,F19*G19*H19*I19*J19*K19*L19*M19*'Model Assumptions'!$J$5)</x:f>
        <x:v>407</x:v>
      </x:c>
      <x:c r="O19" s="241" t="n">
        <x:f>N19/E19</x:f>
        <x:v>1</x:v>
      </x:c>
      <x:c r="P19" s="240" t="n">
        <x:f>'Building Economics'!K15*O19*'Building Economics'!Q15*'Model Assumptions'!$I$5*'Model Assumptions'!$K$5</x:f>
        <x:v>310.60532687651335</x:v>
      </x:c>
      <x:c r="Q19" s="240" t="n">
        <x:f>P19*(1-'Building Economics'!M15)</x:f>
        <x:v>270.2266343825666</x:v>
      </x:c>
      <x:c r="R19" s="240" t="n">
        <x:f>'Building Economics'!L15*O19*'Building Economics'!R15*'Model Assumptions'!$L$5</x:f>
        <x:v>65.71073446327684</x:v>
      </x:c>
      <x:c r="S19" s="277" t="n">
        <x:f>N19*'Building Economics'!T15</x:f>
        <x:v>9.828442292171108</x:v>
      </x:c>
      <x:c r="T19" s="74"/>
      <x:c r="U19" s="74"/>
      <x:c r="V19" s="74"/>
      <x:c r="W19" s="74"/>
      <x:c r="X19" s="74"/>
      <x:c r="Y19" s="74"/>
      <x:c r="Z19" s="74"/>
      <x:c r="AA19" s="74"/>
    </x:row>
    <x:row r="20">
      <x:c r="A20" s="90" t="str">
        <x:v>Starter</x:v>
      </x:c>
      <x:c r="B20" s="74" t="str">
        <x:v>Microfinance Office</x:v>
      </x:c>
      <x:c r="C20" s="74" t="str">
        <x:v>Lending</x:v>
      </x:c>
      <x:c r="D20" s="226" t="n">
        <x:v>2</x:v>
      </x:c>
      <x:c r="E20" s="240" t="n">
        <x:f>'Building Economics'!J17</x:f>
        <x:v>576</x:v>
      </x:c>
      <x:c r="F20" s="240" t="n">
        <x:f>'Building Economics'!N17</x:f>
        <x:v>6337</x:v>
      </x:c>
      <x:c r="G20" s="241" t="n">
        <x:f>'Building Economics'!O17</x:f>
        <x:v>0.06</x:v>
      </x:c>
      <x:c r="H20" s="243" t="n">
        <x:f>'Building Economics'!U17</x:f>
        <x:v>0.98</x:v>
      </x:c>
      <x:c r="I20" s="243" t="n">
        <x:f>('Model Assumptions'!$B$17+'Model Assumptions'!$B$18*'Model Assumptions'!$E$5)</x:f>
        <x:v>1.084</x:v>
      </x:c>
      <x:c r="J20" s="243" t="n">
        <x:f>('Model Assumptions'!$B$19+'Model Assumptions'!$B$20*'Model Assumptions'!$F$5)</x:f>
        <x:v>1.084</x:v>
      </x:c>
      <x:c r="K20" s="243" t="n">
        <x:f>'Model Assumptions'!$G$5</x:f>
        <x:v>1.02</x:v>
      </x:c>
      <x:c r="L20" s="243" t="n">
        <x:f>'Model Assumptions'!$H$5</x:f>
        <x:v>1</x:v>
      </x:c>
      <x:c r="M20" s="243" t="n">
        <x:f>1/(1+'Model Assumptions'!$B$22*(1-1))</x:f>
        <x:v>1</x:v>
      </x:c>
      <x:c r="N20" s="240" t="n">
        <x:f>MIN(E20,F20*G20*H20*I20*J20*K20*L20*M20*'Model Assumptions'!$J$5)</x:f>
        <x:v>446.60108040307205</x:v>
      </x:c>
      <x:c r="O20" s="241" t="n">
        <x:f>N20/E20</x:f>
        <x:v>0.7753490979220001</x:v>
      </x:c>
      <x:c r="P20" s="240" t="n">
        <x:f>'Building Economics'!K17*O20*'Building Economics'!Q17*'Model Assumptions'!$I$5*'Model Assumptions'!$K$5</x:f>
        <x:v>297.18267113245906</x:v>
      </x:c>
      <x:c r="Q20" s="240" t="n">
        <x:f>P20*(1-'Building Economics'!M17)</x:f>
        <x:v>258.5489238852394</x:v>
      </x:c>
      <x:c r="R20" s="240" t="n">
        <x:f>'Building Economics'!L17*O20*'Building Economics'!R17*'Model Assumptions'!$L$5</x:f>
        <x:v>41.3265045655371</x:v>
      </x:c>
      <x:c r="S20" s="277" t="n">
        <x:f>N20*'Building Economics'!T17</x:f>
        <x:v>7.832609133027841</x:v>
      </x:c>
      <x:c r="T20" s="74"/>
      <x:c r="U20" s="74"/>
      <x:c r="V20" s="74"/>
      <x:c r="W20" s="74"/>
      <x:c r="X20" s="74"/>
      <x:c r="Y20" s="74"/>
      <x:c r="Z20" s="74"/>
      <x:c r="AA20" s="74"/>
    </x:row>
    <x:row r="21">
      <x:c r="A21" s="90" t="str">
        <x:v>Starter</x:v>
      </x:c>
      <x:c r="B21" s="74" t="str">
        <x:v>Trading Room</x:v>
      </x:c>
      <x:c r="C21" s="74" t="str">
        <x:v>Trading</x:v>
      </x:c>
      <x:c r="D21" s="226" t="n">
        <x:v>2</x:v>
      </x:c>
      <x:c r="E21" s="240" t="n">
        <x:f>'Building Economics'!J18</x:f>
        <x:v>685</x:v>
      </x:c>
      <x:c r="F21" s="240" t="n">
        <x:f>'Building Economics'!N18</x:f>
        <x:v>5237</x:v>
      </x:c>
      <x:c r="G21" s="241" t="n">
        <x:f>'Building Economics'!O18</x:f>
        <x:v>0.06</x:v>
      </x:c>
      <x:c r="H21" s="243" t="n">
        <x:f>'Building Economics'!U18</x:f>
        <x:v>0.98</x:v>
      </x:c>
      <x:c r="I21" s="243" t="n">
        <x:f>('Model Assumptions'!$B$17+'Model Assumptions'!$B$18*'Model Assumptions'!$E$5)</x:f>
        <x:v>1.084</x:v>
      </x:c>
      <x:c r="J21" s="243" t="n">
        <x:f>('Model Assumptions'!$B$19+'Model Assumptions'!$B$20*'Model Assumptions'!$F$5)</x:f>
        <x:v>1.084</x:v>
      </x:c>
      <x:c r="K21" s="243" t="n">
        <x:f>'Model Assumptions'!$G$5</x:f>
        <x:v>1.02</x:v>
      </x:c>
      <x:c r="L21" s="243" t="n">
        <x:f>'Model Assumptions'!$H$5</x:f>
        <x:v>1</x:v>
      </x:c>
      <x:c r="M21" s="243" t="n">
        <x:f>1/(1+'Model Assumptions'!$B$22*(1-1))</x:f>
        <x:v>1</x:v>
      </x:c>
      <x:c r="N21" s="240" t="n">
        <x:f>MIN(E21,F21*G21*H21*I21*J21*K21*L21*M21*'Model Assumptions'!$J$5)</x:f>
        <x:v>369.078405881472</x:v>
      </x:c>
      <x:c r="O21" s="241" t="n">
        <x:f>N21/E21</x:f>
        <x:v>0.5388005925276964</x:v>
      </x:c>
      <x:c r="P21" s="240" t="n">
        <x:f>'Building Economics'!K18*O21*'Building Economics'!Q18*'Model Assumptions'!$I$5*'Model Assumptions'!$K$5</x:f>
        <x:v>307.2831323790542</x:v>
      </x:c>
      <x:c r="Q21" s="240" t="n">
        <x:f>P21*(1-'Building Economics'!M18)</x:f>
        <x:v>267.3363251697772</x:v>
      </x:c>
      <x:c r="R21" s="240" t="n">
        <x:f>'Building Economics'!L18*O21*'Building Economics'!R18*'Model Assumptions'!$L$5</x:f>
        <x:v>65.47876312510299</x:v>
      </x:c>
      <x:c r="S21" s="277" t="n">
        <x:f>N21*'Building Economics'!T18</x:f>
        <x:v>9.404205171056642</x:v>
      </x:c>
      <x:c r="T21" s="74"/>
      <x:c r="U21" s="74"/>
      <x:c r="V21" s="74"/>
      <x:c r="W21" s="74"/>
      <x:c r="X21" s="74"/>
      <x:c r="Y21" s="74"/>
      <x:c r="Z21" s="74"/>
      <x:c r="AA21" s="74"/>
    </x:row>
    <x:row r="22">
      <x:c r="A22" s="90" t="str">
        <x:v>Starter</x:v>
      </x:c>
      <x:c r="B22" s="74" t="str">
        <x:v>Small Research Office</x:v>
      </x:c>
      <x:c r="C22" s="74" t="str">
        <x:v>Research</x:v>
      </x:c>
      <x:c r="D22" s="226" t="n">
        <x:v>2</x:v>
      </x:c>
      <x:c r="E22" s="240" t="n">
        <x:f>'Building Economics'!J19</x:f>
        <x:v>815</x:v>
      </x:c>
      <x:c r="F22" s="240" t="n">
        <x:f>'Building Economics'!N19</x:f>
        <x:v>4376</x:v>
      </x:c>
      <x:c r="G22" s="241" t="n">
        <x:f>'Building Economics'!O19</x:f>
        <x:v>0.06</x:v>
      </x:c>
      <x:c r="H22" s="243" t="n">
        <x:f>'Building Economics'!U19</x:f>
        <x:v>0.98</x:v>
      </x:c>
      <x:c r="I22" s="243" t="n">
        <x:f>('Model Assumptions'!$B$17+'Model Assumptions'!$B$18*'Model Assumptions'!$E$5)</x:f>
        <x:v>1.084</x:v>
      </x:c>
      <x:c r="J22" s="243" t="n">
        <x:f>('Model Assumptions'!$B$19+'Model Assumptions'!$B$20*'Model Assumptions'!$F$5)</x:f>
        <x:v>1.084</x:v>
      </x:c>
      <x:c r="K22" s="243" t="n">
        <x:f>'Model Assumptions'!$G$5</x:f>
        <x:v>1.02</x:v>
      </x:c>
      <x:c r="L22" s="243" t="n">
        <x:f>'Model Assumptions'!$H$5</x:f>
        <x:v>1</x:v>
      </x:c>
      <x:c r="M22" s="243" t="n">
        <x:f>1/(1+'Model Assumptions'!$B$22*(1-1))</x:f>
        <x:v>1</x:v>
      </x:c>
      <x:c r="N22" s="240" t="n">
        <x:f>MIN(E22,F22*G22*H22*I22*J22*K22*L22*M22*'Model Assumptions'!$J$5)</x:f>
        <x:v>308.39929427865604</x:v>
      </x:c>
      <x:c r="O22" s="241" t="n">
        <x:f>N22/E22</x:f>
        <x:v>0.3784040420597007</x:v>
      </x:c>
      <x:c r="P22" s="240" t="n">
        <x:f>'Building Economics'!K19*O22*'Building Economics'!Q19*'Model Assumptions'!$I$5*'Model Assumptions'!$K$5</x:f>
        <x:v>177.63418525176084</x:v>
      </x:c>
      <x:c r="Q22" s="240" t="n">
        <x:f>P22*(1-'Building Economics'!M19)</x:f>
        <x:v>154.54174116903192</x:v>
      </x:c>
      <x:c r="R22" s="240" t="n">
        <x:f>'Building Economics'!L19*O22*'Building Economics'!R19*'Model Assumptions'!$L$5</x:f>
        <x:v>36.43709247010132</x:v>
      </x:c>
      <x:c r="S22" s="277" t="n">
        <x:f>N22*'Building Economics'!T19</x:f>
        <x:v>7.439357747727361</x:v>
      </x:c>
      <x:c r="T22" s="74"/>
      <x:c r="U22" s="74"/>
      <x:c r="V22" s="74"/>
      <x:c r="W22" s="74"/>
      <x:c r="X22" s="74"/>
      <x:c r="Y22" s="74"/>
      <x:c r="Z22" s="74"/>
      <x:c r="AA22" s="74"/>
    </x:row>
    <x:row r="23">
      <x:c r="A23" s="90" t="str">
        <x:v>Starter</x:v>
      </x:c>
      <x:c r="B23" s="74" t="str">
        <x:v>Local Insurance Office</x:v>
      </x:c>
      <x:c r="C23" s="74" t="str">
        <x:v>Insurance</x:v>
      </x:c>
      <x:c r="D23" s="226" t="n">
        <x:v>2</x:v>
      </x:c>
      <x:c r="E23" s="240" t="n">
        <x:f>'Building Economics'!J20</x:f>
        <x:v>970</x:v>
      </x:c>
      <x:c r="F23" s="240" t="n">
        <x:f>'Building Economics'!N20</x:f>
        <x:v>7509</x:v>
      </x:c>
      <x:c r="G23" s="241" t="n">
        <x:f>'Building Economics'!O20</x:f>
        <x:v>0.06</x:v>
      </x:c>
      <x:c r="H23" s="243" t="n">
        <x:f>'Building Economics'!U20</x:f>
        <x:v>0.98</x:v>
      </x:c>
      <x:c r="I23" s="243" t="n">
        <x:f>('Model Assumptions'!$B$17+'Model Assumptions'!$B$18*'Model Assumptions'!$E$5)</x:f>
        <x:v>1.084</x:v>
      </x:c>
      <x:c r="J23" s="243" t="n">
        <x:f>('Model Assumptions'!$B$19+'Model Assumptions'!$B$20*'Model Assumptions'!$F$5)</x:f>
        <x:v>1.084</x:v>
      </x:c>
      <x:c r="K23" s="243" t="n">
        <x:f>'Model Assumptions'!$G$5</x:f>
        <x:v>1.02</x:v>
      </x:c>
      <x:c r="L23" s="243" t="n">
        <x:f>'Model Assumptions'!$H$5</x:f>
        <x:v>1</x:v>
      </x:c>
      <x:c r="M23" s="243" t="n">
        <x:f>1/(1+'Model Assumptions'!$B$22*(1-1))</x:f>
        <x:v>1</x:v>
      </x:c>
      <x:c r="N23" s="240" t="n">
        <x:f>MIN(E23,F23*G23*H23*I23*J23*K23*L23*M23*'Model Assumptions'!$J$5)</x:f>
        <x:v>529.1979663479041</x:v>
      </x:c>
      <x:c r="O23" s="241" t="n">
        <x:f>N23/E23</x:f>
        <x:v>0.5455649137607258</x:v>
      </x:c>
      <x:c r="P23" s="240" t="n">
        <x:f>'Building Economics'!K20*O23*'Building Economics'!Q20*'Model Assumptions'!$I$5*'Model Assumptions'!$K$5</x:f>
        <x:v>321.11242802903644</x:v>
      </x:c>
      <x:c r="Q23" s="240" t="n">
        <x:f>P23*(1-'Building Economics'!M20)</x:f>
        <x:v>279.3678123852617</x:v>
      </x:c>
      <x:c r="R23" s="240" t="n">
        <x:f>'Building Economics'!L20*O23*'Building Economics'!R20*'Model Assumptions'!$L$5</x:f>
        <x:v>41.513751847590356</x:v>
      </x:c>
      <x:c r="S23" s="277" t="n">
        <x:f>N23*'Building Economics'!T20</x:f>
        <x:v>9.175865657011203</x:v>
      </x:c>
      <x:c r="T23" s="74"/>
      <x:c r="U23" s="74"/>
      <x:c r="V23" s="74"/>
      <x:c r="W23" s="74"/>
      <x:c r="X23" s="74"/>
      <x:c r="Y23" s="74"/>
      <x:c r="Z23" s="74"/>
      <x:c r="AA23" s="74"/>
    </x:row>
    <x:row r="24">
      <x:c r="A24" s="90" t="str">
        <x:v>Starter</x:v>
      </x:c>
      <x:c r="B24" s="74" t="str">
        <x:v>Small Fund Office</x:v>
      </x:c>
      <x:c r="C24" s="74" t="str">
        <x:v>Asset Management</x:v>
      </x:c>
      <x:c r="D24" s="226" t="n">
        <x:v>4</x:v>
      </x:c>
      <x:c r="E24" s="240" t="n">
        <x:f>'Building Economics'!J22</x:f>
        <x:v>1374</x:v>
      </x:c>
      <x:c r="F24" s="240" t="n">
        <x:f>'Building Economics'!N22</x:f>
        <x:v>4225</x:v>
      </x:c>
      <x:c r="G24" s="241" t="n">
        <x:f>'Building Economics'!O22</x:f>
        <x:v>0.06</x:v>
      </x:c>
      <x:c r="H24" s="243" t="n">
        <x:f>'Building Economics'!U22</x:f>
        <x:v>0.98</x:v>
      </x:c>
      <x:c r="I24" s="243" t="n">
        <x:f>('Model Assumptions'!$B$17+'Model Assumptions'!$B$18*'Model Assumptions'!$E$5)</x:f>
        <x:v>1.084</x:v>
      </x:c>
      <x:c r="J24" s="243" t="n">
        <x:f>('Model Assumptions'!$B$19+'Model Assumptions'!$B$20*'Model Assumptions'!$F$5)</x:f>
        <x:v>1.084</x:v>
      </x:c>
      <x:c r="K24" s="243" t="n">
        <x:f>'Model Assumptions'!$G$5</x:f>
        <x:v>1.02</x:v>
      </x:c>
      <x:c r="L24" s="243" t="n">
        <x:f>'Model Assumptions'!$H$5</x:f>
        <x:v>1</x:v>
      </x:c>
      <x:c r="M24" s="243" t="n">
        <x:f>1/(1+'Model Assumptions'!$B$22*(1-1))</x:f>
        <x:v>1</x:v>
      </x:c>
      <x:c r="N24" s="240" t="n">
        <x:f>MIN(E24,F24*G24*H24*I24*J24*K24*L24*M24*'Model Assumptions'!$J$5)</x:f>
        <x:v>297.75754532160005</x:v>
      </x:c>
      <x:c r="O24" s="241" t="n">
        <x:f>N24/E24</x:f>
        <x:v>0.21670854826899566</x:v>
      </x:c>
      <x:c r="P24" s="240" t="n">
        <x:f>'Building Economics'!K22*O24*'Building Economics'!Q22*'Model Assumptions'!$I$5*'Model Assumptions'!$K$5</x:f>
        <x:v>261.74959916198134</x:v>
      </x:c>
      <x:c r="Q24" s="240" t="n">
        <x:f>P24*(1-'Building Economics'!M22)</x:f>
        <x:v>227.72215127092377</x:v>
      </x:c>
      <x:c r="R24" s="240" t="n">
        <x:f>'Building Economics'!L22*O24*'Building Economics'!R22*'Model Assumptions'!$L$5</x:f>
        <x:v>40.39443492836773</x:v>
      </x:c>
      <x:c r="S24" s="277" t="n">
        <x:f>N24*'Building Economics'!T22</x:f>
        <x:v>5.977702957201919</x:v>
      </x:c>
      <x:c r="T24" s="74"/>
      <x:c r="U24" s="74"/>
      <x:c r="V24" s="74"/>
      <x:c r="W24" s="74"/>
      <x:c r="X24" s="74"/>
      <x:c r="Y24" s="74"/>
      <x:c r="Z24" s="74"/>
      <x:c r="AA24" s="74"/>
    </x:row>
    <x:row r="25">
      <x:c r="A25" s="90" t="str">
        <x:v>Starter</x:v>
      </x:c>
      <x:c r="B25" s="74" t="str">
        <x:v>Financial Services Hub</x:v>
      </x:c>
      <x:c r="C25" s="74" t="str">
        <x:v>Multi-Service</x:v>
      </x:c>
      <x:c r="D25" s="226" t="n">
        <x:v>4</x:v>
      </x:c>
      <x:c r="E25" s="240" t="n">
        <x:f>'Building Economics'!J23</x:f>
        <x:v>1635</x:v>
      </x:c>
      <x:c r="F25" s="240" t="n">
        <x:f>'Building Economics'!N23</x:f>
        <x:v>9100</x:v>
      </x:c>
      <x:c r="G25" s="241" t="n">
        <x:f>'Building Economics'!O23</x:f>
        <x:v>0.06</x:v>
      </x:c>
      <x:c r="H25" s="243" t="n">
        <x:f>'Building Economics'!U23</x:f>
        <x:v>0.98</x:v>
      </x:c>
      <x:c r="I25" s="243" t="n">
        <x:f>('Model Assumptions'!$B$17+'Model Assumptions'!$B$18*'Model Assumptions'!$E$5)</x:f>
        <x:v>1.084</x:v>
      </x:c>
      <x:c r="J25" s="243" t="n">
        <x:f>('Model Assumptions'!$B$19+'Model Assumptions'!$B$20*'Model Assumptions'!$F$5)</x:f>
        <x:v>1.084</x:v>
      </x:c>
      <x:c r="K25" s="243" t="n">
        <x:f>'Model Assumptions'!$G$5</x:f>
        <x:v>1.02</x:v>
      </x:c>
      <x:c r="L25" s="243" t="n">
        <x:f>'Model Assumptions'!$H$5</x:f>
        <x:v>1</x:v>
      </x:c>
      <x:c r="M25" s="243" t="n">
        <x:f>1/(1+'Model Assumptions'!$B$22*(1-1))</x:f>
        <x:v>1</x:v>
      </x:c>
      <x:c r="N25" s="240" t="n">
        <x:f>MIN(E25,F25*G25*H25*I25*J25*K25*L25*M25*'Model Assumptions'!$J$5)</x:f>
        <x:v>641.3239437696002</x:v>
      </x:c>
      <x:c r="O25" s="241" t="n">
        <x:f>N25/E25</x:f>
        <x:v>0.3922470604095414</x:v>
      </x:c>
      <x:c r="P25" s="240" t="n">
        <x:f>'Building Economics'!K23*O25*'Building Economics'!Q23*'Model Assumptions'!$I$5*'Model Assumptions'!$K$5</x:f>
        <x:v>512.3563646644221</x:v>
      </x:c>
      <x:c r="Q25" s="240" t="n">
        <x:f>P25*(1-'Building Economics'!M23)</x:f>
        <x:v>445.75003725804726</x:v>
      </x:c>
      <x:c r="R25" s="240" t="n">
        <x:f>'Building Economics'!L23*O25*'Building Economics'!R23*'Model Assumptions'!$L$5</x:f>
        <x:v>77.7657814909088</x:v>
      </x:c>
      <x:c r="S25" s="277" t="n">
        <x:f>N25*'Building Economics'!T23</x:f>
        <x:v>12.849030926161923</x:v>
      </x:c>
      <x:c r="T25" s="74"/>
      <x:c r="U25" s="74"/>
      <x:c r="V25" s="74"/>
      <x:c r="W25" s="74"/>
      <x:c r="X25" s="74"/>
      <x:c r="Y25" s="74"/>
      <x:c r="Z25" s="74"/>
      <x:c r="AA25" s="74"/>
    </x:row>
    <x:row r="26">
      <x:c r="A26" s="90" t="str">
        <x:v>Growing</x:v>
      </x:c>
      <x:c r="B26" s="74" t="str">
        <x:v>Community Bank Branch</x:v>
      </x:c>
      <x:c r="C26" s="74" t="str">
        <x:v>Banking</x:v>
      </x:c>
      <x:c r="D26" s="226" t="n">
        <x:v>4</x:v>
      </x:c>
      <x:c r="E26" s="240" t="n">
        <x:f>'Building Economics'!J24</x:f>
        <x:v>1946</x:v>
      </x:c>
      <x:c r="F26" s="240" t="n">
        <x:f>'Building Economics'!N24</x:f>
        <x:v>39850</x:v>
      </x:c>
      <x:c r="G26" s="241" t="n">
        <x:f>'Building Economics'!O24</x:f>
        <x:v>0.08</x:v>
      </x:c>
      <x:c r="H26" s="243" t="n">
        <x:f>'Building Economics'!U24</x:f>
        <x:v>1.06</x:v>
      </x:c>
      <x:c r="I26" s="243" t="n">
        <x:f>('Model Assumptions'!$B$17+'Model Assumptions'!$B$18*'Model Assumptions'!$E$6)</x:f>
        <x:v>1.1400000000000001</x:v>
      </x:c>
      <x:c r="J26" s="243" t="n">
        <x:f>('Model Assumptions'!$B$19+'Model Assumptions'!$B$20*'Model Assumptions'!$F$6)</x:f>
        <x:v>1.126</x:v>
      </x:c>
      <x:c r="K26" s="243" t="n">
        <x:f>'Model Assumptions'!$G$6</x:f>
        <x:v>1.04</x:v>
      </x:c>
      <x:c r="L26" s="243" t="n">
        <x:f>'Model Assumptions'!$H$6</x:f>
        <x:v>1.01</x:v>
      </x:c>
      <x:c r="M26" s="243" t="n">
        <x:f>1/(1+'Model Assumptions'!$B$22*(1-1))</x:f>
        <x:v>1</x:v>
      </x:c>
      <x:c r="N26" s="240" t="n">
        <x:f>MIN(E26,F26*G26*H26*I26*J26*K26*L26*M26*'Model Assumptions'!$J$6)</x:f>
        <x:v>1946</x:v>
      </x:c>
      <x:c r="O26" s="241" t="n">
        <x:f>N26/E26</x:f>
        <x:v>1</x:v>
      </x:c>
      <x:c r="P26" s="240" t="n">
        <x:f>'Building Economics'!K24*O26*'Building Economics'!Q24*'Model Assumptions'!$I$6*'Model Assumptions'!$K$6</x:f>
        <x:v>1434.0876097867</x:v>
      </x:c>
      <x:c r="Q26" s="240" t="n">
        <x:f>P26*(1-'Building Economics'!M24)</x:f>
        <x:v>1233.315344416562</x:v>
      </x:c>
      <x:c r="R26" s="240" t="n">
        <x:f>'Building Economics'!L24*O26*'Building Economics'!R24*'Model Assumptions'!$L$6</x:f>
        <x:v>185.6585947302384</x:v>
      </x:c>
      <x:c r="S26" s="277" t="n">
        <x:f>N26*'Building Economics'!T24</x:f>
        <x:v>35.125666248431614</x:v>
      </x:c>
      <x:c r="T26" s="74"/>
      <x:c r="U26" s="74"/>
      <x:c r="V26" s="74"/>
      <x:c r="W26" s="74"/>
      <x:c r="X26" s="74"/>
      <x:c r="Y26" s="74"/>
      <x:c r="Z26" s="74"/>
      <x:c r="AA26" s="74"/>
    </x:row>
    <x:row r="27">
      <x:c r="A27" s="90" t="str">
        <x:v>Growing</x:v>
      </x:c>
      <x:c r="B27" s="74" t="str">
        <x:v>Brokerage House</x:v>
      </x:c>
      <x:c r="C27" s="74" t="str">
        <x:v>Brokerage</x:v>
      </x:c>
      <x:c r="D27" s="226" t="n">
        <x:v>4</x:v>
      </x:c>
      <x:c r="E27" s="240" t="n">
        <x:f>'Building Economics'!J25</x:f>
        <x:v>2315</x:v>
      </x:c>
      <x:c r="F27" s="240" t="n">
        <x:f>'Building Economics'!N25</x:f>
        <x:v>31550</x:v>
      </x:c>
      <x:c r="G27" s="241" t="n">
        <x:f>'Building Economics'!O25</x:f>
        <x:v>0.08</x:v>
      </x:c>
      <x:c r="H27" s="243" t="n">
        <x:f>'Building Economics'!U25</x:f>
        <x:v>1.06</x:v>
      </x:c>
      <x:c r="I27" s="243" t="n">
        <x:f>('Model Assumptions'!$B$17+'Model Assumptions'!$B$18*'Model Assumptions'!$E$6)</x:f>
        <x:v>1.1400000000000001</x:v>
      </x:c>
      <x:c r="J27" s="243" t="n">
        <x:f>('Model Assumptions'!$B$19+'Model Assumptions'!$B$20*'Model Assumptions'!$F$6)</x:f>
        <x:v>1.126</x:v>
      </x:c>
      <x:c r="K27" s="243" t="n">
        <x:f>'Model Assumptions'!$G$6</x:f>
        <x:v>1.04</x:v>
      </x:c>
      <x:c r="L27" s="243" t="n">
        <x:f>'Model Assumptions'!$H$6</x:f>
        <x:v>1.01</x:v>
      </x:c>
      <x:c r="M27" s="243" t="n">
        <x:f>1/(1+'Model Assumptions'!$B$22*(1-1))</x:f>
        <x:v>1</x:v>
      </x:c>
      <x:c r="N27" s="240" t="n">
        <x:f>MIN(E27,F27*G27*H27*I27*J27*K27*L27*M27*'Model Assumptions'!$J$6)</x:f>
        <x:v>2315</x:v>
      </x:c>
      <x:c r="O27" s="241" t="n">
        <x:f>N27/E27</x:f>
        <x:v>1</x:v>
      </x:c>
      <x:c r="P27" s="240" t="n">
        <x:f>'Building Economics'!K25*O27*'Building Economics'!Q25*'Model Assumptions'!$I$6*'Model Assumptions'!$K$6</x:f>
        <x:v>2120.2035</x:v>
      </x:c>
      <x:c r="Q27" s="240" t="n">
        <x:f>P27*(1-'Building Economics'!M25)</x:f>
        <x:v>1823.37501</x:v>
      </x:c>
      <x:c r="R27" s="240" t="n">
        <x:f>'Building Economics'!L25*O27*'Building Economics'!R25*'Model Assumptions'!$L$6</x:f>
        <x:v>375.1409667194929</x:v>
      </x:c>
      <x:c r="S27" s="277" t="n">
        <x:f>N27*'Building Economics'!T25</x:f>
        <x:v>55.22980982567354</x:v>
      </x:c>
      <x:c r="T27" s="74"/>
      <x:c r="U27" s="74"/>
      <x:c r="V27" s="74"/>
      <x:c r="W27" s="74"/>
      <x:c r="X27" s="74"/>
      <x:c r="Y27" s="74"/>
      <x:c r="Z27" s="74"/>
      <x:c r="AA27" s="74"/>
    </x:row>
    <x:row r="28">
      <x:c r="A28" s="90" t="str">
        <x:v>Growing</x:v>
      </x:c>
      <x:c r="B28" s="74" t="str">
        <x:v>Investment Advisory Firm</x:v>
      </x:c>
      <x:c r="C28" s="74" t="str">
        <x:v>Advisory</x:v>
      </x:c>
      <x:c r="D28" s="226" t="n">
        <x:v>4</x:v>
      </x:c>
      <x:c r="E28" s="240" t="n">
        <x:f>'Building Economics'!J26</x:f>
        <x:v>2755</x:v>
      </x:c>
      <x:c r="F28" s="240" t="n">
        <x:f>'Building Economics'!N26</x:f>
        <x:v>24850</x:v>
      </x:c>
      <x:c r="G28" s="241" t="n">
        <x:f>'Building Economics'!O26</x:f>
        <x:v>0.08</x:v>
      </x:c>
      <x:c r="H28" s="243" t="n">
        <x:f>'Building Economics'!U26</x:f>
        <x:v>1.06</x:v>
      </x:c>
      <x:c r="I28" s="243" t="n">
        <x:f>('Model Assumptions'!$B$17+'Model Assumptions'!$B$18*'Model Assumptions'!$E$6)</x:f>
        <x:v>1.1400000000000001</x:v>
      </x:c>
      <x:c r="J28" s="243" t="n">
        <x:f>('Model Assumptions'!$B$19+'Model Assumptions'!$B$20*'Model Assumptions'!$F$6)</x:f>
        <x:v>1.126</x:v>
      </x:c>
      <x:c r="K28" s="243" t="n">
        <x:f>'Model Assumptions'!$G$6</x:f>
        <x:v>1.04</x:v>
      </x:c>
      <x:c r="L28" s="243" t="n">
        <x:f>'Model Assumptions'!$H$6</x:f>
        <x:v>1.01</x:v>
      </x:c>
      <x:c r="M28" s="243" t="n">
        <x:f>1/(1+'Model Assumptions'!$B$22*(1-1))</x:f>
        <x:v>1</x:v>
      </x:c>
      <x:c r="N28" s="240" t="n">
        <x:f>MIN(E28,F28*G28*H28*I28*J28*K28*L28*M28*'Model Assumptions'!$J$6)</x:f>
        <x:v>2755</x:v>
      </x:c>
      <x:c r="O28" s="241" t="n">
        <x:f>N28/E28</x:f>
        <x:v>1</x:v>
      </x:c>
      <x:c r="P28" s="240" t="n">
        <x:f>'Building Economics'!K26*O28*'Building Economics'!Q26*'Model Assumptions'!$I$6*'Model Assumptions'!$K$6</x:f>
        <x:v>2198.6375855130786</x:v>
      </x:c>
      <x:c r="Q28" s="240" t="n">
        <x:f>P28*(1-'Building Economics'!M26)</x:f>
        <x:v>1890.8283235412475</x:v>
      </x:c>
      <x:c r="R28" s="240" t="n">
        <x:f>'Building Economics'!L26*O28*'Building Economics'!R26*'Model Assumptions'!$L$6</x:f>
        <x:v>309.18249496981895</x:v>
      </x:c>
      <x:c r="S28" s="277" t="n">
        <x:f>N28*'Building Economics'!T26</x:f>
        <x:v>53.28181086519114</x:v>
      </x:c>
      <x:c r="T28" s="74"/>
      <x:c r="U28" s="74"/>
      <x:c r="V28" s="74"/>
      <x:c r="W28" s="74"/>
      <x:c r="X28" s="74"/>
      <x:c r="Y28" s="74"/>
      <x:c r="Z28" s="74"/>
      <x:c r="AA28" s="74"/>
    </x:row>
    <x:row r="29">
      <x:c r="A29" s="90" t="str">
        <x:v>Growing</x:v>
      </x:c>
      <x:c r="B29" s="74" t="str">
        <x:v>Asset Management Office</x:v>
      </x:c>
      <x:c r="C29" s="74" t="str">
        <x:v>Asset Management</x:v>
      </x:c>
      <x:c r="D29" s="226" t="n">
        <x:v>4</x:v>
      </x:c>
      <x:c r="E29" s="240" t="n">
        <x:f>'Building Economics'!J27</x:f>
        <x:v>3279</x:v>
      </x:c>
      <x:c r="F29" s="240" t="n">
        <x:f>'Building Economics'!N27</x:f>
        <x:v>22100</x:v>
      </x:c>
      <x:c r="G29" s="241" t="n">
        <x:f>'Building Economics'!O27</x:f>
        <x:v>0.08</x:v>
      </x:c>
      <x:c r="H29" s="243" t="n">
        <x:f>'Building Economics'!U27</x:f>
        <x:v>1.06</x:v>
      </x:c>
      <x:c r="I29" s="243" t="n">
        <x:f>('Model Assumptions'!$B$17+'Model Assumptions'!$B$18*'Model Assumptions'!$E$6)</x:f>
        <x:v>1.1400000000000001</x:v>
      </x:c>
      <x:c r="J29" s="243" t="n">
        <x:f>('Model Assumptions'!$B$19+'Model Assumptions'!$B$20*'Model Assumptions'!$F$6)</x:f>
        <x:v>1.126</x:v>
      </x:c>
      <x:c r="K29" s="243" t="n">
        <x:f>'Model Assumptions'!$G$6</x:f>
        <x:v>1.04</x:v>
      </x:c>
      <x:c r="L29" s="243" t="n">
        <x:f>'Model Assumptions'!$H$6</x:f>
        <x:v>1.01</x:v>
      </x:c>
      <x:c r="M29" s="243" t="n">
        <x:f>1/(1+'Model Assumptions'!$B$22*(1-1))</x:f>
        <x:v>1</x:v>
      </x:c>
      <x:c r="N29" s="240" t="n">
        <x:f>MIN(E29,F29*G29*H29*I29*J29*K29*L29*M29*'Model Assumptions'!$J$6)</x:f>
        <x:v>2526.8885113804804</x:v>
      </x:c>
      <x:c r="O29" s="241" t="n">
        <x:f>N29/E29</x:f>
        <x:v>0.770627786331345</x:v>
      </x:c>
      <x:c r="P29" s="240" t="n">
        <x:f>'Building Economics'!K27*O29*'Building Economics'!Q27*'Model Assumptions'!$I$6*'Model Assumptions'!$K$6</x:f>
        <x:v>2529.3631253497706</x:v>
      </x:c>
      <x:c r="Q29" s="240" t="n">
        <x:f>P29*(1-'Building Economics'!M27)</x:f>
        <x:v>2175.2522878008026</x:v>
      </x:c>
      <x:c r="R29" s="240" t="n">
        <x:f>'Building Economics'!L27*O29*'Building Economics'!R27*'Model Assumptions'!$L$6</x:f>
        <x:v>346.8559052740024</x:v>
      </x:c>
      <x:c r="S29" s="277" t="n">
        <x:f>N29*'Building Economics'!T27</x:f>
        <x:v>49.36008010692096</x:v>
      </x:c>
      <x:c r="T29" s="74"/>
      <x:c r="U29" s="74"/>
      <x:c r="V29" s="74"/>
      <x:c r="W29" s="74"/>
      <x:c r="X29" s="74"/>
      <x:c r="Y29" s="74"/>
      <x:c r="Z29" s="74"/>
      <x:c r="AA29" s="74"/>
    </x:row>
    <x:row r="30">
      <x:c r="A30" s="90" t="str">
        <x:v>Growing</x:v>
      </x:c>
      <x:c r="B30" s="74" t="str">
        <x:v>Market Research Center</x:v>
      </x:c>
      <x:c r="C30" s="74" t="str">
        <x:v>Research</x:v>
      </x:c>
      <x:c r="D30" s="226" t="n">
        <x:v>4</x:v>
      </x:c>
      <x:c r="E30" s="240" t="n">
        <x:f>'Building Economics'!J28</x:f>
        <x:v>3902</x:v>
      </x:c>
      <x:c r="F30" s="240" t="n">
        <x:f>'Building Economics'!N28</x:f>
        <x:v>22600</x:v>
      </x:c>
      <x:c r="G30" s="241" t="n">
        <x:f>'Building Economics'!O28</x:f>
        <x:v>0.08</x:v>
      </x:c>
      <x:c r="H30" s="243" t="n">
        <x:f>'Building Economics'!U28</x:f>
        <x:v>1.06</x:v>
      </x:c>
      <x:c r="I30" s="243" t="n">
        <x:f>('Model Assumptions'!$B$17+'Model Assumptions'!$B$18*'Model Assumptions'!$E$6)</x:f>
        <x:v>1.1400000000000001</x:v>
      </x:c>
      <x:c r="J30" s="243" t="n">
        <x:f>('Model Assumptions'!$B$19+'Model Assumptions'!$B$20*'Model Assumptions'!$F$6)</x:f>
        <x:v>1.126</x:v>
      </x:c>
      <x:c r="K30" s="243" t="n">
        <x:f>'Model Assumptions'!$G$6</x:f>
        <x:v>1.04</x:v>
      </x:c>
      <x:c r="L30" s="243" t="n">
        <x:f>'Model Assumptions'!$H$6</x:f>
        <x:v>1.01</x:v>
      </x:c>
      <x:c r="M30" s="243" t="n">
        <x:f>1/(1+'Model Assumptions'!$B$22*(1-1))</x:f>
        <x:v>1</x:v>
      </x:c>
      <x:c r="N30" s="240" t="n">
        <x:f>MIN(E30,F30*G30*H30*I30*J30*K30*L30*M30*'Model Assumptions'!$J$6)</x:f>
        <x:v>2584.05793471488</x:v>
      </x:c>
      <x:c r="O30" s="241" t="n">
        <x:f>N30/E30</x:f>
        <x:v>0.662239347697304</x:v>
      </x:c>
      <x:c r="P30" s="240" t="n">
        <x:f>'Building Economics'!K28*O30*'Building Economics'!Q28*'Model Assumptions'!$I$6*'Model Assumptions'!$K$6</x:f>
        <x:v>1792.0109544074055</x:v>
      </x:c>
      <x:c r="Q30" s="240" t="n">
        <x:f>P30*(1-'Building Economics'!M28)</x:f>
        <x:v>1541.1294207903686</x:v>
      </x:c>
      <x:c r="R30" s="240" t="n">
        <x:f>'Building Economics'!L28*O30*'Building Economics'!R28*'Model Assumptions'!$L$6</x:f>
        <x:v>307.78745789272375</x:v>
      </x:c>
      <x:c r="S30" s="277" t="n">
        <x:f>N30*'Building Economics'!T28</x:f>
        <x:v>60.96547304380416</x:v>
      </x:c>
      <x:c r="T30" s="74"/>
      <x:c r="U30" s="74"/>
      <x:c r="V30" s="74"/>
      <x:c r="W30" s="74"/>
      <x:c r="X30" s="74"/>
      <x:c r="Y30" s="74"/>
      <x:c r="Z30" s="74"/>
      <x:c r="AA30" s="74"/>
    </x:row>
    <x:row r="31">
      <x:c r="A31" s="90" t="str">
        <x:v>Growing</x:v>
      </x:c>
      <x:c r="B31" s="74" t="str">
        <x:v>Lending Center</x:v>
      </x:c>
      <x:c r="C31" s="74" t="str">
        <x:v>Lending</x:v>
      </x:c>
      <x:c r="D31" s="226" t="n">
        <x:v>4</x:v>
      </x:c>
      <x:c r="E31" s="240" t="n">
        <x:f>'Building Economics'!J29</x:f>
        <x:v>4643</x:v>
      </x:c>
      <x:c r="F31" s="240" t="n">
        <x:f>'Building Economics'!N29</x:f>
        <x:v>32050</x:v>
      </x:c>
      <x:c r="G31" s="241" t="n">
        <x:f>'Building Economics'!O29</x:f>
        <x:v>0.08</x:v>
      </x:c>
      <x:c r="H31" s="243" t="n">
        <x:f>'Building Economics'!U29</x:f>
        <x:v>1.06</x:v>
      </x:c>
      <x:c r="I31" s="243" t="n">
        <x:f>('Model Assumptions'!$B$17+'Model Assumptions'!$B$18*'Model Assumptions'!$E$6)</x:f>
        <x:v>1.1400000000000001</x:v>
      </x:c>
      <x:c r="J31" s="243" t="n">
        <x:f>('Model Assumptions'!$B$19+'Model Assumptions'!$B$20*'Model Assumptions'!$F$6)</x:f>
        <x:v>1.126</x:v>
      </x:c>
      <x:c r="K31" s="243" t="n">
        <x:f>'Model Assumptions'!$G$6</x:f>
        <x:v>1.04</x:v>
      </x:c>
      <x:c r="L31" s="243" t="n">
        <x:f>'Model Assumptions'!$H$6</x:f>
        <x:v>1.01</x:v>
      </x:c>
      <x:c r="M31" s="243" t="n">
        <x:f>1/(1+'Model Assumptions'!$B$22*(1-1))</x:f>
        <x:v>1</x:v>
      </x:c>
      <x:c r="N31" s="240" t="n">
        <x:f>MIN(E31,F31*G31*H31*I31*J31*K31*L31*M31*'Model Assumptions'!$J$6)</x:f>
        <x:v>3664.5600357350404</x:v>
      </x:c>
      <x:c r="O31" s="241" t="n">
        <x:f>N31/E31</x:f>
        <x:v>0.7892655687562008</x:v>
      </x:c>
      <x:c r="P31" s="240" t="n">
        <x:f>'Building Economics'!K29*O31*'Building Economics'!Q29*'Model Assumptions'!$I$6*'Model Assumptions'!$K$6</x:f>
        <x:v>3056.185635649428</x:v>
      </x:c>
      <x:c r="Q31" s="240" t="n">
        <x:f>P31*(1-'Building Economics'!M29)</x:f>
        <x:v>2628.319646658508</x:v>
      </x:c>
      <x:c r="R31" s="240" t="n">
        <x:f>'Building Economics'!L29*O31*'Building Economics'!R29*'Model Assumptions'!$L$6</x:f>
        <x:v>341.9235734196505</x:v>
      </x:c>
      <x:c r="S31" s="277" t="n">
        <x:f>N31*'Building Economics'!T29</x:f>
        <x:v>63.89254751852544</x:v>
      </x:c>
      <x:c r="T31" s="74"/>
      <x:c r="U31" s="74"/>
      <x:c r="V31" s="74"/>
      <x:c r="W31" s="74"/>
      <x:c r="X31" s="74"/>
      <x:c r="Y31" s="74"/>
      <x:c r="Z31" s="74"/>
      <x:c r="AA31" s="74"/>
    </x:row>
    <x:row r="32">
      <x:c r="A32" s="90" t="str">
        <x:v>Growing</x:v>
      </x:c>
      <x:c r="B32" s="74" t="str">
        <x:v>Wealth Management Office</x:v>
      </x:c>
      <x:c r="C32" s="74" t="str">
        <x:v>Wealth</x:v>
      </x:c>
      <x:c r="D32" s="226" t="n">
        <x:v>4</x:v>
      </x:c>
      <x:c r="E32" s="240" t="n">
        <x:f>'Building Economics'!J30</x:f>
        <x:v>5526</x:v>
      </x:c>
      <x:c r="F32" s="240" t="n">
        <x:f>'Building Economics'!N30</x:f>
        <x:v>15150</x:v>
      </x:c>
      <x:c r="G32" s="241" t="n">
        <x:f>'Building Economics'!O30</x:f>
        <x:v>0.08</x:v>
      </x:c>
      <x:c r="H32" s="243" t="n">
        <x:f>'Building Economics'!U30</x:f>
        <x:v>1.06</x:v>
      </x:c>
      <x:c r="I32" s="243" t="n">
        <x:f>('Model Assumptions'!$B$17+'Model Assumptions'!$B$18*'Model Assumptions'!$E$6)</x:f>
        <x:v>1.1400000000000001</x:v>
      </x:c>
      <x:c r="J32" s="243" t="n">
        <x:f>('Model Assumptions'!$B$19+'Model Assumptions'!$B$20*'Model Assumptions'!$F$6)</x:f>
        <x:v>1.126</x:v>
      </x:c>
      <x:c r="K32" s="243" t="n">
        <x:f>'Model Assumptions'!$G$6</x:f>
        <x:v>1.04</x:v>
      </x:c>
      <x:c r="L32" s="243" t="n">
        <x:f>'Model Assumptions'!$H$6</x:f>
        <x:v>1.01</x:v>
      </x:c>
      <x:c r="M32" s="243" t="n">
        <x:f>1/(1+'Model Assumptions'!$B$22*(1-1))</x:f>
        <x:v>1</x:v>
      </x:c>
      <x:c r="N32" s="240" t="n">
        <x:f>MIN(E32,F32*G32*H32*I32*J32*K32*L32*M32*'Model Assumptions'!$J$6)</x:f>
        <x:v>1732.2335270323201</x:v>
      </x:c>
      <x:c r="O32" s="241" t="n">
        <x:f>N32/E32</x:f>
        <x:v>0.31346969363596094</x:v>
      </x:c>
      <x:c r="P32" s="240" t="n">
        <x:f>'Building Economics'!K30*O32*'Building Economics'!Q30*'Model Assumptions'!$I$6*'Model Assumptions'!$K$6</x:f>
        <x:v>1838.0162401389491</x:v>
      </x:c>
      <x:c r="Q32" s="240" t="n">
        <x:f>P32*(1-'Building Economics'!M30)</x:f>
        <x:v>1580.6939665194961</x:v>
      </x:c>
      <x:c r="R32" s="240" t="n">
        <x:f>'Building Economics'!L30*O32*'Building Economics'!R30*'Model Assumptions'!$L$6</x:f>
        <x:v>211.46634496078596</x:v>
      </x:c>
      <x:c r="S32" s="277" t="n">
        <x:f>N32*'Building Economics'!T30</x:f>
        <x:v>30.254058828564485</x:v>
      </x:c>
      <x:c r="T32" s="74"/>
      <x:c r="U32" s="74"/>
      <x:c r="V32" s="74"/>
      <x:c r="W32" s="74"/>
      <x:c r="X32" s="74"/>
      <x:c r="Y32" s="74"/>
      <x:c r="Z32" s="74"/>
      <x:c r="AA32" s="74"/>
    </x:row>
    <x:row r="33">
      <x:c r="A33" s="90" t="str">
        <x:v>Growing</x:v>
      </x:c>
      <x:c r="B33" s="74" t="str">
        <x:v>Digital Finance Hub</x:v>
      </x:c>
      <x:c r="C33" s="74" t="str">
        <x:v>Fintech</x:v>
      </x:c>
      <x:c r="D33" s="226" t="n">
        <x:v>4</x:v>
      </x:c>
      <x:c r="E33" s="240" t="n">
        <x:f>'Building Economics'!J31</x:f>
        <x:v>6575</x:v>
      </x:c>
      <x:c r="F33" s="240" t="n">
        <x:f>'Building Economics'!N31</x:f>
        <x:v>41800</x:v>
      </x:c>
      <x:c r="G33" s="241" t="n">
        <x:f>'Building Economics'!O31</x:f>
        <x:v>0.08</x:v>
      </x:c>
      <x:c r="H33" s="243" t="n">
        <x:f>'Building Economics'!U31</x:f>
        <x:v>1.06</x:v>
      </x:c>
      <x:c r="I33" s="243" t="n">
        <x:f>('Model Assumptions'!$B$17+'Model Assumptions'!$B$18*'Model Assumptions'!$E$6)</x:f>
        <x:v>1.1400000000000001</x:v>
      </x:c>
      <x:c r="J33" s="243" t="n">
        <x:f>('Model Assumptions'!$B$19+'Model Assumptions'!$B$20*'Model Assumptions'!$F$6)</x:f>
        <x:v>1.126</x:v>
      </x:c>
      <x:c r="K33" s="243" t="n">
        <x:f>'Model Assumptions'!$G$6</x:f>
        <x:v>1.04</x:v>
      </x:c>
      <x:c r="L33" s="243" t="n">
        <x:f>'Model Assumptions'!$H$6</x:f>
        <x:v>1.01</x:v>
      </x:c>
      <x:c r="M33" s="243" t="n">
        <x:f>1/(1+'Model Assumptions'!$B$22*(1-1))</x:f>
        <x:v>1</x:v>
      </x:c>
      <x:c r="N33" s="240" t="n">
        <x:f>MIN(E33,F33*G33*H33*I33*J33*K33*L33*M33*'Model Assumptions'!$J$6)</x:f>
        <x:v>4779.3637907558405</x:v>
      </x:c>
      <x:c r="O33" s="241" t="n">
        <x:f>N33/E33</x:f>
        <x:v>0.7268994358564016</x:v>
      </x:c>
      <x:c r="P33" s="240" t="n">
        <x:f>'Building Economics'!K31*O33*'Building Economics'!Q31*'Model Assumptions'!$I$6*'Model Assumptions'!$K$6</x:f>
        <x:v>4118.502360014845</x:v>
      </x:c>
      <x:c r="Q33" s="240" t="n">
        <x:f>P33*(1-'Building Economics'!M31)</x:f>
        <x:v>3541.9120296127667</x:v>
      </x:c>
      <x:c r="R33" s="240" t="n">
        <x:f>'Building Economics'!L31*O33*'Building Economics'!R31*'Model Assumptions'!$L$6</x:f>
        <x:v>634.1403727147418</x:v>
      </x:c>
      <x:c r="S33" s="277" t="n">
        <x:f>N33*'Building Economics'!T31</x:f>
        <x:v>100.92689995454977</x:v>
      </x:c>
      <x:c r="T33" s="74"/>
      <x:c r="U33" s="74"/>
      <x:c r="V33" s="74"/>
      <x:c r="W33" s="74"/>
      <x:c r="X33" s="74"/>
      <x:c r="Y33" s="74"/>
      <x:c r="Z33" s="74"/>
      <x:c r="AA33" s="74"/>
    </x:row>
    <x:row r="34">
      <x:c r="A34" s="90" t="str">
        <x:v>Growing</x:v>
      </x:c>
      <x:c r="B34" s="74" t="str">
        <x:v>Trading House</x:v>
      </x:c>
      <x:c r="C34" s="74" t="str">
        <x:v>Trading</x:v>
      </x:c>
      <x:c r="D34" s="226" t="n">
        <x:v>6</x:v>
      </x:c>
      <x:c r="E34" s="240" t="n">
        <x:f>'Building Economics'!J32</x:f>
        <x:v>7825</x:v>
      </x:c>
      <x:c r="F34" s="240" t="n">
        <x:f>'Building Economics'!N32</x:f>
        <x:v>26650</x:v>
      </x:c>
      <x:c r="G34" s="241" t="n">
        <x:f>'Building Economics'!O32</x:f>
        <x:v>0.08</x:v>
      </x:c>
      <x:c r="H34" s="243" t="n">
        <x:f>'Building Economics'!U32</x:f>
        <x:v>1.06</x:v>
      </x:c>
      <x:c r="I34" s="243" t="n">
        <x:f>('Model Assumptions'!$B$17+'Model Assumptions'!$B$18*'Model Assumptions'!$E$6)</x:f>
        <x:v>1.1400000000000001</x:v>
      </x:c>
      <x:c r="J34" s="243" t="n">
        <x:f>('Model Assumptions'!$B$19+'Model Assumptions'!$B$20*'Model Assumptions'!$F$6)</x:f>
        <x:v>1.126</x:v>
      </x:c>
      <x:c r="K34" s="243" t="n">
        <x:f>'Model Assumptions'!$G$6</x:f>
        <x:v>1.04</x:v>
      </x:c>
      <x:c r="L34" s="243" t="n">
        <x:f>'Model Assumptions'!$H$6</x:f>
        <x:v>1.01</x:v>
      </x:c>
      <x:c r="M34" s="243" t="n">
        <x:f>1/(1+'Model Assumptions'!$B$22*(1-1))</x:f>
        <x:v>1</x:v>
      </x:c>
      <x:c r="N34" s="240" t="n">
        <x:f>MIN(E34,F34*G34*H34*I34*J34*K34*L34*M34*'Model Assumptions'!$J$6)</x:f>
        <x:v>3047.1302637235203</x:v>
      </x:c>
      <x:c r="O34" s="241" t="n">
        <x:f>N34/E34</x:f>
        <x:v>0.38940961836722304</x:v>
      </x:c>
      <x:c r="P34" s="240" t="n">
        <x:f>'Building Economics'!K32*O34*'Building Economics'!Q32*'Model Assumptions'!$I$6*'Model Assumptions'!$K$6</x:f>
        <x:v>3321.990817059596</x:v>
      </x:c>
      <x:c r="Q34" s="240" t="n">
        <x:f>P34*(1-'Building Economics'!M32)</x:f>
        <x:v>2856.9121026712523</x:v>
      </x:c>
      <x:c r="R34" s="240" t="n">
        <x:f>'Building Economics'!L32*O34*'Building Economics'!R32*'Model Assumptions'!$L$6</x:f>
        <x:v>540.1822645521639</x:v>
      </x:c>
      <x:c r="S34" s="277" t="n">
        <x:f>N34*'Building Economics'!T32</x:f>
        <x:v>76.6756305760973</x:v>
      </x:c>
      <x:c r="T34" s="74"/>
      <x:c r="U34" s="74"/>
      <x:c r="V34" s="74"/>
      <x:c r="W34" s="74"/>
      <x:c r="X34" s="74"/>
      <x:c r="Y34" s="74"/>
      <x:c r="Z34" s="74"/>
      <x:c r="AA34" s="74"/>
    </x:row>
    <x:row r="35">
      <x:c r="A35" s="90" t="str">
        <x:v>Growing</x:v>
      </x:c>
      <x:c r="B35" s="74" t="str">
        <x:v>Private Vault Facility</x:v>
      </x:c>
      <x:c r="C35" s="74" t="str">
        <x:v>Treasury</x:v>
      </x:c>
      <x:c r="D35" s="226" t="n">
        <x:v>4</x:v>
      </x:c>
      <x:c r="E35" s="240" t="n">
        <x:f>'Building Economics'!J33</x:f>
        <x:v>9311</x:v>
      </x:c>
      <x:c r="F35" s="240" t="n">
        <x:f>'Building Economics'!N33</x:f>
        <x:v>12700</x:v>
      </x:c>
      <x:c r="G35" s="241" t="n">
        <x:f>'Building Economics'!O33</x:f>
        <x:v>0.08</x:v>
      </x:c>
      <x:c r="H35" s="243" t="n">
        <x:f>'Building Economics'!U33</x:f>
        <x:v>1.06</x:v>
      </x:c>
      <x:c r="I35" s="243" t="n">
        <x:f>('Model Assumptions'!$B$17+'Model Assumptions'!$B$18*'Model Assumptions'!$E$6)</x:f>
        <x:v>1.1400000000000001</x:v>
      </x:c>
      <x:c r="J35" s="243" t="n">
        <x:f>('Model Assumptions'!$B$19+'Model Assumptions'!$B$20*'Model Assumptions'!$F$6)</x:f>
        <x:v>1.126</x:v>
      </x:c>
      <x:c r="K35" s="243" t="n">
        <x:f>'Model Assumptions'!$G$6</x:f>
        <x:v>1.04</x:v>
      </x:c>
      <x:c r="L35" s="243" t="n">
        <x:f>'Model Assumptions'!$H$6</x:f>
        <x:v>1.01</x:v>
      </x:c>
      <x:c r="M35" s="243" t="n">
        <x:f>1/(1+'Model Assumptions'!$B$22*(1-1))</x:f>
        <x:v>1</x:v>
      </x:c>
      <x:c r="N35" s="240" t="n">
        <x:f>MIN(E35,F35*G35*H35*I35*J35*K35*L35*M35*'Model Assumptions'!$J$6)</x:f>
        <x:v>1452.1033526937601</x:v>
      </x:c>
      <x:c r="O35" s="241" t="n">
        <x:f>N35/E35</x:f>
        <x:v>0.1559556817413554</x:v>
      </x:c>
      <x:c r="P35" s="240" t="n">
        <x:f>'Building Economics'!K33*O35*'Building Economics'!Q33*'Model Assumptions'!$I$6*'Model Assumptions'!$K$6</x:f>
        <x:v>1222.209362222257</x:v>
      </x:c>
      <x:c r="Q35" s="240" t="n">
        <x:f>P35*(1-'Building Economics'!M33)</x:f>
        <x:v>1051.100051511141</x:v>
      </x:c>
      <x:c r="R35" s="240" t="n">
        <x:f>'Building Economics'!L33*O35*'Building Economics'!R33*'Model Assumptions'!$L$6</x:f>
        <x:v>132.90334438424324</x:v>
      </x:c>
      <x:c r="S35" s="277" t="n">
        <x:f>N35*'Building Economics'!T33</x:f>
        <x:v>21.34706267306496</x:v>
      </x:c>
      <x:c r="T35" s="74"/>
      <x:c r="U35" s="74"/>
      <x:c r="V35" s="74"/>
      <x:c r="W35" s="74"/>
      <x:c r="X35" s="74"/>
      <x:c r="Y35" s="74"/>
      <x:c r="Z35" s="74"/>
      <x:c r="AA35" s="74"/>
    </x:row>
    <x:row r="36">
      <x:c r="A36" s="90" t="str">
        <x:v>Established</x:v>
      </x:c>
      <x:c r="B36" s="74" t="str">
        <x:v>Regional Bank</x:v>
      </x:c>
      <x:c r="C36" s="74" t="str">
        <x:v>Banking</x:v>
      </x:c>
      <x:c r="D36" s="226" t="n">
        <x:v>6</x:v>
      </x:c>
      <x:c r="E36" s="240" t="n">
        <x:f>'Building Economics'!J34</x:f>
        <x:v>11081</x:v>
      </x:c>
      <x:c r="F36" s="240" t="n">
        <x:f>'Building Economics'!N34</x:f>
        <x:v>202000</x:v>
      </x:c>
      <x:c r="G36" s="241" t="n">
        <x:f>'Building Economics'!O34</x:f>
        <x:v>0.13</x:v>
      </x:c>
      <x:c r="H36" s="243" t="n">
        <x:f>'Building Economics'!U34</x:f>
        <x:v>1.15</x:v>
      </x:c>
      <x:c r="I36" s="243" t="n">
        <x:f>('Model Assumptions'!$B$17+'Model Assumptions'!$B$18*'Model Assumptions'!$E$7)</x:f>
        <x:v>1.1960000000000002</x:v>
      </x:c>
      <x:c r="J36" s="243" t="n">
        <x:f>('Model Assumptions'!$B$19+'Model Assumptions'!$B$20*'Model Assumptions'!$F$7)</x:f>
        <x:v>1.168</x:v>
      </x:c>
      <x:c r="K36" s="243" t="n">
        <x:f>'Model Assumptions'!$G$7</x:f>
        <x:v>1.06</x:v>
      </x:c>
      <x:c r="L36" s="243" t="n">
        <x:f>'Model Assumptions'!$H$7</x:f>
        <x:v>1.02</x:v>
      </x:c>
      <x:c r="M36" s="243" t="n">
        <x:f>1/(1+'Model Assumptions'!$B$22*(1-1))</x:f>
        <x:v>1</x:v>
      </x:c>
      <x:c r="N36" s="240" t="n">
        <x:f>MIN(E36,F36*G36*H36*I36*J36*K36*L36*M36*'Model Assumptions'!$J$7)</x:f>
        <x:v>11081</x:v>
      </x:c>
      <x:c r="O36" s="241" t="n">
        <x:f>N36/E36</x:f>
        <x:v>1</x:v>
      </x:c>
      <x:c r="P36" s="240" t="n">
        <x:f>'Building Economics'!K34*O36*'Building Economics'!Q34*'Model Assumptions'!$I$7*'Model Assumptions'!$K$7</x:f>
        <x:v>10167.321171287129</x:v>
      </x:c>
      <x:c r="Q36" s="240" t="n">
        <x:f>P36*(1-'Building Economics'!M34)</x:f>
        <x:v>8642.22299559406</x:v>
      </x:c>
      <x:c r="R36" s="240" t="n">
        <x:f>'Building Economics'!L34*O36*'Building Economics'!R34*'Model Assumptions'!$L$7</x:f>
        <x:v>1063.209900990099</x:v>
      </x:c>
      <x:c r="S36" s="277" t="n">
        <x:f>N36*'Building Economics'!T34</x:f>
        <x:v>198.58029702970296</x:v>
      </x:c>
      <x:c r="T36" s="74"/>
      <x:c r="U36" s="74"/>
      <x:c r="V36" s="74"/>
      <x:c r="W36" s="74"/>
      <x:c r="X36" s="74"/>
      <x:c r="Y36" s="74"/>
      <x:c r="Z36" s="74"/>
      <x:c r="AA36" s="74"/>
    </x:row>
    <x:row r="37">
      <x:c r="A37" s="90" t="str">
        <x:v>Established</x:v>
      </x:c>
      <x:c r="B37" s="74" t="str">
        <x:v>Stock Brokerage Center</x:v>
      </x:c>
      <x:c r="C37" s="74" t="str">
        <x:v>Brokerage</x:v>
      </x:c>
      <x:c r="D37" s="226" t="n">
        <x:v>6</x:v>
      </x:c>
      <x:c r="E37" s="240" t="n">
        <x:f>'Building Economics'!J35</x:f>
        <x:v>13186</x:v>
      </x:c>
      <x:c r="F37" s="240" t="n">
        <x:f>'Building Economics'!N35</x:f>
        <x:v>160900</x:v>
      </x:c>
      <x:c r="G37" s="241" t="n">
        <x:f>'Building Economics'!O35</x:f>
        <x:v>0.13</x:v>
      </x:c>
      <x:c r="H37" s="243" t="n">
        <x:f>'Building Economics'!U35</x:f>
        <x:v>1.15</x:v>
      </x:c>
      <x:c r="I37" s="243" t="n">
        <x:f>('Model Assumptions'!$B$17+'Model Assumptions'!$B$18*'Model Assumptions'!$E$7)</x:f>
        <x:v>1.1960000000000002</x:v>
      </x:c>
      <x:c r="J37" s="243" t="n">
        <x:f>('Model Assumptions'!$B$19+'Model Assumptions'!$B$20*'Model Assumptions'!$F$7)</x:f>
        <x:v>1.168</x:v>
      </x:c>
      <x:c r="K37" s="243" t="n">
        <x:f>'Model Assumptions'!$G$7</x:f>
        <x:v>1.06</x:v>
      </x:c>
      <x:c r="L37" s="243" t="n">
        <x:f>'Model Assumptions'!$H$7</x:f>
        <x:v>1.02</x:v>
      </x:c>
      <x:c r="M37" s="243" t="n">
        <x:f>1/(1+'Model Assumptions'!$B$22*(1-1))</x:f>
        <x:v>1</x:v>
      </x:c>
      <x:c r="N37" s="240" t="n">
        <x:f>MIN(E37,F37*G37*H37*I37*J37*K37*L37*M37*'Model Assumptions'!$J$7)</x:f>
        <x:v>13186</x:v>
      </x:c>
      <x:c r="O37" s="241" t="n">
        <x:f>N37/E37</x:f>
        <x:v>1</x:v>
      </x:c>
      <x:c r="P37" s="240" t="n">
        <x:f>'Building Economics'!K35*O37*'Building Economics'!Q35*'Model Assumptions'!$I$7*'Model Assumptions'!$K$7</x:f>
        <x:v>15094.728738346801</x:v>
      </x:c>
      <x:c r="Q37" s="240" t="n">
        <x:f>P37*(1-'Building Economics'!M35)</x:f>
        <x:v>12830.51942759478</x:v>
      </x:c>
      <x:c r="R37" s="240" t="n">
        <x:f>'Building Economics'!L35*O37*'Building Economics'!R35*'Model Assumptions'!$L$7</x:f>
        <x:v>2148.199502796768</x:v>
      </x:c>
      <x:c r="S37" s="277" t="n">
        <x:f>N37*'Building Economics'!T35</x:f>
        <x:v>310.35041640770663</x:v>
      </x:c>
      <x:c r="T37" s="74"/>
      <x:c r="U37" s="74"/>
      <x:c r="V37" s="74"/>
      <x:c r="W37" s="74"/>
      <x:c r="X37" s="74"/>
      <x:c r="Y37" s="74"/>
      <x:c r="Z37" s="74"/>
      <x:c r="AA37" s="74"/>
    </x:row>
    <x:row r="38">
      <x:c r="A38" s="90" t="str">
        <x:v>Established</x:v>
      </x:c>
      <x:c r="B38" s="74" t="str">
        <x:v>Investment Fund HQ</x:v>
      </x:c>
      <x:c r="C38" s="74" t="str">
        <x:v>Asset Management</x:v>
      </x:c>
      <x:c r="D38" s="226" t="n">
        <x:v>6</x:v>
      </x:c>
      <x:c r="E38" s="240" t="n">
        <x:f>'Building Economics'!J36</x:f>
        <x:v>15691</x:v>
      </x:c>
      <x:c r="F38" s="240" t="n">
        <x:f>'Building Economics'!N36</x:f>
        <x:v>116250</x:v>
      </x:c>
      <x:c r="G38" s="241" t="n">
        <x:f>'Building Economics'!O36</x:f>
        <x:v>0.13</x:v>
      </x:c>
      <x:c r="H38" s="243" t="n">
        <x:f>'Building Economics'!U36</x:f>
        <x:v>1.15</x:v>
      </x:c>
      <x:c r="I38" s="243" t="n">
        <x:f>('Model Assumptions'!$B$17+'Model Assumptions'!$B$18*'Model Assumptions'!$E$7)</x:f>
        <x:v>1.1960000000000002</x:v>
      </x:c>
      <x:c r="J38" s="243" t="n">
        <x:f>('Model Assumptions'!$B$19+'Model Assumptions'!$B$20*'Model Assumptions'!$F$7)</x:f>
        <x:v>1.168</x:v>
      </x:c>
      <x:c r="K38" s="243" t="n">
        <x:f>'Model Assumptions'!$G$7</x:f>
        <x:v>1.06</x:v>
      </x:c>
      <x:c r="L38" s="243" t="n">
        <x:f>'Model Assumptions'!$H$7</x:f>
        <x:v>1.02</x:v>
      </x:c>
      <x:c r="M38" s="243" t="n">
        <x:f>1/(1+'Model Assumptions'!$B$22*(1-1))</x:f>
        <x:v>1</x:v>
      </x:c>
      <x:c r="N38" s="240" t="n">
        <x:f>MIN(E38,F38*G38*H38*I38*J38*K38*L38*M38*'Model Assumptions'!$J$7)</x:f>
        <x:v>15691</x:v>
      </x:c>
      <x:c r="O38" s="241" t="n">
        <x:f>N38/E38</x:f>
        <x:v>1</x:v>
      </x:c>
      <x:c r="P38" s="240" t="n">
        <x:f>'Building Economics'!K36*O38*'Building Economics'!Q36*'Model Assumptions'!$I$7*'Model Assumptions'!$K$7</x:f>
        <x:v>19571.419647311828</x:v>
      </x:c>
      <x:c r="Q38" s="240" t="n">
        <x:f>P38*(1-'Building Economics'!M36)</x:f>
        <x:v>16635.706700215054</x:v>
      </x:c>
      <x:c r="R38" s="240" t="n">
        <x:f>'Building Economics'!L36*O38*'Building Economics'!R36*'Model Assumptions'!$L$7</x:f>
        <x:v>2188.092580645161</x:v>
      </x:c>
      <x:c r="S38" s="277" t="n">
        <x:f>N38*'Building Economics'!T36</x:f>
        <x:v>296.8804688172043</x:v>
      </x:c>
      <x:c r="T38" s="74"/>
      <x:c r="U38" s="74"/>
      <x:c r="V38" s="74"/>
      <x:c r="W38" s="74"/>
      <x:c r="X38" s="74"/>
      <x:c r="Y38" s="74"/>
      <x:c r="Z38" s="74"/>
      <x:c r="AA38" s="74"/>
    </x:row>
    <x:row r="39">
      <x:c r="A39" s="90" t="str">
        <x:v>Established</x:v>
      </x:c>
      <x:c r="B39" s="74" t="str">
        <x:v>Insurance Company HQ</x:v>
      </x:c>
      <x:c r="C39" s="74" t="str">
        <x:v>Insurance</x:v>
      </x:c>
      <x:c r="D39" s="226" t="n">
        <x:v>6</x:v>
      </x:c>
      <x:c r="E39" s="240" t="n">
        <x:f>'Building Economics'!J37</x:f>
        <x:v>18672</x:v>
      </x:c>
      <x:c r="F39" s="240" t="n">
        <x:f>'Building Economics'!N37</x:f>
        <x:v>194500</x:v>
      </x:c>
      <x:c r="G39" s="241" t="n">
        <x:f>'Building Economics'!O37</x:f>
        <x:v>0.13</x:v>
      </x:c>
      <x:c r="H39" s="243" t="n">
        <x:f>'Building Economics'!U37</x:f>
        <x:v>1.15</x:v>
      </x:c>
      <x:c r="I39" s="243" t="n">
        <x:f>('Model Assumptions'!$B$17+'Model Assumptions'!$B$18*'Model Assumptions'!$E$7)</x:f>
        <x:v>1.1960000000000002</x:v>
      </x:c>
      <x:c r="J39" s="243" t="n">
        <x:f>('Model Assumptions'!$B$19+'Model Assumptions'!$B$20*'Model Assumptions'!$F$7)</x:f>
        <x:v>1.168</x:v>
      </x:c>
      <x:c r="K39" s="243" t="n">
        <x:f>'Model Assumptions'!$G$7</x:f>
        <x:v>1.06</x:v>
      </x:c>
      <x:c r="L39" s="243" t="n">
        <x:f>'Model Assumptions'!$H$7</x:f>
        <x:v>1.02</x:v>
      </x:c>
      <x:c r="M39" s="243" t="n">
        <x:f>1/(1+'Model Assumptions'!$B$22*(1-1))</x:f>
        <x:v>1</x:v>
      </x:c>
      <x:c r="N39" s="240" t="n">
        <x:f>MIN(E39,F39*G39*H39*I39*J39*K39*L39*M39*'Model Assumptions'!$J$7)</x:f>
        <x:v>18672</x:v>
      </x:c>
      <x:c r="O39" s="241" t="n">
        <x:f>N39/E39</x:f>
        <x:v>1</x:v>
      </x:c>
      <x:c r="P39" s="240" t="n">
        <x:f>'Building Economics'!K37*O39*'Building Economics'!Q37*'Model Assumptions'!$I$7*'Model Assumptions'!$K$7</x:f>
        <x:v>16625.034277634964</x:v>
      </x:c>
      <x:c r="Q39" s="240" t="n">
        <x:f>P39*(1-'Building Economics'!M37)</x:f>
        <x:v>14131.27913598972</x:v>
      </x:c>
      <x:c r="R39" s="240" t="n">
        <x:f>'Building Economics'!L37*O39*'Building Economics'!R37*'Model Assumptions'!$L$7</x:f>
        <x:v>1495.939203084833</x:v>
      </x:c>
      <x:c r="S39" s="277" t="n">
        <x:f>N39*'Building Economics'!T37</x:f>
        <x:v>317.99999999999994</x:v>
      </x:c>
      <x:c r="T39" s="74"/>
      <x:c r="U39" s="74"/>
      <x:c r="V39" s="74"/>
      <x:c r="W39" s="74"/>
      <x:c r="X39" s="74"/>
      <x:c r="Y39" s="74"/>
      <x:c r="Z39" s="74"/>
      <x:c r="AA39" s="74"/>
    </x:row>
    <x:row r="40">
      <x:c r="A40" s="90" t="str">
        <x:v>Established</x:v>
      </x:c>
      <x:c r="B40" s="74" t="str">
        <x:v>Financial Data Center</x:v>
      </x:c>
      <x:c r="C40" s="74" t="str">
        <x:v>Data</x:v>
      </x:c>
      <x:c r="D40" s="226" t="n">
        <x:v>6</x:v>
      </x:c>
      <x:c r="E40" s="240" t="n">
        <x:f>'Building Economics'!J38</x:f>
        <x:v>22220</x:v>
      </x:c>
      <x:c r="F40" s="240" t="n">
        <x:f>'Building Economics'!N38</x:f>
        <x:v>52400</x:v>
      </x:c>
      <x:c r="G40" s="241" t="n">
        <x:f>'Building Economics'!O38</x:f>
        <x:v>0.13</x:v>
      </x:c>
      <x:c r="H40" s="243" t="n">
        <x:f>'Building Economics'!U38</x:f>
        <x:v>1.15</x:v>
      </x:c>
      <x:c r="I40" s="243" t="n">
        <x:f>('Model Assumptions'!$B$17+'Model Assumptions'!$B$18*'Model Assumptions'!$E$7)</x:f>
        <x:v>1.1960000000000002</x:v>
      </x:c>
      <x:c r="J40" s="243" t="n">
        <x:f>('Model Assumptions'!$B$19+'Model Assumptions'!$B$20*'Model Assumptions'!$F$7)</x:f>
        <x:v>1.168</x:v>
      </x:c>
      <x:c r="K40" s="243" t="n">
        <x:f>'Model Assumptions'!$G$7</x:f>
        <x:v>1.06</x:v>
      </x:c>
      <x:c r="L40" s="243" t="n">
        <x:f>'Model Assumptions'!$H$7</x:f>
        <x:v>1.02</x:v>
      </x:c>
      <x:c r="M40" s="243" t="n">
        <x:f>1/(1+'Model Assumptions'!$B$22*(1-1))</x:f>
        <x:v>1</x:v>
      </x:c>
      <x:c r="N40" s="240" t="n">
        <x:f>MIN(E40,F40*G40*H40*I40*J40*K40*L40*M40*'Model Assumptions'!$J$7)</x:f>
        <x:v>11831.84683719168</x:v>
      </x:c>
      <x:c r="O40" s="241" t="n">
        <x:f>N40/E40</x:f>
        <x:v>0.5324863563092566</x:v>
      </x:c>
      <x:c r="P40" s="240" t="n">
        <x:f>'Building Economics'!K38*O40*'Building Economics'!Q38*'Model Assumptions'!$I$7*'Model Assumptions'!$K$7</x:f>
        <x:v>12434.501969257819</x:v>
      </x:c>
      <x:c r="Q40" s="240" t="n">
        <x:f>P40*(1-'Building Economics'!M38)</x:f>
        <x:v>10569.326673869145</x:v>
      </x:c>
      <x:c r="R40" s="240" t="n">
        <x:f>'Building Economics'!L38*O40*'Building Economics'!R38*'Model Assumptions'!$L$7</x:f>
        <x:v>1756.9610889397943</x:v>
      </x:c>
      <x:c r="S40" s="277" t="n">
        <x:f>N40*'Building Economics'!T38</x:f>
        <x:v>247.9268669319936</x:v>
      </x:c>
      <x:c r="T40" s="74"/>
      <x:c r="U40" s="74"/>
      <x:c r="V40" s="74"/>
      <x:c r="W40" s="74"/>
      <x:c r="X40" s="74"/>
      <x:c r="Y40" s="74"/>
      <x:c r="Z40" s="74"/>
      <x:c r="AA40" s="74"/>
    </x:row>
    <x:row r="41">
      <x:c r="A41" s="90" t="str">
        <x:v>Established</x:v>
      </x:c>
      <x:c r="B41" s="74" t="str">
        <x:v>Market Maker Office</x:v>
      </x:c>
      <x:c r="C41" s="74" t="str">
        <x:v>Market Making</x:v>
      </x:c>
      <x:c r="D41" s="226" t="n">
        <x:v>6</x:v>
      </x:c>
      <x:c r="E41" s="240" t="n">
        <x:f>'Building Economics'!J39</x:f>
        <x:v>26442</x:v>
      </x:c>
      <x:c r="F41" s="240" t="n">
        <x:f>'Building Economics'!N39</x:f>
        <x:v>85600</x:v>
      </x:c>
      <x:c r="G41" s="241" t="n">
        <x:f>'Building Economics'!O39</x:f>
        <x:v>0.13</x:v>
      </x:c>
      <x:c r="H41" s="243" t="n">
        <x:f>'Building Economics'!U39</x:f>
        <x:v>1.15</x:v>
      </x:c>
      <x:c r="I41" s="243" t="n">
        <x:f>('Model Assumptions'!$B$17+'Model Assumptions'!$B$18*'Model Assumptions'!$E$7)</x:f>
        <x:v>1.1960000000000002</x:v>
      </x:c>
      <x:c r="J41" s="243" t="n">
        <x:f>('Model Assumptions'!$B$19+'Model Assumptions'!$B$20*'Model Assumptions'!$F$7)</x:f>
        <x:v>1.168</x:v>
      </x:c>
      <x:c r="K41" s="243" t="n">
        <x:f>'Model Assumptions'!$G$7</x:f>
        <x:v>1.06</x:v>
      </x:c>
      <x:c r="L41" s="243" t="n">
        <x:f>'Model Assumptions'!$H$7</x:f>
        <x:v>1.02</x:v>
      </x:c>
      <x:c r="M41" s="243" t="n">
        <x:f>1/(1+'Model Assumptions'!$B$22*(1-1))</x:f>
        <x:v>1</x:v>
      </x:c>
      <x:c r="N41" s="240" t="n">
        <x:f>MIN(E41,F41*G41*H41*I41*J41*K41*L41*M41*'Model Assumptions'!$J$7)</x:f>
        <x:v>19328.360482129923</x:v>
      </x:c>
      <x:c r="O41" s="241" t="n">
        <x:f>N41/E41</x:f>
        <x:v>0.7309719568160473</x:v>
      </x:c>
      <x:c r="P41" s="240" t="n">
        <x:f>'Building Economics'!K39*O41*'Building Economics'!Q39*'Model Assumptions'!$I$7*'Model Assumptions'!$K$7</x:f>
        <x:v>27138.09091389823</x:v>
      </x:c>
      <x:c r="Q41" s="240" t="n">
        <x:f>P41*(1-'Building Economics'!M39)</x:f>
        <x:v>23067.377276813495</x:v>
      </x:c>
      <x:c r="R41" s="240" t="n">
        <x:f>'Building Economics'!L39*O41*'Building Economics'!R39*'Model Assumptions'!$L$7</x:f>
        <x:v>3954.5145646876795</x:v>
      </x:c>
      <x:c r="S41" s="277" t="n">
        <x:f>N41*'Building Economics'!T39</x:f>
        <x:v>502.40189337312006</x:v>
      </x:c>
      <x:c r="T41" s="74"/>
      <x:c r="U41" s="74"/>
      <x:c r="V41" s="74"/>
      <x:c r="W41" s="74"/>
      <x:c r="X41" s="74"/>
      <x:c r="Y41" s="74"/>
      <x:c r="Z41" s="74"/>
      <x:c r="AA41" s="74"/>
    </x:row>
    <x:row r="42">
      <x:c r="A42" s="90" t="str">
        <x:v>Established</x:v>
      </x:c>
      <x:c r="B42" s="74" t="str">
        <x:v>Private Banking Center</x:v>
      </x:c>
      <x:c r="C42" s="74" t="str">
        <x:v>Private Banking</x:v>
      </x:c>
      <x:c r="D42" s="226" t="n">
        <x:v>6</x:v>
      </x:c>
      <x:c r="E42" s="240" t="n">
        <x:f>'Building Economics'!J40</x:f>
        <x:v>31466</x:v>
      </x:c>
      <x:c r="F42" s="240" t="n">
        <x:f>'Building Economics'!N40</x:f>
        <x:v>62550</x:v>
      </x:c>
      <x:c r="G42" s="241" t="n">
        <x:f>'Building Economics'!O40</x:f>
        <x:v>0.13</x:v>
      </x:c>
      <x:c r="H42" s="243" t="n">
        <x:f>'Building Economics'!U40</x:f>
        <x:v>1.15</x:v>
      </x:c>
      <x:c r="I42" s="243" t="n">
        <x:f>('Model Assumptions'!$B$17+'Model Assumptions'!$B$18*'Model Assumptions'!$E$7)</x:f>
        <x:v>1.1960000000000002</x:v>
      </x:c>
      <x:c r="J42" s="243" t="n">
        <x:f>('Model Assumptions'!$B$19+'Model Assumptions'!$B$20*'Model Assumptions'!$F$7)</x:f>
        <x:v>1.168</x:v>
      </x:c>
      <x:c r="K42" s="243" t="n">
        <x:f>'Model Assumptions'!$G$7</x:f>
        <x:v>1.06</x:v>
      </x:c>
      <x:c r="L42" s="243" t="n">
        <x:f>'Model Assumptions'!$H$7</x:f>
        <x:v>1.02</x:v>
      </x:c>
      <x:c r="M42" s="243" t="n">
        <x:f>1/(1+'Model Assumptions'!$B$22*(1-1))</x:f>
        <x:v>1</x:v>
      </x:c>
      <x:c r="N42" s="240" t="n">
        <x:f>MIN(E42,F42*G42*H42*I42*J42*K42*L42*M42*'Model Assumptions'!$J$7)</x:f>
        <x:v>14123.70266538816</x:v>
      </x:c>
      <x:c r="O42" s="241" t="n">
        <x:f>N42/E42</x:f>
        <x:v>0.4488559926710786</x:v>
      </x:c>
      <x:c r="P42" s="240" t="n">
        <x:f>'Building Economics'!K40*O42*'Building Economics'!Q40*'Model Assumptions'!$I$7*'Model Assumptions'!$K$7</x:f>
        <x:v>20703.60332779161</x:v>
      </x:c>
      <x:c r="Q42" s="240" t="n">
        <x:f>P42*(1-'Building Economics'!M40)</x:f>
        <x:v>17598.062828622868</x:v>
      </x:c>
      <x:c r="R42" s="240" t="n">
        <x:f>'Building Economics'!L40*O42*'Building Economics'!R40*'Model Assumptions'!$L$7</x:f>
        <x:v>1655.605544245927</x:v>
      </x:c>
      <x:c r="S42" s="277" t="n">
        <x:f>N42*'Building Economics'!T40</x:f>
        <x:v>209.08950708472318</x:v>
      </x:c>
      <x:c r="T42" s="74"/>
      <x:c r="U42" s="74"/>
      <x:c r="V42" s="74"/>
      <x:c r="W42" s="74"/>
      <x:c r="X42" s="74"/>
      <x:c r="Y42" s="74"/>
      <x:c r="Z42" s="74"/>
      <x:c r="AA42" s="74"/>
    </x:row>
    <x:row r="43">
      <x:c r="A43" s="90" t="str">
        <x:v>Established</x:v>
      </x:c>
      <x:c r="B43" s="74" t="str">
        <x:v>Corporate Treasury Center</x:v>
      </x:c>
      <x:c r="C43" s="74" t="str">
        <x:v>Treasury</x:v>
      </x:c>
      <x:c r="D43" s="226" t="n">
        <x:v>6</x:v>
      </x:c>
      <x:c r="E43" s="240" t="n">
        <x:f>'Building Economics'!J41</x:f>
        <x:v>37445</x:v>
      </x:c>
      <x:c r="F43" s="240" t="n">
        <x:f>'Building Economics'!N41</x:f>
        <x:v>69800</x:v>
      </x:c>
      <x:c r="G43" s="241" t="n">
        <x:f>'Building Economics'!O41</x:f>
        <x:v>0.13</x:v>
      </x:c>
      <x:c r="H43" s="243" t="n">
        <x:f>'Building Economics'!U41</x:f>
        <x:v>1.15</x:v>
      </x:c>
      <x:c r="I43" s="243" t="n">
        <x:f>('Model Assumptions'!$B$17+'Model Assumptions'!$B$18*'Model Assumptions'!$E$7)</x:f>
        <x:v>1.1960000000000002</x:v>
      </x:c>
      <x:c r="J43" s="243" t="n">
        <x:f>('Model Assumptions'!$B$19+'Model Assumptions'!$B$20*'Model Assumptions'!$F$7)</x:f>
        <x:v>1.168</x:v>
      </x:c>
      <x:c r="K43" s="243" t="n">
        <x:f>'Model Assumptions'!$G$7</x:f>
        <x:v>1.06</x:v>
      </x:c>
      <x:c r="L43" s="243" t="n">
        <x:f>'Model Assumptions'!$H$7</x:f>
        <x:v>1.02</x:v>
      </x:c>
      <x:c r="M43" s="243" t="n">
        <x:f>1/(1+'Model Assumptions'!$B$22*(1-1))</x:f>
        <x:v>1</x:v>
      </x:c>
      <x:c r="N43" s="240" t="n">
        <x:f>MIN(E43,F43*G43*H43*I43*J43*K43*L43*M43*'Model Assumptions'!$J$7)</x:f>
        <x:v>15760.74254267136</x:v>
      </x:c>
      <x:c r="O43" s="241" t="n">
        <x:f>N43/E43</x:f>
        <x:v>0.42090379336817624</x:v>
      </x:c>
      <x:c r="P43" s="240" t="n">
        <x:f>'Building Economics'!K41*O43*'Building Economics'!Q41*'Model Assumptions'!$I$7*'Model Assumptions'!$K$7</x:f>
        <x:v>16526.4196695502</x:v>
      </x:c>
      <x:c r="Q43" s="240" t="n">
        <x:f>P43*(1-'Building Economics'!M41)</x:f>
        <x:v>14047.456719117668</x:v>
      </x:c>
      <x:c r="R43" s="240" t="n">
        <x:f>'Building Economics'!L41*O43*'Building Economics'!R41*'Model Assumptions'!$L$7</x:f>
        <x:v>1489.9777200182416</x:v>
      </x:c>
      <x:c r="S43" s="277" t="n">
        <x:f>N43*'Building Economics'!T41</x:f>
        <x:v>221.16973238605442</x:v>
      </x:c>
      <x:c r="T43" s="74"/>
      <x:c r="U43" s="74"/>
      <x:c r="V43" s="74"/>
      <x:c r="W43" s="74"/>
      <x:c r="X43" s="74"/>
      <x:c r="Y43" s="74"/>
      <x:c r="Z43" s="74"/>
      <x:c r="AA43" s="74"/>
    </x:row>
    <x:row r="44">
      <x:c r="A44" s="90" t="str">
        <x:v>Established</x:v>
      </x:c>
      <x:c r="B44" s="74" t="str">
        <x:v>Securities Exchange</x:v>
      </x:c>
      <x:c r="C44" s="74" t="str">
        <x:v>Exchange</x:v>
      </x:c>
      <x:c r="D44" s="226" t="n">
        <x:v>9</x:v>
      </x:c>
      <x:c r="E44" s="240" t="n">
        <x:f>'Building Economics'!J42</x:f>
        <x:v>44559</x:v>
      </x:c>
      <x:c r="F44" s="240" t="n">
        <x:f>'Building Economics'!N42</x:f>
        <x:v>127050</x:v>
      </x:c>
      <x:c r="G44" s="241" t="n">
        <x:f>'Building Economics'!O42</x:f>
        <x:v>0.13</x:v>
      </x:c>
      <x:c r="H44" s="243" t="n">
        <x:f>'Building Economics'!U42</x:f>
        <x:v>1.15</x:v>
      </x:c>
      <x:c r="I44" s="243" t="n">
        <x:f>('Model Assumptions'!$B$17+'Model Assumptions'!$B$18*'Model Assumptions'!$E$7)</x:f>
        <x:v>1.1960000000000002</x:v>
      </x:c>
      <x:c r="J44" s="243" t="n">
        <x:f>('Model Assumptions'!$B$19+'Model Assumptions'!$B$20*'Model Assumptions'!$F$7)</x:f>
        <x:v>1.168</x:v>
      </x:c>
      <x:c r="K44" s="243" t="n">
        <x:f>'Model Assumptions'!$G$7</x:f>
        <x:v>1.06</x:v>
      </x:c>
      <x:c r="L44" s="243" t="n">
        <x:f>'Model Assumptions'!$H$7</x:f>
        <x:v>1.02</x:v>
      </x:c>
      <x:c r="M44" s="243" t="n">
        <x:f>1/(1+'Model Assumptions'!$B$22*(1-1))</x:f>
        <x:v>1</x:v>
      </x:c>
      <x:c r="N44" s="240" t="n">
        <x:f>MIN(E44,F44*G44*H44*I44*J44*K44*L44*M44*'Model Assumptions'!$J$7)</x:f>
        <x:v>28687.71260811456</x:v>
      </x:c>
      <x:c r="O44" s="241" t="n">
        <x:f>N44/E44</x:f>
        <x:v>0.6438141028325268</x:v>
      </x:c>
      <x:c r="P44" s="240" t="n">
        <x:f>'Building Economics'!K42*O44*'Building Economics'!Q42*'Model Assumptions'!$I$7*'Model Assumptions'!$K$7</x:f>
        <x:v>42263.617168543715</x:v>
      </x:c>
      <x:c r="Q44" s="240" t="n">
        <x:f>P44*(1-'Building Economics'!M42)</x:f>
        <x:v>35924.07459326216</x:v>
      </x:c>
      <x:c r="R44" s="240" t="n">
        <x:f>'Building Economics'!L42*O44*'Building Economics'!R42*'Model Assumptions'!$L$7</x:f>
        <x:v>5559.59686426661</x:v>
      </x:c>
      <x:c r="S44" s="277" t="n">
        <x:f>N44*'Building Economics'!T42</x:f>
        <x:v>703.4755500242496</x:v>
      </x:c>
      <x:c r="T44" s="74"/>
      <x:c r="U44" s="74"/>
      <x:c r="V44" s="74"/>
      <x:c r="W44" s="74"/>
      <x:c r="X44" s="74"/>
      <x:c r="Y44" s="74"/>
      <x:c r="Z44" s="74"/>
      <x:c r="AA44" s="74"/>
    </x:row>
    <x:row r="45">
      <x:c r="A45" s="90" t="str">
        <x:v>Established</x:v>
      </x:c>
      <x:c r="B45" s="74" t="str">
        <x:v>Investment Bank</x:v>
      </x:c>
      <x:c r="C45" s="74" t="str">
        <x:v>Investment Banking</x:v>
      </x:c>
      <x:c r="D45" s="226" t="n">
        <x:v>9</x:v>
      </x:c>
      <x:c r="E45" s="240" t="n">
        <x:f>'Building Economics'!J43</x:f>
        <x:v>53025</x:v>
      </x:c>
      <x:c r="F45" s="240" t="n">
        <x:f>'Building Economics'!N43</x:f>
        <x:v>46700</x:v>
      </x:c>
      <x:c r="G45" s="241" t="n">
        <x:f>'Building Economics'!O43</x:f>
        <x:v>0.13</x:v>
      </x:c>
      <x:c r="H45" s="243" t="n">
        <x:f>'Building Economics'!U43</x:f>
        <x:v>1.15</x:v>
      </x:c>
      <x:c r="I45" s="243" t="n">
        <x:f>('Model Assumptions'!$B$17+'Model Assumptions'!$B$18*'Model Assumptions'!$E$7)</x:f>
        <x:v>1.1960000000000002</x:v>
      </x:c>
      <x:c r="J45" s="243" t="n">
        <x:f>('Model Assumptions'!$B$19+'Model Assumptions'!$B$20*'Model Assumptions'!$F$7)</x:f>
        <x:v>1.168</x:v>
      </x:c>
      <x:c r="K45" s="243" t="n">
        <x:f>'Model Assumptions'!$G$7</x:f>
        <x:v>1.06</x:v>
      </x:c>
      <x:c r="L45" s="243" t="n">
        <x:f>'Model Assumptions'!$H$7</x:f>
        <x:v>1.02</x:v>
      </x:c>
      <x:c r="M45" s="243" t="n">
        <x:f>1/(1+'Model Assumptions'!$B$22*(1-1))</x:f>
        <x:v>1</x:v>
      </x:c>
      <x:c r="N45" s="240" t="n">
        <x:f>MIN(E45,F45*G45*H45*I45*J45*K45*L45*M45*'Model Assumptions'!$J$7)</x:f>
        <x:v>10544.794795741442</x:v>
      </x:c>
      <x:c r="O45" s="241" t="n">
        <x:f>N45/E45</x:f>
        <x:v>0.19886458832138504</x:v>
      </x:c>
      <x:c r="P45" s="240" t="n">
        <x:f>'Building Economics'!K43*O45*'Building Economics'!Q43*'Model Assumptions'!$I$7*'Model Assumptions'!$K$7</x:f>
        <x:v>19046.222763347796</x:v>
      </x:c>
      <x:c r="Q45" s="240" t="n">
        <x:f>P45*(1-'Building Economics'!M43)</x:f>
        <x:v>16189.289348845627</x:v>
      </x:c>
      <x:c r="R45" s="240" t="n">
        <x:f>'Building Economics'!L43*O45*'Building Economics'!R43*'Model Assumptions'!$L$7</x:f>
        <x:v>1528.0694711070798</x:v>
      </x:c>
      <x:c r="S45" s="277" t="n">
        <x:f>N45*'Building Economics'!T43</x:f>
        <x:v>127.01171461680003</x:v>
      </x:c>
      <x:c r="T45" s="74"/>
      <x:c r="U45" s="74"/>
      <x:c r="V45" s="74"/>
      <x:c r="W45" s="74"/>
      <x:c r="X45" s="74"/>
      <x:c r="Y45" s="74"/>
      <x:c r="Z45" s="74"/>
      <x:c r="AA45" s="74"/>
    </x:row>
    <x:row r="46">
      <x:c r="A46" s="90" t="str">
        <x:v>Elite</x:v>
      </x:c>
      <x:c r="B46" s="74" t="str">
        <x:v>Global Brokerage Tower</x:v>
      </x:c>
      <x:c r="C46" s="74" t="str">
        <x:v>Brokerage</x:v>
      </x:c>
      <x:c r="D46" s="226" t="n">
        <x:v>9</x:v>
      </x:c>
      <x:c r="E46" s="240" t="n">
        <x:f>'Building Economics'!J44</x:f>
        <x:v>63100</x:v>
      </x:c>
      <x:c r="F46" s="240" t="n">
        <x:f>'Building Economics'!N44</x:f>
        <x:v>815000</x:v>
      </x:c>
      <x:c r="G46" s="241" t="n">
        <x:f>'Building Economics'!O44</x:f>
        <x:v>0.08</x:v>
      </x:c>
      <x:c r="H46" s="243" t="n">
        <x:f>'Building Economics'!U44</x:f>
        <x:v>1.25</x:v>
      </x:c>
      <x:c r="I46" s="243" t="n">
        <x:f>('Model Assumptions'!$B$17+'Model Assumptions'!$B$18*'Model Assumptions'!$E$8)</x:f>
        <x:v>1.252</x:v>
      </x:c>
      <x:c r="J46" s="243" t="n">
        <x:f>('Model Assumptions'!$B$19+'Model Assumptions'!$B$20*'Model Assumptions'!$F$8)</x:f>
        <x:v>1.21</x:v>
      </x:c>
      <x:c r="K46" s="243" t="n">
        <x:f>'Model Assumptions'!$G$8</x:f>
        <x:v>1.08</x:v>
      </x:c>
      <x:c r="L46" s="243" t="n">
        <x:f>'Model Assumptions'!$H$8</x:f>
        <x:v>1.03</x:v>
      </x:c>
      <x:c r="M46" s="243" t="n">
        <x:f>1/(1+'Model Assumptions'!$B$22*(1-1))</x:f>
        <x:v>1</x:v>
      </x:c>
      <x:c r="N46" s="240" t="n">
        <x:f>MIN(E46,F46*G46*H46*I46*J46*K46*L46*M46*'Model Assumptions'!$J$8)</x:f>
        <x:v>63100</x:v>
      </x:c>
      <x:c r="O46" s="241" t="n">
        <x:f>N46/E46</x:f>
        <x:v>1</x:v>
      </x:c>
      <x:c r="P46" s="240" t="n">
        <x:f>'Building Economics'!K44*O46*'Building Economics'!Q44*'Model Assumptions'!$I$8*'Model Assumptions'!$K$8</x:f>
        <x:v>91539.58350920245</x:v>
      </x:c>
      <x:c r="Q46" s="240" t="n">
        <x:f>P46*(1-'Building Economics'!M44)</x:f>
        <x:v>76893.25014773005</x:v>
      </x:c>
      <x:c r="R46" s="240" t="n">
        <x:f>'Building Economics'!L44*O46*'Building Economics'!R44*'Model Assumptions'!$L$8</x:f>
        <x:v>10314.973251533742</x:v>
      </x:c>
      <x:c r="S46" s="277" t="n">
        <x:f>N46*'Building Economics'!T44</x:f>
        <x:v>1470.5009815950918</x:v>
      </x:c>
      <x:c r="T46" s="74"/>
      <x:c r="U46" s="74"/>
      <x:c r="V46" s="74"/>
      <x:c r="W46" s="74"/>
      <x:c r="X46" s="74"/>
      <x:c r="Y46" s="74"/>
      <x:c r="Z46" s="74"/>
      <x:c r="AA46" s="74"/>
    </x:row>
    <x:row r="47">
      <x:c r="A47" s="90" t="str">
        <x:v>Elite</x:v>
      </x:c>
      <x:c r="B47" s="74" t="str">
        <x:v>Major Asset Manager</x:v>
      </x:c>
      <x:c r="C47" s="74" t="str">
        <x:v>Asset Management</x:v>
      </x:c>
      <x:c r="D47" s="226" t="n">
        <x:v>9</x:v>
      </x:c>
      <x:c r="E47" s="240" t="n">
        <x:f>'Building Economics'!J45</x:f>
        <x:v>75089</x:v>
      </x:c>
      <x:c r="F47" s="240" t="n">
        <x:f>'Building Economics'!N45</x:f>
        <x:v>603000</x:v>
      </x:c>
      <x:c r="G47" s="241" t="n">
        <x:f>'Building Economics'!O45</x:f>
        <x:v>0.08</x:v>
      </x:c>
      <x:c r="H47" s="243" t="n">
        <x:f>'Building Economics'!U45</x:f>
        <x:v>1.25</x:v>
      </x:c>
      <x:c r="I47" s="243" t="n">
        <x:f>('Model Assumptions'!$B$17+'Model Assumptions'!$B$18*'Model Assumptions'!$E$8)</x:f>
        <x:v>1.252</x:v>
      </x:c>
      <x:c r="J47" s="243" t="n">
        <x:f>('Model Assumptions'!$B$19+'Model Assumptions'!$B$20*'Model Assumptions'!$F$8)</x:f>
        <x:v>1.21</x:v>
      </x:c>
      <x:c r="K47" s="243" t="n">
        <x:f>'Model Assumptions'!$G$8</x:f>
        <x:v>1.08</x:v>
      </x:c>
      <x:c r="L47" s="243" t="n">
        <x:f>'Model Assumptions'!$H$8</x:f>
        <x:v>1.03</x:v>
      </x:c>
      <x:c r="M47" s="243" t="n">
        <x:f>1/(1+'Model Assumptions'!$B$22*(1-1))</x:f>
        <x:v>1</x:v>
      </x:c>
      <x:c r="N47" s="240" t="n">
        <x:f>MIN(E47,F47*G47*H47*I47*J47*K47*L47*M47*'Model Assumptions'!$J$8)</x:f>
        <x:v>75089</x:v>
      </x:c>
      <x:c r="O47" s="241" t="n">
        <x:f>N47/E47</x:f>
        <x:v>1</x:v>
      </x:c>
      <x:c r="P47" s="240" t="n">
        <x:f>'Building Economics'!K45*O47*'Building Economics'!Q45*'Model Assumptions'!$I$8*'Model Assumptions'!$K$8</x:f>
        <x:v>119738.39266998341</x:v>
      </x:c>
      <x:c r="Q47" s="240" t="n">
        <x:f>P47*(1-'Building Economics'!M45)</x:f>
        <x:v>100580.24984278606</x:v>
      </x:c>
      <x:c r="R47" s="240" t="n">
        <x:f>'Building Economics'!L45*O47*'Building Economics'!R45*'Model Assumptions'!$L$8</x:f>
        <x:v>10578.904228855723</x:v>
      </x:c>
      <x:c r="S47" s="277" t="n">
        <x:f>N47*'Building Economics'!T45</x:f>
        <x:v>1388.3370829187397</x:v>
      </x:c>
      <x:c r="T47" s="74"/>
      <x:c r="U47" s="74"/>
      <x:c r="V47" s="74"/>
      <x:c r="W47" s="74"/>
      <x:c r="X47" s="74"/>
      <x:c r="Y47" s="74"/>
      <x:c r="Z47" s="74"/>
      <x:c r="AA47" s="74"/>
    </x:row>
    <x:row r="48">
      <x:c r="A48" s="90" t="str">
        <x:v>Elite</x:v>
      </x:c>
      <x:c r="B48" s="74" t="str">
        <x:v>Institutional Trading Center</x:v>
      </x:c>
      <x:c r="C48" s="74" t="str">
        <x:v>Trading</x:v>
      </x:c>
      <x:c r="D48" s="226" t="n">
        <x:v>9</x:v>
      </x:c>
      <x:c r="E48" s="240" t="n">
        <x:f>'Building Economics'!J46</x:f>
        <x:v>89356</x:v>
      </x:c>
      <x:c r="F48" s="240" t="n">
        <x:f>'Building Economics'!N46</x:f>
        <x:v>689000</x:v>
      </x:c>
      <x:c r="G48" s="241" t="n">
        <x:f>'Building Economics'!O46</x:f>
        <x:v>0.08</x:v>
      </x:c>
      <x:c r="H48" s="243" t="n">
        <x:f>'Building Economics'!U46</x:f>
        <x:v>1.25</x:v>
      </x:c>
      <x:c r="I48" s="243" t="n">
        <x:f>('Model Assumptions'!$B$17+'Model Assumptions'!$B$18*'Model Assumptions'!$E$8)</x:f>
        <x:v>1.252</x:v>
      </x:c>
      <x:c r="J48" s="243" t="n">
        <x:f>('Model Assumptions'!$B$19+'Model Assumptions'!$B$20*'Model Assumptions'!$F$8)</x:f>
        <x:v>1.21</x:v>
      </x:c>
      <x:c r="K48" s="243" t="n">
        <x:f>'Model Assumptions'!$G$8</x:f>
        <x:v>1.08</x:v>
      </x:c>
      <x:c r="L48" s="243" t="n">
        <x:f>'Model Assumptions'!$H$8</x:f>
        <x:v>1.03</x:v>
      </x:c>
      <x:c r="M48" s="243" t="n">
        <x:f>1/(1+'Model Assumptions'!$B$22*(1-1))</x:f>
        <x:v>1</x:v>
      </x:c>
      <x:c r="N48" s="240" t="n">
        <x:f>MIN(E48,F48*G48*H48*I48*J48*K48*L48*M48*'Model Assumptions'!$J$8)</x:f>
        <x:v>89356</x:v>
      </x:c>
      <x:c r="O48" s="241" t="n">
        <x:f>N48/E48</x:f>
        <x:v>1</x:v>
      </x:c>
      <x:c r="P48" s="240" t="n">
        <x:f>'Building Economics'!K46*O48*'Building Economics'!Q46*'Model Assumptions'!$I$8*'Model Assumptions'!$K$8</x:f>
        <x:v>142567.7059869376</x:v>
      </x:c>
      <x:c r="Q48" s="240" t="n">
        <x:f>P48*(1-'Building Economics'!M46)</x:f>
        <x:v>119756.87302902757</x:v>
      </x:c>
      <x:c r="R48" s="240" t="n">
        <x:f>'Building Economics'!L46*O48*'Building Economics'!R46*'Model Assumptions'!$L$8</x:f>
        <x:v>15977.30312046444</x:v>
      </x:c>
      <x:c r="S48" s="277" t="n">
        <x:f>N48*'Building Economics'!T46</x:f>
        <x:v>2190.843117561684</x:v>
      </x:c>
      <x:c r="T48" s="74"/>
      <x:c r="U48" s="74"/>
      <x:c r="V48" s="74"/>
      <x:c r="W48" s="74"/>
      <x:c r="X48" s="74"/>
      <x:c r="Y48" s="74"/>
      <x:c r="Z48" s="74"/>
      <x:c r="AA48" s="74"/>
    </x:row>
    <x:row r="49">
      <x:c r="A49" s="90" t="str">
        <x:v>Elite</x:v>
      </x:c>
      <x:c r="B49" s="74" t="str">
        <x:v>Global Wealth Center</x:v>
      </x:c>
      <x:c r="C49" s="74" t="str">
        <x:v>Wealth</x:v>
      </x:c>
      <x:c r="D49" s="226" t="n">
        <x:v>9</x:v>
      </x:c>
      <x:c r="E49" s="240" t="n">
        <x:f>'Building Economics'!J47</x:f>
        <x:v>106334</x:v>
      </x:c>
      <x:c r="F49" s="240" t="n">
        <x:f>'Building Economics'!N47</x:f>
        <x:v>424000</x:v>
      </x:c>
      <x:c r="G49" s="241" t="n">
        <x:f>'Building Economics'!O47</x:f>
        <x:v>0.08</x:v>
      </x:c>
      <x:c r="H49" s="243" t="n">
        <x:f>'Building Economics'!U47</x:f>
        <x:v>1.25</x:v>
      </x:c>
      <x:c r="I49" s="243" t="n">
        <x:f>('Model Assumptions'!$B$17+'Model Assumptions'!$B$18*'Model Assumptions'!$E$8)</x:f>
        <x:v>1.252</x:v>
      </x:c>
      <x:c r="J49" s="243" t="n">
        <x:f>('Model Assumptions'!$B$19+'Model Assumptions'!$B$20*'Model Assumptions'!$F$8)</x:f>
        <x:v>1.21</x:v>
      </x:c>
      <x:c r="K49" s="243" t="n">
        <x:f>'Model Assumptions'!$G$8</x:f>
        <x:v>1.08</x:v>
      </x:c>
      <x:c r="L49" s="243" t="n">
        <x:f>'Model Assumptions'!$H$8</x:f>
        <x:v>1.03</x:v>
      </x:c>
      <x:c r="M49" s="243" t="n">
        <x:f>1/(1+'Model Assumptions'!$B$22*(1-1))</x:f>
        <x:v>1</x:v>
      </x:c>
      <x:c r="N49" s="240" t="n">
        <x:f>MIN(E49,F49*G49*H49*I49*J49*K49*L49*M49*'Model Assumptions'!$J$8)</x:f>
        <x:v>71452.3531392</x:v>
      </x:c>
      <x:c r="O49" s="241" t="n">
        <x:f>N49/E49</x:f>
        <x:v>0.6719614905787424</x:v>
      </x:c>
      <x:c r="P49" s="240" t="n">
        <x:f>'Building Economics'!K47*O49*'Building Economics'!Q47*'Model Assumptions'!$I$8*'Model Assumptions'!$K$8</x:f>
        <x:v>119915.61482711155</x:v>
      </x:c>
      <x:c r="Q49" s="240" t="n">
        <x:f>P49*(1-'Building Economics'!M47)</x:f>
        <x:v>100729.1164547737</x:v>
      </x:c>
      <x:c r="R49" s="240" t="n">
        <x:f>'Building Economics'!L47*O49*'Building Economics'!R47*'Model Assumptions'!$L$8</x:f>
        <x:v>8986.003927026186</x:v>
      </x:c>
      <x:c r="S49" s="277" t="n">
        <x:f>N49*'Building Economics'!T47</x:f>
        <x:v>1171.5489599616</x:v>
      </x:c>
      <x:c r="T49" s="74"/>
      <x:c r="U49" s="74"/>
      <x:c r="V49" s="74"/>
      <x:c r="W49" s="74"/>
      <x:c r="X49" s="74"/>
      <x:c r="Y49" s="74"/>
      <x:c r="Z49" s="74"/>
      <x:c r="AA49" s="74"/>
    </x:row>
    <x:row r="50">
      <x:c r="A50" s="90" t="str">
        <x:v>Elite</x:v>
      </x:c>
      <x:c r="B50" s="74" t="str">
        <x:v>Financial Exchange Tower</x:v>
      </x:c>
      <x:c r="C50" s="74" t="str">
        <x:v>Exchange</x:v>
      </x:c>
      <x:c r="D50" s="226" t="n">
        <x:v>9</x:v>
      </x:c>
      <x:c r="E50" s="240" t="n">
        <x:f>'Building Economics'!J48</x:f>
        <x:v>126537</x:v>
      </x:c>
      <x:c r="F50" s="240" t="n">
        <x:f>'Building Economics'!N48</x:f>
        <x:v>651000</x:v>
      </x:c>
      <x:c r="G50" s="241" t="n">
        <x:f>'Building Economics'!O48</x:f>
        <x:v>0.08</x:v>
      </x:c>
      <x:c r="H50" s="243" t="n">
        <x:f>'Building Economics'!U48</x:f>
        <x:v>1.25</x:v>
      </x:c>
      <x:c r="I50" s="243" t="n">
        <x:f>('Model Assumptions'!$B$17+'Model Assumptions'!$B$18*'Model Assumptions'!$E$8)</x:f>
        <x:v>1.252</x:v>
      </x:c>
      <x:c r="J50" s="243" t="n">
        <x:f>('Model Assumptions'!$B$19+'Model Assumptions'!$B$20*'Model Assumptions'!$F$8)</x:f>
        <x:v>1.21</x:v>
      </x:c>
      <x:c r="K50" s="243" t="n">
        <x:f>'Model Assumptions'!$G$8</x:f>
        <x:v>1.08</x:v>
      </x:c>
      <x:c r="L50" s="243" t="n">
        <x:f>'Model Assumptions'!$H$8</x:f>
        <x:v>1.03</x:v>
      </x:c>
      <x:c r="M50" s="243" t="n">
        <x:f>1/(1+'Model Assumptions'!$B$22*(1-1))</x:f>
        <x:v>1</x:v>
      </x:c>
      <x:c r="N50" s="240" t="n">
        <x:f>MIN(E50,F50*G50*H50*I50*J50*K50*L50*M50*'Model Assumptions'!$J$8)</x:f>
        <x:v>109706.32522079999</x:v>
      </x:c>
      <x:c r="O50" s="241" t="n">
        <x:f>N50/E50</x:f>
        <x:v>0.8669900916000852</x:v>
      </x:c>
      <x:c r="P50" s="240" t="n">
        <x:f>'Building Economics'!K48*O50*'Building Economics'!Q48*'Model Assumptions'!$I$8*'Model Assumptions'!$K$8</x:f>
        <x:v>194258.1673825497</x:v>
      </x:c>
      <x:c r="Q50" s="240" t="n">
        <x:f>P50*(1-'Building Economics'!M48)</x:f>
        <x:v>163176.86060134173</x:v>
      </x:c>
      <x:c r="R50" s="240" t="n">
        <x:f>'Building Economics'!L48*O50*'Building Economics'!R48*'Model Assumptions'!$L$8</x:f>
        <x:v>21361.6424142322</x:v>
      </x:c>
      <x:c r="S50" s="277" t="n">
        <x:f>N50*'Building Economics'!T48</x:f>
        <x:v>2640.5351918352</x:v>
      </x:c>
      <x:c r="T50" s="74"/>
      <x:c r="U50" s="74"/>
      <x:c r="V50" s="74"/>
      <x:c r="W50" s="74"/>
      <x:c r="X50" s="74"/>
      <x:c r="Y50" s="74"/>
      <x:c r="Z50" s="74"/>
      <x:c r="AA50" s="74"/>
    </x:row>
    <x:row r="51">
      <x:c r="A51" s="90" t="str">
        <x:v>Elite</x:v>
      </x:c>
      <x:c r="B51" s="74" t="str">
        <x:v>Financial Data Center</x:v>
      </x:c>
      <x:c r="C51" s="74" t="str">
        <x:v>Data</x:v>
      </x:c>
      <x:c r="D51" s="226" t="n">
        <x:v>6</x:v>
      </x:c>
      <x:c r="E51" s="240" t="n">
        <x:f>'Building Economics'!J38</x:f>
        <x:v>22220</x:v>
      </x:c>
      <x:c r="F51" s="240" t="n">
        <x:f>'Building Economics'!N38</x:f>
        <x:v>52400</x:v>
      </x:c>
      <x:c r="G51" s="241" t="n">
        <x:f>'Building Economics'!O38</x:f>
        <x:v>0.13</x:v>
      </x:c>
      <x:c r="H51" s="243" t="n">
        <x:f>'Building Economics'!U38</x:f>
        <x:v>1.15</x:v>
      </x:c>
      <x:c r="I51" s="243" t="n">
        <x:f>('Model Assumptions'!$B$17+'Model Assumptions'!$B$18*'Model Assumptions'!$E$8)</x:f>
        <x:v>1.252</x:v>
      </x:c>
      <x:c r="J51" s="243" t="n">
        <x:f>('Model Assumptions'!$B$19+'Model Assumptions'!$B$20*'Model Assumptions'!$F$8)</x:f>
        <x:v>1.21</x:v>
      </x:c>
      <x:c r="K51" s="243" t="n">
        <x:f>'Model Assumptions'!$G$8</x:f>
        <x:v>1.08</x:v>
      </x:c>
      <x:c r="L51" s="243" t="n">
        <x:f>'Model Assumptions'!$H$8</x:f>
        <x:v>1.03</x:v>
      </x:c>
      <x:c r="M51" s="243" t="n">
        <x:f>1/(1+'Model Assumptions'!$B$22*(1-1))</x:f>
        <x:v>1</x:v>
      </x:c>
      <x:c r="N51" s="240" t="n">
        <x:f>MIN(E51,F51*G51*H51*I51*J51*K51*L51*M51*'Model Assumptions'!$J$8)</x:f>
        <x:v>13201.496321270399</x:v>
      </x:c>
      <x:c r="O51" s="241" t="n">
        <x:f>N51/E51</x:f>
        <x:v>0.5941267471318812</x:v>
      </x:c>
      <x:c r="P51" s="240" t="n">
        <x:f>'Building Economics'!K38*O51*'Building Economics'!Q38*'Model Assumptions'!$I$8*'Model Assumptions'!$K$8</x:f>
        <x:v>14397.458496695232</x:v>
      </x:c>
      <x:c r="Q51" s="240" t="n">
        <x:f>P51*(1-'Building Economics'!M38)</x:f>
        <x:v>12237.839722190947</x:v>
      </x:c>
      <x:c r="R51" s="240" t="n">
        <x:f>'Building Economics'!L38*O51*'Building Economics'!R38*'Model Assumptions'!$L$8</x:f>
        <x:v>1960.3461464143843</x:v>
      </x:c>
      <x:c r="S51" s="277" t="n">
        <x:f>N51*'Building Economics'!T38</x:f>
        <x:v>276.62677406020794</x:v>
      </x:c>
      <x:c r="T51" s="74"/>
      <x:c r="U51" s="74"/>
      <x:c r="V51" s="74"/>
      <x:c r="W51" s="74"/>
      <x:c r="X51" s="74"/>
      <x:c r="Y51" s="74"/>
      <x:c r="Z51" s="74"/>
      <x:c r="AA51" s="74"/>
    </x:row>
    <x:row r="52">
      <x:c r="A52" s="90" t="str">
        <x:v>Elite</x:v>
      </x:c>
      <x:c r="B52" s="74" t="str">
        <x:v>Market Maker Office</x:v>
      </x:c>
      <x:c r="C52" s="74" t="str">
        <x:v>Market Making</x:v>
      </x:c>
      <x:c r="D52" s="226" t="n">
        <x:v>6</x:v>
      </x:c>
      <x:c r="E52" s="240" t="n">
        <x:f>'Building Economics'!J39</x:f>
        <x:v>26442</x:v>
      </x:c>
      <x:c r="F52" s="240" t="n">
        <x:f>'Building Economics'!N39</x:f>
        <x:v>85600</x:v>
      </x:c>
      <x:c r="G52" s="241" t="n">
        <x:f>'Building Economics'!O39</x:f>
        <x:v>0.13</x:v>
      </x:c>
      <x:c r="H52" s="243" t="n">
        <x:f>'Building Economics'!U39</x:f>
        <x:v>1.15</x:v>
      </x:c>
      <x:c r="I52" s="243" t="n">
        <x:f>('Model Assumptions'!$B$17+'Model Assumptions'!$B$18*'Model Assumptions'!$E$8)</x:f>
        <x:v>1.252</x:v>
      </x:c>
      <x:c r="J52" s="243" t="n">
        <x:f>('Model Assumptions'!$B$19+'Model Assumptions'!$B$20*'Model Assumptions'!$F$8)</x:f>
        <x:v>1.21</x:v>
      </x:c>
      <x:c r="K52" s="243" t="n">
        <x:f>'Model Assumptions'!$G$8</x:f>
        <x:v>1.08</x:v>
      </x:c>
      <x:c r="L52" s="243" t="n">
        <x:f>'Model Assumptions'!$H$8</x:f>
        <x:v>1.03</x:v>
      </x:c>
      <x:c r="M52" s="243" t="n">
        <x:f>1/(1+'Model Assumptions'!$B$22*(1-1))</x:f>
        <x:v>1</x:v>
      </x:c>
      <x:c r="N52" s="240" t="n">
        <x:f>MIN(E52,F52*G52*H52*I52*J52*K52*L52*M52*'Model Assumptions'!$J$8)</x:f>
        <x:v>21565.8031507776</x:v>
      </x:c>
      <x:c r="O52" s="241" t="n">
        <x:f>N52/E52</x:f>
        <x:v>0.8155889551008849</x:v>
      </x:c>
      <x:c r="P52" s="240" t="n">
        <x:f>'Building Economics'!K39*O52*'Building Economics'!Q39*'Model Assumptions'!$I$8*'Model Assumptions'!$K$8</x:f>
        <x:v>31422.210441429743</x:v>
      </x:c>
      <x:c r="Q52" s="240" t="n">
        <x:f>P52*(1-'Building Economics'!M39)</x:f>
        <x:v>26708.87887521528</x:v>
      </x:c>
      <x:c r="R52" s="240" t="n">
        <x:f>'Building Economics'!L39*O52*'Building Economics'!R39*'Model Assumptions'!$L$8</x:f>
        <x:v>4412.287464205016</x:v>
      </x:c>
      <x:c r="S52" s="277" t="n">
        <x:f>N52*'Building Economics'!T39</x:f>
        <x:v>560.5597197486</x:v>
      </x:c>
      <x:c r="T52" s="74"/>
      <x:c r="U52" s="74"/>
      <x:c r="V52" s="74"/>
      <x:c r="W52" s="74"/>
      <x:c r="X52" s="74"/>
      <x:c r="Y52" s="74"/>
      <x:c r="Z52" s="74"/>
      <x:c r="AA52" s="74"/>
    </x:row>
    <x:row r="53">
      <x:c r="A53" s="90" t="str">
        <x:v>Elite</x:v>
      </x:c>
      <x:c r="B53" s="74" t="str">
        <x:v>Corporate Treasury Center</x:v>
      </x:c>
      <x:c r="C53" s="74" t="str">
        <x:v>Treasury</x:v>
      </x:c>
      <x:c r="D53" s="226" t="n">
        <x:v>6</x:v>
      </x:c>
      <x:c r="E53" s="240" t="n">
        <x:f>'Building Economics'!J41</x:f>
        <x:v>37445</x:v>
      </x:c>
      <x:c r="F53" s="240" t="n">
        <x:f>'Building Economics'!N41</x:f>
        <x:v>69800</x:v>
      </x:c>
      <x:c r="G53" s="241" t="n">
        <x:f>'Building Economics'!O41</x:f>
        <x:v>0.13</x:v>
      </x:c>
      <x:c r="H53" s="243" t="n">
        <x:f>'Building Economics'!U41</x:f>
        <x:v>1.15</x:v>
      </x:c>
      <x:c r="I53" s="243" t="n">
        <x:f>('Model Assumptions'!$B$17+'Model Assumptions'!$B$18*'Model Assumptions'!$E$8)</x:f>
        <x:v>1.252</x:v>
      </x:c>
      <x:c r="J53" s="243" t="n">
        <x:f>('Model Assumptions'!$B$19+'Model Assumptions'!$B$20*'Model Assumptions'!$F$8)</x:f>
        <x:v>1.21</x:v>
      </x:c>
      <x:c r="K53" s="243" t="n">
        <x:f>'Model Assumptions'!$G$8</x:f>
        <x:v>1.08</x:v>
      </x:c>
      <x:c r="L53" s="243" t="n">
        <x:f>'Model Assumptions'!$H$8</x:f>
        <x:v>1.03</x:v>
      </x:c>
      <x:c r="M53" s="243" t="n">
        <x:f>1/(1+'Model Assumptions'!$B$22*(1-1))</x:f>
        <x:v>1</x:v>
      </x:c>
      <x:c r="N53" s="240" t="n">
        <x:f>MIN(E53,F53*G53*H53*I53*J53*K53*L53*M53*'Model Assumptions'!$J$8)</x:f>
        <x:v>17585.199298180796</x:v>
      </x:c>
      <x:c r="O53" s="241" t="n">
        <x:f>N53/E53</x:f>
        <x:v>0.46962743485594327</x:v>
      </x:c>
      <x:c r="P53" s="240" t="n">
        <x:f>'Building Economics'!K41*O53*'Building Economics'!Q41*'Model Assumptions'!$I$8*'Model Assumptions'!$K$8</x:f>
        <x:v>19135.341478056685</x:v>
      </x:c>
      <x:c r="Q53" s="240" t="n">
        <x:f>P53*(1-'Building Economics'!M41)</x:f>
        <x:v>16265.040256348182</x:v>
      </x:c>
      <x:c r="R53" s="240" t="n">
        <x:f>'Building Economics'!L41*O53*'Building Economics'!R41*'Model Assumptions'!$L$8</x:f>
        <x:v>1662.4568979177543</x:v>
      </x:c>
      <x:c r="S53" s="277" t="n">
        <x:f>N53*'Building Economics'!T41</x:f>
        <x:v>246.77224516573196</x:v>
      </x:c>
      <x:c r="T53" s="74"/>
      <x:c r="U53" s="74"/>
      <x:c r="V53" s="74"/>
      <x:c r="W53" s="74"/>
      <x:c r="X53" s="74"/>
      <x:c r="Y53" s="74"/>
      <x:c r="Z53" s="74"/>
      <x:c r="AA53" s="74"/>
    </x:row>
    <x:row r="54">
      <x:c r="A54" s="90" t="str">
        <x:v>Tycoon</x:v>
      </x:c>
      <x:c r="B54" s="74" t="str">
        <x:v>International Bank HQ</x:v>
      </x:c>
      <x:c r="C54" s="74" t="str">
        <x:v>Banking</x:v>
      </x:c>
      <x:c r="D54" s="226" t="n">
        <x:v>16</x:v>
      </x:c>
      <x:c r="E54" s="240" t="n">
        <x:f>'Building Economics'!J49</x:f>
        <x:v>150579</x:v>
      </x:c>
      <x:c r="F54" s="240" t="n">
        <x:f>'Building Economics'!N49</x:f>
        <x:v>5045000</x:v>
      </x:c>
      <x:c r="G54" s="241" t="n">
        <x:f>'Building Economics'!O49</x:f>
        <x:v>0.04</x:v>
      </x:c>
      <x:c r="H54" s="243" t="n">
        <x:f>'Building Economics'!U49</x:f>
        <x:v>1.35</x:v>
      </x:c>
      <x:c r="I54" s="243" t="n">
        <x:f>('Model Assumptions'!$B$17+'Model Assumptions'!$B$18*'Model Assumptions'!$E$9)</x:f>
        <x:v>1.294</x:v>
      </x:c>
      <x:c r="J54" s="243" t="n">
        <x:f>('Model Assumptions'!$B$19+'Model Assumptions'!$B$20*'Model Assumptions'!$F$9)</x:f>
        <x:v>1.252</x:v>
      </x:c>
      <x:c r="K54" s="243" t="n">
        <x:f>'Model Assumptions'!$G$9</x:f>
        <x:v>1.1</x:v>
      </x:c>
      <x:c r="L54" s="243" t="n">
        <x:f>'Model Assumptions'!$H$9</x:f>
        <x:v>1.04</x:v>
      </x:c>
      <x:c r="M54" s="243" t="n">
        <x:f>1/(1+'Model Assumptions'!$B$22*(1-1))</x:f>
        <x:v>1</x:v>
      </x:c>
      <x:c r="N54" s="240" t="n">
        <x:f>MIN(E54,F54*G54*H54*I54*J54*K54*L54*M54*'Model Assumptions'!$J$9)</x:f>
        <x:v>150579</x:v>
      </x:c>
      <x:c r="O54" s="241" t="n">
        <x:f>N54/E54</x:f>
        <x:v>1</x:v>
      </x:c>
      <x:c r="P54" s="240" t="n">
        <x:f>'Building Economics'!K49*O54*'Building Economics'!Q49*'Model Assumptions'!$I$9*'Model Assumptions'!$K$9</x:f>
        <x:v>209208.24101684833</x:v>
      </x:c>
      <x:c r="Q54" s="240" t="n">
        <x:f>P54*(1-'Building Economics'!M49)</x:f>
        <x:v>173642.84004398412</x:v>
      </x:c>
      <x:c r="R54" s="240" t="n">
        <x:f>'Building Economics'!L49*O54*'Building Economics'!R49*'Model Assumptions'!$L$9</x:f>
        <x:v>14647.709167492567</x:v>
      </x:c>
      <x:c r="S54" s="277" t="n">
        <x:f>N54*'Building Economics'!T49</x:f>
        <x:v>2666.8451238850344</x:v>
      </x:c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90" t="str">
        <x:v>Tycoon</x:v>
      </x:c>
      <x:c r="B55" s="74" t="str">
        <x:v>Global Investment Bank</x:v>
      </x:c>
      <x:c r="C55" s="74" t="str">
        <x:v>Investment Banking</x:v>
      </x:c>
      <x:c r="D55" s="226" t="n">
        <x:v>16</x:v>
      </x:c>
      <x:c r="E55" s="240" t="n">
        <x:f>'Building Economics'!J50</x:f>
        <x:v>179189</x:v>
      </x:c>
      <x:c r="F55" s="240" t="n">
        <x:f>'Building Economics'!N50</x:f>
        <x:v>1410000</x:v>
      </x:c>
      <x:c r="G55" s="241" t="n">
        <x:f>'Building Economics'!O50</x:f>
        <x:v>0.04</x:v>
      </x:c>
      <x:c r="H55" s="243" t="n">
        <x:f>'Building Economics'!U50</x:f>
        <x:v>1.35</x:v>
      </x:c>
      <x:c r="I55" s="243" t="n">
        <x:f>('Model Assumptions'!$B$17+'Model Assumptions'!$B$18*'Model Assumptions'!$E$9)</x:f>
        <x:v>1.294</x:v>
      </x:c>
      <x:c r="J55" s="243" t="n">
        <x:f>('Model Assumptions'!$B$19+'Model Assumptions'!$B$20*'Model Assumptions'!$F$9)</x:f>
        <x:v>1.252</x:v>
      </x:c>
      <x:c r="K55" s="243" t="n">
        <x:f>'Model Assumptions'!$G$9</x:f>
        <x:v>1.1</x:v>
      </x:c>
      <x:c r="L55" s="243" t="n">
        <x:f>'Model Assumptions'!$H$9</x:f>
        <x:v>1.04</x:v>
      </x:c>
      <x:c r="M55" s="243" t="n">
        <x:f>1/(1+'Model Assumptions'!$B$22*(1-1))</x:f>
        <x:v>1</x:v>
      </x:c>
      <x:c r="N55" s="240" t="n">
        <x:f>MIN(E55,F55*G55*H55*I55*J55*K55*L55*M55*'Model Assumptions'!$J$9)</x:f>
        <x:v>141116.40436608</x:v>
      </x:c>
      <x:c r="O55" s="241" t="n">
        <x:f>N55/E55</x:f>
        <x:v>0.7875282766580538</x:v>
      </x:c>
      <x:c r="P55" s="240" t="n">
        <x:f>'Building Economics'!K50*O55*'Building Economics'!Q50*'Model Assumptions'!$I$9*'Model Assumptions'!$K$9</x:f>
        <x:v>327759.6929039154</x:v>
      </x:c>
      <x:c r="Q55" s="240" t="n">
        <x:f>P55*(1-'Building Economics'!M50)</x:f>
        <x:v>272040.5451102498</x:v>
      </x:c>
      <x:c r="R55" s="240" t="n">
        <x:f>'Building Economics'!L50*O55*'Building Economics'!R50*'Model Assumptions'!$L$9</x:f>
        <x:v>20975.61429847256</x:v>
      </x:c>
      <x:c r="S55" s="277" t="n">
        <x:f>N55*'Building Economics'!T50</x:f>
        <x:v>1581.3043893504</x:v>
      </x:c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90" t="str">
        <x:v>Tycoon</x:v>
      </x:c>
      <x:c r="B56" s="74" t="str">
        <x:v>Sovereign Fund Tower</x:v>
      </x:c>
      <x:c r="C56" s="74" t="str">
        <x:v>Asset Management</x:v>
      </x:c>
      <x:c r="D56" s="226" t="n">
        <x:v>16</x:v>
      </x:c>
      <x:c r="E56" s="240" t="n">
        <x:f>'Building Economics'!J51</x:f>
        <x:v>213235</x:v>
      </x:c>
      <x:c r="F56" s="240" t="n">
        <x:f>'Building Economics'!N51</x:f>
        <x:v>3075000</x:v>
      </x:c>
      <x:c r="G56" s="241" t="n">
        <x:f>'Building Economics'!O51</x:f>
        <x:v>0.04</x:v>
      </x:c>
      <x:c r="H56" s="243" t="n">
        <x:f>'Building Economics'!U51</x:f>
        <x:v>1.35</x:v>
      </x:c>
      <x:c r="I56" s="243" t="n">
        <x:f>('Model Assumptions'!$B$17+'Model Assumptions'!$B$18*'Model Assumptions'!$E$9)</x:f>
        <x:v>1.294</x:v>
      </x:c>
      <x:c r="J56" s="243" t="n">
        <x:f>('Model Assumptions'!$B$19+'Model Assumptions'!$B$20*'Model Assumptions'!$F$9)</x:f>
        <x:v>1.252</x:v>
      </x:c>
      <x:c r="K56" s="243" t="n">
        <x:f>'Model Assumptions'!$G$9</x:f>
        <x:v>1.1</x:v>
      </x:c>
      <x:c r="L56" s="243" t="n">
        <x:f>'Model Assumptions'!$H$9</x:f>
        <x:v>1.04</x:v>
      </x:c>
      <x:c r="M56" s="243" t="n">
        <x:f>1/(1+'Model Assumptions'!$B$22*(1-1))</x:f>
        <x:v>1</x:v>
      </x:c>
      <x:c r="N56" s="240" t="n">
        <x:f>MIN(E56,F56*G56*H56*I56*J56*K56*L56*M56*'Model Assumptions'!$J$9)</x:f>
        <x:v>213235</x:v>
      </x:c>
      <x:c r="O56" s="241" t="n">
        <x:f>N56/E56</x:f>
        <x:v>1</x:v>
      </x:c>
      <x:c r="P56" s="240" t="n">
        <x:f>'Building Economics'!K51*O56*'Building Economics'!Q51*'Model Assumptions'!$I$9*'Model Assumptions'!$K$9</x:f>
        <x:v>408471.73559999996</x:v>
      </x:c>
      <x:c r="Q56" s="240" t="n">
        <x:f>P56*(1-'Building Economics'!M51)</x:f>
        <x:v>339031.54054799996</x:v>
      </x:c>
      <x:c r="R56" s="240" t="n">
        <x:f>'Building Economics'!L51*O56*'Building Economics'!R51*'Model Assumptions'!$L$9</x:f>
        <x:v>30255.98926829268</x:v>
      </x:c>
      <x:c r="S56" s="277" t="n">
        <x:f>N56*'Building Economics'!T51</x:f>
        <x:v>3872.2089105691057</x:v>
      </x:c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90" t="str">
        <x:v>Tycoon</x:v>
      </x:c>
      <x:c r="B57" s="74" t="str">
        <x:v>World Financial Exchange</x:v>
      </x:c>
      <x:c r="C57" s="74" t="str">
        <x:v>Exchange</x:v>
      </x:c>
      <x:c r="D57" s="226" t="n">
        <x:v>16</x:v>
      </x:c>
      <x:c r="E57" s="240" t="n">
        <x:f>'Building Economics'!J52</x:f>
        <x:v>253750</x:v>
      </x:c>
      <x:c r="F57" s="240" t="n">
        <x:f>'Building Economics'!N52</x:f>
        <x:v>3275000</x:v>
      </x:c>
      <x:c r="G57" s="241" t="n">
        <x:f>'Building Economics'!O52</x:f>
        <x:v>0.04</x:v>
      </x:c>
      <x:c r="H57" s="243" t="n">
        <x:f>'Building Economics'!U52</x:f>
        <x:v>1.35</x:v>
      </x:c>
      <x:c r="I57" s="243" t="n">
        <x:f>('Model Assumptions'!$B$17+'Model Assumptions'!$B$18*'Model Assumptions'!$E$9)</x:f>
        <x:v>1.294</x:v>
      </x:c>
      <x:c r="J57" s="243" t="n">
        <x:f>('Model Assumptions'!$B$19+'Model Assumptions'!$B$20*'Model Assumptions'!$F$9)</x:f>
        <x:v>1.252</x:v>
      </x:c>
      <x:c r="K57" s="243" t="n">
        <x:f>'Model Assumptions'!$G$9</x:f>
        <x:v>1.1</x:v>
      </x:c>
      <x:c r="L57" s="243" t="n">
        <x:f>'Model Assumptions'!$H$9</x:f>
        <x:v>1.04</x:v>
      </x:c>
      <x:c r="M57" s="243" t="n">
        <x:f>1/(1+'Model Assumptions'!$B$22*(1-1))</x:f>
        <x:v>1</x:v>
      </x:c>
      <x:c r="N57" s="240" t="n">
        <x:f>MIN(E57,F57*G57*H57*I57*J57*K57*L57*M57*'Model Assumptions'!$J$9)</x:f>
        <x:v>253750</x:v>
      </x:c>
      <x:c r="O57" s="241" t="n">
        <x:f>N57/E57</x:f>
        <x:v>1</x:v>
      </x:c>
      <x:c r="P57" s="240" t="n">
        <x:f>'Building Economics'!K52*O57*'Building Economics'!Q52*'Model Assumptions'!$I$9*'Model Assumptions'!$K$9</x:f>
        <x:v>516072.287642748</x:v>
      </x:c>
      <x:c r="Q57" s="240" t="n">
        <x:f>P57*(1-'Building Economics'!M52)</x:f>
        <x:v>428339.9987434808</x:v>
      </x:c>
      <x:c r="R57" s="240" t="n">
        <x:f>'Building Economics'!L52*O57*'Building Economics'!R52*'Model Assumptions'!$L$9</x:f>
        <x:v>49402.15160305343</x:v>
      </x:c>
      <x:c r="S57" s="277" t="n">
        <x:f>N57*'Building Economics'!T52</x:f>
        <x:v>5969.1297709923665</x:v>
      </x:c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90" t="str">
        <x:v>Tycoon</x:v>
      </x:c>
      <x:c r="B58" s="74" t="str">
        <x:v>Financial Empire Headquarters</x:v>
      </x:c>
      <x:c r="C58" s="74" t="str">
        <x:v>Multi-Service</x:v>
      </x:c>
      <x:c r="D58" s="226" t="n">
        <x:v>16</x:v>
      </x:c>
      <x:c r="E58" s="240" t="n">
        <x:f>'Building Economics'!J53</x:f>
        <x:v>301962</x:v>
      </x:c>
      <x:c r="F58" s="240" t="n">
        <x:f>'Building Economics'!N53</x:f>
        <x:v>5940000</x:v>
      </x:c>
      <x:c r="G58" s="241" t="n">
        <x:f>'Building Economics'!O53</x:f>
        <x:v>0.04</x:v>
      </x:c>
      <x:c r="H58" s="243" t="n">
        <x:f>'Building Economics'!U53</x:f>
        <x:v>1.35</x:v>
      </x:c>
      <x:c r="I58" s="243" t="n">
        <x:f>('Model Assumptions'!$B$17+'Model Assumptions'!$B$18*'Model Assumptions'!$E$9)</x:f>
        <x:v>1.294</x:v>
      </x:c>
      <x:c r="J58" s="243" t="n">
        <x:f>('Model Assumptions'!$B$19+'Model Assumptions'!$B$20*'Model Assumptions'!$F$9)</x:f>
        <x:v>1.252</x:v>
      </x:c>
      <x:c r="K58" s="243" t="n">
        <x:f>'Model Assumptions'!$G$9</x:f>
        <x:v>1.1</x:v>
      </x:c>
      <x:c r="L58" s="243" t="n">
        <x:f>'Model Assumptions'!$H$9</x:f>
        <x:v>1.04</x:v>
      </x:c>
      <x:c r="M58" s="243" t="n">
        <x:f>1/(1+'Model Assumptions'!$B$22*(1-1))</x:f>
        <x:v>1</x:v>
      </x:c>
      <x:c r="N58" s="240" t="n">
        <x:f>MIN(E58,F58*G58*H58*I58*J58*K58*L58*M58*'Model Assumptions'!$J$9)</x:f>
        <x:v>301962</x:v>
      </x:c>
      <x:c r="O58" s="241" t="n">
        <x:f>N58/E58</x:f>
        <x:v>1</x:v>
      </x:c>
      <x:c r="P58" s="240" t="n">
        <x:f>'Building Economics'!K53*O58*'Building Economics'!Q53*'Model Assumptions'!$I$9*'Model Assumptions'!$K$9</x:f>
        <x:v>529919.6580454544</x:v>
      </x:c>
      <x:c r="Q58" s="240" t="n">
        <x:f>P58*(1-'Building Economics'!M53)</x:f>
        <x:v>439833.31617772713</x:v>
      </x:c>
      <x:c r="R58" s="240" t="n">
        <x:f>'Building Economics'!L53*O58*'Building Economics'!R53*'Model Assumptions'!$L$9</x:f>
        <x:v>37614.4148989899</x:v>
      </x:c>
      <x:c r="S58" s="277" t="n">
        <x:f>N58*'Building Economics'!T53</x:f>
        <x:v>5817.089505050505</x:v>
      </x:c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90" t="str">
        <x:v>Tycoon</x:v>
      </x:c>
      <x:c r="B59" s="74" t="str">
        <x:v>Institutional Trading Center</x:v>
      </x:c>
      <x:c r="C59" s="74" t="str">
        <x:v>Trading</x:v>
      </x:c>
      <x:c r="D59" s="226" t="n">
        <x:v>9</x:v>
      </x:c>
      <x:c r="E59" s="240" t="n">
        <x:f>'Building Economics'!J46</x:f>
        <x:v>89356</x:v>
      </x:c>
      <x:c r="F59" s="240" t="n">
        <x:f>'Building Economics'!N46</x:f>
        <x:v>689000</x:v>
      </x:c>
      <x:c r="G59" s="241" t="n">
        <x:f>'Building Economics'!O46</x:f>
        <x:v>0.08</x:v>
      </x:c>
      <x:c r="H59" s="243" t="n">
        <x:f>'Building Economics'!U46</x:f>
        <x:v>1.25</x:v>
      </x:c>
      <x:c r="I59" s="243" t="n">
        <x:f>('Model Assumptions'!$B$17+'Model Assumptions'!$B$18*'Model Assumptions'!$E$9)</x:f>
        <x:v>1.294</x:v>
      </x:c>
      <x:c r="J59" s="243" t="n">
        <x:f>('Model Assumptions'!$B$19+'Model Assumptions'!$B$20*'Model Assumptions'!$F$9)</x:f>
        <x:v>1.252</x:v>
      </x:c>
      <x:c r="K59" s="243" t="n">
        <x:f>'Model Assumptions'!$G$9</x:f>
        <x:v>1.1</x:v>
      </x:c>
      <x:c r="L59" s="243" t="n">
        <x:f>'Model Assumptions'!$H$9</x:f>
        <x:v>1.04</x:v>
      </x:c>
      <x:c r="M59" s="243" t="n">
        <x:f>1/(1+'Model Assumptions'!$B$22*(1-1))</x:f>
        <x:v>1</x:v>
      </x:c>
      <x:c r="N59" s="240" t="n">
        <x:f>MIN(E59,F59*G59*H59*I59*J59*K59*L59*M59*'Model Assumptions'!$J$9)</x:f>
        <x:v>89356</x:v>
      </x:c>
      <x:c r="O59" s="241" t="n">
        <x:f>N59/E59</x:f>
        <x:v>1</x:v>
      </x:c>
      <x:c r="P59" s="240" t="n">
        <x:f>'Building Economics'!K46*O59*'Building Economics'!Q46*'Model Assumptions'!$I$9*'Model Assumptions'!$K$9</x:f>
        <x:v>147751.9862046444</x:v>
      </x:c>
      <x:c r="Q59" s="240" t="n">
        <x:f>P59*(1-'Building Economics'!M46)</x:f>
        <x:v>124111.6684119013</x:v>
      </x:c>
      <x:c r="R59" s="240" t="n">
        <x:f>'Building Economics'!L46*O59*'Building Economics'!R46*'Model Assumptions'!$L$9</x:f>
        <x:v>15977.30312046444</x:v>
      </x:c>
      <x:c r="S59" s="277" t="n">
        <x:f>N59*'Building Economics'!T46</x:f>
        <x:v>2190.843117561684</x:v>
      </x:c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90" t="str">
        <x:v>Tycoon</x:v>
      </x:c>
      <x:c r="B60" s="74" t="str">
        <x:v>Global Wealth Center</x:v>
      </x:c>
      <x:c r="C60" s="74" t="str">
        <x:v>Wealth</x:v>
      </x:c>
      <x:c r="D60" s="226" t="n">
        <x:v>9</x:v>
      </x:c>
      <x:c r="E60" s="240" t="n">
        <x:f>'Building Economics'!J47</x:f>
        <x:v>106334</x:v>
      </x:c>
      <x:c r="F60" s="240" t="n">
        <x:f>'Building Economics'!N47</x:f>
        <x:v>424000</x:v>
      </x:c>
      <x:c r="G60" s="241" t="n">
        <x:f>'Building Economics'!O47</x:f>
        <x:v>0.08</x:v>
      </x:c>
      <x:c r="H60" s="243" t="n">
        <x:f>'Building Economics'!U47</x:f>
        <x:v>1.25</x:v>
      </x:c>
      <x:c r="I60" s="243" t="n">
        <x:f>('Model Assumptions'!$B$17+'Model Assumptions'!$B$18*'Model Assumptions'!$E$9)</x:f>
        <x:v>1.294</x:v>
      </x:c>
      <x:c r="J60" s="243" t="n">
        <x:f>('Model Assumptions'!$B$19+'Model Assumptions'!$B$20*'Model Assumptions'!$F$9)</x:f>
        <x:v>1.252</x:v>
      </x:c>
      <x:c r="K60" s="243" t="n">
        <x:f>'Model Assumptions'!$G$9</x:f>
        <x:v>1.1</x:v>
      </x:c>
      <x:c r="L60" s="243" t="n">
        <x:f>'Model Assumptions'!$H$9</x:f>
        <x:v>1.04</x:v>
      </x:c>
      <x:c r="M60" s="243" t="n">
        <x:f>1/(1+'Model Assumptions'!$B$22*(1-1))</x:f>
        <x:v>1</x:v>
      </x:c>
      <x:c r="N60" s="240" t="n">
        <x:f>MIN(E60,F60*G60*H60*I60*J60*K60*L60*M60*'Model Assumptions'!$J$9)</x:f>
        <x:v>78583.34049280001</x:v>
      </x:c>
      <x:c r="O60" s="241" t="n">
        <x:f>N60/E60</x:f>
        <x:v>0.7390236471194539</x:v>
      </x:c>
      <x:c r="P60" s="240" t="n">
        <x:f>'Building Economics'!K47*O60*'Building Economics'!Q47*'Model Assumptions'!$I$9*'Model Assumptions'!$K$9</x:f>
        <x:v>136679.0196040252</x:v>
      </x:c>
      <x:c r="Q60" s="240" t="n">
        <x:f>P60*(1-'Building Economics'!M47)</x:f>
        <x:v>114810.37646738117</x:v>
      </x:c>
      <x:c r="R60" s="240" t="n">
        <x:f>'Building Economics'!L47*O60*'Building Economics'!R47*'Model Assumptions'!$L$9</x:f>
        <x:v>9882.812465132523</x:v>
      </x:c>
      <x:c r="S60" s="277" t="n">
        <x:f>N60*'Building Economics'!T47</x:f>
        <x:v>1288.4702431744001</x:v>
      </x:c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92" t="str">
        <x:v>Tycoon</x:v>
      </x:c>
      <x:c r="B61" s="207" t="str">
        <x:v>Financial Data Center</x:v>
      </x:c>
      <x:c r="C61" s="207" t="str">
        <x:v>Data</x:v>
      </x:c>
      <x:c r="D61" s="229" t="n">
        <x:v>6</x:v>
      </x:c>
      <x:c r="E61" s="245" t="n">
        <x:f>'Building Economics'!J38</x:f>
        <x:v>22220</x:v>
      </x:c>
      <x:c r="F61" s="245" t="n">
        <x:f>'Building Economics'!N38</x:f>
        <x:v>52400</x:v>
      </x:c>
      <x:c r="G61" s="246" t="n">
        <x:f>'Building Economics'!O38</x:f>
        <x:v>0.13</x:v>
      </x:c>
      <x:c r="H61" s="248" t="n">
        <x:f>'Building Economics'!U38</x:f>
        <x:v>1.15</x:v>
      </x:c>
      <x:c r="I61" s="248" t="n">
        <x:f>('Model Assumptions'!$B$17+'Model Assumptions'!$B$18*'Model Assumptions'!$E$9)</x:f>
        <x:v>1.294</x:v>
      </x:c>
      <x:c r="J61" s="248" t="n">
        <x:f>('Model Assumptions'!$B$19+'Model Assumptions'!$B$20*'Model Assumptions'!$F$9)</x:f>
        <x:v>1.252</x:v>
      </x:c>
      <x:c r="K61" s="248" t="n">
        <x:f>'Model Assumptions'!$G$9</x:f>
        <x:v>1.1</x:v>
      </x:c>
      <x:c r="L61" s="248" t="n">
        <x:f>'Model Assumptions'!$H$9</x:f>
        <x:v>1.04</x:v>
      </x:c>
      <x:c r="M61" s="248" t="n">
        <x:f>1/(1+'Model Assumptions'!$B$22*(1-1))</x:f>
        <x:v>1</x:v>
      </x:c>
      <x:c r="N61" s="245" t="n">
        <x:f>MIN(E61,F61*G61*H61*I61*J61*K61*L61*M61*'Model Assumptions'!$J$9)</x:f>
        <x:v>14519.0135083136</x:v>
      </x:c>
      <x:c r="O61" s="246" t="n">
        <x:f>N61/E61</x:f>
        <x:v>0.6534209499691088</x:v>
      </x:c>
      <x:c r="P61" s="245" t="n">
        <x:f>'Building Economics'!K38*O61*'Building Economics'!Q38*'Model Assumptions'!$I$9*'Model Assumptions'!$K$9</x:f>
        <x:v>16410.127362938245</x:v>
      </x:c>
      <x:c r="Q61" s="245" t="n">
        <x:f>P61*(1-'Building Economics'!M38)</x:f>
        <x:v>13948.608258497508</x:v>
      </x:c>
      <x:c r="R61" s="245" t="n">
        <x:f>'Building Economics'!L38*O61*'Building Economics'!R38*'Model Assumptions'!$L$9</x:f>
        <x:v>2155.989858127081</x:v>
      </x:c>
      <x:c r="S61" s="278" t="n">
        <x:f>N61*'Building Economics'!T38</x:f>
        <x:v>304.23429068947195</x:v>
      </x:c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S1"/>
  </x:mergeCells>
  <x:conditionalFormatting sqref="F4:F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13:O6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20" hidden="0" customWidth="1"/>
    <x:col min="14" max="14" width="42" hidden="0" customWidth="1"/>
  </x:cols>
  <x:sheetData>
    <x:row r="1" ht="30" customHeight="1">
      <x:c r="A1" s="6" t="str">
        <x:v>Stage Economy Targets &amp; Calibration Ranges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 ht="30" customHeight="1">
      <x:c r="A3" s="40" t="str">
        <x:v>Stage</x:v>
      </x:c>
      <x:c r="B3" s="41" t="str">
        <x:v>Scenario Customers</x:v>
      </x:c>
      <x:c r="C3" s="41" t="str">
        <x:v>Scenario Util.</x:v>
      </x:c>
      <x:c r="D3" s="41" t="str">
        <x:v>Scenario Net Cash/Day</x:v>
      </x:c>
      <x:c r="E3" s="41" t="str">
        <x:v>Scenario Activity/Day</x:v>
      </x:c>
      <x:c r="F3" s="41" t="str">
        <x:v>Min Net Cash Target</x:v>
      </x:c>
      <x:c r="G3" s="41" t="str">
        <x:v>Max Net Cash Target</x:v>
      </x:c>
      <x:c r="H3" s="41" t="str">
        <x:v>Min Activity Target</x:v>
      </x:c>
      <x:c r="I3" s="41" t="str">
        <x:v>Max Activity Target</x:v>
      </x:c>
      <x:c r="J3" s="41" t="str">
        <x:v>Cash Sink Target</x:v>
      </x:c>
      <x:c r="K3" s="41" t="str">
        <x:v>Idle Cash Target (Days)</x:v>
      </x:c>
      <x:c r="L3" s="41" t="str">
        <x:v>Expected Upgrade Cadence</x:v>
      </x:c>
      <x:c r="M3" s="41" t="str">
        <x:v>Recommended Days in Stage</x:v>
      </x:c>
      <x:c r="N3" s="42" t="str">
        <x:v>Design Goal</x:v>
      </x:c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</x:row>
    <x:row r="4">
      <x:c r="A4" s="90" t="str">
        <x:v>Humble</x:v>
      </x:c>
      <x:c r="B4" s="240" t="n">
        <x:f>'Stage Scenarios'!D4</x:f>
        <x:v>240.40196712000005</x:v>
      </x:c>
      <x:c r="C4" s="241" t="n">
        <x:f>'Stage Scenarios'!F4</x:f>
        <x:v>0.550118917894737</x:v>
      </x:c>
      <x:c r="D4" s="240" t="n">
        <x:f>'Stage Scenarios'!H4</x:f>
        <x:v>2990.504156290939</x:v>
      </x:c>
      <x:c r="E4" s="240" t="n">
        <x:f>'Stage Scenarios'!I4</x:f>
        <x:v>701.2291848309801</x:v>
      </x:c>
      <x:c r="F4" s="240" t="n">
        <x:f>D4*0.80</x:f>
        <x:v>2392.4033250327516</x:v>
      </x:c>
      <x:c r="G4" s="240" t="n">
        <x:f>D4*1.20</x:f>
        <x:v>3588.6049875491267</x:v>
      </x:c>
      <x:c r="H4" s="240" t="n">
        <x:f>E4*0.80</x:f>
        <x:v>560.9833478647842</x:v>
      </x:c>
      <x:c r="I4" s="240" t="n">
        <x:f>E4*1.20</x:f>
        <x:v>841.475021797176</x:v>
      </x:c>
      <x:c r="J4" s="199" t="n">
        <x:v>0.65</x:v>
      </x:c>
      <x:c r="K4" s="283" t="n">
        <x:v>1</x:v>
      </x:c>
      <x:c r="L4" s="198" t="str">
        <x:v>2–6 hours</x:v>
      </x:c>
      <x:c r="M4" s="198" t="n">
        <x:v>3</x:v>
      </x:c>
      <x:c r="N4" s="91" t="str">
        <x:v>Fast first success; player sees customers and Cash within minutes.</x:v>
      </x:c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</x:row>
    <x:row r="5">
      <x:c r="A5" s="90" t="str">
        <x:v>Starter</x:v>
      </x:c>
      <x:c r="B5" s="240" t="n">
        <x:f>'Stage Scenarios'!D5</x:f>
        <x:v>3341.3582360023042</x:v>
      </x:c>
      <x:c r="C5" s="241" t="n">
        <x:f>'Stage Scenarios'!F5</x:f>
        <x:v>0.4910873362731194</x:v>
      </x:c>
      <x:c r="D5" s="240" t="n">
        <x:f>'Stage Scenarios'!H5</x:f>
        <x:v>50100.38768737657</x:v>
      </x:c>
      <x:c r="E5" s="240" t="n">
        <x:f>'Stage Scenarios'!I5</x:f>
        <x:v>9623.137817112614</x:v>
      </x:c>
      <x:c r="F5" s="240" t="n">
        <x:f>D5*0.80</x:f>
        <x:v>40080.310149901255</x:v>
      </x:c>
      <x:c r="G5" s="240" t="n">
        <x:f>D5*1.20</x:f>
        <x:v>60120.46522485188</x:v>
      </x:c>
      <x:c r="H5" s="240" t="n">
        <x:f>E5*0.80</x:f>
        <x:v>7698.510253690092</x:v>
      </x:c>
      <x:c r="I5" s="240" t="n">
        <x:f>E5*1.20</x:f>
        <x:v>11547.765380535137</x:v>
      </x:c>
      <x:c r="J5" s="199" t="n">
        <x:v>0.68</x:v>
      </x:c>
      <x:c r="K5" s="283" t="n">
        <x:v>1.5</x:v>
      </x:c>
      <x:c r="L5" s="198" t="str">
        <x:v>6–12 hours</x:v>
      </x:c>
      <x:c r="M5" s="198" t="n">
        <x:v>5</x:v>
      </x:c>
      <x:c r="N5" s="91" t="str">
        <x:v>Build a functioning mini financial district.</x:v>
      </x:c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</x:row>
    <x:row r="6">
      <x:c r="A6" s="90" t="str">
        <x:v>Growing</x:v>
      </x:c>
      <x:c r="B6" s="240" t="n">
        <x:f>'Stage Scenarios'!D6</x:f>
        <x:v>26802.337416035843</x:v>
      </x:c>
      <x:c r="C6" s="241" t="n">
        <x:f>'Stage Scenarios'!F6</x:f>
        <x:v>0.5574877262731835</x:v>
      </x:c>
      <x:c r="D6" s="240" t="n">
        <x:f>'Stage Scenarios'!H6</x:f>
        <x:v>487748.1164045315</x:v>
      </x:c>
      <x:c r="E6" s="240" t="n">
        <x:f>'Stage Scenarios'!I6</x:f>
        <x:v>81245.79167082868</x:v>
      </x:c>
      <x:c r="F6" s="240" t="n">
        <x:f>D6*0.80</x:f>
        <x:v>390198.49312362523</x:v>
      </x:c>
      <x:c r="G6" s="240" t="n">
        <x:f>D6*1.20</x:f>
        <x:v>585297.7396854378</x:v>
      </x:c>
      <x:c r="H6" s="240" t="n">
        <x:f>E6*0.80</x:f>
        <x:v>64996.63333666295</x:v>
      </x:c>
      <x:c r="I6" s="240" t="n">
        <x:f>E6*1.20</x:f>
        <x:v>97494.95000499442</x:v>
      </x:c>
      <x:c r="J6" s="199" t="n">
        <x:v>0.72</x:v>
      </x:c>
      <x:c r="K6" s="283" t="n">
        <x:v>2</x:v>
      </x:c>
      <x:c r="L6" s="198" t="str">
        <x:v>12–24 hours</x:v>
      </x:c>
      <x:c r="M6" s="198" t="n">
        <x:v>8</x:v>
      </x:c>
      <x:c r="N6" s="91" t="str">
        <x:v>Introduce strategic specialization and customer mix.</x:v>
      </x:c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</x:row>
    <x:row r="7">
      <x:c r="A7" s="90" t="str">
        <x:v>Established</x:v>
      </x:c>
      <x:c r="B7" s="240" t="n">
        <x:f>'Stage Scenarios'!D7</x:f>
        <x:v>158907.15993123714</x:v>
      </x:c>
      <x:c r="C7" s="241" t="n">
        <x:f>'Stage Scenarios'!F7</x:f>
        <x:v>0.5804043286614673</x:v>
      </x:c>
      <x:c r="D7" s="240" t="n">
        <x:f>'Stage Scenarios'!H7</x:f>
        <x:v>4071247.5767981904</x:v>
      </x:c>
      <x:c r="E7" s="240" t="n">
        <x:f>'Stage Scenarios'!I7</x:f>
        <x:v>548163.9945787726</x:v>
      </x:c>
      <x:c r="F7" s="240" t="n">
        <x:f>D7*0.80</x:f>
        <x:v>3256998.0614385526</x:v>
      </x:c>
      <x:c r="G7" s="240" t="n">
        <x:f>D7*1.20</x:f>
        <x:v>4885497.092157829</x:v>
      </x:c>
      <x:c r="H7" s="240" t="n">
        <x:f>E7*0.80</x:f>
        <x:v>438531.1956630181</x:v>
      </x:c>
      <x:c r="I7" s="240" t="n">
        <x:f>E7*1.20</x:f>
        <x:v>657796.7934945271</x:v>
      </x:c>
      <x:c r="J7" s="199" t="n">
        <x:v>0.75</x:v>
      </x:c>
      <x:c r="K7" s="283" t="n">
        <x:v>2.5</x:v>
      </x:c>
      <x:c r="L7" s="198" t="str">
        <x:v>1–2 days</x:v>
      </x:c>
      <x:c r="M7" s="198" t="n">
        <x:v>12</x:v>
      </x:c>
      <x:c r="N7" s="91" t="str">
        <x:v>Shift from pure expansion to efficiency and institutional activity.</x:v>
      </x:c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</x:row>
    <x:row r="8">
      <x:c r="A8" s="90" t="str">
        <x:v>Elite</x:v>
      </x:c>
      <x:c r="B8" s="240" t="n">
        <x:f>'Stage Scenarios'!D8</x:f>
        <x:v>461056.17713022884</x:v>
      </x:c>
      <x:c r="C8" s="241" t="n">
        <x:f>'Stage Scenarios'!F8</x:f>
        <x:v>0.8436171526728589</x:v>
      </x:c>
      <x:c r="D8" s="240" t="n">
        <x:f>'Stage Scenarios'!H8</x:f>
        <x:v>14792354.614305926</x:v>
      </x:c>
      <x:c r="E8" s="240" t="n">
        <x:f>'Stage Scenarios'!I8</x:f>
        <x:v>1806094.0188155868</x:v>
      </x:c>
      <x:c r="F8" s="240" t="n">
        <x:f>D8*0.80</x:f>
        <x:v>11833883.691444742</x:v>
      </x:c>
      <x:c r="G8" s="240" t="n">
        <x:f>D8*1.20</x:f>
        <x:v>17750825.53716711</x:v>
      </x:c>
      <x:c r="H8" s="240" t="n">
        <x:f>E8*0.80</x:f>
        <x:v>1444875.2150524696</x:v>
      </x:c>
      <x:c r="I8" s="240" t="n">
        <x:f>E8*1.20</x:f>
        <x:v>2167312.822578704</x:v>
      </x:c>
      <x:c r="J8" s="199" t="n">
        <x:v>0.78</x:v>
      </x:c>
      <x:c r="K8" s="283" t="n">
        <x:v>3</x:v>
      </x:c>
      <x:c r="L8" s="198" t="str">
        <x:v>2–4 days</x:v>
      </x:c>
      <x:c r="M8" s="198" t="n">
        <x:v>18</x:v>
      </x:c>
      <x:c r="N8" s="91" t="str">
        <x:v>Optimize high-value customers, events and activity.</x:v>
      </x:c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</x:row>
    <x:row r="9">
      <x:c r="A9" s="92" t="str">
        <x:v>Tycoon</x:v>
      </x:c>
      <x:c r="B9" s="245" t="n">
        <x:f>'Stage Scenarios'!D9</x:f>
        <x:v>1243100.7583671936</x:v>
      </x:c>
      <x:c r="C9" s="246" t="n">
        <x:f>'Stage Scenarios'!F9</x:f>
        <x:v>0.9441570366408002</x:v>
      </x:c>
      <x:c r="D9" s="245" t="n">
        <x:f>'Stage Scenarios'!H9</x:f>
        <x:v>45738213.45026932</x:v>
      </x:c>
      <x:c r="E9" s="245" t="n">
        <x:f>'Stage Scenarios'!I9</x:f>
        <x:v>4341887.632320605</x:v>
      </x:c>
      <x:c r="F9" s="245" t="n">
        <x:f>D9*0.80</x:f>
        <x:v>36590570.760215454</x:v>
      </x:c>
      <x:c r="G9" s="245" t="n">
        <x:f>D9*1.20</x:f>
        <x:v>54885856.140323184</x:v>
      </x:c>
      <x:c r="H9" s="245" t="n">
        <x:f>E9*0.80</x:f>
        <x:v>3473510.1058564843</x:v>
      </x:c>
      <x:c r="I9" s="245" t="n">
        <x:f>E9*1.20</x:f>
        <x:v>5210265.158784726</x:v>
      </x:c>
      <x:c r="J9" s="203" t="n">
        <x:v>0.8</x:v>
      </x:c>
      <x:c r="K9" s="284" t="n">
        <x:v>4</x:v>
      </x:c>
      <x:c r="L9" s="202" t="str">
        <x:v>Long-term / prestige</x:v>
      </x:c>
      <x:c r="M9" s="202" t="str">
        <x:v>Ongoing</x:v>
      </x:c>
      <x:c r="N9" s="93" t="str">
        <x:v>Prestige, merged land, global competition and long-term optimization.</x:v>
      </x:c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</x:row>
    <x:row r="12" ht="22" customHeight="1">
      <x:c r="A12" s="76" t="str">
        <x:v>Economic Guardrails</x:v>
      </x:c>
      <x:c r="B12" s="76"/>
      <x:c r="C12" s="76"/>
      <x:c r="D12" s="76"/>
      <x:c r="E12" s="76"/>
      <x:c r="F12" s="76"/>
      <x:c r="G12" s="76"/>
      <x:c r="H12" s="76"/>
      <x:c r="I12" s="76"/>
      <x:c r="J12" s="76"/>
      <x:c r="K12" s="76"/>
      <x:c r="L12" s="76"/>
      <x:c r="M12" s="76"/>
      <x:c r="N12" s="76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</x:row>
    <x:row r="13" ht="30" customHeight="1">
      <x:c r="A13" s="40" t="str">
        <x:v>Metric</x:v>
      </x:c>
      <x:c r="B13" s="41" t="str">
        <x:v>Guardrail</x:v>
      </x:c>
      <x:c r="C13" s="42" t="str">
        <x:v>Why</x:v>
      </x:c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</x:row>
    <x:row r="14">
      <x:c r="A14" s="90" t="str">
        <x:v>Healthy utilization</x:v>
      </x:c>
      <x:c r="B14" s="77" t="str">
        <x:v>45%–90% for representative stage portfolio</x:v>
      </x:c>
      <x:c r="C14" s="91" t="str">
        <x:v>Too low feels dead; too high removes growth headroom.</x:v>
      </x:c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</x:row>
    <x:row r="15">
      <x:c r="A15" s="90" t="str">
        <x:v>Cash sink ratio</x:v>
      </x:c>
      <x:c r="B15" s="77" t="str">
        <x:v>65%–80% of generated Net Cash over progression windows</x:v>
      </x:c>
      <x:c r="C15" s="91" t="str">
        <x:v>Prevents runaway Cash inflation.</x:v>
      </x:c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</x:row>
    <x:row r="16">
      <x:c r="A16" s="90" t="str">
        <x:v>Daily churn</x:v>
      </x:c>
      <x:c r="B16" s="77" t="str">
        <x:v>Usually &lt;4% per segment before event/risk penalties</x:v>
      </x:c>
      <x:c r="C16" s="91" t="str">
        <x:v>Retains progress while keeping service quality meaningful.</x:v>
      </x:c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</x:row>
    <x:row r="17">
      <x:c r="A17" s="90" t="str">
        <x:v>Offline earnings</x:v>
      </x:c>
      <x:c r="B17" s="77" t="str">
        <x:v>70% efficiency, max 8h</x:v>
      </x:c>
      <x:c r="C17" s="91" t="str">
        <x:v>Supports retention without rewarding inactivity too heavily.</x:v>
      </x:c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</x:row>
    <x:row r="18">
      <x:c r="A18" s="90" t="str">
        <x:v>Customer acquisition offline</x:v>
      </x:c>
      <x:c r="B18" s="77" t="str">
        <x:v>50% efficiency, max 8h</x:v>
      </x:c>
      <x:c r="C18" s="91" t="str">
        <x:v>Allows growth but preserves reason to return.</x:v>
      </x:c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</x:row>
    <x:row r="19">
      <x:c r="A19" s="90" t="str">
        <x:v>Duplicate-category penalty</x:v>
      </x:c>
      <x:c r="B19" s="77" t="str">
        <x:v>15% incremental competitive pressure per extra same-category business</x:v>
      </x:c>
      <x:c r="C19" s="91" t="str">
        <x:v>Prevents one-building spam.</x:v>
      </x:c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</x:row>
    <x:row r="20">
      <x:c r="A20" s="92" t="str">
        <x:v>Activity vs Cash</x:v>
      </x:c>
      <x:c r="B20" s="223" t="str">
        <x:v>Both recorded separately</x:v>
      </x:c>
      <x:c r="C20" s="93" t="str">
        <x:v>Performance Score should not equal Cash balance.</x:v>
      </x:c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N1"/>
    <x:mergeCell ref="A12:N12"/>
  </x:mergeCells>
  <x:pageMargins left="0.7" right="0.7" top="0.75" bottom="0.75" header="0.3" footer="0.3"/>
  <x:drawing xmlns:r="http://schemas.openxmlformats.org/officeDocument/2006/relationships" r:id="R89641fed5f6d4422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0" hidden="0" customWidth="1"/>
    <x:col min="5" max="5" width="34" hidden="0" customWidth="1"/>
    <x:col min="6" max="6" width="34" hidden="0" customWidth="1"/>
    <x:col min="7" max="7" width="34" hidden="0" customWidth="1"/>
    <x:col min="8" max="8" width="20" hidden="0" customWidth="1"/>
  </x:cols>
  <x:sheetData>
    <x:row r="1" ht="30" customHeight="1">
      <x:c r="A1" s="6" t="str">
        <x:v>Outputs for Performance Score &amp; Weekly $PLOT Model</x:v>
      </x:c>
      <x:c r="B1" s="6"/>
      <x:c r="C1" s="6"/>
      <x:c r="D1" s="6"/>
      <x:c r="E1" s="6"/>
      <x:c r="F1" s="6"/>
      <x:c r="G1" s="6"/>
      <x:c r="H1" s="6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 ht="30" customHeight="1">
      <x:c r="A3" s="40" t="str">
        <x:v>Metric</x:v>
      </x:c>
      <x:c r="B3" s="41" t="str">
        <x:v>Source</x:v>
      </x:c>
      <x:c r="C3" s="41" t="str">
        <x:v>Raw Unit</x:v>
      </x:c>
      <x:c r="D3" s="41" t="str">
        <x:v>Suggested Treatment</x:v>
      </x:c>
      <x:c r="E3" s="41" t="str">
        <x:v>Why It Matters</x:v>
      </x:c>
      <x:c r="F3" s="41" t="str">
        <x:v>Anti-Gaming Note</x:v>
      </x:c>
      <x:c r="G3" s="41" t="str">
        <x:v>Cash Spending Impact</x:v>
      </x:c>
      <x:c r="H3" s="42" t="str">
        <x:v>Status</x:v>
      </x:c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</x:row>
    <x:row r="4">
      <x:c r="A4" s="90" t="str">
        <x:v>Economic Activity</x:v>
      </x:c>
      <x:c r="B4" s="77" t="str">
        <x:v>Building Economics / Stage Scenarios</x:v>
      </x:c>
      <x:c r="C4" s="77" t="str">
        <x:v>Activity pts</x:v>
      </x:c>
      <x:c r="D4" s="77" t="str">
        <x:v>Core positive score component</x:v>
      </x:c>
      <x:c r="E4" s="77" t="str">
        <x:v>Measures transactions/volume rather than ownership.</x:v>
      </x:c>
      <x:c r="F4" s="77" t="str">
        <x:v>Apply diminishing returns and anomaly checks.</x:v>
      </x:c>
      <x:c r="G4" s="77" t="str">
        <x:v>None after activity is recorded.</x:v>
      </x:c>
      <x:c r="H4" s="91" t="str">
        <x:v>Ready</x:v>
      </x:c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</x:row>
    <x:row r="5">
      <x:c r="A5" s="90" t="str">
        <x:v>Net Business Revenue</x:v>
      </x:c>
      <x:c r="B5" s="77" t="str">
        <x:v>Stage Scenarios</x:v>
      </x:c>
      <x:c r="C5" s="77" t="str">
        <x:v>Cash/day</x:v>
      </x:c>
      <x:c r="D5" s="77" t="str">
        <x:v>Positive but capped/weighted</x:v>
      </x:c>
      <x:c r="E5" s="77" t="str">
        <x:v>Rewards productive businesses.</x:v>
      </x:c>
      <x:c r="F5" s="77" t="str">
        <x:v>Do not let one high-yield building dominate.</x:v>
      </x:c>
      <x:c r="G5" s="77" t="str">
        <x:v>Spending Cash does not erase generated revenue.</x:v>
      </x:c>
      <x:c r="H5" s="91" t="str">
        <x:v>Ready</x:v>
      </x:c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</x:row>
    <x:row r="6">
      <x:c r="A6" s="90" t="str">
        <x:v>Active Customers</x:v>
      </x:c>
      <x:c r="B6" s="77" t="str">
        <x:v>Stage Scenarios</x:v>
      </x:c>
      <x:c r="C6" s="77" t="str">
        <x:v>customers</x:v>
      </x:c>
      <x:c r="D6" s="77" t="str">
        <x:v>Positive breadth/quality component</x:v>
      </x:c>
      <x:c r="E6" s="77" t="str">
        <x:v>Measures actual adoption.</x:v>
      </x:c>
      <x:c r="F6" s="77" t="str">
        <x:v>Use unique/active logic; cap duplicate-account abuse.</x:v>
      </x:c>
      <x:c r="G6" s="77" t="str">
        <x:v>No impact.</x:v>
      </x:c>
      <x:c r="H6" s="91" t="str">
        <x:v>Ready</x:v>
      </x:c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</x:row>
    <x:row r="7">
      <x:c r="A7" s="90" t="str">
        <x:v>Customer Growth</x:v>
      </x:c>
      <x:c r="B7" s="77" t="str">
        <x:v>Acquisition model</x:v>
      </x:c>
      <x:c r="C7" s="77" t="str">
        <x:v>new customers/day</x:v>
      </x:c>
      <x:c r="D7" s="77" t="str">
        <x:v>Growth component</x:v>
      </x:c>
      <x:c r="E7" s="77" t="str">
        <x:v>Rewards healthy expansion.</x:v>
      </x:c>
      <x:c r="F7" s="77" t="str">
        <x:v>Exclude artificial self-referrals.</x:v>
      </x:c>
      <x:c r="G7" s="77" t="str">
        <x:v>No impact.</x:v>
      </x:c>
      <x:c r="H7" s="91" t="str">
        <x:v>Ready</x:v>
      </x:c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</x:row>
    <x:row r="8">
      <x:c r="A8" s="90" t="str">
        <x:v>Utilization</x:v>
      </x:c>
      <x:c r="B8" s="77" t="str">
        <x:v>Stage Scenarios</x:v>
      </x:c>
      <x:c r="C8" s="77" t="str">
        <x:v>%</x:v>
      </x:c>
      <x:c r="D8" s="77" t="str">
        <x:v>Quality/efficiency modifier</x:v>
      </x:c>
      <x:c r="E8" s="77" t="str">
        <x:v>Rewards actual use without requiring 100%.</x:v>
      </x:c>
      <x:c r="F8" s="77" t="str">
        <x:v>Penalize suspicious perfect utilization.</x:v>
      </x:c>
      <x:c r="G8" s="77" t="str">
        <x:v>No impact.</x:v>
      </x:c>
      <x:c r="H8" s="91" t="str">
        <x:v>Ready</x:v>
      </x:c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</x:row>
    <x:row r="9">
      <x:c r="A9" s="90" t="str">
        <x:v>Reputation</x:v>
      </x:c>
      <x:c r="B9" s="77" t="str">
        <x:v>Empire system</x:v>
      </x:c>
      <x:c r="C9" s="77" t="str">
        <x:v>0–100</x:v>
      </x:c>
      <x:c r="D9" s="77" t="str">
        <x:v>Quality modifier</x:v>
      </x:c>
      <x:c r="E9" s="77" t="str">
        <x:v>Rewards sustainable service.</x:v>
      </x:c>
      <x:c r="F9" s="77" t="str">
        <x:v>Rate-limit sudden gains.</x:v>
      </x:c>
      <x:c r="G9" s="77" t="str">
        <x:v>No impact.</x:v>
      </x:c>
      <x:c r="H9" s="91" t="str">
        <x:v>Needs final rep doc</x:v>
      </x:c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</x:row>
    <x:row r="10">
      <x:c r="A10" s="90" t="str">
        <x:v>Risk / Congestion</x:v>
      </x:c>
      <x:c r="B10" s="77" t="str">
        <x:v>Risk + capacity</x:v>
      </x:c>
      <x:c r="C10" s="77" t="str">
        <x:v>modifier</x:v>
      </x:c>
      <x:c r="D10" s="77" t="str">
        <x:v>Penalty / quality control</x:v>
      </x:c>
      <x:c r="E10" s="77" t="str">
        <x:v>Prevents reckless scaling.</x:v>
      </x:c>
      <x:c r="F10" s="77" t="str">
        <x:v>Server authoritative.</x:v>
      </x:c>
      <x:c r="G10" s="77" t="str">
        <x:v>No impact.</x:v>
      </x:c>
      <x:c r="H10" s="91" t="str">
        <x:v>Needs risk doc</x:v>
      </x:c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</x:row>
    <x:row r="11">
      <x:c r="A11" s="92" t="str">
        <x:v>Market Hunts</x:v>
      </x:c>
      <x:c r="B11" s="223" t="str">
        <x:v>Market Hunt system</x:v>
      </x:c>
      <x:c r="C11" s="223" t="str">
        <x:v>missions</x:v>
      </x:c>
      <x:c r="D11" s="223" t="str">
        <x:v>Small capped component</x:v>
      </x:c>
      <x:c r="E11" s="223" t="str">
        <x:v>Adds active gameplay contribution.</x:v>
      </x:c>
      <x:c r="F11" s="223" t="str">
        <x:v>Daily caps + anti-bot.</x:v>
      </x:c>
      <x:c r="G11" s="223" t="str">
        <x:v>No impact.</x:v>
      </x:c>
      <x:c r="H11" s="93" t="str">
        <x:v>Next model</x:v>
      </x:c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34" hidden="0" customWidth="1"/>
  </x:cols>
  <x:sheetData>
    <x:row r="1" ht="30" customHeight="1">
      <x:c r="A1" s="6" t="str">
        <x:v>Model Checks</x:v>
      </x:c>
      <x:c r="B1" s="6"/>
      <x:c r="C1" s="6"/>
      <x:c r="D1" s="6"/>
      <x:c r="E1" s="6"/>
      <x:c r="F1" s="6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</x:row>
    <x:row r="3" ht="30" customHeight="1">
      <x:c r="A3" s="40" t="str">
        <x:v>Check</x:v>
      </x:c>
      <x:c r="B3" s="41" t="str">
        <x:v>Formula / Observation</x:v>
      </x:c>
      <x:c r="C3" s="41" t="str">
        <x:v>Result</x:v>
      </x:c>
      <x:c r="D3" s="41" t="str">
        <x:v>Status</x:v>
      </x:c>
      <x:c r="E3" s="41" t="str">
        <x:v>Target</x:v>
      </x:c>
      <x:c r="F3" s="42" t="str">
        <x:v>Action if Failed</x:v>
      </x:c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</x:row>
    <x:row r="4">
      <x:c r="A4" s="90" t="str">
        <x:v>Humble utilization</x:v>
      </x:c>
      <x:c r="B4" s="241" t="n">
        <x:f>'Stage Scenarios'!F4</x:f>
        <x:v>0.550118917894737</x:v>
      </x:c>
      <x:c r="C4" s="241" t="n">
        <x:f>B4</x:f>
        <x:v>0.550118917894737</x:v>
      </x:c>
      <x:c r="D4" s="275" t="str">
        <x:f>IF(AND(C4&gt;=0.35,C4&lt;=0.9),"PASS","REVIEW")</x:f>
        <x:v>PASS</x:v>
      </x:c>
      <x:c r="E4" s="74" t="str">
        <x:v>35%–90%</x:v>
      </x:c>
      <x:c r="F4" s="91" t="str">
        <x:v>Adjust Humble demand/capture.</x:v>
      </x:c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</x:row>
    <x:row r="5">
      <x:c r="A5" s="90" t="str">
        <x:v>Starter utilization</x:v>
      </x:c>
      <x:c r="B5" s="241" t="n">
        <x:f>'Stage Scenarios'!F5</x:f>
        <x:v>0.4910873362731194</x:v>
      </x:c>
      <x:c r="C5" s="241" t="n">
        <x:f>B5</x:f>
        <x:v>0.4910873362731194</x:v>
      </x:c>
      <x:c r="D5" s="275" t="str">
        <x:f>IF(AND(C5&gt;=0.35,C5&lt;=0.9),"PASS","REVIEW")</x:f>
        <x:v>PASS</x:v>
      </x:c>
      <x:c r="E5" s="74" t="str">
        <x:v>35%–90%</x:v>
      </x:c>
      <x:c r="F5" s="91" t="str">
        <x:v>Adjust Starter demand/capture.</x:v>
      </x:c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</x:row>
    <x:row r="6">
      <x:c r="A6" s="90" t="str">
        <x:v>Growing utilization</x:v>
      </x:c>
      <x:c r="B6" s="241" t="n">
        <x:f>'Stage Scenarios'!F6</x:f>
        <x:v>0.5574877262731835</x:v>
      </x:c>
      <x:c r="C6" s="241" t="n">
        <x:f>B6</x:f>
        <x:v>0.5574877262731835</x:v>
      </x:c>
      <x:c r="D6" s="275" t="str">
        <x:f>IF(AND(C6&gt;=0.35,C6&lt;=0.9),"PASS","REVIEW")</x:f>
        <x:v>PASS</x:v>
      </x:c>
      <x:c r="E6" s="74" t="str">
        <x:v>35%–90%</x:v>
      </x:c>
      <x:c r="F6" s="91" t="str">
        <x:v>Adjust Growing demand/capture.</x:v>
      </x:c>
      <x:c r="G6" s="74"/>
      <x:c r="H6" s="74"/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</x:row>
    <x:row r="7">
      <x:c r="A7" s="90" t="str">
        <x:v>Established utilization</x:v>
      </x:c>
      <x:c r="B7" s="241" t="n">
        <x:f>'Stage Scenarios'!F7</x:f>
        <x:v>0.5804043286614673</x:v>
      </x:c>
      <x:c r="C7" s="241" t="n">
        <x:f>B7</x:f>
        <x:v>0.5804043286614673</x:v>
      </x:c>
      <x:c r="D7" s="275" t="str">
        <x:f>IF(AND(C7&gt;=0.35,C7&lt;=0.9),"PASS","REVIEW")</x:f>
        <x:v>PASS</x:v>
      </x:c>
      <x:c r="E7" s="74" t="str">
        <x:v>35%–90%</x:v>
      </x:c>
      <x:c r="F7" s="91" t="str">
        <x:v>Adjust Established demand/capture.</x:v>
      </x:c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</x:row>
    <x:row r="8">
      <x:c r="A8" s="90" t="str">
        <x:v>Elite utilization</x:v>
      </x:c>
      <x:c r="B8" s="241" t="n">
        <x:f>'Stage Scenarios'!F8</x:f>
        <x:v>0.8436171526728589</x:v>
      </x:c>
      <x:c r="C8" s="241" t="n">
        <x:f>B8</x:f>
        <x:v>0.8436171526728589</x:v>
      </x:c>
      <x:c r="D8" s="275" t="str">
        <x:f>IF(AND(C8&gt;=0.35,C8&lt;=0.95),"PASS","REVIEW")</x:f>
        <x:v>PASS</x:v>
      </x:c>
      <x:c r="E8" s="74" t="str">
        <x:v>35%–95%</x:v>
      </x:c>
      <x:c r="F8" s="91" t="str">
        <x:v>Adjust Elite demand/capture.</x:v>
      </x:c>
      <x:c r="G8" s="74"/>
      <x:c r="H8" s="74"/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</x:row>
    <x:row r="9">
      <x:c r="A9" s="90" t="str">
        <x:v>Tycoon utilization</x:v>
      </x:c>
      <x:c r="B9" s="241" t="n">
        <x:f>'Stage Scenarios'!F9</x:f>
        <x:v>0.9441570366408002</x:v>
      </x:c>
      <x:c r="C9" s="241" t="n">
        <x:f>B9</x:f>
        <x:v>0.9441570366408002</x:v>
      </x:c>
      <x:c r="D9" s="275" t="str">
        <x:f>IF(AND(C9&gt;=0.45,C9&lt;=0.95),"PASS","REVIEW")</x:f>
        <x:v>PASS</x:v>
      </x:c>
      <x:c r="E9" s="74" t="str">
        <x:v>45%–95%</x:v>
      </x:c>
      <x:c r="F9" s="91" t="str">
        <x:v>Adjust global demand/capture.</x:v>
      </x:c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</x:row>
    <x:row r="10">
      <x:c r="A10" s="90" t="str">
        <x:v>All building baseline net positive</x:v>
      </x:c>
      <x:c r="B10" s="275" t="n">
        <x:f>COUNTIF('Building Economics'!Y4:Y53,"&lt;=0")</x:f>
        <x:v>0</x:v>
      </x:c>
      <x:c r="C10" s="275" t="n">
        <x:f>B10</x:f>
        <x:v>0</x:v>
      </x:c>
      <x:c r="D10" s="275" t="str">
        <x:f>IF(C10=0,"PASS","REVIEW")</x:f>
        <x:v>PASS</x:v>
      </x:c>
      <x:c r="E10" s="74" t="str">
        <x:v>0 failures</x:v>
      </x:c>
      <x:c r="F10" s="91" t="str">
        <x:v>Revisit output/op cost assumptions.</x:v>
      </x:c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</x:row>
    <x:row r="11">
      <x:c r="A11" s="90" t="str">
        <x:v>Max base churn</x:v>
      </x:c>
      <x:c r="B11" s="241" t="n">
        <x:f>MAX('Building Economics'!T4:T53)</x:f>
        <x:v>0.025992990654205607</x:v>
      </x:c>
      <x:c r="C11" s="241" t="n">
        <x:f>B11</x:f>
        <x:v>0.025992990654205607</x:v>
      </x:c>
      <x:c r="D11" s="275" t="str">
        <x:f>IF(C11&lt;0.05,"PASS","REVIEW")</x:f>
        <x:v>PASS</x:v>
      </x:c>
      <x:c r="E11" s="74" t="str">
        <x:v>&lt;5%</x:v>
      </x:c>
      <x:c r="F11" s="91" t="str">
        <x:v>Reduce segment churn or affinity weighting.</x:v>
      </x:c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</x:row>
    <x:row r="12">
      <x:c r="A12" s="92" t="str">
        <x:v>Cash sink targets</x:v>
      </x:c>
      <x:c r="B12" s="246" t="n">
        <x:f>AVERAGE('Economy Targets'!J4:J9)</x:f>
        <x:v>0.73</x:v>
      </x:c>
      <x:c r="C12" s="246" t="n">
        <x:f>B12</x:f>
        <x:v>0.73</x:v>
      </x:c>
      <x:c r="D12" s="276" t="str">
        <x:f>IF(AND(C12&gt;=0.65,C12&lt;=0.80),"PASS","REVIEW")</x:f>
        <x:v>PASS</x:v>
      </x:c>
      <x:c r="E12" s="207" t="str">
        <x:v>65%–80%</x:v>
      </x:c>
      <x:c r="F12" s="93" t="str">
        <x:v>Rebalance sinks.</x:v>
      </x:c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  <x:c r="AA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  <x:c r="AA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  <x:c r="AA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  <x:c r="AA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  <x:c r="AA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  <x:c r="AA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  <x:c r="AA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  <x:c r="AA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  <x:c r="AA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  <x:c r="AA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  <x:c r="AA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  <x:c r="AA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  <x:c r="AA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  <x:c r="AA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  <x:c r="AA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  <x:c r="AA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  <x:c r="AA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  <x:c r="AA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  <x:c r="AA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  <x:c r="AA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  <x:c r="AA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  <x:c r="AA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  <x:c r="AA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  <x:c r="AA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  <x:c r="AA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  <x:c r="AA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  <x:c r="AA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  <x:c r="AA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  <x:c r="AA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  <x:c r="AA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  <x:c r="AA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  <x:c r="AA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  <x:c r="AA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  <x:c r="AA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  <x:c r="AA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  <x:c r="AA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  <x:c r="AA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  <x:c r="AA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  <x:c r="AA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  <x:c r="AA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  <x:c r="AA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  <x:c r="AA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  <x:c r="AA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  <x:c r="AA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  <x:c r="AA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  <x:c r="AA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  <x:c r="AA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  <x:c r="AA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  <x:c r="AA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  <x:c r="AA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  <x:c r="AA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  <x:c r="AA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  <x:c r="AA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  <x:c r="AA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  <x:c r="AA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  <x:c r="AA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  <x:c r="AA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  <x:c r="AA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  <x:c r="AA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  <x:c r="AA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  <x:c r="AA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  <x:c r="AA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  <x:c r="AA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  <x:c r="AA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  <x:c r="AA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  <x:c r="AA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  <x:c r="AA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  <x:c r="AA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  <x:c r="AA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  <x:c r="AA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  <x:c r="AA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  <x:c r="AA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  <x:c r="AA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  <x:c r="AA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  <x:c r="AA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  <x:c r="AA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  <x:c r="AA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  <x:c r="AA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  <x:c r="AA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  <x:c r="AA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  <x:c r="AA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  <x:c r="AA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  <x:c r="AA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  <x:c r="AA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  <x:c r="AA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  <x:c r="AA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  <x:c r="AA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  <x:c r="AA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  <x:c r="AA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  <x:c r="AA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  <x:c r="AA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  <x:c r="AA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  <x:c r="AA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  <x:c r="AA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  <x:c r="AA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  <x:c r="AA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  <x:c r="AA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  <x:c r="W141" s="74"/>
      <x:c r="X141" s="74"/>
      <x:c r="Y141" s="74"/>
      <x:c r="Z141" s="74"/>
      <x:c r="AA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  <x:c r="W142" s="74"/>
      <x:c r="X142" s="74"/>
      <x:c r="Y142" s="74"/>
      <x:c r="Z142" s="74"/>
      <x:c r="AA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  <x:c r="W143" s="74"/>
      <x:c r="X143" s="74"/>
      <x:c r="Y143" s="74"/>
      <x:c r="Z143" s="74"/>
      <x:c r="AA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  <x:c r="W144" s="74"/>
      <x:c r="X144" s="74"/>
      <x:c r="Y144" s="74"/>
      <x:c r="Z144" s="74"/>
      <x:c r="AA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  <x:c r="W145" s="74"/>
      <x:c r="X145" s="74"/>
      <x:c r="Y145" s="74"/>
      <x:c r="Z145" s="74"/>
      <x:c r="AA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  <x:c r="W146" s="74"/>
      <x:c r="X146" s="74"/>
      <x:c r="Y146" s="74"/>
      <x:c r="Z146" s="74"/>
      <x:c r="AA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  <x:c r="W147" s="74"/>
      <x:c r="X147" s="74"/>
      <x:c r="Y147" s="74"/>
      <x:c r="Z147" s="74"/>
      <x:c r="AA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  <x:c r="W148" s="74"/>
      <x:c r="X148" s="74"/>
      <x:c r="Y148" s="74"/>
      <x:c r="Z148" s="74"/>
      <x:c r="AA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  <x:c r="W149" s="74"/>
      <x:c r="X149" s="74"/>
      <x:c r="Y149" s="74"/>
      <x:c r="Z149" s="74"/>
      <x:c r="AA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  <x:c r="W150" s="74"/>
      <x:c r="X150" s="74"/>
      <x:c r="Y150" s="74"/>
      <x:c r="Z150" s="74"/>
      <x:c r="AA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  <x:c r="W151" s="74"/>
      <x:c r="X151" s="74"/>
      <x:c r="Y151" s="74"/>
      <x:c r="Z151" s="74"/>
      <x:c r="AA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  <x:c r="W152" s="74"/>
      <x:c r="X152" s="74"/>
      <x:c r="Y152" s="74"/>
      <x:c r="Z152" s="74"/>
      <x:c r="AA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  <x:c r="W153" s="74"/>
      <x:c r="X153" s="74"/>
      <x:c r="Y153" s="74"/>
      <x:c r="Z153" s="74"/>
      <x:c r="AA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  <x:c r="W154" s="74"/>
      <x:c r="X154" s="74"/>
      <x:c r="Y154" s="74"/>
      <x:c r="Z154" s="74"/>
      <x:c r="AA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  <x:c r="W155" s="74"/>
      <x:c r="X155" s="74"/>
      <x:c r="Y155" s="74"/>
      <x:c r="Z155" s="74"/>
      <x:c r="AA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  <x:c r="W156" s="74"/>
      <x:c r="X156" s="74"/>
      <x:c r="Y156" s="74"/>
      <x:c r="Z156" s="74"/>
      <x:c r="AA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  <x:c r="W157" s="74"/>
      <x:c r="X157" s="74"/>
      <x:c r="Y157" s="74"/>
      <x:c r="Z157" s="74"/>
      <x:c r="AA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  <x:c r="W158" s="74"/>
      <x:c r="X158" s="74"/>
      <x:c r="Y158" s="74"/>
      <x:c r="Z158" s="74"/>
      <x:c r="AA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  <x:c r="W159" s="74"/>
      <x:c r="X159" s="74"/>
      <x:c r="Y159" s="74"/>
      <x:c r="Z159" s="74"/>
      <x:c r="AA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  <x:c r="W160" s="74"/>
      <x:c r="X160" s="74"/>
      <x:c r="Y160" s="74"/>
      <x:c r="Z160" s="74"/>
      <x:c r="AA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  <x:c r="W161" s="74"/>
      <x:c r="X161" s="74"/>
      <x:c r="Y161" s="74"/>
      <x:c r="Z161" s="74"/>
      <x:c r="AA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  <x:c r="W162" s="74"/>
      <x:c r="X162" s="74"/>
      <x:c r="Y162" s="74"/>
      <x:c r="Z162" s="74"/>
      <x:c r="AA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  <x:c r="W163" s="74"/>
      <x:c r="X163" s="74"/>
      <x:c r="Y163" s="74"/>
      <x:c r="Z163" s="74"/>
      <x:c r="AA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  <x:c r="W164" s="74"/>
      <x:c r="X164" s="74"/>
      <x:c r="Y164" s="74"/>
      <x:c r="Z164" s="74"/>
      <x:c r="AA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  <x:c r="W165" s="74"/>
      <x:c r="X165" s="74"/>
      <x:c r="Y165" s="74"/>
      <x:c r="Z165" s="74"/>
      <x:c r="AA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  <x:c r="W166" s="74"/>
      <x:c r="X166" s="74"/>
      <x:c r="Y166" s="74"/>
      <x:c r="Z166" s="74"/>
      <x:c r="AA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  <x:c r="W167" s="74"/>
      <x:c r="X167" s="74"/>
      <x:c r="Y167" s="74"/>
      <x:c r="Z167" s="74"/>
      <x:c r="AA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  <x:c r="W168" s="74"/>
      <x:c r="X168" s="74"/>
      <x:c r="Y168" s="74"/>
      <x:c r="Z168" s="74"/>
      <x:c r="AA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  <x:c r="W169" s="74"/>
      <x:c r="X169" s="74"/>
      <x:c r="Y169" s="74"/>
      <x:c r="Z169" s="74"/>
      <x:c r="AA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  <x:c r="W170" s="74"/>
      <x:c r="X170" s="74"/>
      <x:c r="Y170" s="74"/>
      <x:c r="Z170" s="74"/>
      <x:c r="AA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  <x:c r="W171" s="74"/>
      <x:c r="X171" s="74"/>
      <x:c r="Y171" s="74"/>
      <x:c r="Z171" s="74"/>
      <x:c r="AA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  <x:c r="W172" s="74"/>
      <x:c r="X172" s="74"/>
      <x:c r="Y172" s="74"/>
      <x:c r="Z172" s="74"/>
      <x:c r="AA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  <x:c r="W173" s="74"/>
      <x:c r="X173" s="74"/>
      <x:c r="Y173" s="74"/>
      <x:c r="Z173" s="74"/>
      <x:c r="AA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  <x:c r="W174" s="74"/>
      <x:c r="X174" s="74"/>
      <x:c r="Y174" s="74"/>
      <x:c r="Z174" s="74"/>
      <x:c r="AA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  <x:c r="W175" s="74"/>
      <x:c r="X175" s="74"/>
      <x:c r="Y175" s="74"/>
      <x:c r="Z175" s="74"/>
      <x:c r="AA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  <x:c r="W176" s="74"/>
      <x:c r="X176" s="74"/>
      <x:c r="Y176" s="74"/>
      <x:c r="Z176" s="74"/>
      <x:c r="AA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  <x:c r="W177" s="74"/>
      <x:c r="X177" s="74"/>
      <x:c r="Y177" s="74"/>
      <x:c r="Z177" s="74"/>
      <x:c r="AA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  <x:c r="W178" s="74"/>
      <x:c r="X178" s="74"/>
      <x:c r="Y178" s="74"/>
      <x:c r="Z178" s="74"/>
      <x:c r="AA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  <x:c r="W179" s="74"/>
      <x:c r="X179" s="74"/>
      <x:c r="Y179" s="74"/>
      <x:c r="Z179" s="74"/>
      <x:c r="AA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  <x:c r="W180" s="74"/>
      <x:c r="X180" s="74"/>
      <x:c r="Y180" s="74"/>
      <x:c r="Z180" s="74"/>
      <x:c r="AA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  <x:c r="W181" s="74"/>
      <x:c r="X181" s="74"/>
      <x:c r="Y181" s="74"/>
      <x:c r="Z181" s="74"/>
      <x:c r="AA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  <x:c r="W182" s="74"/>
      <x:c r="X182" s="74"/>
      <x:c r="Y182" s="74"/>
      <x:c r="Z182" s="74"/>
      <x:c r="AA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  <x:c r="W183" s="74"/>
      <x:c r="X183" s="74"/>
      <x:c r="Y183" s="74"/>
      <x:c r="Z183" s="74"/>
      <x:c r="AA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  <x:c r="W184" s="74"/>
      <x:c r="X184" s="74"/>
      <x:c r="Y184" s="74"/>
      <x:c r="Z184" s="74"/>
      <x:c r="AA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  <x:c r="W185" s="74"/>
      <x:c r="X185" s="74"/>
      <x:c r="Y185" s="74"/>
      <x:c r="Z185" s="74"/>
      <x:c r="AA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  <x:c r="W186" s="74"/>
      <x:c r="X186" s="74"/>
      <x:c r="Y186" s="74"/>
      <x:c r="Z186" s="74"/>
      <x:c r="AA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  <x:c r="W187" s="74"/>
      <x:c r="X187" s="74"/>
      <x:c r="Y187" s="74"/>
      <x:c r="Z187" s="74"/>
      <x:c r="AA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  <x:c r="W188" s="74"/>
      <x:c r="X188" s="74"/>
      <x:c r="Y188" s="74"/>
      <x:c r="Z188" s="74"/>
      <x:c r="AA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  <x:c r="W189" s="74"/>
      <x:c r="X189" s="74"/>
      <x:c r="Y189" s="74"/>
      <x:c r="Z189" s="74"/>
      <x:c r="AA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  <x:c r="W190" s="74"/>
      <x:c r="X190" s="74"/>
      <x:c r="Y190" s="74"/>
      <x:c r="Z190" s="74"/>
      <x:c r="AA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  <x:c r="W191" s="74"/>
      <x:c r="X191" s="74"/>
      <x:c r="Y191" s="74"/>
      <x:c r="Z191" s="74"/>
      <x:c r="AA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  <x:c r="W192" s="74"/>
      <x:c r="X192" s="74"/>
      <x:c r="Y192" s="74"/>
      <x:c r="Z192" s="74"/>
      <x:c r="AA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  <x:c r="W193" s="74"/>
      <x:c r="X193" s="74"/>
      <x:c r="Y193" s="74"/>
      <x:c r="Z193" s="74"/>
      <x:c r="AA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  <x:c r="W194" s="74"/>
      <x:c r="X194" s="74"/>
      <x:c r="Y194" s="74"/>
      <x:c r="Z194" s="74"/>
      <x:c r="AA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  <x:c r="W195" s="74"/>
      <x:c r="X195" s="74"/>
      <x:c r="Y195" s="74"/>
      <x:c r="Z195" s="74"/>
      <x:c r="AA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  <x:c r="W196" s="74"/>
      <x:c r="X196" s="74"/>
      <x:c r="Y196" s="74"/>
      <x:c r="Z196" s="74"/>
      <x:c r="AA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  <x:c r="W197" s="74"/>
      <x:c r="X197" s="74"/>
      <x:c r="Y197" s="74"/>
      <x:c r="Z197" s="74"/>
      <x:c r="AA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  <x:c r="W198" s="74"/>
      <x:c r="X198" s="74"/>
      <x:c r="Y198" s="74"/>
      <x:c r="Z198" s="74"/>
      <x:c r="AA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  <x:c r="W199" s="74"/>
      <x:c r="X199" s="74"/>
      <x:c r="Y199" s="74"/>
      <x:c r="Z199" s="74"/>
      <x:c r="AA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  <x:c r="W200" s="74"/>
      <x:c r="X200" s="74"/>
      <x:c r="Y200" s="74"/>
      <x:c r="Z200" s="74"/>
      <x:c r="AA200" s="74"/>
    </x:row>
  </x:sheetData>
  <x:mergeCells>
    <x:mergeCell ref="A1:F1"/>
  </x:mergeCells>
  <x:conditionalFormatting sqref="D4:D12">
    <x:cfRule type="expression" dxfId="0" priority="1">
      <x:formula>D4="PASS"</x:formula>
    </x:cfRule>
    <x:cfRule type="expression" dxfId="1" priority="2">
      <x:formula>D4="REVIEW"</x:formula>
    </x:cfRule>
  </x:conditionalFormatting>
  <x:pageMargins left="0.7" right="0.7" top="0.75" bottom="0.75" header="0.3" footer="0.3"/>
</x:worksheet>
</file>