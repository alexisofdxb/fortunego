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15eb0d41e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624c924907844d12"/>
    <x:sheet xmlns:r="http://schemas.openxmlformats.org/officeDocument/2006/relationships" name="01_Architecture_Principles" sheetId="2" r:id="R117f90a250ba4d2d"/>
    <x:sheet xmlns:r="http://schemas.openxmlformats.org/officeDocument/2006/relationships" name="02_Frontend_Stack" sheetId="3" r:id="Rd8969d9fbb8444a0"/>
    <x:sheet xmlns:r="http://schemas.openxmlformats.org/officeDocument/2006/relationships" name="03_Pixi_Game_Renderer" sheetId="4" r:id="Rcc4c85f933c549be"/>
    <x:sheet xmlns:r="http://schemas.openxmlformats.org/officeDocument/2006/relationships" name="04_React_App_Shell" sheetId="5" r:id="Ra186ca373b854f10"/>
    <x:sheet xmlns:r="http://schemas.openxmlformats.org/officeDocument/2006/relationships" name="05_Client_State_Data" sheetId="6" r:id="R8aad70fb48e74662"/>
    <x:sheet xmlns:r="http://schemas.openxmlformats.org/officeDocument/2006/relationships" name="06_FamilySDK_Integration" sheetId="7" r:id="R0233cadcf9534632"/>
    <x:sheet xmlns:r="http://schemas.openxmlformats.org/officeDocument/2006/relationships" name="07_Backend_Stack" sheetId="8" r:id="Rd417e3faaa9b40f6"/>
    <x:sheet xmlns:r="http://schemas.openxmlformats.org/officeDocument/2006/relationships" name="08_Backend_Domains" sheetId="9" r:id="Rcb93c524add744a5"/>
    <x:sheet xmlns:r="http://schemas.openxmlformats.org/officeDocument/2006/relationships" name="09_Simulation_Runtime" sheetId="10" r:id="R3f377dd82fa04124"/>
    <x:sheet xmlns:r="http://schemas.openxmlformats.org/officeDocument/2006/relationships" name="10_PostgreSQL_Data" sheetId="11" r:id="R8ebed2a867134f77"/>
    <x:sheet xmlns:r="http://schemas.openxmlformats.org/officeDocument/2006/relationships" name="11_Redis_Caching" sheetId="12" r:id="Re107f6fc53594046"/>
    <x:sheet xmlns:r="http://schemas.openxmlformats.org/officeDocument/2006/relationships" name="12_Async_Jobs_Events" sheetId="13" r:id="R34bb1d6265ab46cf"/>
    <x:sheet xmlns:r="http://schemas.openxmlformats.org/officeDocument/2006/relationships" name="13_API_Realtime" sheetId="14" r:id="R4a1a453d2ebe467b"/>
    <x:sheet xmlns:r="http://schemas.openxmlformats.org/officeDocument/2006/relationships" name="14_Blockchain_Stack" sheetId="15" r:id="Rc66587cd6cc245de"/>
    <x:sheet xmlns:r="http://schemas.openxmlformats.org/officeDocument/2006/relationships" name="15_Stock_Provider_Adapter" sheetId="16" r:id="R65954fc08b8a4707"/>
    <x:sheet xmlns:r="http://schemas.openxmlformats.org/officeDocument/2006/relationships" name="16_Analytics_Telemetry" sheetId="17" r:id="R9ef22057a48f4af4"/>
    <x:sheet xmlns:r="http://schemas.openxmlformats.org/officeDocument/2006/relationships" name="17_GCP_Infrastructure" sheetId="18" r:id="Rc1423cca12404d1d"/>
    <x:sheet xmlns:r="http://schemas.openxmlformats.org/officeDocument/2006/relationships" name="18_Monorepo_Structure" sheetId="19" r:id="R8db5b0a93af34f87"/>
    <x:sheet xmlns:r="http://schemas.openxmlformats.org/officeDocument/2006/relationships" name="19_CICD_Environments" sheetId="20" r:id="Rff0695fa843a45b3"/>
    <x:sheet xmlns:r="http://schemas.openxmlformats.org/officeDocument/2006/relationships" name="20_Security_Secrets" sheetId="21" r:id="Rcb19c9b206594ca3"/>
    <x:sheet xmlns:r="http://schemas.openxmlformats.org/officeDocument/2006/relationships" name="21_Testing_QA" sheetId="22" r:id="Rf21ad6c838d74979"/>
    <x:sheet xmlns:r="http://schemas.openxmlformats.org/officeDocument/2006/relationships" name="22_Performance_Scaling" sheetId="23" r:id="Rca99d8ace2d74480"/>
    <x:sheet xmlns:r="http://schemas.openxmlformats.org/officeDocument/2006/relationships" name="23_Observability" sheetId="24" r:id="R5f39d23d188d4f19"/>
    <x:sheet xmlns:r="http://schemas.openxmlformats.org/officeDocument/2006/relationships" name="24_Disaster_Recovery" sheetId="25" r:id="R17c22f0eea104c25"/>
    <x:sheet xmlns:r="http://schemas.openxmlformats.org/officeDocument/2006/relationships" name="25_Developer_Workflow" sheetId="26" r:id="Rd20737729dd34c04"/>
    <x:sheet xmlns:r="http://schemas.openxmlformats.org/officeDocument/2006/relationships" name="26_Implementation_Phases" sheetId="27" r:id="R9cc5a78202c6471a"/>
    <x:sheet xmlns:r="http://schemas.openxmlformats.org/officeDocument/2006/relationships" name="27_Anti_Patterns" sheetId="28" r:id="R61633d4a09c64dfe"/>
    <x:sheet xmlns:r="http://schemas.openxmlformats.org/officeDocument/2006/relationships" name="28_Model_Checks" sheetId="29" r:id="Rabfb7d27b7d84dc8"/>
    <x:sheet xmlns:r="http://schemas.openxmlformats.org/officeDocument/2006/relationships" name="29_Request_Flows" sheetId="30" r:id="R55df2541386b48bf"/>
    <x:sheet xmlns:r="http://schemas.openxmlformats.org/officeDocument/2006/relationships" name="30_Team_Responsibilities" sheetId="31" r:id="Rc0604d9654cd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a9b5d46774f88" /><Relationship Type="http://schemas.openxmlformats.org/officeDocument/2006/relationships/theme" Target="/xl/theme/theme1.xml" Id="R060184d96d884f95" /><Relationship Type="http://schemas.openxmlformats.org/officeDocument/2006/relationships/sharedStrings" Target="/xl/sharedStrings.xml" Id="Rae58f02004ff4fb6" /><Relationship Type="http://schemas.openxmlformats.org/officeDocument/2006/relationships/worksheet" Target="/xl/worksheets/sheet1.xml" Id="R624c924907844d12" /><Relationship Type="http://schemas.openxmlformats.org/officeDocument/2006/relationships/worksheet" Target="/xl/worksheets/sheet2.xml" Id="R117f90a250ba4d2d" /><Relationship Type="http://schemas.openxmlformats.org/officeDocument/2006/relationships/worksheet" Target="/xl/worksheets/sheet3.xml" Id="Rd8969d9fbb8444a0" /><Relationship Type="http://schemas.openxmlformats.org/officeDocument/2006/relationships/worksheet" Target="/xl/worksheets/sheet4.xml" Id="Rcc4c85f933c549be" /><Relationship Type="http://schemas.openxmlformats.org/officeDocument/2006/relationships/worksheet" Target="/xl/worksheets/sheet5.xml" Id="Ra186ca373b854f10" /><Relationship Type="http://schemas.openxmlformats.org/officeDocument/2006/relationships/worksheet" Target="/xl/worksheets/sheet6.xml" Id="R8aad70fb48e74662" /><Relationship Type="http://schemas.openxmlformats.org/officeDocument/2006/relationships/worksheet" Target="/xl/worksheets/sheet7.xml" Id="R0233cadcf9534632" /><Relationship Type="http://schemas.openxmlformats.org/officeDocument/2006/relationships/worksheet" Target="/xl/worksheets/sheet8.xml" Id="Rd417e3faaa9b40f6" /><Relationship Type="http://schemas.openxmlformats.org/officeDocument/2006/relationships/worksheet" Target="/xl/worksheets/sheet9.xml" Id="Rcb93c524add744a5" /><Relationship Type="http://schemas.openxmlformats.org/officeDocument/2006/relationships/worksheet" Target="/xl/worksheets/sheet10.xml" Id="R3f377dd82fa04124" /><Relationship Type="http://schemas.openxmlformats.org/officeDocument/2006/relationships/worksheet" Target="/xl/worksheets/sheet11.xml" Id="R8ebed2a867134f77" /><Relationship Type="http://schemas.openxmlformats.org/officeDocument/2006/relationships/worksheet" Target="/xl/worksheets/sheet12.xml" Id="Re107f6fc53594046" /><Relationship Type="http://schemas.openxmlformats.org/officeDocument/2006/relationships/worksheet" Target="/xl/worksheets/sheet13.xml" Id="R34bb1d6265ab46cf" /><Relationship Type="http://schemas.openxmlformats.org/officeDocument/2006/relationships/worksheet" Target="/xl/worksheets/sheet14.xml" Id="R4a1a453d2ebe467b" /><Relationship Type="http://schemas.openxmlformats.org/officeDocument/2006/relationships/worksheet" Target="/xl/worksheets/sheet15.xml" Id="Rc66587cd6cc245de" /><Relationship Type="http://schemas.openxmlformats.org/officeDocument/2006/relationships/worksheet" Target="/xl/worksheets/sheet16.xml" Id="R65954fc08b8a4707" /><Relationship Type="http://schemas.openxmlformats.org/officeDocument/2006/relationships/worksheet" Target="/xl/worksheets/sheet17.xml" Id="R9ef22057a48f4af4" /><Relationship Type="http://schemas.openxmlformats.org/officeDocument/2006/relationships/worksheet" Target="/xl/worksheets/sheet18.xml" Id="Rc1423cca12404d1d" /><Relationship Type="http://schemas.openxmlformats.org/officeDocument/2006/relationships/worksheet" Target="/xl/worksheets/sheet19.xml" Id="R8db5b0a93af34f87" /><Relationship Type="http://schemas.openxmlformats.org/officeDocument/2006/relationships/worksheet" Target="/xl/worksheets/sheet20.xml" Id="Rff0695fa843a45b3" /><Relationship Type="http://schemas.openxmlformats.org/officeDocument/2006/relationships/worksheet" Target="/xl/worksheets/sheet21.xml" Id="Rcb19c9b206594ca3" /><Relationship Type="http://schemas.openxmlformats.org/officeDocument/2006/relationships/worksheet" Target="/xl/worksheets/sheet22.xml" Id="Rf21ad6c838d74979" /><Relationship Type="http://schemas.openxmlformats.org/officeDocument/2006/relationships/worksheet" Target="/xl/worksheets/sheet23.xml" Id="Rca99d8ace2d74480" /><Relationship Type="http://schemas.openxmlformats.org/officeDocument/2006/relationships/worksheet" Target="/xl/worksheets/sheet24.xml" Id="R5f39d23d188d4f19" /><Relationship Type="http://schemas.openxmlformats.org/officeDocument/2006/relationships/worksheet" Target="/xl/worksheets/sheet25.xml" Id="R17c22f0eea104c25" /><Relationship Type="http://schemas.openxmlformats.org/officeDocument/2006/relationships/worksheet" Target="/xl/worksheets/sheet26.xml" Id="Rd20737729dd34c04" /><Relationship Type="http://schemas.openxmlformats.org/officeDocument/2006/relationships/worksheet" Target="/xl/worksheets/sheet27.xml" Id="R9cc5a78202c6471a" /><Relationship Type="http://schemas.openxmlformats.org/officeDocument/2006/relationships/worksheet" Target="/xl/worksheets/sheet28.xml" Id="R61633d4a09c64dfe" /><Relationship Type="http://schemas.openxmlformats.org/officeDocument/2006/relationships/worksheet" Target="/xl/worksheets/sheet29.xml" Id="Rabfb7d27b7d84dc8" /><Relationship Type="http://schemas.openxmlformats.org/officeDocument/2006/relationships/worksheet" Target="/xl/worksheets/sheet30.xml" Id="R55df2541386b48bf" /><Relationship Type="http://schemas.openxmlformats.org/officeDocument/2006/relationships/worksheet" Target="/xl/worksheets/sheet31.xml" Id="Rc0604d9654cd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PLOT — Technology Stack &amp; Architecture Specification v1.0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22"/>
      <x:c r="P1" s="22"/>
      <x:c r="Q1" s="22"/>
    </x:row>
    <x:row r="3">
      <x:c r="A3" s="14" t="str">
        <x:v>Frontend</x:v>
      </x:c>
      <x:c r="B3" s="14" t="str">
        <x:v>2D Renderer</x:v>
      </x:c>
      <x:c r="C3" s="14" t="str">
        <x:v>Backend</x:v>
      </x:c>
      <x:c r="D3" s="14" t="str">
        <x:v>Primary DB</x:v>
      </x:c>
      <x:c r="E3" s="14" t="str">
        <x:v>Cache</x:v>
      </x:c>
      <x:c r="F3" s="14" t="str">
        <x:v>Async</x:v>
      </x:c>
      <x:c r="G3" s="14" t="str">
        <x:v>Deployment</x:v>
      </x:c>
      <x:c r="H3" s="14" t="str">
        <x:v>Analytics</x:v>
      </x:c>
      <x:c r="I3" s="14" t="str">
        <x:v>Blockchain</x:v>
      </x:c>
      <x:c r="J3" s="14" t="str">
        <x:v>Family Integration</x:v>
      </x:c>
      <x:c r="K3" s="14" t="str">
        <x:v>Stock Settlement</x:v>
      </x:c>
      <x:c r="L3" s="14" t="str">
        <x:v>Repo</x:v>
      </x:c>
      <x:c r="M3" s="14" t="str">
        <x:v>Testing</x:v>
      </x:c>
      <x:c r="N3" s="14" t="str">
        <x:v>Status</x:v>
      </x:c>
    </x:row>
    <x:row r="4">
      <x:c r="A4" s="24" t="str">
        <x:v>React + TypeScript + Vite</x:v>
      </x:c>
      <x:c r="B4" s="25" t="str">
        <x:v>PixiJS + @pixi/react</x:v>
      </x:c>
      <x:c r="C4" s="25" t="str">
        <x:v>Node.js + TypeScript + NestJS on Fastify</x:v>
      </x:c>
      <x:c r="D4" s="25" t="str">
        <x:v>PostgreSQL + Drizzle ORM</x:v>
      </x:c>
      <x:c r="E4" s="25" t="str">
        <x:v>Redis</x:v>
      </x:c>
      <x:c r="F4" s="25" t="str">
        <x:v>Google Pub/Sub + Cloud Tasks + Cloud Scheduler</x:v>
      </x:c>
      <x:c r="G4" s="25" t="str">
        <x:v>GCP Cloud Run</x:v>
      </x:c>
      <x:c r="H4" s="25" t="str">
        <x:v>BigQuery</x:v>
      </x:c>
      <x:c r="I4" s="25" t="str">
        <x:v>Solidity + Foundry + viem</x:v>
      </x:c>
      <x:c r="J4" s="25" t="str">
        <x:v>FamilySDK iframe bridge</x:v>
      </x:c>
      <x:c r="K4" s="25" t="str">
        <x:v>Provider abstraction; simulated first, provider-direct real claims later</x:v>
      </x:c>
      <x:c r="L4" s="25" t="str">
        <x:v>pnpm + Turborepo monorepo</x:v>
      </x:c>
      <x:c r="M4" s="25" t="str">
        <x:v>Vitest + Playwright + k6 + Foundry</x:v>
      </x:c>
      <x:c r="N4" s="26" t="str">
        <x:v>CANONICAL</x:v>
      </x:c>
    </x:row>
    <x:row r="6" ht="22" customHeight="1">
      <x:c r="A6" s="11" t="str">
        <x:v>Architecture at a Glance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4" t="str">
        <x:v>Layer</x:v>
      </x:c>
      <x:c r="B7" s="14" t="str">
        <x:v>Technology</x:v>
      </x:c>
      <x:c r="C7" s="14" t="str">
        <x:v>Responsibility</x:v>
      </x:c>
      <x:c r="D7" s="14" t="str">
        <x:v>Authoritative?</x:v>
      </x:c>
      <x:c r="E7" s="14" t="str">
        <x:v>Scales Independently?</x:v>
      </x:c>
      <x:c r="F7" s="14" t="str">
        <x:v>Key Rule</x:v>
      </x:c>
    </x:row>
    <x:row r="8">
      <x:c r="A8" s="30" t="str">
        <x:v>Client UI</x:v>
      </x:c>
      <x:c r="B8" s="31" t="str">
        <x:v>React / Tailwind / Radix</x:v>
      </x:c>
      <x:c r="C8" s="31" t="str">
        <x:v>HUD, menus, Portfolio, Hunts, Performance, Modules</x:v>
      </x:c>
      <x:c r="D8" s="31" t="str">
        <x:v>No</x:v>
      </x:c>
      <x:c r="E8" s="31" t="str">
        <x:v>Yes</x:v>
      </x:c>
      <x:c r="F8" s="32" t="str">
        <x:v>Never owns economy outcomes</x:v>
      </x:c>
    </x:row>
    <x:row r="9">
      <x:c r="A9" s="33" t="str">
        <x:v>Game Board</x:v>
      </x:c>
      <x:c r="B9" s="22" t="str">
        <x:v>PixiJS</x:v>
      </x:c>
      <x:c r="C9" s="22" t="str">
        <x:v>12x12 board, buildings, NPCs, selection, placement, animations</x:v>
      </x:c>
      <x:c r="D9" s="22" t="str">
        <x:v>No</x:v>
      </x:c>
      <x:c r="E9" s="22" t="str">
        <x:v>Yes</x:v>
      </x:c>
      <x:c r="F9" s="34" t="str">
        <x:v>Visualizes server state; does not decide it</x:v>
      </x:c>
    </x:row>
    <x:row r="10">
      <x:c r="A10" s="33" t="str">
        <x:v>API/Game Core</x:v>
      </x:c>
      <x:c r="B10" s="22" t="str">
        <x:v>NestJS + Fastify</x:v>
      </x:c>
      <x:c r="C10" s="22" t="str">
        <x:v>Commands, queries, simulation orchestration, domain rules</x:v>
      </x:c>
      <x:c r="D10" s="22" t="str">
        <x:v>Yes</x:v>
      </x:c>
      <x:c r="E10" s="22" t="str">
        <x:v>Yes</x:v>
      </x:c>
      <x:c r="F10" s="34" t="str">
        <x:v>Server authoritative</x:v>
      </x:c>
    </x:row>
    <x:row r="11">
      <x:c r="A11" s="33" t="str">
        <x:v>Data</x:v>
      </x:c>
      <x:c r="B11" s="22" t="str">
        <x:v>PostgreSQL</x:v>
      </x:c>
      <x:c r="C11" s="22" t="str">
        <x:v>Canonical relational state + append ledgers</x:v>
      </x:c>
      <x:c r="D11" s="22" t="str">
        <x:v>Yes</x:v>
      </x:c>
      <x:c r="E11" s="22" t="str">
        <x:v>Managed scaling</x:v>
      </x:c>
      <x:c r="F11" s="34" t="str">
        <x:v>Recoverable source of truth</x:v>
      </x:c>
    </x:row>
    <x:row r="12">
      <x:c r="A12" s="33" t="str">
        <x:v>Fast State</x:v>
      </x:c>
      <x:c r="B12" s="22" t="str">
        <x:v>Redis</x:v>
      </x:c>
      <x:c r="C12" s="22" t="str">
        <x:v>Caches, locks, rate limits, leaderboard/read models</x:v>
      </x:c>
      <x:c r="D12" s="22" t="str">
        <x:v>No</x:v>
      </x:c>
      <x:c r="E12" s="22" t="str">
        <x:v>Yes</x:v>
      </x:c>
      <x:c r="F12" s="34" t="str">
        <x:v>Loss of Redis must not lose canonical progress</x:v>
      </x:c>
    </x:row>
    <x:row r="13">
      <x:c r="A13" s="33" t="str">
        <x:v>Workers</x:v>
      </x:c>
      <x:c r="B13" s="22" t="str">
        <x:v>Pub/Sub + Cloud Tasks + Scheduler</x:v>
      </x:c>
      <x:c r="C13" s="22" t="str">
        <x:v>Ticks, Hunts, events, settlement, crafting, reconciliation</x:v>
      </x:c>
      <x:c r="D13" s="22" t="str">
        <x:v>Yes for job outcomes</x:v>
      </x:c>
      <x:c r="E13" s="22" t="str">
        <x:v>Yes</x:v>
      </x:c>
      <x:c r="F13" s="34" t="str">
        <x:v>Idempotent and replayable</x:v>
      </x:c>
    </x:row>
    <x:row r="14">
      <x:c r="A14" s="33" t="str">
        <x:v>Blockchain</x:v>
      </x:c>
      <x:c r="B14" s="22" t="str">
        <x:v>Solidity + viem</x:v>
      </x:c>
      <x:c r="C14" s="22" t="str">
        <x:v>Plot ownership, transfers, $PLOT claims, selected settlement</x:v>
      </x:c>
      <x:c r="D14" s="22" t="str">
        <x:v>Chain authoritative for chain-owned state</x:v>
      </x:c>
      <x:c r="E14" s="22" t="str">
        <x:v>Yes</x:v>
      </x:c>
      <x:c r="F14" s="34" t="str">
        <x:v>No per-move/per-tick onchain calls</x:v>
      </x:c>
    </x:row>
    <x:row r="15">
      <x:c r="A15" s="35" t="str">
        <x:v>Analytics</x:v>
      </x:c>
      <x:c r="B15" s="36" t="str">
        <x:v>BigQuery</x:v>
      </x:c>
      <x:c r="C15" s="36" t="str">
        <x:v>Balance, retention, LiveOps, economy and cohort analysis</x:v>
      </x:c>
      <x:c r="D15" s="36" t="str">
        <x:v>No gameplay authority</x:v>
      </x:c>
      <x:c r="E15" s="36" t="str">
        <x:v>Yes</x:v>
      </x:c>
      <x:c r="F15" s="37" t="str">
        <x:v>Never query warehouse in gameplay critical path</x:v>
      </x:c>
    </x:row>
    <x:row r="17" ht="22" customHeight="1">
      <x:c r="A17" s="11" t="str">
        <x:v>Critical Architectural Decisions</x:v>
      </x:c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>
      <x:c r="A18" s="14" t="str">
        <x:v>Decision</x:v>
      </x:c>
      <x:c r="B18" s="14" t="str">
        <x:v>Canonical Choice</x:v>
      </x:c>
    </x:row>
    <x:row r="19">
      <x:c r="A19" s="30" t="str">
        <x:v>Game architecture</x:v>
      </x:c>
      <x:c r="B19" s="32" t="str">
        <x:v>2D web game inside Family iframe; not Unity/Unreal for the main PLOT product.</x:v>
      </x:c>
    </x:row>
    <x:row r="20">
      <x:c r="A20" s="33" t="str">
        <x:v>Backend shape</x:v>
      </x:c>
      <x:c r="B20" s="34" t="str">
        <x:v>Modular monolith first; split only proven high-load/operational domains later.</x:v>
      </x:c>
    </x:row>
    <x:row r="21">
      <x:c r="A21" s="33" t="str">
        <x:v>Server authority</x:v>
      </x:c>
      <x:c r="B21" s="34" t="str">
        <x:v>Customers, Cash, Hunts, risk, Modules, events, Performance and rewards resolve server-side.</x:v>
      </x:c>
    </x:row>
    <x:row r="22">
      <x:c r="A22" s="33" t="str">
        <x:v>Frontend rendering</x:v>
      </x:c>
      <x:c r="B22" s="34" t="str">
        <x:v>PixiJS draws NPCs/buildings/effects from authoritative state and read models.</x:v>
      </x:c>
    </x:row>
    <x:row r="23">
      <x:c r="A23" s="33" t="str">
        <x:v>Database</x:v>
      </x:c>
      <x:c r="B23" s="34" t="str">
        <x:v>PostgreSQL is source of truth; Redis is disposable acceleration.</x:v>
      </x:c>
    </x:row>
    <x:row r="24">
      <x:c r="A24" s="33" t="str">
        <x:v>Smart contracts</x:v>
      </x:c>
      <x:c r="B24" s="34" t="str">
        <x:v>Only ownership/claim/settlement-sensitive state is onchain.</x:v>
      </x:c>
    </x:row>
    <x:row r="25">
      <x:c r="A25" s="33" t="str">
        <x:v>Tokenized stocks</x:v>
      </x:c>
      <x:c r="B25" s="34" t="str">
        <x:v>Simulation/provider adapter architecture stays isolated from core gameplay.</x:v>
      </x:c>
    </x:row>
    <x:row r="26">
      <x:c r="A26" s="33" t="str">
        <x:v>Infrastructure</x:v>
      </x:c>
      <x:c r="B26" s="34" t="str">
        <x:v>Cloud Run first. Do not start with Kubernetes unless telemetry proves the need.</x:v>
      </x:c>
    </x:row>
    <x:row r="27">
      <x:c r="A27" s="35" t="str">
        <x:v>Language strategy</x:v>
      </x:c>
      <x:c r="B27" s="37" t="str">
        <x:v>TypeScript across frontend/backend/shared contracts to reduce coordination cost.</x:v>
      </x:c>
    </x:row>
  </x:sheetData>
  <x:mergeCells>
    <x:mergeCell ref="A1:N1"/>
    <x:mergeCell ref="A6:N6"/>
    <x:mergeCell ref="A17:N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Architecture Principles &amp; System Boundaries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Principle</x:v>
      </x:c>
      <x:c r="B3" s="14" t="str">
        <x:v>Rule</x:v>
      </x:c>
      <x:c r="C3" s="14" t="str">
        <x:v>Why</x:v>
      </x:c>
      <x:c r="D3" s="14" t="str">
        <x:v>Frontend</x:v>
      </x:c>
      <x:c r="E3" s="14" t="str">
        <x:v>Backend</x:v>
      </x:c>
      <x:c r="F3" s="14" t="str">
        <x:v>Database</x:v>
      </x:c>
      <x:c r="G3" s="14" t="str">
        <x:v>Redis</x:v>
      </x:c>
      <x:c r="H3" s="14" t="str">
        <x:v>Queue</x:v>
      </x:c>
      <x:c r="I3" s="14" t="str">
        <x:v>Chain</x:v>
      </x:c>
      <x:c r="J3" s="14" t="str">
        <x:v>Analytics</x:v>
      </x:c>
      <x:c r="K3" s="14" t="str">
        <x:v>Failure Behavior</x:v>
      </x:c>
      <x:c r="L3" s="14" t="str">
        <x:v>Security</x:v>
      </x:c>
      <x:c r="M3" s="14" t="str">
        <x:v>Scaling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Server authoritative</x:v>
      </x:c>
      <x:c r="B4" s="31" t="str">
        <x:v>Client sends intent; backend computes outcomes</x:v>
      </x:c>
      <x:c r="C4" s="31" t="str">
        <x:v>Anti-cheat and replayability</x:v>
      </x:c>
      <x:c r="D4" s="31" t="str">
        <x:v>Intent + visuals</x:v>
      </x:c>
      <x:c r="E4" s="31" t="str">
        <x:v>Canonical logic</x:v>
      </x:c>
      <x:c r="F4" s="31" t="str">
        <x:v>Canonical state</x:v>
      </x:c>
      <x:c r="G4" s="31" t="str">
        <x:v>Cache only</x:v>
      </x:c>
      <x:c r="H4" s="31" t="str">
        <x:v>Async outcomes</x:v>
      </x:c>
      <x:c r="I4" s="31" t="str">
        <x:v>Only chain-owned state</x:v>
      </x:c>
      <x:c r="J4" s="31" t="str">
        <x:v>Observe only</x:v>
      </x:c>
      <x:c r="K4" s="31" t="str">
        <x:v>Reject invalid intent</x:v>
      </x:c>
      <x:c r="L4" s="31" t="str">
        <x:v>Never trust client result fields</x:v>
      </x:c>
      <x:c r="M4" s="31" t="str">
        <x:v>Scale API/workers</x:v>
      </x:c>
      <x:c r="N4" s="31" t="str">
        <x:v>Yes</x:v>
      </x:c>
      <x:c r="O4" s="31" t="str">
        <x:v>P0</x:v>
      </x:c>
      <x:c r="P4" s="32" t="str"/>
    </x:row>
    <x:row r="5">
      <x:c r="A5" s="33" t="str">
        <x:v>Deterministic simulation</x:v>
      </x:c>
      <x:c r="B5" s="22" t="str">
        <x:v>Same versioned inputs reproduce same tick/bucket</x:v>
      </x:c>
      <x:c r="C5" s="22" t="str">
        <x:v>Disputes and settlement integrity</x:v>
      </x:c>
      <x:c r="D5" s="22" t="str">
        <x:v>No business formulas</x:v>
      </x:c>
      <x:c r="E5" s="22" t="str">
        <x:v>Versioned simulation</x:v>
      </x:c>
      <x:c r="F5" s="22" t="str">
        <x:v>Version lineage</x:v>
      </x:c>
      <x:c r="G5" s="22" t="str">
        <x:v>Compiled plans</x:v>
      </x:c>
      <x:c r="H5" s="22" t="str">
        <x:v>Replayable jobs</x:v>
      </x:c>
      <x:c r="I5" s="22" t="str">
        <x:v>N/A</x:v>
      </x:c>
      <x:c r="J5" s="22" t="str">
        <x:v>Model comparisons</x:v>
      </x:c>
      <x:c r="K5" s="22" t="str">
        <x:v>Re-run safely</x:v>
      </x:c>
      <x:c r="L5" s="22" t="str">
        <x:v>Config audit</x:v>
      </x:c>
      <x:c r="M5" s="22" t="str">
        <x:v>Horizontal workers</x:v>
      </x:c>
      <x:c r="N5" s="22" t="str">
        <x:v>Yes</x:v>
      </x:c>
      <x:c r="O5" s="22" t="str">
        <x:v>P0</x:v>
      </x:c>
      <x:c r="P5" s="34" t="str"/>
    </x:row>
    <x:row r="6">
      <x:c r="A6" s="33" t="str">
        <x:v>Append critical ledgers</x:v>
      </x:c>
      <x:c r="B6" s="22" t="str">
        <x:v>Cash/rewards/Parts/settlement evidence is reconstructable</x:v>
      </x:c>
      <x:c r="C6" s="22" t="str">
        <x:v>Recovery and integrity</x:v>
      </x:c>
      <x:c r="D6" s="22" t="str">
        <x:v>Read only</x:v>
      </x:c>
      <x:c r="E6" s="22" t="str">
        <x:v>Writes atomic</x:v>
      </x:c>
      <x:c r="F6" s="22" t="str">
        <x:v>Append tables</x:v>
      </x:c>
      <x:c r="G6" s="22" t="str">
        <x:v>Optional read cache</x:v>
      </x:c>
      <x:c r="H6" s="22" t="str">
        <x:v>Event outbox</x:v>
      </x:c>
      <x:c r="I6" s="22" t="str">
        <x:v>Claim tx refs</x:v>
      </x:c>
      <x:c r="J6" s="22" t="str">
        <x:v>Warehouse export</x:v>
      </x:c>
      <x:c r="K6" s="22" t="str">
        <x:v>Rebuild aggregates</x:v>
      </x:c>
      <x:c r="L6" s="22" t="str">
        <x:v>Unique idempotency keys</x:v>
      </x:c>
      <x:c r="M6" s="22" t="str">
        <x:v>Storage scales</x:v>
      </x:c>
      <x:c r="N6" s="22" t="str">
        <x:v>Yes</x:v>
      </x:c>
      <x:c r="O6" s="22" t="str">
        <x:v>P0</x:v>
      </x:c>
      <x:c r="P6" s="34" t="str"/>
    </x:row>
    <x:row r="7">
      <x:c r="A7" s="33" t="str">
        <x:v>Modular monolith first</x:v>
      </x:c>
      <x:c r="B7" s="22" t="str">
        <x:v>Clear domains without network hops everywhere</x:v>
      </x:c>
      <x:c r="C7" s="22" t="str">
        <x:v>Speed of execution</x:v>
      </x:c>
      <x:c r="D7" s="22" t="str">
        <x:v>One client</x:v>
      </x:c>
      <x:c r="E7" s="22" t="str">
        <x:v>One API deployment initially</x:v>
      </x:c>
      <x:c r="F7" s="22" t="str">
        <x:v>Shared Postgres schema boundaries</x:v>
      </x:c>
      <x:c r="G7" s="22" t="str">
        <x:v>Shared Redis namespaces</x:v>
      </x:c>
      <x:c r="H7" s="22" t="str">
        <x:v>Shared queues</x:v>
      </x:c>
      <x:c r="I7" s="22" t="str">
        <x:v>Separate chain adapter</x:v>
      </x:c>
      <x:c r="J7" s="22" t="str">
        <x:v>Event export</x:v>
      </x:c>
      <x:c r="K7" s="22" t="str">
        <x:v>Simple rollback</x:v>
      </x:c>
      <x:c r="L7" s="22" t="str">
        <x:v>RBAC by domain/admin</x:v>
      </x:c>
      <x:c r="M7" s="22" t="str">
        <x:v>Split later</x:v>
      </x:c>
      <x:c r="N7" s="22" t="str">
        <x:v>Yes</x:v>
      </x:c>
      <x:c r="O7" s="22" t="str">
        <x:v>P0</x:v>
      </x:c>
      <x:c r="P7" s="34" t="str"/>
    </x:row>
    <x:row r="8">
      <x:c r="A8" s="33" t="str">
        <x:v>No hot-path chain dependency</x:v>
      </x:c>
      <x:c r="B8" s="22" t="str">
        <x:v>Normal play does not wait for RPC/blocks</x:v>
      </x:c>
      <x:c r="C8" s="22" t="str">
        <x:v>Latency and reliability</x:v>
      </x:c>
      <x:c r="D8" s="22" t="str">
        <x:v>Instant UI after server ack</x:v>
      </x:c>
      <x:c r="E8" s="22" t="str">
        <x:v>Offchain sim</x:v>
      </x:c>
      <x:c r="F8" s="22" t="str">
        <x:v>State DB</x:v>
      </x:c>
      <x:c r="G8" s="22" t="str">
        <x:v>Cache</x:v>
      </x:c>
      <x:c r="H8" s="22" t="str">
        <x:v>Workers</x:v>
      </x:c>
      <x:c r="I8" s="22" t="str">
        <x:v>Async mirror/claims</x:v>
      </x:c>
      <x:c r="J8" s="22" t="str">
        <x:v>N/A</x:v>
      </x:c>
      <x:c r="K8" s="22" t="str">
        <x:v>Graceful RPC outage</x:v>
      </x:c>
      <x:c r="L8" s="22" t="str">
        <x:v>Key isolation</x:v>
      </x:c>
      <x:c r="M8" s="22" t="str">
        <x:v>Independent</x:v>
      </x:c>
      <x:c r="N8" s="22" t="str">
        <x:v>Yes</x:v>
      </x:c>
      <x:c r="O8" s="22" t="str">
        <x:v>P0</x:v>
      </x:c>
      <x:c r="P8" s="34" t="str"/>
    </x:row>
    <x:row r="9">
      <x:c r="A9" s="33" t="str">
        <x:v>Config-driven LiveOps</x:v>
      </x:c>
      <x:c r="B9" s="22" t="str">
        <x:v>Balance tables are versioned data, not hard-coded releases</x:v>
      </x:c>
      <x:c r="C9" s="22" t="str">
        <x:v>Faster tuning</x:v>
      </x:c>
      <x:c r="D9" s="22" t="str">
        <x:v>Fetch read models</x:v>
      </x:c>
      <x:c r="E9" s="22" t="str">
        <x:v>Resolve config</x:v>
      </x:c>
      <x:c r="F9" s="22" t="str">
        <x:v>Immutable versions</x:v>
      </x:c>
      <x:c r="G9" s="22" t="str">
        <x:v>Config cache</x:v>
      </x:c>
      <x:c r="H9" s="22" t="str">
        <x:v>Activation job</x:v>
      </x:c>
      <x:c r="I9" s="22" t="str">
        <x:v>Contract config separate</x:v>
      </x:c>
      <x:c r="J9" s="22" t="str">
        <x:v>Warehouse dimensions</x:v>
      </x:c>
      <x:c r="K9" s="22" t="str">
        <x:v>Rollback pointer</x:v>
      </x:c>
      <x:c r="L9" s="22" t="str">
        <x:v>Admin audit</x:v>
      </x:c>
      <x:c r="M9" s="22" t="str">
        <x:v>Safe rollout</x:v>
      </x:c>
      <x:c r="N9" s="22" t="str">
        <x:v>Yes</x:v>
      </x:c>
      <x:c r="O9" s="22" t="str">
        <x:v>P0</x:v>
      </x:c>
      <x:c r="P9" s="34" t="str"/>
    </x:row>
    <x:row r="10">
      <x:c r="A10" s="35" t="str">
        <x:v>Provider isolation</x:v>
      </x:c>
      <x:c r="B10" s="36" t="str">
        <x:v>External finance provider behind adapter</x:v>
      </x:c>
      <x:c r="C10" s="36" t="str">
        <x:v>Avoid vendor lock-in</x:v>
      </x:c>
      <x:c r="D10" s="36" t="str">
        <x:v>Unified UX</x:v>
      </x:c>
      <x:c r="E10" s="36" t="str">
        <x:v>Provider interface</x:v>
      </x:c>
      <x:c r="F10" s="36" t="str">
        <x:v>Provider refs</x:v>
      </x:c>
      <x:c r="G10" s="36" t="str">
        <x:v>Status cache</x:v>
      </x:c>
      <x:c r="H10" s="36" t="str">
        <x:v>Webhook workers</x:v>
      </x:c>
      <x:c r="I10" s="36" t="str">
        <x:v>Optional token withdrawals later</x:v>
      </x:c>
      <x:c r="J10" s="36" t="str">
        <x:v>Provider analytics</x:v>
      </x:c>
      <x:c r="K10" s="36" t="str">
        <x:v>Disable provider feature without breaking game</x:v>
      </x:c>
      <x:c r="L10" s="36" t="str">
        <x:v>Secrets scoped</x:v>
      </x:c>
      <x:c r="M10" s="36" t="str">
        <x:v>Swap provider</x:v>
      </x:c>
      <x:c r="N10" s="36" t="str">
        <x:v>P1</x:v>
      </x:c>
      <x:c r="O10" s="36" t="str">
        <x:v>P0/P1</x:v>
      </x:c>
      <x:c r="P10" s="37" t="str"/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Frontend Stack — Recommended Libraries &amp; Responsibilities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Layer</x:v>
      </x:c>
      <x:c r="B3" s="14" t="str">
        <x:v>Technology</x:v>
      </x:c>
      <x:c r="C3" s="14" t="str">
        <x:v>Version Policy</x:v>
      </x:c>
      <x:c r="D3" s="14" t="str">
        <x:v>Responsibility</x:v>
      </x:c>
      <x:c r="E3" s="14" t="str">
        <x:v>Why Chosen</x:v>
      </x:c>
      <x:c r="F3" s="14" t="str">
        <x:v>Alternative</x:v>
      </x:c>
      <x:c r="G3" s="14" t="str">
        <x:v>Use Alternative When</x:v>
      </x:c>
      <x:c r="H3" s="14" t="str">
        <x:v>Shared With Backend?</x:v>
      </x:c>
      <x:c r="I3" s="14" t="str">
        <x:v>State Type</x:v>
      </x:c>
      <x:c r="J3" s="14" t="str">
        <x:v>Performance Sensitivity</x:v>
      </x:c>
      <x:c r="K3" s="14" t="str">
        <x:v>Mobile Fit</x:v>
      </x:c>
      <x:c r="L3" s="14" t="str">
        <x:v>Iframe Fit</x:v>
      </x:c>
      <x:c r="M3" s="14" t="str">
        <x:v>Testing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Language</x:v>
      </x:c>
      <x:c r="B4" s="31" t="str">
        <x:v>TypeScript</x:v>
      </x:c>
      <x:c r="C4" s="31" t="str">
        <x:v>Current stable major; pin exact versions in lockfile</x:v>
      </x:c>
      <x:c r="D4" s="31" t="str">
        <x:v>Type safety across UI/game/contracts</x:v>
      </x:c>
      <x:c r="E4" s="31" t="str">
        <x:v>Shared schemas and strong tooling</x:v>
      </x:c>
      <x:c r="F4" s="31" t="str">
        <x:v>JavaScript</x:v>
      </x:c>
      <x:c r="G4" s="31" t="str">
        <x:v>Only for legacy dependency boundaries</x:v>
      </x:c>
      <x:c r="H4" s="31" t="str">
        <x:v>Yes types only</x:v>
      </x:c>
      <x:c r="I4" s="31" t="str">
        <x:v>N/A</x:v>
      </x:c>
      <x:c r="J4" s="31" t="str">
        <x:v>High</x:v>
      </x:c>
      <x:c r="K4" s="31" t="str">
        <x:v>High</x:v>
      </x:c>
      <x:c r="L4" s="31" t="str">
        <x:v>High</x:v>
      </x:c>
      <x:c r="M4" s="31" t="str">
        <x:v>tsc/Vitest</x:v>
      </x:c>
      <x:c r="N4" s="31" t="str">
        <x:v>Yes</x:v>
      </x:c>
      <x:c r="O4" s="31" t="str">
        <x:v>P0</x:v>
      </x:c>
      <x:c r="P4" s="32" t="str"/>
    </x:row>
    <x:row r="5">
      <x:c r="A5" s="33" t="str">
        <x:v>Framework</x:v>
      </x:c>
      <x:c r="B5" s="22" t="str">
        <x:v>React</x:v>
      </x:c>
      <x:c r="C5" s="22" t="str">
        <x:v>Validated stable release at implementation time</x:v>
      </x:c>
      <x:c r="D5" s="22" t="str">
        <x:v>App shell, screens, state composition</x:v>
      </x:c>
      <x:c r="E5" s="22" t="str">
        <x:v>Ecosystem + embedding</x:v>
      </x:c>
      <x:c r="F5" s="22" t="str">
        <x:v>Preact</x:v>
      </x:c>
      <x:c r="G5" s="22" t="str">
        <x:v>Extreme bundle pressure</x:v>
      </x:c>
      <x:c r="H5" s="22" t="str">
        <x:v>Shared types</x:v>
      </x:c>
      <x:c r="I5" s="22" t="str">
        <x:v>UI state</x:v>
      </x:c>
      <x:c r="J5" s="22" t="str">
        <x:v>Medium</x:v>
      </x:c>
      <x:c r="K5" s="22" t="str">
        <x:v>High</x:v>
      </x:c>
      <x:c r="L5" s="22" t="str">
        <x:v>High</x:v>
      </x:c>
      <x:c r="M5" s="22" t="str">
        <x:v>Playwright/Vitest</x:v>
      </x:c>
      <x:c r="N5" s="22" t="str">
        <x:v>Yes</x:v>
      </x:c>
      <x:c r="O5" s="22" t="str">
        <x:v>P0</x:v>
      </x:c>
      <x:c r="P5" s="34" t="str"/>
    </x:row>
    <x:row r="6">
      <x:c r="A6" s="33" t="str">
        <x:v>Build tool</x:v>
      </x:c>
      <x:c r="B6" s="22" t="str">
        <x:v>Vite</x:v>
      </x:c>
      <x:c r="C6" s="22" t="str">
        <x:v>Current stable</x:v>
      </x:c>
      <x:c r="D6" s="22" t="str">
        <x:v>Dev server/bundling/code split</x:v>
      </x:c>
      <x:c r="E6" s="22" t="str">
        <x:v>Fast iteration</x:v>
      </x:c>
      <x:c r="F6" s="22" t="str">
        <x:v>Next.js</x:v>
      </x:c>
      <x:c r="G6" s="22" t="str">
        <x:v>Only if SSR/SEO becomes a real requirement</x:v>
      </x:c>
      <x:c r="H6" s="22" t="str">
        <x:v>No</x:v>
      </x:c>
      <x:c r="I6" s="22" t="str">
        <x:v>Build</x:v>
      </x:c>
      <x:c r="J6" s="22" t="str">
        <x:v>Medium</x:v>
      </x:c>
      <x:c r="K6" s="22" t="str">
        <x:v>High</x:v>
      </x:c>
      <x:c r="L6" s="22" t="str">
        <x:v>High</x:v>
      </x:c>
      <x:c r="M6" s="22" t="str">
        <x:v>Build smoke</x:v>
      </x:c>
      <x:c r="N6" s="22" t="str">
        <x:v>Yes</x:v>
      </x:c>
      <x:c r="O6" s="22" t="str">
        <x:v>P0</x:v>
      </x:c>
      <x:c r="P6" s="34" t="str">
        <x:v>PLOT core does not need SSR</x:v>
      </x:c>
    </x:row>
    <x:row r="7">
      <x:c r="A7" s="33" t="str">
        <x:v>2D Renderer</x:v>
      </x:c>
      <x:c r="B7" s="22" t="str">
        <x:v>PixiJS</x:v>
      </x:c>
      <x:c r="C7" s="22" t="str">
        <x:v>Current stable major</x:v>
      </x:c>
      <x:c r="D7" s="22" t="str">
        <x:v>Board, sprites, NPCs, effects, camera</x:v>
      </x:c>
      <x:c r="E7" s="22" t="str">
        <x:v>GPU 2D renderer</x:v>
      </x:c>
      <x:c r="F7" s="22" t="str">
        <x:v>Phaser</x:v>
      </x:c>
      <x:c r="G7" s="22" t="str">
        <x:v>If built-in arcade physics/scenes become important</x:v>
      </x:c>
      <x:c r="H7" s="22" t="str">
        <x:v>No</x:v>
      </x:c>
      <x:c r="I7" s="22" t="str">
        <x:v>Render state</x:v>
      </x:c>
      <x:c r="J7" s="22" t="str">
        <x:v>Critical</x:v>
      </x:c>
      <x:c r="K7" s="22" t="str">
        <x:v>High</x:v>
      </x:c>
      <x:c r="L7" s="22" t="str">
        <x:v>High</x:v>
      </x:c>
      <x:c r="M7" s="22" t="str">
        <x:v>Visual/perf tests</x:v>
      </x:c>
      <x:c r="N7" s="22" t="str">
        <x:v>Yes</x:v>
      </x:c>
      <x:c r="O7" s="22" t="str">
        <x:v>P0</x:v>
      </x:c>
      <x:c r="P7" s="34" t="str"/>
    </x:row>
    <x:row r="8">
      <x:c r="A8" s="33" t="str">
        <x:v>React-Pixi bridge</x:v>
      </x:c>
      <x:c r="B8" s="22" t="str">
        <x:v>@pixi/react</x:v>
      </x:c>
      <x:c r="C8" s="22" t="str">
        <x:v>Compatible with selected React/Pixi versions</x:v>
      </x:c>
      <x:c r="D8" s="22" t="str">
        <x:v>Declarative Pixi composition</x:v>
      </x:c>
      <x:c r="E8" s="22" t="str">
        <x:v>Cleaner React/Pixi boundary</x:v>
      </x:c>
      <x:c r="F8" s="22" t="str">
        <x:v>Manual renderer integration</x:v>
      </x:c>
      <x:c r="G8" s="22" t="str">
        <x:v>If bridge compatibility lags</x:v>
      </x:c>
      <x:c r="H8" s="22" t="str">
        <x:v>No</x:v>
      </x:c>
      <x:c r="I8" s="22" t="str">
        <x:v>Render state</x:v>
      </x:c>
      <x:c r="J8" s="22" t="str">
        <x:v>High</x:v>
      </x:c>
      <x:c r="K8" s="22" t="str">
        <x:v>High</x:v>
      </x:c>
      <x:c r="L8" s="22" t="str">
        <x:v>High</x:v>
      </x:c>
      <x:c r="M8" s="22" t="str">
        <x:v>Component tests</x:v>
      </x:c>
      <x:c r="N8" s="22" t="str">
        <x:v>Yes</x:v>
      </x:c>
      <x:c r="O8" s="22" t="str">
        <x:v>P0</x:v>
      </x:c>
      <x:c r="P8" s="34" t="str"/>
    </x:row>
    <x:row r="9">
      <x:c r="A9" s="33" t="str">
        <x:v>Client state</x:v>
      </x:c>
      <x:c r="B9" s="22" t="str">
        <x:v>Zustand</x:v>
      </x:c>
      <x:c r="C9" s="22" t="str">
        <x:v>Current stable</x:v>
      </x:c>
      <x:c r="D9" s="22" t="str">
        <x:v>Ephemeral UI/build mode/selection/camera</x:v>
      </x:c>
      <x:c r="E9" s="22" t="str">
        <x:v>Simple and low boilerplate</x:v>
      </x:c>
      <x:c r="F9" s="22" t="str">
        <x:v>Redux Toolkit</x:v>
      </x:c>
      <x:c r="G9" s="22" t="str">
        <x:v>If complex state-debug/audit needs justify it</x:v>
      </x:c>
      <x:c r="H9" s="22" t="str">
        <x:v>No</x:v>
      </x:c>
      <x:c r="I9" s="22" t="str">
        <x:v>Ephemeral</x:v>
      </x:c>
      <x:c r="J9" s="22" t="str">
        <x:v>Medium</x:v>
      </x:c>
      <x:c r="K9" s="22" t="str">
        <x:v>High</x:v>
      </x:c>
      <x:c r="L9" s="22" t="str">
        <x:v>High</x:v>
      </x:c>
      <x:c r="M9" s="22" t="str">
        <x:v>Unit tests</x:v>
      </x:c>
      <x:c r="N9" s="22" t="str">
        <x:v>Yes</x:v>
      </x:c>
      <x:c r="O9" s="22" t="str">
        <x:v>P0</x:v>
      </x:c>
      <x:c r="P9" s="34" t="str"/>
    </x:row>
    <x:row r="10">
      <x:c r="A10" s="33" t="str">
        <x:v>Server state</x:v>
      </x:c>
      <x:c r="B10" s="22" t="str">
        <x:v>TanStack Query</x:v>
      </x:c>
      <x:c r="C10" s="22" t="str">
        <x:v>Current stable</x:v>
      </x:c>
      <x:c r="D10" s="22" t="str">
        <x:v>Queries/cache/retry/invalidation</x:v>
      </x:c>
      <x:c r="E10" s="22" t="str">
        <x:v>Excellent server-state model</x:v>
      </x:c>
      <x:c r="F10" s="22" t="str">
        <x:v>SWR</x:v>
      </x:c>
      <x:c r="G10" s="22" t="str">
        <x:v>Smaller read-heavy app</x:v>
      </x:c>
      <x:c r="H10" s="22" t="str">
        <x:v>No</x:v>
      </x:c>
      <x:c r="I10" s="22" t="str">
        <x:v>Server cache</x:v>
      </x:c>
      <x:c r="J10" s="22" t="str">
        <x:v>High</x:v>
      </x:c>
      <x:c r="K10" s="22" t="str">
        <x:v>High</x:v>
      </x:c>
      <x:c r="L10" s="22" t="str">
        <x:v>High</x:v>
      </x:c>
      <x:c r="M10" s="22" t="str">
        <x:v>Integration tests</x:v>
      </x:c>
      <x:c r="N10" s="22" t="str">
        <x:v>Yes</x:v>
      </x:c>
      <x:c r="O10" s="22" t="str">
        <x:v>P0</x:v>
      </x:c>
      <x:c r="P10" s="34" t="str"/>
    </x:row>
    <x:row r="11">
      <x:c r="A11" s="33" t="str">
        <x:v>Styling</x:v>
      </x:c>
      <x:c r="B11" s="22" t="str">
        <x:v>Tailwind CSS</x:v>
      </x:c>
      <x:c r="C11" s="22" t="str">
        <x:v>Current stable</x:v>
      </x:c>
      <x:c r="D11" s="22" t="str">
        <x:v>Layout/design tokens/responsive UI</x:v>
      </x:c>
      <x:c r="E11" s="22" t="str">
        <x:v>Fast consistent implementation</x:v>
      </x:c>
      <x:c r="F11" s="22" t="str">
        <x:v>CSS Modules</x:v>
      </x:c>
      <x:c r="G11" s="22" t="str">
        <x:v>If team prefers authored CSS</x:v>
      </x:c>
      <x:c r="H11" s="22" t="str">
        <x:v>No</x:v>
      </x:c>
      <x:c r="I11" s="22" t="str">
        <x:v>N/A</x:v>
      </x:c>
      <x:c r="J11" s="22" t="str">
        <x:v>Low</x:v>
      </x:c>
      <x:c r="K11" s="22" t="str">
        <x:v>High</x:v>
      </x:c>
      <x:c r="L11" s="22" t="str">
        <x:v>High</x:v>
      </x:c>
      <x:c r="M11" s="22" t="str">
        <x:v>Visual QA</x:v>
      </x:c>
      <x:c r="N11" s="22" t="str">
        <x:v>Yes</x:v>
      </x:c>
      <x:c r="O11" s="22" t="str">
        <x:v>P0</x:v>
      </x:c>
      <x:c r="P11" s="34" t="str"/>
    </x:row>
    <x:row r="12">
      <x:c r="A12" s="33" t="str">
        <x:v>UI primitives</x:v>
      </x:c>
      <x:c r="B12" s="22" t="str">
        <x:v>Radix UI / internal shadcn-style components</x:v>
      </x:c>
      <x:c r="C12" s="22" t="str">
        <x:v>Current compatible</x:v>
      </x:c>
      <x:c r="D12" s="22" t="str">
        <x:v>Dialogs/sheets/dropdowns/tooltips/accessibility</x:v>
      </x:c>
      <x:c r="E12" s="22" t="str">
        <x:v>Accessible primitives</x:v>
      </x:c>
      <x:c r="F12" s="22" t="str">
        <x:v>Headless UI</x:v>
      </x:c>
      <x:c r="G12" s="22" t="str">
        <x:v>Team preference</x:v>
      </x:c>
      <x:c r="H12" s="22" t="str">
        <x:v>No</x:v>
      </x:c>
      <x:c r="I12" s="22" t="str">
        <x:v>UI state</x:v>
      </x:c>
      <x:c r="J12" s="22" t="str">
        <x:v>Low</x:v>
      </x:c>
      <x:c r="K12" s="22" t="str">
        <x:v>High</x:v>
      </x:c>
      <x:c r="L12" s="22" t="str">
        <x:v>High</x:v>
      </x:c>
      <x:c r="M12" s="22" t="str">
        <x:v>A11y tests</x:v>
      </x:c>
      <x:c r="N12" s="22" t="str">
        <x:v>Yes</x:v>
      </x:c>
      <x:c r="O12" s="22" t="str">
        <x:v>P0</x:v>
      </x:c>
      <x:c r="P12" s="34" t="str"/>
    </x:row>
    <x:row r="13">
      <x:c r="A13" s="33" t="str">
        <x:v>Forms</x:v>
      </x:c>
      <x:c r="B13" s="22" t="str">
        <x:v>React Hook Form + Zod</x:v>
      </x:c>
      <x:c r="C13" s="22" t="str">
        <x:v>Current stable</x:v>
      </x:c>
      <x:c r="D13" s="22" t="str">
        <x:v>Settings/claims/crafting/forms</x:v>
      </x:c>
      <x:c r="E13" s="22" t="str">
        <x:v>Efficient validation</x:v>
      </x:c>
      <x:c r="F13" s="22" t="str">
        <x:v>Formik</x:v>
      </x:c>
      <x:c r="G13" s="22" t="str">
        <x:v>Legacy preference</x:v>
      </x:c>
      <x:c r="H13" s="22" t="str">
        <x:v>Zod schemas selectively</x:v>
      </x:c>
      <x:c r="I13" s="22" t="str">
        <x:v>Form</x:v>
      </x:c>
      <x:c r="J13" s="22" t="str">
        <x:v>Low</x:v>
      </x:c>
      <x:c r="K13" s="22" t="str">
        <x:v>High</x:v>
      </x:c>
      <x:c r="L13" s="22" t="str">
        <x:v>High</x:v>
      </x:c>
      <x:c r="M13" s="22" t="str">
        <x:v>Unit/integration</x:v>
      </x:c>
      <x:c r="N13" s="22" t="str">
        <x:v>Yes</x:v>
      </x:c>
      <x:c r="O13" s="22" t="str">
        <x:v>P1</x:v>
      </x:c>
      <x:c r="P13" s="34" t="str"/>
    </x:row>
    <x:row r="14">
      <x:c r="A14" s="33" t="str">
        <x:v>Web3 client</x:v>
      </x:c>
      <x:c r="B14" s="22" t="str">
        <x:v>viem</x:v>
      </x:c>
      <x:c r="C14" s="22" t="str">
        <x:v>Current stable</x:v>
      </x:c>
      <x:c r="D14" s="22" t="str">
        <x:v>Wallet/RPC/contracts</x:v>
      </x:c>
      <x:c r="E14" s="22" t="str">
        <x:v>Typed low-level Web3 client</x:v>
      </x:c>
      <x:c r="F14" s="22" t="str">
        <x:v>ethers</x:v>
      </x:c>
      <x:c r="G14" s="22" t="str">
        <x:v>Existing dependency</x:v>
      </x:c>
      <x:c r="H14" s="22" t="str">
        <x:v>Potential shared utilities</x:v>
      </x:c>
      <x:c r="I14" s="22" t="str">
        <x:v>Chain</x:v>
      </x:c>
      <x:c r="J14" s="22" t="str">
        <x:v>Medium</x:v>
      </x:c>
      <x:c r="K14" s="22" t="str">
        <x:v>High</x:v>
      </x:c>
      <x:c r="L14" s="22" t="str">
        <x:v>High</x:v>
      </x:c>
      <x:c r="M14" s="22" t="str">
        <x:v>RPC mocks</x:v>
      </x:c>
      <x:c r="N14" s="22" t="str">
        <x:v>Yes</x:v>
      </x:c>
      <x:c r="O14" s="22" t="str">
        <x:v>P0</x:v>
      </x:c>
      <x:c r="P14" s="34" t="str"/>
    </x:row>
    <x:row r="15">
      <x:c r="A15" s="35" t="str">
        <x:v>Local cache</x:v>
      </x:c>
      <x:c r="B15" s="36" t="str">
        <x:v>IndexedDB wrapper such as Dexie</x:v>
      </x:c>
      <x:c r="C15" s="36" t="str">
        <x:v>Current stable</x:v>
      </x:c>
      <x:c r="D15" s="36" t="str">
        <x:v>Non-authoritative asset/config/read cache</x:v>
      </x:c>
      <x:c r="E15" s="36" t="str">
        <x:v>Offline-friendly browser storage</x:v>
      </x:c>
      <x:c r="F15" s="36" t="str">
        <x:v>localStorage</x:v>
      </x:c>
      <x:c r="G15" s="36" t="str">
        <x:v>Tiny preferences only</x:v>
      </x:c>
      <x:c r="H15" s="36" t="str">
        <x:v>No</x:v>
      </x:c>
      <x:c r="I15" s="36" t="str">
        <x:v>Local cache</x:v>
      </x:c>
      <x:c r="J15" s="36" t="str">
        <x:v>Medium</x:v>
      </x:c>
      <x:c r="K15" s="36" t="str">
        <x:v>High</x:v>
      </x:c>
      <x:c r="L15" s="36" t="str">
        <x:v>High</x:v>
      </x:c>
      <x:c r="M15" s="36" t="str">
        <x:v>Storage tests</x:v>
      </x:c>
      <x:c r="N15" s="36" t="str">
        <x:v>Later/P1</x:v>
      </x:c>
      <x:c r="O15" s="36" t="str">
        <x:v>P1</x:v>
      </x:c>
      <x:c r="P15" s="37" t="str">
        <x:v>Never canonical balances</x:v>
      </x:c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PixiJS Game Board Architecture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3">
      <x:c r="A3" s="14" t="str">
        <x:v>Subsystem</x:v>
      </x:c>
      <x:c r="B3" s="14" t="str">
        <x:v>Pixi Responsibility</x:v>
      </x:c>
      <x:c r="C3" s="14" t="str">
        <x:v>Server Responsibility</x:v>
      </x:c>
      <x:c r="D3" s="14" t="str">
        <x:v>Primary Objects</x:v>
      </x:c>
      <x:c r="E3" s="14" t="str">
        <x:v>Update Source</x:v>
      </x:c>
      <x:c r="F3" s="14" t="str">
        <x:v>Target FPS</x:v>
      </x:c>
      <x:c r="G3" s="14" t="str">
        <x:v>Culling?</x:v>
      </x:c>
      <x:c r="H3" s="14" t="str">
        <x:v>Pooling?</x:v>
      </x:c>
      <x:c r="I3" s="14" t="str">
        <x:v>Interaction</x:v>
      </x:c>
      <x:c r="J3" s="14" t="str">
        <x:v>Persistence</x:v>
      </x:c>
      <x:c r="K3" s="14" t="str">
        <x:v>Authoritative?</x:v>
      </x:c>
      <x:c r="L3" s="14" t="str">
        <x:v>Mobile Constraint</x:v>
      </x:c>
      <x:c r="M3" s="14" t="str">
        <x:v>Optimization</x:v>
      </x:c>
      <x:c r="N3" s="14" t="str">
        <x:v>Testing</x:v>
      </x:c>
      <x:c r="O3" s="14" t="str">
        <x:v>MVP</x:v>
      </x:c>
      <x:c r="P3" s="14" t="str">
        <x:v>Priority</x:v>
      </x:c>
      <x:c r="Q3" s="14" t="str">
        <x:v>Notes</x:v>
      </x:c>
    </x:row>
    <x:row r="4">
      <x:c r="A4" s="30" t="str">
        <x:v>Board grid</x:v>
      </x:c>
      <x:c r="B4" s="31" t="str">
        <x:v>Render 12x12 tiles / merged territory</x:v>
      </x:c>
      <x:c r="C4" s="31" t="str">
        <x:v>Validate placement topology</x:v>
      </x:c>
      <x:c r="D4" s="31" t="str">
        <x:v>Tile sprites/containers</x:v>
      </x:c>
      <x:c r="E4" s="31" t="str">
        <x:v>Layout read model</x:v>
      </x:c>
      <x:c r="F4" s="31" t="n">
        <x:v>60</x:v>
      </x:c>
      <x:c r="G4" s="31" t="str">
        <x:v>Yes later</x:v>
      </x:c>
      <x:c r="H4" s="31" t="str">
        <x:v>No</x:v>
      </x:c>
      <x:c r="I4" s="31" t="str">
        <x:v>Tap/drag/select</x:v>
      </x:c>
      <x:c r="J4" s="31" t="str">
        <x:v>Server layout</x:v>
      </x:c>
      <x:c r="K4" s="31" t="str">
        <x:v>No</x:v>
      </x:c>
      <x:c r="L4" s="31" t="str">
        <x:v>Small canvas memory</x:v>
      </x:c>
      <x:c r="M4" s="31" t="str">
        <x:v>Chunk larger merged maps</x:v>
      </x:c>
      <x:c r="N4" s="31" t="str">
        <x:v>Placement tests</x:v>
      </x:c>
      <x:c r="O4" s="31" t="str">
        <x:v>Yes</x:v>
      </x:c>
      <x:c r="P4" s="31" t="str">
        <x:v>P0</x:v>
      </x:c>
      <x:c r="Q4" s="32" t="str"/>
    </x:row>
    <x:row r="5">
      <x:c r="A5" s="33" t="str">
        <x:v>Buildings</x:v>
      </x:c>
      <x:c r="B5" s="22" t="str">
        <x:v>Sprites, states, badges, upgrade visuals</x:v>
      </x:c>
      <x:c r="C5" s="22" t="str">
        <x:v>Own building type/level/status/modules</x:v>
      </x:c>
      <x:c r="D5" s="22" t="str">
        <x:v>Building containers</x:v>
      </x:c>
      <x:c r="E5" s="22" t="str">
        <x:v>Building read model</x:v>
      </x:c>
      <x:c r="F5" s="22" t="n">
        <x:v>60</x:v>
      </x:c>
      <x:c r="G5" s="22" t="str">
        <x:v>Yes</x:v>
      </x:c>
      <x:c r="H5" s="22" t="str">
        <x:v>Yes</x:v>
      </x:c>
      <x:c r="I5" s="22" t="str">
        <x:v>Tap/select/drag in Build Mode</x:v>
      </x:c>
      <x:c r="J5" s="22" t="str">
        <x:v>Server state</x:v>
      </x:c>
      <x:c r="K5" s="22" t="str">
        <x:v>No</x:v>
      </x:c>
      <x:c r="L5" s="22" t="str">
        <x:v>Atlas textures</x:v>
      </x:c>
      <x:c r="M5" s="22" t="str">
        <x:v>Sprite atlases + LOD</x:v>
      </x:c>
      <x:c r="N5" s="22" t="str">
        <x:v>Visual snapshots</x:v>
      </x:c>
      <x:c r="O5" s="22" t="str">
        <x:v>Yes</x:v>
      </x:c>
      <x:c r="P5" s="22" t="str">
        <x:v>P0</x:v>
      </x:c>
      <x:c r="Q5" s="34" t="str"/>
    </x:row>
    <x:row r="6">
      <x:c r="A6" s="33" t="str">
        <x:v>NPC customers</x:v>
      </x:c>
      <x:c r="B6" s="22" t="str">
        <x:v>Visual approximation of customer activity</x:v>
      </x:c>
      <x:c r="C6" s="22" t="str">
        <x:v>Own actual counts/segments/flows</x:v>
      </x:c>
      <x:c r="D6" s="22" t="str">
        <x:v>Pooled sprites</x:v>
      </x:c>
      <x:c r="E6" s="22" t="str">
        <x:v>Customer summary/events</x:v>
      </x:c>
      <x:c r="F6" s="22" t="str">
        <x:v>30-60</x:v>
      </x:c>
      <x:c r="G6" s="22" t="str">
        <x:v>Yes</x:v>
      </x:c>
      <x:c r="H6" s="22" t="str">
        <x:v>Yes critical</x:v>
      </x:c>
      <x:c r="I6" s="22" t="str">
        <x:v>Mostly noninteractive</x:v>
      </x:c>
      <x:c r="J6" s="22" t="str">
        <x:v>None</x:v>
      </x:c>
      <x:c r="K6" s="22" t="str">
        <x:v>No</x:v>
      </x:c>
      <x:c r="L6" s="22" t="str">
        <x:v>Hard cap visible NPCs</x:v>
      </x:c>
      <x:c r="M6" s="22" t="str">
        <x:v>Aggregate thousands of customers into tens of sprites</x:v>
      </x:c>
      <x:c r="N6" s="22" t="str">
        <x:v>Perf benchmark</x:v>
      </x:c>
      <x:c r="O6" s="22" t="str">
        <x:v>Yes</x:v>
      </x:c>
      <x:c r="P6" s="22" t="str">
        <x:v>P0</x:v>
      </x:c>
      <x:c r="Q6" s="34" t="str">
        <x:v>Never 1 sprite = 1 authoritative customer</x:v>
      </x:c>
    </x:row>
    <x:row r="7">
      <x:c r="A7" s="33" t="str">
        <x:v>Placement ghost</x:v>
      </x:c>
      <x:c r="B7" s="22" t="str">
        <x:v>Validity colors/footprint preview</x:v>
      </x:c>
      <x:c r="C7" s="22" t="str">
        <x:v>Validate final placement</x:v>
      </x:c>
      <x:c r="D7" s="22" t="str">
        <x:v>Ghost container</x:v>
      </x:c>
      <x:c r="E7" s="22" t="str">
        <x:v>Local intent + rule hints</x:v>
      </x:c>
      <x:c r="F7" s="22" t="n">
        <x:v>60</x:v>
      </x:c>
      <x:c r="G7" s="22" t="str">
        <x:v>No</x:v>
      </x:c>
      <x:c r="H7" s="22" t="str">
        <x:v>Reuse</x:v>
      </x:c>
      <x:c r="I7" s="22" t="str">
        <x:v>Drag/rotate/confirm</x:v>
      </x:c>
      <x:c r="J7" s="22" t="str">
        <x:v>None until commit</x:v>
      </x:c>
      <x:c r="K7" s="22" t="str">
        <x:v>No</x:v>
      </x:c>
      <x:c r="L7" s="22" t="str">
        <x:v>Touch gestures</x:v>
      </x:c>
      <x:c r="M7" s="22" t="str">
        <x:v>Client precheck then server final check</x:v>
      </x:c>
      <x:c r="N7" s="22" t="str">
        <x:v>E2E placement</x:v>
      </x:c>
      <x:c r="O7" s="22" t="str">
        <x:v>Yes</x:v>
      </x:c>
      <x:c r="P7" s="22" t="str">
        <x:v>P0</x:v>
      </x:c>
      <x:c r="Q7" s="34" t="str"/>
    </x:row>
    <x:row r="8">
      <x:c r="A8" s="33" t="str">
        <x:v>Synergy visualization</x:v>
      </x:c>
      <x:c r="B8" s="22" t="str">
        <x:v>Lines/badges/area hints</x:v>
      </x:c>
      <x:c r="C8" s="22" t="str">
        <x:v>Compute actual synergy</x:v>
      </x:c>
      <x:c r="D8" s="22" t="str">
        <x:v>Overlay containers</x:v>
      </x:c>
      <x:c r="E8" s="22" t="str">
        <x:v>Server synergy result</x:v>
      </x:c>
      <x:c r="F8" s="22" t="str">
        <x:v>30-60</x:v>
      </x:c>
      <x:c r="G8" s="22" t="str">
        <x:v>Yes</x:v>
      </x:c>
      <x:c r="H8" s="22" t="str">
        <x:v>Reuse</x:v>
      </x:c>
      <x:c r="I8" s="22" t="str">
        <x:v>Inspect</x:v>
      </x:c>
      <x:c r="J8" s="22" t="str">
        <x:v>Server synergy state</x:v>
      </x:c>
      <x:c r="K8" s="22" t="str">
        <x:v>No</x:v>
      </x:c>
      <x:c r="L8" s="22" t="str">
        <x:v>Avoid clutter</x:v>
      </x:c>
      <x:c r="M8" s="22" t="str">
        <x:v>Render selected-only overlays</x:v>
      </x:c>
      <x:c r="N8" s="22" t="str">
        <x:v>Visual QA</x:v>
      </x:c>
      <x:c r="O8" s="22" t="str">
        <x:v>Yes</x:v>
      </x:c>
      <x:c r="P8" s="22" t="str">
        <x:v>P0</x:v>
      </x:c>
      <x:c r="Q8" s="34" t="str"/>
    </x:row>
    <x:row r="9">
      <x:c r="A9" s="33" t="str">
        <x:v>Effects</x:v>
      </x:c>
      <x:c r="B9" s="22" t="str">
        <x:v>Cash/customer/event feedback</x:v>
      </x:c>
      <x:c r="C9" s="22" t="str">
        <x:v>Own economy/event outcome</x:v>
      </x:c>
      <x:c r="D9" s="22" t="str">
        <x:v>Particles/text</x:v>
      </x:c>
      <x:c r="E9" s="22" t="str">
        <x:v>Domain events</x:v>
      </x:c>
      <x:c r="F9" s="22" t="str">
        <x:v>30-60</x:v>
      </x:c>
      <x:c r="G9" s="22" t="str">
        <x:v>Yes</x:v>
      </x:c>
      <x:c r="H9" s="22" t="str">
        <x:v>Yes</x:v>
      </x:c>
      <x:c r="I9" s="22" t="str">
        <x:v>None</x:v>
      </x:c>
      <x:c r="J9" s="22" t="str">
        <x:v>None</x:v>
      </x:c>
      <x:c r="K9" s="22" t="str">
        <x:v>No</x:v>
      </x:c>
      <x:c r="L9" s="22" t="str">
        <x:v>Reduced-motion support</x:v>
      </x:c>
      <x:c r="M9" s="22" t="str">
        <x:v>Pool particles and cap effects</x:v>
      </x:c>
      <x:c r="N9" s="22" t="str">
        <x:v>Perf/A11y</x:v>
      </x:c>
      <x:c r="O9" s="22" t="str">
        <x:v>Yes</x:v>
      </x:c>
      <x:c r="P9" s="22" t="str">
        <x:v>P1</x:v>
      </x:c>
      <x:c r="Q9" s="34" t="str"/>
    </x:row>
    <x:row r="10">
      <x:c r="A10" s="33" t="str">
        <x:v>Camera</x:v>
      </x:c>
      <x:c r="B10" s="22" t="str">
        <x:v>Pan/zoom/focus</x:v>
      </x:c>
      <x:c r="C10" s="22" t="str">
        <x:v>None</x:v>
      </x:c>
      <x:c r="D10" s="22" t="str">
        <x:v>Viewport transform</x:v>
      </x:c>
      <x:c r="E10" s="22" t="str">
        <x:v>User input</x:v>
      </x:c>
      <x:c r="F10" s="22" t="n">
        <x:v>60</x:v>
      </x:c>
      <x:c r="G10" s="22" t="str">
        <x:v>Yes</x:v>
      </x:c>
      <x:c r="H10" s="22" t="str">
        <x:v>N/A</x:v>
      </x:c>
      <x:c r="I10" s="22" t="str">
        <x:v>Touch/mouse</x:v>
      </x:c>
      <x:c r="J10" s="22" t="str">
        <x:v>Local only</x:v>
      </x:c>
      <x:c r="K10" s="22" t="str">
        <x:v>No</x:v>
      </x:c>
      <x:c r="L10" s="22" t="str">
        <x:v>Gesture conflicts in iframe</x:v>
      </x:c>
      <x:c r="M10" s="22" t="str">
        <x:v>Clamp zoom/pan</x:v>
      </x:c>
      <x:c r="N10" s="22" t="str">
        <x:v>Input tests</x:v>
      </x:c>
      <x:c r="O10" s="22" t="str">
        <x:v>Yes</x:v>
      </x:c>
      <x:c r="P10" s="22" t="str">
        <x:v>P0</x:v>
      </x:c>
      <x:c r="Q10" s="34" t="str"/>
    </x:row>
    <x:row r="11">
      <x:c r="A11" s="35" t="str">
        <x:v>Large territory</x:v>
      </x:c>
      <x:c r="B11" s="36" t="str">
        <x:v>Chunk/LOD renderer</x:v>
      </x:c>
      <x:c r="C11" s="36" t="str">
        <x:v>Own merged Plot graph</x:v>
      </x:c>
      <x:c r="D11" s="36" t="str">
        <x:v>Chunk containers</x:v>
      </x:c>
      <x:c r="E11" s="36" t="str">
        <x:v>Territory read model</x:v>
      </x:c>
      <x:c r="F11" s="36" t="n">
        <x:v>60</x:v>
      </x:c>
      <x:c r="G11" s="36" t="str">
        <x:v>Yes required</x:v>
      </x:c>
      <x:c r="H11" s="36" t="str">
        <x:v>Yes</x:v>
      </x:c>
      <x:c r="I11" s="36" t="str">
        <x:v>Pan/select</x:v>
      </x:c>
      <x:c r="J11" s="36" t="str">
        <x:v>Server territory</x:v>
      </x:c>
      <x:c r="K11" s="36" t="str">
        <x:v>No</x:v>
      </x:c>
      <x:c r="L11" s="36" t="str">
        <x:v>GPU/memory budget</x:v>
      </x:c>
      <x:c r="M11" s="36" t="str">
        <x:v>Spatial indexing + atlases</x:v>
      </x:c>
      <x:c r="N11" s="36" t="str">
        <x:v>Load test</x:v>
      </x:c>
      <x:c r="O11" s="36" t="str">
        <x:v>Later</x:v>
      </x:c>
      <x:c r="P11" s="36" t="str">
        <x:v>P2</x:v>
      </x:c>
      <x:c r="Q11" s="37" t="str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React Application Shell &amp; Screen Ownership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Surface</x:v>
      </x:c>
      <x:c r="B3" s="14" t="str">
        <x:v>React?</x:v>
      </x:c>
      <x:c r="C3" s="14" t="str">
        <x:v>Pixi?</x:v>
      </x:c>
      <x:c r="D3" s="14" t="str">
        <x:v>Primary Data</x:v>
      </x:c>
      <x:c r="E3" s="14" t="str">
        <x:v>Mutation Examples</x:v>
      </x:c>
      <x:c r="F3" s="14" t="str">
        <x:v>Realtime?</x:v>
      </x:c>
      <x:c r="G3" s="14" t="str">
        <x:v>Route / Nav</x:v>
      </x:c>
      <x:c r="H3" s="14" t="str">
        <x:v>Mobile Pattern</x:v>
      </x:c>
      <x:c r="I3" s="14" t="str">
        <x:v>Desktop Pattern</x:v>
      </x:c>
      <x:c r="J3" s="14" t="str">
        <x:v>Cache</x:v>
      </x:c>
      <x:c r="K3" s="14" t="str">
        <x:v>Optimistic UI?</x:v>
      </x:c>
      <x:c r="L3" s="14" t="str">
        <x:v>Server Validation</x:v>
      </x:c>
      <x:c r="M3" s="14" t="str">
        <x:v>Accessibility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Plot</x:v>
      </x:c>
      <x:c r="B4" s="31" t="str">
        <x:v>Yes shell</x:v>
      </x:c>
      <x:c r="C4" s="31" t="str">
        <x:v>Yes board</x:v>
      </x:c>
      <x:c r="D4" s="31" t="str">
        <x:v>Layout/buildings/customer summaries</x:v>
      </x:c>
      <x:c r="E4" s="31" t="str">
        <x:v>select/build/move/upgrade</x:v>
      </x:c>
      <x:c r="F4" s="31" t="str">
        <x:v>Selective</x:v>
      </x:c>
      <x:c r="G4" s="31" t="str">
        <x:v>/plot</x:v>
      </x:c>
      <x:c r="H4" s="31" t="str">
        <x:v>Canvas + bottom sheets</x:v>
      </x:c>
      <x:c r="I4" s="31" t="str">
        <x:v>Canvas + right inspector</x:v>
      </x:c>
      <x:c r="J4" s="31" t="str">
        <x:v>TanStack + Pixi local scene</x:v>
      </x:c>
      <x:c r="K4" s="31" t="str">
        <x:v>Selection yes; commit no</x:v>
      </x:c>
      <x:c r="L4" s="31" t="str">
        <x:v>Required</x:v>
      </x:c>
      <x:c r="M4" s="31" t="str">
        <x:v>Keyboard fallback/labels</x:v>
      </x:c>
      <x:c r="N4" s="31" t="str">
        <x:v>Yes</x:v>
      </x:c>
      <x:c r="O4" s="31" t="str">
        <x:v>P0</x:v>
      </x:c>
      <x:c r="P4" s="32" t="str"/>
    </x:row>
    <x:row r="5">
      <x:c r="A5" s="33" t="str">
        <x:v>Build</x:v>
      </x:c>
      <x:c r="B5" s="22" t="str">
        <x:v>Yes</x:v>
      </x:c>
      <x:c r="C5" s="22" t="str">
        <x:v>Pixi placement</x:v>
      </x:c>
      <x:c r="D5" s="22" t="str">
        <x:v>Catalog/unlocks/costs</x:v>
      </x:c>
      <x:c r="E5" s="22" t="str">
        <x:v>build/move/rotate</x:v>
      </x:c>
      <x:c r="F5" s="22" t="str">
        <x:v>No</x:v>
      </x:c>
      <x:c r="G5" s="22" t="str">
        <x:v>/build overlay</x:v>
      </x:c>
      <x:c r="H5" s="22" t="str">
        <x:v>Bottom sheet/catalog</x:v>
      </x:c>
      <x:c r="I5" s="22" t="str">
        <x:v>Side panel</x:v>
      </x:c>
      <x:c r="J5" s="22" t="str">
        <x:v>Query cache</x:v>
      </x:c>
      <x:c r="K5" s="22" t="str">
        <x:v>Preview only</x:v>
      </x:c>
      <x:c r="L5" s="22" t="str">
        <x:v>Required</x:v>
      </x:c>
      <x:c r="M5" s="22" t="str">
        <x:v>Touch targets</x:v>
      </x:c>
      <x:c r="N5" s="22" t="str">
        <x:v>Yes</x:v>
      </x:c>
      <x:c r="O5" s="22" t="str">
        <x:v>P0</x:v>
      </x:c>
      <x:c r="P5" s="34" t="str"/>
    </x:row>
    <x:row r="6">
      <x:c r="A6" s="33" t="str">
        <x:v>Hunts</x:v>
      </x:c>
      <x:c r="B6" s="22" t="str">
        <x:v>Yes</x:v>
      </x:c>
      <x:c r="C6" s="22" t="str">
        <x:v>No</x:v>
      </x:c>
      <x:c r="D6" s="22" t="str">
        <x:v>Offers/progress/rewards</x:v>
      </x:c>
      <x:c r="E6" s="22" t="str">
        <x:v>start/reroll/claim</x:v>
      </x:c>
      <x:c r="F6" s="22" t="str">
        <x:v>Useful</x:v>
      </x:c>
      <x:c r="G6" s="22" t="str">
        <x:v>/hunts</x:v>
      </x:c>
      <x:c r="H6" s="22" t="str">
        <x:v>List/cards</x:v>
      </x:c>
      <x:c r="I6" s="22" t="str">
        <x:v>Grid/detail</x:v>
      </x:c>
      <x:c r="J6" s="22" t="str">
        <x:v>Query cache</x:v>
      </x:c>
      <x:c r="K6" s="22" t="str">
        <x:v>Pending state only</x:v>
      </x:c>
      <x:c r="L6" s="22" t="str">
        <x:v>Required</x:v>
      </x:c>
      <x:c r="M6" s="22" t="str">
        <x:v>Timers in text</x:v>
      </x:c>
      <x:c r="N6" s="22" t="str">
        <x:v>Yes</x:v>
      </x:c>
      <x:c r="O6" s="22" t="str">
        <x:v>P0</x:v>
      </x:c>
      <x:c r="P6" s="34" t="str"/>
    </x:row>
    <x:row r="7">
      <x:c r="A7" s="33" t="str">
        <x:v>Portfolio</x:v>
      </x:c>
      <x:c r="B7" s="22" t="str">
        <x:v>Yes</x:v>
      </x:c>
      <x:c r="C7" s="22" t="str">
        <x:v>No</x:v>
      </x:c>
      <x:c r="D7" s="22" t="str">
        <x:v>Simulated/real stock rewards</x:v>
      </x:c>
      <x:c r="E7" s="22" t="str">
        <x:v>claim later</x:v>
      </x:c>
      <x:c r="F7" s="22" t="str">
        <x:v>Useful later</x:v>
      </x:c>
      <x:c r="G7" s="22" t="str">
        <x:v>/portfolio</x:v>
      </x:c>
      <x:c r="H7" s="22" t="str">
        <x:v>Cards/tabs</x:v>
      </x:c>
      <x:c r="I7" s="22" t="str">
        <x:v>Table/detail</x:v>
      </x:c>
      <x:c r="J7" s="22" t="str">
        <x:v>Query cache</x:v>
      </x:c>
      <x:c r="K7" s="22" t="str">
        <x:v>No financial outcome optimism</x:v>
      </x:c>
      <x:c r="L7" s="22" t="str">
        <x:v>Required</x:v>
      </x:c>
      <x:c r="M7" s="22" t="str">
        <x:v>Clear labels</x:v>
      </x:c>
      <x:c r="N7" s="22" t="str">
        <x:v>Yes</x:v>
      </x:c>
      <x:c r="O7" s="22" t="str">
        <x:v>P0</x:v>
      </x:c>
      <x:c r="P7" s="34" t="str"/>
    </x:row>
    <x:row r="8">
      <x:c r="A8" s="33" t="str">
        <x:v>Empire</x:v>
      </x:c>
      <x:c r="B8" s="22" t="str">
        <x:v>Yes</x:v>
      </x:c>
      <x:c r="C8" s="22" t="str">
        <x:v>Optional mini map</x:v>
      </x:c>
      <x:c r="D8" s="22" t="str">
        <x:v>Empire value/progression/objectives</x:v>
      </x:c>
      <x:c r="E8" s="22" t="str">
        <x:v>normal game mutations</x:v>
      </x:c>
      <x:c r="F8" s="22" t="str">
        <x:v>Selective</x:v>
      </x:c>
      <x:c r="G8" s="22" t="str">
        <x:v>/empire</x:v>
      </x:c>
      <x:c r="H8" s="22" t="str">
        <x:v>Cards</x:v>
      </x:c>
      <x:c r="I8" s="22" t="str">
        <x:v>Dashboard</x:v>
      </x:c>
      <x:c r="J8" s="22" t="str">
        <x:v>Query cache</x:v>
      </x:c>
      <x:c r="K8" s="22" t="str">
        <x:v>Limited</x:v>
      </x:c>
      <x:c r="L8" s="22" t="str">
        <x:v>Required</x:v>
      </x:c>
      <x:c r="M8" s="22" t="str">
        <x:v>Charts + text</x:v>
      </x:c>
      <x:c r="N8" s="22" t="str">
        <x:v>Yes</x:v>
      </x:c>
      <x:c r="O8" s="22" t="str">
        <x:v>P0</x:v>
      </x:c>
      <x:c r="P8" s="34" t="str"/>
    </x:row>
    <x:row r="9">
      <x:c r="A9" s="33" t="str">
        <x:v>Modules</x:v>
      </x:c>
      <x:c r="B9" s="22" t="str">
        <x:v>Yes</x:v>
      </x:c>
      <x:c r="C9" s="22" t="str">
        <x:v>Optional selected building</x:v>
      </x:c>
      <x:c r="D9" s="22" t="str">
        <x:v>Inventory/loadouts/mastery/crafts</x:v>
      </x:c>
      <x:c r="E9" s="22" t="str">
        <x:v>equip/unequip/craft/dismantle</x:v>
      </x:c>
      <x:c r="F9" s="22" t="str">
        <x:v>Craft status</x:v>
      </x:c>
      <x:c r="G9" s="22" t="str">
        <x:v>/modules + building tab</x:v>
      </x:c>
      <x:c r="H9" s="22" t="str">
        <x:v>Inventory sheet</x:v>
      </x:c>
      <x:c r="I9" s="22" t="str">
        <x:v>Inventory + inspector</x:v>
      </x:c>
      <x:c r="J9" s="22" t="str">
        <x:v>Query cache</x:v>
      </x:c>
      <x:c r="K9" s="22" t="str">
        <x:v>Visual pending only</x:v>
      </x:c>
      <x:c r="L9" s="22" t="str">
        <x:v>Required</x:v>
      </x:c>
      <x:c r="M9" s="22" t="str">
        <x:v>Compatibility explained</x:v>
      </x:c>
      <x:c r="N9" s="22" t="str">
        <x:v>Yes/P1</x:v>
      </x:c>
      <x:c r="O9" s="22" t="str">
        <x:v>P0/P1</x:v>
      </x:c>
      <x:c r="P9" s="34" t="str"/>
    </x:row>
    <x:row r="10">
      <x:c r="A10" s="33" t="str">
        <x:v>Performance</x:v>
      </x:c>
      <x:c r="B10" s="22" t="str">
        <x:v>Yes</x:v>
      </x:c>
      <x:c r="C10" s="22" t="str">
        <x:v>No</x:v>
      </x:c>
      <x:c r="D10" s="22" t="str">
        <x:v>Component scores/eligibility/countdown</x:v>
      </x:c>
      <x:c r="E10" s="22" t="str">
        <x:v>Mostly none</x:v>
      </x:c>
      <x:c r="F10" s="22" t="str">
        <x:v>Yes</x:v>
      </x:c>
      <x:c r="G10" s="22" t="str">
        <x:v>/performance</x:v>
      </x:c>
      <x:c r="H10" s="22" t="str">
        <x:v>Cards/bars</x:v>
      </x:c>
      <x:c r="I10" s="22" t="str">
        <x:v>Dashboard/table</x:v>
      </x:c>
      <x:c r="J10" s="22" t="str">
        <x:v>Query cache</x:v>
      </x:c>
      <x:c r="K10" s="22" t="str">
        <x:v>No</x:v>
      </x:c>
      <x:c r="L10" s="22" t="str">
        <x:v>Server read model</x:v>
      </x:c>
      <x:c r="M10" s="22" t="str">
        <x:v>Text values</x:v>
      </x:c>
      <x:c r="N10" s="22" t="str">
        <x:v>Yes</x:v>
      </x:c>
      <x:c r="O10" s="22" t="str">
        <x:v>P0</x:v>
      </x:c>
      <x:c r="P10" s="34" t="str"/>
    </x:row>
    <x:row r="11">
      <x:c r="A11" s="35" t="str">
        <x:v>Settings</x:v>
      </x:c>
      <x:c r="B11" s="36" t="str">
        <x:v>Yes</x:v>
      </x:c>
      <x:c r="C11" s="36" t="str">
        <x:v>No</x:v>
      </x:c>
      <x:c r="D11" s="36" t="str">
        <x:v>notification/privacy/UI prefs</x:v>
      </x:c>
      <x:c r="E11" s="36" t="str">
        <x:v>settings changes</x:v>
      </x:c>
      <x:c r="F11" s="36" t="str">
        <x:v>No</x:v>
      </x:c>
      <x:c r="G11" s="36" t="str">
        <x:v>/settings</x:v>
      </x:c>
      <x:c r="H11" s="36" t="str">
        <x:v>Forms</x:v>
      </x:c>
      <x:c r="I11" s="36" t="str">
        <x:v>Forms</x:v>
      </x:c>
      <x:c r="J11" s="36" t="str">
        <x:v>Query cache</x:v>
      </x:c>
      <x:c r="K11" s="36" t="str">
        <x:v>Yes reversible</x:v>
      </x:c>
      <x:c r="L11" s="36" t="str">
        <x:v>Required</x:v>
      </x:c>
      <x:c r="M11" s="36" t="str">
        <x:v>WCAG</x:v>
      </x:c>
      <x:c r="N11" s="36" t="str">
        <x:v>Yes</x:v>
      </x:c>
      <x:c r="O11" s="36" t="str">
        <x:v>P1</x:v>
      </x:c>
      <x:c r="P11" s="37" t="str"/>
    </x:row>
  </x:sheetData>
  <x:mergeCells>
    <x:mergeCell ref="A1:P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Client State, Server State &amp; Cache Boundaries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State</x:v>
      </x:c>
      <x:c r="B3" s="14" t="str">
        <x:v>Owner</x:v>
      </x:c>
      <x:c r="C3" s="14" t="str">
        <x:v>Storage</x:v>
      </x:c>
      <x:c r="D3" s="14" t="str">
        <x:v>Lifetime</x:v>
      </x:c>
      <x:c r="E3" s="14" t="str">
        <x:v>Can Mutate Locally?</x:v>
      </x:c>
      <x:c r="F3" s="14" t="str">
        <x:v>Sync Method</x:v>
      </x:c>
      <x:c r="G3" s="14" t="str">
        <x:v>Conflict Strategy</x:v>
      </x:c>
      <x:c r="H3" s="14" t="str">
        <x:v>Offline Cache?</x:v>
      </x:c>
      <x:c r="I3" s="14" t="str">
        <x:v>Sensitive?</x:v>
      </x:c>
      <x:c r="J3" s="14" t="str">
        <x:v>Authoritative?</x:v>
      </x:c>
      <x:c r="K3" s="14" t="str">
        <x:v>Example</x:v>
      </x:c>
      <x:c r="L3" s="14" t="str">
        <x:v>Invalidation</x:v>
      </x:c>
      <x:c r="M3" s="14" t="str">
        <x:v>Recovery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Camera/zoom/selection</x:v>
      </x:c>
      <x:c r="B4" s="31" t="str">
        <x:v>Client/Zustand</x:v>
      </x:c>
      <x:c r="C4" s="31" t="str">
        <x:v>Memory</x:v>
      </x:c>
      <x:c r="D4" s="31" t="str">
        <x:v>Session</x:v>
      </x:c>
      <x:c r="E4" s="31" t="str">
        <x:v>Yes</x:v>
      </x:c>
      <x:c r="F4" s="31" t="str">
        <x:v>None</x:v>
      </x:c>
      <x:c r="G4" s="31" t="str">
        <x:v>N/A</x:v>
      </x:c>
      <x:c r="H4" s="31" t="str">
        <x:v>Optional local pref</x:v>
      </x:c>
      <x:c r="I4" s="31" t="str">
        <x:v>No</x:v>
      </x:c>
      <x:c r="J4" s="31" t="str">
        <x:v>No</x:v>
      </x:c>
      <x:c r="K4" s="31" t="str">
        <x:v>selected building</x:v>
      </x:c>
      <x:c r="L4" s="31" t="str">
        <x:v>Local</x:v>
      </x:c>
      <x:c r="M4" s="31" t="str">
        <x:v>Reset</x:v>
      </x:c>
      <x:c r="N4" s="31" t="str">
        <x:v>Yes</x:v>
      </x:c>
      <x:c r="O4" s="31" t="str">
        <x:v>P0</x:v>
      </x:c>
      <x:c r="P4" s="32" t="str"/>
    </x:row>
    <x:row r="5">
      <x:c r="A5" s="33" t="str">
        <x:v>Build ghost</x:v>
      </x:c>
      <x:c r="B5" s="22" t="str">
        <x:v>Client/Zustand + server hints</x:v>
      </x:c>
      <x:c r="C5" s="22" t="str">
        <x:v>Memory</x:v>
      </x:c>
      <x:c r="D5" s="22" t="str">
        <x:v>Command flow</x:v>
      </x:c>
      <x:c r="E5" s="22" t="str">
        <x:v>Yes preview</x:v>
      </x:c>
      <x:c r="F5" s="22" t="str">
        <x:v>REST validation on commit</x:v>
      </x:c>
      <x:c r="G5" s="22" t="str">
        <x:v>Server wins</x:v>
      </x:c>
      <x:c r="H5" s="22" t="str">
        <x:v>No</x:v>
      </x:c>
      <x:c r="I5" s="22" t="str">
        <x:v>No</x:v>
      </x:c>
      <x:c r="J5" s="22" t="str">
        <x:v>No</x:v>
      </x:c>
      <x:c r="K5" s="22" t="str">
        <x:v>x/y/rotation preview</x:v>
      </x:c>
      <x:c r="L5" s="22" t="str">
        <x:v>Commit/cancel</x:v>
      </x:c>
      <x:c r="M5" s="22" t="str">
        <x:v>Re-open build</x:v>
      </x:c>
      <x:c r="N5" s="22" t="str">
        <x:v>Yes</x:v>
      </x:c>
      <x:c r="O5" s="22" t="str">
        <x:v>P0</x:v>
      </x:c>
      <x:c r="P5" s="34" t="str"/>
    </x:row>
    <x:row r="6">
      <x:c r="A6" s="33" t="str">
        <x:v>Player/building read models</x:v>
      </x:c>
      <x:c r="B6" s="22" t="str">
        <x:v>Server/TanStack</x:v>
      </x:c>
      <x:c r="C6" s="22" t="str">
        <x:v>Memory browser cache</x:v>
      </x:c>
      <x:c r="D6" s="22" t="str">
        <x:v>Seconds/minutes</x:v>
      </x:c>
      <x:c r="E6" s="22" t="str">
        <x:v>No direct</x:v>
      </x:c>
      <x:c r="F6" s="22" t="str">
        <x:v>REST/SSE invalidation</x:v>
      </x:c>
      <x:c r="G6" s="22" t="str">
        <x:v>Server wins</x:v>
      </x:c>
      <x:c r="H6" s="22" t="str">
        <x:v>Yes read cache</x:v>
      </x:c>
      <x:c r="I6" s="22" t="str">
        <x:v>Private gameplay</x:v>
      </x:c>
      <x:c r="J6" s="22" t="str">
        <x:v>Server</x:v>
      </x:c>
      <x:c r="K6" s="22" t="str">
        <x:v>Cash/building level</x:v>
      </x:c>
      <x:c r="L6" s="22" t="str">
        <x:v>Mutation/event</x:v>
      </x:c>
      <x:c r="M6" s="22" t="str">
        <x:v>Refetch</x:v>
      </x:c>
      <x:c r="N6" s="22" t="str">
        <x:v>Yes</x:v>
      </x:c>
      <x:c r="O6" s="22" t="str">
        <x:v>P0</x:v>
      </x:c>
      <x:c r="P6" s="34" t="str"/>
    </x:row>
    <x:row r="7">
      <x:c r="A7" s="33" t="str">
        <x:v>Customer visual population</x:v>
      </x:c>
      <x:c r="B7" s="22" t="str">
        <x:v>Client derived from server summary</x:v>
      </x:c>
      <x:c r="C7" s="22" t="str">
        <x:v>Memory</x:v>
      </x:c>
      <x:c r="D7" s="22" t="str">
        <x:v>Seconds</x:v>
      </x:c>
      <x:c r="E7" s="22" t="str">
        <x:v>Yes visual only</x:v>
      </x:c>
      <x:c r="F7" s="22" t="str">
        <x:v>Customer summary</x:v>
      </x:c>
      <x:c r="G7" s="22" t="str">
        <x:v>Discard/rebuild</x:v>
      </x:c>
      <x:c r="H7" s="22" t="str">
        <x:v>No</x:v>
      </x:c>
      <x:c r="I7" s="22" t="str">
        <x:v>No</x:v>
      </x:c>
      <x:c r="J7" s="22" t="str">
        <x:v>No</x:v>
      </x:c>
      <x:c r="K7" s="22" t="str">
        <x:v>20 sprites represent 10k customers</x:v>
      </x:c>
      <x:c r="L7" s="22" t="str">
        <x:v>New summary</x:v>
      </x:c>
      <x:c r="M7" s="22" t="str">
        <x:v>Regenerate</x:v>
      </x:c>
      <x:c r="N7" s="22" t="str">
        <x:v>Yes</x:v>
      </x:c>
      <x:c r="O7" s="22" t="str">
        <x:v>P0</x:v>
      </x:c>
      <x:c r="P7" s="34" t="str"/>
    </x:row>
    <x:row r="8">
      <x:c r="A8" s="33" t="str">
        <x:v>Module inventory/loadout</x:v>
      </x:c>
      <x:c r="B8" s="22" t="str">
        <x:v>Server</x:v>
      </x:c>
      <x:c r="C8" s="22" t="str">
        <x:v>TanStack cache</x:v>
      </x:c>
      <x:c r="D8" s="22" t="str">
        <x:v>Seconds</x:v>
      </x:c>
      <x:c r="E8" s="22" t="str">
        <x:v>No outcome</x:v>
      </x:c>
      <x:c r="F8" s="22" t="str">
        <x:v>REST + events</x:v>
      </x:c>
      <x:c r="G8" s="22" t="str">
        <x:v>Version conflict then refetch</x:v>
      </x:c>
      <x:c r="H8" s="22" t="str">
        <x:v>Optional read cache</x:v>
      </x:c>
      <x:c r="I8" s="22" t="str">
        <x:v>Private gameplay</x:v>
      </x:c>
      <x:c r="J8" s="22" t="str">
        <x:v>Server</x:v>
      </x:c>
      <x:c r="K8" s="22" t="str">
        <x:v>owned/equipped qty</x:v>
      </x:c>
      <x:c r="L8" s="22" t="str">
        <x:v>Mutation/event</x:v>
      </x:c>
      <x:c r="M8" s="22" t="str">
        <x:v>Refetch</x:v>
      </x:c>
      <x:c r="N8" s="22" t="str">
        <x:v>Yes</x:v>
      </x:c>
      <x:c r="O8" s="22" t="str">
        <x:v>P0</x:v>
      </x:c>
      <x:c r="P8" s="34" t="str"/>
    </x:row>
    <x:row r="9">
      <x:c r="A9" s="33" t="str">
        <x:v>Hunt timers</x:v>
      </x:c>
      <x:c r="B9" s="22" t="str">
        <x:v>Server time + client countdown</x:v>
      </x:c>
      <x:c r="C9" s="22" t="str">
        <x:v>Memory</x:v>
      </x:c>
      <x:c r="D9" s="22" t="str">
        <x:v>Session</x:v>
      </x:c>
      <x:c r="E9" s="22" t="str">
        <x:v>Display only</x:v>
      </x:c>
      <x:c r="F9" s="22" t="str">
        <x:v>Server timestamp</x:v>
      </x:c>
      <x:c r="G9" s="22" t="str">
        <x:v>Server wins</x:v>
      </x:c>
      <x:c r="H9" s="22" t="str">
        <x:v>No</x:v>
      </x:c>
      <x:c r="I9" s="22" t="str">
        <x:v>No</x:v>
      </x:c>
      <x:c r="J9" s="22" t="str">
        <x:v>Server</x:v>
      </x:c>
      <x:c r="K9" s="22" t="str">
        <x:v>expires_at</x:v>
      </x:c>
      <x:c r="L9" s="22" t="str">
        <x:v>Status event/refetch</x:v>
      </x:c>
      <x:c r="M9" s="22" t="str">
        <x:v>Correct clock</x:v>
      </x:c>
      <x:c r="N9" s="22" t="str">
        <x:v>Yes</x:v>
      </x:c>
      <x:c r="O9" s="22" t="str">
        <x:v>P0</x:v>
      </x:c>
      <x:c r="P9" s="34" t="str"/>
    </x:row>
    <x:row r="10">
      <x:c r="A10" s="33" t="str">
        <x:v>Auth/session</x:v>
      </x:c>
      <x:c r="B10" s="22" t="str">
        <x:v>FamilySDK/server</x:v>
      </x:c>
      <x:c r="C10" s="22" t="str">
        <x:v>Memory/secure mechanism</x:v>
      </x:c>
      <x:c r="D10" s="22" t="str">
        <x:v>Session</x:v>
      </x:c>
      <x:c r="E10" s="22" t="str">
        <x:v>No</x:v>
      </x:c>
      <x:c r="F10" s="22" t="str">
        <x:v>Family bridge/token refresh</x:v>
      </x:c>
      <x:c r="G10" s="22" t="str">
        <x:v>Re-auth</x:v>
      </x:c>
      <x:c r="H10" s="22" t="str">
        <x:v>Minimal</x:v>
      </x:c>
      <x:c r="I10" s="22" t="str">
        <x:v>Sensitive</x:v>
      </x:c>
      <x:c r="J10" s="22" t="str">
        <x:v>External/server</x:v>
      </x:c>
      <x:c r="K10" s="22" t="str">
        <x:v>session token</x:v>
      </x:c>
      <x:c r="L10" s="22" t="str">
        <x:v>Expiry</x:v>
      </x:c>
      <x:c r="M10" s="22" t="str">
        <x:v>Re-auth</x:v>
      </x:c>
      <x:c r="N10" s="22" t="str">
        <x:v>Yes</x:v>
      </x:c>
      <x:c r="O10" s="22" t="str">
        <x:v>P0</x:v>
      </x:c>
      <x:c r="P10" s="34" t="str"/>
    </x:row>
    <x:row r="11">
      <x:c r="A11" s="35" t="str">
        <x:v>Market reference prices</x:v>
      </x:c>
      <x:c r="B11" s="36" t="str">
        <x:v>Server/provider read model</x:v>
      </x:c>
      <x:c r="C11" s="36" t="str">
        <x:v>TanStack cache</x:v>
      </x:c>
      <x:c r="D11" s="36" t="str">
        <x:v>Short</x:v>
      </x:c>
      <x:c r="E11" s="36" t="str">
        <x:v>No</x:v>
      </x:c>
      <x:c r="F11" s="36" t="str">
        <x:v>REST/SSE</x:v>
      </x:c>
      <x:c r="G11" s="36" t="str">
        <x:v>Stale marker</x:v>
      </x:c>
      <x:c r="H11" s="36" t="str">
        <x:v>Yes short</x:v>
      </x:c>
      <x:c r="I11" s="36" t="str">
        <x:v>Financial reference</x:v>
      </x:c>
      <x:c r="J11" s="36" t="str">
        <x:v>Provider/server</x:v>
      </x:c>
      <x:c r="K11" s="36" t="str">
        <x:v>AAPL quote</x:v>
      </x:c>
      <x:c r="L11" s="36" t="str">
        <x:v>TTL/event</x:v>
      </x:c>
      <x:c r="M11" s="36" t="str">
        <x:v>Refetch</x:v>
      </x:c>
      <x:c r="N11" s="36" t="str">
        <x:v>P0/P1</x:v>
      </x:c>
      <x:c r="O11" s="36" t="str">
        <x:v>P1</x:v>
      </x:c>
      <x:c r="P11" s="37" t="str">
        <x:v>Not claim authority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Family Super-App / iframe Integration Contract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Capability</x:v>
      </x:c>
      <x:c r="B3" s="14" t="str">
        <x:v>Direction</x:v>
      </x:c>
      <x:c r="C3" s="14" t="str">
        <x:v>Family Owns</x:v>
      </x:c>
      <x:c r="D3" s="14" t="str">
        <x:v>PLOT Owns</x:v>
      </x:c>
      <x:c r="E3" s="14" t="str">
        <x:v>Transport</x:v>
      </x:c>
      <x:c r="F3" s="14" t="str">
        <x:v>Auth</x:v>
      </x:c>
      <x:c r="G3" s="14" t="str">
        <x:v>Failure Behavior</x:v>
      </x:c>
      <x:c r="H3" s="14" t="str">
        <x:v>Latency Target</x:v>
      </x:c>
      <x:c r="I3" s="14" t="str">
        <x:v>Security</x:v>
      </x:c>
      <x:c r="J3" s="14" t="str">
        <x:v>State Mutation?</x:v>
      </x:c>
      <x:c r="K3" s="14" t="str">
        <x:v>Deep Link</x:v>
      </x:c>
      <x:c r="L3" s="14" t="str">
        <x:v>Mobile</x:v>
      </x:c>
      <x:c r="M3" s="14" t="str">
        <x:v>Desktop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Session bootstrap</x:v>
      </x:c>
      <x:c r="B4" s="31" t="str">
        <x:v>Family -&gt; PLOT</x:v>
      </x:c>
      <x:c r="C4" s="31" t="str">
        <x:v>Identity/session context</x:v>
      </x:c>
      <x:c r="D4" s="31" t="str">
        <x:v>PLOT player mapping</x:v>
      </x:c>
      <x:c r="E4" s="31" t="str">
        <x:v>FamilySDK bridge</x:v>
      </x:c>
      <x:c r="F4" s="31" t="str">
        <x:v>Signed/session token</x:v>
      </x:c>
      <x:c r="G4" s="31" t="str">
        <x:v>Reconnect/auth state</x:v>
      </x:c>
      <x:c r="H4" s="31" t="str">
        <x:v>&lt;1s target</x:v>
      </x:c>
      <x:c r="I4" s="31" t="str">
        <x:v>Origin + token validation</x:v>
      </x:c>
      <x:c r="J4" s="31" t="str">
        <x:v>Creates/loads PLOT session</x:v>
      </x:c>
      <x:c r="K4" s="31" t="str">
        <x:v>Plot</x:v>
      </x:c>
      <x:c r="L4" s="31" t="str">
        <x:v>Yes</x:v>
      </x:c>
      <x:c r="M4" s="31" t="str">
        <x:v>Yes</x:v>
      </x:c>
      <x:c r="N4" s="31" t="str">
        <x:v>Yes</x:v>
      </x:c>
      <x:c r="O4" s="31" t="str">
        <x:v>P0</x:v>
      </x:c>
      <x:c r="P4" s="32" t="str"/>
    </x:row>
    <x:row r="5">
      <x:c r="A5" s="33" t="str">
        <x:v>Wallet access</x:v>
      </x:c>
      <x:c r="B5" s="22" t="str">
        <x:v>Family -&gt; PLOT</x:v>
      </x:c>
      <x:c r="C5" s="22" t="str">
        <x:v>Wallet identity/connectivity</x:v>
      </x:c>
      <x:c r="D5" s="22" t="str">
        <x:v>Requested chain action</x:v>
      </x:c>
      <x:c r="E5" s="22" t="str">
        <x:v>SDK/wallet adapter</x:v>
      </x:c>
      <x:c r="F5" s="22" t="str">
        <x:v>Wallet authorization</x:v>
      </x:c>
      <x:c r="G5" s="22" t="str">
        <x:v>Disable chain-only action</x:v>
      </x:c>
      <x:c r="H5" s="22" t="str">
        <x:v>Interactive</x:v>
      </x:c>
      <x:c r="I5" s="22" t="str">
        <x:v>Never expose private keys</x:v>
      </x:c>
      <x:c r="J5" s="22" t="str">
        <x:v>User-approved chain mutation only</x:v>
      </x:c>
      <x:c r="K5" s="22" t="str">
        <x:v>Claims/ownership</x:v>
      </x:c>
      <x:c r="L5" s="22" t="str">
        <x:v>Yes</x:v>
      </x:c>
      <x:c r="M5" s="22" t="str">
        <x:v>Yes</x:v>
      </x:c>
      <x:c r="N5" s="22" t="str">
        <x:v>Yes</x:v>
      </x:c>
      <x:c r="O5" s="22" t="str">
        <x:v>P0</x:v>
      </x:c>
      <x:c r="P5" s="34" t="str"/>
    </x:row>
    <x:row r="6">
      <x:c r="A6" s="33" t="str">
        <x:v>Payments</x:v>
      </x:c>
      <x:c r="B6" s="22" t="str">
        <x:v>Family -&gt; PLOT</x:v>
      </x:c>
      <x:c r="C6" s="22" t="str">
        <x:v>Payment rail if used</x:v>
      </x:c>
      <x:c r="D6" s="22" t="str">
        <x:v>SKU/game entitlement</x:v>
      </x:c>
      <x:c r="E6" s="22" t="str">
        <x:v>SDK API</x:v>
      </x:c>
      <x:c r="F6" s="22" t="str">
        <x:v>Family auth</x:v>
      </x:c>
      <x:c r="G6" s="22" t="str">
        <x:v>Unavailable fallback</x:v>
      </x:c>
      <x:c r="H6" s="22" t="str">
        <x:v>Provider-dependent</x:v>
      </x:c>
      <x:c r="I6" s="22" t="str">
        <x:v>Signed purchase result</x:v>
      </x:c>
      <x:c r="J6" s="22" t="str">
        <x:v>Yes if monetization</x:v>
      </x:c>
      <x:c r="K6" s="22" t="str">
        <x:v>Store</x:v>
      </x:c>
      <x:c r="L6" s="22" t="str">
        <x:v>Yes</x:v>
      </x:c>
      <x:c r="M6" s="22" t="str">
        <x:v>Yes</x:v>
      </x:c>
      <x:c r="N6" s="22" t="str">
        <x:v>Later</x:v>
      </x:c>
      <x:c r="O6" s="22" t="str">
        <x:v>P1</x:v>
      </x:c>
      <x:c r="P6" s="34" t="str"/>
    </x:row>
    <x:row r="7">
      <x:c r="A7" s="33" t="str">
        <x:v>Navigation/deep links</x:v>
      </x:c>
      <x:c r="B7" s="22" t="str">
        <x:v>Both</x:v>
      </x:c>
      <x:c r="C7" s="22" t="str">
        <x:v>Super-app routing</x:v>
      </x:c>
      <x:c r="D7" s="22" t="str">
        <x:v>PLOT internal route</x:v>
      </x:c>
      <x:c r="E7" s="22" t="str">
        <x:v>postMessage/SDK</x:v>
      </x:c>
      <x:c r="F7" s="22" t="str">
        <x:v>Session</x:v>
      </x:c>
      <x:c r="G7" s="22" t="str">
        <x:v>Open safe default</x:v>
      </x:c>
      <x:c r="H7" s="22" t="str">
        <x:v>&lt;200ms</x:v>
      </x:c>
      <x:c r="I7" s="22" t="str">
        <x:v>Allowlist routes</x:v>
      </x:c>
      <x:c r="J7" s="22" t="str">
        <x:v>No game state</x:v>
      </x:c>
      <x:c r="K7" s="22" t="str">
        <x:v>Any screen</x:v>
      </x:c>
      <x:c r="L7" s="22" t="str">
        <x:v>Yes</x:v>
      </x:c>
      <x:c r="M7" s="22" t="str">
        <x:v>Yes</x:v>
      </x:c>
      <x:c r="N7" s="22" t="str">
        <x:v>Yes</x:v>
      </x:c>
      <x:c r="O7" s="22" t="str">
        <x:v>P0</x:v>
      </x:c>
      <x:c r="P7" s="34" t="str"/>
    </x:row>
    <x:row r="8">
      <x:c r="A8" s="33" t="str">
        <x:v>Notifications</x:v>
      </x:c>
      <x:c r="B8" s="22" t="str">
        <x:v>PLOT -&gt; Family</x:v>
      </x:c>
      <x:c r="C8" s="22" t="str">
        <x:v>Delivery surface if supported</x:v>
      </x:c>
      <x:c r="D8" s="22" t="str">
        <x:v>Notification intent</x:v>
      </x:c>
      <x:c r="E8" s="22" t="str">
        <x:v>SDK/server integration</x:v>
      </x:c>
      <x:c r="F8" s="22" t="str">
        <x:v>User prefs</x:v>
      </x:c>
      <x:c r="G8" s="22" t="str">
        <x:v>PLOT inbox fallback</x:v>
      </x:c>
      <x:c r="H8" s="22" t="str">
        <x:v>Async</x:v>
      </x:c>
      <x:c r="I8" s="22" t="str">
        <x:v>No sensitive payload</x:v>
      </x:c>
      <x:c r="J8" s="22" t="str">
        <x:v>No authoritative mutation</x:v>
      </x:c>
      <x:c r="K8" s="22" t="str">
        <x:v>Target screen</x:v>
      </x:c>
      <x:c r="L8" s="22" t="str">
        <x:v>Yes</x:v>
      </x:c>
      <x:c r="M8" s="22" t="str">
        <x:v>Yes</x:v>
      </x:c>
      <x:c r="N8" s="22" t="str">
        <x:v>Later</x:v>
      </x:c>
      <x:c r="O8" s="22" t="str">
        <x:v>P1</x:v>
      </x:c>
      <x:c r="P8" s="34" t="str"/>
    </x:row>
    <x:row r="9">
      <x:c r="A9" s="33" t="str">
        <x:v>Resize/safe areas</x:v>
      </x:c>
      <x:c r="B9" s="22" t="str">
        <x:v>Family -&gt; PLOT</x:v>
      </x:c>
      <x:c r="C9" s="22" t="str">
        <x:v>Host viewport</x:v>
      </x:c>
      <x:c r="D9" s="22" t="str">
        <x:v>Responsive layout</x:v>
      </x:c>
      <x:c r="E9" s="22" t="str">
        <x:v>SDK/browser events</x:v>
      </x:c>
      <x:c r="F9" s="22" t="str">
        <x:v>N/A</x:v>
      </x:c>
      <x:c r="G9" s="22" t="str">
        <x:v>Responsive fallback</x:v>
      </x:c>
      <x:c r="H9" s="22" t="str">
        <x:v>Realtime</x:v>
      </x:c>
      <x:c r="I9" s="22" t="str">
        <x:v>Origin check</x:v>
      </x:c>
      <x:c r="J9" s="22" t="str">
        <x:v>No</x:v>
      </x:c>
      <x:c r="K9" s="22" t="str">
        <x:v>N/A</x:v>
      </x:c>
      <x:c r="L9" s="22" t="str">
        <x:v>Critical</x:v>
      </x:c>
      <x:c r="M9" s="22" t="str">
        <x:v>Yes</x:v>
      </x:c>
      <x:c r="N9" s="22" t="str">
        <x:v>Yes</x:v>
      </x:c>
      <x:c r="O9" s="22" t="str">
        <x:v>P0</x:v>
      </x:c>
      <x:c r="P9" s="34" t="str"/>
    </x:row>
    <x:row r="10">
      <x:c r="A10" s="35" t="str">
        <x:v>Telemetry correlation</x:v>
      </x:c>
      <x:c r="B10" s="36" t="str">
        <x:v>Both</x:v>
      </x:c>
      <x:c r="C10" s="36" t="str">
        <x:v>Host app session ids</x:v>
      </x:c>
      <x:c r="D10" s="36" t="str">
        <x:v>PLOT gameplay ids</x:v>
      </x:c>
      <x:c r="E10" s="36" t="str">
        <x:v>Correlation refs</x:v>
      </x:c>
      <x:c r="F10" s="36" t="str">
        <x:v>N/A</x:v>
      </x:c>
      <x:c r="G10" s="36" t="str">
        <x:v>Independent analytics still work</x:v>
      </x:c>
      <x:c r="H10" s="36" t="str">
        <x:v>Async</x:v>
      </x:c>
      <x:c r="I10" s="36" t="str">
        <x:v>No cross-app secret leakage</x:v>
      </x:c>
      <x:c r="J10" s="36" t="str">
        <x:v>No</x:v>
      </x:c>
      <x:c r="K10" s="36" t="str">
        <x:v>N/A</x:v>
      </x:c>
      <x:c r="L10" s="36" t="str">
        <x:v>Yes</x:v>
      </x:c>
      <x:c r="M10" s="36" t="str">
        <x:v>Yes</x:v>
      </x:c>
      <x:c r="N10" s="36" t="str">
        <x:v>Yes</x:v>
      </x:c>
      <x:c r="O10" s="36" t="str">
        <x:v>P1</x:v>
      </x:c>
      <x:c r="P10" s="37" t="str"/>
    </x:row>
  </x:sheetData>
  <x:mergeCells>
    <x:mergeCell ref="A1:P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Backend Stack — Core Runtime &amp; Libraries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Layer</x:v>
      </x:c>
      <x:c r="B3" s="14" t="str">
        <x:v>Technology</x:v>
      </x:c>
      <x:c r="C3" s="14" t="str">
        <x:v>Version Policy</x:v>
      </x:c>
      <x:c r="D3" s="14" t="str">
        <x:v>Responsibility</x:v>
      </x:c>
      <x:c r="E3" s="14" t="str">
        <x:v>Why Chosen</x:v>
      </x:c>
      <x:c r="F3" s="14" t="str">
        <x:v>Alternative</x:v>
      </x:c>
      <x:c r="G3" s="14" t="str">
        <x:v>Use Alternative When</x:v>
      </x:c>
      <x:c r="H3" s="14" t="str">
        <x:v>Data Authority</x:v>
      </x:c>
      <x:c r="I3" s="14" t="str">
        <x:v>Async Role</x:v>
      </x:c>
      <x:c r="J3" s="14" t="str">
        <x:v>Scaling</x:v>
      </x:c>
      <x:c r="K3" s="14" t="str">
        <x:v>Failure Behavior</x:v>
      </x:c>
      <x:c r="L3" s="14" t="str">
        <x:v>Security</x:v>
      </x:c>
      <x:c r="M3" s="14" t="str">
        <x:v>Testing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Language</x:v>
      </x:c>
      <x:c r="B4" s="31" t="str">
        <x:v>TypeScript on Node.js</x:v>
      </x:c>
      <x:c r="C4" s="31" t="str">
        <x:v>Current stable LTS-compatible</x:v>
      </x:c>
      <x:c r="D4" s="31" t="str">
        <x:v>Backend domains/workers/provider adapters</x:v>
      </x:c>
      <x:c r="E4" s="31" t="str">
        <x:v>One language across stack</x:v>
      </x:c>
      <x:c r="F4" s="31" t="str">
        <x:v>Go</x:v>
      </x:c>
      <x:c r="G4" s="31" t="str">
        <x:v>If simulation CPU profile later justifies specialized service</x:v>
      </x:c>
      <x:c r="H4" s="31" t="str">
        <x:v>Yes</x:v>
      </x:c>
      <x:c r="I4" s="31" t="str">
        <x:v>Yes</x:v>
      </x:c>
      <x:c r="J4" s="31" t="str">
        <x:v>Horizontal</x:v>
      </x:c>
      <x:c r="K4" s="31" t="str">
        <x:v>Process restart safe</x:v>
      </x:c>
      <x:c r="L4" s="31" t="str">
        <x:v>Strict TS, schema validation</x:v>
      </x:c>
      <x:c r="M4" s="31" t="str">
        <x:v>Vitest/integration</x:v>
      </x:c>
      <x:c r="N4" s="31" t="str">
        <x:v>Yes</x:v>
      </x:c>
      <x:c r="O4" s="31" t="str">
        <x:v>P0</x:v>
      </x:c>
      <x:c r="P4" s="32" t="str"/>
    </x:row>
    <x:row r="5">
      <x:c r="A5" s="33" t="str">
        <x:v>Framework</x:v>
      </x:c>
      <x:c r="B5" s="22" t="str">
        <x:v>NestJS</x:v>
      </x:c>
      <x:c r="C5" s="22" t="str">
        <x:v>Current stable</x:v>
      </x:c>
      <x:c r="D5" s="22" t="str">
        <x:v>Modular monolith, DI, guards, modules, controllers</x:v>
      </x:c>
      <x:c r="E5" s="22" t="str">
        <x:v>Strong structure for many domains</x:v>
      </x:c>
      <x:c r="F5" s="22" t="str">
        <x:v>Fastify-only custom app</x:v>
      </x:c>
      <x:c r="G5" s="22" t="str">
        <x:v>If team is very senior and wants less framework</x:v>
      </x:c>
      <x:c r="H5" s="22" t="str">
        <x:v>Yes</x:v>
      </x:c>
      <x:c r="I5" s="22" t="str">
        <x:v>Yes</x:v>
      </x:c>
      <x:c r="J5" s="22" t="str">
        <x:v>Horizontal</x:v>
      </x:c>
      <x:c r="K5" s="22" t="str">
        <x:v>Container restart</x:v>
      </x:c>
      <x:c r="L5" s="22" t="str">
        <x:v>Guards/RBAC</x:v>
      </x:c>
      <x:c r="M5" s="22" t="str">
        <x:v>Unit/E2E</x:v>
      </x:c>
      <x:c r="N5" s="22" t="str">
        <x:v>Yes</x:v>
      </x:c>
      <x:c r="O5" s="22" t="str">
        <x:v>P0</x:v>
      </x:c>
      <x:c r="P5" s="34" t="str"/>
    </x:row>
    <x:row r="6">
      <x:c r="A6" s="33" t="str">
        <x:v>HTTP adapter</x:v>
      </x:c>
      <x:c r="B6" s="22" t="str">
        <x:v>Fastify</x:v>
      </x:c>
      <x:c r="C6" s="22" t="str">
        <x:v>Nest-compatible current stable</x:v>
      </x:c>
      <x:c r="D6" s="22" t="str">
        <x:v>REST/SSE/WebSocket transport</x:v>
      </x:c>
      <x:c r="E6" s="22" t="str">
        <x:v>Lower overhead than Express</x:v>
      </x:c>
      <x:c r="F6" s="22" t="str">
        <x:v>Express</x:v>
      </x:c>
      <x:c r="G6" s="22" t="str">
        <x:v>Only legacy middleware dependency</x:v>
      </x:c>
      <x:c r="H6" s="22" t="str">
        <x:v>No</x:v>
      </x:c>
      <x:c r="I6" s="22" t="str">
        <x:v>No</x:v>
      </x:c>
      <x:c r="J6" s="22" t="str">
        <x:v>Horizontal</x:v>
      </x:c>
      <x:c r="K6" s="22" t="str">
        <x:v>Retry-safe</x:v>
      </x:c>
      <x:c r="L6" s="22" t="str">
        <x:v>Rate limits</x:v>
      </x:c>
      <x:c r="M6" s="22" t="str">
        <x:v>Load tests</x:v>
      </x:c>
      <x:c r="N6" s="22" t="str">
        <x:v>Yes</x:v>
      </x:c>
      <x:c r="O6" s="22" t="str">
        <x:v>P0</x:v>
      </x:c>
      <x:c r="P6" s="34" t="str"/>
    </x:row>
    <x:row r="7">
      <x:c r="A7" s="33" t="str">
        <x:v>Validation</x:v>
      </x:c>
      <x:c r="B7" s="22" t="str">
        <x:v>Zod + DTO boundary</x:v>
      </x:c>
      <x:c r="C7" s="22" t="str">
        <x:v>Current stable</x:v>
      </x:c>
      <x:c r="D7" s="22" t="str">
        <x:v>Request/config/provider payload validation</x:v>
      </x:c>
      <x:c r="E7" s="22" t="str">
        <x:v>Shared contract potential</x:v>
      </x:c>
      <x:c r="F7" s="22" t="str">
        <x:v>class-validator</x:v>
      </x:c>
      <x:c r="G7" s="22" t="str">
        <x:v>If Nest-native decorator preference wins</x:v>
      </x:c>
      <x:c r="H7" s="22" t="str">
        <x:v>No</x:v>
      </x:c>
      <x:c r="I7" s="22" t="str">
        <x:v>No</x:v>
      </x:c>
      <x:c r="J7" s="22" t="str">
        <x:v>N/A</x:v>
      </x:c>
      <x:c r="K7" s="22" t="str">
        <x:v>Reject invalid</x:v>
      </x:c>
      <x:c r="L7" s="22" t="str">
        <x:v>Schema allowlist</x:v>
      </x:c>
      <x:c r="M7" s="22" t="str">
        <x:v>Contract tests</x:v>
      </x:c>
      <x:c r="N7" s="22" t="str">
        <x:v>Yes</x:v>
      </x:c>
      <x:c r="O7" s="22" t="str">
        <x:v>P0</x:v>
      </x:c>
      <x:c r="P7" s="34" t="str"/>
    </x:row>
    <x:row r="8">
      <x:c r="A8" s="33" t="str">
        <x:v>ORM/query</x:v>
      </x:c>
      <x:c r="B8" s="22" t="str">
        <x:v>Drizzle ORM</x:v>
      </x:c>
      <x:c r="C8" s="22" t="str">
        <x:v>Current stable</x:v>
      </x:c>
      <x:c r="D8" s="22" t="str">
        <x:v>Typed SQL, migrations, transaction access</x:v>
      </x:c>
      <x:c r="E8" s="22" t="str">
        <x:v>Closer to SQL for ledgers/aggregates</x:v>
      </x:c>
      <x:c r="F8" s="22" t="str">
        <x:v>Prisma</x:v>
      </x:c>
      <x:c r="G8" s="22" t="str">
        <x:v>If team prioritizes generated client over SQL control</x:v>
      </x:c>
      <x:c r="H8" s="22" t="str">
        <x:v>Yes</x:v>
      </x:c>
      <x:c r="I8" s="22" t="str">
        <x:v>No</x:v>
      </x:c>
      <x:c r="J8" s="22" t="str">
        <x:v>DB-driven</x:v>
      </x:c>
      <x:c r="K8" s="22" t="str">
        <x:v>DB retry policy</x:v>
      </x:c>
      <x:c r="L8" s="22" t="str">
        <x:v>Parameterized queries</x:v>
      </x:c>
      <x:c r="M8" s="22" t="str">
        <x:v>DB tests</x:v>
      </x:c>
      <x:c r="N8" s="22" t="str">
        <x:v>Yes</x:v>
      </x:c>
      <x:c r="O8" s="22" t="str">
        <x:v>P0</x:v>
      </x:c>
      <x:c r="P8" s="34" t="str"/>
    </x:row>
    <x:row r="9">
      <x:c r="A9" s="33" t="str">
        <x:v>API schema</x:v>
      </x:c>
      <x:c r="B9" s="22" t="str">
        <x:v>OpenAPI</x:v>
      </x:c>
      <x:c r="C9" s="22" t="str">
        <x:v>Generated from routes/contracts</x:v>
      </x:c>
      <x:c r="D9" s="22" t="str">
        <x:v>Client SDK/docs</x:v>
      </x:c>
      <x:c r="E9" s="22" t="str">
        <x:v>Operational clarity</x:v>
      </x:c>
      <x:c r="F9" s="22" t="str">
        <x:v>GraphQL schema</x:v>
      </x:c>
      <x:c r="G9" s="22" t="str">
        <x:v>If API becomes highly federated/read-composed</x:v>
      </x:c>
      <x:c r="H9" s="22" t="str">
        <x:v>No</x:v>
      </x:c>
      <x:c r="I9" s="22" t="str">
        <x:v>No</x:v>
      </x:c>
      <x:c r="J9" s="22" t="str">
        <x:v>N/A</x:v>
      </x:c>
      <x:c r="K9" s="22" t="str">
        <x:v>Version routes</x:v>
      </x:c>
      <x:c r="L9" s="22" t="str">
        <x:v>Auth documented</x:v>
      </x:c>
      <x:c r="M9" s="22" t="str">
        <x:v>Schema tests</x:v>
      </x:c>
      <x:c r="N9" s="22" t="str">
        <x:v>Yes</x:v>
      </x:c>
      <x:c r="O9" s="22" t="str">
        <x:v>P0</x:v>
      </x:c>
      <x:c r="P9" s="34" t="str"/>
    </x:row>
    <x:row r="10">
      <x:c r="A10" s="33" t="str">
        <x:v>Realtime</x:v>
      </x:c>
      <x:c r="B10" s="22" t="str">
        <x:v>SSE primary + WebSocket where bidirectional needed</x:v>
      </x:c>
      <x:c r="C10" s="22" t="str">
        <x:v>Browser-compatible</x:v>
      </x:c>
      <x:c r="D10" s="22" t="str">
        <x:v>Push state changes/status</x:v>
      </x:c>
      <x:c r="E10" s="22" t="str">
        <x:v>Simpler than socket-everything</x:v>
      </x:c>
      <x:c r="F10" s="22" t="str">
        <x:v>WebSocket-only</x:v>
      </x:c>
      <x:c r="G10" s="22" t="str">
        <x:v>If rich bidirectional live interactions grow</x:v>
      </x:c>
      <x:c r="H10" s="22" t="str">
        <x:v>No</x:v>
      </x:c>
      <x:c r="I10" s="22" t="str">
        <x:v>Event-driven</x:v>
      </x:c>
      <x:c r="J10" s="22" t="str">
        <x:v>Horizontal with pub/sub</x:v>
      </x:c>
      <x:c r="K10" s="22" t="str">
        <x:v>Reconnect/refetch</x:v>
      </x:c>
      <x:c r="L10" s="22" t="str">
        <x:v>Auth per connection</x:v>
      </x:c>
      <x:c r="M10" s="22" t="str">
        <x:v>Realtime tests</x:v>
      </x:c>
      <x:c r="N10" s="22" t="str">
        <x:v>Yes</x:v>
      </x:c>
      <x:c r="O10" s="22" t="str">
        <x:v>P1</x:v>
      </x:c>
      <x:c r="P10" s="34" t="str"/>
    </x:row>
    <x:row r="11">
      <x:c r="A11" s="35" t="str">
        <x:v>Job worker</x:v>
      </x:c>
      <x:c r="B11" s="36" t="str">
        <x:v>Nest worker processes / shared packages</x:v>
      </x:c>
      <x:c r="C11" s="36" t="str">
        <x:v>Same codebase</x:v>
      </x:c>
      <x:c r="D11" s="36" t="str">
        <x:v>Consumers, scheduled jobs, settlement</x:v>
      </x:c>
      <x:c r="E11" s="36" t="str">
        <x:v>Reuses domain services</x:v>
      </x:c>
      <x:c r="F11" s="36" t="str">
        <x:v>Separate Go workers</x:v>
      </x:c>
      <x:c r="G11" s="36" t="str">
        <x:v>Only CPU/throughput telemetry justifies</x:v>
      </x:c>
      <x:c r="H11" s="36" t="str">
        <x:v>Yes for outcomes</x:v>
      </x:c>
      <x:c r="I11" s="36" t="str">
        <x:v>Primary</x:v>
      </x:c>
      <x:c r="J11" s="36" t="str">
        <x:v>Horizontal shards</x:v>
      </x:c>
      <x:c r="K11" s="36" t="str">
        <x:v>Idempotent retry</x:v>
      </x:c>
      <x:c r="L11" s="36" t="str">
        <x:v>Service auth</x:v>
      </x:c>
      <x:c r="M11" s="36" t="str">
        <x:v>Worker tests</x:v>
      </x:c>
      <x:c r="N11" s="36" t="str">
        <x:v>Yes</x:v>
      </x:c>
      <x:c r="O11" s="36" t="str">
        <x:v>P0</x:v>
      </x:c>
      <x:c r="P11" s="37" t="str"/>
    </x:row>
  </x:sheetData>
  <x:mergeCells>
    <x:mergeCell ref="A1:P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Backend Domain Map — Modular Monolith Boundaries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3">
      <x:c r="A3" s="14" t="str">
        <x:v>Domain</x:v>
      </x:c>
      <x:c r="B3" s="14" t="str">
        <x:v>Owns</x:v>
      </x:c>
      <x:c r="C3" s="14" t="str">
        <x:v>Reads</x:v>
      </x:c>
      <x:c r="D3" s="14" t="str">
        <x:v>Writes</x:v>
      </x:c>
      <x:c r="E3" s="14" t="str">
        <x:v>Key Commands</x:v>
      </x:c>
      <x:c r="F3" s="14" t="str">
        <x:v>Key Events</x:v>
      </x:c>
      <x:c r="G3" s="14" t="str">
        <x:v>Tick / Job</x:v>
      </x:c>
      <x:c r="H3" s="14" t="str">
        <x:v>Postgres</x:v>
      </x:c>
      <x:c r="I3" s="14" t="str">
        <x:v>Redis</x:v>
      </x:c>
      <x:c r="J3" s="14" t="str">
        <x:v>Chain</x:v>
      </x:c>
      <x:c r="K3" s="14" t="str">
        <x:v>Provider</x:v>
      </x:c>
      <x:c r="L3" s="14" t="str">
        <x:v>Performance Critical?</x:v>
      </x:c>
      <x:c r="M3" s="14" t="str">
        <x:v>Integrity Critical?</x:v>
      </x:c>
      <x:c r="N3" s="14" t="str">
        <x:v>Split Candidate?</x:v>
      </x:c>
      <x:c r="O3" s="14" t="str">
        <x:v>MVP</x:v>
      </x:c>
      <x:c r="P3" s="14" t="str">
        <x:v>Priority</x:v>
      </x:c>
      <x:c r="Q3" s="14" t="str">
        <x:v>Notes</x:v>
      </x:c>
    </x:row>
    <x:row r="4">
      <x:c r="A4" s="30" t="str">
        <x:v>Identity / Family</x:v>
      </x:c>
      <x:c r="B4" s="31" t="str">
        <x:v>PLOT player mapping/session</x:v>
      </x:c>
      <x:c r="C4" s="31" t="str">
        <x:v>Family session</x:v>
      </x:c>
      <x:c r="D4" s="31" t="str">
        <x:v>player/session refs</x:v>
      </x:c>
      <x:c r="E4" s="31" t="str">
        <x:v>bootstrap/logout</x:v>
      </x:c>
      <x:c r="F4" s="31" t="str">
        <x:v>session.created</x:v>
      </x:c>
      <x:c r="G4" s="31" t="str">
        <x:v>Auth refresh</x:v>
      </x:c>
      <x:c r="H4" s="31" t="str">
        <x:v>Yes</x:v>
      </x:c>
      <x:c r="I4" s="31" t="str">
        <x:v>Session cache</x:v>
      </x:c>
      <x:c r="J4" s="31" t="str">
        <x:v>No</x:v>
      </x:c>
      <x:c r="K4" s="31" t="str">
        <x:v>No</x:v>
      </x:c>
      <x:c r="L4" s="31" t="str">
        <x:v>Indirect</x:v>
      </x:c>
      <x:c r="M4" s="31" t="str">
        <x:v>High</x:v>
      </x:c>
      <x:c r="N4" s="31" t="str">
        <x:v>Low</x:v>
      </x:c>
      <x:c r="O4" s="31" t="str">
        <x:v>Yes</x:v>
      </x:c>
      <x:c r="P4" s="31" t="str">
        <x:v>P0</x:v>
      </x:c>
      <x:c r="Q4" s="32" t="str"/>
    </x:row>
    <x:row r="5">
      <x:c r="A5" s="33" t="str">
        <x:v>Player</x:v>
      </x:c>
      <x:c r="B5" s="22" t="str">
        <x:v>profile, progression, active-day state</x:v>
      </x:c>
      <x:c r="C5" s="22" t="str">
        <x:v>all domain summaries</x:v>
      </x:c>
      <x:c r="D5" s="22" t="str">
        <x:v>player aggregate</x:v>
      </x:c>
      <x:c r="E5" s="22" t="str">
        <x:v>level/claim settings</x:v>
      </x:c>
      <x:c r="F5" s="22" t="str">
        <x:v>player.level_changed</x:v>
      </x:c>
      <x:c r="G5" s="22" t="str">
        <x:v>Daily reset</x:v>
      </x:c>
      <x:c r="H5" s="22" t="str">
        <x:v>Yes</x:v>
      </x:c>
      <x:c r="I5" s="22" t="str">
        <x:v>Yes</x:v>
      </x:c>
      <x:c r="J5" s="22" t="str">
        <x:v>No</x:v>
      </x:c>
      <x:c r="K5" s="22" t="str">
        <x:v>No</x:v>
      </x:c>
      <x:c r="L5" s="22" t="str">
        <x:v>Indirect</x:v>
      </x:c>
      <x:c r="M5" s="22" t="str">
        <x:v>High</x:v>
      </x:c>
      <x:c r="N5" s="22" t="str">
        <x:v>Low</x:v>
      </x:c>
      <x:c r="O5" s="22" t="str">
        <x:v>Yes</x:v>
      </x:c>
      <x:c r="P5" s="22" t="str">
        <x:v>P0</x:v>
      </x:c>
      <x:c r="Q5" s="34" t="str"/>
    </x:row>
    <x:row r="6">
      <x:c r="A6" s="33" t="str">
        <x:v>Plot Ownership</x:v>
      </x:c>
      <x:c r="B6" s="22" t="str">
        <x:v>Plot mirror/activation/merge refs</x:v>
      </x:c>
      <x:c r="C6" s="22" t="str">
        <x:v>Chain ownership</x:v>
      </x:c>
      <x:c r="D6" s="22" t="str">
        <x:v>Plot aggregate</x:v>
      </x:c>
      <x:c r="E6" s="22" t="str">
        <x:v>activate/merge/detach</x:v>
      </x:c>
      <x:c r="F6" s="22" t="str">
        <x:v>plot.ownership_changed</x:v>
      </x:c>
      <x:c r="G6" s="22" t="str">
        <x:v>Chain reconcile</x:v>
      </x:c>
      <x:c r="H6" s="22" t="str">
        <x:v>Yes</x:v>
      </x:c>
      <x:c r="I6" s="22" t="str">
        <x:v>Yes</x:v>
      </x:c>
      <x:c r="J6" s="22" t="str">
        <x:v>Yes</x:v>
      </x:c>
      <x:c r="K6" s="22" t="str">
        <x:v>No</x:v>
      </x:c>
      <x:c r="L6" s="22" t="str">
        <x:v>No direct</x:v>
      </x:c>
      <x:c r="M6" s="22" t="str">
        <x:v>Critical</x:v>
      </x:c>
      <x:c r="N6" s="22" t="str">
        <x:v>Medium</x:v>
      </x:c>
      <x:c r="O6" s="22" t="str">
        <x:v>Yes</x:v>
      </x:c>
      <x:c r="P6" s="22" t="str">
        <x:v>P0/P2</x:v>
      </x:c>
      <x:c r="Q6" s="34" t="str"/>
    </x:row>
    <x:row r="7">
      <x:c r="A7" s="33" t="str">
        <x:v>Building / Layout</x:v>
      </x:c>
      <x:c r="B7" s="22" t="str">
        <x:v>building instances/grid</x:v>
      </x:c>
      <x:c r="C7" s="22" t="str">
        <x:v>player/Plot/config</x:v>
      </x:c>
      <x:c r="D7" s="22" t="str">
        <x:v>buildings/layout</x:v>
      </x:c>
      <x:c r="E7" s="22" t="str">
        <x:v>build/move/upgrade/remove</x:v>
      </x:c>
      <x:c r="F7" s="22" t="str">
        <x:v>building.*</x:v>
      </x:c>
      <x:c r="G7" s="22" t="str">
        <x:v>Timer completions</x:v>
      </x:c>
      <x:c r="H7" s="22" t="str">
        <x:v>Yes</x:v>
      </x:c>
      <x:c r="I7" s="22" t="str">
        <x:v>Yes</x:v>
      </x:c>
      <x:c r="J7" s="22" t="str">
        <x:v>No</x:v>
      </x:c>
      <x:c r="K7" s="22" t="str">
        <x:v>No</x:v>
      </x:c>
      <x:c r="L7" s="22" t="str">
        <x:v>Indirect</x:v>
      </x:c>
      <x:c r="M7" s="22" t="str">
        <x:v>High</x:v>
      </x:c>
      <x:c r="N7" s="22" t="str">
        <x:v>Medium</x:v>
      </x:c>
      <x:c r="O7" s="22" t="str">
        <x:v>Yes</x:v>
      </x:c>
      <x:c r="P7" s="22" t="str">
        <x:v>P0</x:v>
      </x:c>
      <x:c r="Q7" s="34" t="str"/>
    </x:row>
    <x:row r="8">
      <x:c r="A8" s="33" t="str">
        <x:v>Customers</x:v>
      </x:c>
      <x:c r="B8" s="22" t="str">
        <x:v>segments/capacity/acquisition/churn</x:v>
      </x:c>
      <x:c r="C8" s="22" t="str">
        <x:v>buildings/modules/events/risk</x:v>
      </x:c>
      <x:c r="D8" s="22" t="str">
        <x:v>customer snapshots/deltas</x:v>
      </x:c>
      <x:c r="E8" s="22" t="str">
        <x:v>mostly system-driven</x:v>
      </x:c>
      <x:c r="F8" s="22" t="str">
        <x:v>customer.updated</x:v>
      </x:c>
      <x:c r="G8" s="22" t="str">
        <x:v>15m refresh</x:v>
      </x:c>
      <x:c r="H8" s="22" t="str">
        <x:v>Yes</x:v>
      </x:c>
      <x:c r="I8" s="22" t="str">
        <x:v>Yes</x:v>
      </x:c>
      <x:c r="J8" s="22" t="str">
        <x:v>No</x:v>
      </x:c>
      <x:c r="K8" s="22" t="str">
        <x:v>No</x:v>
      </x:c>
      <x:c r="L8" s="22" t="str">
        <x:v>Yes</x:v>
      </x:c>
      <x:c r="M8" s="22" t="str">
        <x:v>High</x:v>
      </x:c>
      <x:c r="N8" s="22" t="str">
        <x:v>High</x:v>
      </x:c>
      <x:c r="O8" s="22" t="str">
        <x:v>Yes</x:v>
      </x:c>
      <x:c r="P8" s="22" t="str">
        <x:v>P0</x:v>
      </x:c>
      <x:c r="Q8" s="34" t="str"/>
    </x:row>
    <x:row r="9">
      <x:c r="A9" s="33" t="str">
        <x:v>Economy</x:v>
      </x:c>
      <x:c r="B9" s="22" t="str">
        <x:v>Cash/activity/opex/revenue</x:v>
      </x:c>
      <x:c r="C9" s="22" t="str">
        <x:v>customer/building/module/event</x:v>
      </x:c>
      <x:c r="D9" s="22" t="str">
        <x:v>cash/activity ledgers</x:v>
      </x:c>
      <x:c r="E9" s="22" t="str">
        <x:v>spend/build fees</x:v>
      </x:c>
      <x:c r="F9" s="22" t="str">
        <x:v>economy.tick</x:v>
      </x:c>
      <x:c r="G9" s="22" t="str">
        <x:v>5m tick</x:v>
      </x:c>
      <x:c r="H9" s="22" t="str">
        <x:v>Yes</x:v>
      </x:c>
      <x:c r="I9" s="22" t="str">
        <x:v>Yes</x:v>
      </x:c>
      <x:c r="J9" s="22" t="str">
        <x:v>No</x:v>
      </x:c>
      <x:c r="K9" s="22" t="str">
        <x:v>No</x:v>
      </x:c>
      <x:c r="L9" s="22" t="str">
        <x:v>Yes</x:v>
      </x:c>
      <x:c r="M9" s="22" t="str">
        <x:v>Critical</x:v>
      </x:c>
      <x:c r="N9" s="22" t="str">
        <x:v>High</x:v>
      </x:c>
      <x:c r="O9" s="22" t="str">
        <x:v>Yes</x:v>
      </x:c>
      <x:c r="P9" s="22" t="str">
        <x:v>P0</x:v>
      </x:c>
      <x:c r="Q9" s="34" t="str"/>
    </x:row>
    <x:row r="10">
      <x:c r="A10" s="33" t="str">
        <x:v>Modules</x:v>
      </x:c>
      <x:c r="B10" s="22" t="str">
        <x:v>config/inventory/loadout/mastery/crafting</x:v>
      </x:c>
      <x:c r="C10" s="22" t="str">
        <x:v>building/hunt/event/economy</x:v>
      </x:c>
      <x:c r="D10" s="22" t="str">
        <x:v>module tables/ledgers</x:v>
      </x:c>
      <x:c r="E10" s="22" t="str">
        <x:v>equip/craft/dismantle/claim</x:v>
      </x:c>
      <x:c r="F10" s="22" t="str">
        <x:v>module.*</x:v>
      </x:c>
      <x:c r="G10" s="22" t="str">
        <x:v>Craft/mastery jobs</x:v>
      </x:c>
      <x:c r="H10" s="22" t="str">
        <x:v>Yes</x:v>
      </x:c>
      <x:c r="I10" s="22" t="str">
        <x:v>Yes</x:v>
      </x:c>
      <x:c r="J10" s="22" t="str">
        <x:v>No</x:v>
      </x:c>
      <x:c r="K10" s="22" t="str">
        <x:v>No</x:v>
      </x:c>
      <x:c r="L10" s="22" t="str">
        <x:v>Indirect</x:v>
      </x:c>
      <x:c r="M10" s="22" t="str">
        <x:v>Critical</x:v>
      </x:c>
      <x:c r="N10" s="22" t="str">
        <x:v>Medium</x:v>
      </x:c>
      <x:c r="O10" s="22" t="str">
        <x:v>Yes</x:v>
      </x:c>
      <x:c r="P10" s="22" t="str">
        <x:v>P0/P1</x:v>
      </x:c>
      <x:c r="Q10" s="34" t="str"/>
    </x:row>
    <x:row r="11">
      <x:c r="A11" s="33" t="str">
        <x:v>Risk / Reputation</x:v>
      </x:c>
      <x:c r="B11" s="22" t="str">
        <x:v>risk categories/rep/incidents</x:v>
      </x:c>
      <x:c r="C11" s="22" t="str">
        <x:v>economy/customer/events/modules</x:v>
      </x:c>
      <x:c r="D11" s="22" t="str">
        <x:v>risk/rep state</x:v>
      </x:c>
      <x:c r="E11" s="22" t="str">
        <x:v>mitigation choices</x:v>
      </x:c>
      <x:c r="F11" s="22" t="str">
        <x:v>risk.updated</x:v>
      </x:c>
      <x:c r="G11" s="22" t="str">
        <x:v>Risk evaluation</x:v>
      </x:c>
      <x:c r="H11" s="22" t="str">
        <x:v>Yes</x:v>
      </x:c>
      <x:c r="I11" s="22" t="str">
        <x:v>Yes</x:v>
      </x:c>
      <x:c r="J11" s="22" t="str">
        <x:v>No</x:v>
      </x:c>
      <x:c r="K11" s="22" t="str">
        <x:v>No</x:v>
      </x:c>
      <x:c r="L11" s="22" t="str">
        <x:v>Yes</x:v>
      </x:c>
      <x:c r="M11" s="22" t="str">
        <x:v>High</x:v>
      </x:c>
      <x:c r="N11" s="22" t="str">
        <x:v>Medium</x:v>
      </x:c>
      <x:c r="O11" s="22" t="str">
        <x:v>Yes</x:v>
      </x:c>
      <x:c r="P11" s="22" t="str">
        <x:v>P0/P1</x:v>
      </x:c>
      <x:c r="Q11" s="34" t="str"/>
    </x:row>
    <x:row r="12">
      <x:c r="A12" s="33" t="str">
        <x:v>Hunts</x:v>
      </x:c>
      <x:c r="B12" s="22" t="str">
        <x:v>offers/progress/completion</x:v>
      </x:c>
      <x:c r="C12" s="22" t="str">
        <x:v>activity/player/stage</x:v>
      </x:c>
      <x:c r="D12" s="22" t="str">
        <x:v>hunt state</x:v>
      </x:c>
      <x:c r="E12" s="22" t="str">
        <x:v>start/reroll</x:v>
      </x:c>
      <x:c r="F12" s="22" t="str">
        <x:v>hunt.completed</x:v>
      </x:c>
      <x:c r="G12" s="22" t="str">
        <x:v>Daily reset/timers</x:v>
      </x:c>
      <x:c r="H12" s="22" t="str">
        <x:v>Yes</x:v>
      </x:c>
      <x:c r="I12" s="22" t="str">
        <x:v>Yes</x:v>
      </x:c>
      <x:c r="J12" s="22" t="str">
        <x:v>No</x:v>
      </x:c>
      <x:c r="K12" s="22" t="str">
        <x:v>No</x:v>
      </x:c>
      <x:c r="L12" s="22" t="str">
        <x:v>Yes 5%</x:v>
      </x:c>
      <x:c r="M12" s="22" t="str">
        <x:v>Critical</x:v>
      </x:c>
      <x:c r="N12" s="22" t="str">
        <x:v>Medium</x:v>
      </x:c>
      <x:c r="O12" s="22" t="str">
        <x:v>Yes</x:v>
      </x:c>
      <x:c r="P12" s="22" t="str">
        <x:v>P0</x:v>
      </x:c>
      <x:c r="Q12" s="34" t="str"/>
    </x:row>
    <x:row r="13">
      <x:c r="A13" s="33" t="str">
        <x:v>Stock Rewards</x:v>
      </x:c>
      <x:c r="B13" s="22" t="str">
        <x:v>simulated/claim states</x:v>
      </x:c>
      <x:c r="C13" s="22" t="str">
        <x:v>hunt/reward/provider</x:v>
      </x:c>
      <x:c r="D13" s="22" t="str">
        <x:v>reward/claim ledgers</x:v>
      </x:c>
      <x:c r="E13" s="22" t="str">
        <x:v>claim later</x:v>
      </x:c>
      <x:c r="F13" s="22" t="str">
        <x:v>stock_reward.*</x:v>
      </x:c>
      <x:c r="G13" s="22" t="str">
        <x:v>Reconcile later</x:v>
      </x:c>
      <x:c r="H13" s="22" t="str">
        <x:v>Yes</x:v>
      </x:c>
      <x:c r="I13" s="22" t="str">
        <x:v>Yes</x:v>
      </x:c>
      <x:c r="J13" s="22" t="str">
        <x:v>Maybe withdrawal refs</x:v>
      </x:c>
      <x:c r="K13" s="22" t="str">
        <x:v>Yes later</x:v>
      </x:c>
      <x:c r="L13" s="22" t="str">
        <x:v>No direct</x:v>
      </x:c>
      <x:c r="M13" s="22" t="str">
        <x:v>Critical</x:v>
      </x:c>
      <x:c r="N13" s="22" t="str">
        <x:v>High</x:v>
      </x:c>
      <x:c r="O13" s="22" t="str">
        <x:v>P0/P1</x:v>
      </x:c>
      <x:c r="P13" s="22" t="str">
        <x:v>P0</x:v>
      </x:c>
      <x:c r="Q13" s="34" t="str"/>
    </x:row>
    <x:row r="14">
      <x:c r="A14" s="33" t="str">
        <x:v>Events</x:v>
      </x:c>
      <x:c r="B14" s="22" t="str">
        <x:v>market/personal event state</x:v>
      </x:c>
      <x:c r="C14" s="22" t="str">
        <x:v>market calendar/player state</x:v>
      </x:c>
      <x:c r="D14" s="22" t="str">
        <x:v>event state</x:v>
      </x:c>
      <x:c r="E14" s="22" t="str">
        <x:v>choose</x:v>
      </x:c>
      <x:c r="F14" s="22" t="str">
        <x:v>event.*</x:v>
      </x:c>
      <x:c r="G14" s="22" t="str">
        <x:v>60m/event timers</x:v>
      </x:c>
      <x:c r="H14" s="22" t="str">
        <x:v>Yes</x:v>
      </x:c>
      <x:c r="I14" s="22" t="str">
        <x:v>Yes</x:v>
      </x:c>
      <x:c r="J14" s="22" t="str">
        <x:v>No</x:v>
      </x:c>
      <x:c r="K14" s="22" t="str">
        <x:v>No</x:v>
      </x:c>
      <x:c r="L14" s="22" t="str">
        <x:v>Indirect</x:v>
      </x:c>
      <x:c r="M14" s="22" t="str">
        <x:v>High</x:v>
      </x:c>
      <x:c r="N14" s="22" t="str">
        <x:v>Medium</x:v>
      </x:c>
      <x:c r="O14" s="22" t="str">
        <x:v>Yes</x:v>
      </x:c>
      <x:c r="P14" s="22" t="str">
        <x:v>P0</x:v>
      </x:c>
      <x:c r="Q14" s="34" t="str"/>
    </x:row>
    <x:row r="15">
      <x:c r="A15" s="33" t="str">
        <x:v>Performance</x:v>
      </x:c>
      <x:c r="B15" s="22" t="str">
        <x:v>weekly components/manifests</x:v>
      </x:c>
      <x:c r="C15" s="22" t="str">
        <x:v>domain ledgers/snapshots</x:v>
      </x:c>
      <x:c r="D15" s="22" t="str">
        <x:v>performance aggregates</x:v>
      </x:c>
      <x:c r="E15" s="22" t="str">
        <x:v>mostly read</x:v>
      </x:c>
      <x:c r="F15" s="22" t="str">
        <x:v>performance.*</x:v>
      </x:c>
      <x:c r="G15" s="22" t="str">
        <x:v>Streaming + settlement</x:v>
      </x:c>
      <x:c r="H15" s="22" t="str">
        <x:v>Yes</x:v>
      </x:c>
      <x:c r="I15" s="22" t="str">
        <x:v>Yes</x:v>
      </x:c>
      <x:c r="J15" s="22" t="str">
        <x:v>No</x:v>
      </x:c>
      <x:c r="K15" s="22" t="str">
        <x:v>No</x:v>
      </x:c>
      <x:c r="L15" s="22" t="str">
        <x:v>Direct</x:v>
      </x:c>
      <x:c r="M15" s="22" t="str">
        <x:v>Critical</x:v>
      </x:c>
      <x:c r="N15" s="22" t="str">
        <x:v>High</x:v>
      </x:c>
      <x:c r="O15" s="22" t="str">
        <x:v>Yes</x:v>
      </x:c>
      <x:c r="P15" s="22" t="str">
        <x:v>P0</x:v>
      </x:c>
      <x:c r="Q15" s="34" t="str"/>
    </x:row>
    <x:row r="16">
      <x:c r="A16" s="33" t="str">
        <x:v>Competition</x:v>
      </x:c>
      <x:c r="B16" s="22" t="str">
        <x:v>leagues/ratings/payouts</x:v>
      </x:c>
      <x:c r="C16" s="22" t="str">
        <x:v>Performance/player</x:v>
      </x:c>
      <x:c r="D16" s="22" t="str">
        <x:v>league/settlement tables</x:v>
      </x:c>
      <x:c r="E16" s="22" t="str">
        <x:v>claim payout</x:v>
      </x:c>
      <x:c r="F16" s="22" t="str">
        <x:v>settlement.*</x:v>
      </x:c>
      <x:c r="G16" s="22" t="str">
        <x:v>Weekly settlement</x:v>
      </x:c>
      <x:c r="H16" s="22" t="str">
        <x:v>Yes</x:v>
      </x:c>
      <x:c r="I16" s="22" t="str">
        <x:v>Yes</x:v>
      </x:c>
      <x:c r="J16" s="22" t="str">
        <x:v>Yes $PLOT claim</x:v>
      </x:c>
      <x:c r="K16" s="22" t="str">
        <x:v>No</x:v>
      </x:c>
      <x:c r="L16" s="22" t="str">
        <x:v>Direct</x:v>
      </x:c>
      <x:c r="M16" s="22" t="str">
        <x:v>Critical</x:v>
      </x:c>
      <x:c r="N16" s="22" t="str">
        <x:v>High</x:v>
      </x:c>
      <x:c r="O16" s="22" t="str">
        <x:v>P0/P1</x:v>
      </x:c>
      <x:c r="P16" s="22" t="str">
        <x:v>P0.5</x:v>
      </x:c>
      <x:c r="Q16" s="34" t="str"/>
    </x:row>
    <x:row r="17">
      <x:c r="A17" s="33" t="str">
        <x:v>Retention</x:v>
      </x:c>
      <x:c r="B17" s="22" t="str">
        <x:v>daily briefing/objectives/prompt state</x:v>
      </x:c>
      <x:c r="C17" s="22" t="str">
        <x:v>many read models</x:v>
      </x:c>
      <x:c r="D17" s="22" t="str">
        <x:v>daily/objective state</x:v>
      </x:c>
      <x:c r="E17" s="22" t="str">
        <x:v>objective claim/settings</x:v>
      </x:c>
      <x:c r="F17" s="22" t="str">
        <x:v>retention.*</x:v>
      </x:c>
      <x:c r="G17" s="22" t="str">
        <x:v>Daily reset</x:v>
      </x:c>
      <x:c r="H17" s="22" t="str">
        <x:v>Yes</x:v>
      </x:c>
      <x:c r="I17" s="22" t="str">
        <x:v>Yes</x:v>
      </x:c>
      <x:c r="J17" s="22" t="str">
        <x:v>No</x:v>
      </x:c>
      <x:c r="K17" s="22" t="str">
        <x:v>No</x:v>
      </x:c>
      <x:c r="L17" s="22" t="str">
        <x:v>No direct</x:v>
      </x:c>
      <x:c r="M17" s="22" t="str">
        <x:v>Medium</x:v>
      </x:c>
      <x:c r="N17" s="22" t="str">
        <x:v>Low</x:v>
      </x:c>
      <x:c r="O17" s="22" t="str">
        <x:v>Yes</x:v>
      </x:c>
      <x:c r="P17" s="22" t="str">
        <x:v>P1</x:v>
      </x:c>
      <x:c r="Q17" s="34" t="str"/>
    </x:row>
    <x:row r="18">
      <x:c r="A18" s="33" t="str">
        <x:v>Notifications</x:v>
      </x:c>
      <x:c r="B18" s="22" t="str">
        <x:v>outbox/preferences</x:v>
      </x:c>
      <x:c r="C18" s="22" t="str">
        <x:v>domain events</x:v>
      </x:c>
      <x:c r="D18" s="22" t="str">
        <x:v>outbox/status</x:v>
      </x:c>
      <x:c r="E18" s="22" t="str">
        <x:v>preferences</x:v>
      </x:c>
      <x:c r="F18" s="22" t="str">
        <x:v>notification.*</x:v>
      </x:c>
      <x:c r="G18" s="22" t="str">
        <x:v>Delivery worker</x:v>
      </x:c>
      <x:c r="H18" s="22" t="str">
        <x:v>Yes</x:v>
      </x:c>
      <x:c r="I18" s="22" t="str">
        <x:v>Yes</x:v>
      </x:c>
      <x:c r="J18" s="22" t="str">
        <x:v>No</x:v>
      </x:c>
      <x:c r="K18" s="22" t="str">
        <x:v>No</x:v>
      </x:c>
      <x:c r="L18" s="22" t="str">
        <x:v>No</x:v>
      </x:c>
      <x:c r="M18" s="22" t="str">
        <x:v>Medium</x:v>
      </x:c>
      <x:c r="N18" s="22" t="str">
        <x:v>Medium</x:v>
      </x:c>
      <x:c r="O18" s="22" t="str">
        <x:v>Later</x:v>
      </x:c>
      <x:c r="P18" s="22" t="str">
        <x:v>P1</x:v>
      </x:c>
      <x:c r="Q18" s="34" t="str"/>
    </x:row>
    <x:row r="19">
      <x:c r="A19" s="35" t="str">
        <x:v>Integrity</x:v>
      </x:c>
      <x:c r="B19" s="36" t="str">
        <x:v>cases/anomaly refs</x:v>
      </x:c>
      <x:c r="C19" s="36" t="str">
        <x:v>all ledgers</x:v>
      </x:c>
      <x:c r="D19" s="36" t="str">
        <x:v>case/hold state</x:v>
      </x:c>
      <x:c r="E19" s="36" t="str">
        <x:v>hold/release</x:v>
      </x:c>
      <x:c r="F19" s="36" t="str">
        <x:v>integrity.*</x:v>
      </x:c>
      <x:c r="G19" s="36" t="str">
        <x:v>Scans/reconcile</x:v>
      </x:c>
      <x:c r="H19" s="36" t="str">
        <x:v>Yes</x:v>
      </x:c>
      <x:c r="I19" s="36" t="str">
        <x:v>Yes</x:v>
      </x:c>
      <x:c r="J19" s="36" t="str">
        <x:v>Maybe</x:v>
      </x:c>
      <x:c r="K19" s="36" t="str">
        <x:v>Provider refs</x:v>
      </x:c>
      <x:c r="L19" s="36" t="str">
        <x:v>Can hold</x:v>
      </x:c>
      <x:c r="M19" s="36" t="str">
        <x:v>Critical</x:v>
      </x:c>
      <x:c r="N19" s="36" t="str">
        <x:v>Potential later split</x:v>
      </x:c>
      <x:c r="O19" s="36" t="str">
        <x:v>P1</x:v>
      </x:c>
      <x:c r="P19" s="36" t="str">
        <x:v>P0/P1</x:v>
      </x:c>
      <x:c r="Q19" s="37" t="str"/>
    </x:row>
  </x:sheetData>
  <x:mergeCells>
    <x:mergeCell ref="A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Server Simulation Runtime — Cadence &amp; Calculation Order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3">
      <x:c r="A3" s="14" t="str">
        <x:v>Stage</x:v>
      </x:c>
      <x:c r="B3" s="14" t="str">
        <x:v>Cadence</x:v>
      </x:c>
      <x:c r="C3" s="14" t="str">
        <x:v>Owner</x:v>
      </x:c>
      <x:c r="D3" s="14" t="str">
        <x:v>Inputs</x:v>
      </x:c>
      <x:c r="E3" s="14" t="str">
        <x:v>Processing</x:v>
      </x:c>
      <x:c r="F3" s="14" t="str">
        <x:v>Outputs</x:v>
      </x:c>
      <x:c r="G3" s="14" t="str">
        <x:v>Ledger / Snapshot</x:v>
      </x:c>
      <x:c r="H3" s="14" t="str">
        <x:v>Module Layer?</x:v>
      </x:c>
      <x:c r="I3" s="14" t="str">
        <x:v>Event Layer?</x:v>
      </x:c>
      <x:c r="J3" s="14" t="str">
        <x:v>Risk Layer?</x:v>
      </x:c>
      <x:c r="K3" s="14" t="str">
        <x:v>Offline Rule</x:v>
      </x:c>
      <x:c r="L3" s="14" t="str">
        <x:v>Idempotency</x:v>
      </x:c>
      <x:c r="M3" s="14" t="str">
        <x:v>Replayable?</x:v>
      </x:c>
      <x:c r="N3" s="14" t="str">
        <x:v>Cache</x:v>
      </x:c>
      <x:c r="O3" s="14" t="str">
        <x:v>Latency Sensitivity</x:v>
      </x:c>
      <x:c r="P3" s="14" t="str">
        <x:v>MVP</x:v>
      </x:c>
      <x:c r="Q3" s="14" t="str">
        <x:v>Notes</x:v>
      </x:c>
    </x:row>
    <x:row r="4">
      <x:c r="A4" s="30" t="str">
        <x:v>Economy Tick</x:v>
      </x:c>
      <x:c r="B4" s="31" t="str">
        <x:v>5 min</x:v>
      </x:c>
      <x:c r="C4" s="31" t="str">
        <x:v>Economy</x:v>
      </x:c>
      <x:c r="D4" s="31" t="str">
        <x:v>buildings,customers,modules,events,risk</x:v>
      </x:c>
      <x:c r="E4" s="31" t="str">
        <x:v>signed net Cash + activity calculation</x:v>
      </x:c>
      <x:c r="F4" s="31" t="str">
        <x:v>cash/activity deltas</x:v>
      </x:c>
      <x:c r="G4" s="31" t="str">
        <x:v>cash_ledger/activity_ledger</x:v>
      </x:c>
      <x:c r="H4" s="31" t="str">
        <x:v>Yes</x:v>
      </x:c>
      <x:c r="I4" s="31" t="str">
        <x:v>Yes</x:v>
      </x:c>
      <x:c r="J4" s="31" t="str">
        <x:v>Yes</x:v>
      </x:c>
      <x:c r="K4" s="31" t="str">
        <x:v>Presence bands apply</x:v>
      </x:c>
      <x:c r="L4" s="31" t="str">
        <x:v>bucket id</x:v>
      </x:c>
      <x:c r="M4" s="31" t="str">
        <x:v>Yes</x:v>
      </x:c>
      <x:c r="N4" s="31" t="str">
        <x:v>Read caches only</x:v>
      </x:c>
      <x:c r="O4" s="31" t="str">
        <x:v>Medium</x:v>
      </x:c>
      <x:c r="P4" s="31" t="str">
        <x:v>Yes</x:v>
      </x:c>
      <x:c r="Q4" s="32" t="str"/>
    </x:row>
    <x:row r="5">
      <x:c r="A5" s="33" t="str">
        <x:v>Customer Refresh</x:v>
      </x:c>
      <x:c r="B5" s="22" t="str">
        <x:v>15 min</x:v>
      </x:c>
      <x:c r="C5" s="22" t="str">
        <x:v>Customers</x:v>
      </x:c>
      <x:c r="D5" s="22" t="str">
        <x:v>demand,buildings,capacity,service,risk,modules,events</x:v>
      </x:c>
      <x:c r="E5" s="22" t="str">
        <x:v>acquisition/churn/flow/utilization</x:v>
      </x:c>
      <x:c r="F5" s="22" t="str">
        <x:v>segment/customer snapshots</x:v>
      </x:c>
      <x:c r="G5" s="22" t="str">
        <x:v>customer_delta/snapshot</x:v>
      </x:c>
      <x:c r="H5" s="22" t="str">
        <x:v>Yes</x:v>
      </x:c>
      <x:c r="I5" s="22" t="str">
        <x:v>Yes</x:v>
      </x:c>
      <x:c r="J5" s="22" t="str">
        <x:v>Yes</x:v>
      </x:c>
      <x:c r="K5" s="22" t="str">
        <x:v>Presence intensity applies</x:v>
      </x:c>
      <x:c r="L5" s="22" t="str">
        <x:v>bucket id</x:v>
      </x:c>
      <x:c r="M5" s="22" t="str">
        <x:v>Yes</x:v>
      </x:c>
      <x:c r="N5" s="22" t="str">
        <x:v>Yes</x:v>
      </x:c>
      <x:c r="O5" s="22" t="str">
        <x:v>Medium</x:v>
      </x:c>
      <x:c r="P5" s="22" t="str">
        <x:v>Yes</x:v>
      </x:c>
      <x:c r="Q5" s="34" t="str"/>
    </x:row>
    <x:row r="6">
      <x:c r="A6" s="33" t="str">
        <x:v>Risk Evaluation</x:v>
      </x:c>
      <x:c r="B6" s="22" t="str">
        <x:v>15-60 min + incidents</x:v>
      </x:c>
      <x:c r="C6" s="22" t="str">
        <x:v>Risk</x:v>
      </x:c>
      <x:c r="D6" s="22" t="str">
        <x:v>exposure,utilization,reserves,events,modules</x:v>
      </x:c>
      <x:c r="E6" s="22" t="str">
        <x:v>category/composite risk,incidents</x:v>
      </x:c>
      <x:c r="F6" s="22" t="str">
        <x:v>risk state</x:v>
      </x:c>
      <x:c r="G6" s="22" t="str">
        <x:v>risk snapshot/incident ledger</x:v>
      </x:c>
      <x:c r="H6" s="22" t="str">
        <x:v>Yes</x:v>
      </x:c>
      <x:c r="I6" s="22" t="str">
        <x:v>Yes</x:v>
      </x:c>
      <x:c r="J6" s="22" t="str">
        <x:v>Core</x:v>
      </x:c>
      <x:c r="K6" s="22" t="str">
        <x:v>Min 50% offline eval</x:v>
      </x:c>
      <x:c r="L6" s="22" t="str">
        <x:v>bucket/event id</x:v>
      </x:c>
      <x:c r="M6" s="22" t="str">
        <x:v>Yes</x:v>
      </x:c>
      <x:c r="N6" s="22" t="str">
        <x:v>Yes</x:v>
      </x:c>
      <x:c r="O6" s="22" t="str">
        <x:v>Medium</x:v>
      </x:c>
      <x:c r="P6" s="22" t="str">
        <x:v>Yes</x:v>
      </x:c>
      <x:c r="Q6" s="34" t="str"/>
    </x:row>
    <x:row r="7">
      <x:c r="A7" s="33" t="str">
        <x:v>Event Refresh</x:v>
      </x:c>
      <x:c r="B7" s="22" t="str">
        <x:v>60 min / exact timers</x:v>
      </x:c>
      <x:c r="C7" s="22" t="str">
        <x:v>Events</x:v>
      </x:c>
      <x:c r="D7" s="22" t="str">
        <x:v>market state/config/player state</x:v>
      </x:c>
      <x:c r="E7" s="22" t="str">
        <x:v>spawn/start/end/choice windows</x:v>
      </x:c>
      <x:c r="F7" s="22" t="str">
        <x:v>event state</x:v>
      </x:c>
      <x:c r="G7" s="22" t="str">
        <x:v>event log</x:v>
      </x:c>
      <x:c r="H7" s="22" t="str">
        <x:v>Module resilience consumed</x:v>
      </x:c>
      <x:c r="I7" s="22" t="str">
        <x:v>Core</x:v>
      </x:c>
      <x:c r="J7" s="22" t="str">
        <x:v>Feeds risk/customer</x:v>
      </x:c>
      <x:c r="K7" s="22" t="str">
        <x:v>Global continues offline; personal queues</x:v>
      </x:c>
      <x:c r="L7" s="22" t="str">
        <x:v>event id</x:v>
      </x:c>
      <x:c r="M7" s="22" t="str">
        <x:v>Yes</x:v>
      </x:c>
      <x:c r="N7" s="22" t="str">
        <x:v>Yes</x:v>
      </x:c>
      <x:c r="O7" s="22" t="str">
        <x:v>Low</x:v>
      </x:c>
      <x:c r="P7" s="22" t="str">
        <x:v>Yes</x:v>
      </x:c>
      <x:c r="Q7" s="34" t="str"/>
    </x:row>
    <x:row r="8">
      <x:c r="A8" s="33" t="str">
        <x:v>Hunt Progress</x:v>
      </x:c>
      <x:c r="B8" s="22" t="str">
        <x:v>Event-driven</x:v>
      </x:c>
      <x:c r="C8" s="22" t="str">
        <x:v>Hunts</x:v>
      </x:c>
      <x:c r="D8" s="22" t="str">
        <x:v>validated activity/actions</x:v>
      </x:c>
      <x:c r="E8" s="22" t="str">
        <x:v>objective progress</x:v>
      </x:c>
      <x:c r="F8" s="22" t="str">
        <x:v>hunt progress/complete</x:v>
      </x:c>
      <x:c r="G8" s="22" t="str">
        <x:v>hunt ledger</x:v>
      </x:c>
      <x:c r="H8" s="22" t="str">
        <x:v>No Hunt boost from Modules</x:v>
      </x:c>
      <x:c r="I8" s="22" t="str">
        <x:v>Event conditions may matter</x:v>
      </x:c>
      <x:c r="J8" s="22" t="str">
        <x:v>No direct</x:v>
      </x:c>
      <x:c r="K8" s="22" t="str">
        <x:v>No offline/AFK progress</x:v>
      </x:c>
      <x:c r="L8" s="22" t="str">
        <x:v>source evidence id</x:v>
      </x:c>
      <x:c r="M8" s="22" t="str">
        <x:v>Yes</x:v>
      </x:c>
      <x:c r="N8" s="22" t="str">
        <x:v>Yes</x:v>
      </x:c>
      <x:c r="O8" s="22" t="str">
        <x:v>Low</x:v>
      </x:c>
      <x:c r="P8" s="22" t="str">
        <x:v>Yes</x:v>
      </x:c>
      <x:c r="Q8" s="34" t="str"/>
    </x:row>
    <x:row r="9">
      <x:c r="A9" s="33" t="str">
        <x:v>Module Effects</x:v>
      </x:c>
      <x:c r="B9" s="22" t="str">
        <x:v>On relevant tick/context/loadout change</x:v>
      </x:c>
      <x:c r="C9" s="22" t="str">
        <x:v>Modules</x:v>
      </x:c>
      <x:c r="D9" s="22" t="str">
        <x:v>building/loadout/config/context</x:v>
      </x:c>
      <x:c r="E9" s="22" t="str">
        <x:v>conditions, stacking, caps</x:v>
      </x:c>
      <x:c r="F9" s="22" t="str">
        <x:v>modifier vector</x:v>
      </x:c>
      <x:c r="G9" s="22" t="str">
        <x:v>lineage/optional trace</x:v>
      </x:c>
      <x:c r="H9" s="22" t="str">
        <x:v>Core</x:v>
      </x:c>
      <x:c r="I9" s="22" t="str">
        <x:v>Before Events</x:v>
      </x:c>
      <x:c r="J9" s="22" t="str">
        <x:v>Before downstream risk quality</x:v>
      </x:c>
      <x:c r="K9" s="22" t="str">
        <x:v>Underlying offline sim only</x:v>
      </x:c>
      <x:c r="L9" s="22" t="str">
        <x:v>loadout+config+context</x:v>
      </x:c>
      <x:c r="M9" s="22" t="str">
        <x:v>Yes</x:v>
      </x:c>
      <x:c r="N9" s="22" t="str">
        <x:v>Compiled plan</x:v>
      </x:c>
      <x:c r="O9" s="22" t="str">
        <x:v>High</x:v>
      </x:c>
      <x:c r="P9" s="22" t="str">
        <x:v>Yes</x:v>
      </x:c>
      <x:c r="Q9" s="34" t="str"/>
    </x:row>
    <x:row r="10">
      <x:c r="A10" s="33" t="str">
        <x:v>Performance Update</x:v>
      </x:c>
      <x:c r="B10" s="22" t="str">
        <x:v>Streaming + weekly</x:v>
      </x:c>
      <x:c r="C10" s="22" t="str">
        <x:v>Performance</x:v>
      </x:c>
      <x:c r="D10" s="22" t="str">
        <x:v>validated ledgers/snapshots</x:v>
      </x:c>
      <x:c r="E10" s="22" t="str">
        <x:v>component curves/caps</x:v>
      </x:c>
      <x:c r="F10" s="22" t="str">
        <x:v>provisional/final score</x:v>
      </x:c>
      <x:c r="G10" s="22" t="str">
        <x:v>performance aggregate/manifest</x:v>
      </x:c>
      <x:c r="H10" s="22" t="str">
        <x:v>No direct module field</x:v>
      </x:c>
      <x:c r="I10" s="22" t="str">
        <x:v>Indirect only</x:v>
      </x:c>
      <x:c r="J10" s="22" t="str">
        <x:v>Risk component</x:v>
      </x:c>
      <x:c r="K10" s="22" t="str">
        <x:v>Offline filters already in inputs</x:v>
      </x:c>
      <x:c r="L10" s="22" t="str">
        <x:v>source cursor</x:v>
      </x:c>
      <x:c r="M10" s="22" t="str">
        <x:v>Yes</x:v>
      </x:c>
      <x:c r="N10" s="22" t="str">
        <x:v>Yes</x:v>
      </x:c>
      <x:c r="O10" s="22" t="str">
        <x:v>Medium</x:v>
      </x:c>
      <x:c r="P10" s="22" t="str">
        <x:v>Yes</x:v>
      </x:c>
      <x:c r="Q10" s="34" t="str"/>
    </x:row>
    <x:row r="11">
      <x:c r="A11" s="35" t="str">
        <x:v>Weekly Settlement</x:v>
      </x:c>
      <x:c r="B11" s="36" t="str">
        <x:v>Weekly</x:v>
      </x:c>
      <x:c r="C11" s="36" t="str">
        <x:v>Competition</x:v>
      </x:c>
      <x:c r="D11" s="36" t="str">
        <x:v>final performance,eligibility,league pool</x:v>
      </x:c>
      <x:c r="E11" s="36" t="str">
        <x:v>snapshot,reconcile,integrity,finalize</x:v>
      </x:c>
      <x:c r="F11" s="36" t="str">
        <x:v>payout allocation</x:v>
      </x:c>
      <x:c r="G11" s="36" t="str">
        <x:v>settlement manifest/ledger</x:v>
      </x:c>
      <x:c r="H11" s="36" t="str">
        <x:v>No direct</x:v>
      </x:c>
      <x:c r="I11" s="36" t="str">
        <x:v>N/A</x:v>
      </x:c>
      <x:c r="J11" s="36" t="str">
        <x:v>N/A</x:v>
      </x:c>
      <x:c r="K11" s="36" t="str">
        <x:v>N/A</x:v>
      </x:c>
      <x:c r="L11" s="36" t="str">
        <x:v>epoch</x:v>
      </x:c>
      <x:c r="M11" s="36" t="str">
        <x:v>Yes</x:v>
      </x:c>
      <x:c r="N11" s="36" t="str">
        <x:v>No hot cache authority</x:v>
      </x:c>
      <x:c r="O11" s="36" t="str">
        <x:v>High</x:v>
      </x:c>
      <x:c r="P11" s="36" t="str">
        <x:v>P0.5</x:v>
      </x:c>
      <x:c r="Q11" s="37" t="str"/>
    </x:row>
    <x:row r="13" ht="22" customHeight="1">
      <x:c r="A13" s="11" t="str">
        <x:v>Canonical Calculation Order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</x:row>
    <x:row r="14">
      <x:c r="A14" s="14" t="str">
        <x:v>Order</x:v>
      </x:c>
      <x:c r="B14" s="14" t="str">
        <x:v>Layer</x:v>
      </x:c>
    </x:row>
    <x:row r="15">
      <x:c r="A15" s="30" t="n">
        <x:v>1</x:v>
      </x:c>
      <x:c r="B15" s="32" t="str">
        <x:v>Base Building + Upgrade</x:v>
      </x:c>
    </x:row>
    <x:row r="16">
      <x:c r="A16" s="33" t="n">
        <x:v>2</x:v>
      </x:c>
      <x:c r="B16" s="34" t="str">
        <x:v>Placement / Tile / Synergy / Congestion</x:v>
      </x:c>
    </x:row>
    <x:row r="17">
      <x:c r="A17" s="33" t="n">
        <x:v>3</x:v>
      </x:c>
      <x:c r="B17" s="34" t="str">
        <x:v>Modules</x:v>
      </x:c>
    </x:row>
    <x:row r="18">
      <x:c r="A18" s="33" t="n">
        <x:v>4</x:v>
      </x:c>
      <x:c r="B18" s="34" t="str">
        <x:v>Events</x:v>
      </x:c>
    </x:row>
    <x:row r="19">
      <x:c r="A19" s="33" t="n">
        <x:v>5</x:v>
      </x:c>
      <x:c r="B19" s="34" t="str">
        <x:v>Risk / Reputation / Customer Quality</x:v>
      </x:c>
    </x:row>
    <x:row r="20">
      <x:c r="A20" s="33" t="n">
        <x:v>6</x:v>
      </x:c>
      <x:c r="B20" s="34" t="str">
        <x:v>Final caps / rounding</x:v>
      </x:c>
    </x:row>
    <x:row r="21">
      <x:c r="A21" s="33" t="n">
        <x:v>7</x:v>
      </x:c>
      <x:c r="B21" s="34" t="str">
        <x:v>Authoritative customer/economy/risk writes</x:v>
      </x:c>
    </x:row>
    <x:row r="22">
      <x:c r="A22" s="35" t="n">
        <x:v>8</x:v>
      </x:c>
      <x:c r="B22" s="37" t="str">
        <x:v>Performance consumes validated outputs; it never consumes client-calculated modifiers</x:v>
      </x:c>
    </x:row>
  </x:sheetData>
  <x:mergeCells>
    <x:mergeCell ref="A1:Q1"/>
    <x:mergeCell ref="A13:Q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PostgreSQL — Canonical Data Model Strategy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Data Group</x:v>
      </x:c>
      <x:c r="B3" s="14" t="str">
        <x:v>Example Tables</x:v>
      </x:c>
      <x:c r="C3" s="14" t="str">
        <x:v>Write Pattern</x:v>
      </x:c>
      <x:c r="D3" s="14" t="str">
        <x:v>Read Pattern</x:v>
      </x:c>
      <x:c r="E3" s="14" t="str">
        <x:v>Ledger?</x:v>
      </x:c>
      <x:c r="F3" s="14" t="str">
        <x:v>Transaction Need</x:v>
      </x:c>
      <x:c r="G3" s="14" t="str">
        <x:v>Partition Candidate</x:v>
      </x:c>
      <x:c r="H3" s="14" t="str">
        <x:v>Retention</x:v>
      </x:c>
      <x:c r="I3" s="14" t="str">
        <x:v>Index Strategy</x:v>
      </x:c>
      <x:c r="J3" s="14" t="str">
        <x:v>JSONB?</x:v>
      </x:c>
      <x:c r="K3" s="14" t="str">
        <x:v>Versioning</x:v>
      </x:c>
      <x:c r="L3" s="14" t="str">
        <x:v>Backup Criticality</x:v>
      </x:c>
      <x:c r="M3" s="14" t="str">
        <x:v>Warehouse Export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Player</x:v>
      </x:c>
      <x:c r="B4" s="31" t="str">
        <x:v>players,player_progress,active_day</x:v>
      </x:c>
      <x:c r="C4" s="31" t="str">
        <x:v>Low</x:v>
      </x:c>
      <x:c r="D4" s="31" t="str">
        <x:v>High</x:v>
      </x:c>
      <x:c r="E4" s="31" t="str">
        <x:v>No/partial</x:v>
      </x:c>
      <x:c r="F4" s="31" t="str">
        <x:v>Medium</x:v>
      </x:c>
      <x:c r="G4" s="31" t="str">
        <x:v>No</x:v>
      </x:c>
      <x:c r="H4" s="31" t="str">
        <x:v>Permanent</x:v>
      </x:c>
      <x:c r="I4" s="31" t="str">
        <x:v>player_id</x:v>
      </x:c>
      <x:c r="J4" s="31" t="str">
        <x:v>Limited</x:v>
      </x:c>
      <x:c r="K4" s="31" t="str">
        <x:v>row_version</x:v>
      </x:c>
      <x:c r="L4" s="31" t="str">
        <x:v>Critical</x:v>
      </x:c>
      <x:c r="M4" s="31" t="str">
        <x:v>Yes</x:v>
      </x:c>
      <x:c r="N4" s="31" t="str">
        <x:v>Yes</x:v>
      </x:c>
      <x:c r="O4" s="31" t="str">
        <x:v>P0</x:v>
      </x:c>
      <x:c r="P4" s="32" t="str"/>
    </x:row>
    <x:row r="5">
      <x:c r="A5" s="33" t="str">
        <x:v>Plots/Layout</x:v>
      </x:c>
      <x:c r="B5" s="22" t="str">
        <x:v>plots,building_instances,placements,merges</x:v>
      </x:c>
      <x:c r="C5" s="22" t="str">
        <x:v>Medium</x:v>
      </x:c>
      <x:c r="D5" s="22" t="str">
        <x:v>High</x:v>
      </x:c>
      <x:c r="E5" s="22" t="str">
        <x:v>Audit yes</x:v>
      </x:c>
      <x:c r="F5" s="22" t="str">
        <x:v>High</x:v>
      </x:c>
      <x:c r="G5" s="22" t="str">
        <x:v>Maybe by player</x:v>
      </x:c>
      <x:c r="H5" s="22" t="str">
        <x:v>Permanent</x:v>
      </x:c>
      <x:c r="I5" s="22" t="str">
        <x:v>player/plot/status</x:v>
      </x:c>
      <x:c r="J5" s="22" t="str">
        <x:v>Avoid for core coords</x:v>
      </x:c>
      <x:c r="K5" s="22" t="str">
        <x:v>layout_version</x:v>
      </x:c>
      <x:c r="L5" s="22" t="str">
        <x:v>Critical</x:v>
      </x:c>
      <x:c r="M5" s="22" t="str">
        <x:v>Yes</x:v>
      </x:c>
      <x:c r="N5" s="22" t="str">
        <x:v>Yes</x:v>
      </x:c>
      <x:c r="O5" s="22" t="str">
        <x:v>P0</x:v>
      </x:c>
      <x:c r="P5" s="34" t="str"/>
    </x:row>
    <x:row r="6">
      <x:c r="A6" s="33" t="str">
        <x:v>Cash/Activity</x:v>
      </x:c>
      <x:c r="B6" s="22" t="str">
        <x:v>cash_ledger,activity_ledger</x:v>
      </x:c>
      <x:c r="C6" s="22" t="str">
        <x:v>High append</x:v>
      </x:c>
      <x:c r="D6" s="22" t="str">
        <x:v>Medium/high</x:v>
      </x:c>
      <x:c r="E6" s="22" t="str">
        <x:v>Yes</x:v>
      </x:c>
      <x:c r="F6" s="22" t="str">
        <x:v>Critical</x:v>
      </x:c>
      <x:c r="G6" s="22" t="str">
        <x:v>Time partition later</x:v>
      </x:c>
      <x:c r="H6" s="22" t="str">
        <x:v>730d+ / archive</x:v>
      </x:c>
      <x:c r="I6" s="22" t="str">
        <x:v>player,time,source</x:v>
      </x:c>
      <x:c r="J6" s="22" t="str">
        <x:v>Metadata only</x:v>
      </x:c>
      <x:c r="K6" s="22" t="str">
        <x:v>config lineage</x:v>
      </x:c>
      <x:c r="L6" s="22" t="str">
        <x:v>Critical</x:v>
      </x:c>
      <x:c r="M6" s="22" t="str">
        <x:v>Yes</x:v>
      </x:c>
      <x:c r="N6" s="22" t="str">
        <x:v>Yes</x:v>
      </x:c>
      <x:c r="O6" s="22" t="str">
        <x:v>P0</x:v>
      </x:c>
      <x:c r="P6" s="34" t="str"/>
    </x:row>
    <x:row r="7">
      <x:c r="A7" s="33" t="str">
        <x:v>Customers</x:v>
      </x:c>
      <x:c r="B7" s="22" t="str">
        <x:v>customer_snapshot,customer_delta,segment_state</x:v>
      </x:c>
      <x:c r="C7" s="22" t="str">
        <x:v>High periodic</x:v>
      </x:c>
      <x:c r="D7" s="22" t="str">
        <x:v>High</x:v>
      </x:c>
      <x:c r="E7" s="22" t="str">
        <x:v>Delta yes</x:v>
      </x:c>
      <x:c r="F7" s="22" t="str">
        <x:v>High</x:v>
      </x:c>
      <x:c r="G7" s="22" t="str">
        <x:v>Time/player later</x:v>
      </x:c>
      <x:c r="H7" s="22" t="str">
        <x:v>180-730d depending table</x:v>
      </x:c>
      <x:c r="I7" s="22" t="str">
        <x:v>player/building/time</x:v>
      </x:c>
      <x:c r="J7" s="22" t="str">
        <x:v>Some segment maps acceptable</x:v>
      </x:c>
      <x:c r="K7" s="22" t="str">
        <x:v>bucket/config</x:v>
      </x:c>
      <x:c r="L7" s="22" t="str">
        <x:v>Critical</x:v>
      </x:c>
      <x:c r="M7" s="22" t="str">
        <x:v>Yes</x:v>
      </x:c>
      <x:c r="N7" s="22" t="str">
        <x:v>Yes</x:v>
      </x:c>
      <x:c r="O7" s="22" t="str">
        <x:v>P0</x:v>
      </x:c>
      <x:c r="P7" s="34" t="str"/>
    </x:row>
    <x:row r="8">
      <x:c r="A8" s="33" t="str">
        <x:v>Modules</x:v>
      </x:c>
      <x:c r="B8" s="22" t="str">
        <x:v>module_config,inventory,loadout,mastery,parts,crafts</x:v>
      </x:c>
      <x:c r="C8" s="22" t="str">
        <x:v>Medium</x:v>
      </x:c>
      <x:c r="D8" s="22" t="str">
        <x:v>High</x:v>
      </x:c>
      <x:c r="E8" s="22" t="str">
        <x:v>Rewards/parts/loadout audit</x:v>
      </x:c>
      <x:c r="F8" s="22" t="str">
        <x:v>Critical</x:v>
      </x:c>
      <x:c r="G8" s="22" t="str">
        <x:v>Player partitions not initially</x:v>
      </x:c>
      <x:c r="H8" s="22" t="str">
        <x:v>Permanent/audit 730d+</x:v>
      </x:c>
      <x:c r="I8" s="22" t="str">
        <x:v>player,module,building</x:v>
      </x:c>
      <x:c r="J8" s="22" t="str">
        <x:v>Config effects may use JSONB with schema validation</x:v>
      </x:c>
      <x:c r="K8" s="22" t="str">
        <x:v>config/loadout versions</x:v>
      </x:c>
      <x:c r="L8" s="22" t="str">
        <x:v>Critical</x:v>
      </x:c>
      <x:c r="M8" s="22" t="str">
        <x:v>Yes</x:v>
      </x:c>
      <x:c r="N8" s="22" t="str">
        <x:v>Yes</x:v>
      </x:c>
      <x:c r="O8" s="22" t="str">
        <x:v>P0/P1</x:v>
      </x:c>
      <x:c r="P8" s="34" t="str"/>
    </x:row>
    <x:row r="9">
      <x:c r="A9" s="33" t="str">
        <x:v>Hunts/Events</x:v>
      </x:c>
      <x:c r="B9" s="22" t="str">
        <x:v>hunt_state,hunt_ledger,event_state,event_log</x:v>
      </x:c>
      <x:c r="C9" s="22" t="str">
        <x:v>Medium</x:v>
      </x:c>
      <x:c r="D9" s="22" t="str">
        <x:v>High</x:v>
      </x:c>
      <x:c r="E9" s="22" t="str">
        <x:v>Yes</x:v>
      </x:c>
      <x:c r="F9" s="22" t="str">
        <x:v>High</x:v>
      </x:c>
      <x:c r="G9" s="22" t="str">
        <x:v>Time partition later</x:v>
      </x:c>
      <x:c r="H9" s="22" t="str">
        <x:v>365-730d</x:v>
      </x:c>
      <x:c r="I9" s="22" t="str">
        <x:v>player,status,expires</x:v>
      </x:c>
      <x:c r="J9" s="22" t="str">
        <x:v>Config payload refs only</x:v>
      </x:c>
      <x:c r="K9" s="22" t="str">
        <x:v>config versions</x:v>
      </x:c>
      <x:c r="L9" s="22" t="str">
        <x:v>High</x:v>
      </x:c>
      <x:c r="M9" s="22" t="str">
        <x:v>Yes</x:v>
      </x:c>
      <x:c r="N9" s="22" t="str">
        <x:v>Yes</x:v>
      </x:c>
      <x:c r="O9" s="22" t="str">
        <x:v>P0</x:v>
      </x:c>
      <x:c r="P9" s="34" t="str"/>
    </x:row>
    <x:row r="10">
      <x:c r="A10" s="33" t="str">
        <x:v>Performance</x:v>
      </x:c>
      <x:c r="B10" s="22" t="str">
        <x:v>performance_source_cursor,weekly_score,manifest</x:v>
      </x:c>
      <x:c r="C10" s="22" t="str">
        <x:v>Medium/weekly burst</x:v>
      </x:c>
      <x:c r="D10" s="22" t="str">
        <x:v>High</x:v>
      </x:c>
      <x:c r="E10" s="22" t="str">
        <x:v>Manifest yes</x:v>
      </x:c>
      <x:c r="F10" s="22" t="str">
        <x:v>Critical</x:v>
      </x:c>
      <x:c r="G10" s="22" t="str">
        <x:v>Epoch partition</x:v>
      </x:c>
      <x:c r="H10" s="22" t="str">
        <x:v>Permanent finals</x:v>
      </x:c>
      <x:c r="I10" s="22" t="str">
        <x:v>player,epoch,league</x:v>
      </x:c>
      <x:c r="J10" s="22" t="str">
        <x:v>No core score JSON if relational queries needed</x:v>
      </x:c>
      <x:c r="K10" s="22" t="str">
        <x:v>epoch/config</x:v>
      </x:c>
      <x:c r="L10" s="22" t="str">
        <x:v>Critical</x:v>
      </x:c>
      <x:c r="M10" s="22" t="str">
        <x:v>Yes</x:v>
      </x:c>
      <x:c r="N10" s="22" t="str">
        <x:v>Yes</x:v>
      </x:c>
      <x:c r="O10" s="22" t="str">
        <x:v>P0</x:v>
      </x:c>
      <x:c r="P10" s="34" t="str"/>
    </x:row>
    <x:row r="11">
      <x:c r="A11" s="33" t="str">
        <x:v>Settlement</x:v>
      </x:c>
      <x:c r="B11" s="22" t="str">
        <x:v>league_result,payout_ledger,claim_state</x:v>
      </x:c>
      <x:c r="C11" s="22" t="str">
        <x:v>Weekly burst</x:v>
      </x:c>
      <x:c r="D11" s="22" t="str">
        <x:v>High after close</x:v>
      </x:c>
      <x:c r="E11" s="22" t="str">
        <x:v>Yes</x:v>
      </x:c>
      <x:c r="F11" s="22" t="str">
        <x:v>Critical</x:v>
      </x:c>
      <x:c r="G11" s="22" t="str">
        <x:v>Epoch</x:v>
      </x:c>
      <x:c r="H11" s="22" t="str">
        <x:v>Permanent</x:v>
      </x:c>
      <x:c r="I11" s="22" t="str">
        <x:v>epoch,player,status</x:v>
      </x:c>
      <x:c r="J11" s="22" t="str">
        <x:v>Provider/chain metadata only</x:v>
      </x:c>
      <x:c r="K11" s="22" t="str">
        <x:v>settlement version</x:v>
      </x:c>
      <x:c r="L11" s="22" t="str">
        <x:v>Critical</x:v>
      </x:c>
      <x:c r="M11" s="22" t="str">
        <x:v>Yes</x:v>
      </x:c>
      <x:c r="N11" s="22" t="str">
        <x:v>P0.5</x:v>
      </x:c>
      <x:c r="O11" s="22" t="str">
        <x:v>P0.5</x:v>
      </x:c>
      <x:c r="P11" s="34" t="str"/>
    </x:row>
    <x:row r="12">
      <x:c r="A12" s="33" t="str">
        <x:v>Stock Provider</x:v>
      </x:c>
      <x:c r="B12" s="22" t="str">
        <x:v>stock_reward,claim,provider_order,event_log</x:v>
      </x:c>
      <x:c r="C12" s="22" t="str">
        <x:v>Low initially</x:v>
      </x:c>
      <x:c r="D12" s="22" t="str">
        <x:v>Medium</x:v>
      </x:c>
      <x:c r="E12" s="22" t="str">
        <x:v>Yes</x:v>
      </x:c>
      <x:c r="F12" s="22" t="str">
        <x:v>Critical real asset phase</x:v>
      </x:c>
      <x:c r="G12" s="22" t="str">
        <x:v>Provider/date later</x:v>
      </x:c>
      <x:c r="H12" s="22" t="str">
        <x:v>730d+/policy</x:v>
      </x:c>
      <x:c r="I12" s="22" t="str">
        <x:v>player,provider,status</x:v>
      </x:c>
      <x:c r="J12" s="22" t="str">
        <x:v>Raw payload hash/ref only</x:v>
      </x:c>
      <x:c r="K12" s="22" t="str">
        <x:v>adapter/config</x:v>
      </x:c>
      <x:c r="L12" s="22" t="str">
        <x:v>Critical</x:v>
      </x:c>
      <x:c r="M12" s="22" t="str">
        <x:v>Yes</x:v>
      </x:c>
      <x:c r="N12" s="22" t="str">
        <x:v>P1</x:v>
      </x:c>
      <x:c r="O12" s="22" t="str">
        <x:v>P1</x:v>
      </x:c>
      <x:c r="P12" s="34" t="str"/>
    </x:row>
    <x:row r="13">
      <x:c r="A13" s="35" t="str">
        <x:v>Integrity</x:v>
      </x:c>
      <x:c r="B13" s="36" t="str">
        <x:v>case,hold,reconciliation</x:v>
      </x:c>
      <x:c r="C13" s="36" t="str">
        <x:v>Low</x:v>
      </x:c>
      <x:c r="D13" s="36" t="str">
        <x:v>Operational</x:v>
      </x:c>
      <x:c r="E13" s="36" t="str">
        <x:v>Yes</x:v>
      </x:c>
      <x:c r="F13" s="36" t="str">
        <x:v>High</x:v>
      </x:c>
      <x:c r="G13" s="36" t="str">
        <x:v>No</x:v>
      </x:c>
      <x:c r="H13" s="36" t="str">
        <x:v>Permanent/long</x:v>
      </x:c>
      <x:c r="I13" s="36" t="str">
        <x:v>player,status,type</x:v>
      </x:c>
      <x:c r="J13" s="36" t="str">
        <x:v>Evidence refs acceptable</x:v>
      </x:c>
      <x:c r="K13" s="36" t="str">
        <x:v>rule version</x:v>
      </x:c>
      <x:c r="L13" s="36" t="str">
        <x:v>Critical</x:v>
      </x:c>
      <x:c r="M13" s="36" t="str">
        <x:v>Yes</x:v>
      </x:c>
      <x:c r="N13" s="36" t="str">
        <x:v>P1</x:v>
      </x:c>
      <x:c r="O13" s="36" t="str">
        <x:v>P1</x:v>
      </x:c>
      <x:c r="P13" s="37" t="str"/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Redis — Cache, Coordination &amp; Ephemeral State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Use</x:v>
      </x:c>
      <x:c r="B3" s="14" t="str">
        <x:v>Key Pattern</x:v>
      </x:c>
      <x:c r="C3" s="14" t="str">
        <x:v>TTL</x:v>
      </x:c>
      <x:c r="D3" s="14" t="str">
        <x:v>Write Strategy</x:v>
      </x:c>
      <x:c r="E3" s="14" t="str">
        <x:v>Canonical?</x:v>
      </x:c>
      <x:c r="F3" s="14" t="str">
        <x:v>Invalidation</x:v>
      </x:c>
      <x:c r="G3" s="14" t="str">
        <x:v>Consistency</x:v>
      </x:c>
      <x:c r="H3" s="14" t="str">
        <x:v>Fallback</x:v>
      </x:c>
      <x:c r="I3" s="14" t="str">
        <x:v>Lock Needed?</x:v>
      </x:c>
      <x:c r="J3" s="14" t="str">
        <x:v>Scale Risk</x:v>
      </x:c>
      <x:c r="K3" s="14" t="str">
        <x:v>Memory Risk</x:v>
      </x:c>
      <x:c r="L3" s="14" t="str">
        <x:v>Performance Critical?</x:v>
      </x:c>
      <x:c r="M3" s="14" t="str">
        <x:v>MVP</x:v>
      </x:c>
      <x:c r="N3" s="14" t="str">
        <x:v>Priority</x:v>
      </x:c>
      <x:c r="O3" s="14" t="str">
        <x:v>Owner</x:v>
      </x:c>
      <x:c r="P3" s="14" t="str">
        <x:v>Notes</x:v>
      </x:c>
    </x:row>
    <x:row r="4">
      <x:c r="A4" s="30" t="str">
        <x:v>Player read model</x:v>
      </x:c>
      <x:c r="B4" s="31" t="str">
        <x:v>player:{id}:summary</x:v>
      </x:c>
      <x:c r="C4" s="31" t="str">
        <x:v>30-60s</x:v>
      </x:c>
      <x:c r="D4" s="31" t="str">
        <x:v>Write-through/invalidate on mutation</x:v>
      </x:c>
      <x:c r="E4" s="31" t="str">
        <x:v>No</x:v>
      </x:c>
      <x:c r="F4" s="31" t="str">
        <x:v>Domain events</x:v>
      </x:c>
      <x:c r="G4" s="31" t="str">
        <x:v>Eventually current within seconds</x:v>
      </x:c>
      <x:c r="H4" s="31" t="str">
        <x:v>Postgres read</x:v>
      </x:c>
      <x:c r="I4" s="31" t="str">
        <x:v>No</x:v>
      </x:c>
      <x:c r="J4" s="31" t="str">
        <x:v>Medium</x:v>
      </x:c>
      <x:c r="K4" s="31" t="str">
        <x:v>Medium</x:v>
      </x:c>
      <x:c r="L4" s="31" t="str">
        <x:v>High</x:v>
      </x:c>
      <x:c r="M4" s="31" t="str">
        <x:v>Yes</x:v>
      </x:c>
      <x:c r="N4" s="31" t="str">
        <x:v>P0</x:v>
      </x:c>
      <x:c r="O4" s="31" t="str">
        <x:v>Player</x:v>
      </x:c>
      <x:c r="P4" s="32"/>
    </x:row>
    <x:row r="5">
      <x:c r="A5" s="33" t="str">
        <x:v>Building/layout</x:v>
      </x:c>
      <x:c r="B5" s="22" t="str">
        <x:v>plot:{id}:layout:{version}</x:v>
      </x:c>
      <x:c r="C5" s="22" t="str">
        <x:v>5-30m/version-keyed</x:v>
      </x:c>
      <x:c r="D5" s="22" t="str">
        <x:v>Immutable by version + current pointer</x:v>
      </x:c>
      <x:c r="E5" s="22" t="str">
        <x:v>No</x:v>
      </x:c>
      <x:c r="F5" s="22" t="str">
        <x:v>Version bump</x:v>
      </x:c>
      <x:c r="G5" s="22" t="str">
        <x:v>Strong by version</x:v>
      </x:c>
      <x:c r="H5" s="22" t="str">
        <x:v>Postgres</x:v>
      </x:c>
      <x:c r="I5" s="22" t="str">
        <x:v>Maybe on mutation</x:v>
      </x:c>
      <x:c r="J5" s="22" t="str">
        <x:v>Medium</x:v>
      </x:c>
      <x:c r="K5" s="22" t="str">
        <x:v>Medium</x:v>
      </x:c>
      <x:c r="L5" s="22" t="str">
        <x:v>High</x:v>
      </x:c>
      <x:c r="M5" s="22" t="str">
        <x:v>Yes</x:v>
      </x:c>
      <x:c r="N5" s="22" t="str">
        <x:v>P0</x:v>
      </x:c>
      <x:c r="O5" s="22" t="str">
        <x:v>Layout</x:v>
      </x:c>
      <x:c r="P5" s="34"/>
    </x:row>
    <x:row r="6">
      <x:c r="A6" s="33" t="str">
        <x:v>Module config/compiled plans</x:v>
      </x:c>
      <x:c r="B6" s="22" t="str">
        <x:v>modulecfg:{id}:{version}; loadoutplan:{building}:{version}</x:v>
      </x:c>
      <x:c r="C6" s="22" t="str">
        <x:v>Long immutable / 5m</x:v>
      </x:c>
      <x:c r="D6" s="22" t="str">
        <x:v>Cache fill</x:v>
      </x:c>
      <x:c r="E6" s="22" t="str">
        <x:v>No</x:v>
      </x:c>
      <x:c r="F6" s="22" t="str">
        <x:v>Version change</x:v>
      </x:c>
      <x:c r="G6" s="22" t="str">
        <x:v>Strong by version</x:v>
      </x:c>
      <x:c r="H6" s="22" t="str">
        <x:v>Config DB/recompute</x:v>
      </x:c>
      <x:c r="I6" s="22" t="str">
        <x:v>No</x:v>
      </x:c>
      <x:c r="J6" s="22" t="str">
        <x:v>Low</x:v>
      </x:c>
      <x:c r="K6" s="22" t="str">
        <x:v>Low</x:v>
      </x:c>
      <x:c r="L6" s="22" t="str">
        <x:v>High</x:v>
      </x:c>
      <x:c r="M6" s="22" t="str">
        <x:v>Yes</x:v>
      </x:c>
      <x:c r="N6" s="22" t="str">
        <x:v>P0</x:v>
      </x:c>
      <x:c r="O6" s="22" t="str">
        <x:v>Modules</x:v>
      </x:c>
      <x:c r="P6" s="34"/>
    </x:row>
    <x:row r="7">
      <x:c r="A7" s="33" t="str">
        <x:v>Hunt offers/status</x:v>
      </x:c>
      <x:c r="B7" s="22" t="str">
        <x:v>hunts:{player}:{day}</x:v>
      </x:c>
      <x:c r="C7" s="22" t="str">
        <x:v>Day/status</x:v>
      </x:c>
      <x:c r="D7" s="22" t="str">
        <x:v>Write-through</x:v>
      </x:c>
      <x:c r="E7" s="22" t="str">
        <x:v>No</x:v>
      </x:c>
      <x:c r="F7" s="22" t="str">
        <x:v>Reset/mutation</x:v>
      </x:c>
      <x:c r="G7" s="22" t="str">
        <x:v>Near-real-time</x:v>
      </x:c>
      <x:c r="H7" s="22" t="str">
        <x:v>Postgres</x:v>
      </x:c>
      <x:c r="I7" s="22" t="str">
        <x:v>No</x:v>
      </x:c>
      <x:c r="J7" s="22" t="str">
        <x:v>Medium</x:v>
      </x:c>
      <x:c r="K7" s="22" t="str">
        <x:v>Low</x:v>
      </x:c>
      <x:c r="L7" s="22" t="str">
        <x:v>Medium</x:v>
      </x:c>
      <x:c r="M7" s="22" t="str">
        <x:v>Yes</x:v>
      </x:c>
      <x:c r="N7" s="22" t="str">
        <x:v>P0</x:v>
      </x:c>
      <x:c r="O7" s="22" t="str">
        <x:v>Hunts</x:v>
      </x:c>
      <x:c r="P7" s="34"/>
    </x:row>
    <x:row r="8">
      <x:c r="A8" s="33" t="str">
        <x:v>Leaderboard</x:v>
      </x:c>
      <x:c r="B8" s="22" t="str">
        <x:v>leaderboard:{epoch}:{league}</x:v>
      </x:c>
      <x:c r="C8" s="22" t="str">
        <x:v>Seconds/minutes</x:v>
      </x:c>
      <x:c r="D8" s="22" t="str">
        <x:v>Materialized updater</x:v>
      </x:c>
      <x:c r="E8" s="22" t="str">
        <x:v>No</x:v>
      </x:c>
      <x:c r="F8" s="22" t="str">
        <x:v>Streaming/interval</x:v>
      </x:c>
      <x:c r="G8" s="22" t="str">
        <x:v>Eventually consistent</x:v>
      </x:c>
      <x:c r="H8" s="22" t="str">
        <x:v>Postgres/read model</x:v>
      </x:c>
      <x:c r="I8" s="22" t="str">
        <x:v>No</x:v>
      </x:c>
      <x:c r="J8" s="22" t="str">
        <x:v>High</x:v>
      </x:c>
      <x:c r="K8" s="22" t="str">
        <x:v>Medium</x:v>
      </x:c>
      <x:c r="L8" s="22" t="str">
        <x:v>High</x:v>
      </x:c>
      <x:c r="M8" s="22" t="str">
        <x:v>Yes</x:v>
      </x:c>
      <x:c r="N8" s="22" t="str">
        <x:v>P1</x:v>
      </x:c>
      <x:c r="O8" s="22" t="str">
        <x:v>Competition</x:v>
      </x:c>
      <x:c r="P8" s="34"/>
    </x:row>
    <x:row r="9">
      <x:c r="A9" s="33" t="str">
        <x:v>Rate limits</x:v>
      </x:c>
      <x:c r="B9" s="22" t="str">
        <x:v>rl:{scope}:{id}</x:v>
      </x:c>
      <x:c r="C9" s="22" t="str">
        <x:v>Seconds/minutes</x:v>
      </x:c>
      <x:c r="D9" s="22" t="str">
        <x:v>Atomic increments</x:v>
      </x:c>
      <x:c r="E9" s="22" t="str">
        <x:v>Ephemeral</x:v>
      </x:c>
      <x:c r="F9" s="22" t="str">
        <x:v>TTL</x:v>
      </x:c>
      <x:c r="G9" s="22" t="str">
        <x:v>N/A</x:v>
      </x:c>
      <x:c r="H9" s="22" t="str">
        <x:v>Fail safe policy</x:v>
      </x:c>
      <x:c r="I9" s="22" t="str">
        <x:v>No</x:v>
      </x:c>
      <x:c r="J9" s="22" t="str">
        <x:v>High</x:v>
      </x:c>
      <x:c r="K9" s="22" t="str">
        <x:v>Low</x:v>
      </x:c>
      <x:c r="L9" s="22" t="str">
        <x:v>High</x:v>
      </x:c>
      <x:c r="M9" s="22" t="str">
        <x:v>Yes</x:v>
      </x:c>
      <x:c r="N9" s="22" t="str">
        <x:v>P0</x:v>
      </x:c>
      <x:c r="O9" s="22" t="str">
        <x:v>Platform</x:v>
      </x:c>
      <x:c r="P9" s="34"/>
    </x:row>
    <x:row r="10">
      <x:c r="A10" s="33" t="str">
        <x:v>Distributed locks</x:v>
      </x:c>
      <x:c r="B10" s="22" t="str">
        <x:v>lock:{resource}</x:v>
      </x:c>
      <x:c r="C10" s="22" t="str">
        <x:v>Short</x:v>
      </x:c>
      <x:c r="D10" s="22" t="str">
        <x:v>SET NX style via library</x:v>
      </x:c>
      <x:c r="E10" s="22" t="str">
        <x:v>Ephemeral</x:v>
      </x:c>
      <x:c r="F10" s="22" t="str">
        <x:v>TTL/release</x:v>
      </x:c>
      <x:c r="G10" s="22" t="str">
        <x:v>Best effort + DB uniqueness</x:v>
      </x:c>
      <x:c r="H10" s="22" t="str">
        <x:v>DB transaction constraints</x:v>
      </x:c>
      <x:c r="I10" s="22" t="str">
        <x:v>Yes</x:v>
      </x:c>
      <x:c r="J10" s="22" t="str">
        <x:v>Medium</x:v>
      </x:c>
      <x:c r="K10" s="22" t="str">
        <x:v>Low</x:v>
      </x:c>
      <x:c r="L10" s="22" t="str">
        <x:v>Critical only for selected jobs</x:v>
      </x:c>
      <x:c r="M10" s="22" t="str">
        <x:v>Yes</x:v>
      </x:c>
      <x:c r="N10" s="22" t="str">
        <x:v>P0</x:v>
      </x:c>
      <x:c r="O10" s="22" t="str">
        <x:v>Platform</x:v>
      </x:c>
      <x:c r="P10" s="34"/>
    </x:row>
    <x:row r="11">
      <x:c r="A11" s="33" t="str">
        <x:v>Presence/session hints</x:v>
      </x:c>
      <x:c r="B11" s="22" t="str">
        <x:v>presence:{player}</x:v>
      </x:c>
      <x:c r="C11" s="22" t="str">
        <x:v>Minutes</x:v>
      </x:c>
      <x:c r="D11" s="22" t="str">
        <x:v>Heartbeat/meaningful action</x:v>
      </x:c>
      <x:c r="E11" s="22" t="str">
        <x:v>No</x:v>
      </x:c>
      <x:c r="F11" s="22" t="str">
        <x:v>TTL</x:v>
      </x:c>
      <x:c r="G11" s="22" t="str">
        <x:v>Server corroborated</x:v>
      </x:c>
      <x:c r="H11" s="22" t="str">
        <x:v>DB/presence ledger for canonical active-day</x:v>
      </x:c>
      <x:c r="I11" s="22" t="str">
        <x:v>No</x:v>
      </x:c>
      <x:c r="J11" s="22" t="str">
        <x:v>High</x:v>
      </x:c>
      <x:c r="K11" s="22" t="str">
        <x:v>Medium</x:v>
      </x:c>
      <x:c r="L11" s="22" t="str">
        <x:v>Medium</x:v>
      </x:c>
      <x:c r="M11" s="22" t="str">
        <x:v>Yes</x:v>
      </x:c>
      <x:c r="N11" s="22" t="str">
        <x:v>P0</x:v>
      </x:c>
      <x:c r="O11" s="22" t="str">
        <x:v>Presence</x:v>
      </x:c>
      <x:c r="P11" s="34"/>
    </x:row>
    <x:row r="12">
      <x:c r="A12" s="35" t="str">
        <x:v>Provider status cache</x:v>
      </x:c>
      <x:c r="B12" s="36" t="str">
        <x:v>provider:{user}:{asset}</x:v>
      </x:c>
      <x:c r="C12" s="36" t="str">
        <x:v>15-60s</x:v>
      </x:c>
      <x:c r="D12" s="36" t="str">
        <x:v>Read-through</x:v>
      </x:c>
      <x:c r="E12" s="36" t="str">
        <x:v>No</x:v>
      </x:c>
      <x:c r="F12" s="36" t="str">
        <x:v>Webhook/status</x:v>
      </x:c>
      <x:c r="G12" s="36" t="str">
        <x:v>Eventually current</x:v>
      </x:c>
      <x:c r="H12" s="36" t="str">
        <x:v>Provider/Postgres status</x:v>
      </x:c>
      <x:c r="I12" s="36" t="str">
        <x:v>No</x:v>
      </x:c>
      <x:c r="J12" s="36" t="str">
        <x:v>Later</x:v>
      </x:c>
      <x:c r="K12" s="36" t="str">
        <x:v>Low</x:v>
      </x:c>
      <x:c r="L12" s="36" t="str">
        <x:v>P1</x:v>
      </x:c>
      <x:c r="M12" s="36" t="str">
        <x:v>P1</x:v>
      </x:c>
      <x:c r="N12" s="36" t="str">
        <x:v>Stock</x:v>
      </x:c>
      <x:c r="O12" s="36"/>
      <x:c r="P12" s="37"/>
    </x:row>
  </x:sheetData>
  <x:mergeCells>
    <x:mergeCell ref="A1:P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Async Architecture — Pub/Sub, Cloud Tasks &amp; Scheduler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3">
      <x:c r="A3" s="14" t="str">
        <x:v>Workload</x:v>
      </x:c>
      <x:c r="B3" s="14" t="str">
        <x:v>Tool</x:v>
      </x:c>
      <x:c r="C3" s="14" t="str">
        <x:v>Trigger</x:v>
      </x:c>
      <x:c r="D3" s="14" t="str">
        <x:v>Ordering Scope</x:v>
      </x:c>
      <x:c r="E3" s="14" t="str">
        <x:v>Idempotency</x:v>
      </x:c>
      <x:c r="F3" s="14" t="str">
        <x:v>Retry</x:v>
      </x:c>
      <x:c r="G3" s="14" t="str">
        <x:v>DLQ?</x:v>
      </x:c>
      <x:c r="H3" s="14" t="str">
        <x:v>Latency Target</x:v>
      </x:c>
      <x:c r="I3" s="14" t="str">
        <x:v>Writes</x:v>
      </x:c>
      <x:c r="J3" s="14" t="str">
        <x:v>Reads</x:v>
      </x:c>
      <x:c r="K3" s="14" t="str">
        <x:v>Player-Facing?</x:v>
      </x:c>
      <x:c r="L3" s="14" t="str">
        <x:v>Can Run Late?</x:v>
      </x:c>
      <x:c r="M3" s="14" t="str">
        <x:v>Recovery</x:v>
      </x:c>
      <x:c r="N3" s="14" t="str">
        <x:v>Scaling Key</x:v>
      </x:c>
      <x:c r="O3" s="14" t="str">
        <x:v>MVP</x:v>
      </x:c>
      <x:c r="P3" s="14" t="str">
        <x:v>Priority</x:v>
      </x:c>
      <x:c r="Q3" s="14" t="str">
        <x:v>Notes</x:v>
      </x:c>
    </x:row>
    <x:row r="4">
      <x:c r="A4" s="30" t="str">
        <x:v>Economy tick fanout</x:v>
      </x:c>
      <x:c r="B4" s="31" t="str">
        <x:v>Pub/Sub + workers</x:v>
      </x:c>
      <x:c r="C4" s="31" t="str">
        <x:v>5m scheduler/bucket partition</x:v>
      </x:c>
      <x:c r="D4" s="31" t="str">
        <x:v>player/plot</x:v>
      </x:c>
      <x:c r="E4" s="31" t="str">
        <x:v>bucket id</x:v>
      </x:c>
      <x:c r="F4" s="31" t="str">
        <x:v>Exponential</x:v>
      </x:c>
      <x:c r="G4" s="31" t="str">
        <x:v>Yes</x:v>
      </x:c>
      <x:c r="H4" s="31" t="str">
        <x:v>&lt;5m bucket completion</x:v>
      </x:c>
      <x:c r="I4" s="31" t="str">
        <x:v>cash/activity</x:v>
      </x:c>
      <x:c r="J4" s="31" t="str">
        <x:v>state/config</x:v>
      </x:c>
      <x:c r="K4" s="31" t="str">
        <x:v>Indirect</x:v>
      </x:c>
      <x:c r="L4" s="31" t="str">
        <x:v>Small delay yes</x:v>
      </x:c>
      <x:c r="M4" s="31" t="str">
        <x:v>Replay bucket</x:v>
      </x:c>
      <x:c r="N4" s="31" t="str">
        <x:v>player shard</x:v>
      </x:c>
      <x:c r="O4" s="31" t="str">
        <x:v>Yes</x:v>
      </x:c>
      <x:c r="P4" s="31" t="str">
        <x:v>P0</x:v>
      </x:c>
      <x:c r="Q4" s="32" t="str"/>
    </x:row>
    <x:row r="5">
      <x:c r="A5" s="33" t="str">
        <x:v>Customer refresh</x:v>
      </x:c>
      <x:c r="B5" s="22" t="str">
        <x:v>Pub/Sub + workers</x:v>
      </x:c>
      <x:c r="C5" s="22" t="str">
        <x:v>15m</x:v>
      </x:c>
      <x:c r="D5" s="22" t="str">
        <x:v>player/plot</x:v>
      </x:c>
      <x:c r="E5" s="22" t="str">
        <x:v>bucket id</x:v>
      </x:c>
      <x:c r="F5" s="22" t="str">
        <x:v>Exponential</x:v>
      </x:c>
      <x:c r="G5" s="22" t="str">
        <x:v>Yes</x:v>
      </x:c>
      <x:c r="H5" s="22" t="str">
        <x:v>&lt;15m</x:v>
      </x:c>
      <x:c r="I5" s="22" t="str">
        <x:v>customer deltas/snapshots</x:v>
      </x:c>
      <x:c r="J5" s="22" t="str">
        <x:v>building/module/risk/event</x:v>
      </x:c>
      <x:c r="K5" s="22" t="str">
        <x:v>Indirect</x:v>
      </x:c>
      <x:c r="L5" s="22" t="str">
        <x:v>Small delay yes</x:v>
      </x:c>
      <x:c r="M5" s="22" t="str">
        <x:v>Replay bucket</x:v>
      </x:c>
      <x:c r="N5" s="22" t="str">
        <x:v>player shard</x:v>
      </x:c>
      <x:c r="O5" s="22" t="str">
        <x:v>Yes</x:v>
      </x:c>
      <x:c r="P5" s="22" t="str">
        <x:v>P0</x:v>
      </x:c>
      <x:c r="Q5" s="34" t="str"/>
    </x:row>
    <x:row r="6">
      <x:c r="A6" s="33" t="str">
        <x:v>Event refresh</x:v>
      </x:c>
      <x:c r="B6" s="22" t="str">
        <x:v>Cloud Scheduler -&gt; Pub/Sub</x:v>
      </x:c>
      <x:c r="C6" s="22" t="str">
        <x:v>60m + exact timers</x:v>
      </x:c>
      <x:c r="D6" s="22" t="str">
        <x:v>event/global/player</x:v>
      </x:c>
      <x:c r="E6" s="22" t="str">
        <x:v>event/window id</x:v>
      </x:c>
      <x:c r="F6" s="22" t="str">
        <x:v>Retry</x:v>
      </x:c>
      <x:c r="G6" s="22" t="str">
        <x:v>Yes</x:v>
      </x:c>
      <x:c r="H6" s="22" t="str">
        <x:v>Near scheduled</x:v>
      </x:c>
      <x:c r="I6" s="22" t="str">
        <x:v>event state</x:v>
      </x:c>
      <x:c r="J6" s="22" t="str">
        <x:v>market/config</x:v>
      </x:c>
      <x:c r="K6" s="22" t="str">
        <x:v>Yes</x:v>
      </x:c>
      <x:c r="L6" s="22" t="str">
        <x:v>Short delay</x:v>
      </x:c>
      <x:c r="M6" s="22" t="str">
        <x:v>Replay window</x:v>
      </x:c>
      <x:c r="N6" s="22" t="str">
        <x:v>event shard</x:v>
      </x:c>
      <x:c r="O6" s="22" t="str">
        <x:v>Yes</x:v>
      </x:c>
      <x:c r="P6" s="22" t="str">
        <x:v>P0</x:v>
      </x:c>
      <x:c r="Q6" s="34" t="str"/>
    </x:row>
    <x:row r="7">
      <x:c r="A7" s="33" t="str">
        <x:v>Daily reset</x:v>
      </x:c>
      <x:c r="B7" s="22" t="str">
        <x:v>Cloud Scheduler + worker</x:v>
      </x:c>
      <x:c r="C7" s="22" t="str">
        <x:v>00:00 UTC</x:v>
      </x:c>
      <x:c r="D7" s="22" t="str">
        <x:v>player/date</x:v>
      </x:c>
      <x:c r="E7" s="22" t="str">
        <x:v>player+date+reset type</x:v>
      </x:c>
      <x:c r="F7" s="22" t="str">
        <x:v>Retry</x:v>
      </x:c>
      <x:c r="G7" s="22" t="str">
        <x:v>Yes</x:v>
      </x:c>
      <x:c r="H7" s="22" t="str">
        <x:v>Minutes</x:v>
      </x:c>
      <x:c r="I7" s="22" t="str">
        <x:v>Hunt/objective daily state</x:v>
      </x:c>
      <x:c r="J7" s="22" t="str">
        <x:v>player/config</x:v>
      </x:c>
      <x:c r="K7" s="22" t="str">
        <x:v>Yes on next open</x:v>
      </x:c>
      <x:c r="L7" s="22" t="str">
        <x:v>Yes within SLA</x:v>
      </x:c>
      <x:c r="M7" s="22" t="str">
        <x:v>Idempotent rerun</x:v>
      </x:c>
      <x:c r="N7" s="22" t="str">
        <x:v>player shard</x:v>
      </x:c>
      <x:c r="O7" s="22" t="str">
        <x:v>Yes</x:v>
      </x:c>
      <x:c r="P7" s="22" t="str">
        <x:v>P0</x:v>
      </x:c>
      <x:c r="Q7" s="34" t="str"/>
    </x:row>
    <x:row r="8">
      <x:c r="A8" s="33" t="str">
        <x:v>Upgrade/craft completion</x:v>
      </x:c>
      <x:c r="B8" s="22" t="str">
        <x:v>Cloud Tasks / due queue</x:v>
      </x:c>
      <x:c r="C8" s="22" t="str">
        <x:v>exact complete_at</x:v>
      </x:c>
      <x:c r="D8" s="22" t="str">
        <x:v>job id</x:v>
      </x:c>
      <x:c r="E8" s="22" t="str">
        <x:v>job id</x:v>
      </x:c>
      <x:c r="F8" s="22" t="str">
        <x:v>Retry until terminal</x:v>
      </x:c>
      <x:c r="G8" s="22" t="str">
        <x:v>Yes</x:v>
      </x:c>
      <x:c r="H8" s="22" t="str">
        <x:v>&lt;1m target</x:v>
      </x:c>
      <x:c r="I8" s="22" t="str">
        <x:v>building/craft state</x:v>
      </x:c>
      <x:c r="J8" s="22" t="str">
        <x:v>job/config</x:v>
      </x:c>
      <x:c r="K8" s="22" t="str">
        <x:v>Yes</x:v>
      </x:c>
      <x:c r="L8" s="22" t="str">
        <x:v>Yes</x:v>
      </x:c>
      <x:c r="M8" s="22" t="str">
        <x:v>Process overdue</x:v>
      </x:c>
      <x:c r="N8" s="22" t="str">
        <x:v>job shard</x:v>
      </x:c>
      <x:c r="O8" s="22" t="str">
        <x:v>Yes</x:v>
      </x:c>
      <x:c r="P8" s="22" t="str">
        <x:v>P0</x:v>
      </x:c>
      <x:c r="Q8" s="34" t="str"/>
    </x:row>
    <x:row r="9">
      <x:c r="A9" s="33" t="str">
        <x:v>Weekly settlement</x:v>
      </x:c>
      <x:c r="B9" s="22" t="str">
        <x:v>Scheduler + workflow workers</x:v>
      </x:c>
      <x:c r="C9" s="22" t="str">
        <x:v>epoch close</x:v>
      </x:c>
      <x:c r="D9" s="22" t="str">
        <x:v>epoch/league/player</x:v>
      </x:c>
      <x:c r="E9" s="22" t="str">
        <x:v>epoch+stage key</x:v>
      </x:c>
      <x:c r="F9" s="22" t="str">
        <x:v>Controlled retries</x:v>
      </x:c>
      <x:c r="G9" s="22" t="str">
        <x:v>Yes</x:v>
      </x:c>
      <x:c r="H9" s="22" t="str">
        <x:v>&lt;=8h target</x:v>
      </x:c>
      <x:c r="I9" s="22" t="str">
        <x:v>score/result/payout</x:v>
      </x:c>
      <x:c r="J9" s="22" t="str">
        <x:v>frozen sources</x:v>
      </x:c>
      <x:c r="K9" s="22" t="str">
        <x:v>Yes</x:v>
      </x:c>
      <x:c r="L9" s="22" t="str">
        <x:v>Yes, state says Pending</x:v>
      </x:c>
      <x:c r="M9" s="22" t="str">
        <x:v>Restart from stage cursor</x:v>
      </x:c>
      <x:c r="N9" s="22" t="str">
        <x:v>epoch/league</x:v>
      </x:c>
      <x:c r="O9" s="22" t="str">
        <x:v>P0.5</x:v>
      </x:c>
      <x:c r="P9" s="22" t="str">
        <x:v>P0</x:v>
      </x:c>
      <x:c r="Q9" s="34" t="str"/>
    </x:row>
    <x:row r="10">
      <x:c r="A10" s="33" t="str">
        <x:v>Blockchain reconcile</x:v>
      </x:c>
      <x:c r="B10" s="22" t="str">
        <x:v>Scheduler + Pub/Sub</x:v>
      </x:c>
      <x:c r="C10" s="22" t="str">
        <x:v>block/event/poll</x:v>
      </x:c>
      <x:c r="D10" s="22" t="str">
        <x:v>chain/contract/token</x:v>
      </x:c>
      <x:c r="E10" s="22" t="str">
        <x:v>chain event id</x:v>
      </x:c>
      <x:c r="F10" s="22" t="str">
        <x:v>Retry</x:v>
      </x:c>
      <x:c r="G10" s="22" t="str">
        <x:v>Yes</x:v>
      </x:c>
      <x:c r="H10" s="22" t="str">
        <x:v>Minutes</x:v>
      </x:c>
      <x:c r="I10" s="22" t="str">
        <x:v>ownership/claim refs</x:v>
      </x:c>
      <x:c r="J10" s="22" t="str">
        <x:v>RPC/logs</x:v>
      </x:c>
      <x:c r="K10" s="22" t="str">
        <x:v>Yes for chain actions</x:v>
      </x:c>
      <x:c r="L10" s="22" t="str">
        <x:v>Yes</x:v>
      </x:c>
      <x:c r="M10" s="22" t="str">
        <x:v>Re-scan blocks</x:v>
      </x:c>
      <x:c r="N10" s="22" t="str">
        <x:v>chain</x:v>
      </x:c>
      <x:c r="O10" s="22" t="str">
        <x:v>Yes</x:v>
      </x:c>
      <x:c r="P10" s="22" t="str">
        <x:v>P0</x:v>
      </x:c>
      <x:c r="Q10" s="34" t="str"/>
    </x:row>
    <x:row r="11">
      <x:c r="A11" s="33" t="str">
        <x:v>Provider webhook</x:v>
      </x:c>
      <x:c r="B11" s="22" t="str">
        <x:v>HTTP ingress -&gt; Pub/Sub</x:v>
      </x:c>
      <x:c r="C11" s="22" t="str">
        <x:v>provider event</x:v>
      </x:c>
      <x:c r="D11" s="22" t="str">
        <x:v>provider user/order</x:v>
      </x:c>
      <x:c r="E11" s="22" t="str">
        <x:v>provider event id</x:v>
      </x:c>
      <x:c r="F11" s="22" t="str">
        <x:v>Retry async</x:v>
      </x:c>
      <x:c r="G11" s="22" t="str">
        <x:v>Yes</x:v>
      </x:c>
      <x:c r="H11" s="22" t="str">
        <x:v>Ack &lt;500ms</x:v>
      </x:c>
      <x:c r="I11" s="22" t="str">
        <x:v>provider/claim state</x:v>
      </x:c>
      <x:c r="J11" s="22" t="str">
        <x:v>provider payload</x:v>
      </x:c>
      <x:c r="K11" s="22" t="str">
        <x:v>Yes later</x:v>
      </x:c>
      <x:c r="L11" s="22" t="str">
        <x:v>Yes</x:v>
      </x:c>
      <x:c r="M11" s="22" t="str">
        <x:v>Poll repair</x:v>
      </x:c>
      <x:c r="N11" s="22" t="str">
        <x:v>provider/order</x:v>
      </x:c>
      <x:c r="O11" s="22" t="str">
        <x:v>P1</x:v>
      </x:c>
      <x:c r="P11" s="22" t="str">
        <x:v>P1</x:v>
      </x:c>
      <x:c r="Q11" s="34" t="str"/>
    </x:row>
    <x:row r="12">
      <x:c r="A12" s="35" t="str">
        <x:v>Analytics export</x:v>
      </x:c>
      <x:c r="B12" s="36" t="str">
        <x:v>Pub/Sub / streaming</x:v>
      </x:c>
      <x:c r="C12" s="36" t="str">
        <x:v>domain events</x:v>
      </x:c>
      <x:c r="D12" s="36" t="str">
        <x:v>N/A</x:v>
      </x:c>
      <x:c r="E12" s="36" t="str">
        <x:v>event id</x:v>
      </x:c>
      <x:c r="F12" s="36" t="str">
        <x:v>Retry</x:v>
      </x:c>
      <x:c r="G12" s="36" t="str">
        <x:v>Yes</x:v>
      </x:c>
      <x:c r="H12" s="36" t="str">
        <x:v>Minutes</x:v>
      </x:c>
      <x:c r="I12" s="36" t="str">
        <x:v>BigQuery</x:v>
      </x:c>
      <x:c r="J12" s="36" t="str">
        <x:v>domain events</x:v>
      </x:c>
      <x:c r="K12" s="36" t="str">
        <x:v>No</x:v>
      </x:c>
      <x:c r="L12" s="36" t="str">
        <x:v>Yes</x:v>
      </x:c>
      <x:c r="M12" s="36" t="str">
        <x:v>Backfill</x:v>
      </x:c>
      <x:c r="N12" s="36" t="str">
        <x:v>event date</x:v>
      </x:c>
      <x:c r="O12" s="36" t="str">
        <x:v>Yes</x:v>
      </x:c>
      <x:c r="P12" s="36" t="str">
        <x:v>P1</x:v>
      </x:c>
      <x:c r="Q12" s="37" t="str">
        <x:v>Never blocks gameplay</x:v>
      </x:c>
    </x:row>
  </x:sheetData>
  <x:mergeCells>
    <x:mergeCell ref="A1:Q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API &amp; Realtime Contract Strategy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Interaction</x:v>
      </x:c>
      <x:c r="B3" s="14" t="str">
        <x:v>Transport</x:v>
      </x:c>
      <x:c r="C3" s="14" t="str">
        <x:v>Example</x:v>
      </x:c>
      <x:c r="D3" s="14" t="str">
        <x:v>Auth</x:v>
      </x:c>
      <x:c r="E3" s="14" t="str">
        <x:v>Idempotency?</x:v>
      </x:c>
      <x:c r="F3" s="14" t="str">
        <x:v>Version?</x:v>
      </x:c>
      <x:c r="G3" s="14" t="str">
        <x:v>Optimistic UI?</x:v>
      </x:c>
      <x:c r="H3" s="14" t="str">
        <x:v>Realtime Push?</x:v>
      </x:c>
      <x:c r="I3" s="14" t="str">
        <x:v>Server Validation</x:v>
      </x:c>
      <x:c r="J3" s="14" t="str">
        <x:v>Rate Limit</x:v>
      </x:c>
      <x:c r="K3" s="14" t="str">
        <x:v>Timeout</x:v>
      </x:c>
      <x:c r="L3" s="14" t="str">
        <x:v>Retry</x:v>
      </x:c>
      <x:c r="M3" s="14" t="str">
        <x:v>Error Semantics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Read player summary</x:v>
      </x:c>
      <x:c r="B4" s="31" t="str">
        <x:v>REST GET</x:v>
      </x:c>
      <x:c r="C4" s="31" t="str">
        <x:v>GET /v1/player</x:v>
      </x:c>
      <x:c r="D4" s="31" t="str">
        <x:v>Session</x:v>
      </x:c>
      <x:c r="E4" s="31" t="str">
        <x:v>No</x:v>
      </x:c>
      <x:c r="F4" s="31" t="str">
        <x:v>ETag/read version</x:v>
      </x:c>
      <x:c r="G4" s="31" t="str">
        <x:v>N/A</x:v>
      </x:c>
      <x:c r="H4" s="31" t="str">
        <x:v>Optional invalidation</x:v>
      </x:c>
      <x:c r="I4" s="31" t="str">
        <x:v>Ownership/session</x:v>
      </x:c>
      <x:c r="J4" s="31" t="str">
        <x:v>60/min</x:v>
      </x:c>
      <x:c r="K4" s="31" t="str">
        <x:v>2s</x:v>
      </x:c>
      <x:c r="L4" s="31" t="str">
        <x:v>Client query retry</x:v>
      </x:c>
      <x:c r="M4" s="31" t="str">
        <x:v>404/401/503</x:v>
      </x:c>
      <x:c r="N4" s="31" t="str">
        <x:v>Yes</x:v>
      </x:c>
      <x:c r="O4" s="31" t="str">
        <x:v>P0</x:v>
      </x:c>
      <x:c r="P4" s="32" t="str"/>
    </x:row>
    <x:row r="5">
      <x:c r="A5" s="33" t="str">
        <x:v>Build building</x:v>
      </x:c>
      <x:c r="B5" s="22" t="str">
        <x:v>REST POST</x:v>
      </x:c>
      <x:c r="C5" s="22" t="str">
        <x:v>POST /v1/plots/{id}/buildings</x:v>
      </x:c>
      <x:c r="D5" s="22" t="str">
        <x:v>Session</x:v>
      </x:c>
      <x:c r="E5" s="22" t="str">
        <x:v>Yes</x:v>
      </x:c>
      <x:c r="F5" s="22" t="str">
        <x:v>layout/player version</x:v>
      </x:c>
      <x:c r="G5" s="22" t="str">
        <x:v>Preview only</x:v>
      </x:c>
      <x:c r="H5" s="22" t="str">
        <x:v>building.created</x:v>
      </x:c>
      <x:c r="I5" s="22" t="str">
        <x:v>Unlock,cost,geometry,ownership</x:v>
      </x:c>
      <x:c r="J5" s="22" t="str">
        <x:v>20/min</x:v>
      </x:c>
      <x:c r="K5" s="22" t="str">
        <x:v>5s</x:v>
      </x:c>
      <x:c r="L5" s="22" t="str">
        <x:v>Same key only</x:v>
      </x:c>
      <x:c r="M5" s="22" t="str">
        <x:v>409 version / 422 invalid</x:v>
      </x:c>
      <x:c r="N5" s="22" t="str">
        <x:v>Yes</x:v>
      </x:c>
      <x:c r="O5" s="22" t="str">
        <x:v>P0</x:v>
      </x:c>
      <x:c r="P5" s="34" t="str"/>
    </x:row>
    <x:row r="6">
      <x:c r="A6" s="33" t="str">
        <x:v>Move building</x:v>
      </x:c>
      <x:c r="B6" s="22" t="str">
        <x:v>REST POST</x:v>
      </x:c>
      <x:c r="C6" s="22" t="str">
        <x:v>POST /v1/buildings/{id}/move</x:v>
      </x:c>
      <x:c r="D6" s="22" t="str">
        <x:v>Session</x:v>
      </x:c>
      <x:c r="E6" s="22" t="str">
        <x:v>Yes</x:v>
      </x:c>
      <x:c r="F6" s="22" t="str">
        <x:v>layout version</x:v>
      </x:c>
      <x:c r="G6" s="22" t="str">
        <x:v>Preview only</x:v>
      </x:c>
      <x:c r="H6" s="22" t="str">
        <x:v>building.moved</x:v>
      </x:c>
      <x:c r="I6" s="22" t="str">
        <x:v>Ownership,geometry,event lock</x:v>
      </x:c>
      <x:c r="J6" s="22" t="str">
        <x:v>30/min</x:v>
      </x:c>
      <x:c r="K6" s="22" t="str">
        <x:v>5s</x:v>
      </x:c>
      <x:c r="L6" s="22" t="str">
        <x:v>Same key</x:v>
      </x:c>
      <x:c r="M6" s="22" t="str">
        <x:v>409/422/423</x:v>
      </x:c>
      <x:c r="N6" s="22" t="str">
        <x:v>Yes</x:v>
      </x:c>
      <x:c r="O6" s="22" t="str">
        <x:v>P0</x:v>
      </x:c>
      <x:c r="P6" s="34" t="str"/>
    </x:row>
    <x:row r="7">
      <x:c r="A7" s="33" t="str">
        <x:v>Upgrade building</x:v>
      </x:c>
      <x:c r="B7" s="22" t="str">
        <x:v>REST POST</x:v>
      </x:c>
      <x:c r="C7" s="22" t="str">
        <x:v>POST /v1/buildings/{id}/upgrade</x:v>
      </x:c>
      <x:c r="D7" s="22" t="str">
        <x:v>Session</x:v>
      </x:c>
      <x:c r="E7" s="22" t="str">
        <x:v>Yes</x:v>
      </x:c>
      <x:c r="F7" s="22" t="str">
        <x:v>building version</x:v>
      </x:c>
      <x:c r="G7" s="22" t="str">
        <x:v>Pending animation only</x:v>
      </x:c>
      <x:c r="H7" s="22" t="str">
        <x:v>upgrade.started/completed</x:v>
      </x:c>
      <x:c r="I7" s="22" t="str">
        <x:v>Cost,level,timer</x:v>
      </x:c>
      <x:c r="J7" s="22" t="str">
        <x:v>20/min</x:v>
      </x:c>
      <x:c r="K7" s="22" t="str">
        <x:v>5s</x:v>
      </x:c>
      <x:c r="L7" s="22" t="str">
        <x:v>Same key</x:v>
      </x:c>
      <x:c r="M7" s="22" t="str">
        <x:v>409/422</x:v>
      </x:c>
      <x:c r="N7" s="22" t="str">
        <x:v>Yes</x:v>
      </x:c>
      <x:c r="O7" s="22" t="str">
        <x:v>P0</x:v>
      </x:c>
      <x:c r="P7" s="34" t="str"/>
    </x:row>
    <x:row r="8">
      <x:c r="A8" s="33" t="str">
        <x:v>Equip Module</x:v>
      </x:c>
      <x:c r="B8" s="22" t="str">
        <x:v>REST POST</x:v>
      </x:c>
      <x:c r="C8" s="22" t="str">
        <x:v>POST /v1/buildings/{id}/modules/equip</x:v>
      </x:c>
      <x:c r="D8" s="22" t="str">
        <x:v>Session</x:v>
      </x:c>
      <x:c r="E8" s="22" t="str">
        <x:v>Yes</x:v>
      </x:c>
      <x:c r="F8" s="22" t="str">
        <x:v>loadout version</x:v>
      </x:c>
      <x:c r="G8" s="22" t="str">
        <x:v>Pending slot visual</x:v>
      </x:c>
      <x:c r="H8" s="22" t="str">
        <x:v>module.equipped</x:v>
      </x:c>
      <x:c r="I8" s="22" t="str">
        <x:v>Inventory,slot,compatibility,event lock</x:v>
      </x:c>
      <x:c r="J8" s="22" t="str">
        <x:v>30/min</x:v>
      </x:c>
      <x:c r="K8" s="22" t="str">
        <x:v>5s</x:v>
      </x:c>
      <x:c r="L8" s="22" t="str">
        <x:v>Same key</x:v>
      </x:c>
      <x:c r="M8" s="22" t="str">
        <x:v>409/422/423</x:v>
      </x:c>
      <x:c r="N8" s="22" t="str">
        <x:v>Yes</x:v>
      </x:c>
      <x:c r="O8" s="22" t="str">
        <x:v>P0</x:v>
      </x:c>
      <x:c r="P8" s="34" t="str"/>
    </x:row>
    <x:row r="9">
      <x:c r="A9" s="33" t="str">
        <x:v>Start Hunt</x:v>
      </x:c>
      <x:c r="B9" s="22" t="str">
        <x:v>REST POST</x:v>
      </x:c>
      <x:c r="C9" s="22" t="str">
        <x:v>POST /v1/hunts/{id}/start</x:v>
      </x:c>
      <x:c r="D9" s="22" t="str">
        <x:v>Session</x:v>
      </x:c>
      <x:c r="E9" s="22" t="str">
        <x:v>Yes</x:v>
      </x:c>
      <x:c r="F9" s="22" t="str">
        <x:v>hunt version</x:v>
      </x:c>
      <x:c r="G9" s="22" t="str">
        <x:v>Pending state</x:v>
      </x:c>
      <x:c r="H9" s="22" t="str">
        <x:v>hunt.started</x:v>
      </x:c>
      <x:c r="I9" s="22" t="str">
        <x:v>Offer active,queue,eligibility</x:v>
      </x:c>
      <x:c r="J9" s="22" t="str">
        <x:v>20/min</x:v>
      </x:c>
      <x:c r="K9" s="22" t="str">
        <x:v>5s</x:v>
      </x:c>
      <x:c r="L9" s="22" t="str">
        <x:v>Same key</x:v>
      </x:c>
      <x:c r="M9" s="22" t="str">
        <x:v>409/422</x:v>
      </x:c>
      <x:c r="N9" s="22" t="str">
        <x:v>Yes</x:v>
      </x:c>
      <x:c r="O9" s="22" t="str">
        <x:v>P0</x:v>
      </x:c>
      <x:c r="P9" s="34" t="str"/>
    </x:row>
    <x:row r="10">
      <x:c r="A10" s="33" t="str">
        <x:v>Performance updates</x:v>
      </x:c>
      <x:c r="B10" s="22" t="str">
        <x:v>SSE</x:v>
      </x:c>
      <x:c r="C10" s="22" t="str">
        <x:v>performance.changed</x:v>
      </x:c>
      <x:c r="D10" s="22" t="str">
        <x:v>Session</x:v>
      </x:c>
      <x:c r="E10" s="22" t="str">
        <x:v>N/A</x:v>
      </x:c>
      <x:c r="F10" s="22" t="str">
        <x:v>event version</x:v>
      </x:c>
      <x:c r="G10" s="22" t="str">
        <x:v>N/A</x:v>
      </x:c>
      <x:c r="H10" s="22" t="str">
        <x:v>Yes</x:v>
      </x:c>
      <x:c r="I10" s="22" t="str">
        <x:v>Server aggregate only</x:v>
      </x:c>
      <x:c r="J10" s="22" t="str">
        <x:v>Connection caps</x:v>
      </x:c>
      <x:c r="K10" s="22" t="str">
        <x:v>Stream</x:v>
      </x:c>
      <x:c r="L10" s="22" t="str">
        <x:v>Reconnect with cursor/refetch</x:v>
      </x:c>
      <x:c r="M10" s="22" t="str">
        <x:v>Fallback polling</x:v>
      </x:c>
      <x:c r="N10" s="22" t="str">
        <x:v>P1</x:v>
      </x:c>
      <x:c r="O10" s="22" t="str">
        <x:v>P1</x:v>
      </x:c>
      <x:c r="P10" s="34" t="str"/>
    </x:row>
    <x:row r="11">
      <x:c r="A11" s="33" t="str">
        <x:v>Critical event/risk</x:v>
      </x:c>
      <x:c r="B11" s="22" t="str">
        <x:v>SSE</x:v>
      </x:c>
      <x:c r="C11" s="22" t="str">
        <x:v>risk.changed/event.started</x:v>
      </x:c>
      <x:c r="D11" s="22" t="str">
        <x:v>Session</x:v>
      </x:c>
      <x:c r="E11" s="22" t="str">
        <x:v>N/A</x:v>
      </x:c>
      <x:c r="F11" s="22" t="str">
        <x:v>event id</x:v>
      </x:c>
      <x:c r="G11" s="22" t="str">
        <x:v>N/A</x:v>
      </x:c>
      <x:c r="H11" s="22" t="str">
        <x:v>Yes</x:v>
      </x:c>
      <x:c r="I11" s="22" t="str">
        <x:v>Server state</x:v>
      </x:c>
      <x:c r="J11" s="22" t="str">
        <x:v>Connection caps</x:v>
      </x:c>
      <x:c r="K11" s="22" t="str">
        <x:v>Stream</x:v>
      </x:c>
      <x:c r="L11" s="22" t="str">
        <x:v>Reconnect</x:v>
      </x:c>
      <x:c r="M11" s="22" t="str">
        <x:v>Refetch current state</x:v>
      </x:c>
      <x:c r="N11" s="22" t="str">
        <x:v>P1</x:v>
      </x:c>
      <x:c r="O11" s="22" t="str">
        <x:v>P0/P1</x:v>
      </x:c>
      <x:c r="P11" s="34" t="str"/>
    </x:row>
    <x:row r="12">
      <x:c r="A12" s="35" t="str">
        <x:v>Provider claim</x:v>
      </x:c>
      <x:c r="B12" s="36" t="str">
        <x:v>REST POST</x:v>
      </x:c>
      <x:c r="C12" s="36" t="str">
        <x:v>POST /v1/stock-claims</x:v>
      </x:c>
      <x:c r="D12" s="36" t="str">
        <x:v>Session + eligibility</x:v>
      </x:c>
      <x:c r="E12" s="36" t="str">
        <x:v>Yes</x:v>
      </x:c>
      <x:c r="F12" s="36" t="str">
        <x:v>balance/claim version</x:v>
      </x:c>
      <x:c r="G12" s="36" t="str">
        <x:v>No financial optimism</x:v>
      </x:c>
      <x:c r="H12" s="36" t="str">
        <x:v>claim.status</x:v>
      </x:c>
      <x:c r="I12" s="36" t="str">
        <x:v>KYC/geo/funding/provider</x:v>
      </x:c>
      <x:c r="J12" s="36" t="str">
        <x:v>10/min</x:v>
      </x:c>
      <x:c r="K12" s="36" t="str">
        <x:v>Provider-aware</x:v>
      </x:c>
      <x:c r="L12" s="36" t="str">
        <x:v>Same key</x:v>
      </x:c>
      <x:c r="M12" s="36" t="str">
        <x:v>409/422/451/503</x:v>
      </x:c>
      <x:c r="N12" s="36" t="str">
        <x:v>P1</x:v>
      </x:c>
      <x:c r="O12" s="36" t="str">
        <x:v>P1</x:v>
      </x:c>
      <x:c r="P12" s="37" t="str"/>
    </x:row>
  </x:sheetData>
  <x:mergeCells>
    <x:mergeCell ref="A1:P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Blockchain Stack &amp; Onchain Boundary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Capability</x:v>
      </x:c>
      <x:c r="B3" s="14" t="str">
        <x:v>Onchain?</x:v>
      </x:c>
      <x:c r="C3" s="14" t="str">
        <x:v>Technology</x:v>
      </x:c>
      <x:c r="D3" s="14" t="str">
        <x:v>Contract / State</x:v>
      </x:c>
      <x:c r="E3" s="14" t="str">
        <x:v>Client</x:v>
      </x:c>
      <x:c r="F3" s="14" t="str">
        <x:v>Backend</x:v>
      </x:c>
      <x:c r="G3" s="14" t="str">
        <x:v>Trigger</x:v>
      </x:c>
      <x:c r="H3" s="14" t="str">
        <x:v>Gas Paid By</x:v>
      </x:c>
      <x:c r="I3" s="14" t="str">
        <x:v>Finality Need</x:v>
      </x:c>
      <x:c r="J3" s="14" t="str">
        <x:v>Reconciliation</x:v>
      </x:c>
      <x:c r="K3" s="14" t="str">
        <x:v>Key Management</x:v>
      </x:c>
      <x:c r="L3" s="14" t="str">
        <x:v>Failure Behavior</x:v>
      </x:c>
      <x:c r="M3" s="14" t="str">
        <x:v>MVP</x:v>
      </x:c>
      <x:c r="N3" s="14" t="str">
        <x:v>Priority</x:v>
      </x:c>
      <x:c r="O3" s="14" t="str">
        <x:v>Owner</x:v>
      </x:c>
      <x:c r="P3" s="14" t="str">
        <x:v>Notes</x:v>
      </x:c>
    </x:row>
    <x:row r="4">
      <x:c r="A4" s="30" t="str">
        <x:v>Plot ownership</x:v>
      </x:c>
      <x:c r="B4" s="31" t="str">
        <x:v>Yes</x:v>
      </x:c>
      <x:c r="C4" s="31" t="str">
        <x:v>Solidity + Foundry</x:v>
      </x:c>
      <x:c r="D4" s="31" t="str">
        <x:v>Plot NFT / ownership contract</x:v>
      </x:c>
      <x:c r="E4" s="31" t="str">
        <x:v>viem via Family wallet</x:v>
      </x:c>
      <x:c r="F4" s="31" t="str">
        <x:v>Chain index/reconcile</x:v>
      </x:c>
      <x:c r="G4" s="31" t="str">
        <x:v>mint/transfer/lookup</x:v>
      </x:c>
      <x:c r="H4" s="31" t="str">
        <x:v>Product/user model</x:v>
      </x:c>
      <x:c r="I4" s="31" t="str">
        <x:v>Configured confirmations</x:v>
      </x:c>
      <x:c r="J4" s="31" t="str">
        <x:v>Event scan + ownership mirror</x:v>
      </x:c>
      <x:c r="K4" s="31" t="str">
        <x:v>No user keys in PLOT backend</x:v>
      </x:c>
      <x:c r="L4" s="31" t="str">
        <x:v>Disable ownership mutation on RPC outage; reads use last confirmed with stale status</x:v>
      </x:c>
      <x:c r="M4" s="31" t="str">
        <x:v>Yes</x:v>
      </x:c>
      <x:c r="N4" s="31" t="str">
        <x:v>P0</x:v>
      </x:c>
      <x:c r="O4" s="31" t="str">
        <x:v>Blockchain</x:v>
      </x:c>
      <x:c r="P4" s="32" t="str"/>
    </x:row>
    <x:row r="5">
      <x:c r="A5" s="33" t="str">
        <x:v>Plot transfer</x:v>
      </x:c>
      <x:c r="B5" s="22" t="str">
        <x:v>Yes</x:v>
      </x:c>
      <x:c r="C5" s="22" t="str">
        <x:v>Solidity</x:v>
      </x:c>
      <x:c r="D5" s="22" t="str">
        <x:v>NFT transfer</x:v>
      </x:c>
      <x:c r="E5" s="22" t="str">
        <x:v>Wallet sign</x:v>
      </x:c>
      <x:c r="F5" s="22" t="str">
        <x:v>Observe/update backend</x:v>
      </x:c>
      <x:c r="G5" s="22" t="str">
        <x:v>user action</x:v>
      </x:c>
      <x:c r="H5" s="22" t="str">
        <x:v>User/sponsor policy</x:v>
      </x:c>
      <x:c r="I5" s="22" t="str">
        <x:v>High enough for asset transfer</x:v>
      </x:c>
      <x:c r="J5" s="22" t="str">
        <x:v>Event reconcile</x:v>
      </x:c>
      <x:c r="K5" s="22" t="str">
        <x:v>Wallet owns key</x:v>
      </x:c>
      <x:c r="L5" s="22" t="str">
        <x:v>Pending until confirmed</x:v>
      </x:c>
      <x:c r="M5" s="22" t="str">
        <x:v>P1</x:v>
      </x:c>
      <x:c r="N5" s="22" t="str">
        <x:v>P1</x:v>
      </x:c>
      <x:c r="O5" s="22" t="str">
        <x:v>Blockchain</x:v>
      </x:c>
      <x:c r="P5" s="34" t="str"/>
    </x:row>
    <x:row r="6">
      <x:c r="A6" s="33" t="str">
        <x:v>$PLOT weekly claim</x:v>
      </x:c>
      <x:c r="B6" s="22" t="str">
        <x:v>Yes</x:v>
      </x:c>
      <x:c r="C6" s="22" t="str">
        <x:v>Solidity</x:v>
      </x:c>
      <x:c r="D6" s="22" t="str">
        <x:v>Claim contract / Merkle or signed entitlement</x:v>
      </x:c>
      <x:c r="E6" s="22" t="str">
        <x:v>Wallet sign</x:v>
      </x:c>
      <x:c r="F6" s="22" t="str">
        <x:v>Publish/finalize claim root/data</x:v>
      </x:c>
      <x:c r="G6" s="22" t="str">
        <x:v>weekly finalized payout</x:v>
      </x:c>
      <x:c r="H6" s="22" t="str">
        <x:v>Product/user policy</x:v>
      </x:c>
      <x:c r="I6" s="22" t="str">
        <x:v>High</x:v>
      </x:c>
      <x:c r="J6" s="22" t="str">
        <x:v>Claim tx reconcile</x:v>
      </x:c>
      <x:c r="K6" s="22" t="str">
        <x:v>Signer/service key isolated</x:v>
      </x:c>
      <x:c r="L6" s="22" t="str">
        <x:v>Claim remains pending/retryable</x:v>
      </x:c>
      <x:c r="M6" s="22" t="str">
        <x:v>P0.5</x:v>
      </x:c>
      <x:c r="N6" s="22" t="str">
        <x:v>P0</x:v>
      </x:c>
      <x:c r="O6" s="22" t="str">
        <x:v>Blockchain/Competition</x:v>
      </x:c>
      <x:c r="P6" s="34" t="str"/>
    </x:row>
    <x:row r="7">
      <x:c r="A7" s="33" t="str">
        <x:v>Building placement</x:v>
      </x:c>
      <x:c r="B7" s="22" t="str">
        <x:v>No</x:v>
      </x:c>
      <x:c r="C7" s="22" t="str">
        <x:v>N/A</x:v>
      </x:c>
      <x:c r="D7" s="22" t="str">
        <x:v>Postgres only</x:v>
      </x:c>
      <x:c r="E7" s="22" t="str">
        <x:v>REST</x:v>
      </x:c>
      <x:c r="F7" s="22" t="str">
        <x:v>Game server</x:v>
      </x:c>
      <x:c r="G7" s="22" t="str">
        <x:v>player action</x:v>
      </x:c>
      <x:c r="H7" s="22" t="str">
        <x:v>N/A</x:v>
      </x:c>
      <x:c r="I7" s="22" t="str">
        <x:v>N/A</x:v>
      </x:c>
      <x:c r="J7" s="22" t="str">
        <x:v>N/A</x:v>
      </x:c>
      <x:c r="K7" s="22" t="str">
        <x:v>N/A</x:v>
      </x:c>
      <x:c r="L7" s="22" t="str">
        <x:v>Normal API retry</x:v>
      </x:c>
      <x:c r="M7" s="22" t="str">
        <x:v>Yes</x:v>
      </x:c>
      <x:c r="N7" s="22" t="str">
        <x:v>P0</x:v>
      </x:c>
      <x:c r="O7" s="22" t="str">
        <x:v>Game</x:v>
      </x:c>
      <x:c r="P7" s="34" t="str"/>
    </x:row>
    <x:row r="8">
      <x:c r="A8" s="33" t="str">
        <x:v>Cash</x:v>
      </x:c>
      <x:c r="B8" s="22" t="str">
        <x:v>No</x:v>
      </x:c>
      <x:c r="C8" s="22" t="str">
        <x:v>N/A</x:v>
      </x:c>
      <x:c r="D8" s="22" t="str">
        <x:v>Postgres ledger</x:v>
      </x:c>
      <x:c r="E8" s="22" t="str">
        <x:v>REST/UI</x:v>
      </x:c>
      <x:c r="F8" s="22" t="str">
        <x:v>Economy</x:v>
      </x:c>
      <x:c r="G8" s="22" t="str">
        <x:v>ticks/actions</x:v>
      </x:c>
      <x:c r="H8" s="22" t="str">
        <x:v>N/A</x:v>
      </x:c>
      <x:c r="I8" s="22" t="str">
        <x:v>N/A</x:v>
      </x:c>
      <x:c r="J8" s="22" t="str">
        <x:v>Ledger replay</x:v>
      </x:c>
      <x:c r="K8" s="22" t="str">
        <x:v>N/A</x:v>
      </x:c>
      <x:c r="L8" s="22" t="str">
        <x:v>Server recovery</x:v>
      </x:c>
      <x:c r="M8" s="22" t="str">
        <x:v>Yes</x:v>
      </x:c>
      <x:c r="N8" s="22" t="str">
        <x:v>P0</x:v>
      </x:c>
      <x:c r="O8" s="22" t="str">
        <x:v>Economy</x:v>
      </x:c>
      <x:c r="P8" s="34" t="str"/>
    </x:row>
    <x:row r="9">
      <x:c r="A9" s="33" t="str">
        <x:v>Modules/crafting</x:v>
      </x:c>
      <x:c r="B9" s="22" t="str">
        <x:v>No</x:v>
      </x:c>
      <x:c r="C9" s="22" t="str">
        <x:v>N/A</x:v>
      </x:c>
      <x:c r="D9" s="22" t="str">
        <x:v>Postgres</x:v>
      </x:c>
      <x:c r="E9" s="22" t="str">
        <x:v>REST</x:v>
      </x:c>
      <x:c r="F9" s="22" t="str">
        <x:v>Module domain</x:v>
      </x:c>
      <x:c r="G9" s="22" t="str">
        <x:v>actions/jobs</x:v>
      </x:c>
      <x:c r="H9" s="22" t="str">
        <x:v>N/A</x:v>
      </x:c>
      <x:c r="I9" s="22" t="str">
        <x:v>N/A</x:v>
      </x:c>
      <x:c r="J9" s="22" t="str">
        <x:v>Ledger replay</x:v>
      </x:c>
      <x:c r="K9" s="22" t="str">
        <x:v>N/A</x:v>
      </x:c>
      <x:c r="L9" s="22" t="str">
        <x:v>Server recovery</x:v>
      </x:c>
      <x:c r="M9" s="22" t="str">
        <x:v>Yes</x:v>
      </x:c>
      <x:c r="N9" s="22" t="str">
        <x:v>P0/P1</x:v>
      </x:c>
      <x:c r="O9" s="22" t="str">
        <x:v>Module</x:v>
      </x:c>
      <x:c r="P9" s="34" t="str"/>
    </x:row>
    <x:row r="10">
      <x:c r="A10" s="35" t="str">
        <x:v>Tokenized stock withdrawal</x:v>
      </x:c>
      <x:c r="B10" s="36" t="str">
        <x:v>Maybe later</x:v>
      </x:c>
      <x:c r="C10" s="36" t="str">
        <x:v>Provider chain/product + viem for visibility if needed</x:v>
      </x:c>
      <x:c r="D10" s="36" t="str">
        <x:v>Provider-issued token</x:v>
      </x:c>
      <x:c r="E10" s="36" t="str">
        <x:v>Provider/user wallet flow</x:v>
      </x:c>
      <x:c r="F10" s="36" t="str">
        <x:v>Provider adapter</x:v>
      </x:c>
      <x:c r="G10" s="36" t="str">
        <x:v>withdrawal</x:v>
      </x:c>
      <x:c r="H10" s="36" t="str">
        <x:v>Provider/user policy</x:v>
      </x:c>
      <x:c r="I10" s="36" t="str">
        <x:v>Provider-defined</x:v>
      </x:c>
      <x:c r="J10" s="36" t="str">
        <x:v>Provider + chain tx status</x:v>
      </x:c>
      <x:c r="K10" s="36" t="str">
        <x:v>PLOT holds no user private key</x:v>
      </x:c>
      <x:c r="L10" s="36" t="str">
        <x:v>Feature pause</x:v>
      </x:c>
      <x:c r="M10" s="36" t="str">
        <x:v>P2</x:v>
      </x:c>
      <x:c r="N10" s="36" t="str">
        <x:v>P2</x:v>
      </x:c>
      <x:c r="O10" s="36" t="str">
        <x:v>Stock</x:v>
      </x:c>
      <x:c r="P10" s="37" t="str">
        <x:v>Never issue PLOT stock token in MVP</x:v>
      </x:c>
    </x:row>
  </x:sheetData>
  <x:mergeCells>
    <x:mergeCell ref="A1:P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Tokenized Stock Provider Abstraction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Interface</x:v>
      </x:c>
      <x:c r="B3" s="14" t="str">
        <x:v>Phase</x:v>
      </x:c>
      <x:c r="C3" s="14" t="str">
        <x:v>Input</x:v>
      </x:c>
      <x:c r="D3" s="14" t="str">
        <x:v>Output</x:v>
      </x:c>
      <x:c r="E3" s="14" t="str">
        <x:v>Authoritative Source</x:v>
      </x:c>
      <x:c r="F3" s="14" t="str">
        <x:v>Idempotency</x:v>
      </x:c>
      <x:c r="G3" s="14" t="str">
        <x:v>Webhook?</x:v>
      </x:c>
      <x:c r="H3" s="14" t="str">
        <x:v>Fallback</x:v>
      </x:c>
      <x:c r="I3" s="14" t="str">
        <x:v>Game Dependency</x:v>
      </x:c>
      <x:c r="J3" s="14" t="str">
        <x:v>KYC/Geo</x:v>
      </x:c>
      <x:c r="K3" s="14" t="str">
        <x:v>Custody</x:v>
      </x:c>
      <x:c r="L3" s="14" t="str">
        <x:v>Withdrawal</x:v>
      </x:c>
      <x:c r="M3" s="14" t="str">
        <x:v>Testing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getReferencePrice()</x:v>
      </x:c>
      <x:c r="B4" s="31" t="str">
        <x:v>P0</x:v>
      </x:c>
      <x:c r="C4" s="31" t="str">
        <x:v>ticker</x:v>
      </x:c>
      <x:c r="D4" s="31" t="str">
        <x:v>price,timestamp,status</x:v>
      </x:c>
      <x:c r="E4" s="31" t="str">
        <x:v>Market data/provider</x:v>
      </x:c>
      <x:c r="F4" s="31" t="str">
        <x:v>N/A</x:v>
      </x:c>
      <x:c r="G4" s="31" t="str">
        <x:v>No</x:v>
      </x:c>
      <x:c r="H4" s="31" t="str">
        <x:v>Stale label / disable display</x:v>
      </x:c>
      <x:c r="I4" s="31" t="str">
        <x:v>Portfolio display only</x:v>
      </x:c>
      <x:c r="J4" s="31" t="str">
        <x:v>No</x:v>
      </x:c>
      <x:c r="K4" s="31" t="str">
        <x:v>None</x:v>
      </x:c>
      <x:c r="L4" s="31" t="str">
        <x:v>No</x:v>
      </x:c>
      <x:c r="M4" s="31" t="str">
        <x:v>Mock provider</x:v>
      </x:c>
      <x:c r="N4" s="31" t="str">
        <x:v>Yes</x:v>
      </x:c>
      <x:c r="O4" s="31" t="str">
        <x:v>P0</x:v>
      </x:c>
      <x:c r="P4" s="32" t="str">
        <x:v>Simulation may work without live price if needed</x:v>
      </x:c>
    </x:row>
    <x:row r="5">
      <x:c r="A5" s="33" t="str">
        <x:v>checkEligibility()</x:v>
      </x:c>
      <x:c r="B5" s="22" t="str">
        <x:v>P1</x:v>
      </x:c>
      <x:c r="C5" s="22" t="str">
        <x:v>user,asset</x:v>
      </x:c>
      <x:c r="D5" s="22" t="str">
        <x:v>eligible,reason,version</x:v>
      </x:c>
      <x:c r="E5" s="22" t="str">
        <x:v>Provider/legal config</x:v>
      </x:c>
      <x:c r="F5" s="22" t="str">
        <x:v>request id</x:v>
      </x:c>
      <x:c r="G5" s="22" t="str">
        <x:v>Optional</x:v>
      </x:c>
      <x:c r="H5" s="22" t="str">
        <x:v>Disable real claim</x:v>
      </x:c>
      <x:c r="I5" s="22" t="str">
        <x:v>No gameplay block</x:v>
      </x:c>
      <x:c r="J5" s="22" t="str">
        <x:v>Yes</x:v>
      </x:c>
      <x:c r="K5" s="22" t="str">
        <x:v>Provider</x:v>
      </x:c>
      <x:c r="L5" s="22" t="str">
        <x:v>No</x:v>
      </x:c>
      <x:c r="M5" s="22" t="str">
        <x:v>Sandbox</x:v>
      </x:c>
      <x:c r="N5" s="22" t="str">
        <x:v>Later</x:v>
      </x:c>
      <x:c r="O5" s="22" t="str">
        <x:v>P1</x:v>
      </x:c>
      <x:c r="P5" s="34" t="str"/>
    </x:row>
    <x:row r="6">
      <x:c r="A6" s="33" t="str">
        <x:v>getKycStatus()</x:v>
      </x:c>
      <x:c r="B6" s="22" t="str">
        <x:v>P1</x:v>
      </x:c>
      <x:c r="C6" s="22" t="str">
        <x:v>provider_user</x:v>
      </x:c>
      <x:c r="D6" s="22" t="str">
        <x:v>status</x:v>
      </x:c>
      <x:c r="E6" s="22" t="str">
        <x:v>Provider</x:v>
      </x:c>
      <x:c r="F6" s="22" t="str">
        <x:v>provider user</x:v>
      </x:c>
      <x:c r="G6" s="22" t="str">
        <x:v>Yes</x:v>
      </x:c>
      <x:c r="H6" s="22" t="str">
        <x:v>Pending</x:v>
      </x:c>
      <x:c r="I6" s="22" t="str">
        <x:v>No gameplay block</x:v>
      </x:c>
      <x:c r="J6" s="22" t="str">
        <x:v>Yes</x:v>
      </x:c>
      <x:c r="K6" s="22" t="str">
        <x:v>Provider</x:v>
      </x:c>
      <x:c r="L6" s="22" t="str">
        <x:v>No</x:v>
      </x:c>
      <x:c r="M6" s="22" t="str">
        <x:v>Sandbox/webhook tests</x:v>
      </x:c>
      <x:c r="N6" s="22" t="str">
        <x:v>Later</x:v>
      </x:c>
      <x:c r="O6" s="22" t="str">
        <x:v>P1</x:v>
      </x:c>
      <x:c r="P6" s="34" t="str"/>
    </x:row>
    <x:row r="7">
      <x:c r="A7" s="33" t="str">
        <x:v>getQuote()</x:v>
      </x:c>
      <x:c r="B7" s="22" t="str">
        <x:v>P1</x:v>
      </x:c>
      <x:c r="C7" s="22" t="str">
        <x:v>asset,USD</x:v>
      </x:c>
      <x:c r="D7" s="22" t="str">
        <x:v>estimated units,expiry,fees</x:v>
      </x:c>
      <x:c r="E7" s="22" t="str">
        <x:v>Provider</x:v>
      </x:c>
      <x:c r="F7" s="22" t="str">
        <x:v>request id</x:v>
      </x:c>
      <x:c r="G7" s="22" t="str">
        <x:v>No</x:v>
      </x:c>
      <x:c r="H7" s="22" t="str">
        <x:v>Disable confirm</x:v>
      </x:c>
      <x:c r="I7" s="22" t="str">
        <x:v>No gameplay block</x:v>
      </x:c>
      <x:c r="J7" s="22" t="str">
        <x:v>Yes</x:v>
      </x:c>
      <x:c r="K7" s="22" t="str">
        <x:v>Provider</x:v>
      </x:c>
      <x:c r="L7" s="22" t="str">
        <x:v>No</x:v>
      </x:c>
      <x:c r="M7" s="22" t="str">
        <x:v>Quote mocks</x:v>
      </x:c>
      <x:c r="N7" s="22" t="str">
        <x:v>Later</x:v>
      </x:c>
      <x:c r="O7" s="22" t="str">
        <x:v>P1</x:v>
      </x:c>
      <x:c r="P7" s="34" t="str"/>
    </x:row>
    <x:row r="8">
      <x:c r="A8" s="33" t="str">
        <x:v>createOrder()</x:v>
      </x:c>
      <x:c r="B8" s="22" t="str">
        <x:v>P1</x:v>
      </x:c>
      <x:c r="C8" s="22" t="str">
        <x:v>user,asset,USD,client_order_id</x:v>
      </x:c>
      <x:c r="D8" s="22" t="str">
        <x:v>order id,status</x:v>
      </x:c>
      <x:c r="E8" s="22" t="str">
        <x:v>Provider</x:v>
      </x:c>
      <x:c r="F8" s="22" t="str">
        <x:v>client_order_id</x:v>
      </x:c>
      <x:c r="G8" s="22" t="str">
        <x:v>Yes</x:v>
      </x:c>
      <x:c r="H8" s="22" t="str">
        <x:v>Pending/reconcile</x:v>
      </x:c>
      <x:c r="I8" s="22" t="str">
        <x:v>No gameplay block</x:v>
      </x:c>
      <x:c r="J8" s="22" t="str">
        <x:v>Yes</x:v>
      </x:c>
      <x:c r="K8" s="22" t="str">
        <x:v>Provider</x:v>
      </x:c>
      <x:c r="L8" s="22" t="str">
        <x:v>No</x:v>
      </x:c>
      <x:c r="M8" s="22" t="str">
        <x:v>Failure injection</x:v>
      </x:c>
      <x:c r="N8" s="22" t="str">
        <x:v>Later</x:v>
      </x:c>
      <x:c r="O8" s="22" t="str">
        <x:v>P1</x:v>
      </x:c>
      <x:c r="P8" s="34" t="str"/>
    </x:row>
    <x:row r="9">
      <x:c r="A9" s="33" t="str">
        <x:v>getOrderStatus()</x:v>
      </x:c>
      <x:c r="B9" s="22" t="str">
        <x:v>P1</x:v>
      </x:c>
      <x:c r="C9" s="22" t="str">
        <x:v>order id</x:v>
      </x:c>
      <x:c r="D9" s="22" t="str">
        <x:v>fill/status</x:v>
      </x:c>
      <x:c r="E9" s="22" t="str">
        <x:v>Provider</x:v>
      </x:c>
      <x:c r="F9" s="22" t="str">
        <x:v>order id</x:v>
      </x:c>
      <x:c r="G9" s="22" t="str">
        <x:v>Yes</x:v>
      </x:c>
      <x:c r="H9" s="22" t="str">
        <x:v>Reconcile</x:v>
      </x:c>
      <x:c r="I9" s="22" t="str">
        <x:v>No gameplay block</x:v>
      </x:c>
      <x:c r="J9" s="22" t="str">
        <x:v>Yes</x:v>
      </x:c>
      <x:c r="K9" s="22" t="str">
        <x:v>Provider</x:v>
      </x:c>
      <x:c r="L9" s="22" t="str">
        <x:v>No</x:v>
      </x:c>
      <x:c r="M9" s="22" t="str">
        <x:v>Status mocks</x:v>
      </x:c>
      <x:c r="N9" s="22" t="str">
        <x:v>Later</x:v>
      </x:c>
      <x:c r="O9" s="22" t="str">
        <x:v>P1</x:v>
      </x:c>
      <x:c r="P9" s="34" t="str"/>
    </x:row>
    <x:row r="10">
      <x:c r="A10" s="33" t="str">
        <x:v>getBalance()</x:v>
      </x:c>
      <x:c r="B10" s="22" t="str">
        <x:v>P1</x:v>
      </x:c>
      <x:c r="C10" s="22" t="str">
        <x:v>user,asset</x:v>
      </x:c>
      <x:c r="D10" s="22" t="str">
        <x:v>provider units</x:v>
      </x:c>
      <x:c r="E10" s="22" t="str">
        <x:v>Provider</x:v>
      </x:c>
      <x:c r="F10" s="22" t="str">
        <x:v>N/A</x:v>
      </x:c>
      <x:c r="G10" s="22" t="str">
        <x:v>No</x:v>
      </x:c>
      <x:c r="H10" s="22" t="str">
        <x:v>Stale label</x:v>
      </x:c>
      <x:c r="I10" s="22" t="str">
        <x:v>Portfolio real section</x:v>
      </x:c>
      <x:c r="J10" s="22" t="str">
        <x:v>Yes</x:v>
      </x:c>
      <x:c r="K10" s="22" t="str">
        <x:v>Provider</x:v>
      </x:c>
      <x:c r="L10" s="22" t="str">
        <x:v>No</x:v>
      </x:c>
      <x:c r="M10" s="22" t="str">
        <x:v>Mock holdings</x:v>
      </x:c>
      <x:c r="N10" s="22" t="str">
        <x:v>Later</x:v>
      </x:c>
      <x:c r="O10" s="22" t="str">
        <x:v>P1</x:v>
      </x:c>
      <x:c r="P10" s="34" t="str"/>
    </x:row>
    <x:row r="11">
      <x:c r="A11" s="33" t="str">
        <x:v>corporateActions()</x:v>
      </x:c>
      <x:c r="B11" s="22" t="str">
        <x:v>P1/P2</x:v>
      </x:c>
      <x:c r="C11" s="22" t="str">
        <x:v>asset/event cursor</x:v>
      </x:c>
      <x:c r="D11" s="22" t="str">
        <x:v>action events</x:v>
      </x:c>
      <x:c r="E11" s="22" t="str">
        <x:v>Provider</x:v>
      </x:c>
      <x:c r="F11" s="22" t="str">
        <x:v>provider event id</x:v>
      </x:c>
      <x:c r="G11" s="22" t="str">
        <x:v>Yes</x:v>
      </x:c>
      <x:c r="H11" s="22" t="str">
        <x:v>Freeze ambiguous asset display/claims</x:v>
      </x:c>
      <x:c r="I11" s="22" t="str">
        <x:v>No core game dependency</x:v>
      </x:c>
      <x:c r="J11" s="22" t="str">
        <x:v>Yes</x:v>
      </x:c>
      <x:c r="K11" s="22" t="str">
        <x:v>Provider</x:v>
      </x:c>
      <x:c r="L11" s="22" t="str">
        <x:v>May affect token</x:v>
      </x:c>
      <x:c r="M11" s="22" t="str">
        <x:v>Replay tests</x:v>
      </x:c>
      <x:c r="N11" s="22" t="str">
        <x:v>Later</x:v>
      </x:c>
      <x:c r="O11" s="22" t="str">
        <x:v>P1</x:v>
      </x:c>
      <x:c r="P11" s="34" t="str"/>
    </x:row>
    <x:row r="12">
      <x:c r="A12" s="35" t="str">
        <x:v>withdraw()</x:v>
      </x:c>
      <x:c r="B12" s="36" t="str">
        <x:v>P2</x:v>
      </x:c>
      <x:c r="C12" s="36" t="str">
        <x:v>user,asset,units,chain,address</x:v>
      </x:c>
      <x:c r="D12" s="36" t="str">
        <x:v>withdrawal state</x:v>
      </x:c>
      <x:c r="E12" s="36" t="str">
        <x:v>Provider</x:v>
      </x:c>
      <x:c r="F12" s="36" t="str">
        <x:v>withdrawal id</x:v>
      </x:c>
      <x:c r="G12" s="36" t="str">
        <x:v>Yes</x:v>
      </x:c>
      <x:c r="H12" s="36" t="str">
        <x:v>Pending/fail</x:v>
      </x:c>
      <x:c r="I12" s="36" t="str">
        <x:v>No core game dependency</x:v>
      </x:c>
      <x:c r="J12" s="36" t="str">
        <x:v>Yes + wallet checks</x:v>
      </x:c>
      <x:c r="K12" s="36" t="str">
        <x:v>Provider then user</x:v>
      </x:c>
      <x:c r="L12" s="36" t="str">
        <x:v>Yes</x:v>
      </x:c>
      <x:c r="M12" s="36" t="str">
        <x:v>Chain/provider sandbox</x:v>
      </x:c>
      <x:c r="N12" s="36" t="str">
        <x:v>Later</x:v>
      </x:c>
      <x:c r="O12" s="36" t="str">
        <x:v>P2</x:v>
      </x:c>
      <x:c r="P12" s="37" t="str"/>
    </x:row>
  </x:sheetData>
  <x:mergeCells>
    <x:mergeCell ref="A1:P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Analytics &amp; Telemetry Stack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3">
      <x:c r="A3" s="14" t="str">
        <x:v>Event / Dataset</x:v>
      </x:c>
      <x:c r="B3" s="14" t="str">
        <x:v>Producer</x:v>
      </x:c>
      <x:c r="C3" s="14" t="str">
        <x:v>Transport</x:v>
      </x:c>
      <x:c r="D3" s="14" t="str">
        <x:v>Warehouse</x:v>
      </x:c>
      <x:c r="E3" s="14" t="str">
        <x:v>Primary Questions</x:v>
      </x:c>
      <x:c r="F3" s="14" t="str">
        <x:v>Gameplay Authority?</x:v>
      </x:c>
      <x:c r="G3" s="14" t="str">
        <x:v>PII Sensitivity</x:v>
      </x:c>
      <x:c r="H3" s="14" t="str">
        <x:v>Retention</x:v>
      </x:c>
      <x:c r="I3" s="14" t="str">
        <x:v>Partition</x:v>
      </x:c>
      <x:c r="J3" s="14" t="str">
        <x:v>Cluster</x:v>
      </x:c>
      <x:c r="K3" s="14" t="str">
        <x:v>Sampling?</x:v>
      </x:c>
      <x:c r="L3" s="14" t="str">
        <x:v>Dashboard</x:v>
      </x:c>
      <x:c r="M3" s="14" t="str">
        <x:v>Experiment Use</x:v>
      </x:c>
      <x:c r="N3" s="14" t="str">
        <x:v>MVP</x:v>
      </x:c>
      <x:c r="O3" s="14" t="str">
        <x:v>Priority</x:v>
      </x:c>
      <x:c r="P3" s="14" t="str">
        <x:v>Owner</x:v>
      </x:c>
      <x:c r="Q3" s="14" t="str">
        <x:v>Notes</x:v>
      </x:c>
    </x:row>
    <x:row r="4">
      <x:c r="A4" s="30" t="str">
        <x:v>building events</x:v>
      </x:c>
      <x:c r="B4" s="31" t="str">
        <x:v>Building</x:v>
      </x:c>
      <x:c r="C4" s="31" t="str">
        <x:v>Pub/Sub/event export</x:v>
      </x:c>
      <x:c r="D4" s="31" t="str">
        <x:v>BigQuery</x:v>
      </x:c>
      <x:c r="E4" s="31" t="str">
        <x:v>build/upgrade/move funnels, dominant layouts</x:v>
      </x:c>
      <x:c r="F4" s="31" t="str">
        <x:v>No</x:v>
      </x:c>
      <x:c r="G4" s="31" t="str">
        <x:v>Low</x:v>
      </x:c>
      <x:c r="H4" s="31" t="str">
        <x:v>Long</x:v>
      </x:c>
      <x:c r="I4" s="31" t="str">
        <x:v>event_date</x:v>
      </x:c>
      <x:c r="J4" s="31" t="str">
        <x:v>stage/building_type</x:v>
      </x:c>
      <x:c r="K4" s="31" t="str">
        <x:v>No core events</x:v>
      </x:c>
      <x:c r="L4" s="31" t="str">
        <x:v>Economy/Build</x:v>
      </x:c>
      <x:c r="M4" s="31" t="str">
        <x:v>Yes</x:v>
      </x:c>
      <x:c r="N4" s="31" t="str">
        <x:v>Yes</x:v>
      </x:c>
      <x:c r="O4" s="31" t="str">
        <x:v>P0</x:v>
      </x:c>
      <x:c r="P4" s="31" t="str">
        <x:v>Analytics</x:v>
      </x:c>
      <x:c r="Q4" s="32" t="str"/>
    </x:row>
    <x:row r="5">
      <x:c r="A5" s="33" t="str">
        <x:v>customer/economy aggregates</x:v>
      </x:c>
      <x:c r="B5" s="22" t="str">
        <x:v>Economy/Customer</x:v>
      </x:c>
      <x:c r="C5" s="22" t="str">
        <x:v>Scheduled/export</x:v>
      </x:c>
      <x:c r="D5" s="22" t="str">
        <x:v>BigQuery</x:v>
      </x:c>
      <x:c r="E5" s="22" t="str">
        <x:v>Cash inflation, churn, utilization, offline share</x:v>
      </x:c>
      <x:c r="F5" s="22" t="str">
        <x:v>No</x:v>
      </x:c>
      <x:c r="G5" s="22" t="str">
        <x:v>Medium gameplay</x:v>
      </x:c>
      <x:c r="H5" s="22" t="str">
        <x:v>Long</x:v>
      </x:c>
      <x:c r="I5" s="22" t="str">
        <x:v>date</x:v>
      </x:c>
      <x:c r="J5" s="22" t="str">
        <x:v>stage/cohort</x:v>
      </x:c>
      <x:c r="K5" s="22" t="str">
        <x:v>Aggregate high-volume rows</x:v>
      </x:c>
      <x:c r="L5" s="22" t="str">
        <x:v>Economy</x:v>
      </x:c>
      <x:c r="M5" s="22" t="str">
        <x:v>Yes</x:v>
      </x:c>
      <x:c r="N5" s="22" t="str">
        <x:v>Yes</x:v>
      </x:c>
      <x:c r="O5" s="22" t="str">
        <x:v>P0</x:v>
      </x:c>
      <x:c r="P5" s="22" t="str">
        <x:v>Analytics</x:v>
      </x:c>
      <x:c r="Q5" s="34" t="str"/>
    </x:row>
    <x:row r="6">
      <x:c r="A6" s="33" t="str">
        <x:v>module events</x:v>
      </x:c>
      <x:c r="B6" s="22" t="str">
        <x:v>Module</x:v>
      </x:c>
      <x:c r="C6" s="22" t="str">
        <x:v>Pub/Sub</x:v>
      </x:c>
      <x:c r="D6" s="22" t="str">
        <x:v>BigQuery</x:v>
      </x:c>
      <x:c r="E6" s="22" t="str">
        <x:v>equip rate, best-in-slot concentration, craft/source mix</x:v>
      </x:c>
      <x:c r="F6" s="22" t="str">
        <x:v>No</x:v>
      </x:c>
      <x:c r="G6" s="22" t="str">
        <x:v>Low</x:v>
      </x:c>
      <x:c r="H6" s="22" t="str">
        <x:v>Long</x:v>
      </x:c>
      <x:c r="I6" s="22" t="str">
        <x:v>event_date</x:v>
      </x:c>
      <x:c r="J6" s="22" t="str">
        <x:v>module/stage</x:v>
      </x:c>
      <x:c r="K6" s="22" t="str">
        <x:v>No</x:v>
      </x:c>
      <x:c r="L6" s="22" t="str">
        <x:v>Modules</x:v>
      </x:c>
      <x:c r="M6" s="22" t="str">
        <x:v>Yes</x:v>
      </x:c>
      <x:c r="N6" s="22" t="str">
        <x:v>P1</x:v>
      </x:c>
      <x:c r="O6" s="22" t="str">
        <x:v>P0/P1</x:v>
      </x:c>
      <x:c r="P6" s="22" t="str">
        <x:v>Analytics</x:v>
      </x:c>
      <x:c r="Q6" s="34" t="str"/>
    </x:row>
    <x:row r="7">
      <x:c r="A7" s="33" t="str">
        <x:v>hunt events</x:v>
      </x:c>
      <x:c r="B7" s="22" t="str">
        <x:v>Hunt</x:v>
      </x:c>
      <x:c r="C7" s="22" t="str">
        <x:v>Pub/Sub</x:v>
      </x:c>
      <x:c r="D7" s="22" t="str">
        <x:v>BigQuery</x:v>
      </x:c>
      <x:c r="E7" s="22" t="str">
        <x:v>offer/start/complete/drop behavior</x:v>
      </x:c>
      <x:c r="F7" s="22" t="str">
        <x:v>No</x:v>
      </x:c>
      <x:c r="G7" s="22" t="str">
        <x:v>Low</x:v>
      </x:c>
      <x:c r="H7" s="22" t="str">
        <x:v>Long</x:v>
      </x:c>
      <x:c r="I7" s="22" t="str">
        <x:v>event_date</x:v>
      </x:c>
      <x:c r="J7" s="22" t="str">
        <x:v>difficulty/stage</x:v>
      </x:c>
      <x:c r="K7" s="22" t="str">
        <x:v>No</x:v>
      </x:c>
      <x:c r="L7" s="22" t="str">
        <x:v>Hunts</x:v>
      </x:c>
      <x:c r="M7" s="22" t="str">
        <x:v>Yes</x:v>
      </x:c>
      <x:c r="N7" s="22" t="str">
        <x:v>Yes</x:v>
      </x:c>
      <x:c r="O7" s="22" t="str">
        <x:v>P0</x:v>
      </x:c>
      <x:c r="P7" s="22" t="str">
        <x:v>Analytics</x:v>
      </x:c>
      <x:c r="Q7" s="34" t="str"/>
    </x:row>
    <x:row r="8">
      <x:c r="A8" s="33" t="str">
        <x:v>retention/presence</x:v>
      </x:c>
      <x:c r="B8" s="22" t="str">
        <x:v>Presence/Retention</x:v>
      </x:c>
      <x:c r="C8" s="22" t="str">
        <x:v>Pub/Sub</x:v>
      </x:c>
      <x:c r="D8" s="22" t="str">
        <x:v>BigQuery</x:v>
      </x:c>
      <x:c r="E8" s="22" t="str">
        <x:v>D1/D7, sessions, active days, AFK, decision density</x:v>
      </x:c>
      <x:c r="F8" s="22" t="str">
        <x:v>No</x:v>
      </x:c>
      <x:c r="G8" s="22" t="str">
        <x:v>Medium</x:v>
      </x:c>
      <x:c r="H8" s="22" t="str">
        <x:v>Long</x:v>
      </x:c>
      <x:c r="I8" s="22" t="str">
        <x:v>date</x:v>
      </x:c>
      <x:c r="J8" s="22" t="str">
        <x:v>cohort/platform</x:v>
      </x:c>
      <x:c r="K8" s="22" t="str">
        <x:v>No canonical counters; raw can be sampled later</x:v>
      </x:c>
      <x:c r="L8" s="22" t="str">
        <x:v>Retention</x:v>
      </x:c>
      <x:c r="M8" s="22" t="str">
        <x:v>Yes</x:v>
      </x:c>
      <x:c r="N8" s="22" t="str">
        <x:v>Yes</x:v>
      </x:c>
      <x:c r="O8" s="22" t="str">
        <x:v>P0</x:v>
      </x:c>
      <x:c r="P8" s="22" t="str">
        <x:v>Analytics</x:v>
      </x:c>
      <x:c r="Q8" s="34" t="str"/>
    </x:row>
    <x:row r="9">
      <x:c r="A9" s="33" t="str">
        <x:v>performance/settlement</x:v>
      </x:c>
      <x:c r="B9" s="22" t="str">
        <x:v>Performance/Competition</x:v>
      </x:c>
      <x:c r="C9" s="22" t="str">
        <x:v>Batch/event</x:v>
      </x:c>
      <x:c r="D9" s="22" t="str">
        <x:v>BigQuery</x:v>
      </x:c>
      <x:c r="E9" s="22" t="str">
        <x:v>score distributions, league balance, payout concentration</x:v>
      </x:c>
      <x:c r="F9" s="22" t="str">
        <x:v>No</x:v>
      </x:c>
      <x:c r="G9" s="22" t="str">
        <x:v>Medium</x:v>
      </x:c>
      <x:c r="H9" s="22" t="str">
        <x:v>Permanent finals</x:v>
      </x:c>
      <x:c r="I9" s="22" t="str">
        <x:v>epoch</x:v>
      </x:c>
      <x:c r="J9" s="22" t="str">
        <x:v>league/stage</x:v>
      </x:c>
      <x:c r="K9" s="22" t="str">
        <x:v>No</x:v>
      </x:c>
      <x:c r="L9" s="22" t="str">
        <x:v>Competition</x:v>
      </x:c>
      <x:c r="M9" s="22" t="str">
        <x:v>Limited</x:v>
      </x:c>
      <x:c r="N9" s="22" t="str">
        <x:v>Yes</x:v>
      </x:c>
      <x:c r="O9" s="22" t="str">
        <x:v>P0</x:v>
      </x:c>
      <x:c r="P9" s="22" t="str">
        <x:v>Analytics</x:v>
      </x:c>
      <x:c r="Q9" s="34" t="str"/>
    </x:row>
    <x:row r="10">
      <x:c r="A10" s="33" t="str">
        <x:v>provider/stock analytics</x:v>
      </x:c>
      <x:c r="B10" s="22" t="str">
        <x:v>Stock</x:v>
      </x:c>
      <x:c r="C10" s="22" t="str">
        <x:v>Sanitized event export</x:v>
      </x:c>
      <x:c r="D10" s="22" t="str">
        <x:v>BigQuery</x:v>
      </x:c>
      <x:c r="E10" s="22" t="str">
        <x:v>claim conversion, provider failures, reconciliation</x:v>
      </x:c>
      <x:c r="F10" s="22" t="str">
        <x:v>No</x:v>
      </x:c>
      <x:c r="G10" s="22" t="str">
        <x:v>High/sensitive refs</x:v>
      </x:c>
      <x:c r="H10" s="22" t="str">
        <x:v>Policy</x:v>
      </x:c>
      <x:c r="I10" s="22" t="str">
        <x:v>date</x:v>
      </x:c>
      <x:c r="J10" s="22" t="str">
        <x:v>provider/status</x:v>
      </x:c>
      <x:c r="K10" s="22" t="str">
        <x:v>Yes/no raw payloads</x:v>
      </x:c>
      <x:c r="L10" s="22" t="str">
        <x:v>Stock</x:v>
      </x:c>
      <x:c r="M10" s="22" t="str">
        <x:v>Limited</x:v>
      </x:c>
      <x:c r="N10" s="22" t="str">
        <x:v>Later</x:v>
      </x:c>
      <x:c r="O10" s="22" t="str">
        <x:v>P1</x:v>
      </x:c>
      <x:c r="P10" s="22" t="str">
        <x:v>Finance/Analytics</x:v>
      </x:c>
      <x:c r="Q10" s="34" t="str">
        <x:v>Do not warehouse KYC documents</x:v>
      </x:c>
    </x:row>
    <x:row r="11">
      <x:c r="A11" s="35" t="str">
        <x:v>client performance</x:v>
      </x:c>
      <x:c r="B11" s="36" t="str">
        <x:v>Frontend/Sentry/RUM</x:v>
      </x:c>
      <x:c r="C11" s="36" t="str">
        <x:v>Telemetry SDK</x:v>
      </x:c>
      <x:c r="D11" s="36" t="str">
        <x:v>Monitoring/BigQuery optional</x:v>
      </x:c>
      <x:c r="E11" s="36" t="str">
        <x:v>FPS, crashes, iframe/device performance</x:v>
      </x:c>
      <x:c r="F11" s="36" t="str">
        <x:v>No</x:v>
      </x:c>
      <x:c r="G11" s="36" t="str">
        <x:v>Technical</x:v>
      </x:c>
      <x:c r="H11" s="36" t="str">
        <x:v>30-90d</x:v>
      </x:c>
      <x:c r="I11" s="36" t="str">
        <x:v>date</x:v>
      </x:c>
      <x:c r="J11" s="36" t="str">
        <x:v>device/version</x:v>
      </x:c>
      <x:c r="K11" s="36" t="str">
        <x:v>Yes</x:v>
      </x:c>
      <x:c r="L11" s="36" t="str">
        <x:v>Tech Health</x:v>
      </x:c>
      <x:c r="M11" s="36" t="str">
        <x:v>Yes</x:v>
      </x:c>
      <x:c r="N11" s="36" t="str">
        <x:v>Yes</x:v>
      </x:c>
      <x:c r="O11" s="36" t="str">
        <x:v>P0</x:v>
      </x:c>
      <x:c r="P11" s="36" t="str">
        <x:v>Frontend</x:v>
      </x:c>
      <x:c r="Q11" s="37" t="str"/>
    </x:row>
  </x:sheetData>
  <x:mergeCells>
    <x:mergeCell ref="A1:Q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GCP Infrastructure Topology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Component</x:v>
      </x:c>
      <x:c r="B3" s="14" t="str">
        <x:v>GCP Service</x:v>
      </x:c>
      <x:c r="C3" s="14" t="str">
        <x:v>Purpose</x:v>
      </x:c>
      <x:c r="D3" s="14" t="str">
        <x:v>Public?</x:v>
      </x:c>
      <x:c r="E3" s="14" t="str">
        <x:v>Autoscale</x:v>
      </x:c>
      <x:c r="F3" s="14" t="str">
        <x:v>Stateful?</x:v>
      </x:c>
      <x:c r="G3" s="14" t="str">
        <x:v>HA</x:v>
      </x:c>
      <x:c r="H3" s="14" t="str">
        <x:v>Backup</x:v>
      </x:c>
      <x:c r="I3" s="14" t="str">
        <x:v>Network</x:v>
      </x:c>
      <x:c r="J3" s="14" t="str">
        <x:v>Secret Access</x:v>
      </x:c>
      <x:c r="K3" s="14" t="str">
        <x:v>Observability</x:v>
      </x:c>
      <x:c r="L3" s="14" t="str">
        <x:v>Failure Impact</x:v>
      </x:c>
      <x:c r="M3" s="14" t="str">
        <x:v>MVP</x:v>
      </x:c>
      <x:c r="N3" s="14" t="str">
        <x:v>Priority</x:v>
      </x:c>
      <x:c r="O3" s="14" t="str">
        <x:v>Owner</x:v>
      </x:c>
      <x:c r="P3" s="14" t="str">
        <x:v>Notes</x:v>
      </x:c>
    </x:row>
    <x:row r="4">
      <x:c r="A4" s="30" t="str">
        <x:v>Web/API</x:v>
      </x:c>
      <x:c r="B4" s="31" t="str">
        <x:v>Cloud Run</x:v>
      </x:c>
      <x:c r="C4" s="31" t="str">
        <x:v>NestJS API + SSE endpoints</x:v>
      </x:c>
      <x:c r="D4" s="31" t="str">
        <x:v>Via LB/API layer</x:v>
      </x:c>
      <x:c r="E4" s="31" t="str">
        <x:v>Yes</x:v>
      </x:c>
      <x:c r="F4" s="31" t="str">
        <x:v>No</x:v>
      </x:c>
      <x:c r="G4" s="31" t="str">
        <x:v>Multi-instance</x:v>
      </x:c>
      <x:c r="H4" s="31" t="str">
        <x:v>Image/version rollback</x:v>
      </x:c>
      <x:c r="I4" s="31" t="str">
        <x:v>Private service connections as needed</x:v>
      </x:c>
      <x:c r="J4" s="31" t="str">
        <x:v>Secret Manager</x:v>
      </x:c>
      <x:c r="K4" s="31" t="str">
        <x:v>Cloud Monitoring/OTel/Sentry</x:v>
      </x:c>
      <x:c r="L4" s="31" t="str">
        <x:v>Gameplay API degraded</x:v>
      </x:c>
      <x:c r="M4" s="31" t="str">
        <x:v>Yes</x:v>
      </x:c>
      <x:c r="N4" s="31" t="str">
        <x:v>P0</x:v>
      </x:c>
      <x:c r="O4" s="31" t="str">
        <x:v>Backend</x:v>
      </x:c>
      <x:c r="P4" s="32" t="str"/>
    </x:row>
    <x:row r="5">
      <x:c r="A5" s="33" t="str">
        <x:v>Workers</x:v>
      </x:c>
      <x:c r="B5" s="22" t="str">
        <x:v>Cloud Run Jobs/services</x:v>
      </x:c>
      <x:c r="C5" s="22" t="str">
        <x:v>Pub/Sub/Tasks consumers</x:v>
      </x:c>
      <x:c r="D5" s="22" t="str">
        <x:v>No</x:v>
      </x:c>
      <x:c r="E5" s="22" t="str">
        <x:v>Yes</x:v>
      </x:c>
      <x:c r="F5" s="22" t="str">
        <x:v>No</x:v>
      </x:c>
      <x:c r="G5" s="22" t="str">
        <x:v>Multi-instance</x:v>
      </x:c>
      <x:c r="H5" s="22" t="str">
        <x:v>Replay queues</x:v>
      </x:c>
      <x:c r="I5" s="22" t="str">
        <x:v>Private</x:v>
      </x:c>
      <x:c r="J5" s="22" t="str">
        <x:v>Secret Manager</x:v>
      </x:c>
      <x:c r="K5" s="22" t="str">
        <x:v>Queue lag metrics</x:v>
      </x:c>
      <x:c r="L5" s="22" t="str">
        <x:v>Ticks/jobs delayed</x:v>
      </x:c>
      <x:c r="M5" s="22" t="str">
        <x:v>Yes</x:v>
      </x:c>
      <x:c r="N5" s="22" t="str">
        <x:v>P0</x:v>
      </x:c>
      <x:c r="O5" s="22" t="str">
        <x:v>Backend</x:v>
      </x:c>
      <x:c r="P5" s="34" t="str"/>
    </x:row>
    <x:row r="6">
      <x:c r="A6" s="33" t="str">
        <x:v>Postgres</x:v>
      </x:c>
      <x:c r="B6" s="22" t="str">
        <x:v>Cloud SQL for PostgreSQL</x:v>
      </x:c>
      <x:c r="C6" s="22" t="str">
        <x:v>Canonical state</x:v>
      </x:c>
      <x:c r="D6" s="22" t="str">
        <x:v>No</x:v>
      </x:c>
      <x:c r="E6" s="22" t="str">
        <x:v>Vertical/read replica options</x:v>
      </x:c>
      <x:c r="F6" s="22" t="str">
        <x:v>Yes</x:v>
      </x:c>
      <x:c r="G6" s="22" t="str">
        <x:v>Regional HA recommended</x:v>
      </x:c>
      <x:c r="H6" s="22" t="str">
        <x:v>PITR + backups</x:v>
      </x:c>
      <x:c r="I6" s="22" t="str">
        <x:v>Private IP</x:v>
      </x:c>
      <x:c r="J6" s="22" t="str">
        <x:v>DB credentials/IAM</x:v>
      </x:c>
      <x:c r="K6" s="22" t="str">
        <x:v>DB metrics</x:v>
      </x:c>
      <x:c r="L6" s="22" t="str">
        <x:v>Critical</x:v>
      </x:c>
      <x:c r="M6" s="22" t="str">
        <x:v>Yes</x:v>
      </x:c>
      <x:c r="N6" s="22" t="str">
        <x:v>P0</x:v>
      </x:c>
      <x:c r="O6" s="22" t="str">
        <x:v>Platform</x:v>
      </x:c>
      <x:c r="P6" s="34" t="str"/>
    </x:row>
    <x:row r="7">
      <x:c r="A7" s="33" t="str">
        <x:v>Redis</x:v>
      </x:c>
      <x:c r="B7" s="22" t="str">
        <x:v>Memorystore</x:v>
      </x:c>
      <x:c r="C7" s="22" t="str">
        <x:v>Caches/locks/read models</x:v>
      </x:c>
      <x:c r="D7" s="22" t="str">
        <x:v>No</x:v>
      </x:c>
      <x:c r="E7" s="22" t="str">
        <x:v>Tier dependent</x:v>
      </x:c>
      <x:c r="F7" s="22" t="str">
        <x:v>Yes ephemeral</x:v>
      </x:c>
      <x:c r="G7" s="22" t="str">
        <x:v>HA tier</x:v>
      </x:c>
      <x:c r="H7" s="22" t="str">
        <x:v>No canonical backup required</x:v>
      </x:c>
      <x:c r="I7" s="22" t="str">
        <x:v>Private IP</x:v>
      </x:c>
      <x:c r="J7" s="22" t="str">
        <x:v>IAM/network</x:v>
      </x:c>
      <x:c r="K7" s="22" t="str">
        <x:v>Memory/latency</x:v>
      </x:c>
      <x:c r="L7" s="22" t="str">
        <x:v>Performance degradation; no canonical loss</x:v>
      </x:c>
      <x:c r="M7" s="22" t="str">
        <x:v>Yes</x:v>
      </x:c>
      <x:c r="N7" s="22" t="str">
        <x:v>P0</x:v>
      </x:c>
      <x:c r="O7" s="22" t="str">
        <x:v>Platform</x:v>
      </x:c>
      <x:c r="P7" s="34" t="str"/>
    </x:row>
    <x:row r="8">
      <x:c r="A8" s="33" t="str">
        <x:v>Events</x:v>
      </x:c>
      <x:c r="B8" s="22" t="str">
        <x:v>Pub/Sub</x:v>
      </x:c>
      <x:c r="C8" s="22" t="str">
        <x:v>Domain event transport</x:v>
      </x:c>
      <x:c r="D8" s="22" t="str">
        <x:v>No</x:v>
      </x:c>
      <x:c r="E8" s="22" t="str">
        <x:v>Managed</x:v>
      </x:c>
      <x:c r="F8" s="22" t="str">
        <x:v>Managed</x:v>
      </x:c>
      <x:c r="G8" s="22" t="str">
        <x:v>Managed</x:v>
      </x:c>
      <x:c r="H8" s="22" t="str">
        <x:v>Retention/replay configured</x:v>
      </x:c>
      <x:c r="I8" s="22" t="str">
        <x:v>Private/service auth</x:v>
      </x:c>
      <x:c r="J8" s="22" t="str">
        <x:v>IAM</x:v>
      </x:c>
      <x:c r="K8" s="22" t="str">
        <x:v>Backlog</x:v>
      </x:c>
      <x:c r="L8" s="22" t="str">
        <x:v>Async delay</x:v>
      </x:c>
      <x:c r="M8" s="22" t="str">
        <x:v>Yes</x:v>
      </x:c>
      <x:c r="N8" s="22" t="str">
        <x:v>P0</x:v>
      </x:c>
      <x:c r="O8" s="22" t="str">
        <x:v>Platform</x:v>
      </x:c>
      <x:c r="P8" s="34" t="str"/>
    </x:row>
    <x:row r="9">
      <x:c r="A9" s="33" t="str">
        <x:v>Targeted jobs</x:v>
      </x:c>
      <x:c r="B9" s="22" t="str">
        <x:v>Cloud Tasks</x:v>
      </x:c>
      <x:c r="C9" s="22" t="str">
        <x:v>Due/retryable per-entity jobs</x:v>
      </x:c>
      <x:c r="D9" s="22" t="str">
        <x:v>No</x:v>
      </x:c>
      <x:c r="E9" s="22" t="str">
        <x:v>Managed</x:v>
      </x:c>
      <x:c r="F9" s="22" t="str">
        <x:v>Managed</x:v>
      </x:c>
      <x:c r="G9" s="22" t="str">
        <x:v>Managed</x:v>
      </x:c>
      <x:c r="H9" s="22" t="str">
        <x:v>Queue persistence</x:v>
      </x:c>
      <x:c r="I9" s="22" t="str">
        <x:v>Private/service auth</x:v>
      </x:c>
      <x:c r="J9" s="22" t="str">
        <x:v>IAM</x:v>
      </x:c>
      <x:c r="K9" s="22" t="str">
        <x:v>Queue metrics</x:v>
      </x:c>
      <x:c r="L9" s="22" t="str">
        <x:v>Upgrade/craft delay</x:v>
      </x:c>
      <x:c r="M9" s="22" t="str">
        <x:v>Yes</x:v>
      </x:c>
      <x:c r="N9" s="22" t="str">
        <x:v>P0</x:v>
      </x:c>
      <x:c r="O9" s="22" t="str">
        <x:v>Platform</x:v>
      </x:c>
      <x:c r="P9" s="34" t="str"/>
    </x:row>
    <x:row r="10">
      <x:c r="A10" s="33" t="str">
        <x:v>Schedules</x:v>
      </x:c>
      <x:c r="B10" s="22" t="str">
        <x:v>Cloud Scheduler</x:v>
      </x:c>
      <x:c r="C10" s="22" t="str">
        <x:v>Daily/weekly/hourly triggers</x:v>
      </x:c>
      <x:c r="D10" s="22" t="str">
        <x:v>No</x:v>
      </x:c>
      <x:c r="E10" s="22" t="str">
        <x:v>Managed</x:v>
      </x:c>
      <x:c r="F10" s="22" t="str">
        <x:v>Managed</x:v>
      </x:c>
      <x:c r="G10" s="22" t="str">
        <x:v>Managed</x:v>
      </x:c>
      <x:c r="H10" s="22" t="str">
        <x:v>Config</x:v>
      </x:c>
      <x:c r="I10" s="22" t="str">
        <x:v>Service auth</x:v>
      </x:c>
      <x:c r="J10" s="22" t="str">
        <x:v>IAM</x:v>
      </x:c>
      <x:c r="K10" s="22" t="str">
        <x:v>Job history</x:v>
      </x:c>
      <x:c r="L10" s="22" t="str">
        <x:v>Reset/settlement trigger delay</x:v>
      </x:c>
      <x:c r="M10" s="22" t="str">
        <x:v>Yes</x:v>
      </x:c>
      <x:c r="N10" s="22" t="str">
        <x:v>P0</x:v>
      </x:c>
      <x:c r="O10" s="22" t="str">
        <x:v>Platform</x:v>
      </x:c>
      <x:c r="P10" s="34" t="str"/>
    </x:row>
    <x:row r="11">
      <x:c r="A11" s="33" t="str">
        <x:v>Object storage</x:v>
      </x:c>
      <x:c r="B11" s="22" t="str">
        <x:v>Cloud Storage</x:v>
      </x:c>
      <x:c r="C11" s="22" t="str">
        <x:v>Manifests,exports,assets/config snapshots</x:v>
      </x:c>
      <x:c r="D11" s="22" t="str">
        <x:v>Mostly private/CDN as needed</x:v>
      </x:c>
      <x:c r="E11" s="22" t="str">
        <x:v>Managed</x:v>
      </x:c>
      <x:c r="F11" s="22" t="str">
        <x:v>Yes</x:v>
      </x:c>
      <x:c r="G11" s="22" t="str">
        <x:v>Managed</x:v>
      </x:c>
      <x:c r="H11" s="22" t="str">
        <x:v>Versioning/lifecycle</x:v>
      </x:c>
      <x:c r="I11" s="22" t="str">
        <x:v>Private/CDN</x:v>
      </x:c>
      <x:c r="J11" s="22" t="str">
        <x:v>IAM</x:v>
      </x:c>
      <x:c r="K11" s="22" t="str">
        <x:v>Access logs</x:v>
      </x:c>
      <x:c r="L11" s="22" t="str">
        <x:v>Asset/report degradation</x:v>
      </x:c>
      <x:c r="M11" s="22" t="str">
        <x:v>Yes</x:v>
      </x:c>
      <x:c r="N11" s="22" t="str">
        <x:v>P1</x:v>
      </x:c>
      <x:c r="O11" s="22" t="str">
        <x:v>Platform</x:v>
      </x:c>
      <x:c r="P11" s="34" t="str"/>
    </x:row>
    <x:row r="12">
      <x:c r="A12" s="33" t="str">
        <x:v>Analytics</x:v>
      </x:c>
      <x:c r="B12" s="22" t="str">
        <x:v>BigQuery</x:v>
      </x:c>
      <x:c r="C12" s="22" t="str">
        <x:v>Warehouse/LiveOps</x:v>
      </x:c>
      <x:c r="D12" s="22" t="str">
        <x:v>No</x:v>
      </x:c>
      <x:c r="E12" s="22" t="str">
        <x:v>Managed</x:v>
      </x:c>
      <x:c r="F12" s="22" t="str">
        <x:v>Yes</x:v>
      </x:c>
      <x:c r="G12" s="22" t="str">
        <x:v>Managed</x:v>
      </x:c>
      <x:c r="H12" s="22" t="str">
        <x:v>Managed</x:v>
      </x:c>
      <x:c r="I12" s="22" t="str">
        <x:v>Private</x:v>
      </x:c>
      <x:c r="J12" s="22" t="str">
        <x:v>IAM</x:v>
      </x:c>
      <x:c r="K12" s="22" t="str">
        <x:v>Query/cost dashboards</x:v>
      </x:c>
      <x:c r="L12" s="22" t="str">
        <x:v>No gameplay impact</x:v>
      </x:c>
      <x:c r="M12" s="22" t="str">
        <x:v>Yes</x:v>
      </x:c>
      <x:c r="N12" s="22" t="str">
        <x:v>P1</x:v>
      </x:c>
      <x:c r="O12" s="22" t="str">
        <x:v>Analytics</x:v>
      </x:c>
      <x:c r="P12" s="34" t="str"/>
    </x:row>
    <x:row r="13">
      <x:c r="A13" s="33" t="str">
        <x:v>Secrets</x:v>
      </x:c>
      <x:c r="B13" s="22" t="str">
        <x:v>Secret Manager</x:v>
      </x:c>
      <x:c r="C13" s="22" t="str">
        <x:v>Provider/RPC/service secrets</x:v>
      </x:c>
      <x:c r="D13" s="22" t="str">
        <x:v>No</x:v>
      </x:c>
      <x:c r="E13" s="22" t="str">
        <x:v>Managed</x:v>
      </x:c>
      <x:c r="F13" s="22" t="str">
        <x:v>Yes</x:v>
      </x:c>
      <x:c r="G13" s="22" t="str">
        <x:v>Managed</x:v>
      </x:c>
      <x:c r="H13" s="22" t="str">
        <x:v>Versioned</x:v>
      </x:c>
      <x:c r="I13" s="22" t="str">
        <x:v>Private</x:v>
      </x:c>
      <x:c r="J13" s="22" t="str">
        <x:v>IAM</x:v>
      </x:c>
      <x:c r="K13" s="22" t="str">
        <x:v>Audit logs</x:v>
      </x:c>
      <x:c r="L13" s="22" t="str">
        <x:v>External integrations disabled if inaccessible</x:v>
      </x:c>
      <x:c r="M13" s="22" t="str">
        <x:v>Yes</x:v>
      </x:c>
      <x:c r="N13" s="22" t="str">
        <x:v>P0</x:v>
      </x:c>
      <x:c r="O13" s="22" t="str">
        <x:v>Security</x:v>
      </x:c>
      <x:c r="P13" s="34" t="str"/>
    </x:row>
    <x:row r="14">
      <x:c r="A14" s="35" t="str">
        <x:v>Edge</x:v>
      </x:c>
      <x:c r="B14" s="36" t="str">
        <x:v>Cloudflare and/or GCP LB/CDN</x:v>
      </x:c>
      <x:c r="C14" s="36" t="str">
        <x:v>TLS,WAF,static delivery,rate shield</x:v>
      </x:c>
      <x:c r="D14" s="36" t="str">
        <x:v>Yes</x:v>
      </x:c>
      <x:c r="E14" s="36" t="str">
        <x:v>Managed</x:v>
      </x:c>
      <x:c r="F14" s="36" t="str">
        <x:v>No</x:v>
      </x:c>
      <x:c r="G14" s="36" t="str">
        <x:v>Managed</x:v>
      </x:c>
      <x:c r="H14" s="36" t="str">
        <x:v>Config</x:v>
      </x:c>
      <x:c r="I14" s="36" t="str">
        <x:v>Public edge</x:v>
      </x:c>
      <x:c r="J14" s="36" t="str">
        <x:v>No app secrets</x:v>
      </x:c>
      <x:c r="K14" s="36" t="str">
        <x:v>Edge metrics</x:v>
      </x:c>
      <x:c r="L14" s="36" t="str">
        <x:v>Access/perf degradation</x:v>
      </x:c>
      <x:c r="M14" s="36" t="str">
        <x:v>Yes</x:v>
      </x:c>
      <x:c r="N14" s="36" t="str">
        <x:v>P0</x:v>
      </x:c>
      <x:c r="O14" s="36" t="str">
        <x:v>Platform</x:v>
      </x:c>
      <x:c r="P14" s="37" t="str">
        <x:v>Choose final edge pattern based on Family hosting</x:v>
      </x:c>
    </x:row>
  </x:sheetData>
  <x:mergeCells>
    <x:mergeCell ref="A1:P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Monorepo Structure — pnpm + Turborepo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Path</x:v>
      </x:c>
      <x:c r="B3" s="14" t="str">
        <x:v>Type</x:v>
      </x:c>
      <x:c r="C3" s="14" t="str">
        <x:v>Purpose</x:v>
      </x:c>
      <x:c r="D3" s="14" t="str">
        <x:v>Can Import From</x:v>
      </x:c>
      <x:c r="E3" s="14" t="str">
        <x:v>Cannot Import</x:v>
      </x:c>
      <x:c r="F3" s="14" t="str">
        <x:v>Build Output</x:v>
      </x:c>
      <x:c r="G3" s="14" t="str">
        <x:v>Owner</x:v>
      </x:c>
      <x:c r="H3" s="14" t="str">
        <x:v>Test Type</x:v>
      </x:c>
      <x:c r="I3" s="14" t="str">
        <x:v>Versioned Config?</x:v>
      </x:c>
      <x:c r="J3" s="14" t="str">
        <x:v>Deployable?</x:v>
      </x:c>
      <x:c r="K3" s="14" t="str">
        <x:v>Runtime</x:v>
      </x:c>
      <x:c r="L3" s="14" t="str">
        <x:v>MVP</x:v>
      </x:c>
      <x:c r="M3" s="14" t="str">
        <x:v>Priority</x:v>
      </x:c>
      <x:c r="N3" s="14" t="str">
        <x:v>Codegen</x:v>
      </x:c>
      <x:c r="O3" s="14" t="str">
        <x:v>Boundary Rule</x:v>
      </x:c>
      <x:c r="P3" s="14" t="str">
        <x:v>Notes</x:v>
      </x:c>
    </x:row>
    <x:row r="4">
      <x:c r="A4" s="30" t="str">
        <x:v>apps/web</x:v>
      </x:c>
      <x:c r="B4" s="31" t="str">
        <x:v>App</x:v>
      </x:c>
      <x:c r="C4" s="31" t="str">
        <x:v>React + Pixi PLOT client</x:v>
      </x:c>
      <x:c r="D4" s="31" t="str">
        <x:v>packages/ui,api-types,game-config,sdk</x:v>
      </x:c>
      <x:c r="E4" s="31" t="str">
        <x:v>server domain internals</x:v>
      </x:c>
      <x:c r="F4" s="31" t="str">
        <x:v>static bundle</x:v>
      </x:c>
      <x:c r="G4" s="31" t="str">
        <x:v>Frontend</x:v>
      </x:c>
      <x:c r="H4" s="31" t="str">
        <x:v>Vitest/Playwright</x:v>
      </x:c>
      <x:c r="I4" s="31" t="str">
        <x:v>Reads</x:v>
      </x:c>
      <x:c r="J4" s="31" t="str">
        <x:v>Yes</x:v>
      </x:c>
      <x:c r="K4" s="31" t="str">
        <x:v>Browser iframe</x:v>
      </x:c>
      <x:c r="L4" s="31" t="str">
        <x:v>Yes</x:v>
      </x:c>
      <x:c r="M4" s="31" t="str">
        <x:v>P0</x:v>
      </x:c>
      <x:c r="N4" s="31" t="str">
        <x:v>API client/types</x:v>
      </x:c>
      <x:c r="O4" s="31" t="str">
        <x:v>No direct DB/provider imports</x:v>
      </x:c>
      <x:c r="P4" s="32" t="str"/>
    </x:row>
    <x:row r="5">
      <x:c r="A5" s="33" t="str">
        <x:v>apps/api</x:v>
      </x:c>
      <x:c r="B5" s="22" t="str">
        <x:v>App</x:v>
      </x:c>
      <x:c r="C5" s="22" t="str">
        <x:v>NestJS HTTP/realtime modular monolith</x:v>
      </x:c>
      <x:c r="D5" s="22" t="str">
        <x:v>domain packages/shared packages</x:v>
      </x:c>
      <x:c r="E5" s="22" t="str">
        <x:v>web UI</x:v>
      </x:c>
      <x:c r="F5" s="22" t="str">
        <x:v>container</x:v>
      </x:c>
      <x:c r="G5" s="22" t="str">
        <x:v>Backend</x:v>
      </x:c>
      <x:c r="H5" s="22" t="str">
        <x:v>Vitest/E2E</x:v>
      </x:c>
      <x:c r="I5" s="22" t="str">
        <x:v>Owns active server config refs</x:v>
      </x:c>
      <x:c r="J5" s="22" t="str">
        <x:v>Yes</x:v>
      </x:c>
      <x:c r="K5" s="22" t="str">
        <x:v>Node</x:v>
      </x:c>
      <x:c r="L5" s="22" t="str">
        <x:v>Yes</x:v>
      </x:c>
      <x:c r="M5" s="22" t="str">
        <x:v>P0</x:v>
      </x:c>
      <x:c r="N5" s="22" t="str">
        <x:v>OpenAPI</x:v>
      </x:c>
      <x:c r="O5" s="22" t="str"/>
      <x:c r="P5" s="34"/>
    </x:row>
    <x:row r="6">
      <x:c r="A6" s="33" t="str">
        <x:v>apps/workers</x:v>
      </x:c>
      <x:c r="B6" s="22" t="str">
        <x:v>App</x:v>
      </x:c>
      <x:c r="C6" s="22" t="str">
        <x:v>Queue/scheduler consumers</x:v>
      </x:c>
      <x:c r="D6" s="22" t="str">
        <x:v>domain/shared packages</x:v>
      </x:c>
      <x:c r="E6" s="22" t="str">
        <x:v>web UI</x:v>
      </x:c>
      <x:c r="F6" s="22" t="str">
        <x:v>container</x:v>
      </x:c>
      <x:c r="G6" s="22" t="str">
        <x:v>Backend</x:v>
      </x:c>
      <x:c r="H6" s="22" t="str">
        <x:v>Worker/integration</x:v>
      </x:c>
      <x:c r="I6" s="22" t="str">
        <x:v>Owns job versions</x:v>
      </x:c>
      <x:c r="J6" s="22" t="str">
        <x:v>Yes</x:v>
      </x:c>
      <x:c r="K6" s="22" t="str">
        <x:v>Node</x:v>
      </x:c>
      <x:c r="L6" s="22" t="str">
        <x:v>Yes</x:v>
      </x:c>
      <x:c r="M6" s="22" t="str">
        <x:v>P0</x:v>
      </x:c>
      <x:c r="N6" s="22" t="str">
        <x:v>Event schemas</x:v>
      </x:c>
      <x:c r="O6" s="22" t="str">
        <x:v>Can share domain services</x:v>
      </x:c>
      <x:c r="P6" s="34"/>
    </x:row>
    <x:row r="7">
      <x:c r="A7" s="33" t="str">
        <x:v>packages/api-types</x:v>
      </x:c>
      <x:c r="B7" s="22" t="str">
        <x:v>Package</x:v>
      </x:c>
      <x:c r="C7" s="22" t="str">
        <x:v>Request/response/event schemas</x:v>
      </x:c>
      <x:c r="D7" s="22" t="str">
        <x:v>validation only</x:v>
      </x:c>
      <x:c r="E7" s="22" t="str">
        <x:v>runtime domain implementation</x:v>
      </x:c>
      <x:c r="F7" s="22" t="str">
        <x:v>library</x:v>
      </x:c>
      <x:c r="G7" s="22" t="str">
        <x:v>Platform</x:v>
      </x:c>
      <x:c r="H7" s="22" t="str">
        <x:v>Contract tests</x:v>
      </x:c>
      <x:c r="I7" s="22" t="str">
        <x:v>Schemas</x:v>
      </x:c>
      <x:c r="J7" s="22" t="str">
        <x:v>No</x:v>
      </x:c>
      <x:c r="K7" s="22" t="str">
        <x:v>Shared</x:v>
      </x:c>
      <x:c r="L7" s="22" t="str">
        <x:v>Yes</x:v>
      </x:c>
      <x:c r="M7" s="22" t="str">
        <x:v>P0</x:v>
      </x:c>
      <x:c r="N7" s="22" t="str">
        <x:v>OpenAPI/Zod</x:v>
      </x:c>
      <x:c r="O7" s="22" t="str">
        <x:v>Pure types/contracts</x:v>
      </x:c>
      <x:c r="P7" s="34" t="str"/>
    </x:row>
    <x:row r="8">
      <x:c r="A8" s="33" t="str">
        <x:v>packages/game-config</x:v>
      </x:c>
      <x:c r="B8" s="22" t="str">
        <x:v>Package/data</x:v>
      </x:c>
      <x:c r="C8" s="22" t="str">
        <x:v>Typed config schemas/defaults/test fixtures</x:v>
      </x:c>
      <x:c r="D8" s="22" t="str">
        <x:v>validation</x:v>
      </x:c>
      <x:c r="E8" s="22" t="str">
        <x:v>secret/provider code</x:v>
      </x:c>
      <x:c r="F8" s="22" t="str">
        <x:v>library/config artifacts</x:v>
      </x:c>
      <x:c r="G8" s="22" t="str">
        <x:v>Game Systems</x:v>
      </x:c>
      <x:c r="H8" s="22" t="str">
        <x:v>Schema/model checks</x:v>
      </x:c>
      <x:c r="I8" s="22" t="str">
        <x:v>Yes immutable versions</x:v>
      </x:c>
      <x:c r="J8" s="22" t="str">
        <x:v>No</x:v>
      </x:c>
      <x:c r="K8" s="22" t="str">
        <x:v>Shared/server primarily</x:v>
      </x:c>
      <x:c r="L8" s="22" t="str">
        <x:v>Yes</x:v>
      </x:c>
      <x:c r="M8" s="22" t="str">
        <x:v>P0</x:v>
      </x:c>
      <x:c r="N8" s="22" t="str">
        <x:v>Config generation</x:v>
      </x:c>
      <x:c r="O8" s="22" t="str">
        <x:v>Frontend may receive safe read subset only</x:v>
      </x:c>
      <x:c r="P8" s="34" t="str"/>
    </x:row>
    <x:row r="9">
      <x:c r="A9" s="33" t="str">
        <x:v>packages/ui</x:v>
      </x:c>
      <x:c r="B9" s="22" t="str">
        <x:v>Package</x:v>
      </x:c>
      <x:c r="C9" s="22" t="str">
        <x:v>Reusable React components/design tokens</x:v>
      </x:c>
      <x:c r="D9" s="22" t="str">
        <x:v>api-types</x:v>
      </x:c>
      <x:c r="E9" s="22" t="str">
        <x:v>server code</x:v>
      </x:c>
      <x:c r="F9" s="22" t="str">
        <x:v>library</x:v>
      </x:c>
      <x:c r="G9" s="22" t="str">
        <x:v>Frontend</x:v>
      </x:c>
      <x:c r="H9" s="22" t="str">
        <x:v>Component/A11y</x:v>
      </x:c>
      <x:c r="I9" s="22" t="str">
        <x:v>No</x:v>
      </x:c>
      <x:c r="J9" s="22" t="str">
        <x:v>No</x:v>
      </x:c>
      <x:c r="K9" s="22" t="str">
        <x:v>Browser</x:v>
      </x:c>
      <x:c r="L9" s="22" t="str">
        <x:v>Yes</x:v>
      </x:c>
      <x:c r="M9" s="22" t="str">
        <x:v>P0</x:v>
      </x:c>
      <x:c r="N9" s="22" t="str">
        <x:v>Storybook optional</x:v>
      </x:c>
      <x:c r="O9" s="22" t="str">
        <x:v>No game authority</x:v>
      </x:c>
      <x:c r="P9" s="34" t="str"/>
    </x:row>
    <x:row r="10">
      <x:c r="A10" s="33" t="str">
        <x:v>packages/simulation</x:v>
      </x:c>
      <x:c r="B10" s="22" t="str">
        <x:v>Package</x:v>
      </x:c>
      <x:c r="C10" s="22" t="str">
        <x:v>Pure deterministic calculation functions</x:v>
      </x:c>
      <x:c r="D10" s="22" t="str">
        <x:v>game-config,shared math</x:v>
      </x:c>
      <x:c r="E10" s="22" t="str">
        <x:v>HTTP/DB/client</x:v>
      </x:c>
      <x:c r="F10" s="22" t="str">
        <x:v>library</x:v>
      </x:c>
      <x:c r="G10" s="22" t="str">
        <x:v>Game Systems/Backend</x:v>
      </x:c>
      <x:c r="H10" s="22" t="str">
        <x:v>Property/simulation tests</x:v>
      </x:c>
      <x:c r="I10" s="22" t="str">
        <x:v>Runtime versioned</x:v>
      </x:c>
      <x:c r="J10" s="22" t="str">
        <x:v>No</x:v>
      </x:c>
      <x:c r="K10" s="22" t="str">
        <x:v>Node; test runner</x:v>
      </x:c>
      <x:c r="L10" s="22" t="str">
        <x:v>Yes</x:v>
      </x:c>
      <x:c r="M10" s="22" t="str">
        <x:v>P0</x:v>
      </x:c>
      <x:c r="N10" s="22" t="str">
        <x:v>Fixtures</x:v>
      </x:c>
      <x:c r="O10" s="22" t="str">
        <x:v>Pure functions where practical</x:v>
      </x:c>
      <x:c r="P10" s="34" t="str"/>
    </x:row>
    <x:row r="11">
      <x:c r="A11" s="33" t="str">
        <x:v>packages/blockchain</x:v>
      </x:c>
      <x:c r="B11" s="22" t="str">
        <x:v>Package</x:v>
      </x:c>
      <x:c r="C11" s="22" t="str">
        <x:v>ABIs, addresses, chain helpers</x:v>
      </x:c>
      <x:c r="D11" s="22" t="str">
        <x:v>api-types</x:v>
      </x:c>
      <x:c r="E11" s="22" t="str">
        <x:v>DB/domain internals</x:v>
      </x:c>
      <x:c r="F11" s="22" t="str">
        <x:v>library</x:v>
      </x:c>
      <x:c r="G11" s="22" t="str">
        <x:v>Blockchain</x:v>
      </x:c>
      <x:c r="H11" s="22" t="str">
        <x:v>Foundry/integration</x:v>
      </x:c>
      <x:c r="I11" s="22" t="str">
        <x:v>Contract versions</x:v>
      </x:c>
      <x:c r="J11" s="22" t="str">
        <x:v>No</x:v>
      </x:c>
      <x:c r="K11" s="22" t="str">
        <x:v>Node/browser safe subsets</x:v>
      </x:c>
      <x:c r="L11" s="22" t="str">
        <x:v>Yes</x:v>
      </x:c>
      <x:c r="M11" s="22" t="str">
        <x:v>P0</x:v>
      </x:c>
      <x:c r="N11" s="22" t="str">
        <x:v>ABI codegen</x:v>
      </x:c>
      <x:c r="O11" s="22" t="str">
        <x:v>Separate signer-only server module</x:v>
      </x:c>
      <x:c r="P11" s="34" t="str"/>
    </x:row>
    <x:row r="12">
      <x:c r="A12" s="33" t="str">
        <x:v>packages/provider-adapters</x:v>
      </x:c>
      <x:c r="B12" s="22" t="str">
        <x:v>Package</x:v>
      </x:c>
      <x:c r="C12" s="22" t="str">
        <x:v>Stock/RPC/notification adapters</x:v>
      </x:c>
      <x:c r="D12" s="22" t="str">
        <x:v>api-types,validation</x:v>
      </x:c>
      <x:c r="E12" s="22" t="str">
        <x:v>UI</x:v>
      </x:c>
      <x:c r="F12" s="22" t="str">
        <x:v>library</x:v>
      </x:c>
      <x:c r="G12" s="22" t="str">
        <x:v>Backend</x:v>
      </x:c>
      <x:c r="H12" s="22" t="str">
        <x:v>Contract/failure tests</x:v>
      </x:c>
      <x:c r="I12" s="22" t="str">
        <x:v>Adapter versions</x:v>
      </x:c>
      <x:c r="J12" s="22" t="str">
        <x:v>No</x:v>
      </x:c>
      <x:c r="K12" s="22" t="str">
        <x:v>Node</x:v>
      </x:c>
      <x:c r="L12" s="22" t="str">
        <x:v>Later</x:v>
      </x:c>
      <x:c r="M12" s="22" t="str">
        <x:v>P1</x:v>
      </x:c>
      <x:c r="N12" s="22" t="str">
        <x:v>Mock generation</x:v>
      </x:c>
      <x:c r="O12" s="22" t="str">
        <x:v>Interfaces first</x:v>
      </x:c>
      <x:c r="P12" s="34" t="str"/>
    </x:row>
    <x:row r="13">
      <x:c r="A13" s="35" t="str">
        <x:v>infrastructure/terraform</x:v>
      </x:c>
      <x:c r="B13" s="36" t="str">
        <x:v>Infra</x:v>
      </x:c>
      <x:c r="C13" s="36" t="str">
        <x:v>GCP resources/IAM/network</x:v>
      </x:c>
      <x:c r="D13" s="36" t="str">
        <x:v>N/A</x:v>
      </x:c>
      <x:c r="E13" s="36" t="str">
        <x:v>app imports</x:v>
      </x:c>
      <x:c r="F13" s="36" t="str">
        <x:v>plans/state external</x:v>
      </x:c>
      <x:c r="G13" s="36" t="str">
        <x:v>Platform</x:v>
      </x:c>
      <x:c r="H13" s="36" t="str">
        <x:v>plan/policy tests</x:v>
      </x:c>
      <x:c r="I13" s="36" t="str">
        <x:v>Yes</x:v>
      </x:c>
      <x:c r="J13" s="36" t="str">
        <x:v>Infra</x:v>
      </x:c>
      <x:c r="K13" s="36" t="str">
        <x:v>Terraform</x:v>
      </x:c>
      <x:c r="L13" s="36" t="str">
        <x:v>Yes</x:v>
      </x:c>
      <x:c r="M13" s="36" t="str">
        <x:v>P0</x:v>
      </x:c>
      <x:c r="N13" s="36" t="str">
        <x:v>N/A</x:v>
      </x:c>
      <x:c r="O13" s="36" t="str">
        <x:v>No manual prod drift</x:v>
      </x:c>
      <x:c r="P13" s="37" t="str"/>
    </x:row>
  </x:sheetData>
  <x:mergeCells>
    <x:mergeCell ref="A1:P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CI/CD, Environments &amp; Release Strategy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Area</x:v>
      </x:c>
      <x:c r="B3" s="14" t="str">
        <x:v>Dev</x:v>
      </x:c>
      <x:c r="C3" s="14" t="str">
        <x:v>Preview / PR</x:v>
      </x:c>
      <x:c r="D3" s="14" t="str">
        <x:v>Staging</x:v>
      </x:c>
      <x:c r="E3" s="14" t="str">
        <x:v>Production</x:v>
      </x:c>
      <x:c r="F3" s="14" t="str">
        <x:v>Tooling</x:v>
      </x:c>
      <x:c r="G3" s="14" t="str">
        <x:v>Gate</x:v>
      </x:c>
      <x:c r="H3" s="14" t="str">
        <x:v>Rollback</x:v>
      </x:c>
      <x:c r="I3" s="14" t="str">
        <x:v>Config Strategy</x:v>
      </x:c>
      <x:c r="J3" s="14" t="str">
        <x:v>DB Migration</x:v>
      </x:c>
      <x:c r="K3" s="14" t="str">
        <x:v>Secrets</x:v>
      </x:c>
      <x:c r="L3" s="14" t="str">
        <x:v>Observability</x:v>
      </x:c>
      <x:c r="M3" s="14" t="str">
        <x:v>Approval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Frontend</x:v>
      </x:c>
      <x:c r="B4" s="31" t="str">
        <x:v>Local Vite</x:v>
      </x:c>
      <x:c r="C4" s="31" t="str">
        <x:v>Ephemeral preview build</x:v>
      </x:c>
      <x:c r="D4" s="31" t="str">
        <x:v>Family-compatible staging iframe</x:v>
      </x:c>
      <x:c r="E4" s="31" t="str">
        <x:v>Versioned production bundle</x:v>
      </x:c>
      <x:c r="F4" s="31" t="str">
        <x:v>GitHub Actions / CI platform</x:v>
      </x:c>
      <x:c r="G4" s="31" t="str">
        <x:v>Lint+type+unit+build+Playwright smoke</x:v>
      </x:c>
      <x:c r="H4" s="31" t="str">
        <x:v>Previous bundle</x:v>
      </x:c>
      <x:c r="I4" s="31" t="str">
        <x:v>Environment-safe public config</x:v>
      </x:c>
      <x:c r="J4" s="31" t="str">
        <x:v>N/A</x:v>
      </x:c>
      <x:c r="K4" s="31" t="str">
        <x:v>No private secrets in bundle</x:v>
      </x:c>
      <x:c r="L4" s="31" t="str">
        <x:v>Sentry/RUM</x:v>
      </x:c>
      <x:c r="M4" s="31" t="str">
        <x:v>Auto staging; prod protected</x:v>
      </x:c>
      <x:c r="N4" s="31" t="str">
        <x:v>Yes</x:v>
      </x:c>
      <x:c r="O4" s="31" t="str">
        <x:v>P0</x:v>
      </x:c>
      <x:c r="P4" s="32" t="str"/>
    </x:row>
    <x:row r="5">
      <x:c r="A5" s="33" t="str">
        <x:v>API</x:v>
      </x:c>
      <x:c r="B5" s="22" t="str">
        <x:v>Local container</x:v>
      </x:c>
      <x:c r="C5" s="22" t="str">
        <x:v>Ephemeral/shared test API</x:v>
      </x:c>
      <x:c r="D5" s="22" t="str">
        <x:v>Staging Cloud Run</x:v>
      </x:c>
      <x:c r="E5" s="22" t="str">
        <x:v>Prod Cloud Run</x:v>
      </x:c>
      <x:c r="F5" s="22" t="str">
        <x:v>CI build + artifact registry</x:v>
      </x:c>
      <x:c r="G5" s="22" t="str">
        <x:v>Unit+integration+contract+security scan</x:v>
      </x:c>
      <x:c r="H5" s="22" t="str">
        <x:v>Previous image/revision</x:v>
      </x:c>
      <x:c r="I5" s="22" t="str">
        <x:v>Versioned game config pointer</x:v>
      </x:c>
      <x:c r="J5" s="22" t="str">
        <x:v>Forward-compatible migration before app switch</x:v>
      </x:c>
      <x:c r="K5" s="22" t="str">
        <x:v>Secret Manager</x:v>
      </x:c>
      <x:c r="L5" s="22" t="str">
        <x:v>OTel/Cloud Monitoring/Sentry</x:v>
      </x:c>
      <x:c r="M5" s="22" t="str">
        <x:v>Prod approval</x:v>
      </x:c>
      <x:c r="N5" s="22" t="str">
        <x:v>Yes</x:v>
      </x:c>
      <x:c r="O5" s="22" t="str">
        <x:v>P0</x:v>
      </x:c>
      <x:c r="P5" s="34" t="str"/>
    </x:row>
    <x:row r="6">
      <x:c r="A6" s="33" t="str">
        <x:v>Workers</x:v>
      </x:c>
      <x:c r="B6" s="22" t="str">
        <x:v>Local consumers</x:v>
      </x:c>
      <x:c r="C6" s="22" t="str">
        <x:v>Test queue namespace</x:v>
      </x:c>
      <x:c r="D6" s="22" t="str">
        <x:v>Staging queues</x:v>
      </x:c>
      <x:c r="E6" s="22" t="str">
        <x:v>Prod queues</x:v>
      </x:c>
      <x:c r="F6" s="22" t="str">
        <x:v>CI image</x:v>
      </x:c>
      <x:c r="G6" s="22" t="str">
        <x:v>Idempotency + failure tests</x:v>
      </x:c>
      <x:c r="H6" s="22" t="str">
        <x:v>Previous worker image</x:v>
      </x:c>
      <x:c r="I6" s="22" t="str">
        <x:v>Job/config versions</x:v>
      </x:c>
      <x:c r="J6" s="22" t="str">
        <x:v>Same DB compatibility window</x:v>
      </x:c>
      <x:c r="K6" s="22" t="str">
        <x:v>Secret Manager</x:v>
      </x:c>
      <x:c r="L6" s="22" t="str">
        <x:v>Queue lag/error</x:v>
      </x:c>
      <x:c r="M6" s="22" t="str">
        <x:v>Prod approval</x:v>
      </x:c>
      <x:c r="N6" s="22" t="str">
        <x:v>Yes</x:v>
      </x:c>
      <x:c r="O6" s="22" t="str">
        <x:v>P0</x:v>
      </x:c>
      <x:c r="P6" s="34" t="str"/>
    </x:row>
    <x:row r="7">
      <x:c r="A7" s="33" t="str">
        <x:v>Database</x:v>
      </x:c>
      <x:c r="B7" s="22" t="str">
        <x:v>Local Postgres</x:v>
      </x:c>
      <x:c r="C7" s="22" t="str">
        <x:v>Disposable/branch DB if supported</x:v>
      </x:c>
      <x:c r="D7" s="22" t="str">
        <x:v>Staging Cloud SQL</x:v>
      </x:c>
      <x:c r="E7" s="22" t="str">
        <x:v>Prod Cloud SQL</x:v>
      </x:c>
      <x:c r="F7" s="22" t="str">
        <x:v>Migration tool via Drizzle/SQL</x:v>
      </x:c>
      <x:c r="G7" s="22" t="str">
        <x:v>Migration dry run + backup/PITR check</x:v>
      </x:c>
      <x:c r="H7" s="22" t="str">
        <x:v>Forward fix or compatible down plan where safe</x:v>
      </x:c>
      <x:c r="I7" s="22" t="str">
        <x:v>Schema + config versions separate</x:v>
      </x:c>
      <x:c r="J7" s="22" t="str">
        <x:v>Expand/migrate/contract</x:v>
      </x:c>
      <x:c r="K7" s="22" t="str">
        <x:v>DB creds/IAM</x:v>
      </x:c>
      <x:c r="L7" s="22" t="str">
        <x:v>DB metrics</x:v>
      </x:c>
      <x:c r="M7" s="22" t="str">
        <x:v>Manual high-risk</x:v>
      </x:c>
      <x:c r="N7" s="22" t="str">
        <x:v>Yes</x:v>
      </x:c>
      <x:c r="O7" s="22" t="str">
        <x:v>P0</x:v>
      </x:c>
      <x:c r="P7" s="34" t="str">
        <x:v>Avoid breaking schema release</x:v>
      </x:c>
    </x:row>
    <x:row r="8">
      <x:c r="A8" s="33" t="str">
        <x:v>Game config</x:v>
      </x:c>
      <x:c r="B8" s="22" t="str">
        <x:v>Local fixtures</x:v>
      </x:c>
      <x:c r="C8" s="22" t="str">
        <x:v>PR config validation</x:v>
      </x:c>
      <x:c r="D8" s="22" t="str">
        <x:v>Staging active pointer</x:v>
      </x:c>
      <x:c r="E8" s="22" t="str">
        <x:v>Prod immutable config + active pointer</x:v>
      </x:c>
      <x:c r="F8" s="22" t="str">
        <x:v>Config pipeline</x:v>
      </x:c>
      <x:c r="G8" s="22" t="str">
        <x:v>Schema/model checks + balance checks</x:v>
      </x:c>
      <x:c r="H8" s="22" t="str">
        <x:v>Repoint previous config</x:v>
      </x:c>
      <x:c r="I8" s="22" t="str">
        <x:v>Never overwrite historical version</x:v>
      </x:c>
      <x:c r="J8" s="22" t="str">
        <x:v>No schema migration unless contract changes</x:v>
      </x:c>
      <x:c r="K8" s="22" t="str">
        <x:v>Admin auth</x:v>
      </x:c>
      <x:c r="L8" s="22" t="str">
        <x:v>Config audit</x:v>
      </x:c>
      <x:c r="M8" s="22" t="str">
        <x:v>Game Systems approval</x:v>
      </x:c>
      <x:c r="N8" s="22" t="str">
        <x:v>Yes</x:v>
      </x:c>
      <x:c r="O8" s="22" t="str">
        <x:v>P0</x:v>
      </x:c>
      <x:c r="P8" s="34" t="str"/>
    </x:row>
    <x:row r="9">
      <x:c r="A9" s="35" t="str">
        <x:v>Contracts</x:v>
      </x:c>
      <x:c r="B9" s="36" t="str">
        <x:v>Local Foundry</x:v>
      </x:c>
      <x:c r="C9" s="36" t="str">
        <x:v>Testnet</x:v>
      </x:c>
      <x:c r="D9" s="36" t="str">
        <x:v>Testnet/staging</x:v>
      </x:c>
      <x:c r="E9" s="36" t="str">
        <x:v>Production chain</x:v>
      </x:c>
      <x:c r="F9" s="36" t="str">
        <x:v>Foundry + deployment scripts</x:v>
      </x:c>
      <x:c r="G9" s="36" t="str">
        <x:v>Tests+simulation+review</x:v>
      </x:c>
      <x:c r="H9" s="36" t="str">
        <x:v>Upgrade/pause only if contract design supports; otherwise new deployment</x:v>
      </x:c>
      <x:c r="I9" s="36" t="str">
        <x:v>Address registry versioned</x:v>
      </x:c>
      <x:c r="J9" s="36" t="str">
        <x:v>N/A</x:v>
      </x:c>
      <x:c r="K9" s="36" t="str">
        <x:v>Signer isolation</x:v>
      </x:c>
      <x:c r="L9" s="36" t="str">
        <x:v>Chain monitoring</x:v>
      </x:c>
      <x:c r="M9" s="36" t="str">
        <x:v>Multi-approval</x:v>
      </x:c>
      <x:c r="N9" s="36" t="str">
        <x:v>P0/P1</x:v>
      </x:c>
      <x:c r="O9" s="36" t="str">
        <x:v>P0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Security, Authentication &amp; Secrets Architecture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Control</x:v>
      </x:c>
      <x:c r="B3" s="14" t="str">
        <x:v>Threat</x:v>
      </x:c>
      <x:c r="C3" s="14" t="str">
        <x:v>Frontend</x:v>
      </x:c>
      <x:c r="D3" s="14" t="str">
        <x:v>Backend</x:v>
      </x:c>
      <x:c r="E3" s="14" t="str">
        <x:v>Database</x:v>
      </x:c>
      <x:c r="F3" s="14" t="str">
        <x:v>Cloud</x:v>
      </x:c>
      <x:c r="G3" s="14" t="str">
        <x:v>Chain</x:v>
      </x:c>
      <x:c r="H3" s="14" t="str">
        <x:v>Provider</x:v>
      </x:c>
      <x:c r="I3" s="14" t="str">
        <x:v>Logging</x:v>
      </x:c>
      <x:c r="J3" s="14" t="str">
        <x:v>Key/Secret</x:v>
      </x:c>
      <x:c r="K3" s="14" t="str">
        <x:v>Rotation</x:v>
      </x:c>
      <x:c r="L3" s="14" t="str">
        <x:v>Failure Policy</x:v>
      </x:c>
      <x:c r="M3" s="14" t="str">
        <x:v>Test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Family session validation</x:v>
      </x:c>
      <x:c r="B4" s="31" t="str">
        <x:v>Forged identity/session</x:v>
      </x:c>
      <x:c r="C4" s="31" t="str">
        <x:v>Treat token as opaque; no authority beyond session</x:v>
      </x:c>
      <x:c r="D4" s="31" t="str">
        <x:v>Validate issuer/audience/signature/expiry and map user</x:v>
      </x:c>
      <x:c r="E4" s="31" t="str">
        <x:v>Store stable PLOT player mapping</x:v>
      </x:c>
      <x:c r="F4" s="31" t="str">
        <x:v>Service IAM</x:v>
      </x:c>
      <x:c r="G4" s="31" t="str">
        <x:v>N/A</x:v>
      </x:c>
      <x:c r="H4" s="31" t="str">
        <x:v>N/A</x:v>
      </x:c>
      <x:c r="I4" s="31" t="str">
        <x:v>Auth failures without token content</x:v>
      </x:c>
      <x:c r="J4" s="31" t="str">
        <x:v>Family verification keys/config</x:v>
      </x:c>
      <x:c r="K4" s="31" t="str">
        <x:v>Provider-defined</x:v>
      </x:c>
      <x:c r="L4" s="31" t="str">
        <x:v>Fail closed</x:v>
      </x:c>
      <x:c r="M4" s="31" t="str">
        <x:v>Auth integration</x:v>
      </x:c>
      <x:c r="N4" s="31" t="str">
        <x:v>Yes</x:v>
      </x:c>
      <x:c r="O4" s="31" t="str">
        <x:v>P0</x:v>
      </x:c>
      <x:c r="P4" s="32" t="str"/>
    </x:row>
    <x:row r="5">
      <x:c r="A5" s="33" t="str">
        <x:v>Authorization</x:v>
      </x:c>
      <x:c r="B5" s="22" t="str">
        <x:v>Cross-player mutations</x:v>
      </x:c>
      <x:c r="C5" s="22" t="str">
        <x:v>Hide inaccessible UI only as convenience</x:v>
      </x:c>
      <x:c r="D5" s="22" t="str">
        <x:v>Owner/role checks every mutation/read sensitive route</x:v>
      </x:c>
      <x:c r="E5" s="22" t="str">
        <x:v>Queries scoped by player/ownership</x:v>
      </x:c>
      <x:c r="F5" s="22" t="str">
        <x:v>IAM for service calls</x:v>
      </x:c>
      <x:c r="G5" s="22" t="str">
        <x:v>Owner/signature checks</x:v>
      </x:c>
      <x:c r="H5" s="22" t="str">
        <x:v>Provider user binding</x:v>
      </x:c>
      <x:c r="I5" s="22" t="str">
        <x:v>Denied-action audit</x:v>
      </x:c>
      <x:c r="J5" s="22" t="str">
        <x:v>RBAC config</x:v>
      </x:c>
      <x:c r="K5" s="22" t="str">
        <x:v>Review</x:v>
      </x:c>
      <x:c r="L5" s="22" t="str">
        <x:v>Fail closed</x:v>
      </x:c>
      <x:c r="M5" s="22" t="str">
        <x:v>IDOR tests</x:v>
      </x:c>
      <x:c r="N5" s="22" t="str">
        <x:v>Yes</x:v>
      </x:c>
      <x:c r="O5" s="22" t="str">
        <x:v>P0</x:v>
      </x:c>
      <x:c r="P5" s="34" t="str"/>
    </x:row>
    <x:row r="6">
      <x:c r="A6" s="33" t="str">
        <x:v>Input validation</x:v>
      </x:c>
      <x:c r="B6" s="22" t="str">
        <x:v>Client/provider malformed data</x:v>
      </x:c>
      <x:c r="C6" s="22" t="str">
        <x:v>Zod client forms</x:v>
      </x:c>
      <x:c r="D6" s="22" t="str">
        <x:v>Zod/DTO at boundary + domain validation</x:v>
      </x:c>
      <x:c r="E6" s="22" t="str">
        <x:v>Constraints</x:v>
      </x:c>
      <x:c r="F6" s="22" t="str">
        <x:v>WAF/rate limits</x:v>
      </x:c>
      <x:c r="G6" s="22" t="str">
        <x:v>ABI decode checks</x:v>
      </x:c>
      <x:c r="H6" s="22" t="str">
        <x:v>Schema validation/webhook signature</x:v>
      </x:c>
      <x:c r="I6" s="22" t="str">
        <x:v>Validation failures</x:v>
      </x:c>
      <x:c r="J6" s="22" t="str">
        <x:v>N/A</x:v>
      </x:c>
      <x:c r="K6" s="22" t="str">
        <x:v>N/A</x:v>
      </x:c>
      <x:c r="L6" s="22" t="str">
        <x:v>Reject</x:v>
      </x:c>
      <x:c r="M6" s="22" t="str">
        <x:v>Fuzz/property tests</x:v>
      </x:c>
      <x:c r="N6" s="22" t="str">
        <x:v>Yes</x:v>
      </x:c>
      <x:c r="O6" s="22" t="str">
        <x:v>P0</x:v>
      </x:c>
      <x:c r="P6" s="34" t="str"/>
    </x:row>
    <x:row r="7">
      <x:c r="A7" s="33" t="str">
        <x:v>Secrets</x:v>
      </x:c>
      <x:c r="B7" s="22" t="str">
        <x:v>Credential leak</x:v>
      </x:c>
      <x:c r="C7" s="22" t="str">
        <x:v>No backend secrets</x:v>
      </x:c>
      <x:c r="D7" s="22" t="str">
        <x:v>Secret Manager references</x:v>
      </x:c>
      <x:c r="E7" s="22" t="str">
        <x:v>No plaintext credentials</x:v>
      </x:c>
      <x:c r="F7" s="22" t="str">
        <x:v>Least privilege IAM</x:v>
      </x:c>
      <x:c r="G7" s="22" t="str">
        <x:v>Signer/HSM/MPC or managed secure signer</x:v>
      </x:c>
      <x:c r="H7" s="22" t="str">
        <x:v>Provider/API secrets</x:v>
      </x:c>
      <x:c r="I7" s="22" t="str">
        <x:v>Redacted</x:v>
      </x:c>
      <x:c r="J7" s="22" t="str">
        <x:v>Secret Manager</x:v>
      </x:c>
      <x:c r="K7" s="22" t="str">
        <x:v>Scheduled + incident</x:v>
      </x:c>
      <x:c r="L7" s="22" t="str">
        <x:v>Disable integration if unavailable</x:v>
      </x:c>
      <x:c r="M7" s="22" t="str">
        <x:v>Secret scan</x:v>
      </x:c>
      <x:c r="N7" s="22" t="str">
        <x:v>Yes</x:v>
      </x:c>
      <x:c r="O7" s="22" t="str">
        <x:v>P0</x:v>
      </x:c>
      <x:c r="P7" s="34" t="str"/>
    </x:row>
    <x:row r="8">
      <x:c r="A8" s="33" t="str">
        <x:v>Admin config</x:v>
      </x:c>
      <x:c r="B8" s="22" t="str">
        <x:v>Malicious balance change</x:v>
      </x:c>
      <x:c r="C8" s="22" t="str">
        <x:v>No admin in player client</x:v>
      </x:c>
      <x:c r="D8" s="22" t="str">
        <x:v>RBAC + immutable publish flow</x:v>
      </x:c>
      <x:c r="E8" s="22" t="str">
        <x:v>Config audit tables</x:v>
      </x:c>
      <x:c r="F8" s="22" t="str">
        <x:v>Admin IAM</x:v>
      </x:c>
      <x:c r="G8" s="22" t="str">
        <x:v>Contract admin separated</x:v>
      </x:c>
      <x:c r="H8" s="22" t="str">
        <x:v>Provider config approval</x:v>
      </x:c>
      <x:c r="I8" s="22" t="str">
        <x:v>Audit every change</x:v>
      </x:c>
      <x:c r="J8" s="22" t="str">
        <x:v>Admin credentials</x:v>
      </x:c>
      <x:c r="K8" s="22" t="str">
        <x:v>Strong</x:v>
      </x:c>
      <x:c r="L8" s="22" t="str">
        <x:v>Reject invalid/unauthorized</x:v>
      </x:c>
      <x:c r="M8" s="22" t="str">
        <x:v>Config abuse tests</x:v>
      </x:c>
      <x:c r="N8" s="22" t="str">
        <x:v>Yes</x:v>
      </x:c>
      <x:c r="O8" s="22" t="str">
        <x:v>P0</x:v>
      </x:c>
      <x:c r="P8" s="34" t="str"/>
    </x:row>
    <x:row r="9">
      <x:c r="A9" s="33" t="str">
        <x:v>Webhooks</x:v>
      </x:c>
      <x:c r="B9" s="22" t="str">
        <x:v>Forged provider events</x:v>
      </x:c>
      <x:c r="C9" s="22" t="str">
        <x:v>N/A</x:v>
      </x:c>
      <x:c r="D9" s="22" t="str">
        <x:v>Verify signature/timestamp/event id</x:v>
      </x:c>
      <x:c r="E9" s="22" t="str">
        <x:v>Append raw hash/ref + state</x:v>
      </x:c>
      <x:c r="F9" s="22" t="str">
        <x:v>Ingress restrictions where possible</x:v>
      </x:c>
      <x:c r="G9" s="22" t="str">
        <x:v>N/A</x:v>
      </x:c>
      <x:c r="H9" s="22" t="str">
        <x:v>Provider signing</x:v>
      </x:c>
      <x:c r="I9" s="22" t="str">
        <x:v>Event id/audit</x:v>
      </x:c>
      <x:c r="J9" s="22" t="str">
        <x:v>Webhook secret/key</x:v>
      </x:c>
      <x:c r="K9" s="22" t="str">
        <x:v>Provider policy</x:v>
      </x:c>
      <x:c r="L9" s="22" t="str">
        <x:v>Ack only valid</x:v>
      </x:c>
      <x:c r="M9" s="22" t="str">
        <x:v>Replay tests</x:v>
      </x:c>
      <x:c r="N9" s="22" t="str">
        <x:v>Later</x:v>
      </x:c>
      <x:c r="O9" s="22" t="str">
        <x:v>P1</x:v>
      </x:c>
      <x:c r="P9" s="34" t="str"/>
    </x:row>
    <x:row r="10">
      <x:c r="A10" s="33" t="str">
        <x:v>Rate limiting</x:v>
      </x:c>
      <x:c r="B10" s="22" t="str">
        <x:v>Bots/API abuse</x:v>
      </x:c>
      <x:c r="C10" s="22" t="str">
        <x:v>Backoff UI</x:v>
      </x:c>
      <x:c r="D10" s="22" t="str">
        <x:v>Per user/IP/route + semantic limits</x:v>
      </x:c>
      <x:c r="E10" s="22" t="str">
        <x:v>DB constraints remain final</x:v>
      </x:c>
      <x:c r="F10" s="22" t="str">
        <x:v>Edge/Redis</x:v>
      </x:c>
      <x:c r="G10" s="22" t="str">
        <x:v>RPC limits</x:v>
      </x:c>
      <x:c r="H10" s="22" t="str">
        <x:v>Provider throttles</x:v>
      </x:c>
      <x:c r="I10" s="22" t="str">
        <x:v>429 metrics</x:v>
      </x:c>
      <x:c r="J10" s="22" t="str">
        <x:v>N/A</x:v>
      </x:c>
      <x:c r="K10" s="22" t="str">
        <x:v>N/A</x:v>
      </x:c>
      <x:c r="L10" s="22" t="str">
        <x:v>Throttle</x:v>
      </x:c>
      <x:c r="M10" s="22" t="str">
        <x:v>k6/abuse tests</x:v>
      </x:c>
      <x:c r="N10" s="22" t="str">
        <x:v>Yes</x:v>
      </x:c>
      <x:c r="O10" s="22" t="str">
        <x:v>P0</x:v>
      </x:c>
      <x:c r="P10" s="34" t="str"/>
    </x:row>
    <x:row r="11">
      <x:c r="A11" s="35" t="str">
        <x:v>Data privacy</x:v>
      </x:c>
      <x:c r="B11" s="36" t="str">
        <x:v>Sensitive account/financial refs</x:v>
      </x:c>
      <x:c r="C11" s="36" t="str">
        <x:v>Minimize local storage</x:v>
      </x:c>
      <x:c r="D11" s="36" t="str">
        <x:v>Minimize KYC/provider data</x:v>
      </x:c>
      <x:c r="E11" s="36" t="str">
        <x:v>Encrypt managed storage</x:v>
      </x:c>
      <x:c r="F11" s="36" t="str">
        <x:v>Regional/IAM controls</x:v>
      </x:c>
      <x:c r="G11" s="36" t="str">
        <x:v>Wallet addresses as account data</x:v>
      </x:c>
      <x:c r="H11" s="36" t="str">
        <x:v>Keep KYC docs provider-side when possible</x:v>
      </x:c>
      <x:c r="I11" s="36" t="str">
        <x:v>Redact sensitive refs</x:v>
      </x:c>
      <x:c r="J11" s="36" t="str">
        <x:v>Encryption keys managed</x:v>
      </x:c>
      <x:c r="K11" s="36" t="str">
        <x:v>Policy</x:v>
      </x:c>
      <x:c r="L11" s="36" t="str">
        <x:v>Fail safe / access denied</x:v>
      </x:c>
      <x:c r="M11" s="36" t="str">
        <x:v>Privacy review</x:v>
      </x:c>
      <x:c r="N11" s="36" t="str">
        <x:v>P1</x:v>
      </x:c>
      <x:c r="O11" s="36" t="str">
        <x:v>P1</x:v>
      </x:c>
      <x:c r="P11" s="37" t="str"/>
    </x:row>
  </x:sheetData>
  <x:mergeCells>
    <x:mergeCell ref="A1:P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Testing Strategy — Unit to Simulation to Production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3">
      <x:c r="A3" s="14" t="str">
        <x:v>Test Layer</x:v>
      </x:c>
      <x:c r="B3" s="14" t="str">
        <x:v>Tool</x:v>
      </x:c>
      <x:c r="C3" s="14" t="str">
        <x:v>Scope</x:v>
      </x:c>
      <x:c r="D3" s="14" t="str">
        <x:v>Runs When</x:v>
      </x:c>
      <x:c r="E3" s="14" t="str">
        <x:v>Deterministic?</x:v>
      </x:c>
      <x:c r="F3" s="14" t="str">
        <x:v>External Dependencies</x:v>
      </x:c>
      <x:c r="G3" s="14" t="str">
        <x:v>Test Data</x:v>
      </x:c>
      <x:c r="H3" s="14" t="str">
        <x:v>Pass Gate</x:v>
      </x:c>
      <x:c r="I3" s="14" t="str">
        <x:v>Performance Gate</x:v>
      </x:c>
      <x:c r="J3" s="14" t="str">
        <x:v>Security Gate</x:v>
      </x:c>
      <x:c r="K3" s="14" t="str">
        <x:v>Covers Economy?</x:v>
      </x:c>
      <x:c r="L3" s="14" t="str">
        <x:v>Covers Chain?</x:v>
      </x:c>
      <x:c r="M3" s="14" t="str">
        <x:v>Covers Provider?</x:v>
      </x:c>
      <x:c r="N3" s="14" t="str">
        <x:v>MVP</x:v>
      </x:c>
      <x:c r="O3" s="14" t="str">
        <x:v>Priority</x:v>
      </x:c>
      <x:c r="P3" s="14" t="str">
        <x:v>Owner</x:v>
      </x:c>
      <x:c r="Q3" s="14" t="str">
        <x:v>Notes</x:v>
      </x:c>
    </x:row>
    <x:row r="4">
      <x:c r="A4" s="30" t="str">
        <x:v>Type/lint</x:v>
      </x:c>
      <x:c r="B4" s="31" t="str">
        <x:v>tsc + ESLint</x:v>
      </x:c>
      <x:c r="C4" s="31" t="str">
        <x:v>All TypeScript</x:v>
      </x:c>
      <x:c r="D4" s="31" t="str">
        <x:v>Every PR</x:v>
      </x:c>
      <x:c r="E4" s="31" t="str">
        <x:v>Yes</x:v>
      </x:c>
      <x:c r="F4" s="31" t="str">
        <x:v>None</x:v>
      </x:c>
      <x:c r="G4" s="31" t="str">
        <x:v>N/A</x:v>
      </x:c>
      <x:c r="H4" s="31" t="str">
        <x:v>No errors</x:v>
      </x:c>
      <x:c r="I4" s="31" t="str">
        <x:v>N/A</x:v>
      </x:c>
      <x:c r="J4" s="31" t="str">
        <x:v>Basic static</x:v>
      </x:c>
      <x:c r="K4" s="31" t="str">
        <x:v>Indirect</x:v>
      </x:c>
      <x:c r="L4" s="31" t="str">
        <x:v>No</x:v>
      </x:c>
      <x:c r="M4" s="31" t="str">
        <x:v>No</x:v>
      </x:c>
      <x:c r="N4" s="31" t="str">
        <x:v>Yes</x:v>
      </x:c>
      <x:c r="O4" s="31" t="str">
        <x:v>P0</x:v>
      </x:c>
      <x:c r="P4" s="31" t="str">
        <x:v>All</x:v>
      </x:c>
      <x:c r="Q4" s="32" t="str"/>
    </x:row>
    <x:row r="5">
      <x:c r="A5" s="33" t="str">
        <x:v>Unit</x:v>
      </x:c>
      <x:c r="B5" s="22" t="str">
        <x:v>Vitest</x:v>
      </x:c>
      <x:c r="C5" s="22" t="str">
        <x:v>Pure functions/components/domain services</x:v>
      </x:c>
      <x:c r="D5" s="22" t="str">
        <x:v>Every PR</x:v>
      </x:c>
      <x:c r="E5" s="22" t="str">
        <x:v>Yes</x:v>
      </x:c>
      <x:c r="F5" s="22" t="str">
        <x:v>Mocked</x:v>
      </x:c>
      <x:c r="G5" s="22" t="str">
        <x:v>Fixtures</x:v>
      </x:c>
      <x:c r="H5" s="22" t="str">
        <x:v>Critical unit suite</x:v>
      </x:c>
      <x:c r="I5" s="22" t="str">
        <x:v>Fast suite</x:v>
      </x:c>
      <x:c r="J5" s="22" t="str">
        <x:v>Validation</x:v>
      </x:c>
      <x:c r="K5" s="22" t="str">
        <x:v>Yes</x:v>
      </x:c>
      <x:c r="L5" s="22" t="str">
        <x:v>Helpers</x:v>
      </x:c>
      <x:c r="M5" s="22" t="str">
        <x:v>Adapters mocked</x:v>
      </x:c>
      <x:c r="N5" s="22" t="str">
        <x:v>Yes</x:v>
      </x:c>
      <x:c r="O5" s="22" t="str">
        <x:v>P0</x:v>
      </x:c>
      <x:c r="P5" s="22" t="str">
        <x:v>All</x:v>
      </x:c>
      <x:c r="Q5" s="34" t="str"/>
    </x:row>
    <x:row r="6">
      <x:c r="A6" s="33" t="str">
        <x:v>Property/simulation</x:v>
      </x:c>
      <x:c r="B6" s="22" t="str">
        <x:v>Vitest/custom simulation runner</x:v>
      </x:c>
      <x:c r="C6" s="22" t="str">
        <x:v>Economy/customer/modules/risk</x:v>
      </x:c>
      <x:c r="D6" s="22" t="str">
        <x:v>PR + nightly</x:v>
      </x:c>
      <x:c r="E6" s="22" t="str">
        <x:v>Seeded</x:v>
      </x:c>
      <x:c r="F6" s="22" t="str">
        <x:v>None</x:v>
      </x:c>
      <x:c r="G6" s="22" t="str">
        <x:v>Generated cohorts</x:v>
      </x:c>
      <x:c r="H6" s="22" t="str">
        <x:v>Invariant checks</x:v>
      </x:c>
      <x:c r="I6" s="22" t="str">
        <x:v>100k+ player simulation target offline</x:v>
      </x:c>
      <x:c r="J6" s="22" t="str">
        <x:v>Exploit invariants</x:v>
      </x:c>
      <x:c r="K6" s="22" t="str">
        <x:v>Core</x:v>
      </x:c>
      <x:c r="L6" s="22" t="str">
        <x:v>No</x:v>
      </x:c>
      <x:c r="M6" s="22" t="str">
        <x:v>No</x:v>
      </x:c>
      <x:c r="N6" s="22" t="str">
        <x:v>Yes</x:v>
      </x:c>
      <x:c r="O6" s="22" t="str">
        <x:v>P0</x:v>
      </x:c>
      <x:c r="P6" s="22" t="str">
        <x:v>Game Systems</x:v>
      </x:c>
      <x:c r="Q6" s="34" t="str">
        <x:v>Key for balance</x:v>
      </x:c>
    </x:row>
    <x:row r="7">
      <x:c r="A7" s="33" t="str">
        <x:v>API integration</x:v>
      </x:c>
      <x:c r="B7" s="22" t="str">
        <x:v>Vitest/Supertest-like HTTP client</x:v>
      </x:c>
      <x:c r="C7" s="22" t="str">
        <x:v>Nest routes + Postgres/Redis test env</x:v>
      </x:c>
      <x:c r="D7" s="22" t="str">
        <x:v>PR</x:v>
      </x:c>
      <x:c r="E7" s="22" t="str">
        <x:v>Mostly</x:v>
      </x:c>
      <x:c r="F7" s="22" t="str">
        <x:v>Test DB/cache</x:v>
      </x:c>
      <x:c r="G7" s="22" t="str">
        <x:v>Factories</x:v>
      </x:c>
      <x:c r="H7" s="22" t="str">
        <x:v>Contract + transaction correctness</x:v>
      </x:c>
      <x:c r="I7" s="22" t="str">
        <x:v>Latency smoke</x:v>
      </x:c>
      <x:c r="J7" s="22" t="str">
        <x:v>Auth/IDOR</x:v>
      </x:c>
      <x:c r="K7" s="22" t="str">
        <x:v>Yes</x:v>
      </x:c>
      <x:c r="L7" s="22" t="str">
        <x:v>No</x:v>
      </x:c>
      <x:c r="M7" s="22" t="str">
        <x:v>Mock provider</x:v>
      </x:c>
      <x:c r="N7" s="22" t="str">
        <x:v>Yes</x:v>
      </x:c>
      <x:c r="O7" s="22" t="str">
        <x:v>P0</x:v>
      </x:c>
      <x:c r="P7" s="22" t="str">
        <x:v>Backend</x:v>
      </x:c>
      <x:c r="Q7" s="34" t="str"/>
    </x:row>
    <x:row r="8">
      <x:c r="A8" s="33" t="str">
        <x:v>Browser E2E</x:v>
      </x:c>
      <x:c r="B8" s="22" t="str">
        <x:v>Playwright</x:v>
      </x:c>
      <x:c r="C8" s="22" t="str">
        <x:v>Onboarding/build/Hunt/Module/Performance</x:v>
      </x:c>
      <x:c r="D8" s="22" t="str">
        <x:v>PR/staging</x:v>
      </x:c>
      <x:c r="E8" s="22" t="str">
        <x:v>Mostly</x:v>
      </x:c>
      <x:c r="F8" s="22" t="str">
        <x:v>Staging API</x:v>
      </x:c>
      <x:c r="G8" s="22" t="str">
        <x:v>Seed accounts</x:v>
      </x:c>
      <x:c r="H8" s="22" t="str">
        <x:v>Critical flows</x:v>
      </x:c>
      <x:c r="I8" s="22" t="str">
        <x:v>Mobile viewport</x:v>
      </x:c>
      <x:c r="J8" s="22" t="str">
        <x:v>Session/auth</x:v>
      </x:c>
      <x:c r="K8" s="22" t="str">
        <x:v>Indirect</x:v>
      </x:c>
      <x:c r="L8" s="22" t="str">
        <x:v>Wallet mocked/testnet</x:v>
      </x:c>
      <x:c r="M8" s="22" t="str">
        <x:v>Provider sandbox later</x:v>
      </x:c>
      <x:c r="N8" s="22" t="str">
        <x:v>Yes</x:v>
      </x:c>
      <x:c r="O8" s="22" t="str">
        <x:v>P0</x:v>
      </x:c>
      <x:c r="P8" s="22" t="str">
        <x:v>QA</x:v>
      </x:c>
      <x:c r="Q8" s="34" t="str"/>
    </x:row>
    <x:row r="9">
      <x:c r="A9" s="33" t="str">
        <x:v>Load</x:v>
      </x:c>
      <x:c r="B9" s="22" t="str">
        <x:v>k6</x:v>
      </x:c>
      <x:c r="C9" s="22" t="str">
        <x:v>API/ticks/settlement/realtime</x:v>
      </x:c>
      <x:c r="D9" s="22" t="str">
        <x:v>Pre-release + scheduled</x:v>
      </x:c>
      <x:c r="E9" s="22" t="str">
        <x:v>Scripted</x:v>
      </x:c>
      <x:c r="F9" s="22" t="str">
        <x:v>Staging infra</x:v>
      </x:c>
      <x:c r="G9" s="22" t="str">
        <x:v>Synthetic players</x:v>
      </x:c>
      <x:c r="H9" s="22" t="str">
        <x:v>SLO thresholds</x:v>
      </x:c>
      <x:c r="I9" s="22" t="str">
        <x:v>Primary purpose</x:v>
      </x:c>
      <x:c r="J9" s="22" t="str">
        <x:v>Rate-limit behavior</x:v>
      </x:c>
      <x:c r="K9" s="22" t="str">
        <x:v>Yes</x:v>
      </x:c>
      <x:c r="L9" s="22" t="str">
        <x:v>RPC optional</x:v>
      </x:c>
      <x:c r="M9" s="22" t="str">
        <x:v>Provider mock</x:v>
      </x:c>
      <x:c r="N9" s="22" t="str">
        <x:v>Yes</x:v>
      </x:c>
      <x:c r="O9" s="22" t="str">
        <x:v>P0</x:v>
      </x:c>
      <x:c r="P9" s="22" t="str">
        <x:v>Platform</x:v>
      </x:c>
      <x:c r="Q9" s="34" t="str"/>
    </x:row>
    <x:row r="10">
      <x:c r="A10" s="33" t="str">
        <x:v>Contract tests</x:v>
      </x:c>
      <x:c r="B10" s="22" t="str">
        <x:v>Foundry</x:v>
      </x:c>
      <x:c r="C10" s="22" t="str">
        <x:v>Solidity ownership/$PLOT</x:v>
      </x:c>
      <x:c r="D10" s="22" t="str">
        <x:v>Every contract change</x:v>
      </x:c>
      <x:c r="E10" s="22" t="str">
        <x:v>Yes</x:v>
      </x:c>
      <x:c r="F10" s="22" t="str">
        <x:v>Local fork/testnet</x:v>
      </x:c>
      <x:c r="G10" s="22" t="str">
        <x:v>Fixtures</x:v>
      </x:c>
      <x:c r="H10" s="22" t="str">
        <x:v>All critical tests</x:v>
      </x:c>
      <x:c r="I10" s="22" t="str">
        <x:v>Gas budget</x:v>
      </x:c>
      <x:c r="J10" s="22" t="str">
        <x:v>Reentrancy/access</x:v>
      </x:c>
      <x:c r="K10" s="22" t="str">
        <x:v>No</x:v>
      </x:c>
      <x:c r="L10" s="22" t="str">
        <x:v>Yes</x:v>
      </x:c>
      <x:c r="M10" s="22" t="str">
        <x:v>No</x:v>
      </x:c>
      <x:c r="N10" s="22" t="str">
        <x:v>P0/P1</x:v>
      </x:c>
      <x:c r="O10" s="22" t="str">
        <x:v>P0</x:v>
      </x:c>
      <x:c r="P10" s="22" t="str">
        <x:v>Blockchain</x:v>
      </x:c>
      <x:c r="Q10" s="34" t="str"/>
    </x:row>
    <x:row r="11">
      <x:c r="A11" s="33" t="str">
        <x:v>Provider adapter</x:v>
      </x:c>
      <x:c r="B11" s="22" t="str">
        <x:v>Vitest + sandbox/failure harness</x:v>
      </x:c>
      <x:c r="C11" s="22" t="str">
        <x:v>Eligibility/quote/order/webhook/withdrawal</x:v>
      </x:c>
      <x:c r="D11" s="22" t="str">
        <x:v>Adapter PR/staging</x:v>
      </x:c>
      <x:c r="E11" s="22" t="str">
        <x:v>Recorded where allowed</x:v>
      </x:c>
      <x:c r="F11" s="22" t="str">
        <x:v>Sandbox/mock</x:v>
      </x:c>
      <x:c r="G11" s="22" t="str">
        <x:v>Fixtures</x:v>
      </x:c>
      <x:c r="H11" s="22" t="str">
        <x:v>State machine exact</x:v>
      </x:c>
      <x:c r="I11" s="22" t="str">
        <x:v>Timeout handling</x:v>
      </x:c>
      <x:c r="J11" s="22" t="str">
        <x:v>Webhook/replay</x:v>
      </x:c>
      <x:c r="K11" s="22" t="str">
        <x:v>No</x:v>
      </x:c>
      <x:c r="L11" s="22" t="str">
        <x:v>Maybe token</x:v>
      </x:c>
      <x:c r="M11" s="22" t="str">
        <x:v>Yes</x:v>
      </x:c>
      <x:c r="N11" s="22" t="str">
        <x:v>Later</x:v>
      </x:c>
      <x:c r="O11" s="22" t="str">
        <x:v>P1</x:v>
      </x:c>
      <x:c r="P11" s="22" t="str">
        <x:v>Stock</x:v>
      </x:c>
      <x:c r="Q11" s="34" t="str"/>
    </x:row>
    <x:row r="12">
      <x:c r="A12" s="35" t="str">
        <x:v>Chaos/failure injection</x:v>
      </x:c>
      <x:c r="B12" s="36" t="str">
        <x:v>Custom/staging</x:v>
      </x:c>
      <x:c r="C12" s="36" t="str">
        <x:v>Queue retries, Redis loss, provider/RPC outage</x:v>
      </x:c>
      <x:c r="D12" s="36" t="str">
        <x:v>Release rehearsal</x:v>
      </x:c>
      <x:c r="E12" s="36" t="str">
        <x:v>Controlled</x:v>
      </x:c>
      <x:c r="F12" s="36" t="str">
        <x:v>Staging services</x:v>
      </x:c>
      <x:c r="G12" s="36" t="str">
        <x:v>Synthetic</x:v>
      </x:c>
      <x:c r="H12" s="36" t="str">
        <x:v>No duplicate/lost state</x:v>
      </x:c>
      <x:c r="I12" s="36" t="str">
        <x:v>Recovery SLA</x:v>
      </x:c>
      <x:c r="J12" s="36" t="str">
        <x:v>Fail-closed where needed</x:v>
      </x:c>
      <x:c r="K12" s="36" t="str">
        <x:v>Yes</x:v>
      </x:c>
      <x:c r="L12" s="36" t="str">
        <x:v>Yes</x:v>
      </x:c>
      <x:c r="M12" s="36" t="str">
        <x:v>Yes</x:v>
      </x:c>
      <x:c r="N12" s="36" t="str">
        <x:v>P1</x:v>
      </x:c>
      <x:c r="O12" s="36" t="str">
        <x:v>P1</x:v>
      </x:c>
      <x:c r="P12" s="36" t="str">
        <x:v>Platform</x:v>
      </x:c>
      <x:c r="Q12" s="37" t="str"/>
    </x:row>
  </x:sheetData>
  <x:mergeCells>
    <x:mergeCell ref="A1:Q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Performance, Capacity &amp; Scaling Strategy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Area</x:v>
      </x:c>
      <x:c r="B3" s="14" t="str">
        <x:v>MVP Target</x:v>
      </x:c>
      <x:c r="C3" s="14" t="str">
        <x:v>Scale Signal</x:v>
      </x:c>
      <x:c r="D3" s="14" t="str">
        <x:v>First Optimization</x:v>
      </x:c>
      <x:c r="E3" s="14" t="str">
        <x:v>Second Optimization</x:v>
      </x:c>
      <x:c r="F3" s="14" t="str">
        <x:v>Do Not Do First</x:v>
      </x:c>
      <x:c r="G3" s="14" t="str">
        <x:v>Metric</x:v>
      </x:c>
      <x:c r="H3" s="14" t="str">
        <x:v>Alert</x:v>
      </x:c>
      <x:c r="I3" s="14" t="str">
        <x:v>Horizontal?</x:v>
      </x:c>
      <x:c r="J3" s="14" t="str">
        <x:v>Partition Key</x:v>
      </x:c>
      <x:c r="K3" s="14" t="str">
        <x:v>Cache?</x:v>
      </x:c>
      <x:c r="L3" s="14" t="str">
        <x:v>Async?</x:v>
      </x:c>
      <x:c r="M3" s="14" t="str">
        <x:v>Cost Driver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Frontend board</x:v>
      </x:c>
      <x:c r="B4" s="31" t="str">
        <x:v>60 FPS target on supported modern mobile for 12x12</x:v>
      </x:c>
      <x:c r="C4" s="31" t="str">
        <x:v>FPS/memory drops on dense board</x:v>
      </x:c>
      <x:c r="D4" s="31" t="str">
        <x:v>Sprite atlas + pooling + visible NPC cap</x:v>
      </x:c>
      <x:c r="E4" s="31" t="str">
        <x:v>Culling/LOD/chunking</x:v>
      </x:c>
      <x:c r="F4" s="31" t="str">
        <x:v>Switch engine immediately</x:v>
      </x:c>
      <x:c r="G4" s="31" t="str">
        <x:v>FPS, draw calls, texture memory</x:v>
      </x:c>
      <x:c r="H4" s="31" t="str">
        <x:v>p95 FPS below target</x:v>
      </x:c>
      <x:c r="I4" s="31" t="str">
        <x:v>N/A</x:v>
      </x:c>
      <x:c r="J4" s="31" t="str">
        <x:v>spatial chunks later</x:v>
      </x:c>
      <x:c r="K4" s="31" t="str">
        <x:v>Local assets</x:v>
      </x:c>
      <x:c r="L4" s="31" t="str">
        <x:v>N/A</x:v>
      </x:c>
      <x:c r="M4" s="31" t="str">
        <x:v>GPU/device</x:v>
      </x:c>
      <x:c r="N4" s="31" t="str">
        <x:v>Yes</x:v>
      </x:c>
      <x:c r="O4" s="31" t="str">
        <x:v>P0</x:v>
      </x:c>
      <x:c r="P4" s="32" t="str"/>
    </x:row>
    <x:row r="5">
      <x:c r="A5" s="33" t="str">
        <x:v>API</x:v>
      </x:c>
      <x:c r="B5" s="22" t="str">
        <x:v>p95 reads &lt;300ms; normal mutations &lt;500ms excluding externals</x:v>
      </x:c>
      <x:c r="C5" s="22" t="str">
        <x:v>CPU/concurrency/latency</x:v>
      </x:c>
      <x:c r="D5" s="22" t="str">
        <x:v>Cloud Run concurrency/right sizing + query indexes</x:v>
      </x:c>
      <x:c r="E5" s="22" t="str">
        <x:v>Split hot domain/read model if proven</x:v>
      </x:c>
      <x:c r="F5" s="22" t="str">
        <x:v>Microservices from day 1</x:v>
      </x:c>
      <x:c r="G5" s="22" t="str">
        <x:v>p95/p99, error</x:v>
      </x:c>
      <x:c r="H5" s="22" t="str">
        <x:v>SLO breach</x:v>
      </x:c>
      <x:c r="I5" s="22" t="str">
        <x:v>Yes</x:v>
      </x:c>
      <x:c r="J5" s="22" t="str">
        <x:v>player</x:v>
      </x:c>
      <x:c r="K5" s="22" t="str">
        <x:v>Redis</x:v>
      </x:c>
      <x:c r="L5" s="22" t="str">
        <x:v>Some</x:v>
      </x:c>
      <x:c r="M5" s="22" t="str">
        <x:v>Cloud Run/DB</x:v>
      </x:c>
      <x:c r="N5" s="22" t="str">
        <x:v>Yes</x:v>
      </x:c>
      <x:c r="O5" s="22" t="str">
        <x:v>P0</x:v>
      </x:c>
      <x:c r="P5" s="34" t="str"/>
    </x:row>
    <x:row r="6">
      <x:c r="A6" s="33" t="str">
        <x:v>Economy/customer workers</x:v>
      </x:c>
      <x:c r="B6" s="22" t="str">
        <x:v>Complete bucket before next cadence with headroom</x:v>
      </x:c>
      <x:c r="C6" s="22" t="str">
        <x:v>Queue lag</x:v>
      </x:c>
      <x:c r="D6" s="22" t="str">
        <x:v>Shard by player + batch reads/writes</x:v>
      </x:c>
      <x:c r="E6" s="22" t="str">
        <x:v>Separate high-volume worker pools</x:v>
      </x:c>
      <x:c r="F6" s="22" t="str">
        <x:v>One task per tiny calculation if avoidable</x:v>
      </x:c>
      <x:c r="G6" s="22" t="str">
        <x:v>queue lag,bucket duration</x:v>
      </x:c>
      <x:c r="H6" s="22" t="str">
        <x:v>lag &gt; half cadence</x:v>
      </x:c>
      <x:c r="I6" s="22" t="str">
        <x:v>Yes</x:v>
      </x:c>
      <x:c r="J6" s="22" t="str">
        <x:v>player shard</x:v>
      </x:c>
      <x:c r="K6" s="22" t="str">
        <x:v>Config/read caches</x:v>
      </x:c>
      <x:c r="L6" s="22" t="str">
        <x:v>Yes</x:v>
      </x:c>
      <x:c r="M6" s="22" t="str">
        <x:v>Compute/DB writes</x:v>
      </x:c>
      <x:c r="N6" s="22" t="str">
        <x:v>Yes</x:v>
      </x:c>
      <x:c r="O6" s="22" t="str">
        <x:v>P0</x:v>
      </x:c>
      <x:c r="P6" s="34" t="str"/>
    </x:row>
    <x:row r="7">
      <x:c r="A7" s="33" t="str">
        <x:v>Postgres</x:v>
      </x:c>
      <x:c r="B7" s="22" t="str">
        <x:v>Headroom under peak settlement + ticks</x:v>
      </x:c>
      <x:c r="C7" s="22" t="str">
        <x:v>CPU/IO/lock waits</x:v>
      </x:c>
      <x:c r="D7" s="22" t="str">
        <x:v>Indexes/query tuning/batching</x:v>
      </x:c>
      <x:c r="E7" s="22" t="str">
        <x:v>Read replicas/partition ledgers</x:v>
      </x:c>
      <x:c r="F7" s="22" t="str">
        <x:v>Sharding early</x:v>
      </x:c>
      <x:c r="G7" s="22" t="str">
        <x:v>DB CPU/IO/locks</x:v>
      </x:c>
      <x:c r="H7" s="22" t="str">
        <x:v>sustained high utilization</x:v>
      </x:c>
      <x:c r="I7" s="22" t="str">
        <x:v>Managed</x:v>
      </x:c>
      <x:c r="J7" s="22" t="str">
        <x:v>time/player later</x:v>
      </x:c>
      <x:c r="K7" s="22" t="str">
        <x:v>Redis helps reads</x:v>
      </x:c>
      <x:c r="L7" s="22" t="str">
        <x:v>Yes for writes</x:v>
      </x:c>
      <x:c r="M7" s="22" t="str">
        <x:v>Cloud SQL tier/storage</x:v>
      </x:c>
      <x:c r="N7" s="22" t="str">
        <x:v>Yes</x:v>
      </x:c>
      <x:c r="O7" s="22" t="str">
        <x:v>P0</x:v>
      </x:c>
      <x:c r="P7" s="34" t="str"/>
    </x:row>
    <x:row r="8">
      <x:c r="A8" s="33" t="str">
        <x:v>Redis</x:v>
      </x:c>
      <x:c r="B8" s="22" t="str">
        <x:v>Low-ms hit path</x:v>
      </x:c>
      <x:c r="C8" s="22" t="str">
        <x:v>evictions/memory/latency</x:v>
      </x:c>
      <x:c r="D8" s="22" t="str">
        <x:v>TTL/key review</x:v>
      </x:c>
      <x:c r="E8" s="22" t="str">
        <x:v>Scale tier/cluster if service supports need</x:v>
      </x:c>
      <x:c r="F8" s="22" t="str">
        <x:v>Store canonical ledger</x:v>
      </x:c>
      <x:c r="G8" s="22" t="str">
        <x:v>memory,evictions,p95</x:v>
      </x:c>
      <x:c r="H8" s="22" t="str">
        <x:v>Evictions + latency</x:v>
      </x:c>
      <x:c r="I8" s="22" t="str">
        <x:v>Managed</x:v>
      </x:c>
      <x:c r="J8" s="22" t="str">
        <x:v>namespace</x:v>
      </x:c>
      <x:c r="K8" s="22" t="str">
        <x:v>Core purpose</x:v>
      </x:c>
      <x:c r="L8" s="22" t="str">
        <x:v>No</x:v>
      </x:c>
      <x:c r="M8" s="22" t="str">
        <x:v>Memory tier</x:v>
      </x:c>
      <x:c r="N8" s="22" t="str">
        <x:v>Yes</x:v>
      </x:c>
      <x:c r="O8" s="22" t="str">
        <x:v>P0</x:v>
      </x:c>
      <x:c r="P8" s="34" t="str"/>
    </x:row>
    <x:row r="9">
      <x:c r="A9" s="33" t="str">
        <x:v>Realtime</x:v>
      </x:c>
      <x:c r="B9" s="22" t="str">
        <x:v>Only material events</x:v>
      </x:c>
      <x:c r="C9" s="22" t="str">
        <x:v>connection count/event fanout</x:v>
      </x:c>
      <x:c r="D9" s="22" t="str">
        <x:v>SSE + reconnect/refetch</x:v>
      </x:c>
      <x:c r="E9" s="22" t="str">
        <x:v>Dedicated gateway if scale proves</x:v>
      </x:c>
      <x:c r="F9" s="22" t="str">
        <x:v>Stream every tick/value</x:v>
      </x:c>
      <x:c r="G9" s="22" t="str">
        <x:v>connections,events/sec</x:v>
      </x:c>
      <x:c r="H9" s="22" t="str">
        <x:v>fanout lag</x:v>
      </x:c>
      <x:c r="I9" s="22" t="str">
        <x:v>Yes</x:v>
      </x:c>
      <x:c r="J9" s="22" t="str">
        <x:v>player</x:v>
      </x:c>
      <x:c r="K9" s="22" t="str">
        <x:v>Yes</x:v>
      </x:c>
      <x:c r="L9" s="22" t="str">
        <x:v>Pub/Sub</x:v>
      </x:c>
      <x:c r="M9" s="22" t="str">
        <x:v>Connections</x:v>
      </x:c>
      <x:c r="N9" s="22" t="str">
        <x:v>P1</x:v>
      </x:c>
      <x:c r="O9" s="22" t="str">
        <x:v>P1</x:v>
      </x:c>
      <x:c r="P9" s="34" t="str"/>
    </x:row>
    <x:row r="10">
      <x:c r="A10" s="33" t="str">
        <x:v>Weekly settlement</x:v>
      </x:c>
      <x:c r="B10" s="22" t="str">
        <x:v>Finalize &lt;=8h target</x:v>
      </x:c>
      <x:c r="C10" s="22" t="str">
        <x:v>stage duration/DB contention</x:v>
      </x:c>
      <x:c r="D10" s="22" t="str">
        <x:v>Partition by league/player shards + immutable manifests</x:v>
      </x:c>
      <x:c r="E10" s="22" t="str">
        <x:v>Dedicated settlement workers/read replicas</x:v>
      </x:c>
      <x:c r="F10" s="22" t="str">
        <x:v>Compute live from UI queries</x:v>
      </x:c>
      <x:c r="G10" s="22" t="str">
        <x:v>stage duration,holds</x:v>
      </x:c>
      <x:c r="H10" s="22" t="str">
        <x:v>SLA risk</x:v>
      </x:c>
      <x:c r="I10" s="22" t="str">
        <x:v>Yes</x:v>
      </x:c>
      <x:c r="J10" s="22" t="str">
        <x:v>epoch/league</x:v>
      </x:c>
      <x:c r="K10" s="22" t="str">
        <x:v>Read cache noncanonical</x:v>
      </x:c>
      <x:c r="L10" s="22" t="str">
        <x:v>Yes</x:v>
      </x:c>
      <x:c r="M10" s="22" t="str">
        <x:v>Compute/DB</x:v>
      </x:c>
      <x:c r="N10" s="22" t="str">
        <x:v>P0.5</x:v>
      </x:c>
      <x:c r="O10" s="22" t="str">
        <x:v>P0</x:v>
      </x:c>
      <x:c r="P10" s="34" t="str"/>
    </x:row>
    <x:row r="11">
      <x:c r="A11" s="35" t="str">
        <x:v>BigQuery</x:v>
      </x:c>
      <x:c r="B11" s="36" t="str">
        <x:v>No gameplay SLO</x:v>
      </x:c>
      <x:c r="C11" s="36" t="str">
        <x:v>Query cost/latency</x:v>
      </x:c>
      <x:c r="D11" s="36" t="str">
        <x:v>Partition+cluster datasets</x:v>
      </x:c>
      <x:c r="E11" s="36" t="str">
        <x:v>Materialized marts</x:v>
      </x:c>
      <x:c r="F11" s="36" t="str">
        <x:v>Use production Postgres for BI</x:v>
      </x:c>
      <x:c r="G11" s="36" t="str">
        <x:v>bytes scanned,cost</x:v>
      </x:c>
      <x:c r="H11" s="36" t="str">
        <x:v>Budget alert</x:v>
      </x:c>
      <x:c r="I11" s="36" t="str">
        <x:v>Managed</x:v>
      </x:c>
      <x:c r="J11" s="36" t="str">
        <x:v>date</x:v>
      </x:c>
      <x:c r="K11" s="36" t="str">
        <x:v>N/A</x:v>
      </x:c>
      <x:c r="L11" s="36" t="str">
        <x:v>Streaming/batch</x:v>
      </x:c>
      <x:c r="M11" s="36" t="str">
        <x:v>Queries/storage</x:v>
      </x:c>
      <x:c r="N11" s="36" t="str">
        <x:v>P1</x:v>
      </x:c>
      <x:c r="O11" s="36" t="str">
        <x:v>P1</x:v>
      </x:c>
      <x:c r="P11" s="37" t="str"/>
    </x:row>
  </x:sheetData>
  <x:mergeCells>
    <x:mergeCell ref="A1:P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Observability, SLOs &amp; Diagnostic Lineage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Signal</x:v>
      </x:c>
      <x:c r="B3" s="14" t="str">
        <x:v>Tool</x:v>
      </x:c>
      <x:c r="C3" s="14" t="str">
        <x:v>Scope</x:v>
      </x:c>
      <x:c r="D3" s="14" t="str">
        <x:v>Metric / Trace</x:v>
      </x:c>
      <x:c r="E3" s="14" t="str">
        <x:v>Target</x:v>
      </x:c>
      <x:c r="F3" s="14" t="str">
        <x:v>Warn</x:v>
      </x:c>
      <x:c r="G3" s="14" t="str">
        <x:v>Critical</x:v>
      </x:c>
      <x:c r="H3" s="14" t="str">
        <x:v>Dimensions</x:v>
      </x:c>
      <x:c r="I3" s="14" t="str">
        <x:v>Retention</x:v>
      </x:c>
      <x:c r="J3" s="14" t="str">
        <x:v>Alert Route</x:v>
      </x:c>
      <x:c r="K3" s="14" t="str">
        <x:v>User Impact</x:v>
      </x:c>
      <x:c r="L3" s="14" t="str">
        <x:v>Replay Ref</x:v>
      </x:c>
      <x:c r="M3" s="14" t="str">
        <x:v>MVP</x:v>
      </x:c>
      <x:c r="N3" s="14" t="str">
        <x:v>Priority</x:v>
      </x:c>
      <x:c r="O3" s="14" t="str">
        <x:v>Owner</x:v>
      </x:c>
      <x:c r="P3" s="14" t="str">
        <x:v>Notes</x:v>
      </x:c>
    </x:row>
    <x:row r="4">
      <x:c r="A4" s="30" t="str">
        <x:v>API availability</x:v>
      </x:c>
      <x:c r="B4" s="31" t="str">
        <x:v>Cloud Monitoring/OTel</x:v>
      </x:c>
      <x:c r="C4" s="31" t="str">
        <x:v>API</x:v>
      </x:c>
      <x:c r="D4" s="31" t="str">
        <x:v>availability</x:v>
      </x:c>
      <x:c r="E4" s="31" t="str">
        <x:v>99.5%+ initial target</x:v>
      </x:c>
      <x:c r="F4" s="31" t="str">
        <x:v>&lt;99.5</x:v>
      </x:c>
      <x:c r="G4" s="31" t="str">
        <x:v>&lt;99</x:v>
      </x:c>
      <x:c r="H4" s="31" t="str">
        <x:v>route/version</x:v>
      </x:c>
      <x:c r="I4" s="31" t="str">
        <x:v>90d+</x:v>
      </x:c>
      <x:c r="J4" s="31" t="str">
        <x:v>On-call</x:v>
      </x:c>
      <x:c r="K4" s="31" t="str">
        <x:v>Gameplay unavailable</x:v>
      </x:c>
      <x:c r="L4" s="31" t="str">
        <x:v>request id</x:v>
      </x:c>
      <x:c r="M4" s="31" t="str">
        <x:v>Yes</x:v>
      </x:c>
      <x:c r="N4" s="31" t="str">
        <x:v>P0</x:v>
      </x:c>
      <x:c r="O4" s="31" t="str">
        <x:v>Backend</x:v>
      </x:c>
      <x:c r="P4" s="32" t="str">
        <x:v>Tune SLO after beta</x:v>
      </x:c>
    </x:row>
    <x:row r="5">
      <x:c r="A5" s="33" t="str">
        <x:v>API latency</x:v>
      </x:c>
      <x:c r="B5" s="22" t="str">
        <x:v>OTel</x:v>
      </x:c>
      <x:c r="C5" s="22" t="str">
        <x:v>API</x:v>
      </x:c>
      <x:c r="D5" s="22" t="str">
        <x:v>p95/p99</x:v>
      </x:c>
      <x:c r="E5" s="22" t="str">
        <x:v>Read &lt;300ms; mutation &lt;500ms excluding external</x:v>
      </x:c>
      <x:c r="F5" s="22" t="str">
        <x:v>2x</x:v>
      </x:c>
      <x:c r="G5" s="22" t="str">
        <x:v>5x</x:v>
      </x:c>
      <x:c r="H5" s="22" t="str">
        <x:v>route,version</x:v>
      </x:c>
      <x:c r="I5" s="22" t="str">
        <x:v>30-90d</x:v>
      </x:c>
      <x:c r="J5" s="22" t="str">
        <x:v>On-call</x:v>
      </x:c>
      <x:c r="K5" s="22" t="str">
        <x:v>Slow UI</x:v>
      </x:c>
      <x:c r="L5" s="22" t="str">
        <x:v>trace id</x:v>
      </x:c>
      <x:c r="M5" s="22" t="str">
        <x:v>Yes</x:v>
      </x:c>
      <x:c r="N5" s="22" t="str">
        <x:v>P0</x:v>
      </x:c>
      <x:c r="O5" s="22" t="str">
        <x:v>Backend</x:v>
      </x:c>
      <x:c r="P5" s="34" t="str"/>
    </x:row>
    <x:row r="6">
      <x:c r="A6" s="33" t="str">
        <x:v>Worker lag</x:v>
      </x:c>
      <x:c r="B6" s="22" t="str">
        <x:v>Cloud Monitoring</x:v>
      </x:c>
      <x:c r="C6" s="22" t="str">
        <x:v>Queues</x:v>
      </x:c>
      <x:c r="D6" s="22" t="str">
        <x:v>oldest message / bucket completion</x:v>
      </x:c>
      <x:c r="E6" s="22" t="str">
        <x:v>Well under cadence</x:v>
      </x:c>
      <x:c r="F6" s="22" t="str">
        <x:v>50% cadence</x:v>
      </x:c>
      <x:c r="G6" s="22" t="str">
        <x:v>Near cadence</x:v>
      </x:c>
      <x:c r="H6" s="22" t="str">
        <x:v>job,shard</x:v>
      </x:c>
      <x:c r="I6" s="22" t="str">
        <x:v>90d</x:v>
      </x:c>
      <x:c r="J6" s="22" t="str">
        <x:v>On-call</x:v>
      </x:c>
      <x:c r="K6" s="22" t="str">
        <x:v>State delayed</x:v>
      </x:c>
      <x:c r="L6" s="22" t="str">
        <x:v>bucket/job id</x:v>
      </x:c>
      <x:c r="M6" s="22" t="str">
        <x:v>Yes</x:v>
      </x:c>
      <x:c r="N6" s="22" t="str">
        <x:v>P0</x:v>
      </x:c>
      <x:c r="O6" s="22" t="str">
        <x:v>Backend</x:v>
      </x:c>
      <x:c r="P6" s="34" t="str"/>
    </x:row>
    <x:row r="7">
      <x:c r="A7" s="33" t="str">
        <x:v>DB health</x:v>
      </x:c>
      <x:c r="B7" s="22" t="str">
        <x:v>Cloud SQL metrics</x:v>
      </x:c>
      <x:c r="C7" s="22" t="str">
        <x:v>Postgres</x:v>
      </x:c>
      <x:c r="D7" s="22" t="str">
        <x:v>CPU,IO,locks,connections</x:v>
      </x:c>
      <x:c r="E7" s="22" t="str">
        <x:v>Headroom</x:v>
      </x:c>
      <x:c r="F7" s="22" t="str">
        <x:v>Sustained 70-80%</x:v>
      </x:c>
      <x:c r="G7" s="22" t="str">
        <x:v>Near saturation</x:v>
      </x:c>
      <x:c r="H7" s="22" t="str">
        <x:v>query/service</x:v>
      </x:c>
      <x:c r="I7" s="22" t="str">
        <x:v>30d+</x:v>
      </x:c>
      <x:c r="J7" s="22" t="str">
        <x:v>Platform</x:v>
      </x:c>
      <x:c r="K7" s="22" t="str">
        <x:v>Broad</x:v>
      </x:c>
      <x:c r="L7" s="22" t="str">
        <x:v>query trace</x:v>
      </x:c>
      <x:c r="M7" s="22" t="str">
        <x:v>Yes</x:v>
      </x:c>
      <x:c r="N7" s="22" t="str">
        <x:v>P0</x:v>
      </x:c>
      <x:c r="O7" s="22" t="str">
        <x:v>Platform</x:v>
      </x:c>
      <x:c r="P7" s="34" t="str"/>
    </x:row>
    <x:row r="8">
      <x:c r="A8" s="33" t="str">
        <x:v>Client errors</x:v>
      </x:c>
      <x:c r="B8" s="22" t="str">
        <x:v>Sentry</x:v>
      </x:c>
      <x:c r="C8" s="22" t="str">
        <x:v>Web</x:v>
      </x:c>
      <x:c r="D8" s="22" t="str">
        <x:v>error/crash rate</x:v>
      </x:c>
      <x:c r="E8" s="22" t="str">
        <x:v>Low/stable</x:v>
      </x:c>
      <x:c r="F8" s="22" t="str">
        <x:v>baseline spike</x:v>
      </x:c>
      <x:c r="G8" s="22" t="str">
        <x:v>large spike</x:v>
      </x:c>
      <x:c r="H8" s="22" t="str">
        <x:v>device,app version</x:v>
      </x:c>
      <x:c r="I8" s="22" t="str">
        <x:v>90d</x:v>
      </x:c>
      <x:c r="J8" s="22" t="str">
        <x:v>Frontend</x:v>
      </x:c>
      <x:c r="K8" s="22" t="str">
        <x:v>Broken flow</x:v>
      </x:c>
      <x:c r="L8" s="22" t="str">
        <x:v>session/event id</x:v>
      </x:c>
      <x:c r="M8" s="22" t="str">
        <x:v>Yes</x:v>
      </x:c>
      <x:c r="N8" s="22" t="str">
        <x:v>P0</x:v>
      </x:c>
      <x:c r="O8" s="22" t="str">
        <x:v>Frontend</x:v>
      </x:c>
      <x:c r="P8" s="34" t="str"/>
    </x:row>
    <x:row r="9">
      <x:c r="A9" s="33" t="str">
        <x:v>Client FPS</x:v>
      </x:c>
      <x:c r="B9" s="22" t="str">
        <x:v>RUM/custom</x:v>
      </x:c>
      <x:c r="C9" s="22" t="str">
        <x:v>Pixi</x:v>
      </x:c>
      <x:c r="D9" s="22" t="str">
        <x:v>FPS/frame time</x:v>
      </x:c>
      <x:c r="E9" s="22" t="str">
        <x:v>60 target / acceptable device floor</x:v>
      </x:c>
      <x:c r="F9" s="22" t="str">
        <x:v>p95 decline</x:v>
      </x:c>
      <x:c r="G9" s="22" t="str">
        <x:v>severe jank</x:v>
      </x:c>
      <x:c r="H9" s="22" t="str">
        <x:v>device,board density</x:v>
      </x:c>
      <x:c r="I9" s="22" t="str">
        <x:v>30d</x:v>
      </x:c>
      <x:c r="J9" s="22" t="str">
        <x:v>Frontend</x:v>
      </x:c>
      <x:c r="K9" s="22" t="str">
        <x:v>Poor play</x:v>
      </x:c>
      <x:c r="L9" s="22" t="str">
        <x:v>session</x:v>
      </x:c>
      <x:c r="M9" s="22" t="str">
        <x:v>P1</x:v>
      </x:c>
      <x:c r="N9" s="22" t="str">
        <x:v>P0/P1</x:v>
      </x:c>
      <x:c r="O9" s="22" t="str">
        <x:v>Frontend</x:v>
      </x:c>
      <x:c r="P9" s="34" t="str"/>
    </x:row>
    <x:row r="10">
      <x:c r="A10" s="33" t="str">
        <x:v>Economy integrity</x:v>
      </x:c>
      <x:c r="B10" s="22" t="str">
        <x:v>Domain metrics</x:v>
      </x:c>
      <x:c r="C10" s="22" t="str">
        <x:v>Economy</x:v>
      </x:c>
      <x:c r="D10" s="22" t="str">
        <x:v>duplicate bucket,negative invariant,error</x:v>
      </x:c>
      <x:c r="E10" s="22" t="str">
        <x:v>0 critical</x:v>
      </x:c>
      <x:c r="F10" s="22" t="str">
        <x:v>Any</x:v>
      </x:c>
      <x:c r="G10" s="22" t="str">
        <x:v>Persistent</x:v>
      </x:c>
      <x:c r="H10" s="22" t="str">
        <x:v>stage/config</x:v>
      </x:c>
      <x:c r="I10" s="22" t="str">
        <x:v>Permanent cases</x:v>
      </x:c>
      <x:c r="J10" s="22" t="str">
        <x:v>Integrity</x:v>
      </x:c>
      <x:c r="K10" s="22" t="str">
        <x:v>Incorrect Cash</x:v>
      </x:c>
      <x:c r="L10" s="22" t="str">
        <x:v>bucket/config refs</x:v>
      </x:c>
      <x:c r="M10" s="22" t="str">
        <x:v>Yes</x:v>
      </x:c>
      <x:c r="N10" s="22" t="str">
        <x:v>P0</x:v>
      </x:c>
      <x:c r="O10" s="22" t="str">
        <x:v>Economy</x:v>
      </x:c>
      <x:c r="P10" s="34" t="str"/>
    </x:row>
    <x:row r="11">
      <x:c r="A11" s="33" t="str">
        <x:v>Module lineage</x:v>
      </x:c>
      <x:c r="B11" s="22" t="str">
        <x:v>OTel/domain trace</x:v>
      </x:c>
      <x:c r="C11" s="22" t="str">
        <x:v>Modules</x:v>
      </x:c>
      <x:c r="D11" s="22" t="str">
        <x:v>resolver version/loadout/config</x:v>
      </x:c>
      <x:c r="E11" s="22" t="str">
        <x:v>0 invalid</x:v>
      </x:c>
      <x:c r="F11" s="22" t="str">
        <x:v>Any invalid config</x:v>
      </x:c>
      <x:c r="G11" s="22" t="str">
        <x:v>Systemic</x:v>
      </x:c>
      <x:c r="H11" s="22" t="str">
        <x:v>module/family/stage</x:v>
      </x:c>
      <x:c r="I11" s="22" t="str">
        <x:v>90-365d sample</x:v>
      </x:c>
      <x:c r="J11" s="22" t="str">
        <x:v>Game Systems</x:v>
      </x:c>
      <x:c r="K11" s="22" t="str">
        <x:v>Wrong business output</x:v>
      </x:c>
      <x:c r="L11" s="22" t="str">
        <x:v>trace/loadout refs</x:v>
      </x:c>
      <x:c r="M11" s="22" t="str">
        <x:v>Yes</x:v>
      </x:c>
      <x:c r="N11" s="22" t="str">
        <x:v>P0</x:v>
      </x:c>
      <x:c r="O11" s="22" t="str">
        <x:v>Modules</x:v>
      </x:c>
      <x:c r="P11" s="34" t="str"/>
    </x:row>
    <x:row r="12">
      <x:c r="A12" s="33" t="str">
        <x:v>Settlement health</x:v>
      </x:c>
      <x:c r="B12" s="22" t="str">
        <x:v>Competition metrics</x:v>
      </x:c>
      <x:c r="C12" s="22" t="str">
        <x:v>Weekly</x:v>
      </x:c>
      <x:c r="D12" s="22" t="str">
        <x:v>stage duration,holds,pool conservation</x:v>
      </x:c>
      <x:c r="E12" s="22" t="str">
        <x:v>&lt;=8h finalize target; exact conservation</x:v>
      </x:c>
      <x:c r="F12" s="22" t="str">
        <x:v>SLA risk</x:v>
      </x:c>
      <x:c r="G12" s="22" t="str">
        <x:v>Mismatch</x:v>
      </x:c>
      <x:c r="H12" s="22" t="str">
        <x:v>epoch/league</x:v>
      </x:c>
      <x:c r="I12" s="22" t="str">
        <x:v>Permanent final audit</x:v>
      </x:c>
      <x:c r="J12" s="22" t="str">
        <x:v>Critical</x:v>
      </x:c>
      <x:c r="K12" s="22" t="str">
        <x:v>Payout delay/error</x:v>
      </x:c>
      <x:c r="L12" s="22" t="str">
        <x:v>manifest id</x:v>
      </x:c>
      <x:c r="M12" s="22" t="str">
        <x:v>P0.5</x:v>
      </x:c>
      <x:c r="N12" s="22" t="str">
        <x:v>P0</x:v>
      </x:c>
      <x:c r="O12" s="22" t="str">
        <x:v>Competition</x:v>
      </x:c>
      <x:c r="P12" s="34" t="str"/>
    </x:row>
    <x:row r="13">
      <x:c r="A13" s="35" t="str">
        <x:v>Provider health</x:v>
      </x:c>
      <x:c r="B13" s="36" t="str">
        <x:v>Adapter metrics</x:v>
      </x:c>
      <x:c r="C13" s="36" t="str">
        <x:v>Stock</x:v>
      </x:c>
      <x:c r="D13" s="36" t="str">
        <x:v>availability/order/reconcile</x:v>
      </x:c>
      <x:c r="E13" s="36" t="str">
        <x:v>Contract/SLA driven</x:v>
      </x:c>
      <x:c r="F13" s="36" t="str">
        <x:v>Error rise</x:v>
      </x:c>
      <x:c r="G13" s="36" t="str">
        <x:v>Systemic</x:v>
      </x:c>
      <x:c r="H13" s="36" t="str">
        <x:v>provider,asset</x:v>
      </x:c>
      <x:c r="I13" s="36" t="str">
        <x:v>180d</x:v>
      </x:c>
      <x:c r="J13" s="36" t="str">
        <x:v>Finance/Backend</x:v>
      </x:c>
      <x:c r="K13" s="36" t="str">
        <x:v>Real claims delayed</x:v>
      </x:c>
      <x:c r="L13" s="36" t="str">
        <x:v>claim/order refs</x:v>
      </x:c>
      <x:c r="M13" s="36" t="str">
        <x:v>Later</x:v>
      </x:c>
      <x:c r="N13" s="36" t="str">
        <x:v>P1</x:v>
      </x:c>
      <x:c r="O13" s="36" t="str">
        <x:v>Stock</x:v>
      </x:c>
      <x:c r="P13" s="37" t="str"/>
    </x:row>
  </x:sheetData>
  <x:mergeCells>
    <x:mergeCell ref="A1:P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Disaster Recovery &amp; Failure Boundaries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Failure</x:v>
      </x:c>
      <x:c r="B3" s="14" t="str">
        <x:v>Canonical State at Risk?</x:v>
      </x:c>
      <x:c r="C3" s="14" t="str">
        <x:v>Immediate Behavior</x:v>
      </x:c>
      <x:c r="D3" s="14" t="str">
        <x:v>Recovery Source</x:v>
      </x:c>
      <x:c r="E3" s="14" t="str">
        <x:v>RPO Target</x:v>
      </x:c>
      <x:c r="F3" s="14" t="str">
        <x:v>RTO Target</x:v>
      </x:c>
      <x:c r="G3" s="14" t="str">
        <x:v>Duplicate Risk</x:v>
      </x:c>
      <x:c r="H3" s="14" t="str">
        <x:v>Data Loss Risk</x:v>
      </x:c>
      <x:c r="I3" s="14" t="str">
        <x:v>Gameplay During Incident</x:v>
      </x:c>
      <x:c r="J3" s="14" t="str">
        <x:v>Chain Behavior</x:v>
      </x:c>
      <x:c r="K3" s="14" t="str">
        <x:v>Provider Behavior</x:v>
      </x:c>
      <x:c r="L3" s="14" t="str">
        <x:v>Manual Step</x:v>
      </x:c>
      <x:c r="M3" s="14" t="str">
        <x:v>Test Cadence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Redis unavailable</x:v>
      </x:c>
      <x:c r="B4" s="31" t="str">
        <x:v>No</x:v>
      </x:c>
      <x:c r="C4" s="31" t="str">
        <x:v>Fallback to Postgres; disable some caching/locks safely</x:v>
      </x:c>
      <x:c r="D4" s="31" t="str">
        <x:v>Postgres</x:v>
      </x:c>
      <x:c r="E4" s="31" t="str">
        <x:v>0 canonical loss</x:v>
      </x:c>
      <x:c r="F4" s="31" t="str">
        <x:v>&lt;1h degraded</x:v>
      </x:c>
      <x:c r="G4" s="31" t="str">
        <x:v>Low if DB uniqueness exists</x:v>
      </x:c>
      <x:c r="H4" s="31" t="str">
        <x:v>None canonical</x:v>
      </x:c>
      <x:c r="I4" s="31" t="str">
        <x:v>Slower; selected writes may throttle</x:v>
      </x:c>
      <x:c r="J4" s="31" t="str">
        <x:v>Unaffected</x:v>
      </x:c>
      <x:c r="K4" s="31" t="str">
        <x:v>Unaffected</x:v>
      </x:c>
      <x:c r="L4" s="31" t="str">
        <x:v>Maybe scale/failover</x:v>
      </x:c>
      <x:c r="M4" s="31" t="str">
        <x:v>Quarterly</x:v>
      </x:c>
      <x:c r="N4" s="31" t="str">
        <x:v>Yes</x:v>
      </x:c>
      <x:c r="O4" s="31" t="str">
        <x:v>P0</x:v>
      </x:c>
      <x:c r="P4" s="32" t="str"/>
    </x:row>
    <x:row r="5">
      <x:c r="A5" s="33" t="str">
        <x:v>API container crash</x:v>
      </x:c>
      <x:c r="B5" s="22" t="str">
        <x:v>No</x:v>
      </x:c>
      <x:c r="C5" s="22" t="str">
        <x:v>LB routes to healthy instances</x:v>
      </x:c>
      <x:c r="D5" s="22" t="str">
        <x:v>Postgres/queues</x:v>
      </x:c>
      <x:c r="E5" s="22" t="str">
        <x:v>0</x:v>
      </x:c>
      <x:c r="F5" s="22" t="str">
        <x:v>Minutes</x:v>
      </x:c>
      <x:c r="G5" s="22" t="str">
        <x:v>Low</x:v>
      </x:c>
      <x:c r="H5" s="22" t="str">
        <x:v>None</x:v>
      </x:c>
      <x:c r="I5" s="22" t="str">
        <x:v>Brief retries</x:v>
      </x:c>
      <x:c r="J5" s="22" t="str">
        <x:v>Unaffected</x:v>
      </x:c>
      <x:c r="K5" s="22" t="str">
        <x:v>Unaffected</x:v>
      </x:c>
      <x:c r="L5" s="22" t="str">
        <x:v>None</x:v>
      </x:c>
      <x:c r="M5" s="22" t="str">
        <x:v>Continuous</x:v>
      </x:c>
      <x:c r="N5" s="22" t="str">
        <x:v>Yes</x:v>
      </x:c>
      <x:c r="O5" s="22" t="str">
        <x:v>P0</x:v>
      </x:c>
      <x:c r="P5" s="34" t="str"/>
    </x:row>
    <x:row r="6">
      <x:c r="A6" s="33" t="str">
        <x:v>Worker outage</x:v>
      </x:c>
      <x:c r="B6" s="22" t="str">
        <x:v>Potential delayed state, not lost</x:v>
      </x:c>
      <x:c r="C6" s="22" t="str">
        <x:v>Queues accumulate</x:v>
      </x:c>
      <x:c r="D6" s="22" t="str">
        <x:v>Pub/Sub/Tasks + Postgres cursors</x:v>
      </x:c>
      <x:c r="E6" s="22" t="str">
        <x:v>0</x:v>
      </x:c>
      <x:c r="F6" s="22" t="str">
        <x:v>&lt;cadence/incident target</x:v>
      </x:c>
      <x:c r="G6" s="22" t="str">
        <x:v>Medium if poor idempotency</x:v>
      </x:c>
      <x:c r="H6" s="22" t="str">
        <x:v>None if queue retained</x:v>
      </x:c>
      <x:c r="I6" s="22" t="str">
        <x:v>State/timers delayed</x:v>
      </x:c>
      <x:c r="J6" s="22" t="str">
        <x:v>Chain events reconciled later</x:v>
      </x:c>
      <x:c r="K6" s="22" t="str">
        <x:v>Provider events poll-repaired</x:v>
      </x:c>
      <x:c r="L6" s="22" t="str">
        <x:v>Restart workers</x:v>
      </x:c>
      <x:c r="M6" s="22" t="str">
        <x:v>Monthly</x:v>
      </x:c>
      <x:c r="N6" s="22" t="str">
        <x:v>Yes</x:v>
      </x:c>
      <x:c r="O6" s="22" t="str">
        <x:v>P0</x:v>
      </x:c>
      <x:c r="P6" s="34" t="str"/>
    </x:row>
    <x:row r="7">
      <x:c r="A7" s="33" t="str">
        <x:v>Postgres regional issue</x:v>
      </x:c>
      <x:c r="B7" s="22" t="str">
        <x:v>Yes</x:v>
      </x:c>
      <x:c r="C7" s="22" t="str">
        <x:v>Fail writes / maintenance mode; protect integrity</x:v>
      </x:c>
      <x:c r="D7" s="22" t="str">
        <x:v>Cloud SQL HA/PITR/backups</x:v>
      </x:c>
      <x:c r="E7" s="22" t="str">
        <x:v>Near-zero per managed HA/PITR target</x:v>
      </x:c>
      <x:c r="F7" s="22" t="str">
        <x:v>Provider architecture target</x:v>
      </x:c>
      <x:c r="G7" s="22" t="str">
        <x:v>Medium</x:v>
      </x:c>
      <x:c r="H7" s="22" t="str">
        <x:v>Critical if backup policy weak</x:v>
      </x:c>
      <x:c r="I7" s="22" t="str">
        <x:v>Read-only/degraded mode</x:v>
      </x:c>
      <x:c r="J7" s="22" t="str">
        <x:v>Chain still exists but mirror stale</x:v>
      </x:c>
      <x:c r="K7" s="22" t="str">
        <x:v>Pause real claims if DB uncertain</x:v>
      </x:c>
      <x:c r="L7" s="22" t="str">
        <x:v>Failover/restore</x:v>
      </x:c>
      <x:c r="M7" s="22" t="str">
        <x:v>Quarterly restore test</x:v>
      </x:c>
      <x:c r="N7" s="22" t="str">
        <x:v>Yes</x:v>
      </x:c>
      <x:c r="O7" s="22" t="str">
        <x:v>P0</x:v>
      </x:c>
      <x:c r="P7" s="34" t="str"/>
    </x:row>
    <x:row r="8">
      <x:c r="A8" s="33" t="str">
        <x:v>Chain RPC outage</x:v>
      </x:c>
      <x:c r="B8" s="22" t="str">
        <x:v>No offchain state; chain mirror stale</x:v>
      </x:c>
      <x:c r="C8" s="22" t="str">
        <x:v>Disable chain mutations; mark ownership/claim pending/stale</x:v>
      </x:c>
      <x:c r="D8" s="22" t="str">
        <x:v>Alternate RPC + log replay</x:v>
      </x:c>
      <x:c r="E8" s="22" t="str">
        <x:v>0 chain data</x:v>
      </x:c>
      <x:c r="F8" s="22" t="str">
        <x:v>&lt;1h target</x:v>
      </x:c>
      <x:c r="G8" s="22" t="str">
        <x:v>Low</x:v>
      </x:c>
      <x:c r="H8" s="22" t="str">
        <x:v>None</x:v>
      </x:c>
      <x:c r="I8" s="22" t="str">
        <x:v>Core offchain game continues where ownership already validated policy permits</x:v>
      </x:c>
      <x:c r="J8" s="22" t="str">
        <x:v>Reconcile blocks</x:v>
      </x:c>
      <x:c r="K8" s="22" t="str">
        <x:v>Stock provider independent</x:v>
      </x:c>
      <x:c r="L8" s="22" t="str">
        <x:v>Switch RPC/reconcile</x:v>
      </x:c>
      <x:c r="M8" s="22" t="str">
        <x:v>Quarterly</x:v>
      </x:c>
      <x:c r="N8" s="22" t="str">
        <x:v>Yes</x:v>
      </x:c>
      <x:c r="O8" s="22" t="str">
        <x:v>P0</x:v>
      </x:c>
      <x:c r="P8" s="34" t="str"/>
    </x:row>
    <x:row r="9">
      <x:c r="A9" s="33" t="str">
        <x:v>Provider outage</x:v>
      </x:c>
      <x:c r="B9" s="22" t="str">
        <x:v>No core game state</x:v>
      </x:c>
      <x:c r="C9" s="22" t="str">
        <x:v>Real stock claims pending/paused</x:v>
      </x:c>
      <x:c r="D9" s="22" t="str">
        <x:v>Provider order ids + status reconciliation</x:v>
      </x:c>
      <x:c r="E9" s="22" t="str">
        <x:v>0 reward ledger loss</x:v>
      </x:c>
      <x:c r="F9" s="22" t="str">
        <x:v>Contract/SLA</x:v>
      </x:c>
      <x:c r="G9" s="22" t="str">
        <x:v>High if duplicate external order mishandled</x:v>
      </x:c>
      <x:c r="H9" s="22" t="str">
        <x:v>No if same id reused</x:v>
      </x:c>
      <x:c r="I9" s="22" t="str">
        <x:v>Core game continues</x:v>
      </x:c>
      <x:c r="J9" s="22" t="str">
        <x:v>Independent</x:v>
      </x:c>
      <x:c r="K9" s="22" t="str">
        <x:v>Claims unavailable/pending</x:v>
      </x:c>
      <x:c r="L9" s="22" t="str">
        <x:v>Provider support if ambiguous</x:v>
      </x:c>
      <x:c r="M9" s="22" t="str">
        <x:v>Pre-P1 rehearsal</x:v>
      </x:c>
      <x:c r="N9" s="22" t="str">
        <x:v>Later</x:v>
      </x:c>
      <x:c r="O9" s="22" t="str">
        <x:v>P1</x:v>
      </x:c>
      <x:c r="P9" s="34" t="str"/>
    </x:row>
    <x:row r="10">
      <x:c r="A10" s="33" t="str">
        <x:v>Bad game config</x:v>
      </x:c>
      <x:c r="B10" s="22" t="str">
        <x:v>Derived outcomes at risk</x:v>
      </x:c>
      <x:c r="C10" s="22" t="str">
        <x:v>Stop activation / repoint previous approved version</x:v>
      </x:c>
      <x:c r="D10" s="22" t="str">
        <x:v>Immutable config + lineage</x:v>
      </x:c>
      <x:c r="E10" s="22" t="str">
        <x:v>0</x:v>
      </x:c>
      <x:c r="F10" s="22" t="str">
        <x:v>Minutes</x:v>
      </x:c>
      <x:c r="G10" s="22" t="str">
        <x:v>Low</x:v>
      </x:c>
      <x:c r="H10" s="22" t="str">
        <x:v>No canonical raw ledger loss</x:v>
      </x:c>
      <x:c r="I10" s="22" t="str">
        <x:v>May pause affected system</x:v>
      </x:c>
      <x:c r="J10" s="22" t="str">
        <x:v>N/A</x:v>
      </x:c>
      <x:c r="K10" s="22" t="str">
        <x:v>N/A</x:v>
      </x:c>
      <x:c r="L10" s="22" t="str">
        <x:v>Game Systems rollback</x:v>
      </x:c>
      <x:c r="M10" s="22" t="str">
        <x:v>Every config release dry run</x:v>
      </x:c>
      <x:c r="N10" s="22" t="str">
        <x:v>Yes</x:v>
      </x:c>
      <x:c r="O10" s="22" t="str">
        <x:v>P0</x:v>
      </x:c>
      <x:c r="P10" s="34" t="str"/>
    </x:row>
    <x:row r="11">
      <x:c r="A11" s="35" t="str">
        <x:v>Bad deployment</x:v>
      </x:c>
      <x:c r="B11" s="36" t="str">
        <x:v>No if DB compatible</x:v>
      </x:c>
      <x:c r="C11" s="36" t="str">
        <x:v>Rollback Cloud Run revision</x:v>
      </x:c>
      <x:c r="D11" s="36" t="str">
        <x:v>Previous image + compatible schema</x:v>
      </x:c>
      <x:c r="E11" s="36" t="str">
        <x:v>0</x:v>
      </x:c>
      <x:c r="F11" s="36" t="str">
        <x:v>Minutes</x:v>
      </x:c>
      <x:c r="G11" s="36" t="str">
        <x:v>Low</x:v>
      </x:c>
      <x:c r="H11" s="36" t="str">
        <x:v>None</x:v>
      </x:c>
      <x:c r="I11" s="36" t="str">
        <x:v>Brief impact</x:v>
      </x:c>
      <x:c r="J11" s="36" t="str">
        <x:v>N/A</x:v>
      </x:c>
      <x:c r="K11" s="36" t="str">
        <x:v>N/A</x:v>
      </x:c>
      <x:c r="L11" s="36" t="str">
        <x:v>Deploy rollback</x:v>
      </x:c>
      <x:c r="M11" s="36" t="str">
        <x:v>Every release</x:v>
      </x:c>
      <x:c r="N11" s="36" t="str">
        <x:v>Yes</x:v>
      </x:c>
      <x:c r="O11" s="36" t="str">
        <x:v>P0</x:v>
      </x:c>
      <x:c r="P11" s="37" t="str"/>
    </x:row>
  </x:sheetData>
  <x:mergeCells>
    <x:mergeCell ref="A1:P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Developer Workflow &amp; Engineering Conventions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Area</x:v>
      </x:c>
      <x:c r="B3" s="14" t="str">
        <x:v>Rule</x:v>
      </x:c>
      <x:c r="C3" s="14" t="str">
        <x:v>Tooling</x:v>
      </x:c>
      <x:c r="D3" s="14" t="str">
        <x:v>Why</x:v>
      </x:c>
      <x:c r="E3" s="14" t="str">
        <x:v>Frontend</x:v>
      </x:c>
      <x:c r="F3" s="14" t="str">
        <x:v>Backend</x:v>
      </x:c>
      <x:c r="G3" s="14" t="str">
        <x:v>DB</x:v>
      </x:c>
      <x:c r="H3" s="14" t="str">
        <x:v>Config</x:v>
      </x:c>
      <x:c r="I3" s="14" t="str">
        <x:v>Tests</x:v>
      </x:c>
      <x:c r="J3" s="14" t="str">
        <x:v>Review Gate</x:v>
      </x:c>
      <x:c r="K3" s="14" t="str">
        <x:v>Automation</x:v>
      </x:c>
      <x:c r="L3" s="14" t="str">
        <x:v>Failure Prevention</x:v>
      </x:c>
      <x:c r="M3" s="14" t="str">
        <x:v>MVP</x:v>
      </x:c>
      <x:c r="N3" s="14" t="str">
        <x:v>Priority</x:v>
      </x:c>
      <x:c r="O3" s="14" t="str">
        <x:v>Owner</x:v>
      </x:c>
      <x:c r="P3" s="14" t="str">
        <x:v>Notes</x:v>
      </x:c>
    </x:row>
    <x:row r="4">
      <x:c r="A4" s="30" t="str">
        <x:v>Package manager</x:v>
      </x:c>
      <x:c r="B4" s="31" t="str">
        <x:v>pnpm workspace only</x:v>
      </x:c>
      <x:c r="C4" s="31" t="str">
        <x:v>pnpm</x:v>
      </x:c>
      <x:c r="D4" s="31" t="str">
        <x:v>Deterministic monorepo deps</x:v>
      </x:c>
      <x:c r="E4" s="31" t="str">
        <x:v>Yes</x:v>
      </x:c>
      <x:c r="F4" s="31" t="str">
        <x:v>Yes</x:v>
      </x:c>
      <x:c r="G4" s="31" t="str">
        <x:v>N/A</x:v>
      </x:c>
      <x:c r="H4" s="31" t="str">
        <x:v>N/A</x:v>
      </x:c>
      <x:c r="I4" s="31" t="str">
        <x:v>CI lockfile</x:v>
      </x:c>
      <x:c r="J4" s="31" t="str">
        <x:v>Lockfile unchanged unexpectedly</x:v>
      </x:c>
      <x:c r="K4" s="31" t="str">
        <x:v>CI frozen lockfile</x:v>
      </x:c>
      <x:c r="L4" s="31" t="str">
        <x:v>Avoid npm/yarn mix</x:v>
      </x:c>
      <x:c r="M4" s="31" t="str">
        <x:v>Yes</x:v>
      </x:c>
      <x:c r="N4" s="31" t="str">
        <x:v>P0</x:v>
      </x:c>
      <x:c r="O4" s="31" t="str">
        <x:v>Platform</x:v>
      </x:c>
      <x:c r="P4" s="32" t="str"/>
    </x:row>
    <x:row r="5">
      <x:c r="A5" s="33" t="str">
        <x:v>Task graph</x:v>
      </x:c>
      <x:c r="B5" s="22" t="str">
        <x:v>Turborepo</x:v>
      </x:c>
      <x:c r="C5" s="22" t="str">
        <x:v>turbo</x:v>
      </x:c>
      <x:c r="D5" s="22" t="str">
        <x:v>Cache builds/tests</x:v>
      </x:c>
      <x:c r="E5" s="22" t="str">
        <x:v>Yes</x:v>
      </x:c>
      <x:c r="F5" s="22" t="str">
        <x:v>Yes</x:v>
      </x:c>
      <x:c r="G5" s="22" t="str">
        <x:v>N/A</x:v>
      </x:c>
      <x:c r="H5" s="22" t="str">
        <x:v>Yes</x:v>
      </x:c>
      <x:c r="I5" s="22" t="str">
        <x:v>Yes</x:v>
      </x:c>
      <x:c r="J5" s="22" t="str">
        <x:v>PR</x:v>
      </x:c>
      <x:c r="K5" s="22" t="str">
        <x:v>Remote/local cache optional</x:v>
      </x:c>
      <x:c r="L5" s="22" t="str">
        <x:v>Faster CI</x:v>
      </x:c>
      <x:c r="M5" s="22" t="str">
        <x:v>Yes</x:v>
      </x:c>
      <x:c r="N5" s="22" t="str">
        <x:v>P0</x:v>
      </x:c>
      <x:c r="O5" s="22" t="str">
        <x:v>Platform</x:v>
      </x:c>
      <x:c r="P5" s="34" t="str"/>
    </x:row>
    <x:row r="6">
      <x:c r="A6" s="33" t="str">
        <x:v>Branching</x:v>
      </x:c>
      <x:c r="B6" s="22" t="str">
        <x:v>Short-lived PR branches</x:v>
      </x:c>
      <x:c r="C6" s="22" t="str">
        <x:v>GitHub/Git</x:v>
      </x:c>
      <x:c r="D6" s="22" t="str">
        <x:v>Reduce drift</x:v>
      </x:c>
      <x:c r="E6" s="22" t="str">
        <x:v>Yes</x:v>
      </x:c>
      <x:c r="F6" s="22" t="str">
        <x:v>Yes</x:v>
      </x:c>
      <x:c r="G6" s="22" t="str">
        <x:v>Migrations reviewed</x:v>
      </x:c>
      <x:c r="H6" s="22" t="str">
        <x:v>Config reviewed</x:v>
      </x:c>
      <x:c r="I6" s="22" t="str">
        <x:v>Required</x:v>
      </x:c>
      <x:c r="J6" s="22" t="str">
        <x:v>At least one reviewer for risky domains</x:v>
      </x:c>
      <x:c r="K6" s="22" t="str">
        <x:v>Protected main</x:v>
      </x:c>
      <x:c r="L6" s="22" t="str">
        <x:v>No long-lived feature divergence</x:v>
      </x:c>
      <x:c r="M6" s="22" t="str">
        <x:v>Yes</x:v>
      </x:c>
      <x:c r="N6" s="22" t="str">
        <x:v>P0</x:v>
      </x:c>
      <x:c r="O6" s="22" t="str">
        <x:v>All</x:v>
      </x:c>
      <x:c r="P6" s="34" t="str"/>
    </x:row>
    <x:row r="7">
      <x:c r="A7" s="33" t="str">
        <x:v>API contracts</x:v>
      </x:c>
      <x:c r="B7" s="22" t="str">
        <x:v>Schema-first enough to generate clients/docs</x:v>
      </x:c>
      <x:c r="C7" s="22" t="str">
        <x:v>OpenAPI/Zod</x:v>
      </x:c>
      <x:c r="D7" s="22" t="str">
        <x:v>Prevent frontend/backend mismatch</x:v>
      </x:c>
      <x:c r="E7" s="22" t="str">
        <x:v>Generated client/types</x:v>
      </x:c>
      <x:c r="F7" s="22" t="str">
        <x:v>Authoritative route schema</x:v>
      </x:c>
      <x:c r="G7" s="22" t="str">
        <x:v>N/A</x:v>
      </x:c>
      <x:c r="H7" s="22" t="str">
        <x:v>N/A</x:v>
      </x:c>
      <x:c r="I7" s="22" t="str">
        <x:v>Contract tests</x:v>
      </x:c>
      <x:c r="J7" s="22" t="str">
        <x:v>API change review</x:v>
      </x:c>
      <x:c r="K7" s="22" t="str">
        <x:v>CI diff</x:v>
      </x:c>
      <x:c r="L7" s="22" t="str">
        <x:v>No silent breaking changes</x:v>
      </x:c>
      <x:c r="M7" s="22" t="str">
        <x:v>Yes</x:v>
      </x:c>
      <x:c r="N7" s="22" t="str">
        <x:v>P0</x:v>
      </x:c>
      <x:c r="O7" s="22" t="str">
        <x:v>Platform</x:v>
      </x:c>
      <x:c r="P7" s="34" t="str"/>
    </x:row>
    <x:row r="8">
      <x:c r="A8" s="33" t="str">
        <x:v>DB migrations</x:v>
      </x:c>
      <x:c r="B8" s="22" t="str">
        <x:v>Expand -&gt; deploy -&gt; backfill -&gt; contract</x:v>
      </x:c>
      <x:c r="C8" s="22" t="str">
        <x:v>Drizzle/SQL</x:v>
      </x:c>
      <x:c r="D8" s="22" t="str">
        <x:v>Zero/low downtime</x:v>
      </x:c>
      <x:c r="E8" s="22" t="str">
        <x:v>N/A</x:v>
      </x:c>
      <x:c r="F8" s="22" t="str">
        <x:v>Compatible code window</x:v>
      </x:c>
      <x:c r="G8" s="22" t="str">
        <x:v>Critical</x:v>
      </x:c>
      <x:c r="H8" s="22" t="str">
        <x:v>N/A</x:v>
      </x:c>
      <x:c r="I8" s="22" t="str">
        <x:v>Migration tests</x:v>
      </x:c>
      <x:c r="J8" s="22" t="str">
        <x:v>Backend+platform review</x:v>
      </x:c>
      <x:c r="K8" s="22" t="str">
        <x:v>CI dry run</x:v>
      </x:c>
      <x:c r="L8" s="22" t="str">
        <x:v>Avoid destructive single-step migration</x:v>
      </x:c>
      <x:c r="M8" s="22" t="str">
        <x:v>Yes</x:v>
      </x:c>
      <x:c r="N8" s="22" t="str">
        <x:v>P0</x:v>
      </x:c>
      <x:c r="O8" s="22" t="str">
        <x:v>Backend</x:v>
      </x:c>
      <x:c r="P8" s="34" t="str"/>
    </x:row>
    <x:row r="9">
      <x:c r="A9" s="33" t="str">
        <x:v>Game config</x:v>
      </x:c>
      <x:c r="B9" s="22" t="str">
        <x:v>Immutable version + effective_at + active pointer</x:v>
      </x:c>
      <x:c r="C9" s="22" t="str">
        <x:v>Config pipeline</x:v>
      </x:c>
      <x:c r="D9" s="22" t="str">
        <x:v>Replays and rollback</x:v>
      </x:c>
      <x:c r="E9" s="22" t="str">
        <x:v>Safe subset read</x:v>
      </x:c>
      <x:c r="F9" s="22" t="str">
        <x:v>Server authority</x:v>
      </x:c>
      <x:c r="G9" s="22" t="str">
        <x:v>Refs stored</x:v>
      </x:c>
      <x:c r="H9" s="22" t="str">
        <x:v>Primary</x:v>
      </x:c>
      <x:c r="I9" s="22" t="str">
        <x:v>Model checks</x:v>
      </x:c>
      <x:c r="J9" s="22" t="str">
        <x:v>Game Systems approval</x:v>
      </x:c>
      <x:c r="K9" s="22" t="str">
        <x:v>Schema checks</x:v>
      </x:c>
      <x:c r="L9" s="22" t="str">
        <x:v>No overwrite historical config</x:v>
      </x:c>
      <x:c r="M9" s="22" t="str">
        <x:v>Yes</x:v>
      </x:c>
      <x:c r="N9" s="22" t="str">
        <x:v>P0</x:v>
      </x:c>
      <x:c r="O9" s="22" t="str">
        <x:v>Game Systems</x:v>
      </x:c>
      <x:c r="P9" s="34" t="str"/>
    </x:row>
    <x:row r="10">
      <x:c r="A10" s="33" t="str">
        <x:v>Feature flags</x:v>
      </x:c>
      <x:c r="B10" s="22" t="str">
        <x:v>Server-owned flags for risky/new systems</x:v>
      </x:c>
      <x:c r="C10" s="22" t="str">
        <x:v>Config/flag service pattern</x:v>
      </x:c>
      <x:c r="D10" s="22" t="str">
        <x:v>Safe rollout</x:v>
      </x:c>
      <x:c r="E10" s="22" t="str">
        <x:v>UI reads allowed state</x:v>
      </x:c>
      <x:c r="F10" s="22" t="str">
        <x:v>Enforces flag</x:v>
      </x:c>
      <x:c r="G10" s="22" t="str">
        <x:v>N/A</x:v>
      </x:c>
      <x:c r="H10" s="22" t="str">
        <x:v>Versioned</x:v>
      </x:c>
      <x:c r="I10" s="22" t="str">
        <x:v>A/B tests</x:v>
      </x:c>
      <x:c r="J10" s="22" t="str">
        <x:v>Owner approval</x:v>
      </x:c>
      <x:c r="K10" s="22" t="str">
        <x:v>Gradual cohort</x:v>
      </x:c>
      <x:c r="L10" s="22" t="str">
        <x:v>No client-only gate</x:v>
      </x:c>
      <x:c r="M10" s="22" t="str">
        <x:v>Yes</x:v>
      </x:c>
      <x:c r="N10" s="22" t="str">
        <x:v>P0</x:v>
      </x:c>
      <x:c r="O10" s="22" t="str">
        <x:v>Product/Backend</x:v>
      </x:c>
      <x:c r="P10" s="34" t="str"/>
    </x:row>
    <x:row r="11">
      <x:c r="A11" s="35" t="str">
        <x:v>Error handling</x:v>
      </x:c>
      <x:c r="B11" s="36" t="str">
        <x:v>Typed domain errors + stable codes</x:v>
      </x:c>
      <x:c r="C11" s="36" t="str">
        <x:v>API contracts</x:v>
      </x:c>
      <x:c r="D11" s="36" t="str">
        <x:v>Recoverable UX</x:v>
      </x:c>
      <x:c r="E11" s="36" t="str">
        <x:v>Map to user action</x:v>
      </x:c>
      <x:c r="F11" s="36" t="str">
        <x:v>Never leak internals</x:v>
      </x:c>
      <x:c r="G11" s="36" t="str">
        <x:v>Constraint mapping</x:v>
      </x:c>
      <x:c r="H11" s="36" t="str">
        <x:v>N/A</x:v>
      </x:c>
      <x:c r="I11" s="36" t="str">
        <x:v>Error-path tests</x:v>
      </x:c>
      <x:c r="J11" s="36" t="str">
        <x:v>Review</x:v>
      </x:c>
      <x:c r="K11" s="36" t="str">
        <x:v>Sentry grouping</x:v>
      </x:c>
      <x:c r="L11" s="36" t="str">
        <x:v>No generic 500 for expected conflict</x:v>
      </x:c>
      <x:c r="M11" s="36" t="str">
        <x:v>Yes</x:v>
      </x:c>
      <x:c r="N11" s="36" t="str">
        <x:v>P0</x:v>
      </x:c>
      <x:c r="O11" s="36" t="str">
        <x:v>All</x:v>
      </x:c>
      <x:c r="P11" s="37" t="str"/>
    </x:row>
  </x:sheetData>
  <x:mergeCells>
    <x:mergeCell ref="A1:P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Technology Implementation Phases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Phase</x:v>
      </x:c>
      <x:c r="B3" s="14" t="str">
        <x:v>Frontend</x:v>
      </x:c>
      <x:c r="C3" s="14" t="str">
        <x:v>Backend</x:v>
      </x:c>
      <x:c r="D3" s="14" t="str">
        <x:v>Data</x:v>
      </x:c>
      <x:c r="E3" s="14" t="str">
        <x:v>Infra</x:v>
      </x:c>
      <x:c r="F3" s="14" t="str">
        <x:v>Chain</x:v>
      </x:c>
      <x:c r="G3" s="14" t="str">
        <x:v>Analytics</x:v>
      </x:c>
      <x:c r="H3" s="14" t="str">
        <x:v>Provider</x:v>
      </x:c>
      <x:c r="I3" s="14" t="str">
        <x:v>Testing Gate</x:v>
      </x:c>
      <x:c r="J3" s="14" t="str">
        <x:v>Exit Criterion</x:v>
      </x:c>
      <x:c r="K3" s="14" t="str">
        <x:v>Can Defer</x:v>
      </x:c>
      <x:c r="L3" s="14" t="str">
        <x:v>Do Not Defer</x:v>
      </x:c>
      <x:c r="M3" s="14" t="str">
        <x:v>Team Focus</x:v>
      </x:c>
      <x:c r="N3" s="14" t="str">
        <x:v>MVP</x:v>
      </x:c>
      <x:c r="O3" s="14" t="str">
        <x:v>Priority</x:v>
      </x:c>
      <x:c r="P3" s="14" t="str">
        <x:v>Notes</x:v>
      </x:c>
    </x:row>
    <x:row r="4">
      <x:c r="A4" s="30" t="str">
        <x:v>P0 Foundation</x:v>
      </x:c>
      <x:c r="B4" s="31" t="str">
        <x:v>React/Vite/Pixi shell, Family bootstrap, Plot/Build/Hunts basic UI</x:v>
      </x:c>
      <x:c r="C4" s="31" t="str">
        <x:v>Nest modular monolith, Player/Layout/Economy/Customer/Hunt/Module runtime</x:v>
      </x:c>
      <x:c r="D4" s="31" t="str">
        <x:v>Postgres + Redis</x:v>
      </x:c>
      <x:c r="E4" s="31" t="str">
        <x:v>Cloud Run/Cloud SQL/Memorystore/PubSub/Tasks/Scheduler</x:v>
      </x:c>
      <x:c r="F4" s="31" t="str">
        <x:v>Ownership mirror + claim skeleton/testnet as needed</x:v>
      </x:c>
      <x:c r="G4" s="31" t="str">
        <x:v>Core event export</x:v>
      </x:c>
      <x:c r="H4" s="31" t="str">
        <x:v>Simulated provider only</x:v>
      </x:c>
      <x:c r="I4" s="31" t="str">
        <x:v>Unit/API/E2E/load smoke</x:v>
      </x:c>
      <x:c r="J4" s="31" t="str">
        <x:v>First 30-min onboarding + 5m/15m ticks stable</x:v>
      </x:c>
      <x:c r="K4" s="31" t="str">
        <x:v>BigQuery polish, SSE breadth</x:v>
      </x:c>
      <x:c r="L4" s="31" t="str">
        <x:v>Server authority, idempotency, ledgers</x:v>
      </x:c>
      <x:c r="M4" s="31" t="str">
        <x:v>Core product/backend</x:v>
      </x:c>
      <x:c r="N4" s="31" t="str">
        <x:v>Yes</x:v>
      </x:c>
      <x:c r="O4" s="31" t="str">
        <x:v>P0</x:v>
      </x:c>
      <x:c r="P4" s="32" t="str"/>
    </x:row>
    <x:row r="5">
      <x:c r="A5" s="33" t="str">
        <x:v>P0.5 Competition</x:v>
      </x:c>
      <x:c r="B5" s="22" t="str">
        <x:v>Performance/league/results UI</x:v>
      </x:c>
      <x:c r="C5" s="22" t="str">
        <x:v>Performance/Competition/settlement jobs</x:v>
      </x:c>
      <x:c r="D5" s="22" t="str">
        <x:v>Epoch/manifest/payout tables</x:v>
      </x:c>
      <x:c r="E5" s="22" t="str">
        <x:v>Settlement worker capacity</x:v>
      </x:c>
      <x:c r="F5" s="22" t="str">
        <x:v>$PLOT claim testnet/prod readiness</x:v>
      </x:c>
      <x:c r="G5" s="22" t="str">
        <x:v>Performance dashboards</x:v>
      </x:c>
      <x:c r="H5" s="22" t="str">
        <x:v>Still simulated stocks</x:v>
      </x:c>
      <x:c r="I5" s="22" t="str">
        <x:v>Settlement dry runs</x:v>
      </x:c>
      <x:c r="J5" s="22" t="str">
        <x:v>Weekly epoch reproduces exactly and finalizes within target</x:v>
      </x:c>
      <x:c r="K5" s="22" t="str">
        <x:v>Advanced notifications</x:v>
      </x:c>
      <x:c r="L5" s="22" t="str">
        <x:v>Manifest integrity</x:v>
      </x:c>
      <x:c r="M5" s="22" t="str">
        <x:v>Competition</x:v>
      </x:c>
      <x:c r="N5" s="22" t="str">
        <x:v>Yes</x:v>
      </x:c>
      <x:c r="O5" s="22" t="str">
        <x:v>P0</x:v>
      </x:c>
      <x:c r="P5" s="34" t="str"/>
    </x:row>
    <x:row r="6">
      <x:c r="A6" s="33" t="str">
        <x:v>P1 Retention + Risk</x:v>
      </x:c>
      <x:c r="B6" s="22" t="str">
        <x:v>Daily briefing/objectives/event/risk UI</x:v>
      </x:c>
      <x:c r="C6" s="22" t="str">
        <x:v>Retention/Risk/Notifications + mastery/reward integrations</x:v>
      </x:c>
      <x:c r="D6" s="22" t="str">
        <x:v>Objective/risk/notification tables</x:v>
      </x:c>
      <x:c r="E6" s="22" t="str">
        <x:v>Notification delivery</x:v>
      </x:c>
      <x:c r="F6" s="22" t="str">
        <x:v>No major new chain</x:v>
      </x:c>
      <x:c r="G6" s="22" t="str">
        <x:v>Retention/LiveOps marts</x:v>
      </x:c>
      <x:c r="H6" s="22" t="str">
        <x:v>Provider sandbox interface</x:v>
      </x:c>
      <x:c r="I6" s="22" t="str">
        <x:v>D7/decision/failure tests</x:v>
      </x:c>
      <x:c r="J6" s="22" t="str">
        <x:v>Daily/weekly loop works without chore pressure</x:v>
      </x:c>
      <x:c r="K6" s="22" t="str">
        <x:v>Real stock claims</x:v>
      </x:c>
      <x:c r="L6" s="22" t="str">
        <x:v>Prompt/economy caps</x:v>
      </x:c>
      <x:c r="M6" s="22" t="str">
        <x:v>Product/Game Systems</x:v>
      </x:c>
      <x:c r="N6" s="22" t="str">
        <x:v>Yes</x:v>
      </x:c>
      <x:c r="O6" s="22" t="str">
        <x:v>P1</x:v>
      </x:c>
      <x:c r="P6" s="34" t="str"/>
    </x:row>
    <x:row r="7">
      <x:c r="A7" s="33" t="str">
        <x:v>P1 Real Stock Pilot</x:v>
      </x:c>
      <x:c r="B7" s="22" t="str">
        <x:v>Real/sim Portfolio split, KYC/claim UX</x:v>
      </x:c>
      <x:c r="C7" s="22" t="str">
        <x:v>Claim/provider adapter/reconciliation/funding</x:v>
      </x:c>
      <x:c r="D7" s="22" t="str">
        <x:v>Stock claim/provider ledgers</x:v>
      </x:c>
      <x:c r="E7" s="22" t="str">
        <x:v>Provider webhook ingress</x:v>
      </x:c>
      <x:c r="F7" s="22" t="str">
        <x:v>No PLOT-issued stock token</x:v>
      </x:c>
      <x:c r="G7" s="22" t="str">
        <x:v>Claim/reconcile dashboards</x:v>
      </x:c>
      <x:c r="H7" s="22" t="str">
        <x:v>Production provider</x:v>
      </x:c>
      <x:c r="I7" s="22" t="str">
        <x:v>Sandbox + failure + compliance go-live</x:v>
      </x:c>
      <x:c r="J7" s="22" t="str">
        <x:v>Small eligible cohort receives provider asset without PLOT custody</x:v>
      </x:c>
      <x:c r="K7" s="22" t="str">
        <x:v>Self-custody</x:v>
      </x:c>
      <x:c r="L7" s="22" t="str">
        <x:v>Idempotent external orders</x:v>
      </x:c>
      <x:c r="M7" s="22" t="str">
        <x:v>Stock/Legal</x:v>
      </x:c>
      <x:c r="N7" s="22" t="str">
        <x:v>Later</x:v>
      </x:c>
      <x:c r="O7" s="22" t="str">
        <x:v>P1</x:v>
      </x:c>
      <x:c r="P7" s="34" t="str"/>
    </x:row>
    <x:row r="8">
      <x:c r="A8" s="33" t="str">
        <x:v>P2 Expansion</x:v>
      </x:c>
      <x:c r="B8" s="22" t="str">
        <x:v>Merged territory renderer/LOD</x:v>
      </x:c>
      <x:c r="C8" s="22" t="str">
        <x:v>Ownership expansion/cross-Plot systems</x:v>
      </x:c>
      <x:c r="D8" s="22" t="str">
        <x:v>Territory scaling/partitions</x:v>
      </x:c>
      <x:c r="E8" s="22" t="str">
        <x:v>Scale hot pools as needed</x:v>
      </x:c>
      <x:c r="F8" s="22" t="str">
        <x:v>Transfers/marketplace extensions</x:v>
      </x:c>
      <x:c r="G8" s="22" t="str">
        <x:v>Large-map/economy analytics</x:v>
      </x:c>
      <x:c r="H8" s="22" t="str">
        <x:v>Withdrawal adapter if enabled</x:v>
      </x:c>
      <x:c r="I8" s="22" t="str">
        <x:v>Large territory/load tests</x:v>
      </x:c>
      <x:c r="J8" s="22" t="str">
        <x:v>9/16 Plot performance stable</x:v>
      </x:c>
      <x:c r="K8" s="22" t="str">
        <x:v>Microservices unless proven</x:v>
      </x:c>
      <x:c r="L8" s="22" t="str">
        <x:v>Culling + backend topology correctness</x:v>
      </x:c>
      <x:c r="M8" s="22" t="str">
        <x:v>Game/Platform</x:v>
      </x:c>
      <x:c r="N8" s="22" t="str">
        <x:v>Later</x:v>
      </x:c>
      <x:c r="O8" s="22" t="str">
        <x:v>P2</x:v>
      </x:c>
      <x:c r="P8" s="34" t="str"/>
    </x:row>
    <x:row r="9">
      <x:c r="A9" s="35" t="str">
        <x:v>P3 Scale Split</x:v>
      </x:c>
      <x:c r="B9" s="36" t="str">
        <x:v>No architectural rewrite</x:v>
      </x:c>
      <x:c r="C9" s="36" t="str">
        <x:v>Split only measured hot domains e.g. settlement/provider/realtime</x:v>
      </x:c>
      <x:c r="D9" s="36" t="str">
        <x:v>Partition/replica/shard only as proven</x:v>
      </x:c>
      <x:c r="E9" s="36" t="str">
        <x:v>Potential GKE only if operational need</x:v>
      </x:c>
      <x:c r="F9" s="36" t="str">
        <x:v>Chain service separate if needed</x:v>
      </x:c>
      <x:c r="G9" s="36" t="str">
        <x:v>Mature marts</x:v>
      </x:c>
      <x:c r="H9" s="36" t="str">
        <x:v>Multi-provider possible</x:v>
      </x:c>
      <x:c r="I9" s="36" t="str">
        <x:v>Chaos/capacity</x:v>
      </x:c>
      <x:c r="J9" s="36" t="str">
        <x:v>Scale achieved with evidence</x:v>
      </x:c>
      <x:c r="K9" s="36" t="str">
        <x:v>Speculative infra</x:v>
      </x:c>
      <x:c r="L9" s="36" t="str">
        <x:v>Data lineage</x:v>
      </x:c>
      <x:c r="M9" s="36" t="str">
        <x:v>Platform</x:v>
      </x:c>
      <x:c r="N9" s="36" t="str">
        <x:v>Later</x:v>
      </x:c>
      <x:c r="O9" s="36" t="str">
        <x:v>P3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Architecture Anti-Patterns — Explicitly Avoid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Anti-Pattern</x:v>
      </x:c>
      <x:c r="B3" s="14" t="str">
        <x:v>Why It Is Wrong for PLOT</x:v>
      </x:c>
      <x:c r="C3" s="14" t="str">
        <x:v>Symptom</x:v>
      </x:c>
      <x:c r="D3" s="14" t="str">
        <x:v>Correct Pattern</x:v>
      </x:c>
      <x:c r="E3" s="14" t="str">
        <x:v>Frontend Impact</x:v>
      </x:c>
      <x:c r="F3" s="14" t="str">
        <x:v>Backend Impact</x:v>
      </x:c>
      <x:c r="G3" s="14" t="str">
        <x:v>Data Impact</x:v>
      </x:c>
      <x:c r="H3" s="14" t="str">
        <x:v>Security Risk</x:v>
      </x:c>
      <x:c r="I3" s="14" t="str">
        <x:v>Scale Risk</x:v>
      </x:c>
      <x:c r="J3" s="14" t="str">
        <x:v>MVP Risk</x:v>
      </x:c>
      <x:c r="K3" s="14" t="str">
        <x:v>When It Might Become Valid</x:v>
      </x:c>
      <x:c r="L3" s="14" t="str">
        <x:v>Review Check</x:v>
      </x:c>
      <x:c r="M3" s="14" t="str">
        <x:v>Priority</x:v>
      </x:c>
      <x:c r="N3" s="14" t="str">
        <x:v>Owner</x:v>
      </x:c>
      <x:c r="O3" s="14" t="str">
        <x:v>Status</x:v>
      </x:c>
      <x:c r="P3" s="14" t="str">
        <x:v>Notes</x:v>
      </x:c>
    </x:row>
    <x:row r="4">
      <x:c r="A4" s="30" t="str">
        <x:v>Unity/Unreal main client by default</x:v>
      </x:c>
      <x:c r="B4" s="31" t="str">
        <x:v>PLOT is UI-heavy 2D iframe management product; web integration cost rises</x:v>
      </x:c>
      <x:c r="C4" s="31" t="str">
        <x:v>Large binary/build friction, poor super-app fit</x:v>
      </x:c>
      <x:c r="D4" s="31" t="str">
        <x:v>React + PixiJS</x:v>
      </x:c>
      <x:c r="E4" s="31" t="str">
        <x:v>Major</x:v>
      </x:c>
      <x:c r="F4" s="31" t="str">
        <x:v>N/A</x:v>
      </x:c>
      <x:c r="G4" s="31" t="str">
        <x:v>N/A</x:v>
      </x:c>
      <x:c r="H4" s="31" t="str">
        <x:v>Low</x:v>
      </x:c>
      <x:c r="I4" s="31" t="str">
        <x:v>Medium</x:v>
      </x:c>
      <x:c r="J4" s="31" t="str">
        <x:v>High</x:v>
      </x:c>
      <x:c r="K4" s="31" t="str">
        <x:v>Only if product becomes physics/3D-native</x:v>
      </x:c>
      <x:c r="L4" s="31" t="str">
        <x:v>Does requirement truly need engine features?</x:v>
      </x:c>
      <x:c r="M4" s="31" t="str">
        <x:v>P0</x:v>
      </x:c>
      <x:c r="N4" s="31" t="str">
        <x:v>Product/Frontend</x:v>
      </x:c>
      <x:c r="O4" s="31" t="str">
        <x:v>AVOID</x:v>
      </x:c>
      <x:c r="P4" s="32" t="str"/>
    </x:row>
    <x:row r="5">
      <x:c r="A5" s="33" t="str">
        <x:v>Microservices from day 1</x:v>
      </x:c>
      <x:c r="B5" s="22" t="str">
        <x:v>Creates network, deployment, tracing and schema overhead before scale</x:v>
      </x:c>
      <x:c r="C5" s="22" t="str">
        <x:v>Slow feature delivery</x:v>
      </x:c>
      <x:c r="D5" s="22" t="str">
        <x:v>Modular monolith + queues</x:v>
      </x:c>
      <x:c r="E5" s="22" t="str">
        <x:v>None</x:v>
      </x:c>
      <x:c r="F5" s="22" t="str">
        <x:v>Major</x:v>
      </x:c>
      <x:c r="G5" s="22" t="str">
        <x:v>Cross-service consistency</x:v>
      </x:c>
      <x:c r="H5" s="22" t="str">
        <x:v>More auth surfaces</x:v>
      </x:c>
      <x:c r="I5" s="22" t="str">
        <x:v>High operational</x:v>
      </x:c>
      <x:c r="J5" s="22" t="str">
        <x:v>High</x:v>
      </x:c>
      <x:c r="K5" s="22" t="str">
        <x:v>When one domain has proven load/ownership need</x:v>
      </x:c>
      <x:c r="L5" s="22" t="str">
        <x:v>Can module boundary solve it in-process?</x:v>
      </x:c>
      <x:c r="M5" s="22" t="str">
        <x:v>P0</x:v>
      </x:c>
      <x:c r="N5" s="22" t="str">
        <x:v>Backend</x:v>
      </x:c>
      <x:c r="O5" s="22" t="str">
        <x:v>AVOID</x:v>
      </x:c>
      <x:c r="P5" s="34" t="str"/>
    </x:row>
    <x:row r="6">
      <x:c r="A6" s="33" t="str">
        <x:v>Client authoritative economy</x:v>
      </x:c>
      <x:c r="B6" s="22" t="str">
        <x:v>Easy cheating/desync</x:v>
      </x:c>
      <x:c r="C6" s="22" t="str">
        <x:v>Tampered Cash/customers</x:v>
      </x:c>
      <x:c r="D6" s="22" t="str">
        <x:v>Server computes outcomes</x:v>
      </x:c>
      <x:c r="E6" s="22" t="str">
        <x:v>Client visual only</x:v>
      </x:c>
      <x:c r="F6" s="22" t="str">
        <x:v>Core</x:v>
      </x:c>
      <x:c r="G6" s="22" t="str">
        <x:v>Ledger corruption</x:v>
      </x:c>
      <x:c r="H6" s="22" t="str">
        <x:v>Critical</x:v>
      </x:c>
      <x:c r="I6" s="22" t="str">
        <x:v>Critical</x:v>
      </x:c>
      <x:c r="J6" s="22" t="str">
        <x:v>Critical</x:v>
      </x:c>
      <x:c r="K6" s="22" t="str">
        <x:v>Never for valuable economy</x:v>
      </x:c>
      <x:c r="L6" s="22" t="str">
        <x:v>Does client send result instead of intent?</x:v>
      </x:c>
      <x:c r="M6" s="22" t="str">
        <x:v>P0</x:v>
      </x:c>
      <x:c r="N6" s="22" t="str">
        <x:v>All</x:v>
      </x:c>
      <x:c r="O6" s="22" t="str">
        <x:v>PROHIBITED</x:v>
      </x:c>
      <x:c r="P6" s="34" t="str"/>
    </x:row>
    <x:row r="7">
      <x:c r="A7" s="33" t="str">
        <x:v>Redis as source of truth</x:v>
      </x:c>
      <x:c r="B7" s="22" t="str">
        <x:v>Cache loss becomes player loss</x:v>
      </x:c>
      <x:c r="C7" s="22" t="str">
        <x:v>Missing balances/state</x:v>
      </x:c>
      <x:c r="D7" s="22" t="str">
        <x:v>Postgres canonical + Redis cache</x:v>
      </x:c>
      <x:c r="E7" s="22" t="str">
        <x:v>None</x:v>
      </x:c>
      <x:c r="F7" s="22" t="str">
        <x:v>Recovery</x:v>
      </x:c>
      <x:c r="G7" s="22" t="str">
        <x:v>Critical</x:v>
      </x:c>
      <x:c r="H7" s="22" t="str">
        <x:v>Medium</x:v>
      </x:c>
      <x:c r="I7" s="22" t="str">
        <x:v>High</x:v>
      </x:c>
      <x:c r="J7" s="22" t="str">
        <x:v>Critical</x:v>
      </x:c>
      <x:c r="K7" s="22" t="str">
        <x:v>Never for canonical financial/game progress</x:v>
      </x:c>
      <x:c r="L7" s="22" t="str">
        <x:v>Can state be rebuilt without Redis?</x:v>
      </x:c>
      <x:c r="M7" s="22" t="str">
        <x:v>P0</x:v>
      </x:c>
      <x:c r="N7" s="22" t="str">
        <x:v>Platform</x:v>
      </x:c>
      <x:c r="O7" s="22" t="str">
        <x:v>PROHIBITED</x:v>
      </x:c>
      <x:c r="P7" s="34" t="str"/>
    </x:row>
    <x:row r="8">
      <x:c r="A8" s="33" t="str">
        <x:v>Every move onchain</x:v>
      </x:c>
      <x:c r="B8" s="22" t="str">
        <x:v>Latency/gas/RPC fragility</x:v>
      </x:c>
      <x:c r="C8" s="22" t="str">
        <x:v>Slow Build Mode</x:v>
      </x:c>
      <x:c r="D8" s="22" t="str">
        <x:v>Offchain layout + onchain ownership only</x:v>
      </x:c>
      <x:c r="E8" s="22" t="str">
        <x:v>Bad UX</x:v>
      </x:c>
      <x:c r="F8" s="22" t="str">
        <x:v>High complexity</x:v>
      </x:c>
      <x:c r="G8" s="22" t="str">
        <x:v>N/A</x:v>
      </x:c>
      <x:c r="H8" s="22" t="str">
        <x:v>Wallet spam</x:v>
      </x:c>
      <x:c r="I8" s="22" t="str">
        <x:v>Critical</x:v>
      </x:c>
      <x:c r="J8" s="22" t="str">
        <x:v>Critical</x:v>
      </x:c>
      <x:c r="K8" s="22" t="str">
        <x:v>Only selected high-value ownership events</x:v>
      </x:c>
      <x:c r="L8" s="22" t="str">
        <x:v>Does action require trustless settlement?</x:v>
      </x:c>
      <x:c r="M8" s="22" t="str">
        <x:v>P0</x:v>
      </x:c>
      <x:c r="N8" s="22" t="str">
        <x:v>Blockchain</x:v>
      </x:c>
      <x:c r="O8" s="22" t="str">
        <x:v>AVOID</x:v>
      </x:c>
      <x:c r="P8" s="34" t="str"/>
    </x:row>
    <x:row r="9">
      <x:c r="A9" s="33" t="str">
        <x:v>Custom PLOT-issued stock tokens</x:v>
      </x:c>
      <x:c r="B9" s="22" t="str">
        <x:v>Issuer/backing/redemption/custody complexity</x:v>
      </x:c>
      <x:c r="C9" s="22" t="str">
        <x:v>Treasury becomes broker/custodian/issuer</x:v>
      </x:c>
      <x:c r="D9" s="22" t="str">
        <x:v>Provider-direct model</x:v>
      </x:c>
      <x:c r="E9" s="22" t="str">
        <x:v>Complex UX</x:v>
      </x:c>
      <x:c r="F9" s="22" t="str">
        <x:v>High</x:v>
      </x:c>
      <x:c r="G9" s="22" t="str">
        <x:v>Financial ledgers</x:v>
      </x:c>
      <x:c r="H9" s="22" t="str">
        <x:v>Critical</x:v>
      </x:c>
      <x:c r="I9" s="22" t="str">
        <x:v>High</x:v>
      </x:c>
      <x:c r="J9" s="22" t="str">
        <x:v>Critical</x:v>
      </x:c>
      <x:c r="K9" s="22" t="str">
        <x:v>Only with deliberate regulated product strategy</x:v>
      </x:c>
      <x:c r="L9" s="22" t="str">
        <x:v>Can provider own issuance instead?</x:v>
      </x:c>
      <x:c r="M9" s="22" t="str">
        <x:v>P1</x:v>
      </x:c>
      <x:c r="N9" s="22" t="str">
        <x:v>Stock/Legal</x:v>
      </x:c>
      <x:c r="O9" s="22" t="str">
        <x:v>AVOID</x:v>
      </x:c>
      <x:c r="P9" s="34" t="str"/>
    </x:row>
    <x:row r="10">
      <x:c r="A10" s="33" t="str">
        <x:v>Warehouse queries in gameplay path</x:v>
      </x:c>
      <x:c r="B10" s="22" t="str">
        <x:v>BigQuery is analytical, not transactional</x:v>
      </x:c>
      <x:c r="C10" s="22" t="str">
        <x:v>Latency/cost/outages impact game</x:v>
      </x:c>
      <x:c r="D10" s="22" t="str">
        <x:v>Precomputed Postgres/Redis read models</x:v>
      </x:c>
      <x:c r="E10" s="22" t="str">
        <x:v>Slow UI</x:v>
      </x:c>
      <x:c r="F10" s="22" t="str">
        <x:v>Bad coupling</x:v>
      </x:c>
      <x:c r="G10" s="22" t="str">
        <x:v>N/A</x:v>
      </x:c>
      <x:c r="H10" s="22" t="str">
        <x:v>Low</x:v>
      </x:c>
      <x:c r="I10" s="22" t="str">
        <x:v>High</x:v>
      </x:c>
      <x:c r="J10" s="22" t="str">
        <x:v>High</x:v>
      </x:c>
      <x:c r="K10" s="22" t="str">
        <x:v>Never for hot gameplay</x:v>
      </x:c>
      <x:c r="L10" s="22" t="str">
        <x:v>Is this query player-facing synchronous?</x:v>
      </x:c>
      <x:c r="M10" s="22" t="str">
        <x:v>P0</x:v>
      </x:c>
      <x:c r="N10" s="22" t="str">
        <x:v>Analytics</x:v>
      </x:c>
      <x:c r="O10" s="22" t="str">
        <x:v>PROHIBITED</x:v>
      </x:c>
      <x:c r="P10" s="34" t="str"/>
    </x:row>
    <x:row r="11">
      <x:c r="A11" s="33" t="str">
        <x:v>Hard-code balance values in app releases</x:v>
      </x:c>
      <x:c r="B11" s="22" t="str">
        <x:v>Makes tuning/replay/rollback painful</x:v>
      </x:c>
      <x:c r="C11" s="22" t="str">
        <x:v>Version drift</x:v>
      </x:c>
      <x:c r="D11" s="22" t="str">
        <x:v>Versioned config</x:v>
      </x:c>
      <x:c r="E11" s="22" t="str">
        <x:v>Stale bundle</x:v>
      </x:c>
      <x:c r="F11" s="22" t="str">
        <x:v>Config complexity</x:v>
      </x:c>
      <x:c r="G11" s="22" t="str">
        <x:v>Lineage broken</x:v>
      </x:c>
      <x:c r="H11" s="22" t="str">
        <x:v>Medium</x:v>
      </x:c>
      <x:c r="I11" s="22" t="str">
        <x:v>Medium</x:v>
      </x:c>
      <x:c r="J11" s="22" t="str">
        <x:v>High</x:v>
      </x:c>
      <x:c r="K11" s="22" t="str">
        <x:v>Tiny non-economic UI constants only</x:v>
      </x:c>
      <x:c r="L11" s="22" t="str">
        <x:v>Does value affect economy/competition?</x:v>
      </x:c>
      <x:c r="M11" s="22" t="str">
        <x:v>P0</x:v>
      </x:c>
      <x:c r="N11" s="22" t="str">
        <x:v>Game Systems</x:v>
      </x:c>
      <x:c r="O11" s="22" t="str">
        <x:v>AVOID</x:v>
      </x:c>
      <x:c r="P11" s="34" t="str"/>
    </x:row>
    <x:row r="12">
      <x:c r="A12" s="35" t="str">
        <x:v>One NPC per real customer</x:v>
      </x:c>
      <x:c r="B12" s="36" t="str">
        <x:v>Millions of sprites</x:v>
      </x:c>
      <x:c r="C12" s="36" t="str">
        <x:v>Device crashes</x:v>
      </x:c>
      <x:c r="D12" s="36" t="str">
        <x:v>Visual sampling/pooling</x:v>
      </x:c>
      <x:c r="E12" s="36" t="str">
        <x:v>Critical</x:v>
      </x:c>
      <x:c r="F12" s="36" t="str">
        <x:v>None</x:v>
      </x:c>
      <x:c r="G12" s="36" t="str">
        <x:v>None</x:v>
      </x:c>
      <x:c r="H12" s="36" t="str">
        <x:v>Low</x:v>
      </x:c>
      <x:c r="I12" s="36" t="str">
        <x:v>Critical</x:v>
      </x:c>
      <x:c r="J12" s="36" t="str">
        <x:v>Critical</x:v>
      </x:c>
      <x:c r="K12" s="36" t="str">
        <x:v>Never at PLOT scale</x:v>
      </x:c>
      <x:c r="L12" s="36" t="str">
        <x:v>Is visual count decoupled from authoritative count?</x:v>
      </x:c>
      <x:c r="M12" s="36" t="str">
        <x:v>P0</x:v>
      </x:c>
      <x:c r="N12" s="36" t="str">
        <x:v>Frontend</x:v>
      </x:c>
      <x:c r="O12" s="36" t="str">
        <x:v>PROHIBITED</x:v>
      </x:c>
      <x:c r="P12" s="37" t="str"/>
    </x:row>
  </x:sheetData>
  <x:mergeCells>
    <x:mergeCell ref="A1:P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48" t="str">
        <x:v>Technology Stack Specification — Model Checks</x:v>
      </x:c>
      <x:c r="B1" s="48"/>
      <x:c r="C1" s="48"/>
      <x:c r="D1" s="48"/>
      <x:c r="E1" s="48"/>
      <x:c r="F1" s="48"/>
      <x:c r="G1" s="48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0" t="str">
        <x:v>Frontend framework is React</x:v>
      </x:c>
      <x:c r="B4" s="31" t="n">
        <x:v>1</x:v>
      </x:c>
      <x:c r="C4" s="31" t="n">
        <x:f>IF(ISNUMBER(SEARCH("React",'00_Dashboard'!A4)),1,0)</x:f>
        <x:v>1</x:v>
      </x:c>
      <x:c r="D4" s="31" t="str">
        <x:f>IF(C4=B4,"PASS","CHECK")</x:f>
        <x:v>PASS</x:v>
      </x:c>
      <x:c r="E4" s="31" t="str">
        <x:v>High</x:v>
      </x:c>
      <x:c r="F4" s="31" t="str">
        <x:v>Canonical frontend</x:v>
      </x:c>
      <x:c r="G4" s="32" t="str"/>
    </x:row>
    <x:row r="5">
      <x:c r="A5" s="33" t="str">
        <x:v>Renderer is PixiJS</x:v>
      </x:c>
      <x:c r="B5" s="22" t="n">
        <x:v>1</x:v>
      </x:c>
      <x:c r="C5" s="22" t="n">
        <x:f>IF(ISNUMBER(SEARCH("PixiJS",'00_Dashboard'!B4)),1,0)</x:f>
        <x:v>1</x:v>
      </x:c>
      <x:c r="D5" s="22" t="str">
        <x:f>IF(C5=B5,"PASS","CHECK")</x:f>
        <x:v>PASS</x:v>
      </x:c>
      <x:c r="E5" s="22" t="str">
        <x:v>Critical</x:v>
      </x:c>
      <x:c r="F5" s="22" t="str">
        <x:v>2D board architecture</x:v>
      </x:c>
      <x:c r="G5" s="34" t="str"/>
    </x:row>
    <x:row r="6">
      <x:c r="A6" s="33" t="str">
        <x:v>Backend is NestJS/Fastify</x:v>
      </x:c>
      <x:c r="B6" s="22" t="n">
        <x:v>1</x:v>
      </x:c>
      <x:c r="C6" s="22" t="n">
        <x:f>IF(AND(ISNUMBER(SEARCH("NestJS",'00_Dashboard'!C4)),ISNUMBER(SEARCH("Fastify",'00_Dashboard'!C4))),1,0)</x:f>
        <x:v>1</x:v>
      </x:c>
      <x:c r="D6" s="22" t="str">
        <x:f>IF(C6=B6,"PASS","CHECK")</x:f>
        <x:v>PASS</x:v>
      </x:c>
      <x:c r="E6" s="22" t="str">
        <x:v>High</x:v>
      </x:c>
      <x:c r="F6" s="22" t="str">
        <x:v>Backend structure</x:v>
      </x:c>
      <x:c r="G6" s="34" t="str"/>
    </x:row>
    <x:row r="7">
      <x:c r="A7" s="33" t="str">
        <x:v>Primary DB is PostgreSQL</x:v>
      </x:c>
      <x:c r="B7" s="22" t="n">
        <x:v>1</x:v>
      </x:c>
      <x:c r="C7" s="22" t="n">
        <x:f>IF(ISNUMBER(SEARCH("PostgreSQL",'00_Dashboard'!D4)),1,0)</x:f>
        <x:v>1</x:v>
      </x:c>
      <x:c r="D7" s="22" t="str">
        <x:f>IF(C7=B7,"PASS","CHECK")</x:f>
        <x:v>PASS</x:v>
      </x:c>
      <x:c r="E7" s="22" t="str">
        <x:v>Critical</x:v>
      </x:c>
      <x:c r="F7" s="22" t="str">
        <x:v>Canonical state</x:v>
      </x:c>
      <x:c r="G7" s="34" t="str"/>
    </x:row>
    <x:row r="8">
      <x:c r="A8" s="33" t="str">
        <x:v>Redis is cache not authority</x:v>
      </x:c>
      <x:c r="B8" s="22" t="n">
        <x:v>1</x:v>
      </x:c>
      <x:c r="C8" s="22" t="n">
        <x:f>IF('00_Dashboard'!E4="Redis",1,0)</x:f>
        <x:v>1</x:v>
      </x:c>
      <x:c r="D8" s="22" t="str">
        <x:f>IF(C8=B8,"PASS","CHECK")</x:f>
        <x:v>PASS</x:v>
      </x:c>
      <x:c r="E8" s="22" t="str">
        <x:v>High</x:v>
      </x:c>
      <x:c r="F8" s="22" t="str">
        <x:v>Failure safety</x:v>
      </x:c>
      <x:c r="G8" s="34" t="str">
        <x:v>See principles/Redis sheet</x:v>
      </x:c>
    </x:row>
    <x:row r="9">
      <x:c r="A9" s="33" t="str">
        <x:v>Cloud Run deployment</x:v>
      </x:c>
      <x:c r="B9" s="22" t="n">
        <x:v>1</x:v>
      </x:c>
      <x:c r="C9" s="22" t="n">
        <x:f>IF(ISNUMBER(SEARCH("Cloud Run",'00_Dashboard'!G4)),1,0)</x:f>
        <x:v>1</x:v>
      </x:c>
      <x:c r="D9" s="22" t="str">
        <x:f>IF(C9=B9,"PASS","CHECK")</x:f>
        <x:v>PASS</x:v>
      </x:c>
      <x:c r="E9" s="22" t="str">
        <x:v>High</x:v>
      </x:c>
      <x:c r="F9" s="22" t="str">
        <x:v>MVP infra</x:v>
      </x:c>
      <x:c r="G9" s="34" t="str"/>
    </x:row>
    <x:row r="10">
      <x:c r="A10" s="33" t="str">
        <x:v>BigQuery analytics</x:v>
      </x:c>
      <x:c r="B10" s="22" t="n">
        <x:v>1</x:v>
      </x:c>
      <x:c r="C10" s="22" t="n">
        <x:f>IF('00_Dashboard'!H4="BigQuery",1,0)</x:f>
        <x:v>1</x:v>
      </x:c>
      <x:c r="D10" s="22" t="str">
        <x:f>IF(C10=B10,"PASS","CHECK")</x:f>
        <x:v>PASS</x:v>
      </x:c>
      <x:c r="E10" s="22" t="str">
        <x:v>Medium</x:v>
      </x:c>
      <x:c r="F10" s="22" t="str">
        <x:v>Analytics separation</x:v>
      </x:c>
      <x:c r="G10" s="34" t="str"/>
    </x:row>
    <x:row r="11">
      <x:c r="A11" s="33" t="str">
        <x:v>Web3 client includes viem</x:v>
      </x:c>
      <x:c r="B11" s="22" t="n">
        <x:v>1</x:v>
      </x:c>
      <x:c r="C11" s="22" t="n">
        <x:f>IF(ISNUMBER(SEARCH("viem",'00_Dashboard'!I4)),1,0)</x:f>
        <x:v>1</x:v>
      </x:c>
      <x:c r="D11" s="22" t="str">
        <x:f>IF(C11=B11,"PASS","CHECK")</x:f>
        <x:v>PASS</x:v>
      </x:c>
      <x:c r="E11" s="22" t="str">
        <x:v>High</x:v>
      </x:c>
      <x:c r="F11" s="22" t="str">
        <x:v>Chain client</x:v>
      </x:c>
      <x:c r="G11" s="34" t="str"/>
    </x:row>
    <x:row r="12">
      <x:c r="A12" s="33" t="str">
        <x:v>FamilySDK is explicit</x:v>
      </x:c>
      <x:c r="B12" s="22" t="n">
        <x:v>1</x:v>
      </x:c>
      <x:c r="C12" s="22" t="n">
        <x:f>IF(ISNUMBER(SEARCH("FamilySDK",'00_Dashboard'!J4)),1,0)</x:f>
        <x:v>1</x:v>
      </x:c>
      <x:c r="D12" s="22" t="str">
        <x:f>IF(C12=B12,"PASS","CHECK")</x:f>
        <x:v>PASS</x:v>
      </x:c>
      <x:c r="E12" s="22" t="str">
        <x:v>Critical</x:v>
      </x:c>
      <x:c r="F12" s="22" t="str">
        <x:v>Super-app integration</x:v>
      </x:c>
      <x:c r="G12" s="34" t="str"/>
    </x:row>
    <x:row r="13">
      <x:c r="A13" s="33" t="str">
        <x:v>Provider abstraction explicit</x:v>
      </x:c>
      <x:c r="B13" s="22" t="n">
        <x:v>1</x:v>
      </x:c>
      <x:c r="C13" s="22" t="n">
        <x:f>IF(ISNUMBER(SEARCH("Provider abstraction",'00_Dashboard'!K4)),1,0)</x:f>
        <x:v>1</x:v>
      </x:c>
      <x:c r="D13" s="22" t="str">
        <x:f>IF(C13=B13,"PASS","CHECK")</x:f>
        <x:v>PASS</x:v>
      </x:c>
      <x:c r="E13" s="22" t="str">
        <x:v>High</x:v>
      </x:c>
      <x:c r="F13" s="22" t="str">
        <x:v>Stock architecture</x:v>
      </x:c>
      <x:c r="G13" s="34" t="str"/>
    </x:row>
    <x:row r="14">
      <x:c r="A14" s="33" t="str">
        <x:v>Monorepo uses pnpm + Turborepo</x:v>
      </x:c>
      <x:c r="B14" s="22" t="n">
        <x:v>1</x:v>
      </x:c>
      <x:c r="C14" s="22" t="n">
        <x:f>IF(AND(ISNUMBER(SEARCH("pnpm",'00_Dashboard'!L4)),ISNUMBER(SEARCH("Turborepo",'00_Dashboard'!L4))),1,0)</x:f>
        <x:v>1</x:v>
      </x:c>
      <x:c r="D14" s="22" t="str">
        <x:f>IF(C14=B14,"PASS","CHECK")</x:f>
        <x:v>PASS</x:v>
      </x:c>
      <x:c r="E14" s="22" t="str">
        <x:v>Medium</x:v>
      </x:c>
      <x:c r="F14" s="22" t="str">
        <x:v>Developer workflow</x:v>
      </x:c>
      <x:c r="G14" s="34" t="str"/>
    </x:row>
    <x:row r="15">
      <x:c r="A15" s="33" t="str">
        <x:v>Core test tools present</x:v>
      </x:c>
      <x:c r="B15" s="22" t="n">
        <x:v>4</x:v>
      </x:c>
      <x:c r="C15" s="22" t="n">
        <x:f>IF(D15="PASS",4,0)</x:f>
        <x:v>4</x:v>
      </x:c>
      <x:c r="D15" s="22" t="str">
        <x:f>IF(AND(ISNUMBER(SEARCH("Vitest",'00_Dashboard'!M4)),ISNUMBER(SEARCH("Playwright",'00_Dashboard'!M4)),ISNUMBER(SEARCH("k6",'00_Dashboard'!M4)),ISNUMBER(SEARCH("Foundry",'00_Dashboard'!M4))),"PASS","CHECK")</x:f>
        <x:v>PASS</x:v>
      </x:c>
      <x:c r="E15" s="22" t="str">
        <x:v>High</x:v>
      </x:c>
      <x:c r="F15" s="22" t="str">
        <x:v>Quality</x:v>
      </x:c>
      <x:c r="G15" s="34" t="str">
        <x:v>Custom status formula</x:v>
      </x:c>
    </x:row>
    <x:row r="16">
      <x:c r="A16" s="33" t="str">
        <x:v>Backend domain count &gt;=15</x:v>
      </x:c>
      <x:c r="B16" s="22" t="n">
        <x:v>15</x:v>
      </x:c>
      <x:c r="C16" s="22" t="n">
        <x:f>COUNTA('08_Backend_Domains'!A4:A19)</x:f>
        <x:v>16</x:v>
      </x:c>
      <x:c r="D16" s="22" t="str">
        <x:f>IF(C16&gt;=B16,"PASS","CHECK")</x:f>
        <x:v>PASS</x:v>
      </x:c>
      <x:c r="E16" s="22" t="str">
        <x:v>Medium</x:v>
      </x:c>
      <x:c r="F16" s="22" t="str">
        <x:v>Coverage</x:v>
      </x:c>
      <x:c r="G16" s="34" t="str"/>
    </x:row>
    <x:row r="17">
      <x:c r="A17" s="33" t="str">
        <x:v>Simulation calculation order has 8 rows</x:v>
      </x:c>
      <x:c r="B17" s="22" t="n">
        <x:v>8</x:v>
      </x:c>
      <x:c r="C17" s="22" t="n">
        <x:f>COUNTA('09_Simulation_Runtime'!A15:A22)</x:f>
        <x:v>8</x:v>
      </x:c>
      <x:c r="D17" s="22" t="str">
        <x:f>IF(C17=B17,"PASS","CHECK")</x:f>
        <x:v>PASS</x:v>
      </x:c>
      <x:c r="E17" s="22" t="str">
        <x:v>Critical</x:v>
      </x:c>
      <x:c r="F17" s="22" t="str">
        <x:v>Deterministic model</x:v>
      </x:c>
      <x:c r="G17" s="34" t="str"/>
    </x:row>
    <x:row r="18">
      <x:c r="A18" s="33" t="str">
        <x:v>Postgres data groups &gt;=10</x:v>
      </x:c>
      <x:c r="B18" s="22" t="n">
        <x:v>10</x:v>
      </x:c>
      <x:c r="C18" s="22" t="n">
        <x:f>COUNTA('10_PostgreSQL_Data'!A4:A13)</x:f>
        <x:v>10</x:v>
      </x:c>
      <x:c r="D18" s="22" t="str">
        <x:f>IF(C18&gt;=B18,"PASS","CHECK")</x:f>
        <x:v>PASS</x:v>
      </x:c>
      <x:c r="E18" s="22" t="str">
        <x:v>Medium</x:v>
      </x:c>
      <x:c r="F18" s="22" t="str">
        <x:v>Persistence coverage</x:v>
      </x:c>
      <x:c r="G18" s="34" t="str"/>
    </x:row>
    <x:row r="19">
      <x:c r="A19" s="33" t="str">
        <x:v>No client authoritative state principle</x:v>
      </x:c>
      <x:c r="B19" s="22" t="n">
        <x:v>1</x:v>
      </x:c>
      <x:c r="C19" s="22" t="n">
        <x:f>IF(ISNUMBER(SEARCH("Client sends intent",'01_Architecture_Principles'!B4)),1,0)</x:f>
        <x:v>1</x:v>
      </x:c>
      <x:c r="D19" s="22" t="str">
        <x:f>IF(C19=B19,"PASS","CHECK")</x:f>
        <x:v>PASS</x:v>
      </x:c>
      <x:c r="E19" s="22" t="str">
        <x:v>Critical</x:v>
      </x:c>
      <x:c r="F19" s="22" t="str">
        <x:v>Anti-cheat</x:v>
      </x:c>
      <x:c r="G19" s="34" t="str"/>
    </x:row>
    <x:row r="20">
      <x:c r="A20" s="33" t="str">
        <x:v>Onchain building placement prohibited</x:v>
      </x:c>
      <x:c r="B20" s="22" t="n">
        <x:v>1</x:v>
      </x:c>
      <x:c r="C20" s="22" t="n">
        <x:f>IF('14_Blockchain_Stack'!B7="No",1,0)</x:f>
        <x:v>1</x:v>
      </x:c>
      <x:c r="D20" s="22" t="str">
        <x:f>IF(C20=B20,"PASS","CHECK")</x:f>
        <x:v>PASS</x:v>
      </x:c>
      <x:c r="E20" s="22" t="str">
        <x:v>Critical</x:v>
      </x:c>
      <x:c r="F20" s="22" t="str">
        <x:v>Low-latency game</x:v>
      </x:c>
      <x:c r="G20" s="34" t="str"/>
    </x:row>
    <x:row r="21">
      <x:c r="A21" s="33" t="str">
        <x:v>PLOT stock token issuance avoided</x:v>
      </x:c>
      <x:c r="B21" s="22" t="n">
        <x:v>1</x:v>
      </x:c>
      <x:c r="C21" s="22" t="n">
        <x:f>IF(ISNUMBER(SEARCH("Never issue PLOT stock token",'14_Blockchain_Stack'!P10)),1,0)</x:f>
        <x:v>1</x:v>
      </x:c>
      <x:c r="D21" s="22" t="str">
        <x:f>IF(C21=B21,"PASS","CHECK")</x:f>
        <x:v>PASS</x:v>
      </x:c>
      <x:c r="E21" s="22" t="str">
        <x:v>Critical</x:v>
      </x:c>
      <x:c r="F21" s="22" t="str">
        <x:v>Financial architecture</x:v>
      </x:c>
      <x:c r="G21" s="34" t="str"/>
    </x:row>
    <x:row r="22">
      <x:c r="A22" s="33" t="str">
        <x:v>Testing layers &gt;=9</x:v>
      </x:c>
      <x:c r="B22" s="22" t="n">
        <x:v>9</x:v>
      </x:c>
      <x:c r="C22" s="22" t="n">
        <x:f>COUNTA('21_Testing_QA'!A4:A12)</x:f>
        <x:v>9</x:v>
      </x:c>
      <x:c r="D22" s="22" t="str">
        <x:f>IF(C22&gt;=B22,"PASS","CHECK")</x:f>
        <x:v>PASS</x:v>
      </x:c>
      <x:c r="E22" s="22" t="str">
        <x:v>High</x:v>
      </x:c>
      <x:c r="F22" s="22" t="str">
        <x:v>Production readiness</x:v>
      </x:c>
      <x:c r="G22" s="34" t="str"/>
    </x:row>
    <x:row r="23">
      <x:c r="A23" s="33" t="str">
        <x:v>All anti-pattern statuses non-active</x:v>
      </x:c>
      <x:c r="B23" s="22" t="n">
        <x:v>9</x:v>
      </x:c>
      <x:c r="C23" s="22" t="n">
        <x:f>COUNTIF('27_Anti_Patterns'!O4:O12,"AVOID")+COUNTIF('27_Anti_Patterns'!O4:O12,"PROHIBITED")</x:f>
        <x:v>9</x:v>
      </x:c>
      <x:c r="D23" s="22" t="str">
        <x:f>IF(C23=B23,"PASS","CHECK")</x:f>
        <x:v>PASS</x:v>
      </x:c>
      <x:c r="E23" s="22" t="str">
        <x:v>High</x:v>
      </x:c>
      <x:c r="F23" s="22" t="str">
        <x:v>Architecture discipline</x:v>
      </x:c>
      <x:c r="G23" s="34" t="str"/>
    </x:row>
    <x:row r="24">
      <x:c r="A24" s="35" t="str">
        <x:v>Technology status canonical</x:v>
      </x:c>
      <x:c r="B24" s="36" t="n">
        <x:v>1</x:v>
      </x:c>
      <x:c r="C24" s="36" t="n">
        <x:f>IF('00_Dashboard'!N4="CANONICAL",1,0)</x:f>
        <x:v>1</x:v>
      </x:c>
      <x:c r="D24" s="36" t="str">
        <x:f>IF(C24=B24,"PASS","CHECK")</x:f>
        <x:v>PASS</x:v>
      </x:c>
      <x:c r="E24" s="36" t="str">
        <x:v>Medium</x:v>
      </x:c>
      <x:c r="F24" s="36" t="str">
        <x:v>Source of truth</x:v>
      </x:c>
      <x:c r="G24" s="37" t="str"/>
    </x:row>
  </x:sheetData>
  <x:mergeCells>
    <x:mergeCell ref="A1:G1"/>
  </x:mergeCells>
  <x:conditionalFormatting sqref="D4:D24">
    <x:cfRule type="expression" dxfId="0" priority="1">
      <x:formula>D4="PASS"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Critical Request / Event Flows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3">
      <x:c r="A3" s="14" t="str">
        <x:v>Flow</x:v>
      </x:c>
      <x:c r="B3" s="14" t="str">
        <x:v>Step</x:v>
      </x:c>
      <x:c r="C3" s="14" t="str">
        <x:v>Actor</x:v>
      </x:c>
      <x:c r="D3" s="14" t="str">
        <x:v>Transport</x:v>
      </x:c>
      <x:c r="E3" s="14" t="str">
        <x:v>Command/Event</x:v>
      </x:c>
      <x:c r="F3" s="14" t="str">
        <x:v>Validation</x:v>
      </x:c>
      <x:c r="G3" s="14" t="str">
        <x:v>Canonical Read</x:v>
      </x:c>
      <x:c r="H3" s="14" t="str">
        <x:v>Canonical Write</x:v>
      </x:c>
      <x:c r="I3" s="14" t="str">
        <x:v>Cache Effect</x:v>
      </x:c>
      <x:c r="J3" s="14" t="str">
        <x:v>Async Follow-Up</x:v>
      </x:c>
      <x:c r="K3" s="14" t="str">
        <x:v>Chain?</x:v>
      </x:c>
      <x:c r="L3" s="14" t="str">
        <x:v>Provider?</x:v>
      </x:c>
      <x:c r="M3" s="14" t="str">
        <x:v>Idempotency</x:v>
      </x:c>
      <x:c r="N3" s="14" t="str">
        <x:v>Failure Result</x:v>
      </x:c>
      <x:c r="O3" s="14" t="str">
        <x:v>User Experience</x:v>
      </x:c>
      <x:c r="P3" s="14" t="str">
        <x:v>Priority</x:v>
      </x:c>
      <x:c r="Q3" s="14" t="str">
        <x:v>Notes</x:v>
      </x:c>
    </x:row>
    <x:row r="4">
      <x:c r="A4" s="30" t="str">
        <x:v>Build Building</x:v>
      </x:c>
      <x:c r="B4" s="31" t="n">
        <x:v>1</x:v>
      </x:c>
      <x:c r="C4" s="31" t="str">
        <x:v>React/Pixi</x:v>
      </x:c>
      <x:c r="D4" s="31" t="str">
        <x:v>REST</x:v>
      </x:c>
      <x:c r="E4" s="31" t="str">
        <x:v>POST build</x:v>
      </x:c>
      <x:c r="F4" s="31" t="str">
        <x:v>session,unlock,cost,geometry,plot ownership</x:v>
      </x:c>
      <x:c r="G4" s="31" t="str">
        <x:v>player/layout/config</x:v>
      </x:c>
      <x:c r="H4" s="31" t="str">
        <x:v>Cash debit + building + placement version</x:v>
      </x:c>
      <x:c r="I4" s="31" t="str">
        <x:v>Invalidate plot/player</x:v>
      </x:c>
      <x:c r="J4" s="31" t="str">
        <x:v>analytics/event</x:v>
      </x:c>
      <x:c r="K4" s="31" t="str">
        <x:v>No</x:v>
      </x:c>
      <x:c r="L4" s="31" t="str">
        <x:v>No</x:v>
      </x:c>
      <x:c r="M4" s="31" t="str">
        <x:v>request id</x:v>
      </x:c>
      <x:c r="N4" s="31" t="str">
        <x:v>No partial build</x:v>
      </x:c>
      <x:c r="O4" s="31" t="str">
        <x:v>Ghost reverts with reason</x:v>
      </x:c>
      <x:c r="P4" s="31" t="str">
        <x:v>P0</x:v>
      </x:c>
      <x:c r="Q4" s="32" t="str"/>
    </x:row>
    <x:row r="5">
      <x:c r="A5" s="33" t="str">
        <x:v>Build Building</x:v>
      </x:c>
      <x:c r="B5" s="22" t="n">
        <x:v>2</x:v>
      </x:c>
      <x:c r="C5" s="22" t="str">
        <x:v>Backend</x:v>
      </x:c>
      <x:c r="D5" s="22" t="str">
        <x:v>Domain event</x:v>
      </x:c>
      <x:c r="E5" s="22" t="str">
        <x:v>building.created</x:v>
      </x:c>
      <x:c r="F5" s="22" t="str">
        <x:v>N/A</x:v>
      </x:c>
      <x:c r="G5" s="22" t="str">
        <x:v>committed state</x:v>
      </x:c>
      <x:c r="H5" s="22" t="str">
        <x:v>outbox event</x:v>
      </x:c>
      <x:c r="I5" s="22" t="str">
        <x:v>Update read model</x:v>
      </x:c>
      <x:c r="J5" s="22" t="str">
        <x:v>customer/economy observe next tick</x:v>
      </x:c>
      <x:c r="K5" s="22" t="str">
        <x:v>No</x:v>
      </x:c>
      <x:c r="L5" s="22" t="str">
        <x:v>No</x:v>
      </x:c>
      <x:c r="M5" s="22" t="str">
        <x:v>event id</x:v>
      </x:c>
      <x:c r="N5" s="22" t="str">
        <x:v>Retry outbox</x:v>
      </x:c>
      <x:c r="O5" s="22" t="str">
        <x:v>Building appears after ack</x:v>
      </x:c>
      <x:c r="P5" s="22" t="str">
        <x:v>P0</x:v>
      </x:c>
      <x:c r="Q5" s="34" t="str"/>
    </x:row>
    <x:row r="6">
      <x:c r="A6" s="33" t="str">
        <x:v>Economy Tick</x:v>
      </x:c>
      <x:c r="B6" s="22" t="n">
        <x:v>1</x:v>
      </x:c>
      <x:c r="C6" s="22" t="str">
        <x:v>Scheduler/worker</x:v>
      </x:c>
      <x:c r="D6" s="22" t="str">
        <x:v>Pub/Sub</x:v>
      </x:c>
      <x:c r="E6" s="22" t="str">
        <x:v>economy bucket</x:v>
      </x:c>
      <x:c r="F6" s="22" t="str">
        <x:v>bucket not processed; state/config valid</x:v>
      </x:c>
      <x:c r="G6" s="22" t="str">
        <x:v>building/customer/module/event/risk</x:v>
      </x:c>
      <x:c r="H6" s="22" t="str">
        <x:v>cash/activity ledgers</x:v>
      </x:c>
      <x:c r="I6" s="22" t="str">
        <x:v>Invalidate player/economy</x:v>
      </x:c>
      <x:c r="J6" s="22" t="str">
        <x:v>analytics/performance</x:v>
      </x:c>
      <x:c r="K6" s="22" t="str">
        <x:v>No</x:v>
      </x:c>
      <x:c r="L6" s="22" t="str">
        <x:v>No</x:v>
      </x:c>
      <x:c r="M6" s="22" t="str">
        <x:v>bucket id</x:v>
      </x:c>
      <x:c r="N6" s="22" t="str">
        <x:v>Retry exact bucket</x:v>
      </x:c>
      <x:c r="O6" s="22" t="str">
        <x:v>HUD updates when ready</x:v>
      </x:c>
      <x:c r="P6" s="22" t="str">
        <x:v>P0</x:v>
      </x:c>
      <x:c r="Q6" s="34" t="str"/>
    </x:row>
    <x:row r="7">
      <x:c r="A7" s="33" t="str">
        <x:v>Equip Module</x:v>
      </x:c>
      <x:c r="B7" s="22" t="n">
        <x:v>1</x:v>
      </x:c>
      <x:c r="C7" s="22" t="str">
        <x:v>React</x:v>
      </x:c>
      <x:c r="D7" s="22" t="str">
        <x:v>REST</x:v>
      </x:c>
      <x:c r="E7" s="22" t="str">
        <x:v>POST equip</x:v>
      </x:c>
      <x:c r="F7" s="22" t="str">
        <x:v>ownership,slot,copy,compatibility,version,event lock</x:v>
      </x:c>
      <x:c r="G7" s="22" t="str">
        <x:v>inventory/loadout/config</x:v>
      </x:c>
      <x:c r="H7" s="22" t="str">
        <x:v>loadout + equipped counters + audit</x:v>
      </x:c>
      <x:c r="I7" s="22" t="str">
        <x:v>Invalidate building/module</x:v>
      </x:c>
      <x:c r="J7" s="22" t="str">
        <x:v>resolver cache rebuild</x:v>
      </x:c>
      <x:c r="K7" s="22" t="str">
        <x:v>No</x:v>
      </x:c>
      <x:c r="L7" s="22" t="str">
        <x:v>No</x:v>
      </x:c>
      <x:c r="M7" s="22" t="str">
        <x:v>request id + loadout version</x:v>
      </x:c>
      <x:c r="N7" s="22" t="str">
        <x:v>409/422/423</x:v>
      </x:c>
      <x:c r="O7" s="22" t="str">
        <x:v>Slot shows pending then confirmed</x:v>
      </x:c>
      <x:c r="P7" s="22" t="str">
        <x:v>P0</x:v>
      </x:c>
      <x:c r="Q7" s="34" t="str"/>
    </x:row>
    <x:row r="8">
      <x:c r="A8" s="33" t="str">
        <x:v>Hunt Complete</x:v>
      </x:c>
      <x:c r="B8" s="22" t="n">
        <x:v>1</x:v>
      </x:c>
      <x:c r="C8" s="22" t="str">
        <x:v>Hunt domain</x:v>
      </x:c>
      <x:c r="D8" s="22" t="str">
        <x:v>Internal event</x:v>
      </x:c>
      <x:c r="E8" s="22" t="str">
        <x:v>hunt.completed</x:v>
      </x:c>
      <x:c r="F8" s="22" t="str">
        <x:v>validated evidence/objective</x:v>
      </x:c>
      <x:c r="G8" s="22" t="str">
        <x:v>hunt/activity</x:v>
      </x:c>
      <x:c r="H8" s="22" t="str">
        <x:v>hunt completion/reward source</x:v>
      </x:c>
      <x:c r="I8" s="22" t="str">
        <x:v>Invalidate Hunts</x:v>
      </x:c>
      <x:c r="J8" s="22" t="str">
        <x:v>stock/module reward workers</x:v>
      </x:c>
      <x:c r="K8" s="22" t="str">
        <x:v>No</x:v>
      </x:c>
      <x:c r="L8" s="22" t="str">
        <x:v>Maybe later stock provider only on claim</x:v>
      </x:c>
      <x:c r="M8" s="22" t="str">
        <x:v>source evidence id</x:v>
      </x:c>
      <x:c r="N8" s="22" t="str">
        <x:v>Retry reward resolution</x:v>
      </x:c>
      <x:c r="O8" s="22" t="str">
        <x:v>Reward reveal</x:v>
      </x:c>
      <x:c r="P8" s="22" t="str">
        <x:v>P0</x:v>
      </x:c>
      <x:c r="Q8" s="34" t="str"/>
    </x:row>
    <x:row r="9">
      <x:c r="A9" s="33" t="str">
        <x:v>Weekly Settlement</x:v>
      </x:c>
      <x:c r="B9" s="22" t="n">
        <x:v>1</x:v>
      </x:c>
      <x:c r="C9" s="22" t="str">
        <x:v>Competition worker</x:v>
      </x:c>
      <x:c r="D9" s="22" t="str">
        <x:v>Internal workflow</x:v>
      </x:c>
      <x:c r="E9" s="22" t="str">
        <x:v>epoch settle</x:v>
      </x:c>
      <x:c r="F9" s="22" t="str">
        <x:v>source freeze,eligibility,integrity</x:v>
      </x:c>
      <x:c r="G9" s="22" t="str">
        <x:v>performance manifests/league config</x:v>
      </x:c>
      <x:c r="H9" s="22" t="str">
        <x:v>result/payout manifest</x:v>
      </x:c>
      <x:c r="I9" s="22" t="str">
        <x:v>Update result cache</x:v>
      </x:c>
      <x:c r="J9" s="22" t="str">
        <x:v>publish claim data</x:v>
      </x:c>
      <x:c r="K9" s="22" t="str">
        <x:v>Maybe $PLOT claim root</x:v>
      </x:c>
      <x:c r="L9" s="22" t="str">
        <x:v>No</x:v>
      </x:c>
      <x:c r="M9" s="22" t="str">
        <x:v>epoch/stage ids</x:v>
      </x:c>
      <x:c r="N9" s="22" t="str">
        <x:v>Resume from stage cursor</x:v>
      </x:c>
      <x:c r="O9" s="22" t="str">
        <x:v>Pending until final</x:v>
      </x:c>
      <x:c r="P9" s="22" t="str">
        <x:v>P0.5</x:v>
      </x:c>
      <x:c r="Q9" s="34" t="str"/>
    </x:row>
    <x:row r="10">
      <x:c r="A10" s="33" t="str">
        <x:v>$PLOT Claim</x:v>
      </x:c>
      <x:c r="B10" s="22" t="n">
        <x:v>1</x:v>
      </x:c>
      <x:c r="C10" s="22" t="str">
        <x:v>User wallet</x:v>
      </x:c>
      <x:c r="D10" s="22" t="str">
        <x:v>REST + wallet/chain</x:v>
      </x:c>
      <x:c r="E10" s="22" t="str">
        <x:v>claim intent/tx</x:v>
      </x:c>
      <x:c r="F10" s="22" t="str">
        <x:v>final entitlement,not claimed,wallet</x:v>
      </x:c>
      <x:c r="G10" s="22" t="str">
        <x:v>payout ledger</x:v>
      </x:c>
      <x:c r="H10" s="22" t="str">
        <x:v>claim pending/confirmed refs</x:v>
      </x:c>
      <x:c r="I10" s="22" t="str">
        <x:v>Update reward status</x:v>
      </x:c>
      <x:c r="J10" s="22" t="str">
        <x:v>chain reconcile</x:v>
      </x:c>
      <x:c r="K10" s="22" t="str">
        <x:v>Yes</x:v>
      </x:c>
      <x:c r="L10" s="22" t="str">
        <x:v>No</x:v>
      </x:c>
      <x:c r="M10" s="22" t="str">
        <x:v>claim id/tx</x:v>
      </x:c>
      <x:c r="N10" s="22" t="str">
        <x:v>Retry/reconcile</x:v>
      </x:c>
      <x:c r="O10" s="22" t="str">
        <x:v>Wallet approval then pending/final</x:v>
      </x:c>
      <x:c r="P10" s="22" t="str">
        <x:v>P0.5</x:v>
      </x:c>
      <x:c r="Q10" s="34" t="str"/>
    </x:row>
    <x:row r="11">
      <x:c r="A11" s="33" t="str">
        <x:v>Real Stock Claim</x:v>
      </x:c>
      <x:c r="B11" s="22" t="n">
        <x:v>1</x:v>
      </x:c>
      <x:c r="C11" s="22" t="str">
        <x:v>React</x:v>
      </x:c>
      <x:c r="D11" s="22" t="str">
        <x:v>REST</x:v>
      </x:c>
      <x:c r="E11" s="22" t="str">
        <x:v>POST stock claim</x:v>
      </x:c>
      <x:c r="F11" s="22" t="str">
        <x:v>KYC/geo,balance,funding,provider</x:v>
      </x:c>
      <x:c r="G11" s="22" t="str">
        <x:v>stock reward/claim balance</x:v>
      </x:c>
      <x:c r="H11" s="22" t="str">
        <x:v>claim + funding reserve</x:v>
      </x:c>
      <x:c r="I11" s="22" t="str">
        <x:v>Update claim</x:v>
      </x:c>
      <x:c r="J11" s="22" t="str">
        <x:v>provider order/status/reconcile</x:v>
      </x:c>
      <x:c r="K11" s="22" t="str">
        <x:v>No initial; maybe withdrawal later</x:v>
      </x:c>
      <x:c r="L11" s="22" t="str">
        <x:v>Yes</x:v>
      </x:c>
      <x:c r="M11" s="22" t="str">
        <x:v>claim/order ids</x:v>
      </x:c>
      <x:c r="N11" s="22" t="str">
        <x:v>Pending/held; never duplicate order</x:v>
      </x:c>
      <x:c r="O11" s="22" t="str">
        <x:v>Gameplay unaffected if provider slow</x:v>
      </x:c>
      <x:c r="P11" s="22" t="str">
        <x:v>P1</x:v>
      </x:c>
      <x:c r="Q11" s="34" t="str"/>
    </x:row>
    <x:row r="12">
      <x:c r="A12" s="35" t="str">
        <x:v>Return from Offline</x:v>
      </x:c>
      <x:c r="B12" s="36" t="n">
        <x:v>1</x:v>
      </x:c>
      <x:c r="C12" s="36" t="str">
        <x:v>Client/API</x:v>
      </x:c>
      <x:c r="D12" s="36" t="str">
        <x:v>REST</x:v>
      </x:c>
      <x:c r="E12" s="36" t="str">
        <x:v>resume/open</x:v>
      </x:c>
      <x:c r="F12" s="36" t="str">
        <x:v>presence window</x:v>
      </x:c>
      <x:c r="G12" s="36" t="str">
        <x:v>last processed cursor,events,timers</x:v>
      </x:c>
      <x:c r="H12" s="36" t="str">
        <x:v>catch-up ledgers + summary manifest</x:v>
      </x:c>
      <x:c r="I12" s="36" t="str">
        <x:v>Refresh read models</x:v>
      </x:c>
      <x:c r="J12" s="36" t="str">
        <x:v>analytics</x:v>
      </x:c>
      <x:c r="K12" s="36" t="str">
        <x:v>No</x:v>
      </x:c>
      <x:c r="L12" s="36" t="str">
        <x:v>No</x:v>
      </x:c>
      <x:c r="M12" s="36" t="str">
        <x:v>offline window id</x:v>
      </x:c>
      <x:c r="N12" s="36" t="str">
        <x:v>Idempotent catch-up</x:v>
      </x:c>
      <x:c r="O12" s="36" t="str">
        <x:v>Return Summary</x:v>
      </x:c>
      <x:c r="P12" s="36" t="str">
        <x:v>P0</x:v>
      </x:c>
      <x:c r="Q12" s="37" t="str"/>
    </x:row>
  </x:sheetData>
  <x:mergeCells>
    <x:mergeCell ref="A1:Q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48" t="str">
        <x:v>Engineering Ownership &amp; Team Responsibility Map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22"/>
    </x:row>
    <x:row r="3">
      <x:c r="A3" s="14" t="str">
        <x:v>Role / Discipline</x:v>
      </x:c>
      <x:c r="B3" s="14" t="str">
        <x:v>Primary Ownership</x:v>
      </x:c>
      <x:c r="C3" s="14" t="str">
        <x:v>Secondary</x:v>
      </x:c>
      <x:c r="D3" s="14" t="str">
        <x:v>Must Understand</x:v>
      </x:c>
      <x:c r="E3" s="14" t="str">
        <x:v>Does Not Own</x:v>
      </x:c>
      <x:c r="F3" s="14" t="str">
        <x:v>Key Deliverables</x:v>
      </x:c>
      <x:c r="G3" s="14" t="str">
        <x:v>Review Required For</x:v>
      </x:c>
      <x:c r="H3" s="14" t="str">
        <x:v>On-Call?</x:v>
      </x:c>
      <x:c r="I3" s="14" t="str">
        <x:v>MVP Staffing Priority</x:v>
      </x:c>
      <x:c r="J3" s="14" t="str">
        <x:v>Suggested Minimum</x:v>
      </x:c>
      <x:c r="K3" s="14" t="str">
        <x:v>Scaling Trigger</x:v>
      </x:c>
      <x:c r="L3" s="14" t="str">
        <x:v>Docs</x:v>
      </x:c>
      <x:c r="M3" s="14" t="str">
        <x:v>Testing</x:v>
      </x:c>
      <x:c r="N3" s="14" t="str">
        <x:v>Security Responsibility</x:v>
      </x:c>
      <x:c r="O3" s="14" t="str">
        <x:v>Priority</x:v>
      </x:c>
      <x:c r="P3" s="14" t="str">
        <x:v>Notes</x:v>
      </x:c>
    </x:row>
    <x:row r="4">
      <x:c r="A4" s="30" t="str">
        <x:v>Frontend Engineer</x:v>
      </x:c>
      <x:c r="B4" s="31" t="str">
        <x:v>React/Pixi/UI/Family bridge</x:v>
      </x:c>
      <x:c r="C4" s="31" t="str">
        <x:v>Web3 client UX</x:v>
      </x:c>
      <x:c r="D4" s="31" t="str">
        <x:v>API contracts, server authority</x:v>
      </x:c>
      <x:c r="E4" s="31" t="str">
        <x:v>Economy formulas</x:v>
      </x:c>
      <x:c r="F4" s="31" t="str">
        <x:v>Plot renderer, screens, responsive iframe</x:v>
      </x:c>
      <x:c r="G4" s="31" t="str">
        <x:v>Client perf/UI contracts</x:v>
      </x:c>
      <x:c r="H4" s="31" t="str">
        <x:v>Frontend rotation</x:v>
      </x:c>
      <x:c r="I4" s="31" t="str">
        <x:v>Critical</x:v>
      </x:c>
      <x:c r="J4" s="31" t="str">
        <x:v>1-2</x:v>
      </x:c>
      <x:c r="K4" s="31" t="str">
        <x:v>Dense territory/mobile perf</x:v>
      </x:c>
      <x:c r="L4" s="31" t="str">
        <x:v>Frontend/Pixi sheets</x:v>
      </x:c>
      <x:c r="M4" s="31" t="str">
        <x:v>Playwright/Vitest</x:v>
      </x:c>
      <x:c r="N4" s="31" t="str">
        <x:v>No secrets/client trust</x:v>
      </x:c>
      <x:c r="O4" s="31" t="str">
        <x:v>P0</x:v>
      </x:c>
      <x:c r="P4" s="32" t="str"/>
    </x:row>
    <x:row r="5">
      <x:c r="A5" s="33" t="str">
        <x:v>Backend Engineer</x:v>
      </x:c>
      <x:c r="B5" s="22" t="str">
        <x:v>Nest domains/API/workers</x:v>
      </x:c>
      <x:c r="C5" s="22" t="str">
        <x:v>Redis/Postgres</x:v>
      </x:c>
      <x:c r="D5" s="22" t="str">
        <x:v>Game systems, idempotency, ledgers</x:v>
      </x:c>
      <x:c r="E5" s="22" t="str">
        <x:v>UI rendering</x:v>
      </x:c>
      <x:c r="F5" s="22" t="str">
        <x:v>Core game server</x:v>
      </x:c>
      <x:c r="G5" s="22" t="str">
        <x:v>Domain/API/data changes</x:v>
      </x:c>
      <x:c r="H5" s="22" t="str">
        <x:v>Yes</x:v>
      </x:c>
      <x:c r="I5" s="22" t="str">
        <x:v>Critical</x:v>
      </x:c>
      <x:c r="J5" s="22" t="str">
        <x:v>2</x:v>
      </x:c>
      <x:c r="K5" s="22" t="str">
        <x:v>Queue/DB/service load</x:v>
      </x:c>
      <x:c r="L5" s="22" t="str">
        <x:v>Backend/data sheets</x:v>
      </x:c>
      <x:c r="M5" s="22" t="str">
        <x:v>Unit/integration/load</x:v>
      </x:c>
      <x:c r="N5" s="22" t="str">
        <x:v>Authz/data integrity</x:v>
      </x:c>
      <x:c r="O5" s="22" t="str">
        <x:v>P0</x:v>
      </x:c>
      <x:c r="P5" s="34" t="str"/>
    </x:row>
    <x:row r="6">
      <x:c r="A6" s="33" t="str">
        <x:v>Game Systems Engineer</x:v>
      </x:c>
      <x:c r="B6" s="22" t="str">
        <x:v>Economy/customer/risk/modules/events/config</x:v>
      </x:c>
      <x:c r="C6" s="22" t="str">
        <x:v>Simulation tests</x:v>
      </x:c>
      <x:c r="D6" s="22" t="str">
        <x:v>Backend implementation constraints</x:v>
      </x:c>
      <x:c r="E6" s="22" t="str">
        <x:v>Cloud ops</x:v>
      </x:c>
      <x:c r="F6" s="22" t="str">
        <x:v>Balance configs + pure simulation specs</x:v>
      </x:c>
      <x:c r="G6" s="22" t="str">
        <x:v>Any economy/config change</x:v>
      </x:c>
      <x:c r="H6" s="22" t="str">
        <x:v>No/consult</x:v>
      </x:c>
      <x:c r="I6" s="22" t="str">
        <x:v>Critical</x:v>
      </x:c>
      <x:c r="J6" s="22" t="str">
        <x:v>1</x:v>
      </x:c>
      <x:c r="K6" s="22" t="str">
        <x:v>LiveOps complexity</x:v>
      </x:c>
      <x:c r="L6" s="22" t="str">
        <x:v>Simulation/config docs</x:v>
      </x:c>
      <x:c r="M6" s="22" t="str">
        <x:v>Property/simulation</x:v>
      </x:c>
      <x:c r="N6" s="22" t="str">
        <x:v>Exploit-safe rules</x:v>
      </x:c>
      <x:c r="O6" s="22" t="str">
        <x:v>P0</x:v>
      </x:c>
      <x:c r="P6" s="34" t="str"/>
    </x:row>
    <x:row r="7">
      <x:c r="A7" s="33" t="str">
        <x:v>Platform/DevOps</x:v>
      </x:c>
      <x:c r="B7" s="22" t="str">
        <x:v>GCP/IAM/CI/CD/observability</x:v>
      </x:c>
      <x:c r="C7" s="22" t="str">
        <x:v>DB reliability</x:v>
      </x:c>
      <x:c r="D7" s="22" t="str">
        <x:v>App architecture</x:v>
      </x:c>
      <x:c r="E7" s="22" t="str">
        <x:v>Game balance</x:v>
      </x:c>
      <x:c r="F7" s="22" t="str">
        <x:v>Terraform, pipelines, SLOs, DR</x:v>
      </x:c>
      <x:c r="G7" s="22" t="str">
        <x:v>Infra/security/deploy</x:v>
      </x:c>
      <x:c r="H7" s="22" t="str">
        <x:v>Yes</x:v>
      </x:c>
      <x:c r="I7" s="22" t="str">
        <x:v>High</x:v>
      </x:c>
      <x:c r="J7" s="22" t="str">
        <x:v>0.5-1</x:v>
      </x:c>
      <x:c r="K7" s="22" t="str">
        <x:v>Scale/availability</x:v>
      </x:c>
      <x:c r="L7" s="22" t="str">
        <x:v>Infra/DR sheets</x:v>
      </x:c>
      <x:c r="M7" s="22" t="str">
        <x:v>Chaos/load</x:v>
      </x:c>
      <x:c r="N7" s="22" t="str">
        <x:v>Least privilege/secrets</x:v>
      </x:c>
      <x:c r="O7" s="22" t="str">
        <x:v>P0</x:v>
      </x:c>
      <x:c r="P7" s="34" t="str"/>
    </x:row>
    <x:row r="8">
      <x:c r="A8" s="33" t="str">
        <x:v>Blockchain Engineer</x:v>
      </x:c>
      <x:c r="B8" s="22" t="str">
        <x:v>Solidity/Foundry/chain reconcile</x:v>
      </x:c>
      <x:c r="C8" s="22" t="str">
        <x:v>Wallet integration</x:v>
      </x:c>
      <x:c r="D8" s="22" t="str">
        <x:v>Payout/ownership architecture</x:v>
      </x:c>
      <x:c r="E8" s="22" t="str">
        <x:v>Offchain simulation</x:v>
      </x:c>
      <x:c r="F8" s="22" t="str">
        <x:v>Contracts/deploy scripts/reconcile</x:v>
      </x:c>
      <x:c r="G8" s="22" t="str">
        <x:v>Contract/chain changes</x:v>
      </x:c>
      <x:c r="H8" s="22" t="str">
        <x:v>Chain rotation</x:v>
      </x:c>
      <x:c r="I8" s="22" t="str">
        <x:v>Medium</x:v>
      </x:c>
      <x:c r="J8" s="22" t="str">
        <x:v>0.5 initially</x:v>
      </x:c>
      <x:c r="K8" s="22" t="str">
        <x:v>More onchain features</x:v>
      </x:c>
      <x:c r="L8" s="22" t="str">
        <x:v>Blockchain sheets</x:v>
      </x:c>
      <x:c r="M8" s="22" t="str">
        <x:v>Foundry/fork tests</x:v>
      </x:c>
      <x:c r="N8" s="22" t="str">
        <x:v>Signer/access safety</x:v>
      </x:c>
      <x:c r="O8" s="22" t="str">
        <x:v>P0/P1</x:v>
      </x:c>
      <x:c r="P8" s="34" t="str"/>
    </x:row>
    <x:row r="9">
      <x:c r="A9" s="33" t="str">
        <x:v>Data/Analytics</x:v>
      </x:c>
      <x:c r="B9" s="22" t="str">
        <x:v>BigQuery/event schemas/dashboards</x:v>
      </x:c>
      <x:c r="C9" s="22" t="str">
        <x:v>Experiment design</x:v>
      </x:c>
      <x:c r="D9" s="22" t="str">
        <x:v>Game definitions</x:v>
      </x:c>
      <x:c r="E9" s="22" t="str">
        <x:v>Gameplay authority</x:v>
      </x:c>
      <x:c r="F9" s="22" t="str">
        <x:v>Retention/economy/competition dashboards</x:v>
      </x:c>
      <x:c r="G9" s="22" t="str">
        <x:v>Telemetry/schema changes</x:v>
      </x:c>
      <x:c r="H9" s="22" t="str">
        <x:v>No</x:v>
      </x:c>
      <x:c r="I9" s="22" t="str">
        <x:v>Medium</x:v>
      </x:c>
      <x:c r="J9" s="22" t="str">
        <x:v>0.5 initially</x:v>
      </x:c>
      <x:c r="K9" s="22" t="str">
        <x:v>LiveOps volume</x:v>
      </x:c>
      <x:c r="L9" s="22" t="str">
        <x:v>Analytics sheets</x:v>
      </x:c>
      <x:c r="M9" s="22" t="str">
        <x:v>Data quality</x:v>
      </x:c>
      <x:c r="N9" s="22" t="str">
        <x:v>PII minimization</x:v>
      </x:c>
      <x:c r="O9" s="22" t="str">
        <x:v>P1</x:v>
      </x:c>
      <x:c r="P9" s="34" t="str"/>
    </x:row>
    <x:row r="10">
      <x:c r="A10" s="33" t="str">
        <x:v>QA / Automation</x:v>
      </x:c>
      <x:c r="B10" s="22" t="str">
        <x:v>E2E/regression/release acceptance</x:v>
      </x:c>
      <x:c r="C10" s="22" t="str">
        <x:v>Failure testing</x:v>
      </x:c>
      <x:c r="D10" s="22" t="str">
        <x:v>Core flows/domain invariants</x:v>
      </x:c>
      <x:c r="E10" s="22" t="str">
        <x:v>Product balance decisions</x:v>
      </x:c>
      <x:c r="F10" s="22" t="str">
        <x:v>Playwright suites/test plans</x:v>
      </x:c>
      <x:c r="G10" s="22" t="str">
        <x:v>Release gates</x:v>
      </x:c>
      <x:c r="H10" s="22" t="str">
        <x:v>No</x:v>
      </x:c>
      <x:c r="I10" s="22" t="str">
        <x:v>High</x:v>
      </x:c>
      <x:c r="J10" s="22" t="str">
        <x:v>0.5-1</x:v>
      </x:c>
      <x:c r="K10" s="22" t="str">
        <x:v>Feature breadth</x:v>
      </x:c>
      <x:c r="L10" s="22" t="str">
        <x:v>QA matrices</x:v>
      </x:c>
      <x:c r="M10" s="22" t="str">
        <x:v>Primary</x:v>
      </x:c>
      <x:c r="N10" s="22" t="str">
        <x:v>Security regression</x:v>
      </x:c>
      <x:c r="O10" s="22" t="str">
        <x:v>P0</x:v>
      </x:c>
      <x:c r="P10" s="34" t="str"/>
    </x:row>
    <x:row r="11">
      <x:c r="A11" s="35" t="str">
        <x:v>Security/Compliance</x:v>
      </x:c>
      <x:c r="B11" s="36" t="str">
        <x:v>Threat model, privacy, provider/real-asset controls</x:v>
      </x:c>
      <x:c r="C11" s="36" t="str">
        <x:v>Admin/process</x:v>
      </x:c>
      <x:c r="D11" s="36" t="str">
        <x:v>Architecture/data flows</x:v>
      </x:c>
      <x:c r="E11" s="36" t="str">
        <x:v>Feature coding</x:v>
      </x:c>
      <x:c r="F11" s="36" t="str">
        <x:v>Security review/control requirements</x:v>
      </x:c>
      <x:c r="G11" s="36" t="str">
        <x:v>Auth/provider/chain/admin changes</x:v>
      </x:c>
      <x:c r="H11" s="36" t="str">
        <x:v>Incident support</x:v>
      </x:c>
      <x:c r="I11" s="36" t="str">
        <x:v>P1 essential for real assets</x:v>
      </x:c>
      <x:c r="J11" s="36" t="str">
        <x:v>Shared/consult</x:v>
      </x:c>
      <x:c r="K11" s="36" t="str">
        <x:v>Real stock phase</x:v>
      </x:c>
      <x:c r="L11" s="36" t="str">
        <x:v>Security/stock docs</x:v>
      </x:c>
      <x:c r="M11" s="36" t="str">
        <x:v>Abuse/security tests</x:v>
      </x:c>
      <x:c r="N11" s="36" t="str">
        <x:v>Primary</x:v>
      </x:c>
      <x:c r="O11" s="36" t="str">
        <x:v>P0/P1</x:v>
      </x:c>
      <x:c r="P11" s="37" t="str"/>
    </x:row>
  </x:sheetData>
  <x:mergeCells>
    <x:mergeCell ref="A1:P1"/>
  </x:mergeCells>
  <x:pageMargins left="0.7" right="0.7" top="0.75" bottom="0.75" header="0.3" footer="0.3"/>
</x:worksheet>
</file>