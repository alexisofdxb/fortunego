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9920d4955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8e02d2e6ac24b8d"/>
    <x:sheet xmlns:r="http://schemas.openxmlformats.org/officeDocument/2006/relationships" name="Day &amp; Quarter Loop" sheetId="2" r:id="R9f251ad3a3764d5a"/>
    <x:sheet xmlns:r="http://schemas.openxmlformats.org/officeDocument/2006/relationships" name="Opportunity Hand" sheetId="3" r:id="R4646182ebac849c2"/>
    <x:sheet xmlns:r="http://schemas.openxmlformats.org/officeDocument/2006/relationships" name="Card Rarity &amp; Economy" sheetId="4" r:id="R473259cb067e4fd1"/>
    <x:sheet xmlns:r="http://schemas.openxmlformats.org/officeDocument/2006/relationships" name="Building Card Model" sheetId="5" r:id="Rcbdfb2133ea44b33"/>
    <x:sheet xmlns:r="http://schemas.openxmlformats.org/officeDocument/2006/relationships" name="Trait System" sheetId="6" r:id="R8b6b190a30a74cce"/>
    <x:sheet xmlns:r="http://schemas.openxmlformats.org/officeDocument/2006/relationships" name="Market Calendar" sheetId="7" r:id="Re1e50dae4a8a45f9"/>
    <x:sheet xmlns:r="http://schemas.openxmlformats.org/officeDocument/2006/relationships" name="Maturation" sheetId="8" r:id="Re330633749a24b45"/>
    <x:sheet xmlns:r="http://schemas.openxmlformats.org/officeDocument/2006/relationships" name="Quarterly Obligation" sheetId="9" r:id="R7150481da47040af"/>
    <x:sheet xmlns:r="http://schemas.openxmlformats.org/officeDocument/2006/relationships" name="Settlement Model" sheetId="10" r:id="R4f7f9dc67c28436e"/>
    <x:sheet xmlns:r="http://schemas.openxmlformats.org/officeDocument/2006/relationships" name="Temporary Cards" sheetId="11" r:id="R49132d03af5f42ff"/>
    <x:sheet xmlns:r="http://schemas.openxmlformats.org/officeDocument/2006/relationships" name="Empire Conditions" sheetId="12" r:id="Ra9b95796b6a94641"/>
    <x:sheet xmlns:r="http://schemas.openxmlformats.org/officeDocument/2006/relationships" name="Market Hunts &amp; Stocks" sheetId="13" r:id="R65d7297bc6794245"/>
    <x:sheet xmlns:r="http://schemas.openxmlformats.org/officeDocument/2006/relationships" name="Action Economy" sheetId="14" r:id="R4abe62f6ffa64c2d"/>
    <x:sheet xmlns:r="http://schemas.openxmlformats.org/officeDocument/2006/relationships" name="Balance Targets" sheetId="15" r:id="Rfda4b57dc0aa4938"/>
    <x:sheet xmlns:r="http://schemas.openxmlformats.org/officeDocument/2006/relationships" name="Card Play Simulator" sheetId="16" r:id="R95bd9a4bf781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x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0000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B1F33"/>
      <x:name val="Aptos"/>
    </x:font>
    <x:font>
      <x:sz val="10"/>
      <x:color rgb="FF0000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7EEF6"/>
      </x:patternFill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1" xfId="0" applyNumberFormat="1" applyFont="1" applyFill="1" applyBorder="1"/>
    <x:xf numFmtId="202" fontId="7" fillId="0" borderId="1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9" fillId="6" borderId="0" xfId="0" applyNumberFormat="1" applyFont="1" applyFill="1" applyBorder="1"/>
    <x:xf numFmtId="0" fontId="8" fillId="5" borderId="1" xfId="0" applyNumberFormat="1" applyFont="1" applyFill="1" applyBorder="1"/>
    <x:xf numFmtId="0" fontId="9" fillId="6" borderId="1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2bf620e974d70" /><Relationship Type="http://schemas.openxmlformats.org/officeDocument/2006/relationships/theme" Target="/xl/theme/theme1.xml" Id="R24646dc9aa2142d8" /><Relationship Type="http://schemas.openxmlformats.org/officeDocument/2006/relationships/sharedStrings" Target="/xl/sharedStrings.xml" Id="R42ce50ab269443dd" /><Relationship Type="http://schemas.openxmlformats.org/officeDocument/2006/relationships/worksheet" Target="/xl/worksheets/sheet1.xml" Id="Rb8e02d2e6ac24b8d" /><Relationship Type="http://schemas.openxmlformats.org/officeDocument/2006/relationships/worksheet" Target="/xl/worksheets/sheet2.xml" Id="R9f251ad3a3764d5a" /><Relationship Type="http://schemas.openxmlformats.org/officeDocument/2006/relationships/worksheet" Target="/xl/worksheets/sheet3.xml" Id="R4646182ebac849c2" /><Relationship Type="http://schemas.openxmlformats.org/officeDocument/2006/relationships/worksheet" Target="/xl/worksheets/sheet4.xml" Id="R473259cb067e4fd1" /><Relationship Type="http://schemas.openxmlformats.org/officeDocument/2006/relationships/worksheet" Target="/xl/worksheets/sheet5.xml" Id="Rcbdfb2133ea44b33" /><Relationship Type="http://schemas.openxmlformats.org/officeDocument/2006/relationships/worksheet" Target="/xl/worksheets/sheet6.xml" Id="R8b6b190a30a74cce" /><Relationship Type="http://schemas.openxmlformats.org/officeDocument/2006/relationships/worksheet" Target="/xl/worksheets/sheet7.xml" Id="Re1e50dae4a8a45f9" /><Relationship Type="http://schemas.openxmlformats.org/officeDocument/2006/relationships/worksheet" Target="/xl/worksheets/sheet8.xml" Id="Re330633749a24b45" /><Relationship Type="http://schemas.openxmlformats.org/officeDocument/2006/relationships/worksheet" Target="/xl/worksheets/sheet9.xml" Id="R7150481da47040af" /><Relationship Type="http://schemas.openxmlformats.org/officeDocument/2006/relationships/worksheet" Target="/xl/worksheets/sheet10.xml" Id="R4f7f9dc67c28436e" /><Relationship Type="http://schemas.openxmlformats.org/officeDocument/2006/relationships/worksheet" Target="/xl/worksheets/sheet11.xml" Id="R49132d03af5f42ff" /><Relationship Type="http://schemas.openxmlformats.org/officeDocument/2006/relationships/worksheet" Target="/xl/worksheets/sheet12.xml" Id="Ra9b95796b6a94641" /><Relationship Type="http://schemas.openxmlformats.org/officeDocument/2006/relationships/worksheet" Target="/xl/worksheets/sheet13.xml" Id="R65d7297bc6794245" /><Relationship Type="http://schemas.openxmlformats.org/officeDocument/2006/relationships/worksheet" Target="/xl/worksheets/sheet14.xml" Id="R4abe62f6ffa64c2d" /><Relationship Type="http://schemas.openxmlformats.org/officeDocument/2006/relationships/worksheet" Target="/xl/worksheets/sheet15.xml" Id="Rfda4b57dc0aa4938" /><Relationship Type="http://schemas.openxmlformats.org/officeDocument/2006/relationships/worksheet" Target="/xl/worksheets/sheet16.xml" Id="R95bd9a4bf7814f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9c907383c448d8" /><Relationship Type="http://schemas.openxmlformats.org/officeDocument/2006/relationships/chart" Target="/xl/drawings/charts/chart2.xml" Id="R2d61b8eee75243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Opportunity Hand Size by Rank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Hand Size</c:v>
          </c:tx>
          <c:cat>
            <c:strRef>
              <c:f>'Opportunity Hand'!$A$2:$A$7</c:f>
              <c:strCache>
                <c:ptCount val="0"/>
              </c:strCache>
            </c:strRef>
          </c:cat>
          <c:val>
            <c:numRef>
              <c:f>'Opportunity Hand'!$B$2:$B$7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Quarterly Obligation Pressure by Rank</a:t>
            </a:r>
          </a:p>
        </c:rich>
      </c:tx>
    </c:title>
    <c:plotArea>
      <c:lineChart>
        <c:grouping val="standard"/>
        <c:ser>
          <c:idx val="0"/>
          <c:order val="0"/>
          <c:tx>
            <c:v>Base Obligation % of Expected 28-Day Net</c:v>
          </c:tx>
          <c:marker>
            <c:symbol val="none"/>
          </c:marker>
          <c:cat>
            <c:strRef>
              <c:f>'Quarterly Obligation'!$A$2:$A$7</c:f>
              <c:strCache>
                <c:ptCount val="0"/>
              </c:strCache>
            </c:strRef>
          </c:cat>
          <c:val>
            <c:numRef>
              <c:f>'Quarterly Obligation'!$B$2:$B$7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c907383c448d8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61b8eee75243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2e38f2ad5d49e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66" t="str">
        <x:v>Opportunity-Driven Financial Empire Gameplay — Design &amp; Balancing v1.0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7"/>
      <x:c r="L1" s="67"/>
      <x:c r="M1" s="67"/>
      <x:c r="N1" s="67"/>
      <x:c r="O1" s="67"/>
      <x:c r="P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</x:row>
    <x:row r="3">
      <x:c r="A3" s="68" t="str">
        <x:v>Core fantasy</x:v>
      </x:c>
      <x:c r="B3" s="69" t="str">
        <x:v>Start with humble financial businesses and grow a persistent financial empire.</x:v>
      </x:c>
      <x:c r="C3" s="67"/>
      <x:c r="D3" s="70" t="str">
        <x:v>Core Gameplay Loop</x:v>
      </x:c>
      <x:c r="E3" s="70"/>
      <x:c r="F3" s="70"/>
      <x:c r="G3" s="70"/>
      <x:c r="H3" s="67"/>
      <x:c r="I3" s="67"/>
      <x:c r="J3" s="67"/>
      <x:c r="K3" s="67"/>
      <x:c r="L3" s="67"/>
      <x:c r="M3" s="67"/>
      <x:c r="N3" s="67"/>
      <x:c r="O3" s="67"/>
      <x:c r="P3" s="67"/>
    </x:row>
    <x:row r="4">
      <x:c r="A4" s="68" t="str">
        <x:v>Core interaction</x:v>
      </x:c>
      <x:c r="B4" s="69" t="str">
        <x:v>Each financial day presents a small hand of meaningful opportunities rather than an unrestricted build catalog.</x:v>
      </x:c>
      <x:c r="C4" s="67"/>
      <x:c r="D4" s="71" t="str">
        <x:v>1. Start Day</x:v>
      </x:c>
      <x:c r="E4" s="69" t="str">
        <x:v>Reveal market condition, upcoming events, daily objectives and opportunity hand</x:v>
      </x:c>
      <x:c r="F4" s="69" t="str"/>
      <x:c r="G4" s="69" t="str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68" t="str">
        <x:v>Persistent layer</x:v>
      </x:c>
      <x:c r="B5" s="69" t="str">
        <x:v>Buildings, owned land, upgrades, customer base, portfolio and Empire Level persist.</x:v>
      </x:c>
      <x:c r="C5" s="67"/>
      <x:c r="D5" s="71" t="str">
        <x:v>2. Evaluate</x:v>
      </x:c>
      <x:c r="E5" s="69" t="str">
        <x:v>Check Cash, quarterly obligation, land, customers and upcoming market events</x:v>
      </x:c>
      <x:c r="F5" s="69" t="str"/>
      <x:c r="G5" s="69" t="str"/>
      <x:c r="H5" s="67"/>
      <x:c r="I5" s="67"/>
      <x:c r="J5" s="67"/>
      <x:c r="K5" s="67"/>
      <x:c r="L5" s="67"/>
      <x:c r="M5" s="67"/>
      <x:c r="N5" s="67"/>
      <x:c r="O5" s="67"/>
      <x:c r="P5" s="67"/>
    </x:row>
    <x:row r="6">
      <x:c r="A6" s="68" t="str">
        <x:v>Rotating layer</x:v>
      </x:c>
      <x:c r="B6" s="69" t="str">
        <x:v>Opportunity cards, market conditions, temporary effects, special actions and daily objectives rotate.</x:v>
      </x:c>
      <x:c r="C6" s="67"/>
      <x:c r="D6" s="71" t="str">
        <x:v>3. Act</x:v>
      </x:c>
      <x:c r="E6" s="69" t="str">
        <x:v>Play 1–3 meaningful cards: build, upgrade, expand, finance, campaign, market action</x:v>
      </x:c>
      <x:c r="F6" s="69" t="str"/>
      <x:c r="G6" s="69" t="str"/>
      <x:c r="H6" s="67"/>
      <x:c r="I6" s="67"/>
      <x:c r="J6" s="67"/>
      <x:c r="K6" s="67"/>
      <x:c r="L6" s="67"/>
      <x:c r="M6" s="67"/>
      <x:c r="N6" s="67"/>
      <x:c r="O6" s="67"/>
      <x:c r="P6" s="67"/>
    </x:row>
    <x:row r="7">
      <x:c r="A7" s="68" t="str">
        <x:v>Board</x:v>
      </x:c>
      <x:c r="B7" s="69" t="str">
        <x:v>35-hex district. One permanent building per owned hex.</x:v>
      </x:c>
      <x:c r="C7" s="67"/>
      <x:c r="D7" s="71" t="str">
        <x:v>4. Optimize</x:v>
      </x:c>
      <x:c r="E7" s="69" t="str">
        <x:v>Choose the right hex/building fit and adjacency</x:v>
      </x:c>
      <x:c r="F7" s="69" t="str"/>
      <x:c r="G7" s="69" t="str"/>
      <x:c r="H7" s="67"/>
      <x:c r="I7" s="67"/>
      <x:c r="J7" s="67"/>
      <x:c r="K7" s="67"/>
      <x:c r="L7" s="67"/>
      <x:c r="M7" s="67"/>
      <x:c r="N7" s="67"/>
      <x:c r="O7" s="67"/>
      <x:c r="P7" s="67"/>
    </x:row>
    <x:row r="8">
      <x:c r="A8" s="68" t="str">
        <x:v>Financial calendar</x:v>
      </x:c>
      <x:c r="B8" s="69" t="str">
        <x:v>Daily play occurs inside repeating 7-day market weeks and 28-day financial quarters.</x:v>
      </x:c>
      <x:c r="C8" s="67"/>
      <x:c r="D8" s="71" t="str">
        <x:v>5. Operate</x:v>
      </x:c>
      <x:c r="E8" s="69" t="str">
        <x:v>Businesses generate projected activity through the day</x:v>
      </x:c>
      <x:c r="F8" s="69" t="str"/>
      <x:c r="G8" s="69" t="str"/>
      <x:c r="H8" s="67"/>
      <x:c r="I8" s="67"/>
      <x:c r="J8" s="67"/>
      <x:c r="K8" s="67"/>
      <x:c r="L8" s="67"/>
      <x:c r="M8" s="67"/>
      <x:c r="N8" s="67"/>
      <x:c r="O8" s="67"/>
      <x:c r="P8" s="67"/>
    </x:row>
    <x:row r="9">
      <x:c r="A9" s="68" t="str">
        <x:v>Settlement</x:v>
      </x:c>
      <x:c r="B9" s="69" t="str">
        <x:v>The player closes each day to settle income, costs, customer changes, stock rewards and event effects.</x:v>
      </x:c>
      <x:c r="C9" s="67"/>
      <x:c r="D9" s="71" t="str">
        <x:v>6. Close Day</x:v>
      </x:c>
      <x:c r="E9" s="69" t="str">
        <x:v>Settle revenue, operating costs, customer changes and stock/market rewards</x:v>
      </x:c>
      <x:c r="F9" s="69" t="str"/>
      <x:c r="G9" s="69" t="str"/>
      <x:c r="H9" s="67"/>
      <x:c r="I9" s="67"/>
      <x:c r="J9" s="67"/>
      <x:c r="K9" s="67"/>
      <x:c r="L9" s="67"/>
      <x:c r="M9" s="67"/>
      <x:c r="N9" s="67"/>
      <x:c r="O9" s="67"/>
      <x:c r="P9" s="67"/>
    </x:row>
    <x:row r="10">
      <x:c r="A10" s="68" t="str">
        <x:v>Pressure system</x:v>
      </x:c>
      <x:c r="B10" s="69" t="str">
        <x:v>Quarterly operating obligation prevents Cash from becoming only a construction currency.</x:v>
      </x:c>
      <x:c r="C10" s="67"/>
      <x:c r="D10" s="71" t="str">
        <x:v>7. Progress</x:v>
      </x:c>
      <x:c r="E10" s="69" t="str">
        <x:v>Gain Empire XP, unlock opportunities and improve rank</x:v>
      </x:c>
      <x:c r="F10" s="69" t="str"/>
      <x:c r="G10" s="69" t="str"/>
      <x:c r="H10" s="67"/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8" t="str">
        <x:v>Placement strategy</x:v>
      </x:c>
      <x:c r="B11" s="69" t="str">
        <x:v>Cards preview land fit before construction using the existing hex attribute model.</x:v>
      </x:c>
      <x:c r="C11" s="67"/>
      <x:c r="D11" s="71" t="str">
        <x:v>8. Plan</x:v>
      </x:c>
      <x:c r="E11" s="69" t="str">
        <x:v>Prepare for next day and quarterly obligation</x:v>
      </x:c>
      <x:c r="F11" s="69" t="str"/>
      <x:c r="G11" s="69" t="str"/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8" t="str">
        <x:v>Design goal</x:v>
      </x:c>
      <x:c r="B12" s="69" t="str">
        <x:v>A city/empire builder that feels actively playable every day instead of behaving like a passive spreadsheet.</x:v>
      </x:c>
      <x:c r="C12" s="67"/>
      <x:c r="D12" s="71" t="str">
        <x:v>9. Repeat</x:v>
      </x:c>
      <x:c r="E12" s="69" t="str">
        <x:v>Persistent empire grows beneath a changing opportunity layer</x:v>
      </x:c>
      <x:c r="F12" s="69" t="str"/>
      <x:c r="G12" s="69" t="str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70" t="str">
        <x:v>What Is Borrowed From the Reference — and What Is Not</x:v>
      </x:c>
      <x:c r="B15" s="70"/>
      <x:c r="C15" s="70"/>
      <x:c r="D15" s="70"/>
      <x:c r="E15" s="70"/>
      <x:c r="F15" s="70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72" t="str">
        <x:v>Use</x:v>
      </x:c>
      <x:c r="B16" s="69" t="str">
        <x:v>Opportunity hand</x:v>
      </x:c>
      <x:c r="C16" s="69" t="str">
        <x:v>A small rotating set of actions/builds creates meaningful choice without overwhelming the player.</x:v>
      </x:c>
      <x:c r="D16" s="69" t="str">
        <x:v>Persistent empire remains intact.</x:v>
      </x:c>
      <x:c r="E16" s="69" t="str"/>
      <x:c r="F16" s="69" t="str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72" t="str">
        <x:v>Use</x:v>
      </x:c>
      <x:c r="B17" s="69" t="str">
        <x:v>Drag/preview placement</x:v>
      </x:c>
      <x:c r="C17" s="69" t="str">
        <x:v>Before confirming a card, show projected performance on each valid hex.</x:v>
      </x:c>
      <x:c r="D17" s="69" t="str">
        <x:v>Directly connects to land attributes.</x:v>
      </x:c>
      <x:c r="E17" s="69" t="str"/>
      <x:c r="F17" s="69" t="str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72" t="str">
        <x:v>Use</x:v>
      </x:c>
      <x:c r="B18" s="69" t="str">
        <x:v>Day / cycle timeline</x:v>
      </x:c>
      <x:c r="C18" s="69" t="str">
        <x:v>Future events create anticipation and planning.</x:v>
      </x:c>
      <x:c r="D18" s="69" t="str">
        <x:v>Financial calendar replaces farming weather.</x:v>
      </x:c>
      <x:c r="E18" s="69" t="str"/>
      <x:c r="F18" s="69" t="str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72" t="str">
        <x:v>Use</x:v>
      </x:c>
      <x:c r="B19" s="69" t="str">
        <x:v>Deadline pressure</x:v>
      </x:c>
      <x:c r="C19" s="69" t="str">
        <x:v>A quarterly obligation gives Cash a strategic liquidity role.</x:v>
      </x:c>
      <x:c r="D19" s="69" t="str">
        <x:v>Avoid punitive early-game failure.</x:v>
      </x:c>
      <x:c r="E19" s="69" t="str"/>
      <x:c r="F19" s="69" t="str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72" t="str">
        <x:v>Use</x:v>
      </x:c>
      <x:c r="B20" s="69" t="str">
        <x:v>Keyword traits</x:v>
      </x:c>
      <x:c r="C20" s="69" t="str">
        <x:v>Short tags teach building behavior quickly.</x:v>
      </x:c>
      <x:c r="D20" s="69" t="str">
        <x:v>Finance-specific trait language.</x:v>
      </x:c>
      <x:c r="E20" s="69" t="str"/>
      <x:c r="F20" s="69" t="str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72" t="str">
        <x:v>Use</x:v>
      </x:c>
      <x:c r="B21" s="69" t="str">
        <x:v>Maturation</x:v>
      </x:c>
      <x:c r="C21" s="69" t="str">
        <x:v>Businesses ramp to full performance rather than instantly reaching 100%.</x:v>
      </x:c>
      <x:c r="D21" s="69" t="str">
        <x:v>Creates planning horizon.</x:v>
      </x:c>
      <x:c r="E21" s="69" t="str"/>
      <x:c r="F21" s="69" t="str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72" t="str">
        <x:v>Do not copy</x:v>
      </x:c>
      <x:c r="B22" s="69" t="str">
        <x:v>Roguelike impermanence</x:v>
      </x:c>
      <x:c r="C22" s="69" t="str">
        <x:v>Permanent businesses should not randomly vanish with each cycle.</x:v>
      </x:c>
      <x:c r="D22" s="69" t="str">
        <x:v>Temporary cards can expire; the empire should persist.</x:v>
      </x:c>
      <x:c r="E22" s="69" t="str"/>
      <x:c r="F22" s="69" t="str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mergeCells>
    <x:mergeCell ref="A1:J1"/>
    <x:mergeCell ref="D3:G3"/>
    <x:mergeCell ref="A15:F15"/>
  </x:mergeCells>
  <x:pageMargins left="0.7" right="0.7" top="0.75" bottom="0.75" header="0.3" footer="0.3"/>
  <x:drawing xmlns:r="http://schemas.openxmlformats.org/officeDocument/2006/relationships" r:id="Rc52e38f2ad5d49e6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34" hidden="0" customWidth="1"/>
    <x:col min="5" max="5" width="14" hidden="0" customWidth="1"/>
    <x:col min="6" max="6" width="26" hidden="0" customWidth="1"/>
    <x:col min="7" max="7" width="20" hidden="0" customWidth="1"/>
    <x:col min="8" max="8" width="42" hidden="0" customWidth="1"/>
  </x:cols>
  <x:sheetData>
    <x:row r="1">
      <x:c r="A1" s="84" t="str">
        <x:v>Phase</x:v>
      </x:c>
      <x:c r="B1" s="84" t="str">
        <x:v>Player Sees</x:v>
      </x:c>
      <x:c r="C1" s="84" t="str">
        <x:v>Player Can Do</x:v>
      </x:c>
      <x:c r="D1" s="84" t="str">
        <x:v>System Resolves</x:v>
      </x:c>
      <x:c r="E1" s="84" t="str">
        <x:v>Duration Target</x:v>
      </x:c>
      <x:c r="F1" s="84" t="str">
        <x:v>Decision Pressure</x:v>
      </x:c>
      <x:c r="G1" s="84" t="str">
        <x:v>Failure Risk</x:v>
      </x:c>
      <x:c r="H1" s="84" t="str">
        <x:v>Balance Rule</x:v>
      </x:c>
      <x:c r="I1" s="67"/>
      <x:c r="J1" s="67"/>
      <x:c r="K1" s="67"/>
      <x:c r="L1" s="67"/>
      <x:c r="M1" s="67"/>
      <x:c r="N1" s="67"/>
      <x:c r="O1" s="67"/>
      <x:c r="P1" s="67"/>
    </x:row>
    <x:row r="2">
      <x:c r="A2" s="69" t="str">
        <x:v>Morning Reveal</x:v>
      </x:c>
      <x:c r="B2" s="69" t="str">
        <x:v>Market condition, upcoming events, daily objectives, fresh opportunity cards</x:v>
      </x:c>
      <x:c r="C2" s="69" t="str">
        <x:v>Inspect board and plan</x:v>
      </x:c>
      <x:c r="D2" s="69" t="str">
        <x:v>Refresh opportunities and event modifiers</x:v>
      </x:c>
      <x:c r="E2" s="69" t="str">
        <x:v>30–60 sec</x:v>
      </x:c>
      <x:c r="F2" s="69" t="str">
        <x:v>What deserves today's Cash/action budget?</x:v>
      </x:c>
      <x:c r="G2" s="69" t="str">
        <x:v>None</x:v>
      </x:c>
      <x:c r="H2" s="69" t="str">
        <x:v>Never front-load punishment before player sees available options.</x:v>
      </x:c>
      <x:c r="I2" s="67"/>
      <x:c r="J2" s="67"/>
      <x:c r="K2" s="67"/>
      <x:c r="L2" s="67"/>
      <x:c r="M2" s="67"/>
      <x:c r="N2" s="67"/>
      <x:c r="O2" s="67"/>
      <x:c r="P2" s="67"/>
    </x:row>
    <x:row r="3">
      <x:c r="A3" s="69" t="str">
        <x:v>Action Window</x:v>
      </x:c>
      <x:c r="B3" s="69" t="str">
        <x:v>Opportunity hand + district</x:v>
      </x:c>
      <x:c r="C3" s="69" t="str">
        <x:v>Build, upgrade, buy land, campaign, finance, market action</x:v>
      </x:c>
      <x:c r="D3" s="69" t="str">
        <x:v>Reserve Cash and action charges</x:v>
      </x:c>
      <x:c r="E3" s="69" t="str">
        <x:v>3–8 min</x:v>
      </x:c>
      <x:c r="F3" s="69" t="str">
        <x:v>Choose between growth, liquidity and optimization</x:v>
      </x:c>
      <x:c r="G3" s="69" t="str">
        <x:v>Overspending</x:v>
      </x:c>
      <x:c r="H3" s="69" t="str">
        <x:v>Always preview settlement impact before confirming expensive actions.</x:v>
      </x:c>
      <x:c r="I3" s="67"/>
      <x:c r="J3" s="67"/>
      <x:c r="K3" s="67"/>
      <x:c r="L3" s="67"/>
      <x:c r="M3" s="67"/>
      <x:c r="N3" s="67"/>
      <x:c r="O3" s="67"/>
      <x:c r="P3" s="67"/>
    </x:row>
    <x:row r="4">
      <x:c r="A4" s="69" t="str">
        <x:v>Operation Window</x:v>
      </x:c>
      <x:c r="B4" s="69" t="str">
        <x:v>Projected daily business performance</x:v>
      </x:c>
      <x:c r="C4" s="69" t="str">
        <x:v>Optional limited reactive actions</x:v>
      </x:c>
      <x:c r="D4" s="69" t="str">
        <x:v>Customer acquisition, business throughput, temporary effects</x:v>
      </x:c>
      <x:c r="E4" s="69" t="str">
        <x:v>1–3 min active or idle</x:v>
      </x:c>
      <x:c r="F4" s="69" t="str">
        <x:v>React to event changes</x:v>
      </x:c>
      <x:c r="G4" s="69" t="str">
        <x:v>Low</x:v>
      </x:c>
      <x:c r="H4" s="69" t="str">
        <x:v>Do not require constant tapping for baseline output.</x:v>
      </x:c>
      <x:c r="I4" s="67"/>
      <x:c r="J4" s="67"/>
      <x:c r="K4" s="67"/>
      <x:c r="L4" s="67"/>
      <x:c r="M4" s="67"/>
      <x:c r="N4" s="67"/>
      <x:c r="O4" s="67"/>
      <x:c r="P4" s="67"/>
    </x:row>
    <x:row r="5">
      <x:c r="A5" s="69" t="str">
        <x:v>Close Day</x:v>
      </x:c>
      <x:c r="B5" s="69" t="str">
        <x:v>Settle Day button + forecast</x:v>
      </x:c>
      <x:c r="C5" s="69" t="str">
        <x:v>Confirm close</x:v>
      </x:c>
      <x:c r="D5" s="69" t="str">
        <x:v>Revenue, operating costs, customer shifts, XP, stock rewards</x:v>
      </x:c>
      <x:c r="E5" s="69" t="str">
        <x:v>15–30 sec</x:v>
      </x:c>
      <x:c r="F5" s="69" t="str">
        <x:v>Was today's strategy profitable?</x:v>
      </x:c>
      <x:c r="G5" s="69" t="str">
        <x:v>Liquidity shortfall</x:v>
      </x:c>
      <x:c r="H5" s="69" t="str">
        <x:v>Settlement screen must explain major gains/losses.</x:v>
      </x:c>
      <x:c r="I5" s="67"/>
      <x:c r="J5" s="67"/>
      <x:c r="K5" s="67"/>
      <x:c r="L5" s="67"/>
      <x:c r="M5" s="67"/>
      <x:c r="N5" s="67"/>
      <x:c r="O5" s="67"/>
      <x:c r="P5" s="67"/>
    </x:row>
    <x:row r="6">
      <x:c r="A6" s="69" t="str">
        <x:v>Night / Planning</x:v>
      </x:c>
      <x:c r="B6" s="69" t="str">
        <x:v>Tomorrow preview</x:v>
      </x:c>
      <x:c r="C6" s="69" t="str">
        <x:v>Reorder priorities, inspect needs</x:v>
      </x:c>
      <x:c r="D6" s="69" t="str">
        <x:v>Advance calendar</x:v>
      </x:c>
      <x:c r="E6" s="69" t="str">
        <x:v>30–60 sec</x:v>
      </x:c>
      <x:c r="F6" s="69" t="str">
        <x:v>Prepare for event/deadline</x:v>
      </x:c>
      <x:c r="G6" s="69" t="str">
        <x:v>None</x:v>
      </x:c>
      <x:c r="H6" s="69" t="str">
        <x:v>Show at least one future event so planning is possible.</x:v>
      </x:c>
      <x:c r="I6" s="67"/>
      <x:c r="J6" s="67"/>
      <x:c r="K6" s="67"/>
      <x:c r="L6" s="67"/>
      <x:c r="M6" s="67"/>
      <x:c r="N6" s="67"/>
      <x:c r="O6" s="67"/>
      <x:c r="P6" s="67"/>
    </x:row>
    <x:row r="7">
      <x:c r="A7" s="69"/>
      <x:c r="B7" s="69"/>
      <x:c r="C7" s="69"/>
      <x:c r="D7" s="69"/>
      <x:c r="E7" s="69"/>
      <x:c r="F7" s="69"/>
      <x:c r="G7" s="69"/>
      <x:c r="H7" s="69"/>
      <x:c r="I7" s="67"/>
      <x:c r="J7" s="67"/>
      <x:c r="K7" s="67"/>
      <x:c r="L7" s="67"/>
      <x:c r="M7" s="67"/>
      <x:c r="N7" s="67"/>
      <x:c r="O7" s="67"/>
      <x:c r="P7" s="67"/>
    </x:row>
    <x:row r="8">
      <x:c r="A8" s="69"/>
      <x:c r="B8" s="69"/>
      <x:c r="C8" s="69"/>
      <x:c r="D8" s="69"/>
      <x:c r="E8" s="69"/>
      <x:c r="F8" s="69"/>
      <x:c r="G8" s="69"/>
      <x:c r="H8" s="69"/>
      <x:c r="I8" s="67"/>
      <x:c r="J8" s="67"/>
      <x:c r="K8" s="67"/>
      <x:c r="L8" s="67"/>
      <x:c r="M8" s="67"/>
      <x:c r="N8" s="67"/>
      <x:c r="O8" s="67"/>
      <x:c r="P8" s="67"/>
    </x:row>
    <x:row r="9">
      <x:c r="A9" s="85" t="str">
        <x:v>Cycle</x:v>
      </x:c>
      <x:c r="B9" s="85" t="str">
        <x:v>Length</x:v>
      </x:c>
      <x:c r="C9" s="85" t="str">
        <x:v>Major Checkpoints</x:v>
      </x:c>
      <x:c r="D9" s="85" t="str">
        <x:v>Purpose</x:v>
      </x:c>
      <x:c r="E9" s="85" t="str">
        <x:v>Event Density</x:v>
      </x:c>
      <x:c r="F9" s="85" t="str">
        <x:v>Expected Player Sessions</x:v>
      </x:c>
      <x:c r="G9" s="85" t="str">
        <x:v>Obligation Timing</x:v>
      </x:c>
      <x:c r="H9" s="85" t="str">
        <x:v>Notes</x:v>
      </x:c>
      <x:c r="I9" s="67"/>
      <x:c r="J9" s="67"/>
      <x:c r="K9" s="67"/>
      <x:c r="L9" s="67"/>
      <x:c r="M9" s="67"/>
      <x:c r="N9" s="67"/>
      <x:c r="O9" s="67"/>
      <x:c r="P9" s="67"/>
    </x:row>
    <x:row r="10">
      <x:c r="A10" s="69" t="str">
        <x:v>Market Week</x:v>
      </x:c>
      <x:c r="B10" s="69" t="str">
        <x:v>7 days</x:v>
      </x:c>
      <x:c r="C10" s="69" t="str">
        <x:v>Day 1 reveal, midweek event, Day 7 wrap</x:v>
      </x:c>
      <x:c r="D10" s="69" t="str">
        <x:v>Short tactical arc</x:v>
      </x:c>
      <x:c r="E10" s="69" t="str">
        <x:v>2–4 notable events/week</x:v>
      </x:c>
      <x:c r="F10" s="69" t="str">
        <x:v>3–7 sessions</x:v>
      </x:c>
      <x:c r="G10" s="69" t="str">
        <x:v>No forced payment</x:v>
      </x:c>
      <x:c r="H10" s="69" t="str">
        <x:v>Good for stock/market rotation.</x:v>
      </x:c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9" t="str">
        <x:v>Financial Quarter</x:v>
      </x:c>
      <x:c r="B11" s="69" t="str">
        <x:v>28 days</x:v>
      </x:c>
      <x:c r="C11" s="69" t="str">
        <x:v>Weeks 1–4, quarter close</x:v>
      </x:c>
      <x:c r="D11" s="69" t="str">
        <x:v>Main strategic planning arc</x:v>
      </x:c>
      <x:c r="E11" s="69" t="str">
        <x:v>8–12 notable events/quarter</x:v>
      </x:c>
      <x:c r="F11" s="69" t="str">
        <x:v>12–24 sessions</x:v>
      </x:c>
      <x:c r="G11" s="69" t="str">
        <x:v>Day 28</x:v>
      </x:c>
      <x:c r="H11" s="69" t="str">
        <x:v>Primary obligation and performance review.</x:v>
      </x:c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9" t="str">
        <x:v>Empire Season</x:v>
      </x:c>
      <x:c r="B12" s="69" t="str">
        <x:v>3 quarters</x:v>
      </x:c>
      <x:c r="C12" s="69" t="str">
        <x:v>Quarter 1–3</x:v>
      </x:c>
      <x:c r="D12" s="69" t="str">
        <x:v>Long progression arc</x:v>
      </x:c>
      <x:c r="E12" s="69" t="str">
        <x:v>Escalating</x:v>
      </x:c>
      <x:c r="F12" s="69" t="str">
        <x:v>36–72 sessions</x:v>
      </x:c>
      <x:c r="G12" s="69" t="str">
        <x:v>Season-end bonus</x:v>
      </x:c>
      <x:c r="H12" s="69" t="str">
        <x:v>Optional leaderboard/seasonal structure, not required for MVP.</x:v>
      </x:c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44" hidden="0" customWidth="1"/>
  </x:cols>
  <x:sheetData>
    <x:row r="1">
      <x:c r="A1" s="84" t="str">
        <x:v>Empire Rank</x:v>
      </x:c>
      <x:c r="B1" s="84" t="str">
        <x:v>Hand Size</x:v>
      </x:c>
      <x:c r="C1" s="84" t="str">
        <x:v>Daily Draws</x:v>
      </x:c>
      <x:c r="D1" s="84" t="str">
        <x:v>Free Rerolls / Day</x:v>
      </x:c>
      <x:c r="E1" s="84" t="str">
        <x:v>Paid Reroll Cost</x:v>
      </x:c>
      <x:c r="F1" s="84" t="str">
        <x:v>Max Permanent Actions / Day</x:v>
      </x:c>
      <x:c r="G1" s="84" t="str">
        <x:v>Temporary / Utility Slots</x:v>
      </x:c>
      <x:c r="H1" s="84" t="str">
        <x:v>Guaranteed Build Card?</x:v>
      </x:c>
      <x:c r="I1" s="84" t="str">
        <x:v>Guaranteed Non-Build Card?</x:v>
      </x:c>
      <x:c r="J1" s="84" t="str">
        <x:v>Design Intent</x:v>
      </x:c>
      <x:c r="K1" s="67"/>
      <x:c r="L1" s="67"/>
      <x:c r="M1" s="67"/>
      <x:c r="N1" s="67"/>
      <x:c r="O1" s="67"/>
      <x:c r="P1" s="67"/>
    </x:row>
    <x:row r="2">
      <x:c r="A2" s="69" t="str">
        <x:v>Humble</x:v>
      </x:c>
      <x:c r="B2" s="90" t="n">
        <x:v>4</x:v>
      </x:c>
      <x:c r="C2" s="90" t="n">
        <x:v>4</x:v>
      </x:c>
      <x:c r="D2" s="90" t="n">
        <x:v>1</x:v>
      </x:c>
      <x:c r="E2" s="90" t="n">
        <x:v>50</x:v>
      </x:c>
      <x:c r="F2" s="90" t="n">
        <x:v>2</x:v>
      </x:c>
      <x:c r="G2" s="90" t="n">
        <x:v>1</x:v>
      </x:c>
      <x:c r="H2" s="90" t="str">
        <x:v>Yes</x:v>
      </x:c>
      <x:c r="I2" s="69" t="str">
        <x:v>Yes</x:v>
      </x:c>
      <x:c r="J2" s="69" t="str">
        <x:v>Teach choice without starving progression.</x:v>
      </x:c>
      <x:c r="K2" s="67"/>
      <x:c r="L2" s="67"/>
      <x:c r="M2" s="67"/>
      <x:c r="N2" s="67"/>
      <x:c r="O2" s="67"/>
      <x:c r="P2" s="67"/>
    </x:row>
    <x:row r="3">
      <x:c r="A3" s="69" t="str">
        <x:v>Starter</x:v>
      </x:c>
      <x:c r="B3" s="90" t="n">
        <x:v>5</x:v>
      </x:c>
      <x:c r="C3" s="90" t="n">
        <x:v>5</x:v>
      </x:c>
      <x:c r="D3" s="90" t="n">
        <x:v>1</x:v>
      </x:c>
      <x:c r="E3" s="90" t="n">
        <x:v>150</x:v>
      </x:c>
      <x:c r="F3" s="90" t="n">
        <x:v>2</x:v>
      </x:c>
      <x:c r="G3" s="90" t="n">
        <x:v>2</x:v>
      </x:c>
      <x:c r="H3" s="90" t="str">
        <x:v>Yes</x:v>
      </x:c>
      <x:c r="I3" s="69" t="str">
        <x:v>Yes</x:v>
      </x:c>
      <x:c r="J3" s="69" t="str">
        <x:v>Begin mixing builds, upgrades and expansion.</x:v>
      </x:c>
      <x:c r="K3" s="67"/>
      <x:c r="L3" s="67"/>
      <x:c r="M3" s="67"/>
      <x:c r="N3" s="67"/>
      <x:c r="O3" s="67"/>
      <x:c r="P3" s="67"/>
    </x:row>
    <x:row r="4">
      <x:c r="A4" s="69" t="str">
        <x:v>Growing</x:v>
      </x:c>
      <x:c r="B4" s="90" t="n">
        <x:v>5</x:v>
      </x:c>
      <x:c r="C4" s="90" t="n">
        <x:v>6</x:v>
      </x:c>
      <x:c r="D4" s="90" t="n">
        <x:v>1</x:v>
      </x:c>
      <x:c r="E4" s="90" t="n">
        <x:v>500</x:v>
      </x:c>
      <x:c r="F4" s="90" t="n">
        <x:v>3</x:v>
      </x:c>
      <x:c r="G4" s="90" t="n">
        <x:v>2</x:v>
      </x:c>
      <x:c r="H4" s="90" t="str">
        <x:v>Yes</x:v>
      </x:c>
      <x:c r="I4" s="69" t="str">
        <x:v>Yes</x:v>
      </x:c>
      <x:c r="J4" s="69" t="str">
        <x:v>More strategic variety while land expands quickly.</x:v>
      </x:c>
      <x:c r="K4" s="67"/>
      <x:c r="L4" s="67"/>
      <x:c r="M4" s="67"/>
      <x:c r="N4" s="67"/>
      <x:c r="O4" s="67"/>
      <x:c r="P4" s="67"/>
    </x:row>
    <x:row r="5">
      <x:c r="A5" s="69" t="str">
        <x:v>Established</x:v>
      </x:c>
      <x:c r="B5" s="90" t="n">
        <x:v>6</x:v>
      </x:c>
      <x:c r="C5" s="90" t="n">
        <x:v>7</x:v>
      </x:c>
      <x:c r="D5" s="90" t="n">
        <x:v>2</x:v>
      </x:c>
      <x:c r="E5" s="90" t="n">
        <x:v>2000</x:v>
      </x:c>
      <x:c r="F5" s="90" t="n">
        <x:v>3</x:v>
      </x:c>
      <x:c r="G5" s="90" t="n">
        <x:v>3</x:v>
      </x:c>
      <x:c r="H5" s="90" t="str">
        <x:v>No</x:v>
      </x:c>
      <x:c r="I5" s="69" t="str">
        <x:v>Yes</x:v>
      </x:c>
      <x:c r="J5" s="69" t="str">
        <x:v>Player has enough unlocked businesses that guaranteed build is no longer essential.</x:v>
      </x:c>
      <x:c r="K5" s="67"/>
      <x:c r="L5" s="67"/>
      <x:c r="M5" s="67"/>
      <x:c r="N5" s="67"/>
      <x:c r="O5" s="67"/>
      <x:c r="P5" s="67"/>
    </x:row>
    <x:row r="6">
      <x:c r="A6" s="69" t="str">
        <x:v>Elite</x:v>
      </x:c>
      <x:c r="B6" s="90" t="n">
        <x:v>6</x:v>
      </x:c>
      <x:c r="C6" s="90" t="n">
        <x:v>8</x:v>
      </x:c>
      <x:c r="D6" s="90" t="n">
        <x:v>2</x:v>
      </x:c>
      <x:c r="E6" s="90" t="n">
        <x:v>7500</x:v>
      </x:c>
      <x:c r="F6" s="90" t="n">
        <x:v>4</x:v>
      </x:c>
      <x:c r="G6" s="90" t="n">
        <x:v>3</x:v>
      </x:c>
      <x:c r="H6" s="90" t="str">
        <x:v>No</x:v>
      </x:c>
      <x:c r="I6" s="69" t="str">
        <x:v>Yes</x:v>
      </x:c>
      <x:c r="J6" s="69" t="str">
        <x:v>Increase premium actions and optimization tools.</x:v>
      </x:c>
      <x:c r="K6" s="67"/>
      <x:c r="L6" s="67"/>
      <x:c r="M6" s="67"/>
      <x:c r="N6" s="67"/>
      <x:c r="O6" s="67"/>
      <x:c r="P6" s="67"/>
    </x:row>
    <x:row r="7">
      <x:c r="A7" s="69" t="str">
        <x:v>Tycoon</x:v>
      </x:c>
      <x:c r="B7" s="90" t="n">
        <x:v>7</x:v>
      </x:c>
      <x:c r="C7" s="90" t="n">
        <x:v>9</x:v>
      </x:c>
      <x:c r="D7" s="90" t="n">
        <x:v>2</x:v>
      </x:c>
      <x:c r="E7" s="90" t="n">
        <x:v>25000</x:v>
      </x:c>
      <x:c r="F7" s="90" t="n">
        <x:v>4</x:v>
      </x:c>
      <x:c r="G7" s="90" t="n">
        <x:v>4</x:v>
      </x:c>
      <x:c r="H7" s="90" t="str">
        <x:v>No</x:v>
      </x:c>
      <x:c r="I7" s="69" t="str">
        <x:v>Yes</x:v>
      </x:c>
      <x:c r="J7" s="69" t="str">
        <x:v>Endgame hand supports broad strategic play.</x:v>
      </x:c>
      <x:c r="K7" s="67"/>
      <x:c r="L7" s="67"/>
      <x:c r="M7" s="67"/>
      <x:c r="N7" s="67"/>
      <x:c r="O7" s="67"/>
      <x:c r="P7" s="67"/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7"/>
      <x:c r="L8" s="67"/>
      <x:c r="M8" s="67"/>
      <x:c r="N8" s="67"/>
      <x:c r="O8" s="67"/>
      <x:c r="P8" s="67"/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7"/>
      <x:c r="L9" s="67"/>
      <x:c r="M9" s="67"/>
      <x:c r="N9" s="67"/>
      <x:c r="O9" s="67"/>
      <x:c r="P9" s="67"/>
    </x:row>
    <x:row r="10">
      <x:c r="A10" s="85" t="str">
        <x:v>Card Type</x:v>
      </x:c>
      <x:c r="B10" s="85" t="str">
        <x:v>Base Draw Weight</x:v>
      </x:c>
      <x:c r="C10" s="85" t="str">
        <x:v>Minimum Rank</x:v>
      </x:c>
      <x:c r="D10" s="85" t="str">
        <x:v>Purpose</x:v>
      </x:c>
      <x:c r="E10" s="85" t="str">
        <x:v>Permanent?</x:v>
      </x:c>
      <x:c r="F10" s="85" t="str">
        <x:v>Typical Cost</x:v>
      </x:c>
      <x:c r="G10" s="85" t="str">
        <x:v>Typical Action Charge</x:v>
      </x:c>
      <x:c r="H10" s="85" t="str">
        <x:v>Expiry</x:v>
      </x:c>
      <x:c r="I10" s="85" t="str">
        <x:v>Duplicate Rule</x:v>
      </x:c>
      <x:c r="J10" s="85" t="str">
        <x:v>Balance Rule</x:v>
      </x:c>
      <x:c r="K10" s="67"/>
      <x:c r="L10" s="67"/>
      <x:c r="M10" s="67"/>
      <x:c r="N10" s="67"/>
      <x:c r="O10" s="67"/>
      <x:c r="P10" s="67"/>
    </x:row>
    <x:row r="11">
      <x:c r="A11" s="69" t="str">
        <x:v>Build Opportunity</x:v>
      </x:c>
      <x:c r="B11" s="69" t="n">
        <x:v>32</x:v>
      </x:c>
      <x:c r="C11" s="69" t="str">
        <x:v>Humble</x:v>
      </x:c>
      <x:c r="D11" s="69" t="str">
        <x:v>Construct an unlocked business</x:v>
      </x:c>
      <x:c r="E11" s="69" t="str">
        <x:v>Yes</x:v>
      </x:c>
      <x:c r="F11" s="69" t="str">
        <x:v>Building cost</x:v>
      </x:c>
      <x:c r="G11" s="69" t="n">
        <x:v>1</x:v>
      </x:c>
      <x:c r="H11" s="69" t="str">
        <x:v>End of day if unplayed</x:v>
      </x:c>
      <x:c r="I11" s="69" t="str">
        <x:v>Max 2 copies</x:v>
      </x:c>
      <x:c r="J11" s="69" t="str">
        <x:v>At least one build card guaranteed in Humble–Growing.</x:v>
      </x:c>
      <x:c r="K11" s="67"/>
      <x:c r="L11" s="67"/>
      <x:c r="M11" s="67"/>
      <x:c r="N11" s="67"/>
      <x:c r="O11" s="67"/>
      <x:c r="P11" s="67"/>
    </x:row>
    <x:row r="12">
      <x:c r="A12" s="69" t="str">
        <x:v>Upgrade Opportunity</x:v>
      </x:c>
      <x:c r="B12" s="69" t="n">
        <x:v>20</x:v>
      </x:c>
      <x:c r="C12" s="69" t="str">
        <x:v>Humble</x:v>
      </x:c>
      <x:c r="D12" s="69" t="str">
        <x:v>Upgrade an existing business</x:v>
      </x:c>
      <x:c r="E12" s="69" t="str">
        <x:v>Yes</x:v>
      </x:c>
      <x:c r="F12" s="69" t="str">
        <x:v>Upgrade cost</x:v>
      </x:c>
      <x:c r="G12" s="69" t="n">
        <x:v>1</x:v>
      </x:c>
      <x:c r="H12" s="69" t="str">
        <x:v>End of day</x:v>
      </x:c>
      <x:c r="I12" s="69" t="str">
        <x:v>Max 2 copies</x:v>
      </x:c>
      <x:c r="J12" s="69" t="str">
        <x:v>Only draw if valid upgrade target exists.</x:v>
      </x:c>
      <x:c r="K12" s="67"/>
      <x:c r="L12" s="67"/>
      <x:c r="M12" s="67"/>
      <x:c r="N12" s="67"/>
      <x:c r="O12" s="67"/>
      <x:c r="P12" s="67"/>
    </x:row>
    <x:row r="13">
      <x:c r="A13" s="69" t="str">
        <x:v>Land / Expansion Permit</x:v>
      </x:c>
      <x:c r="B13" s="69" t="n">
        <x:v>12</x:v>
      </x:c>
      <x:c r="C13" s="69" t="str">
        <x:v>Humble</x:v>
      </x:c>
      <x:c r="D13" s="69" t="str">
        <x:v>Acquire an eligible adjacent hex</x:v>
      </x:c>
      <x:c r="E13" s="69" t="str">
        <x:v>Yes</x:v>
      </x:c>
      <x:c r="F13" s="69" t="str">
        <x:v>Land cost</x:v>
      </x:c>
      <x:c r="G13" s="69" t="n">
        <x:v>1</x:v>
      </x:c>
      <x:c r="H13" s="69" t="str">
        <x:v>2 days</x:v>
      </x:c>
      <x:c r="I13" s="69" t="str">
        <x:v>Max 1</x:v>
      </x:c>
      <x:c r="J13" s="69" t="str">
        <x:v>Do not draw if player is at level capacity.</x:v>
      </x:c>
      <x:c r="K13" s="67"/>
      <x:c r="L13" s="67"/>
      <x:c r="M13" s="67"/>
      <x:c r="N13" s="67"/>
      <x:c r="O13" s="67"/>
      <x:c r="P13" s="67"/>
    </x:row>
    <x:row r="14">
      <x:c r="A14" s="69" t="str">
        <x:v>Marketing / Customer Campaign</x:v>
      </x:c>
      <x:c r="B14" s="69" t="n">
        <x:v>10</x:v>
      </x:c>
      <x:c r="C14" s="69" t="str">
        <x:v>Starter</x:v>
      </x:c>
      <x:c r="D14" s="69" t="str">
        <x:v>Boost acquisition or segment mix</x:v>
      </x:c>
      <x:c r="E14" s="69" t="str">
        <x:v>Temporary</x:v>
      </x:c>
      <x:c r="F14" s="69" t="str">
        <x:v>Cash fee</x:v>
      </x:c>
      <x:c r="G14" s="69" t="n">
        <x:v>1</x:v>
      </x:c>
      <x:c r="H14" s="69" t="str">
        <x:v>End of day</x:v>
      </x:c>
      <x:c r="I14" s="69" t="str">
        <x:v>Max 1</x:v>
      </x:c>
      <x:c r="J14" s="69" t="str">
        <x:v>Targeted, not universal stacking.</x:v>
      </x:c>
      <x:c r="K14" s="67"/>
      <x:c r="L14" s="67"/>
      <x:c r="M14" s="67"/>
      <x:c r="N14" s="67"/>
      <x:c r="O14" s="67"/>
      <x:c r="P14" s="67"/>
    </x:row>
    <x:row r="15">
      <x:c r="A15" s="69" t="str">
        <x:v>Financing / Liquidity</x:v>
      </x:c>
      <x:c r="B15" s="69" t="n">
        <x:v>8</x:v>
      </x:c>
      <x:c r="C15" s="69" t="str">
        <x:v>Starter</x:v>
      </x:c>
      <x:c r="D15" s="69" t="str">
        <x:v>Trade future cost for present Cash</x:v>
      </x:c>
      <x:c r="E15" s="69" t="str">
        <x:v>Temporary</x:v>
      </x:c>
      <x:c r="F15" s="69" t="str">
        <x:v>Fee / repayment</x:v>
      </x:c>
      <x:c r="G15" s="69" t="n">
        <x:v>1</x:v>
      </x:c>
      <x:c r="H15" s="69" t="str">
        <x:v>1–3 days</x:v>
      </x:c>
      <x:c r="I15" s="69" t="str">
        <x:v>Max 1</x:v>
      </x:c>
      <x:c r="J15" s="69" t="str">
        <x:v>Must always show total repayment.</x:v>
      </x:c>
      <x:c r="K15" s="67"/>
      <x:c r="L15" s="67"/>
      <x:c r="M15" s="67"/>
      <x:c r="N15" s="67"/>
      <x:c r="O15" s="67"/>
      <x:c r="P15" s="67"/>
    </x:row>
    <x:row r="16">
      <x:c r="A16" s="69" t="str">
        <x:v>Market Action</x:v>
      </x:c>
      <x:c r="B16" s="69" t="n">
        <x:v>8</x:v>
      </x:c>
      <x:c r="C16" s="69" t="str">
        <x:v>Starter</x:v>
      </x:c>
      <x:c r="D16" s="69" t="str">
        <x:v>Interact with current market condition</x:v>
      </x:c>
      <x:c r="E16" s="69" t="str">
        <x:v>Temporary</x:v>
      </x:c>
      <x:c r="F16" s="69" t="str">
        <x:v>Varies</x:v>
      </x:c>
      <x:c r="G16" s="69" t="n">
        <x:v>1</x:v>
      </x:c>
      <x:c r="H16" s="69" t="str">
        <x:v>End of day</x:v>
      </x:c>
      <x:c r="I16" s="69" t="str">
        <x:v>Max 1</x:v>
      </x:c>
      <x:c r="J16" s="69" t="str">
        <x:v>Should reward timing, not random jackpot dependence.</x:v>
      </x:c>
      <x:c r="K16" s="67"/>
      <x:c r="L16" s="67"/>
      <x:c r="M16" s="67"/>
      <x:c r="N16" s="67"/>
      <x:c r="O16" s="67"/>
      <x:c r="P16" s="67"/>
    </x:row>
    <x:row r="17">
      <x:c r="A17" s="69" t="str">
        <x:v>Infrastructure</x:v>
      </x:c>
      <x:c r="B17" s="69" t="n">
        <x:v>5</x:v>
      </x:c>
      <x:c r="C17" s="69" t="str">
        <x:v>Growing</x:v>
      </x:c>
      <x:c r="D17" s="69" t="str">
        <x:v>Improve land attribute or district support</x:v>
      </x:c>
      <x:c r="E17" s="69" t="str">
        <x:v>Semi-permanent</x:v>
      </x:c>
      <x:c r="F17" s="69" t="str">
        <x:v>High Cash cost</x:v>
      </x:c>
      <x:c r="G17" s="69" t="n">
        <x:v>1</x:v>
      </x:c>
      <x:c r="H17" s="69" t="str">
        <x:v>3 days</x:v>
      </x:c>
      <x:c r="I17" s="69" t="str">
        <x:v>Max 1</x:v>
      </x:c>
      <x:c r="J17" s="69" t="str">
        <x:v>Cannot permanently erase land identity.</x:v>
      </x:c>
      <x:c r="K17" s="67"/>
      <x:c r="L17" s="67"/>
      <x:c r="M17" s="67"/>
      <x:c r="N17" s="67"/>
      <x:c r="O17" s="67"/>
      <x:c r="P17" s="67"/>
    </x:row>
    <x:row r="18">
      <x:c r="A18" s="69" t="str">
        <x:v>Special / Rare</x:v>
      </x:c>
      <x:c r="B18" s="69" t="n">
        <x:v>5</x:v>
      </x:c>
      <x:c r="C18" s="69" t="str">
        <x:v>Growing</x:v>
      </x:c>
      <x:c r="D18" s="69" t="str">
        <x:v>Unusual one-off strategic action</x:v>
      </x:c>
      <x:c r="E18" s="69" t="str">
        <x:v>Varies</x:v>
      </x:c>
      <x:c r="F18" s="69" t="str">
        <x:v>Varies</x:v>
      </x:c>
      <x:c r="G18" s="69" t="n">
        <x:v>1</x:v>
      </x:c>
      <x:c r="H18" s="69" t="str">
        <x:v>End of quarter</x:v>
      </x:c>
      <x:c r="I18" s="69" t="str">
        <x:v>Max 1</x:v>
      </x:c>
      <x:c r="J18" s="69" t="str">
        <x:v>Rare cards should widen strategy, not become mandatory.</x:v>
      </x:c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28" hidden="0" customWidth="1"/>
    <x:col min="8" max="8" width="44" hidden="0" customWidth="1"/>
  </x:cols>
  <x:sheetData>
    <x:row r="1">
      <x:c r="A1" s="84" t="str">
        <x:v>Rarity</x:v>
      </x:c>
      <x:c r="B1" s="84" t="str">
        <x:v>Approx Draw Share</x:v>
      </x:c>
      <x:c r="C1" s="84" t="str">
        <x:v>Cost Modifier</x:v>
      </x:c>
      <x:c r="D1" s="84" t="str">
        <x:v>Effect Modifier</x:v>
      </x:c>
      <x:c r="E1" s="84" t="str">
        <x:v>Expiry Tendency</x:v>
      </x:c>
      <x:c r="F1" s="84" t="str">
        <x:v>Typical Availability</x:v>
      </x:c>
      <x:c r="G1" s="84" t="str">
        <x:v>Primary Use</x:v>
      </x:c>
      <x:c r="H1" s="84" t="str">
        <x:v>Balance Guardrail</x:v>
      </x:c>
      <x:c r="I1" s="67"/>
      <x:c r="J1" s="67"/>
      <x:c r="K1" s="67"/>
      <x:c r="L1" s="67"/>
      <x:c r="M1" s="67"/>
      <x:c r="N1" s="67"/>
      <x:c r="O1" s="67"/>
      <x:c r="P1" s="67"/>
    </x:row>
    <x:row r="2">
      <x:c r="A2" s="67" t="str">
        <x:v>Common</x:v>
      </x:c>
      <x:c r="B2" s="98" t="n">
        <x:v>0.55</x:v>
      </x:c>
      <x:c r="C2" s="99" t="n">
        <x:v>1</x:v>
      </x:c>
      <x:c r="D2" s="99" t="n">
        <x:v>1</x:v>
      </x:c>
      <x:c r="E2" s="67" t="str">
        <x:v>Same day</x:v>
      </x:c>
      <x:c r="F2" s="67" t="str">
        <x:v>All ranks</x:v>
      </x:c>
      <x:c r="G2" s="67" t="str">
        <x:v>Routine build/upgrade/utility</x:v>
      </x:c>
      <x:c r="H2" s="67" t="str">
        <x:v>Should remain useful at all ranks.</x:v>
      </x:c>
      <x:c r="I2" s="67"/>
      <x:c r="J2" s="67"/>
      <x:c r="K2" s="67"/>
      <x:c r="L2" s="67"/>
      <x:c r="M2" s="67"/>
      <x:c r="N2" s="67"/>
      <x:c r="O2" s="67"/>
      <x:c r="P2" s="67"/>
    </x:row>
    <x:row r="3">
      <x:c r="A3" s="67" t="str">
        <x:v>Uncommon</x:v>
      </x:c>
      <x:c r="B3" s="98" t="n">
        <x:v>0.25</x:v>
      </x:c>
      <x:c r="C3" s="99" t="n">
        <x:v>1.1</x:v>
      </x:c>
      <x:c r="D3" s="99" t="n">
        <x:v>1.12</x:v>
      </x:c>
      <x:c r="E3" s="67" t="str">
        <x:v>1–2 days</x:v>
      </x:c>
      <x:c r="F3" s="67" t="str">
        <x:v>Starter+</x:v>
      </x:c>
      <x:c r="G3" s="67" t="str">
        <x:v>Better targeting / improved economics</x:v>
      </x:c>
      <x:c r="H3" s="67" t="str">
        <x:v>Cannot make Common cards obsolete.</x:v>
      </x:c>
      <x:c r="I3" s="67"/>
      <x:c r="J3" s="67"/>
      <x:c r="K3" s="67"/>
      <x:c r="L3" s="67"/>
      <x:c r="M3" s="67"/>
      <x:c r="N3" s="67"/>
      <x:c r="O3" s="67"/>
      <x:c r="P3" s="67"/>
    </x:row>
    <x:row r="4">
      <x:c r="A4" s="67" t="str">
        <x:v>Rare</x:v>
      </x:c>
      <x:c r="B4" s="98" t="n">
        <x:v>0.12</x:v>
      </x:c>
      <x:c r="C4" s="99" t="n">
        <x:v>1.25</x:v>
      </x:c>
      <x:c r="D4" s="99" t="n">
        <x:v>1.3</x:v>
      </x:c>
      <x:c r="E4" s="67" t="str">
        <x:v>2–3 days</x:v>
      </x:c>
      <x:c r="F4" s="67" t="str">
        <x:v>Growing+</x:v>
      </x:c>
      <x:c r="G4" s="67" t="str">
        <x:v>Strong timing or synergy</x:v>
      </x:c>
      <x:c r="H4" s="67" t="str">
        <x:v>No guaranteed positive ROI.</x:v>
      </x:c>
      <x:c r="I4" s="67"/>
      <x:c r="J4" s="67"/>
      <x:c r="K4" s="67"/>
      <x:c r="L4" s="67"/>
      <x:c r="M4" s="67"/>
      <x:c r="N4" s="67"/>
      <x:c r="O4" s="67"/>
      <x:c r="P4" s="67"/>
    </x:row>
    <x:row r="5">
      <x:c r="A5" s="67" t="str">
        <x:v>Epic</x:v>
      </x:c>
      <x:c r="B5" s="98" t="n">
        <x:v>0.06</x:v>
      </x:c>
      <x:c r="C5" s="99" t="n">
        <x:v>1.45</x:v>
      </x:c>
      <x:c r="D5" s="99" t="n">
        <x:v>1.55</x:v>
      </x:c>
      <x:c r="E5" s="67" t="str">
        <x:v>Quarter</x:v>
      </x:c>
      <x:c r="F5" s="67" t="str">
        <x:v>Established+</x:v>
      </x:c>
      <x:c r="G5" s="67" t="str">
        <x:v>High-impact strategic move</x:v>
      </x:c>
      <x:c r="H5" s="67" t="str">
        <x:v>Limit stacking and repeated use.</x:v>
      </x:c>
      <x:c r="I5" s="67"/>
      <x:c r="J5" s="67"/>
      <x:c r="K5" s="67"/>
      <x:c r="L5" s="67"/>
      <x:c r="M5" s="67"/>
      <x:c r="N5" s="67"/>
      <x:c r="O5" s="67"/>
      <x:c r="P5" s="67"/>
    </x:row>
    <x:row r="6">
      <x:c r="A6" s="67" t="str">
        <x:v>Legendary</x:v>
      </x:c>
      <x:c r="B6" s="98" t="n">
        <x:v>0.02</x:v>
      </x:c>
      <x:c r="C6" s="99" t="n">
        <x:v>1.75</x:v>
      </x:c>
      <x:c r="D6" s="99" t="n">
        <x:v>1.9</x:v>
      </x:c>
      <x:c r="E6" s="67" t="str">
        <x:v>Quarter</x:v>
      </x:c>
      <x:c r="F6" s="67" t="str">
        <x:v>Elite+</x:v>
      </x:c>
      <x:c r="G6" s="67" t="str">
        <x:v>Transformative but situational</x:v>
      </x:c>
      <x:c r="H6" s="67" t="str">
        <x:v>Must not bypass rank/land requirements.</x:v>
      </x:c>
      <x:c r="I6" s="67"/>
      <x:c r="J6" s="67"/>
      <x:c r="K6" s="67"/>
      <x:c r="L6" s="67"/>
      <x:c r="M6" s="67"/>
      <x:c r="N6" s="67"/>
      <x:c r="O6" s="67"/>
      <x:c r="P6" s="67"/>
    </x:row>
    <x:row r="7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</x:row>
    <x:row r="9">
      <x:c r="A9" s="70" t="str">
        <x:v>Reroll Mechanic</x:v>
      </x:c>
      <x:c r="B9" s="70" t="str">
        <x:v>Humble</x:v>
      </x:c>
      <x:c r="C9" s="70" t="str">
        <x:v>Starter</x:v>
      </x:c>
      <x:c r="D9" s="70" t="str">
        <x:v>Growing</x:v>
      </x:c>
      <x:c r="E9" s="70" t="str">
        <x:v>Established</x:v>
      </x:c>
      <x:c r="F9" s="70" t="str">
        <x:v>Elite</x:v>
      </x:c>
      <x:c r="G9" s="70" t="str">
        <x:v>Tycoon</x:v>
      </x:c>
      <x:c r="H9" s="70" t="str">
        <x:v>Rule</x:v>
      </x:c>
      <x:c r="I9" s="67"/>
      <x:c r="J9" s="67"/>
      <x:c r="K9" s="67"/>
      <x:c r="L9" s="67"/>
      <x:c r="M9" s="67"/>
      <x:c r="N9" s="67"/>
      <x:c r="O9" s="67"/>
      <x:c r="P9" s="67"/>
    </x:row>
    <x:row r="10">
      <x:c r="A10" s="67" t="str">
        <x:v>Free rerolls/day</x:v>
      </x:c>
      <x:c r="B10" s="100" t="n">
        <x:v>1</x:v>
      </x:c>
      <x:c r="C10" s="100" t="n">
        <x:v>1</x:v>
      </x:c>
      <x:c r="D10" s="100" t="n">
        <x:v>1</x:v>
      </x:c>
      <x:c r="E10" s="100" t="n">
        <x:v>2</x:v>
      </x:c>
      <x:c r="F10" s="100" t="n">
        <x:v>2</x:v>
      </x:c>
      <x:c r="G10" s="100" t="n">
        <x:v>2</x:v>
      </x:c>
      <x:c r="H10" s="67" t="str">
        <x:v>Unused free rerolls do not carry over.</x:v>
      </x:c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7" t="str">
        <x:v>Paid reroll 1</x:v>
      </x:c>
      <x:c r="B11" s="100" t="n">
        <x:v>50</x:v>
      </x:c>
      <x:c r="C11" s="100" t="n">
        <x:v>150</x:v>
      </x:c>
      <x:c r="D11" s="100" t="n">
        <x:v>500</x:v>
      </x:c>
      <x:c r="E11" s="100" t="n">
        <x:v>2000</x:v>
      </x:c>
      <x:c r="F11" s="100" t="n">
        <x:v>7500</x:v>
      </x:c>
      <x:c r="G11" s="100" t="n">
        <x:v>25000</x:v>
      </x:c>
      <x:c r="H11" s="67" t="str">
        <x:v>Cash sink scales by rank.</x:v>
      </x:c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 t="str">
        <x:v>Paid reroll 2</x:v>
      </x:c>
      <x:c r="B12" s="100" t="n">
        <x:v>100</x:v>
      </x:c>
      <x:c r="C12" s="100" t="n">
        <x:v>300</x:v>
      </x:c>
      <x:c r="D12" s="100" t="n">
        <x:v>1000</x:v>
      </x:c>
      <x:c r="E12" s="100" t="n">
        <x:v>4000</x:v>
      </x:c>
      <x:c r="F12" s="100" t="n">
        <x:v>15000</x:v>
      </x:c>
      <x:c r="G12" s="100" t="n">
        <x:v>50000</x:v>
      </x:c>
      <x:c r="H12" s="67" t="str">
        <x:v>Second reroll doubles first cost.</x:v>
      </x:c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 t="str">
        <x:v>Paid reroll 3+</x:v>
      </x:c>
      <x:c r="B13" s="100" t="n">
        <x:v>200</x:v>
      </x:c>
      <x:c r="C13" s="100" t="n">
        <x:v>600</x:v>
      </x:c>
      <x:c r="D13" s="100" t="n">
        <x:v>2000</x:v>
      </x:c>
      <x:c r="E13" s="100" t="n">
        <x:v>8000</x:v>
      </x:c>
      <x:c r="F13" s="100" t="n">
        <x:v>30000</x:v>
      </x:c>
      <x:c r="G13" s="100" t="n">
        <x:v>100000</x:v>
      </x:c>
      <x:c r="H13" s="67" t="str">
        <x:v>Further rerolls continue doubling; no premium currency requirement in MVP.</x:v>
      </x:c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20" hidden="0" customWidth="1"/>
    <x:col min="13" max="13" width="20" hidden="0" customWidth="1"/>
    <x:col min="14" max="14" width="20" hidden="0" customWidth="1"/>
    <x:col min="15" max="15" width="42" hidden="0" customWidth="1"/>
    <x:col min="16" max="16" width="42" hidden="0" customWidth="1"/>
  </x:cols>
  <x:sheetData>
    <x:row r="1">
      <x:c r="A1" s="84" t="str">
        <x:v>Building #</x:v>
      </x:c>
      <x:c r="B1" s="84" t="str">
        <x:v>Building</x:v>
      </x:c>
      <x:c r="C1" s="84" t="str">
        <x:v>Category</x:v>
      </x:c>
      <x:c r="D1" s="84" t="str">
        <x:v>Rank Band</x:v>
      </x:c>
      <x:c r="E1" s="84" t="str">
        <x:v>Base Build Cost</x:v>
      </x:c>
      <x:c r="F1" s="84" t="str">
        <x:v>Base Net / Day at Maturity</x:v>
      </x:c>
      <x:c r="G1" s="84" t="str">
        <x:v>Maturation Days</x:v>
      </x:c>
      <x:c r="H1" s="84" t="str">
        <x:v>Opening Output %</x:v>
      </x:c>
      <x:c r="I1" s="84" t="str">
        <x:v>Mid-Maturation %</x:v>
      </x:c>
      <x:c r="J1" s="84" t="str">
        <x:v>Mature Output %</x:v>
      </x:c>
      <x:c r="K1" s="84" t="str">
        <x:v>Opportunity Weight</x:v>
      </x:c>
      <x:c r="L1" s="84" t="str">
        <x:v>Preferred Trait 1</x:v>
      </x:c>
      <x:c r="M1" s="84" t="str">
        <x:v>Preferred Trait 2</x:v>
      </x:c>
      <x:c r="N1" s="84" t="str">
        <x:v>Preferred Trait 3</x:v>
      </x:c>
      <x:c r="O1" s="84" t="str">
        <x:v>Card Summary Format</x:v>
      </x:c>
      <x:c r="P1" s="84" t="str">
        <x:v>Balance Note</x:v>
      </x:c>
    </x:row>
    <x:row r="2">
      <x:c r="A2" s="69" t="n">
        <x:v>1</x:v>
      </x:c>
      <x:c r="B2" s="69" t="str">
        <x:v>Cash Kiosk</x:v>
      </x:c>
      <x:c r="C2" s="69" t="str">
        <x:v>Retail Finance</x:v>
      </x:c>
      <x:c r="D2" s="69" t="str">
        <x:v>Humble</x:v>
      </x:c>
      <x:c r="E2" s="90" t="n">
        <x:v>250</x:v>
      </x:c>
      <x:c r="F2" s="90" t="n">
        <x:v>25</x:v>
      </x:c>
      <x:c r="G2" s="69" t="n">
        <x:v>1</x:v>
      </x:c>
      <x:c r="H2" s="106" t="n">
        <x:v>0.55</x:v>
      </x:c>
      <x:c r="I2" s="106" t="n">
        <x:v>0.8</x:v>
      </x:c>
      <x:c r="J2" s="106" t="n">
        <x:v>1</x:v>
      </x:c>
      <x:c r="K2" s="69" t="n">
        <x:v>35</x:v>
      </x:c>
      <x:c r="L2" s="69" t="str">
        <x:v>Customer Facing</x:v>
      </x:c>
      <x:c r="M2" s="69" t="str">
        <x:v>Accessible</x:v>
      </x:c>
      <x:c r="N2" s="69" t="str">
        <x:v>Local</x:v>
      </x:c>
      <x:c r="O2" s="69" t="str">
        <x:v>Cash Kiosk: Cost / mature net / maturation / traits / land fit preview.</x:v>
      </x:c>
      <x:c r="P2" s="69" t="str">
        <x:v>Base card; placement and market modifiers apply separately.</x:v>
      </x:c>
    </x:row>
    <x:row r="3">
      <x:c r="A3" s="69" t="n">
        <x:v>2</x:v>
      </x:c>
      <x:c r="B3" s="69" t="str">
        <x:v>Trading Booth</x:v>
      </x:c>
      <x:c r="C3" s="69" t="str">
        <x:v>Trading &amp; Markets</x:v>
      </x:c>
      <x:c r="D3" s="69" t="str">
        <x:v>Humble</x:v>
      </x:c>
      <x:c r="E3" s="90" t="n">
        <x:v>360</x:v>
      </x:c>
      <x:c r="F3" s="90" t="n">
        <x:v>32</x:v>
      </x:c>
      <x:c r="G3" s="69" t="n">
        <x:v>1</x:v>
      </x:c>
      <x:c r="H3" s="106" t="n">
        <x:v>0.55</x:v>
      </x:c>
      <x:c r="I3" s="106" t="n">
        <x:v>0.8</x:v>
      </x:c>
      <x:c r="J3" s="106" t="n">
        <x:v>1</x:v>
      </x:c>
      <x:c r="K3" s="69" t="n">
        <x:v>34</x:v>
      </x:c>
      <x:c r="L3" s="69" t="str">
        <x:v>Market Sensitive</x:v>
      </x:c>
      <x:c r="M3" s="69" t="str">
        <x:v>Data Intensive</x:v>
      </x:c>
      <x:c r="N3" s="69" t="str">
        <x:v>Networked</x:v>
      </x:c>
      <x:c r="O3" s="69" t="str">
        <x:v>Trading Booth: Cost / mature net / maturation / traits / land fit preview.</x:v>
      </x:c>
      <x:c r="P3" s="69" t="str">
        <x:v>Base card; placement and market modifiers apply separately.</x:v>
      </x:c>
    </x:row>
    <x:row r="4">
      <x:c r="A4" s="69" t="n">
        <x:v>3</x:v>
      </x:c>
      <x:c r="B4" s="69" t="str">
        <x:v>Savings Stand</x:v>
      </x:c>
      <x:c r="C4" s="69" t="str">
        <x:v>Banking &amp; Savings</x:v>
      </x:c>
      <x:c r="D4" s="69" t="str">
        <x:v>Humble</x:v>
      </x:c>
      <x:c r="E4" s="90" t="n">
        <x:v>470</x:v>
      </x:c>
      <x:c r="F4" s="90" t="n">
        <x:v>39</x:v>
      </x:c>
      <x:c r="G4" s="69" t="n">
        <x:v>1</x:v>
      </x:c>
      <x:c r="H4" s="106" t="n">
        <x:v>0.55</x:v>
      </x:c>
      <x:c r="I4" s="106" t="n">
        <x:v>0.8</x:v>
      </x:c>
      <x:c r="J4" s="106" t="n">
        <x:v>1</x:v>
      </x:c>
      <x:c r="K4" s="69" t="n">
        <x:v>34</x:v>
      </x:c>
      <x:c r="L4" s="69" t="str">
        <x:v>Trusted</x:v>
      </x:c>
      <x:c r="M4" s="69" t="str">
        <x:v>Capital Linked</x:v>
      </x:c>
      <x:c r="N4" s="69" t="str">
        <x:v>Secure</x:v>
      </x:c>
      <x:c r="O4" s="69" t="str">
        <x:v>Savings Stand: Cost / mature net / maturation / traits / land fit preview.</x:v>
      </x:c>
      <x:c r="P4" s="69" t="str">
        <x:v>Base card; placement and market modifiers apply separately.</x:v>
      </x:c>
    </x:row>
    <x:row r="5">
      <x:c r="A5" s="69" t="n">
        <x:v>4</x:v>
      </x:c>
      <x:c r="B5" s="69" t="str">
        <x:v>Mini Brokerage Desk</x:v>
      </x:c>
      <x:c r="C5" s="69" t="str">
        <x:v>Brokerage</x:v>
      </x:c>
      <x:c r="D5" s="69" t="str">
        <x:v>Humble</x:v>
      </x:c>
      <x:c r="E5" s="90" t="n">
        <x:v>580</x:v>
      </x:c>
      <x:c r="F5" s="90" t="n">
        <x:v>46</x:v>
      </x:c>
      <x:c r="G5" s="69" t="n">
        <x:v>1</x:v>
      </x:c>
      <x:c r="H5" s="106" t="n">
        <x:v>0.55</x:v>
      </x:c>
      <x:c r="I5" s="106" t="n">
        <x:v>0.8</x:v>
      </x:c>
      <x:c r="J5" s="106" t="n">
        <x:v>1</x:v>
      </x:c>
      <x:c r="K5" s="69" t="n">
        <x:v>33</x:v>
      </x:c>
      <x:c r="L5" s="69" t="str">
        <x:v>Customer Facing</x:v>
      </x:c>
      <x:c r="M5" s="69" t="str">
        <x:v>Market Sensitive</x:v>
      </x:c>
      <x:c r="N5" s="69" t="str">
        <x:v>Data Intensive</x:v>
      </x:c>
      <x:c r="O5" s="69" t="str">
        <x:v>Mini Brokerage Desk: Cost / mature net / maturation / traits / land fit preview.</x:v>
      </x:c>
      <x:c r="P5" s="69" t="str">
        <x:v>Base card; placement and market modifiers apply separately.</x:v>
      </x:c>
    </x:row>
    <x:row r="6">
      <x:c r="A6" s="69" t="n">
        <x:v>5</x:v>
      </x:c>
      <x:c r="B6" s="69" t="str">
        <x:v>Market Info Kiosk</x:v>
      </x:c>
      <x:c r="C6" s="69" t="str">
        <x:v>Research, Data &amp; Fintech</x:v>
      </x:c>
      <x:c r="D6" s="69" t="str">
        <x:v>Humble</x:v>
      </x:c>
      <x:c r="E6" s="90" t="n">
        <x:v>690</x:v>
      </x:c>
      <x:c r="F6" s="90" t="n">
        <x:v>53</x:v>
      </x:c>
      <x:c r="G6" s="69" t="n">
        <x:v>2</x:v>
      </x:c>
      <x:c r="H6" s="106" t="n">
        <x:v>0.55</x:v>
      </x:c>
      <x:c r="I6" s="106" t="n">
        <x:v>0.8</x:v>
      </x:c>
      <x:c r="J6" s="106" t="n">
        <x:v>1</x:v>
      </x:c>
      <x:c r="K6" s="69" t="n">
        <x:v>33</x:v>
      </x:c>
      <x:c r="L6" s="69" t="str">
        <x:v>Data Intensive</x:v>
      </x:c>
      <x:c r="M6" s="69" t="str">
        <x:v>Innovative</x:v>
      </x:c>
      <x:c r="N6" s="69" t="str">
        <x:v>Professional</x:v>
      </x:c>
      <x:c r="O6" s="69" t="str">
        <x:v>Market Info Kiosk: Cost / mature net / maturation / traits / land fit preview.</x:v>
      </x:c>
      <x:c r="P6" s="69" t="str">
        <x:v>Base card; placement and market modifiers apply separately.</x:v>
      </x:c>
    </x:row>
    <x:row r="7">
      <x:c r="A7" s="69" t="n">
        <x:v>6</x:v>
      </x:c>
      <x:c r="B7" s="69" t="str">
        <x:v>Micro Loan Booth</x:v>
      </x:c>
      <x:c r="C7" s="69" t="str">
        <x:v>Lending &amp; Credit</x:v>
      </x:c>
      <x:c r="D7" s="69" t="str">
        <x:v>Humble</x:v>
      </x:c>
      <x:c r="E7" s="90" t="n">
        <x:v>800</x:v>
      </x:c>
      <x:c r="F7" s="90" t="n">
        <x:v>60</x:v>
      </x:c>
      <x:c r="G7" s="69" t="n">
        <x:v>2</x:v>
      </x:c>
      <x:c r="H7" s="106" t="n">
        <x:v>0.55</x:v>
      </x:c>
      <x:c r="I7" s="106" t="n">
        <x:v>0.8</x:v>
      </x:c>
      <x:c r="J7" s="106" t="n">
        <x:v>1</x:v>
      </x:c>
      <x:c r="K7" s="69" t="n">
        <x:v>32</x:v>
      </x:c>
      <x:c r="L7" s="69" t="str">
        <x:v>Customer Facing</x:v>
      </x:c>
      <x:c r="M7" s="69" t="str">
        <x:v>Accessible</x:v>
      </x:c>
      <x:c r="N7" s="69" t="str">
        <x:v>Credit Sensitive</x:v>
      </x:c>
      <x:c r="O7" s="69" t="str">
        <x:v>Micro Loan Booth: Cost / mature net / maturation / traits / land fit preview.</x:v>
      </x:c>
      <x:c r="P7" s="69" t="str">
        <x:v>Base card; placement and market modifiers apply separately.</x:v>
      </x:c>
    </x:row>
    <x:row r="8">
      <x:c r="A8" s="69" t="n">
        <x:v>7</x:v>
      </x:c>
      <x:c r="B8" s="69" t="str">
        <x:v>Currency Exchange Stand</x:v>
      </x:c>
      <x:c r="C8" s="69" t="str">
        <x:v>Trading &amp; Markets</x:v>
      </x:c>
      <x:c r="D8" s="69" t="str">
        <x:v>Humble</x:v>
      </x:c>
      <x:c r="E8" s="90" t="n">
        <x:v>910</x:v>
      </x:c>
      <x:c r="F8" s="90" t="n">
        <x:v>67</x:v>
      </x:c>
      <x:c r="G8" s="69" t="n">
        <x:v>2</x:v>
      </x:c>
      <x:c r="H8" s="106" t="n">
        <x:v>0.55</x:v>
      </x:c>
      <x:c r="I8" s="106" t="n">
        <x:v>0.8</x:v>
      </x:c>
      <x:c r="J8" s="106" t="n">
        <x:v>1</x:v>
      </x:c>
      <x:c r="K8" s="69" t="n">
        <x:v>32</x:v>
      </x:c>
      <x:c r="L8" s="69" t="str">
        <x:v>Market Sensitive</x:v>
      </x:c>
      <x:c r="M8" s="69" t="str">
        <x:v>Data Intensive</x:v>
      </x:c>
      <x:c r="N8" s="69" t="str">
        <x:v>Networked</x:v>
      </x:c>
      <x:c r="O8" s="69" t="str">
        <x:v>Currency Exchange Stand: Cost / mature net / maturation / traits / land fit preview.</x:v>
      </x:c>
      <x:c r="P8" s="69" t="str">
        <x:v>Base card; placement and market modifiers apply separately.</x:v>
      </x:c>
    </x:row>
    <x:row r="9">
      <x:c r="A9" s="69" t="n">
        <x:v>8</x:v>
      </x:c>
      <x:c r="B9" s="69" t="str">
        <x:v>Insurance Desk</x:v>
      </x:c>
      <x:c r="C9" s="69" t="str">
        <x:v>Insurance &amp; Risk</x:v>
      </x:c>
      <x:c r="D9" s="69" t="str">
        <x:v>Humble</x:v>
      </x:c>
      <x:c r="E9" s="90" t="n">
        <x:v>1020</x:v>
      </x:c>
      <x:c r="F9" s="90" t="n">
        <x:v>74</x:v>
      </x:c>
      <x:c r="G9" s="69" t="n">
        <x:v>2</x:v>
      </x:c>
      <x:c r="H9" s="106" t="n">
        <x:v>0.55</x:v>
      </x:c>
      <x:c r="I9" s="106" t="n">
        <x:v>0.8</x:v>
      </x:c>
      <x:c r="J9" s="106" t="n">
        <x:v>1</x:v>
      </x:c>
      <x:c r="K9" s="69" t="n">
        <x:v>31</x:v>
      </x:c>
      <x:c r="L9" s="69" t="str">
        <x:v>Defensive</x:v>
      </x:c>
      <x:c r="M9" s="69" t="str">
        <x:v>Trusted</x:v>
      </x:c>
      <x:c r="N9" s="69" t="str">
        <x:v>Secure</x:v>
      </x:c>
      <x:c r="O9" s="69" t="str">
        <x:v>Insurance Desk: Cost / mature net / maturation / traits / land fit preview.</x:v>
      </x:c>
      <x:c r="P9" s="69" t="str">
        <x:v>Base card; placement and market modifiers apply separately.</x:v>
      </x:c>
    </x:row>
    <x:row r="10">
      <x:c r="A10" s="69" t="n">
        <x:v>9</x:v>
      </x:c>
      <x:c r="B10" s="69" t="str">
        <x:v>Investment Advice Booth</x:v>
      </x:c>
      <x:c r="C10" s="69" t="str">
        <x:v>Wealth &amp; Advisory</x:v>
      </x:c>
      <x:c r="D10" s="69" t="str">
        <x:v>Humble</x:v>
      </x:c>
      <x:c r="E10" s="90" t="n">
        <x:v>1130</x:v>
      </x:c>
      <x:c r="F10" s="90" t="n">
        <x:v>81</x:v>
      </x:c>
      <x:c r="G10" s="69" t="n">
        <x:v>2</x:v>
      </x:c>
      <x:c r="H10" s="106" t="n">
        <x:v>0.55</x:v>
      </x:c>
      <x:c r="I10" s="106" t="n">
        <x:v>0.8</x:v>
      </x:c>
      <x:c r="J10" s="106" t="n">
        <x:v>1</x:v>
      </x:c>
      <x:c r="K10" s="69" t="n">
        <x:v>31</x:v>
      </x:c>
      <x:c r="L10" s="69" t="str">
        <x:v>Prestige</x:v>
      </x:c>
      <x:c r="M10" s="69" t="str">
        <x:v>Premium Client</x:v>
      </x:c>
      <x:c r="N10" s="69" t="str">
        <x:v>Trusted</x:v>
      </x:c>
      <x:c r="O10" s="69" t="str">
        <x:v>Investment Advice Booth: Cost / mature net / maturation / traits / land fit preview.</x:v>
      </x:c>
      <x:c r="P10" s="69" t="str">
        <x:v>Base card; placement and market modifiers apply separately.</x:v>
      </x:c>
    </x:row>
    <x:row r="11">
      <x:c r="A11" s="69" t="n">
        <x:v>10</x:v>
      </x:c>
      <x:c r="B11" s="69" t="str">
        <x:v>Secure Cash Locker</x:v>
      </x:c>
      <x:c r="C11" s="69" t="str">
        <x:v>Treasury, Vault &amp; Custody</x:v>
      </x:c>
      <x:c r="D11" s="69" t="str">
        <x:v>Humble</x:v>
      </x:c>
      <x:c r="E11" s="90" t="n">
        <x:v>1240</x:v>
      </x:c>
      <x:c r="F11" s="90" t="n">
        <x:v>88</x:v>
      </x:c>
      <x:c r="G11" s="69" t="n">
        <x:v>2</x:v>
      </x:c>
      <x:c r="H11" s="106" t="n">
        <x:v>0.55</x:v>
      </x:c>
      <x:c r="I11" s="106" t="n">
        <x:v>0.8</x:v>
      </x:c>
      <x:c r="J11" s="106" t="n">
        <x:v>1</x:v>
      </x:c>
      <x:c r="K11" s="69" t="n">
        <x:v>30</x:v>
      </x:c>
      <x:c r="L11" s="69" t="str">
        <x:v>Secure</x:v>
      </x:c>
      <x:c r="M11" s="69" t="str">
        <x:v>Capital Linked</x:v>
      </x:c>
      <x:c r="N11" s="69" t="str">
        <x:v>Defensive</x:v>
      </x:c>
      <x:c r="O11" s="69" t="str">
        <x:v>Secure Cash Locker: Cost / mature net / maturation / traits / land fit preview.</x:v>
      </x:c>
      <x:c r="P11" s="69" t="str">
        <x:v>Base card; placement and market modifiers apply separately.</x:v>
      </x:c>
    </x:row>
    <x:row r="12">
      <x:c r="A12" s="69" t="n">
        <x:v>11</x:v>
      </x:c>
      <x:c r="B12" s="69" t="str">
        <x:v>Neighborhood Finance Shop</x:v>
      </x:c>
      <x:c r="C12" s="69" t="str">
        <x:v>Retail Finance</x:v>
      </x:c>
      <x:c r="D12" s="69" t="str">
        <x:v>Starter</x:v>
      </x:c>
      <x:c r="E12" s="90" t="n">
        <x:v>1800</x:v>
      </x:c>
      <x:c r="F12" s="90" t="n">
        <x:v>110</x:v>
      </x:c>
      <x:c r="G12" s="69" t="n">
        <x:v>2</x:v>
      </x:c>
      <x:c r="H12" s="106" t="n">
        <x:v>0.55</x:v>
      </x:c>
      <x:c r="I12" s="106" t="n">
        <x:v>0.8</x:v>
      </x:c>
      <x:c r="J12" s="106" t="n">
        <x:v>1</x:v>
      </x:c>
      <x:c r="K12" s="69" t="n">
        <x:v>30</x:v>
      </x:c>
      <x:c r="L12" s="69" t="str">
        <x:v>Customer Facing</x:v>
      </x:c>
      <x:c r="M12" s="69" t="str">
        <x:v>Accessible</x:v>
      </x:c>
      <x:c r="N12" s="69" t="str">
        <x:v>Local</x:v>
      </x:c>
      <x:c r="O12" s="69" t="str">
        <x:v>Neighborhood Finance Shop: Cost / mature net / maturation / traits / land fit preview.</x:v>
      </x:c>
      <x:c r="P12" s="69" t="str">
        <x:v>Base card; placement and market modifiers apply separately.</x:v>
      </x:c>
    </x:row>
    <x:row r="13">
      <x:c r="A13" s="69" t="n">
        <x:v>12</x:v>
      </x:c>
      <x:c r="B13" s="69" t="str">
        <x:v>Small Brokerage Office</x:v>
      </x:c>
      <x:c r="C13" s="69" t="str">
        <x:v>Brokerage</x:v>
      </x:c>
      <x:c r="D13" s="69" t="str">
        <x:v>Starter</x:v>
      </x:c>
      <x:c r="E13" s="90" t="n">
        <x:v>2350</x:v>
      </x:c>
      <x:c r="F13" s="90" t="n">
        <x:v>130</x:v>
      </x:c>
      <x:c r="G13" s="69" t="n">
        <x:v>2</x:v>
      </x:c>
      <x:c r="H13" s="106" t="n">
        <x:v>0.55</x:v>
      </x:c>
      <x:c r="I13" s="106" t="n">
        <x:v>0.8</x:v>
      </x:c>
      <x:c r="J13" s="106" t="n">
        <x:v>1</x:v>
      </x:c>
      <x:c r="K13" s="69" t="n">
        <x:v>29</x:v>
      </x:c>
      <x:c r="L13" s="69" t="str">
        <x:v>Customer Facing</x:v>
      </x:c>
      <x:c r="M13" s="69" t="str">
        <x:v>Market Sensitive</x:v>
      </x:c>
      <x:c r="N13" s="69" t="str">
        <x:v>Data Intensive</x:v>
      </x:c>
      <x:c r="O13" s="69" t="str">
        <x:v>Small Brokerage Office: Cost / mature net / maturation / traits / land fit preview.</x:v>
      </x:c>
      <x:c r="P13" s="69" t="str">
        <x:v>Base card; placement and market modifiers apply separately.</x:v>
      </x:c>
    </x:row>
    <x:row r="14">
      <x:c r="A14" s="69" t="n">
        <x:v>13</x:v>
      </x:c>
      <x:c r="B14" s="69" t="str">
        <x:v>Local Savings Office</x:v>
      </x:c>
      <x:c r="C14" s="69" t="str">
        <x:v>Banking &amp; Savings</x:v>
      </x:c>
      <x:c r="D14" s="69" t="str">
        <x:v>Starter</x:v>
      </x:c>
      <x:c r="E14" s="90" t="n">
        <x:v>2900</x:v>
      </x:c>
      <x:c r="F14" s="90" t="n">
        <x:v>150</x:v>
      </x:c>
      <x:c r="G14" s="69" t="n">
        <x:v>2</x:v>
      </x:c>
      <x:c r="H14" s="106" t="n">
        <x:v>0.55</x:v>
      </x:c>
      <x:c r="I14" s="106" t="n">
        <x:v>0.8</x:v>
      </x:c>
      <x:c r="J14" s="106" t="n">
        <x:v>1</x:v>
      </x:c>
      <x:c r="K14" s="69" t="n">
        <x:v>29</x:v>
      </x:c>
      <x:c r="L14" s="69" t="str">
        <x:v>Trusted</x:v>
      </x:c>
      <x:c r="M14" s="69" t="str">
        <x:v>Capital Linked</x:v>
      </x:c>
      <x:c r="N14" s="69" t="str">
        <x:v>Secure</x:v>
      </x:c>
      <x:c r="O14" s="69" t="str">
        <x:v>Local Savings Office: Cost / mature net / maturation / traits / land fit preview.</x:v>
      </x:c>
      <x:c r="P14" s="69" t="str">
        <x:v>Base card; placement and market modifiers apply separately.</x:v>
      </x:c>
    </x:row>
    <x:row r="15">
      <x:c r="A15" s="69" t="n">
        <x:v>14</x:v>
      </x:c>
      <x:c r="B15" s="69" t="str">
        <x:v>Microfinance Office</x:v>
      </x:c>
      <x:c r="C15" s="69" t="str">
        <x:v>Lending &amp; Credit</x:v>
      </x:c>
      <x:c r="D15" s="69" t="str">
        <x:v>Starter</x:v>
      </x:c>
      <x:c r="E15" s="90" t="n">
        <x:v>3450</x:v>
      </x:c>
      <x:c r="F15" s="90" t="n">
        <x:v>170</x:v>
      </x:c>
      <x:c r="G15" s="69" t="n">
        <x:v>2</x:v>
      </x:c>
      <x:c r="H15" s="106" t="n">
        <x:v>0.55</x:v>
      </x:c>
      <x:c r="I15" s="106" t="n">
        <x:v>0.8</x:v>
      </x:c>
      <x:c r="J15" s="106" t="n">
        <x:v>1</x:v>
      </x:c>
      <x:c r="K15" s="69" t="n">
        <x:v>28</x:v>
      </x:c>
      <x:c r="L15" s="69" t="str">
        <x:v>Customer Facing</x:v>
      </x:c>
      <x:c r="M15" s="69" t="str">
        <x:v>Accessible</x:v>
      </x:c>
      <x:c r="N15" s="69" t="str">
        <x:v>Credit Sensitive</x:v>
      </x:c>
      <x:c r="O15" s="69" t="str">
        <x:v>Microfinance Office: Cost / mature net / maturation / traits / land fit preview.</x:v>
      </x:c>
      <x:c r="P15" s="69" t="str">
        <x:v>Base card; placement and market modifiers apply separately.</x:v>
      </x:c>
    </x:row>
    <x:row r="16">
      <x:c r="A16" s="69" t="n">
        <x:v>15</x:v>
      </x:c>
      <x:c r="B16" s="69" t="str">
        <x:v>Trading Room</x:v>
      </x:c>
      <x:c r="C16" s="69" t="str">
        <x:v>Trading &amp; Markets</x:v>
      </x:c>
      <x:c r="D16" s="69" t="str">
        <x:v>Starter</x:v>
      </x:c>
      <x:c r="E16" s="90" t="n">
        <x:v>4000</x:v>
      </x:c>
      <x:c r="F16" s="90" t="n">
        <x:v>190</x:v>
      </x:c>
      <x:c r="G16" s="69" t="n">
        <x:v>2</x:v>
      </x:c>
      <x:c r="H16" s="106" t="n">
        <x:v>0.55</x:v>
      </x:c>
      <x:c r="I16" s="106" t="n">
        <x:v>0.8</x:v>
      </x:c>
      <x:c r="J16" s="106" t="n">
        <x:v>1</x:v>
      </x:c>
      <x:c r="K16" s="69" t="n">
        <x:v>28</x:v>
      </x:c>
      <x:c r="L16" s="69" t="str">
        <x:v>Market Sensitive</x:v>
      </x:c>
      <x:c r="M16" s="69" t="str">
        <x:v>Data Intensive</x:v>
      </x:c>
      <x:c r="N16" s="69" t="str">
        <x:v>Networked</x:v>
      </x:c>
      <x:c r="O16" s="69" t="str">
        <x:v>Trading Room: Cost / mature net / maturation / traits / land fit preview.</x:v>
      </x:c>
      <x:c r="P16" s="69" t="str">
        <x:v>Base card; placement and market modifiers apply separately.</x:v>
      </x:c>
    </x:row>
    <x:row r="17">
      <x:c r="A17" s="69" t="n">
        <x:v>16</x:v>
      </x:c>
      <x:c r="B17" s="69" t="str">
        <x:v>Small Research Office</x:v>
      </x:c>
      <x:c r="C17" s="69" t="str">
        <x:v>Research, Data &amp; Fintech</x:v>
      </x:c>
      <x:c r="D17" s="69" t="str">
        <x:v>Starter</x:v>
      </x:c>
      <x:c r="E17" s="90" t="n">
        <x:v>4550</x:v>
      </x:c>
      <x:c r="F17" s="90" t="n">
        <x:v>210</x:v>
      </x:c>
      <x:c r="G17" s="69" t="n">
        <x:v>2</x:v>
      </x:c>
      <x:c r="H17" s="106" t="n">
        <x:v>0.55</x:v>
      </x:c>
      <x:c r="I17" s="106" t="n">
        <x:v>0.8</x:v>
      </x:c>
      <x:c r="J17" s="106" t="n">
        <x:v>1</x:v>
      </x:c>
      <x:c r="K17" s="69" t="n">
        <x:v>27</x:v>
      </x:c>
      <x:c r="L17" s="69" t="str">
        <x:v>Data Intensive</x:v>
      </x:c>
      <x:c r="M17" s="69" t="str">
        <x:v>Innovative</x:v>
      </x:c>
      <x:c r="N17" s="69" t="str">
        <x:v>Professional</x:v>
      </x:c>
      <x:c r="O17" s="69" t="str">
        <x:v>Small Research Office: Cost / mature net / maturation / traits / land fit preview.</x:v>
      </x:c>
      <x:c r="P17" s="69" t="str">
        <x:v>Base card; placement and market modifiers apply separately.</x:v>
      </x:c>
    </x:row>
    <x:row r="18">
      <x:c r="A18" s="69" t="n">
        <x:v>17</x:v>
      </x:c>
      <x:c r="B18" s="69" t="str">
        <x:v>Local Insurance Office</x:v>
      </x:c>
      <x:c r="C18" s="69" t="str">
        <x:v>Insurance &amp; Risk</x:v>
      </x:c>
      <x:c r="D18" s="69" t="str">
        <x:v>Starter</x:v>
      </x:c>
      <x:c r="E18" s="90" t="n">
        <x:v>5100</x:v>
      </x:c>
      <x:c r="F18" s="90" t="n">
        <x:v>230</x:v>
      </x:c>
      <x:c r="G18" s="69" t="n">
        <x:v>2</x:v>
      </x:c>
      <x:c r="H18" s="106" t="n">
        <x:v>0.55</x:v>
      </x:c>
      <x:c r="I18" s="106" t="n">
        <x:v>0.8</x:v>
      </x:c>
      <x:c r="J18" s="106" t="n">
        <x:v>1</x:v>
      </x:c>
      <x:c r="K18" s="69" t="n">
        <x:v>27</x:v>
      </x:c>
      <x:c r="L18" s="69" t="str">
        <x:v>Defensive</x:v>
      </x:c>
      <x:c r="M18" s="69" t="str">
        <x:v>Trusted</x:v>
      </x:c>
      <x:c r="N18" s="69" t="str">
        <x:v>Secure</x:v>
      </x:c>
      <x:c r="O18" s="69" t="str">
        <x:v>Local Insurance Office: Cost / mature net / maturation / traits / land fit preview.</x:v>
      </x:c>
      <x:c r="P18" s="69" t="str">
        <x:v>Base card; placement and market modifiers apply separately.</x:v>
      </x:c>
    </x:row>
    <x:row r="19">
      <x:c r="A19" s="69" t="n">
        <x:v>18</x:v>
      </x:c>
      <x:c r="B19" s="69" t="str">
        <x:v>Treasury Office</x:v>
      </x:c>
      <x:c r="C19" s="69" t="str">
        <x:v>Treasury, Vault &amp; Custody</x:v>
      </x:c>
      <x:c r="D19" s="69" t="str">
        <x:v>Starter</x:v>
      </x:c>
      <x:c r="E19" s="90" t="n">
        <x:v>5650</x:v>
      </x:c>
      <x:c r="F19" s="90" t="n">
        <x:v>250</x:v>
      </x:c>
      <x:c r="G19" s="69" t="n">
        <x:v>2</x:v>
      </x:c>
      <x:c r="H19" s="106" t="n">
        <x:v>0.55</x:v>
      </x:c>
      <x:c r="I19" s="106" t="n">
        <x:v>0.8</x:v>
      </x:c>
      <x:c r="J19" s="106" t="n">
        <x:v>1</x:v>
      </x:c>
      <x:c r="K19" s="69" t="n">
        <x:v>26</x:v>
      </x:c>
      <x:c r="L19" s="69" t="str">
        <x:v>Secure</x:v>
      </x:c>
      <x:c r="M19" s="69" t="str">
        <x:v>Capital Linked</x:v>
      </x:c>
      <x:c r="N19" s="69" t="str">
        <x:v>Defensive</x:v>
      </x:c>
      <x:c r="O19" s="69" t="str">
        <x:v>Treasury Office: Cost / mature net / maturation / traits / land fit preview.</x:v>
      </x:c>
      <x:c r="P19" s="69" t="str">
        <x:v>Base card; placement and market modifiers apply separately.</x:v>
      </x:c>
    </x:row>
    <x:row r="20">
      <x:c r="A20" s="69" t="n">
        <x:v>19</x:v>
      </x:c>
      <x:c r="B20" s="69" t="str">
        <x:v>Small Fund Office</x:v>
      </x:c>
      <x:c r="C20" s="69" t="str">
        <x:v>Funds &amp; Asset Management</x:v>
      </x:c>
      <x:c r="D20" s="69" t="str">
        <x:v>Starter</x:v>
      </x:c>
      <x:c r="E20" s="90" t="n">
        <x:v>6200</x:v>
      </x:c>
      <x:c r="F20" s="90" t="n">
        <x:v>270</x:v>
      </x:c>
      <x:c r="G20" s="69" t="n">
        <x:v>2</x:v>
      </x:c>
      <x:c r="H20" s="106" t="n">
        <x:v>0.55</x:v>
      </x:c>
      <x:c r="I20" s="106" t="n">
        <x:v>0.8</x:v>
      </x:c>
      <x:c r="J20" s="106" t="n">
        <x:v>1</x:v>
      </x:c>
      <x:c r="K20" s="69" t="n">
        <x:v>26</x:v>
      </x:c>
      <x:c r="L20" s="69" t="str">
        <x:v>Capital Linked</x:v>
      </x:c>
      <x:c r="M20" s="69" t="str">
        <x:v>Prestige</x:v>
      </x:c>
      <x:c r="N20" s="69" t="str">
        <x:v>Data Intensive</x:v>
      </x:c>
      <x:c r="O20" s="69" t="str">
        <x:v>Small Fund Office: Cost / mature net / maturation / traits / land fit preview.</x:v>
      </x:c>
      <x:c r="P20" s="69" t="str">
        <x:v>Base card; placement and market modifiers apply separately.</x:v>
      </x:c>
    </x:row>
    <x:row r="21">
      <x:c r="A21" s="69" t="n">
        <x:v>20</x:v>
      </x:c>
      <x:c r="B21" s="69" t="str">
        <x:v>Financial Services Hub</x:v>
      </x:c>
      <x:c r="C21" s="69" t="str">
        <x:v>Retail Finance</x:v>
      </x:c>
      <x:c r="D21" s="69" t="str">
        <x:v>Starter</x:v>
      </x:c>
      <x:c r="E21" s="90" t="n">
        <x:v>6750</x:v>
      </x:c>
      <x:c r="F21" s="90" t="n">
        <x:v>290</x:v>
      </x:c>
      <x:c r="G21" s="69" t="n">
        <x:v>2</x:v>
      </x:c>
      <x:c r="H21" s="106" t="n">
        <x:v>0.55</x:v>
      </x:c>
      <x:c r="I21" s="106" t="n">
        <x:v>0.8</x:v>
      </x:c>
      <x:c r="J21" s="106" t="n">
        <x:v>1</x:v>
      </x:c>
      <x:c r="K21" s="69" t="n">
        <x:v>25</x:v>
      </x:c>
      <x:c r="L21" s="69" t="str">
        <x:v>Customer Facing</x:v>
      </x:c>
      <x:c r="M21" s="69" t="str">
        <x:v>Accessible</x:v>
      </x:c>
      <x:c r="N21" s="69" t="str">
        <x:v>Local</x:v>
      </x:c>
      <x:c r="O21" s="69" t="str">
        <x:v>Financial Services Hub: Cost / mature net / maturation / traits / land fit preview.</x:v>
      </x:c>
      <x:c r="P21" s="69" t="str">
        <x:v>Base card; placement and market modifiers apply separately.</x:v>
      </x:c>
    </x:row>
    <x:row r="22">
      <x:c r="A22" s="69" t="n">
        <x:v>21</x:v>
      </x:c>
      <x:c r="B22" s="69" t="str">
        <x:v>Community Bank Branch</x:v>
      </x:c>
      <x:c r="C22" s="69" t="str">
        <x:v>Banking &amp; Savings</x:v>
      </x:c>
      <x:c r="D22" s="69" t="str">
        <x:v>Growing</x:v>
      </x:c>
      <x:c r="E22" s="90" t="n">
        <x:v>9000</x:v>
      </x:c>
      <x:c r="F22" s="90" t="n">
        <x:v>340</x:v>
      </x:c>
      <x:c r="G22" s="69" t="n">
        <x:v>3</x:v>
      </x:c>
      <x:c r="H22" s="106" t="n">
        <x:v>0.55</x:v>
      </x:c>
      <x:c r="I22" s="106" t="n">
        <x:v>0.8</x:v>
      </x:c>
      <x:c r="J22" s="106" t="n">
        <x:v>1</x:v>
      </x:c>
      <x:c r="K22" s="69" t="n">
        <x:v>25</x:v>
      </x:c>
      <x:c r="L22" s="69" t="str">
        <x:v>Trusted</x:v>
      </x:c>
      <x:c r="M22" s="69" t="str">
        <x:v>Capital Linked</x:v>
      </x:c>
      <x:c r="N22" s="69" t="str">
        <x:v>Secure</x:v>
      </x:c>
      <x:c r="O22" s="69" t="str">
        <x:v>Community Bank Branch: Cost / mature net / maturation / traits / land fit preview.</x:v>
      </x:c>
      <x:c r="P22" s="69" t="str">
        <x:v>Base card; placement and market modifiers apply separately.</x:v>
      </x:c>
    </x:row>
    <x:row r="23">
      <x:c r="A23" s="69" t="n">
        <x:v>22</x:v>
      </x:c>
      <x:c r="B23" s="69" t="str">
        <x:v>Brokerage House</x:v>
      </x:c>
      <x:c r="C23" s="69" t="str">
        <x:v>Brokerage</x:v>
      </x:c>
      <x:c r="D23" s="69" t="str">
        <x:v>Growing</x:v>
      </x:c>
      <x:c r="E23" s="90" t="n">
        <x:v>12000</x:v>
      </x:c>
      <x:c r="F23" s="90" t="n">
        <x:v>400</x:v>
      </x:c>
      <x:c r="G23" s="69" t="n">
        <x:v>3</x:v>
      </x:c>
      <x:c r="H23" s="106" t="n">
        <x:v>0.55</x:v>
      </x:c>
      <x:c r="I23" s="106" t="n">
        <x:v>0.8</x:v>
      </x:c>
      <x:c r="J23" s="106" t="n">
        <x:v>1</x:v>
      </x:c>
      <x:c r="K23" s="69" t="n">
        <x:v>24</x:v>
      </x:c>
      <x:c r="L23" s="69" t="str">
        <x:v>Customer Facing</x:v>
      </x:c>
      <x:c r="M23" s="69" t="str">
        <x:v>Market Sensitive</x:v>
      </x:c>
      <x:c r="N23" s="69" t="str">
        <x:v>Data Intensive</x:v>
      </x:c>
      <x:c r="O23" s="69" t="str">
        <x:v>Brokerage House: Cost / mature net / maturation / traits / land fit preview.</x:v>
      </x:c>
      <x:c r="P23" s="69" t="str">
        <x:v>Base card; placement and market modifiers apply separately.</x:v>
      </x:c>
    </x:row>
    <x:row r="24">
      <x:c r="A24" s="69" t="n">
        <x:v>23</x:v>
      </x:c>
      <x:c r="B24" s="69" t="str">
        <x:v>Investment Advisory Firm</x:v>
      </x:c>
      <x:c r="C24" s="69" t="str">
        <x:v>Wealth &amp; Advisory</x:v>
      </x:c>
      <x:c r="D24" s="69" t="str">
        <x:v>Growing</x:v>
      </x:c>
      <x:c r="E24" s="90" t="n">
        <x:v>15000</x:v>
      </x:c>
      <x:c r="F24" s="90" t="n">
        <x:v>460</x:v>
      </x:c>
      <x:c r="G24" s="69" t="n">
        <x:v>3</x:v>
      </x:c>
      <x:c r="H24" s="106" t="n">
        <x:v>0.55</x:v>
      </x:c>
      <x:c r="I24" s="106" t="n">
        <x:v>0.8</x:v>
      </x:c>
      <x:c r="J24" s="106" t="n">
        <x:v>1</x:v>
      </x:c>
      <x:c r="K24" s="69" t="n">
        <x:v>24</x:v>
      </x:c>
      <x:c r="L24" s="69" t="str">
        <x:v>Prestige</x:v>
      </x:c>
      <x:c r="M24" s="69" t="str">
        <x:v>Premium Client</x:v>
      </x:c>
      <x:c r="N24" s="69" t="str">
        <x:v>Trusted</x:v>
      </x:c>
      <x:c r="O24" s="69" t="str">
        <x:v>Investment Advisory Firm: Cost / mature net / maturation / traits / land fit preview.</x:v>
      </x:c>
      <x:c r="P24" s="69" t="str">
        <x:v>Base card; placement and market modifiers apply separately.</x:v>
      </x:c>
    </x:row>
    <x:row r="25">
      <x:c r="A25" s="69" t="n">
        <x:v>24</x:v>
      </x:c>
      <x:c r="B25" s="69" t="str">
        <x:v>Asset Management Office</x:v>
      </x:c>
      <x:c r="C25" s="69" t="str">
        <x:v>Funds &amp; Asset Management</x:v>
      </x:c>
      <x:c r="D25" s="69" t="str">
        <x:v>Growing</x:v>
      </x:c>
      <x:c r="E25" s="90" t="n">
        <x:v>18000</x:v>
      </x:c>
      <x:c r="F25" s="90" t="n">
        <x:v>520</x:v>
      </x:c>
      <x:c r="G25" s="69" t="n">
        <x:v>3</x:v>
      </x:c>
      <x:c r="H25" s="106" t="n">
        <x:v>0.55</x:v>
      </x:c>
      <x:c r="I25" s="106" t="n">
        <x:v>0.8</x:v>
      </x:c>
      <x:c r="J25" s="106" t="n">
        <x:v>1</x:v>
      </x:c>
      <x:c r="K25" s="69" t="n">
        <x:v>23</x:v>
      </x:c>
      <x:c r="L25" s="69" t="str">
        <x:v>Capital Linked</x:v>
      </x:c>
      <x:c r="M25" s="69" t="str">
        <x:v>Prestige</x:v>
      </x:c>
      <x:c r="N25" s="69" t="str">
        <x:v>Data Intensive</x:v>
      </x:c>
      <x:c r="O25" s="69" t="str">
        <x:v>Asset Management Office: Cost / mature net / maturation / traits / land fit preview.</x:v>
      </x:c>
      <x:c r="P25" s="69" t="str">
        <x:v>Base card; placement and market modifiers apply separately.</x:v>
      </x:c>
    </x:row>
    <x:row r="26">
      <x:c r="A26" s="69" t="n">
        <x:v>25</x:v>
      </x:c>
      <x:c r="B26" s="69" t="str">
        <x:v>Market Research Center</x:v>
      </x:c>
      <x:c r="C26" s="69" t="str">
        <x:v>Research, Data &amp; Fintech</x:v>
      </x:c>
      <x:c r="D26" s="69" t="str">
        <x:v>Growing</x:v>
      </x:c>
      <x:c r="E26" s="90" t="n">
        <x:v>21000</x:v>
      </x:c>
      <x:c r="F26" s="90" t="n">
        <x:v>580</x:v>
      </x:c>
      <x:c r="G26" s="69" t="n">
        <x:v>3</x:v>
      </x:c>
      <x:c r="H26" s="106" t="n">
        <x:v>0.55</x:v>
      </x:c>
      <x:c r="I26" s="106" t="n">
        <x:v>0.8</x:v>
      </x:c>
      <x:c r="J26" s="106" t="n">
        <x:v>1</x:v>
      </x:c>
      <x:c r="K26" s="69" t="n">
        <x:v>23</x:v>
      </x:c>
      <x:c r="L26" s="69" t="str">
        <x:v>Data Intensive</x:v>
      </x:c>
      <x:c r="M26" s="69" t="str">
        <x:v>Innovative</x:v>
      </x:c>
      <x:c r="N26" s="69" t="str">
        <x:v>Professional</x:v>
      </x:c>
      <x:c r="O26" s="69" t="str">
        <x:v>Market Research Center: Cost / mature net / maturation / traits / land fit preview.</x:v>
      </x:c>
      <x:c r="P26" s="69" t="str">
        <x:v>Base card; placement and market modifiers apply separately.</x:v>
      </x:c>
    </x:row>
    <x:row r="27">
      <x:c r="A27" s="69" t="n">
        <x:v>26</x:v>
      </x:c>
      <x:c r="B27" s="69" t="str">
        <x:v>Lending Center</x:v>
      </x:c>
      <x:c r="C27" s="69" t="str">
        <x:v>Lending &amp; Credit</x:v>
      </x:c>
      <x:c r="D27" s="69" t="str">
        <x:v>Growing</x:v>
      </x:c>
      <x:c r="E27" s="90" t="n">
        <x:v>24000</x:v>
      </x:c>
      <x:c r="F27" s="90" t="n">
        <x:v>640</x:v>
      </x:c>
      <x:c r="G27" s="69" t="n">
        <x:v>3</x:v>
      </x:c>
      <x:c r="H27" s="106" t="n">
        <x:v>0.55</x:v>
      </x:c>
      <x:c r="I27" s="106" t="n">
        <x:v>0.8</x:v>
      </x:c>
      <x:c r="J27" s="106" t="n">
        <x:v>1</x:v>
      </x:c>
      <x:c r="K27" s="69" t="n">
        <x:v>22</x:v>
      </x:c>
      <x:c r="L27" s="69" t="str">
        <x:v>Customer Facing</x:v>
      </x:c>
      <x:c r="M27" s="69" t="str">
        <x:v>Accessible</x:v>
      </x:c>
      <x:c r="N27" s="69" t="str">
        <x:v>Credit Sensitive</x:v>
      </x:c>
      <x:c r="O27" s="69" t="str">
        <x:v>Lending Center: Cost / mature net / maturation / traits / land fit preview.</x:v>
      </x:c>
      <x:c r="P27" s="69" t="str">
        <x:v>Base card; placement and market modifiers apply separately.</x:v>
      </x:c>
    </x:row>
    <x:row r="28">
      <x:c r="A28" s="69" t="n">
        <x:v>27</x:v>
      </x:c>
      <x:c r="B28" s="69" t="str">
        <x:v>Wealth Management Office</x:v>
      </x:c>
      <x:c r="C28" s="69" t="str">
        <x:v>Wealth &amp; Advisory</x:v>
      </x:c>
      <x:c r="D28" s="69" t="str">
        <x:v>Growing</x:v>
      </x:c>
      <x:c r="E28" s="90" t="n">
        <x:v>27000</x:v>
      </x:c>
      <x:c r="F28" s="90" t="n">
        <x:v>700</x:v>
      </x:c>
      <x:c r="G28" s="69" t="n">
        <x:v>3</x:v>
      </x:c>
      <x:c r="H28" s="106" t="n">
        <x:v>0.55</x:v>
      </x:c>
      <x:c r="I28" s="106" t="n">
        <x:v>0.8</x:v>
      </x:c>
      <x:c r="J28" s="106" t="n">
        <x:v>1</x:v>
      </x:c>
      <x:c r="K28" s="69" t="n">
        <x:v>22</x:v>
      </x:c>
      <x:c r="L28" s="69" t="str">
        <x:v>Prestige</x:v>
      </x:c>
      <x:c r="M28" s="69" t="str">
        <x:v>Premium Client</x:v>
      </x:c>
      <x:c r="N28" s="69" t="str">
        <x:v>Trusted</x:v>
      </x:c>
      <x:c r="O28" s="69" t="str">
        <x:v>Wealth Management Office: Cost / mature net / maturation / traits / land fit preview.</x:v>
      </x:c>
      <x:c r="P28" s="69" t="str">
        <x:v>Base card; placement and market modifiers apply separately.</x:v>
      </x:c>
    </x:row>
    <x:row r="29">
      <x:c r="A29" s="69" t="n">
        <x:v>28</x:v>
      </x:c>
      <x:c r="B29" s="69" t="str">
        <x:v>Digital Finance Hub</x:v>
      </x:c>
      <x:c r="C29" s="69" t="str">
        <x:v>Research, Data &amp; Fintech</x:v>
      </x:c>
      <x:c r="D29" s="69" t="str">
        <x:v>Growing</x:v>
      </x:c>
      <x:c r="E29" s="90" t="n">
        <x:v>30000</x:v>
      </x:c>
      <x:c r="F29" s="90" t="n">
        <x:v>760</x:v>
      </x:c>
      <x:c r="G29" s="69" t="n">
        <x:v>3</x:v>
      </x:c>
      <x:c r="H29" s="106" t="n">
        <x:v>0.55</x:v>
      </x:c>
      <x:c r="I29" s="106" t="n">
        <x:v>0.8</x:v>
      </x:c>
      <x:c r="J29" s="106" t="n">
        <x:v>1</x:v>
      </x:c>
      <x:c r="K29" s="69" t="n">
        <x:v>21</x:v>
      </x:c>
      <x:c r="L29" s="69" t="str">
        <x:v>Data Intensive</x:v>
      </x:c>
      <x:c r="M29" s="69" t="str">
        <x:v>Innovative</x:v>
      </x:c>
      <x:c r="N29" s="69" t="str">
        <x:v>Professional</x:v>
      </x:c>
      <x:c r="O29" s="69" t="str">
        <x:v>Digital Finance Hub: Cost / mature net / maturation / traits / land fit preview.</x:v>
      </x:c>
      <x:c r="P29" s="69" t="str">
        <x:v>Base card; placement and market modifiers apply separately.</x:v>
      </x:c>
    </x:row>
    <x:row r="30">
      <x:c r="A30" s="69" t="n">
        <x:v>29</x:v>
      </x:c>
      <x:c r="B30" s="69" t="str">
        <x:v>Trading House</x:v>
      </x:c>
      <x:c r="C30" s="69" t="str">
        <x:v>Trading &amp; Markets</x:v>
      </x:c>
      <x:c r="D30" s="69" t="str">
        <x:v>Growing</x:v>
      </x:c>
      <x:c r="E30" s="90" t="n">
        <x:v>33000</x:v>
      </x:c>
      <x:c r="F30" s="90" t="n">
        <x:v>820</x:v>
      </x:c>
      <x:c r="G30" s="69" t="n">
        <x:v>3</x:v>
      </x:c>
      <x:c r="H30" s="106" t="n">
        <x:v>0.55</x:v>
      </x:c>
      <x:c r="I30" s="106" t="n">
        <x:v>0.8</x:v>
      </x:c>
      <x:c r="J30" s="106" t="n">
        <x:v>1</x:v>
      </x:c>
      <x:c r="K30" s="69" t="n">
        <x:v>21</x:v>
      </x:c>
      <x:c r="L30" s="69" t="str">
        <x:v>Market Sensitive</x:v>
      </x:c>
      <x:c r="M30" s="69" t="str">
        <x:v>Data Intensive</x:v>
      </x:c>
      <x:c r="N30" s="69" t="str">
        <x:v>Networked</x:v>
      </x:c>
      <x:c r="O30" s="69" t="str">
        <x:v>Trading House: Cost / mature net / maturation / traits / land fit preview.</x:v>
      </x:c>
      <x:c r="P30" s="69" t="str">
        <x:v>Base card; placement and market modifiers apply separately.</x:v>
      </x:c>
    </x:row>
    <x:row r="31">
      <x:c r="A31" s="69" t="n">
        <x:v>30</x:v>
      </x:c>
      <x:c r="B31" s="69" t="str">
        <x:v>Private Vault Facility</x:v>
      </x:c>
      <x:c r="C31" s="69" t="str">
        <x:v>Treasury, Vault &amp; Custody</x:v>
      </x:c>
      <x:c r="D31" s="69" t="str">
        <x:v>Growing</x:v>
      </x:c>
      <x:c r="E31" s="90" t="n">
        <x:v>36000</x:v>
      </x:c>
      <x:c r="F31" s="90" t="n">
        <x:v>880</x:v>
      </x:c>
      <x:c r="G31" s="69" t="n">
        <x:v>3</x:v>
      </x:c>
      <x:c r="H31" s="106" t="n">
        <x:v>0.55</x:v>
      </x:c>
      <x:c r="I31" s="106" t="n">
        <x:v>0.8</x:v>
      </x:c>
      <x:c r="J31" s="106" t="n">
        <x:v>1</x:v>
      </x:c>
      <x:c r="K31" s="69" t="n">
        <x:v>20</x:v>
      </x:c>
      <x:c r="L31" s="69" t="str">
        <x:v>Secure</x:v>
      </x:c>
      <x:c r="M31" s="69" t="str">
        <x:v>Capital Linked</x:v>
      </x:c>
      <x:c r="N31" s="69" t="str">
        <x:v>Defensive</x:v>
      </x:c>
      <x:c r="O31" s="69" t="str">
        <x:v>Private Vault Facility: Cost / mature net / maturation / traits / land fit preview.</x:v>
      </x:c>
      <x:c r="P31" s="69" t="str">
        <x:v>Base card; placement and market modifiers apply separately.</x:v>
      </x:c>
    </x:row>
    <x:row r="32">
      <x:c r="A32" s="69" t="n">
        <x:v>31</x:v>
      </x:c>
      <x:c r="B32" s="69" t="str">
        <x:v>Regional Bank</x:v>
      </x:c>
      <x:c r="C32" s="69" t="str">
        <x:v>Banking &amp; Savings</x:v>
      </x:c>
      <x:c r="D32" s="69" t="str">
        <x:v>Established</x:v>
      </x:c>
      <x:c r="E32" s="90" t="n">
        <x:v>45000</x:v>
      </x:c>
      <x:c r="F32" s="90" t="n">
        <x:v>1050</x:v>
      </x:c>
      <x:c r="G32" s="69" t="n">
        <x:v>4</x:v>
      </x:c>
      <x:c r="H32" s="106" t="n">
        <x:v>0.55</x:v>
      </x:c>
      <x:c r="I32" s="106" t="n">
        <x:v>0.8</x:v>
      </x:c>
      <x:c r="J32" s="106" t="n">
        <x:v>1</x:v>
      </x:c>
      <x:c r="K32" s="69" t="n">
        <x:v>20</x:v>
      </x:c>
      <x:c r="L32" s="69" t="str">
        <x:v>Trusted</x:v>
      </x:c>
      <x:c r="M32" s="69" t="str">
        <x:v>Capital Linked</x:v>
      </x:c>
      <x:c r="N32" s="69" t="str">
        <x:v>Secure</x:v>
      </x:c>
      <x:c r="O32" s="69" t="str">
        <x:v>Regional Bank: Cost / mature net / maturation / traits / land fit preview.</x:v>
      </x:c>
      <x:c r="P32" s="69" t="str">
        <x:v>Base card; placement and market modifiers apply separately.</x:v>
      </x:c>
    </x:row>
    <x:row r="33">
      <x:c r="A33" s="69" t="n">
        <x:v>32</x:v>
      </x:c>
      <x:c r="B33" s="69" t="str">
        <x:v>Stock Brokerage Center</x:v>
      </x:c>
      <x:c r="C33" s="69" t="str">
        <x:v>Brokerage</x:v>
      </x:c>
      <x:c r="D33" s="69" t="str">
        <x:v>Established</x:v>
      </x:c>
      <x:c r="E33" s="90" t="n">
        <x:v>63000</x:v>
      </x:c>
      <x:c r="F33" s="90" t="n">
        <x:v>1250</x:v>
      </x:c>
      <x:c r="G33" s="69" t="n">
        <x:v>4</x:v>
      </x:c>
      <x:c r="H33" s="106" t="n">
        <x:v>0.55</x:v>
      </x:c>
      <x:c r="I33" s="106" t="n">
        <x:v>0.8</x:v>
      </x:c>
      <x:c r="J33" s="106" t="n">
        <x:v>1</x:v>
      </x:c>
      <x:c r="K33" s="69" t="n">
        <x:v>19</x:v>
      </x:c>
      <x:c r="L33" s="69" t="str">
        <x:v>Customer Facing</x:v>
      </x:c>
      <x:c r="M33" s="69" t="str">
        <x:v>Market Sensitive</x:v>
      </x:c>
      <x:c r="N33" s="69" t="str">
        <x:v>Data Intensive</x:v>
      </x:c>
      <x:c r="O33" s="69" t="str">
        <x:v>Stock Brokerage Center: Cost / mature net / maturation / traits / land fit preview.</x:v>
      </x:c>
      <x:c r="P33" s="69" t="str">
        <x:v>Base card; placement and market modifiers apply separately.</x:v>
      </x:c>
    </x:row>
    <x:row r="34">
      <x:c r="A34" s="69" t="n">
        <x:v>33</x:v>
      </x:c>
      <x:c r="B34" s="69" t="str">
        <x:v>Investment Fund HQ</x:v>
      </x:c>
      <x:c r="C34" s="69" t="str">
        <x:v>Funds &amp; Asset Management</x:v>
      </x:c>
      <x:c r="D34" s="69" t="str">
        <x:v>Established</x:v>
      </x:c>
      <x:c r="E34" s="90" t="n">
        <x:v>81000</x:v>
      </x:c>
      <x:c r="F34" s="90" t="n">
        <x:v>1450</x:v>
      </x:c>
      <x:c r="G34" s="69" t="n">
        <x:v>4</x:v>
      </x:c>
      <x:c r="H34" s="106" t="n">
        <x:v>0.55</x:v>
      </x:c>
      <x:c r="I34" s="106" t="n">
        <x:v>0.8</x:v>
      </x:c>
      <x:c r="J34" s="106" t="n">
        <x:v>1</x:v>
      </x:c>
      <x:c r="K34" s="69" t="n">
        <x:v>19</x:v>
      </x:c>
      <x:c r="L34" s="69" t="str">
        <x:v>Capital Linked</x:v>
      </x:c>
      <x:c r="M34" s="69" t="str">
        <x:v>Prestige</x:v>
      </x:c>
      <x:c r="N34" s="69" t="str">
        <x:v>Data Intensive</x:v>
      </x:c>
      <x:c r="O34" s="69" t="str">
        <x:v>Investment Fund HQ: Cost / mature net / maturation / traits / land fit preview.</x:v>
      </x:c>
      <x:c r="P34" s="69" t="str">
        <x:v>Base card; placement and market modifiers apply separately.</x:v>
      </x:c>
    </x:row>
    <x:row r="35">
      <x:c r="A35" s="69" t="n">
        <x:v>34</x:v>
      </x:c>
      <x:c r="B35" s="69" t="str">
        <x:v>Insurance Company HQ</x:v>
      </x:c>
      <x:c r="C35" s="69" t="str">
        <x:v>Insurance &amp; Risk</x:v>
      </x:c>
      <x:c r="D35" s="69" t="str">
        <x:v>Established</x:v>
      </x:c>
      <x:c r="E35" s="90" t="n">
        <x:v>99000</x:v>
      </x:c>
      <x:c r="F35" s="90" t="n">
        <x:v>1650</x:v>
      </x:c>
      <x:c r="G35" s="69" t="n">
        <x:v>4</x:v>
      </x:c>
      <x:c r="H35" s="106" t="n">
        <x:v>0.55</x:v>
      </x:c>
      <x:c r="I35" s="106" t="n">
        <x:v>0.8</x:v>
      </x:c>
      <x:c r="J35" s="106" t="n">
        <x:v>1</x:v>
      </x:c>
      <x:c r="K35" s="69" t="n">
        <x:v>18</x:v>
      </x:c>
      <x:c r="L35" s="69" t="str">
        <x:v>Defensive</x:v>
      </x:c>
      <x:c r="M35" s="69" t="str">
        <x:v>Trusted</x:v>
      </x:c>
      <x:c r="N35" s="69" t="str">
        <x:v>Secure</x:v>
      </x:c>
      <x:c r="O35" s="69" t="str">
        <x:v>Insurance Company HQ: Cost / mature net / maturation / traits / land fit preview.</x:v>
      </x:c>
      <x:c r="P35" s="69" t="str">
        <x:v>Base card; placement and market modifiers apply separately.</x:v>
      </x:c>
    </x:row>
    <x:row r="36">
      <x:c r="A36" s="69" t="n">
        <x:v>35</x:v>
      </x:c>
      <x:c r="B36" s="69" t="str">
        <x:v>Financial Data Center</x:v>
      </x:c>
      <x:c r="C36" s="69" t="str">
        <x:v>Research, Data &amp; Fintech</x:v>
      </x:c>
      <x:c r="D36" s="69" t="str">
        <x:v>Established</x:v>
      </x:c>
      <x:c r="E36" s="90" t="n">
        <x:v>117000</x:v>
      </x:c>
      <x:c r="F36" s="90" t="n">
        <x:v>1850</x:v>
      </x:c>
      <x:c r="G36" s="69" t="n">
        <x:v>4</x:v>
      </x:c>
      <x:c r="H36" s="106" t="n">
        <x:v>0.55</x:v>
      </x:c>
      <x:c r="I36" s="106" t="n">
        <x:v>0.8</x:v>
      </x:c>
      <x:c r="J36" s="106" t="n">
        <x:v>1</x:v>
      </x:c>
      <x:c r="K36" s="69" t="n">
        <x:v>18</x:v>
      </x:c>
      <x:c r="L36" s="69" t="str">
        <x:v>Data Intensive</x:v>
      </x:c>
      <x:c r="M36" s="69" t="str">
        <x:v>Innovative</x:v>
      </x:c>
      <x:c r="N36" s="69" t="str">
        <x:v>Professional</x:v>
      </x:c>
      <x:c r="O36" s="69" t="str">
        <x:v>Financial Data Center: Cost / mature net / maturation / traits / land fit preview.</x:v>
      </x:c>
      <x:c r="P36" s="69" t="str">
        <x:v>Base card; placement and market modifiers apply separately.</x:v>
      </x:c>
    </x:row>
    <x:row r="37">
      <x:c r="A37" s="69" t="n">
        <x:v>36</x:v>
      </x:c>
      <x:c r="B37" s="69" t="str">
        <x:v>Market Maker Office</x:v>
      </x:c>
      <x:c r="C37" s="69" t="str">
        <x:v>Trading &amp; Markets</x:v>
      </x:c>
      <x:c r="D37" s="69" t="str">
        <x:v>Established</x:v>
      </x:c>
      <x:c r="E37" s="90" t="n">
        <x:v>135000</x:v>
      </x:c>
      <x:c r="F37" s="90" t="n">
        <x:v>2050</x:v>
      </x:c>
      <x:c r="G37" s="69" t="n">
        <x:v>4</x:v>
      </x:c>
      <x:c r="H37" s="106" t="n">
        <x:v>0.55</x:v>
      </x:c>
      <x:c r="I37" s="106" t="n">
        <x:v>0.8</x:v>
      </x:c>
      <x:c r="J37" s="106" t="n">
        <x:v>1</x:v>
      </x:c>
      <x:c r="K37" s="69" t="n">
        <x:v>17</x:v>
      </x:c>
      <x:c r="L37" s="69" t="str">
        <x:v>Market Sensitive</x:v>
      </x:c>
      <x:c r="M37" s="69" t="str">
        <x:v>Data Intensive</x:v>
      </x:c>
      <x:c r="N37" s="69" t="str">
        <x:v>Networked</x:v>
      </x:c>
      <x:c r="O37" s="69" t="str">
        <x:v>Market Maker Office: Cost / mature net / maturation / traits / land fit preview.</x:v>
      </x:c>
      <x:c r="P37" s="69" t="str">
        <x:v>Base card; placement and market modifiers apply separately.</x:v>
      </x:c>
    </x:row>
    <x:row r="38">
      <x:c r="A38" s="69" t="n">
        <x:v>37</x:v>
      </x:c>
      <x:c r="B38" s="69" t="str">
        <x:v>Private Banking Center</x:v>
      </x:c>
      <x:c r="C38" s="69" t="str">
        <x:v>Wealth &amp; Advisory</x:v>
      </x:c>
      <x:c r="D38" s="69" t="str">
        <x:v>Established</x:v>
      </x:c>
      <x:c r="E38" s="90" t="n">
        <x:v>153000</x:v>
      </x:c>
      <x:c r="F38" s="90" t="n">
        <x:v>2250</x:v>
      </x:c>
      <x:c r="G38" s="69" t="n">
        <x:v>4</x:v>
      </x:c>
      <x:c r="H38" s="106" t="n">
        <x:v>0.55</x:v>
      </x:c>
      <x:c r="I38" s="106" t="n">
        <x:v>0.8</x:v>
      </x:c>
      <x:c r="J38" s="106" t="n">
        <x:v>1</x:v>
      </x:c>
      <x:c r="K38" s="69" t="n">
        <x:v>17</x:v>
      </x:c>
      <x:c r="L38" s="69" t="str">
        <x:v>Prestige</x:v>
      </x:c>
      <x:c r="M38" s="69" t="str">
        <x:v>Premium Client</x:v>
      </x:c>
      <x:c r="N38" s="69" t="str">
        <x:v>Trusted</x:v>
      </x:c>
      <x:c r="O38" s="69" t="str">
        <x:v>Private Banking Center: Cost / mature net / maturation / traits / land fit preview.</x:v>
      </x:c>
      <x:c r="P38" s="69" t="str">
        <x:v>Base card; placement and market modifiers apply separately.</x:v>
      </x:c>
    </x:row>
    <x:row r="39">
      <x:c r="A39" s="69" t="n">
        <x:v>38</x:v>
      </x:c>
      <x:c r="B39" s="69" t="str">
        <x:v>Corporate Treasury Center</x:v>
      </x:c>
      <x:c r="C39" s="69" t="str">
        <x:v>Treasury, Vault &amp; Custody</x:v>
      </x:c>
      <x:c r="D39" s="69" t="str">
        <x:v>Established</x:v>
      </x:c>
      <x:c r="E39" s="90" t="n">
        <x:v>171000</x:v>
      </x:c>
      <x:c r="F39" s="90" t="n">
        <x:v>2450</x:v>
      </x:c>
      <x:c r="G39" s="69" t="n">
        <x:v>4</x:v>
      </x:c>
      <x:c r="H39" s="106" t="n">
        <x:v>0.55</x:v>
      </x:c>
      <x:c r="I39" s="106" t="n">
        <x:v>0.8</x:v>
      </x:c>
      <x:c r="J39" s="106" t="n">
        <x:v>1</x:v>
      </x:c>
      <x:c r="K39" s="69" t="n">
        <x:v>16</x:v>
      </x:c>
      <x:c r="L39" s="69" t="str">
        <x:v>Secure</x:v>
      </x:c>
      <x:c r="M39" s="69" t="str">
        <x:v>Capital Linked</x:v>
      </x:c>
      <x:c r="N39" s="69" t="str">
        <x:v>Defensive</x:v>
      </x:c>
      <x:c r="O39" s="69" t="str">
        <x:v>Corporate Treasury Center: Cost / mature net / maturation / traits / land fit preview.</x:v>
      </x:c>
      <x:c r="P39" s="69" t="str">
        <x:v>Base card; placement and market modifiers apply separately.</x:v>
      </x:c>
    </x:row>
    <x:row r="40">
      <x:c r="A40" s="69" t="n">
        <x:v>39</x:v>
      </x:c>
      <x:c r="B40" s="69" t="str">
        <x:v>Securities Exchange</x:v>
      </x:c>
      <x:c r="C40" s="69" t="str">
        <x:v>Trading &amp; Markets</x:v>
      </x:c>
      <x:c r="D40" s="69" t="str">
        <x:v>Established</x:v>
      </x:c>
      <x:c r="E40" s="90" t="n">
        <x:v>189000</x:v>
      </x:c>
      <x:c r="F40" s="90" t="n">
        <x:v>2650</x:v>
      </x:c>
      <x:c r="G40" s="69" t="n">
        <x:v>4</x:v>
      </x:c>
      <x:c r="H40" s="106" t="n">
        <x:v>0.55</x:v>
      </x:c>
      <x:c r="I40" s="106" t="n">
        <x:v>0.8</x:v>
      </x:c>
      <x:c r="J40" s="106" t="n">
        <x:v>1</x:v>
      </x:c>
      <x:c r="K40" s="69" t="n">
        <x:v>16</x:v>
      </x:c>
      <x:c r="L40" s="69" t="str">
        <x:v>Market Sensitive</x:v>
      </x:c>
      <x:c r="M40" s="69" t="str">
        <x:v>Data Intensive</x:v>
      </x:c>
      <x:c r="N40" s="69" t="str">
        <x:v>Networked</x:v>
      </x:c>
      <x:c r="O40" s="69" t="str">
        <x:v>Securities Exchange: Cost / mature net / maturation / traits / land fit preview.</x:v>
      </x:c>
      <x:c r="P40" s="69" t="str">
        <x:v>Base card; placement and market modifiers apply separately.</x:v>
      </x:c>
    </x:row>
    <x:row r="41">
      <x:c r="A41" s="69" t="n">
        <x:v>40</x:v>
      </x:c>
      <x:c r="B41" s="69" t="str">
        <x:v>Investment Bank</x:v>
      </x:c>
      <x:c r="C41" s="69" t="str">
        <x:v>Institutional Finance</x:v>
      </x:c>
      <x:c r="D41" s="69" t="str">
        <x:v>Established</x:v>
      </x:c>
      <x:c r="E41" s="90" t="n">
        <x:v>207000</x:v>
      </x:c>
      <x:c r="F41" s="90" t="n">
        <x:v>2850</x:v>
      </x:c>
      <x:c r="G41" s="69" t="n">
        <x:v>4</x:v>
      </x:c>
      <x:c r="H41" s="106" t="n">
        <x:v>0.55</x:v>
      </x:c>
      <x:c r="I41" s="106" t="n">
        <x:v>0.8</x:v>
      </x:c>
      <x:c r="J41" s="106" t="n">
        <x:v>1</x:v>
      </x:c>
      <x:c r="K41" s="69" t="n">
        <x:v>15</x:v>
      </x:c>
      <x:c r="L41" s="69" t="str">
        <x:v>Institutional</x:v>
      </x:c>
      <x:c r="M41" s="69" t="str">
        <x:v>Prestige</x:v>
      </x:c>
      <x:c r="N41" s="69" t="str">
        <x:v>Capital Linked</x:v>
      </x:c>
      <x:c r="O41" s="69" t="str">
        <x:v>Investment Bank: Cost / mature net / maturation / traits / land fit preview.</x:v>
      </x:c>
      <x:c r="P41" s="69" t="str">
        <x:v>Base card; placement and market modifiers apply separately.</x:v>
      </x:c>
    </x:row>
    <x:row r="42">
      <x:c r="A42" s="69" t="n">
        <x:v>41</x:v>
      </x:c>
      <x:c r="B42" s="69" t="str">
        <x:v>Global Brokerage Tower</x:v>
      </x:c>
      <x:c r="C42" s="69" t="str">
        <x:v>Brokerage</x:v>
      </x:c>
      <x:c r="D42" s="69" t="str">
        <x:v>Elite</x:v>
      </x:c>
      <x:c r="E42" s="90" t="n">
        <x:v>250000</x:v>
      </x:c>
      <x:c r="F42" s="90" t="n">
        <x:v>3400</x:v>
      </x:c>
      <x:c r="G42" s="69" t="n">
        <x:v>5</x:v>
      </x:c>
      <x:c r="H42" s="106" t="n">
        <x:v>0.55</x:v>
      </x:c>
      <x:c r="I42" s="106" t="n">
        <x:v>0.8</x:v>
      </x:c>
      <x:c r="J42" s="106" t="n">
        <x:v>1</x:v>
      </x:c>
      <x:c r="K42" s="69" t="n">
        <x:v>15</x:v>
      </x:c>
      <x:c r="L42" s="69" t="str">
        <x:v>Customer Facing</x:v>
      </x:c>
      <x:c r="M42" s="69" t="str">
        <x:v>Market Sensitive</x:v>
      </x:c>
      <x:c r="N42" s="69" t="str">
        <x:v>Data Intensive</x:v>
      </x:c>
      <x:c r="O42" s="69" t="str">
        <x:v>Global Brokerage Tower: Cost / mature net / maturation / traits / land fit preview.</x:v>
      </x:c>
      <x:c r="P42" s="69" t="str">
        <x:v>Base card; placement and market modifiers apply separately.</x:v>
      </x:c>
    </x:row>
    <x:row r="43">
      <x:c r="A43" s="69" t="n">
        <x:v>42</x:v>
      </x:c>
      <x:c r="B43" s="69" t="str">
        <x:v>Major Asset Manager</x:v>
      </x:c>
      <x:c r="C43" s="69" t="str">
        <x:v>Funds &amp; Asset Management</x:v>
      </x:c>
      <x:c r="D43" s="69" t="str">
        <x:v>Elite</x:v>
      </x:c>
      <x:c r="E43" s="90" t="n">
        <x:v>340000</x:v>
      </x:c>
      <x:c r="F43" s="90" t="n">
        <x:v>4200</x:v>
      </x:c>
      <x:c r="G43" s="69" t="n">
        <x:v>5</x:v>
      </x:c>
      <x:c r="H43" s="106" t="n">
        <x:v>0.55</x:v>
      </x:c>
      <x:c r="I43" s="106" t="n">
        <x:v>0.8</x:v>
      </x:c>
      <x:c r="J43" s="106" t="n">
        <x:v>1</x:v>
      </x:c>
      <x:c r="K43" s="69" t="n">
        <x:v>14</x:v>
      </x:c>
      <x:c r="L43" s="69" t="str">
        <x:v>Capital Linked</x:v>
      </x:c>
      <x:c r="M43" s="69" t="str">
        <x:v>Prestige</x:v>
      </x:c>
      <x:c r="N43" s="69" t="str">
        <x:v>Data Intensive</x:v>
      </x:c>
      <x:c r="O43" s="69" t="str">
        <x:v>Major Asset Manager: Cost / mature net / maturation / traits / land fit preview.</x:v>
      </x:c>
      <x:c r="P43" s="69" t="str">
        <x:v>Base card; placement and market modifiers apply separately.</x:v>
      </x:c>
    </x:row>
    <x:row r="44">
      <x:c r="A44" s="69" t="n">
        <x:v>43</x:v>
      </x:c>
      <x:c r="B44" s="69" t="str">
        <x:v>Institutional Trading Center</x:v>
      </x:c>
      <x:c r="C44" s="69" t="str">
        <x:v>Trading &amp; Markets</x:v>
      </x:c>
      <x:c r="D44" s="69" t="str">
        <x:v>Elite</x:v>
      </x:c>
      <x:c r="E44" s="90" t="n">
        <x:v>430000</x:v>
      </x:c>
      <x:c r="F44" s="90" t="n">
        <x:v>5000</x:v>
      </x:c>
      <x:c r="G44" s="69" t="n">
        <x:v>5</x:v>
      </x:c>
      <x:c r="H44" s="106" t="n">
        <x:v>0.55</x:v>
      </x:c>
      <x:c r="I44" s="106" t="n">
        <x:v>0.8</x:v>
      </x:c>
      <x:c r="J44" s="106" t="n">
        <x:v>1</x:v>
      </x:c>
      <x:c r="K44" s="69" t="n">
        <x:v>14</x:v>
      </x:c>
      <x:c r="L44" s="69" t="str">
        <x:v>Market Sensitive</x:v>
      </x:c>
      <x:c r="M44" s="69" t="str">
        <x:v>Data Intensive</x:v>
      </x:c>
      <x:c r="N44" s="69" t="str">
        <x:v>Networked</x:v>
      </x:c>
      <x:c r="O44" s="69" t="str">
        <x:v>Institutional Trading Center: Cost / mature net / maturation / traits / land fit preview.</x:v>
      </x:c>
      <x:c r="P44" s="69" t="str">
        <x:v>Base card; placement and market modifiers apply separately.</x:v>
      </x:c>
    </x:row>
    <x:row r="45">
      <x:c r="A45" s="69" t="n">
        <x:v>44</x:v>
      </x:c>
      <x:c r="B45" s="69" t="str">
        <x:v>Global Wealth Center</x:v>
      </x:c>
      <x:c r="C45" s="69" t="str">
        <x:v>Wealth &amp; Advisory</x:v>
      </x:c>
      <x:c r="D45" s="69" t="str">
        <x:v>Elite</x:v>
      </x:c>
      <x:c r="E45" s="90" t="n">
        <x:v>520000</x:v>
      </x:c>
      <x:c r="F45" s="90" t="n">
        <x:v>5800</x:v>
      </x:c>
      <x:c r="G45" s="69" t="n">
        <x:v>5</x:v>
      </x:c>
      <x:c r="H45" s="106" t="n">
        <x:v>0.55</x:v>
      </x:c>
      <x:c r="I45" s="106" t="n">
        <x:v>0.8</x:v>
      </x:c>
      <x:c r="J45" s="106" t="n">
        <x:v>1</x:v>
      </x:c>
      <x:c r="K45" s="69" t="n">
        <x:v>13</x:v>
      </x:c>
      <x:c r="L45" s="69" t="str">
        <x:v>Prestige</x:v>
      </x:c>
      <x:c r="M45" s="69" t="str">
        <x:v>Premium Client</x:v>
      </x:c>
      <x:c r="N45" s="69" t="str">
        <x:v>Trusted</x:v>
      </x:c>
      <x:c r="O45" s="69" t="str">
        <x:v>Global Wealth Center: Cost / mature net / maturation / traits / land fit preview.</x:v>
      </x:c>
      <x:c r="P45" s="69" t="str">
        <x:v>Base card; placement and market modifiers apply separately.</x:v>
      </x:c>
    </x:row>
    <x:row r="46">
      <x:c r="A46" s="69" t="n">
        <x:v>45</x:v>
      </x:c>
      <x:c r="B46" s="69" t="str">
        <x:v>Financial Exchange Tower</x:v>
      </x:c>
      <x:c r="C46" s="69" t="str">
        <x:v>Trading &amp; Markets</x:v>
      </x:c>
      <x:c r="D46" s="69" t="str">
        <x:v>Elite</x:v>
      </x:c>
      <x:c r="E46" s="90" t="n">
        <x:v>610000</x:v>
      </x:c>
      <x:c r="F46" s="90" t="n">
        <x:v>6600</x:v>
      </x:c>
      <x:c r="G46" s="69" t="n">
        <x:v>5</x:v>
      </x:c>
      <x:c r="H46" s="106" t="n">
        <x:v>0.55</x:v>
      </x:c>
      <x:c r="I46" s="106" t="n">
        <x:v>0.8</x:v>
      </x:c>
      <x:c r="J46" s="106" t="n">
        <x:v>1</x:v>
      </x:c>
      <x:c r="K46" s="69" t="n">
        <x:v>13</x:v>
      </x:c>
      <x:c r="L46" s="69" t="str">
        <x:v>Market Sensitive</x:v>
      </x:c>
      <x:c r="M46" s="69" t="str">
        <x:v>Data Intensive</x:v>
      </x:c>
      <x:c r="N46" s="69" t="str">
        <x:v>Networked</x:v>
      </x:c>
      <x:c r="O46" s="69" t="str">
        <x:v>Financial Exchange Tower: Cost / mature net / maturation / traits / land fit preview.</x:v>
      </x:c>
      <x:c r="P46" s="69" t="str">
        <x:v>Base card; placement and market modifiers apply separately.</x:v>
      </x:c>
    </x:row>
    <x:row r="47">
      <x:c r="A47" s="69" t="n">
        <x:v>46</x:v>
      </x:c>
      <x:c r="B47" s="69" t="str">
        <x:v>International Bank HQ</x:v>
      </x:c>
      <x:c r="C47" s="69" t="str">
        <x:v>Banking &amp; Savings</x:v>
      </x:c>
      <x:c r="D47" s="69" t="str">
        <x:v>Tycoon</x:v>
      </x:c>
      <x:c r="E47" s="90" t="n">
        <x:v>900000</x:v>
      </x:c>
      <x:c r="F47" s="90" t="n">
        <x:v>8000</x:v>
      </x:c>
      <x:c r="G47" s="69" t="n">
        <x:v>7</x:v>
      </x:c>
      <x:c r="H47" s="106" t="n">
        <x:v>0.55</x:v>
      </x:c>
      <x:c r="I47" s="106" t="n">
        <x:v>0.8</x:v>
      </x:c>
      <x:c r="J47" s="106" t="n">
        <x:v>1</x:v>
      </x:c>
      <x:c r="K47" s="69" t="n">
        <x:v>12</x:v>
      </x:c>
      <x:c r="L47" s="69" t="str">
        <x:v>Trusted</x:v>
      </x:c>
      <x:c r="M47" s="69" t="str">
        <x:v>Capital Linked</x:v>
      </x:c>
      <x:c r="N47" s="69" t="str">
        <x:v>Secure</x:v>
      </x:c>
      <x:c r="O47" s="69" t="str">
        <x:v>International Bank HQ: Cost / mature net / maturation / traits / land fit preview.</x:v>
      </x:c>
      <x:c r="P47" s="69" t="str">
        <x:v>Base card; placement and market modifiers apply separately.</x:v>
      </x:c>
    </x:row>
    <x:row r="48">
      <x:c r="A48" s="69" t="n">
        <x:v>47</x:v>
      </x:c>
      <x:c r="B48" s="69" t="str">
        <x:v>Global Investment Bank</x:v>
      </x:c>
      <x:c r="C48" s="69" t="str">
        <x:v>Institutional Finance</x:v>
      </x:c>
      <x:c r="D48" s="69" t="str">
        <x:v>Tycoon</x:v>
      </x:c>
      <x:c r="E48" s="90" t="n">
        <x:v>1350000</x:v>
      </x:c>
      <x:c r="F48" s="90" t="n">
        <x:v>11000</x:v>
      </x:c>
      <x:c r="G48" s="69" t="n">
        <x:v>7</x:v>
      </x:c>
      <x:c r="H48" s="106" t="n">
        <x:v>0.55</x:v>
      </x:c>
      <x:c r="I48" s="106" t="n">
        <x:v>0.8</x:v>
      </x:c>
      <x:c r="J48" s="106" t="n">
        <x:v>1</x:v>
      </x:c>
      <x:c r="K48" s="69" t="n">
        <x:v>12</x:v>
      </x:c>
      <x:c r="L48" s="69" t="str">
        <x:v>Institutional</x:v>
      </x:c>
      <x:c r="M48" s="69" t="str">
        <x:v>Prestige</x:v>
      </x:c>
      <x:c r="N48" s="69" t="str">
        <x:v>Capital Linked</x:v>
      </x:c>
      <x:c r="O48" s="69" t="str">
        <x:v>Global Investment Bank: Cost / mature net / maturation / traits / land fit preview.</x:v>
      </x:c>
      <x:c r="P48" s="69" t="str">
        <x:v>Base card; placement and market modifiers apply separately.</x:v>
      </x:c>
    </x:row>
    <x:row r="49">
      <x:c r="A49" s="69" t="n">
        <x:v>48</x:v>
      </x:c>
      <x:c r="B49" s="69" t="str">
        <x:v>Sovereign Fund Tower</x:v>
      </x:c>
      <x:c r="C49" s="69" t="str">
        <x:v>Funds &amp; Asset Management</x:v>
      </x:c>
      <x:c r="D49" s="69" t="str">
        <x:v>Tycoon</x:v>
      </x:c>
      <x:c r="E49" s="90" t="n">
        <x:v>1800000</x:v>
      </x:c>
      <x:c r="F49" s="90" t="n">
        <x:v>14000</x:v>
      </x:c>
      <x:c r="G49" s="69" t="n">
        <x:v>7</x:v>
      </x:c>
      <x:c r="H49" s="106" t="n">
        <x:v>0.55</x:v>
      </x:c>
      <x:c r="I49" s="106" t="n">
        <x:v>0.8</x:v>
      </x:c>
      <x:c r="J49" s="106" t="n">
        <x:v>1</x:v>
      </x:c>
      <x:c r="K49" s="69" t="n">
        <x:v>11</x:v>
      </x:c>
      <x:c r="L49" s="69" t="str">
        <x:v>Capital Linked</x:v>
      </x:c>
      <x:c r="M49" s="69" t="str">
        <x:v>Prestige</x:v>
      </x:c>
      <x:c r="N49" s="69" t="str">
        <x:v>Data Intensive</x:v>
      </x:c>
      <x:c r="O49" s="69" t="str">
        <x:v>Sovereign Fund Tower: Cost / mature net / maturation / traits / land fit preview.</x:v>
      </x:c>
      <x:c r="P49" s="69" t="str">
        <x:v>Base card; placement and market modifiers apply separately.</x:v>
      </x:c>
    </x:row>
    <x:row r="50">
      <x:c r="A50" s="69" t="n">
        <x:v>49</x:v>
      </x:c>
      <x:c r="B50" s="69" t="str">
        <x:v>World Financial Exchange</x:v>
      </x:c>
      <x:c r="C50" s="69" t="str">
        <x:v>Trading &amp; Markets</x:v>
      </x:c>
      <x:c r="D50" s="69" t="str">
        <x:v>Tycoon</x:v>
      </x:c>
      <x:c r="E50" s="90" t="n">
        <x:v>2250000</x:v>
      </x:c>
      <x:c r="F50" s="90" t="n">
        <x:v>17000</x:v>
      </x:c>
      <x:c r="G50" s="69" t="n">
        <x:v>7</x:v>
      </x:c>
      <x:c r="H50" s="106" t="n">
        <x:v>0.55</x:v>
      </x:c>
      <x:c r="I50" s="106" t="n">
        <x:v>0.8</x:v>
      </x:c>
      <x:c r="J50" s="106" t="n">
        <x:v>1</x:v>
      </x:c>
      <x:c r="K50" s="69" t="n">
        <x:v>11</x:v>
      </x:c>
      <x:c r="L50" s="69" t="str">
        <x:v>Market Sensitive</x:v>
      </x:c>
      <x:c r="M50" s="69" t="str">
        <x:v>Data Intensive</x:v>
      </x:c>
      <x:c r="N50" s="69" t="str">
        <x:v>Networked</x:v>
      </x:c>
      <x:c r="O50" s="69" t="str">
        <x:v>World Financial Exchange: Cost / mature net / maturation / traits / land fit preview.</x:v>
      </x:c>
      <x:c r="P50" s="69" t="str">
        <x:v>Base card; placement and market modifiers apply separately.</x:v>
      </x:c>
    </x:row>
    <x:row r="51">
      <x:c r="A51" s="69" t="n">
        <x:v>50</x:v>
      </x:c>
      <x:c r="B51" s="69" t="str">
        <x:v>Financial Empire Headquarters</x:v>
      </x:c>
      <x:c r="C51" s="69" t="str">
        <x:v>Institutional Finance</x:v>
      </x:c>
      <x:c r="D51" s="69" t="str">
        <x:v>Tycoon</x:v>
      </x:c>
      <x:c r="E51" s="90" t="n">
        <x:v>2700000</x:v>
      </x:c>
      <x:c r="F51" s="90" t="n">
        <x:v>20000</x:v>
      </x:c>
      <x:c r="G51" s="69" t="n">
        <x:v>7</x:v>
      </x:c>
      <x:c r="H51" s="106" t="n">
        <x:v>0.55</x:v>
      </x:c>
      <x:c r="I51" s="106" t="n">
        <x:v>0.8</x:v>
      </x:c>
      <x:c r="J51" s="106" t="n">
        <x:v>1</x:v>
      </x:c>
      <x:c r="K51" s="69" t="n">
        <x:v>10</x:v>
      </x:c>
      <x:c r="L51" s="69" t="str">
        <x:v>Institutional</x:v>
      </x:c>
      <x:c r="M51" s="69" t="str">
        <x:v>Prestige</x:v>
      </x:c>
      <x:c r="N51" s="69" t="str">
        <x:v>Capital Linked</x:v>
      </x:c>
      <x:c r="O51" s="69" t="str">
        <x:v>Financial Empire Headquarters: Cost / mature net / maturation / traits / land fit preview.</x:v>
      </x:c>
      <x:c r="P51" s="69" t="str">
        <x:v>Base card; placement and market modifiers apply separately.</x:v>
      </x:c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conditionalFormatting sqref="E2:E5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{66F0323A-38EA-B44A-2907-4393A3444D53}</x14:id>
        </x:ext>
      </x:extLst>
    </x:cfRule>
  </x:conditionalFormatting>
  <x:conditionalFormatting sqref="F2:F51">
    <x:cfRule type="dataBar" priority="2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{07901356-1797-62A2-E2D3-3D97F27E34B7}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F0323A-38EA-B44A-2907-4393A3444D53}">
            <x14:dataBar gradient="1">
              <x14:cfvo type="min"/>
              <x14:cfvo type="max"/>
              <x14:fillColor rgb="FFA02B93"/>
            </x14:dataBar>
          </x14:cfRule>
          <xm:sqref>E2:E51</xm:sqref>
        </x14:conditionalFormatting>
        <x14:conditionalFormatting>
          <x14:cfRule type="dataBar" priority="2" id="{07901356-1797-62A2-E2D3-3D97F27E34B7}">
            <x14:dataBar gradient="1">
              <x14:cfvo type="min"/>
              <x14:cfvo type="max"/>
              <x14:fillColor rgb="FF4EA72E"/>
            </x14:dataBar>
          </x14:cfRule>
          <xm:sqref>F2:F51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48" hidden="0" customWidth="1"/>
    <x:col min="5" max="5" width="16" hidden="0" customWidth="1"/>
    <x:col min="6" max="6" width="24" hidden="0" customWidth="1"/>
    <x:col min="7" max="7" width="26" hidden="0" customWidth="1"/>
    <x:col min="8" max="8" width="30" hidden="0" customWidth="1"/>
    <x:col min="9" max="9" width="42" hidden="0" customWidth="1"/>
  </x:cols>
  <x:sheetData>
    <x:row r="1">
      <x:c r="A1" s="84" t="str">
        <x:v>Trait</x:v>
      </x:c>
      <x:c r="B1" s="84" t="str">
        <x:v>Applies To</x:v>
      </x:c>
      <x:c r="C1" s="84" t="str">
        <x:v>Primary Land Attribute</x:v>
      </x:c>
      <x:c r="D1" s="84" t="str">
        <x:v>Mechanical Rule</x:v>
      </x:c>
      <x:c r="E1" s="84" t="str">
        <x:v>Base Strength</x:v>
      </x:c>
      <x:c r="F1" s="84" t="str">
        <x:v>Stacking Rule</x:v>
      </x:c>
      <x:c r="G1" s="84" t="str">
        <x:v>Visual / UI Meaning</x:v>
      </x:c>
      <x:c r="H1" s="84" t="str">
        <x:v>Example Buildings</x:v>
      </x:c>
      <x:c r="I1" s="84" t="str">
        <x:v>Balance Guardrail</x:v>
      </x:c>
      <x:c r="J1" s="67"/>
      <x:c r="K1" s="67"/>
      <x:c r="L1" s="67"/>
      <x:c r="M1" s="67"/>
      <x:c r="N1" s="67"/>
      <x:c r="O1" s="67"/>
      <x:c r="P1" s="67"/>
    </x:row>
    <x:row r="2">
      <x:c r="A2" s="69" t="str">
        <x:v>Customer Facing</x:v>
      </x:c>
      <x:c r="B2" s="69" t="str">
        <x:v>Retail, lending, brokerage</x:v>
      </x:c>
      <x:c r="C2" s="69" t="str">
        <x:v>Footfall</x:v>
      </x:c>
      <x:c r="D2" s="69" t="str">
        <x:v>Each 10 Footfall above 50 gives +2.0% acquisition</x:v>
      </x:c>
      <x:c r="E2" s="110" t="n">
        <x:v>0.02</x:v>
      </x:c>
      <x:c r="F2" s="69" t="str">
        <x:v>Additive, cap +20%</x:v>
      </x:c>
      <x:c r="G2" s="69" t="str">
        <x:v>Crowd/customer icon</x:v>
      </x:c>
      <x:c r="H2" s="69" t="str">
        <x:v>Cash Kiosk, Brokerage House</x:v>
      </x:c>
      <x:c r="I2" s="69" t="str">
        <x:v>Do not double-count with universal land bonus.</x:v>
      </x:c>
      <x:c r="J2" s="67"/>
      <x:c r="K2" s="67"/>
      <x:c r="L2" s="67"/>
      <x:c r="M2" s="67"/>
      <x:c r="N2" s="67"/>
      <x:c r="O2" s="67"/>
      <x:c r="P2" s="67"/>
    </x:row>
    <x:row r="3">
      <x:c r="A3" s="69" t="str">
        <x:v>Accessible</x:v>
      </x:c>
      <x:c r="B3" s="69" t="str">
        <x:v>Retail, lending, insurance</x:v>
      </x:c>
      <x:c r="C3" s="69" t="str">
        <x:v>Road Access</x:v>
      </x:c>
      <x:c r="D3" s="69" t="str">
        <x:v>Each 10 Road above 50 gives +1.5% acquisition/throughput</x:v>
      </x:c>
      <x:c r="E3" s="110" t="n">
        <x:v>0.015</x:v>
      </x:c>
      <x:c r="F3" s="69" t="str">
        <x:v>Additive, cap +15%</x:v>
      </x:c>
      <x:c r="G3" s="69" t="str">
        <x:v>Road/access icon</x:v>
      </x:c>
      <x:c r="H3" s="69" t="str">
        <x:v>Micro Loan Booth, Financial Services Hub</x:v>
      </x:c>
      <x:c r="I3" s="69" t="str">
        <x:v>Low-road land should still be viable.</x:v>
      </x:c>
      <x:c r="J3" s="67"/>
      <x:c r="K3" s="67"/>
      <x:c r="L3" s="67"/>
      <x:c r="M3" s="67"/>
      <x:c r="N3" s="67"/>
      <x:c r="O3" s="67"/>
      <x:c r="P3" s="67"/>
    </x:row>
    <x:row r="4">
      <x:c r="A4" s="69" t="str">
        <x:v>Prestige</x:v>
      </x:c>
      <x:c r="B4" s="69" t="str">
        <x:v>Wealth, funds, institutional</x:v>
      </x:c>
      <x:c r="C4" s="69" t="str">
        <x:v>Prestige</x:v>
      </x:c>
      <x:c r="D4" s="69" t="str">
        <x:v>Each 10 Prestige above 50 shifts +2% toward premium segments</x:v>
      </x:c>
      <x:c r="E4" s="110" t="n">
        <x:v>0.02</x:v>
      </x:c>
      <x:c r="F4" s="69" t="str">
        <x:v>Segment shift, cap +20%</x:v>
      </x:c>
      <x:c r="G4" s="69" t="str">
        <x:v>Premium star</x:v>
      </x:c>
      <x:c r="H4" s="69" t="str">
        <x:v>Global Wealth Center</x:v>
      </x:c>
      <x:c r="I4" s="69" t="str">
        <x:v>Not a raw revenue multiplier by itself.</x:v>
      </x:c>
      <x:c r="J4" s="67"/>
      <x:c r="K4" s="67"/>
      <x:c r="L4" s="67"/>
      <x:c r="M4" s="67"/>
      <x:c r="N4" s="67"/>
      <x:c r="O4" s="67"/>
      <x:c r="P4" s="67"/>
    </x:row>
    <x:row r="5">
      <x:c r="A5" s="69" t="str">
        <x:v>Capital Linked</x:v>
      </x:c>
      <x:c r="B5" s="69" t="str">
        <x:v>Banks, funds, institutional</x:v>
      </x:c>
      <x:c r="C5" s="69" t="str">
        <x:v>Capital Access</x:v>
      </x:c>
      <x:c r="D5" s="69" t="str">
        <x:v>Each 10 Capital above 50 adds +2% premium/institutional capacity</x:v>
      </x:c>
      <x:c r="E5" s="110" t="n">
        <x:v>0.02</x:v>
      </x:c>
      <x:c r="F5" s="69" t="str">
        <x:v>Cap +20%</x:v>
      </x:c>
      <x:c r="G5" s="69" t="str">
        <x:v>Capital node icon</x:v>
      </x:c>
      <x:c r="H5" s="69" t="str">
        <x:v>Investment Bank</x:v>
      </x:c>
      <x:c r="I5" s="69" t="str">
        <x:v>Must affect customer mix/capacity.</x:v>
      </x:c>
      <x:c r="J5" s="67"/>
      <x:c r="K5" s="67"/>
      <x:c r="L5" s="67"/>
      <x:c r="M5" s="67"/>
      <x:c r="N5" s="67"/>
      <x:c r="O5" s="67"/>
      <x:c r="P5" s="67"/>
    </x:row>
    <x:row r="6">
      <x:c r="A6" s="69" t="str">
        <x:v>Data Intensive</x:v>
      </x:c>
      <x:c r="B6" s="69" t="str">
        <x:v>Trading, brokerage, fintech</x:v>
      </x:c>
      <x:c r="C6" s="69" t="str">
        <x:v>Data/Talent</x:v>
      </x:c>
      <x:c r="D6" s="69" t="str">
        <x:v>Each 10 Data above 50 gives +2% operational efficiency</x:v>
      </x:c>
      <x:c r="E6" s="110" t="n">
        <x:v>0.02</x:v>
      </x:c>
      <x:c r="F6" s="69" t="str">
        <x:v>Cap +18%</x:v>
      </x:c>
      <x:c r="G6" s="69" t="str">
        <x:v>Data icon</x:v>
      </x:c>
      <x:c r="H6" s="69" t="str">
        <x:v>Market Maker Office</x:v>
      </x:c>
      <x:c r="I6" s="69" t="str">
        <x:v>Apply after maturation.</x:v>
      </x:c>
      <x:c r="J6" s="67"/>
      <x:c r="K6" s="67"/>
      <x:c r="L6" s="67"/>
      <x:c r="M6" s="67"/>
      <x:c r="N6" s="67"/>
      <x:c r="O6" s="67"/>
      <x:c r="P6" s="67"/>
    </x:row>
    <x:row r="7">
      <x:c r="A7" s="69" t="str">
        <x:v>Secure</x:v>
      </x:c>
      <x:c r="B7" s="69" t="str">
        <x:v>Vaults, banks, insurance</x:v>
      </x:c>
      <x:c r="C7" s="69" t="str">
        <x:v>Security</x:v>
      </x:c>
      <x:c r="D7" s="69" t="str">
        <x:v>Each 10 Security above 50 reduces risk/loss by 2%</x:v>
      </x:c>
      <x:c r="E7" s="110" t="n">
        <x:v>0.02</x:v>
      </x:c>
      <x:c r="F7" s="69" t="str">
        <x:v>Cap 20% risk reduction</x:v>
      </x:c>
      <x:c r="G7" s="69" t="str">
        <x:v>Shield</x:v>
      </x:c>
      <x:c r="H7" s="69" t="str">
        <x:v>Private Vault Facility</x:v>
      </x:c>
      <x:c r="I7" s="69" t="str">
        <x:v>Cannot create zero-risk state.</x:v>
      </x:c>
      <x:c r="J7" s="67"/>
      <x:c r="K7" s="67"/>
      <x:c r="L7" s="67"/>
      <x:c r="M7" s="67"/>
      <x:c r="N7" s="67"/>
      <x:c r="O7" s="67"/>
      <x:c r="P7" s="67"/>
    </x:row>
    <x:row r="8">
      <x:c r="A8" s="69" t="str">
        <x:v>Defensive</x:v>
      </x:c>
      <x:c r="B8" s="69" t="str">
        <x:v>Insurance, treasury</x:v>
      </x:c>
      <x:c r="C8" s="69" t="str">
        <x:v>Security / market state</x:v>
      </x:c>
      <x:c r="D8" s="69" t="str">
        <x:v>Negative event penalties reduced by 25%</x:v>
      </x:c>
      <x:c r="E8" s="110" t="n">
        <x:v>0.25</x:v>
      </x:c>
      <x:c r="F8" s="69" t="str">
        <x:v>Multiplicative</x:v>
      </x:c>
      <x:c r="G8" s="69" t="str">
        <x:v>Shield/down-arrow</x:v>
      </x:c>
      <x:c r="H8" s="69" t="str">
        <x:v>Insurance Company HQ</x:v>
      </x:c>
      <x:c r="I8" s="69" t="str">
        <x:v>Should sacrifice some upside.</x:v>
      </x:c>
      <x:c r="J8" s="67"/>
      <x:c r="K8" s="67"/>
      <x:c r="L8" s="67"/>
      <x:c r="M8" s="67"/>
      <x:c r="N8" s="67"/>
      <x:c r="O8" s="67"/>
      <x:c r="P8" s="67"/>
    </x:row>
    <x:row r="9">
      <x:c r="A9" s="69" t="str">
        <x:v>Market Sensitive</x:v>
      </x:c>
      <x:c r="B9" s="69" t="str">
        <x:v>Trading, brokerage</x:v>
      </x:c>
      <x:c r="C9" s="69" t="str">
        <x:v>Market condition</x:v>
      </x:c>
      <x:c r="D9" s="69" t="str">
        <x:v>Receives ± market condition modifier at 1.25× strength</x:v>
      </x:c>
      <x:c r="E9" s="110" t="n">
        <x:v>1.25</x:v>
      </x:c>
      <x:c r="F9" s="69" t="str">
        <x:v>Multiplicative</x:v>
      </x:c>
      <x:c r="G9" s="69" t="str">
        <x:v>Chart pulse</x:v>
      </x:c>
      <x:c r="H9" s="69" t="str">
        <x:v>Trading House</x:v>
      </x:c>
      <x:c r="I9" s="69" t="str">
        <x:v>Higher upside must include higher downside.</x:v>
      </x:c>
      <x:c r="J9" s="67"/>
      <x:c r="K9" s="67"/>
      <x:c r="L9" s="67"/>
      <x:c r="M9" s="67"/>
      <x:c r="N9" s="67"/>
      <x:c r="O9" s="67"/>
      <x:c r="P9" s="67"/>
    </x:row>
    <x:row r="10">
      <x:c r="A10" s="69" t="str">
        <x:v>Networked</x:v>
      </x:c>
      <x:c r="B10" s="69" t="str">
        <x:v>Trading, fintech, institutional</x:v>
      </x:c>
      <x:c r="C10" s="69" t="str">
        <x:v>Adjacency</x:v>
      </x:c>
      <x:c r="D10" s="69" t="str">
        <x:v>Valid adjacent synergistic building gives +3%, max 4 neighbors</x:v>
      </x:c>
      <x:c r="E10" s="110" t="n">
        <x:v>0.03</x:v>
      </x:c>
      <x:c r="F10" s="69" t="str">
        <x:v>Max +12%</x:v>
      </x:c>
      <x:c r="G10" s="69" t="str">
        <x:v>Linked nodes</x:v>
      </x:c>
      <x:c r="H10" s="69" t="str">
        <x:v>Financial Exchange Tower</x:v>
      </x:c>
      <x:c r="I10" s="69" t="str">
        <x:v>No infinite adjacency chains.</x:v>
      </x:c>
      <x:c r="J10" s="67"/>
      <x:c r="K10" s="67"/>
      <x:c r="L10" s="67"/>
      <x:c r="M10" s="67"/>
      <x:c r="N10" s="67"/>
      <x:c r="O10" s="67"/>
      <x:c r="P10" s="67"/>
    </x:row>
    <x:row r="11">
      <x:c r="A11" s="69" t="str">
        <x:v>Trusted</x:v>
      </x:c>
      <x:c r="B11" s="69" t="str">
        <x:v>Banks, insurance, advisory</x:v>
      </x:c>
      <x:c r="C11" s="69" t="str">
        <x:v>Prestige + Security</x:v>
      </x:c>
      <x:c r="D11" s="69" t="str">
        <x:v>Improves retention by 5% if both attributes ≥65</x:v>
      </x:c>
      <x:c r="E11" s="110" t="n">
        <x:v>0.05</x:v>
      </x:c>
      <x:c r="F11" s="69" t="str">
        <x:v>Binary</x:v>
      </x:c>
      <x:c r="G11" s="69" t="str">
        <x:v>Trust badge</x:v>
      </x:c>
      <x:c r="H11" s="69" t="str">
        <x:v>Community Bank Branch</x:v>
      </x:c>
      <x:c r="I11" s="69" t="str">
        <x:v>Requires both conditions.</x:v>
      </x:c>
      <x:c r="J11" s="67"/>
      <x:c r="K11" s="67"/>
      <x:c r="L11" s="67"/>
      <x:c r="M11" s="67"/>
      <x:c r="N11" s="67"/>
      <x:c r="O11" s="67"/>
      <x:c r="P11" s="67"/>
    </x:row>
    <x:row r="12">
      <x:c r="A12" s="69" t="str">
        <x:v>Premium Client</x:v>
      </x:c>
      <x:c r="B12" s="69" t="str">
        <x:v>Wealth, private banking</x:v>
      </x:c>
      <x:c r="C12" s="69" t="str">
        <x:v>Prestige + Amenity</x:v>
      </x:c>
      <x:c r="D12" s="69" t="str">
        <x:v>HNW customer share +5% if both ≥70</x:v>
      </x:c>
      <x:c r="E12" s="110" t="n">
        <x:v>0.05</x:v>
      </x:c>
      <x:c r="F12" s="69" t="str">
        <x:v>Binary</x:v>
      </x:c>
      <x:c r="G12" s="69" t="str">
        <x:v>Diamond/client icon</x:v>
      </x:c>
      <x:c r="H12" s="69" t="str">
        <x:v>Private Banking Center</x:v>
      </x:c>
      <x:c r="I12" s="69" t="str">
        <x:v>Late-game premium land payoff.</x:v>
      </x:c>
      <x:c r="J12" s="67"/>
      <x:c r="K12" s="67"/>
      <x:c r="L12" s="67"/>
      <x:c r="M12" s="67"/>
      <x:c r="N12" s="67"/>
      <x:c r="O12" s="67"/>
      <x:c r="P12" s="67"/>
    </x:row>
    <x:row r="13">
      <x:c r="A13" s="69" t="str">
        <x:v>Institutional</x:v>
      </x:c>
      <x:c r="B13" s="69" t="str">
        <x:v>Institutional finance</x:v>
      </x:c>
      <x:c r="C13" s="69" t="str">
        <x:v>Capital + Prestige</x:v>
      </x:c>
      <x:c r="D13" s="69" t="str">
        <x:v>Institutional segment share +6% if both ≥75</x:v>
      </x:c>
      <x:c r="E13" s="110" t="n">
        <x:v>0.06</x:v>
      </x:c>
      <x:c r="F13" s="69" t="str">
        <x:v>Binary</x:v>
      </x:c>
      <x:c r="G13" s="69" t="str">
        <x:v>Tower icon</x:v>
      </x:c>
      <x:c r="H13" s="69" t="str">
        <x:v>Global Investment Bank</x:v>
      </x:c>
      <x:c r="I13" s="69" t="str">
        <x:v>Requires genuinely premium location.</x:v>
      </x:c>
      <x:c r="J13" s="67"/>
      <x:c r="K13" s="67"/>
      <x:c r="L13" s="67"/>
      <x:c r="M13" s="67"/>
      <x:c r="N13" s="67"/>
      <x:c r="O13" s="67"/>
      <x:c r="P13" s="67"/>
    </x:row>
    <x:row r="14">
      <x:c r="A14" s="69" t="str">
        <x:v>Innovative</x:v>
      </x:c>
      <x:c r="B14" s="69" t="str">
        <x:v>Fintech/research</x:v>
      </x:c>
      <x:c r="C14" s="69" t="str">
        <x:v>Data/Talent</x:v>
      </x:c>
      <x:c r="D14" s="69" t="str">
        <x:v>Special opportunity draw chance +5% per qualifying building, cap +15%</x:v>
      </x:c>
      <x:c r="E14" s="110" t="n">
        <x:v>0.05</x:v>
      </x:c>
      <x:c r="F14" s="69" t="str">
        <x:v>Account cap +15%</x:v>
      </x:c>
      <x:c r="G14" s="69" t="str">
        <x:v>Lightbulb</x:v>
      </x:c>
      <x:c r="H14" s="69" t="str">
        <x:v>Digital Finance Hub</x:v>
      </x:c>
      <x:c r="I14" s="69" t="str">
        <x:v>Avoid snowballing beyond cap.</x:v>
      </x:c>
      <x:c r="J14" s="67"/>
      <x:c r="K14" s="67"/>
      <x:c r="L14" s="67"/>
      <x:c r="M14" s="67"/>
      <x:c r="N14" s="67"/>
      <x:c r="O14" s="67"/>
      <x:c r="P14" s="67"/>
    </x:row>
    <x:row r="15">
      <x:c r="A15" s="69" t="str">
        <x:v>Credit Sensitive</x:v>
      </x:c>
      <x:c r="B15" s="69" t="str">
        <x:v>Lending</x:v>
      </x:c>
      <x:c r="C15" s="69" t="str">
        <x:v>Rate event</x:v>
      </x:c>
      <x:c r="D15" s="69" t="str">
        <x:v>Interest-rate event modifier applied at 1.2× strength</x:v>
      </x:c>
      <x:c r="E15" s="110" t="n">
        <x:v>1.2</x:v>
      </x:c>
      <x:c r="F15" s="69" t="str">
        <x:v>Multiplicative</x:v>
      </x:c>
      <x:c r="G15" s="69" t="str">
        <x:v>Rate icon</x:v>
      </x:c>
      <x:c r="H15" s="69" t="str">
        <x:v>Lending Center</x:v>
      </x:c>
      <x:c r="I15" s="69" t="str">
        <x:v>Can help or hurt.</x:v>
      </x:c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38" hidden="0" customWidth="1"/>
  </x:cols>
  <x:sheetData>
    <x:row r="1">
      <x:c r="A1" s="84" t="str">
        <x:v>Event Type</x:v>
      </x:c>
      <x:c r="B1" s="84" t="str">
        <x:v>Base Frequency / Quarter</x:v>
      </x:c>
      <x:c r="C1" s="84" t="str">
        <x:v>Duration</x:v>
      </x:c>
      <x:c r="D1" s="84" t="str">
        <x:v>General Demand Mod</x:v>
      </x:c>
      <x:c r="E1" s="84" t="str">
        <x:v>Trading Mod</x:v>
      </x:c>
      <x:c r="F1" s="84" t="str">
        <x:v>Lending Mod</x:v>
      </x:c>
      <x:c r="G1" s="84" t="str">
        <x:v>Defensive Mod</x:v>
      </x:c>
      <x:c r="H1" s="84" t="str">
        <x:v>Premium Segment Mod</x:v>
      </x:c>
      <x:c r="I1" s="84" t="str">
        <x:v>Stock Reward Mod</x:v>
      </x:c>
      <x:c r="J1" s="84" t="str">
        <x:v>Design Purpose</x:v>
      </x:c>
      <x:c r="K1" s="67"/>
      <x:c r="L1" s="67"/>
      <x:c r="M1" s="67"/>
      <x:c r="N1" s="67"/>
      <x:c r="O1" s="67"/>
      <x:c r="P1" s="67"/>
    </x:row>
    <x:row r="2">
      <x:c r="A2" s="69" t="str">
        <x:v>Normal Market</x:v>
      </x:c>
      <x:c r="B2" s="69" t="n">
        <x:v>10</x:v>
      </x:c>
      <x:c r="C2" s="69" t="n">
        <x:v>1</x:v>
      </x:c>
      <x:c r="D2" s="110" t="n">
        <x:v>1</x:v>
      </x:c>
      <x:c r="E2" s="110" t="n">
        <x:v>1</x:v>
      </x:c>
      <x:c r="F2" s="110" t="n">
        <x:v>1</x:v>
      </x:c>
      <x:c r="G2" s="110" t="n">
        <x:v>1</x:v>
      </x:c>
      <x:c r="H2" s="110" t="n">
        <x:v>1</x:v>
      </x:c>
      <x:c r="I2" s="110" t="n">
        <x:v>1</x:v>
      </x:c>
      <x:c r="J2" s="69" t="str">
        <x:v>Baseline days.</x:v>
      </x:c>
      <x:c r="K2" s="67"/>
      <x:c r="L2" s="67"/>
      <x:c r="M2" s="67"/>
      <x:c r="N2" s="67"/>
      <x:c r="O2" s="67"/>
      <x:c r="P2" s="67"/>
    </x:row>
    <x:row r="3">
      <x:c r="A3" s="69" t="str">
        <x:v>Bull Market</x:v>
      </x:c>
      <x:c r="B3" s="69" t="n">
        <x:v>3</x:v>
      </x:c>
      <x:c r="C3" s="69" t="n">
        <x:v>2</x:v>
      </x:c>
      <x:c r="D3" s="110" t="n">
        <x:v>1.06</x:v>
      </x:c>
      <x:c r="E3" s="110" t="n">
        <x:v>1.18</x:v>
      </x:c>
      <x:c r="F3" s="110" t="n">
        <x:v>1.04</x:v>
      </x:c>
      <x:c r="G3" s="110" t="n">
        <x:v>0.98</x:v>
      </x:c>
      <x:c r="H3" s="110" t="n">
        <x:v>1.08</x:v>
      </x:c>
      <x:c r="I3" s="110" t="n">
        <x:v>1.2</x:v>
      </x:c>
      <x:c r="J3" s="69" t="str">
        <x:v>Reward market exposure and premium demand.</x:v>
      </x:c>
      <x:c r="K3" s="67"/>
      <x:c r="L3" s="67"/>
      <x:c r="M3" s="67"/>
      <x:c r="N3" s="67"/>
      <x:c r="O3" s="67"/>
      <x:c r="P3" s="67"/>
    </x:row>
    <x:row r="4">
      <x:c r="A4" s="69" t="str">
        <x:v>Risk-Off Day</x:v>
      </x:c>
      <x:c r="B4" s="69" t="n">
        <x:v>2</x:v>
      </x:c>
      <x:c r="C4" s="69" t="n">
        <x:v>1</x:v>
      </x:c>
      <x:c r="D4" s="110" t="n">
        <x:v>0.94</x:v>
      </x:c>
      <x:c r="E4" s="110" t="n">
        <x:v>0.82</x:v>
      </x:c>
      <x:c r="F4" s="110" t="n">
        <x:v>0.98</x:v>
      </x:c>
      <x:c r="G4" s="110" t="n">
        <x:v>1.1</x:v>
      </x:c>
      <x:c r="H4" s="110" t="n">
        <x:v>0.92</x:v>
      </x:c>
      <x:c r="I4" s="110" t="n">
        <x:v>0.85</x:v>
      </x:c>
      <x:c r="J4" s="69" t="str">
        <x:v>Defensive businesses outperform relative to market-sensitive ones.</x:v>
      </x:c>
      <x:c r="K4" s="67"/>
      <x:c r="L4" s="67"/>
      <x:c r="M4" s="67"/>
      <x:c r="N4" s="67"/>
      <x:c r="O4" s="67"/>
      <x:c r="P4" s="67"/>
    </x:row>
    <x:row r="5">
      <x:c r="A5" s="69" t="str">
        <x:v>High Volatility</x:v>
      </x:c>
      <x:c r="B5" s="69" t="n">
        <x:v>2</x:v>
      </x:c>
      <x:c r="C5" s="69" t="n">
        <x:v>1</x:v>
      </x:c>
      <x:c r="D5" s="110" t="n">
        <x:v>1</x:v>
      </x:c>
      <x:c r="E5" s="110" t="n">
        <x:v>1.25</x:v>
      </x:c>
      <x:c r="F5" s="110" t="n">
        <x:v>0.95</x:v>
      </x:c>
      <x:c r="G5" s="110" t="n">
        <x:v>1.05</x:v>
      </x:c>
      <x:c r="H5" s="110" t="n">
        <x:v>1</x:v>
      </x:c>
      <x:c r="I5" s="110" t="n">
        <x:v>1.15</x:v>
      </x:c>
      <x:c r="J5" s="69" t="str">
        <x:v>High upside/downside for trading businesses.</x:v>
      </x:c>
      <x:c r="K5" s="67"/>
      <x:c r="L5" s="67"/>
      <x:c r="M5" s="67"/>
      <x:c r="N5" s="67"/>
      <x:c r="O5" s="67"/>
      <x:c r="P5" s="67"/>
    </x:row>
    <x:row r="6">
      <x:c r="A6" s="69" t="str">
        <x:v>Rate Hike</x:v>
      </x:c>
      <x:c r="B6" s="69" t="n">
        <x:v>1</x:v>
      </x:c>
      <x:c r="C6" s="69" t="n">
        <x:v>2</x:v>
      </x:c>
      <x:c r="D6" s="110" t="n">
        <x:v>0.96</x:v>
      </x:c>
      <x:c r="E6" s="110" t="n">
        <x:v>0.94</x:v>
      </x:c>
      <x:c r="F6" s="110" t="n">
        <x:v>1.12</x:v>
      </x:c>
      <x:c r="G6" s="110" t="n">
        <x:v>1.04</x:v>
      </x:c>
      <x:c r="H6" s="110" t="n">
        <x:v>0.95</x:v>
      </x:c>
      <x:c r="I6" s="110" t="n">
        <x:v>0.95</x:v>
      </x:c>
      <x:c r="J6" s="69" t="str">
        <x:v>Benefit some lending, hurt rate-sensitive demand.</x:v>
      </x:c>
      <x:c r="K6" s="67"/>
      <x:c r="L6" s="67"/>
      <x:c r="M6" s="67"/>
      <x:c r="N6" s="67"/>
      <x:c r="O6" s="67"/>
      <x:c r="P6" s="67"/>
    </x:row>
    <x:row r="7">
      <x:c r="A7" s="69" t="str">
        <x:v>Rate Cut</x:v>
      </x:c>
      <x:c r="B7" s="69" t="n">
        <x:v>1</x:v>
      </x:c>
      <x:c r="C7" s="69" t="n">
        <x:v>2</x:v>
      </x:c>
      <x:c r="D7" s="110" t="n">
        <x:v>1.05</x:v>
      </x:c>
      <x:c r="E7" s="110" t="n">
        <x:v>1.08</x:v>
      </x:c>
      <x:c r="F7" s="110" t="n">
        <x:v>0.92</x:v>
      </x:c>
      <x:c r="G7" s="110" t="n">
        <x:v>0.98</x:v>
      </x:c>
      <x:c r="H7" s="110" t="n">
        <x:v>1.05</x:v>
      </x:c>
      <x:c r="I7" s="110" t="n">
        <x:v>1.05</x:v>
      </x:c>
      <x:c r="J7" s="69" t="str">
        <x:v>Boost risk appetite; compress lending economics.</x:v>
      </x:c>
      <x:c r="K7" s="67"/>
      <x:c r="L7" s="67"/>
      <x:c r="M7" s="67"/>
      <x:c r="N7" s="67"/>
      <x:c r="O7" s="67"/>
      <x:c r="P7" s="67"/>
    </x:row>
    <x:row r="8">
      <x:c r="A8" s="69" t="str">
        <x:v>Earnings Wave</x:v>
      </x:c>
      <x:c r="B8" s="69" t="n">
        <x:v>3</x:v>
      </x:c>
      <x:c r="C8" s="69" t="n">
        <x:v>1</x:v>
      </x:c>
      <x:c r="D8" s="110" t="n">
        <x:v>1.03</x:v>
      </x:c>
      <x:c r="E8" s="110" t="n">
        <x:v>1.15</x:v>
      </x:c>
      <x:c r="F8" s="110" t="n">
        <x:v>1</x:v>
      </x:c>
      <x:c r="G8" s="110" t="n">
        <x:v>1</x:v>
      </x:c>
      <x:c r="H8" s="110" t="n">
        <x:v>1.04</x:v>
      </x:c>
      <x:c r="I8" s="110" t="n">
        <x:v>1.25</x:v>
      </x:c>
      <x:c r="J8" s="69" t="str">
        <x:v>Boost stock discovery and trading activity.</x:v>
      </x:c>
      <x:c r="K8" s="67"/>
      <x:c r="L8" s="67"/>
      <x:c r="M8" s="67"/>
      <x:c r="N8" s="67"/>
      <x:c r="O8" s="67"/>
      <x:c r="P8" s="67"/>
    </x:row>
    <x:row r="9">
      <x:c r="A9" s="69" t="str">
        <x:v>Liquidity Crunch</x:v>
      </x:c>
      <x:c r="B9" s="69" t="n">
        <x:v>1</x:v>
      </x:c>
      <x:c r="C9" s="69" t="n">
        <x:v>1</x:v>
      </x:c>
      <x:c r="D9" s="110" t="n">
        <x:v>0.88</x:v>
      </x:c>
      <x:c r="E9" s="110" t="n">
        <x:v>0.85</x:v>
      </x:c>
      <x:c r="F9" s="110" t="n">
        <x:v>1.06</x:v>
      </x:c>
      <x:c r="G9" s="110" t="n">
        <x:v>1.12</x:v>
      </x:c>
      <x:c r="H9" s="110" t="n">
        <x:v>0.86</x:v>
      </x:c>
      <x:c r="I9" s="110" t="n">
        <x:v>0.8</x:v>
      </x:c>
      <x:c r="J9" s="69" t="str">
        <x:v>Tests player liquidity and diversification.</x:v>
      </x:c>
      <x:c r="K9" s="67"/>
      <x:c r="L9" s="67"/>
      <x:c r="M9" s="67"/>
      <x:c r="N9" s="67"/>
      <x:c r="O9" s="67"/>
      <x:c r="P9" s="67"/>
    </x:row>
    <x:row r="10">
      <x:c r="A10" s="69" t="str">
        <x:v>Institutional Inflow</x:v>
      </x:c>
      <x:c r="B10" s="69" t="n">
        <x:v>2</x:v>
      </x:c>
      <x:c r="C10" s="69" t="n">
        <x:v>2</x:v>
      </x:c>
      <x:c r="D10" s="110" t="n">
        <x:v>1.02</x:v>
      </x:c>
      <x:c r="E10" s="110" t="n">
        <x:v>1.08</x:v>
      </x:c>
      <x:c r="F10" s="110" t="n">
        <x:v>1</x:v>
      </x:c>
      <x:c r="G10" s="110" t="n">
        <x:v>1</x:v>
      </x:c>
      <x:c r="H10" s="110" t="n">
        <x:v>1.15</x:v>
      </x:c>
      <x:c r="I10" s="110" t="n">
        <x:v>1.1</x:v>
      </x:c>
      <x:c r="J10" s="69" t="str">
        <x:v>Reward prestige/capital access.</x:v>
      </x:c>
      <x:c r="K10" s="67"/>
      <x:c r="L10" s="67"/>
      <x:c r="M10" s="67"/>
      <x:c r="N10" s="67"/>
      <x:c r="O10" s="67"/>
      <x:c r="P10" s="67"/>
    </x:row>
    <x:row r="11">
      <x:c r="A11" s="69" t="str">
        <x:v>Consumer Boom</x:v>
      </x:c>
      <x:c r="B11" s="69" t="n">
        <x:v>3</x:v>
      </x:c>
      <x:c r="C11" s="69" t="n">
        <x:v>1</x:v>
      </x:c>
      <x:c r="D11" s="110" t="n">
        <x:v>1.12</x:v>
      </x:c>
      <x:c r="E11" s="110" t="n">
        <x:v>1.04</x:v>
      </x:c>
      <x:c r="F11" s="110" t="n">
        <x:v>1.08</x:v>
      </x:c>
      <x:c r="G11" s="110" t="n">
        <x:v>0.98</x:v>
      </x:c>
      <x:c r="H11" s="110" t="n">
        <x:v>1.02</x:v>
      </x:c>
      <x:c r="I11" s="110" t="n">
        <x:v>1</x:v>
      </x:c>
      <x:c r="J11" s="69" t="str">
        <x:v>Retail/customer-facing businesses lead.</x:v>
      </x:c>
      <x:c r="K11" s="67"/>
      <x:c r="L11" s="67"/>
      <x:c r="M11" s="67"/>
      <x:c r="N11" s="67"/>
      <x:c r="O11" s="67"/>
      <x:c r="P11" s="67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7"/>
      <x:c r="L12" s="67"/>
      <x:c r="M12" s="67"/>
      <x:c r="N12" s="67"/>
      <x:c r="O12" s="67"/>
      <x:c r="P12" s="67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7"/>
      <x:c r="L13" s="67"/>
      <x:c r="M13" s="67"/>
      <x:c r="N13" s="67"/>
      <x:c r="O13" s="67"/>
      <x:c r="P13" s="67"/>
    </x:row>
    <x:row r="14">
      <x:c r="A14" s="85" t="str">
        <x:v>Event Reveal Rule</x:v>
      </x:c>
      <x:c r="B14" s="85" t="str">
        <x:v>Value</x:v>
      </x:c>
      <x:c r="C14" s="85" t="str">
        <x:v>Reason</x:v>
      </x:c>
      <x:c r="D14" s="69"/>
      <x:c r="E14" s="69"/>
      <x:c r="F14" s="69"/>
      <x:c r="G14" s="69"/>
      <x:c r="H14" s="69"/>
      <x:c r="I14" s="69"/>
      <x:c r="J14" s="69"/>
      <x:c r="K14" s="67"/>
      <x:c r="L14" s="67"/>
      <x:c r="M14" s="67"/>
      <x:c r="N14" s="67"/>
      <x:c r="O14" s="67"/>
      <x:c r="P14" s="67"/>
    </x:row>
    <x:row r="15">
      <x:c r="A15" s="69" t="str">
        <x:v>Visible future horizon</x:v>
      </x:c>
      <x:c r="B15" s="69" t="str">
        <x:v>2 days</x:v>
      </x:c>
      <x:c r="C15" s="69" t="str">
        <x:v>Players should plan, not guess.</x:v>
      </x:c>
      <x:c r="D15" s="69"/>
      <x:c r="E15" s="69"/>
      <x:c r="F15" s="69"/>
      <x:c r="G15" s="69"/>
      <x:c r="H15" s="69"/>
      <x:c r="I15" s="69"/>
      <x:c r="J15" s="69"/>
      <x:c r="K15" s="67"/>
      <x:c r="L15" s="67"/>
      <x:c r="M15" s="67"/>
      <x:c r="N15" s="67"/>
      <x:c r="O15" s="67"/>
      <x:c r="P15" s="67"/>
    </x:row>
    <x:row r="16">
      <x:c r="A16" s="69" t="str">
        <x:v>Hidden event share</x:v>
      </x:c>
      <x:c r="B16" s="106" t="n">
        <x:v>0.15</x:v>
      </x:c>
      <x:c r="C16" s="69" t="str">
        <x:v>Small uncertainty preserves surprise.</x:v>
      </x:c>
      <x:c r="D16" s="69"/>
      <x:c r="E16" s="69"/>
      <x:c r="F16" s="69"/>
      <x:c r="G16" s="69"/>
      <x:c r="H16" s="69"/>
      <x:c r="I16" s="69"/>
      <x:c r="J16" s="69"/>
      <x:c r="K16" s="67"/>
      <x:c r="L16" s="67"/>
      <x:c r="M16" s="67"/>
      <x:c r="N16" s="67"/>
      <x:c r="O16" s="67"/>
      <x:c r="P16" s="67"/>
    </x:row>
    <x:row r="17">
      <x:c r="A17" s="69" t="str">
        <x:v>Max severe negative events / week</x:v>
      </x:c>
      <x:c r="B17" s="69" t="n">
        <x:v>1</x:v>
      </x:c>
      <x:c r="C17" s="69" t="str">
        <x:v>Avoid unwinnable cascades.</x:v>
      </x:c>
      <x:c r="D17" s="69"/>
      <x:c r="E17" s="69"/>
      <x:c r="F17" s="69"/>
      <x:c r="G17" s="69"/>
      <x:c r="H17" s="69"/>
      <x:c r="I17" s="69"/>
      <x:c r="J17" s="69"/>
      <x:c r="K17" s="67"/>
      <x:c r="L17" s="67"/>
      <x:c r="M17" s="67"/>
      <x:c r="N17" s="67"/>
      <x:c r="O17" s="67"/>
      <x:c r="P17" s="67"/>
    </x:row>
    <x:row r="18">
      <x:c r="A18" s="69" t="str">
        <x:v>Max positive major events / week</x:v>
      </x:c>
      <x:c r="B18" s="69" t="n">
        <x:v>2</x:v>
      </x:c>
      <x:c r="C18" s="69" t="str">
        <x:v>Prevent runaway compounding.</x:v>
      </x:c>
      <x:c r="D18" s="69"/>
      <x:c r="E18" s="69"/>
      <x:c r="F18" s="69"/>
      <x:c r="G18" s="69"/>
      <x:c r="H18" s="69"/>
      <x:c r="I18" s="69"/>
      <x:c r="J18" s="69"/>
      <x:c r="K18" s="67"/>
      <x:c r="L18" s="67"/>
      <x:c r="M18" s="67"/>
      <x:c r="N18" s="67"/>
      <x:c r="O18" s="67"/>
      <x:c r="P18" s="67"/>
    </x:row>
    <x:row r="19">
      <x:c r="A19" s="69" t="str">
        <x:v>Same event repeat cooldown</x:v>
      </x:c>
      <x:c r="B19" s="69" t="str">
        <x:v>3 days</x:v>
      </x:c>
      <x:c r="C19" s="69" t="str">
        <x:v>Improves variety.</x:v>
      </x:c>
      <x:c r="D19" s="69"/>
      <x:c r="E19" s="69"/>
      <x:c r="F19" s="69"/>
      <x:c r="G19" s="69"/>
      <x:c r="H19" s="69"/>
      <x:c r="I19" s="69"/>
      <x:c r="J19" s="69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conditionalFormatting sqref="D2:I11">
    <x:cfRule type="colorScale" priority="1">
      <x:colorScale>
        <x:cfvo type="min"/>
        <x:cfvo type="percentile" val="50"/>
        <x:cfvo type="max"/>
        <x:color rgb="FFFDEDEC"/>
        <x:color rgb="FFFFF4CC"/>
        <x:color rgb="FFD9F2E6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20" hidden="0" customWidth="1"/>
    <x:col min="8" max="8" width="40" hidden="0" customWidth="1"/>
  </x:cols>
  <x:sheetData>
    <x:row r="1">
      <x:c r="A1" s="84" t="str">
        <x:v>Maturation Band</x:v>
      </x:c>
      <x:c r="B1" s="84" t="str">
        <x:v>Typical Buildings</x:v>
      </x:c>
      <x:c r="C1" s="84" t="str">
        <x:v>Days to Mature</x:v>
      </x:c>
      <x:c r="D1" s="84" t="str">
        <x:v>Day 1 Output</x:v>
      </x:c>
      <x:c r="E1" s="84" t="str">
        <x:v>Midpoint Output</x:v>
      </x:c>
      <x:c r="F1" s="84" t="str">
        <x:v>Mature Output</x:v>
      </x:c>
      <x:c r="G1" s="84" t="str">
        <x:v>XP Timing</x:v>
      </x:c>
      <x:c r="H1" s="84" t="str">
        <x:v>Balance Purpose</x:v>
      </x:c>
      <x:c r="I1" s="67"/>
      <x:c r="J1" s="67"/>
      <x:c r="K1" s="67"/>
      <x:c r="L1" s="67"/>
      <x:c r="M1" s="67"/>
      <x:c r="N1" s="67"/>
      <x:c r="O1" s="67"/>
      <x:c r="P1" s="67"/>
    </x:row>
    <x:row r="2">
      <x:c r="A2" s="69" t="str">
        <x:v>Micro</x:v>
      </x:c>
      <x:c r="B2" s="69" t="str">
        <x:v>Buildings 1–4</x:v>
      </x:c>
      <x:c r="C2" s="69" t="n">
        <x:v>1</x:v>
      </x:c>
      <x:c r="D2" s="69" t="str">
        <x:v>75%</x:v>
      </x:c>
      <x:c r="E2" s="69" t="str">
        <x:v>—</x:v>
      </x:c>
      <x:c r="F2" s="69" t="str">
        <x:v>100%</x:v>
      </x:c>
      <x:c r="G2" s="69" t="str">
        <x:v>Construction completion</x:v>
      </x:c>
      <x:c r="H2" s="69" t="str">
        <x:v>Immediate early-game satisfaction.</x:v>
      </x:c>
      <x:c r="I2" s="67"/>
      <x:c r="J2" s="67"/>
      <x:c r="K2" s="67"/>
      <x:c r="L2" s="67"/>
      <x:c r="M2" s="67"/>
      <x:c r="N2" s="67"/>
      <x:c r="O2" s="67"/>
      <x:c r="P2" s="67"/>
    </x:row>
    <x:row r="3">
      <x:c r="A3" s="69" t="str">
        <x:v>Humble</x:v>
      </x:c>
      <x:c r="B3" s="69" t="str">
        <x:v>Buildings 5–10</x:v>
      </x:c>
      <x:c r="C3" s="69" t="n">
        <x:v>2</x:v>
      </x:c>
      <x:c r="D3" s="69" t="str">
        <x:v>55%</x:v>
      </x:c>
      <x:c r="E3" s="69" t="str">
        <x:v>80%</x:v>
      </x:c>
      <x:c r="F3" s="69" t="str">
        <x:v>100%</x:v>
      </x:c>
      <x:c r="G3" s="69" t="str">
        <x:v>Construction completion</x:v>
      </x:c>
      <x:c r="H3" s="69" t="str">
        <x:v>Teach delayed payoff without stalling onboarding.</x:v>
      </x:c>
      <x:c r="I3" s="67"/>
      <x:c r="J3" s="67"/>
      <x:c r="K3" s="67"/>
      <x:c r="L3" s="67"/>
      <x:c r="M3" s="67"/>
      <x:c r="N3" s="67"/>
      <x:c r="O3" s="67"/>
      <x:c r="P3" s="67"/>
    </x:row>
    <x:row r="4">
      <x:c r="A4" s="69" t="str">
        <x:v>Starter</x:v>
      </x:c>
      <x:c r="B4" s="69" t="str">
        <x:v>Buildings 11–20</x:v>
      </x:c>
      <x:c r="C4" s="69" t="n">
        <x:v>2</x:v>
      </x:c>
      <x:c r="D4" s="69" t="str">
        <x:v>55%</x:v>
      </x:c>
      <x:c r="E4" s="69" t="str">
        <x:v>80%</x:v>
      </x:c>
      <x:c r="F4" s="69" t="str">
        <x:v>100%</x:v>
      </x:c>
      <x:c r="G4" s="69" t="str">
        <x:v>Construction completion</x:v>
      </x:c>
      <x:c r="H4" s="69" t="str">
        <x:v>Keeps growth brisk.</x:v>
      </x:c>
      <x:c r="I4" s="67"/>
      <x:c r="J4" s="67"/>
      <x:c r="K4" s="67"/>
      <x:c r="L4" s="67"/>
      <x:c r="M4" s="67"/>
      <x:c r="N4" s="67"/>
      <x:c r="O4" s="67"/>
      <x:c r="P4" s="67"/>
    </x:row>
    <x:row r="5">
      <x:c r="A5" s="69" t="str">
        <x:v>Growing</x:v>
      </x:c>
      <x:c r="B5" s="69" t="str">
        <x:v>Buildings 21–30</x:v>
      </x:c>
      <x:c r="C5" s="69" t="n">
        <x:v>3</x:v>
      </x:c>
      <x:c r="D5" s="69" t="str">
        <x:v>45%</x:v>
      </x:c>
      <x:c r="E5" s="69" t="str">
        <x:v>75%</x:v>
      </x:c>
      <x:c r="F5" s="69" t="str">
        <x:v>100%</x:v>
      </x:c>
      <x:c r="G5" s="69" t="str">
        <x:v>Construction completion</x:v>
      </x:c>
      <x:c r="H5" s="69" t="str">
        <x:v>Planning begins to matter.</x:v>
      </x:c>
      <x:c r="I5" s="67"/>
      <x:c r="J5" s="67"/>
      <x:c r="K5" s="67"/>
      <x:c r="L5" s="67"/>
      <x:c r="M5" s="67"/>
      <x:c r="N5" s="67"/>
      <x:c r="O5" s="67"/>
      <x:c r="P5" s="67"/>
    </x:row>
    <x:row r="6">
      <x:c r="A6" s="69" t="str">
        <x:v>Established</x:v>
      </x:c>
      <x:c r="B6" s="69" t="str">
        <x:v>Buildings 31–40</x:v>
      </x:c>
      <x:c r="C6" s="69" t="n">
        <x:v>4</x:v>
      </x:c>
      <x:c r="D6" s="69" t="str">
        <x:v>40%</x:v>
      </x:c>
      <x:c r="E6" s="69" t="str">
        <x:v>70%</x:v>
      </x:c>
      <x:c r="F6" s="69" t="str">
        <x:v>100%</x:v>
      </x:c>
      <x:c r="G6" s="69" t="str">
        <x:v>Construction completion</x:v>
      </x:c>
      <x:c r="H6" s="69" t="str">
        <x:v>Major institutions should not instantly peak.</x:v>
      </x:c>
      <x:c r="I6" s="67"/>
      <x:c r="J6" s="67"/>
      <x:c r="K6" s="67"/>
      <x:c r="L6" s="67"/>
      <x:c r="M6" s="67"/>
      <x:c r="N6" s="67"/>
      <x:c r="O6" s="67"/>
      <x:c r="P6" s="67"/>
    </x:row>
    <x:row r="7">
      <x:c r="A7" s="69" t="str">
        <x:v>Elite</x:v>
      </x:c>
      <x:c r="B7" s="69" t="str">
        <x:v>Buildings 41–45</x:v>
      </x:c>
      <x:c r="C7" s="69" t="n">
        <x:v>5</x:v>
      </x:c>
      <x:c r="D7" s="69" t="str">
        <x:v>35%</x:v>
      </x:c>
      <x:c r="E7" s="69" t="str">
        <x:v>65%</x:v>
      </x:c>
      <x:c r="F7" s="69" t="str">
        <x:v>100%</x:v>
      </x:c>
      <x:c r="G7" s="69" t="str">
        <x:v>Construction completion</x:v>
      </x:c>
      <x:c r="H7" s="69" t="str">
        <x:v>Creates meaningful capital lock-up.</x:v>
      </x:c>
      <x:c r="I7" s="67"/>
      <x:c r="J7" s="67"/>
      <x:c r="K7" s="67"/>
      <x:c r="L7" s="67"/>
      <x:c r="M7" s="67"/>
      <x:c r="N7" s="67"/>
      <x:c r="O7" s="67"/>
      <x:c r="P7" s="67"/>
    </x:row>
    <x:row r="8">
      <x:c r="A8" s="69" t="str">
        <x:v>Tycoon</x:v>
      </x:c>
      <x:c r="B8" s="69" t="str">
        <x:v>Buildings 46–50</x:v>
      </x:c>
      <x:c r="C8" s="69" t="n">
        <x:v>7</x:v>
      </x:c>
      <x:c r="D8" s="69" t="str">
        <x:v>30%</x:v>
      </x:c>
      <x:c r="E8" s="69" t="str">
        <x:v>60%</x:v>
      </x:c>
      <x:c r="F8" s="69" t="str">
        <x:v>100%</x:v>
      </x:c>
      <x:c r="G8" s="69" t="str">
        <x:v>Construction completion</x:v>
      </x:c>
      <x:c r="H8" s="69" t="str">
        <x:v>Endgame investments need planning horizon.</x:v>
      </x:c>
      <x:c r="I8" s="67"/>
      <x:c r="J8" s="67"/>
      <x:c r="K8" s="67"/>
      <x:c r="L8" s="67"/>
      <x:c r="M8" s="67"/>
      <x:c r="N8" s="67"/>
      <x:c r="O8" s="67"/>
      <x:c r="P8" s="67"/>
    </x:row>
    <x:row r="9">
      <x:c r="A9" s="69"/>
      <x:c r="B9" s="69"/>
      <x:c r="C9" s="69"/>
      <x:c r="D9" s="69"/>
      <x:c r="E9" s="69"/>
      <x:c r="F9" s="69"/>
      <x:c r="G9" s="69"/>
      <x:c r="H9" s="69"/>
      <x:c r="I9" s="67"/>
      <x:c r="J9" s="67"/>
      <x:c r="K9" s="67"/>
      <x:c r="L9" s="67"/>
      <x:c r="M9" s="67"/>
      <x:c r="N9" s="67"/>
      <x:c r="O9" s="67"/>
      <x:c r="P9" s="67"/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85" t="str">
        <x:v>Rule</x:v>
      </x:c>
      <x:c r="B11" s="85" t="str">
        <x:v>Base</x:v>
      </x:c>
      <x:c r="C11" s="85" t="str">
        <x:v>Modified By</x:v>
      </x:c>
      <x:c r="D11" s="85" t="str">
        <x:v>Minimum</x:v>
      </x:c>
      <x:c r="E11" s="85" t="str">
        <x:v>Maximum</x:v>
      </x:c>
      <x:c r="F11" s="85" t="str">
        <x:v>Player Communication</x:v>
      </x:c>
      <x:c r="G11" s="85" t="str">
        <x:v>Exploit Prevention</x:v>
      </x:c>
      <x:c r="H11" s="85" t="str">
        <x:v>Notes</x:v>
      </x:c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9" t="str">
        <x:v>Maturation output</x:v>
      </x:c>
      <x:c r="B12" s="69" t="str">
        <x:v>Band curve</x:v>
      </x:c>
      <x:c r="C12" s="69" t="str">
        <x:v>Data/Talent, special card</x:v>
      </x:c>
      <x:c r="D12" s="69" t="str">
        <x:v>25%</x:v>
      </x:c>
      <x:c r="E12" s="69" t="str">
        <x:v>100%</x:v>
      </x:c>
      <x:c r="F12" s="69" t="str">
        <x:v>Show progress ring on building</x:v>
      </x:c>
      <x:c r="G12" s="69" t="str">
        <x:v>Cannot exceed 100% before mature</x:v>
      </x:c>
      <x:c r="H12" s="69" t="str">
        <x:v>Efficiency does not skip maturity.</x:v>
      </x:c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9" t="str">
        <x:v>Accelerate construction</x:v>
      </x:c>
      <x:c r="B13" s="69" t="str">
        <x:v>-1 day</x:v>
      </x:c>
      <x:c r="C13" s="69" t="str">
        <x:v>Rare opportunity card</x:v>
      </x:c>
      <x:c r="D13" s="69" t="str">
        <x:v>1 day</x:v>
      </x:c>
      <x:c r="E13" s="69" t="str">
        <x:v>Base-2 days</x:v>
      </x:c>
      <x:c r="F13" s="69" t="str">
        <x:v>Preview saved days and cost</x:v>
      </x:c>
      <x:c r="G13" s="69" t="str">
        <x:v>One acceleration per building</x:v>
      </x:c>
      <x:c r="H13" s="69" t="str">
        <x:v>No instant Tycoon build.</x:v>
      </x:c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9" t="str">
        <x:v>Delay event</x:v>
      </x:c>
      <x:c r="B14" s="69" t="str">
        <x:v>+1 day</x:v>
      </x:c>
      <x:c r="C14" s="69" t="str">
        <x:v>Severe market/civic event</x:v>
      </x:c>
      <x:c r="D14" s="69" t="str">
        <x:v>Base</x:v>
      </x:c>
      <x:c r="E14" s="69" t="str">
        <x:v>Base+2 days</x:v>
      </x:c>
      <x:c r="F14" s="69" t="str">
        <x:v>Warn before settlement</x:v>
      </x:c>
      <x:c r="G14" s="69" t="str">
        <x:v>Cannot stack beyond +2</x:v>
      </x:c>
      <x:c r="H14" s="69" t="str">
        <x:v>Temporary.</x:v>
      </x:c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9" t="str">
        <x:v>Opening campaign</x:v>
      </x:c>
      <x:c r="B15" s="69" t="str">
        <x:v>+10% Day 1 output</x:v>
      </x:c>
      <x:c r="C15" s="69" t="str">
        <x:v>Campaign card</x:v>
      </x:c>
      <x:c r="D15" s="69" t="str">
        <x:v>Base</x:v>
      </x:c>
      <x:c r="E15" s="69" t="str">
        <x:v>90%</x:v>
      </x:c>
      <x:c r="F15" s="69" t="str">
        <x:v>Show boosted opening</x:v>
      </x:c>
      <x:c r="G15" s="69" t="str">
        <x:v>Expires at maturity</x:v>
      </x:c>
      <x:c r="H15" s="69" t="str">
        <x:v>Useful for customer-facing business.</x:v>
      </x:c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9" t="str">
        <x:v>Mature bonus</x:v>
      </x:c>
      <x:c r="B16" s="69" t="str">
        <x:v>0%</x:v>
      </x:c>
      <x:c r="C16" s="69" t="str">
        <x:v>Traits / land fit</x:v>
      </x:c>
      <x:c r="D16" s="69" t="str">
        <x:v>0%</x:v>
      </x:c>
      <x:c r="E16" s="69" t="str">
        <x:v>Placement cap</x:v>
      </x:c>
      <x:c r="F16" s="69" t="str">
        <x:v>Shown in projected output</x:v>
      </x:c>
      <x:c r="G16" s="69" t="str">
        <x:v>No hidden bonus</x:v>
      </x:c>
      <x:c r="H16" s="69" t="str">
        <x:v>Starts only at full maturity.</x:v>
      </x:c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40" hidden="0" customWidth="1"/>
  </x:cols>
  <x:sheetData>
    <x:row r="1">
      <x:c r="A1" s="84" t="str">
        <x:v>Rank</x:v>
      </x:c>
      <x:c r="B1" s="84" t="str">
        <x:v>Base Obligation % of Expected 28-Day Net</x:v>
      </x:c>
      <x:c r="C1" s="84" t="str">
        <x:v>Minimum Cash Floor</x:v>
      </x:c>
      <x:c r="D1" s="84" t="str">
        <x:v>Maximum % of Liquid Cash</x:v>
      </x:c>
      <x:c r="E1" s="84" t="str">
        <x:v>Early Warning Day</x:v>
      </x:c>
      <x:c r="F1" s="84" t="str">
        <x:v>Critical Warning Day</x:v>
      </x:c>
      <x:c r="G1" s="84" t="str">
        <x:v>Shortfall Penalty</x:v>
      </x:c>
      <x:c r="H1" s="84" t="str">
        <x:v>Success Reward</x:v>
      </x:c>
      <x:c r="I1" s="84" t="str">
        <x:v>Failure Protection</x:v>
      </x:c>
      <x:c r="J1" s="84" t="str">
        <x:v>Design Intent</x:v>
      </x:c>
      <x:c r="K1" s="67"/>
      <x:c r="L1" s="67"/>
      <x:c r="M1" s="67"/>
      <x:c r="N1" s="67"/>
      <x:c r="O1" s="67"/>
      <x:c r="P1" s="67"/>
    </x:row>
    <x:row r="2">
      <x:c r="A2" s="69" t="str">
        <x:v>Humble</x:v>
      </x:c>
      <x:c r="B2" s="106" t="n">
        <x:v>0.1</x:v>
      </x:c>
      <x:c r="C2" s="90" t="n">
        <x:v>250</x:v>
      </x:c>
      <x:c r="D2" s="106" t="n">
        <x:v>0.35</x:v>
      </x:c>
      <x:c r="E2" s="69" t="n">
        <x:v>21</x:v>
      </x:c>
      <x:c r="F2" s="69" t="n">
        <x:v>26</x:v>
      </x:c>
      <x:c r="G2" s="69" t="str">
        <x:v>None first quarter; tutorial bailout</x:v>
      </x:c>
      <x:c r="H2" s="69" t="str">
        <x:v>+5% XP next quarter</x:v>
      </x:c>
      <x:c r="I2" s="69" t="str">
        <x:v>First-quarter grace</x:v>
      </x:c>
      <x:c r="J2" s="69" t="str">
        <x:v>Teach liquidity without punishing onboarding.</x:v>
      </x:c>
      <x:c r="K2" s="67"/>
      <x:c r="L2" s="67"/>
      <x:c r="M2" s="67"/>
      <x:c r="N2" s="67"/>
      <x:c r="O2" s="67"/>
      <x:c r="P2" s="67"/>
    </x:row>
    <x:row r="3">
      <x:c r="A3" s="69" t="str">
        <x:v>Starter</x:v>
      </x:c>
      <x:c r="B3" s="106" t="n">
        <x:v>0.14</x:v>
      </x:c>
      <x:c r="C3" s="90" t="n">
        <x:v>1500</x:v>
      </x:c>
      <x:c r="D3" s="106" t="n">
        <x:v>0.4</x:v>
      </x:c>
      <x:c r="E3" s="69" t="n">
        <x:v>18</x:v>
      </x:c>
      <x:c r="F3" s="69" t="n">
        <x:v>25</x:v>
      </x:c>
      <x:c r="G3" s="69" t="str">
        <x:v>-5% acquisition for 3 days</x:v>
      </x:c>
      <x:c r="H3" s="69" t="str">
        <x:v>+3% opportunity quality for 3 days</x:v>
      </x:c>
      <x:c r="I3" s="69" t="str">
        <x:v>One emergency refinance offer</x:v>
      </x:c>
      <x:c r="J3" s="69" t="str">
        <x:v>Cash begins competing with growth.</x:v>
      </x:c>
      <x:c r="K3" s="67"/>
      <x:c r="L3" s="67"/>
      <x:c r="M3" s="67"/>
      <x:c r="N3" s="67"/>
      <x:c r="O3" s="67"/>
      <x:c r="P3" s="67"/>
    </x:row>
    <x:row r="4">
      <x:c r="A4" s="69" t="str">
        <x:v>Growing</x:v>
      </x:c>
      <x:c r="B4" s="106" t="n">
        <x:v>0.18</x:v>
      </x:c>
      <x:c r="C4" s="90" t="n">
        <x:v>8000</x:v>
      </x:c>
      <x:c r="D4" s="106" t="n">
        <x:v>0.45</x:v>
      </x:c>
      <x:c r="E4" s="69" t="n">
        <x:v>14</x:v>
      </x:c>
      <x:c r="F4" s="69" t="n">
        <x:v>24</x:v>
      </x:c>
      <x:c r="G4" s="69" t="str">
        <x:v>-8% acquisition for 4 days</x:v>
      </x:c>
      <x:c r="H4" s="69" t="str">
        <x:v>+4% opportunity quality for 4 days</x:v>
      </x:c>
      <x:c r="I4" s="69" t="str">
        <x:v>Emergency loan with visible repayment</x:v>
      </x:c>
      <x:c r="J4" s="69" t="str">
        <x:v>Meaningful planning pressure.</x:v>
      </x:c>
      <x:c r="K4" s="67"/>
      <x:c r="L4" s="67"/>
      <x:c r="M4" s="67"/>
      <x:c r="N4" s="67"/>
      <x:c r="O4" s="67"/>
      <x:c r="P4" s="67"/>
    </x:row>
    <x:row r="5">
      <x:c r="A5" s="69" t="str">
        <x:v>Established</x:v>
      </x:c>
      <x:c r="B5" s="106" t="n">
        <x:v>0.22</x:v>
      </x:c>
      <x:c r="C5" s="90" t="n">
        <x:v>30000</x:v>
      </x:c>
      <x:c r="D5" s="106" t="n">
        <x:v>0.5</x:v>
      </x:c>
      <x:c r="E5" s="69" t="n">
        <x:v>14</x:v>
      </x:c>
      <x:c r="F5" s="69" t="n">
        <x:v>24</x:v>
      </x:c>
      <x:c r="G5" s="69" t="str">
        <x:v>-10% efficiency for 5 days</x:v>
      </x:c>
      <x:c r="H5" s="69" t="str">
        <x:v>+5% opportunity quality for 5 days</x:v>
      </x:c>
      <x:c r="I5" s="69" t="str">
        <x:v>Refinance at high fee</x:v>
      </x:c>
      <x:c r="J5" s="69" t="str">
        <x:v>Tests liquidity discipline.</x:v>
      </x:c>
      <x:c r="K5" s="67"/>
      <x:c r="L5" s="67"/>
      <x:c r="M5" s="67"/>
      <x:c r="N5" s="67"/>
      <x:c r="O5" s="67"/>
      <x:c r="P5" s="67"/>
    </x:row>
    <x:row r="6">
      <x:c r="A6" s="69" t="str">
        <x:v>Elite</x:v>
      </x:c>
      <x:c r="B6" s="106" t="n">
        <x:v>0.25</x:v>
      </x:c>
      <x:c r="C6" s="90" t="n">
        <x:v>100000</x:v>
      </x:c>
      <x:c r="D6" s="106" t="n">
        <x:v>0.55</x:v>
      </x:c>
      <x:c r="E6" s="69" t="n">
        <x:v>12</x:v>
      </x:c>
      <x:c r="F6" s="69" t="n">
        <x:v>23</x:v>
      </x:c>
      <x:c r="G6" s="69" t="str">
        <x:v>-12% efficiency for 5 days</x:v>
      </x:c>
      <x:c r="H6" s="69" t="str">
        <x:v>+6% rare-card chance for 5 days</x:v>
      </x:c>
      <x:c r="I6" s="69" t="str">
        <x:v>No free bailout</x:v>
      </x:c>
      <x:c r="J6" s="69" t="str">
        <x:v>High-end treasury management.</x:v>
      </x:c>
      <x:c r="K6" s="67"/>
      <x:c r="L6" s="67"/>
      <x:c r="M6" s="67"/>
      <x:c r="N6" s="67"/>
      <x:c r="O6" s="67"/>
      <x:c r="P6" s="67"/>
    </x:row>
    <x:row r="7">
      <x:c r="A7" s="69" t="str">
        <x:v>Tycoon</x:v>
      </x:c>
      <x:c r="B7" s="106" t="n">
        <x:v>0.28</x:v>
      </x:c>
      <x:c r="C7" s="90" t="n">
        <x:v>300000</x:v>
      </x:c>
      <x:c r="D7" s="106" t="n">
        <x:v>0.6</x:v>
      </x:c>
      <x:c r="E7" s="69" t="n">
        <x:v>10</x:v>
      </x:c>
      <x:c r="F7" s="69" t="n">
        <x:v>22</x:v>
      </x:c>
      <x:c r="G7" s="69" t="str">
        <x:v>-15% efficiency for 7 days</x:v>
      </x:c>
      <x:c r="H7" s="69" t="str">
        <x:v>+8% rare-card chance for 7 days</x:v>
      </x:c>
      <x:c r="I7" s="69" t="str">
        <x:v>Refinance only</x:v>
      </x:c>
      <x:c r="J7" s="69" t="str">
        <x:v>Endgame obligation should matter.</x:v>
      </x:c>
      <x:c r="K7" s="67"/>
      <x:c r="L7" s="67"/>
      <x:c r="M7" s="67"/>
      <x:c r="N7" s="67"/>
      <x:c r="O7" s="67"/>
      <x:c r="P7" s="67"/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7"/>
      <x:c r="L8" s="67"/>
      <x:c r="M8" s="67"/>
      <x:c r="N8" s="67"/>
      <x:c r="O8" s="67"/>
      <x:c r="P8" s="67"/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7"/>
      <x:c r="L9" s="67"/>
      <x:c r="M9" s="67"/>
      <x:c r="N9" s="67"/>
      <x:c r="O9" s="67"/>
      <x:c r="P9" s="67"/>
    </x:row>
    <x:row r="10">
      <x:c r="A10" s="85" t="str">
        <x:v>Forecast Metric</x:v>
      </x:c>
      <x:c r="B10" s="85" t="str">
        <x:v>Formula Concept</x:v>
      </x:c>
      <x:c r="C10" s="85" t="str">
        <x:v>UI Timing</x:v>
      </x:c>
      <x:c r="D10" s="85" t="str">
        <x:v>Why It Matters</x:v>
      </x:c>
      <x:c r="E10" s="85" t="str">
        <x:v>Green Zone</x:v>
      </x:c>
      <x:c r="F10" s="85" t="str">
        <x:v>Amber Zone</x:v>
      </x:c>
      <x:c r="G10" s="85" t="str">
        <x:v>Red Zone</x:v>
      </x:c>
      <x:c r="H10" s="85" t="str">
        <x:v>Rule</x:v>
      </x:c>
      <x:c r="I10" s="69"/>
      <x:c r="J10" s="69"/>
      <x:c r="K10" s="67"/>
      <x:c r="L10" s="67"/>
      <x:c r="M10" s="67"/>
      <x:c r="N10" s="67"/>
      <x:c r="O10" s="67"/>
      <x:c r="P10" s="67"/>
    </x:row>
    <x:row r="11">
      <x:c r="A11" s="69" t="str">
        <x:v>Projected quarter-end Cash</x:v>
      </x:c>
      <x:c r="B11" s="69" t="str">
        <x:v>Current Cash + forecast net cash - planned spending</x:v>
      </x:c>
      <x:c r="C11" s="69" t="str">
        <x:v>Always</x:v>
      </x:c>
      <x:c r="D11" s="69" t="str">
        <x:v>Allows informed planning</x:v>
      </x:c>
      <x:c r="E11" s="69" t="str">
        <x:v>&gt;1.35× obligation</x:v>
      </x:c>
      <x:c r="F11" s="69" t="str">
        <x:v>1.0–1.35×</x:v>
      </x:c>
      <x:c r="G11" s="69" t="str">
        <x:v>&lt;1.0×</x:v>
      </x:c>
      <x:c r="H11" s="69" t="str">
        <x:v>Update after every major action.</x:v>
      </x:c>
      <x:c r="I11" s="69"/>
      <x:c r="J11" s="69"/>
      <x:c r="K11" s="67"/>
      <x:c r="L11" s="67"/>
      <x:c r="M11" s="67"/>
      <x:c r="N11" s="67"/>
      <x:c r="O11" s="67"/>
      <x:c r="P11" s="67"/>
    </x:row>
    <x:row r="12">
      <x:c r="A12" s="69" t="str">
        <x:v>Liquidity coverage</x:v>
      </x:c>
      <x:c r="B12" s="69" t="str">
        <x:v>Liquid Cash / obligation</x:v>
      </x:c>
      <x:c r="C12" s="69" t="str">
        <x:v>Always</x:v>
      </x:c>
      <x:c r="D12" s="69" t="str">
        <x:v>Simple solvency signal</x:v>
      </x:c>
      <x:c r="E12" s="69" t="str">
        <x:v>&gt;1.5×</x:v>
      </x:c>
      <x:c r="F12" s="69" t="str">
        <x:v>1.0–1.5×</x:v>
      </x:c>
      <x:c r="G12" s="69" t="str">
        <x:v>&lt;1.0×</x:v>
      </x:c>
      <x:c r="H12" s="69" t="str">
        <x:v>Never hide impending shortfall.</x:v>
      </x:c>
      <x:c r="I12" s="69"/>
      <x:c r="J12" s="69"/>
      <x:c r="K12" s="67"/>
      <x:c r="L12" s="67"/>
      <x:c r="M12" s="67"/>
      <x:c r="N12" s="67"/>
      <x:c r="O12" s="67"/>
      <x:c r="P12" s="67"/>
    </x:row>
    <x:row r="13">
      <x:c r="A13" s="69" t="str">
        <x:v>Days to obligation</x:v>
      </x:c>
      <x:c r="B13" s="69" t="str">
        <x:v>Quarter end - current day</x:v>
      </x:c>
      <x:c r="C13" s="69" t="str">
        <x:v>Always</x:v>
      </x:c>
      <x:c r="D13" s="69" t="str">
        <x:v>Creates pacing pressure</x:v>
      </x:c>
      <x:c r="E13" s="69" t="str">
        <x:v>&gt;7</x:v>
      </x:c>
      <x:c r="F13" s="69" t="str">
        <x:v>3–7</x:v>
      </x:c>
      <x:c r="G13" s="69" t="str">
        <x:v>0–2</x:v>
      </x:c>
      <x:c r="H13" s="69" t="str">
        <x:v>Color-coded.</x:v>
      </x:c>
      <x:c r="I13" s="69"/>
      <x:c r="J13" s="69"/>
      <x:c r="K13" s="67"/>
      <x:c r="L13" s="67"/>
      <x:c r="M13" s="67"/>
      <x:c r="N13" s="67"/>
      <x:c r="O13" s="67"/>
      <x:c r="P13" s="67"/>
    </x:row>
    <x:row r="14">
      <x:c r="A14" s="69" t="str">
        <x:v>Growth spend ratio</x:v>
      </x:c>
      <x:c r="B14" s="69" t="str">
        <x:v>Growth spend / current liquid Cash</x:v>
      </x:c>
      <x:c r="C14" s="69" t="str">
        <x:v>After spending</x:v>
      </x:c>
      <x:c r="D14" s="69" t="str">
        <x:v>Warns about overexpansion</x:v>
      </x:c>
      <x:c r="E14" s="69" t="str">
        <x:v>&lt;30%</x:v>
      </x:c>
      <x:c r="F14" s="69" t="str">
        <x:v>30–50%</x:v>
      </x:c>
      <x:c r="G14" s="69" t="str">
        <x:v>&gt;50%</x:v>
      </x:c>
      <x:c r="H14" s="69" t="str">
        <x:v>Inform, do not hard-block.</x:v>
      </x:c>
      <x:c r="I14" s="69"/>
      <x:c r="J14" s="69"/>
      <x:c r="K14" s="67"/>
      <x:c r="L14" s="67"/>
      <x:c r="M14" s="67"/>
      <x:c r="N14" s="67"/>
      <x:c r="O14" s="67"/>
      <x:c r="P14" s="67"/>
    </x:row>
    <x:row r="15">
      <x:c r="A15" s="69" t="str">
        <x:v>Emergency finance available</x:v>
      </x:c>
      <x:c r="B15" s="69" t="str">
        <x:v>Yes / No</x:v>
      </x:c>
      <x:c r="C15" s="69" t="str">
        <x:v>When shortfall projected</x:v>
      </x:c>
      <x:c r="D15" s="69" t="str">
        <x:v>Avoid hard fail loops</x:v>
      </x:c>
      <x:c r="E15" s="69" t="str">
        <x:v>Yes</x:v>
      </x:c>
      <x:c r="F15" s="69" t="str">
        <x:v>Limited</x:v>
      </x:c>
      <x:c r="G15" s="69" t="str">
        <x:v>No</x:v>
      </x:c>
      <x:c r="H15" s="69" t="str">
        <x:v>Rank-dependent.</x:v>
      </x:c>
      <x:c r="I15" s="69"/>
      <x:c r="J15" s="69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conditionalFormatting sqref="B2:B7">
    <x:cfRule type="colorScale" priority="1">
      <x:colorScale>
        <x:cfvo type="min"/>
        <x:cfvo type="percentile" val="50"/>
        <x:cfvo type="max"/>
        <x:color rgb="FFD9F2E6"/>
        <x:color rgb="FFFFF4CC"/>
        <x:color rgb="FFFDEDEC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0" hidden="0" customWidth="1"/>
    <x:col min="4" max="4" width="22" hidden="0" customWidth="1"/>
    <x:col min="5" max="5" width="20" hidden="0" customWidth="1"/>
    <x:col min="6" max="6" width="18" hidden="0" customWidth="1"/>
    <x:col min="7" max="7" width="16" hidden="0" customWidth="1"/>
    <x:col min="8" max="8" width="18" hidden="0" customWidth="1"/>
    <x:col min="9" max="9" width="24" hidden="0" customWidth="1"/>
    <x:col min="10" max="10" width="40" hidden="0" customWidth="1"/>
  </x:cols>
  <x:sheetData>
    <x:row r="1">
      <x:c r="A1" s="84" t="str">
        <x:v>Settlement Step</x:v>
      </x:c>
      <x:c r="B1" s="84" t="str">
        <x:v>Formula / Rule</x:v>
      </x:c>
      <x:c r="C1" s="84" t="str">
        <x:v>Order</x:v>
      </x:c>
      <x:c r="D1" s="84" t="str">
        <x:v>Applies To</x:v>
      </x:c>
      <x:c r="E1" s="84" t="str">
        <x:v>Typical Range</x:v>
      </x:c>
      <x:c r="F1" s="84" t="str">
        <x:v>Shown to Player?</x:v>
      </x:c>
      <x:c r="G1" s="84" t="str">
        <x:v>Can Be Negative?</x:v>
      </x:c>
      <x:c r="H1" s="84" t="str">
        <x:v>Cap / Floor</x:v>
      </x:c>
      <x:c r="I1" s="84" t="str">
        <x:v>Data Needed</x:v>
      </x:c>
      <x:c r="J1" s="84" t="str">
        <x:v>Notes</x:v>
      </x:c>
      <x:c r="K1" s="67"/>
      <x:c r="L1" s="67"/>
      <x:c r="M1" s="67"/>
      <x:c r="N1" s="67"/>
      <x:c r="O1" s="67"/>
      <x:c r="P1" s="67"/>
    </x:row>
    <x:row r="2">
      <x:c r="A2" s="69" t="str">
        <x:v>1. Matured Base Output</x:v>
      </x:c>
      <x:c r="B2" s="69" t="str">
        <x:v>Base Net/Day × maturation %</x:v>
      </x:c>
      <x:c r="C2" s="69" t="n">
        <x:v>1</x:v>
      </x:c>
      <x:c r="D2" s="69" t="str">
        <x:v>All buildings</x:v>
      </x:c>
      <x:c r="E2" s="69" t="str">
        <x:v>30%–100%</x:v>
      </x:c>
      <x:c r="F2" s="69" t="str">
        <x:v>Yes</x:v>
      </x:c>
      <x:c r="G2" s="69" t="str">
        <x:v>No</x:v>
      </x:c>
      <x:c r="H2" s="69" t="str">
        <x:v>By maturation band</x:v>
      </x:c>
      <x:c r="I2" s="69" t="str">
        <x:v>Building data</x:v>
      </x:c>
      <x:c r="J2" s="69" t="str">
        <x:v>Start with understandable base.</x:v>
      </x:c>
      <x:c r="K2" s="67"/>
      <x:c r="L2" s="67"/>
      <x:c r="M2" s="67"/>
      <x:c r="N2" s="67"/>
      <x:c r="O2" s="67"/>
      <x:c r="P2" s="67"/>
    </x:row>
    <x:row r="3">
      <x:c r="A3" s="69" t="str">
        <x:v>2. Land Fit</x:v>
      </x:c>
      <x:c r="B3" s="69" t="str">
        <x:v>Apply trait-specific land effects</x:v>
      </x:c>
      <x:c r="C3" s="69" t="n">
        <x:v>2</x:v>
      </x:c>
      <x:c r="D3" s="69" t="str">
        <x:v>All buildings</x:v>
      </x:c>
      <x:c r="E3" s="69" t="str">
        <x:v>0.80×–1.25×</x:v>
      </x:c>
      <x:c r="F3" s="69" t="str">
        <x:v>Yes</x:v>
      </x:c>
      <x:c r="G3" s="69" t="str">
        <x:v>Yes</x:v>
      </x:c>
      <x:c r="H3" s="69" t="str">
        <x:v>Global placement cap</x:v>
      </x:c>
      <x:c r="I3" s="69" t="str">
        <x:v>Hex + traits</x:v>
      </x:c>
      <x:c r="J3" s="69" t="str">
        <x:v>Preview before placement.</x:v>
      </x:c>
      <x:c r="K3" s="67"/>
      <x:c r="L3" s="67"/>
      <x:c r="M3" s="67"/>
      <x:c r="N3" s="67"/>
      <x:c r="O3" s="67"/>
      <x:c r="P3" s="67"/>
    </x:row>
    <x:row r="4">
      <x:c r="A4" s="69" t="str">
        <x:v>3. Market Condition</x:v>
      </x:c>
      <x:c r="B4" s="69" t="str">
        <x:v>Apply current event modifiers</x:v>
      </x:c>
      <x:c r="C4" s="69" t="n">
        <x:v>3</x:v>
      </x:c>
      <x:c r="D4" s="69" t="str">
        <x:v>Affected categories</x:v>
      </x:c>
      <x:c r="E4" s="69" t="str">
        <x:v>0.75×–1.30×</x:v>
      </x:c>
      <x:c r="F4" s="69" t="str">
        <x:v>Yes</x:v>
      </x:c>
      <x:c r="G4" s="69" t="str">
        <x:v>Yes</x:v>
      </x:c>
      <x:c r="H4" s="69" t="str">
        <x:v>Per-event caps</x:v>
      </x:c>
      <x:c r="I4" s="69" t="str">
        <x:v>Market calendar</x:v>
      </x:c>
      <x:c r="J4" s="69" t="str">
        <x:v>Traits may amplify/reduce.</x:v>
      </x:c>
      <x:c r="K4" s="67"/>
      <x:c r="L4" s="67"/>
      <x:c r="M4" s="67"/>
      <x:c r="N4" s="67"/>
      <x:c r="O4" s="67"/>
      <x:c r="P4" s="67"/>
    </x:row>
    <x:row r="5">
      <x:c r="A5" s="69" t="str">
        <x:v>4. Adjacency</x:v>
      </x:c>
      <x:c r="B5" s="69" t="str">
        <x:v>Apply valid synergy bonuses</x:v>
      </x:c>
      <x:c r="C5" s="69" t="n">
        <x:v>4</x:v>
      </x:c>
      <x:c r="D5" s="69" t="str">
        <x:v>Networked / synergistic</x:v>
      </x:c>
      <x:c r="E5" s="69" t="str">
        <x:v>+0%–12%</x:v>
      </x:c>
      <x:c r="F5" s="69" t="str">
        <x:v>Yes</x:v>
      </x:c>
      <x:c r="G5" s="69" t="str">
        <x:v>No</x:v>
      </x:c>
      <x:c r="H5" s="69" t="str">
        <x:v>+12%</x:v>
      </x:c>
      <x:c r="I5" s="69" t="str">
        <x:v>Neighbors</x:v>
      </x:c>
      <x:c r="J5" s="69" t="str">
        <x:v>No infinite chains.</x:v>
      </x:c>
      <x:c r="K5" s="67"/>
      <x:c r="L5" s="67"/>
      <x:c r="M5" s="67"/>
      <x:c r="N5" s="67"/>
      <x:c r="O5" s="67"/>
      <x:c r="P5" s="67"/>
    </x:row>
    <x:row r="6">
      <x:c r="A6" s="69" t="str">
        <x:v>5. Temporary Cards</x:v>
      </x:c>
      <x:c r="B6" s="69" t="str">
        <x:v>Apply campaign/finance/special effects</x:v>
      </x:c>
      <x:c r="C6" s="69" t="n">
        <x:v>5</x:v>
      </x:c>
      <x:c r="D6" s="69" t="str">
        <x:v>Targeted</x:v>
      </x:c>
      <x:c r="E6" s="69" t="str">
        <x:v>Varies</x:v>
      </x:c>
      <x:c r="F6" s="69" t="str">
        <x:v>Yes</x:v>
      </x:c>
      <x:c r="G6" s="69" t="str">
        <x:v>Yes</x:v>
      </x:c>
      <x:c r="H6" s="69" t="str">
        <x:v>Card-specific</x:v>
      </x:c>
      <x:c r="I6" s="69" t="str">
        <x:v>Active effects</x:v>
      </x:c>
      <x:c r="J6" s="69" t="str">
        <x:v>Always show expiry.</x:v>
      </x:c>
      <x:c r="K6" s="67"/>
      <x:c r="L6" s="67"/>
      <x:c r="M6" s="67"/>
      <x:c r="N6" s="67"/>
      <x:c r="O6" s="67"/>
      <x:c r="P6" s="67"/>
    </x:row>
    <x:row r="7">
      <x:c r="A7" s="69" t="str">
        <x:v>6. Revenue / Costs</x:v>
      </x:c>
      <x:c r="B7" s="69" t="str">
        <x:v>Compute gross activity and operating costs</x:v>
      </x:c>
      <x:c r="C7" s="69" t="n">
        <x:v>6</x:v>
      </x:c>
      <x:c r="D7" s="69" t="str">
        <x:v>All</x:v>
      </x:c>
      <x:c r="E7" s="69" t="str">
        <x:v>Varies</x:v>
      </x:c>
      <x:c r="F7" s="69" t="str">
        <x:v>Yes</x:v>
      </x:c>
      <x:c r="G7" s="69" t="str">
        <x:v>Yes</x:v>
      </x:c>
      <x:c r="H7" s="69" t="str">
        <x:v>No hidden fees</x:v>
      </x:c>
      <x:c r="I7" s="69" t="str">
        <x:v>Business state</x:v>
      </x:c>
      <x:c r="J7" s="69" t="str">
        <x:v>Use net Cash for settlement result.</x:v>
      </x:c>
      <x:c r="K7" s="67"/>
      <x:c r="L7" s="67"/>
      <x:c r="M7" s="67"/>
      <x:c r="N7" s="67"/>
      <x:c r="O7" s="67"/>
      <x:c r="P7" s="67"/>
    </x:row>
    <x:row r="8">
      <x:c r="A8" s="69" t="str">
        <x:v>7. Customer Changes</x:v>
      </x:c>
      <x:c r="B8" s="69" t="str">
        <x:v>Acquire/retain/lose customer segments</x:v>
      </x:c>
      <x:c r="C8" s="69" t="n">
        <x:v>7</x:v>
      </x:c>
      <x:c r="D8" s="69" t="str">
        <x:v>Customer businesses</x:v>
      </x:c>
      <x:c r="E8" s="69" t="str">
        <x:v>Varies</x:v>
      </x:c>
      <x:c r="F8" s="69" t="str">
        <x:v>Yes</x:v>
      </x:c>
      <x:c r="G8" s="69" t="str">
        <x:v>Yes</x:v>
      </x:c>
      <x:c r="H8" s="69" t="str">
        <x:v>Segment bounds</x:v>
      </x:c>
      <x:c r="I8" s="69" t="str">
        <x:v>Customer sim</x:v>
      </x:c>
      <x:c r="J8" s="69" t="str">
        <x:v>Supports long-term compounding.</x:v>
      </x:c>
      <x:c r="K8" s="67"/>
      <x:c r="L8" s="67"/>
      <x:c r="M8" s="67"/>
      <x:c r="N8" s="67"/>
      <x:c r="O8" s="67"/>
      <x:c r="P8" s="67"/>
    </x:row>
    <x:row r="9">
      <x:c r="A9" s="69" t="str">
        <x:v>8. Stock Rewards</x:v>
      </x:c>
      <x:c r="B9" s="69" t="str">
        <x:v>Resolve stock fragment / discovery drops</x:v>
      </x:c>
      <x:c r="C9" s="69" t="n">
        <x:v>8</x:v>
      </x:c>
      <x:c r="D9" s="69" t="str">
        <x:v>Eligible activity</x:v>
      </x:c>
      <x:c r="E9" s="69" t="str">
        <x:v>0–several</x:v>
      </x:c>
      <x:c r="F9" s="69" t="str">
        <x:v>Yes</x:v>
      </x:c>
      <x:c r="G9" s="69" t="str">
        <x:v>No</x:v>
      </x:c>
      <x:c r="H9" s="69" t="str">
        <x:v>Daily/weekly caps</x:v>
      </x:c>
      <x:c r="I9" s="69" t="str">
        <x:v>Market/event state</x:v>
      </x:c>
      <x:c r="J9" s="69" t="str">
        <x:v>Not guaranteed every day.</x:v>
      </x:c>
      <x:c r="K9" s="67"/>
      <x:c r="L9" s="67"/>
      <x:c r="M9" s="67"/>
      <x:c r="N9" s="67"/>
      <x:c r="O9" s="67"/>
      <x:c r="P9" s="67"/>
    </x:row>
    <x:row r="10">
      <x:c r="A10" s="69" t="str">
        <x:v>9. Empire XP</x:v>
      </x:c>
      <x:c r="B10" s="69" t="str">
        <x:v>Award qualifying one-time/repeatable XP</x:v>
      </x:c>
      <x:c r="C10" s="69" t="n">
        <x:v>9</x:v>
      </x:c>
      <x:c r="D10" s="69" t="str">
        <x:v>Progression</x:v>
      </x:c>
      <x:c r="E10" s="69" t="str">
        <x:v>Varies</x:v>
      </x:c>
      <x:c r="F10" s="69" t="str">
        <x:v>Yes</x:v>
      </x:c>
      <x:c r="G10" s="69" t="str">
        <x:v>No</x:v>
      </x:c>
      <x:c r="H10" s="69" t="str">
        <x:v>Daily caps</x:v>
      </x:c>
      <x:c r="I10" s="69" t="str">
        <x:v>Progression state</x:v>
      </x:c>
      <x:c r="J10" s="69" t="str">
        <x:v>Avoid duplicate awards.</x:v>
      </x:c>
      <x:c r="K10" s="67"/>
      <x:c r="L10" s="67"/>
      <x:c r="M10" s="67"/>
      <x:c r="N10" s="67"/>
      <x:c r="O10" s="67"/>
      <x:c r="P10" s="67"/>
    </x:row>
    <x:row r="11">
      <x:c r="A11" s="69" t="str">
        <x:v>10. Close Summary</x:v>
      </x:c>
      <x:c r="B11" s="69" t="str">
        <x:v>Show net result and causes</x:v>
      </x:c>
      <x:c r="C11" s="69" t="n">
        <x:v>10</x:v>
      </x:c>
      <x:c r="D11" s="69" t="str">
        <x:v>Whole empire</x:v>
      </x:c>
      <x:c r="E11" s="69" t="str">
        <x:v>—</x:v>
      </x:c>
      <x:c r="F11" s="69" t="str">
        <x:v>Yes</x:v>
      </x:c>
      <x:c r="G11" s="69" t="str">
        <x:v>—</x:v>
      </x:c>
      <x:c r="H11" s="69" t="str">
        <x:v>—</x:v>
      </x:c>
      <x:c r="I11" s="69" t="str">
        <x:v>All prior steps</x:v>
      </x:c>
      <x:c r="J11" s="69" t="str">
        <x:v>Explain top 3 positive/negative drivers.</x:v>
      </x:c>
      <x:c r="K11" s="67"/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4" hidden="0" customWidth="1"/>
    <x:col min="5" max="5" width="12" hidden="0" customWidth="1"/>
    <x:col min="6" max="6" width="24" hidden="0" customWidth="1"/>
    <x:col min="7" max="7" width="36" hidden="0" customWidth="1"/>
    <x:col min="8" max="8" width="34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>
      <x:c r="A1" s="84" t="str">
        <x:v>Card</x:v>
      </x:c>
      <x:c r="B1" s="84" t="str">
        <x:v>Type</x:v>
      </x:c>
      <x:c r="C1" s="84" t="str">
        <x:v>Minimum Rank</x:v>
      </x:c>
      <x:c r="D1" s="84" t="str">
        <x:v>Cash Cost</x:v>
      </x:c>
      <x:c r="E1" s="84" t="str">
        <x:v>Duration</x:v>
      </x:c>
      <x:c r="F1" s="84" t="str">
        <x:v>Target</x:v>
      </x:c>
      <x:c r="G1" s="84" t="str">
        <x:v>Effect</x:v>
      </x:c>
      <x:c r="H1" s="84" t="str">
        <x:v>Downside / Tradeoff</x:v>
      </x:c>
      <x:c r="I1" s="84" t="str">
        <x:v>Rarity</x:v>
      </x:c>
      <x:c r="J1" s="84" t="str">
        <x:v>Action Cost</x:v>
      </x:c>
      <x:c r="K1" s="84" t="str">
        <x:v>Balance Note</x:v>
      </x:c>
      <x:c r="L1" s="67"/>
      <x:c r="M1" s="67"/>
      <x:c r="N1" s="67"/>
      <x:c r="O1" s="67"/>
      <x:c r="P1" s="67"/>
    </x:row>
    <x:row r="2">
      <x:c r="A2" s="69" t="str">
        <x:v>Local Promotion</x:v>
      </x:c>
      <x:c r="B2" s="69" t="str">
        <x:v>Marketing</x:v>
      </x:c>
      <x:c r="C2" s="69" t="str">
        <x:v>Humble</x:v>
      </x:c>
      <x:c r="D2" s="90" t="n">
        <x:v>150</x:v>
      </x:c>
      <x:c r="E2" s="69" t="n">
        <x:v>1</x:v>
      </x:c>
      <x:c r="F2" s="69" t="str">
        <x:v>1 Customer Facing building</x:v>
      </x:c>
      <x:c r="G2" s="69" t="str">
        <x:v>+12% acquisition</x:v>
      </x:c>
      <x:c r="H2" s="69" t="str">
        <x:v>None</x:v>
      </x:c>
      <x:c r="I2" s="69" t="str">
        <x:v>Common</x:v>
      </x:c>
      <x:c r="J2" s="69" t="n">
        <x:v>1</x:v>
      </x:c>
      <x:c r="K2" s="69" t="str">
        <x:v>Simple early utility.</x:v>
      </x:c>
      <x:c r="L2" s="67"/>
      <x:c r="M2" s="67"/>
      <x:c r="N2" s="67"/>
      <x:c r="O2" s="67"/>
      <x:c r="P2" s="67"/>
    </x:row>
    <x:row r="3">
      <x:c r="A3" s="69" t="str">
        <x:v>Grand Opening</x:v>
      </x:c>
      <x:c r="B3" s="69" t="str">
        <x:v>Marketing</x:v>
      </x:c>
      <x:c r="C3" s="69" t="str">
        <x:v>Starter</x:v>
      </x:c>
      <x:c r="D3" s="90" t="n">
        <x:v>600</x:v>
      </x:c>
      <x:c r="E3" s="69" t="n">
        <x:v>2</x:v>
      </x:c>
      <x:c r="F3" s="69" t="str">
        <x:v>1 maturing building</x:v>
      </x:c>
      <x:c r="G3" s="69" t="str">
        <x:v>+10% opening output and +8% acquisition</x:v>
      </x:c>
      <x:c r="H3" s="69" t="str">
        <x:v>Expires at maturity</x:v>
      </x:c>
      <x:c r="I3" s="69" t="str">
        <x:v>Uncommon</x:v>
      </x:c>
      <x:c r="J3" s="69" t="n">
        <x:v>1</x:v>
      </x:c>
      <x:c r="K3" s="69" t="str">
        <x:v>Makes maturation interactive.</x:v>
      </x:c>
      <x:c r="L3" s="67"/>
      <x:c r="M3" s="67"/>
      <x:c r="N3" s="67"/>
      <x:c r="O3" s="67"/>
      <x:c r="P3" s="67"/>
    </x:row>
    <x:row r="4">
      <x:c r="A4" s="69" t="str">
        <x:v>Liquidity Injection</x:v>
      </x:c>
      <x:c r="B4" s="69" t="str">
        <x:v>Financing</x:v>
      </x:c>
      <x:c r="C4" s="69" t="str">
        <x:v>Starter</x:v>
      </x:c>
      <x:c r="D4" s="90" t="n">
        <x:v>0</x:v>
      </x:c>
      <x:c r="E4" s="69" t="n">
        <x:v>3</x:v>
      </x:c>
      <x:c r="F4" s="69" t="str">
        <x:v>Empire</x:v>
      </x:c>
      <x:c r="G4" s="69" t="str">
        <x:v>+25% liquid Cash immediately</x:v>
      </x:c>
      <x:c r="H4" s="69" t="str">
        <x:v>Repay 30% more over next 3 settlements</x:v>
      </x:c>
      <x:c r="I4" s="69" t="str">
        <x:v>Uncommon</x:v>
      </x:c>
      <x:c r="J4" s="69" t="n">
        <x:v>1</x:v>
      </x:c>
      <x:c r="K4" s="69" t="str">
        <x:v>Never free money.</x:v>
      </x:c>
      <x:c r="L4" s="67"/>
      <x:c r="M4" s="67"/>
      <x:c r="N4" s="67"/>
      <x:c r="O4" s="67"/>
      <x:c r="P4" s="67"/>
    </x:row>
    <x:row r="5">
      <x:c r="A5" s="69" t="str">
        <x:v>Refinance</x:v>
      </x:c>
      <x:c r="B5" s="69" t="str">
        <x:v>Financing</x:v>
      </x:c>
      <x:c r="C5" s="69" t="str">
        <x:v>Growing</x:v>
      </x:c>
      <x:c r="D5" s="90" t="n">
        <x:v>0</x:v>
      </x:c>
      <x:c r="E5" s="69" t="n">
        <x:v>5</x:v>
      </x:c>
      <x:c r="F5" s="69" t="str">
        <x:v>Quarterly obligation</x:v>
      </x:c>
      <x:c r="G5" s="69" t="str">
        <x:v>Delay 40% of obligation by 7 days</x:v>
      </x:c>
      <x:c r="H5" s="69" t="str">
        <x:v>+12% repayment fee</x:v>
      </x:c>
      <x:c r="I5" s="69" t="str">
        <x:v>Rare</x:v>
      </x:c>
      <x:c r="J5" s="69" t="n">
        <x:v>1</x:v>
      </x:c>
      <x:c r="K5" s="69" t="str">
        <x:v>Emergency tool, not optimal default.</x:v>
      </x:c>
      <x:c r="L5" s="67"/>
      <x:c r="M5" s="67"/>
      <x:c r="N5" s="67"/>
      <x:c r="O5" s="67"/>
      <x:c r="P5" s="67"/>
    </x:row>
    <x:row r="6">
      <x:c r="A6" s="69" t="str">
        <x:v>Data Sprint</x:v>
      </x:c>
      <x:c r="B6" s="69" t="str">
        <x:v>Operations</x:v>
      </x:c>
      <x:c r="C6" s="69" t="str">
        <x:v>Growing</x:v>
      </x:c>
      <x:c r="D6" s="90" t="n">
        <x:v>2500</x:v>
      </x:c>
      <x:c r="E6" s="69" t="n">
        <x:v>2</x:v>
      </x:c>
      <x:c r="F6" s="69" t="str">
        <x:v>1 Data Intensive building</x:v>
      </x:c>
      <x:c r="G6" s="69" t="str">
        <x:v>+18% efficiency</x:v>
      </x:c>
      <x:c r="H6" s="69" t="str">
        <x:v>None</x:v>
      </x:c>
      <x:c r="I6" s="69" t="str">
        <x:v>Uncommon</x:v>
      </x:c>
      <x:c r="J6" s="69" t="n">
        <x:v>1</x:v>
      </x:c>
      <x:c r="K6" s="69" t="str">
        <x:v>Strong but targeted.</x:v>
      </x:c>
      <x:c r="L6" s="67"/>
      <x:c r="M6" s="67"/>
      <x:c r="N6" s="67"/>
      <x:c r="O6" s="67"/>
      <x:c r="P6" s="67"/>
    </x:row>
    <x:row r="7">
      <x:c r="A7" s="69" t="str">
        <x:v>Premium Campaign</x:v>
      </x:c>
      <x:c r="B7" s="69" t="str">
        <x:v>Marketing</x:v>
      </x:c>
      <x:c r="C7" s="69" t="str">
        <x:v>Growing</x:v>
      </x:c>
      <x:c r="D7" s="90" t="n">
        <x:v>5000</x:v>
      </x:c>
      <x:c r="E7" s="69" t="n">
        <x:v>2</x:v>
      </x:c>
      <x:c r="F7" s="69" t="str">
        <x:v>1 Wealth/Advisory building</x:v>
      </x:c>
      <x:c r="G7" s="69" t="str">
        <x:v>+8% HNW share</x:v>
      </x:c>
      <x:c r="H7" s="69" t="str">
        <x:v>-5% mass-retail acquisition</x:v>
      </x:c>
      <x:c r="I7" s="69" t="str">
        <x:v>Rare</x:v>
      </x:c>
      <x:c r="J7" s="69" t="n">
        <x:v>1</x:v>
      </x:c>
      <x:c r="K7" s="69" t="str">
        <x:v>Segment tradeoff.</x:v>
      </x:c>
      <x:c r="L7" s="67"/>
      <x:c r="M7" s="67"/>
      <x:c r="N7" s="67"/>
      <x:c r="O7" s="67"/>
      <x:c r="P7" s="67"/>
    </x:row>
    <x:row r="8">
      <x:c r="A8" s="69" t="str">
        <x:v>Hedge Position</x:v>
      </x:c>
      <x:c r="B8" s="69" t="str">
        <x:v>Market</x:v>
      </x:c>
      <x:c r="C8" s="69" t="str">
        <x:v>Established</x:v>
      </x:c>
      <x:c r="D8" s="90" t="n">
        <x:v>12000</x:v>
      </x:c>
      <x:c r="E8" s="69" t="n">
        <x:v>1</x:v>
      </x:c>
      <x:c r="F8" s="69" t="str">
        <x:v>Empire</x:v>
      </x:c>
      <x:c r="G8" s="69" t="str">
        <x:v>Reduce negative market-event effect by 60%</x:v>
      </x:c>
      <x:c r="H8" s="69" t="str">
        <x:v>Positive market upside -20% same day</x:v>
      </x:c>
      <x:c r="I8" s="69" t="str">
        <x:v>Rare</x:v>
      </x:c>
      <x:c r="J8" s="69" t="n">
        <x:v>1</x:v>
      </x:c>
      <x:c r="K8" s="69" t="str">
        <x:v>Real tradeoff.</x:v>
      </x:c>
      <x:c r="L8" s="67"/>
      <x:c r="M8" s="67"/>
      <x:c r="N8" s="67"/>
      <x:c r="O8" s="67"/>
      <x:c r="P8" s="67"/>
    </x:row>
    <x:row r="9">
      <x:c r="A9" s="69" t="str">
        <x:v>Institutional Roadshow</x:v>
      </x:c>
      <x:c r="B9" s="69" t="str">
        <x:v>Marketing</x:v>
      </x:c>
      <x:c r="C9" s="69" t="str">
        <x:v>Established</x:v>
      </x:c>
      <x:c r="D9" s="90" t="n">
        <x:v>25000</x:v>
      </x:c>
      <x:c r="E9" s="69" t="n">
        <x:v>2</x:v>
      </x:c>
      <x:c r="F9" s="69" t="str">
        <x:v>1 Institutional building</x:v>
      </x:c>
      <x:c r="G9" s="69" t="str">
        <x:v>+10% institutional segment share</x:v>
      </x:c>
      <x:c r="H9" s="69" t="str">
        <x:v>High cost</x:v>
      </x:c>
      <x:c r="I9" s="69" t="str">
        <x:v>Epic</x:v>
      </x:c>
      <x:c r="J9" s="69" t="n">
        <x:v>1</x:v>
      </x:c>
      <x:c r="K9" s="69" t="str">
        <x:v>Requires premium building.</x:v>
      </x:c>
      <x:c r="L9" s="67"/>
      <x:c r="M9" s="67"/>
      <x:c r="N9" s="67"/>
      <x:c r="O9" s="67"/>
      <x:c r="P9" s="67"/>
    </x:row>
    <x:row r="10">
      <x:c r="A10" s="69" t="str">
        <x:v>Accelerated Approval</x:v>
      </x:c>
      <x:c r="B10" s="69" t="str">
        <x:v>Development</x:v>
      </x:c>
      <x:c r="C10" s="69" t="str">
        <x:v>Elite</x:v>
      </x:c>
      <x:c r="D10" s="90" t="n">
        <x:v>75000</x:v>
      </x:c>
      <x:c r="E10" s="69" t="n">
        <x:v>1</x:v>
      </x:c>
      <x:c r="F10" s="69" t="str">
        <x:v>1 construction</x:v>
      </x:c>
      <x:c r="G10" s="69" t="str">
        <x:v>Reduce maturation by 1 day</x:v>
      </x:c>
      <x:c r="H10" s="69" t="str">
        <x:v>One use per building</x:v>
      </x:c>
      <x:c r="I10" s="69" t="str">
        <x:v>Epic</x:v>
      </x:c>
      <x:c r="J10" s="69" t="n">
        <x:v>1</x:v>
      </x:c>
      <x:c r="K10" s="69" t="str">
        <x:v>Cannot reduce below 1 day.</x:v>
      </x:c>
      <x:c r="L10" s="67"/>
      <x:c r="M10" s="67"/>
      <x:c r="N10" s="67"/>
      <x:c r="O10" s="67"/>
      <x:c r="P10" s="67"/>
    </x:row>
    <x:row r="11">
      <x:c r="A11" s="69" t="str">
        <x:v>Strategic Acquisition</x:v>
      </x:c>
      <x:c r="B11" s="69" t="str">
        <x:v>Special</x:v>
      </x:c>
      <x:c r="C11" s="69" t="str">
        <x:v>Tycoon</x:v>
      </x:c>
      <x:c r="D11" s="90" t="n">
        <x:v>250000</x:v>
      </x:c>
      <x:c r="E11" s="69" t="n">
        <x:v>7</x:v>
      </x:c>
      <x:c r="F11" s="69" t="str">
        <x:v>1 mature building</x:v>
      </x:c>
      <x:c r="G11" s="69" t="str">
        <x:v>+15% base net output</x:v>
      </x:c>
      <x:c r="H11" s="69" t="str">
        <x:v>+10% operating cost</x:v>
      </x:c>
      <x:c r="I11" s="69" t="str">
        <x:v>Legendary</x:v>
      </x:c>
      <x:c r="J11" s="69" t="n">
        <x:v>1</x:v>
      </x:c>
      <x:c r="K11" s="69" t="str">
        <x:v>Permanent-like effect through a rare card; cap 1 per quarter.</x:v>
      </x:c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18" hidden="0" customWidth="1"/>
    <x:col min="5" max="5" width="16" hidden="0" customWidth="1"/>
    <x:col min="6" max="6" width="14" hidden="0" customWidth="1"/>
    <x:col min="7" max="7" width="22" hidden="0" customWidth="1"/>
    <x:col min="8" max="8" width="30" hidden="0" customWidth="1"/>
    <x:col min="9" max="9" width="42" hidden="0" customWidth="1"/>
  </x:cols>
  <x:sheetData>
    <x:row r="1">
      <x:c r="A1" s="84" t="str">
        <x:v>Condition</x:v>
      </x:c>
      <x:c r="B1" s="84" t="str">
        <x:v>Trigger</x:v>
      </x:c>
      <x:c r="C1" s="84" t="str">
        <x:v>Effect</x:v>
      </x:c>
      <x:c r="D1" s="84" t="str">
        <x:v>Positive / Negative</x:v>
      </x:c>
      <x:c r="E1" s="84" t="str">
        <x:v>Duration</x:v>
      </x:c>
      <x:c r="F1" s="84" t="str">
        <x:v>Can Stack?</x:v>
      </x:c>
      <x:c r="G1" s="84" t="str">
        <x:v>Visible UI</x:v>
      </x:c>
      <x:c r="H1" s="84" t="str">
        <x:v>Player Response</x:v>
      </x:c>
      <x:c r="I1" s="84" t="str">
        <x:v>Balance Rule</x:v>
      </x:c>
      <x:c r="J1" s="67"/>
      <x:c r="K1" s="67"/>
      <x:c r="L1" s="67"/>
      <x:c r="M1" s="67"/>
      <x:c r="N1" s="67"/>
      <x:c r="O1" s="67"/>
      <x:c r="P1" s="67"/>
    </x:row>
    <x:row r="2">
      <x:c r="A2" s="69" t="str">
        <x:v>Prosperous</x:v>
      </x:c>
      <x:c r="B2" s="69" t="str">
        <x:v>3 consecutive profitable settlements</x:v>
      </x:c>
      <x:c r="C2" s="69" t="str">
        <x:v>+6% general customer demand</x:v>
      </x:c>
      <x:c r="D2" s="69" t="str">
        <x:v>Positive</x:v>
      </x:c>
      <x:c r="E2" s="69" t="str">
        <x:v>Until loss day</x:v>
      </x:c>
      <x:c r="F2" s="69" t="str">
        <x:v>No</x:v>
      </x:c>
      <x:c r="G2" s="69" t="str">
        <x:v>Green upward badge</x:v>
      </x:c>
      <x:c r="H2" s="69" t="str">
        <x:v>Maintain profitability</x:v>
      </x:c>
      <x:c r="I2" s="69" t="str">
        <x:v>Small broad bonus only.</x:v>
      </x:c>
      <x:c r="J2" s="67"/>
      <x:c r="K2" s="67"/>
      <x:c r="L2" s="67"/>
      <x:c r="M2" s="67"/>
      <x:c r="N2" s="67"/>
      <x:c r="O2" s="67"/>
      <x:c r="P2" s="67"/>
    </x:row>
    <x:row r="3">
      <x:c r="A3" s="69" t="str">
        <x:v>Highly Liquid</x:v>
      </x:c>
      <x:c r="B3" s="69" t="str">
        <x:v>Liquid Cash ≥ 1.5× obligation</x:v>
      </x:c>
      <x:c r="C3" s="69" t="str">
        <x:v>+5% rare utility-card weight</x:v>
      </x:c>
      <x:c r="D3" s="69" t="str">
        <x:v>Positive</x:v>
      </x:c>
      <x:c r="E3" s="69" t="str">
        <x:v>Dynamic</x:v>
      </x:c>
      <x:c r="F3" s="69" t="str">
        <x:v>No</x:v>
      </x:c>
      <x:c r="G3" s="69" t="str">
        <x:v>Liquidity badge</x:v>
      </x:c>
      <x:c r="H3" s="69" t="str">
        <x:v>Keep reserve</x:v>
      </x:c>
      <x:c r="I3" s="69" t="str">
        <x:v>Rewards discipline without raw revenue bonus.</x:v>
      </x:c>
      <x:c r="J3" s="67"/>
      <x:c r="K3" s="67"/>
      <x:c r="L3" s="67"/>
      <x:c r="M3" s="67"/>
      <x:c r="N3" s="67"/>
      <x:c r="O3" s="67"/>
      <x:c r="P3" s="67"/>
    </x:row>
    <x:row r="4">
      <x:c r="A4" s="69" t="str">
        <x:v>Highly Leveraged</x:v>
      </x:c>
      <x:c r="B4" s="69" t="str">
        <x:v>Outstanding financing &gt; 35% of quarter net</x:v>
      </x:c>
      <x:c r="C4" s="69" t="str">
        <x:v>+12% growth card availability; +8% operating risk</x:v>
      </x:c>
      <x:c r="D4" s="69" t="str">
        <x:v>Mixed</x:v>
      </x:c>
      <x:c r="E4" s="69" t="str">
        <x:v>Until leverage drops</x:v>
      </x:c>
      <x:c r="F4" s="69" t="str">
        <x:v>No</x:v>
      </x:c>
      <x:c r="G4" s="69" t="str">
        <x:v>Leverage badge</x:v>
      </x:c>
      <x:c r="H4" s="69" t="str">
        <x:v>Repay debt</x:v>
      </x:c>
      <x:c r="I4" s="69" t="str">
        <x:v>Upside and downside required.</x:v>
      </x:c>
      <x:c r="J4" s="67"/>
      <x:c r="K4" s="67"/>
      <x:c r="L4" s="67"/>
      <x:c r="M4" s="67"/>
      <x:c r="N4" s="67"/>
      <x:c r="O4" s="67"/>
      <x:c r="P4" s="67"/>
    </x:row>
    <x:row r="5">
      <x:c r="A5" s="69" t="str">
        <x:v>Trusted</x:v>
      </x:c>
      <x:c r="B5" s="69" t="str">
        <x:v>Average Security ≥65 and Prestige ≥65</x:v>
      </x:c>
      <x:c r="C5" s="69" t="str">
        <x:v>+5% retention</x:v>
      </x:c>
      <x:c r="D5" s="69" t="str">
        <x:v>Positive</x:v>
      </x:c>
      <x:c r="E5" s="69" t="str">
        <x:v>Dynamic</x:v>
      </x:c>
      <x:c r="F5" s="69" t="str">
        <x:v>No</x:v>
      </x:c>
      <x:c r="G5" s="69" t="str">
        <x:v>Trust badge</x:v>
      </x:c>
      <x:c r="H5" s="69" t="str">
        <x:v>Improve district quality</x:v>
      </x:c>
      <x:c r="I5" s="69" t="str">
        <x:v>Must be earned structurally.</x:v>
      </x:c>
      <x:c r="J5" s="67"/>
      <x:c r="K5" s="67"/>
      <x:c r="L5" s="67"/>
      <x:c r="M5" s="67"/>
      <x:c r="N5" s="67"/>
      <x:c r="O5" s="67"/>
      <x:c r="P5" s="67"/>
    </x:row>
    <x:row r="6">
      <x:c r="A6" s="69" t="str">
        <x:v>Diversified</x:v>
      </x:c>
      <x:c r="B6" s="69" t="str">
        <x:v>5+ active economic categories</x:v>
      </x:c>
      <x:c r="C6" s="69" t="str">
        <x:v>Negative-event penalties -10%</x:v>
      </x:c>
      <x:c r="D6" s="69" t="str">
        <x:v>Positive</x:v>
      </x:c>
      <x:c r="E6" s="69" t="str">
        <x:v>Dynamic</x:v>
      </x:c>
      <x:c r="F6" s="69" t="str">
        <x:v>No</x:v>
      </x:c>
      <x:c r="G6" s="69" t="str">
        <x:v>Diversification badge</x:v>
      </x:c>
      <x:c r="H6" s="69" t="str">
        <x:v>Broaden empire</x:v>
      </x:c>
      <x:c r="I6" s="69" t="str">
        <x:v>Cap at 10%.</x:v>
      </x:c>
      <x:c r="J6" s="67"/>
      <x:c r="K6" s="67"/>
      <x:c r="L6" s="67"/>
      <x:c r="M6" s="67"/>
      <x:c r="N6" s="67"/>
      <x:c r="O6" s="67"/>
      <x:c r="P6" s="67"/>
    </x:row>
    <x:row r="7">
      <x:c r="A7" s="69" t="str">
        <x:v>Concentrated</x:v>
      </x:c>
      <x:c r="B7" s="69" t="str">
        <x:v>70%+ net income from one category</x:v>
      </x:c>
      <x:c r="C7" s="69" t="str">
        <x:v>+8% positive event effect / -12% negative event effect for that category</x:v>
      </x:c>
      <x:c r="D7" s="69" t="str">
        <x:v>Mixed</x:v>
      </x:c>
      <x:c r="E7" s="69" t="str">
        <x:v>Dynamic</x:v>
      </x:c>
      <x:c r="F7" s="69" t="str">
        <x:v>No</x:v>
      </x:c>
      <x:c r="G7" s="69" t="str">
        <x:v>Concentration badge</x:v>
      </x:c>
      <x:c r="H7" s="69" t="str">
        <x:v>Diversify or embrace risk</x:v>
      </x:c>
      <x:c r="I7" s="69" t="str">
        <x:v>Clear risk/reward.</x:v>
      </x:c>
      <x:c r="J7" s="67"/>
      <x:c r="K7" s="67"/>
      <x:c r="L7" s="67"/>
      <x:c r="M7" s="67"/>
      <x:c r="N7" s="67"/>
      <x:c r="O7" s="67"/>
      <x:c r="P7" s="67"/>
    </x:row>
    <x:row r="8">
      <x:c r="A8" s="69" t="str">
        <x:v>Cash Strained</x:v>
      </x:c>
      <x:c r="B8" s="69" t="str">
        <x:v>Projected quarter-end Cash &lt; obligation</x:v>
      </x:c>
      <x:c r="C8" s="69" t="str">
        <x:v>Paid rerolls +50%; financing cards +20% draw weight</x:v>
      </x:c>
      <x:c r="D8" s="69" t="str">
        <x:v>Negative/Mixed</x:v>
      </x:c>
      <x:c r="E8" s="69" t="str">
        <x:v>Until forecast recovers</x:v>
      </x:c>
      <x:c r="F8" s="69" t="str">
        <x:v>No</x:v>
      </x:c>
      <x:c r="G8" s="69" t="str">
        <x:v>Red liquidity badge</x:v>
      </x:c>
      <x:c r="H8" s="69" t="str">
        <x:v>Cut spend / finance</x:v>
      </x:c>
      <x:c r="I8" s="69" t="str">
        <x:v>Helps recovery while adding friction.</x:v>
      </x:c>
      <x:c r="J8" s="67"/>
      <x:c r="K8" s="67"/>
      <x:c r="L8" s="67"/>
      <x:c r="M8" s="67"/>
      <x:c r="N8" s="67"/>
      <x:c r="O8" s="67"/>
      <x:c r="P8" s="67"/>
    </x:row>
    <x:row r="9">
      <x:c r="A9" s="69" t="str">
        <x:v>Institutional</x:v>
      </x:c>
      <x:c r="B9" s="69" t="str">
        <x:v>3+ institutional buildings and avg Prestige ≥75</x:v>
      </x:c>
      <x:c r="C9" s="69" t="str">
        <x:v>+6% institutional segment share</x:v>
      </x:c>
      <x:c r="D9" s="69" t="str">
        <x:v>Positive</x:v>
      </x:c>
      <x:c r="E9" s="69" t="str">
        <x:v>Dynamic</x:v>
      </x:c>
      <x:c r="F9" s="69" t="str">
        <x:v>No</x:v>
      </x:c>
      <x:c r="G9" s="69" t="str">
        <x:v>Institution badge</x:v>
      </x:c>
      <x:c r="H9" s="69" t="str">
        <x:v>Develop premium district</x:v>
      </x:c>
      <x:c r="I9" s="69" t="str">
        <x:v>Late-game identity.</x:v>
      </x:c>
      <x:c r="J9" s="67"/>
      <x:c r="K9" s="67"/>
      <x:c r="L9" s="67"/>
      <x:c r="M9" s="67"/>
      <x:c r="N9" s="67"/>
      <x:c r="O9" s="67"/>
      <x:c r="P9" s="67"/>
    </x:row>
    <x:row r="10">
      <x:c r="A10" s="69" t="str">
        <x:v>Overexpanded</x:v>
      </x:c>
      <x:c r="B10" s="69" t="str">
        <x:v>Owned hexes &gt; active mature buildings +5</x:v>
      </x:c>
      <x:c r="C10" s="69" t="str">
        <x:v>Land upkeep pressure +5%</x:v>
      </x:c>
      <x:c r="D10" s="69" t="str">
        <x:v>Negative</x:v>
      </x:c>
      <x:c r="E10" s="69" t="str">
        <x:v>Until developed</x:v>
      </x:c>
      <x:c r="F10" s="69" t="str">
        <x:v>No</x:v>
      </x:c>
      <x:c r="G10" s="69" t="str">
        <x:v>Construction warning</x:v>
      </x:c>
      <x:c r="H10" s="69" t="str">
        <x:v>Develop empty land</x:v>
      </x:c>
      <x:c r="I10" s="69" t="str">
        <x:v>Discourages buying land with no plan.</x:v>
      </x:c>
      <x:c r="J10" s="67"/>
      <x:c r="K10" s="67"/>
      <x:c r="L10" s="67"/>
      <x:c r="M10" s="67"/>
      <x:c r="N10" s="67"/>
      <x:c r="O10" s="67"/>
      <x:c r="P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4" hidden="0" customWidth="1"/>
    <x:col min="5" max="5" width="22" hidden="0" customWidth="1"/>
    <x:col min="6" max="6" width="28" hidden="0" customWidth="1"/>
    <x:col min="7" max="7" width="20" hidden="0" customWidth="1"/>
    <x:col min="8" max="8" width="18" hidden="0" customWidth="1"/>
    <x:col min="9" max="9" width="34" hidden="0" customWidth="1"/>
    <x:col min="10" max="10" width="44" hidden="0" customWidth="1"/>
  </x:cols>
  <x:sheetData>
    <x:row r="1">
      <x:c r="A1" s="84" t="str">
        <x:v>Rank</x:v>
      </x:c>
      <x:c r="B1" s="84" t="str">
        <x:v>Market Hunts / Day</x:v>
      </x:c>
      <x:c r="C1" s="84" t="str">
        <x:v>Base Stock Fragment Chance</x:v>
      </x:c>
      <x:c r="D1" s="84" t="str">
        <x:v>Unique Discovery Chance</x:v>
      </x:c>
      <x:c r="E1" s="84" t="str">
        <x:v>Market-Event Modifier Cap</x:v>
      </x:c>
      <x:c r="F1" s="84" t="str">
        <x:v>Building Influence</x:v>
      </x:c>
      <x:c r="G1" s="84" t="str">
        <x:v>Daily Fragment Soft Cap</x:v>
      </x:c>
      <x:c r="H1" s="84" t="str">
        <x:v>Set Completion XP</x:v>
      </x:c>
      <x:c r="I1" s="84" t="str">
        <x:v>Purpose</x:v>
      </x:c>
      <x:c r="J1" s="84" t="str">
        <x:v>Balance Guardrail</x:v>
      </x:c>
      <x:c r="K1" s="67"/>
      <x:c r="L1" s="67"/>
      <x:c r="M1" s="67"/>
      <x:c r="N1" s="67"/>
      <x:c r="O1" s="67"/>
      <x:c r="P1" s="67"/>
    </x:row>
    <x:row r="2">
      <x:c r="A2" s="69" t="str">
        <x:v>Humble</x:v>
      </x:c>
      <x:c r="B2" s="69" t="n">
        <x:v>1</x:v>
      </x:c>
      <x:c r="C2" s="106" t="n">
        <x:v>0.35</x:v>
      </x:c>
      <x:c r="D2" s="106" t="n">
        <x:v>0.08</x:v>
      </x:c>
      <x:c r="E2" s="106" t="n">
        <x:v>0.15</x:v>
      </x:c>
      <x:c r="F2" s="69" t="str">
        <x:v>Market Info / Trading buildings</x:v>
      </x:c>
      <x:c r="G2" s="69" t="n">
        <x:v>3</x:v>
      </x:c>
      <x:c r="H2" s="69" t="n">
        <x:v>250</x:v>
      </x:c>
      <x:c r="I2" s="69" t="str">
        <x:v>Introduce collection slowly</x:v>
      </x:c>
      <x:c r="J2" s="69" t="str">
        <x:v>Do not make stocks required for base income.</x:v>
      </x:c>
      <x:c r="K2" s="67"/>
      <x:c r="L2" s="67"/>
      <x:c r="M2" s="67"/>
      <x:c r="N2" s="67"/>
      <x:c r="O2" s="67"/>
      <x:c r="P2" s="67"/>
    </x:row>
    <x:row r="3">
      <x:c r="A3" s="69" t="str">
        <x:v>Starter</x:v>
      </x:c>
      <x:c r="B3" s="69" t="n">
        <x:v>2</x:v>
      </x:c>
      <x:c r="C3" s="106" t="n">
        <x:v>0.4</x:v>
      </x:c>
      <x:c r="D3" s="106" t="n">
        <x:v>0.09</x:v>
      </x:c>
      <x:c r="E3" s="106" t="n">
        <x:v>0.2</x:v>
      </x:c>
      <x:c r="F3" s="69" t="str">
        <x:v>Brokerage / Trading / Research</x:v>
      </x:c>
      <x:c r="G3" s="69" t="n">
        <x:v>5</x:v>
      </x:c>
      <x:c r="H3" s="69" t="n">
        <x:v>250</x:v>
      </x:c>
      <x:c r="I3" s="69" t="str">
        <x:v>Increase daily collection decisions</x:v>
      </x:c>
      <x:c r="J3" s="69" t="str">
        <x:v>First 3 Hunts/day only award XP.</x:v>
      </x:c>
      <x:c r="K3" s="67"/>
      <x:c r="L3" s="67"/>
      <x:c r="M3" s="67"/>
      <x:c r="N3" s="67"/>
      <x:c r="O3" s="67"/>
      <x:c r="P3" s="67"/>
    </x:row>
    <x:row r="4">
      <x:c r="A4" s="69" t="str">
        <x:v>Growing</x:v>
      </x:c>
      <x:c r="B4" s="69" t="n">
        <x:v>3</x:v>
      </x:c>
      <x:c r="C4" s="106" t="n">
        <x:v>0.45</x:v>
      </x:c>
      <x:c r="D4" s="106" t="n">
        <x:v>0.1</x:v>
      </x:c>
      <x:c r="E4" s="106" t="n">
        <x:v>0.25</x:v>
      </x:c>
      <x:c r="F4" s="69" t="str">
        <x:v>Broader financial categories</x:v>
      </x:c>
      <x:c r="G4" s="69" t="n">
        <x:v>7</x:v>
      </x:c>
      <x:c r="H4" s="69" t="n">
        <x:v>250</x:v>
      </x:c>
      <x:c r="I4" s="69" t="str">
        <x:v>Support promotion gates and sets</x:v>
      </x:c>
      <x:c r="J4" s="69" t="str">
        <x:v>Avoid geolocation requirement.</x:v>
      </x:c>
      <x:c r="K4" s="67"/>
      <x:c r="L4" s="67"/>
      <x:c r="M4" s="67"/>
      <x:c r="N4" s="67"/>
      <x:c r="O4" s="67"/>
      <x:c r="P4" s="67"/>
    </x:row>
    <x:row r="5">
      <x:c r="A5" s="69" t="str">
        <x:v>Established</x:v>
      </x:c>
      <x:c r="B5" s="69" t="n">
        <x:v>3</x:v>
      </x:c>
      <x:c r="C5" s="106" t="n">
        <x:v>0.5</x:v>
      </x:c>
      <x:c r="D5" s="106" t="n">
        <x:v>0.09</x:v>
      </x:c>
      <x:c r="E5" s="106" t="n">
        <x:v>0.25</x:v>
      </x:c>
      <x:c r="F5" s="69" t="str">
        <x:v>Data/Institutional buildings</x:v>
      </x:c>
      <x:c r="G5" s="69" t="n">
        <x:v>8</x:v>
      </x:c>
      <x:c r="H5" s="69" t="n">
        <x:v>250</x:v>
      </x:c>
      <x:c r="I5" s="69" t="str">
        <x:v>More targeted collection</x:v>
      </x:c>
      <x:c r="J5" s="69" t="str">
        <x:v>Duplicate fragments remain useful.</x:v>
      </x:c>
      <x:c r="K5" s="67"/>
      <x:c r="L5" s="67"/>
      <x:c r="M5" s="67"/>
      <x:c r="N5" s="67"/>
      <x:c r="O5" s="67"/>
      <x:c r="P5" s="67"/>
    </x:row>
    <x:row r="6">
      <x:c r="A6" s="69" t="str">
        <x:v>Elite</x:v>
      </x:c>
      <x:c r="B6" s="69" t="n">
        <x:v>4</x:v>
      </x:c>
      <x:c r="C6" s="106" t="n">
        <x:v>0.55</x:v>
      </x:c>
      <x:c r="D6" s="106" t="n">
        <x:v>0.08</x:v>
      </x:c>
      <x:c r="E6" s="106" t="n">
        <x:v>0.3</x:v>
      </x:c>
      <x:c r="F6" s="69" t="str">
        <x:v>Premium/Institutional</x:v>
      </x:c>
      <x:c r="G6" s="69" t="n">
        <x:v>10</x:v>
      </x:c>
      <x:c r="H6" s="69" t="n">
        <x:v>250</x:v>
      </x:c>
      <x:c r="I6" s="69" t="str">
        <x:v>High-value portfolio optimization</x:v>
      </x:c>
      <x:c r="J6" s="69" t="str">
        <x:v>Discovery rate falls as collection fills.</x:v>
      </x:c>
      <x:c r="K6" s="67"/>
      <x:c r="L6" s="67"/>
      <x:c r="M6" s="67"/>
      <x:c r="N6" s="67"/>
      <x:c r="O6" s="67"/>
      <x:c r="P6" s="67"/>
    </x:row>
    <x:row r="7">
      <x:c r="A7" s="69" t="str">
        <x:v>Tycoon</x:v>
      </x:c>
      <x:c r="B7" s="69" t="n">
        <x:v>4</x:v>
      </x:c>
      <x:c r="C7" s="106" t="n">
        <x:v>0.6</x:v>
      </x:c>
      <x:c r="D7" s="106" t="n">
        <x:v>0.07</x:v>
      </x:c>
      <x:c r="E7" s="106" t="n">
        <x:v>0.3</x:v>
      </x:c>
      <x:c r="F7" s="69" t="str">
        <x:v>Global/Institutional</x:v>
      </x:c>
      <x:c r="G7" s="69" t="n">
        <x:v>12</x:v>
      </x:c>
      <x:c r="H7" s="69" t="n">
        <x:v>250</x:v>
      </x:c>
      <x:c r="I7" s="69" t="str">
        <x:v>Endgame portfolio completion</x:v>
      </x:c>
      <x:c r="J7" s="69" t="str">
        <x:v>Use pity protection for missing tickers.</x:v>
      </x:c>
      <x:c r="K7" s="67"/>
      <x:c r="L7" s="67"/>
      <x:c r="M7" s="67"/>
      <x:c r="N7" s="67"/>
      <x:c r="O7" s="67"/>
      <x:c r="P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0" hidden="0" customWidth="1"/>
    <x:col min="5" max="5" width="24" hidden="0" customWidth="1"/>
    <x:col min="6" max="6" width="22" hidden="0" customWidth="1"/>
    <x:col min="7" max="7" width="18" hidden="0" customWidth="1"/>
    <x:col min="8" max="8" width="20" hidden="0" customWidth="1"/>
    <x:col min="9" max="9" width="42" hidden="0" customWidth="1"/>
  </x:cols>
  <x:sheetData>
    <x:row r="1">
      <x:c r="A1" s="84" t="str">
        <x:v>Rank</x:v>
      </x:c>
      <x:c r="B1" s="84" t="str">
        <x:v>Base Actions / Day</x:v>
      </x:c>
      <x:c r="C1" s="84" t="str">
        <x:v>Bonus Action Source</x:v>
      </x:c>
      <x:c r="D1" s="84" t="str">
        <x:v>Hard Max Actions / Day</x:v>
      </x:c>
      <x:c r="E1" s="84" t="str">
        <x:v>Typical Permanent Actions</x:v>
      </x:c>
      <x:c r="F1" s="84" t="str">
        <x:v>Typical Utility Actions</x:v>
      </x:c>
      <x:c r="G1" s="84" t="str">
        <x:v>Skip-Day Allowed?</x:v>
      </x:c>
      <x:c r="H1" s="84" t="str">
        <x:v>Unused Actions Carry?</x:v>
      </x:c>
      <x:c r="I1" s="84" t="str">
        <x:v>Design Intent</x:v>
      </x:c>
      <x:c r="J1" s="67"/>
      <x:c r="K1" s="67"/>
      <x:c r="L1" s="67"/>
      <x:c r="M1" s="67"/>
      <x:c r="N1" s="67"/>
      <x:c r="O1" s="67"/>
      <x:c r="P1" s="67"/>
    </x:row>
    <x:row r="2">
      <x:c r="A2" s="69" t="str">
        <x:v>Humble</x:v>
      </x:c>
      <x:c r="B2" s="90" t="n">
        <x:v>2</x:v>
      </x:c>
      <x:c r="C2" s="90" t="str">
        <x:v>Tutorial milestone</x:v>
      </x:c>
      <x:c r="D2" s="90" t="n">
        <x:v>3</x:v>
      </x:c>
      <x:c r="E2" s="69" t="str">
        <x:v>1–2</x:v>
      </x:c>
      <x:c r="F2" s="69" t="str">
        <x:v>0–1</x:v>
      </x:c>
      <x:c r="G2" s="69" t="str">
        <x:v>Yes</x:v>
      </x:c>
      <x:c r="H2" s="69" t="str">
        <x:v>No</x:v>
      </x:c>
      <x:c r="I2" s="69" t="str">
        <x:v>Fast, readable onboarding.</x:v>
      </x:c>
      <x:c r="J2" s="67"/>
      <x:c r="K2" s="67"/>
      <x:c r="L2" s="67"/>
      <x:c r="M2" s="67"/>
      <x:c r="N2" s="67"/>
      <x:c r="O2" s="67"/>
      <x:c r="P2" s="67"/>
    </x:row>
    <x:row r="3">
      <x:c r="A3" s="69" t="str">
        <x:v>Starter</x:v>
      </x:c>
      <x:c r="B3" s="90" t="n">
        <x:v>2</x:v>
      </x:c>
      <x:c r="C3" s="90" t="str">
        <x:v>Selected objectives / rare card</x:v>
      </x:c>
      <x:c r="D3" s="90" t="n">
        <x:v>3</x:v>
      </x:c>
      <x:c r="E3" s="69" t="str">
        <x:v>1–2</x:v>
      </x:c>
      <x:c r="F3" s="69" t="str">
        <x:v>0–1</x:v>
      </x:c>
      <x:c r="G3" s="69" t="str">
        <x:v>Yes</x:v>
      </x:c>
      <x:c r="H3" s="69" t="str">
        <x:v>No</x:v>
      </x:c>
      <x:c r="I3" s="69" t="str">
        <x:v>Introduce opportunity cost.</x:v>
      </x:c>
      <x:c r="J3" s="67"/>
      <x:c r="K3" s="67"/>
      <x:c r="L3" s="67"/>
      <x:c r="M3" s="67"/>
      <x:c r="N3" s="67"/>
      <x:c r="O3" s="67"/>
      <x:c r="P3" s="67"/>
    </x:row>
    <x:row r="4">
      <x:c r="A4" s="69" t="str">
        <x:v>Growing</x:v>
      </x:c>
      <x:c r="B4" s="90" t="n">
        <x:v>3</x:v>
      </x:c>
      <x:c r="C4" s="90" t="str">
        <x:v>Rare card / milestone</x:v>
      </x:c>
      <x:c r="D4" s="90" t="n">
        <x:v>4</x:v>
      </x:c>
      <x:c r="E4" s="69" t="str">
        <x:v>1–2</x:v>
      </x:c>
      <x:c r="F4" s="69" t="str">
        <x:v>1–2</x:v>
      </x:c>
      <x:c r="G4" s="69" t="str">
        <x:v>Yes</x:v>
      </x:c>
      <x:c r="H4" s="69" t="str">
        <x:v>No</x:v>
      </x:c>
      <x:c r="I4" s="69" t="str">
        <x:v>More complex district management.</x:v>
      </x:c>
      <x:c r="J4" s="67"/>
      <x:c r="K4" s="67"/>
      <x:c r="L4" s="67"/>
      <x:c r="M4" s="67"/>
      <x:c r="N4" s="67"/>
      <x:c r="O4" s="67"/>
      <x:c r="P4" s="67"/>
    </x:row>
    <x:row r="5">
      <x:c r="A5" s="69" t="str">
        <x:v>Established</x:v>
      </x:c>
      <x:c r="B5" s="90" t="n">
        <x:v>3</x:v>
      </x:c>
      <x:c r="C5" s="90" t="str">
        <x:v>Rare card / Empire condition</x:v>
      </x:c>
      <x:c r="D5" s="90" t="n">
        <x:v>4</x:v>
      </x:c>
      <x:c r="E5" s="69" t="str">
        <x:v>1–2</x:v>
      </x:c>
      <x:c r="F5" s="69" t="str">
        <x:v>1–2</x:v>
      </x:c>
      <x:c r="G5" s="69" t="str">
        <x:v>Yes</x:v>
      </x:c>
      <x:c r="H5" s="69" t="str">
        <x:v>No</x:v>
      </x:c>
      <x:c r="I5" s="69" t="str">
        <x:v>Optimization replaces raw expansion.</x:v>
      </x:c>
      <x:c r="J5" s="67"/>
      <x:c r="K5" s="67"/>
      <x:c r="L5" s="67"/>
      <x:c r="M5" s="67"/>
      <x:c r="N5" s="67"/>
      <x:c r="O5" s="67"/>
      <x:c r="P5" s="67"/>
    </x:row>
    <x:row r="6">
      <x:c r="A6" s="69" t="str">
        <x:v>Elite</x:v>
      </x:c>
      <x:c r="B6" s="90" t="n">
        <x:v>4</x:v>
      </x:c>
      <x:c r="C6" s="90" t="str">
        <x:v>Epic effect</x:v>
      </x:c>
      <x:c r="D6" s="90" t="n">
        <x:v>5</x:v>
      </x:c>
      <x:c r="E6" s="69" t="str">
        <x:v>1–2</x:v>
      </x:c>
      <x:c r="F6" s="69" t="str">
        <x:v>2–3</x:v>
      </x:c>
      <x:c r="G6" s="69" t="str">
        <x:v>Yes</x:v>
      </x:c>
      <x:c r="H6" s="69" t="str">
        <x:v>No</x:v>
      </x:c>
      <x:c r="I6" s="69" t="str">
        <x:v>Broader endgame strategy.</x:v>
      </x:c>
      <x:c r="J6" s="67"/>
      <x:c r="K6" s="67"/>
      <x:c r="L6" s="67"/>
      <x:c r="M6" s="67"/>
      <x:c r="N6" s="67"/>
      <x:c r="O6" s="67"/>
      <x:c r="P6" s="67"/>
    </x:row>
    <x:row r="7">
      <x:c r="A7" s="69" t="str">
        <x:v>Tycoon</x:v>
      </x:c>
      <x:c r="B7" s="90" t="n">
        <x:v>4</x:v>
      </x:c>
      <x:c r="C7" s="90" t="str">
        <x:v>Legendary / season effect</x:v>
      </x:c>
      <x:c r="D7" s="90" t="n">
        <x:v>5</x:v>
      </x:c>
      <x:c r="E7" s="69" t="str">
        <x:v>1–2</x:v>
      </x:c>
      <x:c r="F7" s="69" t="str">
        <x:v>2–3</x:v>
      </x:c>
      <x:c r="G7" s="69" t="str">
        <x:v>Yes</x:v>
      </x:c>
      <x:c r="H7" s="69" t="str">
        <x:v>No</x:v>
      </x:c>
      <x:c r="I7" s="69" t="str">
        <x:v>Prevent infinite daily micromanagement.</x:v>
      </x:c>
      <x:c r="J7" s="67"/>
      <x:c r="K7" s="67"/>
      <x:c r="L7" s="67"/>
      <x:c r="M7" s="67"/>
      <x:c r="N7" s="67"/>
      <x:c r="O7" s="67"/>
      <x:c r="P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42" hidden="0" customWidth="1"/>
    <x:col min="9" max="9" width="34" hidden="0" customWidth="1"/>
    <x:col min="10" max="10" width="34" hidden="0" customWidth="1"/>
  </x:cols>
  <x:sheetData>
    <x:row r="1">
      <x:c r="A1" s="84" t="str">
        <x:v>Metric</x:v>
      </x:c>
      <x:c r="B1" s="84" t="str">
        <x:v>Humble</x:v>
      </x:c>
      <x:c r="C1" s="84" t="str">
        <x:v>Starter</x:v>
      </x:c>
      <x:c r="D1" s="84" t="str">
        <x:v>Growing</x:v>
      </x:c>
      <x:c r="E1" s="84" t="str">
        <x:v>Established</x:v>
      </x:c>
      <x:c r="F1" s="84" t="str">
        <x:v>Elite</x:v>
      </x:c>
      <x:c r="G1" s="84" t="str">
        <x:v>Tycoon</x:v>
      </x:c>
      <x:c r="H1" s="84" t="str">
        <x:v>Target Philosophy</x:v>
      </x:c>
      <x:c r="I1" s="84" t="str">
        <x:v>Too Easy Signal</x:v>
      </x:c>
      <x:c r="J1" s="84" t="str">
        <x:v>Too Hard Signal</x:v>
      </x:c>
      <x:c r="K1" s="67"/>
      <x:c r="L1" s="67"/>
      <x:c r="M1" s="67"/>
      <x:c r="N1" s="67"/>
      <x:c r="O1" s="67"/>
      <x:c r="P1" s="67"/>
    </x:row>
    <x:row r="2">
      <x:c r="A2" s="69" t="str">
        <x:v>Meaningful decisions / session</x:v>
      </x:c>
      <x:c r="B2" s="69" t="str">
        <x:v>2–3</x:v>
      </x:c>
      <x:c r="C2" s="69" t="str">
        <x:v>3–4</x:v>
      </x:c>
      <x:c r="D2" s="69" t="str">
        <x:v>4–5</x:v>
      </x:c>
      <x:c r="E2" s="69" t="str">
        <x:v>4–6</x:v>
      </x:c>
      <x:c r="F2" s="69" t="str">
        <x:v>5–6</x:v>
      </x:c>
      <x:c r="G2" s="69" t="str">
        <x:v>5–7</x:v>
      </x:c>
      <x:c r="H2" s="69" t="str">
        <x:v>Increase complexity gradually</x:v>
      </x:c>
      <x:c r="I2" s="69" t="str">
        <x:v>Players auto-pick without reading</x:v>
      </x:c>
      <x:c r="J2" s="69" t="str">
        <x:v>Players abandon actions / overthink</x:v>
      </x:c>
      <x:c r="K2" s="67"/>
      <x:c r="L2" s="67"/>
      <x:c r="M2" s="67"/>
      <x:c r="N2" s="67"/>
      <x:c r="O2" s="67"/>
      <x:c r="P2" s="67"/>
    </x:row>
    <x:row r="3">
      <x:c r="A3" s="69" t="str">
        <x:v>Average cards considered before action</x:v>
      </x:c>
      <x:c r="B3" s="69" t="str">
        <x:v>2</x:v>
      </x:c>
      <x:c r="C3" s="69" t="str">
        <x:v>2–3</x:v>
      </x:c>
      <x:c r="D3" s="69" t="str">
        <x:v>3</x:v>
      </x:c>
      <x:c r="E3" s="69" t="str">
        <x:v>3–4</x:v>
      </x:c>
      <x:c r="F3" s="69" t="str">
        <x:v>4</x:v>
      </x:c>
      <x:c r="G3" s="69" t="str">
        <x:v>4–5</x:v>
      </x:c>
      <x:c r="H3" s="69" t="str">
        <x:v>Hand should create choice, not paralysis</x:v>
      </x:c>
      <x:c r="I3" s="69" t="str">
        <x:v>Always first card</x:v>
      </x:c>
      <x:c r="J3" s="69" t="str">
        <x:v>Constant rerolling</x:v>
      </x:c>
      <x:c r="K3" s="67"/>
      <x:c r="L3" s="67"/>
      <x:c r="M3" s="67"/>
      <x:c r="N3" s="67"/>
      <x:c r="O3" s="67"/>
      <x:c r="P3" s="67"/>
    </x:row>
    <x:row r="4">
      <x:c r="A4" s="69" t="str">
        <x:v>Paid rerolls / active day</x:v>
      </x:c>
      <x:c r="B4" s="69" t="str">
        <x:v>0–1</x:v>
      </x:c>
      <x:c r="C4" s="69" t="str">
        <x:v>0–1</x:v>
      </x:c>
      <x:c r="D4" s="69" t="str">
        <x:v>0–1</x:v>
      </x:c>
      <x:c r="E4" s="69" t="str">
        <x:v>0–2</x:v>
      </x:c>
      <x:c r="F4" s="69" t="str">
        <x:v>0–2</x:v>
      </x:c>
      <x:c r="G4" s="69" t="str">
        <x:v>0–2</x:v>
      </x:c>
      <x:c r="H4" s="69" t="str">
        <x:v>Rerolls are a sink, not a requirement</x:v>
      </x:c>
      <x:c r="I4" s="69" t="str">
        <x:v>Never used</x:v>
      </x:c>
      <x:c r="J4" s="69" t="str">
        <x:v>Needed every day</x:v>
      </x:c>
      <x:c r="K4" s="67"/>
      <x:c r="L4" s="67"/>
      <x:c r="M4" s="67"/>
      <x:c r="N4" s="67"/>
      <x:c r="O4" s="67"/>
      <x:c r="P4" s="67"/>
    </x:row>
    <x:row r="5">
      <x:c r="A5" s="69" t="str">
        <x:v>Quarter obligation coverage target</x:v>
      </x:c>
      <x:c r="B5" s="69" t="str">
        <x:v>1.5x</x:v>
      </x:c>
      <x:c r="C5" s="69" t="str">
        <x:v>1.4x</x:v>
      </x:c>
      <x:c r="D5" s="69" t="str">
        <x:v>1.3x</x:v>
      </x:c>
      <x:c r="E5" s="69" t="str">
        <x:v>1.25x</x:v>
      </x:c>
      <x:c r="F5" s="69" t="str">
        <x:v>1.20x</x:v>
      </x:c>
      <x:c r="G5" s="69" t="str">
        <x:v>1.15x</x:v>
      </x:c>
      <x:c r="H5" s="69" t="str">
        <x:v>Pressure rises by rank</x:v>
      </x:c>
      <x:c r="I5" s="69" t="str">
        <x:v>Always &gt;3x</x:v>
      </x:c>
      <x:c r="J5" s="69" t="str">
        <x:v>Frequent unavoidable shortfalls</x:v>
      </x:c>
      <x:c r="K5" s="67"/>
      <x:c r="L5" s="67"/>
      <x:c r="M5" s="67"/>
      <x:c r="N5" s="67"/>
      <x:c r="O5" s="67"/>
      <x:c r="P5" s="67"/>
    </x:row>
    <x:row r="6">
      <x:c r="A6" s="69" t="str">
        <x:v>Days to major purchase</x:v>
      </x:c>
      <x:c r="B6" s="69" t="str">
        <x:v>&lt;1</x:v>
      </x:c>
      <x:c r="C6" s="69" t="str">
        <x:v>1–3</x:v>
      </x:c>
      <x:c r="D6" s="69" t="str">
        <x:v>3–7</x:v>
      </x:c>
      <x:c r="E6" s="69" t="str">
        <x:v>5–10</x:v>
      </x:c>
      <x:c r="F6" s="69" t="str">
        <x:v>7–14</x:v>
      </x:c>
      <x:c r="G6" s="69" t="str">
        <x:v>10–21</x:v>
      </x:c>
      <x:c r="H6" s="69" t="str">
        <x:v>Investment horizon increases</x:v>
      </x:c>
      <x:c r="I6" s="69" t="str">
        <x:v>Everything bought same day</x:v>
      </x:c>
      <x:c r="J6" s="69" t="str">
        <x:v>Weeks of no progress</x:v>
      </x:c>
      <x:c r="K6" s="67"/>
      <x:c r="L6" s="67"/>
      <x:c r="M6" s="67"/>
      <x:c r="N6" s="67"/>
      <x:c r="O6" s="67"/>
      <x:c r="P6" s="67"/>
    </x:row>
    <x:row r="7">
      <x:c r="A7" s="69" t="str">
        <x:v>Maturation wait tolerance</x:v>
      </x:c>
      <x:c r="B7" s="69" t="str">
        <x:v>1–2d</x:v>
      </x:c>
      <x:c r="C7" s="69" t="str">
        <x:v>2d</x:v>
      </x:c>
      <x:c r="D7" s="69" t="str">
        <x:v>3d</x:v>
      </x:c>
      <x:c r="E7" s="69" t="str">
        <x:v>4d</x:v>
      </x:c>
      <x:c r="F7" s="69" t="str">
        <x:v>5d</x:v>
      </x:c>
      <x:c r="G7" s="69" t="str">
        <x:v>7d</x:v>
      </x:c>
      <x:c r="H7" s="69" t="str">
        <x:v>Bigger institutions take longer</x:v>
      </x:c>
      <x:c r="I7" s="69" t="str">
        <x:v>No planning needed</x:v>
      </x:c>
      <x:c r="J7" s="69" t="str">
        <x:v>Player has nothing useful to do while waiting</x:v>
      </x:c>
      <x:c r="K7" s="67"/>
      <x:c r="L7" s="67"/>
      <x:c r="M7" s="67"/>
      <x:c r="N7" s="67"/>
      <x:c r="O7" s="67"/>
      <x:c r="P7" s="67"/>
    </x:row>
    <x:row r="8">
      <x:c r="A8" s="69" t="str">
        <x:v>Negative-event recovery</x:v>
      </x:c>
      <x:c r="B8" s="69" t="str">
        <x:v>Same day</x:v>
      </x:c>
      <x:c r="C8" s="69" t="str">
        <x:v>1d</x:v>
      </x:c>
      <x:c r="D8" s="69" t="str">
        <x:v>1–2d</x:v>
      </x:c>
      <x:c r="E8" s="69" t="str">
        <x:v>2d</x:v>
      </x:c>
      <x:c r="F8" s="69" t="str">
        <x:v>2–3d</x:v>
      </x:c>
      <x:c r="G8" s="69" t="str">
        <x:v>3d</x:v>
      </x:c>
      <x:c r="H8" s="69" t="str">
        <x:v>Losses create decisions, not death spirals</x:v>
      </x:c>
      <x:c r="I8" s="69" t="str">
        <x:v>Events ignored</x:v>
      </x:c>
      <x:c r="J8" s="69" t="str">
        <x:v>One bad event ruins quarter</x:v>
      </x:c>
      <x:c r="K8" s="67"/>
      <x:c r="L8" s="67"/>
      <x:c r="M8" s="67"/>
      <x:c r="N8" s="67"/>
      <x:c r="O8" s="67"/>
      <x:c r="P8" s="67"/>
    </x:row>
    <x:row r="9">
      <x:c r="A9" s="69" t="str">
        <x:v>Temporary-card contribution to daily output</x:v>
      </x:c>
      <x:c r="B9" s="69" t="str">
        <x:v>&lt;10%</x:v>
      </x:c>
      <x:c r="C9" s="69" t="str">
        <x:v>10–15%</x:v>
      </x:c>
      <x:c r="D9" s="69" t="str">
        <x:v>10–20%</x:v>
      </x:c>
      <x:c r="E9" s="69" t="str">
        <x:v>15–20%</x:v>
      </x:c>
      <x:c r="F9" s="69" t="str">
        <x:v>15–25%</x:v>
      </x:c>
      <x:c r="G9" s="69" t="str">
        <x:v>15–25%</x:v>
      </x:c>
      <x:c r="H9" s="69" t="str">
        <x:v>Persistent empire remains dominant</x:v>
      </x:c>
      <x:c r="I9" s="69" t="str">
        <x:v>Cards feel irrelevant</x:v>
      </x:c>
      <x:c r="J9" s="69" t="str">
        <x:v>Empire becomes card-dependent</x:v>
      </x:c>
      <x:c r="K9" s="67"/>
      <x:c r="L9" s="67"/>
      <x:c r="M9" s="67"/>
      <x:c r="N9" s="67"/>
      <x:c r="O9" s="67"/>
      <x:c r="P9" s="67"/>
    </x:row>
    <x:row r="10">
      <x:c r="A10" s="69" t="str">
        <x:v>Stock rewards / active day</x:v>
      </x:c>
      <x:c r="B10" s="69" t="str">
        <x:v>0–2</x:v>
      </x:c>
      <x:c r="C10" s="69" t="str">
        <x:v>1–3</x:v>
      </x:c>
      <x:c r="D10" s="69" t="str">
        <x:v>1–4</x:v>
      </x:c>
      <x:c r="E10" s="69" t="str">
        <x:v>1–5</x:v>
      </x:c>
      <x:c r="F10" s="69" t="str">
        <x:v>2–6</x:v>
      </x:c>
      <x:c r="G10" s="69" t="str">
        <x:v>2–7</x:v>
      </x:c>
      <x:c r="H10" s="69" t="str">
        <x:v>Collection supports, not replaces, core economy</x:v>
      </x:c>
      <x:c r="I10" s="69" t="str">
        <x:v>Stocks meaningless</x:v>
      </x:c>
      <x:c r="J10" s="69" t="str">
        <x:v>Stock drops dominate motivation</x:v>
      </x:c>
      <x:c r="K10" s="67"/>
      <x:c r="L10" s="67"/>
      <x:c r="M10" s="67"/>
      <x:c r="N10" s="67"/>
      <x:c r="O10" s="67"/>
      <x:c r="P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30" hidden="0" customWidth="1"/>
    <x:col min="5" max="5" width="44" hidden="0" customWidth="1"/>
  </x:cols>
  <x:sheetData>
    <x:row r="1">
      <x:c r="A1" s="66" t="str">
        <x:v>Building Opportunity Placement Simulator</x:v>
      </x:c>
      <x:c r="B1" s="66"/>
      <x:c r="C1" s="66"/>
      <x:c r="D1" s="66"/>
      <x:c r="E1" s="66"/>
      <x:c r="F1" s="66"/>
      <x:c r="G1" s="66"/>
      <x:c r="H1" s="66"/>
      <x:c r="I1" s="67"/>
      <x:c r="J1" s="67"/>
      <x:c r="K1" s="67"/>
      <x:c r="L1" s="67"/>
      <x:c r="M1" s="67"/>
      <x:c r="N1" s="67"/>
      <x:c r="O1" s="67"/>
      <x:c r="P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</x:row>
    <x:row r="3">
      <x:c r="A3" s="116" t="str">
        <x:v>Building #</x:v>
      </x:c>
      <x:c r="B3" s="117" t="n">
        <x:v>1</x:v>
      </x:c>
      <x:c r="C3" s="67"/>
      <x:c r="D3" s="70" t="str">
        <x:v>Output</x:v>
      </x:c>
      <x:c r="E3" s="70" t="str">
        <x:v>Value</x:v>
      </x:c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</x:row>
    <x:row r="4">
      <x:c r="A4" s="116" t="str">
        <x:v>Maturation Day</x:v>
      </x:c>
      <x:c r="B4" s="117" t="n">
        <x:v>1</x:v>
      </x:c>
      <x:c r="C4" s="67"/>
      <x:c r="D4" s="67" t="str">
        <x:v>Building</x:v>
      </x:c>
      <x:c r="E4" s="67" t="str">
        <x:f>VLOOKUP(B3,'Building Card Model'!$A$2:$P$51,2,FALSE)</x:f>
        <x:v>Cash Kiosk</x:v>
      </x:c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116" t="str">
        <x:v>Commerce</x:v>
      </x:c>
      <x:c r="B5" s="117" t="n">
        <x:v>65</x:v>
      </x:c>
      <x:c r="C5" s="67"/>
      <x:c r="D5" s="67" t="str">
        <x:v>Base Mature Net / Day</x:v>
      </x:c>
      <x:c r="E5" s="100" t="n">
        <x:f>VLOOKUP(B3,'Building Card Model'!$A$2:$P$51,6,FALSE)</x:f>
        <x:v>25</x:v>
      </x:c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</x:row>
    <x:row r="6">
      <x:c r="A6" s="116" t="str">
        <x:v>Footfall</x:v>
      </x:c>
      <x:c r="B6" s="117" t="n">
        <x:v>70</x:v>
      </x:c>
      <x:c r="C6" s="67"/>
      <x:c r="D6" s="67" t="str">
        <x:v>Maturation Days</x:v>
      </x:c>
      <x:c r="E6" s="67" t="n">
        <x:f>VLOOKUP(B3,'Building Card Model'!$A$2:$P$51,7,FALSE)</x:f>
        <x:v>1</x:v>
      </x:c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</x:row>
    <x:row r="7">
      <x:c r="A7" s="116" t="str">
        <x:v>Road Access</x:v>
      </x:c>
      <x:c r="B7" s="117" t="n">
        <x:v>75</x:v>
      </x:c>
      <x:c r="C7" s="67"/>
      <x:c r="D7" s="67" t="str">
        <x:v>Maturation Multiplier</x:v>
      </x:c>
      <x:c r="E7" s="99" t="n">
        <x:f>IF(B4&gt;=E6,1,IF(E6=1,1,IF(B4=1,VLOOKUP(B3,'Building Card Model'!$A$2:$P$51,8,FALSE),VLOOKUP(B3,'Building Card Model'!$A$2:$P$51,9,FALSE))))</x:f>
        <x:v>1</x:v>
      </x:c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</x:row>
    <x:row r="8">
      <x:c r="A8" s="116" t="str">
        <x:v>Prestige</x:v>
      </x:c>
      <x:c r="B8" s="117" t="n">
        <x:v>55</x:v>
      </x:c>
      <x:c r="C8" s="67"/>
      <x:c r="D8" s="67" t="str">
        <x:v>Generic Land Quality Mult</x:v>
      </x:c>
      <x:c r="E8" s="99" t="n">
        <x:f>MAX(0.80,MIN(1.25,1+((B5-50)*0.0015)+((B6-50)*0.002)+((B7-50)*0.0015)+((B8-50)*0.001)+((B9-50)*0.001)+((B10-50)*0.001)))</x:f>
        <x:v>1.105</x:v>
      </x:c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</x:row>
    <x:row r="9">
      <x:c r="A9" s="116" t="str">
        <x:v>Capital Access</x:v>
      </x:c>
      <x:c r="B9" s="117" t="n">
        <x:v>50</x:v>
      </x:c>
      <x:c r="C9" s="67"/>
      <x:c r="D9" s="67" t="str">
        <x:v>Projected Net Before Market</x:v>
      </x:c>
      <x:c r="E9" s="100" t="n">
        <x:f>E5*E7*E8</x:f>
        <x:v>27.625</x:v>
      </x:c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</x:row>
    <x:row r="10">
      <x:c r="A10" s="116" t="str">
        <x:v>Data / Talent</x:v>
      </x:c>
      <x:c r="B10" s="117" t="n">
        <x:v>50</x:v>
      </x:c>
      <x:c r="C10" s="67"/>
      <x:c r="D10" s="67" t="str">
        <x:v>Normal Market</x:v>
      </x:c>
      <x:c r="E10" s="100" t="n">
        <x:f>E9</x:f>
        <x:v>27.625</x:v>
      </x:c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7"/>
      <x:c r="B11" s="67"/>
      <x:c r="C11" s="67"/>
      <x:c r="D11" s="67" t="str">
        <x:v>Bull Market Example</x:v>
      </x:c>
      <x:c r="E11" s="100" t="n">
        <x:f>E9*1.10</x:f>
        <x:v>30.387500000000003</x:v>
      </x:c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/>
      <x:c r="B12" s="67"/>
      <x:c r="C12" s="67"/>
      <x:c r="D12" s="67" t="str">
        <x:v>Risk-Off Example</x:v>
      </x:c>
      <x:c r="E12" s="100" t="n">
        <x:f>E9*0.92</x:f>
        <x:v>25.415000000000003</x:v>
      </x:c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/>
      <x:c r="B13" s="67"/>
      <x:c r="C13" s="67"/>
      <x:c r="D13" s="67" t="str">
        <x:v>Simple Placement Rating</x:v>
      </x:c>
      <x:c r="E13" s="67" t="str">
        <x:f>IF(E8&gt;=1.15,"Excellent",IF(E8&gt;=1.05,"Good",IF(E8&gt;=0.95,"Average","Poor")))</x:f>
        <x:v>Good</x:v>
      </x:c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/>
      <x:c r="B14" s="67"/>
      <x:c r="C14" s="67"/>
      <x:c r="D14" s="67" t="str">
        <x:v>Interpretation</x:v>
      </x:c>
      <x:c r="E14" s="67" t="str">
        <x:f>"Placement "&amp;E13&amp;"; maturity "&amp;TEXT(E7,"0%")&amp;"; projected normal net "&amp;TEXT(E10,"#,##0")&amp;" Cash/day"</x:f>
        <x:v>Placement Good; maturity 100%; projected normal net 28 Cash/day</x:v>
      </x:c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</x:row>
  </x:sheetData>
  <x:mergeCells>
    <x:mergeCell ref="A1:H1"/>
  </x:mergeCells>
  <x:pageMargins left="0.7" right="0.7" top="0.75" bottom="0.75" header="0.3" footer="0.3"/>
</x:worksheet>
</file>