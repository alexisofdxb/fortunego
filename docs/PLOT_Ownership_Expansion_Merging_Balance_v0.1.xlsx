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1d9527032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310bbe30f1934210"/>
    <x:sheet xmlns:r="http://schemas.openxmlformats.org/officeDocument/2006/relationships" name="01_Assumptions" sheetId="2" r:id="Rb4cc80fbbf1a45c2"/>
    <x:sheet xmlns:r="http://schemas.openxmlformats.org/officeDocument/2006/relationships" name="02_Ownership_States" sheetId="3" r:id="R228ae2a77cc94339"/>
    <x:sheet xmlns:r="http://schemas.openxmlformats.org/officeDocument/2006/relationships" name="03_Expansion_Progression" sheetId="4" r:id="R1205b350f8294d05"/>
    <x:sheet xmlns:r="http://schemas.openxmlformats.org/officeDocument/2006/relationships" name="04_Merge_Shapes" sheetId="5" r:id="Rc772664c7e944ec1"/>
    <x:sheet xmlns:r="http://schemas.openxmlformats.org/officeDocument/2006/relationships" name="05_Land_Market" sheetId="6" r:id="R39b940d2edcc4f99"/>
    <x:sheet xmlns:r="http://schemas.openxmlformats.org/officeDocument/2006/relationships" name="06_Transfer_Buildings" sheetId="7" r:id="Rb7975bee2ad34cc7"/>
    <x:sheet xmlns:r="http://schemas.openxmlformats.org/officeDocument/2006/relationships" name="07_Merge_Unmerge" sheetId="8" r:id="R6e03b680d2e94e7e"/>
    <x:sheet xmlns:r="http://schemas.openxmlformats.org/officeDocument/2006/relationships" name="08_Coordinate_System" sheetId="9" r:id="R8253072db5f04306"/>
    <x:sheet xmlns:r="http://schemas.openxmlformats.org/officeDocument/2006/relationships" name="09_Economy_Impact" sheetId="10" r:id="Rece33b633f5a4409"/>
    <x:sheet xmlns:r="http://schemas.openxmlformats.org/officeDocument/2006/relationships" name="10_Anti_Whale" sheetId="11" r:id="R3596ab314b09447d"/>
    <x:sheet xmlns:r="http://schemas.openxmlformats.org/officeDocument/2006/relationships" name="11_Onchain_Architecture" sheetId="12" r:id="Rc867a340c98f4f82"/>
    <x:sheet xmlns:r="http://schemas.openxmlformats.org/officeDocument/2006/relationships" name="12_State_Responsibility" sheetId="13" r:id="R939c4c0933264b8c"/>
    <x:sheet xmlns:r="http://schemas.openxmlformats.org/officeDocument/2006/relationships" name="13_Fees_Sinks" sheetId="14" r:id="R1fef01d14756403c"/>
    <x:sheet xmlns:r="http://schemas.openxmlformats.org/officeDocument/2006/relationships" name="14_Territory_Scenarios" sheetId="15" r:id="Rf75cb28b020140a9"/>
    <x:sheet xmlns:r="http://schemas.openxmlformats.org/officeDocument/2006/relationships" name="15_LiveOps" sheetId="16" r:id="Rfa73fd585f7e4f59"/>
    <x:sheet xmlns:r="http://schemas.openxmlformats.org/officeDocument/2006/relationships" name="16_Technical_Rules" sheetId="17" r:id="Rf2c218b1d15f446a"/>
    <x:sheet xmlns:r="http://schemas.openxmlformats.org/officeDocument/2006/relationships" name="17_Model_Checks" sheetId="18" r:id="R3d949cc5768c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#,##0 &quot;Cash&quot;;[Red](#,##0 &quot;Cash&quot;);-"/>
    <x:numFmt numFmtId="202" formatCode="0.0%;[Red](0.0%);-"/>
    <x:numFmt numFmtId="203" formatCode="$#,##0;[Red]($#,##0);-"/>
    <x:numFmt numFmtId="204" formatCode="0.00;[Red](0.0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4" fontId="0" fillId="0" borderId="9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4" xfId="0" applyNumberFormat="1" applyFont="1" applyFill="1" applyBorder="1" applyAlignment="1">
      <x:alignment vertical="top" wrapText="1"/>
    </x:xf>
    <x:xf numFmtId="204" fontId="0" fillId="0" borderId="17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4" fontId="0" fillId="0" borderId="22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ill>
        <x:patternFill patternType="solid">
          <x:bgColor rgb="FFFFF200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5390892a74305" /><Relationship Type="http://schemas.openxmlformats.org/officeDocument/2006/relationships/theme" Target="/xl/theme/theme1.xml" Id="R24ff88fc37e745e7" /><Relationship Type="http://schemas.openxmlformats.org/officeDocument/2006/relationships/sharedStrings" Target="/xl/sharedStrings.xml" Id="R09cde918539d4a80" /><Relationship Type="http://schemas.openxmlformats.org/officeDocument/2006/relationships/worksheet" Target="/xl/worksheets/sheet1.xml" Id="R310bbe30f1934210" /><Relationship Type="http://schemas.openxmlformats.org/officeDocument/2006/relationships/worksheet" Target="/xl/worksheets/sheet2.xml" Id="Rb4cc80fbbf1a45c2" /><Relationship Type="http://schemas.openxmlformats.org/officeDocument/2006/relationships/worksheet" Target="/xl/worksheets/sheet3.xml" Id="R228ae2a77cc94339" /><Relationship Type="http://schemas.openxmlformats.org/officeDocument/2006/relationships/worksheet" Target="/xl/worksheets/sheet4.xml" Id="R1205b350f8294d05" /><Relationship Type="http://schemas.openxmlformats.org/officeDocument/2006/relationships/worksheet" Target="/xl/worksheets/sheet5.xml" Id="Rc772664c7e944ec1" /><Relationship Type="http://schemas.openxmlformats.org/officeDocument/2006/relationships/worksheet" Target="/xl/worksheets/sheet6.xml" Id="R39b940d2edcc4f99" /><Relationship Type="http://schemas.openxmlformats.org/officeDocument/2006/relationships/worksheet" Target="/xl/worksheets/sheet7.xml" Id="Rb7975bee2ad34cc7" /><Relationship Type="http://schemas.openxmlformats.org/officeDocument/2006/relationships/worksheet" Target="/xl/worksheets/sheet8.xml" Id="R6e03b680d2e94e7e" /><Relationship Type="http://schemas.openxmlformats.org/officeDocument/2006/relationships/worksheet" Target="/xl/worksheets/sheet9.xml" Id="R8253072db5f04306" /><Relationship Type="http://schemas.openxmlformats.org/officeDocument/2006/relationships/worksheet" Target="/xl/worksheets/sheet10.xml" Id="Rece33b633f5a4409" /><Relationship Type="http://schemas.openxmlformats.org/officeDocument/2006/relationships/worksheet" Target="/xl/worksheets/sheet11.xml" Id="R3596ab314b09447d" /><Relationship Type="http://schemas.openxmlformats.org/officeDocument/2006/relationships/worksheet" Target="/xl/worksheets/sheet12.xml" Id="Rc867a340c98f4f82" /><Relationship Type="http://schemas.openxmlformats.org/officeDocument/2006/relationships/worksheet" Target="/xl/worksheets/sheet13.xml" Id="R939c4c0933264b8c" /><Relationship Type="http://schemas.openxmlformats.org/officeDocument/2006/relationships/worksheet" Target="/xl/worksheets/sheet14.xml" Id="R1fef01d14756403c" /><Relationship Type="http://schemas.openxmlformats.org/officeDocument/2006/relationships/worksheet" Target="/xl/worksheets/sheet15.xml" Id="Rf75cb28b020140a9" /><Relationship Type="http://schemas.openxmlformats.org/officeDocument/2006/relationships/worksheet" Target="/xl/worksheets/sheet16.xml" Id="Rfa73fd585f7e4f59" /><Relationship Type="http://schemas.openxmlformats.org/officeDocument/2006/relationships/worksheet" Target="/xl/worksheets/sheet17.xml" Id="Rf2c218b1d15f446a" /><Relationship Type="http://schemas.openxmlformats.org/officeDocument/2006/relationships/worksheet" Target="/xl/worksheets/sheet18.xml" Id="R3d949cc5768c47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89348576e440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Usable territory grows with active Plot cap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Common Shape</c:v>
          </c:tx>
          <c:cat>
            <c:strRef>
              <c:f>'00_Dashboard'!$A$27:$A$31</c:f>
              <c:strCache>
                <c:ptCount val="0"/>
              </c:strCache>
            </c:strRef>
          </c:cat>
          <c:val>
            <c:numRef>
              <c:f>'00_Dashboard'!$B$27:$B$31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Tiles</c:v>
          </c:tx>
          <c:cat>
            <c:strRef>
              <c:f>'00_Dashboard'!$A$27:$A$31</c:f>
              <c:strCache>
                <c:ptCount val="0"/>
              </c:strCache>
            </c:strRef>
          </c:cat>
          <c:val>
            <c:numRef>
              <c:f>'00_Dashboard'!$C$27:$C$31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24</xdr:row>
      <xdr:rowOff>0</xdr:rowOff>
    </xdr:from>
    <xdr:to>
      <xdr:col>13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89348576e440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d90831fa9345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PLOT — Ownership, Expansion &amp; Merging Balance v0.1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22"/>
      <x:c r="O1" s="22"/>
      <x:c r="P1" s="22"/>
    </x:row>
    <x:row r="3">
      <x:c r="A3" s="14" t="str">
        <x:v>System Goal</x:v>
      </x:c>
      <x:c r="B3" s="14" t="str">
        <x:v>Base Plot</x:v>
      </x:c>
      <x:c r="C3" s="14" t="str">
        <x:v>Base Tiles</x:v>
      </x:c>
      <x:c r="D3" s="14" t="str">
        <x:v>First Plot Rule</x:v>
      </x:c>
      <x:c r="E3" s="14" t="str">
        <x:v>Second Plot Gate</x:v>
      </x:c>
      <x:c r="F3" s="14" t="str">
        <x:v>Merge Gate</x:v>
      </x:c>
      <x:c r="G3" s="14" t="str">
        <x:v>Max Active Plots</x:v>
      </x:c>
      <x:c r="H3" s="14" t="str">
        <x:v>Max Recommended Merge</x:v>
      </x:c>
      <x:c r="I3" s="14" t="str">
        <x:v>Cross-Border Buildings</x:v>
      </x:c>
      <x:c r="J3" s="14" t="str">
        <x:v>Passive Land Yield</x:v>
      </x:c>
      <x:c r="K3" s="14" t="str">
        <x:v>Performance Rule</x:v>
      </x:c>
      <x:c r="L3" s="14" t="str">
        <x:v>Onchain Principle</x:v>
      </x:c>
      <x:c r="M3" s="14" t="str">
        <x:v>Anti-Whale Principle</x:v>
      </x:c>
    </x:row>
    <x:row r="4">
      <x:c r="A4" s="24" t="str">
        <x:v>Let players grow from one 12×12 board into a financial territory without making land ownership equal economic power</x:v>
      </x:c>
      <x:c r="B4" s="25" t="str">
        <x:v>12×12</x:v>
      </x:c>
      <x:c r="C4" s="25" t="n">
        <x:v>144</x:v>
      </x:c>
      <x:c r="D4" s="25" t="str">
        <x:v>Included with game access / granted</x:v>
      </x:c>
      <x:c r="E4" s="25" t="str">
        <x:v>Lv25 + Rep65</x:v>
      </x:c>
      <x:c r="F4" s="25" t="str">
        <x:v>Lv35 + Rep75</x:v>
      </x:c>
      <x:c r="G4" s="25" t="n">
        <x:v>16</x:v>
      </x:c>
      <x:c r="H4" s="25" t="str">
        <x:v>4×4 plots / 48×48 tiles</x:v>
      </x:c>
      <x:c r="I4" s="25" t="str">
        <x:v>Later phase only</x:v>
      </x:c>
      <x:c r="J4" s="25" t="str">
        <x:v>None</x:v>
      </x:c>
      <x:c r="K4" s="25" t="str">
        <x:v>Land itself never generates Performance Score or $PLOT</x:v>
      </x:c>
      <x:c r="L4" s="25" t="str">
        <x:v>Ownership/transfers onchain; simulation/layout mostly offchain</x:v>
      </x:c>
      <x:c r="M4" s="26" t="str">
        <x:v>Own many if desired, but only level-gated active Plots affect gameplay</x:v>
      </x:c>
    </x:row>
    <x:row r="6" ht="22" customHeight="1">
      <x:c r="A6" s="31" t="str">
        <x:v>Expansion Ladder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</x:row>
    <x:row r="7">
      <x:c r="A7" s="14" t="str">
        <x:v>Empire Stage</x:v>
      </x:c>
      <x:c r="B7" s="14" t="str">
        <x:v>Level</x:v>
      </x:c>
      <x:c r="C7" s="14" t="str">
        <x:v>Active Plot Cap</x:v>
      </x:c>
      <x:c r="D7" s="14" t="str">
        <x:v>Common Merge Shape</x:v>
      </x:c>
      <x:c r="E7" s="14" t="str">
        <x:v>Total Active Tiles</x:v>
      </x:c>
      <x:c r="F7" s="14" t="str">
        <x:v>Expansion Permit</x:v>
      </x:c>
      <x:c r="G7" s="14" t="str">
        <x:v>Merge Fee Example</x:v>
      </x:c>
      <x:c r="H7" s="14" t="str">
        <x:v>Weekly Territory Overhead</x:v>
      </x:c>
      <x:c r="I7" s="14" t="str">
        <x:v>Cross-Border Placement</x:v>
      </x:c>
      <x:c r="J7" s="14" t="str">
        <x:v>District Scope</x:v>
      </x:c>
      <x:c r="K7" s="14" t="str">
        <x:v>Empire Value Effect</x:v>
      </x:c>
      <x:c r="L7" s="14" t="str">
        <x:v>Performance Effect</x:v>
      </x:c>
      <x:c r="M7" s="14" t="str">
        <x:v>Player Fantasy</x:v>
      </x:c>
    </x:row>
    <x:row r="8">
      <x:c r="A8" s="34" t="str">
        <x:v>Humble</x:v>
      </x:c>
      <x:c r="B8" s="35" t="n">
        <x:v>1</x:v>
      </x:c>
      <x:c r="C8" s="50" t="n">
        <x:v>1</x:v>
      </x:c>
      <x:c r="D8" s="50" t="str">
        <x:v>1×1</x:v>
      </x:c>
      <x:c r="E8" s="50" t="n">
        <x:v>144</x:v>
      </x:c>
      <x:c r="F8" s="56" t="n">
        <x:v>0</x:v>
      </x:c>
      <x:c r="G8" s="56" t="n">
        <x:v>0</x:v>
      </x:c>
      <x:c r="H8" s="62" t="n">
        <x:v>0</x:v>
      </x:c>
      <x:c r="I8" s="35" t="str">
        <x:v>No</x:v>
      </x:c>
      <x:c r="J8" s="35" t="str">
        <x:v>Single Plot</x:v>
      </x:c>
      <x:c r="K8" s="35" t="str">
        <x:v>Base</x:v>
      </x:c>
      <x:c r="L8" s="35" t="str">
        <x:v>None</x:v>
      </x:c>
      <x:c r="M8" s="36" t="str">
        <x:v>I own my first Plot</x:v>
      </x:c>
    </x:row>
    <x:row r="9">
      <x:c r="A9" s="37" t="str">
        <x:v>Starter</x:v>
      </x:c>
      <x:c r="B9" s="22" t="n">
        <x:v>20</x:v>
      </x:c>
      <x:c r="C9" s="51" t="n">
        <x:v>1</x:v>
      </x:c>
      <x:c r="D9" s="51" t="str">
        <x:v>1×1</x:v>
      </x:c>
      <x:c r="E9" s="51" t="n">
        <x:v>144</x:v>
      </x:c>
      <x:c r="F9" s="57" t="n">
        <x:v>0</x:v>
      </x:c>
      <x:c r="G9" s="57" t="n">
        <x:v>0</x:v>
      </x:c>
      <x:c r="H9" s="63" t="n">
        <x:v>0</x:v>
      </x:c>
      <x:c r="I9" s="22" t="str">
        <x:v>No</x:v>
      </x:c>
      <x:c r="J9" s="22" t="str">
        <x:v>Single Plot</x:v>
      </x:c>
      <x:c r="K9" s="22" t="str">
        <x:v>+ progression only</x:v>
      </x:c>
      <x:c r="L9" s="22" t="str">
        <x:v>None</x:v>
      </x:c>
      <x:c r="M9" s="38" t="str">
        <x:v>I am filling my first financial board</x:v>
      </x:c>
    </x:row>
    <x:row r="10">
      <x:c r="A10" s="37" t="str">
        <x:v>Growing</x:v>
      </x:c>
      <x:c r="B10" s="22" t="n">
        <x:v>25</x:v>
      </x:c>
      <x:c r="C10" s="51" t="n">
        <x:v>2</x:v>
      </x:c>
      <x:c r="D10" s="51" t="str">
        <x:v>1×2</x:v>
      </x:c>
      <x:c r="E10" s="51" t="n">
        <x:v>288</x:v>
      </x:c>
      <x:c r="F10" s="57" t="n">
        <x:v>100000</x:v>
      </x:c>
      <x:c r="G10" s="57" t="n">
        <x:v>25000</x:v>
      </x:c>
      <x:c r="H10" s="63" t="n">
        <x:v>0.02</x:v>
      </x:c>
      <x:c r="I10" s="22" t="str">
        <x:v>No</x:v>
      </x:c>
      <x:c r="J10" s="22" t="str">
        <x:v>Per Plot initially</x:v>
      </x:c>
      <x:c r="K10" s="22" t="str">
        <x:v>+ land value</x:v>
      </x:c>
      <x:c r="L10" s="22" t="str">
        <x:v>Only via productive businesses</x:v>
      </x:c>
      <x:c r="M10" s="38" t="str">
        <x:v>My empire needs more space</x:v>
      </x:c>
    </x:row>
    <x:row r="11">
      <x:c r="A11" s="37" t="str">
        <x:v>Established</x:v>
      </x:c>
      <x:c r="B11" s="22" t="n">
        <x:v>35</x:v>
      </x:c>
      <x:c r="C11" s="51" t="n">
        <x:v>4</x:v>
      </x:c>
      <x:c r="D11" s="51" t="str">
        <x:v>2×2</x:v>
      </x:c>
      <x:c r="E11" s="51" t="n">
        <x:v>576</x:v>
      </x:c>
      <x:c r="F11" s="57" t="n">
        <x:v>250000</x:v>
      </x:c>
      <x:c r="G11" s="57" t="n">
        <x:v>100000</x:v>
      </x:c>
      <x:c r="H11" s="63" t="n">
        <x:v>0.05</x:v>
      </x:c>
      <x:c r="I11" s="22" t="str">
        <x:v>Optional later</x:v>
      </x:c>
      <x:c r="J11" s="22" t="str">
        <x:v>Merged district</x:v>
      </x:c>
      <x:c r="K11" s="22" t="str">
        <x:v>+ land + district value</x:v>
      </x:c>
      <x:c r="L11" s="22" t="str">
        <x:v>No passive bonus</x:v>
      </x:c>
      <x:c r="M11" s="38" t="str">
        <x:v>I run a financial district</x:v>
      </x:c>
    </x:row>
    <x:row r="12">
      <x:c r="A12" s="37" t="str">
        <x:v>Elite</x:v>
      </x:c>
      <x:c r="B12" s="22" t="n">
        <x:v>45</x:v>
      </x:c>
      <x:c r="C12" s="51" t="n">
        <x:v>9</x:v>
      </x:c>
      <x:c r="D12" s="51" t="str">
        <x:v>3×3</x:v>
      </x:c>
      <x:c r="E12" s="51" t="n">
        <x:v>1296</x:v>
      </x:c>
      <x:c r="F12" s="57" t="n">
        <x:v>600000</x:v>
      </x:c>
      <x:c r="G12" s="57" t="n">
        <x:v>300000</x:v>
      </x:c>
      <x:c r="H12" s="63" t="n">
        <x:v>0.12</x:v>
      </x:c>
      <x:c r="I12" s="22" t="str">
        <x:v>Yes later</x:v>
      </x:c>
      <x:c r="J12" s="22" t="str">
        <x:v>Merged territory</x:v>
      </x:c>
      <x:c r="K12" s="22" t="str">
        <x:v>+ prestige / land value</x:v>
      </x:c>
      <x:c r="L12" s="22" t="str">
        <x:v>No passive bonus</x:v>
      </x:c>
      <x:c r="M12" s="38" t="str">
        <x:v>I control a financial territory</x:v>
      </x:c>
    </x:row>
    <x:row r="13">
      <x:c r="A13" s="39" t="str">
        <x:v>Tycoon</x:v>
      </x:c>
      <x:c r="B13" s="40" t="n">
        <x:v>50</x:v>
      </x:c>
      <x:c r="C13" s="52" t="n">
        <x:v>16</x:v>
      </x:c>
      <x:c r="D13" s="52" t="str">
        <x:v>4×4</x:v>
      </x:c>
      <x:c r="E13" s="52" t="n">
        <x:v>2304</x:v>
      </x:c>
      <x:c r="F13" s="58" t="n">
        <x:v>1200000</x:v>
      </x:c>
      <x:c r="G13" s="58" t="n">
        <x:v>600000</x:v>
      </x:c>
      <x:c r="H13" s="64" t="n">
        <x:v>0.18</x:v>
      </x:c>
      <x:c r="I13" s="40" t="str">
        <x:v>Yes later</x:v>
      </x:c>
      <x:c r="J13" s="40" t="str">
        <x:v>Global territory</x:v>
      </x:c>
      <x:c r="K13" s="40" t="str">
        <x:v>+ prestige / landmarks</x:v>
      </x:c>
      <x:c r="L13" s="40" t="str">
        <x:v>No passive bonus</x:v>
      </x:c>
      <x:c r="M13" s="41" t="str">
        <x:v>I built a financial empire</x:v>
      </x:c>
    </x:row>
    <x:row r="15" ht="22" customHeight="1">
      <x:c r="A15" s="31" t="str">
        <x:v>Core Ownership Rules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</x:row>
    <x:row r="16">
      <x:c r="A16" s="14" t="str">
        <x:v>Rule</x:v>
      </x:c>
      <x:c r="B16" s="14" t="str">
        <x:v>Specification</x:v>
      </x:c>
    </x:row>
    <x:row r="17">
      <x:c r="A17" s="34" t="str">
        <x:v>Owned ≠ Active</x:v>
      </x:c>
      <x:c r="B17" s="36" t="str">
        <x:v>A wallet may own more Plot NFTs than its current active-Plot cap. Only activated Plots can host operating businesses.</x:v>
      </x:c>
    </x:row>
    <x:row r="18">
      <x:c r="A18" s="37" t="str">
        <x:v>No passive land income</x:v>
      </x:c>
      <x:c r="B18" s="38" t="str">
        <x:v>An empty Plot produces no Cash, stock rewards, Performance Score or $PLOT.</x:v>
      </x:c>
    </x:row>
    <x:row r="19">
      <x:c r="A19" s="37" t="str">
        <x:v>Expansion requires progression</x:v>
      </x:c>
      <x:c r="B19" s="38" t="str">
        <x:v>Activating additional land requires Empire Level, Reputation, and an in-game Expansion Permit.</x:v>
      </x:c>
    </x:row>
    <x:row r="20">
      <x:c r="A20" s="37" t="str">
        <x:v>Merging requires adjacency</x:v>
      </x:c>
      <x:c r="B20" s="38" t="str">
        <x:v>Only orthogonally adjacent active Plots can be merged into one gameplay territory.</x:v>
      </x:c>
    </x:row>
    <x:row r="21">
      <x:c r="A21" s="37" t="str">
        <x:v>Underlying Plot identity remains</x:v>
      </x:c>
      <x:c r="B21" s="38" t="str">
        <x:v>Merging changes gameplay layout, not the identity of the underlying Plot NFTs.</x:v>
      </x:c>
    </x:row>
    <x:row r="22">
      <x:c r="A22" s="37" t="str">
        <x:v>Transfer safety</x:v>
      </x:c>
      <x:c r="B22" s="38" t="str">
        <x:v>A Plot must be detached from a merge and resolve cross-border buildings before transfer.</x:v>
      </x:c>
    </x:row>
    <x:row r="23">
      <x:c r="A23" s="39" t="str">
        <x:v>Marketplace price is external</x:v>
      </x:c>
      <x:c r="B23" s="41" t="str">
        <x:v>Secondary-market sale price is market-driven and never used as a Performance Score input.</x:v>
      </x:c>
    </x:row>
    <x:row r="25" ht="22" customHeight="1">
      <x:c r="A25" s="31" t="str">
        <x:v>Territory Scale Summary</x:v>
      </x:c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</x:row>
    <x:row r="26">
      <x:c r="A26" s="14" t="str">
        <x:v>Active Plots</x:v>
      </x:c>
      <x:c r="B26" s="14" t="str">
        <x:v>Common Shape</x:v>
      </x:c>
      <x:c r="C26" s="14" t="str">
        <x:v>Tiles</x:v>
      </x:c>
      <x:c r="D26" s="14" t="str">
        <x:v>Territory Overhead</x:v>
      </x:c>
      <x:c r="E26" s="14" t="str">
        <x:v>Land-Only Score</x:v>
      </x:c>
    </x:row>
    <x:row r="27">
      <x:c r="A27" s="92" t="n">
        <x:v>1</x:v>
      </x:c>
      <x:c r="B27" s="50" t="str">
        <x:v>1×1</x:v>
      </x:c>
      <x:c r="C27" s="50" t="n">
        <x:v>144</x:v>
      </x:c>
      <x:c r="D27" s="62" t="n">
        <x:v>0</x:v>
      </x:c>
      <x:c r="E27" s="104" t="n">
        <x:v>0</x:v>
      </x:c>
    </x:row>
    <x:row r="28">
      <x:c r="A28" s="93" t="n">
        <x:v>2</x:v>
      </x:c>
      <x:c r="B28" s="51" t="str">
        <x:v>1×2</x:v>
      </x:c>
      <x:c r="C28" s="51" t="n">
        <x:v>288</x:v>
      </x:c>
      <x:c r="D28" s="63" t="n">
        <x:v>0.02</x:v>
      </x:c>
      <x:c r="E28" s="105" t="n">
        <x:v>0</x:v>
      </x:c>
    </x:row>
    <x:row r="29">
      <x:c r="A29" s="93" t="n">
        <x:v>4</x:v>
      </x:c>
      <x:c r="B29" s="51" t="str">
        <x:v>2×2</x:v>
      </x:c>
      <x:c r="C29" s="51" t="n">
        <x:v>576</x:v>
      </x:c>
      <x:c r="D29" s="63" t="n">
        <x:v>0.05</x:v>
      </x:c>
      <x:c r="E29" s="105" t="n">
        <x:v>0</x:v>
      </x:c>
    </x:row>
    <x:row r="30">
      <x:c r="A30" s="93" t="n">
        <x:v>9</x:v>
      </x:c>
      <x:c r="B30" s="51" t="str">
        <x:v>3×3</x:v>
      </x:c>
      <x:c r="C30" s="51" t="n">
        <x:v>1296</x:v>
      </x:c>
      <x:c r="D30" s="63" t="n">
        <x:v>0.12</x:v>
      </x:c>
      <x:c r="E30" s="105" t="n">
        <x:v>0</x:v>
      </x:c>
    </x:row>
    <x:row r="31">
      <x:c r="A31" s="94" t="n">
        <x:v>16</x:v>
      </x:c>
      <x:c r="B31" s="52" t="str">
        <x:v>4×4</x:v>
      </x:c>
      <x:c r="C31" s="52" t="n">
        <x:v>2304</x:v>
      </x:c>
      <x:c r="D31" s="64" t="n">
        <x:v>0.18</x:v>
      </x:c>
      <x:c r="E31" s="106" t="n">
        <x:v>0</x:v>
      </x:c>
    </x:row>
  </x:sheetData>
  <x:mergeCells>
    <x:mergeCell ref="A1:M1"/>
    <x:mergeCell ref="A6:M6"/>
    <x:mergeCell ref="A15:M15"/>
    <x:mergeCell ref="A25:M25"/>
  </x:mergeCells>
  <x:pageMargins left="0.7" right="0.7" top="0.75" bottom="0.75" header="0.3" footer="0.3"/>
  <x:drawing xmlns:r="http://schemas.openxmlformats.org/officeDocument/2006/relationships" r:id="R91d90831fa9345f0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Global Ownership, Expansion &amp; Merge Assumptions</x:v>
      </x:c>
      <x:c r="B1" s="112"/>
      <x:c r="C1" s="112"/>
      <x:c r="D1" s="112"/>
      <x:c r="E1" s="112"/>
      <x:c r="F1" s="112"/>
      <x:c r="G1" s="11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4" t="str">
        <x:v>Base Plot Width</x:v>
      </x:c>
      <x:c r="B4" s="68" t="n">
        <x:v>12</x:v>
      </x:c>
      <x:c r="C4" s="35" t="str">
        <x:v>tiles</x:v>
      </x:c>
      <x:c r="D4" s="35" t="str">
        <x:v>No</x:v>
      </x:c>
      <x:c r="E4" s="35" t="str">
        <x:v>Single Plot geometry</x:v>
      </x:c>
      <x:c r="F4" s="35" t="str">
        <x:v>12</x:v>
      </x:c>
      <x:c r="G4" s="36" t="str"/>
    </x:row>
    <x:row r="5">
      <x:c r="A5" s="37" t="str">
        <x:v>Base Plot Height</x:v>
      </x:c>
      <x:c r="B5" s="69" t="n">
        <x:v>12</x:v>
      </x:c>
      <x:c r="C5" s="22" t="str">
        <x:v>tiles</x:v>
      </x:c>
      <x:c r="D5" s="22" t="str">
        <x:v>No</x:v>
      </x:c>
      <x:c r="E5" s="22" t="str">
        <x:v>Single Plot geometry</x:v>
      </x:c>
      <x:c r="F5" s="22" t="str">
        <x:v>12</x:v>
      </x:c>
      <x:c r="G5" s="38" t="str"/>
    </x:row>
    <x:row r="6">
      <x:c r="A6" s="37" t="str">
        <x:v>Base Plot Tiles</x:v>
      </x:c>
      <x:c r="B6" s="69" t="n">
        <x:v>144</x:v>
      </x:c>
      <x:c r="C6" s="22" t="str">
        <x:v>tiles</x:v>
      </x:c>
      <x:c r="D6" s="22" t="str">
        <x:v>No</x:v>
      </x:c>
      <x:c r="E6" s="22" t="str">
        <x:v>Single Plot area</x:v>
      </x:c>
      <x:c r="F6" s="22" t="str">
        <x:v>144</x:v>
      </x:c>
      <x:c r="G6" s="38" t="str"/>
    </x:row>
    <x:row r="7">
      <x:c r="A7" s="37" t="str">
        <x:v>First Plot Access Price</x:v>
      </x:c>
      <x:c r="B7" s="74" t="n">
        <x:v>0</x:v>
      </x:c>
      <x:c r="C7" s="22" t="str">
        <x:v>USD-equivalent</x:v>
      </x:c>
      <x:c r="D7" s="22" t="str">
        <x:v>Yes</x:v>
      </x:c>
      <x:c r="E7" s="22" t="str">
        <x:v>Recommended base-access price</x:v>
      </x:c>
      <x:c r="F7" s="22" t="str">
        <x:v>0–25</x:v>
      </x:c>
      <x:c r="G7" s="38" t="str">
        <x:v>Default assumes Plot included/granted; founder collectible can be separate</x:v>
      </x:c>
    </x:row>
    <x:row r="8">
      <x:c r="A8" s="37" t="str">
        <x:v>Secondary Plot Primary Price</x:v>
      </x:c>
      <x:c r="B8" s="74" t="n">
        <x:v>20</x:v>
      </x:c>
      <x:c r="C8" s="22" t="str">
        <x:v>USD-equivalent</x:v>
      </x:c>
      <x:c r="D8" s="22" t="str">
        <x:v>Yes</x:v>
      </x:c>
      <x:c r="E8" s="22" t="str">
        <x:v>Illustrative optional primary-sale assumption</x:v>
      </x:c>
      <x:c r="F8" s="22" t="str">
        <x:v>10–50</x:v>
      </x:c>
      <x:c r="G8" s="38" t="str">
        <x:v>Does not replace game progression gates</x:v>
      </x:c>
    </x:row>
    <x:row r="9">
      <x:c r="A9" s="37" t="str">
        <x:v>Activation Permit: Plot 2</x:v>
      </x:c>
      <x:c r="B9" s="76" t="n">
        <x:v>100000</x:v>
      </x:c>
      <x:c r="C9" s="22" t="str">
        <x:v>Cash</x:v>
      </x:c>
      <x:c r="D9" s="22" t="str">
        <x:v>Yes</x:v>
      </x:c>
      <x:c r="E9" s="22" t="str">
        <x:v>In-game expansion sink</x:v>
      </x:c>
      <x:c r="F9" s="22" t="str">
        <x:v>50k–200k</x:v>
      </x:c>
      <x:c r="G9" s="38" t="str"/>
    </x:row>
    <x:row r="10">
      <x:c r="A10" s="37" t="str">
        <x:v>Activation Permit: Plots 3–4</x:v>
      </x:c>
      <x:c r="B10" s="76" t="n">
        <x:v>250000</x:v>
      </x:c>
      <x:c r="C10" s="22" t="str">
        <x:v>Cash each</x:v>
      </x:c>
      <x:c r="D10" s="22" t="str">
        <x:v>Yes</x:v>
      </x:c>
      <x:c r="E10" s="22" t="str">
        <x:v>Established expansion sink</x:v>
      </x:c>
      <x:c r="F10" s="22" t="str">
        <x:v>150k–400k</x:v>
      </x:c>
      <x:c r="G10" s="38" t="str"/>
    </x:row>
    <x:row r="11">
      <x:c r="A11" s="37" t="str">
        <x:v>Activation Permit: Plots 5–9</x:v>
      </x:c>
      <x:c r="B11" s="76" t="n">
        <x:v>600000</x:v>
      </x:c>
      <x:c r="C11" s="22" t="str">
        <x:v>Cash each</x:v>
      </x:c>
      <x:c r="D11" s="22" t="str">
        <x:v>Yes</x:v>
      </x:c>
      <x:c r="E11" s="22" t="str">
        <x:v>Elite expansion sink</x:v>
      </x:c>
      <x:c r="F11" s="22" t="str">
        <x:v>400k–1m</x:v>
      </x:c>
      <x:c r="G11" s="38" t="str"/>
    </x:row>
    <x:row r="12">
      <x:c r="A12" s="37" t="str">
        <x:v>Activation Permit: Plots 10–16</x:v>
      </x:c>
      <x:c r="B12" s="76" t="n">
        <x:v>1200000</x:v>
      </x:c>
      <x:c r="C12" s="22" t="str">
        <x:v>Cash each</x:v>
      </x:c>
      <x:c r="D12" s="22" t="str">
        <x:v>Yes</x:v>
      </x:c>
      <x:c r="E12" s="22" t="str">
        <x:v>Tycoon expansion sink</x:v>
      </x:c>
      <x:c r="F12" s="22" t="str">
        <x:v>750k–2m</x:v>
      </x:c>
      <x:c r="G12" s="38" t="str"/>
    </x:row>
    <x:row r="13">
      <x:c r="A13" s="37" t="str">
        <x:v>Base Merge Fee / Seam</x:v>
      </x:c>
      <x:c r="B13" s="76" t="n">
        <x:v>25000</x:v>
      </x:c>
      <x:c r="C13" s="22" t="str">
        <x:v>Cash</x:v>
      </x:c>
      <x:c r="D13" s="22" t="str">
        <x:v>Yes</x:v>
      </x:c>
      <x:c r="E13" s="22" t="str">
        <x:v>Merge sink</x:v>
      </x:c>
      <x:c r="F13" s="22" t="str">
        <x:v>10k–50k</x:v>
      </x:c>
      <x:c r="G13" s="38" t="str">
        <x:v>Orthogonal Plot seam only</x:v>
      </x:c>
    </x:row>
    <x:row r="14">
      <x:c r="A14" s="37" t="str">
        <x:v>Unmerge Fee / Seam</x:v>
      </x:c>
      <x:c r="B14" s="69" t="n">
        <x:v>10000</x:v>
      </x:c>
      <x:c r="C14" s="22" t="str">
        <x:v>Cash</x:v>
      </x:c>
      <x:c r="D14" s="22" t="str">
        <x:v>Yes</x:v>
      </x:c>
      <x:c r="E14" s="22" t="str">
        <x:v>Discourages constant reshaping</x:v>
      </x:c>
      <x:c r="F14" s="22" t="str">
        <x:v>0–25k</x:v>
      </x:c>
      <x:c r="G14" s="38" t="str"/>
    </x:row>
    <x:row r="15">
      <x:c r="A15" s="37" t="str">
        <x:v>Merge Lock Duration</x:v>
      </x:c>
      <x:c r="B15" s="69" t="n">
        <x:v>24</x:v>
      </x:c>
      <x:c r="C15" s="22" t="str">
        <x:v>hours</x:v>
      </x:c>
      <x:c r="D15" s="22" t="str">
        <x:v>Yes</x:v>
      </x:c>
      <x:c r="E15" s="22" t="str">
        <x:v>Stops tactical merge/unmerge abuse</x:v>
      </x:c>
      <x:c r="F15" s="22" t="str">
        <x:v>12–72</x:v>
      </x:c>
      <x:c r="G15" s="38" t="str"/>
    </x:row>
    <x:row r="16">
      <x:c r="A16" s="37" t="str">
        <x:v>Transfer Cooldown After Unmerge</x:v>
      </x:c>
      <x:c r="B16" s="69" t="n">
        <x:v>6</x:v>
      </x:c>
      <x:c r="C16" s="22" t="str">
        <x:v>hours</x:v>
      </x:c>
      <x:c r="D16" s="22" t="str">
        <x:v>Yes</x:v>
      </x:c>
      <x:c r="E16" s="22" t="str">
        <x:v>Settlement safety</x:v>
      </x:c>
      <x:c r="F16" s="22" t="str">
        <x:v>1–24</x:v>
      </x:c>
      <x:c r="G16" s="38" t="str"/>
    </x:row>
    <x:row r="17">
      <x:c r="A17" s="37" t="str">
        <x:v>Active Plot Maintenance Base</x:v>
      </x:c>
      <x:c r="B17" s="76" t="n">
        <x:v>0</x:v>
      </x:c>
      <x:c r="C17" s="22" t="str">
        <x:v>Cash/week</x:v>
      </x:c>
      <x:c r="D17" s="22" t="str">
        <x:v>Yes</x:v>
      </x:c>
      <x:c r="E17" s="22" t="str">
        <x:v>1 active Plot has no land tax</x:v>
      </x:c>
      <x:c r="F17" s="22" t="str">
        <x:v>0</x:v>
      </x:c>
      <x:c r="G17" s="38" t="str">
        <x:v>Business operating costs remain separate</x:v>
      </x:c>
    </x:row>
    <x:row r="18">
      <x:c r="A18" s="37" t="str">
        <x:v>Plot 2 Territory Overhead</x:v>
      </x:c>
      <x:c r="B18" s="78" t="n">
        <x:v>0.02</x:v>
      </x:c>
      <x:c r="C18" s="22" t="str">
        <x:v>% operating cost</x:v>
      </x:c>
      <x:c r="D18" s="22" t="str">
        <x:v>Yes</x:v>
      </x:c>
      <x:c r="E18" s="22" t="str">
        <x:v>Expansion complexity</x:v>
      </x:c>
      <x:c r="F18" s="22" t="str">
        <x:v>1%–4%</x:v>
      </x:c>
      <x:c r="G18" s="38" t="str">
        <x:v>Applied to territory operations, not land itself</x:v>
      </x:c>
    </x:row>
    <x:row r="19">
      <x:c r="A19" s="37" t="str">
        <x:v>Plots 3–4 Territory Overhead</x:v>
      </x:c>
      <x:c r="B19" s="78" t="n">
        <x:v>0.05</x:v>
      </x:c>
      <x:c r="C19" s="22" t="str">
        <x:v>% operating cost</x:v>
      </x:c>
      <x:c r="D19" s="22" t="str">
        <x:v>Yes</x:v>
      </x:c>
      <x:c r="E19" s="22" t="str">
        <x:v>Expansion complexity</x:v>
      </x:c>
      <x:c r="F19" s="22" t="str">
        <x:v>3%–7%</x:v>
      </x:c>
      <x:c r="G19" s="38" t="str"/>
    </x:row>
    <x:row r="20">
      <x:c r="A20" s="37" t="str">
        <x:v>Plots 5–9 Territory Overhead</x:v>
      </x:c>
      <x:c r="B20" s="78" t="n">
        <x:v>0.12</x:v>
      </x:c>
      <x:c r="C20" s="22" t="str">
        <x:v>% operating cost</x:v>
      </x:c>
      <x:c r="D20" s="22" t="str">
        <x:v>Yes</x:v>
      </x:c>
      <x:c r="E20" s="22" t="str">
        <x:v>Expansion complexity</x:v>
      </x:c>
      <x:c r="F20" s="22" t="str">
        <x:v>8%–15%</x:v>
      </x:c>
      <x:c r="G20" s="38" t="str"/>
    </x:row>
    <x:row r="21">
      <x:c r="A21" s="37" t="str">
        <x:v>Plots 10–16 Territory Overhead</x:v>
      </x:c>
      <x:c r="B21" s="78" t="n">
        <x:v>0.18</x:v>
      </x:c>
      <x:c r="C21" s="22" t="str">
        <x:v>% operating cost</x:v>
      </x:c>
      <x:c r="D21" s="22" t="str">
        <x:v>Yes</x:v>
      </x:c>
      <x:c r="E21" s="22" t="str">
        <x:v>Expansion complexity</x:v>
      </x:c>
      <x:c r="F21" s="22" t="str">
        <x:v>12%–20%</x:v>
      </x:c>
      <x:c r="G21" s="38" t="str"/>
    </x:row>
    <x:row r="22">
      <x:c r="A22" s="37" t="str">
        <x:v>Max Cross-Border Buildings</x:v>
      </x:c>
      <x:c r="B22" s="69" t="n">
        <x:v>4</x:v>
      </x:c>
      <x:c r="C22" s="22" t="str">
        <x:v>buildings per merged territory</x:v>
      </x:c>
      <x:c r="D22" s="22" t="str">
        <x:v>Yes</x:v>
      </x:c>
      <x:c r="E22" s="22" t="str">
        <x:v>Limits seam exploitation</x:v>
      </x:c>
      <x:c r="F22" s="22" t="str">
        <x:v>2–6</x:v>
      </x:c>
      <x:c r="G22" s="38" t="str">
        <x:v>Later phase only</x:v>
      </x:c>
    </x:row>
    <x:row r="23">
      <x:c r="A23" s="37" t="str">
        <x:v>Cross-Border Relocation Grace</x:v>
      </x:c>
      <x:c r="B23" s="69" t="n">
        <x:v>24</x:v>
      </x:c>
      <x:c r="C23" s="22" t="str">
        <x:v>hours</x:v>
      </x:c>
      <x:c r="D23" s="22" t="str">
        <x:v>Yes</x:v>
      </x:c>
      <x:c r="E23" s="22" t="str">
        <x:v>Time to resolve before unmerge</x:v>
      </x:c>
      <x:c r="F23" s="22" t="str">
        <x:v>12–48</x:v>
      </x:c>
      <x:c r="G23" s="38" t="str"/>
    </x:row>
    <x:row r="24">
      <x:c r="A24" s="37" t="str">
        <x:v>Marketplace Fee</x:v>
      </x:c>
      <x:c r="B24" s="78" t="n">
        <x:v>0.025</x:v>
      </x:c>
      <x:c r="C24" s="22" t="str">
        <x:v>% sale value</x:v>
      </x:c>
      <x:c r="D24" s="22" t="str">
        <x:v>Yes</x:v>
      </x:c>
      <x:c r="E24" s="22" t="str">
        <x:v>Secondary-market sink</x:v>
      </x:c>
      <x:c r="F24" s="22" t="str">
        <x:v>1%–5%</x:v>
      </x:c>
      <x:c r="G24" s="38" t="str">
        <x:v>Onchain/provider dependent</x:v>
      </x:c>
    </x:row>
    <x:row r="25">
      <x:c r="A25" s="39" t="str">
        <x:v>Activation Cooldown</x:v>
      </x:c>
      <x:c r="B25" s="70" t="n">
        <x:v>12</x:v>
      </x:c>
      <x:c r="C25" s="40" t="str">
        <x:v>hours</x:v>
      </x:c>
      <x:c r="D25" s="40" t="str">
        <x:v>Yes</x:v>
      </x:c>
      <x:c r="E25" s="40" t="str">
        <x:v>Avoid instant land flipping into production</x:v>
      </x:c>
      <x:c r="F25" s="40" t="str">
        <x:v>6–24</x:v>
      </x:c>
      <x:c r="G25" s="41" t="str"/>
    </x:row>
  </x:sheetData>
  <x:mergeCells>
    <x:mergeCell ref="A1:G1"/>
  </x:mergeCells>
  <x:conditionalFormatting sqref="B4:B25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2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Plot Ownership &amp; Gameplay State Machine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22"/>
      <x:c r="N1" s="22"/>
      <x:c r="O1" s="22"/>
      <x:c r="P1" s="22"/>
    </x:row>
    <x:row r="3">
      <x:c r="A3" s="14" t="str">
        <x:v>State</x:v>
      </x:c>
      <x:c r="B3" s="14" t="str">
        <x:v>Owned Onchain?</x:v>
      </x:c>
      <x:c r="C3" s="14" t="str">
        <x:v>Active in Game?</x:v>
      </x:c>
      <x:c r="D3" s="14" t="str">
        <x:v>Can Build?</x:v>
      </x:c>
      <x:c r="E3" s="14" t="str">
        <x:v>Can Earn Cash?</x:v>
      </x:c>
      <x:c r="F3" s="14" t="str">
        <x:v>Can Merge?</x:v>
      </x:c>
      <x:c r="G3" s="14" t="str">
        <x:v>Can Transfer?</x:v>
      </x:c>
      <x:c r="H3" s="14" t="str">
        <x:v>Can List?</x:v>
      </x:c>
      <x:c r="I3" s="14" t="str">
        <x:v>Buildings Persist?</x:v>
      </x:c>
      <x:c r="J3" s="14" t="str">
        <x:v>Customers Persist?</x:v>
      </x:c>
      <x:c r="K3" s="14" t="str">
        <x:v>Transition Into State</x:v>
      </x:c>
      <x:c r="L3" s="14" t="str">
        <x:v>Notes</x:v>
      </x:c>
    </x:row>
    <x:row r="4">
      <x:c r="A4" s="34" t="str">
        <x:v>Unowned Inventory</x:v>
      </x:c>
      <x:c r="B4" s="35" t="str">
        <x:v>No</x:v>
      </x:c>
      <x:c r="C4" s="35" t="str">
        <x:v>No</x:v>
      </x:c>
      <x:c r="D4" s="35" t="str">
        <x:v>No</x:v>
      </x:c>
      <x:c r="E4" s="35" t="str">
        <x:v>No</x:v>
      </x:c>
      <x:c r="F4" s="35" t="str">
        <x:v>No</x:v>
      </x:c>
      <x:c r="G4" s="35" t="str">
        <x:v>N/A</x:v>
      </x:c>
      <x:c r="H4" s="35" t="str">
        <x:v>Primary sale only</x:v>
      </x:c>
      <x:c r="I4" s="35" t="str">
        <x:v>No</x:v>
      </x:c>
      <x:c r="J4" s="35" t="str">
        <x:v>No</x:v>
      </x:c>
      <x:c r="K4" s="35" t="str">
        <x:v>Mint / allocate</x:v>
      </x:c>
      <x:c r="L4" s="36" t="str">
        <x:v>Protocol or studio inventory</x:v>
      </x:c>
    </x:row>
    <x:row r="5">
      <x:c r="A5" s="37" t="str">
        <x:v>Owned Inactive</x:v>
      </x:c>
      <x:c r="B5" s="22" t="str">
        <x:v>Yes</x:v>
      </x:c>
      <x:c r="C5" s="22" t="str">
        <x:v>No</x:v>
      </x:c>
      <x:c r="D5" s="22" t="str">
        <x:v>No</x:v>
      </x:c>
      <x:c r="E5" s="22" t="str">
        <x:v>No</x:v>
      </x:c>
      <x:c r="F5" s="22" t="str">
        <x:v>No</x:v>
      </x:c>
      <x:c r="G5" s="22" t="str">
        <x:v>Yes</x:v>
      </x:c>
      <x:c r="H5" s="22" t="str">
        <x:v>Yes</x:v>
      </x:c>
      <x:c r="I5" s="22" t="str">
        <x:v>Offchain layout absent or archived</x:v>
      </x:c>
      <x:c r="J5" s="22" t="str">
        <x:v>No</x:v>
      </x:c>
      <x:c r="K5" s="22" t="str">
        <x:v>Purchase / transfer in</x:v>
      </x:c>
      <x:c r="L5" s="38" t="str">
        <x:v>Ownership without gameplay power</x:v>
      </x:c>
    </x:row>
    <x:row r="6">
      <x:c r="A6" s="37" t="str">
        <x:v>Activation Pending</x:v>
      </x:c>
      <x:c r="B6" s="22" t="str">
        <x:v>Yes</x:v>
      </x:c>
      <x:c r="C6" s="22" t="str">
        <x:v>No</x:v>
      </x:c>
      <x:c r="D6" s="22" t="str">
        <x:v>No</x:v>
      </x:c>
      <x:c r="E6" s="22" t="str">
        <x:v>No</x:v>
      </x:c>
      <x:c r="F6" s="22" t="str">
        <x:v>No</x:v>
      </x:c>
      <x:c r="G6" s="22" t="str">
        <x:v>No</x:v>
      </x:c>
      <x:c r="H6" s="22" t="str">
        <x:v>No</x:v>
      </x:c>
      <x:c r="I6" s="22" t="str">
        <x:v>No active buildings</x:v>
      </x:c>
      <x:c r="J6" s="22" t="str">
        <x:v>No</x:v>
      </x:c>
      <x:c r="K6" s="22" t="str">
        <x:v>Pay permit + meet gates</x:v>
      </x:c>
      <x:c r="L6" s="38" t="str">
        <x:v>Activation cooldown</x:v>
      </x:c>
    </x:row>
    <x:row r="7">
      <x:c r="A7" s="37" t="str">
        <x:v>Active Standalone</x:v>
      </x:c>
      <x:c r="B7" s="22" t="str">
        <x:v>Yes</x:v>
      </x:c>
      <x:c r="C7" s="22" t="str">
        <x:v>Yes</x:v>
      </x:c>
      <x:c r="D7" s="22" t="str">
        <x:v>Yes</x:v>
      </x:c>
      <x:c r="E7" s="22" t="str">
        <x:v>Yes</x:v>
      </x:c>
      <x:c r="F7" s="22" t="str">
        <x:v>Eligible</x:v>
      </x:c>
      <x:c r="G7" s="22" t="str">
        <x:v>Yes if detached</x:v>
      </x:c>
      <x:c r="H7" s="22" t="str">
        <x:v>Yes if detached</x:v>
      </x:c>
      <x:c r="I7" s="22" t="str">
        <x:v>Yes</x:v>
      </x:c>
      <x:c r="J7" s="22" t="str">
        <x:v>Yes</x:v>
      </x:c>
      <x:c r="K7" s="22" t="str">
        <x:v>Activation completes</x:v>
      </x:c>
      <x:c r="L7" s="38" t="str">
        <x:v>Normal single-Plot state</x:v>
      </x:c>
    </x:row>
    <x:row r="8">
      <x:c r="A8" s="37" t="str">
        <x:v>Merge Pending</x:v>
      </x:c>
      <x:c r="B8" s="22" t="str">
        <x:v>Yes</x:v>
      </x:c>
      <x:c r="C8" s="22" t="str">
        <x:v>Yes</x:v>
      </x:c>
      <x:c r="D8" s="22" t="str">
        <x:v>Limited</x:v>
      </x:c>
      <x:c r="E8" s="22" t="str">
        <x:v>Yes</x:v>
      </x:c>
      <x:c r="F8" s="22" t="str">
        <x:v>Pending</x:v>
      </x:c>
      <x:c r="G8" s="22" t="str">
        <x:v>No</x:v>
      </x:c>
      <x:c r="H8" s="22" t="str">
        <x:v>No</x:v>
      </x:c>
      <x:c r="I8" s="22" t="str">
        <x:v>Yes</x:v>
      </x:c>
      <x:c r="J8" s="22" t="str">
        <x:v>Yes</x:v>
      </x:c>
      <x:c r="K8" s="22" t="str">
        <x:v>Submit valid merge</x:v>
      </x:c>
      <x:c r="L8" s="38" t="str">
        <x:v>Short settlement lock</x:v>
      </x:c>
    </x:row>
    <x:row r="9">
      <x:c r="A9" s="37" t="str">
        <x:v>Merged Member</x:v>
      </x:c>
      <x:c r="B9" s="22" t="str">
        <x:v>Yes</x:v>
      </x:c>
      <x:c r="C9" s="22" t="str">
        <x:v>Yes</x:v>
      </x:c>
      <x:c r="D9" s="22" t="str">
        <x:v>Yes</x:v>
      </x:c>
      <x:c r="E9" s="22" t="str">
        <x:v>Yes</x:v>
      </x:c>
      <x:c r="F9" s="22" t="str">
        <x:v>Already merged</x:v>
      </x:c>
      <x:c r="G9" s="22" t="str">
        <x:v>No until detached</x:v>
      </x:c>
      <x:c r="H9" s="22" t="str">
        <x:v>No until detached</x:v>
      </x:c>
      <x:c r="I9" s="22" t="str">
        <x:v>Yes</x:v>
      </x:c>
      <x:c r="J9" s="22" t="str">
        <x:v>Yes</x:v>
      </x:c>
      <x:c r="K9" s="22" t="str">
        <x:v>Merge finalizes</x:v>
      </x:c>
      <x:c r="L9" s="38" t="str">
        <x:v>Underlying NFT identity preserved</x:v>
      </x:c>
    </x:row>
    <x:row r="10">
      <x:c r="A10" s="37" t="str">
        <x:v>Unmerge Pending</x:v>
      </x:c>
      <x:c r="B10" s="22" t="str">
        <x:v>Yes</x:v>
      </x:c>
      <x:c r="C10" s="22" t="str">
        <x:v>Yes</x:v>
      </x:c>
      <x:c r="D10" s="22" t="str">
        <x:v>Limited</x:v>
      </x:c>
      <x:c r="E10" s="22" t="str">
        <x:v>Yes</x:v>
      </x:c>
      <x:c r="F10" s="22" t="str">
        <x:v>No</x:v>
      </x:c>
      <x:c r="G10" s="22" t="str">
        <x:v>No</x:v>
      </x:c>
      <x:c r="H10" s="22" t="str">
        <x:v>No</x:v>
      </x:c>
      <x:c r="I10" s="22" t="str">
        <x:v>Yes</x:v>
      </x:c>
      <x:c r="J10" s="22" t="str">
        <x:v>Yes</x:v>
      </x:c>
      <x:c r="K10" s="22" t="str">
        <x:v>Request unmerge</x:v>
      </x:c>
      <x:c r="L10" s="38" t="str">
        <x:v>Cross-border assets must resolve</x:v>
      </x:c>
    </x:row>
    <x:row r="11">
      <x:c r="A11" s="37" t="str">
        <x:v>Detached Cooldown</x:v>
      </x:c>
      <x:c r="B11" s="22" t="str">
        <x:v>Yes</x:v>
      </x:c>
      <x:c r="C11" s="22" t="str">
        <x:v>Yes</x:v>
      </x:c>
      <x:c r="D11" s="22" t="str">
        <x:v>Yes</x:v>
      </x:c>
      <x:c r="E11" s="22" t="str">
        <x:v>Yes</x:v>
      </x:c>
      <x:c r="F11" s="22" t="str">
        <x:v>Yes after cooldown</x:v>
      </x:c>
      <x:c r="G11" s="22" t="str">
        <x:v>No until cooldown</x:v>
      </x:c>
      <x:c r="H11" s="22" t="str">
        <x:v>No until cooldown</x:v>
      </x:c>
      <x:c r="I11" s="22" t="str">
        <x:v>Yes</x:v>
      </x:c>
      <x:c r="J11" s="22" t="str">
        <x:v>Yes</x:v>
      </x:c>
      <x:c r="K11" s="22" t="str">
        <x:v>Unmerge finalizes</x:v>
      </x:c>
      <x:c r="L11" s="38" t="str">
        <x:v>Transfer safety window</x:v>
      </x:c>
    </x:row>
    <x:row r="12">
      <x:c r="A12" s="37" t="str">
        <x:v>Transfer Pending</x:v>
      </x:c>
      <x:c r="B12" s="22" t="str">
        <x:v>Yes</x:v>
      </x:c>
      <x:c r="C12" s="22" t="str">
        <x:v>No new actions</x:v>
      </x:c>
      <x:c r="D12" s="22" t="str">
        <x:v>No</x:v>
      </x:c>
      <x:c r="E12" s="22" t="str">
        <x:v>Existing settlement only</x:v>
      </x:c>
      <x:c r="F12" s="22" t="str">
        <x:v>No</x:v>
      </x:c>
      <x:c r="G12" s="22" t="str">
        <x:v>No</x:v>
      </x:c>
      <x:c r="H12" s="22" t="str">
        <x:v>No</x:v>
      </x:c>
      <x:c r="I12" s="22" t="str">
        <x:v>Frozen snapshot</x:v>
      </x:c>
      <x:c r="J12" s="22" t="str">
        <x:v>Frozen</x:v>
      </x:c>
      <x:c r="K12" s="22" t="str">
        <x:v>Transfer initiated</x:v>
      </x:c>
      <x:c r="L12" s="38" t="str">
        <x:v>Server reconciles ownership</x:v>
      </x:c>
    </x:row>
    <x:row r="13">
      <x:c r="A13" s="39" t="str">
        <x:v>Transferred / New Owner Inactive</x:v>
      </x:c>
      <x:c r="B13" s="40" t="str">
        <x:v>Yes, new owner</x:v>
      </x:c>
      <x:c r="C13" s="40" t="str">
        <x:v>No until activation</x:v>
      </x:c>
      <x:c r="D13" s="40" t="str">
        <x:v>No</x:v>
      </x:c>
      <x:c r="E13" s="40" t="str">
        <x:v>No</x:v>
      </x:c>
      <x:c r="F13" s="40" t="str">
        <x:v>No</x:v>
      </x:c>
      <x:c r="G13" s="40" t="str">
        <x:v>Yes</x:v>
      </x:c>
      <x:c r="H13" s="40" t="str">
        <x:v>Yes</x:v>
      </x:c>
      <x:c r="I13" s="40" t="str">
        <x:v>Layout archived or reset per transfer rule</x:v>
      </x:c>
      <x:c r="J13" s="40" t="str">
        <x:v>No</x:v>
      </x:c>
      <x:c r="K13" s="40" t="str">
        <x:v>Transfer settles</x:v>
      </x:c>
      <x:c r="L13" s="41" t="str">
        <x:v>Recommended: buildings do not transfer by default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4" hidden="0" customWidth="1"/>
    <x:col min="14" max="14" width="34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Active Plot Capacity by Empire Progression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Stage</x:v>
      </x:c>
      <x:c r="B3" s="14" t="str">
        <x:v>Level Gate</x:v>
      </x:c>
      <x:c r="C3" s="14" t="str">
        <x:v>Reputation Gate</x:v>
      </x:c>
      <x:c r="D3" s="14" t="str">
        <x:v>Active Plot Cap</x:v>
      </x:c>
      <x:c r="E3" s="14" t="str">
        <x:v>Possible Grid</x:v>
      </x:c>
      <x:c r="F3" s="14" t="str">
        <x:v>Total Tiles</x:v>
      </x:c>
      <x:c r="G3" s="14" t="str">
        <x:v>Incremental Tiles</x:v>
      </x:c>
      <x:c r="H3" s="14" t="str">
        <x:v>Activation Permit / New Plot</x:v>
      </x:c>
      <x:c r="I3" s="14" t="str">
        <x:v>Cumulative Permit Cash</x:v>
      </x:c>
      <x:c r="J3" s="14" t="str">
        <x:v>Territory Overhead</x:v>
      </x:c>
      <x:c r="K3" s="14" t="str">
        <x:v>Merge Access</x:v>
      </x:c>
      <x:c r="L3" s="14" t="str">
        <x:v>Cross-Border Cards</x:v>
      </x:c>
      <x:c r="M3" s="14" t="str">
        <x:v>Recommended Use</x:v>
      </x:c>
      <x:c r="N3" s="14" t="str">
        <x:v>Anti-Whale Control</x:v>
      </x:c>
    </x:row>
    <x:row r="4">
      <x:c r="A4" s="34" t="str">
        <x:v>Humble</x:v>
      </x:c>
      <x:c r="B4" s="50" t="n">
        <x:v>1</x:v>
      </x:c>
      <x:c r="C4" s="50" t="n">
        <x:v>0</x:v>
      </x:c>
      <x:c r="D4" s="50" t="n">
        <x:v>1</x:v>
      </x:c>
      <x:c r="E4" s="50" t="str">
        <x:v>1×1</x:v>
      </x:c>
      <x:c r="F4" s="50" t="n">
        <x:v>144</x:v>
      </x:c>
      <x:c r="G4" s="50" t="n">
        <x:v>144</x:v>
      </x:c>
      <x:c r="H4" s="56" t="n">
        <x:v>0</x:v>
      </x:c>
      <x:c r="I4" s="56" t="n">
        <x:v>0</x:v>
      </x:c>
      <x:c r="J4" s="62" t="n">
        <x:v>0</x:v>
      </x:c>
      <x:c r="K4" s="35" t="str">
        <x:v>No</x:v>
      </x:c>
      <x:c r="L4" s="35" t="str">
        <x:v>No</x:v>
      </x:c>
      <x:c r="M4" s="35" t="str">
        <x:v>Core board</x:v>
      </x:c>
      <x:c r="N4" s="36" t="str">
        <x:v>Cap = 1 active Plot</x:v>
      </x:c>
    </x:row>
    <x:row r="5">
      <x:c r="A5" s="37" t="str">
        <x:v>Starter</x:v>
      </x:c>
      <x:c r="B5" s="51" t="n">
        <x:v>20</x:v>
      </x:c>
      <x:c r="C5" s="51" t="n">
        <x:v>55</x:v>
      </x:c>
      <x:c r="D5" s="51" t="n">
        <x:v>1</x:v>
      </x:c>
      <x:c r="E5" s="51" t="str">
        <x:v>1×1</x:v>
      </x:c>
      <x:c r="F5" s="51" t="n">
        <x:v>144</x:v>
      </x:c>
      <x:c r="G5" s="51" t="n">
        <x:v>0</x:v>
      </x:c>
      <x:c r="H5" s="57" t="n">
        <x:v>0</x:v>
      </x:c>
      <x:c r="I5" s="57" t="n">
        <x:v>0</x:v>
      </x:c>
      <x:c r="J5" s="63" t="n">
        <x:v>0</x:v>
      </x:c>
      <x:c r="K5" s="22" t="str">
        <x:v>No</x:v>
      </x:c>
      <x:c r="L5" s="22" t="str">
        <x:v>No</x:v>
      </x:c>
      <x:c r="M5" s="22" t="str">
        <x:v>Fill and optimize first board</x:v>
      </x:c>
      <x:c r="N5" s="38" t="str">
        <x:v>Ownership can exceed active cap</x:v>
      </x:c>
    </x:row>
    <x:row r="6">
      <x:c r="A6" s="37" t="str">
        <x:v>Growing</x:v>
      </x:c>
      <x:c r="B6" s="51" t="n">
        <x:v>25</x:v>
      </x:c>
      <x:c r="C6" s="51" t="n">
        <x:v>65</x:v>
      </x:c>
      <x:c r="D6" s="51" t="n">
        <x:v>2</x:v>
      </x:c>
      <x:c r="E6" s="51" t="str">
        <x:v>1×2 / 2×1</x:v>
      </x:c>
      <x:c r="F6" s="51" t="n">
        <x:v>288</x:v>
      </x:c>
      <x:c r="G6" s="51" t="n">
        <x:v>144</x:v>
      </x:c>
      <x:c r="H6" s="57" t="n">
        <x:v>100000</x:v>
      </x:c>
      <x:c r="I6" s="57" t="n">
        <x:v>100000</x:v>
      </x:c>
      <x:c r="J6" s="63" t="n">
        <x:v>0.02</x:v>
      </x:c>
      <x:c r="K6" s="22" t="str">
        <x:v>Basic merge after gate</x:v>
      </x:c>
      <x:c r="L6" s="22" t="str">
        <x:v>No</x:v>
      </x:c>
      <x:c r="M6" s="22" t="str">
        <x:v>More capacity / second specialization</x:v>
      </x:c>
      <x:c r="N6" s="38" t="str">
        <x:v>Only 2 active Plots</x:v>
      </x:c>
    </x:row>
    <x:row r="7">
      <x:c r="A7" s="37" t="str">
        <x:v>Established</x:v>
      </x:c>
      <x:c r="B7" s="51" t="n">
        <x:v>35</x:v>
      </x:c>
      <x:c r="C7" s="51" t="n">
        <x:v>75</x:v>
      </x:c>
      <x:c r="D7" s="51" t="n">
        <x:v>4</x:v>
      </x:c>
      <x:c r="E7" s="51" t="str">
        <x:v>2×2</x:v>
      </x:c>
      <x:c r="F7" s="51" t="n">
        <x:v>576</x:v>
      </x:c>
      <x:c r="G7" s="51" t="n">
        <x:v>288</x:v>
      </x:c>
      <x:c r="H7" s="57" t="n">
        <x:v>250000</x:v>
      </x:c>
      <x:c r="I7" s="57" t="n">
        <x:v>600000</x:v>
      </x:c>
      <x:c r="J7" s="63" t="n">
        <x:v>0.05</x:v>
      </x:c>
      <x:c r="K7" s="22" t="str">
        <x:v>Full 2×2 merge</x:v>
      </x:c>
      <x:c r="L7" s="22" t="str">
        <x:v>Optional later</x:v>
      </x:c>
      <x:c r="M7" s="22" t="str">
        <x:v>Institutional district</x:v>
      </x:c>
      <x:c r="N7" s="38" t="str">
        <x:v>Rep + permit + adjacency</x:v>
      </x:c>
    </x:row>
    <x:row r="8">
      <x:c r="A8" s="37" t="str">
        <x:v>Elite</x:v>
      </x:c>
      <x:c r="B8" s="51" t="n">
        <x:v>45</x:v>
      </x:c>
      <x:c r="C8" s="51" t="n">
        <x:v>85</x:v>
      </x:c>
      <x:c r="D8" s="51" t="n">
        <x:v>9</x:v>
      </x:c>
      <x:c r="E8" s="51" t="str">
        <x:v>3×3</x:v>
      </x:c>
      <x:c r="F8" s="51" t="n">
        <x:v>1296</x:v>
      </x:c>
      <x:c r="G8" s="51" t="n">
        <x:v>720</x:v>
      </x:c>
      <x:c r="H8" s="57" t="n">
        <x:v>600000</x:v>
      </x:c>
      <x:c r="I8" s="57" t="n">
        <x:v>3600000</x:v>
      </x:c>
      <x:c r="J8" s="63" t="n">
        <x:v>0.12</x:v>
      </x:c>
      <x:c r="K8" s="22" t="str">
        <x:v>Up to 3×3</x:v>
      </x:c>
      <x:c r="L8" s="22" t="str">
        <x:v>Yes later</x:v>
      </x:c>
      <x:c r="M8" s="22" t="str">
        <x:v>Multiple districts / landmarks</x:v>
      </x:c>
      <x:c r="N8" s="38" t="str">
        <x:v>Overhead + active cap</x:v>
      </x:c>
    </x:row>
    <x:row r="9">
      <x:c r="A9" s="39" t="str">
        <x:v>Tycoon</x:v>
      </x:c>
      <x:c r="B9" s="52" t="n">
        <x:v>50</x:v>
      </x:c>
      <x:c r="C9" s="52" t="n">
        <x:v>90</x:v>
      </x:c>
      <x:c r="D9" s="52" t="n">
        <x:v>16</x:v>
      </x:c>
      <x:c r="E9" s="52" t="str">
        <x:v>4×4</x:v>
      </x:c>
      <x:c r="F9" s="52" t="n">
        <x:v>2304</x:v>
      </x:c>
      <x:c r="G9" s="52" t="n">
        <x:v>1008</x:v>
      </x:c>
      <x:c r="H9" s="58" t="n">
        <x:v>1200000</x:v>
      </x:c>
      <x:c r="I9" s="58" t="n">
        <x:v>12000000</x:v>
      </x:c>
      <x:c r="J9" s="64" t="n">
        <x:v>0.18</x:v>
      </x:c>
      <x:c r="K9" s="40" t="str">
        <x:v>Up to 4×4</x:v>
      </x:c>
      <x:c r="L9" s="40" t="str">
        <x:v>Yes later</x:v>
      </x:c>
      <x:c r="M9" s="40" t="str">
        <x:v>Global territory</x:v>
      </x:c>
      <x:c r="N9" s="41" t="str">
        <x:v>Hard active cap + overhead</x:v>
      </x:c>
    </x:row>
    <x:row r="11" ht="22" customHeight="1">
      <x:c r="A11" s="31" t="str">
        <x:v>Activation Gate Logic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14" t="str">
        <x:v>Gate</x:v>
      </x:c>
      <x:c r="B12" s="14" t="str">
        <x:v>Required?</x:v>
      </x:c>
      <x:c r="C12" s="14" t="str">
        <x:v>Validation</x:v>
      </x:c>
      <x:c r="D12" s="14" t="str">
        <x:v>Failure Result</x:v>
      </x:c>
      <x:c r="E12" s="14" t="str">
        <x:v>Can Be Bypassed by Payment?</x:v>
      </x:c>
      <x:c r="F12" s="14" t="str">
        <x:v>Why</x:v>
      </x:c>
      <x:c r="G12" s="14" t="str">
        <x:v>MVP?</x:v>
      </x:c>
      <x:c r="H12" s="14" t="str">
        <x:v>Notes</x:v>
      </x:c>
    </x:row>
    <x:row r="13">
      <x:c r="A13" s="34" t="str">
        <x:v>Ownership of Plot NFT</x:v>
      </x:c>
      <x:c r="B13" s="35" t="str">
        <x:v>Yes</x:v>
      </x:c>
      <x:c r="C13" s="35" t="str">
        <x:v>Wallet/server ownership</x:v>
      </x:c>
      <x:c r="D13" s="35" t="str">
        <x:v>Cannot activate</x:v>
      </x:c>
      <x:c r="E13" s="35" t="str">
        <x:v>No</x:v>
      </x:c>
      <x:c r="F13" s="35" t="str">
        <x:v>Player must own land</x:v>
      </x:c>
      <x:c r="G13" s="35" t="str">
        <x:v>Yes</x:v>
      </x:c>
      <x:c r="H13" s="36" t="str"/>
    </x:row>
    <x:row r="14">
      <x:c r="A14" s="37" t="str">
        <x:v>Empire Level</x:v>
      </x:c>
      <x:c r="B14" s="22" t="str">
        <x:v>Yes</x:v>
      </x:c>
      <x:c r="C14" s="22" t="str">
        <x:v>Server progression state</x:v>
      </x:c>
      <x:c r="D14" s="22" t="str">
        <x:v>Plot remains inactive</x:v>
      </x:c>
      <x:c r="E14" s="22" t="str">
        <x:v>No</x:v>
      </x:c>
      <x:c r="F14" s="22" t="str">
        <x:v>Prevents day-one scale</x:v>
      </x:c>
      <x:c r="G14" s="22" t="str">
        <x:v>Yes</x:v>
      </x:c>
      <x:c r="H14" s="38" t="str"/>
    </x:row>
    <x:row r="15">
      <x:c r="A15" s="37" t="str">
        <x:v>Reputation</x:v>
      </x:c>
      <x:c r="B15" s="22" t="str">
        <x:v>Yes from Plot 2</x:v>
      </x:c>
      <x:c r="C15" s="22" t="str">
        <x:v>Server reputation</x:v>
      </x:c>
      <x:c r="D15" s="22" t="str">
        <x:v>Plot remains inactive</x:v>
      </x:c>
      <x:c r="E15" s="22" t="str">
        <x:v>No</x:v>
      </x:c>
      <x:c r="F15" s="22" t="str">
        <x:v>Requires healthy operation</x:v>
      </x:c>
      <x:c r="G15" s="22" t="str">
        <x:v>Yes</x:v>
      </x:c>
      <x:c r="H15" s="38" t="str"/>
    </x:row>
    <x:row r="16">
      <x:c r="A16" s="37" t="str">
        <x:v>Expansion Permit Cash</x:v>
      </x:c>
      <x:c r="B16" s="22" t="str">
        <x:v>Yes</x:v>
      </x:c>
      <x:c r="C16" s="22" t="str">
        <x:v>Server Cash balance</x:v>
      </x:c>
      <x:c r="D16" s="22" t="str">
        <x:v>Cannot activate</x:v>
      </x:c>
      <x:c r="E16" s="22" t="str">
        <x:v>No external payment bypass</x:v>
      </x:c>
      <x:c r="F16" s="22" t="str">
        <x:v>Creates economic sink</x:v>
      </x:c>
      <x:c r="G16" s="22" t="str">
        <x:v>Yes</x:v>
      </x:c>
      <x:c r="H16" s="38" t="str"/>
    </x:row>
    <x:row r="17">
      <x:c r="A17" s="37" t="str">
        <x:v>Adjacency</x:v>
      </x:c>
      <x:c r="B17" s="22" t="str">
        <x:v>Only for merge</x:v>
      </x:c>
      <x:c r="C17" s="22" t="str">
        <x:v>Plot coordinate registry</x:v>
      </x:c>
      <x:c r="D17" s="22" t="str">
        <x:v>Can activate standalone but cannot merge</x:v>
      </x:c>
      <x:c r="E17" s="22" t="str">
        <x:v>No</x:v>
      </x:c>
      <x:c r="F17" s="22" t="str">
        <x:v>Geometry requirement</x:v>
      </x:c>
      <x:c r="G17" s="22" t="str">
        <x:v>Phase 2</x:v>
      </x:c>
      <x:c r="H17" s="38" t="str"/>
    </x:row>
    <x:row r="18">
      <x:c r="A18" s="39" t="str">
        <x:v>Activation cooldown</x:v>
      </x:c>
      <x:c r="B18" s="40" t="str">
        <x:v>Yes</x:v>
      </x:c>
      <x:c r="C18" s="40" t="str">
        <x:v>Server timestamp</x:v>
      </x:c>
      <x:c r="D18" s="40" t="str">
        <x:v>Wait</x:v>
      </x:c>
      <x:c r="E18" s="40" t="str">
        <x:v>No</x:v>
      </x:c>
      <x:c r="F18" s="40" t="str">
        <x:v>Reduces flip-to-production abuse</x:v>
      </x:c>
      <x:c r="G18" s="40" t="str">
        <x:v>Yes</x:v>
      </x:c>
      <x:c r="H18" s="41" t="str"/>
    </x:row>
  </x:sheetData>
  <x:mergeCells>
    <x:mergeCell ref="A1:N1"/>
    <x:mergeCell ref="A11:N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2" hidden="0" customWidth="1"/>
    <x:col min="14" max="14" width="32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Merge Geometry, Territory Sizes &amp; Seam Costs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Shape</x:v>
      </x:c>
      <x:c r="B3" s="14" t="str">
        <x:v>Plots</x:v>
      </x:c>
      <x:c r="C3" s="14" t="str">
        <x:v>Grid Width (Plots)</x:v>
      </x:c>
      <x:c r="D3" s="14" t="str">
        <x:v>Grid Height (Plots)</x:v>
      </x:c>
      <x:c r="E3" s="14" t="str">
        <x:v>Tile Width</x:v>
      </x:c>
      <x:c r="F3" s="14" t="str">
        <x:v>Tile Height</x:v>
      </x:c>
      <x:c r="G3" s="14" t="str">
        <x:v>Total Tiles</x:v>
      </x:c>
      <x:c r="H3" s="14" t="str">
        <x:v>Internal Seams</x:v>
      </x:c>
      <x:c r="I3" s="14" t="str">
        <x:v>Base Merge Fee</x:v>
      </x:c>
      <x:c r="J3" s="14" t="str">
        <x:v>Stage Gate</x:v>
      </x:c>
      <x:c r="K3" s="14" t="str">
        <x:v>Min Rep</x:v>
      </x:c>
      <x:c r="L3" s="14" t="str">
        <x:v>Cross-Border Building?</x:v>
      </x:c>
      <x:c r="M3" s="14" t="str">
        <x:v>Use Case</x:v>
      </x:c>
      <x:c r="N3" s="14" t="str">
        <x:v>Notes</x:v>
      </x:c>
    </x:row>
    <x:row r="4">
      <x:c r="A4" s="34" t="str">
        <x:v>1×2</x:v>
      </x:c>
      <x:c r="B4" s="50" t="n">
        <x:v>2</x:v>
      </x:c>
      <x:c r="C4" s="50" t="n">
        <x:v>1</x:v>
      </x:c>
      <x:c r="D4" s="50" t="n">
        <x:v>2</x:v>
      </x:c>
      <x:c r="E4" s="50" t="n">
        <x:v>12</x:v>
      </x:c>
      <x:c r="F4" s="50" t="n">
        <x:v>24</x:v>
      </x:c>
      <x:c r="G4" s="50" t="n">
        <x:v>288</x:v>
      </x:c>
      <x:c r="H4" s="50" t="n">
        <x:v>1</x:v>
      </x:c>
      <x:c r="I4" s="56" t="n">
        <x:f>H4*'01_Assumptions'!$B$13</x:f>
        <x:v>25000</x:v>
      </x:c>
      <x:c r="J4" s="35" t="str">
        <x:v>Growing</x:v>
      </x:c>
      <x:c r="K4" s="50" t="n">
        <x:v>65</x:v>
      </x:c>
      <x:c r="L4" s="35" t="str">
        <x:v>No in MVP</x:v>
      </x:c>
      <x:c r="M4" s="35" t="str">
        <x:v>Second specialization</x:v>
      </x:c>
      <x:c r="N4" s="36" t="str">
        <x:v>Orthogonal adjacency only</x:v>
      </x:c>
    </x:row>
    <x:row r="5">
      <x:c r="A5" s="37" t="str">
        <x:v>2×1</x:v>
      </x:c>
      <x:c r="B5" s="51" t="n">
        <x:v>2</x:v>
      </x:c>
      <x:c r="C5" s="51" t="n">
        <x:v>2</x:v>
      </x:c>
      <x:c r="D5" s="51" t="n">
        <x:v>1</x:v>
      </x:c>
      <x:c r="E5" s="51" t="n">
        <x:v>24</x:v>
      </x:c>
      <x:c r="F5" s="51" t="n">
        <x:v>12</x:v>
      </x:c>
      <x:c r="G5" s="51" t="n">
        <x:v>288</x:v>
      </x:c>
      <x:c r="H5" s="51" t="n">
        <x:v>1</x:v>
      </x:c>
      <x:c r="I5" s="57" t="n">
        <x:f>H5*'01_Assumptions'!$B$13</x:f>
        <x:v>25000</x:v>
      </x:c>
      <x:c r="J5" s="22" t="str">
        <x:v>Growing</x:v>
      </x:c>
      <x:c r="K5" s="51" t="n">
        <x:v>65</x:v>
      </x:c>
      <x:c r="L5" s="22" t="str">
        <x:v>No in MVP</x:v>
      </x:c>
      <x:c r="M5" s="22" t="str">
        <x:v>Wide district</x:v>
      </x:c>
      <x:c r="N5" s="38" t="str">
        <x:v>Orthogonal adjacency only</x:v>
      </x:c>
    </x:row>
    <x:row r="6">
      <x:c r="A6" s="37" t="str">
        <x:v>2×2</x:v>
      </x:c>
      <x:c r="B6" s="51" t="n">
        <x:v>4</x:v>
      </x:c>
      <x:c r="C6" s="51" t="n">
        <x:v>2</x:v>
      </x:c>
      <x:c r="D6" s="51" t="n">
        <x:v>2</x:v>
      </x:c>
      <x:c r="E6" s="51" t="n">
        <x:v>24</x:v>
      </x:c>
      <x:c r="F6" s="51" t="n">
        <x:v>24</x:v>
      </x:c>
      <x:c r="G6" s="51" t="n">
        <x:v>576</x:v>
      </x:c>
      <x:c r="H6" s="51" t="n">
        <x:v>4</x:v>
      </x:c>
      <x:c r="I6" s="57" t="n">
        <x:f>H6*'01_Assumptions'!$B$13</x:f>
        <x:v>100000</x:v>
      </x:c>
      <x:c r="J6" s="22" t="str">
        <x:v>Established</x:v>
      </x:c>
      <x:c r="K6" s="51" t="n">
        <x:v>75</x:v>
      </x:c>
      <x:c r="L6" s="22" t="str">
        <x:v>Optional later</x:v>
      </x:c>
      <x:c r="M6" s="22" t="str">
        <x:v>Institutional district</x:v>
      </x:c>
      <x:c r="N6" s="38" t="str">
        <x:v>All 4 Plot coordinates required</x:v>
      </x:c>
    </x:row>
    <x:row r="7">
      <x:c r="A7" s="37" t="str">
        <x:v>2×3</x:v>
      </x:c>
      <x:c r="B7" s="51" t="n">
        <x:v>6</x:v>
      </x:c>
      <x:c r="C7" s="51" t="n">
        <x:v>2</x:v>
      </x:c>
      <x:c r="D7" s="51" t="n">
        <x:v>3</x:v>
      </x:c>
      <x:c r="E7" s="51" t="n">
        <x:v>24</x:v>
      </x:c>
      <x:c r="F7" s="51" t="n">
        <x:v>36</x:v>
      </x:c>
      <x:c r="G7" s="51" t="n">
        <x:v>864</x:v>
      </x:c>
      <x:c r="H7" s="51" t="n">
        <x:v>7</x:v>
      </x:c>
      <x:c r="I7" s="57" t="n">
        <x:f>H7*'01_Assumptions'!$B$13</x:f>
        <x:v>175000</x:v>
      </x:c>
      <x:c r="J7" s="22" t="str">
        <x:v>Elite</x:v>
      </x:c>
      <x:c r="K7" s="51" t="n">
        <x:v>85</x:v>
      </x:c>
      <x:c r="L7" s="22" t="str">
        <x:v>Yes later</x:v>
      </x:c>
      <x:c r="M7" s="22" t="str">
        <x:v>Multi-district territory</x:v>
      </x:c>
      <x:c r="N7" s="38" t="str">
        <x:v>No missing interior Plot</x:v>
      </x:c>
    </x:row>
    <x:row r="8">
      <x:c r="A8" s="37" t="str">
        <x:v>3×2</x:v>
      </x:c>
      <x:c r="B8" s="51" t="n">
        <x:v>6</x:v>
      </x:c>
      <x:c r="C8" s="51" t="n">
        <x:v>3</x:v>
      </x:c>
      <x:c r="D8" s="51" t="n">
        <x:v>2</x:v>
      </x:c>
      <x:c r="E8" s="51" t="n">
        <x:v>36</x:v>
      </x:c>
      <x:c r="F8" s="51" t="n">
        <x:v>24</x:v>
      </x:c>
      <x:c r="G8" s="51" t="n">
        <x:v>864</x:v>
      </x:c>
      <x:c r="H8" s="51" t="n">
        <x:v>7</x:v>
      </x:c>
      <x:c r="I8" s="57" t="n">
        <x:f>H8*'01_Assumptions'!$B$13</x:f>
        <x:v>175000</x:v>
      </x:c>
      <x:c r="J8" s="22" t="str">
        <x:v>Elite</x:v>
      </x:c>
      <x:c r="K8" s="51" t="n">
        <x:v>85</x:v>
      </x:c>
      <x:c r="L8" s="22" t="str">
        <x:v>Yes later</x:v>
      </x:c>
      <x:c r="M8" s="22" t="str">
        <x:v>Multi-district territory</x:v>
      </x:c>
      <x:c r="N8" s="38" t="str">
        <x:v>No missing interior Plot</x:v>
      </x:c>
    </x:row>
    <x:row r="9">
      <x:c r="A9" s="37" t="str">
        <x:v>3×3</x:v>
      </x:c>
      <x:c r="B9" s="51" t="n">
        <x:v>9</x:v>
      </x:c>
      <x:c r="C9" s="51" t="n">
        <x:v>3</x:v>
      </x:c>
      <x:c r="D9" s="51" t="n">
        <x:v>3</x:v>
      </x:c>
      <x:c r="E9" s="51" t="n">
        <x:v>36</x:v>
      </x:c>
      <x:c r="F9" s="51" t="n">
        <x:v>36</x:v>
      </x:c>
      <x:c r="G9" s="51" t="n">
        <x:v>1296</x:v>
      </x:c>
      <x:c r="H9" s="51" t="n">
        <x:v>12</x:v>
      </x:c>
      <x:c r="I9" s="57" t="n">
        <x:f>H9*'01_Assumptions'!$B$13</x:f>
        <x:v>300000</x:v>
      </x:c>
      <x:c r="J9" s="22" t="str">
        <x:v>Elite</x:v>
      </x:c>
      <x:c r="K9" s="51" t="n">
        <x:v>85</x:v>
      </x:c>
      <x:c r="L9" s="22" t="str">
        <x:v>Yes later</x:v>
      </x:c>
      <x:c r="M9" s="22" t="str">
        <x:v>Elite territory</x:v>
      </x:c>
      <x:c r="N9" s="38" t="str">
        <x:v>Full rectangular merge recommended</x:v>
      </x:c>
    </x:row>
    <x:row r="10">
      <x:c r="A10" s="39" t="str">
        <x:v>4×4</x:v>
      </x:c>
      <x:c r="B10" s="52" t="n">
        <x:v>16</x:v>
      </x:c>
      <x:c r="C10" s="52" t="n">
        <x:v>4</x:v>
      </x:c>
      <x:c r="D10" s="52" t="n">
        <x:v>4</x:v>
      </x:c>
      <x:c r="E10" s="52" t="n">
        <x:v>48</x:v>
      </x:c>
      <x:c r="F10" s="52" t="n">
        <x:v>48</x:v>
      </x:c>
      <x:c r="G10" s="52" t="n">
        <x:v>2304</x:v>
      </x:c>
      <x:c r="H10" s="52" t="n">
        <x:v>24</x:v>
      </x:c>
      <x:c r="I10" s="58" t="n">
        <x:f>H10*'01_Assumptions'!$B$13</x:f>
        <x:v>600000</x:v>
      </x:c>
      <x:c r="J10" s="40" t="str">
        <x:v>Tycoon</x:v>
      </x:c>
      <x:c r="K10" s="52" t="n">
        <x:v>90</x:v>
      </x:c>
      <x:c r="L10" s="40" t="str">
        <x:v>Yes later</x:v>
      </x:c>
      <x:c r="M10" s="40" t="str">
        <x:v>Maximum v0.1 territory</x:v>
      </x:c>
      <x:c r="N10" s="41" t="str">
        <x:v>Endgame cap</x:v>
      </x:c>
    </x:row>
    <x:row r="12" ht="22" customHeight="1">
      <x:c r="A12" s="31" t="str">
        <x:v>Merge Geometry Rules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14" t="str">
        <x:v>Rule</x:v>
      </x:c>
      <x:c r="B13" s="14" t="str">
        <x:v>Specification</x:v>
      </x:c>
    </x:row>
    <x:row r="14">
      <x:c r="A14" s="34" t="str">
        <x:v>Adjacency</x:v>
      </x:c>
      <x:c r="B14" s="36" t="str">
        <x:v>Plots must share a full orthogonal Plot edge. Corner-touching Plots are not mergeable.</x:v>
      </x:c>
    </x:row>
    <x:row r="15">
      <x:c r="A15" s="37" t="str">
        <x:v>Rectangularity</x:v>
      </x:c>
      <x:c r="B15" s="38" t="str">
        <x:v>v0.1 recommended merges are complete rectangles; no L-shapes or holes.</x:v>
      </x:c>
    </x:row>
    <x:row r="16">
      <x:c r="A16" s="37" t="str">
        <x:v>Coordinate registry</x:v>
      </x:c>
      <x:c r="B16" s="38" t="str">
        <x:v>Each Plot has immutable world-grid coordinates used to prove adjacency.</x:v>
      </x:c>
    </x:row>
    <x:row r="17">
      <x:c r="A17" s="37" t="str">
        <x:v>Underlying NFT identity</x:v>
      </x:c>
      <x:c r="B17" s="38" t="str">
        <x:v>Merge creates a territory record referencing Plot token IDs; it does not burn/re-mint land.</x:v>
      </x:c>
    </x:row>
    <x:row r="18">
      <x:c r="A18" s="37" t="str">
        <x:v>Seam count</x:v>
      </x:c>
      <x:c r="B18" s="38" t="str">
        <x:v>Merge fee scales with the number of internal shared Plot edges, not merely Plot count.</x:v>
      </x:c>
    </x:row>
    <x:row r="19">
      <x:c r="A19" s="39" t="str">
        <x:v>Cross-border placement</x:v>
      </x:c>
      <x:c r="B19" s="41" t="str">
        <x:v>Disabled for MVP; later allowed only after territory lock and within configured cap.</x:v>
      </x:c>
    </x:row>
  </x:sheetData>
  <x:mergeCells>
    <x:mergeCell ref="A1:N1"/>
    <x:mergeCell ref="A12:N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Plot Acquisition, Primary Sale &amp; Secondary Market Rules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Acquisition Path</x:v>
      </x:c>
      <x:c r="B3" s="14" t="str">
        <x:v>Who Can Use</x:v>
      </x:c>
      <x:c r="C3" s="14" t="str">
        <x:v>Price Basis</x:v>
      </x:c>
      <x:c r="D3" s="14" t="str">
        <x:v>Illustrative Price</x:v>
      </x:c>
      <x:c r="E3" s="14" t="str">
        <x:v>Requires Level Gate?</x:v>
      </x:c>
      <x:c r="F3" s="14" t="str">
        <x:v>Requires Rep Gate?</x:v>
      </x:c>
      <x:c r="G3" s="14" t="str">
        <x:v>Immediately Active?</x:v>
      </x:c>
      <x:c r="H3" s="14" t="str">
        <x:v>Activation Permit?</x:v>
      </x:c>
      <x:c r="I3" s="14" t="str">
        <x:v>Transferable?</x:v>
      </x:c>
      <x:c r="J3" s="14" t="str">
        <x:v>Marketplace Fee</x:v>
      </x:c>
      <x:c r="K3" s="14" t="str">
        <x:v>Performance Impact</x:v>
      </x:c>
      <x:c r="L3" s="14" t="str">
        <x:v>Supply Effect</x:v>
      </x:c>
      <x:c r="M3" s="14" t="str">
        <x:v>Recommended Phase</x:v>
      </x:c>
      <x:c r="N3" s="14" t="str">
        <x:v>Notes</x:v>
      </x:c>
    </x:row>
    <x:row r="4">
      <x:c r="A4" s="34" t="str">
        <x:v>First Plot grant / included access</x:v>
      </x:c>
      <x:c r="B4" s="35" t="str">
        <x:v>New player</x:v>
      </x:c>
      <x:c r="C4" s="35" t="str">
        <x:v>Fixed / bundled</x:v>
      </x:c>
      <x:c r="D4" s="80" t="n">
        <x:v>0</x:v>
      </x:c>
      <x:c r="E4" s="35" t="str">
        <x:v>No</x:v>
      </x:c>
      <x:c r="F4" s="35" t="str">
        <x:v>No</x:v>
      </x:c>
      <x:c r="G4" s="35" t="str">
        <x:v>Yes after onboarding</x:v>
      </x:c>
      <x:c r="H4" s="35" t="str">
        <x:v>No</x:v>
      </x:c>
      <x:c r="I4" s="35" t="str">
        <x:v>Yes, subject to transfer rules</x:v>
      </x:c>
      <x:c r="J4" s="62" t="n">
        <x:v>0.025</x:v>
      </x:c>
      <x:c r="K4" s="35" t="str">
        <x:v>None directly</x:v>
      </x:c>
      <x:c r="L4" s="35" t="str">
        <x:v>Consumes 1 Plot from allocation</x:v>
      </x:c>
      <x:c r="M4" s="35" t="str">
        <x:v>MVP</x:v>
      </x:c>
      <x:c r="N4" s="36" t="str">
        <x:v>Recommended default to reduce pay-to-win pressure</x:v>
      </x:c>
    </x:row>
    <x:row r="5">
      <x:c r="A5" s="37" t="str">
        <x:v>Optional Founder Plot</x:v>
      </x:c>
      <x:c r="B5" s="22" t="str">
        <x:v>Founder / supporter</x:v>
      </x:c>
      <x:c r="C5" s="22" t="str">
        <x:v>Fixed collectible price</x:v>
      </x:c>
      <x:c r="D5" s="81" t="str">
        <x:v>TBD</x:v>
      </x:c>
      <x:c r="E5" s="22" t="str">
        <x:v>No</x:v>
      </x:c>
      <x:c r="F5" s="22" t="str">
        <x:v>No</x:v>
      </x:c>
      <x:c r="G5" s="22" t="str">
        <x:v>Only if player's active cap allows</x:v>
      </x:c>
      <x:c r="H5" s="22" t="str">
        <x:v>Yes if additional active Plot</x:v>
      </x:c>
      <x:c r="I5" s="22" t="str">
        <x:v>Yes</x:v>
      </x:c>
      <x:c r="J5" s="63" t="n">
        <x:v>0.025</x:v>
      </x:c>
      <x:c r="K5" s="22" t="str">
        <x:v>None directly</x:v>
      </x:c>
      <x:c r="L5" s="22" t="str">
        <x:v>Consumes special/standard Plot inventory</x:v>
      </x:c>
      <x:c r="M5" s="22" t="str">
        <x:v>Optional</x:v>
      </x:c>
      <x:c r="N5" s="38" t="str">
        <x:v>Cosmetic provenance should not create stronger economics</x:v>
      </x:c>
    </x:row>
    <x:row r="6">
      <x:c r="A6" s="37" t="str">
        <x:v>Additional primary Plot</x:v>
      </x:c>
      <x:c r="B6" s="22" t="str">
        <x:v>Eligible owner</x:v>
      </x:c>
      <x:c r="C6" s="22" t="str">
        <x:v>Fixed inventory price</x:v>
      </x:c>
      <x:c r="D6" s="81" t="n">
        <x:v>20</x:v>
      </x:c>
      <x:c r="E6" s="22" t="str">
        <x:v>Ownership no; activation yes</x:v>
      </x:c>
      <x:c r="F6" s="22" t="str">
        <x:v>Activation yes</x:v>
      </x:c>
      <x:c r="G6" s="22" t="str">
        <x:v>No</x:v>
      </x:c>
      <x:c r="H6" s="22" t="str">
        <x:v>Yes</x:v>
      </x:c>
      <x:c r="I6" s="22" t="str">
        <x:v>Yes</x:v>
      </x:c>
      <x:c r="J6" s="63" t="n">
        <x:v>0.025</x:v>
      </x:c>
      <x:c r="K6" s="22" t="str">
        <x:v>None directly</x:v>
      </x:c>
      <x:c r="L6" s="22" t="str">
        <x:v>Reduces primary inventory</x:v>
      </x:c>
      <x:c r="M6" s="22" t="str">
        <x:v>Phase 2</x:v>
      </x:c>
      <x:c r="N6" s="38" t="str">
        <x:v>Illustrative $20 default from assumptions</x:v>
      </x:c>
    </x:row>
    <x:row r="7">
      <x:c r="A7" s="37" t="str">
        <x:v>Secondary marketplace purchase</x:v>
      </x:c>
      <x:c r="B7" s="22" t="str">
        <x:v>Any eligible wallet</x:v>
      </x:c>
      <x:c r="C7" s="22" t="str">
        <x:v>Market-driven</x:v>
      </x:c>
      <x:c r="D7" s="81" t="str">
        <x:v>Market price</x:v>
      </x:c>
      <x:c r="E7" s="22" t="str">
        <x:v>Ownership no; activation yes</x:v>
      </x:c>
      <x:c r="F7" s="22" t="str">
        <x:v>Activation yes</x:v>
      </x:c>
      <x:c r="G7" s="22" t="str">
        <x:v>No</x:v>
      </x:c>
      <x:c r="H7" s="22" t="str">
        <x:v>Yes</x:v>
      </x:c>
      <x:c r="I7" s="22" t="str">
        <x:v>Yes</x:v>
      </x:c>
      <x:c r="J7" s="63" t="n">
        <x:v>0.025</x:v>
      </x:c>
      <x:c r="K7" s="22" t="str">
        <x:v>None directly</x:v>
      </x:c>
      <x:c r="L7" s="22" t="str">
        <x:v>Transfers existing supply</x:v>
      </x:c>
      <x:c r="M7" s="22" t="str">
        <x:v>Phase 2</x:v>
      </x:c>
      <x:c r="N7" s="38" t="str">
        <x:v>Sale price never used for score</x:v>
      </x:c>
    </x:row>
    <x:row r="8">
      <x:c r="A8" s="39" t="str">
        <x:v>Rewarded Plot entitlement</x:v>
      </x:c>
      <x:c r="B8" s="40" t="str">
        <x:v>Milestone / campaign</x:v>
      </x:c>
      <x:c r="C8" s="40" t="str">
        <x:v>Protocol-defined</x:v>
      </x:c>
      <x:c r="D8" s="82" t="str">
        <x:v>0</x:v>
      </x:c>
      <x:c r="E8" s="40" t="str">
        <x:v>Yes if activation</x:v>
      </x:c>
      <x:c r="F8" s="40" t="str">
        <x:v>Yes if activation</x:v>
      </x:c>
      <x:c r="G8" s="40" t="str">
        <x:v>No</x:v>
      </x:c>
      <x:c r="H8" s="40" t="str">
        <x:v>Yes</x:v>
      </x:c>
      <x:c r="I8" s="40" t="str">
        <x:v>Yes</x:v>
      </x:c>
      <x:c r="J8" s="64" t="n">
        <x:v>0.025</x:v>
      </x:c>
      <x:c r="K8" s="40" t="str">
        <x:v>None directly</x:v>
      </x:c>
      <x:c r="L8" s="40" t="str">
        <x:v>Uses reserved reward inventory</x:v>
      </x:c>
      <x:c r="M8" s="40" t="str">
        <x:v>Later</x:v>
      </x:c>
      <x:c r="N8" s="41" t="str">
        <x:v>Reward is ownership, not guaranteed yield</x:v>
      </x:c>
    </x:row>
    <x:row r="10" ht="22" customHeight="1">
      <x:c r="A10" s="31" t="str">
        <x:v>Market Separation Rule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88" t="str">
        <x:v>The external/onchain price of a Plot NFT must remain separate from the in-game economy. Buying a more expensive Plot does not increase customer demand, Cash production, Market Hunt odds, Performance Score, or weekly $PLOT share. Only active gameplay state and configured tile/layout properties matter.</x:v>
      </x:c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</x:row>
  </x:sheetData>
  <x:mergeCells>
    <x:mergeCell ref="A1:N1"/>
    <x:mergeCell ref="A10:N10"/>
    <x:mergeCell ref="A11:N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Plot Transfer, Buildings, Customers &amp; Business State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Asset / State</x:v>
      </x:c>
      <x:c r="B3" s="14" t="str">
        <x:v>Stored Where</x:v>
      </x:c>
      <x:c r="C3" s="14" t="str">
        <x:v>Transfers with Plot by Default?</x:v>
      </x:c>
      <x:c r="D3" s="14" t="str">
        <x:v>Can Be Bundled Later?</x:v>
      </x:c>
      <x:c r="E3" s="14" t="str">
        <x:v>On Transfer Initiation</x:v>
      </x:c>
      <x:c r="F3" s="14" t="str">
        <x:v>On Settlement</x:v>
      </x:c>
      <x:c r="G3" s="14" t="str">
        <x:v>New Owner Receives</x:v>
      </x:c>
      <x:c r="H3" s="14" t="str">
        <x:v>Old Owner Keeps</x:v>
      </x:c>
      <x:c r="I3" s="14" t="str">
        <x:v>Customer Effect</x:v>
      </x:c>
      <x:c r="J3" s="14" t="str">
        <x:v>Performance Effect</x:v>
      </x:c>
      <x:c r="K3" s="14" t="str">
        <x:v>Risk</x:v>
      </x:c>
      <x:c r="L3" s="14" t="str">
        <x:v>Recommended Rule</x:v>
      </x:c>
      <x:c r="M3" s="14" t="str">
        <x:v>MVP?</x:v>
      </x:c>
      <x:c r="N3" s="14" t="str">
        <x:v>Notes</x:v>
      </x:c>
    </x:row>
    <x:row r="4">
      <x:c r="A4" s="34" t="str">
        <x:v>Plot NFT</x:v>
      </x:c>
      <x:c r="B4" s="35" t="str">
        <x:v>Onchain</x:v>
      </x:c>
      <x:c r="C4" s="35" t="str">
        <x:v>Yes</x:v>
      </x:c>
      <x:c r="D4" s="35" t="str">
        <x:v>N/A</x:v>
      </x:c>
      <x:c r="E4" s="35" t="str">
        <x:v>Lock game mutations</x:v>
      </x:c>
      <x:c r="F4" s="35" t="str">
        <x:v>Ownership changes</x:v>
      </x:c>
      <x:c r="G4" s="35" t="str">
        <x:v>Land ownership</x:v>
      </x:c>
      <x:c r="H4" s="35" t="str">
        <x:v>Nothing</x:v>
      </x:c>
      <x:c r="I4" s="35" t="str">
        <x:v>N/A</x:v>
      </x:c>
      <x:c r="J4" s="35" t="str">
        <x:v>None directly</x:v>
      </x:c>
      <x:c r="K4" s="35" t="str">
        <x:v>Low</x:v>
      </x:c>
      <x:c r="L4" s="35" t="str">
        <x:v>Transfer is source of ownership truth</x:v>
      </x:c>
      <x:c r="M4" s="35" t="str">
        <x:v>Yes</x:v>
      </x:c>
      <x:c r="N4" s="36" t="str"/>
    </x:row>
    <x:row r="5">
      <x:c r="A5" s="37" t="str">
        <x:v>Building card ownership</x:v>
      </x:c>
      <x:c r="B5" s="22" t="str">
        <x:v>Game DB / possible token later</x:v>
      </x:c>
      <x:c r="C5" s="22" t="str">
        <x:v>No</x:v>
      </x:c>
      <x:c r="D5" s="22" t="str">
        <x:v>Yes later</x:v>
      </x:c>
      <x:c r="E5" s="22" t="str">
        <x:v>Detach/freeze</x:v>
      </x:c>
      <x:c r="F5" s="22" t="str">
        <x:v>Return to owner's inventory or resolve sale bundle</x:v>
      </x:c>
      <x:c r="G5" s="22" t="str">
        <x:v>Empty Plot unless bundle explicitly used</x:v>
      </x:c>
      <x:c r="H5" s="22" t="str">
        <x:v>Building cards</x:v>
      </x:c>
      <x:c r="I5" s="22" t="str">
        <x:v>Customers lose service location</x:v>
      </x:c>
      <x:c r="J5" s="22" t="str">
        <x:v>No score after transfer</x:v>
      </x:c>
      <x:c r="K5" s="22" t="str">
        <x:v>Medium</x:v>
      </x:c>
      <x:c r="L5" s="22" t="str">
        <x:v>Do not silently transfer valuable buildings</x:v>
      </x:c>
      <x:c r="M5" s="22" t="str">
        <x:v>Yes</x:v>
      </x:c>
      <x:c r="N5" s="38" t="str"/>
    </x:row>
    <x:row r="6">
      <x:c r="A6" s="37" t="str">
        <x:v>Building layout</x:v>
      </x:c>
      <x:c r="B6" s="22" t="str">
        <x:v>Game DB</x:v>
      </x:c>
      <x:c r="C6" s="22" t="str">
        <x:v>No</x:v>
      </x:c>
      <x:c r="D6" s="22" t="str">
        <x:v>Snapshot only</x:v>
      </x:c>
      <x:c r="E6" s="22" t="str">
        <x:v>Archive</x:v>
      </x:c>
      <x:c r="F6" s="22" t="str">
        <x:v>Archive linked to prior owner</x:v>
      </x:c>
      <x:c r="G6" s="22" t="str">
        <x:v>Blank/default layout</x:v>
      </x:c>
      <x:c r="H6" s="22" t="str">
        <x:v>Historical snapshot</x:v>
      </x:c>
      <x:c r="I6" s="22" t="str">
        <x:v>N/A</x:v>
      </x:c>
      <x:c r="J6" s="22" t="str">
        <x:v>None</x:v>
      </x:c>
      <x:c r="K6" s="22" t="str">
        <x:v>Low</x:v>
      </x:c>
      <x:c r="L6" s="22" t="str">
        <x:v>Layout is owner-specific configuration</x:v>
      </x:c>
      <x:c r="M6" s="22" t="str">
        <x:v>Yes</x:v>
      </x:c>
      <x:c r="N6" s="38" t="str"/>
    </x:row>
    <x:row r="7">
      <x:c r="A7" s="37" t="str">
        <x:v>Building upgrades</x:v>
      </x:c>
      <x:c r="B7" s="22" t="str">
        <x:v>Game DB / asset state</x:v>
      </x:c>
      <x:c r="C7" s="22" t="str">
        <x:v>With building, not land</x:v>
      </x:c>
      <x:c r="D7" s="22" t="str">
        <x:v>Yes later</x:v>
      </x:c>
      <x:c r="E7" s="22" t="str">
        <x:v>Freeze</x:v>
      </x:c>
      <x:c r="F7" s="22" t="str">
        <x:v>Remain with building owner</x:v>
      </x:c>
      <x:c r="G7" s="22" t="str">
        <x:v>None unless bundled</x:v>
      </x:c>
      <x:c r="H7" s="22" t="str">
        <x:v>Upgrade state</x:v>
      </x:c>
      <x:c r="I7" s="22" t="str">
        <x:v>N/A</x:v>
      </x:c>
      <x:c r="J7" s="22" t="str">
        <x:v>None</x:v>
      </x:c>
      <x:c r="K7" s="22" t="str">
        <x:v>Medium</x:v>
      </x:c>
      <x:c r="L7" s="22" t="str">
        <x:v>Upgrade follows building asset</x:v>
      </x:c>
      <x:c r="M7" s="22" t="str">
        <x:v>Yes</x:v>
      </x:c>
      <x:c r="N7" s="38" t="str"/>
    </x:row>
    <x:row r="8">
      <x:c r="A8" s="37" t="str">
        <x:v>Cash balance</x:v>
      </x:c>
      <x:c r="B8" s="22" t="str">
        <x:v>Game DB</x:v>
      </x:c>
      <x:c r="C8" s="22" t="str">
        <x:v>No</x:v>
      </x:c>
      <x:c r="D8" s="22" t="str">
        <x:v>No</x:v>
      </x:c>
      <x:c r="E8" s="22" t="str">
        <x:v>Unaffected</x:v>
      </x:c>
      <x:c r="F8" s="22" t="str">
        <x:v>Unaffected</x:v>
      </x:c>
      <x:c r="G8" s="22" t="str">
        <x:v>None</x:v>
      </x:c>
      <x:c r="H8" s="22" t="str">
        <x:v>All Cash</x:v>
      </x:c>
      <x:c r="I8" s="22" t="str">
        <x:v>N/A</x:v>
      </x:c>
      <x:c r="J8" s="22" t="str">
        <x:v>None</x:v>
      </x:c>
      <x:c r="K8" s="22" t="str">
        <x:v>Low</x:v>
      </x:c>
      <x:c r="L8" s="22" t="str">
        <x:v>Player-level asset</x:v>
      </x:c>
      <x:c r="M8" s="22" t="str">
        <x:v>Yes</x:v>
      </x:c>
      <x:c r="N8" s="38" t="str"/>
    </x:row>
    <x:row r="9">
      <x:c r="A9" s="37" t="str">
        <x:v>Stock portfolio</x:v>
      </x:c>
      <x:c r="B9" s="22" t="str">
        <x:v>Custody / game DB</x:v>
      </x:c>
      <x:c r="C9" s="22" t="str">
        <x:v>No</x:v>
      </x:c>
      <x:c r="D9" s="22" t="str">
        <x:v>No</x:v>
      </x:c>
      <x:c r="E9" s="22" t="str">
        <x:v>Unaffected</x:v>
      </x:c>
      <x:c r="F9" s="22" t="str">
        <x:v>Unaffected</x:v>
      </x:c>
      <x:c r="G9" s="22" t="str">
        <x:v>None</x:v>
      </x:c>
      <x:c r="H9" s="22" t="str">
        <x:v>All stock</x:v>
      </x:c>
      <x:c r="I9" s="22" t="str">
        <x:v>N/A</x:v>
      </x:c>
      <x:c r="J9" s="22" t="str">
        <x:v>None</x:v>
      </x:c>
      <x:c r="K9" s="22" t="str">
        <x:v>Low</x:v>
      </x:c>
      <x:c r="L9" s="22" t="str">
        <x:v>Player-level asset</x:v>
      </x:c>
      <x:c r="M9" s="22" t="str">
        <x:v>Yes</x:v>
      </x:c>
      <x:c r="N9" s="38" t="str"/>
    </x:row>
    <x:row r="10">
      <x:c r="A10" s="37" t="str">
        <x:v>Customers</x:v>
      </x:c>
      <x:c r="B10" s="22" t="str">
        <x:v>Game DB</x:v>
      </x:c>
      <x:c r="C10" s="22" t="str">
        <x:v>No</x:v>
      </x:c>
      <x:c r="D10" s="22" t="str">
        <x:v>No</x:v>
      </x:c>
      <x:c r="E10" s="22" t="str">
        <x:v>Affected businesses freeze</x:v>
      </x:c>
      <x:c r="F10" s="22" t="str">
        <x:v>Reallocate / churn per rules</x:v>
      </x:c>
      <x:c r="G10" s="22" t="str">
        <x:v>No inherited customers</x:v>
      </x:c>
      <x:c r="H10" s="22" t="str">
        <x:v>Retained only if other businesses serve them</x:v>
      </x:c>
      <x:c r="I10" s="22" t="str">
        <x:v>Reallocation/churn</x:v>
      </x:c>
      <x:c r="J10" s="22" t="str">
        <x:v>Score follows valid activity only</x:v>
      </x:c>
      <x:c r="K10" s="22" t="str">
        <x:v>Medium</x:v>
      </x:c>
      <x:c r="L10" s="22" t="str">
        <x:v>Customers belong to player's economy, not land</x:v>
      </x:c>
      <x:c r="M10" s="22" t="str">
        <x:v>Yes</x:v>
      </x:c>
      <x:c r="N10" s="38" t="str"/>
    </x:row>
    <x:row r="11">
      <x:c r="A11" s="37" t="str">
        <x:v>Reputation</x:v>
      </x:c>
      <x:c r="B11" s="22" t="str">
        <x:v>Game DB</x:v>
      </x:c>
      <x:c r="C11" s="22" t="str">
        <x:v>No</x:v>
      </x:c>
      <x:c r="D11" s="22" t="str">
        <x:v>No</x:v>
      </x:c>
      <x:c r="E11" s="22" t="str">
        <x:v>Unaffected</x:v>
      </x:c>
      <x:c r="F11" s="22" t="str">
        <x:v>Unaffected</x:v>
      </x:c>
      <x:c r="G11" s="22" t="str">
        <x:v>New owner uses own Rep</x:v>
      </x:c>
      <x:c r="H11" s="22" t="str">
        <x:v>Old owner keeps Rep</x:v>
      </x:c>
      <x:c r="I11" s="22" t="str">
        <x:v>Affects future demand</x:v>
      </x:c>
      <x:c r="J11" s="22" t="str">
        <x:v>Own score only</x:v>
      </x:c>
      <x:c r="K11" s="22" t="str">
        <x:v>Low</x:v>
      </x:c>
      <x:c r="L11" s="22" t="str">
        <x:v>Player-level trust</x:v>
      </x:c>
      <x:c r="M11" s="22" t="str">
        <x:v>Yes</x:v>
      </x:c>
      <x:c r="N11" s="38" t="str"/>
    </x:row>
    <x:row r="12">
      <x:c r="A12" s="37" t="str">
        <x:v>Special tile map</x:v>
      </x:c>
      <x:c r="B12" s="22" t="str">
        <x:v>Plot metadata / game DB</x:v>
      </x:c>
      <x:c r="C12" s="22" t="str">
        <x:v>Yes</x:v>
      </x:c>
      <x:c r="D12" s="22" t="str">
        <x:v>N/A</x:v>
      </x:c>
      <x:c r="E12" s="22" t="str">
        <x:v>Frozen</x:v>
      </x:c>
      <x:c r="F12" s="22" t="str">
        <x:v>Same Plot tile map remains</x:v>
      </x:c>
      <x:c r="G12" s="22" t="str">
        <x:v>Same deterministic tile map</x:v>
      </x:c>
      <x:c r="H12" s="22" t="str">
        <x:v>None</x:v>
      </x:c>
      <x:c r="I12" s="22" t="str">
        <x:v>Future operation only</x:v>
      </x:c>
      <x:c r="J12" s="22" t="str">
        <x:v>Indirect only</x:v>
      </x:c>
      <x:c r="K12" s="22" t="str">
        <x:v>Low</x:v>
      </x:c>
      <x:c r="L12" s="22" t="str">
        <x:v>Tile identity follows Plot</x:v>
      </x:c>
      <x:c r="M12" s="22" t="str">
        <x:v>Later</x:v>
      </x:c>
      <x:c r="N12" s="38" t="str"/>
    </x:row>
    <x:row r="13">
      <x:c r="A13" s="39" t="str">
        <x:v>Merge membership</x:v>
      </x:c>
      <x:c r="B13" s="40" t="str">
        <x:v>Game DB / onchain reference optional</x:v>
      </x:c>
      <x:c r="C13" s="40" t="str">
        <x:v>No</x:v>
      </x:c>
      <x:c r="D13" s="40" t="str">
        <x:v>N/A</x:v>
      </x:c>
      <x:c r="E13" s="40" t="str">
        <x:v>Must detach first</x:v>
      </x:c>
      <x:c r="F13" s="40" t="str">
        <x:v>Cannot transfer while merged</x:v>
      </x:c>
      <x:c r="G13" s="40" t="str">
        <x:v>Standalone inactive/active depending new owner gate</x:v>
      </x:c>
      <x:c r="H13" s="40" t="str">
        <x:v>Remaining territory recalculates</x:v>
      </x:c>
      <x:c r="I13" s="40" t="str">
        <x:v>Affected businesses resolved before transfer</x:v>
      </x:c>
      <x:c r="J13" s="40" t="str">
        <x:v>None</x:v>
      </x:c>
      <x:c r="K13" s="40" t="str">
        <x:v>High</x:v>
      </x:c>
      <x:c r="L13" s="40" t="str">
        <x:v>Forced detach before listing/transfer</x:v>
      </x:c>
      <x:c r="M13" s="40" t="str">
        <x:v>Phase 2</x:v>
      </x:c>
      <x:c r="N13" s="41" t="str"/>
    </x:row>
    <x:row r="15" ht="22" customHeight="1">
      <x:c r="A15" s="31" t="str">
        <x:v>Recommended Transfer Flow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14" t="str">
        <x:v>Step</x:v>
      </x:c>
      <x:c r="B16" s="14" t="str">
        <x:v>Action</x:v>
      </x:c>
    </x:row>
    <x:row r="17">
      <x:c r="A17" s="34" t="n">
        <x:v>1</x:v>
      </x:c>
      <x:c r="B17" s="36" t="str">
        <x:v>Player selects Plot for sale/transfer. System checks merge membership, active cross-border buildings, protected settlement locks and outstanding events.</x:v>
      </x:c>
    </x:row>
    <x:row r="18">
      <x:c r="A18" s="37" t="n">
        <x:v>2</x:v>
      </x:c>
      <x:c r="B18" s="38" t="str">
        <x:v>If merged, Plot must be detached. Any cross-border building must be moved fully onto retained territory or returned to building inventory.</x:v>
      </x:c>
    </x:row>
    <x:row r="19">
      <x:c r="A19" s="37" t="n">
        <x:v>3</x:v>
      </x:c>
      <x:c r="B19" s="38" t="str">
        <x:v>Plot enters transfer-pending state. New construction, relocation and merge actions stop.</x:v>
      </x:c>
    </x:row>
    <x:row r="20">
      <x:c r="A20" s="37" t="n">
        <x:v>4</x:v>
      </x:c>
      <x:c r="B20" s="38" t="str">
        <x:v>Server snapshots layout and economy state for audit; businesses on that Plot stop producing new activity at the transfer cutoff.</x:v>
      </x:c>
    </x:row>
    <x:row r="21">
      <x:c r="A21" s="37" t="n">
        <x:v>5</x:v>
      </x:c>
      <x:c r="B21" s="38" t="str">
        <x:v>Onchain ownership transfer settles.</x:v>
      </x:c>
    </x:row>
    <x:row r="22">
      <x:c r="A22" s="37" t="n">
        <x:v>6</x:v>
      </x:c>
      <x:c r="B22" s="38" t="str">
        <x:v>Server reconciles owner from chain/provider source of truth.</x:v>
      </x:c>
    </x:row>
    <x:row r="23">
      <x:c r="A23" s="37" t="n">
        <x:v>7</x:v>
      </x:c>
      <x:c r="B23" s="38" t="str">
        <x:v>Old owner's buildings return to inventory unless an explicit future bundled sale was chosen.</x:v>
      </x:c>
    </x:row>
    <x:row r="24">
      <x:c r="A24" s="39" t="n">
        <x:v>8</x:v>
      </x:c>
      <x:c r="B24" s="41" t="str">
        <x:v>New owner receives the Plot in inactive state and must meet activation gates before operating it.</x:v>
      </x:c>
    </x:row>
  </x:sheetData>
  <x:mergeCells>
    <x:mergeCell ref="A1:N1"/>
    <x:mergeCell ref="A15:N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5" hidden="0" customWidth="1"/>
  </x:cols>
  <x:sheetData>
    <x:row r="1" ht="28" customHeight="1">
      <x:c r="A1" s="112" t="str">
        <x:v>Merge &amp; Unmerge Lifecycle, Fees and Locks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22"/>
    </x:row>
    <x:row r="3">
      <x:c r="A3" s="14" t="str">
        <x:v>Action</x:v>
      </x:c>
      <x:c r="B3" s="14" t="str">
        <x:v>Prerequisites</x:v>
      </x:c>
      <x:c r="C3" s="14" t="str">
        <x:v>Fee Formula</x:v>
      </x:c>
      <x:c r="D3" s="14" t="str">
        <x:v>Example Fee</x:v>
      </x:c>
      <x:c r="E3" s="14" t="str">
        <x:v>Lock Duration</x:v>
      </x:c>
      <x:c r="F3" s="14" t="str">
        <x:v>Buildings During Process</x:v>
      </x:c>
      <x:c r="G3" s="14" t="str">
        <x:v>Customers During Process</x:v>
      </x:c>
      <x:c r="H3" s="14" t="str">
        <x:v>Cross-Border Buildings</x:v>
      </x:c>
      <x:c r="I3" s="14" t="str">
        <x:v>Synergies</x:v>
      </x:c>
      <x:c r="J3" s="14" t="str">
        <x:v>District Bonuses</x:v>
      </x:c>
      <x:c r="K3" s="14" t="str">
        <x:v>Can Transfer?</x:v>
      </x:c>
      <x:c r="L3" s="14" t="str">
        <x:v>Can Re-Merge?</x:v>
      </x:c>
      <x:c r="M3" s="14" t="str">
        <x:v>Failure State</x:v>
      </x:c>
      <x:c r="N3" s="14" t="str">
        <x:v>Refund Rule</x:v>
      </x:c>
      <x:c r="O3" s="14" t="str">
        <x:v>Notes</x:v>
      </x:c>
    </x:row>
    <x:row r="4">
      <x:c r="A4" s="34" t="str">
        <x:v>Merge 2 Plots</x:v>
      </x:c>
      <x:c r="B4" s="35" t="str">
        <x:v>Both active, same owner, orthogonally adjacent, Lv25+, Rep65</x:v>
      </x:c>
      <x:c r="C4" s="35" t="str">
        <x:v>1 seam × base fee</x:v>
      </x:c>
      <x:c r="D4" s="80" t="n">
        <x:v>25000</x:v>
      </x:c>
      <x:c r="E4" s="35" t="str">
        <x:v>24h</x:v>
      </x:c>
      <x:c r="F4" s="35" t="str">
        <x:v>Continue normal operation; no relocation across seam during pending</x:v>
      </x:c>
      <x:c r="G4" s="35" t="str">
        <x:v>Continue</x:v>
      </x:c>
      <x:c r="H4" s="35" t="str">
        <x:v>Disabled MVP</x:v>
      </x:c>
      <x:c r="I4" s="35" t="str">
        <x:v>Existing per-Plot until settlement</x:v>
      </x:c>
      <x:c r="J4" s="35" t="str">
        <x:v>Per-Plot until settlement</x:v>
      </x:c>
      <x:c r="K4" s="35" t="str">
        <x:v>No</x:v>
      </x:c>
      <x:c r="L4" s="35" t="str">
        <x:v>After settlement N/A</x:v>
      </x:c>
      <x:c r="M4" s="35" t="str">
        <x:v>Return standalone</x:v>
      </x:c>
      <x:c r="N4" s="35" t="str">
        <x:v>Fee refunded if system validation fails; not if user cancels late</x:v>
      </x:c>
      <x:c r="O4" s="36" t="str"/>
    </x:row>
    <x:row r="5">
      <x:c r="A5" s="37" t="str">
        <x:v>Merge 4 Plots (2×2)</x:v>
      </x:c>
      <x:c r="B5" s="22" t="str">
        <x:v>All 4 active, same owner, rectangle, Lv35+, Rep75</x:v>
      </x:c>
      <x:c r="C5" s="22" t="str">
        <x:v>4 seams × base fee</x:v>
      </x:c>
      <x:c r="D5" s="81" t="n">
        <x:v>100000</x:v>
      </x:c>
      <x:c r="E5" s="22" t="str">
        <x:v>24h</x:v>
      </x:c>
      <x:c r="F5" s="22" t="str">
        <x:v>Continue normal operation</x:v>
      </x:c>
      <x:c r="G5" s="22" t="str">
        <x:v>Continue</x:v>
      </x:c>
      <x:c r="H5" s="22" t="str">
        <x:v>Optional later</x:v>
      </x:c>
      <x:c r="I5" s="22" t="str">
        <x:v>Recompute at settlement</x:v>
      </x:c>
      <x:c r="J5" s="22" t="str">
        <x:v>Merged district after settlement</x:v>
      </x:c>
      <x:c r="K5" s="22" t="str">
        <x:v>No</x:v>
      </x:c>
      <x:c r="L5" s="22" t="str">
        <x:v>N/A</x:v>
      </x:c>
      <x:c r="M5" s="22" t="str">
        <x:v>Remain separate</x:v>
      </x:c>
      <x:c r="N5" s="22" t="str">
        <x:v>Same principle</x:v>
      </x:c>
      <x:c r="O5" s="38" t="str"/>
    </x:row>
    <x:row r="6">
      <x:c r="A6" s="37" t="str">
        <x:v>Expand existing merge</x:v>
      </x:c>
      <x:c r="B6" s="22" t="str">
        <x:v>New adjacent active Plot(s), active cap allows</x:v>
      </x:c>
      <x:c r="C6" s="22" t="str">
        <x:v>New seams × base fee</x:v>
      </x:c>
      <x:c r="D6" s="81" t="str">
        <x:v>Variable</x:v>
      </x:c>
      <x:c r="E6" s="22" t="str">
        <x:v>24h</x:v>
      </x:c>
      <x:c r="F6" s="22" t="str">
        <x:v>Existing territory active; new seams locked</x:v>
      </x:c>
      <x:c r="G6" s="22" t="str">
        <x:v>Continue</x:v>
      </x:c>
      <x:c r="H6" s="22" t="str">
        <x:v>No new cross-border during pending</x:v>
      </x:c>
      <x:c r="I6" s="22" t="str">
        <x:v>Recompute after settlement</x:v>
      </x:c>
      <x:c r="J6" s="22" t="str">
        <x:v>Recompute after settlement</x:v>
      </x:c>
      <x:c r="K6" s="22" t="str">
        <x:v>No</x:v>
      </x:c>
      <x:c r="L6" s="22" t="str">
        <x:v>N/A</x:v>
      </x:c>
      <x:c r="M6" s="22" t="str">
        <x:v>Existing merge retained</x:v>
      </x:c>
      <x:c r="N6" s="22" t="str">
        <x:v>Failed addition fee refund if validation failure</x:v>
      </x:c>
      <x:c r="O6" s="38" t="str"/>
    </x:row>
    <x:row r="7">
      <x:c r="A7" s="37" t="str">
        <x:v>Unmerge member Plot</x:v>
      </x:c>
      <x:c r="B7" s="22" t="str">
        <x:v>No transfer/event settlement lock; no unresolved cross-border buildings</x:v>
      </x:c>
      <x:c r="C7" s="22" t="str">
        <x:v>Seams removed × unmerge fee</x:v>
      </x:c>
      <x:c r="D7" s="81" t="str">
        <x:v>Variable</x:v>
      </x:c>
      <x:c r="E7" s="22" t="str">
        <x:v>24h</x:v>
      </x:c>
      <x:c r="F7" s="22" t="str">
        <x:v>Continue except seam-crossing links</x:v>
      </x:c>
      <x:c r="G7" s="22" t="str">
        <x:v>Continue / reallocate if layout changes</x:v>
      </x:c>
      <x:c r="H7" s="22" t="str">
        <x:v>Must be resolved first</x:v>
      </x:c>
      <x:c r="I7" s="22" t="str">
        <x:v>Cross-seam links disabled after settlement</x:v>
      </x:c>
      <x:c r="J7" s="22" t="str">
        <x:v>Territory recalculated</x:v>
      </x:c>
      <x:c r="K7" s="22" t="str">
        <x:v>No until detached cooldown ends</x:v>
      </x:c>
      <x:c r="L7" s="22" t="str">
        <x:v>Yes after cooldown</x:v>
      </x:c>
      <x:c r="M7" s="22" t="str">
        <x:v>Request blocked</x:v>
      </x:c>
      <x:c r="N7" s="22" t="str">
        <x:v>No refund after processing begins</x:v>
      </x:c>
      <x:c r="O7" s="38" t="str"/>
    </x:row>
    <x:row r="8">
      <x:c r="A8" s="39" t="str">
        <x:v>Full unmerge</x:v>
      </x:c>
      <x:c r="B8" s="40" t="str">
        <x:v>All member Plots detach</x:v>
      </x:c>
      <x:c r="C8" s="40" t="str">
        <x:v>All internal seams × unmerge fee</x:v>
      </x:c>
      <x:c r="D8" s="82" t="str">
        <x:v>Variable</x:v>
      </x:c>
      <x:c r="E8" s="40" t="str">
        <x:v>24h</x:v>
      </x:c>
      <x:c r="F8" s="40" t="str">
        <x:v>Continue on individual Plots</x:v>
      </x:c>
      <x:c r="G8" s="40" t="str">
        <x:v>Continue</x:v>
      </x:c>
      <x:c r="H8" s="40" t="str">
        <x:v>Must resolve all</x:v>
      </x:c>
      <x:c r="I8" s="40" t="str">
        <x:v>Recompute per Plot</x:v>
      </x:c>
      <x:c r="J8" s="40" t="str">
        <x:v>Per Plot</x:v>
      </x:c>
      <x:c r="K8" s="40" t="str">
        <x:v>No during process</x:v>
      </x:c>
      <x:c r="L8" s="40" t="str">
        <x:v>Yes after cooldown</x:v>
      </x:c>
      <x:c r="M8" s="40" t="str">
        <x:v>Merged state retained if blocked</x:v>
      </x:c>
      <x:c r="N8" s="40" t="str">
        <x:v>Same</x:v>
      </x:c>
      <x:c r="O8" s="41" t="str"/>
    </x:row>
    <x:row r="10" ht="22" customHeight="1">
      <x:c r="A10" s="31" t="str">
        <x:v>Cross-Border Building Resolution Priority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</x:row>
    <x:row r="11">
      <x:c r="A11" s="14" t="str">
        <x:v>Priority</x:v>
      </x:c>
      <x:c r="B11" s="14" t="str">
        <x:v>Rule</x:v>
      </x:c>
    </x:row>
    <x:row r="12">
      <x:c r="A12" s="34" t="n">
        <x:v>1</x:v>
      </x:c>
      <x:c r="B12" s="36" t="str">
        <x:v>If a building footprint crosses a seam being removed, unmerge cannot settle until the building is relocated.</x:v>
      </x:c>
    </x:row>
    <x:row r="13">
      <x:c r="A13" s="37" t="n">
        <x:v>2</x:v>
      </x:c>
      <x:c r="B13" s="38" t="str">
        <x:v>Player receives a grace window to move the building without relocation fee.</x:v>
      </x:c>
    </x:row>
    <x:row r="14">
      <x:c r="A14" s="37" t="n">
        <x:v>3</x:v>
      </x:c>
      <x:c r="B14" s="38" t="str">
        <x:v>If the player does not act before the grace window ends, the building is returned to inventory and its customers reallocate using normal rules.</x:v>
      </x:c>
    </x:row>
    <x:row r="15">
      <x:c r="A15" s="37" t="n">
        <x:v>4</x:v>
      </x:c>
      <x:c r="B15" s="38" t="str">
        <x:v>No building may be duplicated, split, or partially remain on both territories.</x:v>
      </x:c>
    </x:row>
    <x:row r="16">
      <x:c r="A16" s="39" t="n">
        <x:v>5</x:v>
      </x:c>
      <x:c r="B16" s="41" t="str">
        <x:v>Any active Market Hunt tied to that building is paused/revalidated to prevent exploitative relocation.</x:v>
      </x:c>
    </x:row>
  </x:sheetData>
  <x:mergeCells>
    <x:mergeCell ref="A1:O1"/>
    <x:mergeCell ref="A10:O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World Grid, Plot Coordinates &amp; Merged Territory Coordinates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Concept</x:v>
      </x:c>
      <x:c r="B3" s="14" t="str">
        <x:v>Representation</x:v>
      </x:c>
      <x:c r="C3" s="14" t="str">
        <x:v>Example</x:v>
      </x:c>
      <x:c r="D3" s="14" t="str">
        <x:v>Immutable?</x:v>
      </x:c>
      <x:c r="E3" s="14" t="str">
        <x:v>Stored Onchain?</x:v>
      </x:c>
      <x:c r="F3" s="14" t="str">
        <x:v>Stored Offchain?</x:v>
      </x:c>
      <x:c r="G3" s="14" t="str">
        <x:v>Used For</x:v>
      </x:c>
      <x:c r="H3" s="14" t="str">
        <x:v>Merge Validation</x:v>
      </x:c>
      <x:c r="I3" s="14" t="str">
        <x:v>Transfer Validation</x:v>
      </x:c>
      <x:c r="J3" s="14" t="str">
        <x:v>Building Placement</x:v>
      </x:c>
      <x:c r="K3" s="14" t="str">
        <x:v>Marketplace</x:v>
      </x:c>
      <x:c r="L3" s="14" t="str">
        <x:v>Indexing</x:v>
      </x:c>
      <x:c r="M3" s="14" t="str">
        <x:v>Exploit Risk</x:v>
      </x:c>
      <x:c r="N3" s="14" t="str">
        <x:v>Notes</x:v>
      </x:c>
    </x:row>
    <x:row r="4">
      <x:c r="A4" s="34" t="str">
        <x:v>Plot token ID</x:v>
      </x:c>
      <x:c r="B4" s="35" t="str">
        <x:v>uint / NFT ID</x:v>
      </x:c>
      <x:c r="C4" s="35" t="str">
        <x:v>Plot #1842</x:v>
      </x:c>
      <x:c r="D4" s="35" t="str">
        <x:v>Yes</x:v>
      </x:c>
      <x:c r="E4" s="35" t="str">
        <x:v>Yes</x:v>
      </x:c>
      <x:c r="F4" s="35" t="str">
        <x:v>Mirror</x:v>
      </x:c>
      <x:c r="G4" s="35" t="str">
        <x:v>Ownership identity</x:v>
      </x:c>
      <x:c r="H4" s="35" t="str">
        <x:v>Yes</x:v>
      </x:c>
      <x:c r="I4" s="35" t="str">
        <x:v>Yes</x:v>
      </x:c>
      <x:c r="J4" s="35" t="str">
        <x:v>Reference</x:v>
      </x:c>
      <x:c r="K4" s="35" t="str">
        <x:v>Yes</x:v>
      </x:c>
      <x:c r="L4" s="35" t="str">
        <x:v>Yes</x:v>
      </x:c>
      <x:c r="M4" s="35" t="str">
        <x:v>Low</x:v>
      </x:c>
      <x:c r="N4" s="36" t="str"/>
    </x:row>
    <x:row r="5">
      <x:c r="A5" s="37" t="str">
        <x:v>World X coordinate</x:v>
      </x:c>
      <x:c r="B5" s="22" t="str">
        <x:v>integer</x:v>
      </x:c>
      <x:c r="C5" s="22" t="str">
        <x:v>x=14</x:v>
      </x:c>
      <x:c r="D5" s="22" t="str">
        <x:v>Yes after mint</x:v>
      </x:c>
      <x:c r="E5" s="22" t="str">
        <x:v>Metadata / registry</x:v>
      </x:c>
      <x:c r="F5" s="22" t="str">
        <x:v>Mirror</x:v>
      </x:c>
      <x:c r="G5" s="22" t="str">
        <x:v>Horizontal adjacency</x:v>
      </x:c>
      <x:c r="H5" s="22" t="str">
        <x:v>Yes</x:v>
      </x:c>
      <x:c r="I5" s="22" t="str">
        <x:v>Yes</x:v>
      </x:c>
      <x:c r="J5" s="22" t="str">
        <x:v>No</x:v>
      </x:c>
      <x:c r="K5" s="22" t="str">
        <x:v>Yes</x:v>
      </x:c>
      <x:c r="L5" s="22" t="str">
        <x:v>Yes</x:v>
      </x:c>
      <x:c r="M5" s="22" t="str">
        <x:v>Medium</x:v>
      </x:c>
      <x:c r="N5" s="38" t="str">
        <x:v>Must not change after sale</x:v>
      </x:c>
    </x:row>
    <x:row r="6">
      <x:c r="A6" s="37" t="str">
        <x:v>World Y coordinate</x:v>
      </x:c>
      <x:c r="B6" s="22" t="str">
        <x:v>integer</x:v>
      </x:c>
      <x:c r="C6" s="22" t="str">
        <x:v>y=22</x:v>
      </x:c>
      <x:c r="D6" s="22" t="str">
        <x:v>Yes after mint</x:v>
      </x:c>
      <x:c r="E6" s="22" t="str">
        <x:v>Metadata / registry</x:v>
      </x:c>
      <x:c r="F6" s="22" t="str">
        <x:v>Mirror</x:v>
      </x:c>
      <x:c r="G6" s="22" t="str">
        <x:v>Vertical adjacency</x:v>
      </x:c>
      <x:c r="H6" s="22" t="str">
        <x:v>Yes</x:v>
      </x:c>
      <x:c r="I6" s="22" t="str">
        <x:v>Yes</x:v>
      </x:c>
      <x:c r="J6" s="22" t="str">
        <x:v>No</x:v>
      </x:c>
      <x:c r="K6" s="22" t="str">
        <x:v>Yes</x:v>
      </x:c>
      <x:c r="L6" s="22" t="str">
        <x:v>Yes</x:v>
      </x:c>
      <x:c r="M6" s="22" t="str">
        <x:v>Medium</x:v>
      </x:c>
      <x:c r="N6" s="38" t="str"/>
    </x:row>
    <x:row r="7">
      <x:c r="A7" s="37" t="str">
        <x:v>Local tile X</x:v>
      </x:c>
      <x:c r="B7" s="22" t="str">
        <x:v>0–11</x:v>
      </x:c>
      <x:c r="C7" s="22" t="str">
        <x:v>tile x=5</x:v>
      </x:c>
      <x:c r="D7" s="22" t="str">
        <x:v>No</x:v>
      </x:c>
      <x:c r="E7" s="22" t="str">
        <x:v>No</x:v>
      </x:c>
      <x:c r="F7" s="22" t="str">
        <x:v>Yes</x:v>
      </x:c>
      <x:c r="G7" s="22" t="str">
        <x:v>Building placement</x:v>
      </x:c>
      <x:c r="H7" s="22" t="str">
        <x:v>No</x:v>
      </x:c>
      <x:c r="I7" s="22" t="str">
        <x:v>No</x:v>
      </x:c>
      <x:c r="J7" s="22" t="str">
        <x:v>Yes</x:v>
      </x:c>
      <x:c r="K7" s="22" t="str">
        <x:v>No</x:v>
      </x:c>
      <x:c r="L7" s="22" t="str">
        <x:v>No</x:v>
      </x:c>
      <x:c r="M7" s="22" t="str">
        <x:v>Medium</x:v>
      </x:c>
      <x:c r="N7" s="38" t="str">
        <x:v>Owner layout state</x:v>
      </x:c>
    </x:row>
    <x:row r="8">
      <x:c r="A8" s="37" t="str">
        <x:v>Local tile Y</x:v>
      </x:c>
      <x:c r="B8" s="22" t="str">
        <x:v>0–11</x:v>
      </x:c>
      <x:c r="C8" s="22" t="str">
        <x:v>tile y=8</x:v>
      </x:c>
      <x:c r="D8" s="22" t="str">
        <x:v>No</x:v>
      </x:c>
      <x:c r="E8" s="22" t="str">
        <x:v>No</x:v>
      </x:c>
      <x:c r="F8" s="22" t="str">
        <x:v>Yes</x:v>
      </x:c>
      <x:c r="G8" s="22" t="str">
        <x:v>Building placement</x:v>
      </x:c>
      <x:c r="H8" s="22" t="str">
        <x:v>No</x:v>
      </x:c>
      <x:c r="I8" s="22" t="str">
        <x:v>No</x:v>
      </x:c>
      <x:c r="J8" s="22" t="str">
        <x:v>Yes</x:v>
      </x:c>
      <x:c r="K8" s="22" t="str">
        <x:v>No</x:v>
      </x:c>
      <x:c r="L8" s="22" t="str">
        <x:v>No</x:v>
      </x:c>
      <x:c r="M8" s="22" t="str">
        <x:v>Medium</x:v>
      </x:c>
      <x:c r="N8" s="38" t="str"/>
    </x:row>
    <x:row r="9">
      <x:c r="A9" s="37" t="str">
        <x:v>Territory origin</x:v>
      </x:c>
      <x:c r="B9" s="22" t="str">
        <x:v>min Plot x/y</x:v>
      </x:c>
      <x:c r="C9" s="22" t="str">
        <x:v>origin=(14,22)</x:v>
      </x:c>
      <x:c r="D9" s="22" t="str">
        <x:v>Derived</x:v>
      </x:c>
      <x:c r="E9" s="22" t="str">
        <x:v>Optional</x:v>
      </x:c>
      <x:c r="F9" s="22" t="str">
        <x:v>Yes</x:v>
      </x:c>
      <x:c r="G9" s="22" t="str">
        <x:v>Merged coordinate transform</x:v>
      </x:c>
      <x:c r="H9" s="22" t="str">
        <x:v>Yes</x:v>
      </x:c>
      <x:c r="I9" s="22" t="str">
        <x:v>No</x:v>
      </x:c>
      <x:c r="J9" s="22" t="str">
        <x:v>Yes</x:v>
      </x:c>
      <x:c r="K9" s="22" t="str">
        <x:v>No</x:v>
      </x:c>
      <x:c r="L9" s="22" t="str">
        <x:v>Yes</x:v>
      </x:c>
      <x:c r="M9" s="22" t="str">
        <x:v>Low</x:v>
      </x:c>
      <x:c r="N9" s="38" t="str"/>
    </x:row>
    <x:row r="10">
      <x:c r="A10" s="37" t="str">
        <x:v>Territory tile X</x:v>
      </x:c>
      <x:c r="B10" s="22" t="str">
        <x:v>0–(12×plot_width−1)</x:v>
      </x:c>
      <x:c r="C10" s="22" t="str">
        <x:v>x=17 in 2×2</x:v>
      </x:c>
      <x:c r="D10" s="22" t="str">
        <x:v>Derived</x:v>
      </x:c>
      <x:c r="E10" s="22" t="str">
        <x:v>No</x:v>
      </x:c>
      <x:c r="F10" s="22" t="str">
        <x:v>Yes</x:v>
      </x:c>
      <x:c r="G10" s="22" t="str">
        <x:v>Cross-Plot placement</x:v>
      </x:c>
      <x:c r="H10" s="22" t="str">
        <x:v>Yes</x:v>
      </x:c>
      <x:c r="I10" s="22" t="str">
        <x:v>No</x:v>
      </x:c>
      <x:c r="J10" s="22" t="str">
        <x:v>Yes</x:v>
      </x:c>
      <x:c r="K10" s="22" t="str">
        <x:v>No</x:v>
      </x:c>
      <x:c r="L10" s="22" t="str">
        <x:v>No</x:v>
      </x:c>
      <x:c r="M10" s="22" t="str">
        <x:v>High</x:v>
      </x:c>
      <x:c r="N10" s="38" t="str">
        <x:v>Later phase</x:v>
      </x:c>
    </x:row>
    <x:row r="11">
      <x:c r="A11" s="37" t="str">
        <x:v>Territory tile Y</x:v>
      </x:c>
      <x:c r="B11" s="22" t="str">
        <x:v>0–(12×plot_height−1)</x:v>
      </x:c>
      <x:c r="C11" s="22" t="str">
        <x:v>y=20 in 2×2</x:v>
      </x:c>
      <x:c r="D11" s="22" t="str">
        <x:v>Derived</x:v>
      </x:c>
      <x:c r="E11" s="22" t="str">
        <x:v>No</x:v>
      </x:c>
      <x:c r="F11" s="22" t="str">
        <x:v>Yes</x:v>
      </x:c>
      <x:c r="G11" s="22" t="str">
        <x:v>Cross-Plot placement</x:v>
      </x:c>
      <x:c r="H11" s="22" t="str">
        <x:v>Yes</x:v>
      </x:c>
      <x:c r="I11" s="22" t="str">
        <x:v>No</x:v>
      </x:c>
      <x:c r="J11" s="22" t="str">
        <x:v>Yes</x:v>
      </x:c>
      <x:c r="K11" s="22" t="str">
        <x:v>No</x:v>
      </x:c>
      <x:c r="L11" s="22" t="str">
        <x:v>No</x:v>
      </x:c>
      <x:c r="M11" s="22" t="str">
        <x:v>High</x:v>
      </x:c>
      <x:c r="N11" s="38" t="str">
        <x:v>Later phase</x:v>
      </x:c>
    </x:row>
    <x:row r="12">
      <x:c r="A12" s="39" t="str">
        <x:v>Merge record ID</x:v>
      </x:c>
      <x:c r="B12" s="40" t="str">
        <x:v>server/onchain ref</x:v>
      </x:c>
      <x:c r="C12" s="40" t="str">
        <x:v>merge_9f2...</x:v>
      </x:c>
      <x:c r="D12" s="40" t="str">
        <x:v>Derived</x:v>
      </x:c>
      <x:c r="E12" s="40" t="str">
        <x:v>Optional</x:v>
      </x:c>
      <x:c r="F12" s="40" t="str">
        <x:v>Yes</x:v>
      </x:c>
      <x:c r="G12" s="40" t="str">
        <x:v>Territory membership</x:v>
      </x:c>
      <x:c r="H12" s="40" t="str">
        <x:v>Yes</x:v>
      </x:c>
      <x:c r="I12" s="40" t="str">
        <x:v>Yes</x:v>
      </x:c>
      <x:c r="J12" s="40" t="str">
        <x:v>Yes</x:v>
      </x:c>
      <x:c r="K12" s="40" t="str">
        <x:v>No</x:v>
      </x:c>
      <x:c r="L12" s="40" t="str">
        <x:v>Yes</x:v>
      </x:c>
      <x:c r="M12" s="40" t="str">
        <x:v>Medium</x:v>
      </x:c>
      <x:c r="N12" s="41" t="str">
        <x:v>References underlying Plot IDs</x:v>
      </x:c>
    </x:row>
    <x:row r="14" ht="22" customHeight="1">
      <x:c r="A14" s="31" t="str">
        <x:v>Adjacency Formula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14" t="str">
        <x:v>Test</x:v>
      </x:c>
      <x:c r="B15" s="14" t="str">
        <x:v>Formula</x:v>
      </x:c>
      <x:c r="C15" s="14" t="str">
        <x:v>Example A</x:v>
      </x:c>
      <x:c r="D15" s="14" t="str">
        <x:v>Example B</x:v>
      </x:c>
      <x:c r="E15" s="14" t="str">
        <x:v>Result</x:v>
      </x:c>
      <x:c r="F15" s="14" t="str">
        <x:v>Meaning</x:v>
      </x:c>
    </x:row>
    <x:row r="16">
      <x:c r="A16" s="34" t="str">
        <x:v>Orthogonal horizontal</x:v>
      </x:c>
      <x:c r="B16" s="35" t="str">
        <x:v>ABS(x1-x2)=1 AND y1=y2</x:v>
      </x:c>
      <x:c r="C16" s="35" t="str">
        <x:v>(14,22)</x:v>
      </x:c>
      <x:c r="D16" s="35" t="str">
        <x:v>(15,22)</x:v>
      </x:c>
      <x:c r="E16" s="35" t="str">
        <x:v>Adjacent</x:v>
      </x:c>
      <x:c r="F16" s="36" t="str">
        <x:v>Mergeable</x:v>
      </x:c>
    </x:row>
    <x:row r="17">
      <x:c r="A17" s="37" t="str">
        <x:v>Orthogonal vertical</x:v>
      </x:c>
      <x:c r="B17" s="22" t="str">
        <x:v>ABS(y1-y2)=1 AND x1=x2</x:v>
      </x:c>
      <x:c r="C17" s="22" t="str">
        <x:v>(14,22)</x:v>
      </x:c>
      <x:c r="D17" s="22" t="str">
        <x:v>(14,23)</x:v>
      </x:c>
      <x:c r="E17" s="22" t="str">
        <x:v>Adjacent</x:v>
      </x:c>
      <x:c r="F17" s="38" t="str">
        <x:v>Mergeable</x:v>
      </x:c>
    </x:row>
    <x:row r="18">
      <x:c r="A18" s="39" t="str">
        <x:v>Diagonal</x:v>
      </x:c>
      <x:c r="B18" s="40" t="str">
        <x:v>ABS(x1-x2)=1 AND ABS(y1-y2)=1</x:v>
      </x:c>
      <x:c r="C18" s="40" t="str">
        <x:v>(14,22)</x:v>
      </x:c>
      <x:c r="D18" s="40" t="str">
        <x:v>(15,23)</x:v>
      </x:c>
      <x:c r="E18" s="40" t="str">
        <x:v>Not adjacent</x:v>
      </x:c>
      <x:c r="F18" s="41" t="str">
        <x:v>Not mergeable</x:v>
      </x:c>
    </x:row>
  </x:sheetData>
  <x:mergeCells>
    <x:mergeCell ref="A1:N1"/>
    <x:mergeCell ref="A14:N1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4" hidden="0" customWidth="1"/>
    <x:col min="14" max="14" width="34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Land Expansion Economic Effects — Capacity, Costs &amp; Performance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Active Plots</x:v>
      </x:c>
      <x:c r="B3" s="14" t="str">
        <x:v>Tiles</x:v>
      </x:c>
      <x:c r="C3" s="14" t="str">
        <x:v>Stage Typical</x:v>
      </x:c>
      <x:c r="D3" s="14" t="str">
        <x:v>Potential Building Capacity Index</x:v>
      </x:c>
      <x:c r="E3" s="14" t="str">
        <x:v>Territory Overhead</x:v>
      </x:c>
      <x:c r="F3" s="14" t="str">
        <x:v>Permit Cash Invested</x:v>
      </x:c>
      <x:c r="G3" s="14" t="str">
        <x:v>Merge Fee Example</x:v>
      </x:c>
      <x:c r="H3" s="14" t="str">
        <x:v>Passive Cash</x:v>
      </x:c>
      <x:c r="I3" s="14" t="str">
        <x:v>Passive Activity</x:v>
      </x:c>
      <x:c r="J3" s="14" t="str">
        <x:v>Passive Customers</x:v>
      </x:c>
      <x:c r="K3" s="14" t="str">
        <x:v>Passive Performance Score</x:v>
      </x:c>
      <x:c r="L3" s="14" t="str">
        <x:v>Empire Value Land Index</x:v>
      </x:c>
      <x:c r="M3" s="14" t="str">
        <x:v>Strategic Benefit</x:v>
      </x:c>
      <x:c r="N3" s="14" t="str">
        <x:v>Balance Intent</x:v>
      </x:c>
    </x:row>
    <x:row r="4">
      <x:c r="A4" s="92" t="n">
        <x:v>1</x:v>
      </x:c>
      <x:c r="B4" s="50" t="n">
        <x:v>144</x:v>
      </x:c>
      <x:c r="C4" s="35" t="str">
        <x:v>Humble–Established</x:v>
      </x:c>
      <x:c r="D4" s="98" t="n">
        <x:v>1</x:v>
      </x:c>
      <x:c r="E4" s="62" t="n">
        <x:v>0</x:v>
      </x:c>
      <x:c r="F4" s="56" t="n">
        <x:v>0</x:v>
      </x:c>
      <x:c r="G4" s="56" t="n">
        <x:v>0</x:v>
      </x:c>
      <x:c r="H4" s="50" t="n">
        <x:v>0</x:v>
      </x:c>
      <x:c r="I4" s="50" t="n">
        <x:v>0</x:v>
      </x:c>
      <x:c r="J4" s="50" t="n">
        <x:v>0</x:v>
      </x:c>
      <x:c r="K4" s="50" t="n">
        <x:v>0</x:v>
      </x:c>
      <x:c r="L4" s="50" t="n">
        <x:v>100</x:v>
      </x:c>
      <x:c r="M4" s="35" t="str">
        <x:v>Base capacity</x:v>
      </x:c>
      <x:c r="N4" s="36" t="str">
        <x:v>Efficient one-Plot player remains competitive</x:v>
      </x:c>
    </x:row>
    <x:row r="5">
      <x:c r="A5" s="93" t="n">
        <x:v>2</x:v>
      </x:c>
      <x:c r="B5" s="51" t="n">
        <x:v>288</x:v>
      </x:c>
      <x:c r="C5" s="22" t="str">
        <x:v>Growing+</x:v>
      </x:c>
      <x:c r="D5" s="99" t="n">
        <x:v>1.75</x:v>
      </x:c>
      <x:c r="E5" s="63" t="n">
        <x:v>0.02</x:v>
      </x:c>
      <x:c r="F5" s="57" t="n">
        <x:v>100000</x:v>
      </x:c>
      <x:c r="G5" s="57" t="n">
        <x:v>25000</x:v>
      </x:c>
      <x:c r="H5" s="51" t="n">
        <x:v>0</x:v>
      </x:c>
      <x:c r="I5" s="51" t="n">
        <x:v>0</x:v>
      </x:c>
      <x:c r="J5" s="51" t="n">
        <x:v>0</x:v>
      </x:c>
      <x:c r="K5" s="51" t="n">
        <x:v>0</x:v>
      </x:c>
      <x:c r="L5" s="51" t="n">
        <x:v>180</x:v>
      </x:c>
      <x:c r="M5" s="22" t="str">
        <x:v>More room for second specialization</x:v>
      </x:c>
      <x:c r="N5" s="38" t="str">
        <x:v>Less than 2× effective capacity due to practical layout/demand limits</x:v>
      </x:c>
    </x:row>
    <x:row r="6">
      <x:c r="A6" s="93" t="n">
        <x:v>4</x:v>
      </x:c>
      <x:c r="B6" s="51" t="n">
        <x:v>576</x:v>
      </x:c>
      <x:c r="C6" s="22" t="str">
        <x:v>Established+</x:v>
      </x:c>
      <x:c r="D6" s="99" t="n">
        <x:v>3</x:v>
      </x:c>
      <x:c r="E6" s="63" t="n">
        <x:v>0.05</x:v>
      </x:c>
      <x:c r="F6" s="57" t="n">
        <x:v>600000</x:v>
      </x:c>
      <x:c r="G6" s="57" t="n">
        <x:v>100000</x:v>
      </x:c>
      <x:c r="H6" s="51" t="n">
        <x:v>0</x:v>
      </x:c>
      <x:c r="I6" s="51" t="n">
        <x:v>0</x:v>
      </x:c>
      <x:c r="J6" s="51" t="n">
        <x:v>0</x:v>
      </x:c>
      <x:c r="K6" s="51" t="n">
        <x:v>0</x:v>
      </x:c>
      <x:c r="L6" s="51" t="n">
        <x:v>330</x:v>
      </x:c>
      <x:c r="M6" s="22" t="str">
        <x:v>Institutional districts</x:v>
      </x:c>
      <x:c r="N6" s="38" t="str">
        <x:v>More strategic options, not automatic revenue</x:v>
      </x:c>
    </x:row>
    <x:row r="7">
      <x:c r="A7" s="93" t="n">
        <x:v>6</x:v>
      </x:c>
      <x:c r="B7" s="51" t="n">
        <x:v>864</x:v>
      </x:c>
      <x:c r="C7" s="22" t="str">
        <x:v>Elite+</x:v>
      </x:c>
      <x:c r="D7" s="99" t="n">
        <x:v>4.1</x:v>
      </x:c>
      <x:c r="E7" s="63" t="n">
        <x:v>0.08</x:v>
      </x:c>
      <x:c r="F7" s="57" t="n">
        <x:v>1800000</x:v>
      </x:c>
      <x:c r="G7" s="57" t="n">
        <x:v>175000</x:v>
      </x:c>
      <x:c r="H7" s="51" t="n">
        <x:v>0</x:v>
      </x:c>
      <x:c r="I7" s="51" t="n">
        <x:v>0</x:v>
      </x:c>
      <x:c r="J7" s="51" t="n">
        <x:v>0</x:v>
      </x:c>
      <x:c r="K7" s="51" t="n">
        <x:v>0</x:v>
      </x:c>
      <x:c r="L7" s="51" t="n">
        <x:v>450</x:v>
      </x:c>
      <x:c r="M7" s="22" t="str">
        <x:v>Multiple districts</x:v>
      </x:c>
      <x:c r="N7" s="38" t="str">
        <x:v>Management overhead grows</x:v>
      </x:c>
    </x:row>
    <x:row r="8">
      <x:c r="A8" s="93" t="n">
        <x:v>9</x:v>
      </x:c>
      <x:c r="B8" s="51" t="n">
        <x:v>1296</x:v>
      </x:c>
      <x:c r="C8" s="22" t="str">
        <x:v>Elite+</x:v>
      </x:c>
      <x:c r="D8" s="99" t="n">
        <x:v>5.5</x:v>
      </x:c>
      <x:c r="E8" s="63" t="n">
        <x:v>0.12</x:v>
      </x:c>
      <x:c r="F8" s="57" t="n">
        <x:v>3600000</x:v>
      </x:c>
      <x:c r="G8" s="57" t="n">
        <x:v>300000</x:v>
      </x:c>
      <x:c r="H8" s="51" t="n">
        <x:v>0</x:v>
      </x:c>
      <x:c r="I8" s="51" t="n">
        <x:v>0</x:v>
      </x:c>
      <x:c r="J8" s="51" t="n">
        <x:v>0</x:v>
      </x:c>
      <x:c r="K8" s="51" t="n">
        <x:v>0</x:v>
      </x:c>
      <x:c r="L8" s="51" t="n">
        <x:v>620</x:v>
      </x:c>
      <x:c r="M8" s="22" t="str">
        <x:v>Landmarks + specialization</x:v>
      </x:c>
      <x:c r="N8" s="38" t="str">
        <x:v>Demand and capital must justify space</x:v>
      </x:c>
    </x:row>
    <x:row r="9">
      <x:c r="A9" s="94" t="n">
        <x:v>16</x:v>
      </x:c>
      <x:c r="B9" s="52" t="n">
        <x:v>2304</x:v>
      </x:c>
      <x:c r="C9" s="40" t="str">
        <x:v>Tycoon</x:v>
      </x:c>
      <x:c r="D9" s="100" t="n">
        <x:v>8</x:v>
      </x:c>
      <x:c r="E9" s="64" t="n">
        <x:v>0.18</x:v>
      </x:c>
      <x:c r="F9" s="58" t="n">
        <x:v>12000000</x:v>
      </x:c>
      <x:c r="G9" s="58" t="n">
        <x:v>600000</x:v>
      </x:c>
      <x:c r="H9" s="52" t="n">
        <x:v>0</x:v>
      </x:c>
      <x:c r="I9" s="52" t="n">
        <x:v>0</x:v>
      </x:c>
      <x:c r="J9" s="52" t="n">
        <x:v>0</x:v>
      </x:c>
      <x:c r="K9" s="52" t="n">
        <x:v>0</x:v>
      </x:c>
      <x:c r="L9" s="52" t="n">
        <x:v>950</x:v>
      </x:c>
      <x:c r="M9" s="40" t="str">
        <x:v>Global territory</x:v>
      </x:c>
      <x:c r="N9" s="41" t="str">
        <x:v>Large footprint requires active customers, liquidity and operations</x:v>
      </x:c>
    </x:row>
    <x:row r="11" ht="22" customHeight="1">
      <x:c r="A11" s="31" t="str">
        <x:v>Operating Cost Overhead Simulation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14" t="str">
        <x:v>Active Plots</x:v>
      </x:c>
      <x:c r="B12" s="14" t="str">
        <x:v>Base Weekly Operating Cost</x:v>
      </x:c>
      <x:c r="C12" s="14" t="str">
        <x:v>Territory Overhead</x:v>
      </x:c>
      <x:c r="D12" s="14" t="str">
        <x:v>Added Overhead Cost</x:v>
      </x:c>
      <x:c r="E12" s="14" t="str">
        <x:v>Final Weekly Cost</x:v>
      </x:c>
      <x:c r="F12" s="14" t="str">
        <x:v>Revenue Needed at 30% Margin</x:v>
      </x:c>
      <x:c r="G12" s="14" t="str">
        <x:v>Passive Bonus</x:v>
      </x:c>
      <x:c r="H12" s="14" t="str">
        <x:v>Interpretation</x:v>
      </x:c>
    </x:row>
    <x:row r="13">
      <x:c r="A13" s="34" t="n">
        <x:v>1</x:v>
      </x:c>
      <x:c r="B13" s="56" t="n">
        <x:v>100000</x:v>
      </x:c>
      <x:c r="C13" s="62" t="n">
        <x:v>0</x:v>
      </x:c>
      <x:c r="D13" s="56" t="n">
        <x:f>B13*C13</x:f>
        <x:v>0</x:v>
      </x:c>
      <x:c r="E13" s="56" t="n">
        <x:f>B13+D13</x:f>
        <x:v>100000</x:v>
      </x:c>
      <x:c r="F13" s="56" t="n">
        <x:f>E13/0.3</x:f>
        <x:v>333333.3333333334</x:v>
      </x:c>
      <x:c r="G13" s="50" t="n">
        <x:v>0</x:v>
      </x:c>
      <x:c r="H13" s="36" t="str">
        <x:v>Base business costs only</x:v>
      </x:c>
    </x:row>
    <x:row r="14">
      <x:c r="A14" s="37" t="n">
        <x:v>2</x:v>
      </x:c>
      <x:c r="B14" s="57" t="n">
        <x:v>250000</x:v>
      </x:c>
      <x:c r="C14" s="63" t="n">
        <x:v>0.02</x:v>
      </x:c>
      <x:c r="D14" s="57" t="n">
        <x:f>B14*C14</x:f>
        <x:v>5000</x:v>
      </x:c>
      <x:c r="E14" s="57" t="n">
        <x:f>B14+D14</x:f>
        <x:v>255000</x:v>
      </x:c>
      <x:c r="F14" s="57" t="n">
        <x:f>E14/0.3</x:f>
        <x:v>850000</x:v>
      </x:c>
      <x:c r="G14" s="51" t="n">
        <x:v>0</x:v>
      </x:c>
      <x:c r="H14" s="38" t="str">
        <x:v>Small complexity cost</x:v>
      </x:c>
    </x:row>
    <x:row r="15">
      <x:c r="A15" s="37" t="n">
        <x:v>4</x:v>
      </x:c>
      <x:c r="B15" s="57" t="n">
        <x:v>700000</x:v>
      </x:c>
      <x:c r="C15" s="63" t="n">
        <x:v>0.05</x:v>
      </x:c>
      <x:c r="D15" s="57" t="n">
        <x:f>B15*C15</x:f>
        <x:v>35000</x:v>
      </x:c>
      <x:c r="E15" s="57" t="n">
        <x:f>B15+D15</x:f>
        <x:v>735000</x:v>
      </x:c>
      <x:c r="F15" s="57" t="n">
        <x:f>E15/0.3</x:f>
        <x:v>2450000</x:v>
      </x:c>
      <x:c r="G15" s="51" t="n">
        <x:v>0</x:v>
      </x:c>
      <x:c r="H15" s="38" t="str">
        <x:v>District management becomes meaningful</x:v>
      </x:c>
    </x:row>
    <x:row r="16">
      <x:c r="A16" s="37" t="n">
        <x:v>6</x:v>
      </x:c>
      <x:c r="B16" s="57" t="n">
        <x:v>1200000</x:v>
      </x:c>
      <x:c r="C16" s="63" t="n">
        <x:v>0.08</x:v>
      </x:c>
      <x:c r="D16" s="57" t="n">
        <x:f>B16*C16</x:f>
        <x:v>96000</x:v>
      </x:c>
      <x:c r="E16" s="57" t="n">
        <x:f>B16+D16</x:f>
        <x:v>1296000</x:v>
      </x:c>
      <x:c r="F16" s="57" t="n">
        <x:f>E16/0.3</x:f>
        <x:v>4320000</x:v>
      </x:c>
      <x:c r="G16" s="51" t="n">
        <x:v>0</x:v>
      </x:c>
      <x:c r="H16" s="38" t="str">
        <x:v>Expansion needs productive demand</x:v>
      </x:c>
    </x:row>
    <x:row r="17">
      <x:c r="A17" s="37" t="n">
        <x:v>9</x:v>
      </x:c>
      <x:c r="B17" s="57" t="n">
        <x:v>2200000</x:v>
      </x:c>
      <x:c r="C17" s="63" t="n">
        <x:v>0.12</x:v>
      </x:c>
      <x:c r="D17" s="57" t="n">
        <x:f>B17*C17</x:f>
        <x:v>264000</x:v>
      </x:c>
      <x:c r="E17" s="57" t="n">
        <x:f>B17+D17</x:f>
        <x:v>2464000</x:v>
      </x:c>
      <x:c r="F17" s="57" t="n">
        <x:f>E17/0.3</x:f>
        <x:v>8213333.333333334</x:v>
      </x:c>
      <x:c r="G17" s="51" t="n">
        <x:v>0</x:v>
      </x:c>
      <x:c r="H17" s="38" t="str">
        <x:v>Large territory has material overhead</x:v>
      </x:c>
    </x:row>
    <x:row r="18">
      <x:c r="A18" s="39" t="n">
        <x:v>16</x:v>
      </x:c>
      <x:c r="B18" s="58" t="n">
        <x:v>5000000</x:v>
      </x:c>
      <x:c r="C18" s="64" t="n">
        <x:v>0.18</x:v>
      </x:c>
      <x:c r="D18" s="58" t="n">
        <x:f>B18*C18</x:f>
        <x:v>900000</x:v>
      </x:c>
      <x:c r="E18" s="58" t="n">
        <x:f>B18+D18</x:f>
        <x:v>5900000</x:v>
      </x:c>
      <x:c r="F18" s="58" t="n">
        <x:f>E18/0.3</x:f>
        <x:v>19666666.666666668</x:v>
      </x:c>
      <x:c r="G18" s="52" t="n">
        <x:v>0</x:v>
      </x:c>
      <x:c r="H18" s="41" t="str">
        <x:v>Tycoon scale is expensive to operate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Anti-Whale, Fairness &amp; Land Concentration Controls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Control</x:v>
      </x:c>
      <x:c r="B3" s="14" t="str">
        <x:v>What It Limits</x:v>
      </x:c>
      <x:c r="C3" s="14" t="str">
        <x:v>Default</x:v>
      </x:c>
      <x:c r="D3" s="14" t="str">
        <x:v>Applies At</x:v>
      </x:c>
      <x:c r="E3" s="14" t="str">
        <x:v>Can Ownership Exceed It?</x:v>
      </x:c>
      <x:c r="F3" s="14" t="str">
        <x:v>Economic Effect</x:v>
      </x:c>
      <x:c r="G3" s="14" t="str">
        <x:v>Performance Effect</x:v>
      </x:c>
      <x:c r="H3" s="14" t="str">
        <x:v>Why</x:v>
      </x:c>
      <x:c r="I3" s="14" t="str">
        <x:v>Possible Drawback</x:v>
      </x:c>
      <x:c r="J3" s="14" t="str">
        <x:v>Mitigation</x:v>
      </x:c>
      <x:c r="K3" s="14" t="str">
        <x:v>MVP?</x:v>
      </x:c>
      <x:c r="L3" s="14" t="str">
        <x:v>Live-Ops Metric</x:v>
      </x:c>
      <x:c r="M3" s="14" t="str">
        <x:v>Alert</x:v>
      </x:c>
      <x:c r="N3" s="14" t="str">
        <x:v>Notes</x:v>
      </x:c>
    </x:row>
    <x:row r="4">
      <x:c r="A4" s="34" t="str">
        <x:v>Active Plot cap</x:v>
      </x:c>
      <x:c r="B4" s="35" t="str">
        <x:v>Gameplay capacity</x:v>
      </x:c>
      <x:c r="C4" s="35" t="str">
        <x:v>1/2/4/9/16 by progression</x:v>
      </x:c>
      <x:c r="D4" s="35" t="str">
        <x:v>Activation</x:v>
      </x:c>
      <x:c r="E4" s="35" t="str">
        <x:v>Yes</x:v>
      </x:c>
      <x:c r="F4" s="35" t="str">
        <x:v>Only active Plots host operations</x:v>
      </x:c>
      <x:c r="G4" s="35" t="str">
        <x:v>No passive score from inactive land</x:v>
      </x:c>
      <x:c r="H4" s="35" t="str">
        <x:v>Stops day-one pay-to-win</x:v>
      </x:c>
      <x:c r="I4" s="35" t="str">
        <x:v>Collectors may own unused land</x:v>
      </x:c>
      <x:c r="J4" s="35" t="str">
        <x:v>Make inactive ownership tradable</x:v>
      </x:c>
      <x:c r="K4" s="35" t="str">
        <x:v>Yes</x:v>
      </x:c>
      <x:c r="L4" s="35" t="str">
        <x:v>Active Plots by level</x:v>
      </x:c>
      <x:c r="M4" s="35" t="str">
        <x:v>Cap bypass attempt</x:v>
      </x:c>
      <x:c r="N4" s="36" t="str"/>
    </x:row>
    <x:row r="5">
      <x:c r="A5" s="37" t="str">
        <x:v>Expansion Permit</x:v>
      </x:c>
      <x:c r="B5" s="22" t="str">
        <x:v>Activation speed</x:v>
      </x:c>
      <x:c r="C5" s="22" t="str">
        <x:v>Cash gate</x:v>
      </x:c>
      <x:c r="D5" s="22" t="str">
        <x:v>Every extra active Plot</x:v>
      </x:c>
      <x:c r="E5" s="22" t="str">
        <x:v>N/A</x:v>
      </x:c>
      <x:c r="F5" s="22" t="str">
        <x:v>Strong Cash sink</x:v>
      </x:c>
      <x:c r="G5" s="22" t="str">
        <x:v>None directly</x:v>
      </x:c>
      <x:c r="H5" s="22" t="str">
        <x:v>Forces empire to fund expansion</x:v>
      </x:c>
      <x:c r="I5" s="22" t="str">
        <x:v>Could slow late game</x:v>
      </x:c>
      <x:c r="J5" s="22" t="str">
        <x:v>Tune from Cash inflation data</x:v>
      </x:c>
      <x:c r="K5" s="22" t="str">
        <x:v>Yes</x:v>
      </x:c>
      <x:c r="L5" s="22" t="str">
        <x:v>Permit affordability days</x:v>
      </x:c>
      <x:c r="M5" s="22" t="str">
        <x:v>Too fast/slow</x:v>
      </x:c>
      <x:c r="N5" s="38" t="str"/>
    </x:row>
    <x:row r="6">
      <x:c r="A6" s="37" t="str">
        <x:v>Reputation gate</x:v>
      </x:c>
      <x:c r="B6" s="22" t="str">
        <x:v>Scale quality</x:v>
      </x:c>
      <x:c r="C6" s="22" t="str">
        <x:v>65/75/85/90</x:v>
      </x:c>
      <x:c r="D6" s="22" t="str">
        <x:v>Plots 2+</x:v>
      </x:c>
      <x:c r="E6" s="22" t="str">
        <x:v>N/A</x:v>
      </x:c>
      <x:c r="F6" s="22" t="str">
        <x:v>No direct Cash cost</x:v>
      </x:c>
      <x:c r="G6" s="22" t="str">
        <x:v>Supports healthy score indirectly</x:v>
      </x:c>
      <x:c r="H6" s="22" t="str">
        <x:v>Prevents weak empire buying scale</x:v>
      </x:c>
      <x:c r="I6" s="22" t="str">
        <x:v>Can frustrate specialists</x:v>
      </x:c>
      <x:c r="J6" s="22" t="str">
        <x:v>Transparent path to Rep</x:v>
      </x:c>
      <x:c r="K6" s="22" t="str">
        <x:v>Yes</x:v>
      </x:c>
      <x:c r="L6" s="22" t="str">
        <x:v>Rep at expansion attempt</x:v>
      </x:c>
      <x:c r="M6" s="22" t="str">
        <x:v>High lock failure</x:v>
      </x:c>
      <x:c r="N6" s="38" t="str"/>
    </x:row>
    <x:row r="7">
      <x:c r="A7" s="37" t="str">
        <x:v>Territory overhead</x:v>
      </x:c>
      <x:c r="B7" s="22" t="str">
        <x:v>Operational scale</x:v>
      </x:c>
      <x:c r="C7" s="22" t="str">
        <x:v>2%–18%</x:v>
      </x:c>
      <x:c r="D7" s="22" t="str">
        <x:v>2+ active Plots</x:v>
      </x:c>
      <x:c r="E7" s="22" t="str">
        <x:v>N/A</x:v>
      </x:c>
      <x:c r="F7" s="22" t="str">
        <x:v>Raises operating cost</x:v>
      </x:c>
      <x:c r="G7" s="22" t="str">
        <x:v>Can lower score if inefficient</x:v>
      </x:c>
      <x:c r="H7" s="22" t="str">
        <x:v>Expansion must be productive</x:v>
      </x:c>
      <x:c r="I7" s="22" t="str">
        <x:v>Can overpunish large players</x:v>
      </x:c>
      <x:c r="J7" s="22" t="str">
        <x:v>Cap and tune by stage</x:v>
      </x:c>
      <x:c r="K7" s="22" t="str">
        <x:v>Yes</x:v>
      </x:c>
      <x:c r="L7" s="22" t="str">
        <x:v>Profit margin by plot count</x:v>
      </x:c>
      <x:c r="M7" s="22" t="str">
        <x:v>Large territory margin collapse</x:v>
      </x:c>
      <x:c r="N7" s="38" t="str"/>
    </x:row>
    <x:row r="8">
      <x:c r="A8" s="37" t="str">
        <x:v>No passive land yield</x:v>
      </x:c>
      <x:c r="B8" s="22" t="str">
        <x:v>Ownership speculation</x:v>
      </x:c>
      <x:c r="C8" s="22" t="str">
        <x:v>0</x:v>
      </x:c>
      <x:c r="D8" s="22" t="str">
        <x:v>All</x:v>
      </x:c>
      <x:c r="E8" s="22" t="str">
        <x:v>Yes</x:v>
      </x:c>
      <x:c r="F8" s="22" t="str">
        <x:v>Empty land generates nothing</x:v>
      </x:c>
      <x:c r="G8" s="22" t="str">
        <x:v>0</x:v>
      </x:c>
      <x:c r="H8" s="22" t="str">
        <x:v>Separates ownership from performance</x:v>
      </x:c>
      <x:c r="I8" s="22" t="str">
        <x:v>Land may feel less valuable</x:v>
      </x:c>
      <x:c r="J8" s="22" t="str">
        <x:v>Value comes from capacity/customization</x:v>
      </x:c>
      <x:c r="K8" s="22" t="str">
        <x:v>Yes</x:v>
      </x:c>
      <x:c r="L8" s="22" t="str">
        <x:v>Empty Plot usage</x:v>
      </x:c>
      <x:c r="M8" s="22" t="str">
        <x:v>Idle hoarding</x:v>
      </x:c>
      <x:c r="N8" s="38" t="str"/>
    </x:row>
    <x:row r="9">
      <x:c r="A9" s="37" t="str">
        <x:v>Stage-normalized Performance</x:v>
      </x:c>
      <x:c r="B9" s="22" t="str">
        <x:v>Payout dominance</x:v>
      </x:c>
      <x:c r="C9" s="22" t="str">
        <x:v>Existing score model</x:v>
      </x:c>
      <x:c r="D9" s="22" t="str">
        <x:v>Weekly payout</x:v>
      </x:c>
      <x:c r="E9" s="22" t="str">
        <x:v>N/A</x:v>
      </x:c>
      <x:c r="F9" s="22" t="str">
        <x:v>None</x:v>
      </x:c>
      <x:c r="G9" s="22" t="str">
        <x:v>Small efficient players can outperform inefficient large ones</x:v>
      </x:c>
      <x:c r="H9" s="22" t="str">
        <x:v>Fair competition</x:v>
      </x:c>
      <x:c r="I9" s="22" t="str">
        <x:v>Needs league tuning</x:v>
      </x:c>
      <x:c r="J9" s="22" t="str">
        <x:v>Use stage/leagues</x:v>
      </x:c>
      <x:c r="K9" s="22" t="str">
        <x:v>Yes</x:v>
      </x:c>
      <x:c r="L9" s="22" t="str">
        <x:v>Score by stage/plot count</x:v>
      </x:c>
      <x:c r="M9" s="22" t="str">
        <x:v>Plot count predicts payout too strongly</x:v>
      </x:c>
      <x:c r="N9" s="38" t="str"/>
    </x:row>
    <x:row r="10">
      <x:c r="A10" s="37" t="str">
        <x:v>Cross-border building cap</x:v>
      </x:c>
      <x:c r="B10" s="22" t="str">
        <x:v>Seam optimization</x:v>
      </x:c>
      <x:c r="C10" s="22" t="str">
        <x:v>4 later phase</x:v>
      </x:c>
      <x:c r="D10" s="22" t="str">
        <x:v>Merged territories</x:v>
      </x:c>
      <x:c r="E10" s="22" t="str">
        <x:v>N/A</x:v>
      </x:c>
      <x:c r="F10" s="22" t="str">
        <x:v>Limits geometry exploitation</x:v>
      </x:c>
      <x:c r="G10" s="22" t="str">
        <x:v>Indirect</x:v>
      </x:c>
      <x:c r="H10" s="22" t="str">
        <x:v>Stops giant seam-buff cluster</x:v>
      </x:c>
      <x:c r="I10" s="22" t="str">
        <x:v>Adds complexity</x:v>
      </x:c>
      <x:c r="J10" s="22" t="str">
        <x:v>Clear UI</x:v>
      </x:c>
      <x:c r="K10" s="22" t="str">
        <x:v>Later</x:v>
      </x:c>
      <x:c r="L10" s="22" t="str">
        <x:v>Cross-border count</x:v>
      </x:c>
      <x:c r="M10" s="22" t="str">
        <x:v>Cap saturation</x:v>
      </x:c>
      <x:c r="N10" s="38" t="str"/>
    </x:row>
    <x:row r="11">
      <x:c r="A11" s="37" t="str">
        <x:v>Duplicate/district rules</x:v>
      </x:c>
      <x:c r="B11" s="22" t="str">
        <x:v>Land spam layouts</x:v>
      </x:c>
      <x:c r="C11" s="22" t="str">
        <x:v>Existing placement rules</x:v>
      </x:c>
      <x:c r="D11" s="22" t="str">
        <x:v>All active land</x:v>
      </x:c>
      <x:c r="E11" s="22" t="str">
        <x:v>N/A</x:v>
      </x:c>
      <x:c r="F11" s="22" t="str">
        <x:v>Diminishing returns</x:v>
      </x:c>
      <x:c r="G11" s="22" t="str">
        <x:v>Indirect</x:v>
      </x:c>
      <x:c r="H11" s="22" t="str">
        <x:v>More land should not mean endless same-building spam</x:v>
      </x:c>
      <x:c r="I11" s="22" t="str">
        <x:v>May limit specialization</x:v>
      </x:c>
      <x:c r="J11" s="22" t="str">
        <x:v>District alternatives</x:v>
      </x:c>
      <x:c r="K11" s="22" t="str">
        <x:v>Yes</x:v>
      </x:c>
      <x:c r="L11" s="22" t="str">
        <x:v>Family concentration</x:v>
      </x:c>
      <x:c r="M11" s="22" t="str">
        <x:v>One-family territory meta</x:v>
      </x:c>
      <x:c r="N11" s="38" t="str"/>
    </x:row>
    <x:row r="12">
      <x:c r="A12" s="39" t="str">
        <x:v>Marketplace price separation</x:v>
      </x:c>
      <x:c r="B12" s="40" t="str">
        <x:v>Pay-to-win pricing</x:v>
      </x:c>
      <x:c r="C12" s="40" t="str">
        <x:v>No stat premium</x:v>
      </x:c>
      <x:c r="D12" s="40" t="str">
        <x:v>All Plot sales</x:v>
      </x:c>
      <x:c r="E12" s="40" t="str">
        <x:v>Yes</x:v>
      </x:c>
      <x:c r="F12" s="40" t="str">
        <x:v>Market price does not affect stats</x:v>
      </x:c>
      <x:c r="G12" s="40" t="str">
        <x:v>0</x:v>
      </x:c>
      <x:c r="H12" s="40" t="str">
        <x:v>Expensive land cannot buy score</x:v>
      </x:c>
      <x:c r="I12" s="40" t="str">
        <x:v>Collectors may expect rarity</x:v>
      </x:c>
      <x:c r="J12" s="40" t="str">
        <x:v>Use cosmetic provenance only</x:v>
      </x:c>
      <x:c r="K12" s="40" t="str">
        <x:v>Yes</x:v>
      </x:c>
      <x:c r="L12" s="40" t="str">
        <x:v>Price vs performance correlation</x:v>
      </x:c>
      <x:c r="M12" s="40" t="str">
        <x:v>Correlation too high</x:v>
      </x:c>
      <x:c r="N12" s="41" t="str"/>
    </x:row>
  </x:sheetData>
  <x:mergeCells>
    <x:mergeCell ref="A1:N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Onchain Ownership &amp; ERC-6551 Architecture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Component</x:v>
      </x:c>
      <x:c r="B3" s="14" t="str">
        <x:v>Onchain?</x:v>
      </x:c>
      <x:c r="C3" s="14" t="str">
        <x:v>Owner / Authority</x:v>
      </x:c>
      <x:c r="D3" s="14" t="str">
        <x:v>Key Data</x:v>
      </x:c>
      <x:c r="E3" s="14" t="str">
        <x:v>Can Hold Assets?</x:v>
      </x:c>
      <x:c r="F3" s="14" t="str">
        <x:v>Transfer Behavior</x:v>
      </x:c>
      <x:c r="G3" s="14" t="str">
        <x:v>Gameplay Dependency</x:v>
      </x:c>
      <x:c r="H3" s="14" t="str">
        <x:v>Server Mirror?</x:v>
      </x:c>
      <x:c r="I3" s="14" t="str">
        <x:v>Upgradeability</x:v>
      </x:c>
      <x:c r="J3" s="14" t="str">
        <x:v>Security Priority</x:v>
      </x:c>
      <x:c r="K3" s="14" t="str">
        <x:v>MVP Recommendation</x:v>
      </x:c>
      <x:c r="L3" s="14" t="str">
        <x:v>Later Extension</x:v>
      </x:c>
      <x:c r="M3" s="14" t="str">
        <x:v>Failure Handling</x:v>
      </x:c>
      <x:c r="N3" s="14" t="str">
        <x:v>Notes</x:v>
      </x:c>
    </x:row>
    <x:row r="4">
      <x:c r="A4" s="34" t="str">
        <x:v>Plot NFT</x:v>
      </x:c>
      <x:c r="B4" s="35" t="str">
        <x:v>Yes</x:v>
      </x:c>
      <x:c r="C4" s="35" t="str">
        <x:v>Wallet owner</x:v>
      </x:c>
      <x:c r="D4" s="35" t="str">
        <x:v>tokenId, coordinate metadata / registry ref</x:v>
      </x:c>
      <x:c r="E4" s="35" t="str">
        <x:v>Via token-bound account</x:v>
      </x:c>
      <x:c r="F4" s="35" t="str">
        <x:v>Transfers ownership</x:v>
      </x:c>
      <x:c r="G4" s="35" t="str">
        <x:v>Required for ownership</x:v>
      </x:c>
      <x:c r="H4" s="35" t="str">
        <x:v>Yes</x:v>
      </x:c>
      <x:c r="I4" s="35" t="str">
        <x:v>Contract policy</x:v>
      </x:c>
      <x:c r="J4" s="35" t="str">
        <x:v>Critical</x:v>
      </x:c>
      <x:c r="K4" s="35" t="str">
        <x:v>ERC-721 or equivalent ownership token</x:v>
      </x:c>
      <x:c r="L4" s="35" t="str">
        <x:v>Secondary marketplace</x:v>
      </x:c>
      <x:c r="M4" s="35" t="str">
        <x:v>Pause activation on ownership mismatch</x:v>
      </x:c>
      <x:c r="N4" s="36" t="str"/>
    </x:row>
    <x:row r="5">
      <x:c r="A5" s="37" t="str">
        <x:v>Plot Token-Bound Account (ERC-6551)</x:v>
      </x:c>
      <x:c r="B5" s="22" t="str">
        <x:v>Yes</x:v>
      </x:c>
      <x:c r="C5" s="22" t="str">
        <x:v>Controlled by Plot NFT owner</x:v>
      </x:c>
      <x:c r="D5" s="22" t="str">
        <x:v>Account address derived from Plot</x:v>
      </x:c>
      <x:c r="E5" s="22" t="str">
        <x:v>Yes</x:v>
      </x:c>
      <x:c r="F5" s="22" t="str">
        <x:v>Control follows Plot owner</x:v>
      </x:c>
      <x:c r="G5" s="22" t="str">
        <x:v>Optional for MVP gameplay</x:v>
      </x:c>
      <x:c r="H5" s="22" t="str">
        <x:v>Yes</x:v>
      </x:c>
      <x:c r="I5" s="22" t="str">
        <x:v>Registry/implementation controlled</x:v>
      </x:c>
      <x:c r="J5" s="22" t="str">
        <x:v>Critical</x:v>
      </x:c>
      <x:c r="K5" s="22" t="str">
        <x:v>Use for asset container only if tested</x:v>
      </x:c>
      <x:c r="L5" s="22" t="str">
        <x:v>Hold cosmetic/approved Plot-linked assets</x:v>
      </x:c>
      <x:c r="M5" s="22" t="str">
        <x:v>Do not put core simulation state here</x:v>
      </x:c>
      <x:c r="N5" s="38" t="str"/>
    </x:row>
    <x:row r="6">
      <x:c r="A6" s="37" t="str">
        <x:v>Plot Coordinate Registry</x:v>
      </x:c>
      <x:c r="B6" s="22" t="str">
        <x:v>Yes or immutable metadata</x:v>
      </x:c>
      <x:c r="C6" s="22" t="str">
        <x:v>Protocol</x:v>
      </x:c>
      <x:c r="D6" s="22" t="str">
        <x:v>world_x, world_y, optional region</x:v>
      </x:c>
      <x:c r="E6" s="22" t="str">
        <x:v>No</x:v>
      </x:c>
      <x:c r="F6" s="22" t="str">
        <x:v>Coordinates remain with Plot</x:v>
      </x:c>
      <x:c r="G6" s="22" t="str">
        <x:v>Required for adjacency</x:v>
      </x:c>
      <x:c r="H6" s="22" t="str">
        <x:v>Yes</x:v>
      </x:c>
      <x:c r="I6" s="22" t="str">
        <x:v>Restricted</x:v>
      </x:c>
      <x:c r="J6" s="22" t="str">
        <x:v>Critical</x:v>
      </x:c>
      <x:c r="K6" s="22" t="str">
        <x:v>Immutable after mint</x:v>
      </x:c>
      <x:c r="L6" s="22" t="str">
        <x:v>Map/district indexing</x:v>
      </x:c>
      <x:c r="M6" s="22" t="str">
        <x:v>Reject merge if registry mismatch</x:v>
      </x:c>
      <x:c r="N6" s="38" t="str"/>
    </x:row>
    <x:row r="7">
      <x:c r="A7" s="37" t="str">
        <x:v>Merge/Territory Record</x:v>
      </x:c>
      <x:c r="B7" s="22" t="str">
        <x:v>Optional onchain / server canonical initially</x:v>
      </x:c>
      <x:c r="C7" s="22" t="str">
        <x:v>Game server + owner signatures as needed</x:v>
      </x:c>
      <x:c r="D7" s="22" t="str">
        <x:v>territory_id, member Plot IDs, status</x:v>
      </x:c>
      <x:c r="E7" s="22" t="str">
        <x:v>No</x:v>
      </x:c>
      <x:c r="F7" s="22" t="str">
        <x:v>Must detach before transfer</x:v>
      </x:c>
      <x:c r="G7" s="22" t="str">
        <x:v>Required for merged gameplay</x:v>
      </x:c>
      <x:c r="H7" s="22" t="str">
        <x:v>Yes</x:v>
      </x:c>
      <x:c r="I7" s="22" t="str">
        <x:v>Upgradeable server rules</x:v>
      </x:c>
      <x:c r="J7" s="22" t="str">
        <x:v>High</x:v>
      </x:c>
      <x:c r="K7" s="22" t="str">
        <x:v>Offchain canonical for MVP/Phase 2</x:v>
      </x:c>
      <x:c r="L7" s="22" t="str">
        <x:v>Onchain proof/reference later</x:v>
      </x:c>
      <x:c r="M7" s="22" t="str">
        <x:v>Rebuild from Plot ownership + merge log</x:v>
      </x:c>
      <x:c r="N7" s="38" t="str">
        <x:v>Avoid expensive per-move transactions</x:v>
      </x:c>
    </x:row>
    <x:row r="8">
      <x:c r="A8" s="37" t="str">
        <x:v>Building Card Asset</x:v>
      </x:c>
      <x:c r="B8" s="22" t="str">
        <x:v>Offchain MVP; tokenizable later</x:v>
      </x:c>
      <x:c r="C8" s="22" t="str">
        <x:v>Player</x:v>
      </x:c>
      <x:c r="D8" s="22" t="str">
        <x:v>building_id, level, specialization</x:v>
      </x:c>
      <x:c r="E8" s="22" t="str">
        <x:v>Optional later</x:v>
      </x:c>
      <x:c r="F8" s="22" t="str">
        <x:v>Does not follow land by default</x:v>
      </x:c>
      <x:c r="G8" s="22" t="str">
        <x:v>Required for simulation</x:v>
      </x:c>
      <x:c r="H8" s="22" t="str">
        <x:v>Yes</x:v>
      </x:c>
      <x:c r="I8" s="22" t="str">
        <x:v>Live-ops content</x:v>
      </x:c>
      <x:c r="J8" s="22" t="str">
        <x:v>High</x:v>
      </x:c>
      <x:c r="K8" s="22" t="str">
        <x:v>Server asset state</x:v>
      </x:c>
      <x:c r="L8" s="22" t="str">
        <x:v>NFT/1155 optional</x:v>
      </x:c>
      <x:c r="M8" s="22" t="str">
        <x:v>Inventory reconciliation</x:v>
      </x:c>
      <x:c r="N8" s="38" t="str"/>
    </x:row>
    <x:row r="9">
      <x:c r="A9" s="37" t="str">
        <x:v>Layout State</x:v>
      </x:c>
      <x:c r="B9" s="22" t="str">
        <x:v>No</x:v>
      </x:c>
      <x:c r="C9" s="22" t="str">
        <x:v>Player/server</x:v>
      </x:c>
      <x:c r="D9" s="22" t="str">
        <x:v>building positions/orientations</x:v>
      </x:c>
      <x:c r="E9" s="22" t="str">
        <x:v>No</x:v>
      </x:c>
      <x:c r="F9" s="22" t="str">
        <x:v>Owner-specific; archived on transfer</x:v>
      </x:c>
      <x:c r="G9" s="22" t="str">
        <x:v>Required</x:v>
      </x:c>
      <x:c r="H9" s="22" t="str">
        <x:v>Yes</x:v>
      </x:c>
      <x:c r="I9" s="22" t="str">
        <x:v>Fully configurable</x:v>
      </x:c>
      <x:c r="J9" s="22" t="str">
        <x:v>High</x:v>
      </x:c>
      <x:c r="K9" s="22" t="str">
        <x:v>Offchain only</x:v>
      </x:c>
      <x:c r="L9" s="22" t="str">
        <x:v>Signed layout hash optional</x:v>
      </x:c>
      <x:c r="M9" s="22" t="str">
        <x:v>Restore last valid snapshot</x:v>
      </x:c>
      <x:c r="N9" s="38" t="str"/>
    </x:row>
    <x:row r="10">
      <x:c r="A10" s="37" t="str">
        <x:v>Customer/Economy State</x:v>
      </x:c>
      <x:c r="B10" s="22" t="str">
        <x:v>No</x:v>
      </x:c>
      <x:c r="C10" s="22" t="str">
        <x:v>Server</x:v>
      </x:c>
      <x:c r="D10" s="22" t="str">
        <x:v>customers, revenue, activity, risk</x:v>
      </x:c>
      <x:c r="E10" s="22" t="str">
        <x:v>No</x:v>
      </x:c>
      <x:c r="F10" s="22" t="str">
        <x:v>Does not transfer with land</x:v>
      </x:c>
      <x:c r="G10" s="22" t="str">
        <x:v>Required</x:v>
      </x:c>
      <x:c r="H10" s="22" t="str">
        <x:v>Canonical</x:v>
      </x:c>
      <x:c r="I10" s="22" t="str">
        <x:v>Live balance</x:v>
      </x:c>
      <x:c r="J10" s="22" t="str">
        <x:v>Critical</x:v>
      </x:c>
      <x:c r="K10" s="22" t="str">
        <x:v>Offchain authoritative</x:v>
      </x:c>
      <x:c r="L10" s="22" t="str">
        <x:v>Analytics / season archive</x:v>
      </x:c>
      <x:c r="M10" s="22" t="str">
        <x:v>Recompute from ledger/checkpoint</x:v>
      </x:c>
      <x:c r="N10" s="38" t="str"/>
    </x:row>
    <x:row r="11">
      <x:c r="A11" s="37" t="str">
        <x:v>$PLOT Reward Claim</x:v>
      </x:c>
      <x:c r="B11" s="22" t="str">
        <x:v>Yes at claim</x:v>
      </x:c>
      <x:c r="C11" s="22" t="str">
        <x:v>Player</x:v>
      </x:c>
      <x:c r="D11" s="22" t="str">
        <x:v>claim amount, epoch proof</x:v>
      </x:c>
      <x:c r="E11" s="22" t="str">
        <x:v>Yes</x:v>
      </x:c>
      <x:c r="F11" s="22" t="str">
        <x:v>Player asset</x:v>
      </x:c>
      <x:c r="G11" s="22" t="str">
        <x:v>Settlement only</x:v>
      </x:c>
      <x:c r="H11" s="22" t="str">
        <x:v>Yes</x:v>
      </x:c>
      <x:c r="I11" s="22" t="str">
        <x:v>Claim contract policy</x:v>
      </x:c>
      <x:c r="J11" s="22" t="str">
        <x:v>Critical</x:v>
      </x:c>
      <x:c r="K11" s="22" t="str">
        <x:v>Separate from land NFT</x:v>
      </x:c>
      <x:c r="L11" s="22" t="str">
        <x:v>Merkle/attested weekly claims</x:v>
      </x:c>
      <x:c r="M11" s="22" t="str">
        <x:v>Invalidate duplicated claim</x:v>
      </x:c>
      <x:c r="N11" s="38" t="str">
        <x:v>Land never mints payout</x:v>
      </x:c>
    </x:row>
    <x:row r="12">
      <x:c r="A12" s="39" t="str">
        <x:v>Tokenized Stock Reward</x:v>
      </x:c>
      <x:c r="B12" s="40" t="str">
        <x:v>Provider/onchain depending integration</x:v>
      </x:c>
      <x:c r="C12" s="40" t="str">
        <x:v>Player/custodian</x:v>
      </x:c>
      <x:c r="D12" s="40" t="str">
        <x:v>ticker/unit claim</x:v>
      </x:c>
      <x:c r="E12" s="40" t="str">
        <x:v>Yes</x:v>
      </x:c>
      <x:c r="F12" s="40" t="str">
        <x:v>Player asset</x:v>
      </x:c>
      <x:c r="G12" s="40" t="str">
        <x:v>Market Hunt settlement</x:v>
      </x:c>
      <x:c r="H12" s="40" t="str">
        <x:v>Yes</x:v>
      </x:c>
      <x:c r="I12" s="40" t="str">
        <x:v>Provider dependent</x:v>
      </x:c>
      <x:c r="J12" s="40" t="str">
        <x:v>Critical</x:v>
      </x:c>
      <x:c r="K12" s="40" t="str">
        <x:v>Separate from Plot NFT/TBA</x:v>
      </x:c>
      <x:c r="L12" s="40" t="str">
        <x:v>Optional custody integration</x:v>
      </x:c>
      <x:c r="M12" s="40" t="str">
        <x:v>Inventory-backed claim only</x:v>
      </x:c>
      <x:c r="N12" s="41" t="str"/>
    </x:row>
    <x:row r="14" ht="22" customHeight="1">
      <x:c r="A14" s="31" t="str">
        <x:v>ERC-6551 Design Rule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88" t="str">
        <x:v>ERC-6551 should make each Plot capable of owning approved Plot-linked assets, but it should not make the token-bound account the source of truth for high-frequency simulation. Customers, layout moves, revenue, activity, risk and Performance Score remain server-authoritative; only durable ownership/settlement assets should move onchain.</x:v>
      </x:c>
      <x:c r="B15" s="88"/>
      <x:c r="C15" s="88"/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</x:row>
    <x:row r="16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</x:row>
  </x:sheetData>
  <x:mergeCells>
    <x:mergeCell ref="A1:N1"/>
    <x:mergeCell ref="A14:N14"/>
    <x:mergeCell ref="A15:N1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Onchain vs Offchain State Responsibility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22"/>
      <x:c r="O1" s="22"/>
      <x:c r="P1" s="22"/>
    </x:row>
    <x:row r="3">
      <x:c r="A3" s="14" t="str">
        <x:v>State / Action</x:v>
      </x:c>
      <x:c r="B3" s="14" t="str">
        <x:v>Onchain Source of Truth</x:v>
      </x:c>
      <x:c r="C3" s="14" t="str">
        <x:v>Game Server Source of Truth</x:v>
      </x:c>
      <x:c r="D3" s="14" t="str">
        <x:v>Write Frequency</x:v>
      </x:c>
      <x:c r="E3" s="14" t="str">
        <x:v>Needs Wallet Signature?</x:v>
      </x:c>
      <x:c r="F3" s="14" t="str">
        <x:v>Gas / Cost Sensitivity</x:v>
      </x:c>
      <x:c r="G3" s="14" t="str">
        <x:v>Can Be Replayed?</x:v>
      </x:c>
      <x:c r="H3" s="14" t="str">
        <x:v>Transfer Impact</x:v>
      </x:c>
      <x:c r="I3" s="14" t="str">
        <x:v>Merge Impact</x:v>
      </x:c>
      <x:c r="J3" s="14" t="str">
        <x:v>Security Model</x:v>
      </x:c>
      <x:c r="K3" s="14" t="str">
        <x:v>MVP?</x:v>
      </x:c>
      <x:c r="L3" s="14" t="str">
        <x:v>Reason</x:v>
      </x:c>
      <x:c r="M3" s="14" t="str">
        <x:v>Notes</x:v>
      </x:c>
    </x:row>
    <x:row r="4">
      <x:c r="A4" s="34" t="str">
        <x:v>Plot ownership</x:v>
      </x:c>
      <x:c r="B4" s="35" t="str">
        <x:v>Yes</x:v>
      </x:c>
      <x:c r="C4" s="35" t="str">
        <x:v>Mirror</x:v>
      </x:c>
      <x:c r="D4" s="35" t="str">
        <x:v>On transfer/mint</x:v>
      </x:c>
      <x:c r="E4" s="35" t="str">
        <x:v>Yes</x:v>
      </x:c>
      <x:c r="F4" s="35" t="str">
        <x:v>Medium</x:v>
      </x:c>
      <x:c r="G4" s="35" t="str">
        <x:v>Yes from chain</x:v>
      </x:c>
      <x:c r="H4" s="35" t="str">
        <x:v>Changes owner</x:v>
      </x:c>
      <x:c r="I4" s="35" t="str">
        <x:v>Must detach before transfer</x:v>
      </x:c>
      <x:c r="J4" s="35" t="str">
        <x:v>Chain ownership</x:v>
      </x:c>
      <x:c r="K4" s="35" t="str">
        <x:v>Yes</x:v>
      </x:c>
      <x:c r="L4" s="35" t="str">
        <x:v>Durable property right</x:v>
      </x:c>
      <x:c r="M4" s="36" t="str"/>
    </x:row>
    <x:row r="5">
      <x:c r="A5" s="37" t="str">
        <x:v>Plot coordinates</x:v>
      </x:c>
      <x:c r="B5" s="22" t="str">
        <x:v>Registry / metadata</x:v>
      </x:c>
      <x:c r="C5" s="22" t="str">
        <x:v>Mirror</x:v>
      </x:c>
      <x:c r="D5" s="22" t="str">
        <x:v>Mint only</x:v>
      </x:c>
      <x:c r="E5" s="22" t="str">
        <x:v>No after mint</x:v>
      </x:c>
      <x:c r="F5" s="22" t="str">
        <x:v>Low</x:v>
      </x:c>
      <x:c r="G5" s="22" t="str">
        <x:v>Yes</x:v>
      </x:c>
      <x:c r="H5" s="22" t="str">
        <x:v>Unchanged</x:v>
      </x:c>
      <x:c r="I5" s="22" t="str">
        <x:v>Used for adjacency</x:v>
      </x:c>
      <x:c r="J5" s="22" t="str">
        <x:v>Immutable registry</x:v>
      </x:c>
      <x:c r="K5" s="22" t="str">
        <x:v>Yes</x:v>
      </x:c>
      <x:c r="L5" s="22" t="str">
        <x:v>Geometry integrity</x:v>
      </x:c>
      <x:c r="M5" s="38" t="str"/>
    </x:row>
    <x:row r="6">
      <x:c r="A6" s="37" t="str">
        <x:v>Plot activation</x:v>
      </x:c>
      <x:c r="B6" s="22" t="str">
        <x:v>No</x:v>
      </x:c>
      <x:c r="C6" s="22" t="str">
        <x:v>Yes</x:v>
      </x:c>
      <x:c r="D6" s="22" t="str">
        <x:v>Rare</x:v>
      </x:c>
      <x:c r="E6" s="22" t="str">
        <x:v>Wallet auth/account session</x:v>
      </x:c>
      <x:c r="F6" s="22" t="str">
        <x:v>Low</x:v>
      </x:c>
      <x:c r="G6" s="22" t="str">
        <x:v>Yes from server log</x:v>
      </x:c>
      <x:c r="H6" s="22" t="str">
        <x:v>New owner must reactivate</x:v>
      </x:c>
      <x:c r="I6" s="22" t="str">
        <x:v>Needed for merge</x:v>
      </x:c>
      <x:c r="J6" s="22" t="str">
        <x:v>Server authorization</x:v>
      </x:c>
      <x:c r="K6" s="22" t="str">
        <x:v>Yes</x:v>
      </x:c>
      <x:c r="L6" s="22" t="str">
        <x:v>Game progression rule</x:v>
      </x:c>
      <x:c r="M6" s="38" t="str"/>
    </x:row>
    <x:row r="7">
      <x:c r="A7" s="37" t="str">
        <x:v>Merge membership</x:v>
      </x:c>
      <x:c r="B7" s="22" t="str">
        <x:v>Optional later</x:v>
      </x:c>
      <x:c r="C7" s="22" t="str">
        <x:v>Yes</x:v>
      </x:c>
      <x:c r="D7" s="22" t="str">
        <x:v>Rare</x:v>
      </x:c>
      <x:c r="E7" s="22" t="str">
        <x:v>Owner confirmation</x:v>
      </x:c>
      <x:c r="F7" s="22" t="str">
        <x:v>Medium if onchain</x:v>
      </x:c>
      <x:c r="G7" s="22" t="str">
        <x:v>Yes from merge log</x:v>
      </x:c>
      <x:c r="H7" s="22" t="str">
        <x:v>Detach required</x:v>
      </x:c>
      <x:c r="I7" s="22" t="str">
        <x:v>Defines territory</x:v>
      </x:c>
      <x:c r="J7" s="22" t="str">
        <x:v>Server + ownership verification</x:v>
      </x:c>
      <x:c r="K7" s="22" t="str">
        <x:v>Phase 2</x:v>
      </x:c>
      <x:c r="L7" s="22" t="str">
        <x:v>Avoid gas for iterative design</x:v>
      </x:c>
      <x:c r="M7" s="38" t="str"/>
    </x:row>
    <x:row r="8">
      <x:c r="A8" s="37" t="str">
        <x:v>Building placement</x:v>
      </x:c>
      <x:c r="B8" s="22" t="str">
        <x:v>No</x:v>
      </x:c>
      <x:c r="C8" s="22" t="str">
        <x:v>Yes</x:v>
      </x:c>
      <x:c r="D8" s="22" t="str">
        <x:v>Frequent</x:v>
      </x:c>
      <x:c r="E8" s="22" t="str">
        <x:v>No per move</x:v>
      </x:c>
      <x:c r="F8" s="22" t="str">
        <x:v>High if onchain</x:v>
      </x:c>
      <x:c r="G8" s="22" t="str">
        <x:v>Yes from layout versions</x:v>
      </x:c>
      <x:c r="H8" s="22" t="str">
        <x:v>Archived/reset</x:v>
      </x:c>
      <x:c r="I8" s="22" t="str">
        <x:v>Cross-border geometry</x:v>
      </x:c>
      <x:c r="J8" s="22" t="str">
        <x:v>Server authoritative</x:v>
      </x:c>
      <x:c r="K8" s="22" t="str">
        <x:v>Yes</x:v>
      </x:c>
      <x:c r="L8" s="22" t="str">
        <x:v>High-frequency action</x:v>
      </x:c>
      <x:c r="M8" s="38" t="str"/>
    </x:row>
    <x:row r="9">
      <x:c r="A9" s="37" t="str">
        <x:v>Building upgrade</x:v>
      </x:c>
      <x:c r="B9" s="22" t="str">
        <x:v>No / asset later</x:v>
      </x:c>
      <x:c r="C9" s="22" t="str">
        <x:v>Yes</x:v>
      </x:c>
      <x:c r="D9" s="22" t="str">
        <x:v>Frequent</x:v>
      </x:c>
      <x:c r="E9" s="22" t="str">
        <x:v>No per upgrade</x:v>
      </x:c>
      <x:c r="F9" s="22" t="str">
        <x:v>High if onchain</x:v>
      </x:c>
      <x:c r="G9" s="22" t="str">
        <x:v>Yes</x:v>
      </x:c>
      <x:c r="H9" s="22" t="str">
        <x:v>Building stays with player</x:v>
      </x:c>
      <x:c r="I9" s="22" t="str">
        <x:v>No special effect</x:v>
      </x:c>
      <x:c r="J9" s="22" t="str">
        <x:v>Server ledger</x:v>
      </x:c>
      <x:c r="K9" s="22" t="str">
        <x:v>Yes</x:v>
      </x:c>
      <x:c r="L9" s="22" t="str">
        <x:v>Balanceable game state</x:v>
      </x:c>
      <x:c r="M9" s="38" t="str"/>
    </x:row>
    <x:row r="10">
      <x:c r="A10" s="37" t="str">
        <x:v>Customers</x:v>
      </x:c>
      <x:c r="B10" s="22" t="str">
        <x:v>No</x:v>
      </x:c>
      <x:c r="C10" s="22" t="str">
        <x:v>Yes</x:v>
      </x:c>
      <x:c r="D10" s="22" t="str">
        <x:v>Continuous</x:v>
      </x:c>
      <x:c r="E10" s="22" t="str">
        <x:v>No</x:v>
      </x:c>
      <x:c r="F10" s="22" t="str">
        <x:v>Impossible onchain</x:v>
      </x:c>
      <x:c r="G10" s="22" t="str">
        <x:v>Checkpoint/ledger</x:v>
      </x:c>
      <x:c r="H10" s="22" t="str">
        <x:v>Do not transfer</x:v>
      </x:c>
      <x:c r="I10" s="22" t="str">
        <x:v>Territory-wide sim</x:v>
      </x:c>
      <x:c r="J10" s="22" t="str">
        <x:v>Server simulation</x:v>
      </x:c>
      <x:c r="K10" s="22" t="str">
        <x:v>Yes</x:v>
      </x:c>
      <x:c r="L10" s="22" t="str">
        <x:v>High-frequency simulation</x:v>
      </x:c>
      <x:c r="M10" s="38" t="str"/>
    </x:row>
    <x:row r="11">
      <x:c r="A11" s="37" t="str">
        <x:v>Cash</x:v>
      </x:c>
      <x:c r="B11" s="22" t="str">
        <x:v>No</x:v>
      </x:c>
      <x:c r="C11" s="22" t="str">
        <x:v>Yes</x:v>
      </x:c>
      <x:c r="D11" s="22" t="str">
        <x:v>Continuous</x:v>
      </x:c>
      <x:c r="E11" s="22" t="str">
        <x:v>No</x:v>
      </x:c>
      <x:c r="F11" s="22" t="str">
        <x:v>Impossible/undesirable</x:v>
      </x:c>
      <x:c r="G11" s="22" t="str">
        <x:v>Ledger</x:v>
      </x:c>
      <x:c r="H11" s="22" t="str">
        <x:v>Player keeps</x:v>
      </x:c>
      <x:c r="I11" s="22" t="str">
        <x:v>Territory operations</x:v>
      </x:c>
      <x:c r="J11" s="22" t="str">
        <x:v>Server ledger</x:v>
      </x:c>
      <x:c r="K11" s="22" t="str">
        <x:v>Yes</x:v>
      </x:c>
      <x:c r="L11" s="22" t="str">
        <x:v>In-game currency</x:v>
      </x:c>
      <x:c r="M11" s="38"/>
    </x:row>
    <x:row r="12">
      <x:c r="A12" s="37" t="str">
        <x:v>Performance Score</x:v>
      </x:c>
      <x:c r="B12" s="22" t="str">
        <x:v>No</x:v>
      </x:c>
      <x:c r="C12" s="22" t="str">
        <x:v>Yes</x:v>
      </x:c>
      <x:c r="D12" s="22" t="str">
        <x:v>Continuous/weekly</x:v>
      </x:c>
      <x:c r="E12" s="22" t="str">
        <x:v>No</x:v>
      </x:c>
      <x:c r="F12" s="22" t="str">
        <x:v>High</x:v>
      </x:c>
      <x:c r="G12" s="22" t="str">
        <x:v>Recomputable</x:v>
      </x:c>
      <x:c r="H12" s="22" t="str">
        <x:v>Player-level</x:v>
      </x:c>
      <x:c r="I12" s="22" t="str">
        <x:v>Aggregates active territory</x:v>
      </x:c>
      <x:c r="J12" s="22" t="str">
        <x:v>Server settlement</x:v>
      </x:c>
      <x:c r="K12" s="22" t="str">
        <x:v>Yes</x:v>
      </x:c>
      <x:c r="L12" s="22" t="str">
        <x:v>Needs anti-cheat and live balancing</x:v>
      </x:c>
      <x:c r="M12" s="38"/>
    </x:row>
    <x:row r="13">
      <x:c r="A13" s="37" t="str">
        <x:v>Weekly $PLOT claim</x:v>
      </x:c>
      <x:c r="B13" s="22" t="str">
        <x:v>Claim settlement yes</x:v>
      </x:c>
      <x:c r="C13" s="22" t="str">
        <x:v>Calculation yes</x:v>
      </x:c>
      <x:c r="D13" s="22" t="str">
        <x:v>Weekly</x:v>
      </x:c>
      <x:c r="E13" s="22" t="str">
        <x:v>Yes at claim</x:v>
      </x:c>
      <x:c r="F13" s="22" t="str">
        <x:v>Low frequency</x:v>
      </x:c>
      <x:c r="G13" s="22" t="str">
        <x:v>Yes</x:v>
      </x:c>
      <x:c r="H13" s="22" t="str">
        <x:v>Player-level</x:v>
      </x:c>
      <x:c r="I13" s="22" t="str">
        <x:v>Independent of land</x:v>
      </x:c>
      <x:c r="J13" s="22" t="str">
        <x:v>Attested/Merkle claim</x:v>
      </x:c>
      <x:c r="K13" s="22" t="str">
        <x:v>Yes</x:v>
      </x:c>
      <x:c r="L13" s="22" t="str">
        <x:v>Durable token transfer</x:v>
      </x:c>
      <x:c r="M13" s="38"/>
    </x:row>
    <x:row r="14">
      <x:c r="A14" s="39" t="str">
        <x:v>Stock reward claim</x:v>
      </x:c>
      <x:c r="B14" s="40" t="str">
        <x:v>Provider dependent</x:v>
      </x:c>
      <x:c r="C14" s="40" t="str">
        <x:v>Reward reservation yes</x:v>
      </x:c>
      <x:c r="D14" s="40" t="str">
        <x:v>Per reward/batch</x:v>
      </x:c>
      <x:c r="E14" s="40" t="str">
        <x:v>Maybe</x:v>
      </x:c>
      <x:c r="F14" s="40" t="str">
        <x:v>Medium</x:v>
      </x:c>
      <x:c r="G14" s="40" t="str">
        <x:v>Yes</x:v>
      </x:c>
      <x:c r="H14" s="40" t="str">
        <x:v>Player-level</x:v>
      </x:c>
      <x:c r="I14" s="40" t="str">
        <x:v>Independent of land</x:v>
      </x:c>
      <x:c r="J14" s="40" t="str">
        <x:v>Funded inventory</x:v>
      </x:c>
      <x:c r="K14" s="40" t="str">
        <x:v>Yes/later</x:v>
      </x:c>
      <x:c r="L14" s="40" t="str">
        <x:v>Durable external asset</x:v>
      </x:c>
      <x:c r="M14" s="41"/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Land-Related Cash Sinks, Fees &amp; Economic Controls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22"/>
      <x:c r="P1" s="22"/>
    </x:row>
    <x:row r="3">
      <x:c r="A3" s="14" t="str">
        <x:v>Sink / Fee</x:v>
      </x:c>
      <x:c r="B3" s="14" t="str">
        <x:v>Currency</x:v>
      </x:c>
      <x:c r="C3" s="14" t="str">
        <x:v>Trigger</x:v>
      </x:c>
      <x:c r="D3" s="14" t="str">
        <x:v>Default</x:v>
      </x:c>
      <x:c r="E3" s="14" t="str">
        <x:v>Frequency</x:v>
      </x:c>
      <x:c r="F3" s="14" t="str">
        <x:v>Scales With</x:v>
      </x:c>
      <x:c r="G3" s="14" t="str">
        <x:v>Refundable?</x:v>
      </x:c>
      <x:c r="H3" s="14" t="str">
        <x:v>Burn / Destination</x:v>
      </x:c>
      <x:c r="I3" s="14" t="str">
        <x:v>Performance Impact</x:v>
      </x:c>
      <x:c r="J3" s="14" t="str">
        <x:v>Can External Payment Replace It?</x:v>
      </x:c>
      <x:c r="K3" s="14" t="str">
        <x:v>Purpose</x:v>
      </x:c>
      <x:c r="L3" s="14" t="str">
        <x:v>Early Stage</x:v>
      </x:c>
      <x:c r="M3" s="14" t="str">
        <x:v>Late Stage</x:v>
      </x:c>
      <x:c r="N3" s="14" t="str">
        <x:v>Notes</x:v>
      </x:c>
    </x:row>
    <x:row r="4">
      <x:c r="A4" s="34" t="str">
        <x:v>Plot 2 activation permit</x:v>
      </x:c>
      <x:c r="B4" s="35" t="str">
        <x:v>Cash</x:v>
      </x:c>
      <x:c r="C4" s="35" t="str">
        <x:v>Activate second Plot</x:v>
      </x:c>
      <x:c r="D4" s="56" t="n">
        <x:v>100000</x:v>
      </x:c>
      <x:c r="E4" s="35" t="str">
        <x:v>One-time</x:v>
      </x:c>
      <x:c r="F4" s="35" t="str">
        <x:v>Plot number</x:v>
      </x:c>
      <x:c r="G4" s="35" t="str">
        <x:v>No</x:v>
      </x:c>
      <x:c r="H4" s="35" t="str">
        <x:v>Game sink</x:v>
      </x:c>
      <x:c r="I4" s="35" t="str">
        <x:v>None directly</x:v>
      </x:c>
      <x:c r="J4" s="35" t="str">
        <x:v>No</x:v>
      </x:c>
      <x:c r="K4" s="35" t="str">
        <x:v>Expansion pacing</x:v>
      </x:c>
      <x:c r="L4" s="35" t="str">
        <x:v>Meaningful</x:v>
      </x:c>
      <x:c r="M4" s="35" t="str">
        <x:v>Small</x:v>
      </x:c>
      <x:c r="N4" s="36" t="str"/>
    </x:row>
    <x:row r="5">
      <x:c r="A5" s="37" t="str">
        <x:v>Plots 3–4 activation permit</x:v>
      </x:c>
      <x:c r="B5" s="22" t="str">
        <x:v>Cash</x:v>
      </x:c>
      <x:c r="C5" s="22" t="str">
        <x:v>Activate each additional Plot</x:v>
      </x:c>
      <x:c r="D5" s="57" t="n">
        <x:v>250000</x:v>
      </x:c>
      <x:c r="E5" s="22" t="str">
        <x:v>One-time</x:v>
      </x:c>
      <x:c r="F5" s="22" t="str">
        <x:v>Plot number</x:v>
      </x:c>
      <x:c r="G5" s="22" t="str">
        <x:v>No</x:v>
      </x:c>
      <x:c r="H5" s="22" t="str">
        <x:v>Game sink</x:v>
      </x:c>
      <x:c r="I5" s="22" t="str">
        <x:v>None directly</x:v>
      </x:c>
      <x:c r="J5" s="22" t="str">
        <x:v>No</x:v>
      </x:c>
      <x:c r="K5" s="22" t="str">
        <x:v>Expansion pacing</x:v>
      </x:c>
      <x:c r="L5" s="22" t="str">
        <x:v>N/A</x:v>
      </x:c>
      <x:c r="M5" s="22" t="str">
        <x:v>Meaningful</x:v>
      </x:c>
      <x:c r="N5" s="38" t="str"/>
    </x:row>
    <x:row r="6">
      <x:c r="A6" s="37" t="str">
        <x:v>Plots 5–9 activation permit</x:v>
      </x:c>
      <x:c r="B6" s="22" t="str">
        <x:v>Cash</x:v>
      </x:c>
      <x:c r="C6" s="22" t="str">
        <x:v>Activate each additional Plot</x:v>
      </x:c>
      <x:c r="D6" s="57" t="n">
        <x:v>600000</x:v>
      </x:c>
      <x:c r="E6" s="22" t="str">
        <x:v>One-time</x:v>
      </x:c>
      <x:c r="F6" s="22" t="str">
        <x:v>Plot number</x:v>
      </x:c>
      <x:c r="G6" s="22" t="str">
        <x:v>No</x:v>
      </x:c>
      <x:c r="H6" s="22" t="str">
        <x:v>Game sink</x:v>
      </x:c>
      <x:c r="I6" s="22" t="str">
        <x:v>None directly</x:v>
      </x:c>
      <x:c r="J6" s="22" t="str">
        <x:v>No</x:v>
      </x:c>
      <x:c r="K6" s="22" t="str">
        <x:v>Elite Cash sink</x:v>
      </x:c>
      <x:c r="L6" s="22" t="str">
        <x:v>N/A</x:v>
      </x:c>
      <x:c r="M6" s="22" t="str">
        <x:v>High</x:v>
      </x:c>
      <x:c r="N6" s="38" t="str"/>
    </x:row>
    <x:row r="7">
      <x:c r="A7" s="37" t="str">
        <x:v>Plots 10–16 activation permit</x:v>
      </x:c>
      <x:c r="B7" s="22" t="str">
        <x:v>Cash</x:v>
      </x:c>
      <x:c r="C7" s="22" t="str">
        <x:v>Activate each additional Plot</x:v>
      </x:c>
      <x:c r="D7" s="57" t="n">
        <x:v>1200000</x:v>
      </x:c>
      <x:c r="E7" s="22" t="str">
        <x:v>One-time</x:v>
      </x:c>
      <x:c r="F7" s="22" t="str">
        <x:v>Plot number</x:v>
      </x:c>
      <x:c r="G7" s="22" t="str">
        <x:v>No</x:v>
      </x:c>
      <x:c r="H7" s="22" t="str">
        <x:v>Game sink</x:v>
      </x:c>
      <x:c r="I7" s="22" t="str">
        <x:v>None directly</x:v>
      </x:c>
      <x:c r="J7" s="22" t="str">
        <x:v>No</x:v>
      </x:c>
      <x:c r="K7" s="22" t="str">
        <x:v>Tycoon Cash sink</x:v>
      </x:c>
      <x:c r="L7" s="22" t="str">
        <x:v>N/A</x:v>
      </x:c>
      <x:c r="M7" s="22" t="str">
        <x:v>Very high</x:v>
      </x:c>
      <x:c r="N7" s="38" t="str"/>
    </x:row>
    <x:row r="8">
      <x:c r="A8" s="37" t="str">
        <x:v>Merge fee</x:v>
      </x:c>
      <x:c r="B8" s="22" t="str">
        <x:v>Cash</x:v>
      </x:c>
      <x:c r="C8" s="22" t="str">
        <x:v>Merge territory</x:v>
      </x:c>
      <x:c r="D8" s="57" t="n">
        <x:v>25000</x:v>
      </x:c>
      <x:c r="E8" s="22" t="str">
        <x:v>Per internal seam</x:v>
      </x:c>
      <x:c r="F8" s="22" t="str">
        <x:v>Seam count</x:v>
      </x:c>
      <x:c r="G8" s="22" t="str">
        <x:v>If system validation fails</x:v>
      </x:c>
      <x:c r="H8" s="22" t="str">
        <x:v>Game sink</x:v>
      </x:c>
      <x:c r="I8" s="22" t="str">
        <x:v>None directly</x:v>
      </x:c>
      <x:c r="J8" s="22" t="str">
        <x:v>No</x:v>
      </x:c>
      <x:c r="K8" s="22" t="str">
        <x:v>Shape-change sink</x:v>
      </x:c>
      <x:c r="L8" s="22" t="str">
        <x:v>Low</x:v>
      </x:c>
      <x:c r="M8" s="22" t="str">
        <x:v>Medium</x:v>
      </x:c>
      <x:c r="N8" s="38" t="str"/>
    </x:row>
    <x:row r="9">
      <x:c r="A9" s="37" t="str">
        <x:v>Unmerge fee</x:v>
      </x:c>
      <x:c r="B9" s="22" t="str">
        <x:v>Cash</x:v>
      </x:c>
      <x:c r="C9" s="22" t="str">
        <x:v>Detach territory</x:v>
      </x:c>
      <x:c r="D9" s="57" t="n">
        <x:v>10000</x:v>
      </x:c>
      <x:c r="E9" s="22" t="str">
        <x:v>Per removed seam</x:v>
      </x:c>
      <x:c r="F9" s="22" t="str">
        <x:v>Seam count</x:v>
      </x:c>
      <x:c r="G9" s="22" t="str">
        <x:v>No after processing</x:v>
      </x:c>
      <x:c r="H9" s="22" t="str">
        <x:v>Game sink</x:v>
      </x:c>
      <x:c r="I9" s="22" t="str">
        <x:v>None directly</x:v>
      </x:c>
      <x:c r="J9" s="22" t="str">
        <x:v>No</x:v>
      </x:c>
      <x:c r="K9" s="22" t="str">
        <x:v>Prevents constant reshaping</x:v>
      </x:c>
      <x:c r="L9" s="22" t="str">
        <x:v>Low</x:v>
      </x:c>
      <x:c r="M9" s="22" t="str">
        <x:v>Low/medium</x:v>
      </x:c>
      <x:c r="N9" s="38" t="str"/>
    </x:row>
    <x:row r="10">
      <x:c r="A10" s="37" t="str">
        <x:v>Territory overhead</x:v>
      </x:c>
      <x:c r="B10" s="22" t="str">
        <x:v>Cash</x:v>
      </x:c>
      <x:c r="C10" s="22" t="str">
        <x:v>Operate &gt;1 active Plot</x:v>
      </x:c>
      <x:c r="D10" s="22" t="str">
        <x:v>2%–18%</x:v>
      </x:c>
      <x:c r="E10" s="22" t="str">
        <x:v>Weekly / economic tick</x:v>
      </x:c>
      <x:c r="F10" s="22" t="str">
        <x:v>Active Plot band</x:v>
      </x:c>
      <x:c r="G10" s="22" t="str">
        <x:v>No</x:v>
      </x:c>
      <x:c r="H10" s="22" t="str">
        <x:v>Operating sink</x:v>
      </x:c>
      <x:c r="I10" s="22" t="str">
        <x:v>Indirect through net revenue</x:v>
      </x:c>
      <x:c r="J10" s="22" t="str">
        <x:v>No</x:v>
      </x:c>
      <x:c r="K10" s="22" t="str">
        <x:v>Counterbalances scale</x:v>
      </x:c>
      <x:c r="L10" s="22" t="str">
        <x:v>None</x:v>
      </x:c>
      <x:c r="M10" s="22" t="str">
        <x:v>High</x:v>
      </x:c>
      <x:c r="N10" s="38" t="str"/>
    </x:row>
    <x:row r="11">
      <x:c r="A11" s="37" t="str">
        <x:v>Marketplace fee</x:v>
      </x:c>
      <x:c r="B11" s="22" t="str">
        <x:v>External/onchain sale value</x:v>
      </x:c>
      <x:c r="C11" s="22" t="str">
        <x:v>Secondary Plot sale</x:v>
      </x:c>
      <x:c r="D11" s="63" t="n">
        <x:v>0.025</x:v>
      </x:c>
      <x:c r="E11" s="22" t="str">
        <x:v>Per sale</x:v>
      </x:c>
      <x:c r="F11" s="22" t="str">
        <x:v>Sale price</x:v>
      </x:c>
      <x:c r="G11" s="22" t="str">
        <x:v>No</x:v>
      </x:c>
      <x:c r="H11" s="22" t="str">
        <x:v>Protocol/marketplace as configured</x:v>
      </x:c>
      <x:c r="I11" s="22" t="str">
        <x:v>None</x:v>
      </x:c>
      <x:c r="J11" s="22" t="str">
        <x:v>N/A</x:v>
      </x:c>
      <x:c r="K11" s="22" t="str">
        <x:v>Marketplace economics</x:v>
      </x:c>
      <x:c r="L11" s="22" t="str">
        <x:v>N/A</x:v>
      </x:c>
      <x:c r="M11" s="22" t="str">
        <x:v>Variable</x:v>
      </x:c>
      <x:c r="N11" s="38" t="str">
        <x:v>Does not alter Plot stats</x:v>
      </x:c>
    </x:row>
    <x:row r="12">
      <x:c r="A12" s="39" t="str">
        <x:v>Cross-border relocation resolution</x:v>
      </x:c>
      <x:c r="B12" s="40" t="str">
        <x:v>Cash</x:v>
      </x:c>
      <x:c r="C12" s="40" t="str">
        <x:v>Forced move outside grace window</x:v>
      </x:c>
      <x:c r="D12" s="40" t="str">
        <x:v>Standard relocation cost</x:v>
      </x:c>
      <x:c r="E12" s="40" t="str">
        <x:v>Per event</x:v>
      </x:c>
      <x:c r="F12" s="40" t="str">
        <x:v>Building value</x:v>
      </x:c>
      <x:c r="G12" s="40" t="str">
        <x:v>No</x:v>
      </x:c>
      <x:c r="H12" s="40" t="str">
        <x:v>Game sink</x:v>
      </x:c>
      <x:c r="I12" s="40" t="str">
        <x:v>Indirect</x:v>
      </x:c>
      <x:c r="J12" s="40" t="str">
        <x:v>No</x:v>
      </x:c>
      <x:c r="K12" s="40" t="str">
        <x:v>Ownership safety</x:v>
      </x:c>
      <x:c r="L12" s="40" t="str">
        <x:v>N/A</x:v>
      </x:c>
      <x:c r="M12" s="40" t="str">
        <x:v>Low</x:v>
      </x:c>
      <x:c r="N12" s="41" t="str">
        <x:v>Waived during grace window recommended</x:v>
      </x:c>
    </x:row>
  </x:sheetData>
  <x:mergeCells>
    <x:mergeCell ref="A1:N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</x:cols>
  <x:sheetData>
    <x:row r="1" ht="28" customHeight="1">
      <x:c r="A1" s="112" t="str">
        <x:v>Territory Growth Scenarios &amp; Space Utilization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</x:row>
    <x:row r="3">
      <x:c r="A3" s="14" t="str">
        <x:v>Scenario</x:v>
      </x:c>
      <x:c r="B3" s="14" t="str">
        <x:v>Active Plots</x:v>
      </x:c>
      <x:c r="C3" s="14" t="str">
        <x:v>Shape</x:v>
      </x:c>
      <x:c r="D3" s="14" t="str">
        <x:v>Tiles</x:v>
      </x:c>
      <x:c r="E3" s="14" t="str">
        <x:v>Buildings</x:v>
      </x:c>
      <x:c r="F3" s="14" t="str">
        <x:v>Building Tiles Used</x:v>
      </x:c>
      <x:c r="G3" s="14" t="str">
        <x:v>Occupancy</x:v>
      </x:c>
      <x:c r="H3" s="14" t="str">
        <x:v>Free Tiles</x:v>
      </x:c>
      <x:c r="I3" s="14" t="str">
        <x:v>Weekly Revenue</x:v>
      </x:c>
      <x:c r="J3" s="14" t="str">
        <x:v>Base Op Cost</x:v>
      </x:c>
      <x:c r="K3" s="14" t="str">
        <x:v>Territory Overhead</x:v>
      </x:c>
      <x:c r="L3" s="14" t="str">
        <x:v>Overhead Cost</x:v>
      </x:c>
      <x:c r="M3" s="14" t="str">
        <x:v>Net Before Other Sinks</x:v>
      </x:c>
      <x:c r="N3" s="14" t="str">
        <x:v>Performance Score Assumption</x:v>
      </x:c>
      <x:c r="O3" s="14" t="str">
        <x:v>Land-Only Score</x:v>
      </x:c>
      <x:c r="P3" s="14" t="str">
        <x:v>Interpretation</x:v>
      </x:c>
    </x:row>
    <x:row r="4">
      <x:c r="A4" s="34" t="str">
        <x:v>Efficient solo operator</x:v>
      </x:c>
      <x:c r="B4" s="50" t="n">
        <x:v>1</x:v>
      </x:c>
      <x:c r="C4" s="35" t="str">
        <x:v>1×1</x:v>
      </x:c>
      <x:c r="D4" s="50" t="n">
        <x:v>144</x:v>
      </x:c>
      <x:c r="E4" s="50" t="n">
        <x:v>12</x:v>
      </x:c>
      <x:c r="F4" s="50" t="n">
        <x:v>72</x:v>
      </x:c>
      <x:c r="G4" s="62" t="n">
        <x:f>F4/D4</x:f>
        <x:v>0.5</x:v>
      </x:c>
      <x:c r="H4" s="50" t="n">
        <x:f>D4-F4</x:f>
        <x:v>72</x:v>
      </x:c>
      <x:c r="I4" s="56" t="n">
        <x:v>450000</x:v>
      </x:c>
      <x:c r="J4" s="56" t="n">
        <x:v>180000</x:v>
      </x:c>
      <x:c r="K4" s="62" t="n">
        <x:v>0</x:v>
      </x:c>
      <x:c r="L4" s="56" t="n">
        <x:f>J4*K4</x:f>
        <x:v>0</x:v>
      </x:c>
      <x:c r="M4" s="56" t="n">
        <x:f>I4-J4-L4</x:f>
        <x:v>270000</x:v>
      </x:c>
      <x:c r="N4" s="50" t="n">
        <x:v>72</x:v>
      </x:c>
      <x:c r="O4" s="50" t="n">
        <x:v>0</x:v>
      </x:c>
      <x:c r="P4" s="36" t="str">
        <x:v>One strong Plot can remain highly competitive</x:v>
      </x:c>
    </x:row>
    <x:row r="5">
      <x:c r="A5" s="37" t="str">
        <x:v>Growing two-Plot specialist</x:v>
      </x:c>
      <x:c r="B5" s="51" t="n">
        <x:v>2</x:v>
      </x:c>
      <x:c r="C5" s="22" t="str">
        <x:v>1×2</x:v>
      </x:c>
      <x:c r="D5" s="51" t="n">
        <x:v>288</x:v>
      </x:c>
      <x:c r="E5" s="51" t="n">
        <x:v>18</x:v>
      </x:c>
      <x:c r="F5" s="51" t="n">
        <x:v>150</x:v>
      </x:c>
      <x:c r="G5" s="63" t="n">
        <x:f>F5/D5</x:f>
        <x:v>0.5208333333333334</x:v>
      </x:c>
      <x:c r="H5" s="51" t="n">
        <x:f>D5-F5</x:f>
        <x:v>138</x:v>
      </x:c>
      <x:c r="I5" s="57" t="n">
        <x:v>850000</x:v>
      </x:c>
      <x:c r="J5" s="57" t="n">
        <x:v>360000</x:v>
      </x:c>
      <x:c r="K5" s="63" t="n">
        <x:v>0.02</x:v>
      </x:c>
      <x:c r="L5" s="57" t="n">
        <x:f>J5*K5</x:f>
        <x:v>7200</x:v>
      </x:c>
      <x:c r="M5" s="57" t="n">
        <x:f>I5-J5-L5</x:f>
        <x:v>482800</x:v>
      </x:c>
      <x:c r="N5" s="51" t="n">
        <x:v>75</x:v>
      </x:c>
      <x:c r="O5" s="51" t="n">
        <x:v>0</x:v>
      </x:c>
      <x:c r="P5" s="38" t="str">
        <x:v>Extra land supports second specialization</x:v>
      </x:c>
    </x:row>
    <x:row r="6">
      <x:c r="A6" s="37" t="str">
        <x:v>Established district</x:v>
      </x:c>
      <x:c r="B6" s="51" t="n">
        <x:v>4</x:v>
      </x:c>
      <x:c r="C6" s="22" t="str">
        <x:v>2×2</x:v>
      </x:c>
      <x:c r="D6" s="51" t="n">
        <x:v>576</x:v>
      </x:c>
      <x:c r="E6" s="51" t="n">
        <x:v>28</x:v>
      </x:c>
      <x:c r="F6" s="51" t="n">
        <x:v>330</x:v>
      </x:c>
      <x:c r="G6" s="63" t="n">
        <x:f>F6/D6</x:f>
        <x:v>0.5729166666666666</x:v>
      </x:c>
      <x:c r="H6" s="51" t="n">
        <x:f>D6-F6</x:f>
        <x:v>246</x:v>
      </x:c>
      <x:c r="I6" s="57" t="n">
        <x:v>2200000</x:v>
      </x:c>
      <x:c r="J6" s="57" t="n">
        <x:v>950000</x:v>
      </x:c>
      <x:c r="K6" s="63" t="n">
        <x:v>0.05</x:v>
      </x:c>
      <x:c r="L6" s="57" t="n">
        <x:f>J6*K6</x:f>
        <x:v>47500</x:v>
      </x:c>
      <x:c r="M6" s="57" t="n">
        <x:f>I6-J6-L6</x:f>
        <x:v>1202500</x:v>
      </x:c>
      <x:c r="N6" s="51" t="n">
        <x:v>78</x:v>
      </x:c>
      <x:c r="O6" s="51" t="n">
        <x:v>0</x:v>
      </x:c>
      <x:c r="P6" s="38" t="str">
        <x:v>Institutional growth must justify overhead</x:v>
      </x:c>
    </x:row>
    <x:row r="7">
      <x:c r="A7" s="37" t="str">
        <x:v>Elite diversified territory</x:v>
      </x:c>
      <x:c r="B7" s="51" t="n">
        <x:v>9</x:v>
      </x:c>
      <x:c r="C7" s="22" t="str">
        <x:v>3×3</x:v>
      </x:c>
      <x:c r="D7" s="51" t="n">
        <x:v>1296</x:v>
      </x:c>
      <x:c r="E7" s="51" t="n">
        <x:v>46</x:v>
      </x:c>
      <x:c r="F7" s="51" t="n">
        <x:v>760</x:v>
      </x:c>
      <x:c r="G7" s="63" t="n">
        <x:f>F7/D7</x:f>
        <x:v>0.5864197530864198</x:v>
      </x:c>
      <x:c r="H7" s="51" t="n">
        <x:f>D7-F7</x:f>
        <x:v>536</x:v>
      </x:c>
      <x:c r="I7" s="57" t="n">
        <x:v>6500000</x:v>
      </x:c>
      <x:c r="J7" s="57" t="n">
        <x:v>3000000</x:v>
      </x:c>
      <x:c r="K7" s="63" t="n">
        <x:v>0.12</x:v>
      </x:c>
      <x:c r="L7" s="57" t="n">
        <x:f>J7*K7</x:f>
        <x:v>360000</x:v>
      </x:c>
      <x:c r="M7" s="57" t="n">
        <x:f>I7-J7-L7</x:f>
        <x:v>3140000</x:v>
      </x:c>
      <x:c r="N7" s="51" t="n">
        <x:v>82</x:v>
      </x:c>
      <x:c r="O7" s="51" t="n">
        <x:v>0</x:v>
      </x:c>
      <x:c r="P7" s="38" t="str">
        <x:v>Large territory can perform well if customer/activity quality stays high</x:v>
      </x:c>
    </x:row>
    <x:row r="8">
      <x:c r="A8" s="37" t="str">
        <x:v>Tycoon inefficient hoarder</x:v>
      </x:c>
      <x:c r="B8" s="51" t="n">
        <x:v>16</x:v>
      </x:c>
      <x:c r="C8" s="22" t="str">
        <x:v>4×4</x:v>
      </x:c>
      <x:c r="D8" s="51" t="n">
        <x:v>2304</x:v>
      </x:c>
      <x:c r="E8" s="51" t="n">
        <x:v>30</x:v>
      </x:c>
      <x:c r="F8" s="51" t="n">
        <x:v>600</x:v>
      </x:c>
      <x:c r="G8" s="63" t="n">
        <x:f>F8/D8</x:f>
        <x:v>0.2604166666666667</x:v>
      </x:c>
      <x:c r="H8" s="51" t="n">
        <x:f>D8-F8</x:f>
        <x:v>1704</x:v>
      </x:c>
      <x:c r="I8" s="57" t="n">
        <x:v>4000000</x:v>
      </x:c>
      <x:c r="J8" s="57" t="n">
        <x:v>3000000</x:v>
      </x:c>
      <x:c r="K8" s="63" t="n">
        <x:v>0.18</x:v>
      </x:c>
      <x:c r="L8" s="57" t="n">
        <x:f>J8*K8</x:f>
        <x:v>540000</x:v>
      </x:c>
      <x:c r="M8" s="57" t="n">
        <x:f>I8-J8-L8</x:f>
        <x:v>460000</x:v>
      </x:c>
      <x:c r="N8" s="51" t="n">
        <x:v>55</x:v>
      </x:c>
      <x:c r="O8" s="51" t="n">
        <x:v>0</x:v>
      </x:c>
      <x:c r="P8" s="38" t="str">
        <x:v>Owning land without productive deployment performs poorly</x:v>
      </x:c>
    </x:row>
    <x:row r="9">
      <x:c r="A9" s="39" t="str">
        <x:v>Tycoon optimized operator</x:v>
      </x:c>
      <x:c r="B9" s="52" t="n">
        <x:v>16</x:v>
      </x:c>
      <x:c r="C9" s="40" t="str">
        <x:v>4×4</x:v>
      </x:c>
      <x:c r="D9" s="52" t="n">
        <x:v>2304</x:v>
      </x:c>
      <x:c r="E9" s="52" t="n">
        <x:v>70</x:v>
      </x:c>
      <x:c r="F9" s="52" t="n">
        <x:v>1550</x:v>
      </x:c>
      <x:c r="G9" s="64" t="n">
        <x:f>F9/D9</x:f>
        <x:v>0.6727430555555556</x:v>
      </x:c>
      <x:c r="H9" s="52" t="n">
        <x:f>D9-F9</x:f>
        <x:v>754</x:v>
      </x:c>
      <x:c r="I9" s="58" t="n">
        <x:v>15000000</x:v>
      </x:c>
      <x:c r="J9" s="58" t="n">
        <x:v>6500000</x:v>
      </x:c>
      <x:c r="K9" s="64" t="n">
        <x:v>0.18</x:v>
      </x:c>
      <x:c r="L9" s="58" t="n">
        <x:f>J9*K9</x:f>
        <x:v>1170000</x:v>
      </x:c>
      <x:c r="M9" s="58" t="n">
        <x:f>I9-J9-L9</x:f>
        <x:v>7330000</x:v>
      </x:c>
      <x:c r="N9" s="52" t="n">
        <x:v>88</x:v>
      </x:c>
      <x:c r="O9" s="52" t="n">
        <x:v>0</x:v>
      </x:c>
      <x:c r="P9" s="41" t="str">
        <x:v>Scale helps only when paired with customers, capacity and risk control</x:v>
      </x:c>
    </x:row>
  </x:sheetData>
  <x:mergeCells>
    <x:mergeCell ref="A1:P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Land &amp; Territory Live-Ops Controls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22"/>
      <x:c r="N1" s="22"/>
      <x:c r="O1" s="22"/>
      <x:c r="P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Owner</x:v>
      </x:c>
      <x:c r="I3" s="14" t="str">
        <x:v>Alert Threshold</x:v>
      </x:c>
      <x:c r="J3" s="14" t="str">
        <x:v>Player Impact</x:v>
      </x:c>
      <x:c r="K3" s="14" t="str">
        <x:v>Competitive Risk</x:v>
      </x:c>
      <x:c r="L3" s="14" t="str">
        <x:v>Notes</x:v>
      </x:c>
    </x:row>
    <x:row r="4">
      <x:c r="A4" s="34" t="str">
        <x:v>Plot 2 permit</x:v>
      </x:c>
      <x:c r="B4" s="35" t="n">
        <x:v>100000</x:v>
      </x:c>
      <x:c r="C4" s="35" t="str">
        <x:v>Monthly</x:v>
      </x:c>
      <x:c r="D4" s="35" t="str">
        <x:v>Days to second active Plot</x:v>
      </x:c>
      <x:c r="E4" s="35" t="str">
        <x:v>Players expand too fast</x:v>
      </x:c>
      <x:c r="F4" s="35" t="str">
        <x:v>Expansion feels unreachable</x:v>
      </x:c>
      <x:c r="G4" s="35" t="str">
        <x:v>+/-20%</x:v>
      </x:c>
      <x:c r="H4" s="35" t="str">
        <x:v>Economy</x:v>
      </x:c>
      <x:c r="I4" s="35" t="str">
        <x:v>Median &lt;3d or &gt;14d</x:v>
      </x:c>
      <x:c r="J4" s="35" t="str">
        <x:v>Medium</x:v>
      </x:c>
      <x:c r="K4" s="35" t="str">
        <x:v>Medium</x:v>
      </x:c>
      <x:c r="L4" s="36" t="str"/>
    </x:row>
    <x:row r="5">
      <x:c r="A5" s="37" t="str">
        <x:v>Plots 3–4 permit</x:v>
      </x:c>
      <x:c r="B5" s="22" t="n">
        <x:v>250000</x:v>
      </x:c>
      <x:c r="C5" s="22" t="str">
        <x:v>Monthly</x:v>
      </x:c>
      <x:c r="D5" s="22" t="str">
        <x:v>Days to 4 active Plots</x:v>
      </x:c>
      <x:c r="E5" s="22" t="str">
        <x:v>Districts unlock too fast</x:v>
      </x:c>
      <x:c r="F5" s="22" t="str">
        <x:v>Established players stall</x:v>
      </x:c>
      <x:c r="G5" s="22" t="str">
        <x:v>+/-20%</x:v>
      </x:c>
      <x:c r="H5" s="22" t="str">
        <x:v>Economy</x:v>
      </x:c>
      <x:c r="I5" s="22" t="str">
        <x:v>Median stage-to-4 &lt;5d or &gt;30d</x:v>
      </x:c>
      <x:c r="J5" s="22" t="str">
        <x:v>High</x:v>
      </x:c>
      <x:c r="K5" s="22" t="str">
        <x:v>Medium</x:v>
      </x:c>
      <x:c r="L5" s="38" t="str"/>
    </x:row>
    <x:row r="6">
      <x:c r="A6" s="37" t="str">
        <x:v>Elite permit</x:v>
      </x:c>
      <x:c r="B6" s="22" t="n">
        <x:v>600000</x:v>
      </x:c>
      <x:c r="C6" s="22" t="str">
        <x:v>Monthly</x:v>
      </x:c>
      <x:c r="D6" s="22" t="str">
        <x:v>Elite Cash sink ratio</x:v>
      </x:c>
      <x:c r="E6" s="22" t="str">
        <x:v>Cash inflation high</x:v>
      </x:c>
      <x:c r="F6" s="22" t="str">
        <x:v>Elite margins collapse</x:v>
      </x:c>
      <x:c r="G6" s="22" t="str">
        <x:v>+/-20%</x:v>
      </x:c>
      <x:c r="H6" s="22" t="str">
        <x:v>Economy</x:v>
      </x:c>
      <x:c r="I6" s="22" t="str">
        <x:v>Cash burn ratio off target</x:v>
      </x:c>
      <x:c r="J6" s="22" t="str">
        <x:v>High</x:v>
      </x:c>
      <x:c r="K6" s="22" t="str">
        <x:v>Medium</x:v>
      </x:c>
      <x:c r="L6" s="38" t="str"/>
    </x:row>
    <x:row r="7">
      <x:c r="A7" s="37" t="str">
        <x:v>Tycoon permit</x:v>
      </x:c>
      <x:c r="B7" s="22" t="n">
        <x:v>1200000</x:v>
      </x:c>
      <x:c r="C7" s="22" t="str">
        <x:v>Monthly</x:v>
      </x:c>
      <x:c r="D7" s="22" t="str">
        <x:v>Tycoon land activation pace</x:v>
      </x:c>
      <x:c r="E7" s="22" t="str">
        <x:v>Too many max territories</x:v>
      </x:c>
      <x:c r="F7" s="22" t="str">
        <x:v>Tycoons never expand</x:v>
      </x:c>
      <x:c r="G7" s="22" t="str">
        <x:v>+/-20%</x:v>
      </x:c>
      <x:c r="H7" s="22" t="str">
        <x:v>Economy</x:v>
      </x:c>
      <x:c r="I7" s="22" t="str">
        <x:v>16-Plot share &gt; target</x:v>
      </x:c>
      <x:c r="J7" s="22" t="str">
        <x:v>High</x:v>
      </x:c>
      <x:c r="K7" s="22" t="str">
        <x:v>High</x:v>
      </x:c>
      <x:c r="L7" s="38" t="str"/>
    </x:row>
    <x:row r="8">
      <x:c r="A8" s="37" t="str">
        <x:v>Merge fee / seam</x:v>
      </x:c>
      <x:c r="B8" s="22" t="n">
        <x:v>25000</x:v>
      </x:c>
      <x:c r="C8" s="22" t="str">
        <x:v>Monthly</x:v>
      </x:c>
      <x:c r="D8" s="22" t="str">
        <x:v>Merge reshaping frequency</x:v>
      </x:c>
      <x:c r="E8" s="22" t="str">
        <x:v>Players reshape constantly</x:v>
      </x:c>
      <x:c r="F8" s="22" t="str">
        <x:v>Merging underused</x:v>
      </x:c>
      <x:c r="G8" s="22" t="str">
        <x:v>+/-25%</x:v>
      </x:c>
      <x:c r="H8" s="22" t="str">
        <x:v>Economy</x:v>
      </x:c>
      <x:c r="I8" s="22" t="str">
        <x:v>Moves &gt;2 territory changes/week</x:v>
      </x:c>
      <x:c r="J8" s="22" t="str">
        <x:v>Low</x:v>
      </x:c>
      <x:c r="K8" s="22" t="str">
        <x:v>Low</x:v>
      </x:c>
      <x:c r="L8" s="38" t="str"/>
    </x:row>
    <x:row r="9">
      <x:c r="A9" s="37" t="str">
        <x:v>Unmerge fee / seam</x:v>
      </x:c>
      <x:c r="B9" s="22" t="n">
        <x:v>10000</x:v>
      </x:c>
      <x:c r="C9" s="22" t="str">
        <x:v>Monthly</x:v>
      </x:c>
      <x:c r="D9" s="22" t="str">
        <x:v>Unmerge abuse</x:v>
      </x:c>
      <x:c r="E9" s="22" t="str">
        <x:v>Constant merge/unmerge cycling</x:v>
      </x:c>
      <x:c r="F9" s="22" t="str">
        <x:v>Transfers become painful</x:v>
      </x:c>
      <x:c r="G9" s="22" t="str">
        <x:v>+/-25%</x:v>
      </x:c>
      <x:c r="H9" s="22" t="str">
        <x:v>Economy</x:v>
      </x:c>
      <x:c r="I9" s="22" t="str">
        <x:v>Unmerge &gt;1/week/player</x:v>
      </x:c>
      <x:c r="J9" s="22" t="str">
        <x:v>Low</x:v>
      </x:c>
      <x:c r="K9" s="22" t="str">
        <x:v>Medium</x:v>
      </x:c>
      <x:c r="L9" s="38" t="str"/>
    </x:row>
    <x:row r="10">
      <x:c r="A10" s="37" t="str">
        <x:v>Territory overhead</x:v>
      </x:c>
      <x:c r="B10" s="22" t="str">
        <x:v>2%–18%</x:v>
      </x:c>
      <x:c r="C10" s="22" t="str">
        <x:v>Monthly</x:v>
      </x:c>
      <x:c r="D10" s="22" t="str">
        <x:v>Margin by active Plot count</x:v>
      </x:c>
      <x:c r="E10" s="22" t="str">
        <x:v>Large territories dominate</x:v>
      </x:c>
      <x:c r="F10" s="22" t="str">
        <x:v>Large territories unprofitable</x:v>
      </x:c>
      <x:c r="G10" s="22" t="str">
        <x:v>+/-2 pts</x:v>
      </x:c>
      <x:c r="H10" s="22" t="str">
        <x:v>Economy</x:v>
      </x:c>
      <x:c r="I10" s="22" t="str">
        <x:v>Plot count predicts payout too strongly</x:v>
      </x:c>
      <x:c r="J10" s="22" t="str">
        <x:v>High</x:v>
      </x:c>
      <x:c r="K10" s="22" t="str">
        <x:v>Critical</x:v>
      </x:c>
      <x:c r="L10" s="38" t="str"/>
    </x:row>
    <x:row r="11">
      <x:c r="A11" s="37" t="str">
        <x:v>Active Plot caps</x:v>
      </x:c>
      <x:c r="B11" s="22" t="str">
        <x:v>1/2/4/9/16</x:v>
      </x:c>
      <x:c r="C11" s="22" t="str">
        <x:v>Seasonal</x:v>
      </x:c>
      <x:c r="D11" s="22" t="str">
        <x:v>Progression/land concentration</x:v>
      </x:c>
      <x:c r="E11" s="22" t="str">
        <x:v>Scale arrives too early</x:v>
      </x:c>
      <x:c r="F11" s="22" t="str">
        <x:v>Expansion fantasy too weak</x:v>
      </x:c>
      <x:c r="G11" s="22" t="str">
        <x:v>Change only with season</x:v>
      </x:c>
      <x:c r="H11" s="22" t="str">
        <x:v>Game Design</x:v>
      </x:c>
      <x:c r="I11" s="22" t="str">
        <x:v>Cap bypass or extreme concentration</x:v>
      </x:c>
      <x:c r="J11" s="22" t="str">
        <x:v>Very high</x:v>
      </x:c>
      <x:c r="K11" s="22" t="str">
        <x:v>Critical</x:v>
      </x:c>
      <x:c r="L11" s="38" t="str"/>
    </x:row>
    <x:row r="12">
      <x:c r="A12" s="37" t="str">
        <x:v>Merge max</x:v>
      </x:c>
      <x:c r="B12" s="22" t="str">
        <x:v>4×4</x:v>
      </x:c>
      <x:c r="C12" s="22" t="str">
        <x:v>Seasonal</x:v>
      </x:c>
      <x:c r="D12" s="22" t="str">
        <x:v>Endgame space pressure</x:v>
      </x:c>
      <x:c r="E12" s="22" t="str">
        <x:v>16 Plots too restrictive</x:v>
      </x:c>
      <x:c r="F12" s="22" t="str">
        <x:v>World too sparse</x:v>
      </x:c>
      <x:c r="G12" s="22" t="str">
        <x:v>Rare</x:v>
      </x:c>
      <x:c r="H12" s="22" t="str">
        <x:v>Game Design</x:v>
      </x:c>
      <x:c r="I12" s="22" t="str">
        <x:v>Average Tycoon occupancy &gt;90%</x:v>
      </x:c>
      <x:c r="J12" s="22" t="str">
        <x:v>High</x:v>
      </x:c>
      <x:c r="K12" s="22" t="str">
        <x:v>High</x:v>
      </x:c>
      <x:c r="L12" s="38" t="str"/>
    </x:row>
    <x:row r="13">
      <x:c r="A13" s="39" t="str">
        <x:v>Marketplace fee</x:v>
      </x:c>
      <x:c r="B13" s="40" t="str">
        <x:v>2.5%</x:v>
      </x:c>
      <x:c r="C13" s="40" t="str">
        <x:v>Quarterly</x:v>
      </x:c>
      <x:c r="D13" s="40" t="str">
        <x:v>Marketplace liquidity</x:v>
      </x:c>
      <x:c r="E13" s="40" t="str">
        <x:v>Excessive churn/speculation</x:v>
      </x:c>
      <x:c r="F13" s="40" t="str">
        <x:v>Liquidity too low</x:v>
      </x:c>
      <x:c r="G13" s="40" t="str">
        <x:v>+/-0.5 pt</x:v>
      </x:c>
      <x:c r="H13" s="40" t="str">
        <x:v>Business</x:v>
      </x:c>
      <x:c r="I13" s="40" t="str">
        <x:v>Turnover extremes</x:v>
      </x:c>
      <x:c r="J13" s="40" t="str">
        <x:v>Medium</x:v>
      </x:c>
      <x:c r="K13" s="40" t="str">
        <x:v>Low</x:v>
      </x:c>
      <x:c r="L13" s="41" t="str">
        <x:v>No stat effect</x:v>
      </x:c>
    </x:row>
  </x:sheetData>
  <x:mergeCells>
    <x:mergeCell ref="A1:L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Backend Ownership, Merge &amp; Transfer Resolution Rules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22"/>
      <x:c r="O1" s="22"/>
      <x:c r="P1" s="22"/>
    </x:row>
    <x:row r="3">
      <x:c r="A3" s="14" t="str">
        <x:v>System</x:v>
      </x:c>
      <x:c r="B3" s="14" t="str">
        <x:v>Source of Truth</x:v>
      </x:c>
      <x:c r="C3" s="14" t="str">
        <x:v>Validation Trigger</x:v>
      </x:c>
      <x:c r="D3" s="14" t="str">
        <x:v>Required Inputs</x:v>
      </x:c>
      <x:c r="E3" s="14" t="str">
        <x:v>Derived Outputs</x:v>
      </x:c>
      <x:c r="F3" s="14" t="str">
        <x:v>Client May Request</x:v>
      </x:c>
      <x:c r="G3" s="14" t="str">
        <x:v>Client Cannot Assert</x:v>
      </x:c>
      <x:c r="H3" s="14" t="str">
        <x:v>Locking</x:v>
      </x:c>
      <x:c r="I3" s="14" t="str">
        <x:v>Idempotency Key</x:v>
      </x:c>
      <x:c r="J3" s="14" t="str">
        <x:v>Recovery</x:v>
      </x:c>
      <x:c r="K3" s="14" t="str">
        <x:v>Exploit Risk</x:v>
      </x:c>
      <x:c r="L3" s="14" t="str">
        <x:v>Priority</x:v>
      </x:c>
      <x:c r="M3" s="14" t="str">
        <x:v>Notes</x:v>
      </x:c>
    </x:row>
    <x:row r="4">
      <x:c r="A4" s="34" t="str">
        <x:v>Ownership sync</x:v>
      </x:c>
      <x:c r="B4" s="35" t="str">
        <x:v>Chain/provider</x:v>
      </x:c>
      <x:c r="C4" s="35" t="str">
        <x:v>Login, transfer event, activation</x:v>
      </x:c>
      <x:c r="D4" s="35" t="str">
        <x:v>wallet, tokenId, chain ownership</x:v>
      </x:c>
      <x:c r="E4" s="35" t="str">
        <x:v>current owner</x:v>
      </x:c>
      <x:c r="F4" s="35" t="str">
        <x:v>Refresh / connect wallet</x:v>
      </x:c>
      <x:c r="G4" s="35" t="str">
        <x:v>Owner override</x:v>
      </x:c>
      <x:c r="H4" s="35" t="str">
        <x:v>Freeze mutations on mismatch</x:v>
      </x:c>
      <x:c r="I4" s="35" t="str">
        <x:v>ownership_event_id</x:v>
      </x:c>
      <x:c r="J4" s="35" t="str">
        <x:v>Replay chain events</x:v>
      </x:c>
      <x:c r="K4" s="35" t="str">
        <x:v>Critical</x:v>
      </x:c>
      <x:c r="L4" s="35" t="str">
        <x:v>P0</x:v>
      </x:c>
      <x:c r="M4" s="36" t="str"/>
    </x:row>
    <x:row r="5">
      <x:c r="A5" s="37" t="str">
        <x:v>Plot activation</x:v>
      </x:c>
      <x:c r="B5" s="22" t="str">
        <x:v>Game server</x:v>
      </x:c>
      <x:c r="C5" s="22" t="str">
        <x:v>Activation request</x:v>
      </x:c>
      <x:c r="D5" s="22" t="str">
        <x:v>owner, level, rep, active cap, permit Cash</x:v>
      </x:c>
      <x:c r="E5" s="22" t="str">
        <x:v>active state, cooldown</x:v>
      </x:c>
      <x:c r="F5" s="22" t="str">
        <x:v>Activate</x:v>
      </x:c>
      <x:c r="G5" s="22" t="str">
        <x:v>Eligibility result</x:v>
      </x:c>
      <x:c r="H5" s="22" t="str">
        <x:v>Activation lock</x:v>
      </x:c>
      <x:c r="I5" s="22" t="str">
        <x:v>activation_tx_id</x:v>
      </x:c>
      <x:c r="J5" s="22" t="str">
        <x:v>Rollback permit if system failure</x:v>
      </x:c>
      <x:c r="K5" s="22" t="str">
        <x:v>High</x:v>
      </x:c>
      <x:c r="L5" s="22" t="str">
        <x:v>P0</x:v>
      </x:c>
      <x:c r="M5" s="38" t="str"/>
    </x:row>
    <x:row r="6">
      <x:c r="A6" s="37" t="str">
        <x:v>Adjacency</x:v>
      </x:c>
      <x:c r="B6" s="22" t="str">
        <x:v>Coordinate registry</x:v>
      </x:c>
      <x:c r="C6" s="22" t="str">
        <x:v>Merge request</x:v>
      </x:c>
      <x:c r="D6" s="22" t="str">
        <x:v>member Plot IDs + coordinates</x:v>
      </x:c>
      <x:c r="E6" s="22" t="str">
        <x:v>valid seam graph</x:v>
      </x:c>
      <x:c r="F6" s="22" t="str">
        <x:v>Select merge members</x:v>
      </x:c>
      <x:c r="G6" s="22" t="str">
        <x:v>Adjacency truth</x:v>
      </x:c>
      <x:c r="H6" s="22" t="str">
        <x:v>Merge pending lock</x:v>
      </x:c>
      <x:c r="I6" s="22" t="str">
        <x:v>merge_request_id</x:v>
      </x:c>
      <x:c r="J6" s="22" t="str">
        <x:v>Recompute geometry</x:v>
      </x:c>
      <x:c r="K6" s="22" t="str">
        <x:v>High</x:v>
      </x:c>
      <x:c r="L6" s="22" t="str">
        <x:v>P0</x:v>
      </x:c>
      <x:c r="M6" s="38" t="str"/>
    </x:row>
    <x:row r="7">
      <x:c r="A7" s="37" t="str">
        <x:v>Merge fee</x:v>
      </x:c>
      <x:c r="B7" s="22" t="str">
        <x:v>Game server</x:v>
      </x:c>
      <x:c r="C7" s="22" t="str">
        <x:v>Merge validation success</x:v>
      </x:c>
      <x:c r="D7" s="22" t="str">
        <x:v>internal seam count, base fee</x:v>
      </x:c>
      <x:c r="E7" s="22" t="str">
        <x:v>Cash charge</x:v>
      </x:c>
      <x:c r="F7" s="22" t="str">
        <x:v>Confirm merge</x:v>
      </x:c>
      <x:c r="G7" s="22" t="str">
        <x:v>Fee amount</x:v>
      </x:c>
      <x:c r="H7" s="22" t="str">
        <x:v>Atomic with merge pending</x:v>
      </x:c>
      <x:c r="I7" s="22" t="str">
        <x:v>merge_charge_id</x:v>
      </x:c>
      <x:c r="J7" s="22" t="str">
        <x:v>Refund on validation/system failure</x:v>
      </x:c>
      <x:c r="K7" s="22" t="str">
        <x:v>Medium</x:v>
      </x:c>
      <x:c r="L7" s="22" t="str">
        <x:v>P0</x:v>
      </x:c>
      <x:c r="M7" s="38" t="str"/>
    </x:row>
    <x:row r="8">
      <x:c r="A8" s="37" t="str">
        <x:v>Territory record</x:v>
      </x:c>
      <x:c r="B8" s="22" t="str">
        <x:v>Game server</x:v>
      </x:c>
      <x:c r="C8" s="22" t="str">
        <x:v>Merge settlement</x:v>
      </x:c>
      <x:c r="D8" s="22" t="str">
        <x:v>member Plot IDs, origin, dimensions</x:v>
      </x:c>
      <x:c r="E8" s="22" t="str">
        <x:v>territory_id, state</x:v>
      </x:c>
      <x:c r="F8" s="22" t="str">
        <x:v>None</x:v>
      </x:c>
      <x:c r="G8" s="22" t="str">
        <x:v>Membership mutation</x:v>
      </x:c>
      <x:c r="H8" s="22" t="str">
        <x:v>Territory lock</x:v>
      </x:c>
      <x:c r="I8" s="22" t="str">
        <x:v>territory_version</x:v>
      </x:c>
      <x:c r="J8" s="22" t="str">
        <x:v>Rebuild from merge log + ownership</x:v>
      </x:c>
      <x:c r="K8" s="22" t="str">
        <x:v>High</x:v>
      </x:c>
      <x:c r="L8" s="22" t="str">
        <x:v>P0/P1</x:v>
      </x:c>
      <x:c r="M8" s="38" t="str"/>
    </x:row>
    <x:row r="9">
      <x:c r="A9" s="37" t="str">
        <x:v>Cross-border building</x:v>
      </x:c>
      <x:c r="B9" s="22" t="str">
        <x:v>Game server</x:v>
      </x:c>
      <x:c r="C9" s="22" t="str">
        <x:v>Placement/move</x:v>
      </x:c>
      <x:c r="D9" s="22" t="str">
        <x:v>territory state, footprint, Plot coverage</x:v>
      </x:c>
      <x:c r="E9" s="22" t="str">
        <x:v>covered Plot IDs</x:v>
      </x:c>
      <x:c r="F9" s="22" t="str">
        <x:v>Place/move</x:v>
      </x:c>
      <x:c r="G9" s="22" t="str">
        <x:v>Coverage override</x:v>
      </x:c>
      <x:c r="H9" s="22" t="str">
        <x:v>Layout version lock</x:v>
      </x:c>
      <x:c r="I9" s="22" t="str">
        <x:v>layout_mutation_id</x:v>
      </x:c>
      <x:c r="J9" s="22" t="str">
        <x:v>Restore last valid layout</x:v>
      </x:c>
      <x:c r="K9" s="22" t="str">
        <x:v>Critical</x:v>
      </x:c>
      <x:c r="L9" s="22" t="str">
        <x:v>P2</x:v>
      </x:c>
      <x:c r="M9" s="38" t="str">
        <x:v>Disabled MVP</x:v>
      </x:c>
    </x:row>
    <x:row r="10">
      <x:c r="A10" s="37" t="str">
        <x:v>Unmerge</x:v>
      </x:c>
      <x:c r="B10" s="22" t="str">
        <x:v>Game server</x:v>
      </x:c>
      <x:c r="C10" s="22" t="str">
        <x:v>Unmerge request</x:v>
      </x:c>
      <x:c r="D10" s="22" t="str">
        <x:v>territory, seam removal, cross-border check</x:v>
      </x:c>
      <x:c r="E10" s="22" t="str">
        <x:v>detached Plots, cooldown</x:v>
      </x:c>
      <x:c r="F10" s="22" t="str">
        <x:v>Request detach</x:v>
      </x:c>
      <x:c r="G10" s="22" t="str">
        <x:v>Eligibility override</x:v>
      </x:c>
      <x:c r="H10" s="22" t="str">
        <x:v>Unmerge pending lock</x:v>
      </x:c>
      <x:c r="I10" s="22" t="str">
        <x:v>unmerge_request_id</x:v>
      </x:c>
      <x:c r="J10" s="22" t="str">
        <x:v>Remain merged on failure</x:v>
      </x:c>
      <x:c r="K10" s="22" t="str">
        <x:v>High</x:v>
      </x:c>
      <x:c r="L10" s="22" t="str">
        <x:v>P1</x:v>
      </x:c>
      <x:c r="M10" s="38" t="str"/>
    </x:row>
    <x:row r="11">
      <x:c r="A11" s="37" t="str">
        <x:v>Transfer preflight</x:v>
      </x:c>
      <x:c r="B11" s="22" t="str">
        <x:v>Game server + chain</x:v>
      </x:c>
      <x:c r="C11" s="22" t="str">
        <x:v>List/transfer request</x:v>
      </x:c>
      <x:c r="D11" s="22" t="str">
        <x:v>merge state, buildings, locks, settlements</x:v>
      </x:c>
      <x:c r="E11" s="22" t="str">
        <x:v>transfer eligible flag</x:v>
      </x:c>
      <x:c r="F11" s="22" t="str">
        <x:v>Start transfer</x:v>
      </x:c>
      <x:c r="G11" s="22" t="str">
        <x:v>Bypass requirements</x:v>
      </x:c>
      <x:c r="H11" s="22" t="str">
        <x:v>Transfer pending lock</x:v>
      </x:c>
      <x:c r="I11" s="22" t="str">
        <x:v>transfer_preflight_id</x:v>
      </x:c>
      <x:c r="J11" s="22" t="str">
        <x:v>Cancel transfer if unresolved</x:v>
      </x:c>
      <x:c r="K11" s="22" t="str">
        <x:v>Critical</x:v>
      </x:c>
      <x:c r="L11" s="22" t="str">
        <x:v>P1</x:v>
      </x:c>
      <x:c r="M11" s="38" t="str"/>
    </x:row>
    <x:row r="12">
      <x:c r="A12" s="37" t="str">
        <x:v>Transfer settlement</x:v>
      </x:c>
      <x:c r="B12" s="22" t="str">
        <x:v>Chain/provider + server</x:v>
      </x:c>
      <x:c r="C12" s="22" t="str">
        <x:v>Ownership event</x:v>
      </x:c>
      <x:c r="D12" s="22" t="str">
        <x:v>tokenId, old/new owner, block/event id</x:v>
      </x:c>
      <x:c r="E12" s="22" t="str">
        <x:v>new inactive ownership state</x:v>
      </x:c>
      <x:c r="F12" s="22" t="str">
        <x:v>None</x:v>
      </x:c>
      <x:c r="G12" s="22" t="str">
        <x:v>Settlement result</x:v>
      </x:c>
      <x:c r="H12" s="22" t="str">
        <x:v>Freeze mutations</x:v>
      </x:c>
      <x:c r="I12" s="22" t="str">
        <x:v>chain_event_id</x:v>
      </x:c>
      <x:c r="J12" s="22" t="str">
        <x:v>Replay event idempotently</x:v>
      </x:c>
      <x:c r="K12" s="22" t="str">
        <x:v>Critical</x:v>
      </x:c>
      <x:c r="L12" s="22" t="str">
        <x:v>P1</x:v>
      </x:c>
      <x:c r="M12" s="38" t="str"/>
    </x:row>
    <x:row r="13">
      <x:c r="A13" s="37" t="str">
        <x:v>Territory overhead</x:v>
      </x:c>
      <x:c r="B13" s="22" t="str">
        <x:v>Game server</x:v>
      </x:c>
      <x:c r="C13" s="22" t="str">
        <x:v>Economic tick</x:v>
      </x:c>
      <x:c r="D13" s="22" t="str">
        <x:v>active Plot count</x:v>
      </x:c>
      <x:c r="E13" s="22" t="str">
        <x:v>cost multiplier</x:v>
      </x:c>
      <x:c r="F13" s="22" t="str">
        <x:v>None</x:v>
      </x:c>
      <x:c r="G13" s="22" t="str">
        <x:v>Multiplier</x:v>
      </x:c>
      <x:c r="H13" s="22" t="str">
        <x:v>Economy version</x:v>
      </x:c>
      <x:c r="I13" s="22" t="str">
        <x:v>economy_tick_id</x:v>
      </x:c>
      <x:c r="J13" s="22" t="str">
        <x:v>Recompute from Plot count</x:v>
      </x:c>
      <x:c r="K13" s="22" t="str">
        <x:v>High</x:v>
      </x:c>
      <x:c r="L13" s="22" t="str">
        <x:v>P0</x:v>
      </x:c>
      <x:c r="M13" s="38" t="str"/>
    </x:row>
    <x:row r="14">
      <x:c r="A14" s="39" t="str">
        <x:v>Performance exclusion</x:v>
      </x:c>
      <x:c r="B14" s="40" t="str">
        <x:v>Game server</x:v>
      </x:c>
      <x:c r="C14" s="40" t="str">
        <x:v>Weekly settlement</x:v>
      </x:c>
      <x:c r="D14" s="40" t="str">
        <x:v>activity/revenue/customer ledgers</x:v>
      </x:c>
      <x:c r="E14" s="40" t="str">
        <x:v>score inputs</x:v>
      </x:c>
      <x:c r="F14" s="40" t="str">
        <x:v>None</x:v>
      </x:c>
      <x:c r="G14" s="40" t="str">
        <x:v>Land bonus</x:v>
      </x:c>
      <x:c r="H14" s="40" t="str">
        <x:v>Settlement lock</x:v>
      </x:c>
      <x:c r="I14" s="40" t="str">
        <x:v>settlement_id</x:v>
      </x:c>
      <x:c r="J14" s="40" t="str">
        <x:v>Recompute from ledgers</x:v>
      </x:c>
      <x:c r="K14" s="40" t="str">
        <x:v>Critical</x:v>
      </x:c>
      <x:c r="L14" s="40" t="str">
        <x:v>P0</x:v>
      </x:c>
      <x:c r="M14" s="41" t="str">
        <x:v>Land count alone contributes zero</x:v>
      </x:c>
    </x:row>
  </x:sheetData>
  <x:mergeCells>
    <x:mergeCell ref="A1:M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112" t="str">
        <x:v>Model Checks</x:v>
      </x:c>
      <x:c r="B1" s="112"/>
      <x:c r="C1" s="112"/>
      <x:c r="D1" s="112"/>
      <x:c r="E1" s="112"/>
      <x:c r="F1" s="112"/>
      <x:c r="G1" s="11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4" t="str">
        <x:v>Base Plot tiles = width × height</x:v>
      </x:c>
      <x:c r="B4" s="35" t="n">
        <x:v>144</x:v>
      </x:c>
      <x:c r="C4" s="35" t="n">
        <x:f>'01_Assumptions'!B4*'01_Assumptions'!B5</x:f>
        <x:v>144</x:v>
      </x:c>
      <x:c r="D4" s="35" t="str">
        <x:f>IF(C4=B4,"PASS","CHECK")</x:f>
        <x:v>PASS</x:v>
      </x:c>
      <x:c r="E4" s="35" t="str">
        <x:v>Critical</x:v>
      </x:c>
      <x:c r="F4" s="35" t="str">
        <x:v>Geometry must reconcile</x:v>
      </x:c>
      <x:c r="G4" s="36" t="str"/>
    </x:row>
    <x:row r="5">
      <x:c r="A5" s="37" t="str">
        <x:v>Base Plot tiles assumption matches 144</x:v>
      </x:c>
      <x:c r="B5" s="22" t="n">
        <x:v>144</x:v>
      </x:c>
      <x:c r="C5" s="22" t="n">
        <x:f>'01_Assumptions'!B6</x:f>
        <x:v>144</x:v>
      </x:c>
      <x:c r="D5" s="22" t="str">
        <x:f>IF(C5=B5,"PASS","CHECK")</x:f>
        <x:v>PASS</x:v>
      </x:c>
      <x:c r="E5" s="22" t="str">
        <x:v>Critical</x:v>
      </x:c>
      <x:c r="F5" s="22" t="str">
        <x:v>Single Plot area consistency</x:v>
      </x:c>
      <x:c r="G5" s="38" t="str"/>
    </x:row>
    <x:row r="6">
      <x:c r="A6" s="37" t="str">
        <x:v>Max active Plots = 16</x:v>
      </x:c>
      <x:c r="B6" s="22" t="n">
        <x:v>16</x:v>
      </x:c>
      <x:c r="C6" s="22" t="n">
        <x:f>'00_Dashboard'!G4</x:f>
        <x:v>16</x:v>
      </x:c>
      <x:c r="D6" s="22" t="str">
        <x:f>IF(C6=B6,"PASS","CHECK")</x:f>
        <x:v>PASS</x:v>
      </x:c>
      <x:c r="E6" s="22" t="str">
        <x:v>High</x:v>
      </x:c>
      <x:c r="F6" s="22" t="str">
        <x:v>v0.1 endgame cap</x:v>
      </x:c>
      <x:c r="G6" s="38" t="str"/>
    </x:row>
    <x:row r="7">
      <x:c r="A7" s="37" t="str">
        <x:v>4×4 territory tiles = 2304</x:v>
      </x:c>
      <x:c r="B7" s="22" t="n">
        <x:v>2304</x:v>
      </x:c>
      <x:c r="C7" s="22" t="n">
        <x:f>'04_Merge_Shapes'!G10</x:f>
        <x:v>2304</x:v>
      </x:c>
      <x:c r="D7" s="22" t="str">
        <x:f>IF(C7=B7,"PASS","CHECK")</x:f>
        <x:v>PASS</x:v>
      </x:c>
      <x:c r="E7" s="22" t="str">
        <x:v>Critical</x:v>
      </x:c>
      <x:c r="F7" s="22" t="str">
        <x:v>Endgame geometry consistency</x:v>
      </x:c>
      <x:c r="G7" s="38" t="str"/>
    </x:row>
    <x:row r="8">
      <x:c r="A8" s="37" t="str">
        <x:v>4×4 internal seams = 24</x:v>
      </x:c>
      <x:c r="B8" s="22" t="n">
        <x:v>24</x:v>
      </x:c>
      <x:c r="C8" s="22" t="n">
        <x:f>'04_Merge_Shapes'!H10</x:f>
        <x:v>24</x:v>
      </x:c>
      <x:c r="D8" s="22" t="str">
        <x:f>IF(C8=B8,"PASS","CHECK")</x:f>
        <x:v>PASS</x:v>
      </x:c>
      <x:c r="E8" s="22" t="str">
        <x:v>High</x:v>
      </x:c>
      <x:c r="F8" s="22" t="str">
        <x:v>Merge fee formula integrity</x:v>
      </x:c>
      <x:c r="G8" s="38" t="str"/>
    </x:row>
    <x:row r="9">
      <x:c r="A9" s="37" t="str">
        <x:v>4×4 merge fee = seams × base fee</x:v>
      </x:c>
      <x:c r="B9" s="22" t="n">
        <x:v>600000</x:v>
      </x:c>
      <x:c r="C9" s="22" t="n">
        <x:f>'04_Merge_Shapes'!I10</x:f>
        <x:v>600000</x:v>
      </x:c>
      <x:c r="D9" s="22" t="str">
        <x:f>IF(C9=B9,"PASS","CHECK")</x:f>
        <x:v>PASS</x:v>
      </x:c>
      <x:c r="E9" s="22" t="str">
        <x:v>High</x:v>
      </x:c>
      <x:c r="F9" s="22" t="str">
        <x:v>Merge sink consistency</x:v>
      </x:c>
      <x:c r="G9" s="38" t="str"/>
    </x:row>
    <x:row r="10">
      <x:c r="A10" s="37" t="str">
        <x:v>Land-only Performance Score = 0 in all scenarios</x:v>
      </x:c>
      <x:c r="B10" s="22" t="n">
        <x:v>0</x:v>
      </x:c>
      <x:c r="C10" s="22" t="n">
        <x:f>MAX('14_Territory_Scenarios'!O4:O9)</x:f>
        <x:v>0</x:v>
      </x:c>
      <x:c r="D10" s="22" t="str">
        <x:f>IF(C10=B10,"PASS","CHECK")</x:f>
        <x:v>PASS</x:v>
      </x:c>
      <x:c r="E10" s="22" t="str">
        <x:v>Critical</x:v>
      </x:c>
      <x:c r="F10" s="22" t="str">
        <x:v>No passive pay-to-win score</x:v>
      </x:c>
      <x:c r="G10" s="38" t="str"/>
    </x:row>
    <x:row r="11">
      <x:c r="A11" s="37" t="str">
        <x:v>Tycoon inefficient score &lt; solo efficient score</x:v>
      </x:c>
      <x:c r="B11" s="22" t="n">
        <x:v>1</x:v>
      </x:c>
      <x:c r="C11" s="22" t="n">
        <x:f>IF('14_Territory_Scenarios'!N8&lt;'14_Territory_Scenarios'!N4,1,0)</x:f>
        <x:v>1</x:v>
      </x:c>
      <x:c r="D11" s="22" t="str">
        <x:f>IF(C11=B11,"PASS","CHECK")</x:f>
        <x:v>PASS</x:v>
      </x:c>
      <x:c r="E11" s="22" t="str">
        <x:v>High</x:v>
      </x:c>
      <x:c r="F11" s="22" t="str">
        <x:v>Land quantity must not guarantee better score</x:v>
      </x:c>
      <x:c r="G11" s="38" t="str"/>
    </x:row>
    <x:row r="12">
      <x:c r="A12" s="37" t="str">
        <x:v>Marketplace fee &lt;=5%</x:v>
      </x:c>
      <x:c r="B12" s="63" t="n">
        <x:v>0.05</x:v>
      </x:c>
      <x:c r="C12" s="63" t="n">
        <x:f>'01_Assumptions'!B24</x:f>
        <x:v>0.025</x:v>
      </x:c>
      <x:c r="D12" s="22" t="str">
        <x:f>IF(C12&lt;=B12,"PASS","CHECK")</x:f>
        <x:v>PASS</x:v>
      </x:c>
      <x:c r="E12" s="22" t="str">
        <x:v>Medium</x:v>
      </x:c>
      <x:c r="F12" s="22" t="str">
        <x:v>Avoid excessive market friction</x:v>
      </x:c>
      <x:c r="G12" s="38" t="str"/>
    </x:row>
    <x:row r="13">
      <x:c r="A13" s="37" t="str">
        <x:v>Highest territory overhead &lt;=20%</x:v>
      </x:c>
      <x:c r="B13" s="63" t="n">
        <x:v>0.2</x:v>
      </x:c>
      <x:c r="C13" s="63" t="n">
        <x:f>'01_Assumptions'!B21</x:f>
        <x:v>0.18</x:v>
      </x:c>
      <x:c r="D13" s="22" t="str">
        <x:f>IF(C13&lt;=B13,"PASS","CHECK")</x:f>
        <x:v>PASS</x:v>
      </x:c>
      <x:c r="E13" s="22" t="str">
        <x:v>High</x:v>
      </x:c>
      <x:c r="F13" s="22" t="str">
        <x:v>Keep expansion operable</x:v>
      </x:c>
      <x:c r="G13" s="38" t="str"/>
    </x:row>
    <x:row r="14">
      <x:c r="A14" s="37" t="str">
        <x:v>Cross-border cap &lt;=6</x:v>
      </x:c>
      <x:c r="B14" s="22" t="n">
        <x:v>6</x:v>
      </x:c>
      <x:c r="C14" s="22" t="n">
        <x:f>'01_Assumptions'!B22</x:f>
        <x:v>4</x:v>
      </x:c>
      <x:c r="D14" s="22" t="str">
        <x:f>IF(C14&lt;=B14,"PASS","CHECK")</x:f>
        <x:v>PASS</x:v>
      </x:c>
      <x:c r="E14" s="22" t="str">
        <x:v>Medium</x:v>
      </x:c>
      <x:c r="F14" s="22" t="str">
        <x:v>Limit seam optimization</x:v>
      </x:c>
      <x:c r="G14" s="38" t="str"/>
    </x:row>
    <x:row r="15">
      <x:c r="A15" s="39" t="str">
        <x:v>First Plot access default = 0</x:v>
      </x:c>
      <x:c r="B15" s="40" t="n">
        <x:v>0</x:v>
      </x:c>
      <x:c r="C15" s="40" t="n">
        <x:f>'01_Assumptions'!B7</x:f>
        <x:v>0</x:v>
      </x:c>
      <x:c r="D15" s="40" t="str">
        <x:f>IF(C15=B15,"PASS","CHECK")</x:f>
        <x:v>PASS</x:v>
      </x:c>
      <x:c r="E15" s="40" t="str">
        <x:v>Medium</x:v>
      </x:c>
      <x:c r="F15" s="40" t="str">
        <x:v>Recommended free/included entry assumption</x:v>
      </x:c>
      <x:c r="G15" s="41" t="str">
        <x:v>Editable</x:v>
      </x:c>
    </x:row>
  </x:sheetData>
  <x:mergeCells>
    <x:mergeCell ref="A1:G1"/>
  </x:mergeCells>
  <x:conditionalFormatting sqref="D4:D15">
    <x:cfRule type="expression" dxfId="1" priority="1">
      <x:formula>D4="PASS"</x:formula>
    </x:cfRule>
    <x:cfRule type="expression" dxfId="2" priority="2">
      <x:formula>D4="CHECK"</x:formula>
    </x:cfRule>
  </x:conditionalFormatting>
  <x:pageMargins left="0.7" right="0.7" top="0.75" bottom="0.75" header="0.3" footer="0.3"/>
</x:worksheet>
</file>