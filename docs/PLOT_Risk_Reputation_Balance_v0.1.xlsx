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f43d58c9a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08735b777b54475e"/>
    <x:sheet xmlns:r="http://schemas.openxmlformats.org/officeDocument/2006/relationships" name="01_Assumptions" sheetId="2" r:id="Rb287c7425481416d"/>
    <x:sheet xmlns:r="http://schemas.openxmlformats.org/officeDocument/2006/relationships" name="02_Risk_Categories" sheetId="3" r:id="R7225fceb312845b5"/>
    <x:sheet xmlns:r="http://schemas.openxmlformats.org/officeDocument/2006/relationships" name="03_Family_Risk_Exposure" sheetId="4" r:id="R8c95b6d856284ce9"/>
    <x:sheet xmlns:r="http://schemas.openxmlformats.org/officeDocument/2006/relationships" name="04_Risk_Formula" sheetId="5" r:id="R0172f4c1dc4a427d"/>
    <x:sheet xmlns:r="http://schemas.openxmlformats.org/officeDocument/2006/relationships" name="05_Risk_Mitigation" sheetId="6" r:id="Ra75bb08d8ded485d"/>
    <x:sheet xmlns:r="http://schemas.openxmlformats.org/officeDocument/2006/relationships" name="06_Reputation_Tiers" sheetId="7" r:id="Ra59bb276acec448d"/>
    <x:sheet xmlns:r="http://schemas.openxmlformats.org/officeDocument/2006/relationships" name="07_Reputation_Actions" sheetId="8" r:id="R6b6c4b3f1a8a4a1c"/>
    <x:sheet xmlns:r="http://schemas.openxmlformats.org/officeDocument/2006/relationships" name="08_Customer_Access" sheetId="9" r:id="Rd3393aceca1a4513"/>
    <x:sheet xmlns:r="http://schemas.openxmlformats.org/officeDocument/2006/relationships" name="09_Gates" sheetId="10" r:id="R78a1399737404b92"/>
    <x:sheet xmlns:r="http://schemas.openxmlformats.org/officeDocument/2006/relationships" name="10_Event_Integration" sheetId="11" r:id="R3db4b3961be948ff"/>
    <x:sheet xmlns:r="http://schemas.openxmlformats.org/officeDocument/2006/relationships" name="11_Risk_Band_Effects" sheetId="12" r:id="R9d205d2ae1314c45"/>
    <x:sheet xmlns:r="http://schemas.openxmlformats.org/officeDocument/2006/relationships" name="12_Performance_Link" sheetId="13" r:id="R5898285baf8c4de5"/>
    <x:sheet xmlns:r="http://schemas.openxmlformats.org/officeDocument/2006/relationships" name="13_Stage_Benchmarks" sheetId="14" r:id="Raefc01bc6dec47e2"/>
    <x:sheet xmlns:r="http://schemas.openxmlformats.org/officeDocument/2006/relationships" name="14_Player_Scenarios" sheetId="15" r:id="Ra3f2a97b3b35497c"/>
    <x:sheet xmlns:r="http://schemas.openxmlformats.org/officeDocument/2006/relationships" name="15_Failure_Recovery" sheetId="16" r:id="Rd8eeff4a0d74403e"/>
    <x:sheet xmlns:r="http://schemas.openxmlformats.org/officeDocument/2006/relationships" name="16_LiveOps" sheetId="17" r:id="R4acee40cdf254ae7"/>
    <x:sheet xmlns:r="http://schemas.openxmlformats.org/officeDocument/2006/relationships" name="17_Technical_Rules" sheetId="18" r:id="R4a8a7688164143dd"/>
    <x:sheet xmlns:r="http://schemas.openxmlformats.org/officeDocument/2006/relationships" name="18_Model_Checks" sheetId="19" r:id="R4596bfe0bead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#,##0;[Red](#,##0);-"/>
    <x:numFmt numFmtId="202" formatCode="0.00;[Red](0.00);-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D8A93A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1" fontId="0" fillId="0" borderId="23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9" xfId="0" applyNumberFormat="1" applyFont="1" applyFill="1" applyBorder="1" applyAlignment="1">
      <x:alignment vertical="top" wrapText="1"/>
    </x:xf>
    <x:xf numFmtId="201" fontId="0" fillId="0" borderId="21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202" fontId="0" fillId="0" borderId="12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202" fontId="0" fillId="0" borderId="20" xfId="0" applyNumberFormat="1" applyFont="1" applyFill="1" applyBorder="1" applyAlignment="1">
      <x:alignment vertical="top" wrapText="1"/>
    </x:xf>
    <x:xf numFmtId="202" fontId="0" fillId="0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ill>
        <x:patternFill patternType="solid">
          <x:bgColor rgb="FFFFF200"/>
        </x:patternFill>
      </x:fill>
    </x:dxf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4de084a4b4510" /><Relationship Type="http://schemas.openxmlformats.org/officeDocument/2006/relationships/theme" Target="/xl/theme/theme1.xml" Id="Rb2702f814b3c4c52" /><Relationship Type="http://schemas.openxmlformats.org/officeDocument/2006/relationships/sharedStrings" Target="/xl/sharedStrings.xml" Id="Re99a87cb70874bd1" /><Relationship Type="http://schemas.openxmlformats.org/officeDocument/2006/relationships/worksheet" Target="/xl/worksheets/sheet1.xml" Id="R08735b777b54475e" /><Relationship Type="http://schemas.openxmlformats.org/officeDocument/2006/relationships/worksheet" Target="/xl/worksheets/sheet2.xml" Id="Rb287c7425481416d" /><Relationship Type="http://schemas.openxmlformats.org/officeDocument/2006/relationships/worksheet" Target="/xl/worksheets/sheet3.xml" Id="R7225fceb312845b5" /><Relationship Type="http://schemas.openxmlformats.org/officeDocument/2006/relationships/worksheet" Target="/xl/worksheets/sheet4.xml" Id="R8c95b6d856284ce9" /><Relationship Type="http://schemas.openxmlformats.org/officeDocument/2006/relationships/worksheet" Target="/xl/worksheets/sheet5.xml" Id="R0172f4c1dc4a427d" /><Relationship Type="http://schemas.openxmlformats.org/officeDocument/2006/relationships/worksheet" Target="/xl/worksheets/sheet6.xml" Id="Ra75bb08d8ded485d" /><Relationship Type="http://schemas.openxmlformats.org/officeDocument/2006/relationships/worksheet" Target="/xl/worksheets/sheet7.xml" Id="Ra59bb276acec448d" /><Relationship Type="http://schemas.openxmlformats.org/officeDocument/2006/relationships/worksheet" Target="/xl/worksheets/sheet8.xml" Id="R6b6c4b3f1a8a4a1c" /><Relationship Type="http://schemas.openxmlformats.org/officeDocument/2006/relationships/worksheet" Target="/xl/worksheets/sheet9.xml" Id="Rd3393aceca1a4513" /><Relationship Type="http://schemas.openxmlformats.org/officeDocument/2006/relationships/worksheet" Target="/xl/worksheets/sheet10.xml" Id="R78a1399737404b92" /><Relationship Type="http://schemas.openxmlformats.org/officeDocument/2006/relationships/worksheet" Target="/xl/worksheets/sheet11.xml" Id="R3db4b3961be948ff" /><Relationship Type="http://schemas.openxmlformats.org/officeDocument/2006/relationships/worksheet" Target="/xl/worksheets/sheet12.xml" Id="R9d205d2ae1314c45" /><Relationship Type="http://schemas.openxmlformats.org/officeDocument/2006/relationships/worksheet" Target="/xl/worksheets/sheet13.xml" Id="R5898285baf8c4de5" /><Relationship Type="http://schemas.openxmlformats.org/officeDocument/2006/relationships/worksheet" Target="/xl/worksheets/sheet14.xml" Id="Raefc01bc6dec47e2" /><Relationship Type="http://schemas.openxmlformats.org/officeDocument/2006/relationships/worksheet" Target="/xl/worksheets/sheet15.xml" Id="Ra3f2a97b3b35497c" /><Relationship Type="http://schemas.openxmlformats.org/officeDocument/2006/relationships/worksheet" Target="/xl/worksheets/sheet16.xml" Id="Rd8eeff4a0d74403e" /><Relationship Type="http://schemas.openxmlformats.org/officeDocument/2006/relationships/worksheet" Target="/xl/worksheets/sheet17.xml" Id="R4acee40cdf254ae7" /><Relationship Type="http://schemas.openxmlformats.org/officeDocument/2006/relationships/worksheet" Target="/xl/worksheets/sheet18.xml" Id="R4a8a7688164143dd" /><Relationship Type="http://schemas.openxmlformats.org/officeDocument/2006/relationships/worksheet" Target="/xl/worksheets/sheet19.xml" Id="R4596bfe0bead4a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a0a9c5f8d341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Composite Risk by strategy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Composite Risk</c:v>
          </c:tx>
          <c:cat>
            <c:strRef>
              <c:f>'00_Dashboard'!$A$34:$A$39</c:f>
              <c:strCache>
                <c:ptCount val="0"/>
              </c:strCache>
            </c:strRef>
          </c:cat>
          <c:val>
            <c:numRef>
              <c:f>'00_Dashboard'!$B$34:$B$39</c:f>
              <c:numCache>
                <c:formatCode>0.00;[Red](0.00);-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31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a0a9c5f8d341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dedd0208d9488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PLOT — Risk &amp; Reputation Balance v0.1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22"/>
      <x:c r="O1" s="22"/>
      <x:c r="P1" s="22"/>
      <x:c r="Q1" s="22"/>
    </x:row>
    <x:row r="3">
      <x:c r="A3" s="14" t="str">
        <x:v>System Goal</x:v>
      </x:c>
      <x:c r="B3" s="14" t="str">
        <x:v>Risk Scale</x:v>
      </x:c>
      <x:c r="C3" s="14" t="str">
        <x:v>Reputation Scale</x:v>
      </x:c>
      <x:c r="D3" s="14" t="str">
        <x:v>Risk Categories</x:v>
      </x:c>
      <x:c r="E3" s="14" t="str">
        <x:v>Starting Reputation</x:v>
      </x:c>
      <x:c r="F3" s="14" t="str">
        <x:v>Target Managed Risk</x:v>
      </x:c>
      <x:c r="G3" s="14" t="str">
        <x:v>Critical Risk</x:v>
      </x:c>
      <x:c r="H3" s="14" t="str">
        <x:v>Reputation Gate Use</x:v>
      </x:c>
      <x:c r="I3" s="14" t="str">
        <x:v>Customer Impact</x:v>
      </x:c>
      <x:c r="J3" s="14" t="str">
        <x:v>Performance Link</x:v>
      </x:c>
      <x:c r="K3" s="14" t="str">
        <x:v>Failure Philosophy</x:v>
      </x:c>
      <x:c r="L3" s="14" t="str">
        <x:v>Recovery Philosophy</x:v>
      </x:c>
      <x:c r="M3" s="14" t="str">
        <x:v>Core Principle</x:v>
      </x:c>
    </x:row>
    <x:row r="4">
      <x:c r="A4" s="24" t="str">
        <x:v>Make reckless growth meaningfully different from well-managed growth without turning risk into pure punishment</x:v>
      </x:c>
      <x:c r="B4" s="25" t="str">
        <x:v>0–100</x:v>
      </x:c>
      <x:c r="C4" s="25" t="str">
        <x:v>0–100</x:v>
      </x:c>
      <x:c r="D4" s="25" t="n">
        <x:v>6</x:v>
      </x:c>
      <x:c r="E4" s="25" t="n">
        <x:v>50</x:v>
      </x:c>
      <x:c r="F4" s="25" t="str">
        <x:v>21–40</x:v>
      </x:c>
      <x:c r="G4" s="25" t="str">
        <x:v>81–100</x:v>
      </x:c>
      <x:c r="H4" s="25" t="str">
        <x:v>Buildings, customers, expansion, events</x:v>
      </x:c>
      <x:c r="I4" s="25" t="str">
        <x:v>Acquisition + retention + segment access</x:v>
      </x:c>
      <x:c r="J4" s="25" t="str">
        <x:v>Risk Management + Reputation are capped score components</x:v>
      </x:c>
      <x:c r="K4" s="25" t="str">
        <x:v>Temporary economic/reputation pressure, not destructive wipes</x:v>
      </x:c>
      <x:c r="L4" s="25" t="str">
        <x:v>Players can repair problems through reserves, service and time</x:v>
      </x:c>
      <x:c r="M4" s="26" t="str">
        <x:v>Higher risk can unlock upside, but unmanaged risk should damage quality</x:v>
      </x:c>
    </x:row>
    <x:row r="6" ht="22" customHeight="1">
      <x:c r="A6" s="31" t="str">
        <x:v>Risk Bands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</x:row>
    <x:row r="7">
      <x:c r="A7" s="14" t="str">
        <x:v>Risk Band</x:v>
      </x:c>
      <x:c r="B7" s="14" t="str">
        <x:v>Score</x:v>
      </x:c>
      <x:c r="C7" s="14" t="str">
        <x:v>Operating State</x:v>
      </x:c>
      <x:c r="D7" s="14" t="str">
        <x:v>Revenue Opportunity</x:v>
      </x:c>
      <x:c r="E7" s="14" t="str">
        <x:v>Failure Pressure</x:v>
      </x:c>
      <x:c r="F7" s="14" t="str">
        <x:v>Performance Effect</x:v>
      </x:c>
      <x:c r="G7" s="14" t="str">
        <x:v>Player Message</x:v>
      </x:c>
    </x:row>
    <x:row r="8">
      <x:c r="A8" s="34" t="str">
        <x:v>Conservative</x:v>
      </x:c>
      <x:c r="B8" s="35" t="str">
        <x:v>0–20</x:v>
      </x:c>
      <x:c r="C8" s="35" t="str">
        <x:v>Very safe</x:v>
      </x:c>
      <x:c r="D8" s="35" t="str">
        <x:v>Slightly lower peak upside</x:v>
      </x:c>
      <x:c r="E8" s="35" t="str">
        <x:v>Very low</x:v>
      </x:c>
      <x:c r="F8" s="35" t="str">
        <x:v>+ risk-management quality</x:v>
      </x:c>
      <x:c r="G8" s="36" t="str">
        <x:v>Stable but may underuse opportunity</x:v>
      </x:c>
    </x:row>
    <x:row r="9">
      <x:c r="A9" s="37" t="str">
        <x:v>Managed</x:v>
      </x:c>
      <x:c r="B9" s="22" t="str">
        <x:v>21–40</x:v>
      </x:c>
      <x:c r="C9" s="22" t="str">
        <x:v>Healthy</x:v>
      </x:c>
      <x:c r="D9" s="22" t="str">
        <x:v>Normal/full</x:v>
      </x:c>
      <x:c r="E9" s="22" t="str">
        <x:v>Low</x:v>
      </x:c>
      <x:c r="F9" s="22" t="str">
        <x:v>Optimal range</x:v>
      </x:c>
      <x:c r="G9" s="38" t="str">
        <x:v>Risk is controlled</x:v>
      </x:c>
    </x:row>
    <x:row r="10">
      <x:c r="A10" s="37" t="str">
        <x:v>Elevated</x:v>
      </x:c>
      <x:c r="B10" s="22" t="str">
        <x:v>41–60</x:v>
      </x:c>
      <x:c r="C10" s="22" t="str">
        <x:v>Aggressive but workable</x:v>
      </x:c>
      <x:c r="D10" s="22" t="str">
        <x:v>Potentially higher</x:v>
      </x:c>
      <x:c r="E10" s="22" t="str">
        <x:v>Moderate</x:v>
      </x:c>
      <x:c r="F10" s="22" t="str">
        <x:v>Neutral to mildly negative</x:v>
      </x:c>
      <x:c r="G10" s="38" t="str">
        <x:v>Watch reserves and concentration</x:v>
      </x:c>
    </x:row>
    <x:row r="11">
      <x:c r="A11" s="37" t="str">
        <x:v>High</x:v>
      </x:c>
      <x:c r="B11" s="22" t="str">
        <x:v>61–80</x:v>
      </x:c>
      <x:c r="C11" s="22" t="str">
        <x:v>Fragile</x:v>
      </x:c>
      <x:c r="D11" s="22" t="str">
        <x:v>Short-term upside possible</x:v>
      </x:c>
      <x:c r="E11" s="22" t="str">
        <x:v>High</x:v>
      </x:c>
      <x:c r="F11" s="22" t="str">
        <x:v>Meaningful penalty</x:v>
      </x:c>
      <x:c r="G11" s="38" t="str">
        <x:v>Your empire is under pressure</x:v>
      </x:c>
    </x:row>
    <x:row r="12">
      <x:c r="A12" s="39" t="str">
        <x:v>Critical</x:v>
      </x:c>
      <x:c r="B12" s="40" t="str">
        <x:v>81–100</x:v>
      </x:c>
      <x:c r="C12" s="40" t="str">
        <x:v>Unstable</x:v>
      </x:c>
      <x:c r="D12" s="40" t="str">
        <x:v>Revenue can be disrupted</x:v>
      </x:c>
      <x:c r="E12" s="40" t="str">
        <x:v>Very high</x:v>
      </x:c>
      <x:c r="F12" s="40" t="str">
        <x:v>Strong penalty / event exposure</x:v>
      </x:c>
      <x:c r="G12" s="41" t="str">
        <x:v>Immediate action required</x:v>
      </x:c>
    </x:row>
    <x:row r="14" ht="22" customHeight="1">
      <x:c r="A14" s="31" t="str">
        <x:v>Reputation Bands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</x:row>
    <x:row r="15">
      <x:c r="A15" s="14" t="str">
        <x:v>Reputation Tier</x:v>
      </x:c>
      <x:c r="B15" s="14" t="str">
        <x:v>Score</x:v>
      </x:c>
      <x:c r="C15" s="14" t="str">
        <x:v>Customer Trust</x:v>
      </x:c>
      <x:c r="D15" s="14" t="str">
        <x:v>Segment Access</x:v>
      </x:c>
      <x:c r="E15" s="14" t="str">
        <x:v>Expansion Access</x:v>
      </x:c>
      <x:c r="F15" s="14" t="str">
        <x:v>Event Outcomes</x:v>
      </x:c>
      <x:c r="G15" s="14" t="str">
        <x:v>Player Meaning</x:v>
      </x:c>
    </x:row>
    <x:row r="16">
      <x:c r="A16" s="34" t="str">
        <x:v>Weak</x:v>
      </x:c>
      <x:c r="B16" s="35" t="str">
        <x:v>0–39</x:v>
      </x:c>
      <x:c r="C16" s="35" t="str">
        <x:v>Low</x:v>
      </x:c>
      <x:c r="D16" s="35" t="str">
        <x:v>Mass-market only / reduced acquisition</x:v>
      </x:c>
      <x:c r="E16" s="35" t="str">
        <x:v>Blocked</x:v>
      </x:c>
      <x:c r="F16" s="35" t="str">
        <x:v>Negative outcomes more likely</x:v>
      </x:c>
      <x:c r="G16" s="36" t="str">
        <x:v>Empire needs repair</x:v>
      </x:c>
    </x:row>
    <x:row r="17">
      <x:c r="A17" s="37" t="str">
        <x:v>Developing</x:v>
      </x:c>
      <x:c r="B17" s="22" t="str">
        <x:v>40–54</x:v>
      </x:c>
      <x:c r="C17" s="22" t="str">
        <x:v>Basic</x:v>
      </x:c>
      <x:c r="D17" s="22" t="str">
        <x:v>General consumers + retail</x:v>
      </x:c>
      <x:c r="E17" s="22" t="str">
        <x:v>First Plot only</x:v>
      </x:c>
      <x:c r="F17" s="22" t="str">
        <x:v>Neutral</x:v>
      </x:c>
      <x:c r="G17" s="38" t="str">
        <x:v>Building credibility</x:v>
      </x:c>
    </x:row>
    <x:row r="18">
      <x:c r="A18" s="37" t="str">
        <x:v>Trusted</x:v>
      </x:c>
      <x:c r="B18" s="22" t="str">
        <x:v>55–64</x:v>
      </x:c>
      <x:c r="C18" s="22" t="str">
        <x:v>Good</x:v>
      </x:c>
      <x:c r="D18" s="22" t="str">
        <x:v>SME + broader retail</x:v>
      </x:c>
      <x:c r="E18" s="22" t="str">
        <x:v>Starter gates</x:v>
      </x:c>
      <x:c r="F18" s="22" t="str">
        <x:v>Improved</x:v>
      </x:c>
      <x:c r="G18" s="38" t="str">
        <x:v>Customers trust your services</x:v>
      </x:c>
    </x:row>
    <x:row r="19">
      <x:c r="A19" s="37" t="str">
        <x:v>Established</x:v>
      </x:c>
      <x:c r="B19" s="22" t="str">
        <x:v>65–74</x:v>
      </x:c>
      <x:c r="C19" s="22" t="str">
        <x:v>Strong</x:v>
      </x:c>
      <x:c r="D19" s="22" t="str">
        <x:v>HNW begins / corporate limited</x:v>
      </x:c>
      <x:c r="E19" s="22" t="str">
        <x:v>Growing gates</x:v>
      </x:c>
      <x:c r="F19" s="22" t="str">
        <x:v>Good</x:v>
      </x:c>
      <x:c r="G19" s="38" t="str">
        <x:v>Recognized financial operator</x:v>
      </x:c>
    </x:row>
    <x:row r="20">
      <x:c r="A20" s="37" t="str">
        <x:v>Prestigious</x:v>
      </x:c>
      <x:c r="B20" s="22" t="str">
        <x:v>75–84</x:v>
      </x:c>
      <x:c r="C20" s="22" t="str">
        <x:v>Very strong</x:v>
      </x:c>
      <x:c r="D20" s="22" t="str">
        <x:v>Corporate + HNW</x:v>
      </x:c>
      <x:c r="E20" s="22" t="str">
        <x:v>Established gates</x:v>
      </x:c>
      <x:c r="F20" s="22" t="str">
        <x:v>Strong</x:v>
      </x:c>
      <x:c r="G20" s="38" t="str">
        <x:v>Institution-level reputation</x:v>
      </x:c>
    </x:row>
    <x:row r="21">
      <x:c r="A21" s="37" t="str">
        <x:v>Elite</x:v>
      </x:c>
      <x:c r="B21" s="22" t="str">
        <x:v>85–94</x:v>
      </x:c>
      <x:c r="C21" s="22" t="str">
        <x:v>Excellent</x:v>
      </x:c>
      <x:c r="D21" s="22" t="str">
        <x:v>Institutional clients</x:v>
      </x:c>
      <x:c r="E21" s="22" t="str">
        <x:v>Elite expansion/buildings</x:v>
      </x:c>
      <x:c r="F21" s="22" t="str">
        <x:v>Very strong</x:v>
      </x:c>
      <x:c r="G21" s="38" t="str">
        <x:v>Top-tier operator</x:v>
      </x:c>
    </x:row>
    <x:row r="22">
      <x:c r="A22" s="39" t="str">
        <x:v>Global</x:v>
      </x:c>
      <x:c r="B22" s="40" t="str">
        <x:v>95–100</x:v>
      </x:c>
      <x:c r="C22" s="40" t="str">
        <x:v>Exceptional</x:v>
      </x:c>
      <x:c r="D22" s="40" t="str">
        <x:v>Full segment access</x:v>
      </x:c>
      <x:c r="E22" s="40" t="str">
        <x:v>Tycoon prestige</x:v>
      </x:c>
      <x:c r="F22" s="40" t="str">
        <x:v>Best non-guaranteed outcomes</x:v>
      </x:c>
      <x:c r="G22" s="41" t="str">
        <x:v>World-class financial reputation</x:v>
      </x:c>
    </x:row>
    <x:row r="24" ht="22" customHeight="1">
      <x:c r="A24" s="31" t="str">
        <x:v>Design Guardrails</x:v>
      </x:c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</x:row>
    <x:row r="25">
      <x:c r="A25" s="14" t="str">
        <x:v>Rule</x:v>
      </x:c>
      <x:c r="B25" s="14" t="str">
        <x:v>Specification</x:v>
      </x:c>
    </x:row>
    <x:row r="26">
      <x:c r="A26" s="34" t="str">
        <x:v>Risk is not automatically bad</x:v>
      </x:c>
      <x:c r="B26" s="36" t="str">
        <x:v>Managed risk should support efficient growth. Only unmanaged/high risk creates meaningful penalties.</x:v>
      </x:c>
    </x:row>
    <x:row r="27">
      <x:c r="A27" s="37" t="str">
        <x:v>No catastrophic asset wipes</x:v>
      </x:c>
      <x:c r="B27" s="38" t="str">
        <x:v>Failures reduce revenue, customers, reputation, capacity or event outcomes temporarily; buildings/land are not randomly destroyed.</x:v>
      </x:c>
    </x:row>
    <x:row r="28">
      <x:c r="A28" s="37" t="str">
        <x:v>Reputation cannot be bought directly</x:v>
      </x:c>
      <x:c r="B28" s="38" t="str">
        <x:v>Players improve it through service quality, retention, risk control, events and milestones.</x:v>
      </x:c>
    </x:row>
    <x:row r="29">
      <x:c r="A29" s="37" t="str">
        <x:v>Scale raises complexity</x:v>
      </x:c>
      <x:c r="B29" s="38" t="str">
        <x:v>Larger territories and institutions naturally introduce more risk sources, offset by stronger control buildings.</x:v>
      </x:c>
    </x:row>
    <x:row r="30">
      <x:c r="A30" s="39" t="str">
        <x:v>Performance is normalized</x:v>
      </x:c>
      <x:c r="B30" s="41" t="str">
        <x:v>Risk and Reputation contribute to weekly Performance Score but cannot dominate it.</x:v>
      </x:c>
    </x:row>
    <x:row r="32" ht="22" customHeight="1">
      <x:c r="A32" s="31" t="str">
        <x:v>Quality Profile Examples</x:v>
      </x:c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</x:row>
    <x:row r="33">
      <x:c r="A33" s="14" t="str">
        <x:v>Scenario</x:v>
      </x:c>
      <x:c r="B33" s="14" t="str">
        <x:v>Composite Risk</x:v>
      </x:c>
      <x:c r="C33" s="14" t="str">
        <x:v>Risk Band</x:v>
      </x:c>
      <x:c r="D33" s="14" t="str">
        <x:v>Reputation</x:v>
      </x:c>
      <x:c r="E33" s="14" t="str">
        <x:v>Rep Tier</x:v>
      </x:c>
      <x:c r="F33" s="14" t="str">
        <x:v>Combined Quality Contribution</x:v>
      </x:c>
    </x:row>
    <x:row r="34">
      <x:c r="A34" s="34" t="str">
        <x:v>Humble Balanced</x:v>
      </x:c>
      <x:c r="B34" s="78" t="n">
        <x:f>'14_Player_Scenarios'!I4</x:f>
        <x:v>19.7</x:v>
      </x:c>
      <x:c r="C34" s="35" t="str">
        <x:f>'14_Player_Scenarios'!J4</x:f>
        <x:v>Conservative</x:v>
      </x:c>
      <x:c r="D34" s="66" t="n">
        <x:f>'14_Player_Scenarios'!K4</x:f>
        <x:v>52</x:v>
      </x:c>
      <x:c r="E34" s="35" t="str">
        <x:f>'14_Player_Scenarios'!L4</x:f>
        <x:v>Developing</x:v>
      </x:c>
      <x:c r="F34" s="98" t="n">
        <x:f>'14_Player_Scenarios'!P4</x:f>
        <x:v>6.85</x:v>
      </x:c>
    </x:row>
    <x:row r="35">
      <x:c r="A35" s="37" t="str">
        <x:v>Growing Diversified</x:v>
      </x:c>
      <x:c r="B35" s="79" t="n">
        <x:f>'14_Player_Scenarios'!I7</x:f>
        <x:v>32.1</x:v>
      </x:c>
      <x:c r="C35" s="22" t="str">
        <x:f>'14_Player_Scenarios'!J7</x:f>
        <x:v>Managed</x:v>
      </x:c>
      <x:c r="D35" s="68" t="n">
        <x:f>'14_Player_Scenarios'!K7</x:f>
        <x:v>71</x:v>
      </x:c>
      <x:c r="E35" s="22" t="str">
        <x:f>'14_Player_Scenarios'!L7</x:f>
        <x:v>Established</x:v>
      </x:c>
      <x:c r="F35" s="99" t="n">
        <x:f>'14_Player_Scenarios'!P7</x:f>
        <x:v>8.55</x:v>
      </x:c>
    </x:row>
    <x:row r="36">
      <x:c r="A36" s="37" t="str">
        <x:v>Established Institutional</x:v>
      </x:c>
      <x:c r="B36" s="79" t="n">
        <x:f>'14_Player_Scenarios'!I8</x:f>
        <x:v>36.9</x:v>
      </x:c>
      <x:c r="C36" s="22" t="str">
        <x:f>'14_Player_Scenarios'!J8</x:f>
        <x:v>Managed</x:v>
      </x:c>
      <x:c r="D36" s="68" t="n">
        <x:f>'14_Player_Scenarios'!K8</x:f>
        <x:v>80</x:v>
      </x:c>
      <x:c r="E36" s="22" t="str">
        <x:f>'14_Player_Scenarios'!L8</x:f>
        <x:v>Prestigious</x:v>
      </x:c>
      <x:c r="F36" s="99" t="n">
        <x:f>'14_Player_Scenarios'!P8</x:f>
        <x:v>9</x:v>
      </x:c>
    </x:row>
    <x:row r="37">
      <x:c r="A37" s="37" t="str">
        <x:v>Elite Aggressive</x:v>
      </x:c>
      <x:c r="B37" s="79" t="n">
        <x:f>'14_Player_Scenarios'!I9</x:f>
        <x:v>55.3</x:v>
      </x:c>
      <x:c r="C37" s="22" t="str">
        <x:f>'14_Player_Scenarios'!J9</x:f>
        <x:v>Elevated</x:v>
      </x:c>
      <x:c r="D37" s="68" t="n">
        <x:f>'14_Player_Scenarios'!K9</x:f>
        <x:v>88</x:v>
      </x:c>
      <x:c r="E37" s="22" t="str">
        <x:f>'14_Player_Scenarios'!L9</x:f>
        <x:v>Elite</x:v>
      </x:c>
      <x:c r="F37" s="99" t="n">
        <x:f>'14_Player_Scenarios'!P9</x:f>
        <x:v>8.3</x:v>
      </x:c>
    </x:row>
    <x:row r="38">
      <x:c r="A38" s="37" t="str">
        <x:v>Tycoon Optimized</x:v>
      </x:c>
      <x:c r="B38" s="79" t="n">
        <x:f>'14_Player_Scenarios'!I10</x:f>
        <x:v>31.300000000000004</x:v>
      </x:c>
      <x:c r="C38" s="22" t="str">
        <x:f>'14_Player_Scenarios'!J10</x:f>
        <x:v>Managed</x:v>
      </x:c>
      <x:c r="D38" s="68" t="n">
        <x:f>'14_Player_Scenarios'!K10</x:f>
        <x:v>96</x:v>
      </x:c>
      <x:c r="E38" s="22" t="str">
        <x:f>'14_Player_Scenarios'!L10</x:f>
        <x:v>Global</x:v>
      </x:c>
      <x:c r="F38" s="99" t="n">
        <x:f>'14_Player_Scenarios'!P10</x:f>
        <x:v>9.8</x:v>
      </x:c>
    </x:row>
    <x:row r="39">
      <x:c r="A39" s="39" t="str">
        <x:v>Tycoon Land Hoarder</x:v>
      </x:c>
      <x:c r="B39" s="80" t="n">
        <x:f>'14_Player_Scenarios'!I11</x:f>
        <x:v>62.3</x:v>
      </x:c>
      <x:c r="C39" s="40" t="str">
        <x:f>'14_Player_Scenarios'!J11</x:f>
        <x:v>High</x:v>
      </x:c>
      <x:c r="D39" s="70" t="n">
        <x:f>'14_Player_Scenarios'!K11</x:f>
        <x:v>62</x:v>
      </x:c>
      <x:c r="E39" s="40" t="str">
        <x:f>'14_Player_Scenarios'!L11</x:f>
        <x:v>Trusted</x:v>
      </x:c>
      <x:c r="F39" s="100" t="n">
        <x:f>'14_Player_Scenarios'!P11</x:f>
        <x:v>5.275</x:v>
      </x:c>
    </x:row>
  </x:sheetData>
  <x:mergeCells>
    <x:mergeCell ref="A1:M1"/>
    <x:mergeCell ref="A6:M6"/>
    <x:mergeCell ref="A14:M14"/>
    <x:mergeCell ref="A24:M24"/>
    <x:mergeCell ref="A32:M32"/>
  </x:mergeCells>
  <x:pageMargins left="0.7" right="0.7" top="0.75" bottom="0.75" header="0.3" footer="0.3"/>
  <x:drawing xmlns:r="http://schemas.openxmlformats.org/officeDocument/2006/relationships" r:id="R50dedd0208d94886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Global Risk &amp; Reputation Assumptions</x:v>
      </x:c>
      <x:c r="B1" s="106"/>
      <x:c r="C1" s="106"/>
      <x:c r="D1" s="106"/>
      <x:c r="E1" s="106"/>
      <x:c r="F1" s="106"/>
      <x:c r="G1" s="106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Parameter</x:v>
      </x:c>
      <x:c r="B3" s="14" t="str">
        <x:v>Value</x:v>
      </x:c>
      <x:c r="C3" s="14" t="str">
        <x:v>Unit</x:v>
      </x:c>
      <x:c r="D3" s="14" t="str">
        <x:v>Editable?</x:v>
      </x:c>
      <x:c r="E3" s="14" t="str">
        <x:v>Purpose</x:v>
      </x:c>
      <x:c r="F3" s="14" t="str">
        <x:v>Recommended Range</x:v>
      </x:c>
      <x:c r="G3" s="14" t="str">
        <x:v>Notes</x:v>
      </x:c>
    </x:row>
    <x:row r="4">
      <x:c r="A4" s="34" t="str">
        <x:v>Starting Reputation</x:v>
      </x:c>
      <x:c r="B4" s="50" t="n">
        <x:v>50</x:v>
      </x:c>
      <x:c r="C4" s="35" t="str">
        <x:v>score</x:v>
      </x:c>
      <x:c r="D4" s="35" t="str">
        <x:v>Yes</x:v>
      </x:c>
      <x:c r="E4" s="35" t="str">
        <x:v>New-player trust baseline</x:v>
      </x:c>
      <x:c r="F4" s="35" t="str">
        <x:v>45–55</x:v>
      </x:c>
      <x:c r="G4" s="36" t="str"/>
    </x:row>
    <x:row r="5">
      <x:c r="A5" s="37" t="str">
        <x:v>Starting Composite Risk</x:v>
      </x:c>
      <x:c r="B5" s="51" t="n">
        <x:v>25</x:v>
      </x:c>
      <x:c r="C5" s="22" t="str">
        <x:v>score</x:v>
      </x:c>
      <x:c r="D5" s="22" t="str">
        <x:v>Yes</x:v>
      </x:c>
      <x:c r="E5" s="22" t="str">
        <x:v>Healthy early baseline</x:v>
      </x:c>
      <x:c r="F5" s="22" t="str">
        <x:v>20–30</x:v>
      </x:c>
      <x:c r="G5" s="38" t="str"/>
    </x:row>
    <x:row r="6">
      <x:c r="A6" s="37" t="str">
        <x:v>Managed Risk Midpoint</x:v>
      </x:c>
      <x:c r="B6" s="51" t="n">
        <x:v>30</x:v>
      </x:c>
      <x:c r="C6" s="22" t="str">
        <x:v>score</x:v>
      </x:c>
      <x:c r="D6" s="22" t="str">
        <x:v>Yes</x:v>
      </x:c>
      <x:c r="E6" s="22" t="str">
        <x:v>Ideal operating target</x:v>
      </x:c>
      <x:c r="F6" s="22" t="str">
        <x:v>25–35</x:v>
      </x:c>
      <x:c r="G6" s="38" t="str"/>
    </x:row>
    <x:row r="7">
      <x:c r="A7" s="37" t="str">
        <x:v>Elevated Risk Threshold</x:v>
      </x:c>
      <x:c r="B7" s="51" t="n">
        <x:v>41</x:v>
      </x:c>
      <x:c r="C7" s="22" t="str">
        <x:v>score</x:v>
      </x:c>
      <x:c r="D7" s="22" t="str">
        <x:v>Yes</x:v>
      </x:c>
      <x:c r="E7" s="22" t="str">
        <x:v>Warning threshold</x:v>
      </x:c>
      <x:c r="F7" s="22" t="str">
        <x:v>40–50</x:v>
      </x:c>
      <x:c r="G7" s="38" t="str"/>
    </x:row>
    <x:row r="8">
      <x:c r="A8" s="37" t="str">
        <x:v>High Risk Threshold</x:v>
      </x:c>
      <x:c r="B8" s="51" t="n">
        <x:v>61</x:v>
      </x:c>
      <x:c r="C8" s="22" t="str">
        <x:v>score</x:v>
      </x:c>
      <x:c r="D8" s="22" t="str">
        <x:v>Yes</x:v>
      </x:c>
      <x:c r="E8" s="22" t="str">
        <x:v>Meaningful penalty begins</x:v>
      </x:c>
      <x:c r="F8" s="22" t="str">
        <x:v>55–65</x:v>
      </x:c>
      <x:c r="G8" s="38" t="str"/>
    </x:row>
    <x:row r="9">
      <x:c r="A9" s="37" t="str">
        <x:v>Critical Risk Threshold</x:v>
      </x:c>
      <x:c r="B9" s="51" t="n">
        <x:v>81</x:v>
      </x:c>
      <x:c r="C9" s="22" t="str">
        <x:v>score</x:v>
      </x:c>
      <x:c r="D9" s="22" t="str">
        <x:v>Yes</x:v>
      </x:c>
      <x:c r="E9" s="22" t="str">
        <x:v>Severe pressure threshold</x:v>
      </x:c>
      <x:c r="F9" s="22" t="str">
        <x:v>75–85</x:v>
      </x:c>
      <x:c r="G9" s="38" t="str"/>
    </x:row>
    <x:row r="10">
      <x:c r="A10" s="37" t="str">
        <x:v>Max Composite Risk</x:v>
      </x:c>
      <x:c r="B10" s="51" t="n">
        <x:v>100</x:v>
      </x:c>
      <x:c r="C10" s="22" t="str">
        <x:v>score</x:v>
      </x:c>
      <x:c r="D10" s="22" t="str">
        <x:v>No</x:v>
      </x:c>
      <x:c r="E10" s="22" t="str">
        <x:v>Risk cap</x:v>
      </x:c>
      <x:c r="F10" s="22" t="str">
        <x:v>100</x:v>
      </x:c>
      <x:c r="G10" s="38" t="str"/>
    </x:row>
    <x:row r="11">
      <x:c r="A11" s="37" t="str">
        <x:v>Max Reputation</x:v>
      </x:c>
      <x:c r="B11" s="51" t="n">
        <x:v>100</x:v>
      </x:c>
      <x:c r="C11" s="22" t="str">
        <x:v>score</x:v>
      </x:c>
      <x:c r="D11" s="22" t="str">
        <x:v>No</x:v>
      </x:c>
      <x:c r="E11" s="22" t="str">
        <x:v>Reputation cap</x:v>
      </x:c>
      <x:c r="F11" s="22" t="str">
        <x:v>100</x:v>
      </x:c>
      <x:c r="G11" s="38" t="str"/>
    </x:row>
    <x:row r="12">
      <x:c r="A12" s="37" t="str">
        <x:v>Min Reputation</x:v>
      </x:c>
      <x:c r="B12" s="51" t="n">
        <x:v>0</x:v>
      </x:c>
      <x:c r="C12" s="22" t="str">
        <x:v>score</x:v>
      </x:c>
      <x:c r="D12" s="22" t="str">
        <x:v>No</x:v>
      </x:c>
      <x:c r="E12" s="22" t="str">
        <x:v>Floor</x:v>
      </x:c>
      <x:c r="F12" s="22" t="str">
        <x:v>0</x:v>
      </x:c>
      <x:c r="G12" s="38" t="str"/>
    </x:row>
    <x:row r="13">
      <x:c r="A13" s="37" t="str">
        <x:v>Risk Score Performance Weight</x:v>
      </x:c>
      <x:c r="B13" s="56" t="n">
        <x:v>0.05</x:v>
      </x:c>
      <x:c r="C13" s="22" t="str">
        <x:v>% of total Performance Score</x:v>
      </x:c>
      <x:c r="D13" s="22" t="str">
        <x:v>Yes</x:v>
      </x:c>
      <x:c r="E13" s="22" t="str">
        <x:v>Risk-management contribution</x:v>
      </x:c>
      <x:c r="F13" s="22" t="str">
        <x:v>3%–8%</x:v>
      </x:c>
      <x:c r="G13" s="38" t="str"/>
    </x:row>
    <x:row r="14">
      <x:c r="A14" s="37" t="str">
        <x:v>Reputation Performance Weight</x:v>
      </x:c>
      <x:c r="B14" s="56" t="n">
        <x:v>0.05</x:v>
      </x:c>
      <x:c r="C14" s="22" t="str">
        <x:v>% of total Performance Score</x:v>
      </x:c>
      <x:c r="D14" s="22" t="str">
        <x:v>Yes</x:v>
      </x:c>
      <x:c r="E14" s="22" t="str">
        <x:v>Reputation contribution</x:v>
      </x:c>
      <x:c r="F14" s="22" t="str">
        <x:v>3%–8%</x:v>
      </x:c>
      <x:c r="G14" s="38" t="str"/>
    </x:row>
    <x:row r="15">
      <x:c r="A15" s="37" t="str">
        <x:v>Daily Reputation Gain Soft Cap</x:v>
      </x:c>
      <x:c r="B15" s="51" t="n">
        <x:v>3</x:v>
      </x:c>
      <x:c r="C15" s="22" t="str">
        <x:v>points/day</x:v>
      </x:c>
      <x:c r="D15" s="22" t="str">
        <x:v>Yes</x:v>
      </x:c>
      <x:c r="E15" s="22" t="str">
        <x:v>Anti-farming</x:v>
      </x:c>
      <x:c r="F15" s="22" t="str">
        <x:v>2–5</x:v>
      </x:c>
      <x:c r="G15" s="38" t="str">
        <x:v>Milestones/events can bypass selectively</x:v>
      </x:c>
    </x:row>
    <x:row r="16">
      <x:c r="A16" s="37" t="str">
        <x:v>Daily Reputation Loss Soft Cap</x:v>
      </x:c>
      <x:c r="B16" s="51" t="n">
        <x:v>6</x:v>
      </x:c>
      <x:c r="C16" s="22" t="str">
        <x:v>points/day</x:v>
      </x:c>
      <x:c r="D16" s="22" t="str">
        <x:v>Yes</x:v>
      </x:c>
      <x:c r="E16" s="22" t="str">
        <x:v>Avoid unrecoverable spirals</x:v>
      </x:c>
      <x:c r="F16" s="22" t="str">
        <x:v>4–10</x:v>
      </x:c>
      <x:c r="G16" s="38" t="str">
        <x:v>Severe confirmed failures may exceed</x:v>
      </x:c>
    </x:row>
    <x:row r="17">
      <x:c r="A17" s="37" t="str">
        <x:v>Weekly Passive Reputation Drift</x:v>
      </x:c>
      <x:c r="B17" s="51" t="n">
        <x:v>0</x:v>
      </x:c>
      <x:c r="C17" s="22" t="str">
        <x:v>points/week</x:v>
      </x:c>
      <x:c r="D17" s="22" t="str">
        <x:v>Yes</x:v>
      </x:c>
      <x:c r="E17" s="22" t="str">
        <x:v>No arbitrary decay by default</x:v>
      </x:c>
      <x:c r="F17" s="22" t="str">
        <x:v>-1 to 0</x:v>
      </x:c>
      <x:c r="G17" s="38" t="str">
        <x:v>Low activity alone should not destroy trust</x:v>
      </x:c>
    </x:row>
    <x:row r="18">
      <x:c r="A18" s="37" t="str">
        <x:v>Reputation Recovery Floor per Day</x:v>
      </x:c>
      <x:c r="B18" s="51" t="n">
        <x:v>0.25</x:v>
      </x:c>
      <x:c r="C18" s="22" t="str">
        <x:v>points/day</x:v>
      </x:c>
      <x:c r="D18" s="22" t="str">
        <x:v>Yes</x:v>
      </x:c>
      <x:c r="E18" s="22" t="str">
        <x:v>Slow recovery after clean operation</x:v>
      </x:c>
      <x:c r="F18" s="22" t="str">
        <x:v>0.1–0.5</x:v>
      </x:c>
      <x:c r="G18" s="38" t="str">
        <x:v>Only if no new severe failures</x:v>
      </x:c>
    </x:row>
    <x:row r="19">
      <x:c r="A19" s="37" t="str">
        <x:v>Risk Natural Recovery / Day</x:v>
      </x:c>
      <x:c r="B19" s="51" t="n">
        <x:v>2</x:v>
      </x:c>
      <x:c r="C19" s="22" t="str">
        <x:v>points/day</x:v>
      </x:c>
      <x:c r="D19" s="22" t="str">
        <x:v>Yes</x:v>
      </x:c>
      <x:c r="E19" s="22" t="str">
        <x:v>Risk declines when exposures normalize</x:v>
      </x:c>
      <x:c r="F19" s="22" t="str">
        <x:v>1–4</x:v>
      </x:c>
      <x:c r="G19" s="38" t="str">
        <x:v>Not below structural baseline</x:v>
      </x:c>
    </x:row>
    <x:row r="20">
      <x:c r="A20" s="37" t="str">
        <x:v>Reserve Ratio Healthy Target</x:v>
      </x:c>
      <x:c r="B20" s="56" t="n">
        <x:v>0.15</x:v>
      </x:c>
      <x:c r="C20" s="22" t="str">
        <x:v>%</x:v>
      </x:c>
      <x:c r="D20" s="22" t="str">
        <x:v>Yes</x:v>
      </x:c>
      <x:c r="E20" s="22" t="str">
        <x:v>Liquidity-control target</x:v>
      </x:c>
      <x:c r="F20" s="22" t="str">
        <x:v>10%–20%</x:v>
      </x:c>
      <x:c r="G20" s="38" t="str"/>
    </x:row>
    <x:row r="21">
      <x:c r="A21" s="37" t="str">
        <x:v>Reserve Ratio Warning</x:v>
      </x:c>
      <x:c r="B21" s="56" t="n">
        <x:v>0.08</x:v>
      </x:c>
      <x:c r="C21" s="22" t="str">
        <x:v>%</x:v>
      </x:c>
      <x:c r="D21" s="22" t="str">
        <x:v>Yes</x:v>
      </x:c>
      <x:c r="E21" s="22" t="str">
        <x:v>Liquidity warning</x:v>
      </x:c>
      <x:c r="F21" s="22" t="str">
        <x:v>5%–10%</x:v>
      </x:c>
      <x:c r="G21" s="38" t="str"/>
    </x:row>
    <x:row r="22">
      <x:c r="A22" s="37" t="str">
        <x:v>Utilization Risk Threshold</x:v>
      </x:c>
      <x:c r="B22" s="56" t="n">
        <x:v>0.9</x:v>
      </x:c>
      <x:c r="C22" s="22" t="str">
        <x:v>%</x:v>
      </x:c>
      <x:c r="D22" s="22" t="str">
        <x:v>Yes</x:v>
      </x:c>
      <x:c r="E22" s="22" t="str">
        <x:v>Capacity stress point</x:v>
      </x:c>
      <x:c r="F22" s="22" t="str">
        <x:v>85%–95%</x:v>
      </x:c>
      <x:c r="G22" s="38" t="str"/>
    </x:row>
    <x:row r="23">
      <x:c r="A23" s="37" t="str">
        <x:v>Concentration Risk Threshold</x:v>
      </x:c>
      <x:c r="B23" s="56" t="n">
        <x:v>0.5</x:v>
      </x:c>
      <x:c r="C23" s="22" t="str">
        <x:v>% of activity</x:v>
      </x:c>
      <x:c r="D23" s="22" t="str">
        <x:v>Yes</x:v>
      </x:c>
      <x:c r="E23" s="22" t="str">
        <x:v>Single-family concentration warning</x:v>
      </x:c>
      <x:c r="F23" s="22" t="str">
        <x:v>40%–60%</x:v>
      </x:c>
      <x:c r="G23" s="38" t="str"/>
    </x:row>
    <x:row r="24">
      <x:c r="A24" s="39" t="str">
        <x:v>Risk Failure Roll Max Chance</x:v>
      </x:c>
      <x:c r="B24" s="58" t="n">
        <x:v>0.25</x:v>
      </x:c>
      <x:c r="C24" s="40" t="str">
        <x:v>% per major event</x:v>
      </x:c>
      <x:c r="D24" s="40" t="str">
        <x:v>Yes</x:v>
      </x:c>
      <x:c r="E24" s="40" t="str">
        <x:v>Hard ceiling on failure probability</x:v>
      </x:c>
      <x:c r="F24" s="40" t="str">
        <x:v>15%–30%</x:v>
      </x:c>
      <x:c r="G24" s="41" t="str">
        <x:v>Only at extreme Critical risk</x:v>
      </x:c>
    </x:row>
  </x:sheetData>
  <x:mergeCells>
    <x:mergeCell ref="A1:G1"/>
  </x:mergeCells>
  <x:conditionalFormatting sqref="B4:B24">
    <x:cfRule type="expression" dxfId="0" priority="1">
      <x:formula>B4&lt;&gt;""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30" hidden="0" customWidth="1"/>
    <x:col min="4" max="4" width="30" hidden="0" customWidth="1"/>
    <x:col min="5" max="5" width="3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Risk Categories, Weights &amp; Core Drivers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22"/>
      <x:c r="P1" s="22"/>
      <x:c r="Q1" s="22"/>
    </x:row>
    <x:row r="3">
      <x:c r="A3" s="14" t="str">
        <x:v>Risk Category</x:v>
      </x:c>
      <x:c r="B3" s="14" t="str">
        <x:v>Composite Weight</x:v>
      </x:c>
      <x:c r="C3" s="14" t="str">
        <x:v>What It Represents</x:v>
      </x:c>
      <x:c r="D3" s="14" t="str">
        <x:v>Primary Drivers</x:v>
      </x:c>
      <x:c r="E3" s="14" t="str">
        <x:v>Primary Mitigations</x:v>
      </x:c>
      <x:c r="F3" s="14" t="str">
        <x:v>Humble Relevance</x:v>
      </x:c>
      <x:c r="G3" s="14" t="str">
        <x:v>Starter</x:v>
      </x:c>
      <x:c r="H3" s="14" t="str">
        <x:v>Growing</x:v>
      </x:c>
      <x:c r="I3" s="14" t="str">
        <x:v>Established</x:v>
      </x:c>
      <x:c r="J3" s="14" t="str">
        <x:v>Elite</x:v>
      </x:c>
      <x:c r="K3" s="14" t="str">
        <x:v>Tycoon</x:v>
      </x:c>
      <x:c r="L3" s="14" t="str">
        <x:v>Warning Threshold</x:v>
      </x:c>
      <x:c r="M3" s="14" t="str">
        <x:v>High Threshold</x:v>
      </x:c>
      <x:c r="N3" s="14" t="str">
        <x:v>Critical Threshold</x:v>
      </x:c>
    </x:row>
    <x:row r="4">
      <x:c r="A4" s="34" t="str">
        <x:v>Credit Risk</x:v>
      </x:c>
      <x:c r="B4" s="60" t="n">
        <x:v>0.2</x:v>
      </x:c>
      <x:c r="C4" s="35" t="str">
        <x:v>Loss/quality risk from lending and customer credit</x:v>
      </x:c>
      <x:c r="D4" s="35" t="str">
        <x:v>Loan growth, weak underwriting, high delinquency, credit booms</x:v>
      </x:c>
      <x:c r="E4" s="35" t="str">
        <x:v>Insurance, reserves, Research/Data, tighter lending</x:v>
      </x:c>
      <x:c r="F4" s="35" t="str">
        <x:v>Low</x:v>
      </x:c>
      <x:c r="G4" s="35" t="str">
        <x:v>Medium</x:v>
      </x:c>
      <x:c r="H4" s="35" t="str">
        <x:v>High</x:v>
      </x:c>
      <x:c r="I4" s="35" t="str">
        <x:v>High</x:v>
      </x:c>
      <x:c r="J4" s="35" t="str">
        <x:v>High</x:v>
      </x:c>
      <x:c r="K4" s="35" t="str">
        <x:v>High</x:v>
      </x:c>
      <x:c r="L4" s="66" t="n">
        <x:v>45</x:v>
      </x:c>
      <x:c r="M4" s="66" t="n">
        <x:v>65</x:v>
      </x:c>
      <x:c r="N4" s="67" t="n">
        <x:v>85</x:v>
      </x:c>
    </x:row>
    <x:row r="5">
      <x:c r="A5" s="37" t="str">
        <x:v>Market Risk</x:v>
      </x:c>
      <x:c r="B5" s="61" t="n">
        <x:v>0.2</x:v>
      </x:c>
      <x:c r="C5" s="22" t="str">
        <x:v>Exposure to price/volatility-driven activity</x:v>
      </x:c>
      <x:c r="D5" s="22" t="str">
        <x:v>Trading intensity, market events, concentrated market businesses</x:v>
      </x:c>
      <x:c r="E5" s="22" t="str">
        <x:v>Research/Data, diversification, Treasury, reduced exposure</x:v>
      </x:c>
      <x:c r="F5" s="22" t="str">
        <x:v>Low</x:v>
      </x:c>
      <x:c r="G5" s="22" t="str">
        <x:v>Medium</x:v>
      </x:c>
      <x:c r="H5" s="22" t="str">
        <x:v>High</x:v>
      </x:c>
      <x:c r="I5" s="22" t="str">
        <x:v>High</x:v>
      </x:c>
      <x:c r="J5" s="22" t="str">
        <x:v>High</x:v>
      </x:c>
      <x:c r="K5" s="22" t="str">
        <x:v>High</x:v>
      </x:c>
      <x:c r="L5" s="68" t="n">
        <x:v>45</x:v>
      </x:c>
      <x:c r="M5" s="68" t="n">
        <x:v>65</x:v>
      </x:c>
      <x:c r="N5" s="69" t="n">
        <x:v>85</x:v>
      </x:c>
    </x:row>
    <x:row r="6">
      <x:c r="A6" s="37" t="str">
        <x:v>Liquidity Risk</x:v>
      </x:c>
      <x:c r="B6" s="61" t="n">
        <x:v>0.2</x:v>
      </x:c>
      <x:c r="C6" s="22" t="str">
        <x:v>Ability to meet withdrawals, flows and market-making needs</x:v>
      </x:c>
      <x:c r="D6" s="22" t="str">
        <x:v>Low reserves, high utilization, rapid growth, bank runs</x:v>
      </x:c>
      <x:c r="E6" s="22" t="str">
        <x:v>Treasury/Vault, reserve ratio, diversified funding</x:v>
      </x:c>
      <x:c r="F6" s="22" t="str">
        <x:v>Low</x:v>
      </x:c>
      <x:c r="G6" s="22" t="str">
        <x:v>Medium</x:v>
      </x:c>
      <x:c r="H6" s="22" t="str">
        <x:v>High</x:v>
      </x:c>
      <x:c r="I6" s="22" t="str">
        <x:v>Very High</x:v>
      </x:c>
      <x:c r="J6" s="22" t="str">
        <x:v>Very High</x:v>
      </x:c>
      <x:c r="K6" s="22" t="str">
        <x:v>Very High</x:v>
      </x:c>
      <x:c r="L6" s="68" t="n">
        <x:v>40</x:v>
      </x:c>
      <x:c r="M6" s="68" t="n">
        <x:v>60</x:v>
      </x:c>
      <x:c r="N6" s="69" t="n">
        <x:v>80</x:v>
      </x:c>
    </x:row>
    <x:row r="7">
      <x:c r="A7" s="37" t="str">
        <x:v>Operational Risk</x:v>
      </x:c>
      <x:c r="B7" s="61" t="n">
        <x:v>0.15</x:v>
      </x:c>
      <x:c r="C7" s="22" t="str">
        <x:v>Failures in systems, capacity and service delivery</x:v>
      </x:c>
      <x:c r="D7" s="22" t="str">
        <x:v>Overload, congestion, outages, poor support infrastructure</x:v>
      </x:c>
      <x:c r="E7" s="22" t="str">
        <x:v>Data, Digital Finance, upgrades, spare capacity</x:v>
      </x:c>
      <x:c r="F7" s="22" t="str">
        <x:v>Medium</x:v>
      </x:c>
      <x:c r="G7" s="22" t="str">
        <x:v>Medium</x:v>
      </x:c>
      <x:c r="H7" s="22" t="str">
        <x:v>High</x:v>
      </x:c>
      <x:c r="I7" s="22" t="str">
        <x:v>High</x:v>
      </x:c>
      <x:c r="J7" s="22" t="str">
        <x:v>High</x:v>
      </x:c>
      <x:c r="K7" s="22" t="str">
        <x:v>High</x:v>
      </x:c>
      <x:c r="L7" s="68" t="n">
        <x:v>45</x:v>
      </x:c>
      <x:c r="M7" s="68" t="n">
        <x:v>65</x:v>
      </x:c>
      <x:c r="N7" s="69" t="n">
        <x:v>85</x:v>
      </x:c>
    </x:row>
    <x:row r="8">
      <x:c r="A8" s="37" t="str">
        <x:v>Concentration Risk</x:v>
      </x:c>
      <x:c r="B8" s="61" t="n">
        <x:v>0.15</x:v>
      </x:c>
      <x:c r="C8" s="22" t="str">
        <x:v>Overdependence on one business family/customer/asset type</x:v>
      </x:c>
      <x:c r="D8" s="22" t="str">
        <x:v>Same-family activity share, one customer segment, one district</x:v>
      </x:c>
      <x:c r="E8" s="22" t="str">
        <x:v>Diversification, district balance, multiple customer segments</x:v>
      </x:c>
      <x:c r="F8" s="22" t="str">
        <x:v>Low</x:v>
      </x:c>
      <x:c r="G8" s="22" t="str">
        <x:v>Medium</x:v>
      </x:c>
      <x:c r="H8" s="22" t="str">
        <x:v>High</x:v>
      </x:c>
      <x:c r="I8" s="22" t="str">
        <x:v>High</x:v>
      </x:c>
      <x:c r="J8" s="22" t="str">
        <x:v>High</x:v>
      </x:c>
      <x:c r="K8" s="22" t="str">
        <x:v>High</x:v>
      </x:c>
      <x:c r="L8" s="68" t="n">
        <x:v>45</x:v>
      </x:c>
      <x:c r="M8" s="68" t="n">
        <x:v>65</x:v>
      </x:c>
      <x:c r="N8" s="69" t="n">
        <x:v>85</x:v>
      </x:c>
    </x:row>
    <x:row r="9">
      <x:c r="A9" s="39" t="str">
        <x:v>Reputation Risk</x:v>
      </x:c>
      <x:c r="B9" s="62" t="n">
        <x:v>0.1</x:v>
      </x:c>
      <x:c r="C9" s="40" t="str">
        <x:v>Risk of losing trust after poor service or failures</x:v>
      </x:c>
      <x:c r="D9" s="40" t="str">
        <x:v>Low service quality, failed events, unresolved risk incidents</x:v>
      </x:c>
      <x:c r="E9" s="40" t="str">
        <x:v>Retention, service quality, transparent recovery, Insurance/Treasury</x:v>
      </x:c>
      <x:c r="F9" s="40" t="str">
        <x:v>Medium</x:v>
      </x:c>
      <x:c r="G9" s="40" t="str">
        <x:v>Medium</x:v>
      </x:c>
      <x:c r="H9" s="40" t="str">
        <x:v>High</x:v>
      </x:c>
      <x:c r="I9" s="40" t="str">
        <x:v>High</x:v>
      </x:c>
      <x:c r="J9" s="40" t="str">
        <x:v>High</x:v>
      </x:c>
      <x:c r="K9" s="40" t="str">
        <x:v>High</x:v>
      </x:c>
      <x:c r="L9" s="70" t="n">
        <x:v>40</x:v>
      </x:c>
      <x:c r="M9" s="70" t="n">
        <x:v>60</x:v>
      </x:c>
      <x:c r="N9" s="71" t="n">
        <x:v>80</x:v>
      </x:c>
    </x:row>
    <x:row r="11" ht="22" customHeight="1">
      <x:c r="A11" s="31" t="str">
        <x:v>Composite Risk Formula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</x:row>
    <x:row r="12">
      <x:c r="A12" s="14" t="str">
        <x:v>Component</x:v>
      </x:c>
      <x:c r="B12" s="14" t="str">
        <x:v>Formula</x:v>
      </x:c>
      <x:c r="C12" s="14" t="str">
        <x:v>Weight</x:v>
      </x:c>
      <x:c r="D12" s="14" t="str">
        <x:v>Example Category Score</x:v>
      </x:c>
      <x:c r="E12" s="14" t="str">
        <x:v>Weighted Contribution</x:v>
      </x:c>
      <x:c r="F12" s="14" t="str">
        <x:v>Notes</x:v>
      </x:c>
    </x:row>
    <x:row r="13">
      <x:c r="A13" s="34" t="str">
        <x:v>Credit Risk</x:v>
      </x:c>
      <x:c r="B13" s="35" t="str">
        <x:v>Category score × weight</x:v>
      </x:c>
      <x:c r="C13" s="60" t="n">
        <x:v>0.2</x:v>
      </x:c>
      <x:c r="D13" s="78" t="n">
        <x:v>30</x:v>
      </x:c>
      <x:c r="E13" s="78" t="n">
        <x:f>C13*D13</x:f>
        <x:v>6</x:v>
      </x:c>
      <x:c r="F13" s="36" t="str">
        <x:v>Each category is independently capped 0–100 before weighting.</x:v>
      </x:c>
    </x:row>
    <x:row r="14">
      <x:c r="A14" s="37" t="str">
        <x:v>Market Risk</x:v>
      </x:c>
      <x:c r="B14" s="22" t="str">
        <x:v>Category score × weight</x:v>
      </x:c>
      <x:c r="C14" s="61" t="n">
        <x:v>0.2</x:v>
      </x:c>
      <x:c r="D14" s="79" t="n">
        <x:v>35</x:v>
      </x:c>
      <x:c r="E14" s="79" t="n">
        <x:f>C14*D14</x:f>
        <x:v>7</x:v>
      </x:c>
      <x:c r="F14" s="38" t="str">
        <x:v>Each category is independently capped 0–100 before weighting.</x:v>
      </x:c>
    </x:row>
    <x:row r="15">
      <x:c r="A15" s="37" t="str">
        <x:v>Liquidity Risk</x:v>
      </x:c>
      <x:c r="B15" s="22" t="str">
        <x:v>Category score × weight</x:v>
      </x:c>
      <x:c r="C15" s="61" t="n">
        <x:v>0.2</x:v>
      </x:c>
      <x:c r="D15" s="79" t="n">
        <x:v>40</x:v>
      </x:c>
      <x:c r="E15" s="79" t="n">
        <x:f>C15*D15</x:f>
        <x:v>8</x:v>
      </x:c>
      <x:c r="F15" s="38" t="str">
        <x:v>Each category is independently capped 0–100 before weighting.</x:v>
      </x:c>
    </x:row>
    <x:row r="16">
      <x:c r="A16" s="37" t="str">
        <x:v>Operational Risk</x:v>
      </x:c>
      <x:c r="B16" s="22" t="str">
        <x:v>Category score × weight</x:v>
      </x:c>
      <x:c r="C16" s="61" t="n">
        <x:v>0.15</x:v>
      </x:c>
      <x:c r="D16" s="79" t="n">
        <x:v>45</x:v>
      </x:c>
      <x:c r="E16" s="79" t="n">
        <x:f>C16*D16</x:f>
        <x:v>6.75</x:v>
      </x:c>
      <x:c r="F16" s="38" t="str">
        <x:v>Each category is independently capped 0–100 before weighting.</x:v>
      </x:c>
    </x:row>
    <x:row r="17">
      <x:c r="A17" s="37" t="str">
        <x:v>Concentration Risk</x:v>
      </x:c>
      <x:c r="B17" s="22" t="str">
        <x:v>Category score × weight</x:v>
      </x:c>
      <x:c r="C17" s="61" t="n">
        <x:v>0.15</x:v>
      </x:c>
      <x:c r="D17" s="79" t="n">
        <x:v>50</x:v>
      </x:c>
      <x:c r="E17" s="79" t="n">
        <x:f>C17*D17</x:f>
        <x:v>7.5</x:v>
      </x:c>
      <x:c r="F17" s="38" t="str">
        <x:v>Each category is independently capped 0–100 before weighting.</x:v>
      </x:c>
    </x:row>
    <x:row r="18">
      <x:c r="A18" s="39" t="str">
        <x:v>Reputation Risk</x:v>
      </x:c>
      <x:c r="B18" s="40" t="str">
        <x:v>Category score × weight</x:v>
      </x:c>
      <x:c r="C18" s="62" t="n">
        <x:v>0.1</x:v>
      </x:c>
      <x:c r="D18" s="80" t="n">
        <x:v>55</x:v>
      </x:c>
      <x:c r="E18" s="80" t="n">
        <x:f>C18*D18</x:f>
        <x:v>5.5</x:v>
      </x:c>
      <x:c r="F18" s="41" t="str">
        <x:v>Each category is independently capped 0–100 before weighting.</x:v>
      </x:c>
    </x:row>
    <x:row r="20">
      <x:c r="A20" s="14" t="str">
        <x:v>Metric</x:v>
      </x:c>
      <x:c r="B20" s="14" t="str">
        <x:v>Formula</x:v>
      </x:c>
      <x:c r="C20" s="14" t="str">
        <x:v>Result</x:v>
      </x:c>
    </x:row>
    <x:row r="21">
      <x:c r="A21" t="str">
        <x:v>Example Composite Risk</x:v>
      </x:c>
      <x:c r="B21" t="str">
        <x:v>SUM(weighted category contributions)</x:v>
      </x:c>
      <x:c r="C21" s="84" t="n">
        <x:f>SUM(E13:E18)</x:f>
        <x:v>40.75</x:v>
      </x:c>
    </x:row>
    <x:row r="22">
      <x:c r="A22" t="str">
        <x:v>Risk Band</x:v>
      </x:c>
      <x:c r="B22" t="str">
        <x:v>Based on composite thresholds</x:v>
      </x:c>
      <x:c r="C22" t="str">
        <x:f>IF(C21&lt;=20,"Conservative",IF(C21&lt;=40,"Managed",IF(C21&lt;=60,"Elevated",IF(C21&lt;=80,"High","Critical"))))</x:f>
        <x:v>Elevated</x:v>
      </x:c>
    </x:row>
  </x:sheetData>
  <x:mergeCells>
    <x:mergeCell ref="A1:N1"/>
    <x:mergeCell ref="A11:N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Building Family Structural Risk Exposure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22"/>
      <x:c r="O1" s="22"/>
      <x:c r="P1" s="22"/>
      <x:c r="Q1" s="22"/>
    </x:row>
    <x:row r="3">
      <x:c r="A3" s="14" t="str">
        <x:v>Building Family</x:v>
      </x:c>
      <x:c r="B3" s="14" t="str">
        <x:v>Credit</x:v>
      </x:c>
      <x:c r="C3" s="14" t="str">
        <x:v>Market</x:v>
      </x:c>
      <x:c r="D3" s="14" t="str">
        <x:v>Liquidity</x:v>
      </x:c>
      <x:c r="E3" s="14" t="str">
        <x:v>Operational</x:v>
      </x:c>
      <x:c r="F3" s="14" t="str">
        <x:v>Concentration</x:v>
      </x:c>
      <x:c r="G3" s="14" t="str">
        <x:v>Reputation</x:v>
      </x:c>
      <x:c r="H3" s="14" t="str">
        <x:v>Structural Composite</x:v>
      </x:c>
      <x:c r="I3" s="14" t="str">
        <x:v>Primary Upside</x:v>
      </x:c>
      <x:c r="J3" s="14" t="str">
        <x:v>Primary Weakness</x:v>
      </x:c>
      <x:c r="K3" s="14" t="str">
        <x:v>Best Mitigation Pair</x:v>
      </x:c>
      <x:c r="L3" s="14" t="str">
        <x:v>Risk Style</x:v>
      </x:c>
      <x:c r="M3" s="14" t="str">
        <x:v>Notes</x:v>
      </x:c>
    </x:row>
    <x:row r="4">
      <x:c r="A4" s="34" t="str">
        <x:v>Banking</x:v>
      </x:c>
      <x:c r="B4" s="66" t="n">
        <x:v>55</x:v>
      </x:c>
      <x:c r="C4" s="66" t="n">
        <x:v>15</x:v>
      </x:c>
      <x:c r="D4" s="66" t="n">
        <x:v>60</x:v>
      </x:c>
      <x:c r="E4" s="66" t="n">
        <x:v>35</x:v>
      </x:c>
      <x:c r="F4" s="66" t="n">
        <x:v>30</x:v>
      </x:c>
      <x:c r="G4" s="66" t="n">
        <x:v>40</x:v>
      </x:c>
      <x:c r="H4" s="78" t="n">
        <x:f>B4*'02_Risk_Categories'!$B$4+C4*'02_Risk_Categories'!$B$5+D4*'02_Risk_Categories'!$B$6+E4*'02_Risk_Categories'!$B$7+F4*'02_Risk_Categories'!$B$8+G4*'02_Risk_Categories'!$B$9</x:f>
        <x:v>39.75</x:v>
      </x:c>
      <x:c r="I4" s="35" t="str">
        <x:v>Stable customer/deposit engine</x:v>
      </x:c>
      <x:c r="J4" s="35" t="str">
        <x:v>Liquidity + credit stress</x:v>
      </x:c>
      <x:c r="K4" s="35" t="str">
        <x:v>Treasury + Insurance</x:v>
      </x:c>
      <x:c r="L4" s="35" t="str">
        <x:v>Balance-sheet</x:v>
      </x:c>
      <x:c r="M4" s="36" t="str"/>
    </x:row>
    <x:row r="5">
      <x:c r="A5" s="37" t="str">
        <x:v>Lending</x:v>
      </x:c>
      <x:c r="B5" s="68" t="n">
        <x:v>75</x:v>
      </x:c>
      <x:c r="C5" s="68" t="n">
        <x:v>10</x:v>
      </x:c>
      <x:c r="D5" s="68" t="n">
        <x:v>45</x:v>
      </x:c>
      <x:c r="E5" s="68" t="n">
        <x:v>30</x:v>
      </x:c>
      <x:c r="F5" s="68" t="n">
        <x:v>35</x:v>
      </x:c>
      <x:c r="G5" s="68" t="n">
        <x:v>45</x:v>
      </x:c>
      <x:c r="H5" s="79" t="n">
        <x:f>B5*'02_Risk_Categories'!$B$4+C5*'02_Risk_Categories'!$B$5+D5*'02_Risk_Categories'!$B$6+E5*'02_Risk_Categories'!$B$7+F5*'02_Risk_Categories'!$B$8+G5*'02_Risk_Categories'!$B$9</x:f>
        <x:v>40.25</x:v>
      </x:c>
      <x:c r="I5" s="22" t="str">
        <x:v>High loan revenue</x:v>
      </x:c>
      <x:c r="J5" s="22" t="str">
        <x:v>Credit deterioration</x:v>
      </x:c>
      <x:c r="K5" s="22" t="str">
        <x:v>Insurance + Research/Data</x:v>
      </x:c>
      <x:c r="L5" s="22" t="str">
        <x:v>Credit-heavy</x:v>
      </x:c>
      <x:c r="M5" s="38" t="str"/>
    </x:row>
    <x:row r="6">
      <x:c r="A6" s="37" t="str">
        <x:v>Brokerage</x:v>
      </x:c>
      <x:c r="B6" s="68" t="n">
        <x:v>10</x:v>
      </x:c>
      <x:c r="C6" s="68" t="n">
        <x:v>60</x:v>
      </x:c>
      <x:c r="D6" s="68" t="n">
        <x:v>25</x:v>
      </x:c>
      <x:c r="E6" s="68" t="n">
        <x:v>45</x:v>
      </x:c>
      <x:c r="F6" s="68" t="n">
        <x:v>45</x:v>
      </x:c>
      <x:c r="G6" s="68" t="n">
        <x:v>35</x:v>
      </x:c>
      <x:c r="H6" s="79" t="n">
        <x:f>B6*'02_Risk_Categories'!$B$4+C6*'02_Risk_Categories'!$B$5+D6*'02_Risk_Categories'!$B$6+E6*'02_Risk_Categories'!$B$7+F6*'02_Risk_Categories'!$B$8+G6*'02_Risk_Categories'!$B$9</x:f>
        <x:v>36</x:v>
      </x:c>
      <x:c r="I6" s="22" t="str">
        <x:v>Customer trading activity</x:v>
      </x:c>
      <x:c r="J6" s="22" t="str">
        <x:v>Market + operational volatility</x:v>
      </x:c>
      <x:c r="K6" s="22" t="str">
        <x:v>Research/Data + Exchange</x:v>
      </x:c>
      <x:c r="L6" s="22" t="str">
        <x:v>Market-facing</x:v>
      </x:c>
      <x:c r="M6" s="38" t="str"/>
    </x:row>
    <x:row r="7">
      <x:c r="A7" s="37" t="str">
        <x:v>Exchange / Trading</x:v>
      </x:c>
      <x:c r="B7" s="68" t="n">
        <x:v>5</x:v>
      </x:c>
      <x:c r="C7" s="68" t="n">
        <x:v>75</x:v>
      </x:c>
      <x:c r="D7" s="68" t="n">
        <x:v>55</x:v>
      </x:c>
      <x:c r="E7" s="68" t="n">
        <x:v>50</x:v>
      </x:c>
      <x:c r="F7" s="68" t="n">
        <x:v>50</x:v>
      </x:c>
      <x:c r="G7" s="68" t="n">
        <x:v>40</x:v>
      </x:c>
      <x:c r="H7" s="79" t="n">
        <x:f>B7*'02_Risk_Categories'!$B$4+C7*'02_Risk_Categories'!$B$5+D7*'02_Risk_Categories'!$B$6+E7*'02_Risk_Categories'!$B$7+F7*'02_Risk_Categories'!$B$8+G7*'02_Risk_Categories'!$B$9</x:f>
        <x:v>46</x:v>
      </x:c>
      <x:c r="I7" s="22" t="str">
        <x:v>High transaction activity</x:v>
      </x:c>
      <x:c r="J7" s="22" t="str">
        <x:v>Market/liquidity spikes</x:v>
      </x:c>
      <x:c r="K7" s="22" t="str">
        <x:v>Market Maker + Data + Treasury</x:v>
      </x:c>
      <x:c r="L7" s="22" t="str">
        <x:v>Volatility-heavy</x:v>
      </x:c>
      <x:c r="M7" s="38" t="str"/>
    </x:row>
    <x:row r="8">
      <x:c r="A8" s="37" t="str">
        <x:v>Market Maker</x:v>
      </x:c>
      <x:c r="B8" s="68" t="n">
        <x:v>5</x:v>
      </x:c>
      <x:c r="C8" s="68" t="n">
        <x:v>80</x:v>
      </x:c>
      <x:c r="D8" s="68" t="n">
        <x:v>80</x:v>
      </x:c>
      <x:c r="E8" s="68" t="n">
        <x:v>55</x:v>
      </x:c>
      <x:c r="F8" s="68" t="n">
        <x:v>55</x:v>
      </x:c>
      <x:c r="G8" s="68" t="n">
        <x:v>45</x:v>
      </x:c>
      <x:c r="H8" s="79" t="n">
        <x:f>B8*'02_Risk_Categories'!$B$4+C8*'02_Risk_Categories'!$B$5+D8*'02_Risk_Categories'!$B$6+E8*'02_Risk_Categories'!$B$7+F8*'02_Risk_Categories'!$B$8+G8*'02_Risk_Categories'!$B$9</x:f>
        <x:v>54</x:v>
      </x:c>
      <x:c r="I8" s="22" t="str">
        <x:v>Liquidity/volume upside</x:v>
      </x:c>
      <x:c r="J8" s="22" t="str">
        <x:v>Liquidity and market stress</x:v>
      </x:c>
      <x:c r="K8" s="22" t="str">
        <x:v>Treasury + Data</x:v>
      </x:c>
      <x:c r="L8" s="22" t="str">
        <x:v>High-risk specialist</x:v>
      </x:c>
      <x:c r="M8" s="38" t="str"/>
    </x:row>
    <x:row r="9">
      <x:c r="A9" s="37" t="str">
        <x:v>Fund / Asset Mgmt</x:v>
      </x:c>
      <x:c r="B9" s="68" t="n">
        <x:v>20</x:v>
      </x:c>
      <x:c r="C9" s="68" t="n">
        <x:v>65</x:v>
      </x:c>
      <x:c r="D9" s="68" t="n">
        <x:v>45</x:v>
      </x:c>
      <x:c r="E9" s="68" t="n">
        <x:v>35</x:v>
      </x:c>
      <x:c r="F9" s="68" t="n">
        <x:v>55</x:v>
      </x:c>
      <x:c r="G9" s="68" t="n">
        <x:v>45</x:v>
      </x:c>
      <x:c r="H9" s="79" t="n">
        <x:f>B9*'02_Risk_Categories'!$B$4+C9*'02_Risk_Categories'!$B$5+D9*'02_Risk_Categories'!$B$6+E9*'02_Risk_Categories'!$B$7+F9*'02_Risk_Categories'!$B$8+G9*'02_Risk_Categories'!$B$9</x:f>
        <x:v>44</x:v>
      </x:c>
      <x:c r="I9" s="22" t="str">
        <x:v>AUM + investment activity</x:v>
      </x:c>
      <x:c r="J9" s="22" t="str">
        <x:v>Market/concentration drawdowns</x:v>
      </x:c>
      <x:c r="K9" s="22" t="str">
        <x:v>Research + Treasury</x:v>
      </x:c>
      <x:c r="L9" s="22" t="str">
        <x:v>Portfolio risk</x:v>
      </x:c>
      <x:c r="M9" s="38" t="str"/>
    </x:row>
    <x:row r="10">
      <x:c r="A10" s="37" t="str">
        <x:v>Insurance</x:v>
      </x:c>
      <x:c r="B10" s="68" t="n">
        <x:v>40</x:v>
      </x:c>
      <x:c r="C10" s="68" t="n">
        <x:v>15</x:v>
      </x:c>
      <x:c r="D10" s="68" t="n">
        <x:v>45</x:v>
      </x:c>
      <x:c r="E10" s="68" t="n">
        <x:v>40</x:v>
      </x:c>
      <x:c r="F10" s="68" t="n">
        <x:v>30</x:v>
      </x:c>
      <x:c r="G10" s="68" t="n">
        <x:v>30</x:v>
      </x:c>
      <x:c r="H10" s="79" t="n">
        <x:f>B10*'02_Risk_Categories'!$B$4+C10*'02_Risk_Categories'!$B$5+D10*'02_Risk_Categories'!$B$6+E10*'02_Risk_Categories'!$B$7+F10*'02_Risk_Categories'!$B$8+G10*'02_Risk_Categories'!$B$9</x:f>
        <x:v>33.5</x:v>
      </x:c>
      <x:c r="I10" s="22" t="str">
        <x:v>Retention + protection</x:v>
      </x:c>
      <x:c r="J10" s="22" t="str">
        <x:v>Claims spikes</x:v>
      </x:c>
      <x:c r="K10" s="22" t="str">
        <x:v>Treasury + Data</x:v>
      </x:c>
      <x:c r="L10" s="22" t="str">
        <x:v>Defensive</x:v>
      </x:c>
      <x:c r="M10" s="38" t="str"/>
    </x:row>
    <x:row r="11">
      <x:c r="A11" s="37" t="str">
        <x:v>Research / Data</x:v>
      </x:c>
      <x:c r="B11" s="68" t="n">
        <x:v>5</x:v>
      </x:c>
      <x:c r="C11" s="68" t="n">
        <x:v>20</x:v>
      </x:c>
      <x:c r="D11" s="68" t="n">
        <x:v>10</x:v>
      </x:c>
      <x:c r="E11" s="68" t="n">
        <x:v>35</x:v>
      </x:c>
      <x:c r="F11" s="68" t="n">
        <x:v>20</x:v>
      </x:c>
      <x:c r="G11" s="68" t="n">
        <x:v>20</x:v>
      </x:c>
      <x:c r="H11" s="79" t="n">
        <x:f>B11*'02_Risk_Categories'!$B$4+C11*'02_Risk_Categories'!$B$5+D11*'02_Risk_Categories'!$B$6+E11*'02_Risk_Categories'!$B$7+F11*'02_Risk_Categories'!$B$8+G11*'02_Risk_Categories'!$B$9</x:f>
        <x:v>17.25</x:v>
      </x:c>
      <x:c r="I11" s="22" t="str">
        <x:v>Risk mitigation + Hunt quality</x:v>
      </x:c>
      <x:c r="J11" s="22" t="str">
        <x:v>Operational outages</x:v>
      </x:c>
      <x:c r="K11" s="22" t="str">
        <x:v>Digital Finance / redundancy</x:v>
      </x:c>
      <x:c r="L11" s="22" t="str">
        <x:v>Support</x:v>
      </x:c>
      <x:c r="M11" s="38" t="str"/>
    </x:row>
    <x:row r="12">
      <x:c r="A12" s="37" t="str">
        <x:v>Treasury / Vault</x:v>
      </x:c>
      <x:c r="B12" s="68" t="n">
        <x:v>10</x:v>
      </x:c>
      <x:c r="C12" s="68" t="n">
        <x:v>15</x:v>
      </x:c>
      <x:c r="D12" s="68" t="n">
        <x:v>15</x:v>
      </x:c>
      <x:c r="E12" s="68" t="n">
        <x:v>30</x:v>
      </x:c>
      <x:c r="F12" s="68" t="n">
        <x:v>20</x:v>
      </x:c>
      <x:c r="G12" s="68" t="n">
        <x:v>20</x:v>
      </x:c>
      <x:c r="H12" s="79" t="n">
        <x:f>B12*'02_Risk_Categories'!$B$4+C12*'02_Risk_Categories'!$B$5+D12*'02_Risk_Categories'!$B$6+E12*'02_Risk_Categories'!$B$7+F12*'02_Risk_Categories'!$B$8+G12*'02_Risk_Categories'!$B$9</x:f>
        <x:v>17.5</x:v>
      </x:c>
      <x:c r="I12" s="22" t="str">
        <x:v>Liquidity + capital control</x:v>
      </x:c>
      <x:c r="J12" s="22" t="str">
        <x:v>Low direct revenue</x:v>
      </x:c>
      <x:c r="K12" s="22" t="str">
        <x:v>Data + Banking</x:v>
      </x:c>
      <x:c r="L12" s="22" t="str">
        <x:v>Defensive support</x:v>
      </x:c>
      <x:c r="M12" s="38" t="str"/>
    </x:row>
    <x:row r="13">
      <x:c r="A13" s="37" t="str">
        <x:v>Wealth / Private</x:v>
      </x:c>
      <x:c r="B13" s="68" t="n">
        <x:v>10</x:v>
      </x:c>
      <x:c r="C13" s="68" t="n">
        <x:v>40</x:v>
      </x:c>
      <x:c r="D13" s="68" t="n">
        <x:v>25</x:v>
      </x:c>
      <x:c r="E13" s="68" t="n">
        <x:v>30</x:v>
      </x:c>
      <x:c r="F13" s="68" t="n">
        <x:v>45</x:v>
      </x:c>
      <x:c r="G13" s="68" t="n">
        <x:v>55</x:v>
      </x:c>
      <x:c r="H13" s="79" t="n">
        <x:f>B13*'02_Risk_Categories'!$B$4+C13*'02_Risk_Categories'!$B$5+D13*'02_Risk_Categories'!$B$6+E13*'02_Risk_Categories'!$B$7+F13*'02_Risk_Categories'!$B$8+G13*'02_Risk_Categories'!$B$9</x:f>
        <x:v>31.75</x:v>
      </x:c>
      <x:c r="I13" s="22" t="str">
        <x:v>HNW conversion / AUM</x:v>
      </x:c>
      <x:c r="J13" s="22" t="str">
        <x:v>Trust sensitivity</x:v>
      </x:c>
      <x:c r="K13" s="22" t="str">
        <x:v>Fund + Bank + Research</x:v>
      </x:c>
      <x:c r="L13" s="22" t="str">
        <x:v>Reputation-sensitive</x:v>
      </x:c>
      <x:c r="M13" s="38" t="str"/>
    </x:row>
    <x:row r="14">
      <x:c r="A14" s="37" t="str">
        <x:v>Investment Banking</x:v>
      </x:c>
      <x:c r="B14" s="68" t="n">
        <x:v>25</x:v>
      </x:c>
      <x:c r="C14" s="68" t="n">
        <x:v>55</x:v>
      </x:c>
      <x:c r="D14" s="68" t="n">
        <x:v>45</x:v>
      </x:c>
      <x:c r="E14" s="68" t="n">
        <x:v>40</x:v>
      </x:c>
      <x:c r="F14" s="68" t="n">
        <x:v>55</x:v>
      </x:c>
      <x:c r="G14" s="68" t="n">
        <x:v>50</x:v>
      </x:c>
      <x:c r="H14" s="79" t="n">
        <x:f>B14*'02_Risk_Categories'!$B$4+C14*'02_Risk_Categories'!$B$5+D14*'02_Risk_Categories'!$B$6+E14*'02_Risk_Categories'!$B$7+F14*'02_Risk_Categories'!$B$8+G14*'02_Risk_Categories'!$B$9</x:f>
        <x:v>44.25</x:v>
      </x:c>
      <x:c r="I14" s="22" t="str">
        <x:v>Corporate/deal upside</x:v>
      </x:c>
      <x:c r="J14" s="22" t="str">
        <x:v>Market + concentration cycles</x:v>
      </x:c>
      <x:c r="K14" s="22" t="str">
        <x:v>Treasury + Research</x:v>
      </x:c>
      <x:c r="L14" s="22" t="str">
        <x:v>Corporate cycle</x:v>
      </x:c>
      <x:c r="M14" s="38" t="str"/>
    </x:row>
    <x:row r="15">
      <x:c r="A15" s="39" t="str">
        <x:v>Financial Services</x:v>
      </x:c>
      <x:c r="B15" s="70" t="n">
        <x:v>20</x:v>
      </x:c>
      <x:c r="C15" s="70" t="n">
        <x:v>25</x:v>
      </x:c>
      <x:c r="D15" s="70" t="n">
        <x:v>20</x:v>
      </x:c>
      <x:c r="E15" s="70" t="n">
        <x:v>35</x:v>
      </x:c>
      <x:c r="F15" s="70" t="n">
        <x:v>30</x:v>
      </x:c>
      <x:c r="G15" s="70" t="n">
        <x:v>30</x:v>
      </x:c>
      <x:c r="H15" s="80" t="n">
        <x:f>B15*'02_Risk_Categories'!$B$4+C15*'02_Risk_Categories'!$B$5+D15*'02_Risk_Categories'!$B$6+E15*'02_Risk_Categories'!$B$7+F15*'02_Risk_Categories'!$B$8+G15*'02_Risk_Categories'!$B$9</x:f>
        <x:v>25.75</x:v>
      </x:c>
      <x:c r="I15" s="40" t="str">
        <x:v>Diversified customer routing</x:v>
      </x:c>
      <x:c r="J15" s="40" t="str">
        <x:v>Lower specialization edge</x:v>
      </x:c>
      <x:c r="K15" s="40" t="str">
        <x:v>Bank + Wealth + Data</x:v>
      </x:c>
      <x:c r="L15" s="40" t="str">
        <x:v>Balanced</x:v>
      </x:c>
      <x:c r="M15" s="41" t="str"/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Dynamic Risk Calculation — Structural Exposure + Operating Drivers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22"/>
      <x:c r="Q1" s="22"/>
    </x:row>
    <x:row r="3">
      <x:c r="A3" s="14" t="str">
        <x:v>Driver</x:v>
      </x:c>
      <x:c r="B3" s="14" t="str">
        <x:v>Affected Risk</x:v>
      </x:c>
      <x:c r="C3" s="14" t="str">
        <x:v>Input Scale</x:v>
      </x:c>
      <x:c r="D3" s="14" t="str">
        <x:v>Safe Zone</x:v>
      </x:c>
      <x:c r="E3" s="14" t="str">
        <x:v>Warning Zone</x:v>
      </x:c>
      <x:c r="F3" s="14" t="str">
        <x:v>High Zone</x:v>
      </x:c>
      <x:c r="G3" s="14" t="str">
        <x:v>Critical Zone</x:v>
      </x:c>
      <x:c r="H3" s="14" t="str">
        <x:v>Max Additive Risk</x:v>
      </x:c>
      <x:c r="I3" s="14" t="str">
        <x:v>Formula Concept</x:v>
      </x:c>
      <x:c r="J3" s="14" t="str">
        <x:v>Mitigation</x:v>
      </x:c>
      <x:c r="K3" s="14" t="str">
        <x:v>Stage Sensitivity</x:v>
      </x:c>
      <x:c r="L3" s="14" t="str">
        <x:v>Update Cadence</x:v>
      </x:c>
      <x:c r="M3" s="14" t="str">
        <x:v>Player Visible?</x:v>
      </x:c>
      <x:c r="N3" s="14" t="str">
        <x:v>MVP?</x:v>
      </x:c>
      <x:c r="O3" s="14" t="str">
        <x:v>Notes</x:v>
      </x:c>
    </x:row>
    <x:row r="4">
      <x:c r="A4" s="34" t="str">
        <x:v>Utilization</x:v>
      </x:c>
      <x:c r="B4" s="35" t="str">
        <x:v>Operational / Liquidity</x:v>
      </x:c>
      <x:c r="C4" s="35" t="str">
        <x:v>0–100%</x:v>
      </x:c>
      <x:c r="D4" s="35" t="str">
        <x:v>&lt;80%</x:v>
      </x:c>
      <x:c r="E4" s="35" t="str">
        <x:v>80–90%</x:v>
      </x:c>
      <x:c r="F4" s="35" t="str">
        <x:v>90–100%</x:v>
      </x:c>
      <x:c r="G4" s="35" t="str">
        <x:v>&gt;100% attempted demand</x:v>
      </x:c>
      <x:c r="H4" s="66" t="n">
        <x:v>18</x:v>
      </x:c>
      <x:c r="I4" s="35" t="str">
        <x:v>Ramp above 80%</x:v>
      </x:c>
      <x:c r="J4" s="35" t="str">
        <x:v>Capacity upgrades, Data, expansion</x:v>
      </x:c>
      <x:c r="K4" s="35" t="str">
        <x:v>All</x:v>
      </x:c>
      <x:c r="L4" s="35" t="str">
        <x:v>15 min</x:v>
      </x:c>
      <x:c r="M4" s="35" t="str">
        <x:v>Yes</x:v>
      </x:c>
      <x:c r="N4" s="35" t="str">
        <x:v>Yes</x:v>
      </x:c>
      <x:c r="O4" s="36" t="str"/>
    </x:row>
    <x:row r="5">
      <x:c r="A5" s="37" t="str">
        <x:v>Reserve Ratio</x:v>
      </x:c>
      <x:c r="B5" s="22" t="str">
        <x:v>Liquidity</x:v>
      </x:c>
      <x:c r="C5" s="22" t="str">
        <x:v>0–30%+</x:v>
      </x:c>
      <x:c r="D5" s="22" t="str">
        <x:v>≥15%</x:v>
      </x:c>
      <x:c r="E5" s="22" t="str">
        <x:v>8–15%</x:v>
      </x:c>
      <x:c r="F5" s="22" t="str">
        <x:v>4–8%</x:v>
      </x:c>
      <x:c r="G5" s="22" t="str">
        <x:v>&lt;4%</x:v>
      </x:c>
      <x:c r="H5" s="68" t="n">
        <x:v>25</x:v>
      </x:c>
      <x:c r="I5" s="22" t="str">
        <x:v>Penalty rises below 15%</x:v>
      </x:c>
      <x:c r="J5" s="22" t="str">
        <x:v>Treasury/Vault, retain Cash</x:v>
      </x:c>
      <x:c r="K5" s="22" t="str">
        <x:v>Starter+</x:v>
      </x:c>
      <x:c r="L5" s="22" t="str">
        <x:v>15 min</x:v>
      </x:c>
      <x:c r="M5" s="22" t="str">
        <x:v>Yes</x:v>
      </x:c>
      <x:c r="N5" s="22" t="str">
        <x:v>Yes</x:v>
      </x:c>
      <x:c r="O5" s="38" t="str"/>
    </x:row>
    <x:row r="6">
      <x:c r="A6" s="37" t="str">
        <x:v>Loan Growth</x:v>
      </x:c>
      <x:c r="B6" s="22" t="str">
        <x:v>Credit</x:v>
      </x:c>
      <x:c r="C6" s="22" t="str">
        <x:v>weekly growth</x:v>
      </x:c>
      <x:c r="D6" s="22" t="str">
        <x:v>&lt;10%</x:v>
      </x:c>
      <x:c r="E6" s="22" t="str">
        <x:v>10–25%</x:v>
      </x:c>
      <x:c r="F6" s="22" t="str">
        <x:v>25–50%</x:v>
      </x:c>
      <x:c r="G6" s="22" t="str">
        <x:v>&gt;50%</x:v>
      </x:c>
      <x:c r="H6" s="68" t="n">
        <x:v>18</x:v>
      </x:c>
      <x:c r="I6" s="22" t="str">
        <x:v>Growth above underwriting comfort</x:v>
      </x:c>
      <x:c r="J6" s="22" t="str">
        <x:v>Insurance, Research, tighter lending</x:v>
      </x:c>
      <x:c r="K6" s="22" t="str">
        <x:v>Starter+</x:v>
      </x:c>
      <x:c r="L6" s="22" t="str">
        <x:v>Hourly</x:v>
      </x:c>
      <x:c r="M6" s="22" t="str">
        <x:v>Yes</x:v>
      </x:c>
      <x:c r="N6" s="22" t="str">
        <x:v>Yes</x:v>
      </x:c>
      <x:c r="O6" s="38" t="str"/>
    </x:row>
    <x:row r="7">
      <x:c r="A7" s="37" t="str">
        <x:v>Delinquency / Bad Credit</x:v>
      </x:c>
      <x:c r="B7" s="22" t="str">
        <x:v>Credit</x:v>
      </x:c>
      <x:c r="C7" s="22" t="str">
        <x:v>0–20%</x:v>
      </x:c>
      <x:c r="D7" s="22" t="str">
        <x:v>&lt;2%</x:v>
      </x:c>
      <x:c r="E7" s="22" t="str">
        <x:v>2–5%</x:v>
      </x:c>
      <x:c r="F7" s="22" t="str">
        <x:v>5–10%</x:v>
      </x:c>
      <x:c r="G7" s="22" t="str">
        <x:v>&gt;10%</x:v>
      </x:c>
      <x:c r="H7" s="68" t="n">
        <x:v>30</x:v>
      </x:c>
      <x:c r="I7" s="22" t="str">
        <x:v>Strong nonlinear penalty</x:v>
      </x:c>
      <x:c r="J7" s="22" t="str">
        <x:v>Insurance, quality customers, underwriting</x:v>
      </x:c>
      <x:c r="K7" s="22" t="str">
        <x:v>Starter+</x:v>
      </x:c>
      <x:c r="L7" s="22" t="str">
        <x:v>Hourly</x:v>
      </x:c>
      <x:c r="M7" s="22" t="str">
        <x:v>Yes</x:v>
      </x:c>
      <x:c r="N7" s="22" t="str">
        <x:v>Later</x:v>
      </x:c>
      <x:c r="O7" s="38" t="str">
        <x:v>Can be abstracted in MVP</x:v>
      </x:c>
    </x:row>
    <x:row r="8">
      <x:c r="A8" s="37" t="str">
        <x:v>Trading Intensity</x:v>
      </x:c>
      <x:c r="B8" s="22" t="str">
        <x:v>Market</x:v>
      </x:c>
      <x:c r="C8" s="22" t="str">
        <x:v>vs stage baseline</x:v>
      </x:c>
      <x:c r="D8" s="22" t="str">
        <x:v>&lt;1.0×</x:v>
      </x:c>
      <x:c r="E8" s="22" t="str">
        <x:v>1.0–1.5×</x:v>
      </x:c>
      <x:c r="F8" s="22" t="str">
        <x:v>1.5–2.2×</x:v>
      </x:c>
      <x:c r="G8" s="22" t="str">
        <x:v>&gt;2.2×</x:v>
      </x:c>
      <x:c r="H8" s="68" t="n">
        <x:v>20</x:v>
      </x:c>
      <x:c r="I8" s="22" t="str">
        <x:v>Excess activity adds market exposure</x:v>
      </x:c>
      <x:c r="J8" s="22" t="str">
        <x:v>Research, diversification, reduce exposure</x:v>
      </x:c>
      <x:c r="K8" s="22" t="str">
        <x:v>Humble+</x:v>
      </x:c>
      <x:c r="L8" s="22" t="str">
        <x:v>15 min</x:v>
      </x:c>
      <x:c r="M8" s="22" t="str">
        <x:v>Yes</x:v>
      </x:c>
      <x:c r="N8" s="22" t="str">
        <x:v>Yes</x:v>
      </x:c>
      <x:c r="O8" s="38" t="str"/>
    </x:row>
    <x:row r="9">
      <x:c r="A9" s="37" t="str">
        <x:v>Single-Family Activity Share</x:v>
      </x:c>
      <x:c r="B9" s="22" t="str">
        <x:v>Concentration</x:v>
      </x:c>
      <x:c r="C9" s="22" t="str">
        <x:v>0–100%</x:v>
      </x:c>
      <x:c r="D9" s="22" t="str">
        <x:v>&lt;40%</x:v>
      </x:c>
      <x:c r="E9" s="22" t="str">
        <x:v>40–50%</x:v>
      </x:c>
      <x:c r="F9" s="22" t="str">
        <x:v>50–70%</x:v>
      </x:c>
      <x:c r="G9" s="22" t="str">
        <x:v>&gt;70%</x:v>
      </x:c>
      <x:c r="H9" s="68" t="n">
        <x:v>22</x:v>
      </x:c>
      <x:c r="I9" s="22" t="str">
        <x:v>Penalty above concentration threshold</x:v>
      </x:c>
      <x:c r="J9" s="22" t="str">
        <x:v>Diversify business/customer families</x:v>
      </x:c>
      <x:c r="K9" s="22" t="str">
        <x:v>Growing+</x:v>
      </x:c>
      <x:c r="L9" s="22" t="str">
        <x:v>Hourly</x:v>
      </x:c>
      <x:c r="M9" s="22" t="str">
        <x:v>Yes</x:v>
      </x:c>
      <x:c r="N9" s="22" t="str">
        <x:v>Yes</x:v>
      </x:c>
      <x:c r="O9" s="38" t="str"/>
    </x:row>
    <x:row r="10">
      <x:c r="A10" s="37" t="str">
        <x:v>Single Customer Segment Share</x:v>
      </x:c>
      <x:c r="B10" s="22" t="str">
        <x:v>Concentration</x:v>
      </x:c>
      <x:c r="C10" s="22" t="str">
        <x:v>0–100%</x:v>
      </x:c>
      <x:c r="D10" s="22" t="str">
        <x:v>&lt;45%</x:v>
      </x:c>
      <x:c r="E10" s="22" t="str">
        <x:v>45–60%</x:v>
      </x:c>
      <x:c r="F10" s="22" t="str">
        <x:v>60–75%</x:v>
      </x:c>
      <x:c r="G10" s="22" t="str">
        <x:v>&gt;75%</x:v>
      </x:c>
      <x:c r="H10" s="68" t="n">
        <x:v>16</x:v>
      </x:c>
      <x:c r="I10" s="22" t="str">
        <x:v>Penalty above 45%</x:v>
      </x:c>
      <x:c r="J10" s="22" t="str">
        <x:v>Add services/segments</x:v>
      </x:c>
      <x:c r="K10" s="22" t="str">
        <x:v>Growing+</x:v>
      </x:c>
      <x:c r="L10" s="22" t="str">
        <x:v>Hourly</x:v>
      </x:c>
      <x:c r="M10" s="22" t="str">
        <x:v>Yes</x:v>
      </x:c>
      <x:c r="N10" s="22" t="str">
        <x:v>Later</x:v>
      </x:c>
      <x:c r="O10" s="38" t="str"/>
    </x:row>
    <x:row r="11">
      <x:c r="A11" s="37" t="str">
        <x:v>Service Quality</x:v>
      </x:c>
      <x:c r="B11" s="22" t="str">
        <x:v>Reputation / Operational</x:v>
      </x:c>
      <x:c r="C11" s="22" t="str">
        <x:v>0–100</x:v>
      </x:c>
      <x:c r="D11" s="22" t="str">
        <x:v>&gt;75</x:v>
      </x:c>
      <x:c r="E11" s="22" t="str">
        <x:v>60–75</x:v>
      </x:c>
      <x:c r="F11" s="22" t="str">
        <x:v>45–60</x:v>
      </x:c>
      <x:c r="G11" s="22" t="str">
        <x:v>&lt;45</x:v>
      </x:c>
      <x:c r="H11" s="68" t="n">
        <x:v>20</x:v>
      </x:c>
      <x:c r="I11" s="22" t="str">
        <x:v>Penalty below quality threshold</x:v>
      </x:c>
      <x:c r="J11" s="22" t="str">
        <x:v>Upgrades, capacity, staffing later</x:v>
      </x:c>
      <x:c r="K11" s="22" t="str">
        <x:v>All</x:v>
      </x:c>
      <x:c r="L11" s="22" t="str">
        <x:v>Hourly</x:v>
      </x:c>
      <x:c r="M11" s="22" t="str">
        <x:v>Yes</x:v>
      </x:c>
      <x:c r="N11" s="22" t="str">
        <x:v>Yes</x:v>
      </x:c>
      <x:c r="O11" s="38" t="str"/>
    </x:row>
    <x:row r="12">
      <x:c r="A12" s="37" t="str">
        <x:v>Event Stress</x:v>
      </x:c>
      <x:c r="B12" s="22" t="str">
        <x:v>Varies</x:v>
      </x:c>
      <x:c r="C12" s="22" t="str">
        <x:v>event severity 0–1</x:v>
      </x:c>
      <x:c r="D12" s="22" t="str">
        <x:v>&lt;.2</x:v>
      </x:c>
      <x:c r="E12" s="22" t="str">
        <x:v>.2–.4</x:v>
      </x:c>
      <x:c r="F12" s="22" t="str">
        <x:v>.4–.7</x:v>
      </x:c>
      <x:c r="G12" s="22" t="str">
        <x:v>&gt;.7</x:v>
      </x:c>
      <x:c r="H12" s="68" t="n">
        <x:v>25</x:v>
      </x:c>
      <x:c r="I12" s="22" t="str">
        <x:v>Event-specific additive exposure</x:v>
      </x:c>
      <x:c r="J12" s="22" t="str">
        <x:v>Player decision + mitigation buildings</x:v>
      </x:c>
      <x:c r="K12" s="22" t="str">
        <x:v>Starter+</x:v>
      </x:c>
      <x:c r="L12" s="22" t="str">
        <x:v>Event tick</x:v>
      </x:c>
      <x:c r="M12" s="22" t="str">
        <x:v>Yes</x:v>
      </x:c>
      <x:c r="N12" s="22" t="str">
        <x:v>Yes</x:v>
      </x:c>
      <x:c r="O12" s="38" t="str"/>
    </x:row>
    <x:row r="13">
      <x:c r="A13" s="39" t="str">
        <x:v>Territory Scale</x:v>
      </x:c>
      <x:c r="B13" s="40" t="str">
        <x:v>Operational / Concentration</x:v>
      </x:c>
      <x:c r="C13" s="40" t="str">
        <x:v>active Plots</x:v>
      </x:c>
      <x:c r="D13" s="40" t="str">
        <x:v>1</x:v>
      </x:c>
      <x:c r="E13" s="40" t="str">
        <x:v>2–4</x:v>
      </x:c>
      <x:c r="F13" s="40" t="str">
        <x:v>5–9</x:v>
      </x:c>
      <x:c r="G13" s="40" t="str">
        <x:v>10–16</x:v>
      </x:c>
      <x:c r="H13" s="70" t="n">
        <x:v>12</x:v>
      </x:c>
      <x:c r="I13" s="40" t="str">
        <x:v>Small structural complexity add</x:v>
      </x:c>
      <x:c r="J13" s="40" t="str">
        <x:v>Diversification + infrastructure</x:v>
      </x:c>
      <x:c r="K13" s="40" t="str">
        <x:v>Growing+</x:v>
      </x:c>
      <x:c r="L13" s="40" t="str">
        <x:v>On activation</x:v>
      </x:c>
      <x:c r="M13" s="40" t="str">
        <x:v>Yes</x:v>
      </x:c>
      <x:c r="N13" s="40" t="str">
        <x:v>Yes</x:v>
      </x:c>
      <x:c r="O13" s="41" t="str"/>
    </x:row>
    <x:row r="15" ht="22" customHeight="1">
      <x:c r="A15" s="31" t="str">
        <x:v>Recommended Category Calculation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</x:row>
    <x:row r="16">
      <x:c r="A16" s="14" t="str">
        <x:v>Step</x:v>
      </x:c>
      <x:c r="B16" s="14" t="str">
        <x:v>Formula / Rule</x:v>
      </x:c>
      <x:c r="C16" s="14" t="str">
        <x:v>Example</x:v>
      </x:c>
    </x:row>
    <x:row r="17">
      <x:c r="A17" s="34" t="n">
        <x:v>1</x:v>
      </x:c>
      <x:c r="B17" s="35" t="str">
        <x:v>Structural Category Risk = weighted exposure from active building families</x:v>
      </x:c>
      <x:c r="C17" s="36" t="str">
        <x:v>Bank-heavy empire starts with higher Credit/Liquidity baseline</x:v>
      </x:c>
    </x:row>
    <x:row r="18">
      <x:c r="A18" s="37" t="n">
        <x:v>2</x:v>
      </x:c>
      <x:c r="B18" s="22" t="str">
        <x:v>Add dynamic driver penalties for utilization, reserves, growth, concentration, events, etc.</x:v>
      </x:c>
      <x:c r="C18" s="38" t="str">
        <x:v>Low reserves can add up to +25 Liquidity Risk</x:v>
      </x:c>
    </x:row>
    <x:row r="19">
      <x:c r="A19" s="37" t="n">
        <x:v>3</x:v>
      </x:c>
      <x:c r="B19" s="22" t="str">
        <x:v>Subtract active mitigation from eligible buildings/synergies</x:v>
      </x:c>
      <x:c r="C19" s="38" t="str">
        <x:v>Treasury + Insurance reduce specific risks</x:v>
      </x:c>
    </x:row>
    <x:row r="20">
      <x:c r="A20" s="37" t="n">
        <x:v>4</x:v>
      </x:c>
      <x:c r="B20" s="22" t="str">
        <x:v>Clamp each category to 0–100</x:v>
      </x:c>
      <x:c r="C20" s="38" t="str">
        <x:v>No category below 0 or above 100</x:v>
      </x:c>
    </x:row>
    <x:row r="21">
      <x:c r="A21" s="37" t="n">
        <x:v>5</x:v>
      </x:c>
      <x:c r="B21" s="22" t="str">
        <x:v>Composite Risk = SUM(Category Score × Category Weight)</x:v>
      </x:c>
      <x:c r="C21" s="38" t="str">
        <x:v>Produces 0–100 empire Risk Score</x:v>
      </x:c>
    </x:row>
    <x:row r="22">
      <x:c r="A22" s="39" t="n">
        <x:v>6</x:v>
      </x:c>
      <x:c r="B22" s="40" t="str">
        <x:v>Apply band effects based on final Composite Risk</x:v>
      </x:c>
      <x:c r="C22" s="41" t="str">
        <x:v>Managed 21–40 is intended healthy target</x:v>
      </x:c>
    </x:row>
  </x:sheetData>
  <x:mergeCells>
    <x:mergeCell ref="A1:O1"/>
    <x:mergeCell ref="A15:O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0" hidden="0" customWidth="1"/>
    <x:col min="13" max="13" width="30" hidden="0" customWidth="1"/>
    <x:col min="14" max="14" width="30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Risk Mitigation Buildings, Actions &amp; Diminishing Returns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22"/>
      <x:c r="P1" s="22"/>
      <x:c r="Q1" s="22"/>
    </x:row>
    <x:row r="3">
      <x:c r="A3" s="14" t="str">
        <x:v>Mitigation</x:v>
      </x:c>
      <x:c r="B3" s="14" t="str">
        <x:v>Type</x:v>
      </x:c>
      <x:c r="C3" s="14" t="str">
        <x:v>Credit Risk</x:v>
      </x:c>
      <x:c r="D3" s="14" t="str">
        <x:v>Market Risk</x:v>
      </x:c>
      <x:c r="E3" s="14" t="str">
        <x:v>Liquidity Risk</x:v>
      </x:c>
      <x:c r="F3" s="14" t="str">
        <x:v>Operational Risk</x:v>
      </x:c>
      <x:c r="G3" s="14" t="str">
        <x:v>Concentration Risk</x:v>
      </x:c>
      <x:c r="H3" s="14" t="str">
        <x:v>Reputation Risk</x:v>
      </x:c>
      <x:c r="I3" s="14" t="str">
        <x:v>Max Effective Copies</x:v>
      </x:c>
      <x:c r="J3" s="14" t="str">
        <x:v>Stack Factor 2</x:v>
      </x:c>
      <x:c r="K3" s="14" t="str">
        <x:v>Stack Factor 3+</x:v>
      </x:c>
      <x:c r="L3" s="14" t="str">
        <x:v>Cost / Tradeoff</x:v>
      </x:c>
      <x:c r="M3" s="14" t="str">
        <x:v>Best Use</x:v>
      </x:c>
      <x:c r="N3" s="14" t="str">
        <x:v>Notes</x:v>
      </x:c>
    </x:row>
    <x:row r="4">
      <x:c r="A4" s="34" t="str">
        <x:v>Treasury / Vault</x:v>
      </x:c>
      <x:c r="B4" s="35" t="str">
        <x:v>Building support</x:v>
      </x:c>
      <x:c r="C4" s="66" t="n">
        <x:v>-4</x:v>
      </x:c>
      <x:c r="D4" s="66" t="n">
        <x:v>-2</x:v>
      </x:c>
      <x:c r="E4" s="66" t="n">
        <x:v>-10</x:v>
      </x:c>
      <x:c r="F4" s="66" t="n">
        <x:v>-2</x:v>
      </x:c>
      <x:c r="G4" s="66" t="n">
        <x:v>-1</x:v>
      </x:c>
      <x:c r="H4" s="66" t="n">
        <x:v>-2</x:v>
      </x:c>
      <x:c r="I4" s="66" t="n">
        <x:v>2</x:v>
      </x:c>
      <x:c r="J4" s="78" t="n">
        <x:v>0.65</x:v>
      </x:c>
      <x:c r="K4" s="78" t="n">
        <x:v>0.35</x:v>
      </x:c>
      <x:c r="L4" s="35" t="str">
        <x:v>Consumes board space / lower direct revenue</x:v>
      </x:c>
      <x:c r="M4" s="35" t="str">
        <x:v>Banks, Funds, Market Makers</x:v>
      </x:c>
      <x:c r="N4" s="36" t="str"/>
    </x:row>
    <x:row r="5">
      <x:c r="A5" s="37" t="str">
        <x:v>Insurance</x:v>
      </x:c>
      <x:c r="B5" s="22" t="str">
        <x:v>Building support</x:v>
      </x:c>
      <x:c r="C5" s="68" t="n">
        <x:v>-8</x:v>
      </x:c>
      <x:c r="D5" s="68" t="n">
        <x:v>0</x:v>
      </x:c>
      <x:c r="E5" s="68" t="n">
        <x:v>-3</x:v>
      </x:c>
      <x:c r="F5" s="68" t="n">
        <x:v>-1</x:v>
      </x:c>
      <x:c r="G5" s="68" t="n">
        <x:v>0</x:v>
      </x:c>
      <x:c r="H5" s="68" t="n">
        <x:v>-5</x:v>
      </x:c>
      <x:c r="I5" s="68" t="n">
        <x:v>2</x:v>
      </x:c>
      <x:c r="J5" s="79" t="n">
        <x:v>0.65</x:v>
      </x:c>
      <x:c r="K5" s="79" t="n">
        <x:v>0.35</x:v>
      </x:c>
      <x:c r="L5" s="22" t="str">
        <x:v>Operating cost / board space</x:v>
      </x:c>
      <x:c r="M5" s="22" t="str">
        <x:v>Banking, Lending, HNW</x:v>
      </x:c>
      <x:c r="N5" s="38" t="str"/>
    </x:row>
    <x:row r="6">
      <x:c r="A6" s="37" t="str">
        <x:v>Research / Data</x:v>
      </x:c>
      <x:c r="B6" s="22" t="str">
        <x:v>Building support</x:v>
      </x:c>
      <x:c r="C6" s="68" t="n">
        <x:v>-4</x:v>
      </x:c>
      <x:c r="D6" s="68" t="n">
        <x:v>-8</x:v>
      </x:c>
      <x:c r="E6" s="68" t="n">
        <x:v>-2</x:v>
      </x:c>
      <x:c r="F6" s="68" t="n">
        <x:v>-7</x:v>
      </x:c>
      <x:c r="G6" s="68" t="n">
        <x:v>-3</x:v>
      </x:c>
      <x:c r="H6" s="68" t="n">
        <x:v>-3</x:v>
      </x:c>
      <x:c r="I6" s="68" t="n">
        <x:v>2</x:v>
      </x:c>
      <x:c r="J6" s="79" t="n">
        <x:v>0.65</x:v>
      </x:c>
      <x:c r="K6" s="79" t="n">
        <x:v>0.35</x:v>
      </x:c>
      <x:c r="L6" s="22" t="str">
        <x:v>Board space / upkeep</x:v>
      </x:c>
      <x:c r="M6" s="22" t="str">
        <x:v>Trading, Funds, Investment Banking</x:v>
      </x:c>
      <x:c r="N6" s="38" t="str"/>
    </x:row>
    <x:row r="7">
      <x:c r="A7" s="37" t="str">
        <x:v>Digital Finance / Data Center</x:v>
      </x:c>
      <x:c r="B7" s="22" t="str">
        <x:v>Infrastructure</x:v>
      </x:c>
      <x:c r="C7" s="68" t="n">
        <x:v>-1</x:v>
      </x:c>
      <x:c r="D7" s="68" t="n">
        <x:v>-3</x:v>
      </x:c>
      <x:c r="E7" s="68" t="n">
        <x:v>-2</x:v>
      </x:c>
      <x:c r="F7" s="68" t="n">
        <x:v>-10</x:v>
      </x:c>
      <x:c r="G7" s="68" t="n">
        <x:v>-2</x:v>
      </x:c>
      <x:c r="H7" s="68" t="n">
        <x:v>-2</x:v>
      </x:c>
      <x:c r="I7" s="68" t="n">
        <x:v>2</x:v>
      </x:c>
      <x:c r="J7" s="79" t="n">
        <x:v>0.65</x:v>
      </x:c>
      <x:c r="K7" s="79" t="n">
        <x:v>0.35</x:v>
      </x:c>
      <x:c r="L7" s="22" t="str">
        <x:v>High build/upgrade cost</x:v>
      </x:c>
      <x:c r="M7" s="22" t="str">
        <x:v>High-throughput districts</x:v>
      </x:c>
      <x:c r="N7" s="38" t="str"/>
    </x:row>
    <x:row r="8">
      <x:c r="A8" s="37" t="str">
        <x:v>Business Diversification</x:v>
      </x:c>
      <x:c r="B8" s="22" t="str">
        <x:v>Empire composition</x:v>
      </x:c>
      <x:c r="C8" s="68" t="n">
        <x:v>-2</x:v>
      </x:c>
      <x:c r="D8" s="68" t="n">
        <x:v>-4</x:v>
      </x:c>
      <x:c r="E8" s="68" t="n">
        <x:v>-2</x:v>
      </x:c>
      <x:c r="F8" s="68" t="n">
        <x:v>-1</x:v>
      </x:c>
      <x:c r="G8" s="68" t="n">
        <x:v>-12</x:v>
      </x:c>
      <x:c r="H8" s="68" t="n">
        <x:v>-2</x:v>
      </x:c>
      <x:c r="I8" s="68" t="n">
        <x:v>1</x:v>
      </x:c>
      <x:c r="J8" s="79" t="n">
        <x:v>1</x:v>
      </x:c>
      <x:c r="K8" s="79" t="n">
        <x:v>1</x:v>
      </x:c>
      <x:c r="L8" s="22" t="str">
        <x:v>May reduce specialization peak</x:v>
      </x:c>
      <x:c r="M8" s="22" t="str">
        <x:v>Concentrated empires</x:v>
      </x:c>
      <x:c r="N8" s="38" t="str"/>
    </x:row>
    <x:row r="9">
      <x:c r="A9" s="37" t="str">
        <x:v>Customer Diversification</x:v>
      </x:c>
      <x:c r="B9" s="22" t="str">
        <x:v>Customer mix</x:v>
      </x:c>
      <x:c r="C9" s="68" t="n">
        <x:v>-3</x:v>
      </x:c>
      <x:c r="D9" s="68" t="n">
        <x:v>-2</x:v>
      </x:c>
      <x:c r="E9" s="68" t="n">
        <x:v>-1</x:v>
      </x:c>
      <x:c r="F9" s="68" t="n">
        <x:v>-1</x:v>
      </x:c>
      <x:c r="G9" s="68" t="n">
        <x:v>-8</x:v>
      </x:c>
      <x:c r="H9" s="68" t="n">
        <x:v>-3</x:v>
      </x:c>
      <x:c r="I9" s="68" t="n">
        <x:v>1</x:v>
      </x:c>
      <x:c r="J9" s="79" t="n">
        <x:v>1</x:v>
      </x:c>
      <x:c r="K9" s="79" t="n">
        <x:v>1</x:v>
      </x:c>
      <x:c r="L9" s="22" t="str">
        <x:v>Slower targeted optimization</x:v>
      </x:c>
      <x:c r="M9" s="22" t="str">
        <x:v>Large territories</x:v>
      </x:c>
      <x:c r="N9" s="38" t="str"/>
    </x:row>
    <x:row r="10">
      <x:c r="A10" s="37" t="str">
        <x:v>Increase Reserve Ratio</x:v>
      </x:c>
      <x:c r="B10" s="22" t="str">
        <x:v>Player action</x:v>
      </x:c>
      <x:c r="C10" s="68" t="n">
        <x:v>-1</x:v>
      </x:c>
      <x:c r="D10" s="68" t="n">
        <x:v>0</x:v>
      </x:c>
      <x:c r="E10" s="68" t="n">
        <x:v>-15</x:v>
      </x:c>
      <x:c r="F10" s="68" t="n">
        <x:v>0</x:v>
      </x:c>
      <x:c r="G10" s="68" t="n">
        <x:v>0</x:v>
      </x:c>
      <x:c r="H10" s="68" t="n">
        <x:v>-1</x:v>
      </x:c>
      <x:c r="I10" s="68" t="n">
        <x:v>1</x:v>
      </x:c>
      <x:c r="J10" s="79" t="n">
        <x:v>1</x:v>
      </x:c>
      <x:c r="K10" s="79" t="n">
        <x:v>1</x:v>
      </x:c>
      <x:c r="L10" s="22" t="str">
        <x:v>Cash held back from expansion</x:v>
      </x:c>
      <x:c r="M10" s="22" t="str">
        <x:v>Liquidity stress</x:v>
      </x:c>
      <x:c r="N10" s="38" t="str"/>
    </x:row>
    <x:row r="11">
      <x:c r="A11" s="37" t="str">
        <x:v>Reduce Activity / Exposure</x:v>
      </x:c>
      <x:c r="B11" s="22" t="str">
        <x:v>Player action</x:v>
      </x:c>
      <x:c r="C11" s="68" t="n">
        <x:v>0</x:v>
      </x:c>
      <x:c r="D11" s="68" t="n">
        <x:v>-12</x:v>
      </x:c>
      <x:c r="E11" s="68" t="n">
        <x:v>-6</x:v>
      </x:c>
      <x:c r="F11" s="68" t="n">
        <x:v>-2</x:v>
      </x:c>
      <x:c r="G11" s="68" t="n">
        <x:v>-2</x:v>
      </x:c>
      <x:c r="H11" s="68" t="n">
        <x:v>0</x:v>
      </x:c>
      <x:c r="I11" s="68" t="n">
        <x:v>1</x:v>
      </x:c>
      <x:c r="J11" s="79" t="n">
        <x:v>1</x:v>
      </x:c>
      <x:c r="K11" s="79" t="n">
        <x:v>1</x:v>
      </x:c>
      <x:c r="L11" s="22" t="str">
        <x:v>Lower short-term revenue/activity</x:v>
      </x:c>
      <x:c r="M11" s="22" t="str">
        <x:v>Corrections/crisis</x:v>
      </x:c>
      <x:c r="N11" s="38" t="str"/>
    </x:row>
    <x:row r="12">
      <x:c r="A12" s="37" t="str">
        <x:v>Upgrade Capacity</x:v>
      </x:c>
      <x:c r="B12" s="22" t="str">
        <x:v>Building action</x:v>
      </x:c>
      <x:c r="C12" s="68" t="n">
        <x:v>0</x:v>
      </x:c>
      <x:c r="D12" s="68" t="n">
        <x:v>0</x:v>
      </x:c>
      <x:c r="E12" s="68" t="n">
        <x:v>-3</x:v>
      </x:c>
      <x:c r="F12" s="68" t="n">
        <x:v>-10</x:v>
      </x:c>
      <x:c r="G12" s="68" t="n">
        <x:v>0</x:v>
      </x:c>
      <x:c r="H12" s="68" t="n">
        <x:v>-2</x:v>
      </x:c>
      <x:c r="I12" s="68" t="n">
        <x:v>1</x:v>
      </x:c>
      <x:c r="J12" s="79" t="n">
        <x:v>1</x:v>
      </x:c>
      <x:c r="K12" s="79" t="n">
        <x:v>1</x:v>
      </x:c>
      <x:c r="L12" s="22" t="str">
        <x:v>Cash + upgrade time</x:v>
      </x:c>
      <x:c r="M12" s="22" t="str">
        <x:v>High utilization</x:v>
      </x:c>
      <x:c r="N12" s="38" t="str"/>
    </x:row>
    <x:row r="13">
      <x:c r="A13" s="39" t="str">
        <x:v>Reputation Recovery Campaign</x:v>
      </x:c>
      <x:c r="B13" s="40" t="str">
        <x:v>Player action</x:v>
      </x:c>
      <x:c r="C13" s="70" t="n">
        <x:v>0</x:v>
      </x:c>
      <x:c r="D13" s="70" t="n">
        <x:v>0</x:v>
      </x:c>
      <x:c r="E13" s="70" t="n">
        <x:v>0</x:v>
      </x:c>
      <x:c r="F13" s="70" t="n">
        <x:v>-2</x:v>
      </x:c>
      <x:c r="G13" s="70" t="n">
        <x:v>0</x:v>
      </x:c>
      <x:c r="H13" s="70" t="n">
        <x:v>-10</x:v>
      </x:c>
      <x:c r="I13" s="70" t="n">
        <x:v>1</x:v>
      </x:c>
      <x:c r="J13" s="80" t="n">
        <x:v>1</x:v>
      </x:c>
      <x:c r="K13" s="80" t="n">
        <x:v>1</x:v>
      </x:c>
      <x:c r="L13" s="40" t="str">
        <x:v>Cash/event opportunity cost</x:v>
      </x:c>
      <x:c r="M13" s="40" t="str">
        <x:v>Post-failure recovery</x:v>
      </x:c>
      <x:c r="N13" s="41" t="str">
        <x:v>Must require real service improvement</x:v>
      </x:c>
    </x:row>
    <x:row r="15" ht="22" customHeight="1">
      <x:c r="A15" s="31" t="str">
        <x:v>Mitigation Stacking Rule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14" t="str">
        <x:v>Effective Copy</x:v>
      </x:c>
      <x:c r="B16" s="14" t="str">
        <x:v>Effectiveness</x:v>
      </x:c>
      <x:c r="C16" s="14" t="str">
        <x:v>Example Base Liquidity Reduction</x:v>
      </x:c>
      <x:c r="D16" s="14" t="str">
        <x:v>Applied Reduction</x:v>
      </x:c>
      <x:c r="E16" s="14" t="str">
        <x:v>Why</x:v>
      </x:c>
      <x:c r="F16" s="14" t="str">
        <x:v>Rule</x:v>
      </x:c>
    </x:row>
    <x:row r="17">
      <x:c r="A17" s="34" t="n">
        <x:v>1</x:v>
      </x:c>
      <x:c r="B17" s="60" t="n">
        <x:v>1</x:v>
      </x:c>
      <x:c r="C17" s="78" t="n">
        <x:v>-10</x:v>
      </x:c>
      <x:c r="D17" s="78" t="n">
        <x:v>-10</x:v>
      </x:c>
      <x:c r="E17" s="35" t="str">
        <x:v>First mitigation is fully effective</x:v>
      </x:c>
      <x:c r="F17" s="36" t="str">
        <x:v>Full</x:v>
      </x:c>
    </x:row>
    <x:row r="18">
      <x:c r="A18" s="37" t="n">
        <x:v>2</x:v>
      </x:c>
      <x:c r="B18" s="61" t="n">
        <x:v>0.65</x:v>
      </x:c>
      <x:c r="C18" s="79" t="n">
        <x:v>-10</x:v>
      </x:c>
      <x:c r="D18" s="79" t="n">
        <x:v>-6.5</x:v>
      </x:c>
      <x:c r="E18" s="22" t="str">
        <x:v>Second still useful</x:v>
      </x:c>
      <x:c r="F18" s="38" t="str">
        <x:v>65%</x:v>
      </x:c>
    </x:row>
    <x:row r="19">
      <x:c r="A19" s="37" t="n">
        <x:v>3</x:v>
      </x:c>
      <x:c r="B19" s="61" t="n">
        <x:v>0.35</x:v>
      </x:c>
      <x:c r="C19" s="79" t="n">
        <x:v>-10</x:v>
      </x:c>
      <x:c r="D19" s="79" t="n">
        <x:v>-3.5</x:v>
      </x:c>
      <x:c r="E19" s="22" t="str">
        <x:v>Third gives diminishing value</x:v>
      </x:c>
      <x:c r="F19" s="38" t="str">
        <x:v>35%</x:v>
      </x:c>
    </x:row>
    <x:row r="20">
      <x:c r="A20" s="39" t="n">
        <x:v>4</x:v>
      </x:c>
      <x:c r="B20" s="62" t="n">
        <x:v>0.2</x:v>
      </x:c>
      <x:c r="C20" s="80" t="n">
        <x:v>-10</x:v>
      </x:c>
      <x:c r="D20" s="80" t="n">
        <x:v>-2</x:v>
      </x:c>
      <x:c r="E20" s="40" t="str">
        <x:v>Additional stacking is heavily reduced</x:v>
      </x:c>
      <x:c r="F20" s="41" t="str">
        <x:v>20% suggested if later allowed</x:v>
      </x:c>
    </x:row>
  </x:sheetData>
  <x:mergeCells>
    <x:mergeCell ref="A1:N1"/>
    <x:mergeCell ref="A15:N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Reputation Tiers &amp; Economic Effects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22"/>
      <x:c r="P1" s="22"/>
      <x:c r="Q1" s="22"/>
    </x:row>
    <x:row r="3">
      <x:c r="A3" s="14" t="str">
        <x:v>Tier</x:v>
      </x:c>
      <x:c r="B3" s="14" t="str">
        <x:v>Min Score</x:v>
      </x:c>
      <x:c r="C3" s="14" t="str">
        <x:v>Max Score</x:v>
      </x:c>
      <x:c r="D3" s="14" t="str">
        <x:v>Acquisition Modifier</x:v>
      </x:c>
      <x:c r="E3" s="14" t="str">
        <x:v>Retention Modifier</x:v>
      </x:c>
      <x:c r="F3" s="14" t="str">
        <x:v>HNW Access</x:v>
      </x:c>
      <x:c r="G3" s="14" t="str">
        <x:v>Corporate Access</x:v>
      </x:c>
      <x:c r="H3" s="14" t="str">
        <x:v>Institutional Access</x:v>
      </x:c>
      <x:c r="I3" s="14" t="str">
        <x:v>Event Outcome Modifier</x:v>
      </x:c>
      <x:c r="J3" s="14" t="str">
        <x:v>Building Access</x:v>
      </x:c>
      <x:c r="K3" s="14" t="str">
        <x:v>Expansion Access</x:v>
      </x:c>
      <x:c r="L3" s="14" t="str">
        <x:v>Performance Reputation Subscore</x:v>
      </x:c>
      <x:c r="M3" s="14" t="str">
        <x:v>Visual Status</x:v>
      </x:c>
      <x:c r="N3" s="14" t="str">
        <x:v>Notes</x:v>
      </x:c>
    </x:row>
    <x:row r="4">
      <x:c r="A4" s="34" t="str">
        <x:v>Weak</x:v>
      </x:c>
      <x:c r="B4" s="66" t="n">
        <x:v>0</x:v>
      </x:c>
      <x:c r="C4" s="66" t="n">
        <x:v>39</x:v>
      </x:c>
      <x:c r="D4" s="78" t="n">
        <x:v>0.75</x:v>
      </x:c>
      <x:c r="E4" s="78" t="n">
        <x:v>0.8</x:v>
      </x:c>
      <x:c r="F4" s="35" t="str">
        <x:v>No</x:v>
      </x:c>
      <x:c r="G4" s="35" t="str">
        <x:v>No</x:v>
      </x:c>
      <x:c r="H4" s="35" t="str">
        <x:v>No</x:v>
      </x:c>
      <x:c r="I4" s="78" t="n">
        <x:v>0.85</x:v>
      </x:c>
      <x:c r="J4" s="35" t="str">
        <x:v>Humble only</x:v>
      </x:c>
      <x:c r="K4" s="35" t="str">
        <x:v>1 Plot</x:v>
      </x:c>
      <x:c r="L4" s="66" t="n">
        <x:v>20</x:v>
      </x:c>
      <x:c r="M4" s="35" t="str">
        <x:v>Warning</x:v>
      </x:c>
      <x:c r="N4" s="36" t="str">
        <x:v>Recovery state</x:v>
      </x:c>
    </x:row>
    <x:row r="5">
      <x:c r="A5" s="37" t="str">
        <x:v>Developing</x:v>
      </x:c>
      <x:c r="B5" s="68" t="n">
        <x:v>40</x:v>
      </x:c>
      <x:c r="C5" s="68" t="n">
        <x:v>54</x:v>
      </x:c>
      <x:c r="D5" s="79" t="n">
        <x:v>0.9</x:v>
      </x:c>
      <x:c r="E5" s="79" t="n">
        <x:v>0.92</x:v>
      </x:c>
      <x:c r="F5" s="22" t="str">
        <x:v>No</x:v>
      </x:c>
      <x:c r="G5" s="22" t="str">
        <x:v>No</x:v>
      </x:c>
      <x:c r="H5" s="22" t="str">
        <x:v>No</x:v>
      </x:c>
      <x:c r="I5" s="79" t="n">
        <x:v>0.95</x:v>
      </x:c>
      <x:c r="J5" s="22" t="str">
        <x:v>Humble + early Starter</x:v>
      </x:c>
      <x:c r="K5" s="22" t="str">
        <x:v>1 Plot</x:v>
      </x:c>
      <x:c r="L5" s="68" t="n">
        <x:v>45</x:v>
      </x:c>
      <x:c r="M5" s="22" t="str">
        <x:v>Bronze</x:v>
      </x:c>
      <x:c r="N5" s="38" t="str">
        <x:v>Starting tier around 50</x:v>
      </x:c>
    </x:row>
    <x:row r="6">
      <x:c r="A6" s="37" t="str">
        <x:v>Trusted</x:v>
      </x:c>
      <x:c r="B6" s="68" t="n">
        <x:v>55</x:v>
      </x:c>
      <x:c r="C6" s="68" t="n">
        <x:v>64</x:v>
      </x:c>
      <x:c r="D6" s="79" t="n">
        <x:v>1</x:v>
      </x:c>
      <x:c r="E6" s="79" t="n">
        <x:v>1</x:v>
      </x:c>
      <x:c r="F6" s="22" t="str">
        <x:v>Limited</x:v>
      </x:c>
      <x:c r="G6" s="22" t="str">
        <x:v>Limited</x:v>
      </x:c>
      <x:c r="H6" s="22" t="str">
        <x:v>No</x:v>
      </x:c>
      <x:c r="I6" s="79" t="n">
        <x:v>1</x:v>
      </x:c>
      <x:c r="J6" s="22" t="str">
        <x:v>Starter</x:v>
      </x:c>
      <x:c r="K6" s="22" t="str">
        <x:v>Starter gates</x:v>
      </x:c>
      <x:c r="L6" s="68" t="n">
        <x:v>60</x:v>
      </x:c>
      <x:c r="M6" s="22" t="str">
        <x:v>Trusted</x:v>
      </x:c>
      <x:c r="N6" s="38" t="str"/>
    </x:row>
    <x:row r="7">
      <x:c r="A7" s="37" t="str">
        <x:v>Established</x:v>
      </x:c>
      <x:c r="B7" s="68" t="n">
        <x:v>65</x:v>
      </x:c>
      <x:c r="C7" s="68" t="n">
        <x:v>74</x:v>
      </x:c>
      <x:c r="D7" s="79" t="n">
        <x:v>1.06</x:v>
      </x:c>
      <x:c r="E7" s="79" t="n">
        <x:v>1.04</x:v>
      </x:c>
      <x:c r="F7" s="22" t="str">
        <x:v>Yes</x:v>
      </x:c>
      <x:c r="G7" s="22" t="str">
        <x:v>Limited</x:v>
      </x:c>
      <x:c r="H7" s="22" t="str">
        <x:v>No</x:v>
      </x:c>
      <x:c r="I7" s="79" t="n">
        <x:v>1.03</x:v>
      </x:c>
      <x:c r="J7" s="22" t="str">
        <x:v>Growing</x:v>
      </x:c>
      <x:c r="K7" s="22" t="str">
        <x:v>Plot 2 / Growing gates</x:v>
      </x:c>
      <x:c r="L7" s="68" t="n">
        <x:v>72</x:v>
      </x:c>
      <x:c r="M7" s="22" t="str">
        <x:v>Silver</x:v>
      </x:c>
      <x:c r="N7" s="38" t="str"/>
    </x:row>
    <x:row r="8">
      <x:c r="A8" s="37" t="str">
        <x:v>Prestigious</x:v>
      </x:c>
      <x:c r="B8" s="68" t="n">
        <x:v>75</x:v>
      </x:c>
      <x:c r="C8" s="68" t="n">
        <x:v>84</x:v>
      </x:c>
      <x:c r="D8" s="79" t="n">
        <x:v>1.12</x:v>
      </x:c>
      <x:c r="E8" s="79" t="n">
        <x:v>1.07</x:v>
      </x:c>
      <x:c r="F8" s="22" t="str">
        <x:v>Yes</x:v>
      </x:c>
      <x:c r="G8" s="22" t="str">
        <x:v>Yes</x:v>
      </x:c>
      <x:c r="H8" s="22" t="str">
        <x:v>Limited</x:v>
      </x:c>
      <x:c r="I8" s="79" t="n">
        <x:v>1.06</x:v>
      </x:c>
      <x:c r="J8" s="22" t="str">
        <x:v>Established</x:v>
      </x:c>
      <x:c r="K8" s="22" t="str">
        <x:v>4 Plot / Established gates</x:v>
      </x:c>
      <x:c r="L8" s="68" t="n">
        <x:v>84</x:v>
      </x:c>
      <x:c r="M8" s="22" t="str">
        <x:v>Gold</x:v>
      </x:c>
      <x:c r="N8" s="38" t="str"/>
    </x:row>
    <x:row r="9">
      <x:c r="A9" s="37" t="str">
        <x:v>Elite</x:v>
      </x:c>
      <x:c r="B9" s="68" t="n">
        <x:v>85</x:v>
      </x:c>
      <x:c r="C9" s="68" t="n">
        <x:v>94</x:v>
      </x:c>
      <x:c r="D9" s="79" t="n">
        <x:v>1.17</x:v>
      </x:c>
      <x:c r="E9" s="79" t="n">
        <x:v>1.1</x:v>
      </x:c>
      <x:c r="F9" s="22" t="str">
        <x:v>Yes</x:v>
      </x:c>
      <x:c r="G9" s="22" t="str">
        <x:v>Yes</x:v>
      </x:c>
      <x:c r="H9" s="22" t="str">
        <x:v>Yes</x:v>
      </x:c>
      <x:c r="I9" s="79" t="n">
        <x:v>1.09</x:v>
      </x:c>
      <x:c r="J9" s="22" t="str">
        <x:v>Elite</x:v>
      </x:c>
      <x:c r="K9" s="22" t="str">
        <x:v>9 Plot / Elite gates</x:v>
      </x:c>
      <x:c r="L9" s="68" t="n">
        <x:v>94</x:v>
      </x:c>
      <x:c r="M9" s="22" t="str">
        <x:v>Diamond</x:v>
      </x:c>
      <x:c r="N9" s="38" t="str"/>
    </x:row>
    <x:row r="10">
      <x:c r="A10" s="39" t="str">
        <x:v>Global</x:v>
      </x:c>
      <x:c r="B10" s="70" t="n">
        <x:v>95</x:v>
      </x:c>
      <x:c r="C10" s="70" t="n">
        <x:v>100</x:v>
      </x:c>
      <x:c r="D10" s="80" t="n">
        <x:v>1.2</x:v>
      </x:c>
      <x:c r="E10" s="80" t="n">
        <x:v>1.12</x:v>
      </x:c>
      <x:c r="F10" s="40" t="str">
        <x:v>Yes</x:v>
      </x:c>
      <x:c r="G10" s="40" t="str">
        <x:v>Yes</x:v>
      </x:c>
      <x:c r="H10" s="40" t="str">
        <x:v>Yes</x:v>
      </x:c>
      <x:c r="I10" s="80" t="n">
        <x:v>1.12</x:v>
      </x:c>
      <x:c r="J10" s="40" t="str">
        <x:v>Tycoon</x:v>
      </x:c>
      <x:c r="K10" s="40" t="str">
        <x:v>16 Plot / prestige</x:v>
      </x:c>
      <x:c r="L10" s="70" t="n">
        <x:v>100</x:v>
      </x:c>
      <x:c r="M10" s="40" t="str">
        <x:v>Global</x:v>
      </x:c>
      <x:c r="N10" s="41" t="str">
        <x:v>Do not exceed modest customer multipliers</x:v>
      </x:c>
    </x:row>
    <x:row r="12" ht="22" customHeight="1">
      <x:c r="A12" s="31" t="str">
        <x:v>Reputation Modifier Guardrail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88" t="str">
        <x:v>Reputation should improve customer acquisition, retention and access more than raw revenue. A 95–100 Reputation empire is more trusted and has better clients, but it should not simply earn 2× because of reputation alone.</x:v>
      </x:c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</x:row>
    <x:row r="14">
      <x:c r="A14" s="88"/>
      <x:c r="B14" s="88"/>
      <x:c r="C14" s="88"/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</x:row>
  </x:sheetData>
  <x:mergeCells>
    <x:mergeCell ref="A1:N1"/>
    <x:mergeCell ref="A12:N12"/>
    <x:mergeCell ref="A13:N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Reputation Gains, Losses, Caps &amp; Anti-Farming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22"/>
      <x:c r="P1" s="22"/>
      <x:c r="Q1" s="22"/>
    </x:row>
    <x:row r="3">
      <x:c r="A3" s="14" t="str">
        <x:v>Action / Outcome</x:v>
      </x:c>
      <x:c r="B3" s="14" t="str">
        <x:v>Rep Change</x:v>
      </x:c>
      <x:c r="C3" s="14" t="str">
        <x:v>Frequency</x:v>
      </x:c>
      <x:c r="D3" s="14" t="str">
        <x:v>Soft Cap Applies?</x:v>
      </x:c>
      <x:c r="E3" s="14" t="str">
        <x:v>Requires Meaningful Activity?</x:v>
      </x:c>
      <x:c r="F3" s="14" t="str">
        <x:v>Stage Scaling</x:v>
      </x:c>
      <x:c r="G3" s="14" t="str">
        <x:v>Repeatable?</x:v>
      </x:c>
      <x:c r="H3" s="14" t="str">
        <x:v>Risk Requirement</x:v>
      </x:c>
      <x:c r="I3" s="14" t="str">
        <x:v>Customer Requirement</x:v>
      </x:c>
      <x:c r="J3" s="14" t="str">
        <x:v>Event Requirement</x:v>
      </x:c>
      <x:c r="K3" s="14" t="str">
        <x:v>Exploit Risk</x:v>
      </x:c>
      <x:c r="L3" s="14" t="str">
        <x:v>Validation</x:v>
      </x:c>
      <x:c r="M3" s="14" t="str">
        <x:v>Player Feedback</x:v>
      </x:c>
      <x:c r="N3" s="14" t="str">
        <x:v>Notes</x:v>
      </x:c>
    </x:row>
    <x:row r="4">
      <x:c r="A4" s="34" t="str">
        <x:v>Maintain service quality &gt;80 for full day</x:v>
      </x:c>
      <x:c r="B4" s="66" t="n">
        <x:v>1</x:v>
      </x:c>
      <x:c r="C4" s="35" t="str">
        <x:v>Daily</x:v>
      </x:c>
      <x:c r="D4" s="35" t="str">
        <x:v>Yes</x:v>
      </x:c>
      <x:c r="E4" s="35" t="str">
        <x:v>Yes</x:v>
      </x:c>
      <x:c r="F4" s="35" t="str">
        <x:v>None</x:v>
      </x:c>
      <x:c r="G4" s="35" t="str">
        <x:v>Yes</x:v>
      </x:c>
      <x:c r="H4" s="35" t="str">
        <x:v>Risk &lt;60</x:v>
      </x:c>
      <x:c r="I4" s="35" t="str">
        <x:v>Active customers &gt; stage minimum</x:v>
      </x:c>
      <x:c r="J4" s="35" t="str">
        <x:v>No</x:v>
      </x:c>
      <x:c r="K4" s="35" t="str">
        <x:v>Low</x:v>
      </x:c>
      <x:c r="L4" s="35" t="str">
        <x:v>Daily server checkpoint</x:v>
      </x:c>
      <x:c r="M4" s="35" t="str">
        <x:v>Stable service</x:v>
      </x:c>
      <x:c r="N4" s="36" t="str"/>
    </x:row>
    <x:row r="5">
      <x:c r="A5" s="37" t="str">
        <x:v>Customer retention &gt;92% for full day</x:v>
      </x:c>
      <x:c r="B5" s="68" t="n">
        <x:v>1</x:v>
      </x:c>
      <x:c r="C5" s="22" t="str">
        <x:v>Daily</x:v>
      </x:c>
      <x:c r="D5" s="22" t="str">
        <x:v>Yes</x:v>
      </x:c>
      <x:c r="E5" s="22" t="str">
        <x:v>Yes</x:v>
      </x:c>
      <x:c r="F5" s="22" t="str">
        <x:v>None</x:v>
      </x:c>
      <x:c r="G5" s="22" t="str">
        <x:v>Yes</x:v>
      </x:c>
      <x:c r="H5" s="22" t="str">
        <x:v>Risk &lt;60</x:v>
      </x:c>
      <x:c r="I5" s="22" t="str">
        <x:v>Meaningful customer base</x:v>
      </x:c>
      <x:c r="J5" s="22" t="str">
        <x:v>No</x:v>
      </x:c>
      <x:c r="K5" s="22" t="str">
        <x:v>Medium</x:v>
      </x:c>
      <x:c r="L5" s="22" t="str">
        <x:v>Customer ledger</x:v>
      </x:c>
      <x:c r="M5" s="22" t="str">
        <x:v>Customers stayed with you</x:v>
      </x:c>
      <x:c r="N5" s="38" t="str"/>
    </x:row>
    <x:row r="6">
      <x:c r="A6" s="37" t="str">
        <x:v>Resolve Elevated/High risk back into Managed</x:v>
      </x:c>
      <x:c r="B6" s="68" t="n">
        <x:v>1</x:v>
      </x:c>
      <x:c r="C6" s="22" t="str">
        <x:v>Per recovery</x:v>
      </x:c>
      <x:c r="D6" s="22" t="str">
        <x:v>Yes</x:v>
      </x:c>
      <x:c r="E6" s="22" t="str">
        <x:v>Yes</x:v>
      </x:c>
      <x:c r="F6" s="22" t="str">
        <x:v>None</x:v>
      </x:c>
      <x:c r="G6" s="22" t="str">
        <x:v>Yes</x:v>
      </x:c>
      <x:c r="H6" s="22" t="str">
        <x:v>Risk falls to &lt;=40</x:v>
      </x:c>
      <x:c r="I6" s="22" t="str">
        <x:v>No</x:v>
      </x:c>
      <x:c r="J6" s="22" t="str">
        <x:v>No</x:v>
      </x:c>
      <x:c r="K6" s="22" t="str">
        <x:v>Medium</x:v>
      </x:c>
      <x:c r="L6" s="22" t="str">
        <x:v>Risk state transition</x:v>
      </x:c>
      <x:c r="M6" s="22" t="str">
        <x:v>Risk successfully controlled</x:v>
      </x:c>
      <x:c r="N6" s="38" t="str">
        <x:v>No cycling exploit: cooldown</x:v>
      </x:c>
    </x:row>
    <x:row r="7">
      <x:c r="A7" s="37" t="str">
        <x:v>Complete major decision event safely</x:v>
      </x:c>
      <x:c r="B7" s="68" t="n">
        <x:v>1</x:v>
      </x:c>
      <x:c r="C7" s="22" t="str">
        <x:v>Per event</x:v>
      </x:c>
      <x:c r="D7" s="22" t="str">
        <x:v>Yes</x:v>
      </x:c>
      <x:c r="E7" s="22" t="str">
        <x:v>Yes</x:v>
      </x:c>
      <x:c r="F7" s="22" t="str">
        <x:v>Stage event</x:v>
      </x:c>
      <x:c r="G7" s="22" t="str">
        <x:v>Yes</x:v>
      </x:c>
      <x:c r="H7" s="22" t="str">
        <x:v>Depends event</x:v>
      </x:c>
      <x:c r="I7" s="22" t="str">
        <x:v>Depends event</x:v>
      </x:c>
      <x:c r="J7" s="22" t="str">
        <x:v>Yes</x:v>
      </x:c>
      <x:c r="K7" s="22" t="str">
        <x:v>Low</x:v>
      </x:c>
      <x:c r="L7" s="22" t="str">
        <x:v>Event resolution</x:v>
      </x:c>
      <x:c r="M7" s="22" t="str">
        <x:v>Trust improved</x:v>
      </x:c>
      <x:c r="N7" s="38" t="str"/>
    </x:row>
    <x:row r="8">
      <x:c r="A8" s="37" t="str">
        <x:v>Complete crisis objective with no severe failure</x:v>
      </x:c>
      <x:c r="B8" s="68" t="n">
        <x:v>2</x:v>
      </x:c>
      <x:c r="C8" s="22" t="str">
        <x:v>Per crisis</x:v>
      </x:c>
      <x:c r="D8" s="22" t="str">
        <x:v>Can bypass daily cap by 1</x:v>
      </x:c>
      <x:c r="E8" s="22" t="str">
        <x:v>Yes</x:v>
      </x:c>
      <x:c r="F8" s="22" t="str">
        <x:v>Stage event</x:v>
      </x:c>
      <x:c r="G8" s="22" t="str">
        <x:v>Yes</x:v>
      </x:c>
      <x:c r="H8" s="22" t="str">
        <x:v>Depends event</x:v>
      </x:c>
      <x:c r="I8" s="22" t="str">
        <x:v>Depends event</x:v>
      </x:c>
      <x:c r="J8" s="22" t="str">
        <x:v>Yes</x:v>
      </x:c>
      <x:c r="K8" s="22" t="str">
        <x:v>Medium</x:v>
      </x:c>
      <x:c r="L8" s="22" t="str">
        <x:v>Event resolution</x:v>
      </x:c>
      <x:c r="M8" s="22" t="str">
        <x:v>Crisis handled well</x:v>
      </x:c>
      <x:c r="N8" s="38" t="str"/>
    </x:row>
    <x:row r="9">
      <x:c r="A9" s="37" t="str">
        <x:v>Reach customer milestone with quality &gt;75</x:v>
      </x:c>
      <x:c r="B9" s="68" t="n">
        <x:v>1</x:v>
      </x:c>
      <x:c r="C9" s="22" t="str">
        <x:v>Milestone</x:v>
      </x:c>
      <x:c r="D9" s="22" t="str">
        <x:v>Milestone cap</x:v>
      </x:c>
      <x:c r="E9" s="22" t="str">
        <x:v>Yes</x:v>
      </x:c>
      <x:c r="F9" s="22" t="str">
        <x:v>Stage normalized</x:v>
      </x:c>
      <x:c r="G9" s="22" t="str">
        <x:v>Limited</x:v>
      </x:c>
      <x:c r="H9" s="22" t="str">
        <x:v>Risk &lt;60</x:v>
      </x:c>
      <x:c r="I9" s="22" t="str">
        <x:v>Yes</x:v>
      </x:c>
      <x:c r="J9" s="22" t="str">
        <x:v>No</x:v>
      </x:c>
      <x:c r="K9" s="22" t="str">
        <x:v>Low</x:v>
      </x:c>
      <x:c r="L9" s="22" t="str">
        <x:v>Milestone record</x:v>
      </x:c>
      <x:c r="M9" s="22" t="str">
        <x:v>Growing trust</x:v>
      </x:c>
      <x:c r="N9" s="38" t="str"/>
    </x:row>
    <x:row r="10">
      <x:c r="A10" s="37" t="str">
        <x:v>Reach stage graduation milestone</x:v>
      </x:c>
      <x:c r="B10" s="68" t="n">
        <x:v>2</x:v>
      </x:c>
      <x:c r="C10" s="22" t="str">
        <x:v>Once/stage</x:v>
      </x:c>
      <x:c r="D10" s="22" t="str">
        <x:v>No</x:v>
      </x:c>
      <x:c r="E10" s="22" t="str">
        <x:v>Yes</x:v>
      </x:c>
      <x:c r="F10" s="22" t="str">
        <x:v>Stage based</x:v>
      </x:c>
      <x:c r="G10" s="22" t="str">
        <x:v>No</x:v>
      </x:c>
      <x:c r="H10" s="22" t="str">
        <x:v>No critical risk</x:v>
      </x:c>
      <x:c r="I10" s="22" t="str">
        <x:v>Yes</x:v>
      </x:c>
      <x:c r="J10" s="22" t="str">
        <x:v>No</x:v>
      </x:c>
      <x:c r="K10" s="22" t="str">
        <x:v>Low</x:v>
      </x:c>
      <x:c r="L10" s="22" t="str">
        <x:v>Progression record</x:v>
      </x:c>
      <x:c r="M10" s="22" t="str">
        <x:v>Reputation milestone</x:v>
      </x:c>
      <x:c r="N10" s="38" t="str"/>
    </x:row>
    <x:row r="11">
      <x:c r="A11" s="37" t="str">
        <x:v>Service quality &lt;45 for 6h+</x:v>
      </x:c>
      <x:c r="B11" s="68" t="n">
        <x:v>-2</x:v>
      </x:c>
      <x:c r="C11" s="22" t="str">
        <x:v>Per incident</x:v>
      </x:c>
      <x:c r="D11" s="22" t="str">
        <x:v>Loss cap</x:v>
      </x:c>
      <x:c r="E11" s="22" t="str">
        <x:v>Yes</x:v>
      </x:c>
      <x:c r="F11" s="22" t="str">
        <x:v>None</x:v>
      </x:c>
      <x:c r="G11" s="22" t="str">
        <x:v>Yes</x:v>
      </x:c>
      <x:c r="H11" s="22" t="str">
        <x:v>Any</x:v>
      </x:c>
      <x:c r="I11" s="22" t="str">
        <x:v>Meaningful customer base</x:v>
      </x:c>
      <x:c r="J11" s="22" t="str">
        <x:v>No</x:v>
      </x:c>
      <x:c r="K11" s="22" t="str">
        <x:v>Medium</x:v>
      </x:c>
      <x:c r="L11" s="22" t="str">
        <x:v>Service logs</x:v>
      </x:c>
      <x:c r="M11" s="22" t="str">
        <x:v>Poor service damaged trust</x:v>
      </x:c>
      <x:c r="N11" s="38" t="str"/>
    </x:row>
    <x:row r="12">
      <x:c r="A12" s="37" t="str">
        <x:v>Retention &lt;75%</x:v>
      </x:c>
      <x:c r="B12" s="68" t="n">
        <x:v>-2</x:v>
      </x:c>
      <x:c r="C12" s="22" t="str">
        <x:v>Daily incident</x:v>
      </x:c>
      <x:c r="D12" s="22" t="str">
        <x:v>Loss cap</x:v>
      </x:c>
      <x:c r="E12" s="22" t="str">
        <x:v>Yes</x:v>
      </x:c>
      <x:c r="F12" s="22" t="str">
        <x:v>None</x:v>
      </x:c>
      <x:c r="G12" s="22" t="str">
        <x:v>Yes</x:v>
      </x:c>
      <x:c r="H12" s="22" t="str">
        <x:v>Any</x:v>
      </x:c>
      <x:c r="I12" s="22" t="str">
        <x:v>Meaningful customer base</x:v>
      </x:c>
      <x:c r="J12" s="22" t="str">
        <x:v>No</x:v>
      </x:c>
      <x:c r="K12" s="22" t="str">
        <x:v>Medium</x:v>
      </x:c>
      <x:c r="L12" s="22" t="str">
        <x:v>Customer ledger</x:v>
      </x:c>
      <x:c r="M12" s="22" t="str">
        <x:v>Customers are leaving</x:v>
      </x:c>
      <x:c r="N12" s="38" t="str"/>
    </x:row>
    <x:row r="13">
      <x:c r="A13" s="37" t="str">
        <x:v>Critical risk unresolved for 12h</x:v>
      </x:c>
      <x:c r="B13" s="68" t="n">
        <x:v>-3</x:v>
      </x:c>
      <x:c r="C13" s="22" t="str">
        <x:v>Per incident</x:v>
      </x:c>
      <x:c r="D13" s="22" t="str">
        <x:v>Loss cap</x:v>
      </x:c>
      <x:c r="E13" s="22" t="str">
        <x:v>Yes</x:v>
      </x:c>
      <x:c r="F13" s="22" t="str">
        <x:v>None</x:v>
      </x:c>
      <x:c r="G13" s="22" t="str">
        <x:v>Yes</x:v>
      </x:c>
      <x:c r="H13" s="22" t="str">
        <x:v>Risk &gt;80</x:v>
      </x:c>
      <x:c r="I13" s="22" t="str">
        <x:v>No</x:v>
      </x:c>
      <x:c r="J13" s="22" t="str">
        <x:v>No</x:v>
      </x:c>
      <x:c r="K13" s="22" t="str">
        <x:v>Low</x:v>
      </x:c>
      <x:c r="L13" s="22" t="str">
        <x:v>Risk state timer</x:v>
      </x:c>
      <x:c r="M13" s="22" t="str">
        <x:v>Risk is damaging trust</x:v>
      </x:c>
      <x:c r="N13" s="38" t="str"/>
    </x:row>
    <x:row r="14">
      <x:c r="A14" s="37" t="str">
        <x:v>Severe event failure</x:v>
      </x:c>
      <x:c r="B14" s="68" t="n">
        <x:v>-3</x:v>
      </x:c>
      <x:c r="C14" s="22" t="str">
        <x:v>Per event</x:v>
      </x:c>
      <x:c r="D14" s="22" t="str">
        <x:v>May exceed soft cap</x:v>
      </x:c>
      <x:c r="E14" s="22" t="str">
        <x:v>Yes</x:v>
      </x:c>
      <x:c r="F14" s="22" t="str">
        <x:v>Stage based</x:v>
      </x:c>
      <x:c r="G14" s="22" t="str">
        <x:v>Yes</x:v>
      </x:c>
      <x:c r="H14" s="22" t="str">
        <x:v>High/Critical</x:v>
      </x:c>
      <x:c r="I14" s="22" t="str">
        <x:v>Depends event</x:v>
      </x:c>
      <x:c r="J14" s="22" t="str">
        <x:v>Yes</x:v>
      </x:c>
      <x:c r="K14" s="22" t="str">
        <x:v>Medium</x:v>
      </x:c>
      <x:c r="L14" s="22" t="str">
        <x:v>Event resolution</x:v>
      </x:c>
      <x:c r="M14" s="22" t="str">
        <x:v>Public failure damaged reputation</x:v>
      </x:c>
      <x:c r="N14" s="38" t="str"/>
    </x:row>
    <x:row r="15">
      <x:c r="A15" s="37" t="str">
        <x:v>Exploit / invalid reward action</x:v>
      </x:c>
      <x:c r="B15" s="68" t="n">
        <x:v>-5</x:v>
      </x:c>
      <x:c r="C15" s="22" t="str">
        <x:v>Per confirmed abuse</x:v>
      </x:c>
      <x:c r="D15" s="22" t="str">
        <x:v>No</x:v>
      </x:c>
      <x:c r="E15" s="22" t="str">
        <x:v>N/A</x:v>
      </x:c>
      <x:c r="F15" s="22" t="str">
        <x:v>None</x:v>
      </x:c>
      <x:c r="G15" s="22" t="str">
        <x:v>No</x:v>
      </x:c>
      <x:c r="H15" s="22" t="str">
        <x:v>N/A</x:v>
      </x:c>
      <x:c r="I15" s="22" t="str">
        <x:v>N/A</x:v>
      </x:c>
      <x:c r="J15" s="22" t="str">
        <x:v>N/A</x:v>
      </x:c>
      <x:c r="K15" s="22" t="str">
        <x:v>Low false-positive tolerance</x:v>
      </x:c>
      <x:c r="L15" s="22" t="str">
        <x:v>Anti-abuse review</x:v>
      </x:c>
      <x:c r="M15" s="22" t="str">
        <x:v>Integrity penalty</x:v>
      </x:c>
      <x:c r="N15" s="38" t="str">
        <x:v>Only confirmed abuse</x:v>
      </x:c>
    </x:row>
    <x:row r="16">
      <x:c r="A16" s="39" t="str">
        <x:v>Return from Weak tier with 3 clean days</x:v>
      </x:c>
      <x:c r="B16" s="70" t="n">
        <x:v>2</x:v>
      </x:c>
      <x:c r="C16" s="40" t="str">
        <x:v>Recovery milestone</x:v>
      </x:c>
      <x:c r="D16" s="40" t="str">
        <x:v>No</x:v>
      </x:c>
      <x:c r="E16" s="40" t="str">
        <x:v>Yes</x:v>
      </x:c>
      <x:c r="F16" s="40" t="str">
        <x:v>None</x:v>
      </x:c>
      <x:c r="G16" s="40" t="str">
        <x:v>Limited</x:v>
      </x:c>
      <x:c r="H16" s="40" t="str">
        <x:v>No Critical risk</x:v>
      </x:c>
      <x:c r="I16" s="40" t="str">
        <x:v>Retention &gt;85%</x:v>
      </x:c>
      <x:c r="J16" s="40" t="str">
        <x:v>No</x:v>
      </x:c>
      <x:c r="K16" s="40" t="str">
        <x:v>Low</x:v>
      </x:c>
      <x:c r="L16" s="40" t="str">
        <x:v>Recovery streak</x:v>
      </x:c>
      <x:c r="M16" s="40" t="str">
        <x:v>Credibility restored</x:v>
      </x:c>
      <x:c r="N16" s="41" t="str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Customer Segment Access by Reputation &amp; Risk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22"/>
      <x:c r="P1" s="22"/>
      <x:c r="Q1" s="22"/>
    </x:row>
    <x:row r="3">
      <x:c r="A3" s="14" t="str">
        <x:v>Customer Segment</x:v>
      </x:c>
      <x:c r="B3" s="14" t="str">
        <x:v>Min Reputation</x:v>
      </x:c>
      <x:c r="C3" s="14" t="str">
        <x:v>Preferred Risk Max</x:v>
      </x:c>
      <x:c r="D3" s="14" t="str">
        <x:v>Hard Risk Block</x:v>
      </x:c>
      <x:c r="E3" s="14" t="str">
        <x:v>Acquisition Sensitivity</x:v>
      </x:c>
      <x:c r="F3" s="14" t="str">
        <x:v>Retention Sensitivity</x:v>
      </x:c>
      <x:c r="G3" s="14" t="str">
        <x:v>Revenue / Value Sensitivity</x:v>
      </x:c>
      <x:c r="H3" s="14" t="str">
        <x:v>Primary Buildings</x:v>
      </x:c>
      <x:c r="I3" s="14" t="str">
        <x:v>Unlock Stage</x:v>
      </x:c>
      <x:c r="J3" s="14" t="str">
        <x:v>Low-Rep Behavior</x:v>
      </x:c>
      <x:c r="K3" s="14" t="str">
        <x:v>High-Risk Behavior</x:v>
      </x:c>
      <x:c r="L3" s="14" t="str">
        <x:v>Best Reputation Tier</x:v>
      </x:c>
      <x:c r="M3" s="14" t="str">
        <x:v>Performance Relevance</x:v>
      </x:c>
      <x:c r="N3" s="14" t="str">
        <x:v>Notes</x:v>
      </x:c>
    </x:row>
    <x:row r="4">
      <x:c r="A4" s="34" t="str">
        <x:v>General Consumers</x:v>
      </x:c>
      <x:c r="B4" s="66" t="n">
        <x:v>0</x:v>
      </x:c>
      <x:c r="C4" s="66" t="n">
        <x:v>80</x:v>
      </x:c>
      <x:c r="D4" s="66" t="n">
        <x:v>95</x:v>
      </x:c>
      <x:c r="E4" s="78" t="n">
        <x:v>0.7</x:v>
      </x:c>
      <x:c r="F4" s="78" t="n">
        <x:v>0.8</x:v>
      </x:c>
      <x:c r="G4" s="78" t="n">
        <x:v>0.6</x:v>
      </x:c>
      <x:c r="H4" s="35" t="str">
        <x:v>Cash Kiosk, Savings, Banking</x:v>
      </x:c>
      <x:c r="I4" s="35" t="str">
        <x:v>Humble</x:v>
      </x:c>
      <x:c r="J4" s="35" t="str">
        <x:v>Still accessible but acquisition slows</x:v>
      </x:c>
      <x:c r="K4" s="35" t="str">
        <x:v>Some churn</x:v>
      </x:c>
      <x:c r="L4" s="35" t="str">
        <x:v>Developing+</x:v>
      </x:c>
      <x:c r="M4" s="35" t="str">
        <x:v>Active customers / revenue</x:v>
      </x:c>
      <x:c r="N4" s="36" t="str"/>
    </x:row>
    <x:row r="5">
      <x:c r="A5" s="37" t="str">
        <x:v>Retail Investors</x:v>
      </x:c>
      <x:c r="B5" s="68" t="n">
        <x:v>40</x:v>
      </x:c>
      <x:c r="C5" s="68" t="n">
        <x:v>70</x:v>
      </x:c>
      <x:c r="D5" s="68" t="n">
        <x:v>90</x:v>
      </x:c>
      <x:c r="E5" s="79" t="n">
        <x:v>1</x:v>
      </x:c>
      <x:c r="F5" s="79" t="n">
        <x:v>1</x:v>
      </x:c>
      <x:c r="G5" s="79" t="n">
        <x:v>1</x:v>
      </x:c>
      <x:c r="H5" s="22" t="str">
        <x:v>Brokerage, Trading, Research</x:v>
      </x:c>
      <x:c r="I5" s="22" t="str">
        <x:v>Humble</x:v>
      </x:c>
      <x:c r="J5" s="22" t="str">
        <x:v>Reduced conversion</x:v>
      </x:c>
      <x:c r="K5" s="22" t="str">
        <x:v>Trading activity falls</x:v>
      </x:c>
      <x:c r="L5" s="22" t="str">
        <x:v>Trusted+</x:v>
      </x:c>
      <x:c r="M5" s="22" t="str">
        <x:v>Activity / growth</x:v>
      </x:c>
      <x:c r="N5" s="38" t="str"/>
    </x:row>
    <x:row r="6">
      <x:c r="A6" s="37" t="str">
        <x:v>Active Traders</x:v>
      </x:c>
      <x:c r="B6" s="68" t="n">
        <x:v>50</x:v>
      </x:c>
      <x:c r="C6" s="68" t="n">
        <x:v>75</x:v>
      </x:c>
      <x:c r="D6" s="68" t="n">
        <x:v>92</x:v>
      </x:c>
      <x:c r="E6" s="79" t="n">
        <x:v>1.05</x:v>
      </x:c>
      <x:c r="F6" s="79" t="n">
        <x:v>1.1</x:v>
      </x:c>
      <x:c r="G6" s="79" t="n">
        <x:v>1.1</x:v>
      </x:c>
      <x:c r="H6" s="22" t="str">
        <x:v>Trading, Brokerage, Exchange</x:v>
      </x:c>
      <x:c r="I6" s="22" t="str">
        <x:v>Starter</x:v>
      </x:c>
      <x:c r="J6" s="22" t="str">
        <x:v>Reduced conversion</x:v>
      </x:c>
      <x:c r="K6" s="22" t="str">
        <x:v>May remain active but churn after failures</x:v>
      </x:c>
      <x:c r="L6" s="22" t="str">
        <x:v>Trusted+</x:v>
      </x:c>
      <x:c r="M6" s="22" t="str">
        <x:v>Activity</x:v>
      </x:c>
      <x:c r="N6" s="38" t="str"/>
    </x:row>
    <x:row r="7">
      <x:c r="A7" s="37" t="str">
        <x:v>Small Businesses</x:v>
      </x:c>
      <x:c r="B7" s="68" t="n">
        <x:v>55</x:v>
      </x:c>
      <x:c r="C7" s="68" t="n">
        <x:v>65</x:v>
      </x:c>
      <x:c r="D7" s="68" t="n">
        <x:v>85</x:v>
      </x:c>
      <x:c r="E7" s="79" t="n">
        <x:v>1.1</x:v>
      </x:c>
      <x:c r="F7" s="79" t="n">
        <x:v>1</x:v>
      </x:c>
      <x:c r="G7" s="79" t="n">
        <x:v>1.15</x:v>
      </x:c>
      <x:c r="H7" s="22" t="str">
        <x:v>Banking, Lending, Treasury</x:v>
      </x:c>
      <x:c r="I7" s="22" t="str">
        <x:v>Starter</x:v>
      </x:c>
      <x:c r="J7" s="22" t="str">
        <x:v>Access limited</x:v>
      </x:c>
      <x:c r="K7" s="22" t="str">
        <x:v>Credit/liquidity risk reduces demand</x:v>
      </x:c>
      <x:c r="L7" s="22" t="str">
        <x:v>Trusted+</x:v>
      </x:c>
      <x:c r="M7" s="22" t="str">
        <x:v>Revenue / customers</x:v>
      </x:c>
      <x:c r="N7" s="38" t="str"/>
    </x:row>
    <x:row r="8">
      <x:c r="A8" s="37" t="str">
        <x:v>HNW Customers</x:v>
      </x:c>
      <x:c r="B8" s="68" t="n">
        <x:v>65</x:v>
      </x:c>
      <x:c r="C8" s="68" t="n">
        <x:v>55</x:v>
      </x:c>
      <x:c r="D8" s="68" t="n">
        <x:v>75</x:v>
      </x:c>
      <x:c r="E8" s="79" t="n">
        <x:v>1.25</x:v>
      </x:c>
      <x:c r="F8" s="79" t="n">
        <x:v>1.2</x:v>
      </x:c>
      <x:c r="G8" s="79" t="n">
        <x:v>1.35</x:v>
      </x:c>
      <x:c r="H8" s="22" t="str">
        <x:v>Wealth, Private Bank, Fund</x:v>
      </x:c>
      <x:c r="I8" s="22" t="str">
        <x:v>Growing</x:v>
      </x:c>
      <x:c r="J8" s="22" t="str">
        <x:v>Locked below 65</x:v>
      </x:c>
      <x:c r="K8" s="22" t="str">
        <x:v>Strongly avoid High risk</x:v>
      </x:c>
      <x:c r="L8" s="22" t="str">
        <x:v>Prestigious+</x:v>
      </x:c>
      <x:c r="M8" s="22" t="str">
        <x:v>Revenue / reputation</x:v>
      </x:c>
      <x:c r="N8" s="38" t="str"/>
    </x:row>
    <x:row r="9">
      <x:c r="A9" s="37" t="str">
        <x:v>Corporate Clients</x:v>
      </x:c>
      <x:c r="B9" s="68" t="n">
        <x:v>75</x:v>
      </x:c>
      <x:c r="C9" s="68" t="n">
        <x:v>55</x:v>
      </x:c>
      <x:c r="D9" s="68" t="n">
        <x:v>72</x:v>
      </x:c>
      <x:c r="E9" s="79" t="n">
        <x:v>1.2</x:v>
      </x:c>
      <x:c r="F9" s="79" t="n">
        <x:v>1.1</x:v>
      </x:c>
      <x:c r="G9" s="79" t="n">
        <x:v>1.4</x:v>
      </x:c>
      <x:c r="H9" s="22" t="str">
        <x:v>Investment Bank, Treasury, Regional Bank</x:v>
      </x:c>
      <x:c r="I9" s="22" t="str">
        <x:v>Established</x:v>
      </x:c>
      <x:c r="J9" s="22" t="str">
        <x:v>Locked below 75</x:v>
      </x:c>
      <x:c r="K9" s="22" t="str">
        <x:v>High risk blocks mandates</x:v>
      </x:c>
      <x:c r="L9" s="22" t="str">
        <x:v>Prestigious+</x:v>
      </x:c>
      <x:c r="M9" s="22" t="str">
        <x:v>Revenue / institutional activity</x:v>
      </x:c>
      <x:c r="N9" s="38" t="str"/>
    </x:row>
    <x:row r="10">
      <x:c r="A10" s="39" t="str">
        <x:v>Institutional Clients</x:v>
      </x:c>
      <x:c r="B10" s="70" t="n">
        <x:v>85</x:v>
      </x:c>
      <x:c r="C10" s="70" t="n">
        <x:v>45</x:v>
      </x:c>
      <x:c r="D10" s="70" t="n">
        <x:v>65</x:v>
      </x:c>
      <x:c r="E10" s="80" t="n">
        <x:v>1.3</x:v>
      </x:c>
      <x:c r="F10" s="80" t="n">
        <x:v>1.25</x:v>
      </x:c>
      <x:c r="G10" s="80" t="n">
        <x:v>1.5</x:v>
      </x:c>
      <x:c r="H10" s="40" t="str">
        <x:v>Exchange, Investment Bank, Asset Mgmt</x:v>
      </x:c>
      <x:c r="I10" s="40" t="str">
        <x:v>Established/Elite</x:v>
      </x:c>
      <x:c r="J10" s="40" t="str">
        <x:v>Locked below 85</x:v>
      </x:c>
      <x:c r="K10" s="40" t="str">
        <x:v>Very sensitive to risk</x:v>
      </x:c>
      <x:c r="L10" s="40" t="str">
        <x:v>Elite+</x:v>
      </x:c>
      <x:c r="M10" s="40" t="str">
        <x:v>Institutional activity / reputation</x:v>
      </x:c>
      <x:c r="N10" s="41" t="str"/>
    </x:row>
    <x:row r="12" ht="22" customHeight="1">
      <x:c r="A12" s="31" t="str">
        <x:v>Access Logic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14" t="str">
        <x:v>Rule</x:v>
      </x:c>
      <x:c r="B13" s="14" t="str">
        <x:v>Outcome</x:v>
      </x:c>
    </x:row>
    <x:row r="14">
      <x:c r="A14" s="34" t="str">
        <x:v>Reputation below minimum</x:v>
      </x:c>
      <x:c r="B14" s="36" t="str">
        <x:v>Segment acquisition is blocked or heavily reduced depending on segment.</x:v>
      </x:c>
    </x:row>
    <x:row r="15">
      <x:c r="A15" s="37" t="str">
        <x:v>Composite Risk above preferred max</x:v>
      </x:c>
      <x:c r="B15" s="38" t="str">
        <x:v>Acquisition and retention receive progressive penalties.</x:v>
      </x:c>
    </x:row>
    <x:row r="16">
      <x:c r="A16" s="37" t="str">
        <x:v>Composite Risk above hard block</x:v>
      </x:c>
      <x:c r="B16" s="38" t="str">
        <x:v>New HNW/Corporate/Institutional acquisition is paused until risk improves.</x:v>
      </x:c>
    </x:row>
    <x:row r="17">
      <x:c r="A17" s="37" t="str">
        <x:v>Existing customers are not instantly deleted</x:v>
      </x:c>
      <x:c r="B17" s="38" t="str">
        <x:v>They churn through normal retention logic, giving the player time to recover.</x:v>
      </x:c>
    </x:row>
    <x:row r="18">
      <x:c r="A18" s="39" t="str">
        <x:v>Risk and Reputation operate together</x:v>
      </x:c>
      <x:c r="B18" s="41" t="str">
        <x:v>High Reputation cannot fully cancel Critical risk, and low Reputation cannot be solved by low risk alone.</x:v>
      </x:c>
    </x:row>
  </x:sheetData>
  <x:mergeCells>
    <x:mergeCell ref="A1:N1"/>
    <x:mergeCell ref="A12:N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Building, Stage &amp; Plot Expansion Reputation/Risk Gates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22"/>
      <x:c r="P1" s="22"/>
      <x:c r="Q1" s="22"/>
    </x:row>
    <x:row r="3">
      <x:c r="A3" s="14" t="str">
        <x:v>Gate / Feature</x:v>
      </x:c>
      <x:c r="B3" s="14" t="str">
        <x:v>Min Level</x:v>
      </x:c>
      <x:c r="C3" s="14" t="str">
        <x:v>Min Reputation</x:v>
      </x:c>
      <x:c r="D3" s="14" t="str">
        <x:v>Max Risk for Activation</x:v>
      </x:c>
      <x:c r="E3" s="14" t="str">
        <x:v>Risk Warning Range</x:v>
      </x:c>
      <x:c r="F3" s="14" t="str">
        <x:v>Can Build While Above Risk?</x:v>
      </x:c>
      <x:c r="G3" s="14" t="str">
        <x:v>Can Operate While Above Risk?</x:v>
      </x:c>
      <x:c r="H3" s="14" t="str">
        <x:v>Failure State</x:v>
      </x:c>
      <x:c r="I3" s="14" t="str">
        <x:v>Recovery Requirement</x:v>
      </x:c>
      <x:c r="J3" s="14" t="str">
        <x:v>Why Gate Exists</x:v>
      </x:c>
      <x:c r="K3" s="14" t="str">
        <x:v>Hard/Soft</x:v>
      </x:c>
      <x:c r="L3" s="14" t="str">
        <x:v>Player Message</x:v>
      </x:c>
      <x:c r="M3" s="14" t="str">
        <x:v>MVP?</x:v>
      </x:c>
      <x:c r="N3" s="14" t="str">
        <x:v>Notes</x:v>
      </x:c>
    </x:row>
    <x:row r="4">
      <x:c r="A4" s="34" t="str">
        <x:v>Starter-tier institutions</x:v>
      </x:c>
      <x:c r="B4" s="66" t="n">
        <x:v>11</x:v>
      </x:c>
      <x:c r="C4" s="66" t="n">
        <x:v>55</x:v>
      </x:c>
      <x:c r="D4" s="66" t="n">
        <x:v>80</x:v>
      </x:c>
      <x:c r="E4" s="35" t="str">
        <x:v>61–80</x:v>
      </x:c>
      <x:c r="F4" s="35" t="str">
        <x:v>Yes</x:v>
      </x:c>
      <x:c r="G4" s="35" t="str">
        <x:v>Yes with penalties</x:v>
      </x:c>
      <x:c r="H4" s="35" t="str">
        <x:v>Reduced acquisition / event pressure</x:v>
      </x:c>
      <x:c r="I4" s="35" t="str">
        <x:v>Rep55 + Risk&lt;=80</x:v>
      </x:c>
      <x:c r="J4" s="35" t="str">
        <x:v>Trust gate</x:v>
      </x:c>
      <x:c r="K4" s="35" t="str">
        <x:v>Soft</x:v>
      </x:c>
      <x:c r="L4" s="35" t="str">
        <x:v>Improve service and risk to use full potential</x:v>
      </x:c>
      <x:c r="M4" s="35" t="str">
        <x:v>Yes</x:v>
      </x:c>
      <x:c r="N4" s="36" t="str"/>
    </x:row>
    <x:row r="5">
      <x:c r="A5" s="37" t="str">
        <x:v>Growing-tier institutions</x:v>
      </x:c>
      <x:c r="B5" s="68" t="n">
        <x:v>21</x:v>
      </x:c>
      <x:c r="C5" s="68" t="n">
        <x:v>65</x:v>
      </x:c>
      <x:c r="D5" s="68" t="n">
        <x:v>75</x:v>
      </x:c>
      <x:c r="E5" s="22" t="str">
        <x:v>61–75</x:v>
      </x:c>
      <x:c r="F5" s="22" t="str">
        <x:v>Yes</x:v>
      </x:c>
      <x:c r="G5" s="22" t="str">
        <x:v>Yes with penalties</x:v>
      </x:c>
      <x:c r="H5" s="22" t="str">
        <x:v>High-value customers limited</x:v>
      </x:c>
      <x:c r="I5" s="22" t="str">
        <x:v>Rep65 + Risk&lt;=75</x:v>
      </x:c>
      <x:c r="J5" s="22" t="str">
        <x:v>Quality of scale</x:v>
      </x:c>
      <x:c r="K5" s="22" t="str">
        <x:v>Soft</x:v>
      </x:c>
      <x:c r="L5" s="22" t="str">
        <x:v>Your empire needs stronger controls</x:v>
      </x:c>
      <x:c r="M5" s="22" t="str">
        <x:v>Yes</x:v>
      </x:c>
      <x:c r="N5" s="38" t="str"/>
    </x:row>
    <x:row r="6">
      <x:c r="A6" s="37" t="str">
        <x:v>Established-tier institutions</x:v>
      </x:c>
      <x:c r="B6" s="68" t="n">
        <x:v>31</x:v>
      </x:c>
      <x:c r="C6" s="68" t="n">
        <x:v>75</x:v>
      </x:c>
      <x:c r="D6" s="68" t="n">
        <x:v>70</x:v>
      </x:c>
      <x:c r="E6" s="22" t="str">
        <x:v>55–70</x:v>
      </x:c>
      <x:c r="F6" s="22" t="str">
        <x:v>Blueprint visible, activation blocked if &gt;70</x:v>
      </x:c>
      <x:c r="G6" s="22" t="str">
        <x:v>Existing operations continue</x:v>
      </x:c>
      <x:c r="H6" s="22" t="str">
        <x:v>Cannot activate new major institution</x:v>
      </x:c>
      <x:c r="I6" s="22" t="str">
        <x:v>Rep75 + Risk&lt;=70</x:v>
      </x:c>
      <x:c r="J6" s="22" t="str">
        <x:v>Institutional credibility</x:v>
      </x:c>
      <x:c r="K6" s="22" t="str">
        <x:v>Hard on activation</x:v>
      </x:c>
      <x:c r="L6" s="22" t="str">
        <x:v>Lower risk before opening this institution</x:v>
      </x:c>
      <x:c r="M6" s="22" t="str">
        <x:v>Yes</x:v>
      </x:c>
      <x:c r="N6" s="38" t="str"/>
    </x:row>
    <x:row r="7">
      <x:c r="A7" s="37" t="str">
        <x:v>Elite-tier institutions</x:v>
      </x:c>
      <x:c r="B7" s="68" t="n">
        <x:v>41</x:v>
      </x:c>
      <x:c r="C7" s="68" t="n">
        <x:v>85</x:v>
      </x:c>
      <x:c r="D7" s="68" t="n">
        <x:v>60</x:v>
      </x:c>
      <x:c r="E7" s="22" t="str">
        <x:v>45–60</x:v>
      </x:c>
      <x:c r="F7" s="22" t="str">
        <x:v>Blueprint visible</x:v>
      </x:c>
      <x:c r="G7" s="22" t="str">
        <x:v>Existing operations continue with penalties</x:v>
      </x:c>
      <x:c r="H7" s="22" t="str">
        <x:v>New Elite activation blocked</x:v>
      </x:c>
      <x:c r="I7" s="22" t="str">
        <x:v>Rep85 + Risk&lt;=60</x:v>
      </x:c>
      <x:c r="J7" s="22" t="str">
        <x:v>Elite credibility</x:v>
      </x:c>
      <x:c r="K7" s="22" t="str">
        <x:v>Hard on activation</x:v>
      </x:c>
      <x:c r="L7" s="22" t="str">
        <x:v>Elite clients expect a well-managed empire</x:v>
      </x:c>
      <x:c r="M7" s="22" t="str">
        <x:v>Yes</x:v>
      </x:c>
      <x:c r="N7" s="38" t="str"/>
    </x:row>
    <x:row r="8">
      <x:c r="A8" s="37" t="str">
        <x:v>Tycoon-tier institutions</x:v>
      </x:c>
      <x:c r="B8" s="68" t="n">
        <x:v>46</x:v>
      </x:c>
      <x:c r="C8" s="68" t="n">
        <x:v>90</x:v>
      </x:c>
      <x:c r="D8" s="68" t="n">
        <x:v>55</x:v>
      </x:c>
      <x:c r="E8" s="22" t="str">
        <x:v>41–55</x:v>
      </x:c>
      <x:c r="F8" s="22" t="str">
        <x:v>Blueprint visible</x:v>
      </x:c>
      <x:c r="G8" s="22" t="str">
        <x:v>Existing operations continue</x:v>
      </x:c>
      <x:c r="H8" s="22" t="str">
        <x:v>New Tycoon activation blocked</x:v>
      </x:c>
      <x:c r="I8" s="22" t="str">
        <x:v>Rep90 + Risk&lt;=55</x:v>
      </x:c>
      <x:c r="J8" s="22" t="str">
        <x:v>Global credibility</x:v>
      </x:c>
      <x:c r="K8" s="22" t="str">
        <x:v>Hard on activation</x:v>
      </x:c>
      <x:c r="L8" s="22" t="str">
        <x:v>Global institutions require controlled risk</x:v>
      </x:c>
      <x:c r="M8" s="22" t="str">
        <x:v>Yes</x:v>
      </x:c>
      <x:c r="N8" s="38" t="str"/>
    </x:row>
    <x:row r="9">
      <x:c r="A9" s="37" t="str">
        <x:v>Second active Plot</x:v>
      </x:c>
      <x:c r="B9" s="68" t="n">
        <x:v>25</x:v>
      </x:c>
      <x:c r="C9" s="68" t="n">
        <x:v>65</x:v>
      </x:c>
      <x:c r="D9" s="68" t="n">
        <x:v>70</x:v>
      </x:c>
      <x:c r="E9" s="22" t="str">
        <x:v>55–70</x:v>
      </x:c>
      <x:c r="F9" s="22" t="str">
        <x:v>Own inactive Plot yes</x:v>
      </x:c>
      <x:c r="G9" s="22" t="str">
        <x:v>N/A</x:v>
      </x:c>
      <x:c r="H9" s="22" t="str">
        <x:v>Activation blocked</x:v>
      </x:c>
      <x:c r="I9" s="22" t="str">
        <x:v>Rep65 + Risk&lt;=70 + permit</x:v>
      </x:c>
      <x:c r="J9" s="22" t="str">
        <x:v>Expansion quality</x:v>
      </x:c>
      <x:c r="K9" s="22" t="str">
        <x:v>Hard on activation</x:v>
      </x:c>
      <x:c r="L9" s="22" t="str">
        <x:v>Stabilize your first Plot before expanding</x:v>
      </x:c>
      <x:c r="M9" s="22" t="str">
        <x:v>Yes</x:v>
      </x:c>
      <x:c r="N9" s="38" t="str"/>
    </x:row>
    <x:row r="10">
      <x:c r="A10" s="37" t="str">
        <x:v>4 active Plots / 2×2 district</x:v>
      </x:c>
      <x:c r="B10" s="68" t="n">
        <x:v>35</x:v>
      </x:c>
      <x:c r="C10" s="68" t="n">
        <x:v>75</x:v>
      </x:c>
      <x:c r="D10" s="68" t="n">
        <x:v>65</x:v>
      </x:c>
      <x:c r="E10" s="22" t="str">
        <x:v>50–65</x:v>
      </x:c>
      <x:c r="F10" s="22" t="str">
        <x:v>Own more yes</x:v>
      </x:c>
      <x:c r="G10" s="22" t="str">
        <x:v>N/A</x:v>
      </x:c>
      <x:c r="H10" s="22" t="str">
        <x:v>Activation/merge blocked</x:v>
      </x:c>
      <x:c r="I10" s="22" t="str">
        <x:v>Rep75 + Risk&lt;=65</x:v>
      </x:c>
      <x:c r="J10" s="22" t="str">
        <x:v>District quality</x:v>
      </x:c>
      <x:c r="K10" s="22" t="str">
        <x:v>Hard on activation</x:v>
      </x:c>
      <x:c r="L10" s="22" t="str">
        <x:v>Your territory needs stronger controls</x:v>
      </x:c>
      <x:c r="M10" s="22" t="str">
        <x:v>Phase 2</x:v>
      </x:c>
      <x:c r="N10" s="38" t="str"/>
    </x:row>
    <x:row r="11">
      <x:c r="A11" s="37" t="str">
        <x:v>9 active Plots</x:v>
      </x:c>
      <x:c r="B11" s="68" t="n">
        <x:v>45</x:v>
      </x:c>
      <x:c r="C11" s="68" t="n">
        <x:v>85</x:v>
      </x:c>
      <x:c r="D11" s="68" t="n">
        <x:v>60</x:v>
      </x:c>
      <x:c r="E11" s="22" t="str">
        <x:v>45–60</x:v>
      </x:c>
      <x:c r="F11" s="22" t="str">
        <x:v>Own more yes</x:v>
      </x:c>
      <x:c r="G11" s="22" t="str">
        <x:v>N/A</x:v>
      </x:c>
      <x:c r="H11" s="22" t="str">
        <x:v>Activation blocked</x:v>
      </x:c>
      <x:c r="I11" s="22" t="str">
        <x:v>Rep85 + Risk&lt;=60</x:v>
      </x:c>
      <x:c r="J11" s="22" t="str">
        <x:v>Elite scale control</x:v>
      </x:c>
      <x:c r="K11" s="22" t="str">
        <x:v>Hard</x:v>
      </x:c>
      <x:c r="L11" s="22" t="str">
        <x:v>Reduce exposure before expanding</x:v>
      </x:c>
      <x:c r="M11" s="22" t="str">
        <x:v>Phase 2</x:v>
      </x:c>
      <x:c r="N11" s="38" t="str"/>
    </x:row>
    <x:row r="12">
      <x:c r="A12" s="37" t="str">
        <x:v>16 active Plots</x:v>
      </x:c>
      <x:c r="B12" s="68" t="n">
        <x:v>50</x:v>
      </x:c>
      <x:c r="C12" s="68" t="n">
        <x:v>90</x:v>
      </x:c>
      <x:c r="D12" s="68" t="n">
        <x:v>55</x:v>
      </x:c>
      <x:c r="E12" s="22" t="str">
        <x:v>41–55</x:v>
      </x:c>
      <x:c r="F12" s="22" t="str">
        <x:v>Own more yes</x:v>
      </x:c>
      <x:c r="G12" s="22" t="str">
        <x:v>N/A</x:v>
      </x:c>
      <x:c r="H12" s="22" t="str">
        <x:v>Activation blocked</x:v>
      </x:c>
      <x:c r="I12" s="22" t="str">
        <x:v>Rep90 + Risk&lt;=55</x:v>
      </x:c>
      <x:c r="J12" s="22" t="str">
        <x:v>Tycoon scale control</x:v>
      </x:c>
      <x:c r="K12" s="22" t="str">
        <x:v>Hard</x:v>
      </x:c>
      <x:c r="L12" s="22" t="str">
        <x:v>Global expansion requires disciplined risk</x:v>
      </x:c>
      <x:c r="M12" s="22" t="str">
        <x:v>Phase 2</x:v>
      </x:c>
      <x:c r="N12" s="38" t="str"/>
    </x:row>
    <x:row r="13">
      <x:c r="A13" s="39" t="str">
        <x:v>Institutional customer access</x:v>
      </x:c>
      <x:c r="B13" s="70" t="n">
        <x:v>40</x:v>
      </x:c>
      <x:c r="C13" s="70" t="n">
        <x:v>85</x:v>
      </x:c>
      <x:c r="D13" s="70" t="n">
        <x:v>65</x:v>
      </x:c>
      <x:c r="E13" s="40" t="str">
        <x:v>50–65</x:v>
      </x:c>
      <x:c r="F13" s="40" t="str">
        <x:v>N/A</x:v>
      </x:c>
      <x:c r="G13" s="40" t="str">
        <x:v>Existing clients can remain</x:v>
      </x:c>
      <x:c r="H13" s="40" t="str">
        <x:v>New acquisition blocked</x:v>
      </x:c>
      <x:c r="I13" s="40" t="str">
        <x:v>Rep85 + Risk&lt;65</x:v>
      </x:c>
      <x:c r="J13" s="40" t="str">
        <x:v>Institutional trust</x:v>
      </x:c>
      <x:c r="K13" s="40" t="str">
        <x:v>Hard on acquisition</x:v>
      </x:c>
      <x:c r="L13" s="40" t="str">
        <x:v>Institutions require stability</x:v>
      </x:c>
      <x:c r="M13" s="40" t="str">
        <x:v>Yes</x:v>
      </x:c>
      <x:c r="N13" s="41" t="str"/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Event Effects on Risk &amp; Reputation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22"/>
      <x:c r="P1" s="22"/>
      <x:c r="Q1" s="22"/>
    </x:row>
    <x:row r="3">
      <x:c r="A3" s="14" t="str">
        <x:v>Event</x:v>
      </x:c>
      <x:c r="B3" s="14" t="str">
        <x:v>Primary Risk Category</x:v>
      </x:c>
      <x:c r="C3" s="14" t="str">
        <x:v>Base Risk Delta</x:v>
      </x:c>
      <x:c r="D3" s="14" t="str">
        <x:v>Secondary Risk Delta</x:v>
      </x:c>
      <x:c r="E3" s="14" t="str">
        <x:v>Rep Opportunity</x:v>
      </x:c>
      <x:c r="F3" s="14" t="str">
        <x:v>Rep Failure Loss</x:v>
      </x:c>
      <x:c r="G3" s="14" t="str">
        <x:v>Safe Choice Effect</x:v>
      </x:c>
      <x:c r="H3" s="14" t="str">
        <x:v>Aggressive Choice Effect</x:v>
      </x:c>
      <x:c r="I3" s="14" t="str">
        <x:v>Mitigation Building</x:v>
      </x:c>
      <x:c r="J3" s="14" t="str">
        <x:v>Risk Threshold for Failure Roll</x:v>
      </x:c>
      <x:c r="K3" s="14" t="str">
        <x:v>Max Failure Chance</x:v>
      </x:c>
      <x:c r="L3" s="14" t="str">
        <x:v>Recovery Window</x:v>
      </x:c>
      <x:c r="M3" s="14" t="str">
        <x:v>Stage</x:v>
      </x:c>
      <x:c r="N3" s="14" t="str">
        <x:v>Notes</x:v>
      </x:c>
    </x:row>
    <x:row r="4">
      <x:c r="A4" s="34" t="str">
        <x:v>Rate Hike</x:v>
      </x:c>
      <x:c r="B4" s="35" t="str">
        <x:v>Credit</x:v>
      </x:c>
      <x:c r="C4" s="66" t="n">
        <x:v>8</x:v>
      </x:c>
      <x:c r="D4" s="35" t="str">
        <x:v>Liquidity +4</x:v>
      </x:c>
      <x:c r="E4" s="35" t="n">
        <x:v>1</x:v>
      </x:c>
      <x:c r="F4" s="66" t="n">
        <x:v>-1</x:v>
      </x:c>
      <x:c r="G4" s="35" t="str">
        <x:v>Tighten standards: Credit -6</x:v>
      </x:c>
      <x:c r="H4" s="35" t="str">
        <x:v>Maintain growth: Revenue +5%, Credit +6</x:v>
      </x:c>
      <x:c r="I4" s="35" t="str">
        <x:v>Research / Insurance</x:v>
      </x:c>
      <x:c r="J4" s="66" t="n">
        <x:v>70</x:v>
      </x:c>
      <x:c r="K4" s="60" t="n">
        <x:v>0.1</x:v>
      </x:c>
      <x:c r="L4" s="35" t="str">
        <x:v>24h</x:v>
      </x:c>
      <x:c r="M4" s="35" t="str">
        <x:v>Starter+</x:v>
      </x:c>
      <x:c r="N4" s="36" t="str"/>
    </x:row>
    <x:row r="5">
      <x:c r="A5" s="37" t="str">
        <x:v>Rate Cut</x:v>
      </x:c>
      <x:c r="B5" s="22" t="str">
        <x:v>Market</x:v>
      </x:c>
      <x:c r="C5" s="68" t="n">
        <x:v>4</x:v>
      </x:c>
      <x:c r="D5" s="22" t="str">
        <x:v>Credit +3</x:v>
      </x:c>
      <x:c r="E5" s="22" t="n">
        <x:v>1</x:v>
      </x:c>
      <x:c r="F5" s="68" t="n">
        <x:v>0</x:v>
      </x:c>
      <x:c r="G5" s="22" t="str">
        <x:v>Maintain controls</x:v>
      </x:c>
      <x:c r="H5" s="22" t="str">
        <x:v>Expand lending/activity: +4 risk</x:v>
      </x:c>
      <x:c r="I5" s="22" t="str">
        <x:v>Treasury / Research</x:v>
      </x:c>
      <x:c r="J5" s="68" t="n">
        <x:v>80</x:v>
      </x:c>
      <x:c r="K5" s="61" t="n">
        <x:v>0.05</x:v>
      </x:c>
      <x:c r="L5" s="22" t="str">
        <x:v>24h</x:v>
      </x:c>
      <x:c r="M5" s="22" t="str">
        <x:v>Starter+</x:v>
      </x:c>
      <x:c r="N5" s="38" t="str"/>
    </x:row>
    <x:row r="6">
      <x:c r="A6" s="37" t="str">
        <x:v>Trading Frenzy</x:v>
      </x:c>
      <x:c r="B6" s="22" t="str">
        <x:v>Market</x:v>
      </x:c>
      <x:c r="C6" s="68" t="n">
        <x:v>10</x:v>
      </x:c>
      <x:c r="D6" s="22" t="str">
        <x:v>Operational +5</x:v>
      </x:c>
      <x:c r="E6" s="22" t="n">
        <x:v>1</x:v>
      </x:c>
      <x:c r="F6" s="68" t="n">
        <x:v>-1</x:v>
      </x:c>
      <x:c r="G6" s="22" t="str">
        <x:v>Cap exposure: Market -5</x:v>
      </x:c>
      <x:c r="H6" s="22" t="str">
        <x:v>Chase volume: Activity +10%, Market +8</x:v>
      </x:c>
      <x:c r="I6" s="22" t="str">
        <x:v>Research / Data</x:v>
      </x:c>
      <x:c r="J6" s="68" t="n">
        <x:v>75</x:v>
      </x:c>
      <x:c r="K6" s="61" t="n">
        <x:v>0.1</x:v>
      </x:c>
      <x:c r="L6" s="22" t="str">
        <x:v>12h</x:v>
      </x:c>
      <x:c r="M6" s="22" t="str">
        <x:v>Humble+</x:v>
      </x:c>
      <x:c r="N6" s="38" t="str"/>
    </x:row>
    <x:row r="7">
      <x:c r="A7" s="37" t="str">
        <x:v>Liquidity Crunch</x:v>
      </x:c>
      <x:c r="B7" s="22" t="str">
        <x:v>Liquidity</x:v>
      </x:c>
      <x:c r="C7" s="68" t="n">
        <x:v>20</x:v>
      </x:c>
      <x:c r="D7" s="22" t="str">
        <x:v>Reputation +5</x:v>
      </x:c>
      <x:c r="E7" s="22" t="n">
        <x:v>2</x:v>
      </x:c>
      <x:c r="F7" s="68" t="n">
        <x:v>-3</x:v>
      </x:c>
      <x:c r="G7" s="22" t="str">
        <x:v>Inject reserves: Liquidity -15</x:v>
      </x:c>
      <x:c r="H7" s="22" t="str">
        <x:v>Operate normally: Revenue +5%, Liquidity +12</x:v>
      </x:c>
      <x:c r="I7" s="22" t="str">
        <x:v>Treasury / Vault</x:v>
      </x:c>
      <x:c r="J7" s="68" t="n">
        <x:v>65</x:v>
      </x:c>
      <x:c r="K7" s="61" t="n">
        <x:v>0.18</x:v>
      </x:c>
      <x:c r="L7" s="22" t="str">
        <x:v>24h</x:v>
      </x:c>
      <x:c r="M7" s="22" t="str">
        <x:v>Growing+</x:v>
      </x:c>
      <x:c r="N7" s="38" t="str"/>
    </x:row>
    <x:row r="8">
      <x:c r="A8" s="37" t="str">
        <x:v>Bank Run Rumor</x:v>
      </x:c>
      <x:c r="B8" s="22" t="str">
        <x:v>Liquidity</x:v>
      </x:c>
      <x:c r="C8" s="68" t="n">
        <x:v>18</x:v>
      </x:c>
      <x:c r="D8" s="22" t="str">
        <x:v>Reputation +10</x:v>
      </x:c>
      <x:c r="E8" s="22" t="n">
        <x:v>3</x:v>
      </x:c>
      <x:c r="F8" s="68" t="n">
        <x:v>-4</x:v>
      </x:c>
      <x:c r="G8" s="22" t="str">
        <x:v>Reserve/public reassurance: Liquidity -10, Rep +2</x:v>
      </x:c>
      <x:c r="H8" s="22" t="str">
        <x:v>Ignore: Revenue +3%, Rep Risk +10</x:v>
      </x:c>
      <x:c r="I8" s="22" t="str">
        <x:v>Treasury + Insurance</x:v>
      </x:c>
      <x:c r="J8" s="68" t="n">
        <x:v>60</x:v>
      </x:c>
      <x:c r="K8" s="61" t="n">
        <x:v>0.2</x:v>
      </x:c>
      <x:c r="L8" s="22" t="str">
        <x:v>18h</x:v>
      </x:c>
      <x:c r="M8" s="22" t="str">
        <x:v>Established+</x:v>
      </x:c>
      <x:c r="N8" s="38" t="str"/>
    </x:row>
    <x:row r="9">
      <x:c r="A9" s="37" t="str">
        <x:v>System Outage</x:v>
      </x:c>
      <x:c r="B9" s="22" t="str">
        <x:v>Operational</x:v>
      </x:c>
      <x:c r="C9" s="68" t="n">
        <x:v>15</x:v>
      </x:c>
      <x:c r="D9" s="22" t="str">
        <x:v>Reputation +8</x:v>
      </x:c>
      <x:c r="E9" s="22" t="n">
        <x:v>1</x:v>
      </x:c>
      <x:c r="F9" s="68" t="n">
        <x:v>-3</x:v>
      </x:c>
      <x:c r="G9" s="22" t="str">
        <x:v>Emergency repair: Operational -10</x:v>
      </x:c>
      <x:c r="H9" s="22" t="str">
        <x:v>Run degraded: Cost saved, Op Risk +8</x:v>
      </x:c>
      <x:c r="I9" s="22" t="str">
        <x:v>Data / Digital Finance</x:v>
      </x:c>
      <x:c r="J9" s="68" t="n">
        <x:v>65</x:v>
      </x:c>
      <x:c r="K9" s="61" t="n">
        <x:v>0.15</x:v>
      </x:c>
      <x:c r="L9" s="22" t="str">
        <x:v>12h</x:v>
      </x:c>
      <x:c r="M9" s="22" t="str">
        <x:v>Starter+</x:v>
      </x:c>
      <x:c r="N9" s="38" t="str"/>
    </x:row>
    <x:row r="10">
      <x:c r="A10" s="37" t="str">
        <x:v>Tech Selloff</x:v>
      </x:c>
      <x:c r="B10" s="22" t="str">
        <x:v>Market</x:v>
      </x:c>
      <x:c r="C10" s="68" t="n">
        <x:v>16</x:v>
      </x:c>
      <x:c r="D10" s="22" t="str">
        <x:v>Concentration +6</x:v>
      </x:c>
      <x:c r="E10" s="22" t="n">
        <x:v>1</x:v>
      </x:c>
      <x:c r="F10" s="68" t="n">
        <x:v>-2</x:v>
      </x:c>
      <x:c r="G10" s="22" t="str">
        <x:v>Reduce exposure: Market -8</x:v>
      </x:c>
      <x:c r="H10" s="22" t="str">
        <x:v>Buy dip: Market +10, upside if recovery</x:v>
      </x:c>
      <x:c r="I10" s="22" t="str">
        <x:v>Research / Treasury</x:v>
      </x:c>
      <x:c r="J10" s="68" t="n">
        <x:v>70</x:v>
      </x:c>
      <x:c r="K10" s="61" t="n">
        <x:v>0.15</x:v>
      </x:c>
      <x:c r="L10" s="22" t="str">
        <x:v>24h</x:v>
      </x:c>
      <x:c r="M10" s="22" t="str">
        <x:v>Growing+</x:v>
      </x:c>
      <x:c r="N10" s="38" t="str"/>
    </x:row>
    <x:row r="11">
      <x:c r="A11" s="37" t="str">
        <x:v>Credit Shock</x:v>
      </x:c>
      <x:c r="B11" s="22" t="str">
        <x:v>Credit</x:v>
      </x:c>
      <x:c r="C11" s="68" t="n">
        <x:v>22</x:v>
      </x:c>
      <x:c r="D11" s="22" t="str">
        <x:v>Liquidity +10</x:v>
      </x:c>
      <x:c r="E11" s="22" t="n">
        <x:v>2</x:v>
      </x:c>
      <x:c r="F11" s="68" t="n">
        <x:v>-4</x:v>
      </x:c>
      <x:c r="G11" s="22" t="str">
        <x:v>Tighten lending: Credit -12</x:v>
      </x:c>
      <x:c r="H11" s="22" t="str">
        <x:v>Maintain lending: Revenue +5%, Credit +12</x:v>
      </x:c>
      <x:c r="I11" s="22" t="str">
        <x:v>Insurance + Treasury</x:v>
      </x:c>
      <x:c r="J11" s="68" t="n">
        <x:v>60</x:v>
      </x:c>
      <x:c r="K11" s="61" t="n">
        <x:v>0.22</x:v>
      </x:c>
      <x:c r="L11" s="22" t="str">
        <x:v>36h</x:v>
      </x:c>
      <x:c r="M11" s="22" t="str">
        <x:v>Tycoon</x:v>
      </x:c>
      <x:c r="N11" s="38" t="str"/>
    </x:row>
    <x:row r="12">
      <x:c r="A12" s="37" t="str">
        <x:v>Institutional Review</x:v>
      </x:c>
      <x:c r="B12" s="22" t="str">
        <x:v>Reputation</x:v>
      </x:c>
      <x:c r="C12" s="68" t="n">
        <x:v>8</x:v>
      </x:c>
      <x:c r="D12" s="22" t="str">
        <x:v>Operational +3</x:v>
      </x:c>
      <x:c r="E12" s="22" t="n">
        <x:v>4</x:v>
      </x:c>
      <x:c r="F12" s="68" t="n">
        <x:v>-4</x:v>
      </x:c>
      <x:c r="G12" s="22" t="str">
        <x:v>Full audit/service review: Rep Risk -8</x:v>
      </x:c>
      <x:c r="H12" s="22" t="str">
        <x:v>Minimal response: save Cash, Rep Risk +8</x:v>
      </x:c>
      <x:c r="I12" s="22" t="str">
        <x:v>Research / Data</x:v>
      </x:c>
      <x:c r="J12" s="68" t="n">
        <x:v>60</x:v>
      </x:c>
      <x:c r="K12" s="61" t="n">
        <x:v>0.12</x:v>
      </x:c>
      <x:c r="L12" s="22" t="str">
        <x:v>24h</x:v>
      </x:c>
      <x:c r="M12" s="22" t="str">
        <x:v>Established+</x:v>
      </x:c>
      <x:c r="N12" s="38" t="str"/>
    </x:row>
    <x:row r="13">
      <x:c r="A13" s="39" t="str">
        <x:v>World Market Week</x:v>
      </x:c>
      <x:c r="B13" s="40" t="str">
        <x:v>Market</x:v>
      </x:c>
      <x:c r="C13" s="70" t="n">
        <x:v>12</x:v>
      </x:c>
      <x:c r="D13" s="40" t="str">
        <x:v>Operational +5</x:v>
      </x:c>
      <x:c r="E13" s="40" t="n">
        <x:v>4</x:v>
      </x:c>
      <x:c r="F13" s="70" t="n">
        <x:v>-2</x:v>
      </x:c>
      <x:c r="G13" s="40" t="str">
        <x:v>Balanced exposure</x:v>
      </x:c>
      <x:c r="H13" s="40" t="str">
        <x:v>Maximize activity: +8 Market/Op risk</x:v>
      </x:c>
      <x:c r="I13" s="40" t="str">
        <x:v>Research + Data + Treasury</x:v>
      </x:c>
      <x:c r="J13" s="70" t="n">
        <x:v>75</x:v>
      </x:c>
      <x:c r="K13" s="62" t="n">
        <x:v>0.12</x:v>
      </x:c>
      <x:c r="L13" s="40" t="str">
        <x:v>72h</x:v>
      </x:c>
      <x:c r="M13" s="40" t="str">
        <x:v>Tycoon</x:v>
      </x:c>
      <x:c r="N13" s="41" t="str"/>
    </x:row>
  </x:sheetData>
  <x:mergeCells>
    <x:mergeCell ref="A1:N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Composite Risk Band Economic &amp; Gameplay Effects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22"/>
      <x:c r="P1" s="22"/>
      <x:c r="Q1" s="22"/>
    </x:row>
    <x:row r="3">
      <x:c r="A3" s="14" t="str">
        <x:v>Risk Band</x:v>
      </x:c>
      <x:c r="B3" s="14" t="str">
        <x:v>Score Range</x:v>
      </x:c>
      <x:c r="C3" s="14" t="str">
        <x:v>Revenue Modifier</x:v>
      </x:c>
      <x:c r="D3" s="14" t="str">
        <x:v>Activity Modifier</x:v>
      </x:c>
      <x:c r="E3" s="14" t="str">
        <x:v>Acquisition Modifier</x:v>
      </x:c>
      <x:c r="F3" s="14" t="str">
        <x:v>Retention Modifier</x:v>
      </x:c>
      <x:c r="G3" s="14" t="str">
        <x:v>Event Failure Mult</x:v>
      </x:c>
      <x:c r="H3" s="14" t="str">
        <x:v>Risk Performance Subscore</x:v>
      </x:c>
      <x:c r="I3" s="14" t="str">
        <x:v>HNW Access</x:v>
      </x:c>
      <x:c r="J3" s="14" t="str">
        <x:v>Corporate Access</x:v>
      </x:c>
      <x:c r="K3" s="14" t="str">
        <x:v>Institutional Access</x:v>
      </x:c>
      <x:c r="L3" s="14" t="str">
        <x:v>Recovery Priority</x:v>
      </x:c>
      <x:c r="M3" s="14" t="str">
        <x:v>Player Strategy</x:v>
      </x:c>
      <x:c r="N3" s="14" t="str">
        <x:v>Notes</x:v>
      </x:c>
    </x:row>
    <x:row r="4">
      <x:c r="A4" s="34" t="str">
        <x:v>Conservative</x:v>
      </x:c>
      <x:c r="B4" s="35" t="str">
        <x:v>0–20</x:v>
      </x:c>
      <x:c r="C4" s="78" t="n">
        <x:v>0.97</x:v>
      </x:c>
      <x:c r="D4" s="78" t="n">
        <x:v>0.96</x:v>
      </x:c>
      <x:c r="E4" s="78" t="n">
        <x:v>1</x:v>
      </x:c>
      <x:c r="F4" s="78" t="n">
        <x:v>1.03</x:v>
      </x:c>
      <x:c r="G4" s="78" t="n">
        <x:v>0.5</x:v>
      </x:c>
      <x:c r="H4" s="66" t="n">
        <x:v>90</x:v>
      </x:c>
      <x:c r="I4" s="35" t="str">
        <x:v>Yes if Rep gate</x:v>
      </x:c>
      <x:c r="J4" s="35" t="str">
        <x:v>Yes if Rep gate</x:v>
      </x:c>
      <x:c r="K4" s="35" t="str">
        <x:v>Yes if Rep gate</x:v>
      </x:c>
      <x:c r="L4" s="35" t="str">
        <x:v>Optional</x:v>
      </x:c>
      <x:c r="M4" s="35" t="str">
        <x:v>Safe, slightly underutilized</x:v>
      </x:c>
      <x:c r="N4" s="36" t="str">
        <x:v>Small opportunity cost keeps Managed as ideal</x:v>
      </x:c>
    </x:row>
    <x:row r="5">
      <x:c r="A5" s="37" t="str">
        <x:v>Managed</x:v>
      </x:c>
      <x:c r="B5" s="22" t="str">
        <x:v>21–40</x:v>
      </x:c>
      <x:c r="C5" s="79" t="n">
        <x:v>1</x:v>
      </x:c>
      <x:c r="D5" s="79" t="n">
        <x:v>1</x:v>
      </x:c>
      <x:c r="E5" s="79" t="n">
        <x:v>1</x:v>
      </x:c>
      <x:c r="F5" s="79" t="n">
        <x:v>1</x:v>
      </x:c>
      <x:c r="G5" s="79" t="n">
        <x:v>0.75</x:v>
      </x:c>
      <x:c r="H5" s="68" t="n">
        <x:v>100</x:v>
      </x:c>
      <x:c r="I5" s="22" t="str">
        <x:v>Yes if Rep gate</x:v>
      </x:c>
      <x:c r="J5" s="22" t="str">
        <x:v>Yes if Rep gate</x:v>
      </x:c>
      <x:c r="K5" s="22" t="str">
        <x:v>Yes if Rep gate</x:v>
      </x:c>
      <x:c r="L5" s="22" t="str">
        <x:v>None</x:v>
      </x:c>
      <x:c r="M5" s="22" t="str">
        <x:v>Healthy target</x:v>
      </x:c>
      <x:c r="N5" s="38" t="str"/>
    </x:row>
    <x:row r="6">
      <x:c r="A6" s="37" t="str">
        <x:v>Elevated</x:v>
      </x:c>
      <x:c r="B6" s="22" t="str">
        <x:v>41–60</x:v>
      </x:c>
      <x:c r="C6" s="79" t="n">
        <x:v>1.03</x:v>
      </x:c>
      <x:c r="D6" s="79" t="n">
        <x:v>1.04</x:v>
      </x:c>
      <x:c r="E6" s="79" t="n">
        <x:v>0.96</x:v>
      </x:c>
      <x:c r="F6" s="79" t="n">
        <x:v>0.97</x:v>
      </x:c>
      <x:c r="G6" s="79" t="n">
        <x:v>1</x:v>
      </x:c>
      <x:c r="H6" s="68" t="n">
        <x:v>78</x:v>
      </x:c>
      <x:c r="I6" s="22" t="str">
        <x:v>Yes if Rep gate</x:v>
      </x:c>
      <x:c r="J6" s="22" t="str">
        <x:v>Yes if Rep gate</x:v>
      </x:c>
      <x:c r="K6" s="22" t="str">
        <x:v>Limited if &gt;55</x:v>
      </x:c>
      <x:c r="L6" s="22" t="str">
        <x:v>Monitor</x:v>
      </x:c>
      <x:c r="M6" s="22" t="str">
        <x:v>Aggressive growth</x:v>
      </x:c>
      <x:c r="N6" s="38" t="str">
        <x:v>Higher upside but declining quality</x:v>
      </x:c>
    </x:row>
    <x:row r="7">
      <x:c r="A7" s="37" t="str">
        <x:v>High</x:v>
      </x:c>
      <x:c r="B7" s="22" t="str">
        <x:v>61–80</x:v>
      </x:c>
      <x:c r="C7" s="79" t="n">
        <x:v>0.98</x:v>
      </x:c>
      <x:c r="D7" s="79" t="n">
        <x:v>1.02</x:v>
      </x:c>
      <x:c r="E7" s="79" t="n">
        <x:v>0.85</x:v>
      </x:c>
      <x:c r="F7" s="79" t="n">
        <x:v>0.9</x:v>
      </x:c>
      <x:c r="G7" s="79" t="n">
        <x:v>1.5</x:v>
      </x:c>
      <x:c r="H7" s="68" t="n">
        <x:v>45</x:v>
      </x:c>
      <x:c r="I7" s="22" t="str">
        <x:v>Limited</x:v>
      </x:c>
      <x:c r="J7" s="22" t="str">
        <x:v>Limited</x:v>
      </x:c>
      <x:c r="K7" s="22" t="str">
        <x:v>No new acquisition</x:v>
      </x:c>
      <x:c r="L7" s="22" t="str">
        <x:v>High</x:v>
      </x:c>
      <x:c r="M7" s="22" t="str">
        <x:v>Fragile / event-sensitive</x:v>
      </x:c>
      <x:c r="N7" s="38" t="str">
        <x:v>Short-term activity may remain high</x:v>
      </x:c>
    </x:row>
    <x:row r="8">
      <x:c r="A8" s="39" t="str">
        <x:v>Critical</x:v>
      </x:c>
      <x:c r="B8" s="40" t="str">
        <x:v>81–100</x:v>
      </x:c>
      <x:c r="C8" s="80" t="n">
        <x:v>0.82</x:v>
      </x:c>
      <x:c r="D8" s="80" t="n">
        <x:v>0.88</x:v>
      </x:c>
      <x:c r="E8" s="80" t="n">
        <x:v>0.65</x:v>
      </x:c>
      <x:c r="F8" s="80" t="n">
        <x:v>0.75</x:v>
      </x:c>
      <x:c r="G8" s="80" t="n">
        <x:v>2</x:v>
      </x:c>
      <x:c r="H8" s="70" t="n">
        <x:v>10</x:v>
      </x:c>
      <x:c r="I8" s="40" t="str">
        <x:v>No new HNW</x:v>
      </x:c>
      <x:c r="J8" s="40" t="str">
        <x:v>No new Corporate</x:v>
      </x:c>
      <x:c r="K8" s="40" t="str">
        <x:v>No new Institutional</x:v>
      </x:c>
      <x:c r="L8" s="40" t="str">
        <x:v>Immediate</x:v>
      </x:c>
      <x:c r="M8" s="40" t="str">
        <x:v>Stabilize before growth</x:v>
      </x:c>
      <x:c r="N8" s="41" t="str">
        <x:v>Failure chance remains hard-capped</x:v>
      </x:c>
    </x:row>
    <x:row r="10" ht="22" customHeight="1">
      <x:c r="A10" s="31" t="str">
        <x:v>Failure Probability Formula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</x:row>
    <x:row r="11">
      <x:c r="A11" s="14" t="str">
        <x:v>Step</x:v>
      </x:c>
      <x:c r="B11" s="14" t="str">
        <x:v>Formula</x:v>
      </x:c>
      <x:c r="C11" s="14" t="str">
        <x:v>Example at Risk 70</x:v>
      </x:c>
      <x:c r="D11" s="14" t="str">
        <x:v>Example at Risk 90</x:v>
      </x:c>
      <x:c r="E11" s="14" t="str">
        <x:v>Notes</x:v>
      </x:c>
    </x:row>
    <x:row r="12">
      <x:c r="A12" s="34" t="n">
        <x:v>1</x:v>
      </x:c>
      <x:c r="B12" s="35" t="str">
        <x:v>Base failure chance = MAX(0,(Risk-60)/100)</x:v>
      </x:c>
      <x:c r="C12" s="60" t="n">
        <x:v>0.1</x:v>
      </x:c>
      <x:c r="D12" s="60" t="n">
        <x:v>0.3</x:v>
      </x:c>
      <x:c r="E12" s="36" t="str">
        <x:v>Only risk above 60 contributes</x:v>
      </x:c>
    </x:row>
    <x:row r="13">
      <x:c r="A13" s="37" t="n">
        <x:v>2</x:v>
      </x:c>
      <x:c r="B13" s="22" t="str">
        <x:v>× event severity multiplier</x:v>
      </x:c>
      <x:c r="C13" s="61" t="n">
        <x:v>0.12</x:v>
      </x:c>
      <x:c r="D13" s="61" t="n">
        <x:v>0.36</x:v>
      </x:c>
      <x:c r="E13" s="38" t="str">
        <x:v>Example severity 1.2</x:v>
      </x:c>
    </x:row>
    <x:row r="14">
      <x:c r="A14" s="37" t="n">
        <x:v>3</x:v>
      </x:c>
      <x:c r="B14" s="22" t="str">
        <x:v>× mitigation multiplier</x:v>
      </x:c>
      <x:c r="C14" s="61" t="n">
        <x:v>0.09</x:v>
      </x:c>
      <x:c r="D14" s="61" t="n">
        <x:v>0.27</x:v>
      </x:c>
      <x:c r="E14" s="38" t="str">
        <x:v>Example 25% mitigation</x:v>
      </x:c>
    </x:row>
    <x:row r="15">
      <x:c r="A15" s="39" t="n">
        <x:v>4</x:v>
      </x:c>
      <x:c r="B15" s="40" t="str">
        <x:v>Clamp to configured max chance</x:v>
      </x:c>
      <x:c r="C15" s="62" t="n">
        <x:v>0.09</x:v>
      </x:c>
      <x:c r="D15" s="62" t="n">
        <x:v>0.25</x:v>
      </x:c>
      <x:c r="E15" s="41" t="str">
        <x:v>Assumption hard cap = 25%</x:v>
      </x:c>
    </x:row>
  </x:sheetData>
  <x:mergeCells>
    <x:mergeCell ref="A1:N1"/>
    <x:mergeCell ref="A10:N1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Risk &amp; Reputation → Weekly Performance Score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22"/>
      <x:c r="P1" s="22"/>
      <x:c r="Q1" s="22"/>
    </x:row>
    <x:row r="3">
      <x:c r="A3" s="14" t="str">
        <x:v>Component</x:v>
      </x:c>
      <x:c r="B3" s="14" t="str">
        <x:v>Weight</x:v>
      </x:c>
      <x:c r="C3" s="14" t="str">
        <x:v>Raw Input</x:v>
      </x:c>
      <x:c r="D3" s="14" t="str">
        <x:v>Normalization</x:v>
      </x:c>
      <x:c r="E3" s="14" t="str">
        <x:v>100-Point Condition</x:v>
      </x:c>
      <x:c r="F3" s="14" t="str">
        <x:v>50-Point Condition</x:v>
      </x:c>
      <x:c r="G3" s="14" t="str">
        <x:v>0-Point Condition</x:v>
      </x:c>
      <x:c r="H3" s="14" t="str">
        <x:v>Direct Weekly Contribution Max</x:v>
      </x:c>
      <x:c r="I3" s="14" t="str">
        <x:v>Stage Normalized?</x:v>
      </x:c>
      <x:c r="J3" s="14" t="str">
        <x:v>Can Land Ownership Raise It?</x:v>
      </x:c>
      <x:c r="K3" s="14" t="str">
        <x:v>Can Spending Raise It Directly?</x:v>
      </x:c>
      <x:c r="L3" s="14" t="str">
        <x:v>Anti-Farm Rule</x:v>
      </x:c>
      <x:c r="M3" s="14" t="str">
        <x:v>Why</x:v>
      </x:c>
      <x:c r="N3" s="14" t="str">
        <x:v>Notes</x:v>
      </x:c>
    </x:row>
    <x:row r="4">
      <x:c r="A4" s="34" t="str">
        <x:v>Risk Management</x:v>
      </x:c>
      <x:c r="B4" s="60" t="n">
        <x:v>0.05</x:v>
      </x:c>
      <x:c r="C4" s="35" t="str">
        <x:v>Composite Risk 0–100</x:v>
      </x:c>
      <x:c r="D4" s="35" t="str">
        <x:v>Band/curve score</x:v>
      </x:c>
      <x:c r="E4" s="35" t="str">
        <x:v>Managed risk 21–40</x:v>
      </x:c>
      <x:c r="F4" s="35" t="str">
        <x:v>High risk ~65–75</x:v>
      </x:c>
      <x:c r="G4" s="35" t="str">
        <x:v>Persistent Critical risk</x:v>
      </x:c>
      <x:c r="H4" s="66" t="n">
        <x:v>5</x:v>
      </x:c>
      <x:c r="I4" s="35" t="str">
        <x:v>Yes</x:v>
      </x:c>
      <x:c r="J4" s="35" t="str">
        <x:v>No</x:v>
      </x:c>
      <x:c r="K4" s="35" t="str">
        <x:v>No</x:v>
      </x:c>
      <x:c r="L4" s="35" t="str">
        <x:v>Use weekly median risk + severe incident flags</x:v>
      </x:c>
      <x:c r="M4" s="35" t="str">
        <x:v>Rewards control without favoring zero risk</x:v>
      </x:c>
      <x:c r="N4" s="36" t="str"/>
    </x:row>
    <x:row r="5">
      <x:c r="A5" s="39" t="str">
        <x:v>Reputation</x:v>
      </x:c>
      <x:c r="B5" s="62" t="n">
        <x:v>0.05</x:v>
      </x:c>
      <x:c r="C5" s="40" t="str">
        <x:v>Reputation 0–100</x:v>
      </x:c>
      <x:c r="D5" s="40" t="str">
        <x:v>Tier/score curve</x:v>
      </x:c>
      <x:c r="E5" s="40" t="str">
        <x:v>Rep 95–100</x:v>
      </x:c>
      <x:c r="F5" s="40" t="str">
        <x:v>Rep ~50</x:v>
      </x:c>
      <x:c r="G5" s="40" t="str">
        <x:v>Rep near 0</x:v>
      </x:c>
      <x:c r="H5" s="70" t="n">
        <x:v>5</x:v>
      </x:c>
      <x:c r="I5" s="40" t="str">
        <x:v>No but gates are stage-linked</x:v>
      </x:c>
      <x:c r="J5" s="40" t="str">
        <x:v>No</x:v>
      </x:c>
      <x:c r="K5" s="40" t="str">
        <x:v>No</x:v>
      </x:c>
      <x:c r="L5" s="40" t="str">
        <x:v>Use weekly median/end value; cap daily gains</x:v>
      </x:c>
      <x:c r="M5" s="40" t="str">
        <x:v>Rewards trustworthy operation</x:v>
      </x:c>
      <x:c r="N5" s="41" t="str"/>
    </x:row>
    <x:row r="7" ht="22" customHeight="1">
      <x:c r="A7" s="31" t="str">
        <x:v>Recommended Risk Management Subscore Curve</x:v>
      </x:c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</x:row>
    <x:row r="8">
      <x:c r="A8" s="14" t="str">
        <x:v>Composite Risk</x:v>
      </x:c>
      <x:c r="B8" s="14" t="str">
        <x:v>Subscore</x:v>
      </x:c>
      <x:c r="C8" s="14" t="str">
        <x:v>Contribution at 5%</x:v>
      </x:c>
      <x:c r="D8" s="14" t="str">
        <x:v>Interpretation</x:v>
      </x:c>
      <x:c r="E8" s="14" t="str">
        <x:v>Formula Rule</x:v>
      </x:c>
    </x:row>
    <x:row r="9">
      <x:c r="A9" s="92" t="n">
        <x:v>10</x:v>
      </x:c>
      <x:c r="B9" s="66" t="n">
        <x:v>90</x:v>
      </x:c>
      <x:c r="C9" s="78" t="n">
        <x:f>B9*'01_Assumptions'!$B$13</x:f>
        <x:v>4.5</x:v>
      </x:c>
      <x:c r="D9" s="35" t="str">
        <x:v>Very safe / slightly underutilized</x:v>
      </x:c>
      <x:c r="E9" s="36" t="str">
        <x:v>Conservative band</x:v>
      </x:c>
    </x:row>
    <x:row r="10">
      <x:c r="A10" s="93" t="n">
        <x:v>20</x:v>
      </x:c>
      <x:c r="B10" s="68" t="n">
        <x:v>90</x:v>
      </x:c>
      <x:c r="C10" s="79" t="n">
        <x:f>B10*'01_Assumptions'!$B$13</x:f>
        <x:v>4.5</x:v>
      </x:c>
      <x:c r="D10" s="22" t="str">
        <x:v>Upper conservative</x:v>
      </x:c>
      <x:c r="E10" s="38" t="str">
        <x:v>Conservative band</x:v>
      </x:c>
    </x:row>
    <x:row r="11">
      <x:c r="A11" s="93" t="n">
        <x:v>30</x:v>
      </x:c>
      <x:c r="B11" s="68" t="n">
        <x:v>100</x:v>
      </x:c>
      <x:c r="C11" s="79" t="n">
        <x:f>B11*'01_Assumptions'!$B$13</x:f>
        <x:v>5</x:v>
      </x:c>
      <x:c r="D11" s="22" t="str">
        <x:v>Ideal managed midpoint</x:v>
      </x:c>
      <x:c r="E11" s="38" t="str">
        <x:v>Managed band</x:v>
      </x:c>
    </x:row>
    <x:row r="12">
      <x:c r="A12" s="93" t="n">
        <x:v>40</x:v>
      </x:c>
      <x:c r="B12" s="68" t="n">
        <x:v>100</x:v>
      </x:c>
      <x:c r="C12" s="79" t="n">
        <x:f>B12*'01_Assumptions'!$B$13</x:f>
        <x:v>5</x:v>
      </x:c>
      <x:c r="D12" s="22" t="str">
        <x:v>Upper managed</x:v>
      </x:c>
      <x:c r="E12" s="38" t="str">
        <x:v>Managed band</x:v>
      </x:c>
    </x:row>
    <x:row r="13">
      <x:c r="A13" s="93" t="n">
        <x:v>50</x:v>
      </x:c>
      <x:c r="B13" s="68" t="n">
        <x:v>78</x:v>
      </x:c>
      <x:c r="C13" s="79" t="n">
        <x:f>B13*'01_Assumptions'!$B$13</x:f>
        <x:v>3.9000000000000004</x:v>
      </x:c>
      <x:c r="D13" s="22" t="str">
        <x:v>Elevated</x:v>
      </x:c>
      <x:c r="E13" s="38" t="str">
        <x:v>Elevated band</x:v>
      </x:c>
    </x:row>
    <x:row r="14">
      <x:c r="A14" s="93" t="n">
        <x:v>60</x:v>
      </x:c>
      <x:c r="B14" s="68" t="n">
        <x:v>78</x:v>
      </x:c>
      <x:c r="C14" s="79" t="n">
        <x:f>B14*'01_Assumptions'!$B$13</x:f>
        <x:v>3.9000000000000004</x:v>
      </x:c>
      <x:c r="D14" s="22" t="str">
        <x:v>Upper elevated</x:v>
      </x:c>
      <x:c r="E14" s="38" t="str">
        <x:v>Elevated band</x:v>
      </x:c>
    </x:row>
    <x:row r="15">
      <x:c r="A15" s="93" t="n">
        <x:v>70</x:v>
      </x:c>
      <x:c r="B15" s="68" t="n">
        <x:v>45</x:v>
      </x:c>
      <x:c r="C15" s="79" t="n">
        <x:f>B15*'01_Assumptions'!$B$13</x:f>
        <x:v>2.25</x:v>
      </x:c>
      <x:c r="D15" s="22" t="str">
        <x:v>High</x:v>
      </x:c>
      <x:c r="E15" s="38" t="str">
        <x:v>High band</x:v>
      </x:c>
    </x:row>
    <x:row r="16">
      <x:c r="A16" s="93" t="n">
        <x:v>80</x:v>
      </x:c>
      <x:c r="B16" s="68" t="n">
        <x:v>45</x:v>
      </x:c>
      <x:c r="C16" s="79" t="n">
        <x:f>B16*'01_Assumptions'!$B$13</x:f>
        <x:v>2.25</x:v>
      </x:c>
      <x:c r="D16" s="22" t="str">
        <x:v>Upper high</x:v>
      </x:c>
      <x:c r="E16" s="38" t="str">
        <x:v>High band</x:v>
      </x:c>
    </x:row>
    <x:row r="17">
      <x:c r="A17" s="93" t="n">
        <x:v>90</x:v>
      </x:c>
      <x:c r="B17" s="68" t="n">
        <x:v>10</x:v>
      </x:c>
      <x:c r="C17" s="79" t="n">
        <x:f>B17*'01_Assumptions'!$B$13</x:f>
        <x:v>0.5</x:v>
      </x:c>
      <x:c r="D17" s="22" t="str">
        <x:v>Critical</x:v>
      </x:c>
      <x:c r="E17" s="38" t="str">
        <x:v>Critical band</x:v>
      </x:c>
    </x:row>
    <x:row r="18">
      <x:c r="A18" s="94" t="n">
        <x:v>100</x:v>
      </x:c>
      <x:c r="B18" s="70" t="n">
        <x:v>10</x:v>
      </x:c>
      <x:c r="C18" s="80" t="n">
        <x:f>B18*'01_Assumptions'!$B$13</x:f>
        <x:v>0.5</x:v>
      </x:c>
      <x:c r="D18" s="40" t="str">
        <x:v>Critical max</x:v>
      </x:c>
      <x:c r="E18" s="41" t="str">
        <x:v>Critical band</x:v>
      </x:c>
    </x:row>
    <x:row r="20" ht="22" customHeight="1">
      <x:c r="A20" s="31" t="str">
        <x:v>Recommended Reputation Subscore Curve</x:v>
      </x:c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</x:row>
    <x:row r="21">
      <x:c r="A21" s="14" t="str">
        <x:v>Reputation</x:v>
      </x:c>
      <x:c r="B21" s="14" t="str">
        <x:v>Subscore</x:v>
      </x:c>
      <x:c r="C21" s="14" t="str">
        <x:v>Contribution at 5%</x:v>
      </x:c>
      <x:c r="D21" s="14" t="str">
        <x:v>Tier</x:v>
      </x:c>
      <x:c r="E21" s="14" t="str">
        <x:v>Rule</x:v>
      </x:c>
    </x:row>
    <x:row r="22">
      <x:c r="A22" s="92" t="n">
        <x:v>30</x:v>
      </x:c>
      <x:c r="B22" s="66" t="n">
        <x:v>15</x:v>
      </x:c>
      <x:c r="C22" s="78" t="n">
        <x:f>B22*'01_Assumptions'!$B$14</x:f>
        <x:v>0.75</x:v>
      </x:c>
      <x:c r="D22" s="35" t="str">
        <x:v>Weak</x:v>
      </x:c>
      <x:c r="E22" s="36" t="str">
        <x:v>Below 40 should materially hurt</x:v>
      </x:c>
    </x:row>
    <x:row r="23">
      <x:c r="A23" s="93" t="n">
        <x:v>40</x:v>
      </x:c>
      <x:c r="B23" s="68" t="n">
        <x:v>35</x:v>
      </x:c>
      <x:c r="C23" s="79" t="n">
        <x:f>B23*'01_Assumptions'!$B$14</x:f>
        <x:v>1.75</x:v>
      </x:c>
      <x:c r="D23" s="22" t="str">
        <x:v>Developing</x:v>
      </x:c>
      <x:c r="E23" s="38" t="str">
        <x:v>Recovery zone</x:v>
      </x:c>
    </x:row>
    <x:row r="24">
      <x:c r="A24" s="93" t="n">
        <x:v>50</x:v>
      </x:c>
      <x:c r="B24" s="68" t="n">
        <x:v>50</x:v>
      </x:c>
      <x:c r="C24" s="79" t="n">
        <x:f>B24*'01_Assumptions'!$B$14</x:f>
        <x:v>2.5</x:v>
      </x:c>
      <x:c r="D24" s="22" t="str">
        <x:v>Developing</x:v>
      </x:c>
      <x:c r="E24" s="38" t="str">
        <x:v>Starting baseline</x:v>
      </x:c>
    </x:row>
    <x:row r="25">
      <x:c r="A25" s="93" t="n">
        <x:v>60</x:v>
      </x:c>
      <x:c r="B25" s="68" t="n">
        <x:v>65</x:v>
      </x:c>
      <x:c r="C25" s="79" t="n">
        <x:f>B25*'01_Assumptions'!$B$14</x:f>
        <x:v>3.25</x:v>
      </x:c>
      <x:c r="D25" s="22" t="str">
        <x:v>Trusted</x:v>
      </x:c>
      <x:c r="E25" s="38" t="str">
        <x:v>Healthy early/midgame</x:v>
      </x:c>
    </x:row>
    <x:row r="26">
      <x:c r="A26" s="93" t="n">
        <x:v>70</x:v>
      </x:c>
      <x:c r="B26" s="68" t="n">
        <x:v>75</x:v>
      </x:c>
      <x:c r="C26" s="79" t="n">
        <x:f>B26*'01_Assumptions'!$B$14</x:f>
        <x:v>3.75</x:v>
      </x:c>
      <x:c r="D26" s="22" t="str">
        <x:v>Established</x:v>
      </x:c>
      <x:c r="E26" s="38" t="str">
        <x:v>Strong</x:v>
      </x:c>
    </x:row>
    <x:row r="27">
      <x:c r="A27" s="93" t="n">
        <x:v>80</x:v>
      </x:c>
      <x:c r="B27" s="68" t="n">
        <x:v>85</x:v>
      </x:c>
      <x:c r="C27" s="79" t="n">
        <x:f>B27*'01_Assumptions'!$B$14</x:f>
        <x:v>4.25</x:v>
      </x:c>
      <x:c r="D27" s="22" t="str">
        <x:v>Prestigious</x:v>
      </x:c>
      <x:c r="E27" s="38" t="str">
        <x:v>Very strong</x:v>
      </x:c>
    </x:row>
    <x:row r="28">
      <x:c r="A28" s="93" t="n">
        <x:v>90</x:v>
      </x:c>
      <x:c r="B28" s="68" t="n">
        <x:v>95</x:v>
      </x:c>
      <x:c r="C28" s="79" t="n">
        <x:f>B28*'01_Assumptions'!$B$14</x:f>
        <x:v>4.75</x:v>
      </x:c>
      <x:c r="D28" s="22" t="str">
        <x:v>Elite</x:v>
      </x:c>
      <x:c r="E28" s="38" t="str">
        <x:v>Excellent</x:v>
      </x:c>
    </x:row>
    <x:row r="29">
      <x:c r="A29" s="94" t="n">
        <x:v>100</x:v>
      </x:c>
      <x:c r="B29" s="70" t="n">
        <x:v>100</x:v>
      </x:c>
      <x:c r="C29" s="80" t="n">
        <x:f>B29*'01_Assumptions'!$B$14</x:f>
        <x:v>5</x:v>
      </x:c>
      <x:c r="D29" s="40" t="str">
        <x:v>Global</x:v>
      </x:c>
      <x:c r="E29" s="41" t="str">
        <x:v>Cap</x:v>
      </x:c>
    </x:row>
  </x:sheetData>
  <x:mergeCells>
    <x:mergeCell ref="A1:N1"/>
    <x:mergeCell ref="A7:N7"/>
    <x:mergeCell ref="A20:N2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Stage Risk &amp; Reputation Benchmarks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22"/>
      <x:c r="O1" s="22"/>
      <x:c r="P1" s="22"/>
      <x:c r="Q1" s="22"/>
    </x:row>
    <x:row r="3">
      <x:c r="A3" s="14" t="str">
        <x:v>Stage</x:v>
      </x:c>
      <x:c r="B3" s="14" t="str">
        <x:v>Levels</x:v>
      </x:c>
      <x:c r="C3" s="14" t="str">
        <x:v>Target Reputation</x:v>
      </x:c>
      <x:c r="D3" s="14" t="str">
        <x:v>Healthy Risk Range</x:v>
      </x:c>
      <x:c r="E3" s="14" t="str">
        <x:v>Warning Risk</x:v>
      </x:c>
      <x:c r="F3" s="14" t="str">
        <x:v>Critical Concern</x:v>
      </x:c>
      <x:c r="G3" s="14" t="str">
        <x:v>Reserve Target</x:v>
      </x:c>
      <x:c r="H3" s="14" t="str">
        <x:v>Max Single-Family Activity Share</x:v>
      </x:c>
      <x:c r="I3" s="14" t="str">
        <x:v>Primary New Risk</x:v>
      </x:c>
      <x:c r="J3" s="14" t="str">
        <x:v>Key Mitigation Unlock</x:v>
      </x:c>
      <x:c r="K3" s="14" t="str">
        <x:v>High-Value Customer Access</x:v>
      </x:c>
      <x:c r="L3" s="14" t="str">
        <x:v>Expansion Gate</x:v>
      </x:c>
      <x:c r="M3" s="14" t="str">
        <x:v>Design Goal</x:v>
      </x:c>
    </x:row>
    <x:row r="4">
      <x:c r="A4" s="34" t="str">
        <x:v>Humble</x:v>
      </x:c>
      <x:c r="B4" s="35" t="str">
        <x:v>1–10</x:v>
      </x:c>
      <x:c r="C4" s="35" t="str">
        <x:v>48–55</x:v>
      </x:c>
      <x:c r="D4" s="35" t="str">
        <x:v>20–35</x:v>
      </x:c>
      <x:c r="E4" s="35" t="str">
        <x:v>41+</x:v>
      </x:c>
      <x:c r="F4" s="35" t="str">
        <x:v>70+</x:v>
      </x:c>
      <x:c r="G4" s="60" t="n">
        <x:v>0.1</x:v>
      </x:c>
      <x:c r="H4" s="60" t="n">
        <x:v>0.7</x:v>
      </x:c>
      <x:c r="I4" s="35" t="str">
        <x:v>Operational/service</x:v>
      </x:c>
      <x:c r="J4" s="35" t="str">
        <x:v>Capacity + basic Vault</x:v>
      </x:c>
      <x:c r="K4" s="35" t="str">
        <x:v>General/Retail</x:v>
      </x:c>
      <x:c r="L4" s="35" t="str">
        <x:v>1 Plot</x:v>
      </x:c>
      <x:c r="M4" s="36" t="str">
        <x:v>Teach that quality matters</x:v>
      </x:c>
    </x:row>
    <x:row r="5">
      <x:c r="A5" s="37" t="str">
        <x:v>Starter</x:v>
      </x:c>
      <x:c r="B5" s="22" t="str">
        <x:v>11–20</x:v>
      </x:c>
      <x:c r="C5" s="22" t="str">
        <x:v>55–64</x:v>
      </x:c>
      <x:c r="D5" s="22" t="str">
        <x:v>20–40</x:v>
      </x:c>
      <x:c r="E5" s="22" t="str">
        <x:v>45+</x:v>
      </x:c>
      <x:c r="F5" s="22" t="str">
        <x:v>75+</x:v>
      </x:c>
      <x:c r="G5" s="61" t="n">
        <x:v>0.12</x:v>
      </x:c>
      <x:c r="H5" s="61" t="n">
        <x:v>0.6</x:v>
      </x:c>
      <x:c r="I5" s="22" t="str">
        <x:v>Credit + market</x:v>
      </x:c>
      <x:c r="J5" s="22" t="str">
        <x:v>Insurance + Research + Treasury</x:v>
      </x:c>
      <x:c r="K5" s="22" t="str">
        <x:v>SME / traders</x:v>
      </x:c>
      <x:c r="L5" s="22" t="str">
        <x:v>1 Plot</x:v>
      </x:c>
      <x:c r="M5" s="38" t="str">
        <x:v>Introduce tradeoffs</x:v>
      </x:c>
    </x:row>
    <x:row r="6">
      <x:c r="A6" s="37" t="str">
        <x:v>Growing</x:v>
      </x:c>
      <x:c r="B6" s="22" t="str">
        <x:v>21–30</x:v>
      </x:c>
      <x:c r="C6" s="22" t="str">
        <x:v>65–74</x:v>
      </x:c>
      <x:c r="D6" s="22" t="str">
        <x:v>22–40</x:v>
      </x:c>
      <x:c r="E6" s="22" t="str">
        <x:v>45+</x:v>
      </x:c>
      <x:c r="F6" s="22" t="str">
        <x:v>75+</x:v>
      </x:c>
      <x:c r="G6" s="61" t="n">
        <x:v>0.15</x:v>
      </x:c>
      <x:c r="H6" s="61" t="n">
        <x:v>0.5</x:v>
      </x:c>
      <x:c r="I6" s="22" t="str">
        <x:v>Concentration + liquidity</x:v>
      </x:c>
      <x:c r="J6" s="22" t="str">
        <x:v>Research + Treasury + diversification</x:v>
      </x:c>
      <x:c r="K6" s="22" t="str">
        <x:v>HNW begins</x:v>
      </x:c>
      <x:c r="L6" s="22" t="str">
        <x:v>Plot 2</x:v>
      </x:c>
      <x:c r="M6" s="38" t="str">
        <x:v>Scale with controls</x:v>
      </x:c>
    </x:row>
    <x:row r="7">
      <x:c r="A7" s="37" t="str">
        <x:v>Established</x:v>
      </x:c>
      <x:c r="B7" s="22" t="str">
        <x:v>31–40</x:v>
      </x:c>
      <x:c r="C7" s="22" t="str">
        <x:v>75–84</x:v>
      </x:c>
      <x:c r="D7" s="22" t="str">
        <x:v>25–40</x:v>
      </x:c>
      <x:c r="E7" s="22" t="str">
        <x:v>50+</x:v>
      </x:c>
      <x:c r="F7" s="22" t="str">
        <x:v>75+</x:v>
      </x:c>
      <x:c r="G7" s="61" t="n">
        <x:v>0.15</x:v>
      </x:c>
      <x:c r="H7" s="61" t="n">
        <x:v>0.45</x:v>
      </x:c>
      <x:c r="I7" s="22" t="str">
        <x:v>Institutional/liquidity</x:v>
      </x:c>
      <x:c r="J7" s="22" t="str">
        <x:v>Data Center + Treasury + Insurance</x:v>
      </x:c>
      <x:c r="K7" s="22" t="str">
        <x:v>Corporate/HNW</x:v>
      </x:c>
      <x:c r="L7" s="22" t="str">
        <x:v>4 Plots / 2×2</x:v>
      </x:c>
      <x:c r="M7" s="38" t="str">
        <x:v>Institution quality</x:v>
      </x:c>
    </x:row>
    <x:row r="8">
      <x:c r="A8" s="37" t="str">
        <x:v>Elite</x:v>
      </x:c>
      <x:c r="B8" s="22" t="str">
        <x:v>41–45</x:v>
      </x:c>
      <x:c r="C8" s="22" t="str">
        <x:v>85–94</x:v>
      </x:c>
      <x:c r="D8" s="22" t="str">
        <x:v>25–38</x:v>
      </x:c>
      <x:c r="E8" s="22" t="str">
        <x:v>45+</x:v>
      </x:c>
      <x:c r="F8" s="22" t="str">
        <x:v>70+</x:v>
      </x:c>
      <x:c r="G8" s="61" t="n">
        <x:v>0.18</x:v>
      </x:c>
      <x:c r="H8" s="61" t="n">
        <x:v>0.4</x:v>
      </x:c>
      <x:c r="I8" s="22" t="str">
        <x:v>Systemic/operational</x:v>
      </x:c>
      <x:c r="J8" s="22" t="str">
        <x:v>Multiple control layers</x:v>
      </x:c>
      <x:c r="K8" s="22" t="str">
        <x:v>Institutional</x:v>
      </x:c>
      <x:c r="L8" s="22" t="str">
        <x:v>9 Plots</x:v>
      </x:c>
      <x:c r="M8" s="38" t="str">
        <x:v>Optimization</x:v>
      </x:c>
    </x:row>
    <x:row r="9">
      <x:c r="A9" s="39" t="str">
        <x:v>Tycoon</x:v>
      </x:c>
      <x:c r="B9" s="40" t="str">
        <x:v>46–50</x:v>
      </x:c>
      <x:c r="C9" s="40" t="str">
        <x:v>90–100</x:v>
      </x:c>
      <x:c r="D9" s="40" t="str">
        <x:v>25–38</x:v>
      </x:c>
      <x:c r="E9" s="40" t="str">
        <x:v>45+</x:v>
      </x:c>
      <x:c r="F9" s="40" t="str">
        <x:v>70+</x:v>
      </x:c>
      <x:c r="G9" s="62" t="n">
        <x:v>0.2</x:v>
      </x:c>
      <x:c r="H9" s="62" t="n">
        <x:v>0.35</x:v>
      </x:c>
      <x:c r="I9" s="40" t="str">
        <x:v>Complexity/systemic</x:v>
      </x:c>
      <x:c r="J9" s="40" t="str">
        <x:v>Diversified controls + territory management</x:v>
      </x:c>
      <x:c r="K9" s="40" t="str">
        <x:v>Full access</x:v>
      </x:c>
      <x:c r="L9" s="40" t="str">
        <x:v>16 Plots</x:v>
      </x:c>
      <x:c r="M9" s="41" t="str">
        <x:v>Global scale with discipline</x:v>
      </x:c>
    </x:row>
  </x:sheetData>
  <x:mergeCells>
    <x:mergeCell ref="A1:M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42" hidden="0" customWidth="1"/>
  </x:cols>
  <x:sheetData>
    <x:row r="1" ht="28" customHeight="1">
      <x:c r="A1" s="106" t="str">
        <x:v>Representative Player Risk &amp; Reputation Scenarios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</x:row>
    <x:row r="3">
      <x:c r="A3" s="14" t="str">
        <x:v>Scenario</x:v>
      </x:c>
      <x:c r="B3" s="14" t="str">
        <x:v>Stage</x:v>
      </x:c>
      <x:c r="C3" s="14" t="str">
        <x:v>Credit Risk</x:v>
      </x:c>
      <x:c r="D3" s="14" t="str">
        <x:v>Market Risk</x:v>
      </x:c>
      <x:c r="E3" s="14" t="str">
        <x:v>Liquidity Risk</x:v>
      </x:c>
      <x:c r="F3" s="14" t="str">
        <x:v>Operational Risk</x:v>
      </x:c>
      <x:c r="G3" s="14" t="str">
        <x:v>Concentration Risk</x:v>
      </x:c>
      <x:c r="H3" s="14" t="str">
        <x:v>Reputation Risk</x:v>
      </x:c>
      <x:c r="I3" s="14" t="str">
        <x:v>Composite Risk</x:v>
      </x:c>
      <x:c r="J3" s="14" t="str">
        <x:v>Risk Band</x:v>
      </x:c>
      <x:c r="K3" s="14" t="str">
        <x:v>Reputation</x:v>
      </x:c>
      <x:c r="L3" s="14" t="str">
        <x:v>Rep Tier</x:v>
      </x:c>
      <x:c r="M3" s="14" t="str">
        <x:v>Acquisition Mod</x:v>
      </x:c>
      <x:c r="N3" s="14" t="str">
        <x:v>Risk Subscore</x:v>
      </x:c>
      <x:c r="O3" s="14" t="str">
        <x:v>Rep Subscore</x:v>
      </x:c>
      <x:c r="P3" s="14" t="str">
        <x:v>Combined Performance Contribution</x:v>
      </x:c>
      <x:c r="Q3" s="14" t="str">
        <x:v>Interpretation</x:v>
      </x:c>
    </x:row>
    <x:row r="4">
      <x:c r="A4" s="34" t="str">
        <x:v>Humble Balanced</x:v>
      </x:c>
      <x:c r="B4" s="35" t="str">
        <x:v>Humble</x:v>
      </x:c>
      <x:c r="C4" s="66" t="n">
        <x:v>12</x:v>
      </x:c>
      <x:c r="D4" s="66" t="n">
        <x:v>22</x:v>
      </x:c>
      <x:c r="E4" s="66" t="n">
        <x:v>20</x:v>
      </x:c>
      <x:c r="F4" s="66" t="n">
        <x:v>28</x:v>
      </x:c>
      <x:c r="G4" s="66" t="n">
        <x:v>18</x:v>
      </x:c>
      <x:c r="H4" s="66" t="n">
        <x:v>20</x:v>
      </x:c>
      <x:c r="I4" s="78" t="n">
        <x:f>C4*'02_Risk_Categories'!$B$4+D4*'02_Risk_Categories'!$B$5+E4*'02_Risk_Categories'!$B$6+F4*'02_Risk_Categories'!$B$7+G4*'02_Risk_Categories'!$B$8+H4*'02_Risk_Categories'!$B$9</x:f>
        <x:v>19.7</x:v>
      </x:c>
      <x:c r="J4" s="35" t="str">
        <x:f>IF(I4&lt;=20,"Conservative",IF(I4&lt;=40,"Managed",IF(I4&lt;=60,"Elevated",IF(I4&lt;=80,"High","Critical"))))</x:f>
        <x:v>Conservative</x:v>
      </x:c>
      <x:c r="K4" s="66" t="n">
        <x:v>52</x:v>
      </x:c>
      <x:c r="L4" s="35" t="str">
        <x:f>IF(K4&lt;40,"Weak",IF(K4&lt;55,"Developing",IF(K4&lt;65,"Trusted",IF(K4&lt;75,"Established",IF(K4&lt;85,"Prestigious",IF(K4&lt;95,"Elite","Global"))))))</x:f>
        <x:v>Developing</x:v>
      </x:c>
      <x:c r="M4" s="78" t="n">
        <x:f>IF(K4&lt;40,0.75,IF(K4&lt;55,0.90,IF(K4&lt;65,1.00,IF(K4&lt;75,1.06,IF(K4&lt;85,1.12,IF(K4&lt;95,1.17,1.20))))))</x:f>
        <x:v>0.9</x:v>
      </x:c>
      <x:c r="N4" s="78" t="n">
        <x:f>IF(I4&lt;=20,90,IF(I4&lt;=40,100,IF(I4&lt;=60,78,IF(I4&lt;=80,45,10))))</x:f>
        <x:v>90</x:v>
      </x:c>
      <x:c r="O4" s="78" t="n">
        <x:f>IF(K4&lt;40,MAX(0,K4/40*35),IF(K4&lt;55,35+(K4-40)/15*15,IF(K4&lt;65,50+(K4-55)/10*15,IF(K4&lt;75,65+(K4-65)/10*10,IF(K4&lt;85,75+(K4-75)/10*10,IF(K4&lt;95,85+(K4-85)/10*10,95+(K4-95)/5*5))))))</x:f>
        <x:v>47</x:v>
      </x:c>
      <x:c r="P4" s="78" t="n">
        <x:f>N4*'01_Assumptions'!$B$13+O4*'01_Assumptions'!$B$14</x:f>
        <x:v>6.85</x:v>
      </x:c>
      <x:c r="Q4" s="36" t="str">
        <x:v>Healthy early operator</x:v>
      </x:c>
    </x:row>
    <x:row r="5">
      <x:c r="A5" s="37" t="str">
        <x:v>Starter Aggressive Lending</x:v>
      </x:c>
      <x:c r="B5" s="22" t="str">
        <x:v>Starter</x:v>
      </x:c>
      <x:c r="C5" s="68" t="n">
        <x:v>58</x:v>
      </x:c>
      <x:c r="D5" s="68" t="n">
        <x:v>18</x:v>
      </x:c>
      <x:c r="E5" s="68" t="n">
        <x:v>52</x:v>
      </x:c>
      <x:c r="F5" s="68" t="n">
        <x:v>36</x:v>
      </x:c>
      <x:c r="G5" s="68" t="n">
        <x:v>42</x:v>
      </x:c>
      <x:c r="H5" s="68" t="n">
        <x:v>40</x:v>
      </x:c>
      <x:c r="I5" s="79" t="n">
        <x:f>C5*'02_Risk_Categories'!$B$4+D5*'02_Risk_Categories'!$B$5+E5*'02_Risk_Categories'!$B$6+F5*'02_Risk_Categories'!$B$7+G5*'02_Risk_Categories'!$B$8+H5*'02_Risk_Categories'!$B$9</x:f>
        <x:v>41.3</x:v>
      </x:c>
      <x:c r="J5" s="22" t="str">
        <x:f>IF(I5&lt;=20,"Conservative",IF(I5&lt;=40,"Managed",IF(I5&lt;=60,"Elevated",IF(I5&lt;=80,"High","Critical"))))</x:f>
        <x:v>Elevated</x:v>
      </x:c>
      <x:c r="K5" s="68" t="n">
        <x:v>58</x:v>
      </x:c>
      <x:c r="L5" s="22" t="str">
        <x:f>IF(K5&lt;40,"Weak",IF(K5&lt;55,"Developing",IF(K5&lt;65,"Trusted",IF(K5&lt;75,"Established",IF(K5&lt;85,"Prestigious",IF(K5&lt;95,"Elite","Global"))))))</x:f>
        <x:v>Trusted</x:v>
      </x:c>
      <x:c r="M5" s="79" t="n">
        <x:f>IF(K5&lt;40,0.75,IF(K5&lt;55,0.90,IF(K5&lt;65,1.00,IF(K5&lt;75,1.06,IF(K5&lt;85,1.12,IF(K5&lt;95,1.17,1.20))))))</x:f>
        <x:v>1</x:v>
      </x:c>
      <x:c r="N5" s="79" t="n">
        <x:f>IF(I5&lt;=20,90,IF(I5&lt;=40,100,IF(I5&lt;=60,78,IF(I5&lt;=80,45,10))))</x:f>
        <x:v>78</x:v>
      </x:c>
      <x:c r="O5" s="79" t="n">
        <x:f>IF(K5&lt;40,MAX(0,K5/40*35),IF(K5&lt;55,35+(K5-40)/15*15,IF(K5&lt;65,50+(K5-55)/10*15,IF(K5&lt;75,65+(K5-65)/10*10,IF(K5&lt;85,75+(K5-75)/10*10,IF(K5&lt;95,85+(K5-85)/10*10,95+(K5-95)/5*5))))))</x:f>
        <x:v>54.5</x:v>
      </x:c>
      <x:c r="P5" s="79" t="n">
        <x:f>N5*'01_Assumptions'!$B$13+O5*'01_Assumptions'!$B$14</x:f>
        <x:v>6.625</x:v>
      </x:c>
      <x:c r="Q5" s="38" t="str">
        <x:v>Strong revenue potential but credit/liquidity pressure</x:v>
      </x:c>
    </x:row>
    <x:row r="6">
      <x:c r="A6" s="37" t="str">
        <x:v>Growing Trading Specialist</x:v>
      </x:c>
      <x:c r="B6" s="22" t="str">
        <x:v>Growing</x:v>
      </x:c>
      <x:c r="C6" s="68" t="n">
        <x:v>18</x:v>
      </x:c>
      <x:c r="D6" s="68" t="n">
        <x:v>68</x:v>
      </x:c>
      <x:c r="E6" s="68" t="n">
        <x:v>54</x:v>
      </x:c>
      <x:c r="F6" s="68" t="n">
        <x:v>50</x:v>
      </x:c>
      <x:c r="G6" s="68" t="n">
        <x:v>66</x:v>
      </x:c>
      <x:c r="H6" s="68" t="n">
        <x:v>42</x:v>
      </x:c>
      <x:c r="I6" s="79" t="n">
        <x:f>C6*'02_Risk_Categories'!$B$4+D6*'02_Risk_Categories'!$B$5+E6*'02_Risk_Categories'!$B$6+F6*'02_Risk_Categories'!$B$7+G6*'02_Risk_Categories'!$B$8+H6*'02_Risk_Categories'!$B$9</x:f>
        <x:v>49.6</x:v>
      </x:c>
      <x:c r="J6" s="22" t="str">
        <x:f>IF(I6&lt;=20,"Conservative",IF(I6&lt;=40,"Managed",IF(I6&lt;=60,"Elevated",IF(I6&lt;=80,"High","Critical"))))</x:f>
        <x:v>Elevated</x:v>
      </x:c>
      <x:c r="K6" s="68" t="n">
        <x:v>68</x:v>
      </x:c>
      <x:c r="L6" s="22" t="str">
        <x:f>IF(K6&lt;40,"Weak",IF(K6&lt;55,"Developing",IF(K6&lt;65,"Trusted",IF(K6&lt;75,"Established",IF(K6&lt;85,"Prestigious",IF(K6&lt;95,"Elite","Global"))))))</x:f>
        <x:v>Established</x:v>
      </x:c>
      <x:c r="M6" s="79" t="n">
        <x:f>IF(K6&lt;40,0.75,IF(K6&lt;55,0.90,IF(K6&lt;65,1.00,IF(K6&lt;75,1.06,IF(K6&lt;85,1.12,IF(K6&lt;95,1.17,1.20))))))</x:f>
        <x:v>1.06</x:v>
      </x:c>
      <x:c r="N6" s="79" t="n">
        <x:f>IF(I6&lt;=20,90,IF(I6&lt;=40,100,IF(I6&lt;=60,78,IF(I6&lt;=80,45,10))))</x:f>
        <x:v>78</x:v>
      </x:c>
      <x:c r="O6" s="79" t="n">
        <x:f>IF(K6&lt;40,MAX(0,K6/40*35),IF(K6&lt;55,35+(K6-40)/15*15,IF(K6&lt;65,50+(K6-55)/10*15,IF(K6&lt;75,65+(K6-65)/10*10,IF(K6&lt;85,75+(K6-75)/10*10,IF(K6&lt;95,85+(K6-85)/10*10,95+(K6-95)/5*5))))))</x:f>
        <x:v>68</x:v>
      </x:c>
      <x:c r="P6" s="79" t="n">
        <x:f>N6*'01_Assumptions'!$B$13+O6*'01_Assumptions'!$B$14</x:f>
        <x:v>7.300000000000001</x:v>
      </x:c>
      <x:c r="Q6" s="38" t="str">
        <x:v>Specialist with concentration and market risk</x:v>
      </x:c>
    </x:row>
    <x:row r="7">
      <x:c r="A7" s="37" t="str">
        <x:v>Growing Diversified</x:v>
      </x:c>
      <x:c r="B7" s="22" t="str">
        <x:v>Growing</x:v>
      </x:c>
      <x:c r="C7" s="68" t="n">
        <x:v>28</x:v>
      </x:c>
      <x:c r="D7" s="68" t="n">
        <x:v>38</x:v>
      </x:c>
      <x:c r="E7" s="68" t="n">
        <x:v>34</x:v>
      </x:c>
      <x:c r="F7" s="68" t="n">
        <x:v>32</x:v>
      </x:c>
      <x:c r="G7" s="68" t="n">
        <x:v>30</x:v>
      </x:c>
      <x:c r="H7" s="68" t="n">
        <x:v>28</x:v>
      </x:c>
      <x:c r="I7" s="79" t="n">
        <x:f>C7*'02_Risk_Categories'!$B$4+D7*'02_Risk_Categories'!$B$5+E7*'02_Risk_Categories'!$B$6+F7*'02_Risk_Categories'!$B$7+G7*'02_Risk_Categories'!$B$8+H7*'02_Risk_Categories'!$B$9</x:f>
        <x:v>32.1</x:v>
      </x:c>
      <x:c r="J7" s="22" t="str">
        <x:f>IF(I7&lt;=20,"Conservative",IF(I7&lt;=40,"Managed",IF(I7&lt;=60,"Elevated",IF(I7&lt;=80,"High","Critical"))))</x:f>
        <x:v>Managed</x:v>
      </x:c>
      <x:c r="K7" s="68" t="n">
        <x:v>71</x:v>
      </x:c>
      <x:c r="L7" s="22" t="str">
        <x:f>IF(K7&lt;40,"Weak",IF(K7&lt;55,"Developing",IF(K7&lt;65,"Trusted",IF(K7&lt;75,"Established",IF(K7&lt;85,"Prestigious",IF(K7&lt;95,"Elite","Global"))))))</x:f>
        <x:v>Established</x:v>
      </x:c>
      <x:c r="M7" s="79" t="n">
        <x:f>IF(K7&lt;40,0.75,IF(K7&lt;55,0.90,IF(K7&lt;65,1.00,IF(K7&lt;75,1.06,IF(K7&lt;85,1.12,IF(K7&lt;95,1.17,1.20))))))</x:f>
        <x:v>1.06</x:v>
      </x:c>
      <x:c r="N7" s="79" t="n">
        <x:f>IF(I7&lt;=20,90,IF(I7&lt;=40,100,IF(I7&lt;=60,78,IF(I7&lt;=80,45,10))))</x:f>
        <x:v>100</x:v>
      </x:c>
      <x:c r="O7" s="79" t="n">
        <x:f>IF(K7&lt;40,MAX(0,K7/40*35),IF(K7&lt;55,35+(K7-40)/15*15,IF(K7&lt;65,50+(K7-55)/10*15,IF(K7&lt;75,65+(K7-65)/10*10,IF(K7&lt;85,75+(K7-75)/10*10,IF(K7&lt;95,85+(K7-85)/10*10,95+(K7-95)/5*5))))))</x:f>
        <x:v>71</x:v>
      </x:c>
      <x:c r="P7" s="79" t="n">
        <x:f>N7*'01_Assumptions'!$B$13+O7*'01_Assumptions'!$B$14</x:f>
        <x:v>8.55</x:v>
      </x:c>
      <x:c r="Q7" s="38" t="str">
        <x:v>Controlled multi-business growth</x:v>
      </x:c>
    </x:row>
    <x:row r="8">
      <x:c r="A8" s="37" t="str">
        <x:v>Established Institutional</x:v>
      </x:c>
      <x:c r="B8" s="22" t="str">
        <x:v>Established</x:v>
      </x:c>
      <x:c r="C8" s="68" t="n">
        <x:v>32</x:v>
      </x:c>
      <x:c r="D8" s="68" t="n">
        <x:v>42</x:v>
      </x:c>
      <x:c r="E8" s="68" t="n">
        <x:v>40</x:v>
      </x:c>
      <x:c r="F8" s="68" t="n">
        <x:v>38</x:v>
      </x:c>
      <x:c r="G8" s="68" t="n">
        <x:v>36</x:v>
      </x:c>
      <x:c r="H8" s="68" t="n">
        <x:v>30</x:v>
      </x:c>
      <x:c r="I8" s="79" t="n">
        <x:f>C8*'02_Risk_Categories'!$B$4+D8*'02_Risk_Categories'!$B$5+E8*'02_Risk_Categories'!$B$6+F8*'02_Risk_Categories'!$B$7+G8*'02_Risk_Categories'!$B$8+H8*'02_Risk_Categories'!$B$9</x:f>
        <x:v>36.9</x:v>
      </x:c>
      <x:c r="J8" s="22" t="str">
        <x:f>IF(I8&lt;=20,"Conservative",IF(I8&lt;=40,"Managed",IF(I8&lt;=60,"Elevated",IF(I8&lt;=80,"High","Critical"))))</x:f>
        <x:v>Managed</x:v>
      </x:c>
      <x:c r="K8" s="68" t="n">
        <x:v>80</x:v>
      </x:c>
      <x:c r="L8" s="22" t="str">
        <x:f>IF(K8&lt;40,"Weak",IF(K8&lt;55,"Developing",IF(K8&lt;65,"Trusted",IF(K8&lt;75,"Established",IF(K8&lt;85,"Prestigious",IF(K8&lt;95,"Elite","Global"))))))</x:f>
        <x:v>Prestigious</x:v>
      </x:c>
      <x:c r="M8" s="79" t="n">
        <x:f>IF(K8&lt;40,0.75,IF(K8&lt;55,0.90,IF(K8&lt;65,1.00,IF(K8&lt;75,1.06,IF(K8&lt;85,1.12,IF(K8&lt;95,1.17,1.20))))))</x:f>
        <x:v>1.12</x:v>
      </x:c>
      <x:c r="N8" s="79" t="n">
        <x:f>IF(I8&lt;=20,90,IF(I8&lt;=40,100,IF(I8&lt;=60,78,IF(I8&lt;=80,45,10))))</x:f>
        <x:v>100</x:v>
      </x:c>
      <x:c r="O8" s="79" t="n">
        <x:f>IF(K8&lt;40,MAX(0,K8/40*35),IF(K8&lt;55,35+(K8-40)/15*15,IF(K8&lt;65,50+(K8-55)/10*15,IF(K8&lt;75,65+(K8-65)/10*10,IF(K8&lt;85,75+(K8-75)/10*10,IF(K8&lt;95,85+(K8-85)/10*10,95+(K8-95)/5*5))))))</x:f>
        <x:v>80</x:v>
      </x:c>
      <x:c r="P8" s="79" t="n">
        <x:f>N8*'01_Assumptions'!$B$13+O8*'01_Assumptions'!$B$14</x:f>
        <x:v>9</x:v>
      </x:c>
      <x:c r="Q8" s="38" t="str">
        <x:v>Well-controlled institutional operator</x:v>
      </x:c>
    </x:row>
    <x:row r="9">
      <x:c r="A9" s="37" t="str">
        <x:v>Elite Aggressive</x:v>
      </x:c>
      <x:c r="B9" s="22" t="str">
        <x:v>Elite</x:v>
      </x:c>
      <x:c r="C9" s="68" t="n">
        <x:v>30</x:v>
      </x:c>
      <x:c r="D9" s="68" t="n">
        <x:v>72</x:v>
      </x:c>
      <x:c r="E9" s="68" t="n">
        <x:v>62</x:v>
      </x:c>
      <x:c r="F9" s="68" t="n">
        <x:v>58</x:v>
      </x:c>
      <x:c r="G9" s="68" t="n">
        <x:v>60</x:v>
      </x:c>
      <x:c r="H9" s="68" t="n">
        <x:v>48</x:v>
      </x:c>
      <x:c r="I9" s="79" t="n">
        <x:f>C9*'02_Risk_Categories'!$B$4+D9*'02_Risk_Categories'!$B$5+E9*'02_Risk_Categories'!$B$6+F9*'02_Risk_Categories'!$B$7+G9*'02_Risk_Categories'!$B$8+H9*'02_Risk_Categories'!$B$9</x:f>
        <x:v>55.3</x:v>
      </x:c>
      <x:c r="J9" s="22" t="str">
        <x:f>IF(I9&lt;=20,"Conservative",IF(I9&lt;=40,"Managed",IF(I9&lt;=60,"Elevated",IF(I9&lt;=80,"High","Critical"))))</x:f>
        <x:v>Elevated</x:v>
      </x:c>
      <x:c r="K9" s="68" t="n">
        <x:v>88</x:v>
      </x:c>
      <x:c r="L9" s="22" t="str">
        <x:f>IF(K9&lt;40,"Weak",IF(K9&lt;55,"Developing",IF(K9&lt;65,"Trusted",IF(K9&lt;75,"Established",IF(K9&lt;85,"Prestigious",IF(K9&lt;95,"Elite","Global"))))))</x:f>
        <x:v>Elite</x:v>
      </x:c>
      <x:c r="M9" s="79" t="n">
        <x:f>IF(K9&lt;40,0.75,IF(K9&lt;55,0.90,IF(K9&lt;65,1.00,IF(K9&lt;75,1.06,IF(K9&lt;85,1.12,IF(K9&lt;95,1.17,1.20))))))</x:f>
        <x:v>1.17</x:v>
      </x:c>
      <x:c r="N9" s="79" t="n">
        <x:f>IF(I9&lt;=20,90,IF(I9&lt;=40,100,IF(I9&lt;=60,78,IF(I9&lt;=80,45,10))))</x:f>
        <x:v>78</x:v>
      </x:c>
      <x:c r="O9" s="79" t="n">
        <x:f>IF(K9&lt;40,MAX(0,K9/40*35),IF(K9&lt;55,35+(K9-40)/15*15,IF(K9&lt;65,50+(K9-55)/10*15,IF(K9&lt;75,65+(K9-65)/10*10,IF(K9&lt;85,75+(K9-75)/10*10,IF(K9&lt;95,85+(K9-85)/10*10,95+(K9-95)/5*5))))))</x:f>
        <x:v>88</x:v>
      </x:c>
      <x:c r="P9" s="79" t="n">
        <x:f>N9*'01_Assumptions'!$B$13+O9*'01_Assumptions'!$B$14</x:f>
        <x:v>8.3</x:v>
      </x:c>
      <x:c r="Q9" s="38" t="str">
        <x:v>High upside but too much market/liquidity stress</x:v>
      </x:c>
    </x:row>
    <x:row r="10">
      <x:c r="A10" s="37" t="str">
        <x:v>Tycoon Optimized</x:v>
      </x:c>
      <x:c r="B10" s="22" t="str">
        <x:v>Tycoon</x:v>
      </x:c>
      <x:c r="C10" s="68" t="n">
        <x:v>28</x:v>
      </x:c>
      <x:c r="D10" s="68" t="n">
        <x:v>36</x:v>
      </x:c>
      <x:c r="E10" s="68" t="n">
        <x:v>34</x:v>
      </x:c>
      <x:c r="F10" s="68" t="n">
        <x:v>32</x:v>
      </x:c>
      <x:c r="G10" s="68" t="n">
        <x:v>30</x:v>
      </x:c>
      <x:c r="H10" s="68" t="n">
        <x:v>24</x:v>
      </x:c>
      <x:c r="I10" s="79" t="n">
        <x:f>C10*'02_Risk_Categories'!$B$4+D10*'02_Risk_Categories'!$B$5+E10*'02_Risk_Categories'!$B$6+F10*'02_Risk_Categories'!$B$7+G10*'02_Risk_Categories'!$B$8+H10*'02_Risk_Categories'!$B$9</x:f>
        <x:v>31.300000000000004</x:v>
      </x:c>
      <x:c r="J10" s="22" t="str">
        <x:f>IF(I10&lt;=20,"Conservative",IF(I10&lt;=40,"Managed",IF(I10&lt;=60,"Elevated",IF(I10&lt;=80,"High","Critical"))))</x:f>
        <x:v>Managed</x:v>
      </x:c>
      <x:c r="K10" s="68" t="n">
        <x:v>96</x:v>
      </x:c>
      <x:c r="L10" s="22" t="str">
        <x:f>IF(K10&lt;40,"Weak",IF(K10&lt;55,"Developing",IF(K10&lt;65,"Trusted",IF(K10&lt;75,"Established",IF(K10&lt;85,"Prestigious",IF(K10&lt;95,"Elite","Global"))))))</x:f>
        <x:v>Global</x:v>
      </x:c>
      <x:c r="M10" s="79" t="n">
        <x:f>IF(K10&lt;40,0.75,IF(K10&lt;55,0.90,IF(K10&lt;65,1.00,IF(K10&lt;75,1.06,IF(K10&lt;85,1.12,IF(K10&lt;95,1.17,1.20))))))</x:f>
        <x:v>1.2</x:v>
      </x:c>
      <x:c r="N10" s="79" t="n">
        <x:f>IF(I10&lt;=20,90,IF(I10&lt;=40,100,IF(I10&lt;=60,78,IF(I10&lt;=80,45,10))))</x:f>
        <x:v>100</x:v>
      </x:c>
      <x:c r="O10" s="79" t="n">
        <x:f>IF(K10&lt;40,MAX(0,K10/40*35),IF(K10&lt;55,35+(K10-40)/15*15,IF(K10&lt;65,50+(K10-55)/10*15,IF(K10&lt;75,65+(K10-65)/10*10,IF(K10&lt;85,75+(K10-75)/10*10,IF(K10&lt;95,85+(K10-85)/10*10,95+(K10-95)/5*5))))))</x:f>
        <x:v>96</x:v>
      </x:c>
      <x:c r="P10" s="79" t="n">
        <x:f>N10*'01_Assumptions'!$B$13+O10*'01_Assumptions'!$B$14</x:f>
        <x:v>9.8</x:v>
      </x:c>
      <x:c r="Q10" s="38" t="str">
        <x:v>Global scale with disciplined controls</x:v>
      </x:c>
    </x:row>
    <x:row r="11">
      <x:c r="A11" s="37" t="str">
        <x:v>Tycoon Land Hoarder</x:v>
      </x:c>
      <x:c r="B11" s="22" t="str">
        <x:v>Tycoon</x:v>
      </x:c>
      <x:c r="C11" s="68" t="n">
        <x:v>45</x:v>
      </x:c>
      <x:c r="D11" s="68" t="n">
        <x:v>55</x:v>
      </x:c>
      <x:c r="E11" s="68" t="n">
        <x:v>68</x:v>
      </x:c>
      <x:c r="F11" s="68" t="n">
        <x:v>70</x:v>
      </x:c>
      <x:c r="G11" s="68" t="n">
        <x:v>78</x:v>
      </x:c>
      <x:c r="H11" s="68" t="n">
        <x:v>65</x:v>
      </x:c>
      <x:c r="I11" s="79" t="n">
        <x:f>C11*'02_Risk_Categories'!$B$4+D11*'02_Risk_Categories'!$B$5+E11*'02_Risk_Categories'!$B$6+F11*'02_Risk_Categories'!$B$7+G11*'02_Risk_Categories'!$B$8+H11*'02_Risk_Categories'!$B$9</x:f>
        <x:v>62.3</x:v>
      </x:c>
      <x:c r="J11" s="22" t="str">
        <x:f>IF(I11&lt;=20,"Conservative",IF(I11&lt;=40,"Managed",IF(I11&lt;=60,"Elevated",IF(I11&lt;=80,"High","Critical"))))</x:f>
        <x:v>High</x:v>
      </x:c>
      <x:c r="K11" s="68" t="n">
        <x:v>62</x:v>
      </x:c>
      <x:c r="L11" s="22" t="str">
        <x:f>IF(K11&lt;40,"Weak",IF(K11&lt;55,"Developing",IF(K11&lt;65,"Trusted",IF(K11&lt;75,"Established",IF(K11&lt;85,"Prestigious",IF(K11&lt;95,"Elite","Global"))))))</x:f>
        <x:v>Trusted</x:v>
      </x:c>
      <x:c r="M11" s="79" t="n">
        <x:f>IF(K11&lt;40,0.75,IF(K11&lt;55,0.90,IF(K11&lt;65,1.00,IF(K11&lt;75,1.06,IF(K11&lt;85,1.12,IF(K11&lt;95,1.17,1.20))))))</x:f>
        <x:v>1</x:v>
      </x:c>
      <x:c r="N11" s="79" t="n">
        <x:f>IF(I11&lt;=20,90,IF(I11&lt;=40,100,IF(I11&lt;=60,78,IF(I11&lt;=80,45,10))))</x:f>
        <x:v>45</x:v>
      </x:c>
      <x:c r="O11" s="79" t="n">
        <x:f>IF(K11&lt;40,MAX(0,K11/40*35),IF(K11&lt;55,35+(K11-40)/15*15,IF(K11&lt;65,50+(K11-55)/10*15,IF(K11&lt;75,65+(K11-65)/10*10,IF(K11&lt;85,75+(K11-75)/10*10,IF(K11&lt;95,85+(K11-85)/10*10,95+(K11-95)/5*5))))))</x:f>
        <x:v>60.5</x:v>
      </x:c>
      <x:c r="P11" s="79" t="n">
        <x:f>N11*'01_Assumptions'!$B$13+O11*'01_Assumptions'!$B$14</x:f>
        <x:v>5.275</x:v>
      </x:c>
      <x:c r="Q11" s="38" t="str">
        <x:v>Large territory with weak operational quality</x:v>
      </x:c>
    </x:row>
    <x:row r="12">
      <x:c r="A12" s="39" t="str">
        <x:v>Recovery Case</x:v>
      </x:c>
      <x:c r="B12" s="40" t="str">
        <x:v>Established</x:v>
      </x:c>
      <x:c r="C12" s="70" t="n">
        <x:v>34</x:v>
      </x:c>
      <x:c r="D12" s="70" t="n">
        <x:v>42</x:v>
      </x:c>
      <x:c r="E12" s="70" t="n">
        <x:v>38</x:v>
      </x:c>
      <x:c r="F12" s="70" t="n">
        <x:v>40</x:v>
      </x:c>
      <x:c r="G12" s="70" t="n">
        <x:v>35</x:v>
      </x:c>
      <x:c r="H12" s="70" t="n">
        <x:v>44</x:v>
      </x:c>
      <x:c r="I12" s="80" t="n">
        <x:f>C12*'02_Risk_Categories'!$B$4+D12*'02_Risk_Categories'!$B$5+E12*'02_Risk_Categories'!$B$6+F12*'02_Risk_Categories'!$B$7+G12*'02_Risk_Categories'!$B$8+H12*'02_Risk_Categories'!$B$9</x:f>
        <x:v>38.449999999999996</x:v>
      </x:c>
      <x:c r="J12" s="40" t="str">
        <x:f>IF(I12&lt;=20,"Conservative",IF(I12&lt;=40,"Managed",IF(I12&lt;=60,"Elevated",IF(I12&lt;=80,"High","Critical"))))</x:f>
        <x:v>Managed</x:v>
      </x:c>
      <x:c r="K12" s="70" t="n">
        <x:v>48</x:v>
      </x:c>
      <x:c r="L12" s="40" t="str">
        <x:f>IF(K12&lt;40,"Weak",IF(K12&lt;55,"Developing",IF(K12&lt;65,"Trusted",IF(K12&lt;75,"Established",IF(K12&lt;85,"Prestigious",IF(K12&lt;95,"Elite","Global"))))))</x:f>
        <x:v>Developing</x:v>
      </x:c>
      <x:c r="M12" s="80" t="n">
        <x:f>IF(K12&lt;40,0.75,IF(K12&lt;55,0.90,IF(K12&lt;65,1.00,IF(K12&lt;75,1.06,IF(K12&lt;85,1.12,IF(K12&lt;95,1.17,1.20))))))</x:f>
        <x:v>0.9</x:v>
      </x:c>
      <x:c r="N12" s="80" t="n">
        <x:f>IF(I12&lt;=20,90,IF(I12&lt;=40,100,IF(I12&lt;=60,78,IF(I12&lt;=80,45,10))))</x:f>
        <x:v>100</x:v>
      </x:c>
      <x:c r="O12" s="80" t="n">
        <x:f>IF(K12&lt;40,MAX(0,K12/40*35),IF(K12&lt;55,35+(K12-40)/15*15,IF(K12&lt;65,50+(K12-55)/10*15,IF(K12&lt;75,65+(K12-65)/10*10,IF(K12&lt;85,75+(K12-75)/10*10,IF(K12&lt;95,85+(K12-85)/10*10,95+(K12-95)/5*5))))))</x:f>
        <x:v>43</x:v>
      </x:c>
      <x:c r="P12" s="80" t="n">
        <x:f>N12*'01_Assumptions'!$B$13+O12*'01_Assumptions'!$B$14</x:f>
        <x:v>7.15</x:v>
      </x:c>
      <x:c r="Q12" s="41" t="str">
        <x:v>Rebuilding reputation after prior failure</x:v>
      </x:c>
    </x:row>
    <x:row r="14" ht="22" customHeight="1">
      <x:c r="A14" s="31" t="str">
        <x:v>Scenario Reading Guide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</x:row>
    <x:row r="15">
      <x:c r="A15" s="14" t="str">
        <x:v>Observation</x:v>
      </x:c>
      <x:c r="B15" s="14" t="str">
        <x:v>Meaning</x:v>
      </x:c>
    </x:row>
    <x:row r="16">
      <x:c r="A16" s="34" t="str">
        <x:v>Tycoon Optimized can score better than Tycoon Land Hoarder</x:v>
      </x:c>
      <x:c r="B16" s="36" t="str">
        <x:v>Land quantity does not override operational quality.</x:v>
      </x:c>
    </x:row>
    <x:row r="17">
      <x:c r="A17" s="37" t="str">
        <x:v>Growing Diversified can stay in Managed risk</x:v>
      </x:c>
      <x:c r="B17" s="38" t="str">
        <x:v>Midgame growth does not require high risk if support infrastructure is used.</x:v>
      </x:c>
    </x:row>
    <x:row r="18">
      <x:c r="A18" s="37" t="str">
        <x:v>Elite Aggressive may still produce strong raw activity</x:v>
      </x:c>
      <x:c r="B18" s="38" t="str">
        <x:v>But High risk harms quality, customer access, events and Performance contribution.</x:v>
      </x:c>
    </x:row>
    <x:row r="19">
      <x:c r="A19" s="39" t="str">
        <x:v>Recovery Case has manageable risk but low reputation</x:v>
      </x:c>
      <x:c r="B19" s="41" t="str">
        <x:v>Risk can recover faster than trust; reputation requires sustained clean operation.</x:v>
      </x:c>
    </x:row>
  </x:sheetData>
  <x:mergeCells>
    <x:mergeCell ref="A1:Q1"/>
    <x:mergeCell ref="A14:Q1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Risk Incidents, Failure States &amp; Recovery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22"/>
      <x:c r="Q1" s="22"/>
    </x:row>
    <x:row r="3">
      <x:c r="A3" s="14" t="str">
        <x:v>Incident</x:v>
      </x:c>
      <x:c r="B3" s="14" t="str">
        <x:v>Trigger</x:v>
      </x:c>
      <x:c r="C3" s="14" t="str">
        <x:v>Immediate Effect</x:v>
      </x:c>
      <x:c r="D3" s="14" t="str">
        <x:v>Duration</x:v>
      </x:c>
      <x:c r="E3" s="14" t="str">
        <x:v>Revenue Effect</x:v>
      </x:c>
      <x:c r="F3" s="14" t="str">
        <x:v>Activity Effect</x:v>
      </x:c>
      <x:c r="G3" s="14" t="str">
        <x:v>Customer Effect</x:v>
      </x:c>
      <x:c r="H3" s="14" t="str">
        <x:v>Rep Effect</x:v>
      </x:c>
      <x:c r="I3" s="14" t="str">
        <x:v>Risk Effect</x:v>
      </x:c>
      <x:c r="J3" s="14" t="str">
        <x:v>Player Response</x:v>
      </x:c>
      <x:c r="K3" s="14" t="str">
        <x:v>Recovery Requirement</x:v>
      </x:c>
      <x:c r="L3" s="14" t="str">
        <x:v>Repeat Cooldown</x:v>
      </x:c>
      <x:c r="M3" s="14" t="str">
        <x:v>Permanent Asset Loss?</x:v>
      </x:c>
      <x:c r="N3" s="14" t="str">
        <x:v>Performance Impact</x:v>
      </x:c>
      <x:c r="O3" s="14" t="str">
        <x:v>Notes</x:v>
      </x:c>
    </x:row>
    <x:row r="4">
      <x:c r="A4" s="34" t="str">
        <x:v>Capacity Overload</x:v>
      </x:c>
      <x:c r="B4" s="35" t="str">
        <x:v>Utilization &gt;100% attempted demand for 2h</x:v>
      </x:c>
      <x:c r="C4" s="35" t="str">
        <x:v>Service degradation</x:v>
      </x:c>
      <x:c r="D4" s="35" t="str">
        <x:v>2–8h</x:v>
      </x:c>
      <x:c r="E4" s="60" t="n">
        <x:v>-0.08</x:v>
      </x:c>
      <x:c r="F4" s="60" t="n">
        <x:v>-0.1</x:v>
      </x:c>
      <x:c r="G4" s="35" t="str">
        <x:v>Acquisition slows / churn rises</x:v>
      </x:c>
      <x:c r="H4" s="66" t="n">
        <x:v>-1</x:v>
      </x:c>
      <x:c r="I4" s="66" t="n">
        <x:v>5</x:v>
      </x:c>
      <x:c r="J4" s="35" t="str">
        <x:v>Upgrade capacity / reduce load</x:v>
      </x:c>
      <x:c r="K4" s="35" t="str">
        <x:v>Utilization &lt;90% for 2h</x:v>
      </x:c>
      <x:c r="L4" s="35" t="str">
        <x:v>12h</x:v>
      </x:c>
      <x:c r="M4" s="35" t="str">
        <x:v>No</x:v>
      </x:c>
      <x:c r="N4" s="35" t="str">
        <x:v>Underlying metrics only</x:v>
      </x:c>
      <x:c r="O4" s="36" t="str"/>
    </x:row>
    <x:row r="5">
      <x:c r="A5" s="37" t="str">
        <x:v>Liquidity Stress</x:v>
      </x:c>
      <x:c r="B5" s="22" t="str">
        <x:v>Reserve &lt;8% + high flow</x:v>
      </x:c>
      <x:c r="C5" s="22" t="str">
        <x:v>Withdrawal/flow pressure</x:v>
      </x:c>
      <x:c r="D5" s="22" t="str">
        <x:v>6–24h</x:v>
      </x:c>
      <x:c r="E5" s="61" t="n">
        <x:v>-0.1</x:v>
      </x:c>
      <x:c r="F5" s="61" t="n">
        <x:v>-0.06</x:v>
      </x:c>
      <x:c r="G5" s="22" t="str">
        <x:v>HNW/corporate acquisition slows</x:v>
      </x:c>
      <x:c r="H5" s="68" t="n">
        <x:v>-1</x:v>
      </x:c>
      <x:c r="I5" s="68" t="n">
        <x:v>10</x:v>
      </x:c>
      <x:c r="J5" s="22" t="str">
        <x:v>Inject reserves / Treasury</x:v>
      </x:c>
      <x:c r="K5" s="22" t="str">
        <x:v>Reserve &gt;=15% for 6h</x:v>
      </x:c>
      <x:c r="L5" s="22" t="str">
        <x:v>24h</x:v>
      </x:c>
      <x:c r="M5" s="22" t="str">
        <x:v>No</x:v>
      </x:c>
      <x:c r="N5" s="22" t="str">
        <x:v>Risk component affected</x:v>
      </x:c>
      <x:c r="O5" s="38" t="str"/>
    </x:row>
    <x:row r="6">
      <x:c r="A6" s="37" t="str">
        <x:v>Credit Deterioration</x:v>
      </x:c>
      <x:c r="B6" s="22" t="str">
        <x:v>Delinquency / credit event threshold</x:v>
      </x:c>
      <x:c r="C6" s="22" t="str">
        <x:v>Loan losses / slower growth</x:v>
      </x:c>
      <x:c r="D6" s="22" t="str">
        <x:v>12–36h</x:v>
      </x:c>
      <x:c r="E6" s="61" t="n">
        <x:v>-0.12</x:v>
      </x:c>
      <x:c r="F6" s="61" t="n">
        <x:v>-0.05</x:v>
      </x:c>
      <x:c r="G6" s="22" t="str">
        <x:v>Lending customers slow</x:v>
      </x:c>
      <x:c r="H6" s="68" t="n">
        <x:v>-2</x:v>
      </x:c>
      <x:c r="I6" s="68" t="n">
        <x:v>12</x:v>
      </x:c>
      <x:c r="J6" s="22" t="str">
        <x:v>Tighten credit / Insurance / Research</x:v>
      </x:c>
      <x:c r="K6" s="22" t="str">
        <x:v>Credit risk &lt;60 + stable day</x:v>
      </x:c>
      <x:c r="L6" s="22" t="str">
        <x:v>48h</x:v>
      </x:c>
      <x:c r="M6" s="22" t="str">
        <x:v>No</x:v>
      </x:c>
      <x:c r="N6" s="22" t="str">
        <x:v>Revenue/risk effects</x:v>
      </x:c>
      <x:c r="O6" s="38" t="str"/>
    </x:row>
    <x:row r="7">
      <x:c r="A7" s="37" t="str">
        <x:v>Operational Outage</x:v>
      </x:c>
      <x:c r="B7" s="22" t="str">
        <x:v>Operational risk + event roll</x:v>
      </x:c>
      <x:c r="C7" s="22" t="str">
        <x:v>Capacity interruption</x:v>
      </x:c>
      <x:c r="D7" s="22" t="str">
        <x:v>1–8h</x:v>
      </x:c>
      <x:c r="E7" s="61" t="n">
        <x:v>-0.15</x:v>
      </x:c>
      <x:c r="F7" s="61" t="n">
        <x:v>-0.2</x:v>
      </x:c>
      <x:c r="G7" s="22" t="str">
        <x:v>Service complaints</x:v>
      </x:c>
      <x:c r="H7" s="68" t="n">
        <x:v>-2</x:v>
      </x:c>
      <x:c r="I7" s="68" t="n">
        <x:v>10</x:v>
      </x:c>
      <x:c r="J7" s="22" t="str">
        <x:v>Emergency repair / Data support</x:v>
      </x:c>
      <x:c r="K7" s="22" t="str">
        <x:v>Repair + service &gt;70</x:v>
      </x:c>
      <x:c r="L7" s="22" t="str">
        <x:v>24h</x:v>
      </x:c>
      <x:c r="M7" s="22" t="str">
        <x:v>No</x:v>
      </x:c>
      <x:c r="N7" s="22" t="str">
        <x:v>Activity/reputation</x:v>
      </x:c>
      <x:c r="O7" s="38" t="str"/>
    </x:row>
    <x:row r="8">
      <x:c r="A8" s="37" t="str">
        <x:v>Market Drawdown</x:v>
      </x:c>
      <x:c r="B8" s="22" t="str">
        <x:v>High market risk during correction</x:v>
      </x:c>
      <x:c r="C8" s="22" t="str">
        <x:v>Reduced investment income/activity quality</x:v>
      </x:c>
      <x:c r="D8" s="22" t="str">
        <x:v>12–24h</x:v>
      </x:c>
      <x:c r="E8" s="61" t="n">
        <x:v>-0.1</x:v>
      </x:c>
      <x:c r="F8" s="61" t="n">
        <x:v>0.02</x:v>
      </x:c>
      <x:c r="G8" s="22" t="str">
        <x:v>Traders remain, HNW cautious</x:v>
      </x:c>
      <x:c r="H8" s="68" t="n">
        <x:v>-1</x:v>
      </x:c>
      <x:c r="I8" s="68" t="n">
        <x:v>8</x:v>
      </x:c>
      <x:c r="J8" s="22" t="str">
        <x:v>Reduce exposure / Research</x:v>
      </x:c>
      <x:c r="K8" s="22" t="str">
        <x:v>Market risk &lt;60 or event ends</x:v>
      </x:c>
      <x:c r="L8" s="22" t="str">
        <x:v>24h</x:v>
      </x:c>
      <x:c r="M8" s="22" t="str">
        <x:v>No</x:v>
      </x:c>
      <x:c r="N8" s="22" t="str">
        <x:v>Revenue/risk</x:v>
      </x:c>
      <x:c r="O8" s="38" t="str"/>
    </x:row>
    <x:row r="9">
      <x:c r="A9" s="37" t="str">
        <x:v>Concentration Shock</x:v>
      </x:c>
      <x:c r="B9" s="22" t="str">
        <x:v>&gt;70% activity one family + adverse event</x:v>
      </x:c>
      <x:c r="C9" s="22" t="str">
        <x:v>Specialist cluster suffers amplified event</x:v>
      </x:c>
      <x:c r="D9" s="22" t="str">
        <x:v>12–36h</x:v>
      </x:c>
      <x:c r="E9" s="61" t="n">
        <x:v>-0.15</x:v>
      </x:c>
      <x:c r="F9" s="61" t="n">
        <x:v>-0.12</x:v>
      </x:c>
      <x:c r="G9" s="22" t="str">
        <x:v>Segment churn</x:v>
      </x:c>
      <x:c r="H9" s="68" t="n">
        <x:v>-2</x:v>
      </x:c>
      <x:c r="I9" s="68" t="n">
        <x:v>12</x:v>
      </x:c>
      <x:c r="J9" s="22" t="str">
        <x:v>Diversify / add support</x:v>
      </x:c>
      <x:c r="K9" s="22" t="str">
        <x:v>Concentration &lt;50%</x:v>
      </x:c>
      <x:c r="L9" s="22" t="str">
        <x:v>72h</x:v>
      </x:c>
      <x:c r="M9" s="22" t="str">
        <x:v>No</x:v>
      </x:c>
      <x:c r="N9" s="22" t="str">
        <x:v>Multiple score inputs</x:v>
      </x:c>
      <x:c r="O9" s="38" t="str"/>
    </x:row>
    <x:row r="10">
      <x:c r="A10" s="37" t="str">
        <x:v>Reputation Incident</x:v>
      </x:c>
      <x:c r="B10" s="22" t="str">
        <x:v>Service quality &lt;45 / severe failure</x:v>
      </x:c>
      <x:c r="C10" s="22" t="str">
        <x:v>Trust shock</x:v>
      </x:c>
      <x:c r="D10" s="22" t="str">
        <x:v>24–72h</x:v>
      </x:c>
      <x:c r="E10" s="61" t="n">
        <x:v>-0.08</x:v>
      </x:c>
      <x:c r="F10" s="61" t="n">
        <x:v>-0.05</x:v>
      </x:c>
      <x:c r="G10" s="22" t="str">
        <x:v>Acquisition and retention drop</x:v>
      </x:c>
      <x:c r="H10" s="68" t="n">
        <x:v>-3</x:v>
      </x:c>
      <x:c r="I10" s="68" t="n">
        <x:v>5</x:v>
      </x:c>
      <x:c r="J10" s="22" t="str">
        <x:v>Recovery campaign + clean operations</x:v>
      </x:c>
      <x:c r="K10" s="22" t="str">
        <x:v>3 clean days + Rep recovery</x:v>
      </x:c>
      <x:c r="L10" s="22" t="str">
        <x:v>72h</x:v>
      </x:c>
      <x:c r="M10" s="22" t="str">
        <x:v>No</x:v>
      </x:c>
      <x:c r="N10" s="22" t="str">
        <x:v>Reputation component</x:v>
      </x:c>
      <x:c r="O10" s="38" t="str"/>
    </x:row>
    <x:row r="11">
      <x:c r="A11" s="39" t="str">
        <x:v>Critical Risk Intervention</x:v>
      </x:c>
      <x:c r="B11" s="40" t="str">
        <x:v>Composite Risk &gt;90 for 12h</x:v>
      </x:c>
      <x:c r="C11" s="40" t="str">
        <x:v>Automatic safety restrictions on highest-risk business family</x:v>
      </x:c>
      <x:c r="D11" s="40" t="str">
        <x:v>Until risk &lt;75</x:v>
      </x:c>
      <x:c r="E11" s="62" t="n">
        <x:v>-0.2</x:v>
      </x:c>
      <x:c r="F11" s="62" t="n">
        <x:v>-0.18</x:v>
      </x:c>
      <x:c r="G11" s="40" t="str">
        <x:v>High-value acquisition paused</x:v>
      </x:c>
      <x:c r="H11" s="70" t="n">
        <x:v>-3</x:v>
      </x:c>
      <x:c r="I11" s="70" t="n">
        <x:v>-10</x:v>
      </x:c>
      <x:c r="J11" s="40" t="str">
        <x:v>Reduce exposure / add reserves / mitigate</x:v>
      </x:c>
      <x:c r="K11" s="40" t="str">
        <x:v>Risk &lt;75 for 6h</x:v>
      </x:c>
      <x:c r="L11" s="40" t="str">
        <x:v>7d</x:v>
      </x:c>
      <x:c r="M11" s="40" t="str">
        <x:v>No</x:v>
      </x:c>
      <x:c r="N11" s="40" t="str">
        <x:v>Strong but temporary</x:v>
      </x:c>
      <x:c r="O11" s="41" t="str">
        <x:v>Prevents endless critical-risk farming</x:v>
      </x:c>
    </x:row>
    <x:row r="13" ht="22" customHeight="1">
      <x:c r="A13" s="31" t="str">
        <x:v>Reputation Recovery Ladder</x:v>
      </x:c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</x:row>
    <x:row r="14">
      <x:c r="A14" s="14" t="str">
        <x:v>Starting Rep</x:v>
      </x:c>
      <x:c r="B14" s="14" t="str">
        <x:v>Clean Operation Days</x:v>
      </x:c>
      <x:c r="C14" s="14" t="str">
        <x:v>Risk Requirement</x:v>
      </x:c>
      <x:c r="D14" s="14" t="str">
        <x:v>Service Requirement</x:v>
      </x:c>
      <x:c r="E14" s="14" t="str">
        <x:v>Expected Rep Gain</x:v>
      </x:c>
      <x:c r="F14" s="14" t="str">
        <x:v>Resulting Direction</x:v>
      </x:c>
      <x:c r="G14" s="14" t="str">
        <x:v>Notes</x:v>
      </x:c>
    </x:row>
    <x:row r="15">
      <x:c r="A15" s="92" t="n">
        <x:v>30</x:v>
      </x:c>
      <x:c r="B15" s="66" t="n">
        <x:v>7</x:v>
      </x:c>
      <x:c r="C15" s="35" t="str">
        <x:v>Risk &lt;60</x:v>
      </x:c>
      <x:c r="D15" s="35" t="str">
        <x:v>Quality &gt;70</x:v>
      </x:c>
      <x:c r="E15" s="66" t="n">
        <x:v>5</x:v>
      </x:c>
      <x:c r="F15" s="35" t="str">
        <x:v>Weak → Developing</x:v>
      </x:c>
      <x:c r="G15" s="36" t="str">
        <x:v>Includes recovery milestone</x:v>
      </x:c>
    </x:row>
    <x:row r="16">
      <x:c r="A16" s="93" t="n">
        <x:v>45</x:v>
      </x:c>
      <x:c r="B16" s="68" t="n">
        <x:v>5</x:v>
      </x:c>
      <x:c r="C16" s="22" t="str">
        <x:v>Risk &lt;60</x:v>
      </x:c>
      <x:c r="D16" s="22" t="str">
        <x:v>Quality &gt;75</x:v>
      </x:c>
      <x:c r="E16" s="68" t="n">
        <x:v>4</x:v>
      </x:c>
      <x:c r="F16" s="22" t="str">
        <x:v>Developing strengthens</x:v>
      </x:c>
      <x:c r="G16" s="38" t="str"/>
    </x:row>
    <x:row r="17">
      <x:c r="A17" s="93" t="n">
        <x:v>55</x:v>
      </x:c>
      <x:c r="B17" s="68" t="n">
        <x:v>5</x:v>
      </x:c>
      <x:c r="C17" s="22" t="str">
        <x:v>Risk &lt;55</x:v>
      </x:c>
      <x:c r="D17" s="22" t="str">
        <x:v>Quality &gt;78</x:v>
      </x:c>
      <x:c r="E17" s="68" t="n">
        <x:v>3</x:v>
      </x:c>
      <x:c r="F17" s="22" t="str">
        <x:v>Trusted stabilizes</x:v>
      </x:c>
      <x:c r="G17" s="38" t="str"/>
    </x:row>
    <x:row r="18">
      <x:c r="A18" s="93" t="n">
        <x:v>70</x:v>
      </x:c>
      <x:c r="B18" s="68" t="n">
        <x:v>7</x:v>
      </x:c>
      <x:c r="C18" s="22" t="str">
        <x:v>Risk &lt;50</x:v>
      </x:c>
      <x:c r="D18" s="22" t="str">
        <x:v>Quality &gt;80</x:v>
      </x:c>
      <x:c r="E18" s="68" t="n">
        <x:v>3</x:v>
      </x:c>
      <x:c r="F18" s="22" t="str">
        <x:v>Established → Prestigious path</x:v>
      </x:c>
      <x:c r="G18" s="38" t="str">
        <x:v>Higher tiers recover more slowly</x:v>
      </x:c>
    </x:row>
    <x:row r="19">
      <x:c r="A19" s="94" t="n">
        <x:v>85</x:v>
      </x:c>
      <x:c r="B19" s="70" t="n">
        <x:v>10</x:v>
      </x:c>
      <x:c r="C19" s="40" t="str">
        <x:v>Risk &lt;45</x:v>
      </x:c>
      <x:c r="D19" s="40" t="str">
        <x:v>Quality &gt;82</x:v>
      </x:c>
      <x:c r="E19" s="70" t="n">
        <x:v>2</x:v>
      </x:c>
      <x:c r="F19" s="40" t="str">
        <x:v>Elite recovery</x:v>
      </x:c>
      <x:c r="G19" s="41" t="str">
        <x:v>Prestige is easier to lose than rapidly rebuild</x:v>
      </x:c>
    </x:row>
  </x:sheetData>
  <x:mergeCells>
    <x:mergeCell ref="A1:O1"/>
    <x:mergeCell ref="A13:O1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Risk &amp; Reputation Live-Ops Controls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22"/>
      <x:c r="N1" s="22"/>
      <x:c r="O1" s="22"/>
      <x:c r="P1" s="22"/>
      <x:c r="Q1" s="22"/>
    </x:row>
    <x:row r="3">
      <x:c r="A3" s="14" t="str">
        <x:v>Control</x:v>
      </x:c>
      <x:c r="B3" s="14" t="str">
        <x:v>Default</x:v>
      </x:c>
      <x:c r="C3" s="14" t="str">
        <x:v>Review Frequency</x:v>
      </x:c>
      <x:c r="D3" s="14" t="str">
        <x:v>Primary Metric</x:v>
      </x:c>
      <x:c r="E3" s="14" t="str">
        <x:v>Increase When</x:v>
      </x:c>
      <x:c r="F3" s="14" t="str">
        <x:v>Decrease When</x:v>
      </x:c>
      <x:c r="G3" s="14" t="str">
        <x:v>Safe Change</x:v>
      </x:c>
      <x:c r="H3" s="14" t="str">
        <x:v>Owner</x:v>
      </x:c>
      <x:c r="I3" s="14" t="str">
        <x:v>Alert Threshold</x:v>
      </x:c>
      <x:c r="J3" s="14" t="str">
        <x:v>Player Impact</x:v>
      </x:c>
      <x:c r="K3" s="14" t="str">
        <x:v>Competitive Risk</x:v>
      </x:c>
      <x:c r="L3" s="14" t="str">
        <x:v>Notes</x:v>
      </x:c>
    </x:row>
    <x:row r="4">
      <x:c r="A4" s="34" t="str">
        <x:v>Managed risk target</x:v>
      </x:c>
      <x:c r="B4" s="35" t="str">
        <x:v>21–40</x:v>
      </x:c>
      <x:c r="C4" s="35" t="str">
        <x:v>Seasonal</x:v>
      </x:c>
      <x:c r="D4" s="35" t="str">
        <x:v>Risk distribution</x:v>
      </x:c>
      <x:c r="E4" s="35" t="str">
        <x:v>Too many players sit at zero risk</x:v>
      </x:c>
      <x:c r="F4" s="35" t="str">
        <x:v>Too many are High/Critical</x:v>
      </x:c>
      <x:c r="G4" s="35" t="str">
        <x:v>+/-5 score</x:v>
      </x:c>
      <x:c r="H4" s="35" t="str">
        <x:v>Economy</x:v>
      </x:c>
      <x:c r="I4" s="35" t="str">
        <x:v>&lt;25% players in Managed band</x:v>
      </x:c>
      <x:c r="J4" s="35" t="str">
        <x:v>High</x:v>
      </x:c>
      <x:c r="K4" s="35" t="str">
        <x:v>Medium</x:v>
      </x:c>
      <x:c r="L4" s="36" t="str"/>
    </x:row>
    <x:row r="5">
      <x:c r="A5" s="37" t="str">
        <x:v>Reserve healthy target</x:v>
      </x:c>
      <x:c r="B5" s="22" t="str">
        <x:v>15%</x:v>
      </x:c>
      <x:c r="C5" s="22" t="str">
        <x:v>Monthly</x:v>
      </x:c>
      <x:c r="D5" s="22" t="str">
        <x:v>Liquidity incident rate</x:v>
      </x:c>
      <x:c r="E5" s="22" t="str">
        <x:v>Liquidity incidents high</x:v>
      </x:c>
      <x:c r="F5" s="22" t="str">
        <x:v>Capital feels over-constrained</x:v>
      </x:c>
      <x:c r="G5" s="22" t="str">
        <x:v>+/-2 pts</x:v>
      </x:c>
      <x:c r="H5" s="22" t="str">
        <x:v>Economy</x:v>
      </x:c>
      <x:c r="I5" s="22" t="str">
        <x:v>Incident rate &gt; target</x:v>
      </x:c>
      <x:c r="J5" s="22" t="str">
        <x:v>Medium</x:v>
      </x:c>
      <x:c r="K5" s="22" t="str">
        <x:v>Medium</x:v>
      </x:c>
      <x:c r="L5" s="38" t="str"/>
    </x:row>
    <x:row r="6">
      <x:c r="A6" s="37" t="str">
        <x:v>Concentration threshold</x:v>
      </x:c>
      <x:c r="B6" s="22" t="str">
        <x:v>50%</x:v>
      </x:c>
      <x:c r="C6" s="22" t="str">
        <x:v>Monthly</x:v>
      </x:c>
      <x:c r="D6" s="22" t="str">
        <x:v>Family concentration</x:v>
      </x:c>
      <x:c r="E6" s="22" t="str">
        <x:v>Single-family meta dominates</x:v>
      </x:c>
      <x:c r="F6" s="22" t="str">
        <x:v>Specialists overpunished</x:v>
      </x:c>
      <x:c r="G6" s="22" t="str">
        <x:v>+/-5 pts</x:v>
      </x:c>
      <x:c r="H6" s="22" t="str">
        <x:v>Game Design</x:v>
      </x:c>
      <x:c r="I6" s="22" t="str">
        <x:v>Top family share &gt;60% median</x:v>
      </x:c>
      <x:c r="J6" s="22" t="str">
        <x:v>High</x:v>
      </x:c>
      <x:c r="K6" s="22" t="str">
        <x:v>High</x:v>
      </x:c>
      <x:c r="L6" s="38" t="str"/>
    </x:row>
    <x:row r="7">
      <x:c r="A7" s="37" t="str">
        <x:v>Daily Rep gain cap</x:v>
      </x:c>
      <x:c r="B7" s="22" t="str">
        <x:v>3/day</x:v>
      </x:c>
      <x:c r="C7" s="22" t="str">
        <x:v>Monthly</x:v>
      </x:c>
      <x:c r="D7" s="22" t="str">
        <x:v>Rep progression speed</x:v>
      </x:c>
      <x:c r="E7" s="22" t="str">
        <x:v>Rep takes too long</x:v>
      </x:c>
      <x:c r="F7" s="22" t="str">
        <x:v>Rep maxes too quickly</x:v>
      </x:c>
      <x:c r="G7" s="22" t="str">
        <x:v>+/-1/day</x:v>
      </x:c>
      <x:c r="H7" s="22" t="str">
        <x:v>Economy</x:v>
      </x:c>
      <x:c r="I7" s="22" t="str">
        <x:v>Median 50→75 too slow/fast</x:v>
      </x:c>
      <x:c r="J7" s="22" t="str">
        <x:v>Medium</x:v>
      </x:c>
      <x:c r="K7" s="22" t="str">
        <x:v>Medium</x:v>
      </x:c>
      <x:c r="L7" s="38" t="str"/>
    </x:row>
    <x:row r="8">
      <x:c r="A8" s="37" t="str">
        <x:v>Daily Rep loss cap</x:v>
      </x:c>
      <x:c r="B8" s="22" t="str">
        <x:v>6/day</x:v>
      </x:c>
      <x:c r="C8" s="22" t="str">
        <x:v>Monthly</x:v>
      </x:c>
      <x:c r="D8" s="22" t="str">
        <x:v>Recovery churn</x:v>
      </x:c>
      <x:c r="E8" s="22" t="str">
        <x:v>Bad play has no consequence</x:v>
      </x:c>
      <x:c r="F8" s="22" t="str">
        <x:v>One incident destroys long-term progress</x:v>
      </x:c>
      <x:c r="G8" s="22" t="str">
        <x:v>+/-1/day</x:v>
      </x:c>
      <x:c r="H8" s="22" t="str">
        <x:v>Economy</x:v>
      </x:c>
      <x:c r="I8" s="22" t="str">
        <x:v>Post-incident churn spike</x:v>
      </x:c>
      <x:c r="J8" s="22" t="str">
        <x:v>High</x:v>
      </x:c>
      <x:c r="K8" s="22" t="str">
        <x:v>Medium</x:v>
      </x:c>
      <x:c r="L8" s="38" t="str"/>
    </x:row>
    <x:row r="9">
      <x:c r="A9" s="37" t="str">
        <x:v>Risk natural recovery</x:v>
      </x:c>
      <x:c r="B9" s="22" t="str">
        <x:v>2/day</x:v>
      </x:c>
      <x:c r="C9" s="22" t="str">
        <x:v>Monthly</x:v>
      </x:c>
      <x:c r="D9" s="22" t="str">
        <x:v>Risk persistence</x:v>
      </x:c>
      <x:c r="E9" s="22" t="str">
        <x:v>Risk traps players</x:v>
      </x:c>
      <x:c r="F9" s="22" t="str">
        <x:v>Risk disappears too quickly</x:v>
      </x:c>
      <x:c r="G9" s="22" t="str">
        <x:v>+/-0.5/day</x:v>
      </x:c>
      <x:c r="H9" s="22" t="str">
        <x:v>Economy</x:v>
      </x:c>
      <x:c r="I9" s="22" t="str">
        <x:v>Median High→Managed recovery</x:v>
      </x:c>
      <x:c r="J9" s="22" t="str">
        <x:v>Medium</x:v>
      </x:c>
      <x:c r="K9" s="22" t="str">
        <x:v>Low</x:v>
      </x:c>
      <x:c r="L9" s="38" t="str"/>
    </x:row>
    <x:row r="10">
      <x:c r="A10" s="37" t="str">
        <x:v>Risk score weight</x:v>
      </x:c>
      <x:c r="B10" s="22" t="str">
        <x:v>5%</x:v>
      </x:c>
      <x:c r="C10" s="22" t="str">
        <x:v>Seasonal</x:v>
      </x:c>
      <x:c r="D10" s="22" t="str">
        <x:v>Performance concentration</x:v>
      </x:c>
      <x:c r="E10" s="22" t="str">
        <x:v>Risk management feels irrelevant</x:v>
      </x:c>
      <x:c r="F10" s="22" t="str">
        <x:v>Risk dominates payout</x:v>
      </x:c>
      <x:c r="G10" s="22" t="str">
        <x:v>+/-1 pt</x:v>
      </x:c>
      <x:c r="H10" s="22" t="str">
        <x:v>Economy</x:v>
      </x:c>
      <x:c r="I10" s="22" t="str">
        <x:v>Top risk component concentration</x:v>
      </x:c>
      <x:c r="J10" s="22" t="str">
        <x:v>High</x:v>
      </x:c>
      <x:c r="K10" s="22" t="str">
        <x:v>Critical</x:v>
      </x:c>
      <x:c r="L10" s="38" t="str"/>
    </x:row>
    <x:row r="11">
      <x:c r="A11" s="37" t="str">
        <x:v>Reputation score weight</x:v>
      </x:c>
      <x:c r="B11" s="22" t="str">
        <x:v>5%</x:v>
      </x:c>
      <x:c r="C11" s="22" t="str">
        <x:v>Seasonal</x:v>
      </x:c>
      <x:c r="D11" s="22" t="str">
        <x:v>Performance concentration</x:v>
      </x:c>
      <x:c r="E11" s="22" t="str">
        <x:v>Reputation ignored</x:v>
      </x:c>
      <x:c r="F11" s="22" t="str">
        <x:v>Rep dominates payout</x:v>
      </x:c>
      <x:c r="G11" s="22" t="str">
        <x:v>+/-1 pt</x:v>
      </x:c>
      <x:c r="H11" s="22" t="str">
        <x:v>Economy</x:v>
      </x:c>
      <x:c r="I11" s="22" t="str">
        <x:v>Rep predicts payout too strongly</x:v>
      </x:c>
      <x:c r="J11" s="22" t="str">
        <x:v>High</x:v>
      </x:c>
      <x:c r="K11" s="22" t="str">
        <x:v>Critical</x:v>
      </x:c>
      <x:c r="L11" s="38" t="str"/>
    </x:row>
    <x:row r="12">
      <x:c r="A12" s="37" t="str">
        <x:v>Failure hard cap</x:v>
      </x:c>
      <x:c r="B12" s="22" t="str">
        <x:v>25%</x:v>
      </x:c>
      <x:c r="C12" s="22" t="str">
        <x:v>Monthly</x:v>
      </x:c>
      <x:c r="D12" s="22" t="str">
        <x:v>Severe incident frequency</x:v>
      </x:c>
      <x:c r="E12" s="22" t="str">
        <x:v>Critical risk feels harmless</x:v>
      </x:c>
      <x:c r="F12" s="22" t="str">
        <x:v>Players feel punished</x:v>
      </x:c>
      <x:c r="G12" s="22" t="str">
        <x:v>+/-5 pts</x:v>
      </x:c>
      <x:c r="H12" s="22" t="str">
        <x:v>Game Design</x:v>
      </x:c>
      <x:c r="I12" s="22" t="str">
        <x:v>Severe incident &gt; target</x:v>
      </x:c>
      <x:c r="J12" s="22" t="str">
        <x:v>High</x:v>
      </x:c>
      <x:c r="K12" s="22" t="str">
        <x:v>High</x:v>
      </x:c>
      <x:c r="L12" s="38" t="str"/>
    </x:row>
    <x:row r="13">
      <x:c r="A13" s="39" t="str">
        <x:v>High-value customer hard block</x:v>
      </x:c>
      <x:c r="B13" s="40" t="str">
        <x:v>Risk 65–75</x:v>
      </x:c>
      <x:c r="C13" s="40" t="str">
        <x:v>Monthly</x:v>
      </x:c>
      <x:c r="D13" s="40" t="str">
        <x:v>HNW/corporate/institutional access</x:v>
      </x:c>
      <x:c r="E13" s="40" t="str">
        <x:v>High-risk players still dominate premium clients</x:v>
      </x:c>
      <x:c r="F13" s="40" t="str">
        <x:v>Too many gates block recovery</x:v>
      </x:c>
      <x:c r="G13" s="40" t="str">
        <x:v>+/-5 risk</x:v>
      </x:c>
      <x:c r="H13" s="40" t="str">
        <x:v>Economy</x:v>
      </x:c>
      <x:c r="I13" s="40" t="str">
        <x:v>Premium clients at Critical risk</x:v>
      </x:c>
      <x:c r="J13" s="40" t="str">
        <x:v>High</x:v>
      </x:c>
      <x:c r="K13" s="40" t="str">
        <x:v>High</x:v>
      </x:c>
      <x:c r="L13" s="41" t="str"/>
    </x:row>
  </x:sheetData>
  <x:mergeCells>
    <x:mergeCell ref="A1:L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Backend Risk, Reputation &amp; Incident Resolution Rules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22"/>
      <x:c r="O1" s="22"/>
      <x:c r="P1" s="22"/>
      <x:c r="Q1" s="22"/>
    </x:row>
    <x:row r="3">
      <x:c r="A3" s="14" t="str">
        <x:v>System</x:v>
      </x:c>
      <x:c r="B3" s="14" t="str">
        <x:v>Source of Truth</x:v>
      </x:c>
      <x:c r="C3" s="14" t="str">
        <x:v>Evaluation Cadence</x:v>
      </x:c>
      <x:c r="D3" s="14" t="str">
        <x:v>Inputs</x:v>
      </x:c>
      <x:c r="E3" s="14" t="str">
        <x:v>Derived State</x:v>
      </x:c>
      <x:c r="F3" s="14" t="str">
        <x:v>Client Can Submit</x:v>
      </x:c>
      <x:c r="G3" s="14" t="str">
        <x:v>Client Cannot Submit</x:v>
      </x:c>
      <x:c r="H3" s="14" t="str">
        <x:v>Locking / Idempotency</x:v>
      </x:c>
      <x:c r="I3" s="14" t="str">
        <x:v>Recovery / Recompute</x:v>
      </x:c>
      <x:c r="J3" s="14" t="str">
        <x:v>Exploit Risk</x:v>
      </x:c>
      <x:c r="K3" s="14" t="str">
        <x:v>Priority</x:v>
      </x:c>
      <x:c r="L3" s="14" t="str">
        <x:v>Audit Field</x:v>
      </x:c>
      <x:c r="M3" s="14" t="str">
        <x:v>Notes</x:v>
      </x:c>
    </x:row>
    <x:row r="4">
      <x:c r="A4" s="34" t="str">
        <x:v>Risk category scores</x:v>
      </x:c>
      <x:c r="B4" s="35" t="str">
        <x:v>Game server</x:v>
      </x:c>
      <x:c r="C4" s="35" t="str">
        <x:v>5–15 min + event ticks</x:v>
      </x:c>
      <x:c r="D4" s="35" t="str">
        <x:v>building exposures, utilization, reserves, concentration, events, mitigations</x:v>
      </x:c>
      <x:c r="E4" s="35" t="str">
        <x:v>6 category scores 0–100</x:v>
      </x:c>
      <x:c r="F4" s="35" t="str">
        <x:v>Normal gameplay actions</x:v>
      </x:c>
      <x:c r="G4" s="35" t="str">
        <x:v>Risk score</x:v>
      </x:c>
      <x:c r="H4" s="35" t="str">
        <x:v>economy_tick_id</x:v>
      </x:c>
      <x:c r="I4" s="35" t="str">
        <x:v>Recompute from checkpoints + ledgers</x:v>
      </x:c>
      <x:c r="J4" s="35" t="str">
        <x:v>High</x:v>
      </x:c>
      <x:c r="K4" s="35" t="str">
        <x:v>P0</x:v>
      </x:c>
      <x:c r="L4" s="35" t="str">
        <x:v>risk_version</x:v>
      </x:c>
      <x:c r="M4" s="36" t="str"/>
    </x:row>
    <x:row r="5">
      <x:c r="A5" s="37" t="str">
        <x:v>Composite Risk</x:v>
      </x:c>
      <x:c r="B5" s="22" t="str">
        <x:v>Game server</x:v>
      </x:c>
      <x:c r="C5" s="22" t="str">
        <x:v>After category update</x:v>
      </x:c>
      <x:c r="D5" s="22" t="str">
        <x:v>category scores + weights</x:v>
      </x:c>
      <x:c r="E5" s="22" t="str">
        <x:v>0–100 composite + band</x:v>
      </x:c>
      <x:c r="F5" s="22" t="str">
        <x:v>None</x:v>
      </x:c>
      <x:c r="G5" s="22" t="str">
        <x:v>Composite value</x:v>
      </x:c>
      <x:c r="H5" s="22" t="str">
        <x:v>risk_version</x:v>
      </x:c>
      <x:c r="I5" s="22" t="str">
        <x:v>Recompute deterministically</x:v>
      </x:c>
      <x:c r="J5" s="22" t="str">
        <x:v>High</x:v>
      </x:c>
      <x:c r="K5" s="22" t="str">
        <x:v>P0</x:v>
      </x:c>
      <x:c r="L5" s="22" t="str">
        <x:v>composite_risk_hash</x:v>
      </x:c>
      <x:c r="M5" s="38" t="str"/>
    </x:row>
    <x:row r="6">
      <x:c r="A6" s="37" t="str">
        <x:v>Reputation</x:v>
      </x:c>
      <x:c r="B6" s="22" t="str">
        <x:v>Game server</x:v>
      </x:c>
      <x:c r="C6" s="22" t="str">
        <x:v>On validated event / daily checkpoint</x:v>
      </x:c>
      <x:c r="D6" s="22" t="str">
        <x:v>service, retention, risk incidents, milestones</x:v>
      </x:c>
      <x:c r="E6" s="22" t="str">
        <x:v>0–100 reputation + tier</x:v>
      </x:c>
      <x:c r="F6" s="22" t="str">
        <x:v>Normal gameplay / event choices</x:v>
      </x:c>
      <x:c r="G6" s="22" t="str">
        <x:v>Rep delta</x:v>
      </x:c>
      <x:c r="H6" s="22" t="str">
        <x:v>rep_event_id</x:v>
      </x:c>
      <x:c r="I6" s="22" t="str">
        <x:v>Replay reputation event ledger</x:v>
      </x:c>
      <x:c r="J6" s="22" t="str">
        <x:v>High</x:v>
      </x:c>
      <x:c r="K6" s="22" t="str">
        <x:v>P0</x:v>
      </x:c>
      <x:c r="L6" s="22" t="str">
        <x:v>rep_ledger_id</x:v>
      </x:c>
      <x:c r="M6" s="38" t="str"/>
    </x:row>
    <x:row r="7">
      <x:c r="A7" s="37" t="str">
        <x:v>Reserve ratio</x:v>
      </x:c>
      <x:c r="B7" s="22" t="str">
        <x:v>Game server</x:v>
      </x:c>
      <x:c r="C7" s="22" t="str">
        <x:v>15 min</x:v>
      </x:c>
      <x:c r="D7" s="22" t="str">
        <x:v>Cash/reserve allocation + liabilities abstraction</x:v>
      </x:c>
      <x:c r="E7" s="22" t="str">
        <x:v>ratio + liquidity driver</x:v>
      </x:c>
      <x:c r="F7" s="22" t="str">
        <x:v>Reserve action</x:v>
      </x:c>
      <x:c r="G7" s="22" t="str">
        <x:v>Ratio override</x:v>
      </x:c>
      <x:c r="H7" s="22" t="str">
        <x:v>economy_tick_id</x:v>
      </x:c>
      <x:c r="I7" s="22" t="str">
        <x:v>Recompute from balances</x:v>
      </x:c>
      <x:c r="J7" s="22" t="str">
        <x:v>High</x:v>
      </x:c>
      <x:c r="K7" s="22" t="str">
        <x:v>P0</x:v>
      </x:c>
      <x:c r="L7" s="22" t="str">
        <x:v>reserve_snapshot</x:v>
      </x:c>
      <x:c r="M7" s="38" t="str"/>
    </x:row>
    <x:row r="8">
      <x:c r="A8" s="37" t="str">
        <x:v>Concentration</x:v>
      </x:c>
      <x:c r="B8" s="22" t="str">
        <x:v>Game server</x:v>
      </x:c>
      <x:c r="C8" s="22" t="str">
        <x:v>Hourly</x:v>
      </x:c>
      <x:c r="D8" s="22" t="str">
        <x:v>activity by family/segment</x:v>
      </x:c>
      <x:c r="E8" s="22" t="str">
        <x:v>share metrics</x:v>
      </x:c>
      <x:c r="F8" s="22" t="str">
        <x:v>Normal business activity</x:v>
      </x:c>
      <x:c r="G8" s="22" t="str">
        <x:v>Share metric</x:v>
      </x:c>
      <x:c r="H8" s="22" t="str">
        <x:v>economy_tick_id</x:v>
      </x:c>
      <x:c r="I8" s="22" t="str">
        <x:v>Recompute from activity ledger</x:v>
      </x:c>
      <x:c r="J8" s="22" t="str">
        <x:v>High</x:v>
      </x:c>
      <x:c r="K8" s="22" t="str">
        <x:v>P0</x:v>
      </x:c>
      <x:c r="L8" s="22" t="str">
        <x:v>concentration_snapshot</x:v>
      </x:c>
      <x:c r="M8" s="38" t="str"/>
    </x:row>
    <x:row r="9">
      <x:c r="A9" s="37" t="str">
        <x:v>Service quality</x:v>
      </x:c>
      <x:c r="B9" s="22" t="str">
        <x:v>Game server</x:v>
      </x:c>
      <x:c r="C9" s="22" t="str">
        <x:v>Hourly</x:v>
      </x:c>
      <x:c r="D9" s="22" t="str">
        <x:v>capacity, utilization, incidents, upgrades</x:v>
      </x:c>
      <x:c r="E9" s="22" t="str">
        <x:v>0–100 quality</x:v>
      </x:c>
      <x:c r="F9" s="22" t="str">
        <x:v>Gameplay actions</x:v>
      </x:c>
      <x:c r="G9" s="22" t="str">
        <x:v>Quality score</x:v>
      </x:c>
      <x:c r="H9" s="22" t="str">
        <x:v>service_tick_id</x:v>
      </x:c>
      <x:c r="I9" s="22" t="str">
        <x:v>Recompute from inputs</x:v>
      </x:c>
      <x:c r="J9" s="22" t="str">
        <x:v>High</x:v>
      </x:c>
      <x:c r="K9" s="22" t="str">
        <x:v>P0</x:v>
      </x:c>
      <x:c r="L9" s="22" t="str">
        <x:v>service_version</x:v>
      </x:c>
      <x:c r="M9" s="38" t="str"/>
    </x:row>
    <x:row r="10">
      <x:c r="A10" s="37" t="str">
        <x:v>Incident trigger</x:v>
      </x:c>
      <x:c r="B10" s="22" t="str">
        <x:v>Game server</x:v>
      </x:c>
      <x:c r="C10" s="22" t="str">
        <x:v>On thresholds / event resolution</x:v>
      </x:c>
      <x:c r="D10" s="22" t="str">
        <x:v>risk, event severity, mitigation, cooldowns</x:v>
      </x:c>
      <x:c r="E10" s="22" t="str">
        <x:v>incident state</x:v>
      </x:c>
      <x:c r="F10" s="22" t="str">
        <x:v>Player decision when offered</x:v>
      </x:c>
      <x:c r="G10" s="22" t="str">
        <x:v>Failure outcome</x:v>
      </x:c>
      <x:c r="H10" s="22" t="str">
        <x:v>incident_id</x:v>
      </x:c>
      <x:c r="I10" s="22" t="str">
        <x:v>Replay seeded/server outcome</x:v>
      </x:c>
      <x:c r="J10" s="22" t="str">
        <x:v>Critical</x:v>
      </x:c>
      <x:c r="K10" s="22" t="str">
        <x:v>P0</x:v>
      </x:c>
      <x:c r="L10" s="22" t="str">
        <x:v>incident_resolution_id</x:v>
      </x:c>
      <x:c r="M10" s="38" t="str"/>
    </x:row>
    <x:row r="11">
      <x:c r="A11" s="37" t="str">
        <x:v>Customer access gate</x:v>
      </x:c>
      <x:c r="B11" s="22" t="str">
        <x:v>Game server</x:v>
      </x:c>
      <x:c r="C11" s="22" t="str">
        <x:v>On acquisition tick</x:v>
      </x:c>
      <x:c r="D11" s="22" t="str">
        <x:v>Rep, Risk, segment thresholds</x:v>
      </x:c>
      <x:c r="E11" s="22" t="str">
        <x:v>eligible acquisition modifier</x:v>
      </x:c>
      <x:c r="F11" s="22" t="str">
        <x:v>None</x:v>
      </x:c>
      <x:c r="G11" s="22" t="str">
        <x:v>Eligibility</x:v>
      </x:c>
      <x:c r="H11" s="22" t="str">
        <x:v>economy_tick_id</x:v>
      </x:c>
      <x:c r="I11" s="22" t="str">
        <x:v>Recompute</x:v>
      </x:c>
      <x:c r="J11" s="22" t="str">
        <x:v>High</x:v>
      </x:c>
      <x:c r="K11" s="22" t="str">
        <x:v>P0</x:v>
      </x:c>
      <x:c r="L11" s="22" t="str">
        <x:v>segment_gate_version</x:v>
      </x:c>
      <x:c r="M11" s="38" t="str"/>
    </x:row>
    <x:row r="12">
      <x:c r="A12" s="37" t="str">
        <x:v>Building / expansion gate</x:v>
      </x:c>
      <x:c r="B12" s="22" t="str">
        <x:v>Game server</x:v>
      </x:c>
      <x:c r="C12" s="22" t="str">
        <x:v>On activation request</x:v>
      </x:c>
      <x:c r="D12" s="22" t="str">
        <x:v>level, Rep, Risk, ownership</x:v>
      </x:c>
      <x:c r="E12" s="22" t="str">
        <x:v>allow/deny</x:v>
      </x:c>
      <x:c r="F12" s="22" t="str">
        <x:v>Activation request</x:v>
      </x:c>
      <x:c r="G12" s="22" t="str">
        <x:v>Gate result</x:v>
      </x:c>
      <x:c r="H12" s="22" t="str">
        <x:v>activation_request_id</x:v>
      </x:c>
      <x:c r="I12" s="22" t="str">
        <x:v>Re-evaluate current state</x:v>
      </x:c>
      <x:c r="J12" s="22" t="str">
        <x:v>High</x:v>
      </x:c>
      <x:c r="K12" s="22" t="str">
        <x:v>P0</x:v>
      </x:c>
      <x:c r="L12" s="22" t="str">
        <x:v>gate_check_id</x:v>
      </x:c>
      <x:c r="M12" s="38" t="str"/>
    </x:row>
    <x:row r="13">
      <x:c r="A13" s="37" t="str">
        <x:v>Performance integration</x:v>
      </x:c>
      <x:c r="B13" s="22" t="str">
        <x:v>Game server</x:v>
      </x:c>
      <x:c r="C13" s="22" t="str">
        <x:v>Weekly settlement</x:v>
      </x:c>
      <x:c r="D13" s="22" t="str">
        <x:v>weekly median risk, incident flags, Rep</x:v>
      </x:c>
      <x:c r="E13" s="22" t="str">
        <x:v>Risk/Rep subscores</x:v>
      </x:c>
      <x:c r="F13" s="22" t="str">
        <x:v>None</x:v>
      </x:c>
      <x:c r="G13" s="22" t="str">
        <x:v>Score</x:v>
      </x:c>
      <x:c r="H13" s="22" t="str">
        <x:v>settlement_id</x:v>
      </x:c>
      <x:c r="I13" s="22" t="str">
        <x:v>Recompute from weekly history</x:v>
      </x:c>
      <x:c r="J13" s="22" t="str">
        <x:v>Critical</x:v>
      </x:c>
      <x:c r="K13" s="22" t="str">
        <x:v>P0</x:v>
      </x:c>
      <x:c r="L13" s="22" t="str">
        <x:v>performance_version</x:v>
      </x:c>
      <x:c r="M13" s="38" t="str"/>
    </x:row>
    <x:row r="14">
      <x:c r="A14" s="39" t="str">
        <x:v>Anti-farming</x:v>
      </x:c>
      <x:c r="B14" s="40" t="str">
        <x:v>Game server</x:v>
      </x:c>
      <x:c r="C14" s="40" t="str">
        <x:v>Continuous/daily</x:v>
      </x:c>
      <x:c r="D14" s="40" t="str">
        <x:v>repeat patterns, milestone state, gain caps</x:v>
      </x:c>
      <x:c r="E14" s="40" t="str">
        <x:v>eligible Rep deltas</x:v>
      </x:c>
      <x:c r="F14" s="40" t="str">
        <x:v>Gameplay actions</x:v>
      </x:c>
      <x:c r="G14" s="40" t="str">
        <x:v>Extra Rep</x:v>
      </x:c>
      <x:c r="H14" s="40" t="str">
        <x:v>rep_event_id</x:v>
      </x:c>
      <x:c r="I14" s="40" t="str">
        <x:v>Replay ledger</x:v>
      </x:c>
      <x:c r="J14" s="40" t="str">
        <x:v>High</x:v>
      </x:c>
      <x:c r="K14" s="40" t="str">
        <x:v>P0</x:v>
      </x:c>
      <x:c r="L14" s="40" t="str">
        <x:v>anti_farm_flag</x:v>
      </x:c>
      <x:c r="M14" s="41" t="str"/>
    </x:row>
  </x:sheetData>
  <x:mergeCells>
    <x:mergeCell ref="A1:M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  <x:col min="7" max="7" width="3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6" t="str">
        <x:v>Model Checks</x:v>
      </x:c>
      <x:c r="B1" s="106"/>
      <x:c r="C1" s="106"/>
      <x:c r="D1" s="106"/>
      <x:c r="E1" s="106"/>
      <x:c r="F1" s="106"/>
      <x:c r="G1" s="106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4" t="str">
        <x:v>Risk category weights total 100%</x:v>
      </x:c>
      <x:c r="B4" s="60" t="n">
        <x:v>1</x:v>
      </x:c>
      <x:c r="C4" s="60" t="n">
        <x:f>SUM('02_Risk_Categories'!B4:B9)</x:f>
        <x:v>1.0000000000000002</x:v>
      </x:c>
      <x:c r="D4" s="35" t="str">
        <x:f>IF(ABS(C4-B4)&lt;0.0001,"PASS","CHECK")</x:f>
        <x:v>PASS</x:v>
      </x:c>
      <x:c r="E4" s="35" t="str">
        <x:v>Critical</x:v>
      </x:c>
      <x:c r="F4" s="35" t="str">
        <x:v>Composite risk must reconcile</x:v>
      </x:c>
      <x:c r="G4" s="36" t="str"/>
    </x:row>
    <x:row r="5">
      <x:c r="A5" s="37" t="str">
        <x:v>Risk + Reputation Performance weights &lt;= 10%</x:v>
      </x:c>
      <x:c r="B5" s="61" t="n">
        <x:v>0.1</x:v>
      </x:c>
      <x:c r="C5" s="61" t="n">
        <x:f>'01_Assumptions'!B13+'01_Assumptions'!B14</x:f>
        <x:v>0.1</x:v>
      </x:c>
      <x:c r="D5" s="22" t="str">
        <x:f>IF(C5&lt;=B5,"PASS","CHECK")</x:f>
        <x:v>PASS</x:v>
      </x:c>
      <x:c r="E5" s="22" t="str">
        <x:v>Critical</x:v>
      </x:c>
      <x:c r="F5" s="22" t="str">
        <x:v>These quality components must not dominate payout</x:v>
      </x:c>
      <x:c r="G5" s="38" t="str"/>
    </x:row>
    <x:row r="6">
      <x:c r="A6" s="37" t="str">
        <x:v>Starting Reputation = 50</x:v>
      </x:c>
      <x:c r="B6" s="22" t="n">
        <x:v>50</x:v>
      </x:c>
      <x:c r="C6" s="22" t="n">
        <x:f>'01_Assumptions'!B4</x:f>
        <x:v>50</x:v>
      </x:c>
      <x:c r="D6" s="22" t="str">
        <x:f>IF(C6=B6,"PASS","CHECK")</x:f>
        <x:v>PASS</x:v>
      </x:c>
      <x:c r="E6" s="22" t="str">
        <x:v>Medium</x:v>
      </x:c>
      <x:c r="F6" s="22" t="str">
        <x:v>Matches intended new-player baseline</x:v>
      </x:c>
      <x:c r="G6" s="38" t="str">
        <x:v>Editable</x:v>
      </x:c>
    </x:row>
    <x:row r="7">
      <x:c r="A7" s="37" t="str">
        <x:v>Starting Composite Risk &lt;= Managed max</x:v>
      </x:c>
      <x:c r="B7" s="22" t="n">
        <x:v>40</x:v>
      </x:c>
      <x:c r="C7" s="22" t="n">
        <x:f>'01_Assumptions'!B5</x:f>
        <x:v>25</x:v>
      </x:c>
      <x:c r="D7" s="22" t="str">
        <x:f>IF(C7&lt;=B7,"PASS","CHECK")</x:f>
        <x:v>PASS</x:v>
      </x:c>
      <x:c r="E7" s="22" t="str">
        <x:v>High</x:v>
      </x:c>
      <x:c r="F7" s="22" t="str">
        <x:v>New player should begin healthy</x:v>
      </x:c>
      <x:c r="G7" s="38" t="str"/>
    </x:row>
    <x:row r="8">
      <x:c r="A8" s="37" t="str">
        <x:v>Critical risk threshold &gt; High threshold</x:v>
      </x:c>
      <x:c r="B8" s="22" t="n">
        <x:v>1</x:v>
      </x:c>
      <x:c r="C8" s="22" t="n">
        <x:f>IF('01_Assumptions'!B9&gt;'01_Assumptions'!B8,1,0)</x:f>
        <x:v>1</x:v>
      </x:c>
      <x:c r="D8" s="22" t="str">
        <x:f>IF(C8=B8,"PASS","CHECK")</x:f>
        <x:v>PASS</x:v>
      </x:c>
      <x:c r="E8" s="22" t="str">
        <x:v>Critical</x:v>
      </x:c>
      <x:c r="F8" s="22" t="str">
        <x:v>Band ordering</x:v>
      </x:c>
      <x:c r="G8" s="38" t="str"/>
    </x:row>
    <x:row r="9">
      <x:c r="A9" s="37" t="str">
        <x:v>Max failure chance &lt;=25%</x:v>
      </x:c>
      <x:c r="B9" s="61" t="n">
        <x:v>0.25</x:v>
      </x:c>
      <x:c r="C9" s="61" t="n">
        <x:f>'01_Assumptions'!B24</x:f>
        <x:v>0.25</x:v>
      </x:c>
      <x:c r="D9" s="22" t="str">
        <x:f>IF(C9&lt;=B9,"PASS","CHECK")</x:f>
        <x:v>PASS</x:v>
      </x:c>
      <x:c r="E9" s="22" t="str">
        <x:v>Critical</x:v>
      </x:c>
      <x:c r="F9" s="22" t="str">
        <x:v>No excessively punishing failure RNG</x:v>
      </x:c>
      <x:c r="G9" s="38" t="str"/>
    </x:row>
    <x:row r="10">
      <x:c r="A10" s="37" t="str">
        <x:v>Global Reputation acquisition modifier &lt;=1.20</x:v>
      </x:c>
      <x:c r="B10" s="61" t="n">
        <x:v>1.2</x:v>
      </x:c>
      <x:c r="C10" s="61" t="n">
        <x:f>'06_Reputation_Tiers'!D10</x:f>
        <x:v>1.2</x:v>
      </x:c>
      <x:c r="D10" s="22" t="str">
        <x:f>IF(C10&lt;=B10,"PASS","CHECK")</x:f>
        <x:v>PASS</x:v>
      </x:c>
      <x:c r="E10" s="22" t="str">
        <x:v>High</x:v>
      </x:c>
      <x:c r="F10" s="22" t="str">
        <x:v>Trust must not become raw exponential income</x:v>
      </x:c>
      <x:c r="G10" s="38" t="str"/>
    </x:row>
    <x:row r="11">
      <x:c r="A11" s="37" t="str">
        <x:v>Global Reputation retention modifier &lt;=1.12</x:v>
      </x:c>
      <x:c r="B11" s="61" t="n">
        <x:v>1.12</x:v>
      </x:c>
      <x:c r="C11" s="61" t="n">
        <x:f>'06_Reputation_Tiers'!E10</x:f>
        <x:v>1.12</x:v>
      </x:c>
      <x:c r="D11" s="22" t="str">
        <x:f>IF(C11&lt;=B11,"PASS","CHECK")</x:f>
        <x:v>PASS</x:v>
      </x:c>
      <x:c r="E11" s="22" t="str">
        <x:v>High</x:v>
      </x:c>
      <x:c r="F11" s="22" t="str">
        <x:v>Retention bonus bounded</x:v>
      </x:c>
      <x:c r="G11" s="38" t="str"/>
    </x:row>
    <x:row r="12">
      <x:c r="A12" s="37" t="str">
        <x:v>Tycoon Optimized composite risk &lt;=40</x:v>
      </x:c>
      <x:c r="B12" s="22" t="n">
        <x:v>40</x:v>
      </x:c>
      <x:c r="C12" s="22" t="n">
        <x:f>'14_Player_Scenarios'!I10</x:f>
        <x:v>31.300000000000004</x:v>
      </x:c>
      <x:c r="D12" s="22" t="str">
        <x:f>IF(C12&lt;=B12,"PASS","CHECK")</x:f>
        <x:v>PASS</x:v>
      </x:c>
      <x:c r="E12" s="22" t="str">
        <x:v>High</x:v>
      </x:c>
      <x:c r="F12" s="22" t="str">
        <x:v>Optimized endgame should be able to reach Managed risk</x:v>
      </x:c>
      <x:c r="G12" s="38" t="str"/>
    </x:row>
    <x:row r="13">
      <x:c r="A13" s="37" t="str">
        <x:v>Tycoon Land Hoarder risk &gt; Tycoon Optimized</x:v>
      </x:c>
      <x:c r="B13" s="22" t="n">
        <x:v>1</x:v>
      </x:c>
      <x:c r="C13" s="22" t="n">
        <x:f>IF('14_Player_Scenarios'!I11&gt;'14_Player_Scenarios'!I10,1,0)</x:f>
        <x:v>1</x:v>
      </x:c>
      <x:c r="D13" s="22" t="str">
        <x:f>IF(C13=B13,"PASS","CHECK")</x:f>
        <x:v>PASS</x:v>
      </x:c>
      <x:c r="E13" s="22" t="str">
        <x:v>High</x:v>
      </x:c>
      <x:c r="F13" s="22" t="str">
        <x:v>Scale without controls should be worse</x:v>
      </x:c>
      <x:c r="G13" s="38" t="str"/>
    </x:row>
    <x:row r="14">
      <x:c r="A14" s="37" t="str">
        <x:v>Risk and Rep combined max contribution = 10</x:v>
      </x:c>
      <x:c r="B14" s="22" t="n">
        <x:v>10</x:v>
      </x:c>
      <x:c r="C14" s="22" t="n">
        <x:f>'12_Performance_Link'!H4+'12_Performance_Link'!H5</x:f>
        <x:v>10</x:v>
      </x:c>
      <x:c r="D14" s="22" t="str">
        <x:f>IF(C14=B14,"PASS","CHECK")</x:f>
        <x:v>PASS</x:v>
      </x:c>
      <x:c r="E14" s="22" t="str">
        <x:v>Critical</x:v>
      </x:c>
      <x:c r="F14" s="22" t="str">
        <x:v>Performance contribution cap</x:v>
      </x:c>
      <x:c r="G14" s="38" t="str"/>
    </x:row>
    <x:row r="15">
      <x:c r="A15" s="39" t="str">
        <x:v>Composite example risk is within 0–100</x:v>
      </x:c>
      <x:c r="B15" s="40" t="n">
        <x:v>1</x:v>
      </x:c>
      <x:c r="C15" s="40" t="n">
        <x:f>IF(AND('02_Risk_Categories'!C21&gt;=0,'02_Risk_Categories'!C21&lt;=100),1,0)</x:f>
        <x:v>1</x:v>
      </x:c>
      <x:c r="D15" s="40" t="str">
        <x:f>IF(C15=B15,"PASS","CHECK")</x:f>
        <x:v>PASS</x:v>
      </x:c>
      <x:c r="E15" s="40" t="str">
        <x:v>Critical</x:v>
      </x:c>
      <x:c r="F15" s="40" t="str">
        <x:v>Formula output validity</x:v>
      </x:c>
      <x:c r="G15" s="41" t="str"/>
    </x:row>
  </x:sheetData>
  <x:mergeCells>
    <x:mergeCell ref="A1:G1"/>
  </x:mergeCells>
  <x:conditionalFormatting sqref="D4:D15">
    <x:cfRule type="expression" dxfId="1" priority="1">
      <x:formula>D4="PASS"</x:formula>
    </x:cfRule>
    <x:cfRule type="expression" dxfId="2" priority="2">
      <x:formula>D4="CHECK"</x:formula>
    </x:cfRule>
  </x:conditionalFormatting>
  <x:pageMargins left="0.7" right="0.7" top="0.75" bottom="0.75" header="0.3" footer="0.3"/>
</x:worksheet>
</file>