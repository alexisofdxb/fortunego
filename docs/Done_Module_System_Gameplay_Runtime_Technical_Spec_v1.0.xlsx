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4b3ab0f5f4a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2c85e7a94c90481c"/>
    <x:sheet xmlns:r="http://schemas.openxmlformats.org/officeDocument/2006/relationships" name="01_Canonical_Rules" sheetId="2" r:id="Raa387e6fa7af4d1e"/>
    <x:sheet xmlns:r="http://schemas.openxmlformats.org/officeDocument/2006/relationships" name="02_Module_Object_Model" sheetId="3" r:id="R6da48ac8d0994671"/>
    <x:sheet xmlns:r="http://schemas.openxmlformats.org/officeDocument/2006/relationships" name="03_Effect_Schema" sheetId="4" r:id="Ree612c574dc34058"/>
    <x:sheet xmlns:r="http://schemas.openxmlformats.org/officeDocument/2006/relationships" name="04_Condition_Schema" sheetId="5" r:id="Rb1ce98ec9a164adc"/>
    <x:sheet xmlns:r="http://schemas.openxmlformats.org/officeDocument/2006/relationships" name="05_Runtime_Order" sheetId="6" r:id="R2e96b406c8874a8a"/>
    <x:sheet xmlns:r="http://schemas.openxmlformats.org/officeDocument/2006/relationships" name="06_Stacking_Caps" sheetId="7" r:id="R73a04f28796f4acc"/>
    <x:sheet xmlns:r="http://schemas.openxmlformats.org/officeDocument/2006/relationships" name="07_Inventory_State" sheetId="8" r:id="Re948563297b44dd0"/>
    <x:sheet xmlns:r="http://schemas.openxmlformats.org/officeDocument/2006/relationships" name="08_Equipment_Loadout" sheetId="9" r:id="Rdd15d69f03c54762"/>
    <x:sheet xmlns:r="http://schemas.openxmlformats.org/officeDocument/2006/relationships" name="09_Building_Slot_Matrix" sheetId="10" r:id="R9d44656b02f040f8"/>
    <x:sheet xmlns:r="http://schemas.openxmlformats.org/officeDocument/2006/relationships" name="10_Building_Mastery" sheetId="11" r:id="R912ad3856e0c442d"/>
    <x:sheet xmlns:r="http://schemas.openxmlformats.org/officeDocument/2006/relationships" name="11_Acquisition_Rewards" sheetId="12" r:id="Re49b8f7644454d0d"/>
    <x:sheet xmlns:r="http://schemas.openxmlformats.org/officeDocument/2006/relationships" name="12_Crafting_Parts" sheetId="13" r:id="Rb1542eca6a2947d4"/>
    <x:sheet xmlns:r="http://schemas.openxmlformats.org/officeDocument/2006/relationships" name="13_Module_Catalog" sheetId="14" r:id="Re9c3c3a47720439f"/>
    <x:sheet xmlns:r="http://schemas.openxmlformats.org/officeDocument/2006/relationships" name="14_Data_Model" sheetId="15" r:id="Rc96d549b89d144d6"/>
    <x:sheet xmlns:r="http://schemas.openxmlformats.org/officeDocument/2006/relationships" name="15_API_Contracts" sheetId="16" r:id="Re55e256bf38b45d6"/>
    <x:sheet xmlns:r="http://schemas.openxmlformats.org/officeDocument/2006/relationships" name="16_Transactions_Concurrency" sheetId="17" r:id="Rad32be62e81249cc"/>
    <x:sheet xmlns:r="http://schemas.openxmlformats.org/officeDocument/2006/relationships" name="17_UI_UX" sheetId="18" r:id="R3f0443d7337c4e55"/>
    <x:sheet xmlns:r="http://schemas.openxmlformats.org/officeDocument/2006/relationships" name="18_Analytics_LiveOps" sheetId="19" r:id="R06d715085aec4088"/>
    <x:sheet xmlns:r="http://schemas.openxmlformats.org/officeDocument/2006/relationships" name="19_QA_Test_Matrix" sheetId="20" r:id="R2e5797f43d73490a"/>
    <x:sheet xmlns:r="http://schemas.openxmlformats.org/officeDocument/2006/relationships" name="20_Implementation_Rollout" sheetId="21" r:id="R02cc0b716e8e44bc"/>
    <x:sheet xmlns:r="http://schemas.openxmlformats.org/officeDocument/2006/relationships" name="21_Model_Checks" sheetId="22" r:id="R2243f5a201c7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;[Red](0.0%);-"/>
    <x:numFmt numFmtId="201" formatCode="#,##0;[Red](#,##0);-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3"/>
      <x:color rgb="FF0B1F33"/>
      <x:name val="Carlito"/>
    </x:font>
    <x:font>
      <x:b/>
      <x:sz val="11"/>
      <x:color rgb="FF0B1F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32D46"/>
      </x:patternFill>
    </x:fill>
    <x:fill>
      <x:patternFill patternType="solid">
        <x:fgColor rgb="FFD8A93A"/>
      </x:patternFill>
    </x:fill>
    <x:fill>
      <x:patternFill patternType="solid">
        <x:fgColor rgb="FFF7F1E3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  <x:xf numFmtId="201" fontId="0" fillId="0" borderId="13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1" fontId="0" fillId="0" borderId="19" xfId="0" applyNumberFormat="1" applyFont="1" applyFill="1" applyBorder="1" applyAlignment="1">
      <x:alignment vertical="top" wrapText="1"/>
    </x:xf>
    <x:xf numFmtId="201" fontId="0" fillId="0" borderId="21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0" borderId="2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2">
    <x:dxf>
      <x:font>
        <x:b/>
        <x:color rgb="FF14532D"/>
      </x:font>
      <x:fill>
        <x:patternFill patternType="solid">
          <x:bgColor rgb="FFDDEFE2"/>
        </x:patternFill>
      </x:fill>
    </x:dxf>
    <x:dxf>
      <x:font>
        <x:b/>
        <x:color rgb="FF7F1D1D"/>
      </x:font>
      <x:fill>
        <x:patternFill patternType="solid">
          <x:bgColor rgb="FFF5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f35c4c20ef49f5" /><Relationship Type="http://schemas.openxmlformats.org/officeDocument/2006/relationships/theme" Target="/xl/theme/theme1.xml" Id="R6c0a9ed90ef64024" /><Relationship Type="http://schemas.openxmlformats.org/officeDocument/2006/relationships/sharedStrings" Target="/xl/sharedStrings.xml" Id="Rf0aa0f97a7b94103" /><Relationship Type="http://schemas.openxmlformats.org/officeDocument/2006/relationships/worksheet" Target="/xl/worksheets/sheet1.xml" Id="R2c85e7a94c90481c" /><Relationship Type="http://schemas.openxmlformats.org/officeDocument/2006/relationships/worksheet" Target="/xl/worksheets/sheet2.xml" Id="Raa387e6fa7af4d1e" /><Relationship Type="http://schemas.openxmlformats.org/officeDocument/2006/relationships/worksheet" Target="/xl/worksheets/sheet3.xml" Id="R6da48ac8d0994671" /><Relationship Type="http://schemas.openxmlformats.org/officeDocument/2006/relationships/worksheet" Target="/xl/worksheets/sheet4.xml" Id="Ree612c574dc34058" /><Relationship Type="http://schemas.openxmlformats.org/officeDocument/2006/relationships/worksheet" Target="/xl/worksheets/sheet5.xml" Id="Rb1ce98ec9a164adc" /><Relationship Type="http://schemas.openxmlformats.org/officeDocument/2006/relationships/worksheet" Target="/xl/worksheets/sheet6.xml" Id="R2e96b406c8874a8a" /><Relationship Type="http://schemas.openxmlformats.org/officeDocument/2006/relationships/worksheet" Target="/xl/worksheets/sheet7.xml" Id="R73a04f28796f4acc" /><Relationship Type="http://schemas.openxmlformats.org/officeDocument/2006/relationships/worksheet" Target="/xl/worksheets/sheet8.xml" Id="Re948563297b44dd0" /><Relationship Type="http://schemas.openxmlformats.org/officeDocument/2006/relationships/worksheet" Target="/xl/worksheets/sheet9.xml" Id="Rdd15d69f03c54762" /><Relationship Type="http://schemas.openxmlformats.org/officeDocument/2006/relationships/worksheet" Target="/xl/worksheets/sheet10.xml" Id="R9d44656b02f040f8" /><Relationship Type="http://schemas.openxmlformats.org/officeDocument/2006/relationships/worksheet" Target="/xl/worksheets/sheet11.xml" Id="R912ad3856e0c442d" /><Relationship Type="http://schemas.openxmlformats.org/officeDocument/2006/relationships/worksheet" Target="/xl/worksheets/sheet12.xml" Id="Re49b8f7644454d0d" /><Relationship Type="http://schemas.openxmlformats.org/officeDocument/2006/relationships/worksheet" Target="/xl/worksheets/sheet13.xml" Id="Rb1542eca6a2947d4" /><Relationship Type="http://schemas.openxmlformats.org/officeDocument/2006/relationships/worksheet" Target="/xl/worksheets/sheet14.xml" Id="Re9c3c3a47720439f" /><Relationship Type="http://schemas.openxmlformats.org/officeDocument/2006/relationships/worksheet" Target="/xl/worksheets/sheet15.xml" Id="Rc96d549b89d144d6" /><Relationship Type="http://schemas.openxmlformats.org/officeDocument/2006/relationships/worksheet" Target="/xl/worksheets/sheet16.xml" Id="Re55e256bf38b45d6" /><Relationship Type="http://schemas.openxmlformats.org/officeDocument/2006/relationships/worksheet" Target="/xl/worksheets/sheet17.xml" Id="Rad32be62e81249cc" /><Relationship Type="http://schemas.openxmlformats.org/officeDocument/2006/relationships/worksheet" Target="/xl/worksheets/sheet18.xml" Id="R3f0443d7337c4e55" /><Relationship Type="http://schemas.openxmlformats.org/officeDocument/2006/relationships/worksheet" Target="/xl/worksheets/sheet19.xml" Id="R06d715085aec4088" /><Relationship Type="http://schemas.openxmlformats.org/officeDocument/2006/relationships/worksheet" Target="/xl/worksheets/sheet20.xml" Id="R2e5797f43d73490a" /><Relationship Type="http://schemas.openxmlformats.org/officeDocument/2006/relationships/worksheet" Target="/xl/worksheets/sheet21.xml" Id="R02cc0b716e8e44bc" /><Relationship Type="http://schemas.openxmlformats.org/officeDocument/2006/relationships/worksheet" Target="/xl/worksheets/sheet22.xml" Id="R2243f5a201c747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7224686f084c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Module implementation scope by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Major Deliverables</c:v>
          </c:tx>
          <c:cat>
            <c:strRef>
              <c:f>'00_Dashboard'!$A$27:$A$30</c:f>
              <c:strCache>
                <c:ptCount val="0"/>
              </c:strCache>
            </c:strRef>
          </c:cat>
          <c:val>
            <c:numRef>
              <c:f>'00_Dashboard'!$B$27:$B$30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24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7224686f084c8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7e2df6ef8a5406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PLOT — Module System: Gameplay, Runtime &amp; Technical Specification v1.0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22"/>
      <x:c r="P1" s="22"/>
      <x:c r="Q1" s="22"/>
    </x:row>
    <x:row r="3">
      <x:c r="A3" s="14" t="str">
        <x:v>System Goal</x:v>
      </x:c>
      <x:c r="B3" s="14" t="str">
        <x:v>Building Cards</x:v>
      </x:c>
      <x:c r="C3" s="14" t="str">
        <x:v>Modules</x:v>
      </x:c>
      <x:c r="D3" s="14" t="str">
        <x:v>Inventory</x:v>
      </x:c>
      <x:c r="E3" s="14" t="str">
        <x:v>Equipment</x:v>
      </x:c>
      <x:c r="F3" s="14" t="str">
        <x:v>Mastery</x:v>
      </x:c>
      <x:c r="G3" s="14" t="str">
        <x:v>Crafting</x:v>
      </x:c>
      <x:c r="H3" s="14" t="str">
        <x:v>Reward Sources</x:v>
      </x:c>
      <x:c r="I3" s="14" t="str">
        <x:v>Runtime</x:v>
      </x:c>
      <x:c r="J3" s="14" t="str">
        <x:v>Performance Rule</x:v>
      </x:c>
      <x:c r="K3" s="14" t="str">
        <x:v>PLOT Rule</x:v>
      </x:c>
      <x:c r="L3" s="14" t="str">
        <x:v>Server Authority</x:v>
      </x:c>
      <x:c r="M3" s="14" t="str">
        <x:v>MVP First</x:v>
      </x:c>
      <x:c r="N3" s="14" t="str">
        <x:v>Status</x:v>
      </x:c>
    </x:row>
    <x:row r="4">
      <x:c r="A4" s="24" t="str">
        <x:v>Implement the collectible specialization layer without gating core building progression.</x:v>
      </x:c>
      <x:c r="B4" s="25" t="str">
        <x:v>Unlock by Empire Level; pay Cash to place</x:v>
      </x:c>
      <x:c r="C4" s="25" t="str">
        <x:v>Collectible modifiers equipped to placed Building Instances</x:v>
      </x:c>
      <x:c r="D4" s="25" t="str">
        <x:v>Player owns quantities of Module IDs; equipped copies tracked separately</x:v>
      </x:c>
      <x:c r="E4" s="25" t="str">
        <x:v>1–4 slots; compatibility + rarity + stacking validation</x:v>
      </x:c>
      <x:c r="F4" s="25" t="str">
        <x:v>Operate buildings to earn deterministic Module rewards</x:v>
      </x:c>
      <x:c r="G4" s="25" t="str">
        <x:v>Dismantle duplicates → same-tier Parts → craft exact eligible Module</x:v>
      </x:c>
      <x:c r="H4" s="25" t="str">
        <x:v>Mastery, Hunts, Events, milestones, earned/Cash packs</x:v>
      </x:c>
      <x:c r="I4" s="25" t="str">
        <x:v>Config-driven effect engine between placement/synergy and Events/Risk</x:v>
      </x:c>
      <x:c r="J4" s="25" t="str">
        <x:v>Module rarity/count/equip gives 0 direct Performance Score</x:v>
      </x:c>
      <x:c r="K4" s="25" t="str">
        <x:v>Modules give 0 direct $PLOT multiplier/payout share</x:v>
      </x:c>
      <x:c r="L4" s="25" t="str">
        <x:v>Client submits intent; server computes state/effects/rewards</x:v>
      </x:c>
      <x:c r="M4" s="25" t="str">
        <x:v>Inventory + equipment + effect runtime before crafting/liveops</x:v>
      </x:c>
      <x:c r="N4" s="26" t="str">
        <x:v>Implementation-ready canonical spec</x:v>
      </x:c>
    </x:row>
    <x:row r="6" ht="22" customHeight="1">
      <x:c r="A6" s="11" t="str">
        <x:v>Core Runtime Flow</x:v>
      </x:c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>
      <x:c r="A7" s="34" t="str">
        <x:v>PLAYER OWNS MODULE → EQUIP TO BUILDING SLOT → VALIDATE COMPATIBILITY → BUILD EFFECT CONTEXT → RESOLVE MODULE EFFECTS → APPLY STACKING/CAPS → CONTINUE CUSTOMER / ECONOMY / RISK / EVENT SIMULATION → LEDGER RESULTS</x:v>
      </x:c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34"/>
      <x:c r="L8" s="34"/>
      <x:c r="M8" s="34"/>
      <x:c r="N8" s="34"/>
    </x:row>
    <x:row r="10" ht="22" customHeight="1">
      <x:c r="A10" s="11" t="str">
        <x:v>Implementation Order</x:v>
      </x:c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</x:row>
    <x:row r="11">
      <x:c r="A11" s="14" t="str">
        <x:v>Phase</x:v>
      </x:c>
      <x:c r="B11" s="14" t="str">
        <x:v>Scope</x:v>
      </x:c>
      <x:c r="C11" s="14" t="str">
        <x:v>Exit Criterion</x:v>
      </x:c>
    </x:row>
    <x:row r="12">
      <x:c r="A12" s="40" t="str">
        <x:v>P0</x:v>
      </x:c>
      <x:c r="B12" s="41" t="str">
        <x:v>Module config, inventory, equipment, effect runtime, building-detail UI</x:v>
      </x:c>
      <x:c r="C12" s="42" t="str">
        <x:v>A Module can be granted, equipped, validated and measurably change a real business calculation.</x:v>
      </x:c>
    </x:row>
    <x:row r="13">
      <x:c r="A13" s="43" t="str">
        <x:v>P1</x:v>
      </x:c>
      <x:c r="B13" s="22" t="str">
        <x:v>Building Mastery, Module reward resolver, Hunt/Event reward integration</x:v>
      </x:c>
      <x:c r="C13" s="44" t="str">
        <x:v>Players can deterministically earn and discover Modules through gameplay.</x:v>
      </x:c>
    </x:row>
    <x:row r="14">
      <x:c r="A14" s="43" t="str">
        <x:v>P2</x:v>
      </x:c>
      <x:c r="B14" s="22" t="str">
        <x:v>Duplicates, dismantling, Module Parts, exact crafting</x:v>
      </x:c>
      <x:c r="C14" s="44" t="str">
        <x:v>Players can convert excess copies into targeted progression without RNG dependence.</x:v>
      </x:c>
    </x:row>
    <x:row r="15">
      <x:c r="A15" s="45" t="str">
        <x:v>P3</x:v>
      </x:c>
      <x:c r="B15" s="46" t="str">
        <x:v>Epic/Legendary content, seasonal variants, LiveOps controls, deeper telemetry</x:v>
      </x:c>
      <x:c r="C15" s="47" t="str">
        <x:v>High-tier Module meta is tunable without code deploys.</x:v>
      </x:c>
    </x:row>
    <x:row r="17" ht="22" customHeight="1">
      <x:c r="A17" s="11" t="str">
        <x:v>Implementation Gates</x:v>
      </x:c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</x:row>
    <x:row r="18">
      <x:c r="A18" s="14" t="str">
        <x:v>Gate</x:v>
      </x:c>
      <x:c r="B18" s="14" t="str">
        <x:v>Required Before Shipping</x:v>
      </x:c>
    </x:row>
    <x:row r="19">
      <x:c r="A19" s="40" t="str">
        <x:v>G1 — Persistence</x:v>
      </x:c>
      <x:c r="B19" s="42" t="str">
        <x:v>Inventory, equipped loadout, mastery and Parts are durable and idempotent.</x:v>
      </x:c>
    </x:row>
    <x:row r="20">
      <x:c r="A20" s="43" t="str">
        <x:v>G2 — Runtime</x:v>
      </x:c>
      <x:c r="B20" s="44" t="str">
        <x:v>Every supported Module effect resolves through config; no client-authored stat results.</x:v>
      </x:c>
    </x:row>
    <x:row r="21">
      <x:c r="A21" s="43" t="str">
        <x:v>G3 — Fairness</x:v>
      </x:c>
      <x:c r="B21" s="44" t="str">
        <x:v>No direct Performance Score / $PLOT effect; no real-money gameplay Module purchase.</x:v>
      </x:c>
    </x:row>
    <x:row r="22">
      <x:c r="A22" s="43" t="str">
        <x:v>G4 — Recovery</x:v>
      </x:c>
      <x:c r="B22" s="44" t="str">
        <x:v>Equip/craft/reward operations are atomic or recoverable; no dupes/loss on retries.</x:v>
      </x:c>
    </x:row>
    <x:row r="23">
      <x:c r="A23" s="45" t="str">
        <x:v>G5 — Observability</x:v>
      </x:c>
      <x:c r="B23" s="47" t="str">
        <x:v>Reward/equip/effect/craft events are traceable by player, building, Module and config version.</x:v>
      </x:c>
    </x:row>
    <x:row r="25" ht="22" customHeight="1">
      <x:c r="A25" s="11" t="str">
        <x:v>Implementation Surface by Phase</x:v>
      </x:c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</x:row>
    <x:row r="26">
      <x:c r="A26" s="14" t="str">
        <x:v>Phase</x:v>
      </x:c>
      <x:c r="B26" s="14" t="str">
        <x:v>Major Deliverables</x:v>
      </x:c>
    </x:row>
    <x:row r="27">
      <x:c r="A27" s="40" t="str">
        <x:v>P0</x:v>
      </x:c>
      <x:c r="B27" s="42" t="n">
        <x:v>5</x:v>
      </x:c>
    </x:row>
    <x:row r="28">
      <x:c r="A28" s="43" t="str">
        <x:v>P1</x:v>
      </x:c>
      <x:c r="B28" s="44" t="n">
        <x:v>4</x:v>
      </x:c>
    </x:row>
    <x:row r="29">
      <x:c r="A29" s="43" t="str">
        <x:v>P2</x:v>
      </x:c>
      <x:c r="B29" s="44" t="n">
        <x:v>4</x:v>
      </x:c>
    </x:row>
    <x:row r="30">
      <x:c r="A30" s="45" t="str">
        <x:v>P3</x:v>
      </x:c>
      <x:c r="B30" s="47" t="n">
        <x:v>3</x:v>
      </x:c>
    </x:row>
  </x:sheetData>
  <x:mergeCells>
    <x:mergeCell ref="A1:N1"/>
    <x:mergeCell ref="A6:N6"/>
    <x:mergeCell ref="A7:N8"/>
    <x:mergeCell ref="A10:N10"/>
    <x:mergeCell ref="A17:N17"/>
    <x:mergeCell ref="A25:N25"/>
  </x:mergeCells>
  <x:pageMargins left="0.7" right="0.7" top="0.75" bottom="0.75" header="0.3" footer="0.3"/>
  <x:drawing xmlns:r="http://schemas.openxmlformats.org/officeDocument/2006/relationships" r:id="Rc7e2df6ef8a54065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Canonical Module Rules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22"/>
      <x:c r="P1" s="22"/>
      <x:c r="Q1" s="22"/>
    </x:row>
    <x:row r="3">
      <x:c r="A3" s="14" t="str">
        <x:v>ID</x:v>
      </x:c>
      <x:c r="B3" s="14" t="str">
        <x:v>Decision</x:v>
      </x:c>
      <x:c r="C3" s="14" t="str">
        <x:v>Canonical Rule</x:v>
      </x:c>
      <x:c r="D3" s="14" t="str">
        <x:v>Why</x:v>
      </x:c>
      <x:c r="E3" s="14" t="str">
        <x:v>Applies To</x:v>
      </x:c>
      <x:c r="F3" s="14" t="str">
        <x:v>Client May Request</x:v>
      </x:c>
      <x:c r="G3" s="14" t="str">
        <x:v>Server Must Validate</x:v>
      </x:c>
      <x:c r="H3" s="14" t="str">
        <x:v>Direct Performance?</x:v>
      </x:c>
      <x:c r="I3" s="14" t="str">
        <x:v>Direct PLOT?</x:v>
      </x:c>
      <x:c r="J3" s="14" t="str">
        <x:v>Monetization</x:v>
      </x:c>
      <x:c r="K3" s="14" t="str">
        <x:v>Failure State</x:v>
      </x:c>
      <x:c r="L3" s="14" t="str">
        <x:v>Priority</x:v>
      </x:c>
      <x:c r="M3" s="14" t="str">
        <x:v>Status</x:v>
      </x:c>
      <x:c r="N3" s="14" t="str">
        <x:v>Notes</x:v>
      </x:c>
    </x:row>
    <x:row r="4">
      <x:c r="A4" s="40" t="str">
        <x:v>M01</x:v>
      </x:c>
      <x:c r="B4" s="41" t="str">
        <x:v>Building access</x:v>
      </x:c>
      <x:c r="C4" s="41" t="str">
        <x:v>Empire Level permanently unlocks the Building Card. Modules never unlock buildings.</x:v>
      </x:c>
      <x:c r="D4" s="41" t="str">
        <x:v>Avoid double gating</x:v>
      </x:c>
      <x:c r="E4" s="41" t="str">
        <x:v>All Building Cards</x:v>
      </x:c>
      <x:c r="F4" s="41" t="str">
        <x:v>Place building</x:v>
      </x:c>
      <x:c r="G4" s="41" t="str">
        <x:v>Level, Cash, ownership, geometry</x:v>
      </x:c>
      <x:c r="H4" s="41" t="str">
        <x:v>No</x:v>
      </x:c>
      <x:c r="I4" s="41" t="str">
        <x:v>No</x:v>
      </x:c>
      <x:c r="J4" s="41" t="str">
        <x:v>N/A</x:v>
      </x:c>
      <x:c r="K4" s="41" t="str">
        <x:v>Reject invalid build</x:v>
      </x:c>
      <x:c r="L4" s="41" t="str">
        <x:v>P0</x:v>
      </x:c>
      <x:c r="M4" s="41" t="str">
        <x:v>FINAL</x:v>
      </x:c>
      <x:c r="N4" s="42" t="str"/>
    </x:row>
    <x:row r="5">
      <x:c r="A5" s="43" t="str">
        <x:v>M02</x:v>
      </x:c>
      <x:c r="B5" s="22" t="str">
        <x:v>Module purpose</x:v>
      </x:c>
      <x:c r="C5" s="22" t="str">
        <x:v>Modules specialize an already-placed Building Instance.</x:v>
      </x:c>
      <x:c r="D5" s="22" t="str">
        <x:v>Collection adds strategy rather than permission</x:v>
      </x:c>
      <x:c r="E5" s="22" t="str">
        <x:v>All Modules</x:v>
      </x:c>
      <x:c r="F5" s="22" t="str">
        <x:v>Equip</x:v>
      </x:c>
      <x:c r="G5" s="22" t="str">
        <x:v>Ownership, slot, compatibility, locks</x:v>
      </x:c>
      <x:c r="H5" s="22" t="str">
        <x:v>No</x:v>
      </x:c>
      <x:c r="I5" s="22" t="str">
        <x:v>No</x:v>
      </x:c>
      <x:c r="J5" s="22" t="str">
        <x:v>No gameplay real-money sale</x:v>
      </x:c>
      <x:c r="K5" s="22" t="str">
        <x:v>Reject equip</x:v>
      </x:c>
      <x:c r="L5" s="22" t="str">
        <x:v>P0</x:v>
      </x:c>
      <x:c r="M5" s="22" t="str">
        <x:v>FINAL</x:v>
      </x:c>
      <x:c r="N5" s="44" t="str"/>
    </x:row>
    <x:row r="6">
      <x:c r="A6" s="43" t="str">
        <x:v>M03</x:v>
      </x:c>
      <x:c r="B6" s="22" t="str">
        <x:v>Base viability</x:v>
      </x:c>
      <x:c r="C6" s="22" t="str">
        <x:v>Every building functions normally with zero Modules equipped.</x:v>
      </x:c>
      <x:c r="D6" s="22" t="str">
        <x:v>Collection cannot block core economy</x:v>
      </x:c>
      <x:c r="E6" s="22" t="str">
        <x:v>All buildings</x:v>
      </x:c>
      <x:c r="F6" s="22" t="str">
        <x:v>Leave slot empty</x:v>
      </x:c>
      <x:c r="G6" s="22" t="str">
        <x:v>N/A</x:v>
      </x:c>
      <x:c r="H6" s="22" t="str">
        <x:v>No</x:v>
      </x:c>
      <x:c r="I6" s="22" t="str">
        <x:v>No</x:v>
      </x:c>
      <x:c r="J6" s="22" t="str">
        <x:v>N/A</x:v>
      </x:c>
      <x:c r="K6" s="22" t="str">
        <x:v>Valid empty loadout</x:v>
      </x:c>
      <x:c r="L6" s="22" t="str">
        <x:v>P0</x:v>
      </x:c>
      <x:c r="M6" s="22" t="str">
        <x:v>FINAL</x:v>
      </x:c>
      <x:c r="N6" s="44" t="str"/>
    </x:row>
    <x:row r="7">
      <x:c r="A7" s="43" t="str">
        <x:v>M04</x:v>
      </x:c>
      <x:c r="B7" s="22" t="str">
        <x:v>Inventory model</x:v>
      </x:c>
      <x:c r="C7" s="22" t="str">
        <x:v>A Module ID can have quantity &gt;1 because different buildings may use separate copies.</x:v>
      </x:c>
      <x:c r="D7" s="22" t="str">
        <x:v>Copies remain useful</x:v>
      </x:c>
      <x:c r="E7" s="22" t="str">
        <x:v>Inventory</x:v>
      </x:c>
      <x:c r="F7" s="22" t="str">
        <x:v>Equip/dismantle</x:v>
      </x:c>
      <x:c r="G7" s="22" t="str">
        <x:v>Owned minus equipped quantity</x:v>
      </x:c>
      <x:c r="H7" s="22" t="str">
        <x:v>No</x:v>
      </x:c>
      <x:c r="I7" s="22" t="str">
        <x:v>No</x:v>
      </x:c>
      <x:c r="J7" s="22" t="str">
        <x:v>N/A</x:v>
      </x:c>
      <x:c r="K7" s="22" t="str">
        <x:v>Reject underflow</x:v>
      </x:c>
      <x:c r="L7" s="22" t="str">
        <x:v>P0</x:v>
      </x:c>
      <x:c r="M7" s="22" t="str">
        <x:v>FINAL</x:v>
      </x:c>
      <x:c r="N7" s="44" t="str"/>
    </x:row>
    <x:row r="8">
      <x:c r="A8" s="43" t="str">
        <x:v>M05</x:v>
      </x:c>
      <x:c r="B8" s="22" t="str">
        <x:v>Same building duplicate</x:v>
      </x:c>
      <x:c r="C8" s="22" t="str">
        <x:v>The exact same Module ID cannot occupy multiple slots on one Building Instance.</x:v>
      </x:c>
      <x:c r="D8" s="22" t="str">
        <x:v>Avoid simple stacking</x:v>
      </x:c>
      <x:c r="E8" s="22" t="str">
        <x:v>Equipment</x:v>
      </x:c>
      <x:c r="F8" s="22" t="str">
        <x:v>Equip</x:v>
      </x:c>
      <x:c r="G8" s="22" t="str">
        <x:v>No duplicate Module ID on building</x:v>
      </x:c>
      <x:c r="H8" s="22" t="str">
        <x:v>No</x:v>
      </x:c>
      <x:c r="I8" s="22" t="str">
        <x:v>No</x:v>
      </x:c>
      <x:c r="J8" s="22" t="str">
        <x:v>N/A</x:v>
      </x:c>
      <x:c r="K8" s="22" t="str">
        <x:v>Reject duplicate</x:v>
      </x:c>
      <x:c r="L8" s="22" t="str">
        <x:v>P0</x:v>
      </x:c>
      <x:c r="M8" s="22" t="str">
        <x:v>FINAL</x:v>
      </x:c>
      <x:c r="N8" s="44" t="str"/>
    </x:row>
    <x:row r="9">
      <x:c r="A9" s="43" t="str">
        <x:v>M06</x:v>
      </x:c>
      <x:c r="B9" s="22" t="str">
        <x:v>Legendary limit</x:v>
      </x:c>
      <x:c r="C9" s="22" t="str">
        <x:v>Maximum 1 Legendary Module per Building Instance.</x:v>
      </x:c>
      <x:c r="D9" s="22" t="str">
        <x:v>Avoid rule-change pileups</x:v>
      </x:c>
      <x:c r="E9" s="22" t="str">
        <x:v>Equipment</x:v>
      </x:c>
      <x:c r="F9" s="22" t="str">
        <x:v>Equip</x:v>
      </x:c>
      <x:c r="G9" s="22" t="str">
        <x:v>Existing Legendary count</x:v>
      </x:c>
      <x:c r="H9" s="22" t="str">
        <x:v>No</x:v>
      </x:c>
      <x:c r="I9" s="22" t="str">
        <x:v>No</x:v>
      </x:c>
      <x:c r="J9" s="22" t="str">
        <x:v>N/A</x:v>
      </x:c>
      <x:c r="K9" s="22" t="str">
        <x:v>Reject second Legendary</x:v>
      </x:c>
      <x:c r="L9" s="22" t="str">
        <x:v>P2</x:v>
      </x:c>
      <x:c r="M9" s="22" t="str">
        <x:v>FINAL</x:v>
      </x:c>
      <x:c r="N9" s="44" t="str"/>
    </x:row>
    <x:row r="10">
      <x:c r="A10" s="43" t="str">
        <x:v>M07</x:v>
      </x:c>
      <x:c r="B10" s="22" t="str">
        <x:v>Mastery</x:v>
      </x:c>
      <x:c r="C10" s="22" t="str">
        <x:v>Building Mastery is the primary deterministic acquisition path.</x:v>
      </x:c>
      <x:c r="D10" s="22" t="str">
        <x:v>Reward operating skill</x:v>
      </x:c>
      <x:c r="E10" s="22" t="str">
        <x:v>Mastery</x:v>
      </x:c>
      <x:c r="F10" s="22" t="str">
        <x:v>Claim choice</x:v>
      </x:c>
      <x:c r="G10" s="22" t="str">
        <x:v>Objective evidence</x:v>
      </x:c>
      <x:c r="H10" s="22" t="str">
        <x:v>No</x:v>
      </x:c>
      <x:c r="I10" s="22" t="str">
        <x:v>No</x:v>
      </x:c>
      <x:c r="J10" s="22" t="str">
        <x:v>N/A</x:v>
      </x:c>
      <x:c r="K10" s="22" t="str">
        <x:v>Cannot claim early</x:v>
      </x:c>
      <x:c r="L10" s="22" t="str">
        <x:v>P1</x:v>
      </x:c>
      <x:c r="M10" s="22" t="str">
        <x:v>FINAL</x:v>
      </x:c>
      <x:c r="N10" s="44" t="str"/>
    </x:row>
    <x:row r="11">
      <x:c r="A11" s="43" t="str">
        <x:v>M08</x:v>
      </x:c>
      <x:c r="B11" s="22" t="str">
        <x:v>Random rewards</x:v>
      </x:c>
      <x:c r="C11" s="22" t="str">
        <x:v>Hunts/Events/Packs are discovery accelerators, never the only path to a useful Module.</x:v>
      </x:c>
      <x:c r="D11" s="22" t="str">
        <x:v>Avoid RNG frustration</x:v>
      </x:c>
      <x:c r="E11" s="22" t="str">
        <x:v>Rewards</x:v>
      </x:c>
      <x:c r="F11" s="22" t="str">
        <x:v>Complete source activity</x:v>
      </x:c>
      <x:c r="G11" s="22" t="str">
        <x:v>Eligibility, roll, config</x:v>
      </x:c>
      <x:c r="H11" s="22" t="str">
        <x:v>No</x:v>
      </x:c>
      <x:c r="I11" s="22" t="str">
        <x:v>No</x:v>
      </x:c>
      <x:c r="J11" s="22" t="str">
        <x:v>Cash packs capped at Rare</x:v>
      </x:c>
      <x:c r="K11" s="22" t="str">
        <x:v>Server resolves</x:v>
      </x:c>
      <x:c r="L11" s="22" t="str">
        <x:v>P1</x:v>
      </x:c>
      <x:c r="M11" s="22" t="str">
        <x:v>FINAL</x:v>
      </x:c>
      <x:c r="N11" s="44" t="str"/>
    </x:row>
    <x:row r="12">
      <x:c r="A12" s="43" t="str">
        <x:v>M09</x:v>
      </x:c>
      <x:c r="B12" s="22" t="str">
        <x:v>Duplicates</x:v>
      </x:c>
      <x:c r="C12" s="22" t="str">
        <x:v>Players may dismantle unequipped copies into same-tier Module Parts.</x:v>
      </x:c>
      <x:c r="D12" s="22" t="str">
        <x:v>Give duplicates value</x:v>
      </x:c>
      <x:c r="E12" s="22" t="str">
        <x:v>Crafting</x:v>
      </x:c>
      <x:c r="F12" s="22" t="str">
        <x:v>Dismantle</x:v>
      </x:c>
      <x:c r="G12" s="22" t="str">
        <x:v>Available quantity</x:v>
      </x:c>
      <x:c r="H12" s="22" t="str">
        <x:v>No</x:v>
      </x:c>
      <x:c r="I12" s="22" t="str">
        <x:v>No</x:v>
      </x:c>
      <x:c r="J12" s="22" t="str">
        <x:v>N/A</x:v>
      </x:c>
      <x:c r="K12" s="22" t="str">
        <x:v>Atomic reject</x:v>
      </x:c>
      <x:c r="L12" s="22" t="str">
        <x:v>P2</x:v>
      </x:c>
      <x:c r="M12" s="22" t="str">
        <x:v>FINAL</x:v>
      </x:c>
      <x:c r="N12" s="44" t="str"/>
    </x:row>
    <x:row r="13">
      <x:c r="A13" s="43" t="str">
        <x:v>M10</x:v>
      </x:c>
      <x:c r="B13" s="22" t="str">
        <x:v>Crafting</x:v>
      </x:c>
      <x:c r="C13" s="22" t="str">
        <x:v>Eligible players can craft a specific Module using same-tier Parts.</x:v>
      </x:c>
      <x:c r="D13" s="22" t="str">
        <x:v>Guarantee agency</x:v>
      </x:c>
      <x:c r="E13" s="22" t="str">
        <x:v>Crafting</x:v>
      </x:c>
      <x:c r="F13" s="22" t="str">
        <x:v>Craft</x:v>
      </x:c>
      <x:c r="G13" s="22" t="str">
        <x:v>Stage/mastery/Parts</x:v>
      </x:c>
      <x:c r="H13" s="22" t="str">
        <x:v>No</x:v>
      </x:c>
      <x:c r="I13" s="22" t="str">
        <x:v>No</x:v>
      </x:c>
      <x:c r="J13" s="22" t="str">
        <x:v>No real-money Parts</x:v>
      </x:c>
      <x:c r="K13" s="22" t="str">
        <x:v>Atomic reject</x:v>
      </x:c>
      <x:c r="L13" s="22" t="str">
        <x:v>P2</x:v>
      </x:c>
      <x:c r="M13" s="22" t="str">
        <x:v>FINAL</x:v>
      </x:c>
      <x:c r="N13" s="44" t="str"/>
    </x:row>
    <x:row r="14">
      <x:c r="A14" s="43" t="str">
        <x:v>M11</x:v>
      </x:c>
      <x:c r="B14" s="22" t="str">
        <x:v>Runtime</x:v>
      </x:c>
      <x:c r="C14" s="22" t="str">
        <x:v>Module effects are config-driven and server-calculated.</x:v>
      </x:c>
      <x:c r="D14" s="22" t="str">
        <x:v>Scale content safely</x:v>
      </x:c>
      <x:c r="E14" s="22" t="str">
        <x:v>Effect engine</x:v>
      </x:c>
      <x:c r="F14" s="22" t="str">
        <x:v>Equip only</x:v>
      </x:c>
      <x:c r="G14" s="22" t="str">
        <x:v>Effect schema, conditions, caps</x:v>
      </x:c>
      <x:c r="H14" s="22" t="str">
        <x:v>Indirect only</x:v>
      </x:c>
      <x:c r="I14" s="22" t="str">
        <x:v>Indirect only</x:v>
      </x:c>
      <x:c r="J14" s="22" t="str">
        <x:v>N/A</x:v>
      </x:c>
      <x:c r="K14" s="22" t="str">
        <x:v>Unsupported effect invalid</x:v>
      </x:c>
      <x:c r="L14" s="22" t="str">
        <x:v>P0</x:v>
      </x:c>
      <x:c r="M14" s="22" t="str">
        <x:v>FINAL</x:v>
      </x:c>
      <x:c r="N14" s="44" t="str"/>
    </x:row>
    <x:row r="15">
      <x:c r="A15" s="43" t="str">
        <x:v>M12</x:v>
      </x:c>
      <x:c r="B15" s="22" t="str">
        <x:v>Score fairness</x:v>
      </x:c>
      <x:c r="C15" s="22" t="str">
        <x:v>Rarity, Module count, inventory value and equip action never directly add Performance Score.</x:v>
      </x:c>
      <x:c r="D15" s="22" t="str">
        <x:v>Competition rewards operation</x:v>
      </x:c>
      <x:c r="E15" s="22" t="str">
        <x:v>Performance</x:v>
      </x:c>
      <x:c r="F15" s="22" t="str">
        <x:v>N/A</x:v>
      </x:c>
      <x:c r="G15" s="22" t="str">
        <x:v>Score input allowlist</x:v>
      </x:c>
      <x:c r="H15" s="22" t="str">
        <x:v>No</x:v>
      </x:c>
      <x:c r="I15" s="22" t="str">
        <x:v>No</x:v>
      </x:c>
      <x:c r="J15" s="22" t="str">
        <x:v>N/A</x:v>
      </x:c>
      <x:c r="K15" s="22" t="str">
        <x:v>Ignore prohibited field</x:v>
      </x:c>
      <x:c r="L15" s="22" t="str">
        <x:v>P0</x:v>
      </x:c>
      <x:c r="M15" s="22" t="str">
        <x:v>FINAL</x:v>
      </x:c>
      <x:c r="N15" s="44" t="str"/>
    </x:row>
    <x:row r="16">
      <x:c r="A16" s="43" t="str">
        <x:v>M13</x:v>
      </x:c>
      <x:c r="B16" s="22" t="str">
        <x:v>PLOT fairness</x:v>
      </x:c>
      <x:c r="C16" s="22" t="str">
        <x:v>No Module can directly multiply $PLOT payout or league pool share.</x:v>
      </x:c>
      <x:c r="D16" s="22" t="str">
        <x:v>No pay-to-win</x:v>
      </x:c>
      <x:c r="E16" s="22" t="str">
        <x:v>Settlement</x:v>
      </x:c>
      <x:c r="F16" s="22" t="str">
        <x:v>N/A</x:v>
      </x:c>
      <x:c r="G16" s="22" t="str">
        <x:v>Settlement input allowlist</x:v>
      </x:c>
      <x:c r="H16" s="22" t="str">
        <x:v>No</x:v>
      </x:c>
      <x:c r="I16" s="22" t="str">
        <x:v>No</x:v>
      </x:c>
      <x:c r="J16" s="22" t="str">
        <x:v>N/A</x:v>
      </x:c>
      <x:c r="K16" s="22" t="str">
        <x:v>Ignore prohibited field</x:v>
      </x:c>
      <x:c r="L16" s="22" t="str">
        <x:v>P0</x:v>
      </x:c>
      <x:c r="M16" s="22" t="str">
        <x:v>FINAL</x:v>
      </x:c>
      <x:c r="N16" s="44" t="str"/>
    </x:row>
    <x:row r="17">
      <x:c r="A17" s="43" t="str">
        <x:v>M14</x:v>
      </x:c>
      <x:c r="B17" s="22" t="str">
        <x:v>Config versioning</x:v>
      </x:c>
      <x:c r="C17" s="22" t="str">
        <x:v>Every reward/effect/loadout outcome records the Module config version used.</x:v>
      </x:c>
      <x:c r="D17" s="22" t="str">
        <x:v>Replayability</x:v>
      </x:c>
      <x:c r="E17" s="22" t="str">
        <x:v>All runtime</x:v>
      </x:c>
      <x:c r="F17" s="22" t="str">
        <x:v>N/A</x:v>
      </x:c>
      <x:c r="G17" s="22" t="str">
        <x:v>Version exists/approved</x:v>
      </x:c>
      <x:c r="H17" s="22" t="str">
        <x:v>No</x:v>
      </x:c>
      <x:c r="I17" s="22" t="str">
        <x:v>No</x:v>
      </x:c>
      <x:c r="J17" s="22" t="str">
        <x:v>N/A</x:v>
      </x:c>
      <x:c r="K17" s="22" t="str">
        <x:v>Fail closed on unknown version</x:v>
      </x:c>
      <x:c r="L17" s="22" t="str">
        <x:v>P0</x:v>
      </x:c>
      <x:c r="M17" s="22" t="str">
        <x:v>FINAL</x:v>
      </x:c>
      <x:c r="N17" s="44" t="str"/>
    </x:row>
    <x:row r="18">
      <x:c r="A18" s="45" t="str">
        <x:v>M15</x:v>
      </x:c>
      <x:c r="B18" s="46" t="str">
        <x:v>Effect timing</x:v>
      </x:c>
      <x:c r="C18" s="46" t="str">
        <x:v>Equip/unequip becomes effective at the next relevant simulation boundary; never retroactive.</x:v>
      </x:c>
      <x:c r="D18" s="46" t="str">
        <x:v>Stop cutoff gaming</x:v>
      </x:c>
      <x:c r="E18" s="46" t="str">
        <x:v>Runtime</x:v>
      </x:c>
      <x:c r="F18" s="46" t="str">
        <x:v>Equip/unequip</x:v>
      </x:c>
      <x:c r="G18" s="46" t="str">
        <x:v>effective_at</x:v>
      </x:c>
      <x:c r="H18" s="46" t="str">
        <x:v>No</x:v>
      </x:c>
      <x:c r="I18" s="46" t="str">
        <x:v>No</x:v>
      </x:c>
      <x:c r="J18" s="46" t="str">
        <x:v>N/A</x:v>
      </x:c>
      <x:c r="K18" s="46" t="str">
        <x:v>Pending loadout state</x:v>
      </x:c>
      <x:c r="L18" s="46" t="str">
        <x:v>P0</x:v>
      </x:c>
      <x:c r="M18" s="46" t="str">
        <x:v>FINAL</x:v>
      </x:c>
      <x:c r="N18" s="47" t="str"/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Module Definition / Object Model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22"/>
    </x:row>
    <x:row r="3">
      <x:c r="A3" s="14" t="str">
        <x:v>Field</x:v>
      </x:c>
      <x:c r="B3" s="14" t="str">
        <x:v>Type</x:v>
      </x:c>
      <x:c r="C3" s="14" t="str">
        <x:v>Required?</x:v>
      </x:c>
      <x:c r="D3" s="14" t="str">
        <x:v>Example</x:v>
      </x:c>
      <x:c r="E3" s="14" t="str">
        <x:v>Validation</x:v>
      </x:c>
      <x:c r="F3" s="14" t="str">
        <x:v>Immutable?</x:v>
      </x:c>
      <x:c r="G3" s="14" t="str">
        <x:v>Config-Owned?</x:v>
      </x:c>
      <x:c r="H3" s="14" t="str">
        <x:v>Player-Owned?</x:v>
      </x:c>
      <x:c r="I3" s="14" t="str">
        <x:v>Used By Runtime?</x:v>
      </x:c>
      <x:c r="J3" s="14" t="str">
        <x:v>Used By UI?</x:v>
      </x:c>
      <x:c r="K3" s="14" t="str">
        <x:v>Indexed?</x:v>
      </x:c>
      <x:c r="L3" s="14" t="str">
        <x:v>Versioned?</x:v>
      </x:c>
      <x:c r="M3" s="14" t="str">
        <x:v>Default</x:v>
      </x:c>
      <x:c r="N3" s="14" t="str">
        <x:v>Error Handling</x:v>
      </x:c>
      <x:c r="O3" s="14" t="str">
        <x:v>Priority</x:v>
      </x:c>
      <x:c r="P3" s="14" t="str">
        <x:v>Notes</x:v>
      </x:c>
    </x:row>
    <x:row r="4">
      <x:c r="A4" s="40" t="str">
        <x:v>module_id</x:v>
      </x:c>
      <x:c r="B4" s="41" t="str">
        <x:v>string</x:v>
      </x:c>
      <x:c r="C4" s="41" t="str">
        <x:v>Yes</x:v>
      </x:c>
      <x:c r="D4" s="41" t="str">
        <x:v>mod_banking_sme_growth_r1</x:v>
      </x:c>
      <x:c r="E4" s="41" t="str">
        <x:v>Unique stable slug; lowercase/underscore</x:v>
      </x:c>
      <x:c r="F4" s="41" t="str">
        <x:v>Yes</x:v>
      </x:c>
      <x:c r="G4" s="41" t="str">
        <x:v>Yes</x:v>
      </x:c>
      <x:c r="H4" s="41" t="str">
        <x:v>Referenced only</x:v>
      </x:c>
      <x:c r="I4" s="41" t="str">
        <x:v>Yes</x:v>
      </x:c>
      <x:c r="J4" s="41" t="str">
        <x:v>Yes</x:v>
      </x:c>
      <x:c r="K4" s="41" t="str">
        <x:v>Yes</x:v>
      </x:c>
      <x:c r="L4" s="41" t="str">
        <x:v>Yes</x:v>
      </x:c>
      <x:c r="M4" s="41" t="str">
        <x:v>None</x:v>
      </x:c>
      <x:c r="N4" s="41" t="str">
        <x:v>Reject duplicate</x:v>
      </x:c>
      <x:c r="O4" s="41" t="str">
        <x:v>P0</x:v>
      </x:c>
      <x:c r="P4" s="42" t="str">
        <x:v>Never reuse ID for materially different effect</x:v>
      </x:c>
    </x:row>
    <x:row r="5">
      <x:c r="A5" s="43" t="str">
        <x:v>display_name</x:v>
      </x:c>
      <x:c r="B5" s="22" t="str">
        <x:v>string</x:v>
      </x:c>
      <x:c r="C5" s="22" t="str">
        <x:v>Yes</x:v>
      </x:c>
      <x:c r="D5" s="22" t="str">
        <x:v>SME Relationship Desk</x:v>
      </x:c>
      <x:c r="E5" s="22" t="str">
        <x:v>1–48 chars</x:v>
      </x:c>
      <x:c r="F5" s="22" t="str">
        <x:v>No within config version</x:v>
      </x:c>
      <x:c r="G5" s="22" t="str">
        <x:v>Yes</x:v>
      </x:c>
      <x:c r="H5" s="22" t="str">
        <x:v>No</x:v>
      </x:c>
      <x:c r="I5" s="22" t="str">
        <x:v>No</x:v>
      </x:c>
      <x:c r="J5" s="22" t="str">
        <x:v>Yes</x:v>
      </x:c>
      <x:c r="K5" s="22" t="str">
        <x:v>Search</x:v>
      </x:c>
      <x:c r="L5" s="22" t="str">
        <x:v>Yes</x:v>
      </x:c>
      <x:c r="M5" s="22" t="str">
        <x:v>None</x:v>
      </x:c>
      <x:c r="N5" s="22" t="str">
        <x:v>Fallback to ID</x:v>
      </x:c>
      <x:c r="O5" s="22" t="str">
        <x:v>P0</x:v>
      </x:c>
      <x:c r="P5" s="44" t="str"/>
    </x:row>
    <x:row r="6">
      <x:c r="A6" s="43" t="str">
        <x:v>rarity</x:v>
      </x:c>
      <x:c r="B6" s="22" t="str">
        <x:v>enum</x:v>
      </x:c>
      <x:c r="C6" s="22" t="str">
        <x:v>Yes</x:v>
      </x:c>
      <x:c r="D6" s="22" t="str">
        <x:v>Rare</x:v>
      </x:c>
      <x:c r="E6" s="22" t="str">
        <x:v>Common|Uncommon|Rare|Epic|Legendary</x:v>
      </x:c>
      <x:c r="F6" s="22" t="str">
        <x:v>Yes per version</x:v>
      </x:c>
      <x:c r="G6" s="22" t="str">
        <x:v>Yes</x:v>
      </x:c>
      <x:c r="H6" s="22" t="str">
        <x:v>No</x:v>
      </x:c>
      <x:c r="I6" s="22" t="str">
        <x:v>Yes</x:v>
      </x:c>
      <x:c r="J6" s="22" t="str">
        <x:v>Yes</x:v>
      </x:c>
      <x:c r="K6" s="22" t="str">
        <x:v>Yes</x:v>
      </x:c>
      <x:c r="L6" s="22" t="str">
        <x:v>Yes</x:v>
      </x:c>
      <x:c r="M6" s="22" t="str">
        <x:v>None</x:v>
      </x:c>
      <x:c r="N6" s="22" t="str">
        <x:v>Reject unknown</x:v>
      </x:c>
      <x:c r="O6" s="22" t="str">
        <x:v>P0</x:v>
      </x:c>
      <x:c r="P6" s="44" t="str"/>
    </x:row>
    <x:row r="7">
      <x:c r="A7" s="43" t="str">
        <x:v>category</x:v>
      </x:c>
      <x:c r="B7" s="22" t="str">
        <x:v>enum</x:v>
      </x:c>
      <x:c r="C7" s="22" t="str">
        <x:v>Yes</x:v>
      </x:c>
      <x:c r="D7" s="22" t="str">
        <x:v>Customer</x:v>
      </x:c>
      <x:c r="E7" s="22" t="str">
        <x:v>Supported category enum</x:v>
      </x:c>
      <x:c r="F7" s="22" t="str">
        <x:v>Yes per version</x:v>
      </x:c>
      <x:c r="G7" s="22" t="str">
        <x:v>Yes</x:v>
      </x:c>
      <x:c r="H7" s="22" t="str">
        <x:v>No</x:v>
      </x:c>
      <x:c r="I7" s="22" t="str">
        <x:v>Yes</x:v>
      </x:c>
      <x:c r="J7" s="22" t="str">
        <x:v>Yes</x:v>
      </x:c>
      <x:c r="K7" s="22" t="str">
        <x:v>Yes</x:v>
      </x:c>
      <x:c r="L7" s="22" t="str">
        <x:v>Yes</x:v>
      </x:c>
      <x:c r="M7" s="22" t="str">
        <x:v>None</x:v>
      </x:c>
      <x:c r="N7" s="22" t="str">
        <x:v>Reject unknown</x:v>
      </x:c>
      <x:c r="O7" s="22" t="str">
        <x:v>P0</x:v>
      </x:c>
      <x:c r="P7" s="44" t="str"/>
    </x:row>
    <x:row r="8">
      <x:c r="A8" s="43" t="str">
        <x:v>compatible_families</x:v>
      </x:c>
      <x:c r="B8" s="22" t="str">
        <x:v>string[]</x:v>
      </x:c>
      <x:c r="C8" s="22" t="str">
        <x:v>Yes</x:v>
      </x:c>
      <x:c r="D8" s="22" t="str">
        <x:v>Banking,Lending,Advisory</x:v>
      </x:c>
      <x:c r="E8" s="22" t="str">
        <x:v>Canonical building family IDs</x:v>
      </x:c>
      <x:c r="F8" s="22" t="str">
        <x:v>No</x:v>
      </x:c>
      <x:c r="G8" s="22" t="str">
        <x:v>Yes</x:v>
      </x:c>
      <x:c r="H8" s="22" t="str">
        <x:v>No</x:v>
      </x:c>
      <x:c r="I8" s="22" t="str">
        <x:v>Yes</x:v>
      </x:c>
      <x:c r="J8" s="22" t="str">
        <x:v>Yes</x:v>
      </x:c>
      <x:c r="K8" s="22" t="str">
        <x:v>Yes</x:v>
      </x:c>
      <x:c r="L8" s="22" t="str">
        <x:v>Yes</x:v>
      </x:c>
      <x:c r="M8" s="22" t="str">
        <x:v>[]</x:v>
      </x:c>
      <x:c r="N8" s="22" t="str">
        <x:v>Reject invalid family</x:v>
      </x:c>
      <x:c r="O8" s="22" t="str">
        <x:v>P0</x:v>
      </x:c>
      <x:c r="P8" s="44" t="str"/>
    </x:row>
    <x:row r="9">
      <x:c r="A9" s="43" t="str">
        <x:v>effect_list</x:v>
      </x:c>
      <x:c r="B9" s="22" t="str">
        <x:v>effect[]</x:v>
      </x:c>
      <x:c r="C9" s="22" t="str">
        <x:v>Yes</x:v>
      </x:c>
      <x:c r="D9" s="22" t="str">
        <x:v>acquisition ×1.08</x:v>
      </x:c>
      <x:c r="E9" s="22" t="str">
        <x:v>Conforms to effect schema</x:v>
      </x:c>
      <x:c r="F9" s="22" t="str">
        <x:v>No</x:v>
      </x:c>
      <x:c r="G9" s="22" t="str">
        <x:v>Yes</x:v>
      </x:c>
      <x:c r="H9" s="22" t="str">
        <x:v>No</x:v>
      </x:c>
      <x:c r="I9" s="22" t="str">
        <x:v>Yes</x:v>
      </x:c>
      <x:c r="J9" s="22" t="str">
        <x:v>Yes</x:v>
      </x:c>
      <x:c r="K9" s="22" t="str">
        <x:v>No</x:v>
      </x:c>
      <x:c r="L9" s="22" t="str">
        <x:v>Yes</x:v>
      </x:c>
      <x:c r="M9" s="22" t="str">
        <x:v>[]</x:v>
      </x:c>
      <x:c r="N9" s="22" t="str">
        <x:v>Reject unsupported effect</x:v>
      </x:c>
      <x:c r="O9" s="22" t="str">
        <x:v>P0</x:v>
      </x:c>
      <x:c r="P9" s="44" t="str"/>
    </x:row>
    <x:row r="10">
      <x:c r="A10" s="43" t="str">
        <x:v>condition_list</x:v>
      </x:c>
      <x:c r="B10" s="22" t="str">
        <x:v>condition[]</x:v>
      </x:c>
      <x:c r="C10" s="22" t="str">
        <x:v>No</x:v>
      </x:c>
      <x:c r="D10" s="22" t="str">
        <x:v>service_quality &gt;= 60</x:v>
      </x:c>
      <x:c r="E10" s="22" t="str">
        <x:v>Supported conditions only</x:v>
      </x:c>
      <x:c r="F10" s="22" t="str">
        <x:v>No</x:v>
      </x:c>
      <x:c r="G10" s="22" t="str">
        <x:v>Yes</x:v>
      </x:c>
      <x:c r="H10" s="22" t="str">
        <x:v>No</x:v>
      </x:c>
      <x:c r="I10" s="22" t="str">
        <x:v>Yes</x:v>
      </x:c>
      <x:c r="J10" s="22" t="str">
        <x:v>Yes</x:v>
      </x:c>
      <x:c r="K10" s="22" t="str">
        <x:v>No</x:v>
      </x:c>
      <x:c r="L10" s="22" t="str">
        <x:v>Yes</x:v>
      </x:c>
      <x:c r="M10" s="22" t="str">
        <x:v>[]</x:v>
      </x:c>
      <x:c r="N10" s="22" t="str">
        <x:v>Invalid config disabled</x:v>
      </x:c>
      <x:c r="O10" s="22" t="str">
        <x:v>P0</x:v>
      </x:c>
      <x:c r="P10" s="44" t="str"/>
    </x:row>
    <x:row r="11">
      <x:c r="A11" s="43" t="str">
        <x:v>stacking_group</x:v>
      </x:c>
      <x:c r="B11" s="22" t="str">
        <x:v>string</x:v>
      </x:c>
      <x:c r="C11" s="22" t="str">
        <x:v>Yes</x:v>
      </x:c>
      <x:c r="D11" s="22" t="str">
        <x:v>customer_acquisition_sme</x:v>
      </x:c>
      <x:c r="E11" s="22" t="str">
        <x:v>Stable group slug</x:v>
      </x:c>
      <x:c r="F11" s="22" t="str">
        <x:v>No</x:v>
      </x:c>
      <x:c r="G11" s="22" t="str">
        <x:v>Yes</x:v>
      </x:c>
      <x:c r="H11" s="22" t="str">
        <x:v>No</x:v>
      </x:c>
      <x:c r="I11" s="22" t="str">
        <x:v>Yes</x:v>
      </x:c>
      <x:c r="J11" s="22" t="str">
        <x:v>Yes</x:v>
      </x:c>
      <x:c r="K11" s="22" t="str">
        <x:v>Yes</x:v>
      </x:c>
      <x:c r="L11" s="22" t="str">
        <x:v>Yes</x:v>
      </x:c>
      <x:c r="M11" s="22" t="str">
        <x:v>category default</x:v>
      </x:c>
      <x:c r="N11" s="22" t="str">
        <x:v>Reject empty</x:v>
      </x:c>
      <x:c r="O11" s="22" t="str">
        <x:v>P0</x:v>
      </x:c>
      <x:c r="P11" s="44" t="str"/>
    </x:row>
    <x:row r="12">
      <x:c r="A12" s="43" t="str">
        <x:v>dismantle_parts</x:v>
      </x:c>
      <x:c r="B12" s="22" t="str">
        <x:v>integer</x:v>
      </x:c>
      <x:c r="C12" s="22" t="str">
        <x:v>Yes</x:v>
      </x:c>
      <x:c r="D12" s="22" t="str">
        <x:v>30</x:v>
      </x:c>
      <x:c r="E12" s="22" t="str">
        <x:v>&gt;=0</x:v>
      </x:c>
      <x:c r="F12" s="22" t="str">
        <x:v>No</x:v>
      </x:c>
      <x:c r="G12" s="22" t="str">
        <x:v>Yes</x:v>
      </x:c>
      <x:c r="H12" s="22" t="str">
        <x:v>No</x:v>
      </x:c>
      <x:c r="I12" s="22" t="str">
        <x:v>No</x:v>
      </x:c>
      <x:c r="J12" s="22" t="str">
        <x:v>Yes</x:v>
      </x:c>
      <x:c r="K12" s="22" t="str">
        <x:v>No</x:v>
      </x:c>
      <x:c r="L12" s="22" t="str">
        <x:v>Yes</x:v>
      </x:c>
      <x:c r="M12" s="22" t="str">
        <x:v>0</x:v>
      </x:c>
      <x:c r="N12" s="22" t="str">
        <x:v>Reject negative</x:v>
      </x:c>
      <x:c r="O12" s="22" t="str">
        <x:v>P2</x:v>
      </x:c>
      <x:c r="P12" s="44" t="str"/>
    </x:row>
    <x:row r="13">
      <x:c r="A13" s="43" t="str">
        <x:v>craft_parts_cost</x:v>
      </x:c>
      <x:c r="B13" s="22" t="str">
        <x:v>integer</x:v>
      </x:c>
      <x:c r="C13" s="22" t="str">
        <x:v>Yes</x:v>
      </x:c>
      <x:c r="D13" s="22" t="str">
        <x:v>150</x:v>
      </x:c>
      <x:c r="E13" s="22" t="str">
        <x:v>&gt; dismantle_parts</x:v>
      </x:c>
      <x:c r="F13" s="22" t="str">
        <x:v>No</x:v>
      </x:c>
      <x:c r="G13" s="22" t="str">
        <x:v>Yes</x:v>
      </x:c>
      <x:c r="H13" s="22" t="str">
        <x:v>No</x:v>
      </x:c>
      <x:c r="I13" s="22" t="str">
        <x:v>No</x:v>
      </x:c>
      <x:c r="J13" s="22" t="str">
        <x:v>Yes</x:v>
      </x:c>
      <x:c r="K13" s="22" t="str">
        <x:v>No</x:v>
      </x:c>
      <x:c r="L13" s="22" t="str">
        <x:v>Yes</x:v>
      </x:c>
      <x:c r="M13" s="22" t="str">
        <x:v>0</x:v>
      </x:c>
      <x:c r="N13" s="22" t="str">
        <x:v>Reject invalid economy</x:v>
      </x:c>
      <x:c r="O13" s="22" t="str">
        <x:v>P2</x:v>
      </x:c>
      <x:c r="P13" s="44" t="str"/>
    </x:row>
    <x:row r="14">
      <x:c r="A14" s="43" t="str">
        <x:v>mastery_gate</x:v>
      </x:c>
      <x:c r="B14" s="22" t="str">
        <x:v>string?</x:v>
      </x:c>
      <x:c r="C14" s="22" t="str">
        <x:v>No</x:v>
      </x:c>
      <x:c r="D14" s="22" t="str">
        <x:v>Mastery II Banking</x:v>
      </x:c>
      <x:c r="E14" s="22" t="str">
        <x:v>Resolvable gate</x:v>
      </x:c>
      <x:c r="F14" s="22" t="str">
        <x:v>No</x:v>
      </x:c>
      <x:c r="G14" s="22" t="str">
        <x:v>Yes</x:v>
      </x:c>
      <x:c r="H14" s="22" t="str">
        <x:v>No</x:v>
      </x:c>
      <x:c r="I14" s="22" t="str">
        <x:v>Craft validation</x:v>
      </x:c>
      <x:c r="J14" s="22" t="str">
        <x:v>Yes</x:v>
      </x:c>
      <x:c r="K14" s="22" t="str">
        <x:v>No</x:v>
      </x:c>
      <x:c r="L14" s="22" t="str">
        <x:v>Yes</x:v>
      </x:c>
      <x:c r="M14" s="22" t="str">
        <x:v>None</x:v>
      </x:c>
      <x:c r="N14" s="22" t="str">
        <x:v>Treat unresolved as locked</x:v>
      </x:c>
      <x:c r="O14" s="22" t="str">
        <x:v>P2</x:v>
      </x:c>
      <x:c r="P14" s="44" t="str"/>
    </x:row>
    <x:row r="15">
      <x:c r="A15" s="43" t="str">
        <x:v>stage_gate</x:v>
      </x:c>
      <x:c r="B15" s="22" t="str">
        <x:v>enum</x:v>
      </x:c>
      <x:c r="C15" s="22" t="str">
        <x:v>No</x:v>
      </x:c>
      <x:c r="D15" s="22" t="str">
        <x:v>Growing</x:v>
      </x:c>
      <x:c r="E15" s="22" t="str">
        <x:v>Canonical stage</x:v>
      </x:c>
      <x:c r="F15" s="22" t="str">
        <x:v>No</x:v>
      </x:c>
      <x:c r="G15" s="22" t="str">
        <x:v>Yes</x:v>
      </x:c>
      <x:c r="H15" s="22" t="str">
        <x:v>No</x:v>
      </x:c>
      <x:c r="I15" s="22" t="str">
        <x:v>Reward/craft validation</x:v>
      </x:c>
      <x:c r="J15" s="22" t="str">
        <x:v>Yes</x:v>
      </x:c>
      <x:c r="K15" s="22" t="str">
        <x:v>Yes</x:v>
      </x:c>
      <x:c r="L15" s="22" t="str">
        <x:v>Yes</x:v>
      </x:c>
      <x:c r="M15" s="22" t="str">
        <x:v>Humble</x:v>
      </x:c>
      <x:c r="N15" s="22" t="str">
        <x:v>Reject unknown</x:v>
      </x:c>
      <x:c r="O15" s="22" t="str">
        <x:v>P1</x:v>
      </x:c>
      <x:c r="P15" s="44" t="str"/>
    </x:row>
    <x:row r="16">
      <x:c r="A16" s="43" t="str">
        <x:v>cash_pack_eligible</x:v>
      </x:c>
      <x:c r="B16" s="22" t="str">
        <x:v>boolean</x:v>
      </x:c>
      <x:c r="C16" s="22" t="str">
        <x:v>Yes</x:v>
      </x:c>
      <x:c r="D16" s="22" t="str">
        <x:v>false</x:v>
      </x:c>
      <x:c r="E16" s="22" t="str">
        <x:v>Epic/Legendary must be false</x:v>
      </x:c>
      <x:c r="F16" s="22" t="str">
        <x:v>No</x:v>
      </x:c>
      <x:c r="G16" s="22" t="str">
        <x:v>Yes</x:v>
      </x:c>
      <x:c r="H16" s="22" t="str">
        <x:v>No</x:v>
      </x:c>
      <x:c r="I16" s="22" t="str">
        <x:v>Reward resolver</x:v>
      </x:c>
      <x:c r="J16" s="22" t="str">
        <x:v>Yes</x:v>
      </x:c>
      <x:c r="K16" s="22" t="str">
        <x:v>No</x:v>
      </x:c>
      <x:c r="L16" s="22" t="str">
        <x:v>Yes</x:v>
      </x:c>
      <x:c r="M16" s="22" t="str">
        <x:v>false</x:v>
      </x:c>
      <x:c r="N16" s="22" t="str">
        <x:v>Config fail</x:v>
      </x:c>
      <x:c r="O16" s="22" t="str">
        <x:v>P1</x:v>
      </x:c>
      <x:c r="P16" s="44" t="str"/>
    </x:row>
    <x:row r="17">
      <x:c r="A17" s="43" t="str">
        <x:v>is_active</x:v>
      </x:c>
      <x:c r="B17" s="22" t="str">
        <x:v>boolean</x:v>
      </x:c>
      <x:c r="C17" s="22" t="str">
        <x:v>Yes</x:v>
      </x:c>
      <x:c r="D17" s="22" t="str">
        <x:v>true</x:v>
      </x:c>
      <x:c r="E17" s="22" t="str">
        <x:v>true/false</x:v>
      </x:c>
      <x:c r="F17" s="22" t="str">
        <x:v>No</x:v>
      </x:c>
      <x:c r="G17" s="22" t="str">
        <x:v>Yes</x:v>
      </x:c>
      <x:c r="H17" s="22" t="str">
        <x:v>No</x:v>
      </x:c>
      <x:c r="I17" s="22" t="str">
        <x:v>Yes</x:v>
      </x:c>
      <x:c r="J17" s="22" t="str">
        <x:v>Yes</x:v>
      </x:c>
      <x:c r="K17" s="22" t="str">
        <x:v>Yes</x:v>
      </x:c>
      <x:c r="L17" s="22" t="str">
        <x:v>Yes</x:v>
      </x:c>
      <x:c r="M17" s="22" t="str">
        <x:v>false</x:v>
      </x:c>
      <x:c r="N17" s="22" t="str">
        <x:v>Inactive cannot newly drop/craft</x:v>
      </x:c>
      <x:c r="O17" s="22" t="str">
        <x:v>P0</x:v>
      </x:c>
      <x:c r="P17" s="44" t="str"/>
    </x:row>
    <x:row r="18">
      <x:c r="A18" s="43" t="str">
        <x:v>effective_from</x:v>
      </x:c>
      <x:c r="B18" s="22" t="str">
        <x:v>timestamp</x:v>
      </x:c>
      <x:c r="C18" s="22" t="str">
        <x:v>Yes</x:v>
      </x:c>
      <x:c r="D18" s="22" t="str">
        <x:v>UTC</x:v>
      </x:c>
      <x:c r="E18" s="22" t="str">
        <x:v>UTC timestamp</x:v>
      </x:c>
      <x:c r="F18" s="22" t="str">
        <x:v>Yes</x:v>
      </x:c>
      <x:c r="G18" s="22" t="str">
        <x:v>Yes</x:v>
      </x:c>
      <x:c r="H18" s="22" t="str">
        <x:v>No</x:v>
      </x:c>
      <x:c r="I18" s="22" t="str">
        <x:v>Yes</x:v>
      </x:c>
      <x:c r="J18" s="22" t="str">
        <x:v>No</x:v>
      </x:c>
      <x:c r="K18" s="22" t="str">
        <x:v>Yes</x:v>
      </x:c>
      <x:c r="L18" s="22" t="str">
        <x:v>Yes</x:v>
      </x:c>
      <x:c r="M18" s="22" t="str">
        <x:v>None</x:v>
      </x:c>
      <x:c r="N18" s="22" t="str">
        <x:v>Not usable early</x:v>
      </x:c>
      <x:c r="O18" s="22" t="str">
        <x:v>P0</x:v>
      </x:c>
      <x:c r="P18" s="44" t="str"/>
    </x:row>
    <x:row r="19">
      <x:c r="A19" s="43" t="str">
        <x:v>effective_until</x:v>
      </x:c>
      <x:c r="B19" s="22" t="str">
        <x:v>timestamp?</x:v>
      </x:c>
      <x:c r="C19" s="22" t="str">
        <x:v>No</x:v>
      </x:c>
      <x:c r="D19" s="22" t="str">
        <x:v>null</x:v>
      </x:c>
      <x:c r="E19" s="22" t="str">
        <x:v>&gt; effective_from</x:v>
      </x:c>
      <x:c r="F19" s="22" t="str">
        <x:v>Yes</x:v>
      </x:c>
      <x:c r="G19" s="22" t="str">
        <x:v>Yes</x:v>
      </x:c>
      <x:c r="H19" s="22" t="str">
        <x:v>No</x:v>
      </x:c>
      <x:c r="I19" s="22" t="str">
        <x:v>Yes</x:v>
      </x:c>
      <x:c r="J19" s="22" t="str">
        <x:v>No</x:v>
      </x:c>
      <x:c r="K19" s="22" t="str">
        <x:v>Yes</x:v>
      </x:c>
      <x:c r="L19" s="22" t="str">
        <x:v>Yes</x:v>
      </x:c>
      <x:c r="M19" s="22" t="str">
        <x:v>null</x:v>
      </x:c>
      <x:c r="N19" s="22" t="str">
        <x:v>Deactivate at boundary</x:v>
      </x:c>
      <x:c r="O19" s="22" t="str">
        <x:v>P1</x:v>
      </x:c>
      <x:c r="P19" s="44" t="str"/>
    </x:row>
    <x:row r="20">
      <x:c r="A20" s="45" t="str">
        <x:v>config_version</x:v>
      </x:c>
      <x:c r="B20" s="46" t="str">
        <x:v>integer/string</x:v>
      </x:c>
      <x:c r="C20" s="46" t="str">
        <x:v>Yes</x:v>
      </x:c>
      <x:c r="D20" s="46" t="str">
        <x:v>7</x:v>
      </x:c>
      <x:c r="E20" s="46" t="str">
        <x:v>Immutable version snapshot</x:v>
      </x:c>
      <x:c r="F20" s="46" t="str">
        <x:v>Yes</x:v>
      </x:c>
      <x:c r="G20" s="46" t="str">
        <x:v>Yes</x:v>
      </x:c>
      <x:c r="H20" s="46" t="str">
        <x:v>No</x:v>
      </x:c>
      <x:c r="I20" s="46" t="str">
        <x:v>Yes</x:v>
      </x:c>
      <x:c r="J20" s="46" t="str">
        <x:v>Yes</x:v>
      </x:c>
      <x:c r="K20" s="46" t="str">
        <x:v>Yes</x:v>
      </x:c>
      <x:c r="L20" s="46" t="str">
        <x:v>Yes</x:v>
      </x:c>
      <x:c r="M20" s="46" t="str">
        <x:v>None</x:v>
      </x:c>
      <x:c r="N20" s="46" t="str">
        <x:v>Fail closed</x:v>
      </x:c>
      <x:c r="O20" s="46" t="str">
        <x:v>P0</x:v>
      </x:c>
      <x:c r="P20" s="47" t="str"/>
    </x:row>
  </x:sheetData>
  <x:mergeCells>
    <x:mergeCell ref="A1:P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Module Effect Schema — Machine-Readable Runtime Contract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84"/>
    </x:row>
    <x:row r="3">
      <x:c r="A3" s="14" t="str">
        <x:v>Field</x:v>
      </x:c>
      <x:c r="B3" s="14" t="str">
        <x:v>Type</x:v>
      </x:c>
      <x:c r="C3" s="14" t="str">
        <x:v>Required?</x:v>
      </x:c>
      <x:c r="D3" s="14" t="str">
        <x:v>Allowed Values / Example</x:v>
      </x:c>
      <x:c r="E3" s="14" t="str">
        <x:v>Meaning</x:v>
      </x:c>
      <x:c r="F3" s="14" t="str">
        <x:v>Validation</x:v>
      </x:c>
      <x:c r="G3" s="14" t="str">
        <x:v>Evaluation Order</x:v>
      </x:c>
      <x:c r="H3" s="14" t="str">
        <x:v>Supports Segment?</x:v>
      </x:c>
      <x:c r="I3" s="14" t="str">
        <x:v>Supports Event State?</x:v>
      </x:c>
      <x:c r="J3" s="14" t="str">
        <x:v>Supports Risk Category?</x:v>
      </x:c>
      <x:c r="K3" s="14" t="str">
        <x:v>Supports Condition?</x:v>
      </x:c>
      <x:c r="L3" s="14" t="str">
        <x:v>Can Be Negative?</x:v>
      </x:c>
      <x:c r="M3" s="14" t="str">
        <x:v>Stacking Group Required?</x:v>
      </x:c>
      <x:c r="N3" s="14" t="str">
        <x:v>Cap Applied?</x:v>
      </x:c>
      <x:c r="O3" s="14" t="str">
        <x:v>UI Label Source</x:v>
      </x:c>
      <x:c r="P3" s="14" t="str">
        <x:v>Priority</x:v>
      </x:c>
      <x:c r="Q3" s="14" t="str">
        <x:v>Notes</x:v>
      </x:c>
    </x:row>
    <x:row r="4">
      <x:c r="A4" s="40" t="str">
        <x:v>effect_type</x:v>
      </x:c>
      <x:c r="B4" s="41" t="str">
        <x:v>enum</x:v>
      </x:c>
      <x:c r="C4" s="41" t="str">
        <x:v>Yes</x:v>
      </x:c>
      <x:c r="D4" s="41" t="str">
        <x:v>customer_acquisition | retention | capacity | activity_efficiency | operating_cost | service_quality | risk_delta | event_resilience</x:v>
      </x:c>
      <x:c r="E4" s="41" t="str">
        <x:v>Runtime target</x:v>
      </x:c>
      <x:c r="F4" s="41" t="str">
        <x:v>Allowlist only</x:v>
      </x:c>
      <x:c r="G4" s="41" t="str">
        <x:v>1</x:v>
      </x:c>
      <x:c r="H4" s="41" t="str">
        <x:v>Depends</x:v>
      </x:c>
      <x:c r="I4" s="41" t="str">
        <x:v>Depends</x:v>
      </x:c>
      <x:c r="J4" s="41" t="str">
        <x:v>Depends</x:v>
      </x:c>
      <x:c r="K4" s="41" t="str">
        <x:v>Yes</x:v>
      </x:c>
      <x:c r="L4" s="41" t="str">
        <x:v>N/A</x:v>
      </x:c>
      <x:c r="M4" s="41" t="str">
        <x:v>Yes</x:v>
      </x:c>
      <x:c r="N4" s="41" t="str">
        <x:v>Yes</x:v>
      </x:c>
      <x:c r="O4" s="41" t="str">
        <x:v>Config metadata</x:v>
      </x:c>
      <x:c r="P4" s="41" t="str">
        <x:v>P0</x:v>
      </x:c>
      <x:c r="Q4" s="42" t="str"/>
    </x:row>
    <x:row r="5">
      <x:c r="A5" s="43" t="str">
        <x:v>operation</x:v>
      </x:c>
      <x:c r="B5" s="22" t="str">
        <x:v>enum</x:v>
      </x:c>
      <x:c r="C5" s="22" t="str">
        <x:v>Yes</x:v>
      </x:c>
      <x:c r="D5" s="22" t="str">
        <x:v>multiply | add_points</x:v>
      </x:c>
      <x:c r="E5" s="22" t="str">
        <x:v>Apply value</x:v>
      </x:c>
      <x:c r="F5" s="22" t="str">
        <x:v>Must match effect_type</x:v>
      </x:c>
      <x:c r="G5" s="22" t="str">
        <x:v>2</x:v>
      </x:c>
      <x:c r="H5" s="22" t="str">
        <x:v>N/A</x:v>
      </x:c>
      <x:c r="I5" s="22" t="str">
        <x:v>N/A</x:v>
      </x:c>
      <x:c r="J5" s="22" t="str">
        <x:v>N/A</x:v>
      </x:c>
      <x:c r="K5" s="22" t="str">
        <x:v>N/A</x:v>
      </x:c>
      <x:c r="L5" s="22" t="str">
        <x:v>Yes</x:v>
      </x:c>
      <x:c r="M5" s="22" t="str">
        <x:v>Yes</x:v>
      </x:c>
      <x:c r="N5" s="22" t="str">
        <x:v>Yes</x:v>
      </x:c>
      <x:c r="O5" s="22" t="str">
        <x:v>Config metadata</x:v>
      </x:c>
      <x:c r="P5" s="22" t="str">
        <x:v>P0</x:v>
      </x:c>
      <x:c r="Q5" s="44" t="str">
        <x:v>No arbitrary expressions</x:v>
      </x:c>
    </x:row>
    <x:row r="6">
      <x:c r="A6" s="43" t="str">
        <x:v>value</x:v>
      </x:c>
      <x:c r="B6" s="22" t="str">
        <x:v>decimal</x:v>
      </x:c>
      <x:c r="C6" s="22" t="str">
        <x:v>Yes</x:v>
      </x:c>
      <x:c r="D6" s="22" t="str">
        <x:v>1.08 or -6</x:v>
      </x:c>
      <x:c r="E6" s="22" t="str">
        <x:v>Effect magnitude</x:v>
      </x:c>
      <x:c r="F6" s="22" t="str">
        <x:v>Within type envelope</x:v>
      </x:c>
      <x:c r="G6" s="22" t="str">
        <x:v>3</x:v>
      </x:c>
      <x:c r="H6" s="22" t="str">
        <x:v>N/A</x:v>
      </x:c>
      <x:c r="I6" s="22" t="str">
        <x:v>N/A</x:v>
      </x:c>
      <x:c r="J6" s="22" t="str">
        <x:v>N/A</x:v>
      </x:c>
      <x:c r="K6" s="22" t="str">
        <x:v>N/A</x:v>
      </x:c>
      <x:c r="L6" s="22" t="str">
        <x:v>Yes</x:v>
      </x:c>
      <x:c r="M6" s="22" t="str">
        <x:v>Yes</x:v>
      </x:c>
      <x:c r="N6" s="22" t="str">
        <x:v>Yes</x:v>
      </x:c>
      <x:c r="O6" s="22" t="str">
        <x:v>Formatted by type</x:v>
      </x:c>
      <x:c r="P6" s="22" t="str">
        <x:v>P0</x:v>
      </x:c>
      <x:c r="Q6" s="44" t="str"/>
    </x:row>
    <x:row r="7">
      <x:c r="A7" s="43" t="str">
        <x:v>customer_segment</x:v>
      </x:c>
      <x:c r="B7" s="22" t="str">
        <x:v>enum?</x:v>
      </x:c>
      <x:c r="C7" s="22" t="str">
        <x:v>No</x:v>
      </x:c>
      <x:c r="D7" s="22" t="str">
        <x:v>Small Business</x:v>
      </x:c>
      <x:c r="E7" s="22" t="str">
        <x:v>Narrows customer effect</x:v>
      </x:c>
      <x:c r="F7" s="22" t="str">
        <x:v>Canonical segment IDs</x:v>
      </x:c>
      <x:c r="G7" s="22" t="str">
        <x:v>Context</x:v>
      </x:c>
      <x:c r="H7" s="22" t="str">
        <x:v>Yes</x:v>
      </x:c>
      <x:c r="I7" s="22" t="str">
        <x:v>No</x:v>
      </x:c>
      <x:c r="J7" s="22" t="str">
        <x:v>No</x:v>
      </x:c>
      <x:c r="K7" s="22" t="str">
        <x:v>No</x:v>
      </x:c>
      <x:c r="L7" s="22" t="str">
        <x:v>N/A</x:v>
      </x:c>
      <x:c r="M7" s="22" t="str">
        <x:v>Yes</x:v>
      </x:c>
      <x:c r="N7" s="22" t="str">
        <x:v>Yes</x:v>
      </x:c>
      <x:c r="O7" s="22" t="str">
        <x:v>Segment label</x:v>
      </x:c>
      <x:c r="P7" s="22" t="str">
        <x:v>P0</x:v>
      </x:c>
      <x:c r="Q7" s="44" t="str"/>
    </x:row>
    <x:row r="8">
      <x:c r="A8" s="43" t="str">
        <x:v>risk_category</x:v>
      </x:c>
      <x:c r="B8" s="22" t="str">
        <x:v>enum?</x:v>
      </x:c>
      <x:c r="C8" s="22" t="str">
        <x:v>No</x:v>
      </x:c>
      <x:c r="D8" s="22" t="str">
        <x:v>Liquidity</x:v>
      </x:c>
      <x:c r="E8" s="22" t="str">
        <x:v>Narrows risk effect</x:v>
      </x:c>
      <x:c r="F8" s="22" t="str">
        <x:v>Canonical risk categories</x:v>
      </x:c>
      <x:c r="G8" s="22" t="str">
        <x:v>Context</x:v>
      </x:c>
      <x:c r="H8" s="22" t="str">
        <x:v>No</x:v>
      </x:c>
      <x:c r="I8" s="22" t="str">
        <x:v>No</x:v>
      </x:c>
      <x:c r="J8" s="22" t="str">
        <x:v>Yes</x:v>
      </x:c>
      <x:c r="K8" s="22" t="str">
        <x:v>No</x:v>
      </x:c>
      <x:c r="L8" s="22" t="str">
        <x:v>Yes</x:v>
      </x:c>
      <x:c r="M8" s="22" t="str">
        <x:v>Yes</x:v>
      </x:c>
      <x:c r="N8" s="22" t="str">
        <x:v>Yes</x:v>
      </x:c>
      <x:c r="O8" s="22" t="str">
        <x:v>Risk label</x:v>
      </x:c>
      <x:c r="P8" s="22" t="str">
        <x:v>P0</x:v>
      </x:c>
      <x:c r="Q8" s="44" t="str"/>
    </x:row>
    <x:row r="9">
      <x:c r="A9" s="43" t="str">
        <x:v>event_family</x:v>
      </x:c>
      <x:c r="B9" s="22" t="str">
        <x:v>string?</x:v>
      </x:c>
      <x:c r="C9" s="22" t="str">
        <x:v>No</x:v>
      </x:c>
      <x:c r="D9" s="22" t="str">
        <x:v>Volatility Spike</x:v>
      </x:c>
      <x:c r="E9" s="22" t="str">
        <x:v>Narrows event effect</x:v>
      </x:c>
      <x:c r="F9" s="22" t="str">
        <x:v>Canonical event family</x:v>
      </x:c>
      <x:c r="G9" s="22" t="str">
        <x:v>Context</x:v>
      </x:c>
      <x:c r="H9" s="22" t="str">
        <x:v>No</x:v>
      </x:c>
      <x:c r="I9" s="22" t="str">
        <x:v>Yes</x:v>
      </x:c>
      <x:c r="J9" s="22" t="str">
        <x:v>No</x:v>
      </x:c>
      <x:c r="K9" s="22" t="str">
        <x:v>Yes</x:v>
      </x:c>
      <x:c r="L9" s="22" t="str">
        <x:v>N/A</x:v>
      </x:c>
      <x:c r="M9" s="22" t="str">
        <x:v>Yes</x:v>
      </x:c>
      <x:c r="N9" s="22" t="str">
        <x:v>Yes</x:v>
      </x:c>
      <x:c r="O9" s="22" t="str">
        <x:v>Event label</x:v>
      </x:c>
      <x:c r="P9" s="22" t="str">
        <x:v>P1</x:v>
      </x:c>
      <x:c r="Q9" s="44" t="str"/>
    </x:row>
    <x:row r="10">
      <x:c r="A10" s="43" t="str">
        <x:v>scope</x:v>
      </x:c>
      <x:c r="B10" s="22" t="str">
        <x:v>enum</x:v>
      </x:c>
      <x:c r="C10" s="22" t="str">
        <x:v>Yes</x:v>
      </x:c>
      <x:c r="D10" s="22" t="str">
        <x:v>building_instance</x:v>
      </x:c>
      <x:c r="E10" s="22" t="str">
        <x:v>Application scope</x:v>
      </x:c>
      <x:c r="F10" s="22" t="str">
        <x:v>building_instance only v1.0</x:v>
      </x:c>
      <x:c r="G10" s="22" t="str">
        <x:v>Before calc</x:v>
      </x:c>
      <x:c r="H10" s="22" t="str">
        <x:v>No</x:v>
      </x:c>
      <x:c r="I10" s="22" t="str">
        <x:v>No</x:v>
      </x:c>
      <x:c r="J10" s="22" t="str">
        <x:v>No</x:v>
      </x:c>
      <x:c r="K10" s="22" t="str">
        <x:v>No</x:v>
      </x:c>
      <x:c r="L10" s="22" t="str">
        <x:v>N/A</x:v>
      </x:c>
      <x:c r="M10" s="22" t="str">
        <x:v>Yes</x:v>
      </x:c>
      <x:c r="N10" s="22" t="str">
        <x:v>Yes</x:v>
      </x:c>
      <x:c r="O10" s="22" t="str">
        <x:v>Hidden</x:v>
      </x:c>
      <x:c r="P10" s="22" t="str">
        <x:v>P0</x:v>
      </x:c>
      <x:c r="Q10" s="44" t="str">
        <x:v>No global aura v1.0</x:v>
      </x:c>
    </x:row>
    <x:row r="11">
      <x:c r="A11" s="43" t="str">
        <x:v>condition_mode</x:v>
      </x:c>
      <x:c r="B11" s="22" t="str">
        <x:v>enum</x:v>
      </x:c>
      <x:c r="C11" s="22" t="str">
        <x:v>No</x:v>
      </x:c>
      <x:c r="D11" s="22" t="str">
        <x:v>all | any</x:v>
      </x:c>
      <x:c r="E11" s="22" t="str">
        <x:v>Condition logic</x:v>
      </x:c>
      <x:c r="F11" s="22" t="str">
        <x:v>all/any only</x:v>
      </x:c>
      <x:c r="G11" s="22" t="str">
        <x:v>Before apply</x:v>
      </x:c>
      <x:c r="H11" s="22" t="str">
        <x:v>N/A</x:v>
      </x:c>
      <x:c r="I11" s="22" t="str">
        <x:v>N/A</x:v>
      </x:c>
      <x:c r="J11" s="22" t="str">
        <x:v>N/A</x:v>
      </x:c>
      <x:c r="K11" s="22" t="str">
        <x:v>Yes</x:v>
      </x:c>
      <x:c r="L11" s="22" t="str">
        <x:v>N/A</x:v>
      </x:c>
      <x:c r="M11" s="22" t="str">
        <x:v>Yes</x:v>
      </x:c>
      <x:c r="N11" s="22" t="str">
        <x:v>N/A</x:v>
      </x:c>
      <x:c r="O11" s="22" t="str">
        <x:v>Hidden</x:v>
      </x:c>
      <x:c r="P11" s="22" t="str">
        <x:v>P0</x:v>
      </x:c>
      <x:c r="Q11" s="44" t="str"/>
    </x:row>
    <x:row r="12">
      <x:c r="A12" s="43" t="str">
        <x:v>priority</x:v>
      </x:c>
      <x:c r="B12" s="22" t="str">
        <x:v>integer</x:v>
      </x:c>
      <x:c r="C12" s="22" t="str">
        <x:v>Yes</x:v>
      </x:c>
      <x:c r="D12" s="22" t="str">
        <x:v>100</x:v>
      </x:c>
      <x:c r="E12" s="22" t="str">
        <x:v>Deterministic order</x:v>
      </x:c>
      <x:c r="F12" s="22" t="str">
        <x:v>0–1000</x:v>
      </x:c>
      <x:c r="G12" s="22" t="str">
        <x:v>Before stacking</x:v>
      </x:c>
      <x:c r="H12" s="22" t="str">
        <x:v>N/A</x:v>
      </x:c>
      <x:c r="I12" s="22" t="str">
        <x:v>N/A</x:v>
      </x:c>
      <x:c r="J12" s="22" t="str">
        <x:v>N/A</x:v>
      </x:c>
      <x:c r="K12" s="22" t="str">
        <x:v>N/A</x:v>
      </x:c>
      <x:c r="L12" s="22" t="str">
        <x:v>N/A</x:v>
      </x:c>
      <x:c r="M12" s="22" t="str">
        <x:v>No</x:v>
      </x:c>
      <x:c r="N12" s="22" t="str">
        <x:v>No</x:v>
      </x:c>
      <x:c r="O12" s="22" t="str">
        <x:v>Hidden</x:v>
      </x:c>
      <x:c r="P12" s="22" t="str">
        <x:v>P0</x:v>
      </x:c>
      <x:c r="Q12" s="44" t="str"/>
    </x:row>
    <x:row r="13">
      <x:c r="A13" s="45" t="str">
        <x:v>ui_key</x:v>
      </x:c>
      <x:c r="B13" s="46" t="str">
        <x:v>string</x:v>
      </x:c>
      <x:c r="C13" s="46" t="str">
        <x:v>Yes</x:v>
      </x:c>
      <x:c r="D13" s="46" t="str">
        <x:v>module.effect.sme_acq</x:v>
      </x:c>
      <x:c r="E13" s="46" t="str">
        <x:v>Localized description key</x:v>
      </x:c>
      <x:c r="F13" s="46" t="str">
        <x:v>Must exist</x:v>
      </x:c>
      <x:c r="G13" s="46" t="str">
        <x:v>N/A</x:v>
      </x:c>
      <x:c r="H13" s="46" t="str">
        <x:v>N/A</x:v>
      </x:c>
      <x:c r="I13" s="46" t="str">
        <x:v>N/A</x:v>
      </x:c>
      <x:c r="J13" s="46" t="str">
        <x:v>N/A</x:v>
      </x:c>
      <x:c r="K13" s="46" t="str">
        <x:v>N/A</x:v>
      </x:c>
      <x:c r="L13" s="46" t="str">
        <x:v>N/A</x:v>
      </x:c>
      <x:c r="M13" s="46" t="str">
        <x:v>No</x:v>
      </x:c>
      <x:c r="N13" s="46" t="str">
        <x:v>No</x:v>
      </x:c>
      <x:c r="O13" s="46" t="str">
        <x:v>Displayed</x:v>
      </x:c>
      <x:c r="P13" s="46" t="str">
        <x:v>P0</x:v>
      </x:c>
      <x:c r="Q13" s="47" t="str"/>
    </x:row>
    <x:row r="15" ht="22" customHeight="1">
      <x:c r="A15" s="11" t="str">
        <x:v>Supported v1.0 Effect Types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</x:row>
    <x:row r="16">
      <x:c r="A16" s="14" t="str">
        <x:v>Effect Type</x:v>
      </x:c>
      <x:c r="B16" s="14" t="str">
        <x:v>Operation</x:v>
      </x:c>
      <x:c r="C16" s="14" t="str">
        <x:v>Unit</x:v>
      </x:c>
      <x:c r="D16" s="14" t="str">
        <x:v>Example</x:v>
      </x:c>
      <x:c r="E16" s="14" t="str">
        <x:v>Target</x:v>
      </x:c>
      <x:c r="F16" s="14" t="str">
        <x:v>Hard Positive Cap</x:v>
      </x:c>
      <x:c r="G16" s="14" t="str">
        <x:v>Hard Reduction Cap</x:v>
      </x:c>
      <x:c r="H16" s="14" t="str">
        <x:v>Performance Direct?</x:v>
      </x:c>
      <x:c r="I16" s="14" t="str">
        <x:v>Runtime Service</x:v>
      </x:c>
      <x:c r="J16" s="14" t="str">
        <x:v>Offline Special?</x:v>
      </x:c>
      <x:c r="K16" s="14" t="str">
        <x:v>Notes</x:v>
      </x:c>
    </x:row>
    <x:row r="17">
      <x:c r="A17" s="40" t="str">
        <x:v>customer_acquisition</x:v>
      </x:c>
      <x:c r="B17" s="41" t="str">
        <x:v>multiply</x:v>
      </x:c>
      <x:c r="C17" s="41" t="str">
        <x:v>ratio</x:v>
      </x:c>
      <x:c r="D17" s="41" t="str">
        <x:v>1.08</x:v>
      </x:c>
      <x:c r="E17" s="41" t="str">
        <x:v>New customer acquisition</x:v>
      </x:c>
      <x:c r="F17" s="56" t="n">
        <x:v>0.25</x:v>
      </x:c>
      <x:c r="G17" s="41"/>
      <x:c r="H17" s="41" t="str">
        <x:v>No</x:v>
      </x:c>
      <x:c r="I17" s="41" t="str">
        <x:v>Customer Engine</x:v>
      </x:c>
      <x:c r="J17" s="41" t="str">
        <x:v>No</x:v>
      </x:c>
      <x:c r="K17" s="42" t="str">
        <x:v>Segment optional</x:v>
      </x:c>
    </x:row>
    <x:row r="18">
      <x:c r="A18" s="43" t="str">
        <x:v>retention</x:v>
      </x:c>
      <x:c r="B18" s="22" t="str">
        <x:v>multiply</x:v>
      </x:c>
      <x:c r="C18" s="22" t="str">
        <x:v>ratio</x:v>
      </x:c>
      <x:c r="D18" s="22" t="str">
        <x:v>1.10</x:v>
      </x:c>
      <x:c r="E18" s="22" t="str">
        <x:v>Retention / churn transform</x:v>
      </x:c>
      <x:c r="F18" s="57" t="n">
        <x:v>0.15</x:v>
      </x:c>
      <x:c r="G18" s="22"/>
      <x:c r="H18" s="22" t="str">
        <x:v>No</x:v>
      </x:c>
      <x:c r="I18" s="22" t="str">
        <x:v>Customer Engine</x:v>
      </x:c>
      <x:c r="J18" s="22" t="str">
        <x:v>No</x:v>
      </x:c>
      <x:c r="K18" s="44" t="str"/>
    </x:row>
    <x:row r="19">
      <x:c r="A19" s="43" t="str">
        <x:v>capacity</x:v>
      </x:c>
      <x:c r="B19" s="22" t="str">
        <x:v>multiply</x:v>
      </x:c>
      <x:c r="C19" s="22" t="str">
        <x:v>ratio</x:v>
      </x:c>
      <x:c r="D19" s="22" t="str">
        <x:v>1.10</x:v>
      </x:c>
      <x:c r="E19" s="22" t="str">
        <x:v>Building capacity</x:v>
      </x:c>
      <x:c r="F19" s="57" t="n">
        <x:v>0.2</x:v>
      </x:c>
      <x:c r="G19" s="22"/>
      <x:c r="H19" s="22" t="str">
        <x:v>No</x:v>
      </x:c>
      <x:c r="I19" s="22" t="str">
        <x:v>Economy/Customer</x:v>
      </x:c>
      <x:c r="J19" s="22" t="str">
        <x:v>No</x:v>
      </x:c>
      <x:c r="K19" s="44" t="str"/>
    </x:row>
    <x:row r="20">
      <x:c r="A20" s="43" t="str">
        <x:v>activity_efficiency</x:v>
      </x:c>
      <x:c r="B20" s="22" t="str">
        <x:v>multiply</x:v>
      </x:c>
      <x:c r="C20" s="22" t="str">
        <x:v>ratio</x:v>
      </x:c>
      <x:c r="D20" s="22" t="str">
        <x:v>1.10</x:v>
      </x:c>
      <x:c r="E20" s="22" t="str">
        <x:v>Business activity throughput</x:v>
      </x:c>
      <x:c r="F20" s="57" t="n">
        <x:v>0.15</x:v>
      </x:c>
      <x:c r="G20" s="22"/>
      <x:c r="H20" s="22" t="str">
        <x:v>No</x:v>
      </x:c>
      <x:c r="I20" s="22" t="str">
        <x:v>Economy</x:v>
      </x:c>
      <x:c r="J20" s="22" t="str">
        <x:v>No</x:v>
      </x:c>
      <x:c r="K20" s="44" t="str">
        <x:v>Does not directly create Performance Activity Points</x:v>
      </x:c>
    </x:row>
    <x:row r="21">
      <x:c r="A21" s="43" t="str">
        <x:v>operating_cost</x:v>
      </x:c>
      <x:c r="B21" s="22" t="str">
        <x:v>multiply</x:v>
      </x:c>
      <x:c r="C21" s="22" t="str">
        <x:v>ratio</x:v>
      </x:c>
      <x:c r="D21" s="22" t="str">
        <x:v>.94</x:v>
      </x:c>
      <x:c r="E21" s="22" t="str">
        <x:v>Recurring operating cost</x:v>
      </x:c>
      <x:c r="F21" s="57" t="n">
        <x:v>0.12</x:v>
      </x:c>
      <x:c r="G21" s="22"/>
      <x:c r="H21" s="22" t="str">
        <x:v>No</x:v>
      </x:c>
      <x:c r="I21" s="22" t="str">
        <x:v>Economy</x:v>
      </x:c>
      <x:c r="J21" s="22" t="str">
        <x:v>No</x:v>
      </x:c>
      <x:c r="K21" s="44" t="str">
        <x:v>Lower is beneficial</x:v>
      </x:c>
    </x:row>
    <x:row r="22">
      <x:c r="A22" s="43" t="str">
        <x:v>service_quality</x:v>
      </x:c>
      <x:c r="B22" s="22" t="str">
        <x:v>add_points</x:v>
      </x:c>
      <x:c r="C22" s="22" t="str">
        <x:v>points</x:v>
      </x:c>
      <x:c r="D22" s="22" t="str">
        <x:v>+5</x:v>
      </x:c>
      <x:c r="E22" s="22" t="str">
        <x:v>Service Quality</x:v>
      </x:c>
      <x:c r="F22" s="22" t="n">
        <x:v>10</x:v>
      </x:c>
      <x:c r="G22" s="22"/>
      <x:c r="H22" s="22" t="str">
        <x:v>No</x:v>
      </x:c>
      <x:c r="I22" s="22" t="str">
        <x:v>Customer/Rep</x:v>
      </x:c>
      <x:c r="J22" s="22" t="str">
        <x:v>No</x:v>
      </x:c>
      <x:c r="K22" s="44" t="str">
        <x:v>No direct Reputation</x:v>
      </x:c>
    </x:row>
    <x:row r="23">
      <x:c r="A23" s="43" t="str">
        <x:v>risk_delta</x:v>
      </x:c>
      <x:c r="B23" s="22" t="str">
        <x:v>add_points</x:v>
      </x:c>
      <x:c r="C23" s="22" t="str">
        <x:v>points</x:v>
      </x:c>
      <x:c r="D23" s="22" t="str">
        <x:v>-6</x:v>
      </x:c>
      <x:c r="E23" s="22" t="str">
        <x:v>One risk category</x:v>
      </x:c>
      <x:c r="F23" s="22"/>
      <x:c r="G23" s="22" t="n">
        <x:v>-15</x:v>
      </x:c>
      <x:c r="H23" s="22" t="str">
        <x:v>No</x:v>
      </x:c>
      <x:c r="I23" s="22" t="str">
        <x:v>Risk Engine</x:v>
      </x:c>
      <x:c r="J23" s="22" t="str">
        <x:v>No</x:v>
      </x:c>
      <x:c r="K23" s="44" t="str">
        <x:v>Total Module risk reduction capped</x:v>
      </x:c>
    </x:row>
    <x:row r="24">
      <x:c r="A24" s="45" t="str">
        <x:v>event_resilience</x:v>
      </x:c>
      <x:c r="B24" s="46" t="str">
        <x:v>multiply</x:v>
      </x:c>
      <x:c r="C24" s="46" t="str">
        <x:v>ratio</x:v>
      </x:c>
      <x:c r="D24" s="46" t="str">
        <x:v>.85</x:v>
      </x:c>
      <x:c r="E24" s="46" t="str">
        <x:v>Eligible event modifier</x:v>
      </x:c>
      <x:c r="F24" s="60" t="n">
        <x:v>0.2</x:v>
      </x:c>
      <x:c r="G24" s="46"/>
      <x:c r="H24" s="46" t="str">
        <x:v>No</x:v>
      </x:c>
      <x:c r="I24" s="46" t="str">
        <x:v>Event Engine</x:v>
      </x:c>
      <x:c r="J24" s="46" t="str">
        <x:v>No</x:v>
      </x:c>
      <x:c r="K24" s="47" t="str">
        <x:v>Cannot nullify event</x:v>
      </x:c>
    </x:row>
  </x:sheetData>
  <x:mergeCells>
    <x:mergeCell ref="A1:Q1"/>
    <x:mergeCell ref="A15:Q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Module Condition Schema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22"/>
    </x:row>
    <x:row r="3">
      <x:c r="A3" s="14" t="str">
        <x:v>Condition Field</x:v>
      </x:c>
      <x:c r="B3" s="14" t="str">
        <x:v>Type</x:v>
      </x:c>
      <x:c r="C3" s="14" t="str">
        <x:v>Allowed Operator</x:v>
      </x:c>
      <x:c r="D3" s="14" t="str">
        <x:v>Example Value</x:v>
      </x:c>
      <x:c r="E3" s="14" t="str">
        <x:v>Context Source</x:v>
      </x:c>
      <x:c r="F3" s="14" t="str">
        <x:v>Null Handling</x:v>
      </x:c>
      <x:c r="G3" s="14" t="str">
        <x:v>Evaluated When</x:v>
      </x:c>
      <x:c r="H3" s="14" t="str">
        <x:v>Can Be Player-Supplied?</x:v>
      </x:c>
      <x:c r="I3" s="14" t="str">
        <x:v>Versioned?</x:v>
      </x:c>
      <x:c r="J3" s="14" t="str">
        <x:v>UI Explanation Required?</x:v>
      </x:c>
      <x:c r="K3" s="14" t="str">
        <x:v>AND/OR?</x:v>
      </x:c>
      <x:c r="L3" s="14" t="str">
        <x:v>Exploit Risk</x:v>
      </x:c>
      <x:c r="M3" s="14" t="str">
        <x:v>Validation</x:v>
      </x:c>
      <x:c r="N3" s="14" t="str">
        <x:v>Priority</x:v>
      </x:c>
      <x:c r="O3" s="14" t="str">
        <x:v>Example Use</x:v>
      </x:c>
      <x:c r="P3" s="14" t="str">
        <x:v>Notes</x:v>
      </x:c>
    </x:row>
    <x:row r="4">
      <x:c r="A4" s="40" t="str">
        <x:v>building_family</x:v>
      </x:c>
      <x:c r="B4" s="41" t="str">
        <x:v>enum</x:v>
      </x:c>
      <x:c r="C4" s="41" t="str">
        <x:v>eq|in</x:v>
      </x:c>
      <x:c r="D4" s="41" t="str">
        <x:v>Banking</x:v>
      </x:c>
      <x:c r="E4" s="41" t="str">
        <x:v>Building config</x:v>
      </x:c>
      <x:c r="F4" s="41" t="str">
        <x:v>false</x:v>
      </x:c>
      <x:c r="G4" s="41" t="str">
        <x:v>Equip+runtime</x:v>
      </x:c>
      <x:c r="H4" s="41" t="str">
        <x:v>No</x:v>
      </x:c>
      <x:c r="I4" s="41" t="str">
        <x:v>Yes</x:v>
      </x:c>
      <x:c r="J4" s="41" t="str">
        <x:v>Yes</x:v>
      </x:c>
      <x:c r="K4" s="41" t="str">
        <x:v>Yes</x:v>
      </x:c>
      <x:c r="L4" s="41" t="str">
        <x:v>Low</x:v>
      </x:c>
      <x:c r="M4" s="41" t="str">
        <x:v>Canonical family</x:v>
      </x:c>
      <x:c r="N4" s="41" t="str">
        <x:v>P0</x:v>
      </x:c>
      <x:c r="O4" s="41" t="str">
        <x:v>Banking-only Module</x:v>
      </x:c>
      <x:c r="P4" s="42" t="str"/>
    </x:row>
    <x:row r="5">
      <x:c r="A5" s="43" t="str">
        <x:v>building_level</x:v>
      </x:c>
      <x:c r="B5" s="22" t="str">
        <x:v>integer</x:v>
      </x:c>
      <x:c r="C5" s="22" t="str">
        <x:v>&gt;=|&gt;|eq</x:v>
      </x:c>
      <x:c r="D5" s="22" t="str">
        <x:v>6</x:v>
      </x:c>
      <x:c r="E5" s="22" t="str">
        <x:v>Building instance</x:v>
      </x:c>
      <x:c r="F5" s="22" t="str">
        <x:v>false</x:v>
      </x:c>
      <x:c r="G5" s="22" t="str">
        <x:v>Runtime</x:v>
      </x:c>
      <x:c r="H5" s="22" t="str">
        <x:v>No</x:v>
      </x:c>
      <x:c r="I5" s="22" t="str">
        <x:v>Yes</x:v>
      </x:c>
      <x:c r="J5" s="22" t="str">
        <x:v>Yes</x:v>
      </x:c>
      <x:c r="K5" s="22" t="str">
        <x:v>Yes</x:v>
      </x:c>
      <x:c r="L5" s="22" t="str">
        <x:v>Low</x:v>
      </x:c>
      <x:c r="M5" s="22" t="str">
        <x:v>Within max level</x:v>
      </x:c>
      <x:c r="N5" s="22" t="str">
        <x:v>P0</x:v>
      </x:c>
      <x:c r="O5" s="22" t="str">
        <x:v>Activates after upgrade</x:v>
      </x:c>
      <x:c r="P5" s="44" t="str"/>
    </x:row>
    <x:row r="6">
      <x:c r="A6" s="43" t="str">
        <x:v>empire_stage</x:v>
      </x:c>
      <x:c r="B6" s="22" t="str">
        <x:v>enum</x:v>
      </x:c>
      <x:c r="C6" s="22" t="str">
        <x:v>&gt;=|eq</x:v>
      </x:c>
      <x:c r="D6" s="22" t="str">
        <x:v>Established</x:v>
      </x:c>
      <x:c r="E6" s="22" t="str">
        <x:v>Player progression</x:v>
      </x:c>
      <x:c r="F6" s="22" t="str">
        <x:v>false</x:v>
      </x:c>
      <x:c r="G6" s="22" t="str">
        <x:v>Equip/craft/runtime</x:v>
      </x:c>
      <x:c r="H6" s="22" t="str">
        <x:v>No</x:v>
      </x:c>
      <x:c r="I6" s="22" t="str">
        <x:v>Yes</x:v>
      </x:c>
      <x:c r="J6" s="22" t="str">
        <x:v>Yes</x:v>
      </x:c>
      <x:c r="K6" s="22" t="str">
        <x:v>Yes</x:v>
      </x:c>
      <x:c r="L6" s="22" t="str">
        <x:v>Low</x:v>
      </x:c>
      <x:c r="M6" s="22" t="str">
        <x:v>Canonical order</x:v>
      </x:c>
      <x:c r="N6" s="22" t="str">
        <x:v>P1</x:v>
      </x:c>
      <x:c r="O6" s="22" t="str">
        <x:v>Advanced Module</x:v>
      </x:c>
      <x:c r="P6" s="44" t="str"/>
    </x:row>
    <x:row r="7">
      <x:c r="A7" s="43" t="str">
        <x:v>reputation</x:v>
      </x:c>
      <x:c r="B7" s="22" t="str">
        <x:v>decimal</x:v>
      </x:c>
      <x:c r="C7" s="22" t="str">
        <x:v>&gt;=|&lt;=|between</x:v>
      </x:c>
      <x:c r="D7" s="22" t="str">
        <x:v>80</x:v>
      </x:c>
      <x:c r="E7" s="22" t="str">
        <x:v>Player state</x:v>
      </x:c>
      <x:c r="F7" s="22" t="str">
        <x:v>latest finalized</x:v>
      </x:c>
      <x:c r="G7" s="22" t="str">
        <x:v>Runtime tick</x:v>
      </x:c>
      <x:c r="H7" s="22" t="str">
        <x:v>No</x:v>
      </x:c>
      <x:c r="I7" s="22" t="str">
        <x:v>Yes</x:v>
      </x:c>
      <x:c r="J7" s="22" t="str">
        <x:v>Yes</x:v>
      </x:c>
      <x:c r="K7" s="22" t="str">
        <x:v>Yes</x:v>
      </x:c>
      <x:c r="L7" s="22" t="str">
        <x:v>Medium</x:v>
      </x:c>
      <x:c r="M7" s="22" t="str">
        <x:v>0–100</x:v>
      </x:c>
      <x:c r="N7" s="22" t="str">
        <x:v>P0</x:v>
      </x:c>
      <x:c r="O7" s="22" t="str">
        <x:v>HNW condition</x:v>
      </x:c>
      <x:c r="P7" s="44" t="str"/>
    </x:row>
    <x:row r="8">
      <x:c r="A8" s="43" t="str">
        <x:v>service_quality</x:v>
      </x:c>
      <x:c r="B8" s="22" t="str">
        <x:v>decimal</x:v>
      </x:c>
      <x:c r="C8" s="22" t="str">
        <x:v>&gt;=|&lt;=|between</x:v>
      </x:c>
      <x:c r="D8" s="22" t="str">
        <x:v>75</x:v>
      </x:c>
      <x:c r="E8" s="22" t="str">
        <x:v>Building/economy</x:v>
      </x:c>
      <x:c r="F8" s="22" t="str">
        <x:v>false</x:v>
      </x:c>
      <x:c r="G8" s="22" t="str">
        <x:v>Customer/economy tick</x:v>
      </x:c>
      <x:c r="H8" s="22" t="str">
        <x:v>No</x:v>
      </x:c>
      <x:c r="I8" s="22" t="str">
        <x:v>Yes</x:v>
      </x:c>
      <x:c r="J8" s="22" t="str">
        <x:v>Yes</x:v>
      </x:c>
      <x:c r="K8" s="22" t="str">
        <x:v>Yes</x:v>
      </x:c>
      <x:c r="L8" s="22" t="str">
        <x:v>Medium</x:v>
      </x:c>
      <x:c r="M8" s="22" t="str">
        <x:v>0–100</x:v>
      </x:c>
      <x:c r="N8" s="22" t="str">
        <x:v>P0</x:v>
      </x:c>
      <x:c r="O8" s="22" t="str">
        <x:v>Quality gate</x:v>
      </x:c>
      <x:c r="P8" s="44" t="str"/>
    </x:row>
    <x:row r="9">
      <x:c r="A9" s="43" t="str">
        <x:v>risk_category_value</x:v>
      </x:c>
      <x:c r="B9" s="22" t="str">
        <x:v>decimal</x:v>
      </x:c>
      <x:c r="C9" s="22" t="str">
        <x:v>&gt;=|&lt;=|between</x:v>
      </x:c>
      <x:c r="D9" s="22" t="str">
        <x:v>50</x:v>
      </x:c>
      <x:c r="E9" s="22" t="str">
        <x:v>Risk state</x:v>
      </x:c>
      <x:c r="F9" s="22" t="str">
        <x:v>false</x:v>
      </x:c>
      <x:c r="G9" s="22" t="str">
        <x:v>Risk/economy tick</x:v>
      </x:c>
      <x:c r="H9" s="22" t="str">
        <x:v>No</x:v>
      </x:c>
      <x:c r="I9" s="22" t="str">
        <x:v>Yes</x:v>
      </x:c>
      <x:c r="J9" s="22" t="str">
        <x:v>Yes</x:v>
      </x:c>
      <x:c r="K9" s="22" t="str">
        <x:v>Yes</x:v>
      </x:c>
      <x:c r="L9" s="22" t="str">
        <x:v>High</x:v>
      </x:c>
      <x:c r="M9" s="22" t="str">
        <x:v>0–100</x:v>
      </x:c>
      <x:c r="N9" s="22" t="str">
        <x:v>P0</x:v>
      </x:c>
      <x:c r="O9" s="22" t="str">
        <x:v>Liquidity condition</x:v>
      </x:c>
      <x:c r="P9" s="44" t="str"/>
    </x:row>
    <x:row r="10">
      <x:c r="A10" s="43" t="str">
        <x:v>composite_risk</x:v>
      </x:c>
      <x:c r="B10" s="22" t="str">
        <x:v>decimal</x:v>
      </x:c>
      <x:c r="C10" s="22" t="str">
        <x:v>&gt;=|&lt;=|between</x:v>
      </x:c>
      <x:c r="D10" s="22" t="str">
        <x:v>40</x:v>
      </x:c>
      <x:c r="E10" s="22" t="str">
        <x:v>Risk state</x:v>
      </x:c>
      <x:c r="F10" s="22" t="str">
        <x:v>false</x:v>
      </x:c>
      <x:c r="G10" s="22" t="str">
        <x:v>Runtime</x:v>
      </x:c>
      <x:c r="H10" s="22" t="str">
        <x:v>No</x:v>
      </x:c>
      <x:c r="I10" s="22" t="str">
        <x:v>Yes</x:v>
      </x:c>
      <x:c r="J10" s="22" t="str">
        <x:v>Yes</x:v>
      </x:c>
      <x:c r="K10" s="22" t="str">
        <x:v>Yes</x:v>
      </x:c>
      <x:c r="L10" s="22" t="str">
        <x:v>High</x:v>
      </x:c>
      <x:c r="M10" s="22" t="str">
        <x:v>0–100</x:v>
      </x:c>
      <x:c r="N10" s="22" t="str">
        <x:v>P0</x:v>
      </x:c>
      <x:c r="O10" s="22" t="str">
        <x:v>Trusted institution</x:v>
      </x:c>
      <x:c r="P10" s="44" t="str"/>
    </x:row>
    <x:row r="11">
      <x:c r="A11" s="43" t="str">
        <x:v>reserve_ratio</x:v>
      </x:c>
      <x:c r="B11" s="22" t="str">
        <x:v>decimal</x:v>
      </x:c>
      <x:c r="C11" s="22" t="str">
        <x:v>&gt;=|&lt;=|between</x:v>
      </x:c>
      <x:c r="D11" s="22" t="str">
        <x:v>.15</x:v>
      </x:c>
      <x:c r="E11" s="22" t="str">
        <x:v>Economy</x:v>
      </x:c>
      <x:c r="F11" s="22" t="str">
        <x:v>false</x:v>
      </x:c>
      <x:c r="G11" s="22" t="str">
        <x:v>Economy/risk tick</x:v>
      </x:c>
      <x:c r="H11" s="22" t="str">
        <x:v>No</x:v>
      </x:c>
      <x:c r="I11" s="22" t="str">
        <x:v>Yes</x:v>
      </x:c>
      <x:c r="J11" s="22" t="str">
        <x:v>Yes</x:v>
      </x:c>
      <x:c r="K11" s="22" t="str">
        <x:v>Yes</x:v>
      </x:c>
      <x:c r="L11" s="22" t="str">
        <x:v>Medium</x:v>
      </x:c>
      <x:c r="M11" s="22" t="str">
        <x:v>0–1</x:v>
      </x:c>
      <x:c r="N11" s="22" t="str">
        <x:v>P1</x:v>
      </x:c>
      <x:c r="O11" s="22" t="str">
        <x:v>Deposit sweep</x:v>
      </x:c>
      <x:c r="P11" s="44" t="str"/>
    </x:row>
    <x:row r="12">
      <x:c r="A12" s="43" t="str">
        <x:v>utilization</x:v>
      </x:c>
      <x:c r="B12" s="22" t="str">
        <x:v>decimal</x:v>
      </x:c>
      <x:c r="C12" s="22" t="str">
        <x:v>&gt;=|&lt;=|between</x:v>
      </x:c>
      <x:c r="D12" s="22" t="str">
        <x:v>.50</x:v>
      </x:c>
      <x:c r="E12" s="22" t="str">
        <x:v>Customer/economy</x:v>
      </x:c>
      <x:c r="F12" s="22" t="str">
        <x:v>false</x:v>
      </x:c>
      <x:c r="G12" s="22" t="str">
        <x:v>Runtime</x:v>
      </x:c>
      <x:c r="H12" s="22" t="str">
        <x:v>No</x:v>
      </x:c>
      <x:c r="I12" s="22" t="str">
        <x:v>Yes</x:v>
      </x:c>
      <x:c r="J12" s="22" t="str">
        <x:v>Yes</x:v>
      </x:c>
      <x:c r="K12" s="22" t="str">
        <x:v>Yes</x:v>
      </x:c>
      <x:c r="L12" s="22" t="str">
        <x:v>Medium</x:v>
      </x:c>
      <x:c r="M12" s="22" t="str">
        <x:v>0–2+</x:v>
      </x:c>
      <x:c r="N12" s="22" t="str">
        <x:v>P0</x:v>
      </x:c>
      <x:c r="O12" s="22" t="str">
        <x:v>Corporate usage</x:v>
      </x:c>
      <x:c r="P12" s="44" t="str"/>
    </x:row>
    <x:row r="13">
      <x:c r="A13" s="43" t="str">
        <x:v>market_state</x:v>
      </x:c>
      <x:c r="B13" s="22" t="str">
        <x:v>enum</x:v>
      </x:c>
      <x:c r="C13" s="22" t="str">
        <x:v>eq|in</x:v>
      </x:c>
      <x:c r="D13" s="22" t="str">
        <x:v>Bull,Expansion</x:v>
      </x:c>
      <x:c r="E13" s="22" t="str">
        <x:v>Market/Event state</x:v>
      </x:c>
      <x:c r="F13" s="22" t="str">
        <x:v>false</x:v>
      </x:c>
      <x:c r="G13" s="22" t="str">
        <x:v>Event/economy tick</x:v>
      </x:c>
      <x:c r="H13" s="22" t="str">
        <x:v>No</x:v>
      </x:c>
      <x:c r="I13" s="22" t="str">
        <x:v>Yes</x:v>
      </x:c>
      <x:c r="J13" s="22" t="str">
        <x:v>Yes</x:v>
      </x:c>
      <x:c r="K13" s="22" t="str">
        <x:v>Yes</x:v>
      </x:c>
      <x:c r="L13" s="22" t="str">
        <x:v>Medium</x:v>
      </x:c>
      <x:c r="M13" s="22" t="str">
        <x:v>Canonical state</x:v>
      </x:c>
      <x:c r="N13" s="22" t="str">
        <x:v>P1</x:v>
      </x:c>
      <x:c r="O13" s="22" t="str">
        <x:v>Adaptive market</x:v>
      </x:c>
      <x:c r="P13" s="44" t="str"/>
    </x:row>
    <x:row r="14">
      <x:c r="A14" s="43" t="str">
        <x:v>event_active</x:v>
      </x:c>
      <x:c r="B14" s="22" t="str">
        <x:v>string</x:v>
      </x:c>
      <x:c r="C14" s="22" t="str">
        <x:v>eq|in</x:v>
      </x:c>
      <x:c r="D14" s="22" t="str">
        <x:v>Liquidity Crunch</x:v>
      </x:c>
      <x:c r="E14" s="22" t="str">
        <x:v>Event state</x:v>
      </x:c>
      <x:c r="F14" s="22" t="str">
        <x:v>false</x:v>
      </x:c>
      <x:c r="G14" s="22" t="str">
        <x:v>Event boundary/tick</x:v>
      </x:c>
      <x:c r="H14" s="22" t="str">
        <x:v>No</x:v>
      </x:c>
      <x:c r="I14" s="22" t="str">
        <x:v>Yes</x:v>
      </x:c>
      <x:c r="J14" s="22" t="str">
        <x:v>Yes</x:v>
      </x:c>
      <x:c r="K14" s="22" t="str">
        <x:v>Yes</x:v>
      </x:c>
      <x:c r="L14" s="22" t="str">
        <x:v>Medium</x:v>
      </x:c>
      <x:c r="M14" s="22" t="str">
        <x:v>Canonical event</x:v>
      </x:c>
      <x:c r="N14" s="22" t="str">
        <x:v>P1</x:v>
      </x:c>
      <x:c r="O14" s="22" t="str">
        <x:v>Resilience</x:v>
      </x:c>
      <x:c r="P14" s="44" t="str"/>
    </x:row>
    <x:row r="15">
      <x:c r="A15" s="45" t="str">
        <x:v>active_customer_count</x:v>
      </x:c>
      <x:c r="B15" s="46" t="str">
        <x:v>integer</x:v>
      </x:c>
      <x:c r="C15" s="46" t="str">
        <x:v>&gt;=|&lt;=|between</x:v>
      </x:c>
      <x:c r="D15" s="46" t="str">
        <x:v>5000</x:v>
      </x:c>
      <x:c r="E15" s="46" t="str">
        <x:v>Customer state</x:v>
      </x:c>
      <x:c r="F15" s="46" t="str">
        <x:v>false</x:v>
      </x:c>
      <x:c r="G15" s="46" t="str">
        <x:v>Customer tick</x:v>
      </x:c>
      <x:c r="H15" s="46" t="str">
        <x:v>No</x:v>
      </x:c>
      <x:c r="I15" s="46" t="str">
        <x:v>Yes</x:v>
      </x:c>
      <x:c r="J15" s="46" t="str">
        <x:v>Yes</x:v>
      </x:c>
      <x:c r="K15" s="46" t="str">
        <x:v>Yes</x:v>
      </x:c>
      <x:c r="L15" s="46" t="str">
        <x:v>Low</x:v>
      </x:c>
      <x:c r="M15" s="46" t="str">
        <x:v>&gt;=0</x:v>
      </x:c>
      <x:c r="N15" s="46" t="str">
        <x:v>P1</x:v>
      </x:c>
      <x:c r="O15" s="46" t="str">
        <x:v>Scale condition</x:v>
      </x:c>
      <x:c r="P15" s="47" t="str"/>
    </x:row>
  </x:sheetData>
  <x:mergeCells>
    <x:mergeCell ref="A1:P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Effect Runtime — Evaluation Order and Service Boundaries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22"/>
    </x:row>
    <x:row r="3">
      <x:c r="A3" s="14" t="str">
        <x:v>Order</x:v>
      </x:c>
      <x:c r="B3" s="14" t="str">
        <x:v>Layer</x:v>
      </x:c>
      <x:c r="C3" s="14" t="str">
        <x:v>Inputs</x:v>
      </x:c>
      <x:c r="D3" s="14" t="str">
        <x:v>Output</x:v>
      </x:c>
      <x:c r="E3" s="14" t="str">
        <x:v>Owned By</x:v>
      </x:c>
      <x:c r="F3" s="14" t="str">
        <x:v>Module Interaction</x:v>
      </x:c>
      <x:c r="G3" s="14" t="str">
        <x:v>Config Version Needed?</x:v>
      </x:c>
      <x:c r="H3" s="14" t="str">
        <x:v>Replay Input</x:v>
      </x:c>
      <x:c r="I3" s="14" t="str">
        <x:v>Cacheable?</x:v>
      </x:c>
      <x:c r="J3" s="14" t="str">
        <x:v>Recompute Trigger</x:v>
      </x:c>
      <x:c r="K3" s="14" t="str">
        <x:v>Performance Impact</x:v>
      </x:c>
      <x:c r="L3" s="14" t="str">
        <x:v>Risk Impact</x:v>
      </x:c>
      <x:c r="M3" s="14" t="str">
        <x:v>Failure Mode</x:v>
      </x:c>
      <x:c r="N3" s="14" t="str">
        <x:v>Fallback</x:v>
      </x:c>
      <x:c r="O3" s="14" t="str">
        <x:v>Priority</x:v>
      </x:c>
      <x:c r="P3" s="14" t="str">
        <x:v>Notes</x:v>
      </x:c>
    </x:row>
    <x:row r="4">
      <x:c r="A4" s="40" t="n">
        <x:v>1</x:v>
      </x:c>
      <x:c r="B4" s="41" t="str">
        <x:v>Base Building</x:v>
      </x:c>
      <x:c r="C4" s="41" t="str">
        <x:v>Building Card stats + upgrade level</x:v>
      </x:c>
      <x:c r="D4" s="41" t="str">
        <x:v>Base stat vector</x:v>
      </x:c>
      <x:c r="E4" s="41" t="str">
        <x:v>Building Service</x:v>
      </x:c>
      <x:c r="F4" s="41" t="str">
        <x:v>None</x:v>
      </x:c>
      <x:c r="G4" s="41" t="str">
        <x:v>Yes</x:v>
      </x:c>
      <x:c r="H4" s="41" t="str">
        <x:v>building_type,level,config</x:v>
      </x:c>
      <x:c r="I4" s="41" t="str">
        <x:v>Yes</x:v>
      </x:c>
      <x:c r="J4" s="41" t="str">
        <x:v>Build/upgrade/config</x:v>
      </x:c>
      <x:c r="K4" s="41" t="str">
        <x:v>No direct</x:v>
      </x:c>
      <x:c r="L4" s="41" t="str">
        <x:v>No direct</x:v>
      </x:c>
      <x:c r="M4" s="41" t="str">
        <x:v>Missing config</x:v>
      </x:c>
      <x:c r="N4" s="41" t="str">
        <x:v>Last approved config</x:v>
      </x:c>
      <x:c r="O4" s="41" t="str">
        <x:v>P0</x:v>
      </x:c>
      <x:c r="P4" s="42" t="str"/>
    </x:row>
    <x:row r="5">
      <x:c r="A5" s="43" t="n">
        <x:v>2</x:v>
      </x:c>
      <x:c r="B5" s="22" t="str">
        <x:v>Placement &amp; Synergy</x:v>
      </x:c>
      <x:c r="C5" s="22" t="str">
        <x:v>Tile, adjacency, congestion</x:v>
      </x:c>
      <x:c r="D5" s="22" t="str">
        <x:v>Placement-adjusted vector</x:v>
      </x:c>
      <x:c r="E5" s="22" t="str">
        <x:v>Placement Service</x:v>
      </x:c>
      <x:c r="F5" s="22" t="str">
        <x:v>None</x:v>
      </x:c>
      <x:c r="G5" s="22" t="str">
        <x:v>Yes</x:v>
      </x:c>
      <x:c r="H5" s="22" t="str">
        <x:v>layout_version</x:v>
      </x:c>
      <x:c r="I5" s="22" t="str">
        <x:v>Yes</x:v>
      </x:c>
      <x:c r="J5" s="22" t="str">
        <x:v>Move/layout</x:v>
      </x:c>
      <x:c r="K5" s="22" t="str">
        <x:v>Underlying only</x:v>
      </x:c>
      <x:c r="L5" s="22" t="str">
        <x:v>Underlying only</x:v>
      </x:c>
      <x:c r="M5" s="22" t="str">
        <x:v>Invalid layout</x:v>
      </x:c>
      <x:c r="N5" s="22" t="str">
        <x:v>Last valid layout</x:v>
      </x:c>
      <x:c r="O5" s="22" t="str">
        <x:v>P0</x:v>
      </x:c>
      <x:c r="P5" s="44" t="str"/>
    </x:row>
    <x:row r="6">
      <x:c r="A6" s="43" t="n">
        <x:v>3</x:v>
      </x:c>
      <x:c r="B6" s="22" t="str">
        <x:v>Module Loadout</x:v>
      </x:c>
      <x:c r="C6" s="22" t="str">
        <x:v>Equipped Modules + conditions</x:v>
      </x:c>
      <x:c r="D6" s="22" t="str">
        <x:v>Module-adjusted vector</x:v>
      </x:c>
      <x:c r="E6" s="22" t="str">
        <x:v>Module Runtime</x:v>
      </x:c>
      <x:c r="F6" s="22" t="str">
        <x:v>Core layer</x:v>
      </x:c>
      <x:c r="G6" s="22" t="str">
        <x:v>Yes</x:v>
      </x:c>
      <x:c r="H6" s="22" t="str">
        <x:v>loadout_version,module configs,context</x:v>
      </x:c>
      <x:c r="I6" s="22" t="str">
        <x:v>Short</x:v>
      </x:c>
      <x:c r="J6" s="22" t="str">
        <x:v>Equip/unequip/context</x:v>
      </x:c>
      <x:c r="K6" s="22" t="str">
        <x:v>Underlying only</x:v>
      </x:c>
      <x:c r="L6" s="22" t="str">
        <x:v>May modify risk</x:v>
      </x:c>
      <x:c r="M6" s="22" t="str">
        <x:v>Unsupported effect</x:v>
      </x:c>
      <x:c r="N6" s="22" t="str">
        <x:v>Ignore invalid Module + alert</x:v>
      </x:c>
      <x:c r="O6" s="22" t="str">
        <x:v>P0</x:v>
      </x:c>
      <x:c r="P6" s="44" t="str"/>
    </x:row>
    <x:row r="7">
      <x:c r="A7" s="43" t="n">
        <x:v>4</x:v>
      </x:c>
      <x:c r="B7" s="22" t="str">
        <x:v>Stacking &amp; Caps</x:v>
      </x:c>
      <x:c r="C7" s="22" t="str">
        <x:v>Grouped effects</x:v>
      </x:c>
      <x:c r="D7" s="22" t="str">
        <x:v>Capped Module vector</x:v>
      </x:c>
      <x:c r="E7" s="22" t="str">
        <x:v>Module Runtime</x:v>
      </x:c>
      <x:c r="F7" s="22" t="str">
        <x:v>100/60/30 + hard caps</x:v>
      </x:c>
      <x:c r="G7" s="22" t="str">
        <x:v>Yes</x:v>
      </x:c>
      <x:c r="H7" s="22" t="str">
        <x:v>same</x:v>
      </x:c>
      <x:c r="I7" s="22" t="str">
        <x:v>Short</x:v>
      </x:c>
      <x:c r="J7" s="22" t="str">
        <x:v>Loadout/context</x:v>
      </x:c>
      <x:c r="K7" s="22" t="str">
        <x:v>Underlying only</x:v>
      </x:c>
      <x:c r="L7" s="22" t="str">
        <x:v>Risk cap</x:v>
      </x:c>
      <x:c r="M7" s="22" t="str">
        <x:v>Cap missing</x:v>
      </x:c>
      <x:c r="N7" s="22" t="str">
        <x:v>Conservative cap</x:v>
      </x:c>
      <x:c r="O7" s="22" t="str">
        <x:v>P0</x:v>
      </x:c>
      <x:c r="P7" s="44" t="str"/>
    </x:row>
    <x:row r="8">
      <x:c r="A8" s="43" t="n">
        <x:v>5</x:v>
      </x:c>
      <x:c r="B8" s="22" t="str">
        <x:v>Events</x:v>
      </x:c>
      <x:c r="C8" s="22" t="str">
        <x:v>Active events + decisions</x:v>
      </x:c>
      <x:c r="D8" s="22" t="str">
        <x:v>Event-adjusted vector</x:v>
      </x:c>
      <x:c r="E8" s="22" t="str">
        <x:v>Event Service</x:v>
      </x:c>
      <x:c r="F8" s="22" t="str">
        <x:v>Capped resilience/conditionals</x:v>
      </x:c>
      <x:c r="G8" s="22" t="str">
        <x:v>Yes</x:v>
      </x:c>
      <x:c r="H8" s="22" t="str">
        <x:v>event_version</x:v>
      </x:c>
      <x:c r="I8" s="22" t="str">
        <x:v>Short</x:v>
      </x:c>
      <x:c r="J8" s="22" t="str">
        <x:v>Event start/end</x:v>
      </x:c>
      <x:c r="K8" s="22" t="str">
        <x:v>Underlying only</x:v>
      </x:c>
      <x:c r="L8" s="22" t="str">
        <x:v>May alter risk</x:v>
      </x:c>
      <x:c r="M8" s="22" t="str">
        <x:v>Replay fail</x:v>
      </x:c>
      <x:c r="N8" s="22" t="str">
        <x:v>Retry/pause settlement</x:v>
      </x:c>
      <x:c r="O8" s="22" t="str">
        <x:v>P1</x:v>
      </x:c>
      <x:c r="P8" s="44" t="str"/>
    </x:row>
    <x:row r="9">
      <x:c r="A9" s="43" t="n">
        <x:v>6</x:v>
      </x:c>
      <x:c r="B9" s="22" t="str">
        <x:v>Customer State</x:v>
      </x:c>
      <x:c r="C9" s="22" t="str">
        <x:v>Segments, demand, capacity, service</x:v>
      </x:c>
      <x:c r="D9" s="22" t="str">
        <x:v>Customer deltas</x:v>
      </x:c>
      <x:c r="E9" s="22" t="str">
        <x:v>Customer Engine</x:v>
      </x:c>
      <x:c r="F9" s="22" t="str">
        <x:v>Consumes adjusted vector</x:v>
      </x:c>
      <x:c r="G9" s="22" t="str">
        <x:v>Yes</x:v>
      </x:c>
      <x:c r="H9" s="22" t="str">
        <x:v>customer snapshot</x:v>
      </x:c>
      <x:c r="I9" s="22" t="str">
        <x:v>No write-cache</x:v>
      </x:c>
      <x:c r="J9" s="22" t="str">
        <x:v>15m refresh</x:v>
      </x:c>
      <x:c r="K9" s="22" t="str">
        <x:v>Customers/activity</x:v>
      </x:c>
      <x:c r="L9" s="22" t="str">
        <x:v>Indirect</x:v>
      </x:c>
      <x:c r="M9" s="22" t="str">
        <x:v>Duplicate tick</x:v>
      </x:c>
      <x:c r="N9" s="22" t="str">
        <x:v>Idempotent bucket</x:v>
      </x:c>
      <x:c r="O9" s="22" t="str">
        <x:v>P0</x:v>
      </x:c>
      <x:c r="P9" s="44" t="str"/>
    </x:row>
    <x:row r="10">
      <x:c r="A10" s="43" t="n">
        <x:v>7</x:v>
      </x:c>
      <x:c r="B10" s="22" t="str">
        <x:v>Economy State</x:v>
      </x:c>
      <x:c r="C10" s="22" t="str">
        <x:v>Customer activity, rates, opex</x:v>
      </x:c>
      <x:c r="D10" s="22" t="str">
        <x:v>Cash/activity deltas</x:v>
      </x:c>
      <x:c r="E10" s="22" t="str">
        <x:v>Economy Engine</x:v>
      </x:c>
      <x:c r="F10" s="22" t="str">
        <x:v>Consumes adjusted vector</x:v>
      </x:c>
      <x:c r="G10" s="22" t="str">
        <x:v>Yes</x:v>
      </x:c>
      <x:c r="H10" s="22" t="str">
        <x:v>tick_id</x:v>
      </x:c>
      <x:c r="I10" s="22" t="str">
        <x:v>No write-cache</x:v>
      </x:c>
      <x:c r="J10" s="22" t="str">
        <x:v>5m tick</x:v>
      </x:c>
      <x:c r="K10" s="22" t="str">
        <x:v>Revenue/activity ledgers</x:v>
      </x:c>
      <x:c r="L10" s="22" t="str">
        <x:v>Indirect</x:v>
      </x:c>
      <x:c r="M10" s="22" t="str">
        <x:v>Duplicate tick</x:v>
      </x:c>
      <x:c r="N10" s="22" t="str">
        <x:v>Idempotent tick</x:v>
      </x:c>
      <x:c r="O10" s="22" t="str">
        <x:v>P0</x:v>
      </x:c>
      <x:c r="P10" s="44" t="str"/>
    </x:row>
    <x:row r="11">
      <x:c r="A11" s="43" t="n">
        <x:v>8</x:v>
      </x:c>
      <x:c r="B11" s="22" t="str">
        <x:v>Risk &amp; Rep</x:v>
      </x:c>
      <x:c r="C11" s="22" t="str">
        <x:v>Exposure + events + Module deltas</x:v>
      </x:c>
      <x:c r="D11" s="22" t="str">
        <x:v>Risk snapshot/Rep events</x:v>
      </x:c>
      <x:c r="E11" s="22" t="str">
        <x:v>Risk/Rep Service</x:v>
      </x:c>
      <x:c r="F11" s="22" t="str">
        <x:v>Risk deltas only; no raw Rep grants</x:v>
      </x:c>
      <x:c r="G11" s="22" t="str">
        <x:v>Yes</x:v>
      </x:c>
      <x:c r="H11" s="22" t="str">
        <x:v>risk context</x:v>
      </x:c>
      <x:c r="I11" s="22" t="str">
        <x:v>No write-cache</x:v>
      </x:c>
      <x:c r="J11" s="22" t="str">
        <x:v>Risk cadence/event</x:v>
      </x:c>
      <x:c r="K11" s="22" t="str">
        <x:v>Risk snapshot</x:v>
      </x:c>
      <x:c r="L11" s="22" t="str">
        <x:v>Writes risk history</x:v>
      </x:c>
      <x:c r="M11" s="22" t="str">
        <x:v>Context missing</x:v>
      </x:c>
      <x:c r="N11" s="22" t="str">
        <x:v>Conservative eval</x:v>
      </x:c>
      <x:c r="O11" s="22" t="str">
        <x:v>P0</x:v>
      </x:c>
      <x:c r="P11" s="44" t="str"/>
    </x:row>
    <x:row r="12">
      <x:c r="A12" s="45" t="n">
        <x:v>9</x:v>
      </x:c>
      <x:c r="B12" s="46" t="str">
        <x:v>Performance</x:v>
      </x:c>
      <x:c r="C12" s="46" t="str">
        <x:v>Validated ledgers/snapshots</x:v>
      </x:c>
      <x:c r="D12" s="46" t="str">
        <x:v>Weekly score</x:v>
      </x:c>
      <x:c r="E12" s="46" t="str">
        <x:v>Performance Service</x:v>
      </x:c>
      <x:c r="F12" s="46" t="str">
        <x:v>No Module ownership/count input</x:v>
      </x:c>
      <x:c r="G12" s="46" t="str">
        <x:v>Epoch config</x:v>
      </x:c>
      <x:c r="H12" s="46" t="str">
        <x:v>ledger IDs</x:v>
      </x:c>
      <x:c r="I12" s="46" t="str">
        <x:v>No</x:v>
      </x:c>
      <x:c r="J12" s="46" t="str">
        <x:v>Aggregate</x:v>
      </x:c>
      <x:c r="K12" s="46" t="str">
        <x:v>Existing formulas only</x:v>
      </x:c>
      <x:c r="L12" s="46" t="str">
        <x:v>Reads risk</x:v>
      </x:c>
      <x:c r="M12" s="46" t="str">
        <x:v>Prohibited field</x:v>
      </x:c>
      <x:c r="N12" s="46" t="str">
        <x:v>Ignore + integrity flag</x:v>
      </x:c>
      <x:c r="O12" s="46" t="str">
        <x:v>P0</x:v>
      </x:c>
      <x:c r="P12" s="47" t="str"/>
    </x:row>
    <x:row r="14" ht="22" customHeight="1">
      <x:c r="A14" s="11" t="str">
        <x:v>Runtime Invariant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</x:row>
    <x:row r="15">
      <x:c r="A15" s="65" t="str">
        <x:v>The Module Runtime never creates Cash, customers, Performance Score, Hunt Points, Reputation or $PLOT directly. It transforms approved simulation inputs only; existing authoritative systems calculate the resulting outcomes.</x:v>
      </x:c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</x:row>
  </x:sheetData>
  <x:mergeCells>
    <x:mergeCell ref="A1:P1"/>
    <x:mergeCell ref="A14:P14"/>
    <x:mergeCell ref="A15:P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Stacking, Diminishing Returns &amp; Hard Caps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22"/>
      <x:c r="P1" s="22"/>
      <x:c r="Q1" s="22"/>
    </x:row>
    <x:row r="3">
      <x:c r="A3" s="14" t="str">
        <x:v>Effect Family</x:v>
      </x:c>
      <x:c r="B3" s="14" t="str">
        <x:v>First</x:v>
      </x:c>
      <x:c r="C3" s="14" t="str">
        <x:v>Second Same Group</x:v>
      </x:c>
      <x:c r="D3" s="14" t="str">
        <x:v>Third Same Group</x:v>
      </x:c>
      <x:c r="E3" s="14" t="str">
        <x:v>Fourth+</x:v>
      </x:c>
      <x:c r="F3" s="14" t="str">
        <x:v>Hard Positive Cap</x:v>
      </x:c>
      <x:c r="G3" s="14" t="str">
        <x:v>Hard Reduction Cap</x:v>
      </x:c>
      <x:c r="H3" s="14" t="str">
        <x:v>Tradeoff Treatment</x:v>
      </x:c>
      <x:c r="I3" s="14" t="str">
        <x:v>Order</x:v>
      </x:c>
      <x:c r="J3" s="14" t="str">
        <x:v>Legendary Rule</x:v>
      </x:c>
      <x:c r="K3" s="14" t="str">
        <x:v>Cross-Group?</x:v>
      </x:c>
      <x:c r="L3" s="14" t="str">
        <x:v>Server Enforcement</x:v>
      </x:c>
      <x:c r="M3" s="14" t="str">
        <x:v>UI Requirement</x:v>
      </x:c>
      <x:c r="N3" s="14" t="str">
        <x:v>Notes</x:v>
      </x:c>
    </x:row>
    <x:row r="4">
      <x:c r="A4" s="40" t="str">
        <x:v>Default group</x:v>
      </x:c>
      <x:c r="B4" s="56" t="n">
        <x:v>1</x:v>
      </x:c>
      <x:c r="C4" s="56" t="n">
        <x:v>0.6</x:v>
      </x:c>
      <x:c r="D4" s="56" t="n">
        <x:v>0.3</x:v>
      </x:c>
      <x:c r="E4" s="56" t="n">
        <x:v>0</x:v>
      </x:c>
      <x:c r="F4" s="41"/>
      <x:c r="G4" s="41"/>
      <x:c r="H4" s="41" t="str">
        <x:v>Downsides at 100%</x:v>
      </x:c>
      <x:c r="I4" s="41" t="str">
        <x:v>Largest benefit first</x:v>
      </x:c>
      <x:c r="J4" s="41" t="str">
        <x:v>Max 1 Legendary/building</x:v>
      </x:c>
      <x:c r="K4" s="41" t="str">
        <x:v>Yes until type cap</x:v>
      </x:c>
      <x:c r="L4" s="41" t="str">
        <x:v>Mandatory</x:v>
      </x:c>
      <x:c r="M4" s="41" t="str">
        <x:v>Raw vs effective</x:v>
      </x:c>
      <x:c r="N4" s="42" t="str"/>
    </x:row>
    <x:row r="5">
      <x:c r="A5" s="43" t="str">
        <x:v>Customer acquisition</x:v>
      </x:c>
      <x:c r="B5" s="57" t="n">
        <x:v>1</x:v>
      </x:c>
      <x:c r="C5" s="57" t="n">
        <x:v>0.6</x:v>
      </x:c>
      <x:c r="D5" s="57" t="n">
        <x:v>0.3</x:v>
      </x:c>
      <x:c r="E5" s="57" t="n">
        <x:v>0</x:v>
      </x:c>
      <x:c r="F5" s="57" t="n">
        <x:v>0.25</x:v>
      </x:c>
      <x:c r="G5" s="22"/>
      <x:c r="H5" s="22" t="str">
        <x:v>Full</x:v>
      </x:c>
      <x:c r="I5" s="22" t="str">
        <x:v>Group then type cap</x:v>
      </x:c>
      <x:c r="J5" s="22" t="str">
        <x:v>Same</x:v>
      </x:c>
      <x:c r="K5" s="22" t="str">
        <x:v>Yes</x:v>
      </x:c>
      <x:c r="L5" s="22" t="str">
        <x:v>25% max net positive</x:v>
      </x:c>
      <x:c r="M5" s="22" t="str">
        <x:v>Cap warning</x:v>
      </x:c>
      <x:c r="N5" s="44" t="str"/>
    </x:row>
    <x:row r="6">
      <x:c r="A6" s="43" t="str">
        <x:v>Retention</x:v>
      </x:c>
      <x:c r="B6" s="57" t="n">
        <x:v>1</x:v>
      </x:c>
      <x:c r="C6" s="57" t="n">
        <x:v>0.6</x:v>
      </x:c>
      <x:c r="D6" s="57" t="n">
        <x:v>0.3</x:v>
      </x:c>
      <x:c r="E6" s="57" t="n">
        <x:v>0</x:v>
      </x:c>
      <x:c r="F6" s="57" t="n">
        <x:v>0.15</x:v>
      </x:c>
      <x:c r="G6" s="22"/>
      <x:c r="H6" s="22" t="str">
        <x:v>Full</x:v>
      </x:c>
      <x:c r="I6" s="22" t="str">
        <x:v>Group then cap</x:v>
      </x:c>
      <x:c r="J6" s="22" t="str">
        <x:v>Same</x:v>
      </x:c>
      <x:c r="K6" s="22" t="str">
        <x:v>Yes</x:v>
      </x:c>
      <x:c r="L6" s="22" t="str">
        <x:v>15% max</x:v>
      </x:c>
      <x:c r="M6" s="22" t="str">
        <x:v>Effective retention</x:v>
      </x:c>
      <x:c r="N6" s="44" t="str"/>
    </x:row>
    <x:row r="7">
      <x:c r="A7" s="43" t="str">
        <x:v>Capacity</x:v>
      </x:c>
      <x:c r="B7" s="57" t="n">
        <x:v>1</x:v>
      </x:c>
      <x:c r="C7" s="57" t="n">
        <x:v>0.6</x:v>
      </x:c>
      <x:c r="D7" s="57" t="n">
        <x:v>0.3</x:v>
      </x:c>
      <x:c r="E7" s="57" t="n">
        <x:v>0</x:v>
      </x:c>
      <x:c r="F7" s="57" t="n">
        <x:v>0.2</x:v>
      </x:c>
      <x:c r="G7" s="22"/>
      <x:c r="H7" s="22" t="str">
        <x:v>Full</x:v>
      </x:c>
      <x:c r="I7" s="22" t="str">
        <x:v>Group then cap</x:v>
      </x:c>
      <x:c r="J7" s="22" t="str">
        <x:v>Same</x:v>
      </x:c>
      <x:c r="K7" s="22" t="str">
        <x:v>Yes</x:v>
      </x:c>
      <x:c r="L7" s="22" t="str">
        <x:v>20% max</x:v>
      </x:c>
      <x:c r="M7" s="22" t="str">
        <x:v>Effective capacity</x:v>
      </x:c>
      <x:c r="N7" s="44" t="str"/>
    </x:row>
    <x:row r="8">
      <x:c r="A8" s="43" t="str">
        <x:v>Activity efficiency</x:v>
      </x:c>
      <x:c r="B8" s="57" t="n">
        <x:v>1</x:v>
      </x:c>
      <x:c r="C8" s="57" t="n">
        <x:v>0.6</x:v>
      </x:c>
      <x:c r="D8" s="57" t="n">
        <x:v>0.3</x:v>
      </x:c>
      <x:c r="E8" s="57" t="n">
        <x:v>0</x:v>
      </x:c>
      <x:c r="F8" s="57" t="n">
        <x:v>0.15</x:v>
      </x:c>
      <x:c r="G8" s="22"/>
      <x:c r="H8" s="22" t="str">
        <x:v>Full</x:v>
      </x:c>
      <x:c r="I8" s="22" t="str">
        <x:v>Group then cap</x:v>
      </x:c>
      <x:c r="J8" s="22" t="str">
        <x:v>Same</x:v>
      </x:c>
      <x:c r="K8" s="22" t="str">
        <x:v>Yes</x:v>
      </x:c>
      <x:c r="L8" s="22" t="str">
        <x:v>15% max</x:v>
      </x:c>
      <x:c r="M8" s="22" t="str">
        <x:v>No direct Activity Points</x:v>
      </x:c>
      <x:c r="N8" s="44" t="str"/>
    </x:row>
    <x:row r="9">
      <x:c r="A9" s="43" t="str">
        <x:v>Operating-cost efficiency</x:v>
      </x:c>
      <x:c r="B9" s="57" t="n">
        <x:v>1</x:v>
      </x:c>
      <x:c r="C9" s="57" t="n">
        <x:v>0.6</x:v>
      </x:c>
      <x:c r="D9" s="57" t="n">
        <x:v>0.3</x:v>
      </x:c>
      <x:c r="E9" s="57" t="n">
        <x:v>0</x:v>
      </x:c>
      <x:c r="F9" s="57" t="n">
        <x:v>0.12</x:v>
      </x:c>
      <x:c r="G9" s="22"/>
      <x:c r="H9" s="22" t="str">
        <x:v>Full</x:v>
      </x:c>
      <x:c r="I9" s="22" t="str">
        <x:v>Group then cap</x:v>
      </x:c>
      <x:c r="J9" s="22" t="str">
        <x:v>Same</x:v>
      </x:c>
      <x:c r="K9" s="22" t="str">
        <x:v>Yes</x:v>
      </x:c>
      <x:c r="L9" s="22" t="str">
        <x:v>12% max reduction</x:v>
      </x:c>
      <x:c r="M9" s="22" t="str">
        <x:v>Projected opex param</x:v>
      </x:c>
      <x:c r="N9" s="44" t="str"/>
    </x:row>
    <x:row r="10">
      <x:c r="A10" s="43" t="str">
        <x:v>Service quality</x:v>
      </x:c>
      <x:c r="B10" s="57" t="n">
        <x:v>1</x:v>
      </x:c>
      <x:c r="C10" s="57" t="n">
        <x:v>0.6</x:v>
      </x:c>
      <x:c r="D10" s="57" t="n">
        <x:v>0.3</x:v>
      </x:c>
      <x:c r="E10" s="57" t="n">
        <x:v>0</x:v>
      </x:c>
      <x:c r="F10" s="22" t="n">
        <x:v>10</x:v>
      </x:c>
      <x:c r="G10" s="22"/>
      <x:c r="H10" s="22" t="str">
        <x:v>Full</x:v>
      </x:c>
      <x:c r="I10" s="22" t="str">
        <x:v>Group then cap</x:v>
      </x:c>
      <x:c r="J10" s="22" t="str">
        <x:v>Same</x:v>
      </x:c>
      <x:c r="K10" s="22" t="str">
        <x:v>Yes</x:v>
      </x:c>
      <x:c r="L10" s="22" t="str">
        <x:v>+10 points</x:v>
      </x:c>
      <x:c r="M10" s="22" t="str">
        <x:v>Points</x:v>
      </x:c>
      <x:c r="N10" s="44" t="str"/>
    </x:row>
    <x:row r="11">
      <x:c r="A11" s="43" t="str">
        <x:v>Risk reduction</x:v>
      </x:c>
      <x:c r="B11" s="57" t="n">
        <x:v>1</x:v>
      </x:c>
      <x:c r="C11" s="57" t="n">
        <x:v>0.6</x:v>
      </x:c>
      <x:c r="D11" s="57" t="n">
        <x:v>0.3</x:v>
      </x:c>
      <x:c r="E11" s="57" t="n">
        <x:v>0</x:v>
      </x:c>
      <x:c r="F11" s="22"/>
      <x:c r="G11" s="22" t="n">
        <x:v>-15</x:v>
      </x:c>
      <x:c r="H11" s="22" t="str">
        <x:v>Risk-increasing downsides at 100%</x:v>
      </x:c>
      <x:c r="I11" s="22" t="str">
        <x:v>Group then risk cap</x:v>
      </x:c>
      <x:c r="J11" s="22" t="str">
        <x:v>Same</x:v>
      </x:c>
      <x:c r="K11" s="22" t="str">
        <x:v>Yes</x:v>
      </x:c>
      <x:c r="L11" s="22" t="str">
        <x:v>-15 points total relevant cap</x:v>
      </x:c>
      <x:c r="M11" s="22" t="str">
        <x:v>Category deltas</x:v>
      </x:c>
      <x:c r="N11" s="44" t="str"/>
    </x:row>
    <x:row r="12">
      <x:c r="A12" s="45" t="str">
        <x:v>Event resilience</x:v>
      </x:c>
      <x:c r="B12" s="60" t="n">
        <x:v>1</x:v>
      </x:c>
      <x:c r="C12" s="60" t="n">
        <x:v>0.6</x:v>
      </x:c>
      <x:c r="D12" s="60" t="n">
        <x:v>0.3</x:v>
      </x:c>
      <x:c r="E12" s="60" t="n">
        <x:v>0</x:v>
      </x:c>
      <x:c r="F12" s="60" t="n">
        <x:v>0.2</x:v>
      </x:c>
      <x:c r="G12" s="46"/>
      <x:c r="H12" s="46" t="str">
        <x:v>Full</x:v>
      </x:c>
      <x:c r="I12" s="46" t="str">
        <x:v>Group then event cap</x:v>
      </x:c>
      <x:c r="J12" s="46" t="str">
        <x:v>Same</x:v>
      </x:c>
      <x:c r="K12" s="46" t="str">
        <x:v>Yes</x:v>
      </x:c>
      <x:c r="L12" s="46" t="str">
        <x:v>20% max</x:v>
      </x:c>
      <x:c r="M12" s="46" t="str">
        <x:v>Cannot cancel event</x:v>
      </x:c>
      <x:c r="N12" s="47" t="str"/>
    </x:row>
  </x:sheetData>
  <x:mergeCells>
    <x:mergeCell ref="A1:N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Module Inventory State &amp; Rules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22"/>
    </x:row>
    <x:row r="3">
      <x:c r="A3" s="14" t="str">
        <x:v>Entity / Rule</x:v>
      </x:c>
      <x:c r="B3" s="14" t="str">
        <x:v>Field / Action</x:v>
      </x:c>
      <x:c r="C3" s="14" t="str">
        <x:v>Type</x:v>
      </x:c>
      <x:c r="D3" s="14" t="str">
        <x:v>Example</x:v>
      </x:c>
      <x:c r="E3" s="14" t="str">
        <x:v>Authoritative Source</x:v>
      </x:c>
      <x:c r="F3" s="14" t="str">
        <x:v>Invariant</x:v>
      </x:c>
      <x:c r="G3" s="14" t="str">
        <x:v>Index</x:v>
      </x:c>
      <x:c r="H3" s="14" t="str">
        <x:v>Mutation</x:v>
      </x:c>
      <x:c r="I3" s="14" t="str">
        <x:v>Idempotency</x:v>
      </x:c>
      <x:c r="J3" s="14" t="str">
        <x:v>Concurrency</x:v>
      </x:c>
      <x:c r="K3" s="14" t="str">
        <x:v>Client Visibility</x:v>
      </x:c>
      <x:c r="L3" s="14" t="str">
        <x:v>Audit?</x:v>
      </x:c>
      <x:c r="M3" s="14" t="str">
        <x:v>Failure Handling</x:v>
      </x:c>
      <x:c r="N3" s="14" t="str">
        <x:v>MVP?</x:v>
      </x:c>
      <x:c r="O3" s="14" t="str">
        <x:v>Priority</x:v>
      </x:c>
      <x:c r="P3" s="14" t="str">
        <x:v>Notes</x:v>
      </x:c>
    </x:row>
    <x:row r="4">
      <x:c r="A4" s="40" t="str">
        <x:v>player_module_inventory</x:v>
      </x:c>
      <x:c r="B4" s="41" t="str">
        <x:v>player_id</x:v>
      </x:c>
      <x:c r="C4" s="41" t="str">
        <x:v>UUID</x:v>
      </x:c>
      <x:c r="D4" s="41" t="str">
        <x:v>p_123</x:v>
      </x:c>
      <x:c r="E4" s="41" t="str">
        <x:v>Auth/Game State</x:v>
      </x:c>
      <x:c r="F4" s="41" t="str">
        <x:v>Required</x:v>
      </x:c>
      <x:c r="G4" s="41" t="str">
        <x:v>PK composite</x:v>
      </x:c>
      <x:c r="H4" s="41" t="str">
        <x:v>None</x:v>
      </x:c>
      <x:c r="I4" s="41" t="str">
        <x:v>N/A</x:v>
      </x:c>
      <x:c r="J4" s="41" t="str">
        <x:v>N/A</x:v>
      </x:c>
      <x:c r="K4" s="41" t="str">
        <x:v>Hidden</x:v>
      </x:c>
      <x:c r="L4" s="41" t="str">
        <x:v>Yes</x:v>
      </x:c>
      <x:c r="M4" s="41" t="str">
        <x:v>N/A</x:v>
      </x:c>
      <x:c r="N4" s="41" t="str">
        <x:v>Yes</x:v>
      </x:c>
      <x:c r="O4" s="41" t="str">
        <x:v>P0</x:v>
      </x:c>
      <x:c r="P4" s="42" t="str"/>
    </x:row>
    <x:row r="5">
      <x:c r="A5" s="43" t="str">
        <x:v>player_module_inventory</x:v>
      </x:c>
      <x:c r="B5" s="22" t="str">
        <x:v>module_id</x:v>
      </x:c>
      <x:c r="C5" s="22" t="str">
        <x:v>string</x:v>
      </x:c>
      <x:c r="D5" s="22" t="str">
        <x:v>mod_banking_sme_growth_r1</x:v>
      </x:c>
      <x:c r="E5" s="22" t="str">
        <x:v>Module Config</x:v>
      </x:c>
      <x:c r="F5" s="22" t="str">
        <x:v>Must resolve config</x:v>
      </x:c>
      <x:c r="G5" s="22" t="str">
        <x:v>PK composite</x:v>
      </x:c>
      <x:c r="H5" s="22" t="str">
        <x:v>None</x:v>
      </x:c>
      <x:c r="I5" s="22" t="str">
        <x:v>N/A</x:v>
      </x:c>
      <x:c r="J5" s="22" t="str">
        <x:v>N/A</x:v>
      </x:c>
      <x:c r="K5" s="22" t="str">
        <x:v>Yes</x:v>
      </x:c>
      <x:c r="L5" s="22" t="str">
        <x:v>Yes</x:v>
      </x:c>
      <x:c r="M5" s="22" t="str">
        <x:v>Unknown Module quarantined</x:v>
      </x:c>
      <x:c r="N5" s="22" t="str">
        <x:v>Yes</x:v>
      </x:c>
      <x:c r="O5" s="22" t="str">
        <x:v>P0</x:v>
      </x:c>
      <x:c r="P5" s="44" t="str"/>
    </x:row>
    <x:row r="6">
      <x:c r="A6" s="43" t="str">
        <x:v>player_module_inventory</x:v>
      </x:c>
      <x:c r="B6" s="22" t="str">
        <x:v>quantity_owned</x:v>
      </x:c>
      <x:c r="C6" s="22" t="str">
        <x:v>integer</x:v>
      </x:c>
      <x:c r="D6" s="22" t="str">
        <x:v>3</x:v>
      </x:c>
      <x:c r="E6" s="22" t="str">
        <x:v>Reward/Craft Service</x:v>
      </x:c>
      <x:c r="F6" s="22" t="str">
        <x:v>&gt;= quantity_equipped &gt;=0</x:v>
      </x:c>
      <x:c r="G6" s="22" t="str">
        <x:v>player,module</x:v>
      </x:c>
      <x:c r="H6" s="22" t="str">
        <x:v>Reward/craft/dismantle</x:v>
      </x:c>
      <x:c r="I6" s="22" t="str">
        <x:v>source_event_id</x:v>
      </x:c>
      <x:c r="J6" s="22" t="str">
        <x:v>Atomic row/version</x:v>
      </x:c>
      <x:c r="K6" s="22" t="str">
        <x:v>Yes</x:v>
      </x:c>
      <x:c r="L6" s="22" t="str">
        <x:v>Yes</x:v>
      </x:c>
      <x:c r="M6" s="22" t="str">
        <x:v>Reject underflow</x:v>
      </x:c>
      <x:c r="N6" s="22" t="str">
        <x:v>Yes</x:v>
      </x:c>
      <x:c r="O6" s="22" t="str">
        <x:v>P0</x:v>
      </x:c>
      <x:c r="P6" s="44" t="str"/>
    </x:row>
    <x:row r="7">
      <x:c r="A7" s="43" t="str">
        <x:v>player_module_inventory</x:v>
      </x:c>
      <x:c r="B7" s="22" t="str">
        <x:v>quantity_equipped</x:v>
      </x:c>
      <x:c r="C7" s="22" t="str">
        <x:v>integer</x:v>
      </x:c>
      <x:c r="D7" s="22" t="str">
        <x:v>1</x:v>
      </x:c>
      <x:c r="E7" s="22" t="str">
        <x:v>Equip Service</x:v>
      </x:c>
      <x:c r="F7" s="22" t="str">
        <x:v>0 &lt;= equipped &lt;= owned</x:v>
      </x:c>
      <x:c r="G7" s="22" t="str">
        <x:v>player,module</x:v>
      </x:c>
      <x:c r="H7" s="22" t="str">
        <x:v>Equip/unequip/removal</x:v>
      </x:c>
      <x:c r="I7" s="22" t="str">
        <x:v>request_id</x:v>
      </x:c>
      <x:c r="J7" s="22" t="str">
        <x:v>Atomic transaction</x:v>
      </x:c>
      <x:c r="K7" s="22" t="str">
        <x:v>Yes</x:v>
      </x:c>
      <x:c r="L7" s="22" t="str">
        <x:v>Yes</x:v>
      </x:c>
      <x:c r="M7" s="22" t="str">
        <x:v>Rebuild from loadouts if mismatch</x:v>
      </x:c>
      <x:c r="N7" s="22" t="str">
        <x:v>Yes</x:v>
      </x:c>
      <x:c r="O7" s="22" t="str">
        <x:v>P0</x:v>
      </x:c>
      <x:c r="P7" s="44" t="str"/>
    </x:row>
    <x:row r="8">
      <x:c r="A8" s="43" t="str">
        <x:v>Inventory rule</x:v>
      </x:c>
      <x:c r="B8" s="22" t="str">
        <x:v>No hard inventory slot cap</x:v>
      </x:c>
      <x:c r="C8" s="22" t="str">
        <x:v>rule</x:v>
      </x:c>
      <x:c r="D8" s="22" t="str">
        <x:v>Unlimited IDs</x:v>
      </x:c>
      <x:c r="E8" s="22" t="str">
        <x:v>Config</x:v>
      </x:c>
      <x:c r="F8" s="22" t="str">
        <x:v>No paid inventory pressure</x:v>
      </x:c>
      <x:c r="G8" s="22" t="str">
        <x:v>N/A</x:v>
      </x:c>
      <x:c r="H8" s="22" t="str">
        <x:v>N/A</x:v>
      </x:c>
      <x:c r="I8" s="22" t="str">
        <x:v>N/A</x:v>
      </x:c>
      <x:c r="J8" s="22" t="str">
        <x:v>N/A</x:v>
      </x:c>
      <x:c r="K8" s="22" t="str">
        <x:v>Yes</x:v>
      </x:c>
      <x:c r="L8" s="22" t="str">
        <x:v>No</x:v>
      </x:c>
      <x:c r="M8" s="22" t="str">
        <x:v>N/A</x:v>
      </x:c>
      <x:c r="N8" s="22" t="str">
        <x:v>Yes</x:v>
      </x:c>
      <x:c r="O8" s="22" t="str">
        <x:v>P0</x:v>
      </x:c>
      <x:c r="P8" s="44" t="str"/>
    </x:row>
    <x:row r="9">
      <x:c r="A9" s="43" t="str">
        <x:v>Inventory rule</x:v>
      </x:c>
      <x:c r="B9" s="22" t="str">
        <x:v>Copies stored as quantity</x:v>
      </x:c>
      <x:c r="C9" s="22" t="str">
        <x:v>rule</x:v>
      </x:c>
      <x:c r="D9" s="22" t="str">
        <x:v>x3</x:v>
      </x:c>
      <x:c r="E9" s="22" t="str">
        <x:v>Server</x:v>
      </x:c>
      <x:c r="F9" s="22" t="str">
        <x:v>No serial IDs v1.0</x:v>
      </x:c>
      <x:c r="G9" s="22" t="str">
        <x:v>N/A</x:v>
      </x:c>
      <x:c r="H9" s="22" t="str">
        <x:v>N/A</x:v>
      </x:c>
      <x:c r="I9" s="22" t="str">
        <x:v>N/A</x:v>
      </x:c>
      <x:c r="J9" s="22" t="str">
        <x:v>N/A</x:v>
      </x:c>
      <x:c r="K9" s="22" t="str">
        <x:v>Yes</x:v>
      </x:c>
      <x:c r="L9" s="22" t="str">
        <x:v>No</x:v>
      </x:c>
      <x:c r="M9" s="22" t="str">
        <x:v>N/A</x:v>
      </x:c>
      <x:c r="N9" s="22" t="str">
        <x:v>Yes</x:v>
      </x:c>
      <x:c r="O9" s="22" t="str">
        <x:v>P0</x:v>
      </x:c>
      <x:c r="P9" s="44" t="str"/>
    </x:row>
    <x:row r="10">
      <x:c r="A10" s="43" t="str">
        <x:v>Inventory rule</x:v>
      </x:c>
      <x:c r="B10" s="22" t="str">
        <x:v>Equipped copies cannot be dismantled</x:v>
      </x:c>
      <x:c r="C10" s="22" t="str">
        <x:v>rule</x:v>
      </x:c>
      <x:c r="D10" s="22" t="str">
        <x:v>available=owned-equipped</x:v>
      </x:c>
      <x:c r="E10" s="22" t="str">
        <x:v>Server</x:v>
      </x:c>
      <x:c r="F10" s="22" t="str">
        <x:v>available &gt;= requested qty</x:v>
      </x:c>
      <x:c r="G10" s="22" t="str">
        <x:v>N/A</x:v>
      </x:c>
      <x:c r="H10" s="22" t="str">
        <x:v>Dismantle</x:v>
      </x:c>
      <x:c r="I10" s="22" t="str">
        <x:v>idempotency_key</x:v>
      </x:c>
      <x:c r="J10" s="22" t="str">
        <x:v>Atomic</x:v>
      </x:c>
      <x:c r="K10" s="22" t="str">
        <x:v>Yes</x:v>
      </x:c>
      <x:c r="L10" s="22" t="str">
        <x:v>Yes</x:v>
      </x:c>
      <x:c r="M10" s="22" t="str">
        <x:v>Reject</x:v>
      </x:c>
      <x:c r="N10" s="22" t="str">
        <x:v>Yes</x:v>
      </x:c>
      <x:c r="O10" s="22" t="str">
        <x:v>P0</x:v>
      </x:c>
      <x:c r="P10" s="44" t="str"/>
    </x:row>
    <x:row r="11">
      <x:c r="A11" s="45" t="str">
        <x:v>Inventory rule</x:v>
      </x:c>
      <x:c r="B11" s="46" t="str">
        <x:v>Retired Module stays visible if owned</x:v>
      </x:c>
      <x:c r="C11" s="46" t="str">
        <x:v>rule</x:v>
      </x:c>
      <x:c r="D11" s="46" t="str">
        <x:v>is_active=false</x:v>
      </x:c>
      <x:c r="E11" s="46" t="str">
        <x:v>Config+Inventory</x:v>
      </x:c>
      <x:c r="F11" s="46" t="str">
        <x:v>No new drop/craft</x:v>
      </x:c>
      <x:c r="G11" s="46" t="str">
        <x:v>module</x:v>
      </x:c>
      <x:c r="H11" s="46" t="str">
        <x:v>Retirement policy</x:v>
      </x:c>
      <x:c r="I11" s="46" t="str">
        <x:v>N/A</x:v>
      </x:c>
      <x:c r="J11" s="46" t="str">
        <x:v>N/A</x:v>
      </x:c>
      <x:c r="K11" s="46" t="str">
        <x:v>Yes</x:v>
      </x:c>
      <x:c r="L11" s="46" t="str">
        <x:v>Yes</x:v>
      </x:c>
      <x:c r="M11" s="46" t="str">
        <x:v>Retired badge</x:v>
      </x:c>
      <x:c r="N11" s="46" t="str">
        <x:v>No</x:v>
      </x:c>
      <x:c r="O11" s="46" t="str">
        <x:v>P2</x:v>
      </x:c>
      <x:c r="P11" s="47" t="str">
        <x:v>Default existing equipped remains until unequipped</x:v>
      </x:c>
    </x:row>
  </x:sheetData>
  <x:mergeCells>
    <x:mergeCell ref="A1:P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Equipment / Loadout System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84"/>
    </x:row>
    <x:row r="3">
      <x:c r="A3" s="14" t="str">
        <x:v>Rule / Field</x:v>
      </x:c>
      <x:c r="B3" s="14" t="str">
        <x:v>Type</x:v>
      </x:c>
      <x:c r="C3" s="14" t="str">
        <x:v>Example</x:v>
      </x:c>
      <x:c r="D3" s="14" t="str">
        <x:v>Validation</x:v>
      </x:c>
      <x:c r="E3" s="14" t="str">
        <x:v>When Checked</x:v>
      </x:c>
      <x:c r="F3" s="14" t="str">
        <x:v>Mutation</x:v>
      </x:c>
      <x:c r="G3" s="14" t="str">
        <x:v>Transaction Scope</x:v>
      </x:c>
      <x:c r="H3" s="14" t="str">
        <x:v>Effective Timing</x:v>
      </x:c>
      <x:c r="I3" s="14" t="str">
        <x:v>Event Lock?</x:v>
      </x:c>
      <x:c r="J3" s="14" t="str">
        <x:v>Building Removal</x:v>
      </x:c>
      <x:c r="K3" s="14" t="str">
        <x:v>Building Upgrade</x:v>
      </x:c>
      <x:c r="L3" s="14" t="str">
        <x:v>Plot Transfer</x:v>
      </x:c>
      <x:c r="M3" s="14" t="str">
        <x:v>Performance Direct?</x:v>
      </x:c>
      <x:c r="N3" s="14" t="str">
        <x:v>Audit</x:v>
      </x:c>
      <x:c r="O3" s="14" t="str">
        <x:v>Error Code</x:v>
      </x:c>
      <x:c r="P3" s="14" t="str">
        <x:v>Priority</x:v>
      </x:c>
      <x:c r="Q3" s="14" t="str">
        <x:v>Notes</x:v>
      </x:c>
    </x:row>
    <x:row r="4">
      <x:c r="A4" s="40" t="str">
        <x:v>building_instance_id</x:v>
      </x:c>
      <x:c r="B4" s="41" t="str">
        <x:v>UUID</x:v>
      </x:c>
      <x:c r="C4" s="41" t="str">
        <x:v>bld_456</x:v>
      </x:c>
      <x:c r="D4" s="41" t="str">
        <x:v>Owned by player; active/placed</x:v>
      </x:c>
      <x:c r="E4" s="41" t="str">
        <x:v>Equip/unequip</x:v>
      </x:c>
      <x:c r="F4" s="41" t="str">
        <x:v>Equip/unequip</x:v>
      </x:c>
      <x:c r="G4" s="41" t="str">
        <x:v>Loadout+inventory</x:v>
      </x:c>
      <x:c r="H4" s="41" t="str">
        <x:v>Next relevant tick</x:v>
      </x:c>
      <x:c r="I4" s="41" t="str">
        <x:v>Maybe</x:v>
      </x:c>
      <x:c r="J4" s="41" t="str">
        <x:v>Return Modules</x:v>
      </x:c>
      <x:c r="K4" s="41" t="str">
        <x:v>Preserve if compatible</x:v>
      </x:c>
      <x:c r="L4" s="41" t="str">
        <x:v>Buildings do not transfer by default</x:v>
      </x:c>
      <x:c r="M4" s="41" t="str">
        <x:v>No</x:v>
      </x:c>
      <x:c r="N4" s="41" t="str">
        <x:v>Yes</x:v>
      </x:c>
      <x:c r="O4" s="41" t="str">
        <x:v>BUILDING_NOT_FOUND</x:v>
      </x:c>
      <x:c r="P4" s="41" t="str">
        <x:v>P0</x:v>
      </x:c>
      <x:c r="Q4" s="42" t="str"/>
    </x:row>
    <x:row r="5">
      <x:c r="A5" s="43" t="str">
        <x:v>slot_index</x:v>
      </x:c>
      <x:c r="B5" s="22" t="str">
        <x:v>integer</x:v>
      </x:c>
      <x:c r="C5" s="22" t="str">
        <x:v>0</x:v>
      </x:c>
      <x:c r="D5" s="22" t="str">
        <x:v>0 &lt;= slot &lt; unlocked slots</x:v>
      </x:c>
      <x:c r="E5" s="22" t="str">
        <x:v>Equip</x:v>
      </x:c>
      <x:c r="F5" s="22" t="str">
        <x:v>Equip/unequip</x:v>
      </x:c>
      <x:c r="G5" s="22" t="str">
        <x:v>Loadout+inventory</x:v>
      </x:c>
      <x:c r="H5" s="22" t="str">
        <x:v>Next relevant tick</x:v>
      </x:c>
      <x:c r="I5" s="22" t="str">
        <x:v>Maybe</x:v>
      </x:c>
      <x:c r="J5" s="22" t="str">
        <x:v>N/A</x:v>
      </x:c>
      <x:c r="K5" s="22" t="str">
        <x:v>New slots unlock</x:v>
      </x:c>
      <x:c r="L5" s="22" t="str">
        <x:v>N/A</x:v>
      </x:c>
      <x:c r="M5" s="22" t="str">
        <x:v>No</x:v>
      </x:c>
      <x:c r="N5" s="22" t="str">
        <x:v>Yes</x:v>
      </x:c>
      <x:c r="O5" s="22" t="str">
        <x:v>SLOT_LOCKED</x:v>
      </x:c>
      <x:c r="P5" s="22" t="str">
        <x:v>P0</x:v>
      </x:c>
      <x:c r="Q5" s="44" t="str"/>
    </x:row>
    <x:row r="6">
      <x:c r="A6" s="43" t="str">
        <x:v>module_id</x:v>
      </x:c>
      <x:c r="B6" s="22" t="str">
        <x:v>string</x:v>
      </x:c>
      <x:c r="C6" s="22" t="str">
        <x:v>mod_banking_sme_growth_r1</x:v>
      </x:c>
      <x:c r="D6" s="22" t="str">
        <x:v>Owned available copy + active + compatible</x:v>
      </x:c>
      <x:c r="E6" s="22" t="str">
        <x:v>Equip</x:v>
      </x:c>
      <x:c r="F6" s="22" t="str">
        <x:v>Equip</x:v>
      </x:c>
      <x:c r="G6" s="22" t="str">
        <x:v>Loadout+inventory</x:v>
      </x:c>
      <x:c r="H6" s="22" t="str">
        <x:v>Next relevant tick</x:v>
      </x:c>
      <x:c r="I6" s="22" t="str">
        <x:v>Maybe</x:v>
      </x:c>
      <x:c r="J6" s="22" t="str">
        <x:v>Return copy</x:v>
      </x:c>
      <x:c r="K6" s="22" t="str">
        <x:v>Revalidate config</x:v>
      </x:c>
      <x:c r="L6" s="22" t="str">
        <x:v>N/A</x:v>
      </x:c>
      <x:c r="M6" s="22" t="str">
        <x:v>No</x:v>
      </x:c>
      <x:c r="N6" s="22" t="str">
        <x:v>Yes</x:v>
      </x:c>
      <x:c r="O6" s="22" t="str">
        <x:v>MODULE_INCOMPATIBLE</x:v>
      </x:c>
      <x:c r="P6" s="22" t="str">
        <x:v>P0</x:v>
      </x:c>
      <x:c r="Q6" s="44" t="str"/>
    </x:row>
    <x:row r="7">
      <x:c r="A7" s="43" t="str">
        <x:v>loadout_version</x:v>
      </x:c>
      <x:c r="B7" s="22" t="str">
        <x:v>integer</x:v>
      </x:c>
      <x:c r="C7" s="22" t="str">
        <x:v>17</x:v>
      </x:c>
      <x:c r="D7" s="22" t="str">
        <x:v>Expected=current</x:v>
      </x:c>
      <x:c r="E7" s="22" t="str">
        <x:v>Every mutation</x:v>
      </x:c>
      <x:c r="F7" s="22" t="str">
        <x:v>Equip/unequip</x:v>
      </x:c>
      <x:c r="G7" s="22" t="str">
        <x:v>Loadout+inventory</x:v>
      </x:c>
      <x:c r="H7" s="22" t="str">
        <x:v>N/A</x:v>
      </x:c>
      <x:c r="I7" s="22" t="str">
        <x:v>N/A</x:v>
      </x:c>
      <x:c r="J7" s="22" t="str">
        <x:v>Archive/return</x:v>
      </x:c>
      <x:c r="K7" s="22" t="str">
        <x:v>Increment</x:v>
      </x:c>
      <x:c r="L7" s="22" t="str">
        <x:v>N/A</x:v>
      </x:c>
      <x:c r="M7" s="22" t="str">
        <x:v>No</x:v>
      </x:c>
      <x:c r="N7" s="22" t="str">
        <x:v>Yes</x:v>
      </x:c>
      <x:c r="O7" s="22" t="str">
        <x:v>VERSION_CONFLICT</x:v>
      </x:c>
      <x:c r="P7" s="22" t="str">
        <x:v>P0</x:v>
      </x:c>
      <x:c r="Q7" s="44" t="str"/>
    </x:row>
    <x:row r="8">
      <x:c r="A8" s="43" t="str">
        <x:v>effective_at</x:v>
      </x:c>
      <x:c r="B8" s="22" t="str">
        <x:v>timestamp</x:v>
      </x:c>
      <x:c r="C8" s="22" t="str">
        <x:v>next tick</x:v>
      </x:c>
      <x:c r="D8" s="22" t="str">
        <x:v>Server UTC</x:v>
      </x:c>
      <x:c r="E8" s="22" t="str">
        <x:v>Equip/unequip</x:v>
      </x:c>
      <x:c r="F8" s="22" t="str">
        <x:v>Server-generated</x:v>
      </x:c>
      <x:c r="G8" s="22" t="str">
        <x:v>Loadout</x:v>
      </x:c>
      <x:c r="H8" s="22" t="str">
        <x:v>Boundary-based</x:v>
      </x:c>
      <x:c r="I8" s="22" t="str">
        <x:v>Yes</x:v>
      </x:c>
      <x:c r="J8" s="22" t="str">
        <x:v>N/A</x:v>
      </x:c>
      <x:c r="K8" s="22" t="str">
        <x:v>N/A</x:v>
      </x:c>
      <x:c r="L8" s="22" t="str">
        <x:v>N/A</x:v>
      </x:c>
      <x:c r="M8" s="22" t="str">
        <x:v>No</x:v>
      </x:c>
      <x:c r="N8" s="22" t="str">
        <x:v>Yes</x:v>
      </x:c>
      <x:c r="O8" s="22" t="str">
        <x:v>N/A</x:v>
      </x:c>
      <x:c r="P8" s="22" t="str">
        <x:v>P0</x:v>
      </x:c>
      <x:c r="Q8" s="44" t="str"/>
    </x:row>
    <x:row r="9">
      <x:c r="A9" s="43" t="str">
        <x:v>Exact duplicate on same building</x:v>
      </x:c>
      <x:c r="B9" s="22" t="str">
        <x:v>rule</x:v>
      </x:c>
      <x:c r="C9" s="22" t="str">
        <x:v>Blocked</x:v>
      </x:c>
      <x:c r="D9" s="22" t="str">
        <x:v>No same module_id twice</x:v>
      </x:c>
      <x:c r="E9" s="22" t="str">
        <x:v>Equip</x:v>
      </x:c>
      <x:c r="F9" s="22" t="str">
        <x:v>Equip</x:v>
      </x:c>
      <x:c r="G9" s="22" t="str">
        <x:v>Loadout</x:v>
      </x:c>
      <x:c r="H9" s="22" t="str">
        <x:v>N/A</x:v>
      </x:c>
      <x:c r="I9" s="22" t="str">
        <x:v>Yes</x:v>
      </x:c>
      <x:c r="J9" s="22" t="str">
        <x:v>N/A</x:v>
      </x:c>
      <x:c r="K9" s="22" t="str">
        <x:v>N/A</x:v>
      </x:c>
      <x:c r="L9" s="22" t="str">
        <x:v>N/A</x:v>
      </x:c>
      <x:c r="M9" s="22" t="str">
        <x:v>No</x:v>
      </x:c>
      <x:c r="N9" s="22" t="str">
        <x:v>Yes</x:v>
      </x:c>
      <x:c r="O9" s="22" t="str">
        <x:v>DUPLICATE_MODULE</x:v>
      </x:c>
      <x:c r="P9" s="22" t="str">
        <x:v>P0</x:v>
      </x:c>
      <x:c r="Q9" s="44" t="str"/>
    </x:row>
    <x:row r="10">
      <x:c r="A10" s="43" t="str">
        <x:v>Legendary count</x:v>
      </x:c>
      <x:c r="B10" s="22" t="str">
        <x:v>rule</x:v>
      </x:c>
      <x:c r="C10" s="22" t="str">
        <x:v>&lt;=1</x:v>
      </x:c>
      <x:c r="D10" s="22" t="str">
        <x:v>Count rarity</x:v>
      </x:c>
      <x:c r="E10" s="22" t="str">
        <x:v>Equip</x:v>
      </x:c>
      <x:c r="F10" s="22" t="str">
        <x:v>Equip</x:v>
      </x:c>
      <x:c r="G10" s="22" t="str">
        <x:v>Loadout</x:v>
      </x:c>
      <x:c r="H10" s="22" t="str">
        <x:v>N/A</x:v>
      </x:c>
      <x:c r="I10" s="22" t="str">
        <x:v>Yes</x:v>
      </x:c>
      <x:c r="J10" s="22" t="str">
        <x:v>N/A</x:v>
      </x:c>
      <x:c r="K10" s="22" t="str">
        <x:v>N/A</x:v>
      </x:c>
      <x:c r="L10" s="22" t="str">
        <x:v>N/A</x:v>
      </x:c>
      <x:c r="M10" s="22" t="str">
        <x:v>No</x:v>
      </x:c>
      <x:c r="N10" s="22" t="str">
        <x:v>Yes</x:v>
      </x:c>
      <x:c r="O10" s="22" t="str">
        <x:v>LEGENDARY_LIMIT</x:v>
      </x:c>
      <x:c r="P10" s="22" t="str">
        <x:v>P2</x:v>
      </x:c>
      <x:c r="Q10" s="44" t="str"/>
    </x:row>
    <x:row r="11">
      <x:c r="A11" s="43" t="str">
        <x:v>Family compatibility</x:v>
      </x:c>
      <x:c r="B11" s="22" t="str">
        <x:v>rule</x:v>
      </x:c>
      <x:c r="C11" s="22" t="str">
        <x:v>Banking allows Customer/Liquidity/Credit/Risk/Service/Universal</x:v>
      </x:c>
      <x:c r="D11" s="22" t="str">
        <x:v>Config vs building family</x:v>
      </x:c>
      <x:c r="E11" s="22" t="str">
        <x:v>Equip/runtime</x:v>
      </x:c>
      <x:c r="F11" s="22" t="str">
        <x:v>Equip</x:v>
      </x:c>
      <x:c r="G11" s="22" t="str">
        <x:v>Loadout</x:v>
      </x:c>
      <x:c r="H11" s="22" t="str">
        <x:v>N/A</x:v>
      </x:c>
      <x:c r="I11" s="22" t="str">
        <x:v>Yes</x:v>
      </x:c>
      <x:c r="J11" s="22" t="str">
        <x:v>N/A</x:v>
      </x:c>
      <x:c r="K11" s="22" t="str">
        <x:v>Revalidate</x:v>
      </x:c>
      <x:c r="L11" s="22" t="str">
        <x:v>N/A</x:v>
      </x:c>
      <x:c r="M11" s="22" t="str">
        <x:v>No</x:v>
      </x:c>
      <x:c r="N11" s="22" t="str">
        <x:v>Yes</x:v>
      </x:c>
      <x:c r="O11" s="22" t="str">
        <x:v>FAMILY_INCOMPATIBLE</x:v>
      </x:c>
      <x:c r="P11" s="22" t="str">
        <x:v>P0</x:v>
      </x:c>
      <x:c r="Q11" s="44" t="str"/>
    </x:row>
    <x:row r="12">
      <x:c r="A12" s="43" t="str">
        <x:v>Event mutation lock</x:v>
      </x:c>
      <x:c r="B12" s="22" t="str">
        <x:v>rule</x:v>
      </x:c>
      <x:c r="C12" s="22" t="str">
        <x:v>Some events lock affected buildings</x:v>
      </x:c>
      <x:c r="D12" s="22" t="str">
        <x:v>event.lock_module_changes</x:v>
      </x:c>
      <x:c r="E12" s="22" t="str">
        <x:v>Equip/unequip</x:v>
      </x:c>
      <x:c r="F12" s="22" t="str">
        <x:v>Mutation</x:v>
      </x:c>
      <x:c r="G12" s="22" t="str">
        <x:v>N/A</x:v>
      </x:c>
      <x:c r="H12" s="22" t="str">
        <x:v>N/A</x:v>
      </x:c>
      <x:c r="I12" s="22" t="str">
        <x:v>Yes</x:v>
      </x:c>
      <x:c r="J12" s="22" t="str">
        <x:v>N/A</x:v>
      </x:c>
      <x:c r="K12" s="22" t="str">
        <x:v>N/A</x:v>
      </x:c>
      <x:c r="L12" s="22" t="str">
        <x:v>N/A</x:v>
      </x:c>
      <x:c r="M12" s="22" t="str">
        <x:v>No</x:v>
      </x:c>
      <x:c r="N12" s="22" t="str">
        <x:v>Yes</x:v>
      </x:c>
      <x:c r="O12" s="22" t="str">
        <x:v>LOADOUT_LOCKED</x:v>
      </x:c>
      <x:c r="P12" s="22" t="str">
        <x:v>P1</x:v>
      </x:c>
      <x:c r="Q12" s="44" t="str"/>
    </x:row>
    <x:row r="13">
      <x:c r="A13" s="45" t="str">
        <x:v>Empty slots</x:v>
      </x:c>
      <x:c r="B13" s="46" t="str">
        <x:v>rule</x:v>
      </x:c>
      <x:c r="C13" s="46" t="str">
        <x:v>Allowed</x:v>
      </x:c>
      <x:c r="D13" s="46" t="str">
        <x:v>No minimum equipped count</x:v>
      </x:c>
      <x:c r="E13" s="46" t="str">
        <x:v>Always</x:v>
      </x:c>
      <x:c r="F13" s="46" t="str">
        <x:v>Unequip</x:v>
      </x:c>
      <x:c r="G13" s="46" t="str">
        <x:v>Loadout+inventory</x:v>
      </x:c>
      <x:c r="H13" s="46" t="str">
        <x:v>Next tick</x:v>
      </x:c>
      <x:c r="I13" s="46" t="str">
        <x:v>Maybe</x:v>
      </x:c>
      <x:c r="J13" s="46" t="str">
        <x:v>N/A</x:v>
      </x:c>
      <x:c r="K13" s="46" t="str">
        <x:v>N/A</x:v>
      </x:c>
      <x:c r="L13" s="46" t="str">
        <x:v>N/A</x:v>
      </x:c>
      <x:c r="M13" s="46" t="str">
        <x:v>No</x:v>
      </x:c>
      <x:c r="N13" s="46" t="str">
        <x:v>Yes</x:v>
      </x:c>
      <x:c r="O13" s="46" t="str">
        <x:v>N/A</x:v>
      </x:c>
      <x:c r="P13" s="46" t="str">
        <x:v>P0</x:v>
      </x:c>
      <x:c r="Q13" s="47" t="str"/>
    </x:row>
    <x:row r="15" ht="22" customHeight="1">
      <x:c r="A15" s="11" t="str">
        <x:v>Slots by Building Rarity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</x:row>
    <x:row r="16">
      <x:c r="A16" s="14" t="str">
        <x:v>Building Rarity</x:v>
      </x:c>
      <x:c r="B16" s="14" t="str">
        <x:v>Max Slots</x:v>
      </x:c>
      <x:c r="C16" s="14" t="str">
        <x:v>Suggested Unlock Levels</x:v>
      </x:c>
      <x:c r="D16" s="14" t="str">
        <x:v>Legendary Limit</x:v>
      </x:c>
      <x:c r="E16" s="14" t="str">
        <x:v>Base Building Viable Empty?</x:v>
      </x:c>
      <x:c r="F16" s="14" t="str">
        <x:v>Notes</x:v>
      </x:c>
    </x:row>
    <x:row r="17">
      <x:c r="A17" s="40" t="str">
        <x:v>Common</x:v>
      </x:c>
      <x:c r="B17" s="41" t="n">
        <x:v>1</x:v>
      </x:c>
      <x:c r="C17" s="41" t="str">
        <x:v>Lv3</x:v>
      </x:c>
      <x:c r="D17" s="41" t="n">
        <x:v>1</x:v>
      </x:c>
      <x:c r="E17" s="41" t="str">
        <x:v>Yes</x:v>
      </x:c>
      <x:c r="F17" s="42" t="str"/>
    </x:row>
    <x:row r="18">
      <x:c r="A18" s="43" t="str">
        <x:v>Uncommon</x:v>
      </x:c>
      <x:c r="B18" s="22" t="n">
        <x:v>2</x:v>
      </x:c>
      <x:c r="C18" s="22" t="str">
        <x:v>Lv3 / Lv6</x:v>
      </x:c>
      <x:c r="D18" s="22" t="n">
        <x:v>1</x:v>
      </x:c>
      <x:c r="E18" s="22" t="str">
        <x:v>Yes</x:v>
      </x:c>
      <x:c r="F18" s="44" t="str"/>
    </x:row>
    <x:row r="19">
      <x:c r="A19" s="43" t="str">
        <x:v>Rare</x:v>
      </x:c>
      <x:c r="B19" s="22" t="n">
        <x:v>2</x:v>
      </x:c>
      <x:c r="C19" s="22" t="str">
        <x:v>Lv3 / Lv7</x:v>
      </x:c>
      <x:c r="D19" s="22" t="n">
        <x:v>1</x:v>
      </x:c>
      <x:c r="E19" s="22" t="str">
        <x:v>Yes</x:v>
      </x:c>
      <x:c r="F19" s="44" t="str"/>
    </x:row>
    <x:row r="20">
      <x:c r="A20" s="43" t="str">
        <x:v>Epic</x:v>
      </x:c>
      <x:c r="B20" s="22" t="n">
        <x:v>3</x:v>
      </x:c>
      <x:c r="C20" s="22" t="str">
        <x:v>Lv3 / Lv6 / Lv9</x:v>
      </x:c>
      <x:c r="D20" s="22" t="n">
        <x:v>1</x:v>
      </x:c>
      <x:c r="E20" s="22" t="str">
        <x:v>Yes</x:v>
      </x:c>
      <x:c r="F20" s="44" t="str"/>
    </x:row>
    <x:row r="21">
      <x:c r="A21" s="43" t="str">
        <x:v>Legendary</x:v>
      </x:c>
      <x:c r="B21" s="22" t="n">
        <x:v>3</x:v>
      </x:c>
      <x:c r="C21" s="22" t="str">
        <x:v>Lv3 / Lv6 / Lv9</x:v>
      </x:c>
      <x:c r="D21" s="22" t="n">
        <x:v>1</x:v>
      </x:c>
      <x:c r="E21" s="22" t="str">
        <x:v>Yes</x:v>
      </x:c>
      <x:c r="F21" s="44" t="str"/>
    </x:row>
    <x:row r="22">
      <x:c r="A22" s="45" t="str">
        <x:v>Mythic</x:v>
      </x:c>
      <x:c r="B22" s="46" t="n">
        <x:v>4</x:v>
      </x:c>
      <x:c r="C22" s="46" t="str">
        <x:v>Lv3 / Lv6 / Lv9 / Lv11</x:v>
      </x:c>
      <x:c r="D22" s="46" t="n">
        <x:v>1</x:v>
      </x:c>
      <x:c r="E22" s="46" t="str">
        <x:v>Yes</x:v>
      </x:c>
      <x:c r="F22" s="47" t="str"/>
    </x:row>
  </x:sheetData>
  <x:mergeCells>
    <x:mergeCell ref="A1:Q1"/>
    <x:mergeCell ref="A15:Q1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All Building Cards — Module Compatibility &amp; Slots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22"/>
    </x:row>
    <x:row r="3">
      <x:c r="A3" s="14" t="str">
        <x:v>Empire Level</x:v>
      </x:c>
      <x:c r="B3" s="14" t="str">
        <x:v>Building Card</x:v>
      </x:c>
      <x:c r="C3" s="14" t="str">
        <x:v>Family</x:v>
      </x:c>
      <x:c r="D3" s="14" t="str">
        <x:v>Stage</x:v>
      </x:c>
      <x:c r="E3" s="14" t="str">
        <x:v>Building Rarity</x:v>
      </x:c>
      <x:c r="F3" s="14" t="str">
        <x:v>Max Slots</x:v>
      </x:c>
      <x:c r="G3" s="14" t="str">
        <x:v>Slot Unlocks</x:v>
      </x:c>
      <x:c r="H3" s="14" t="str">
        <x:v>Allowed Module Categories</x:v>
      </x:c>
      <x:c r="I3" s="14" t="str">
        <x:v>Exact Duplicate Allowed?</x:v>
      </x:c>
      <x:c r="J3" s="14" t="str">
        <x:v>Legendary Limit</x:v>
      </x:c>
      <x:c r="K3" s="14" t="str">
        <x:v>Starts Functional Empty?</x:v>
      </x:c>
      <x:c r="L3" s="14" t="str">
        <x:v>Equip Fee</x:v>
      </x:c>
      <x:c r="M3" s="14" t="str">
        <x:v>Activation</x:v>
      </x:c>
      <x:c r="N3" s="14" t="str">
        <x:v>Event Lock?</x:v>
      </x:c>
      <x:c r="O3" s="14" t="str">
        <x:v>Performance Direct?</x:v>
      </x:c>
      <x:c r="P3" s="14" t="str">
        <x:v>Notes</x:v>
      </x:c>
    </x:row>
    <x:row r="4">
      <x:c r="A4" s="70" t="n">
        <x:v>1</x:v>
      </x:c>
      <x:c r="B4" s="41" t="str">
        <x:v>Cash Kiosk</x:v>
      </x:c>
      <x:c r="C4" s="41" t="str">
        <x:v>Cash Services</x:v>
      </x:c>
      <x:c r="D4" s="41" t="str">
        <x:v>Humble</x:v>
      </x:c>
      <x:c r="E4" s="41" t="str">
        <x:v>Common</x:v>
      </x:c>
      <x:c r="F4" s="76" t="n">
        <x:v>1</x:v>
      </x:c>
      <x:c r="G4" s="41" t="str">
        <x:v>Lv3</x:v>
      </x:c>
      <x:c r="H4" s="41" t="str">
        <x:v>Universal, Customer, Operations, Treasury</x:v>
      </x:c>
      <x:c r="I4" s="41" t="str">
        <x:v>No</x:v>
      </x:c>
      <x:c r="J4" s="41" t="n">
        <x:v>1</x:v>
      </x:c>
      <x:c r="K4" s="41" t="str">
        <x:v>Yes</x:v>
      </x:c>
      <x:c r="L4" s="41" t="str">
        <x:v>Free</x:v>
      </x:c>
      <x:c r="M4" s="41" t="str">
        <x:v>Next relevant tick</x:v>
      </x:c>
      <x:c r="N4" s="41" t="str">
        <x:v>Yes</x:v>
      </x:c>
      <x:c r="O4" s="41" t="str">
        <x:v>No</x:v>
      </x:c>
      <x:c r="P4" s="42" t="str"/>
    </x:row>
    <x:row r="5">
      <x:c r="A5" s="71" t="n">
        <x:v>2</x:v>
      </x:c>
      <x:c r="B5" s="22" t="str">
        <x:v>Trading Booth</x:v>
      </x:c>
      <x:c r="C5" s="22" t="str">
        <x:v>Trading</x:v>
      </x:c>
      <x:c r="D5" s="22" t="str">
        <x:v>Humble</x:v>
      </x:c>
      <x:c r="E5" s="22" t="str">
        <x:v>Common</x:v>
      </x:c>
      <x:c r="F5" s="77" t="n">
        <x:v>1</x:v>
      </x:c>
      <x:c r="G5" s="22" t="str">
        <x:v>Lv3</x:v>
      </x:c>
      <x:c r="H5" s="22" t="str">
        <x:v>Universal, Market, Operations, Risk</x:v>
      </x:c>
      <x:c r="I5" s="22" t="str">
        <x:v>No</x:v>
      </x:c>
      <x:c r="J5" s="22" t="n">
        <x:v>1</x:v>
      </x:c>
      <x:c r="K5" s="22" t="str">
        <x:v>Yes</x:v>
      </x:c>
      <x:c r="L5" s="22" t="str">
        <x:v>Free</x:v>
      </x:c>
      <x:c r="M5" s="22" t="str">
        <x:v>Next relevant tick</x:v>
      </x:c>
      <x:c r="N5" s="22" t="str">
        <x:v>Yes</x:v>
      </x:c>
      <x:c r="O5" s="22" t="str">
        <x:v>No</x:v>
      </x:c>
      <x:c r="P5" s="44" t="str"/>
    </x:row>
    <x:row r="6">
      <x:c r="A6" s="71" t="n">
        <x:v>3</x:v>
      </x:c>
      <x:c r="B6" s="22" t="str">
        <x:v>Savings Stand</x:v>
      </x:c>
      <x:c r="C6" s="22" t="str">
        <x:v>Banking</x:v>
      </x:c>
      <x:c r="D6" s="22" t="str">
        <x:v>Humble</x:v>
      </x:c>
      <x:c r="E6" s="22" t="str">
        <x:v>Common</x:v>
      </x:c>
      <x:c r="F6" s="77" t="n">
        <x:v>1</x:v>
      </x:c>
      <x:c r="G6" s="22" t="str">
        <x:v>Lv3</x:v>
      </x:c>
      <x:c r="H6" s="22" t="str">
        <x:v>Universal, Customer, Liquidity, Credit, Risk, Service</x:v>
      </x:c>
      <x:c r="I6" s="22" t="str">
        <x:v>No</x:v>
      </x:c>
      <x:c r="J6" s="22" t="n">
        <x:v>1</x:v>
      </x:c>
      <x:c r="K6" s="22" t="str">
        <x:v>Yes</x:v>
      </x:c>
      <x:c r="L6" s="22" t="str">
        <x:v>Free</x:v>
      </x:c>
      <x:c r="M6" s="22" t="str">
        <x:v>Next relevant tick</x:v>
      </x:c>
      <x:c r="N6" s="22" t="str">
        <x:v>Yes</x:v>
      </x:c>
      <x:c r="O6" s="22" t="str">
        <x:v>No</x:v>
      </x:c>
      <x:c r="P6" s="44" t="str"/>
    </x:row>
    <x:row r="7">
      <x:c r="A7" s="71" t="n">
        <x:v>4</x:v>
      </x:c>
      <x:c r="B7" s="22" t="str">
        <x:v>Mini Brokerage Desk</x:v>
      </x:c>
      <x:c r="C7" s="22" t="str">
        <x:v>Brokerage</x:v>
      </x:c>
      <x:c r="D7" s="22" t="str">
        <x:v>Humble</x:v>
      </x:c>
      <x:c r="E7" s="22" t="str">
        <x:v>Common</x:v>
      </x:c>
      <x:c r="F7" s="77" t="n">
        <x:v>1</x:v>
      </x:c>
      <x:c r="G7" s="22" t="str">
        <x:v>Lv3</x:v>
      </x:c>
      <x:c r="H7" s="22" t="str">
        <x:v>Universal, Market, Customer, Research, Operations</x:v>
      </x:c>
      <x:c r="I7" s="22" t="str">
        <x:v>No</x:v>
      </x:c>
      <x:c r="J7" s="22" t="n">
        <x:v>1</x:v>
      </x:c>
      <x:c r="K7" s="22" t="str">
        <x:v>Yes</x:v>
      </x:c>
      <x:c r="L7" s="22" t="str">
        <x:v>Free</x:v>
      </x:c>
      <x:c r="M7" s="22" t="str">
        <x:v>Next relevant tick</x:v>
      </x:c>
      <x:c r="N7" s="22" t="str">
        <x:v>Yes</x:v>
      </x:c>
      <x:c r="O7" s="22" t="str">
        <x:v>No</x:v>
      </x:c>
      <x:c r="P7" s="44" t="str"/>
    </x:row>
    <x:row r="8">
      <x:c r="A8" s="71" t="n">
        <x:v>5</x:v>
      </x:c>
      <x:c r="B8" s="22" t="str">
        <x:v>Market Info Kiosk</x:v>
      </x:c>
      <x:c r="C8" s="22" t="str">
        <x:v>Research</x:v>
      </x:c>
      <x:c r="D8" s="22" t="str">
        <x:v>Humble</x:v>
      </x:c>
      <x:c r="E8" s="22" t="str">
        <x:v>Common</x:v>
      </x:c>
      <x:c r="F8" s="77" t="n">
        <x:v>1</x:v>
      </x:c>
      <x:c r="G8" s="22" t="str">
        <x:v>Lv3</x:v>
      </x:c>
      <x:c r="H8" s="22" t="str">
        <x:v>Universal, Research, Operations, Event, Service</x:v>
      </x:c>
      <x:c r="I8" s="22" t="str">
        <x:v>No</x:v>
      </x:c>
      <x:c r="J8" s="22" t="n">
        <x:v>1</x:v>
      </x:c>
      <x:c r="K8" s="22" t="str">
        <x:v>Yes</x:v>
      </x:c>
      <x:c r="L8" s="22" t="str">
        <x:v>Free</x:v>
      </x:c>
      <x:c r="M8" s="22" t="str">
        <x:v>Next relevant tick</x:v>
      </x:c>
      <x:c r="N8" s="22" t="str">
        <x:v>Yes</x:v>
      </x:c>
      <x:c r="O8" s="22" t="str">
        <x:v>No</x:v>
      </x:c>
      <x:c r="P8" s="44" t="str"/>
    </x:row>
    <x:row r="9">
      <x:c r="A9" s="71" t="n">
        <x:v>6</x:v>
      </x:c>
      <x:c r="B9" s="22" t="str">
        <x:v>Micro Loan Booth</x:v>
      </x:c>
      <x:c r="C9" s="22" t="str">
        <x:v>Lending</x:v>
      </x:c>
      <x:c r="D9" s="22" t="str">
        <x:v>Humble</x:v>
      </x:c>
      <x:c r="E9" s="22" t="str">
        <x:v>Common</x:v>
      </x:c>
      <x:c r="F9" s="77" t="n">
        <x:v>1</x:v>
      </x:c>
      <x:c r="G9" s="22" t="str">
        <x:v>Lv3</x:v>
      </x:c>
      <x:c r="H9" s="22" t="str">
        <x:v>Universal, Customer, Credit, Risk, Service</x:v>
      </x:c>
      <x:c r="I9" s="22" t="str">
        <x:v>No</x:v>
      </x:c>
      <x:c r="J9" s="22" t="n">
        <x:v>1</x:v>
      </x:c>
      <x:c r="K9" s="22" t="str">
        <x:v>Yes</x:v>
      </x:c>
      <x:c r="L9" s="22" t="str">
        <x:v>Free</x:v>
      </x:c>
      <x:c r="M9" s="22" t="str">
        <x:v>Next relevant tick</x:v>
      </x:c>
      <x:c r="N9" s="22" t="str">
        <x:v>Yes</x:v>
      </x:c>
      <x:c r="O9" s="22" t="str">
        <x:v>No</x:v>
      </x:c>
      <x:c r="P9" s="44" t="str"/>
    </x:row>
    <x:row r="10">
      <x:c r="A10" s="71" t="n">
        <x:v>7</x:v>
      </x:c>
      <x:c r="B10" s="22" t="str">
        <x:v>Currency Exchange Stand</x:v>
      </x:c>
      <x:c r="C10" s="22" t="str">
        <x:v>FX</x:v>
      </x:c>
      <x:c r="D10" s="22" t="str">
        <x:v>Humble</x:v>
      </x:c>
      <x:c r="E10" s="22" t="str">
        <x:v>Common</x:v>
      </x:c>
      <x:c r="F10" s="77" t="n">
        <x:v>1</x:v>
      </x:c>
      <x:c r="G10" s="22" t="str">
        <x:v>Lv3</x:v>
      </x:c>
      <x:c r="H10" s="22" t="str">
        <x:v>Universal, Market, Operations, Liquidity, Risk</x:v>
      </x:c>
      <x:c r="I10" s="22" t="str">
        <x:v>No</x:v>
      </x:c>
      <x:c r="J10" s="22" t="n">
        <x:v>1</x:v>
      </x:c>
      <x:c r="K10" s="22" t="str">
        <x:v>Yes</x:v>
      </x:c>
      <x:c r="L10" s="22" t="str">
        <x:v>Free</x:v>
      </x:c>
      <x:c r="M10" s="22" t="str">
        <x:v>Next relevant tick</x:v>
      </x:c>
      <x:c r="N10" s="22" t="str">
        <x:v>Yes</x:v>
      </x:c>
      <x:c r="O10" s="22" t="str">
        <x:v>No</x:v>
      </x:c>
      <x:c r="P10" s="44" t="str"/>
    </x:row>
    <x:row r="11">
      <x:c r="A11" s="71" t="n">
        <x:v>8</x:v>
      </x:c>
      <x:c r="B11" s="22" t="str">
        <x:v>Insurance Desk</x:v>
      </x:c>
      <x:c r="C11" s="22" t="str">
        <x:v>Insurance</x:v>
      </x:c>
      <x:c r="D11" s="22" t="str">
        <x:v>Humble</x:v>
      </x:c>
      <x:c r="E11" s="22" t="str">
        <x:v>Common</x:v>
      </x:c>
      <x:c r="F11" s="77" t="n">
        <x:v>1</x:v>
      </x:c>
      <x:c r="G11" s="22" t="str">
        <x:v>Lv3</x:v>
      </x:c>
      <x:c r="H11" s="22" t="str">
        <x:v>Universal, Customer, Risk, Service, Operations</x:v>
      </x:c>
      <x:c r="I11" s="22" t="str">
        <x:v>No</x:v>
      </x:c>
      <x:c r="J11" s="22" t="n">
        <x:v>1</x:v>
      </x:c>
      <x:c r="K11" s="22" t="str">
        <x:v>Yes</x:v>
      </x:c>
      <x:c r="L11" s="22" t="str">
        <x:v>Free</x:v>
      </x:c>
      <x:c r="M11" s="22" t="str">
        <x:v>Next relevant tick</x:v>
      </x:c>
      <x:c r="N11" s="22" t="str">
        <x:v>Yes</x:v>
      </x:c>
      <x:c r="O11" s="22" t="str">
        <x:v>No</x:v>
      </x:c>
      <x:c r="P11" s="44" t="str"/>
    </x:row>
    <x:row r="12">
      <x:c r="A12" s="71" t="n">
        <x:v>9</x:v>
      </x:c>
      <x:c r="B12" s="22" t="str">
        <x:v>Investment Advice Booth</x:v>
      </x:c>
      <x:c r="C12" s="22" t="str">
        <x:v>Advisory</x:v>
      </x:c>
      <x:c r="D12" s="22" t="str">
        <x:v>Humble</x:v>
      </x:c>
      <x:c r="E12" s="22" t="str">
        <x:v>Common</x:v>
      </x:c>
      <x:c r="F12" s="77" t="n">
        <x:v>1</x:v>
      </x:c>
      <x:c r="G12" s="22" t="str">
        <x:v>Lv3</x:v>
      </x:c>
      <x:c r="H12" s="22" t="str">
        <x:v>Universal, Customer, Research, Wealth, Service</x:v>
      </x:c>
      <x:c r="I12" s="22" t="str">
        <x:v>No</x:v>
      </x:c>
      <x:c r="J12" s="22" t="n">
        <x:v>1</x:v>
      </x:c>
      <x:c r="K12" s="22" t="str">
        <x:v>Yes</x:v>
      </x:c>
      <x:c r="L12" s="22" t="str">
        <x:v>Free</x:v>
      </x:c>
      <x:c r="M12" s="22" t="str">
        <x:v>Next relevant tick</x:v>
      </x:c>
      <x:c r="N12" s="22" t="str">
        <x:v>Yes</x:v>
      </x:c>
      <x:c r="O12" s="22" t="str">
        <x:v>No</x:v>
      </x:c>
      <x:c r="P12" s="44" t="str"/>
    </x:row>
    <x:row r="13">
      <x:c r="A13" s="71" t="n">
        <x:v>10</x:v>
      </x:c>
      <x:c r="B13" s="22" t="str">
        <x:v>Secure Cash Locker</x:v>
      </x:c>
      <x:c r="C13" s="22" t="str">
        <x:v>Treasury</x:v>
      </x:c>
      <x:c r="D13" s="22" t="str">
        <x:v>Humble</x:v>
      </x:c>
      <x:c r="E13" s="22" t="str">
        <x:v>Common</x:v>
      </x:c>
      <x:c r="F13" s="77" t="n">
        <x:v>1</x:v>
      </x:c>
      <x:c r="G13" s="22" t="str">
        <x:v>Lv3</x:v>
      </x:c>
      <x:c r="H13" s="22" t="str">
        <x:v>Universal, Liquidity, Risk, Operations</x:v>
      </x:c>
      <x:c r="I13" s="22" t="str">
        <x:v>No</x:v>
      </x:c>
      <x:c r="J13" s="22" t="n">
        <x:v>1</x:v>
      </x:c>
      <x:c r="K13" s="22" t="str">
        <x:v>Yes</x:v>
      </x:c>
      <x:c r="L13" s="22" t="str">
        <x:v>Free</x:v>
      </x:c>
      <x:c r="M13" s="22" t="str">
        <x:v>Next relevant tick</x:v>
      </x:c>
      <x:c r="N13" s="22" t="str">
        <x:v>Yes</x:v>
      </x:c>
      <x:c r="O13" s="22" t="str">
        <x:v>No</x:v>
      </x:c>
      <x:c r="P13" s="44" t="str"/>
    </x:row>
    <x:row r="14">
      <x:c r="A14" s="71" t="n">
        <x:v>11</x:v>
      </x:c>
      <x:c r="B14" s="22" t="str">
        <x:v>Neighborhood Finance Shop</x:v>
      </x:c>
      <x:c r="C14" s="22" t="str">
        <x:v>Banking</x:v>
      </x:c>
      <x:c r="D14" s="22" t="str">
        <x:v>Starter</x:v>
      </x:c>
      <x:c r="E14" s="22" t="str">
        <x:v>Uncommon</x:v>
      </x:c>
      <x:c r="F14" s="77" t="n">
        <x:v>2</x:v>
      </x:c>
      <x:c r="G14" s="22" t="str">
        <x:v>Lv3 / Lv6</x:v>
      </x:c>
      <x:c r="H14" s="22" t="str">
        <x:v>Universal, Customer, Liquidity, Credit, Risk, Service</x:v>
      </x:c>
      <x:c r="I14" s="22" t="str">
        <x:v>No</x:v>
      </x:c>
      <x:c r="J14" s="22" t="n">
        <x:v>1</x:v>
      </x:c>
      <x:c r="K14" s="22" t="str">
        <x:v>Yes</x:v>
      </x:c>
      <x:c r="L14" s="22" t="str">
        <x:v>Free</x:v>
      </x:c>
      <x:c r="M14" s="22" t="str">
        <x:v>Next relevant tick</x:v>
      </x:c>
      <x:c r="N14" s="22" t="str">
        <x:v>Yes</x:v>
      </x:c>
      <x:c r="O14" s="22" t="str">
        <x:v>No</x:v>
      </x:c>
      <x:c r="P14" s="44" t="str"/>
    </x:row>
    <x:row r="15">
      <x:c r="A15" s="71" t="n">
        <x:v>12</x:v>
      </x:c>
      <x:c r="B15" s="22" t="str">
        <x:v>Small Brokerage Office</x:v>
      </x:c>
      <x:c r="C15" s="22" t="str">
        <x:v>Brokerage</x:v>
      </x:c>
      <x:c r="D15" s="22" t="str">
        <x:v>Starter</x:v>
      </x:c>
      <x:c r="E15" s="22" t="str">
        <x:v>Uncommon</x:v>
      </x:c>
      <x:c r="F15" s="77" t="n">
        <x:v>2</x:v>
      </x:c>
      <x:c r="G15" s="22" t="str">
        <x:v>Lv3 / Lv6</x:v>
      </x:c>
      <x:c r="H15" s="22" t="str">
        <x:v>Universal, Market, Customer, Research, Operations</x:v>
      </x:c>
      <x:c r="I15" s="22" t="str">
        <x:v>No</x:v>
      </x:c>
      <x:c r="J15" s="22" t="n">
        <x:v>1</x:v>
      </x:c>
      <x:c r="K15" s="22" t="str">
        <x:v>Yes</x:v>
      </x:c>
      <x:c r="L15" s="22" t="str">
        <x:v>Free</x:v>
      </x:c>
      <x:c r="M15" s="22" t="str">
        <x:v>Next relevant tick</x:v>
      </x:c>
      <x:c r="N15" s="22" t="str">
        <x:v>Yes</x:v>
      </x:c>
      <x:c r="O15" s="22" t="str">
        <x:v>No</x:v>
      </x:c>
      <x:c r="P15" s="44" t="str"/>
    </x:row>
    <x:row r="16">
      <x:c r="A16" s="71" t="n">
        <x:v>13</x:v>
      </x:c>
      <x:c r="B16" s="22" t="str">
        <x:v>Local Savings Office</x:v>
      </x:c>
      <x:c r="C16" s="22" t="str">
        <x:v>Banking</x:v>
      </x:c>
      <x:c r="D16" s="22" t="str">
        <x:v>Starter</x:v>
      </x:c>
      <x:c r="E16" s="22" t="str">
        <x:v>Uncommon</x:v>
      </x:c>
      <x:c r="F16" s="77" t="n">
        <x:v>2</x:v>
      </x:c>
      <x:c r="G16" s="22" t="str">
        <x:v>Lv3 / Lv6</x:v>
      </x:c>
      <x:c r="H16" s="22" t="str">
        <x:v>Universal, Customer, Liquidity, Credit, Risk, Service</x:v>
      </x:c>
      <x:c r="I16" s="22" t="str">
        <x:v>No</x:v>
      </x:c>
      <x:c r="J16" s="22" t="n">
        <x:v>1</x:v>
      </x:c>
      <x:c r="K16" s="22" t="str">
        <x:v>Yes</x:v>
      </x:c>
      <x:c r="L16" s="22" t="str">
        <x:v>Free</x:v>
      </x:c>
      <x:c r="M16" s="22" t="str">
        <x:v>Next relevant tick</x:v>
      </x:c>
      <x:c r="N16" s="22" t="str">
        <x:v>Yes</x:v>
      </x:c>
      <x:c r="O16" s="22" t="str">
        <x:v>No</x:v>
      </x:c>
      <x:c r="P16" s="44" t="str"/>
    </x:row>
    <x:row r="17">
      <x:c r="A17" s="71" t="n">
        <x:v>14</x:v>
      </x:c>
      <x:c r="B17" s="22" t="str">
        <x:v>Microfinance Office</x:v>
      </x:c>
      <x:c r="C17" s="22" t="str">
        <x:v>Lending</x:v>
      </x:c>
      <x:c r="D17" s="22" t="str">
        <x:v>Starter</x:v>
      </x:c>
      <x:c r="E17" s="22" t="str">
        <x:v>Uncommon</x:v>
      </x:c>
      <x:c r="F17" s="77" t="n">
        <x:v>2</x:v>
      </x:c>
      <x:c r="G17" s="22" t="str">
        <x:v>Lv3 / Lv6</x:v>
      </x:c>
      <x:c r="H17" s="22" t="str">
        <x:v>Universal, Customer, Credit, Risk, Service</x:v>
      </x:c>
      <x:c r="I17" s="22" t="str">
        <x:v>No</x:v>
      </x:c>
      <x:c r="J17" s="22" t="n">
        <x:v>1</x:v>
      </x:c>
      <x:c r="K17" s="22" t="str">
        <x:v>Yes</x:v>
      </x:c>
      <x:c r="L17" s="22" t="str">
        <x:v>Free</x:v>
      </x:c>
      <x:c r="M17" s="22" t="str">
        <x:v>Next relevant tick</x:v>
      </x:c>
      <x:c r="N17" s="22" t="str">
        <x:v>Yes</x:v>
      </x:c>
      <x:c r="O17" s="22" t="str">
        <x:v>No</x:v>
      </x:c>
      <x:c r="P17" s="44" t="str"/>
    </x:row>
    <x:row r="18">
      <x:c r="A18" s="71" t="n">
        <x:v>15</x:v>
      </x:c>
      <x:c r="B18" s="22" t="str">
        <x:v>Trading Room</x:v>
      </x:c>
      <x:c r="C18" s="22" t="str">
        <x:v>Trading</x:v>
      </x:c>
      <x:c r="D18" s="22" t="str">
        <x:v>Starter</x:v>
      </x:c>
      <x:c r="E18" s="22" t="str">
        <x:v>Uncommon</x:v>
      </x:c>
      <x:c r="F18" s="77" t="n">
        <x:v>2</x:v>
      </x:c>
      <x:c r="G18" s="22" t="str">
        <x:v>Lv3 / Lv6</x:v>
      </x:c>
      <x:c r="H18" s="22" t="str">
        <x:v>Universal, Market, Operations, Risk</x:v>
      </x:c>
      <x:c r="I18" s="22" t="str">
        <x:v>No</x:v>
      </x:c>
      <x:c r="J18" s="22" t="n">
        <x:v>1</x:v>
      </x:c>
      <x:c r="K18" s="22" t="str">
        <x:v>Yes</x:v>
      </x:c>
      <x:c r="L18" s="22" t="str">
        <x:v>Free</x:v>
      </x:c>
      <x:c r="M18" s="22" t="str">
        <x:v>Next relevant tick</x:v>
      </x:c>
      <x:c r="N18" s="22" t="str">
        <x:v>Yes</x:v>
      </x:c>
      <x:c r="O18" s="22" t="str">
        <x:v>No</x:v>
      </x:c>
      <x:c r="P18" s="44" t="str"/>
    </x:row>
    <x:row r="19">
      <x:c r="A19" s="71" t="n">
        <x:v>16</x:v>
      </x:c>
      <x:c r="B19" s="22" t="str">
        <x:v>Small Research Office</x:v>
      </x:c>
      <x:c r="C19" s="22" t="str">
        <x:v>Research</x:v>
      </x:c>
      <x:c r="D19" s="22" t="str">
        <x:v>Starter</x:v>
      </x:c>
      <x:c r="E19" s="22" t="str">
        <x:v>Uncommon</x:v>
      </x:c>
      <x:c r="F19" s="77" t="n">
        <x:v>2</x:v>
      </x:c>
      <x:c r="G19" s="22" t="str">
        <x:v>Lv3 / Lv6</x:v>
      </x:c>
      <x:c r="H19" s="22" t="str">
        <x:v>Universal, Research, Operations, Event, Service</x:v>
      </x:c>
      <x:c r="I19" s="22" t="str">
        <x:v>No</x:v>
      </x:c>
      <x:c r="J19" s="22" t="n">
        <x:v>1</x:v>
      </x:c>
      <x:c r="K19" s="22" t="str">
        <x:v>Yes</x:v>
      </x:c>
      <x:c r="L19" s="22" t="str">
        <x:v>Free</x:v>
      </x:c>
      <x:c r="M19" s="22" t="str">
        <x:v>Next relevant tick</x:v>
      </x:c>
      <x:c r="N19" s="22" t="str">
        <x:v>Yes</x:v>
      </x:c>
      <x:c r="O19" s="22" t="str">
        <x:v>No</x:v>
      </x:c>
      <x:c r="P19" s="44" t="str"/>
    </x:row>
    <x:row r="20">
      <x:c r="A20" s="71" t="n">
        <x:v>17</x:v>
      </x:c>
      <x:c r="B20" s="22" t="str">
        <x:v>Local Insurance Office</x:v>
      </x:c>
      <x:c r="C20" s="22" t="str">
        <x:v>Insurance</x:v>
      </x:c>
      <x:c r="D20" s="22" t="str">
        <x:v>Starter</x:v>
      </x:c>
      <x:c r="E20" s="22" t="str">
        <x:v>Uncommon</x:v>
      </x:c>
      <x:c r="F20" s="77" t="n">
        <x:v>2</x:v>
      </x:c>
      <x:c r="G20" s="22" t="str">
        <x:v>Lv3 / Lv6</x:v>
      </x:c>
      <x:c r="H20" s="22" t="str">
        <x:v>Universal, Customer, Risk, Service, Operations</x:v>
      </x:c>
      <x:c r="I20" s="22" t="str">
        <x:v>No</x:v>
      </x:c>
      <x:c r="J20" s="22" t="n">
        <x:v>1</x:v>
      </x:c>
      <x:c r="K20" s="22" t="str">
        <x:v>Yes</x:v>
      </x:c>
      <x:c r="L20" s="22" t="str">
        <x:v>Free</x:v>
      </x:c>
      <x:c r="M20" s="22" t="str">
        <x:v>Next relevant tick</x:v>
      </x:c>
      <x:c r="N20" s="22" t="str">
        <x:v>Yes</x:v>
      </x:c>
      <x:c r="O20" s="22" t="str">
        <x:v>No</x:v>
      </x:c>
      <x:c r="P20" s="44" t="str"/>
    </x:row>
    <x:row r="21">
      <x:c r="A21" s="71" t="n">
        <x:v>18</x:v>
      </x:c>
      <x:c r="B21" s="22" t="str">
        <x:v>Treasury Office</x:v>
      </x:c>
      <x:c r="C21" s="22" t="str">
        <x:v>Treasury</x:v>
      </x:c>
      <x:c r="D21" s="22" t="str">
        <x:v>Starter</x:v>
      </x:c>
      <x:c r="E21" s="22" t="str">
        <x:v>Uncommon</x:v>
      </x:c>
      <x:c r="F21" s="77" t="n">
        <x:v>2</x:v>
      </x:c>
      <x:c r="G21" s="22" t="str">
        <x:v>Lv3 / Lv6</x:v>
      </x:c>
      <x:c r="H21" s="22" t="str">
        <x:v>Universal, Liquidity, Risk, Operations</x:v>
      </x:c>
      <x:c r="I21" s="22" t="str">
        <x:v>No</x:v>
      </x:c>
      <x:c r="J21" s="22" t="n">
        <x:v>1</x:v>
      </x:c>
      <x:c r="K21" s="22" t="str">
        <x:v>Yes</x:v>
      </x:c>
      <x:c r="L21" s="22" t="str">
        <x:v>Free</x:v>
      </x:c>
      <x:c r="M21" s="22" t="str">
        <x:v>Next relevant tick</x:v>
      </x:c>
      <x:c r="N21" s="22" t="str">
        <x:v>Yes</x:v>
      </x:c>
      <x:c r="O21" s="22" t="str">
        <x:v>No</x:v>
      </x:c>
      <x:c r="P21" s="44" t="str"/>
    </x:row>
    <x:row r="22">
      <x:c r="A22" s="71" t="n">
        <x:v>19</x:v>
      </x:c>
      <x:c r="B22" s="22" t="str">
        <x:v>Small Fund Office</x:v>
      </x:c>
      <x:c r="C22" s="22" t="str">
        <x:v>Asset Management</x:v>
      </x:c>
      <x:c r="D22" s="22" t="str">
        <x:v>Starter</x:v>
      </x:c>
      <x:c r="E22" s="22" t="str">
        <x:v>Uncommon</x:v>
      </x:c>
      <x:c r="F22" s="77" t="n">
        <x:v>2</x:v>
      </x:c>
      <x:c r="G22" s="22" t="str">
        <x:v>Lv3 / Lv6</x:v>
      </x:c>
      <x:c r="H22" s="22" t="str">
        <x:v>Universal, Market, Research, Risk, Institutional</x:v>
      </x:c>
      <x:c r="I22" s="22" t="str">
        <x:v>No</x:v>
      </x:c>
      <x:c r="J22" s="22" t="n">
        <x:v>1</x:v>
      </x:c>
      <x:c r="K22" s="22" t="str">
        <x:v>Yes</x:v>
      </x:c>
      <x:c r="L22" s="22" t="str">
        <x:v>Free</x:v>
      </x:c>
      <x:c r="M22" s="22" t="str">
        <x:v>Next relevant tick</x:v>
      </x:c>
      <x:c r="N22" s="22" t="str">
        <x:v>Yes</x:v>
      </x:c>
      <x:c r="O22" s="22" t="str">
        <x:v>No</x:v>
      </x:c>
      <x:c r="P22" s="44" t="str"/>
    </x:row>
    <x:row r="23">
      <x:c r="A23" s="71" t="n">
        <x:v>20</x:v>
      </x:c>
      <x:c r="B23" s="22" t="str">
        <x:v>Financial Services Hub</x:v>
      </x:c>
      <x:c r="C23" s="22" t="str">
        <x:v>Multi-Service</x:v>
      </x:c>
      <x:c r="D23" s="22" t="str">
        <x:v>Starter</x:v>
      </x:c>
      <x:c r="E23" s="22" t="str">
        <x:v>Uncommon</x:v>
      </x:c>
      <x:c r="F23" s="77" t="n">
        <x:v>2</x:v>
      </x:c>
      <x:c r="G23" s="22" t="str">
        <x:v>Lv3 / Lv6</x:v>
      </x:c>
      <x:c r="H23" s="22" t="str">
        <x:v>Universal, Customer, Operations, Risk, Service</x:v>
      </x:c>
      <x:c r="I23" s="22" t="str">
        <x:v>No</x:v>
      </x:c>
      <x:c r="J23" s="22" t="n">
        <x:v>1</x:v>
      </x:c>
      <x:c r="K23" s="22" t="str">
        <x:v>Yes</x:v>
      </x:c>
      <x:c r="L23" s="22" t="str">
        <x:v>Free</x:v>
      </x:c>
      <x:c r="M23" s="22" t="str">
        <x:v>Next relevant tick</x:v>
      </x:c>
      <x:c r="N23" s="22" t="str">
        <x:v>Yes</x:v>
      </x:c>
      <x:c r="O23" s="22" t="str">
        <x:v>No</x:v>
      </x:c>
      <x:c r="P23" s="44" t="str"/>
    </x:row>
    <x:row r="24">
      <x:c r="A24" s="71" t="n">
        <x:v>21</x:v>
      </x:c>
      <x:c r="B24" s="22" t="str">
        <x:v>Community Bank Branch</x:v>
      </x:c>
      <x:c r="C24" s="22" t="str">
        <x:v>Banking</x:v>
      </x:c>
      <x:c r="D24" s="22" t="str">
        <x:v>Growing</x:v>
      </x:c>
      <x:c r="E24" s="22" t="str">
        <x:v>Rare</x:v>
      </x:c>
      <x:c r="F24" s="77" t="n">
        <x:v>2</x:v>
      </x:c>
      <x:c r="G24" s="22" t="str">
        <x:v>Lv3 / Lv7</x:v>
      </x:c>
      <x:c r="H24" s="22" t="str">
        <x:v>Universal, Customer, Liquidity, Credit, Risk, Service</x:v>
      </x:c>
      <x:c r="I24" s="22" t="str">
        <x:v>No</x:v>
      </x:c>
      <x:c r="J24" s="22" t="n">
        <x:v>1</x:v>
      </x:c>
      <x:c r="K24" s="22" t="str">
        <x:v>Yes</x:v>
      </x:c>
      <x:c r="L24" s="22" t="str">
        <x:v>Free</x:v>
      </x:c>
      <x:c r="M24" s="22" t="str">
        <x:v>Next relevant tick</x:v>
      </x:c>
      <x:c r="N24" s="22" t="str">
        <x:v>Yes</x:v>
      </x:c>
      <x:c r="O24" s="22" t="str">
        <x:v>No</x:v>
      </x:c>
      <x:c r="P24" s="44" t="str"/>
    </x:row>
    <x:row r="25">
      <x:c r="A25" s="71" t="n">
        <x:v>22</x:v>
      </x:c>
      <x:c r="B25" s="22" t="str">
        <x:v>Brokerage House</x:v>
      </x:c>
      <x:c r="C25" s="22" t="str">
        <x:v>Brokerage</x:v>
      </x:c>
      <x:c r="D25" s="22" t="str">
        <x:v>Growing</x:v>
      </x:c>
      <x:c r="E25" s="22" t="str">
        <x:v>Rare</x:v>
      </x:c>
      <x:c r="F25" s="77" t="n">
        <x:v>2</x:v>
      </x:c>
      <x:c r="G25" s="22" t="str">
        <x:v>Lv3 / Lv7</x:v>
      </x:c>
      <x:c r="H25" s="22" t="str">
        <x:v>Universal, Market, Customer, Research, Operations</x:v>
      </x:c>
      <x:c r="I25" s="22" t="str">
        <x:v>No</x:v>
      </x:c>
      <x:c r="J25" s="22" t="n">
        <x:v>1</x:v>
      </x:c>
      <x:c r="K25" s="22" t="str">
        <x:v>Yes</x:v>
      </x:c>
      <x:c r="L25" s="22" t="str">
        <x:v>Free</x:v>
      </x:c>
      <x:c r="M25" s="22" t="str">
        <x:v>Next relevant tick</x:v>
      </x:c>
      <x:c r="N25" s="22" t="str">
        <x:v>Yes</x:v>
      </x:c>
      <x:c r="O25" s="22" t="str">
        <x:v>No</x:v>
      </x:c>
      <x:c r="P25" s="44" t="str"/>
    </x:row>
    <x:row r="26">
      <x:c r="A26" s="71" t="n">
        <x:v>23</x:v>
      </x:c>
      <x:c r="B26" s="22" t="str">
        <x:v>Investment Advisory Firm</x:v>
      </x:c>
      <x:c r="C26" s="22" t="str">
        <x:v>Advisory</x:v>
      </x:c>
      <x:c r="D26" s="22" t="str">
        <x:v>Growing</x:v>
      </x:c>
      <x:c r="E26" s="22" t="str">
        <x:v>Rare</x:v>
      </x:c>
      <x:c r="F26" s="77" t="n">
        <x:v>2</x:v>
      </x:c>
      <x:c r="G26" s="22" t="str">
        <x:v>Lv3 / Lv7</x:v>
      </x:c>
      <x:c r="H26" s="22" t="str">
        <x:v>Universal, Customer, Research, Wealth, Service</x:v>
      </x:c>
      <x:c r="I26" s="22" t="str">
        <x:v>No</x:v>
      </x:c>
      <x:c r="J26" s="22" t="n">
        <x:v>1</x:v>
      </x:c>
      <x:c r="K26" s="22" t="str">
        <x:v>Yes</x:v>
      </x:c>
      <x:c r="L26" s="22" t="str">
        <x:v>Free</x:v>
      </x:c>
      <x:c r="M26" s="22" t="str">
        <x:v>Next relevant tick</x:v>
      </x:c>
      <x:c r="N26" s="22" t="str">
        <x:v>Yes</x:v>
      </x:c>
      <x:c r="O26" s="22" t="str">
        <x:v>No</x:v>
      </x:c>
      <x:c r="P26" s="44" t="str"/>
    </x:row>
    <x:row r="27">
      <x:c r="A27" s="71" t="n">
        <x:v>24</x:v>
      </x:c>
      <x:c r="B27" s="22" t="str">
        <x:v>Asset Management Office</x:v>
      </x:c>
      <x:c r="C27" s="22" t="str">
        <x:v>Asset Management</x:v>
      </x:c>
      <x:c r="D27" s="22" t="str">
        <x:v>Growing</x:v>
      </x:c>
      <x:c r="E27" s="22" t="str">
        <x:v>Rare</x:v>
      </x:c>
      <x:c r="F27" s="77" t="n">
        <x:v>2</x:v>
      </x:c>
      <x:c r="G27" s="22" t="str">
        <x:v>Lv3 / Lv7</x:v>
      </x:c>
      <x:c r="H27" s="22" t="str">
        <x:v>Universal, Market, Research, Risk, Institutional</x:v>
      </x:c>
      <x:c r="I27" s="22" t="str">
        <x:v>No</x:v>
      </x:c>
      <x:c r="J27" s="22" t="n">
        <x:v>1</x:v>
      </x:c>
      <x:c r="K27" s="22" t="str">
        <x:v>Yes</x:v>
      </x:c>
      <x:c r="L27" s="22" t="str">
        <x:v>Free</x:v>
      </x:c>
      <x:c r="M27" s="22" t="str">
        <x:v>Next relevant tick</x:v>
      </x:c>
      <x:c r="N27" s="22" t="str">
        <x:v>Yes</x:v>
      </x:c>
      <x:c r="O27" s="22" t="str">
        <x:v>No</x:v>
      </x:c>
      <x:c r="P27" s="44" t="str"/>
    </x:row>
    <x:row r="28">
      <x:c r="A28" s="71" t="n">
        <x:v>25</x:v>
      </x:c>
      <x:c r="B28" s="22" t="str">
        <x:v>Market Research Center</x:v>
      </x:c>
      <x:c r="C28" s="22" t="str">
        <x:v>Research</x:v>
      </x:c>
      <x:c r="D28" s="22" t="str">
        <x:v>Growing</x:v>
      </x:c>
      <x:c r="E28" s="22" t="str">
        <x:v>Rare</x:v>
      </x:c>
      <x:c r="F28" s="77" t="n">
        <x:v>2</x:v>
      </x:c>
      <x:c r="G28" s="22" t="str">
        <x:v>Lv3 / Lv7</x:v>
      </x:c>
      <x:c r="H28" s="22" t="str">
        <x:v>Universal, Research, Operations, Event, Service</x:v>
      </x:c>
      <x:c r="I28" s="22" t="str">
        <x:v>No</x:v>
      </x:c>
      <x:c r="J28" s="22" t="n">
        <x:v>1</x:v>
      </x:c>
      <x:c r="K28" s="22" t="str">
        <x:v>Yes</x:v>
      </x:c>
      <x:c r="L28" s="22" t="str">
        <x:v>Free</x:v>
      </x:c>
      <x:c r="M28" s="22" t="str">
        <x:v>Next relevant tick</x:v>
      </x:c>
      <x:c r="N28" s="22" t="str">
        <x:v>Yes</x:v>
      </x:c>
      <x:c r="O28" s="22" t="str">
        <x:v>No</x:v>
      </x:c>
      <x:c r="P28" s="44" t="str"/>
    </x:row>
    <x:row r="29">
      <x:c r="A29" s="71" t="n">
        <x:v>26</x:v>
      </x:c>
      <x:c r="B29" s="22" t="str">
        <x:v>Lending Center</x:v>
      </x:c>
      <x:c r="C29" s="22" t="str">
        <x:v>Lending</x:v>
      </x:c>
      <x:c r="D29" s="22" t="str">
        <x:v>Growing</x:v>
      </x:c>
      <x:c r="E29" s="22" t="str">
        <x:v>Rare</x:v>
      </x:c>
      <x:c r="F29" s="77" t="n">
        <x:v>2</x:v>
      </x:c>
      <x:c r="G29" s="22" t="str">
        <x:v>Lv3 / Lv7</x:v>
      </x:c>
      <x:c r="H29" s="22" t="str">
        <x:v>Universal, Customer, Credit, Risk, Service</x:v>
      </x:c>
      <x:c r="I29" s="22" t="str">
        <x:v>No</x:v>
      </x:c>
      <x:c r="J29" s="22" t="n">
        <x:v>1</x:v>
      </x:c>
      <x:c r="K29" s="22" t="str">
        <x:v>Yes</x:v>
      </x:c>
      <x:c r="L29" s="22" t="str">
        <x:v>Free</x:v>
      </x:c>
      <x:c r="M29" s="22" t="str">
        <x:v>Next relevant tick</x:v>
      </x:c>
      <x:c r="N29" s="22" t="str">
        <x:v>Yes</x:v>
      </x:c>
      <x:c r="O29" s="22" t="str">
        <x:v>No</x:v>
      </x:c>
      <x:c r="P29" s="44" t="str"/>
    </x:row>
    <x:row r="30">
      <x:c r="A30" s="71" t="n">
        <x:v>27</x:v>
      </x:c>
      <x:c r="B30" s="22" t="str">
        <x:v>Wealth Management Office</x:v>
      </x:c>
      <x:c r="C30" s="22" t="str">
        <x:v>Wealth</x:v>
      </x:c>
      <x:c r="D30" s="22" t="str">
        <x:v>Growing</x:v>
      </x:c>
      <x:c r="E30" s="22" t="str">
        <x:v>Rare</x:v>
      </x:c>
      <x:c r="F30" s="77" t="n">
        <x:v>2</x:v>
      </x:c>
      <x:c r="G30" s="22" t="str">
        <x:v>Lv3 / Lv7</x:v>
      </x:c>
      <x:c r="H30" s="22" t="str">
        <x:v>Universal, Wealth, Customer, Service, Risk</x:v>
      </x:c>
      <x:c r="I30" s="22" t="str">
        <x:v>No</x:v>
      </x:c>
      <x:c r="J30" s="22" t="n">
        <x:v>1</x:v>
      </x:c>
      <x:c r="K30" s="22" t="str">
        <x:v>Yes</x:v>
      </x:c>
      <x:c r="L30" s="22" t="str">
        <x:v>Free</x:v>
      </x:c>
      <x:c r="M30" s="22" t="str">
        <x:v>Next relevant tick</x:v>
      </x:c>
      <x:c r="N30" s="22" t="str">
        <x:v>Yes</x:v>
      </x:c>
      <x:c r="O30" s="22" t="str">
        <x:v>No</x:v>
      </x:c>
      <x:c r="P30" s="44" t="str"/>
    </x:row>
    <x:row r="31">
      <x:c r="A31" s="71" t="n">
        <x:v>28</x:v>
      </x:c>
      <x:c r="B31" s="22" t="str">
        <x:v>Digital Finance Hub</x:v>
      </x:c>
      <x:c r="C31" s="22" t="str">
        <x:v>Fintech</x:v>
      </x:c>
      <x:c r="D31" s="22" t="str">
        <x:v>Growing</x:v>
      </x:c>
      <x:c r="E31" s="22" t="str">
        <x:v>Rare</x:v>
      </x:c>
      <x:c r="F31" s="77" t="n">
        <x:v>2</x:v>
      </x:c>
      <x:c r="G31" s="22" t="str">
        <x:v>Lv3 / Lv7</x:v>
      </x:c>
      <x:c r="H31" s="22" t="str">
        <x:v>Universal, Operations, Customer, Research, Event</x:v>
      </x:c>
      <x:c r="I31" s="22" t="str">
        <x:v>No</x:v>
      </x:c>
      <x:c r="J31" s="22" t="n">
        <x:v>1</x:v>
      </x:c>
      <x:c r="K31" s="22" t="str">
        <x:v>Yes</x:v>
      </x:c>
      <x:c r="L31" s="22" t="str">
        <x:v>Free</x:v>
      </x:c>
      <x:c r="M31" s="22" t="str">
        <x:v>Next relevant tick</x:v>
      </x:c>
      <x:c r="N31" s="22" t="str">
        <x:v>Yes</x:v>
      </x:c>
      <x:c r="O31" s="22" t="str">
        <x:v>No</x:v>
      </x:c>
      <x:c r="P31" s="44" t="str"/>
    </x:row>
    <x:row r="32">
      <x:c r="A32" s="71" t="n">
        <x:v>29</x:v>
      </x:c>
      <x:c r="B32" s="22" t="str">
        <x:v>Trading House</x:v>
      </x:c>
      <x:c r="C32" s="22" t="str">
        <x:v>Trading</x:v>
      </x:c>
      <x:c r="D32" s="22" t="str">
        <x:v>Growing</x:v>
      </x:c>
      <x:c r="E32" s="22" t="str">
        <x:v>Rare</x:v>
      </x:c>
      <x:c r="F32" s="77" t="n">
        <x:v>2</x:v>
      </x:c>
      <x:c r="G32" s="22" t="str">
        <x:v>Lv3 / Lv7</x:v>
      </x:c>
      <x:c r="H32" s="22" t="str">
        <x:v>Universal, Market, Operations, Risk</x:v>
      </x:c>
      <x:c r="I32" s="22" t="str">
        <x:v>No</x:v>
      </x:c>
      <x:c r="J32" s="22" t="n">
        <x:v>1</x:v>
      </x:c>
      <x:c r="K32" s="22" t="str">
        <x:v>Yes</x:v>
      </x:c>
      <x:c r="L32" s="22" t="str">
        <x:v>Free</x:v>
      </x:c>
      <x:c r="M32" s="22" t="str">
        <x:v>Next relevant tick</x:v>
      </x:c>
      <x:c r="N32" s="22" t="str">
        <x:v>Yes</x:v>
      </x:c>
      <x:c r="O32" s="22" t="str">
        <x:v>No</x:v>
      </x:c>
      <x:c r="P32" s="44" t="str"/>
    </x:row>
    <x:row r="33">
      <x:c r="A33" s="71" t="n">
        <x:v>30</x:v>
      </x:c>
      <x:c r="B33" s="22" t="str">
        <x:v>Private Vault Facility</x:v>
      </x:c>
      <x:c r="C33" s="22" t="str">
        <x:v>Treasury</x:v>
      </x:c>
      <x:c r="D33" s="22" t="str">
        <x:v>Growing</x:v>
      </x:c>
      <x:c r="E33" s="22" t="str">
        <x:v>Rare</x:v>
      </x:c>
      <x:c r="F33" s="77" t="n">
        <x:v>2</x:v>
      </x:c>
      <x:c r="G33" s="22" t="str">
        <x:v>Lv3 / Lv7</x:v>
      </x:c>
      <x:c r="H33" s="22" t="str">
        <x:v>Universal, Liquidity, Risk, Operations</x:v>
      </x:c>
      <x:c r="I33" s="22" t="str">
        <x:v>No</x:v>
      </x:c>
      <x:c r="J33" s="22" t="n">
        <x:v>1</x:v>
      </x:c>
      <x:c r="K33" s="22" t="str">
        <x:v>Yes</x:v>
      </x:c>
      <x:c r="L33" s="22" t="str">
        <x:v>Free</x:v>
      </x:c>
      <x:c r="M33" s="22" t="str">
        <x:v>Next relevant tick</x:v>
      </x:c>
      <x:c r="N33" s="22" t="str">
        <x:v>Yes</x:v>
      </x:c>
      <x:c r="O33" s="22" t="str">
        <x:v>No</x:v>
      </x:c>
      <x:c r="P33" s="44" t="str"/>
    </x:row>
    <x:row r="34">
      <x:c r="A34" s="71" t="n">
        <x:v>31</x:v>
      </x:c>
      <x:c r="B34" s="22" t="str">
        <x:v>Regional Bank</x:v>
      </x:c>
      <x:c r="C34" s="22" t="str">
        <x:v>Banking</x:v>
      </x:c>
      <x:c r="D34" s="22" t="str">
        <x:v>Established</x:v>
      </x:c>
      <x:c r="E34" s="22" t="str">
        <x:v>Epic</x:v>
      </x:c>
      <x:c r="F34" s="77" t="n">
        <x:v>3</x:v>
      </x:c>
      <x:c r="G34" s="22" t="str">
        <x:v>Lv3 / Lv6 / Lv9</x:v>
      </x:c>
      <x:c r="H34" s="22" t="str">
        <x:v>Universal, Customer, Liquidity, Credit, Risk, Service</x:v>
      </x:c>
      <x:c r="I34" s="22" t="str">
        <x:v>No</x:v>
      </x:c>
      <x:c r="J34" s="22" t="n">
        <x:v>1</x:v>
      </x:c>
      <x:c r="K34" s="22" t="str">
        <x:v>Yes</x:v>
      </x:c>
      <x:c r="L34" s="22" t="str">
        <x:v>Free</x:v>
      </x:c>
      <x:c r="M34" s="22" t="str">
        <x:v>Next relevant tick</x:v>
      </x:c>
      <x:c r="N34" s="22" t="str">
        <x:v>Yes</x:v>
      </x:c>
      <x:c r="O34" s="22" t="str">
        <x:v>No</x:v>
      </x:c>
      <x:c r="P34" s="44" t="str"/>
    </x:row>
    <x:row r="35">
      <x:c r="A35" s="71" t="n">
        <x:v>32</x:v>
      </x:c>
      <x:c r="B35" s="22" t="str">
        <x:v>Stock Brokerage Center</x:v>
      </x:c>
      <x:c r="C35" s="22" t="str">
        <x:v>Brokerage</x:v>
      </x:c>
      <x:c r="D35" s="22" t="str">
        <x:v>Established</x:v>
      </x:c>
      <x:c r="E35" s="22" t="str">
        <x:v>Epic</x:v>
      </x:c>
      <x:c r="F35" s="77" t="n">
        <x:v>3</x:v>
      </x:c>
      <x:c r="G35" s="22" t="str">
        <x:v>Lv3 / Lv6 / Lv9</x:v>
      </x:c>
      <x:c r="H35" s="22" t="str">
        <x:v>Universal, Market, Customer, Research, Operations</x:v>
      </x:c>
      <x:c r="I35" s="22" t="str">
        <x:v>No</x:v>
      </x:c>
      <x:c r="J35" s="22" t="n">
        <x:v>1</x:v>
      </x:c>
      <x:c r="K35" s="22" t="str">
        <x:v>Yes</x:v>
      </x:c>
      <x:c r="L35" s="22" t="str">
        <x:v>Free</x:v>
      </x:c>
      <x:c r="M35" s="22" t="str">
        <x:v>Next relevant tick</x:v>
      </x:c>
      <x:c r="N35" s="22" t="str">
        <x:v>Yes</x:v>
      </x:c>
      <x:c r="O35" s="22" t="str">
        <x:v>No</x:v>
      </x:c>
      <x:c r="P35" s="44" t="str"/>
    </x:row>
    <x:row r="36">
      <x:c r="A36" s="71" t="n">
        <x:v>33</x:v>
      </x:c>
      <x:c r="B36" s="22" t="str">
        <x:v>Investment Fund HQ</x:v>
      </x:c>
      <x:c r="C36" s="22" t="str">
        <x:v>Asset Management</x:v>
      </x:c>
      <x:c r="D36" s="22" t="str">
        <x:v>Established</x:v>
      </x:c>
      <x:c r="E36" s="22" t="str">
        <x:v>Epic</x:v>
      </x:c>
      <x:c r="F36" s="77" t="n">
        <x:v>3</x:v>
      </x:c>
      <x:c r="G36" s="22" t="str">
        <x:v>Lv3 / Lv6 / Lv9</x:v>
      </x:c>
      <x:c r="H36" s="22" t="str">
        <x:v>Universal, Market, Research, Risk, Institutional</x:v>
      </x:c>
      <x:c r="I36" s="22" t="str">
        <x:v>No</x:v>
      </x:c>
      <x:c r="J36" s="22" t="n">
        <x:v>1</x:v>
      </x:c>
      <x:c r="K36" s="22" t="str">
        <x:v>Yes</x:v>
      </x:c>
      <x:c r="L36" s="22" t="str">
        <x:v>Free</x:v>
      </x:c>
      <x:c r="M36" s="22" t="str">
        <x:v>Next relevant tick</x:v>
      </x:c>
      <x:c r="N36" s="22" t="str">
        <x:v>Yes</x:v>
      </x:c>
      <x:c r="O36" s="22" t="str">
        <x:v>No</x:v>
      </x:c>
      <x:c r="P36" s="44" t="str"/>
    </x:row>
    <x:row r="37">
      <x:c r="A37" s="71" t="n">
        <x:v>34</x:v>
      </x:c>
      <x:c r="B37" s="22" t="str">
        <x:v>Insurance Company HQ</x:v>
      </x:c>
      <x:c r="C37" s="22" t="str">
        <x:v>Insurance</x:v>
      </x:c>
      <x:c r="D37" s="22" t="str">
        <x:v>Established</x:v>
      </x:c>
      <x:c r="E37" s="22" t="str">
        <x:v>Epic</x:v>
      </x:c>
      <x:c r="F37" s="77" t="n">
        <x:v>3</x:v>
      </x:c>
      <x:c r="G37" s="22" t="str">
        <x:v>Lv3 / Lv6 / Lv9</x:v>
      </x:c>
      <x:c r="H37" s="22" t="str">
        <x:v>Universal, Customer, Risk, Service, Operations</x:v>
      </x:c>
      <x:c r="I37" s="22" t="str">
        <x:v>No</x:v>
      </x:c>
      <x:c r="J37" s="22" t="n">
        <x:v>1</x:v>
      </x:c>
      <x:c r="K37" s="22" t="str">
        <x:v>Yes</x:v>
      </x:c>
      <x:c r="L37" s="22" t="str">
        <x:v>Free</x:v>
      </x:c>
      <x:c r="M37" s="22" t="str">
        <x:v>Next relevant tick</x:v>
      </x:c>
      <x:c r="N37" s="22" t="str">
        <x:v>Yes</x:v>
      </x:c>
      <x:c r="O37" s="22" t="str">
        <x:v>No</x:v>
      </x:c>
      <x:c r="P37" s="44" t="str"/>
    </x:row>
    <x:row r="38">
      <x:c r="A38" s="71" t="n">
        <x:v>35</x:v>
      </x:c>
      <x:c r="B38" s="22" t="str">
        <x:v>Financial Data Center</x:v>
      </x:c>
      <x:c r="C38" s="22" t="str">
        <x:v>Data</x:v>
      </x:c>
      <x:c r="D38" s="22" t="str">
        <x:v>Established</x:v>
      </x:c>
      <x:c r="E38" s="22" t="str">
        <x:v>Epic</x:v>
      </x:c>
      <x:c r="F38" s="77" t="n">
        <x:v>3</x:v>
      </x:c>
      <x:c r="G38" s="22" t="str">
        <x:v>Lv3 / Lv6 / Lv9</x:v>
      </x:c>
      <x:c r="H38" s="22" t="str">
        <x:v>Universal, Research, Operations, Event</x:v>
      </x:c>
      <x:c r="I38" s="22" t="str">
        <x:v>No</x:v>
      </x:c>
      <x:c r="J38" s="22" t="n">
        <x:v>1</x:v>
      </x:c>
      <x:c r="K38" s="22" t="str">
        <x:v>Yes</x:v>
      </x:c>
      <x:c r="L38" s="22" t="str">
        <x:v>Free</x:v>
      </x:c>
      <x:c r="M38" s="22" t="str">
        <x:v>Next relevant tick</x:v>
      </x:c>
      <x:c r="N38" s="22" t="str">
        <x:v>Yes</x:v>
      </x:c>
      <x:c r="O38" s="22" t="str">
        <x:v>No</x:v>
      </x:c>
      <x:c r="P38" s="44" t="str"/>
    </x:row>
    <x:row r="39">
      <x:c r="A39" s="71" t="n">
        <x:v>36</x:v>
      </x:c>
      <x:c r="B39" s="22" t="str">
        <x:v>Market Maker Office</x:v>
      </x:c>
      <x:c r="C39" s="22" t="str">
        <x:v>Market Making</x:v>
      </x:c>
      <x:c r="D39" s="22" t="str">
        <x:v>Established</x:v>
      </x:c>
      <x:c r="E39" s="22" t="str">
        <x:v>Epic</x:v>
      </x:c>
      <x:c r="F39" s="77" t="n">
        <x:v>3</x:v>
      </x:c>
      <x:c r="G39" s="22" t="str">
        <x:v>Lv3 / Lv6 / Lv9</x:v>
      </x:c>
      <x:c r="H39" s="22" t="str">
        <x:v>Universal, Market, Liquidity, Risk, Operations</x:v>
      </x:c>
      <x:c r="I39" s="22" t="str">
        <x:v>No</x:v>
      </x:c>
      <x:c r="J39" s="22" t="n">
        <x:v>1</x:v>
      </x:c>
      <x:c r="K39" s="22" t="str">
        <x:v>Yes</x:v>
      </x:c>
      <x:c r="L39" s="22" t="str">
        <x:v>Free</x:v>
      </x:c>
      <x:c r="M39" s="22" t="str">
        <x:v>Next relevant tick</x:v>
      </x:c>
      <x:c r="N39" s="22" t="str">
        <x:v>Yes</x:v>
      </x:c>
      <x:c r="O39" s="22" t="str">
        <x:v>No</x:v>
      </x:c>
      <x:c r="P39" s="44" t="str"/>
    </x:row>
    <x:row r="40">
      <x:c r="A40" s="71" t="n">
        <x:v>37</x:v>
      </x:c>
      <x:c r="B40" s="22" t="str">
        <x:v>Private Banking Center</x:v>
      </x:c>
      <x:c r="C40" s="22" t="str">
        <x:v>Private Banking</x:v>
      </x:c>
      <x:c r="D40" s="22" t="str">
        <x:v>Established</x:v>
      </x:c>
      <x:c r="E40" s="22" t="str">
        <x:v>Epic</x:v>
      </x:c>
      <x:c r="F40" s="77" t="n">
        <x:v>3</x:v>
      </x:c>
      <x:c r="G40" s="22" t="str">
        <x:v>Lv3 / Lv6 / Lv9</x:v>
      </x:c>
      <x:c r="H40" s="22" t="str">
        <x:v>Universal, Wealth, Customer, Liquidity, Service</x:v>
      </x:c>
      <x:c r="I40" s="22" t="str">
        <x:v>No</x:v>
      </x:c>
      <x:c r="J40" s="22" t="n">
        <x:v>1</x:v>
      </x:c>
      <x:c r="K40" s="22" t="str">
        <x:v>Yes</x:v>
      </x:c>
      <x:c r="L40" s="22" t="str">
        <x:v>Free</x:v>
      </x:c>
      <x:c r="M40" s="22" t="str">
        <x:v>Next relevant tick</x:v>
      </x:c>
      <x:c r="N40" s="22" t="str">
        <x:v>Yes</x:v>
      </x:c>
      <x:c r="O40" s="22" t="str">
        <x:v>No</x:v>
      </x:c>
      <x:c r="P40" s="44" t="str"/>
    </x:row>
    <x:row r="41">
      <x:c r="A41" s="71" t="n">
        <x:v>38</x:v>
      </x:c>
      <x:c r="B41" s="22" t="str">
        <x:v>Corporate Treasury Center</x:v>
      </x:c>
      <x:c r="C41" s="22" t="str">
        <x:v>Treasury</x:v>
      </x:c>
      <x:c r="D41" s="22" t="str">
        <x:v>Established</x:v>
      </x:c>
      <x:c r="E41" s="22" t="str">
        <x:v>Epic</x:v>
      </x:c>
      <x:c r="F41" s="77" t="n">
        <x:v>3</x:v>
      </x:c>
      <x:c r="G41" s="22" t="str">
        <x:v>Lv3 / Lv6 / Lv9</x:v>
      </x:c>
      <x:c r="H41" s="22" t="str">
        <x:v>Universal, Liquidity, Risk, Operations</x:v>
      </x:c>
      <x:c r="I41" s="22" t="str">
        <x:v>No</x:v>
      </x:c>
      <x:c r="J41" s="22" t="n">
        <x:v>1</x:v>
      </x:c>
      <x:c r="K41" s="22" t="str">
        <x:v>Yes</x:v>
      </x:c>
      <x:c r="L41" s="22" t="str">
        <x:v>Free</x:v>
      </x:c>
      <x:c r="M41" s="22" t="str">
        <x:v>Next relevant tick</x:v>
      </x:c>
      <x:c r="N41" s="22" t="str">
        <x:v>Yes</x:v>
      </x:c>
      <x:c r="O41" s="22" t="str">
        <x:v>No</x:v>
      </x:c>
      <x:c r="P41" s="44" t="str"/>
    </x:row>
    <x:row r="42">
      <x:c r="A42" s="71" t="n">
        <x:v>39</x:v>
      </x:c>
      <x:c r="B42" s="22" t="str">
        <x:v>Securities Exchange</x:v>
      </x:c>
      <x:c r="C42" s="22" t="str">
        <x:v>Exchange</x:v>
      </x:c>
      <x:c r="D42" s="22" t="str">
        <x:v>Established</x:v>
      </x:c>
      <x:c r="E42" s="22" t="str">
        <x:v>Epic</x:v>
      </x:c>
      <x:c r="F42" s="77" t="n">
        <x:v>3</x:v>
      </x:c>
      <x:c r="G42" s="22" t="str">
        <x:v>Lv3 / Lv6 / Lv9</x:v>
      </x:c>
      <x:c r="H42" s="22" t="str">
        <x:v>Universal, Market, Operations, Liquidity, Risk</x:v>
      </x:c>
      <x:c r="I42" s="22" t="str">
        <x:v>No</x:v>
      </x:c>
      <x:c r="J42" s="22" t="n">
        <x:v>1</x:v>
      </x:c>
      <x:c r="K42" s="22" t="str">
        <x:v>Yes</x:v>
      </x:c>
      <x:c r="L42" s="22" t="str">
        <x:v>Free</x:v>
      </x:c>
      <x:c r="M42" s="22" t="str">
        <x:v>Next relevant tick</x:v>
      </x:c>
      <x:c r="N42" s="22" t="str">
        <x:v>Yes</x:v>
      </x:c>
      <x:c r="O42" s="22" t="str">
        <x:v>No</x:v>
      </x:c>
      <x:c r="P42" s="44" t="str"/>
    </x:row>
    <x:row r="43">
      <x:c r="A43" s="71" t="n">
        <x:v>40</x:v>
      </x:c>
      <x:c r="B43" s="22" t="str">
        <x:v>Investment Bank</x:v>
      </x:c>
      <x:c r="C43" s="22" t="str">
        <x:v>Investment Banking</x:v>
      </x:c>
      <x:c r="D43" s="22" t="str">
        <x:v>Established</x:v>
      </x:c>
      <x:c r="E43" s="22" t="str">
        <x:v>Epic</x:v>
      </x:c>
      <x:c r="F43" s="77" t="n">
        <x:v>3</x:v>
      </x:c>
      <x:c r="G43" s="22" t="str">
        <x:v>Lv3 / Lv6 / Lv9</x:v>
      </x:c>
      <x:c r="H43" s="22" t="str">
        <x:v>Universal, Institutional, Research, Risk, Customer</x:v>
      </x:c>
      <x:c r="I43" s="22" t="str">
        <x:v>No</x:v>
      </x:c>
      <x:c r="J43" s="22" t="n">
        <x:v>1</x:v>
      </x:c>
      <x:c r="K43" s="22" t="str">
        <x:v>Yes</x:v>
      </x:c>
      <x:c r="L43" s="22" t="str">
        <x:v>Free</x:v>
      </x:c>
      <x:c r="M43" s="22" t="str">
        <x:v>Next relevant tick</x:v>
      </x:c>
      <x:c r="N43" s="22" t="str">
        <x:v>Yes</x:v>
      </x:c>
      <x:c r="O43" s="22" t="str">
        <x:v>No</x:v>
      </x:c>
      <x:c r="P43" s="44" t="str"/>
    </x:row>
    <x:row r="44">
      <x:c r="A44" s="71" t="n">
        <x:v>41</x:v>
      </x:c>
      <x:c r="B44" s="22" t="str">
        <x:v>Global Brokerage Tower</x:v>
      </x:c>
      <x:c r="C44" s="22" t="str">
        <x:v>Brokerage</x:v>
      </x:c>
      <x:c r="D44" s="22" t="str">
        <x:v>Elite</x:v>
      </x:c>
      <x:c r="E44" s="22" t="str">
        <x:v>Legendary</x:v>
      </x:c>
      <x:c r="F44" s="77" t="n">
        <x:v>3</x:v>
      </x:c>
      <x:c r="G44" s="22" t="str">
        <x:v>Lv3 / Lv6 / Lv9</x:v>
      </x:c>
      <x:c r="H44" s="22" t="str">
        <x:v>Universal, Market, Customer, Research, Operations</x:v>
      </x:c>
      <x:c r="I44" s="22" t="str">
        <x:v>No</x:v>
      </x:c>
      <x:c r="J44" s="22" t="n">
        <x:v>1</x:v>
      </x:c>
      <x:c r="K44" s="22" t="str">
        <x:v>Yes</x:v>
      </x:c>
      <x:c r="L44" s="22" t="str">
        <x:v>Free</x:v>
      </x:c>
      <x:c r="M44" s="22" t="str">
        <x:v>Next relevant tick</x:v>
      </x:c>
      <x:c r="N44" s="22" t="str">
        <x:v>Yes</x:v>
      </x:c>
      <x:c r="O44" s="22" t="str">
        <x:v>No</x:v>
      </x:c>
      <x:c r="P44" s="44" t="str"/>
    </x:row>
    <x:row r="45">
      <x:c r="A45" s="71" t="n">
        <x:v>42</x:v>
      </x:c>
      <x:c r="B45" s="22" t="str">
        <x:v>Major Asset Manager</x:v>
      </x:c>
      <x:c r="C45" s="22" t="str">
        <x:v>Asset Management</x:v>
      </x:c>
      <x:c r="D45" s="22" t="str">
        <x:v>Elite</x:v>
      </x:c>
      <x:c r="E45" s="22" t="str">
        <x:v>Legendary</x:v>
      </x:c>
      <x:c r="F45" s="77" t="n">
        <x:v>3</x:v>
      </x:c>
      <x:c r="G45" s="22" t="str">
        <x:v>Lv3 / Lv6 / Lv9</x:v>
      </x:c>
      <x:c r="H45" s="22" t="str">
        <x:v>Universal, Market, Research, Risk, Institutional</x:v>
      </x:c>
      <x:c r="I45" s="22" t="str">
        <x:v>No</x:v>
      </x:c>
      <x:c r="J45" s="22" t="n">
        <x:v>1</x:v>
      </x:c>
      <x:c r="K45" s="22" t="str">
        <x:v>Yes</x:v>
      </x:c>
      <x:c r="L45" s="22" t="str">
        <x:v>Free</x:v>
      </x:c>
      <x:c r="M45" s="22" t="str">
        <x:v>Next relevant tick</x:v>
      </x:c>
      <x:c r="N45" s="22" t="str">
        <x:v>Yes</x:v>
      </x:c>
      <x:c r="O45" s="22" t="str">
        <x:v>No</x:v>
      </x:c>
      <x:c r="P45" s="44" t="str"/>
    </x:row>
    <x:row r="46">
      <x:c r="A46" s="71" t="n">
        <x:v>43</x:v>
      </x:c>
      <x:c r="B46" s="22" t="str">
        <x:v>Institutional Trading Center</x:v>
      </x:c>
      <x:c r="C46" s="22" t="str">
        <x:v>Trading</x:v>
      </x:c>
      <x:c r="D46" s="22" t="str">
        <x:v>Elite</x:v>
      </x:c>
      <x:c r="E46" s="22" t="str">
        <x:v>Legendary</x:v>
      </x:c>
      <x:c r="F46" s="77" t="n">
        <x:v>3</x:v>
      </x:c>
      <x:c r="G46" s="22" t="str">
        <x:v>Lv3 / Lv6 / Lv9</x:v>
      </x:c>
      <x:c r="H46" s="22" t="str">
        <x:v>Universal, Market, Operations, Risk</x:v>
      </x:c>
      <x:c r="I46" s="22" t="str">
        <x:v>No</x:v>
      </x:c>
      <x:c r="J46" s="22" t="n">
        <x:v>1</x:v>
      </x:c>
      <x:c r="K46" s="22" t="str">
        <x:v>Yes</x:v>
      </x:c>
      <x:c r="L46" s="22" t="str">
        <x:v>Free</x:v>
      </x:c>
      <x:c r="M46" s="22" t="str">
        <x:v>Next relevant tick</x:v>
      </x:c>
      <x:c r="N46" s="22" t="str">
        <x:v>Yes</x:v>
      </x:c>
      <x:c r="O46" s="22" t="str">
        <x:v>No</x:v>
      </x:c>
      <x:c r="P46" s="44" t="str"/>
    </x:row>
    <x:row r="47">
      <x:c r="A47" s="71" t="n">
        <x:v>44</x:v>
      </x:c>
      <x:c r="B47" s="22" t="str">
        <x:v>Global Wealth Center</x:v>
      </x:c>
      <x:c r="C47" s="22" t="str">
        <x:v>Wealth</x:v>
      </x:c>
      <x:c r="D47" s="22" t="str">
        <x:v>Elite</x:v>
      </x:c>
      <x:c r="E47" s="22" t="str">
        <x:v>Legendary</x:v>
      </x:c>
      <x:c r="F47" s="77" t="n">
        <x:v>3</x:v>
      </x:c>
      <x:c r="G47" s="22" t="str">
        <x:v>Lv3 / Lv6 / Lv9</x:v>
      </x:c>
      <x:c r="H47" s="22" t="str">
        <x:v>Universal, Wealth, Customer, Service, Risk</x:v>
      </x:c>
      <x:c r="I47" s="22" t="str">
        <x:v>No</x:v>
      </x:c>
      <x:c r="J47" s="22" t="n">
        <x:v>1</x:v>
      </x:c>
      <x:c r="K47" s="22" t="str">
        <x:v>Yes</x:v>
      </x:c>
      <x:c r="L47" s="22" t="str">
        <x:v>Free</x:v>
      </x:c>
      <x:c r="M47" s="22" t="str">
        <x:v>Next relevant tick</x:v>
      </x:c>
      <x:c r="N47" s="22" t="str">
        <x:v>Yes</x:v>
      </x:c>
      <x:c r="O47" s="22" t="str">
        <x:v>No</x:v>
      </x:c>
      <x:c r="P47" s="44" t="str"/>
    </x:row>
    <x:row r="48">
      <x:c r="A48" s="71" t="n">
        <x:v>45</x:v>
      </x:c>
      <x:c r="B48" s="22" t="str">
        <x:v>Financial Exchange Tower</x:v>
      </x:c>
      <x:c r="C48" s="22" t="str">
        <x:v>Exchange</x:v>
      </x:c>
      <x:c r="D48" s="22" t="str">
        <x:v>Elite</x:v>
      </x:c>
      <x:c r="E48" s="22" t="str">
        <x:v>Legendary</x:v>
      </x:c>
      <x:c r="F48" s="77" t="n">
        <x:v>3</x:v>
      </x:c>
      <x:c r="G48" s="22" t="str">
        <x:v>Lv3 / Lv6 / Lv9</x:v>
      </x:c>
      <x:c r="H48" s="22" t="str">
        <x:v>Universal, Market, Operations, Liquidity, Risk</x:v>
      </x:c>
      <x:c r="I48" s="22" t="str">
        <x:v>No</x:v>
      </x:c>
      <x:c r="J48" s="22" t="n">
        <x:v>1</x:v>
      </x:c>
      <x:c r="K48" s="22" t="str">
        <x:v>Yes</x:v>
      </x:c>
      <x:c r="L48" s="22" t="str">
        <x:v>Free</x:v>
      </x:c>
      <x:c r="M48" s="22" t="str">
        <x:v>Next relevant tick</x:v>
      </x:c>
      <x:c r="N48" s="22" t="str">
        <x:v>Yes</x:v>
      </x:c>
      <x:c r="O48" s="22" t="str">
        <x:v>No</x:v>
      </x:c>
      <x:c r="P48" s="44" t="str"/>
    </x:row>
    <x:row r="49">
      <x:c r="A49" s="71" t="n">
        <x:v>46</x:v>
      </x:c>
      <x:c r="B49" s="22" t="str">
        <x:v>International Bank HQ</x:v>
      </x:c>
      <x:c r="C49" s="22" t="str">
        <x:v>Banking</x:v>
      </x:c>
      <x:c r="D49" s="22" t="str">
        <x:v>Tycoon</x:v>
      </x:c>
      <x:c r="E49" s="22" t="str">
        <x:v>Mythic</x:v>
      </x:c>
      <x:c r="F49" s="77" t="n">
        <x:v>4</x:v>
      </x:c>
      <x:c r="G49" s="22" t="str">
        <x:v>Lv3 / Lv6 / Lv9 / Lv11</x:v>
      </x:c>
      <x:c r="H49" s="22" t="str">
        <x:v>Universal, Customer, Liquidity, Credit, Risk, Service</x:v>
      </x:c>
      <x:c r="I49" s="22" t="str">
        <x:v>No</x:v>
      </x:c>
      <x:c r="J49" s="22" t="n">
        <x:v>1</x:v>
      </x:c>
      <x:c r="K49" s="22" t="str">
        <x:v>Yes</x:v>
      </x:c>
      <x:c r="L49" s="22" t="str">
        <x:v>Free</x:v>
      </x:c>
      <x:c r="M49" s="22" t="str">
        <x:v>Next relevant tick</x:v>
      </x:c>
      <x:c r="N49" s="22" t="str">
        <x:v>Yes</x:v>
      </x:c>
      <x:c r="O49" s="22" t="str">
        <x:v>No</x:v>
      </x:c>
      <x:c r="P49" s="44" t="str"/>
    </x:row>
    <x:row r="50">
      <x:c r="A50" s="71" t="n">
        <x:v>47</x:v>
      </x:c>
      <x:c r="B50" s="22" t="str">
        <x:v>Global Investment Bank</x:v>
      </x:c>
      <x:c r="C50" s="22" t="str">
        <x:v>Investment Banking</x:v>
      </x:c>
      <x:c r="D50" s="22" t="str">
        <x:v>Tycoon</x:v>
      </x:c>
      <x:c r="E50" s="22" t="str">
        <x:v>Mythic</x:v>
      </x:c>
      <x:c r="F50" s="77" t="n">
        <x:v>4</x:v>
      </x:c>
      <x:c r="G50" s="22" t="str">
        <x:v>Lv3 / Lv6 / Lv9 / Lv11</x:v>
      </x:c>
      <x:c r="H50" s="22" t="str">
        <x:v>Universal, Institutional, Research, Risk, Customer</x:v>
      </x:c>
      <x:c r="I50" s="22" t="str">
        <x:v>No</x:v>
      </x:c>
      <x:c r="J50" s="22" t="n">
        <x:v>1</x:v>
      </x:c>
      <x:c r="K50" s="22" t="str">
        <x:v>Yes</x:v>
      </x:c>
      <x:c r="L50" s="22" t="str">
        <x:v>Free</x:v>
      </x:c>
      <x:c r="M50" s="22" t="str">
        <x:v>Next relevant tick</x:v>
      </x:c>
      <x:c r="N50" s="22" t="str">
        <x:v>Yes</x:v>
      </x:c>
      <x:c r="O50" s="22" t="str">
        <x:v>No</x:v>
      </x:c>
      <x:c r="P50" s="44" t="str"/>
    </x:row>
    <x:row r="51">
      <x:c r="A51" s="71" t="n">
        <x:v>48</x:v>
      </x:c>
      <x:c r="B51" s="22" t="str">
        <x:v>Sovereign Fund Tower</x:v>
      </x:c>
      <x:c r="C51" s="22" t="str">
        <x:v>Asset Management</x:v>
      </x:c>
      <x:c r="D51" s="22" t="str">
        <x:v>Tycoon</x:v>
      </x:c>
      <x:c r="E51" s="22" t="str">
        <x:v>Mythic</x:v>
      </x:c>
      <x:c r="F51" s="77" t="n">
        <x:v>4</x:v>
      </x:c>
      <x:c r="G51" s="22" t="str">
        <x:v>Lv3 / Lv6 / Lv9 / Lv11</x:v>
      </x:c>
      <x:c r="H51" s="22" t="str">
        <x:v>Universal, Market, Research, Risk, Institutional</x:v>
      </x:c>
      <x:c r="I51" s="22" t="str">
        <x:v>No</x:v>
      </x:c>
      <x:c r="J51" s="22" t="n">
        <x:v>1</x:v>
      </x:c>
      <x:c r="K51" s="22" t="str">
        <x:v>Yes</x:v>
      </x:c>
      <x:c r="L51" s="22" t="str">
        <x:v>Free</x:v>
      </x:c>
      <x:c r="M51" s="22" t="str">
        <x:v>Next relevant tick</x:v>
      </x:c>
      <x:c r="N51" s="22" t="str">
        <x:v>Yes</x:v>
      </x:c>
      <x:c r="O51" s="22" t="str">
        <x:v>No</x:v>
      </x:c>
      <x:c r="P51" s="44" t="str"/>
    </x:row>
    <x:row r="52">
      <x:c r="A52" s="71" t="n">
        <x:v>49</x:v>
      </x:c>
      <x:c r="B52" s="22" t="str">
        <x:v>World Financial Exchange</x:v>
      </x:c>
      <x:c r="C52" s="22" t="str">
        <x:v>Exchange</x:v>
      </x:c>
      <x:c r="D52" s="22" t="str">
        <x:v>Tycoon</x:v>
      </x:c>
      <x:c r="E52" s="22" t="str">
        <x:v>Mythic</x:v>
      </x:c>
      <x:c r="F52" s="77" t="n">
        <x:v>4</x:v>
      </x:c>
      <x:c r="G52" s="22" t="str">
        <x:v>Lv3 / Lv6 / Lv9 / Lv11</x:v>
      </x:c>
      <x:c r="H52" s="22" t="str">
        <x:v>Universal, Market, Operations, Liquidity, Risk</x:v>
      </x:c>
      <x:c r="I52" s="22" t="str">
        <x:v>No</x:v>
      </x:c>
      <x:c r="J52" s="22" t="n">
        <x:v>1</x:v>
      </x:c>
      <x:c r="K52" s="22" t="str">
        <x:v>Yes</x:v>
      </x:c>
      <x:c r="L52" s="22" t="str">
        <x:v>Free</x:v>
      </x:c>
      <x:c r="M52" s="22" t="str">
        <x:v>Next relevant tick</x:v>
      </x:c>
      <x:c r="N52" s="22" t="str">
        <x:v>Yes</x:v>
      </x:c>
      <x:c r="O52" s="22" t="str">
        <x:v>No</x:v>
      </x:c>
      <x:c r="P52" s="44" t="str"/>
    </x:row>
    <x:row r="53">
      <x:c r="A53" s="72" t="n">
        <x:v>50</x:v>
      </x:c>
      <x:c r="B53" s="46" t="str">
        <x:v>Financial Empire Headquarters</x:v>
      </x:c>
      <x:c r="C53" s="46" t="str">
        <x:v>Multi-Service</x:v>
      </x:c>
      <x:c r="D53" s="46" t="str">
        <x:v>Tycoon</x:v>
      </x:c>
      <x:c r="E53" s="46" t="str">
        <x:v>Mythic</x:v>
      </x:c>
      <x:c r="F53" s="78" t="n">
        <x:v>4</x:v>
      </x:c>
      <x:c r="G53" s="46" t="str">
        <x:v>Lv3 / Lv6 / Lv9 / Lv11</x:v>
      </x:c>
      <x:c r="H53" s="46" t="str">
        <x:v>Universal, Customer, Operations, Risk, Service</x:v>
      </x:c>
      <x:c r="I53" s="46" t="str">
        <x:v>No</x:v>
      </x:c>
      <x:c r="J53" s="46" t="n">
        <x:v>1</x:v>
      </x:c>
      <x:c r="K53" s="46" t="str">
        <x:v>Yes</x:v>
      </x:c>
      <x:c r="L53" s="46" t="str">
        <x:v>Free</x:v>
      </x:c>
      <x:c r="M53" s="46" t="str">
        <x:v>Next relevant tick</x:v>
      </x:c>
      <x:c r="N53" s="46" t="str">
        <x:v>Yes</x:v>
      </x:c>
      <x:c r="O53" s="46" t="str">
        <x:v>No</x:v>
      </x:c>
      <x:c r="P53" s="47" t="str"/>
    </x:row>
  </x:sheetData>
  <x:mergeCells>
    <x:mergeCell ref="A1:P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Building Mastery — Deterministic Module Acquisition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22"/>
    </x:row>
    <x:row r="3">
      <x:c r="A3" s="14" t="str">
        <x:v>Mastery Tier</x:v>
      </x:c>
      <x:c r="B3" s="14" t="str">
        <x:v>Eligible Buildings</x:v>
      </x:c>
      <x:c r="C3" s="14" t="str">
        <x:v>Core Objective Pattern</x:v>
      </x:c>
      <x:c r="D3" s="14" t="str">
        <x:v>Quality Gate</x:v>
      </x:c>
      <x:c r="E3" s="14" t="str">
        <x:v>Reward</x:v>
      </x:c>
      <x:c r="F3" s="14" t="str">
        <x:v>Choice Size</x:v>
      </x:c>
      <x:c r="G3" s="14" t="str">
        <x:v>Reward Rarity</x:v>
      </x:c>
      <x:c r="H3" s="14" t="str">
        <x:v>Account Scope</x:v>
      </x:c>
      <x:c r="I3" s="14" t="str">
        <x:v>Repeatable?</x:v>
      </x:c>
      <x:c r="J3" s="14" t="str">
        <x:v>Can Be Bought?</x:v>
      </x:c>
      <x:c r="K3" s="14" t="str">
        <x:v>Leaderboard Required?</x:v>
      </x:c>
      <x:c r="L3" s="14" t="str">
        <x:v>Failure Resets?</x:v>
      </x:c>
      <x:c r="M3" s="14" t="str">
        <x:v>Evidence Source</x:v>
      </x:c>
      <x:c r="N3" s="14" t="str">
        <x:v>Server Validation</x:v>
      </x:c>
      <x:c r="O3" s="14" t="str">
        <x:v>Priority</x:v>
      </x:c>
      <x:c r="P3" s="14" t="str">
        <x:v>Purpose</x:v>
      </x:c>
    </x:row>
    <x:row r="4">
      <x:c r="A4" s="40" t="str">
        <x:v>I</x:v>
      </x:c>
      <x:c r="B4" s="41" t="str">
        <x:v>All</x:v>
      </x:c>
      <x:c r="C4" s="41" t="str">
        <x:v>Operate building type for 1 active day + stage-normalized customer/activity target</x:v>
      </x:c>
      <x:c r="D4" s="41" t="str">
        <x:v>None</x:v>
      </x:c>
      <x:c r="E4" s="41" t="str">
        <x:v>Choose Module</x:v>
      </x:c>
      <x:c r="F4" s="41" t="n">
        <x:v>3</x:v>
      </x:c>
      <x:c r="G4" s="41" t="str">
        <x:v>Common</x:v>
      </x:c>
      <x:c r="H4" s="41" t="str">
        <x:v>Per Building Card type</x:v>
      </x:c>
      <x:c r="I4" s="41" t="str">
        <x:v>No</x:v>
      </x:c>
      <x:c r="J4" s="41" t="str">
        <x:v>No</x:v>
      </x:c>
      <x:c r="K4" s="41" t="str">
        <x:v>No</x:v>
      </x:c>
      <x:c r="L4" s="41" t="str">
        <x:v>No</x:v>
      </x:c>
      <x:c r="M4" s="41" t="str">
        <x:v>Customer/activity ledgers</x:v>
      </x:c>
      <x:c r="N4" s="41" t="str">
        <x:v>Validated qualifying activity</x:v>
      </x:c>
      <x:c r="O4" s="41" t="str">
        <x:v>P1</x:v>
      </x:c>
      <x:c r="P4" s="42" t="str">
        <x:v>Teach Modules</x:v>
      </x:c>
    </x:row>
    <x:row r="5">
      <x:c r="A5" s="43" t="str">
        <x:v>II</x:v>
      </x:c>
      <x:c r="B5" s="22" t="str">
        <x:v>Uncommon+; lower tiers via extended use</x:v>
      </x:c>
      <x:c r="C5" s="22" t="str">
        <x:v>Larger customer/activity target</x:v>
      </x:c>
      <x:c r="D5" s="22" t="str">
        <x:v>Service &gt;=60</x:v>
      </x:c>
      <x:c r="E5" s="22" t="str">
        <x:v>Choose Module</x:v>
      </x:c>
      <x:c r="F5" s="22" t="n">
        <x:v>3</x:v>
      </x:c>
      <x:c r="G5" s="22" t="str">
        <x:v>Uncommon</x:v>
      </x:c>
      <x:c r="H5" s="22" t="str">
        <x:v>Per Building Card type</x:v>
      </x:c>
      <x:c r="I5" s="22" t="str">
        <x:v>No</x:v>
      </x:c>
      <x:c r="J5" s="22" t="str">
        <x:v>No</x:v>
      </x:c>
      <x:c r="K5" s="22" t="str">
        <x:v>No</x:v>
      </x:c>
      <x:c r="L5" s="22" t="str">
        <x:v>No</x:v>
      </x:c>
      <x:c r="M5" s="22" t="str">
        <x:v>Ledgers + service snapshot</x:v>
      </x:c>
      <x:c r="N5" s="22" t="str">
        <x:v>Quality + progress</x:v>
      </x:c>
      <x:c r="O5" s="22" t="str">
        <x:v>P1</x:v>
      </x:c>
      <x:c r="P5" s="44" t="str">
        <x:v>Early specialization</x:v>
      </x:c>
    </x:row>
    <x:row r="6">
      <x:c r="A6" s="43" t="str">
        <x:v>III</x:v>
      </x:c>
      <x:c r="B6" s="22" t="str">
        <x:v>Rare+; lower tiers via long-term track</x:v>
      </x:c>
      <x:c r="C6" s="22" t="str">
        <x:v>3 active days + family objective</x:v>
      </x:c>
      <x:c r="D6" s="22" t="str">
        <x:v>Composite Risk &lt;=60 or family-specific quality</x:v>
      </x:c>
      <x:c r="E6" s="22" t="str">
        <x:v>Choose Module</x:v>
      </x:c>
      <x:c r="F6" s="22" t="n">
        <x:v>3</x:v>
      </x:c>
      <x:c r="G6" s="22" t="str">
        <x:v>Rare</x:v>
      </x:c>
      <x:c r="H6" s="22" t="str">
        <x:v>Per Building Card type</x:v>
      </x:c>
      <x:c r="I6" s="22" t="str">
        <x:v>No</x:v>
      </x:c>
      <x:c r="J6" s="22" t="str">
        <x:v>No</x:v>
      </x:c>
      <x:c r="K6" s="22" t="str">
        <x:v>No</x:v>
      </x:c>
      <x:c r="L6" s="22" t="str">
        <x:v>No</x:v>
      </x:c>
      <x:c r="M6" s="22" t="str">
        <x:v>Risk + activity + customer</x:v>
      </x:c>
      <x:c r="N6" s="22" t="str">
        <x:v>Frozen objective config</x:v>
      </x:c>
      <x:c r="O6" s="22" t="str">
        <x:v>P1</x:v>
      </x:c>
      <x:c r="P6" s="44" t="str">
        <x:v>Guaranteed strong sidegrade</x:v>
      </x:c>
    </x:row>
    <x:row r="7">
      <x:c r="A7" s="43" t="str">
        <x:v>IV</x:v>
      </x:c>
      <x:c r="B7" s="22" t="str">
        <x:v>Epic+</x:v>
      </x:c>
      <x:c r="C7" s="22" t="str">
        <x:v>Advanced family operating objective</x:v>
      </x:c>
      <x:c r="D7" s="22" t="str">
        <x:v>Reputation/Service/Risk condition</x:v>
      </x:c>
      <x:c r="E7" s="22" t="str">
        <x:v>Choose Module</x:v>
      </x:c>
      <x:c r="F7" s="22" t="n">
        <x:v>2</x:v>
      </x:c>
      <x:c r="G7" s="22" t="str">
        <x:v>Epic</x:v>
      </x:c>
      <x:c r="H7" s="22" t="str">
        <x:v>Per Building Card type</x:v>
      </x:c>
      <x:c r="I7" s="22" t="str">
        <x:v>No</x:v>
      </x:c>
      <x:c r="J7" s="22" t="str">
        <x:v>No</x:v>
      </x:c>
      <x:c r="K7" s="22" t="str">
        <x:v>No</x:v>
      </x:c>
      <x:c r="L7" s="22" t="str">
        <x:v>No</x:v>
      </x:c>
      <x:c r="M7" s="22" t="str">
        <x:v>Multi-system evidence</x:v>
      </x:c>
      <x:c r="N7" s="22" t="str">
        <x:v>All gates server-side</x:v>
      </x:c>
      <x:c r="O7" s="22" t="str">
        <x:v>P2</x:v>
      </x:c>
      <x:c r="P7" s="44" t="str">
        <x:v>Institution mastery</x:v>
      </x:c>
    </x:row>
    <x:row r="8">
      <x:c r="A8" s="45" t="str">
        <x:v>V</x:v>
      </x:c>
      <x:c r="B8" s="46" t="str">
        <x:v>Mythic + selected Legendary endgame</x:v>
      </x:c>
      <x:c r="C8" s="46" t="str">
        <x:v>Long-term family mastery chain</x:v>
      </x:c>
      <x:c r="D8" s="46" t="str">
        <x:v>High quality across multiple days/events</x:v>
      </x:c>
      <x:c r="E8" s="46" t="str">
        <x:v>Legendary Module or Parts</x:v>
      </x:c>
      <x:c r="F8" s="46" t="n">
        <x:v>2</x:v>
      </x:c>
      <x:c r="G8" s="46" t="str">
        <x:v>Legendary</x:v>
      </x:c>
      <x:c r="H8" s="46" t="str">
        <x:v>Per Building Card/family</x:v>
      </x:c>
      <x:c r="I8" s="46" t="str">
        <x:v>No</x:v>
      </x:c>
      <x:c r="J8" s="46" t="str">
        <x:v>No</x:v>
      </x:c>
      <x:c r="K8" s="46" t="str">
        <x:v>No</x:v>
      </x:c>
      <x:c r="L8" s="46" t="str">
        <x:v>No</x:v>
      </x:c>
      <x:c r="M8" s="46" t="str">
        <x:v>Longitudinal ledgers</x:v>
      </x:c>
      <x:c r="N8" s="46" t="str">
        <x:v>No competitive rank gate</x:v>
      </x:c>
      <x:c r="O8" s="46" t="str">
        <x:v>P2</x:v>
      </x:c>
      <x:c r="P8" s="47" t="str">
        <x:v>Endgame deterministic path</x:v>
      </x:c>
    </x:row>
    <x:row r="10" ht="22" customHeight="1">
      <x:c r="A10" s="11" t="str">
        <x:v>Mastery Evidence by Building Family</x:v>
      </x:c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</x:row>
    <x:row r="11">
      <x:c r="A11" s="14" t="str">
        <x:v>Family</x:v>
      </x:c>
      <x:c r="B11" s="14" t="str">
        <x:v>Primary Evidence</x:v>
      </x:c>
      <x:c r="C11" s="14" t="str">
        <x:v>Example Advanced Objective</x:v>
      </x:c>
    </x:row>
    <x:row r="12">
      <x:c r="A12" s="40" t="str">
        <x:v>Banking</x:v>
      </x:c>
      <x:c r="B12" s="41" t="str">
        <x:v>Customers, reserve ratio, retention, Liquidity/Credit Risk</x:v>
      </x:c>
      <x:c r="C12" s="42" t="str">
        <x:v>Serve stage-normalized customers while reserve &gt;=15% and Liquidity Risk &lt;=50</x:v>
      </x:c>
    </x:row>
    <x:row r="13">
      <x:c r="A13" s="43" t="str">
        <x:v>Lending</x:v>
      </x:c>
      <x:c r="B13" s="22" t="str">
        <x:v>Loan activity proxy, Credit Risk, service</x:v>
      </x:c>
      <x:c r="C13" s="44" t="str">
        <x:v>Sustain lending activity through a credit event with Credit Risk &lt;=60</x:v>
      </x:c>
    </x:row>
    <x:row r="14">
      <x:c r="A14" s="43" t="str">
        <x:v>Trading / Exchange / Market Maker</x:v>
      </x:c>
      <x:c r="B14" s="22" t="str">
        <x:v>Trading activity, uptime, Market/Liquidity Risk</x:v>
      </x:c>
      <x:c r="C14" s="44" t="str">
        <x:v>Maintain activity while Market Risk &lt;=60 during Volatility Spike</x:v>
      </x:c>
    </x:row>
    <x:row r="15">
      <x:c r="A15" s="43" t="str">
        <x:v>Brokerage / Advisory</x:v>
      </x:c>
      <x:c r="B15" s="22" t="str">
        <x:v>Investor customers, service, research support</x:v>
      </x:c>
      <x:c r="C15" s="44" t="str">
        <x:v>Serve retail investors with Service &gt;=75 and stable retention</x:v>
      </x:c>
    </x:row>
    <x:row r="16">
      <x:c r="A16" s="43" t="str">
        <x:v>Asset Management / Wealth / Private Banking</x:v>
      </x:c>
      <x:c r="B16" s="22" t="str">
        <x:v>HNW/investor customers, concentration, Reputation</x:v>
      </x:c>
      <x:c r="C16" s="44" t="str">
        <x:v>Keep Concentration Risk &lt;=50 while serving HNW target</x:v>
      </x:c>
    </x:row>
    <x:row r="17">
      <x:c r="A17" s="43" t="str">
        <x:v>Insurance</x:v>
      </x:c>
      <x:c r="B17" s="22" t="str">
        <x:v>Retention, Service, risk incidents</x:v>
      </x:c>
      <x:c r="C17" s="44" t="str">
        <x:v>Resolve risk event without severe service/reputation failure</x:v>
      </x:c>
    </x:row>
    <x:row r="18">
      <x:c r="A18" s="43" t="str">
        <x:v>Treasury</x:v>
      </x:c>
      <x:c r="B18" s="22" t="str">
        <x:v>Reserve ratio, liquidity resilience</x:v>
      </x:c>
      <x:c r="C18" s="44" t="str">
        <x:v>Maintain reserve &gt;=15% while supporting high utilization</x:v>
      </x:c>
    </x:row>
    <x:row r="19">
      <x:c r="A19" s="43" t="str">
        <x:v>Research / Data / Fintech</x:v>
      </x:c>
      <x:c r="B19" s="22" t="str">
        <x:v>Research/Hunt support, Service, Operational Risk</x:v>
      </x:c>
      <x:c r="C19" s="44" t="str">
        <x:v>Maintain Service &gt;=75 and Operational Risk &lt;=45 over 3 active days</x:v>
      </x:c>
    </x:row>
    <x:row r="20">
      <x:c r="A20" s="43" t="str">
        <x:v>Investment Banking</x:v>
      </x:c>
      <x:c r="B20" s="22" t="str">
        <x:v>Corporate clients, deal/event activity, Reputation/Risk</x:v>
      </x:c>
      <x:c r="C20" s="44" t="str">
        <x:v>Complete corporate objective with Reputation &gt;=80 and Risk &lt;=50</x:v>
      </x:c>
    </x:row>
    <x:row r="21">
      <x:c r="A21" s="45" t="str">
        <x:v>Multi-Service</x:v>
      </x:c>
      <x:c r="B21" s="46" t="str">
        <x:v>Segment diversity, balanced Risk</x:v>
      </x:c>
      <x:c r="C21" s="47" t="str">
        <x:v>Keep 3+ customer segments meaningful while no single risk category exceeds 60</x:v>
      </x:c>
    </x:row>
  </x:sheetData>
  <x:mergeCells>
    <x:mergeCell ref="A1:P1"/>
    <x:mergeCell ref="A10:P1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Module Acquisition Sources &amp; Reward Resolver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22"/>
    </x:row>
    <x:row r="3">
      <x:c r="A3" s="14" t="str">
        <x:v>Source</x:v>
      </x:c>
      <x:c r="B3" s="14" t="str">
        <x:v>Frequency</x:v>
      </x:c>
      <x:c r="C3" s="14" t="str">
        <x:v>Common</x:v>
      </x:c>
      <x:c r="D3" s="14" t="str">
        <x:v>Uncommon</x:v>
      </x:c>
      <x:c r="E3" s="14" t="str">
        <x:v>Rare</x:v>
      </x:c>
      <x:c r="F3" s="14" t="str">
        <x:v>Epic</x:v>
      </x:c>
      <x:c r="G3" s="14" t="str">
        <x:v>Legendary</x:v>
      </x:c>
      <x:c r="H3" s="14" t="str">
        <x:v>Targetability</x:v>
      </x:c>
      <x:c r="I3" s="14" t="str">
        <x:v>Guaranteed?</x:v>
      </x:c>
      <x:c r="J3" s="14" t="str">
        <x:v>Cash Cost?</x:v>
      </x:c>
      <x:c r="K3" s="14" t="str">
        <x:v>Real Money?</x:v>
      </x:c>
      <x:c r="L3" s="14" t="str">
        <x:v>RNG Role</x:v>
      </x:c>
      <x:c r="M3" s="14" t="str">
        <x:v>Direct Score?</x:v>
      </x:c>
      <x:c r="N3" s="14" t="str">
        <x:v>Resolver</x:v>
      </x:c>
      <x:c r="O3" s="14" t="str">
        <x:v>Priority</x:v>
      </x:c>
      <x:c r="P3" s="14" t="str">
        <x:v>Notes</x:v>
      </x:c>
    </x:row>
    <x:row r="4">
      <x:c r="A4" s="40" t="str">
        <x:v>Building Mastery</x:v>
      </x:c>
      <x:c r="B4" s="41" t="str">
        <x:v>One-time tiers</x:v>
      </x:c>
      <x:c r="C4" s="41" t="str">
        <x:v>Yes</x:v>
      </x:c>
      <x:c r="D4" s="41" t="str">
        <x:v>Yes</x:v>
      </x:c>
      <x:c r="E4" s="41" t="str">
        <x:v>Yes</x:v>
      </x:c>
      <x:c r="F4" s="41" t="str">
        <x:v>Yes</x:v>
      </x:c>
      <x:c r="G4" s="41" t="str">
        <x:v>Yes at top mastery</x:v>
      </x:c>
      <x:c r="H4" s="41" t="str">
        <x:v>High — choice</x:v>
      </x:c>
      <x:c r="I4" s="41" t="str">
        <x:v>Yes</x:v>
      </x:c>
      <x:c r="J4" s="41" t="str">
        <x:v>No</x:v>
      </x:c>
      <x:c r="K4" s="41" t="str">
        <x:v>No</x:v>
      </x:c>
      <x:c r="L4" s="41" t="str">
        <x:v>None/choice</x:v>
      </x:c>
      <x:c r="M4" s="41" t="str">
        <x:v>No</x:v>
      </x:c>
      <x:c r="N4" s="41" t="str">
        <x:v>Mastery Service</x:v>
      </x:c>
      <x:c r="O4" s="41" t="str">
        <x:v>P1</x:v>
      </x:c>
      <x:c r="P4" s="42" t="str">
        <x:v>Primary deterministic path</x:v>
      </x:c>
    </x:row>
    <x:row r="5">
      <x:c r="A5" s="43" t="str">
        <x:v>Market Hunts</x:v>
      </x:c>
      <x:c r="B5" s="22" t="str">
        <x:v>Daily</x:v>
      </x:c>
      <x:c r="C5" s="22" t="str">
        <x:v>Yes</x:v>
      </x:c>
      <x:c r="D5" s="22" t="str">
        <x:v>Yes</x:v>
      </x:c>
      <x:c r="E5" s="22" t="str">
        <x:v>Yes</x:v>
      </x:c>
      <x:c r="F5" s="22" t="str">
        <x:v>Hard/Elite</x:v>
      </x:c>
      <x:c r="G5" s="22" t="str">
        <x:v>Very low Elite/Jackpot</x:v>
      </x:c>
      <x:c r="H5" s="22" t="str">
        <x:v>Family-biased</x:v>
      </x:c>
      <x:c r="I5" s="22" t="str">
        <x:v>No</x:v>
      </x:c>
      <x:c r="J5" s="22" t="str">
        <x:v>No</x:v>
      </x:c>
      <x:c r="K5" s="22" t="str">
        <x:v>No</x:v>
      </x:c>
      <x:c r="L5" s="22" t="str">
        <x:v>Discovery</x:v>
      </x:c>
      <x:c r="M5" s="22" t="str">
        <x:v>No; Hunt score independent</x:v>
      </x:c>
      <x:c r="N5" s="22" t="str">
        <x:v>Reward Service</x:v>
      </x:c>
      <x:c r="O5" s="22" t="str">
        <x:v>P1</x:v>
      </x:c>
      <x:c r="P5" s="44" t="str">
        <x:v>Separate from stock budget</x:v>
      </x:c>
    </x:row>
    <x:row r="6">
      <x:c r="A6" s="43" t="str">
        <x:v>Events</x:v>
      </x:c>
      <x:c r="B6" s="22" t="str">
        <x:v>Several/week</x:v>
      </x:c>
      <x:c r="C6" s="22" t="str">
        <x:v>Yes</x:v>
      </x:c>
      <x:c r="D6" s="22" t="str">
        <x:v>Yes</x:v>
      </x:c>
      <x:c r="E6" s="22" t="str">
        <x:v>Yes</x:v>
      </x:c>
      <x:c r="F6" s="22" t="str">
        <x:v>Major</x:v>
      </x:c>
      <x:c r="G6" s="22" t="str">
        <x:v>Themed/Parts rare</x:v>
      </x:c>
      <x:c r="H6" s="22" t="str">
        <x:v>Theme-biased</x:v>
      </x:c>
      <x:c r="I6" s="22" t="str">
        <x:v>Sometimes</x:v>
      </x:c>
      <x:c r="J6" s="22" t="str">
        <x:v>No</x:v>
      </x:c>
      <x:c r="K6" s="22" t="str">
        <x:v>No</x:v>
      </x:c>
      <x:c r="L6" s="22" t="str">
        <x:v>Themed random/choice</x:v>
      </x:c>
      <x:c r="M6" s="22" t="str">
        <x:v>No</x:v>
      </x:c>
      <x:c r="N6" s="22" t="str">
        <x:v>Event Reward Resolver</x:v>
      </x:c>
      <x:c r="O6" s="22" t="str">
        <x:v>P1</x:v>
      </x:c>
      <x:c r="P6" s="44" t="str"/>
    </x:row>
    <x:row r="7">
      <x:c r="A7" s="43" t="str">
        <x:v>Progression Milestones</x:v>
      </x:c>
      <x:c r="B7" s="22" t="str">
        <x:v>Finite</x:v>
      </x:c>
      <x:c r="C7" s="22" t="str">
        <x:v>Yes</x:v>
      </x:c>
      <x:c r="D7" s="22" t="str">
        <x:v>Yes</x:v>
      </x:c>
      <x:c r="E7" s="22" t="str">
        <x:v>Yes</x:v>
      </x:c>
      <x:c r="F7" s="22" t="str">
        <x:v>Some</x:v>
      </x:c>
      <x:c r="G7" s="22" t="str">
        <x:v>Parts later</x:v>
      </x:c>
      <x:c r="H7" s="22" t="str">
        <x:v>High</x:v>
      </x:c>
      <x:c r="I7" s="22" t="str">
        <x:v>Yes</x:v>
      </x:c>
      <x:c r="J7" s="22" t="str">
        <x:v>No</x:v>
      </x:c>
      <x:c r="K7" s="22" t="str">
        <x:v>No</x:v>
      </x:c>
      <x:c r="L7" s="22" t="str">
        <x:v>Low</x:v>
      </x:c>
      <x:c r="M7" s="22" t="str">
        <x:v>No</x:v>
      </x:c>
      <x:c r="N7" s="22" t="str">
        <x:v>Progression Service</x:v>
      </x:c>
      <x:c r="O7" s="22" t="str">
        <x:v>P1</x:v>
      </x:c>
      <x:c r="P7" s="44" t="str">
        <x:v>Bad-luck protection</x:v>
      </x:c>
    </x:row>
    <x:row r="8">
      <x:c r="A8" s="43" t="str">
        <x:v>Season Rewards</x:v>
      </x:c>
      <x:c r="B8" s="22" t="str">
        <x:v>Seasonal</x:v>
      </x:c>
      <x:c r="C8" s="22" t="str">
        <x:v>Cosmetic/sidegrade</x:v>
      </x:c>
      <x:c r="D8" s="22" t="str">
        <x:v>Sidegrade</x:v>
      </x:c>
      <x:c r="E8" s="22" t="str">
        <x:v>Sidegrade</x:v>
      </x:c>
      <x:c r="F8" s="22" t="str">
        <x:v>Sidegrade/Parts</x:v>
      </x:c>
      <x:c r="G8" s="22" t="str">
        <x:v>Legendary cosmetic/sidegrade</x:v>
      </x:c>
      <x:c r="H8" s="22" t="str">
        <x:v>Medium</x:v>
      </x:c>
      <x:c r="I8" s="22" t="str">
        <x:v>Sometimes</x:v>
      </x:c>
      <x:c r="J8" s="22" t="str">
        <x:v>No</x:v>
      </x:c>
      <x:c r="K8" s="22" t="str">
        <x:v>No</x:v>
      </x:c>
      <x:c r="L8" s="22" t="str">
        <x:v>Low</x:v>
      </x:c>
      <x:c r="M8" s="22" t="str">
        <x:v>No</x:v>
      </x:c>
      <x:c r="N8" s="22" t="str">
        <x:v>Season Service</x:v>
      </x:c>
      <x:c r="O8" s="22" t="str">
        <x:v>P2</x:v>
      </x:c>
      <x:c r="P8" s="44" t="str">
        <x:v>Never strictly stronger exclusive</x:v>
      </x:c>
    </x:row>
    <x:row r="9">
      <x:c r="A9" s="43" t="str">
        <x:v>Crafting</x:v>
      </x:c>
      <x:c r="B9" s="22" t="str">
        <x:v>On demand</x:v>
      </x:c>
      <x:c r="C9" s="22" t="str">
        <x:v>Yes</x:v>
      </x:c>
      <x:c r="D9" s="22" t="str">
        <x:v>Yes</x:v>
      </x:c>
      <x:c r="E9" s="22" t="str">
        <x:v>Yes</x:v>
      </x:c>
      <x:c r="F9" s="22" t="str">
        <x:v>Yes</x:v>
      </x:c>
      <x:c r="G9" s="22" t="str">
        <x:v>Yes with mastery</x:v>
      </x:c>
      <x:c r="H9" s="22" t="str">
        <x:v>Exact</x:v>
      </x:c>
      <x:c r="I9" s="22" t="str">
        <x:v>Yes</x:v>
      </x:c>
      <x:c r="J9" s="22" t="str">
        <x:v>Module Parts</x:v>
      </x:c>
      <x:c r="K9" s="22" t="str">
        <x:v>No</x:v>
      </x:c>
      <x:c r="L9" s="22" t="str">
        <x:v>None</x:v>
      </x:c>
      <x:c r="M9" s="22" t="str">
        <x:v>No</x:v>
      </x:c>
      <x:c r="N9" s="22" t="str">
        <x:v>Craft Service</x:v>
      </x:c>
      <x:c r="O9" s="22" t="str">
        <x:v>P2</x:v>
      </x:c>
      <x:c r="P9" s="44" t="str"/>
    </x:row>
    <x:row r="10">
      <x:c r="A10" s="43" t="str">
        <x:v>Earned Module Packs</x:v>
      </x:c>
      <x:c r="B10" s="22" t="str">
        <x:v>1–3/week</x:v>
      </x:c>
      <x:c r="C10" s="22" t="str">
        <x:v>Yes</x:v>
      </x:c>
      <x:c r="D10" s="22" t="str">
        <x:v>Yes</x:v>
      </x:c>
      <x:c r="E10" s="22" t="str">
        <x:v>Yes</x:v>
      </x:c>
      <x:c r="F10" s="22" t="str">
        <x:v>Low Epic</x:v>
      </x:c>
      <x:c r="G10" s="22" t="str">
        <x:v>No direct Legendary full</x:v>
      </x:c>
      <x:c r="H10" s="22" t="str">
        <x:v>Low/Medium</x:v>
      </x:c>
      <x:c r="I10" s="22" t="str">
        <x:v>No</x:v>
      </x:c>
      <x:c r="J10" s="22" t="str">
        <x:v>No</x:v>
      </x:c>
      <x:c r="K10" s="22" t="str">
        <x:v>No</x:v>
      </x:c>
      <x:c r="L10" s="22" t="str">
        <x:v>Random accelerator</x:v>
      </x:c>
      <x:c r="M10" s="22" t="str">
        <x:v>No</x:v>
      </x:c>
      <x:c r="N10" s="22" t="str">
        <x:v>Reward Service</x:v>
      </x:c>
      <x:c r="O10" s="22" t="str">
        <x:v>P1</x:v>
      </x:c>
      <x:c r="P10" s="44" t="str"/>
    </x:row>
    <x:row r="11">
      <x:c r="A11" s="45" t="str">
        <x:v>Cash Module Pack</x:v>
      </x:c>
      <x:c r="B11" s="46" t="str">
        <x:v>Weekly capped</x:v>
      </x:c>
      <x:c r="C11" s="46" t="str">
        <x:v>Yes</x:v>
      </x:c>
      <x:c r="D11" s="46" t="str">
        <x:v>Yes</x:v>
      </x:c>
      <x:c r="E11" s="46" t="str">
        <x:v>Rare ceiling</x:v>
      </x:c>
      <x:c r="F11" s="46" t="str">
        <x:v>No</x:v>
      </x:c>
      <x:c r="G11" s="46" t="str">
        <x:v>No</x:v>
      </x:c>
      <x:c r="H11" s="46" t="str">
        <x:v>Low</x:v>
      </x:c>
      <x:c r="I11" s="46" t="str">
        <x:v>No</x:v>
      </x:c>
      <x:c r="J11" s="46" t="str">
        <x:v>In-game Cash</x:v>
      </x:c>
      <x:c r="K11" s="46" t="str">
        <x:v>No</x:v>
      </x:c>
      <x:c r="L11" s="46" t="str">
        <x:v>Random accelerator</x:v>
      </x:c>
      <x:c r="M11" s="46" t="str">
        <x:v>No</x:v>
      </x:c>
      <x:c r="N11" s="46" t="str">
        <x:v>Reward Service</x:v>
      </x:c>
      <x:c r="O11" s="46" t="str">
        <x:v>P2</x:v>
      </x:c>
      <x:c r="P11" s="47" t="str">
        <x:v>No Epic/Legendary or their Parts</x:v>
      </x:c>
    </x:row>
    <x:row r="13" ht="22" customHeight="1">
      <x:c r="A13" s="11" t="str">
        <x:v>Hunt Module Drop Table</x:v>
      </x:c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</x:row>
    <x:row r="14">
      <x:c r="A14" s="14" t="str">
        <x:v>Difficulty</x:v>
      </x:c>
      <x:c r="B14" s="14" t="str">
        <x:v>Module Roll Chance</x:v>
      </x:c>
      <x:c r="C14" s="14" t="str">
        <x:v>Common</x:v>
      </x:c>
      <x:c r="D14" s="14" t="str">
        <x:v>Uncommon</x:v>
      </x:c>
      <x:c r="E14" s="14" t="str">
        <x:v>Rare</x:v>
      </x:c>
      <x:c r="F14" s="14" t="str">
        <x:v>Epic</x:v>
      </x:c>
      <x:c r="G14" s="14" t="str">
        <x:v>Legendary</x:v>
      </x:c>
      <x:c r="H14" s="14" t="str">
        <x:v>Stock Reward Replaced?</x:v>
      </x:c>
      <x:c r="I14" s="14" t="str">
        <x:v>Hunt Points Changed?</x:v>
      </x:c>
      <x:c r="J14" s="14" t="str">
        <x:v>Notes</x:v>
      </x:c>
    </x:row>
    <x:row r="15">
      <x:c r="A15" s="40" t="str">
        <x:v>Easy</x:v>
      </x:c>
      <x:c r="B15" s="56" t="n">
        <x:v>0.05</x:v>
      </x:c>
      <x:c r="C15" s="56" t="n">
        <x:v>0.85</x:v>
      </x:c>
      <x:c r="D15" s="56" t="n">
        <x:v>0.15</x:v>
      </x:c>
      <x:c r="E15" s="56" t="n">
        <x:v>0</x:v>
      </x:c>
      <x:c r="F15" s="56" t="n">
        <x:v>0</x:v>
      </x:c>
      <x:c r="G15" s="56" t="n">
        <x:v>0</x:v>
      </x:c>
      <x:c r="H15" s="41" t="str">
        <x:v>No</x:v>
      </x:c>
      <x:c r="I15" s="41" t="str">
        <x:v>No</x:v>
      </x:c>
      <x:c r="J15" s="42" t="str"/>
    </x:row>
    <x:row r="16">
      <x:c r="A16" s="43" t="str">
        <x:v>Standard</x:v>
      </x:c>
      <x:c r="B16" s="57" t="n">
        <x:v>0.1</x:v>
      </x:c>
      <x:c r="C16" s="57" t="n">
        <x:v>0.65</x:v>
      </x:c>
      <x:c r="D16" s="57" t="n">
        <x:v>0.3</x:v>
      </x:c>
      <x:c r="E16" s="57" t="n">
        <x:v>0.05</x:v>
      </x:c>
      <x:c r="F16" s="57" t="n">
        <x:v>0</x:v>
      </x:c>
      <x:c r="G16" s="57" t="n">
        <x:v>0</x:v>
      </x:c>
      <x:c r="H16" s="22" t="str">
        <x:v>No</x:v>
      </x:c>
      <x:c r="I16" s="22" t="str">
        <x:v>No</x:v>
      </x:c>
      <x:c r="J16" s="44" t="str"/>
    </x:row>
    <x:row r="17">
      <x:c r="A17" s="43" t="str">
        <x:v>Hard</x:v>
      </x:c>
      <x:c r="B17" s="57" t="n">
        <x:v>0.18</x:v>
      </x:c>
      <x:c r="C17" s="57" t="n">
        <x:v>0.35</x:v>
      </x:c>
      <x:c r="D17" s="57" t="n">
        <x:v>0.45</x:v>
      </x:c>
      <x:c r="E17" s="57" t="n">
        <x:v>0.18</x:v>
      </x:c>
      <x:c r="F17" s="57" t="n">
        <x:v>0.02</x:v>
      </x:c>
      <x:c r="G17" s="57" t="n">
        <x:v>0</x:v>
      </x:c>
      <x:c r="H17" s="22" t="str">
        <x:v>No</x:v>
      </x:c>
      <x:c r="I17" s="22" t="str">
        <x:v>No</x:v>
      </x:c>
      <x:c r="J17" s="44" t="str"/>
    </x:row>
    <x:row r="18">
      <x:c r="A18" s="43" t="str">
        <x:v>Elite</x:v>
      </x:c>
      <x:c r="B18" s="57" t="n">
        <x:v>0.28</x:v>
      </x:c>
      <x:c r="C18" s="57" t="n">
        <x:v>0.15</x:v>
      </x:c>
      <x:c r="D18" s="57" t="n">
        <x:v>0.35</x:v>
      </x:c>
      <x:c r="E18" s="57" t="n">
        <x:v>0.4</x:v>
      </x:c>
      <x:c r="F18" s="57" t="n">
        <x:v>0.09</x:v>
      </x:c>
      <x:c r="G18" s="57" t="n">
        <x:v>0.01</x:v>
      </x:c>
      <x:c r="H18" s="22" t="str">
        <x:v>No</x:v>
      </x:c>
      <x:c r="I18" s="22" t="str">
        <x:v>No</x:v>
      </x:c>
      <x:c r="J18" s="44" t="str"/>
    </x:row>
    <x:row r="19">
      <x:c r="A19" s="45" t="str">
        <x:v>Jackpot</x:v>
      </x:c>
      <x:c r="B19" s="60" t="n">
        <x:v>0.45</x:v>
      </x:c>
      <x:c r="C19" s="60" t="n">
        <x:v>0.05</x:v>
      </x:c>
      <x:c r="D19" s="60" t="n">
        <x:v>0.2</x:v>
      </x:c>
      <x:c r="E19" s="60" t="n">
        <x:v>0.45</x:v>
      </x:c>
      <x:c r="F19" s="60" t="n">
        <x:v>0.25</x:v>
      </x:c>
      <x:c r="G19" s="60" t="n">
        <x:v>0.05</x:v>
      </x:c>
      <x:c r="H19" s="46" t="str">
        <x:v>No</x:v>
      </x:c>
      <x:c r="I19" s="46" t="str">
        <x:v>No</x:v>
      </x:c>
      <x:c r="J19" s="47" t="str"/>
    </x:row>
  </x:sheetData>
  <x:mergeCells>
    <x:mergeCell ref="A1:P1"/>
    <x:mergeCell ref="A13:P1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Duplicates, Module Parts &amp; Exact Crafting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22"/>
    </x:row>
    <x:row r="3">
      <x:c r="A3" s="14" t="str">
        <x:v>Rarity</x:v>
      </x:c>
      <x:c r="B3" s="14" t="str">
        <x:v>Dismantle Parts</x:v>
      </x:c>
      <x:c r="C3" s="14" t="str">
        <x:v>Craft Cost</x:v>
      </x:c>
      <x:c r="D3" s="14" t="str">
        <x:v>Equivalent Duplicates</x:v>
      </x:c>
      <x:c r="E3" s="14" t="str">
        <x:v>Mastery Gate</x:v>
      </x:c>
      <x:c r="F3" s="14" t="str">
        <x:v>Stage Gate</x:v>
      </x:c>
      <x:c r="G3" s="14" t="str">
        <x:v>Cash Cost</x:v>
      </x:c>
      <x:c r="H3" s="14" t="str">
        <x:v>Cash Pack Can Produce Tier?</x:v>
      </x:c>
      <x:c r="I3" s="14" t="str">
        <x:v>Can Hold Multiple Copies?</x:v>
      </x:c>
      <x:c r="J3" s="14" t="str">
        <x:v>Equipped Can Dismantle?</x:v>
      </x:c>
      <x:c r="K3" s="14" t="str">
        <x:v>Cross-Tier Conversion?</x:v>
      </x:c>
      <x:c r="L3" s="14" t="str">
        <x:v>Craft Target Exact?</x:v>
      </x:c>
      <x:c r="M3" s="14" t="str">
        <x:v>Transaction</x:v>
      </x:c>
      <x:c r="N3" s="14" t="str">
        <x:v>Idempotency</x:v>
      </x:c>
      <x:c r="O3" s="14" t="str">
        <x:v>Priority</x:v>
      </x:c>
      <x:c r="P3" s="14" t="str">
        <x:v>Notes</x:v>
      </x:c>
    </x:row>
    <x:row r="4">
      <x:c r="A4" s="40" t="str">
        <x:v>Common</x:v>
      </x:c>
      <x:c r="B4" s="76" t="n">
        <x:v>5</x:v>
      </x:c>
      <x:c r="C4" s="76" t="n">
        <x:v>25</x:v>
      </x:c>
      <x:c r="D4" s="76" t="n">
        <x:v>5</x:v>
      </x:c>
      <x:c r="E4" s="41" t="str">
        <x:v>None</x:v>
      </x:c>
      <x:c r="F4" s="41" t="str">
        <x:v>Humble+</x:v>
      </x:c>
      <x:c r="G4" s="41" t="n">
        <x:v>0</x:v>
      </x:c>
      <x:c r="H4" s="41" t="str">
        <x:v>Yes</x:v>
      </x:c>
      <x:c r="I4" s="41" t="str">
        <x:v>Yes</x:v>
      </x:c>
      <x:c r="J4" s="41" t="str">
        <x:v>No</x:v>
      </x:c>
      <x:c r="K4" s="41" t="str">
        <x:v>No</x:v>
      </x:c>
      <x:c r="L4" s="41" t="str">
        <x:v>Yes</x:v>
      </x:c>
      <x:c r="M4" s="41" t="str">
        <x:v>Inventory+Parts atomic</x:v>
      </x:c>
      <x:c r="N4" s="41" t="str">
        <x:v>idempotency_key</x:v>
      </x:c>
      <x:c r="O4" s="41" t="str">
        <x:v>P2</x:v>
      </x:c>
      <x:c r="P4" s="42" t="str"/>
    </x:row>
    <x:row r="5">
      <x:c r="A5" s="43" t="str">
        <x:v>Uncommon</x:v>
      </x:c>
      <x:c r="B5" s="77" t="n">
        <x:v>12</x:v>
      </x:c>
      <x:c r="C5" s="77" t="n">
        <x:v>60</x:v>
      </x:c>
      <x:c r="D5" s="77" t="n">
        <x:v>5</x:v>
      </x:c>
      <x:c r="E5" s="22" t="str">
        <x:v>None</x:v>
      </x:c>
      <x:c r="F5" s="22" t="str">
        <x:v>Starter+</x:v>
      </x:c>
      <x:c r="G5" s="22" t="n">
        <x:v>0</x:v>
      </x:c>
      <x:c r="H5" s="22" t="str">
        <x:v>Yes</x:v>
      </x:c>
      <x:c r="I5" s="22" t="str">
        <x:v>Yes</x:v>
      </x:c>
      <x:c r="J5" s="22" t="str">
        <x:v>No</x:v>
      </x:c>
      <x:c r="K5" s="22" t="str">
        <x:v>No</x:v>
      </x:c>
      <x:c r="L5" s="22" t="str">
        <x:v>Yes</x:v>
      </x:c>
      <x:c r="M5" s="22" t="str">
        <x:v>Atomic</x:v>
      </x:c>
      <x:c r="N5" s="22" t="str">
        <x:v>idempotency_key</x:v>
      </x:c>
      <x:c r="O5" s="22" t="str">
        <x:v>P2</x:v>
      </x:c>
      <x:c r="P5" s="44" t="str"/>
    </x:row>
    <x:row r="6">
      <x:c r="A6" s="43" t="str">
        <x:v>Rare</x:v>
      </x:c>
      <x:c r="B6" s="77" t="n">
        <x:v>30</x:v>
      </x:c>
      <x:c r="C6" s="77" t="n">
        <x:v>150</x:v>
      </x:c>
      <x:c r="D6" s="77" t="n">
        <x:v>5</x:v>
      </x:c>
      <x:c r="E6" s="22" t="str">
        <x:v>Mastery II compatible family OR relevant Rare building unlocked</x:v>
      </x:c>
      <x:c r="F6" s="22" t="str">
        <x:v>Growing+</x:v>
      </x:c>
      <x:c r="G6" s="22" t="n">
        <x:v>0</x:v>
      </x:c>
      <x:c r="H6" s="22" t="str">
        <x:v>Yes low frequency</x:v>
      </x:c>
      <x:c r="I6" s="22" t="str">
        <x:v>Yes</x:v>
      </x:c>
      <x:c r="J6" s="22" t="str">
        <x:v>No</x:v>
      </x:c>
      <x:c r="K6" s="22" t="str">
        <x:v>No</x:v>
      </x:c>
      <x:c r="L6" s="22" t="str">
        <x:v>Yes</x:v>
      </x:c>
      <x:c r="M6" s="22" t="str">
        <x:v>Atomic</x:v>
      </x:c>
      <x:c r="N6" s="22" t="str">
        <x:v>idempotency_key</x:v>
      </x:c>
      <x:c r="O6" s="22" t="str">
        <x:v>P2</x:v>
      </x:c>
      <x:c r="P6" s="44" t="str"/>
    </x:row>
    <x:row r="7">
      <x:c r="A7" s="43" t="str">
        <x:v>Epic</x:v>
      </x:c>
      <x:c r="B7" s="77" t="n">
        <x:v>80</x:v>
      </x:c>
      <x:c r="C7" s="77" t="n">
        <x:v>400</x:v>
      </x:c>
      <x:c r="D7" s="77" t="n">
        <x:v>5</x:v>
      </x:c>
      <x:c r="E7" s="22" t="str">
        <x:v>Mastery III compatible family</x:v>
      </x:c>
      <x:c r="F7" s="22" t="str">
        <x:v>Established+</x:v>
      </x:c>
      <x:c r="G7" s="22" t="n">
        <x:v>0</x:v>
      </x:c>
      <x:c r="H7" s="22" t="str">
        <x:v>No</x:v>
      </x:c>
      <x:c r="I7" s="22" t="str">
        <x:v>Yes</x:v>
      </x:c>
      <x:c r="J7" s="22" t="str">
        <x:v>No</x:v>
      </x:c>
      <x:c r="K7" s="22" t="str">
        <x:v>No</x:v>
      </x:c>
      <x:c r="L7" s="22" t="str">
        <x:v>Yes</x:v>
      </x:c>
      <x:c r="M7" s="22" t="str">
        <x:v>Atomic</x:v>
      </x:c>
      <x:c r="N7" s="22" t="str">
        <x:v>idempotency_key</x:v>
      </x:c>
      <x:c r="O7" s="22" t="str">
        <x:v>P2</x:v>
      </x:c>
      <x:c r="P7" s="44" t="str">
        <x:v>Earned-only high tier</x:v>
      </x:c>
    </x:row>
    <x:row r="8">
      <x:c r="A8" s="45" t="str">
        <x:v>Legendary</x:v>
      </x:c>
      <x:c r="B8" s="78" t="n">
        <x:v>200</x:v>
      </x:c>
      <x:c r="C8" s="78" t="n">
        <x:v>1000</x:v>
      </x:c>
      <x:c r="D8" s="78" t="n">
        <x:v>5</x:v>
      </x:c>
      <x:c r="E8" s="46" t="str">
        <x:v>Mastery IV/V compatible family</x:v>
      </x:c>
      <x:c r="F8" s="46" t="str">
        <x:v>Elite/Tycoon</x:v>
      </x:c>
      <x:c r="G8" s="46" t="n">
        <x:v>0</x:v>
      </x:c>
      <x:c r="H8" s="46" t="str">
        <x:v>No</x:v>
      </x:c>
      <x:c r="I8" s="46" t="str">
        <x:v>Yes</x:v>
      </x:c>
      <x:c r="J8" s="46" t="str">
        <x:v>No</x:v>
      </x:c>
      <x:c r="K8" s="46" t="str">
        <x:v>No</x:v>
      </x:c>
      <x:c r="L8" s="46" t="str">
        <x:v>Yes</x:v>
      </x:c>
      <x:c r="M8" s="46" t="str">
        <x:v>Atomic</x:v>
      </x:c>
      <x:c r="N8" s="46" t="str">
        <x:v>idempotency_key</x:v>
      </x:c>
      <x:c r="O8" s="46" t="str">
        <x:v>P2</x:v>
      </x:c>
      <x:c r="P8" s="47" t="str">
        <x:v>Deterministic endgame path</x:v>
      </x:c>
    </x:row>
    <x:row r="10" ht="22" customHeight="1">
      <x:c r="A10" s="11" t="str">
        <x:v>Crafting Transaction</x:v>
      </x:c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</x:row>
    <x:row r="11">
      <x:c r="A11" s="14" t="str">
        <x:v>Step</x:v>
      </x:c>
      <x:c r="B11" s="14" t="str">
        <x:v>Validation / Mutation</x:v>
      </x:c>
      <x:c r="C11" s="14" t="str">
        <x:v>Read</x:v>
      </x:c>
      <x:c r="D11" s="14" t="str">
        <x:v>Write</x:v>
      </x:c>
      <x:c r="E11" s="14" t="str">
        <x:v>Atomic?</x:v>
      </x:c>
      <x:c r="F11" s="14" t="str">
        <x:v>Audit Event</x:v>
      </x:c>
      <x:c r="G11" s="14" t="str">
        <x:v>Failure</x:v>
      </x:c>
      <x:c r="H11" s="14" t="str">
        <x:v>Notes</x:v>
      </x:c>
    </x:row>
    <x:row r="12">
      <x:c r="A12" s="40" t="n">
        <x:v>1</x:v>
      </x:c>
      <x:c r="B12" s="41" t="str">
        <x:v>Authenticate and resolve player</x:v>
      </x:c>
      <x:c r="C12" s="41" t="str">
        <x:v>player/session</x:v>
      </x:c>
      <x:c r="D12" s="41" t="str">
        <x:v>None</x:v>
      </x:c>
      <x:c r="E12" s="41" t="str">
        <x:v>N/A</x:v>
      </x:c>
      <x:c r="F12" s="41" t="str">
        <x:v>craft.requested</x:v>
      </x:c>
      <x:c r="G12" s="41" t="str">
        <x:v>UNAUTHORIZED</x:v>
      </x:c>
      <x:c r="H12" s="42" t="str"/>
    </x:row>
    <x:row r="13">
      <x:c r="A13" s="43" t="n">
        <x:v>2</x:v>
      </x:c>
      <x:c r="B13" s="22" t="str">
        <x:v>Load target Module config/version</x:v>
      </x:c>
      <x:c r="C13" s="22" t="str">
        <x:v>module_config</x:v>
      </x:c>
      <x:c r="D13" s="22" t="str">
        <x:v>None</x:v>
      </x:c>
      <x:c r="E13" s="22" t="str">
        <x:v>N/A</x:v>
      </x:c>
      <x:c r="F13" s="22" t="str">
        <x:v>config_version</x:v>
      </x:c>
      <x:c r="G13" s="22" t="str">
        <x:v>MODULE_UNKNOWN</x:v>
      </x:c>
      <x:c r="H13" s="44" t="str"/>
    </x:row>
    <x:row r="14">
      <x:c r="A14" s="43" t="n">
        <x:v>3</x:v>
      </x:c>
      <x:c r="B14" s="22" t="str">
        <x:v>Validate stage/mastery/active status</x:v>
      </x:c>
      <x:c r="C14" s="22" t="str">
        <x:v>progress/mastery/config</x:v>
      </x:c>
      <x:c r="D14" s="22" t="str">
        <x:v>None</x:v>
      </x:c>
      <x:c r="E14" s="22" t="str">
        <x:v>N/A</x:v>
      </x:c>
      <x:c r="F14" s="22" t="str">
        <x:v>craft.validated</x:v>
      </x:c>
      <x:c r="G14" s="22" t="str">
        <x:v>CRAFT_LOCKED</x:v>
      </x:c>
      <x:c r="H14" s="44" t="str"/>
    </x:row>
    <x:row r="15">
      <x:c r="A15" s="43" t="n">
        <x:v>4</x:v>
      </x:c>
      <x:c r="B15" s="22" t="str">
        <x:v>Lock/read Parts balance</x:v>
      </x:c>
      <x:c r="C15" s="22" t="str">
        <x:v>module_parts_balance</x:v>
      </x:c>
      <x:c r="D15" s="22" t="str">
        <x:v>Row lock/version</x:v>
      </x:c>
      <x:c r="E15" s="22" t="str">
        <x:v>Yes</x:v>
      </x:c>
      <x:c r="F15" s="22" t="str">
        <x:v>craft.balance_checked</x:v>
      </x:c>
      <x:c r="G15" s="22" t="str">
        <x:v>INSUFFICIENT_PARTS</x:v>
      </x:c>
      <x:c r="H15" s="44" t="str"/>
    </x:row>
    <x:row r="16">
      <x:c r="A16" s="43" t="n">
        <x:v>5</x:v>
      </x:c>
      <x:c r="B16" s="22" t="str">
        <x:v>Debit exact same-tier Parts</x:v>
      </x:c>
      <x:c r="C16" s="22" t="str">
        <x:v>balance</x:v>
      </x:c>
      <x:c r="D16" s="22" t="str">
        <x:v>parts ledger -cost</x:v>
      </x:c>
      <x:c r="E16" s="22" t="str">
        <x:v>Yes</x:v>
      </x:c>
      <x:c r="F16" s="22" t="str">
        <x:v>parts.debited</x:v>
      </x:c>
      <x:c r="G16" s="22" t="str">
        <x:v>CONFLICT</x:v>
      </x:c>
      <x:c r="H16" s="44" t="str"/>
    </x:row>
    <x:row r="17">
      <x:c r="A17" s="43" t="n">
        <x:v>6</x:v>
      </x:c>
      <x:c r="B17" s="22" t="str">
        <x:v>Increment Module inventory</x:v>
      </x:c>
      <x:c r="C17" s="22" t="str">
        <x:v>inventory</x:v>
      </x:c>
      <x:c r="D17" s="22" t="str">
        <x:v>quantity +1</x:v>
      </x:c>
      <x:c r="E17" s="22" t="str">
        <x:v>Yes</x:v>
      </x:c>
      <x:c r="F17" s="22" t="str">
        <x:v>module.acquired</x:v>
      </x:c>
      <x:c r="G17" s="22" t="str">
        <x:v>CONFLICT</x:v>
      </x:c>
      <x:c r="H17" s="44" t="str"/>
    </x:row>
    <x:row r="18">
      <x:c r="A18" s="45" t="n">
        <x:v>7</x:v>
      </x:c>
      <x:c r="B18" s="46" t="str">
        <x:v>Commit and emit domain event</x:v>
      </x:c>
      <x:c r="C18" s="46" t="str">
        <x:v>transaction</x:v>
      </x:c>
      <x:c r="D18" s="46" t="str">
        <x:v>event stream</x:v>
      </x:c>
      <x:c r="E18" s="46" t="str">
        <x:v>Yes</x:v>
      </x:c>
      <x:c r="F18" s="46" t="str">
        <x:v>craft.completed</x:v>
      </x:c>
      <x:c r="G18" s="46" t="str">
        <x:v>RETRY_SAFE</x:v>
      </x:c>
      <x:c r="H18" s="47" t="str">
        <x:v>Same idempotency key returns original result</x:v>
      </x:c>
    </x:row>
  </x:sheetData>
  <x:mergeCells>
    <x:mergeCell ref="A1:P1"/>
    <x:mergeCell ref="A10:P10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18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Representative Module Catalog — Runtime Examples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84"/>
    </x:row>
    <x:row r="3">
      <x:c r="A3" s="14" t="str">
        <x:v>Module ID</x:v>
      </x:c>
      <x:c r="B3" s="14" t="str">
        <x:v>Display Name</x:v>
      </x:c>
      <x:c r="C3" s="14" t="str">
        <x:v>Rarity</x:v>
      </x:c>
      <x:c r="D3" s="14" t="str">
        <x:v>Category</x:v>
      </x:c>
      <x:c r="E3" s="14" t="str">
        <x:v>Compatible Families</x:v>
      </x:c>
      <x:c r="F3" s="14" t="str">
        <x:v>Effect 1</x:v>
      </x:c>
      <x:c r="G3" s="14" t="str">
        <x:v>Effect 2 / Tradeoff</x:v>
      </x:c>
      <x:c r="H3" s="14" t="str">
        <x:v>Condition</x:v>
      </x:c>
      <x:c r="I3" s="14" t="str">
        <x:v>Stacking Group</x:v>
      </x:c>
      <x:c r="J3" s="14" t="str">
        <x:v>Dismantle Parts</x:v>
      </x:c>
      <x:c r="K3" s="14" t="str">
        <x:v>Craft Cost</x:v>
      </x:c>
      <x:c r="L3" s="14" t="str">
        <x:v>Mastery Source</x:v>
      </x:c>
      <x:c r="M3" s="14" t="str">
        <x:v>Hunt Floor</x:v>
      </x:c>
      <x:c r="N3" s="14" t="str">
        <x:v>Cash Pack?</x:v>
      </x:c>
      <x:c r="O3" s="14" t="str">
        <x:v>Direct Score?</x:v>
      </x:c>
      <x:c r="P3" s="14" t="str">
        <x:v>Runtime Test Case</x:v>
      </x:c>
      <x:c r="Q3" s="14" t="str">
        <x:v>Notes</x:v>
      </x:c>
    </x:row>
    <x:row r="4">
      <x:c r="A4" s="40" t="str">
        <x:v>mod_customer_signage_c</x:v>
      </x:c>
      <x:c r="B4" s="41" t="str">
        <x:v>Customer Signage</x:v>
      </x:c>
      <x:c r="C4" s="41" t="str">
        <x:v>Common</x:v>
      </x:c>
      <x:c r="D4" s="41" t="str">
        <x:v>Customer</x:v>
      </x:c>
      <x:c r="E4" s="41" t="str">
        <x:v>All customer-facing</x:v>
      </x:c>
      <x:c r="F4" s="41" t="str">
        <x:v>customer_acquisition ×1.04</x:v>
      </x:c>
      <x:c r="G4" s="41" t="str"/>
      <x:c r="H4" s="41" t="str"/>
      <x:c r="I4" s="41" t="str">
        <x:v>acquisition_general</x:v>
      </x:c>
      <x:c r="J4" s="76" t="n">
        <x:v>5</x:v>
      </x:c>
      <x:c r="K4" s="76" t="n">
        <x:v>25</x:v>
      </x:c>
      <x:c r="L4" s="41" t="str">
        <x:v>Mastery I</x:v>
      </x:c>
      <x:c r="M4" s="41" t="str">
        <x:v>Easy</x:v>
      </x:c>
      <x:c r="N4" s="41" t="str">
        <x:v>Yes</x:v>
      </x:c>
      <x:c r="O4" s="41" t="str">
        <x:v>No</x:v>
      </x:c>
      <x:c r="P4" s="41" t="str">
        <x:v>Acquisition +4% before cap</x:v>
      </x:c>
      <x:c r="Q4" s="42" t="str"/>
    </x:row>
    <x:row r="5">
      <x:c r="A5" s="43" t="str">
        <x:v>mod_queue_optimizer_c</x:v>
      </x:c>
      <x:c r="B5" s="22" t="str">
        <x:v>Queue Optimizer</x:v>
      </x:c>
      <x:c r="C5" s="22" t="str">
        <x:v>Common</x:v>
      </x:c>
      <x:c r="D5" s="22" t="str">
        <x:v>Operations</x:v>
      </x:c>
      <x:c r="E5" s="22" t="str">
        <x:v>All</x:v>
      </x:c>
      <x:c r="F5" s="22" t="str">
        <x:v>capacity ×1.05</x:v>
      </x:c>
      <x:c r="G5" s="22" t="str"/>
      <x:c r="H5" s="22" t="str"/>
      <x:c r="I5" s="22" t="str">
        <x:v>capacity_general</x:v>
      </x:c>
      <x:c r="J5" s="77" t="n">
        <x:v>5</x:v>
      </x:c>
      <x:c r="K5" s="77" t="n">
        <x:v>25</x:v>
      </x:c>
      <x:c r="L5" s="22" t="str">
        <x:v>Mastery I</x:v>
      </x:c>
      <x:c r="M5" s="22" t="str">
        <x:v>Easy</x:v>
      </x:c>
      <x:c r="N5" s="22" t="str">
        <x:v>Yes</x:v>
      </x:c>
      <x:c r="O5" s="22" t="str">
        <x:v>No</x:v>
      </x:c>
      <x:c r="P5" s="22" t="str">
        <x:v>Capacity +5%</x:v>
      </x:c>
      <x:c r="Q5" s="44" t="str"/>
    </x:row>
    <x:row r="6">
      <x:c r="A6" s="43" t="str">
        <x:v>mod_service_playbook_c</x:v>
      </x:c>
      <x:c r="B6" s="22" t="str">
        <x:v>Service Playbook</x:v>
      </x:c>
      <x:c r="C6" s="22" t="str">
        <x:v>Common</x:v>
      </x:c>
      <x:c r="D6" s="22" t="str">
        <x:v>Service</x:v>
      </x:c>
      <x:c r="E6" s="22" t="str">
        <x:v>All customer-facing</x:v>
      </x:c>
      <x:c r="F6" s="22" t="str">
        <x:v>service_quality +3</x:v>
      </x:c>
      <x:c r="G6" s="22" t="str"/>
      <x:c r="H6" s="22" t="str"/>
      <x:c r="I6" s="22" t="str">
        <x:v>service_quality</x:v>
      </x:c>
      <x:c r="J6" s="77" t="n">
        <x:v>5</x:v>
      </x:c>
      <x:c r="K6" s="77" t="n">
        <x:v>25</x:v>
      </x:c>
      <x:c r="L6" s="22" t="str">
        <x:v>Mastery I</x:v>
      </x:c>
      <x:c r="M6" s="22" t="str">
        <x:v>Easy</x:v>
      </x:c>
      <x:c r="N6" s="22" t="str">
        <x:v>Yes</x:v>
      </x:c>
      <x:c r="O6" s="22" t="str">
        <x:v>No</x:v>
      </x:c>
      <x:c r="P6" s="22" t="str">
        <x:v>Service +3</x:v>
      </x:c>
      <x:c r="Q6" s="44" t="str"/>
    </x:row>
    <x:row r="7">
      <x:c r="A7" s="43" t="str">
        <x:v>mod_risk_checklist_c</x:v>
      </x:c>
      <x:c r="B7" s="22" t="str">
        <x:v>Risk Checklist</x:v>
      </x:c>
      <x:c r="C7" s="22" t="str">
        <x:v>Common</x:v>
      </x:c>
      <x:c r="D7" s="22" t="str">
        <x:v>Risk</x:v>
      </x:c>
      <x:c r="E7" s="22" t="str">
        <x:v>All</x:v>
      </x:c>
      <x:c r="F7" s="22" t="str">
        <x:v>Operational Risk -3</x:v>
      </x:c>
      <x:c r="G7" s="22" t="str"/>
      <x:c r="H7" s="22" t="str"/>
      <x:c r="I7" s="22" t="str">
        <x:v>operational_risk</x:v>
      </x:c>
      <x:c r="J7" s="77" t="n">
        <x:v>5</x:v>
      </x:c>
      <x:c r="K7" s="77" t="n">
        <x:v>25</x:v>
      </x:c>
      <x:c r="L7" s="22" t="str">
        <x:v>Mastery I</x:v>
      </x:c>
      <x:c r="M7" s="22" t="str">
        <x:v>Easy</x:v>
      </x:c>
      <x:c r="N7" s="22" t="str">
        <x:v>Yes</x:v>
      </x:c>
      <x:c r="O7" s="22" t="str">
        <x:v>No</x:v>
      </x:c>
      <x:c r="P7" s="22" t="str">
        <x:v>Operational Risk reduces 3</x:v>
      </x:c>
      <x:c r="Q7" s="44" t="str"/>
    </x:row>
    <x:row r="8">
      <x:c r="A8" s="43" t="str">
        <x:v>mod_lean_ops_u</x:v>
      </x:c>
      <x:c r="B8" s="22" t="str">
        <x:v>Lean Operations</x:v>
      </x:c>
      <x:c r="C8" s="22" t="str">
        <x:v>Uncommon</x:v>
      </x:c>
      <x:c r="D8" s="22" t="str">
        <x:v>Operations</x:v>
      </x:c>
      <x:c r="E8" s="22" t="str">
        <x:v>All</x:v>
      </x:c>
      <x:c r="F8" s="22" t="str">
        <x:v>operating_cost ×0.94</x:v>
      </x:c>
      <x:c r="G8" s="22" t="str">
        <x:v>service_quality -2</x:v>
      </x:c>
      <x:c r="H8" s="22" t="str"/>
      <x:c r="I8" s="22" t="str">
        <x:v>opex_efficiency</x:v>
      </x:c>
      <x:c r="J8" s="77" t="n">
        <x:v>12</x:v>
      </x:c>
      <x:c r="K8" s="77" t="n">
        <x:v>60</x:v>
      </x:c>
      <x:c r="L8" s="22" t="str">
        <x:v>Mastery II</x:v>
      </x:c>
      <x:c r="M8" s="22" t="str">
        <x:v>Standard</x:v>
      </x:c>
      <x:c r="N8" s="22" t="str">
        <x:v>Yes</x:v>
      </x:c>
      <x:c r="O8" s="22" t="str">
        <x:v>No</x:v>
      </x:c>
      <x:c r="P8" s="22" t="str">
        <x:v>6% opex reduction, -2 service</x:v>
      </x:c>
      <x:c r="Q8" s="44" t="str"/>
    </x:row>
    <x:row r="9">
      <x:c r="A9" s="43" t="str">
        <x:v>mod_sme_relationship_u</x:v>
      </x:c>
      <x:c r="B9" s="22" t="str">
        <x:v>SME Relationship Desk</x:v>
      </x:c>
      <x:c r="C9" s="22" t="str">
        <x:v>Uncommon</x:v>
      </x:c>
      <x:c r="D9" s="22" t="str">
        <x:v>Customer</x:v>
      </x:c>
      <x:c r="E9" s="22" t="str">
        <x:v>Banking,Lending,Advisory</x:v>
      </x:c>
      <x:c r="F9" s="22" t="str">
        <x:v>Small Business acquisition ×1.08</x:v>
      </x:c>
      <x:c r="G9" s="22" t="str">
        <x:v>General Consumer acquisition ×0.97</x:v>
      </x:c>
      <x:c r="H9" s="22" t="str"/>
      <x:c r="I9" s="22" t="str">
        <x:v>acquisition_sme</x:v>
      </x:c>
      <x:c r="J9" s="77" t="n">
        <x:v>12</x:v>
      </x:c>
      <x:c r="K9" s="77" t="n">
        <x:v>60</x:v>
      </x:c>
      <x:c r="L9" s="22" t="str">
        <x:v>Mastery II</x:v>
      </x:c>
      <x:c r="M9" s="22" t="str">
        <x:v>Standard</x:v>
      </x:c>
      <x:c r="N9" s="22" t="str">
        <x:v>Yes</x:v>
      </x:c>
      <x:c r="O9" s="22" t="str">
        <x:v>No</x:v>
      </x:c>
      <x:c r="P9" s="22" t="str">
        <x:v>Segment-specific modifiers</x:v>
      </x:c>
      <x:c r="Q9" s="44" t="str"/>
    </x:row>
    <x:row r="10">
      <x:c r="A10" s="43" t="str">
        <x:v>mod_conservative_underwriting_u</x:v>
      </x:c>
      <x:c r="B10" s="22" t="str">
        <x:v>Conservative Underwriting</x:v>
      </x:c>
      <x:c r="C10" s="22" t="str">
        <x:v>Uncommon</x:v>
      </x:c>
      <x:c r="D10" s="22" t="str">
        <x:v>Credit</x:v>
      </x:c>
      <x:c r="E10" s="22" t="str">
        <x:v>Lending,Banking</x:v>
      </x:c>
      <x:c r="F10" s="22" t="str">
        <x:v>Credit Risk -6</x:v>
      </x:c>
      <x:c r="G10" s="22" t="str">
        <x:v>activity_efficiency ×0.95</x:v>
      </x:c>
      <x:c r="H10" s="22" t="str"/>
      <x:c r="I10" s="22" t="str">
        <x:v>credit_risk</x:v>
      </x:c>
      <x:c r="J10" s="77" t="n">
        <x:v>12</x:v>
      </x:c>
      <x:c r="K10" s="77" t="n">
        <x:v>60</x:v>
      </x:c>
      <x:c r="L10" s="22" t="str">
        <x:v>Mastery II</x:v>
      </x:c>
      <x:c r="M10" s="22" t="str">
        <x:v>Standard</x:v>
      </x:c>
      <x:c r="N10" s="22" t="str">
        <x:v>Yes</x:v>
      </x:c>
      <x:c r="O10" s="22" t="str">
        <x:v>No</x:v>
      </x:c>
      <x:c r="P10" s="22" t="str">
        <x:v>Risk down, activity tradeoff</x:v>
      </x:c>
      <x:c r="Q10" s="44" t="str"/>
    </x:row>
    <x:row r="11">
      <x:c r="A11" s="43" t="str">
        <x:v>mod_smart_order_routing_u</x:v>
      </x:c>
      <x:c r="B11" s="22" t="str">
        <x:v>Smart Order Routing</x:v>
      </x:c>
      <x:c r="C11" s="22" t="str">
        <x:v>Uncommon</x:v>
      </x:c>
      <x:c r="D11" s="22" t="str">
        <x:v>Market</x:v>
      </x:c>
      <x:c r="E11" s="22" t="str">
        <x:v>Trading,Brokerage,Exchange,Market Making</x:v>
      </x:c>
      <x:c r="F11" s="22" t="str">
        <x:v>capacity ×1.07</x:v>
      </x:c>
      <x:c r="G11" s="22" t="str"/>
      <x:c r="H11" s="22" t="str"/>
      <x:c r="I11" s="22" t="str">
        <x:v>capacity_market</x:v>
      </x:c>
      <x:c r="J11" s="77" t="n">
        <x:v>12</x:v>
      </x:c>
      <x:c r="K11" s="77" t="n">
        <x:v>60</x:v>
      </x:c>
      <x:c r="L11" s="22" t="str">
        <x:v>Mastery II</x:v>
      </x:c>
      <x:c r="M11" s="22" t="str">
        <x:v>Standard</x:v>
      </x:c>
      <x:c r="N11" s="22" t="str">
        <x:v>Yes</x:v>
      </x:c>
      <x:c r="O11" s="22" t="str">
        <x:v>No</x:v>
      </x:c>
      <x:c r="P11" s="22" t="str">
        <x:v>Market capacity +7%</x:v>
      </x:c>
      <x:c r="Q11" s="44" t="str"/>
    </x:row>
    <x:row r="12">
      <x:c r="A12" s="43" t="str">
        <x:v>mod_reserve_buffer_r</x:v>
      </x:c>
      <x:c r="B12" s="22" t="str">
        <x:v>Reserve Buffer</x:v>
      </x:c>
      <x:c r="C12" s="22" t="str">
        <x:v>Rare</x:v>
      </x:c>
      <x:c r="D12" s="22" t="str">
        <x:v>Liquidity</x:v>
      </x:c>
      <x:c r="E12" s="22" t="str">
        <x:v>Banking,Treasury,Market Making</x:v>
      </x:c>
      <x:c r="F12" s="22" t="str">
        <x:v>Liquidity Risk -8</x:v>
      </x:c>
      <x:c r="G12" s="22" t="str">
        <x:v>activity_efficiency ×0.96</x:v>
      </x:c>
      <x:c r="H12" s="22" t="str"/>
      <x:c r="I12" s="22" t="str">
        <x:v>liquidity_risk</x:v>
      </x:c>
      <x:c r="J12" s="77" t="n">
        <x:v>30</x:v>
      </x:c>
      <x:c r="K12" s="77" t="n">
        <x:v>150</x:v>
      </x:c>
      <x:c r="L12" s="22" t="str">
        <x:v>Mastery III</x:v>
      </x:c>
      <x:c r="M12" s="22" t="str">
        <x:v>Hard</x:v>
      </x:c>
      <x:c r="N12" s="22" t="str">
        <x:v>No</x:v>
      </x:c>
      <x:c r="O12" s="22" t="str">
        <x:v>No</x:v>
      </x:c>
      <x:c r="P12" s="22" t="str">
        <x:v>Risk decrease subject to cap</x:v>
      </x:c>
      <x:c r="Q12" s="44" t="str"/>
    </x:row>
    <x:row r="13">
      <x:c r="A13" s="43" t="str">
        <x:v>mod_growth_underwriting_r</x:v>
      </x:c>
      <x:c r="B13" s="22" t="str">
        <x:v>Growth Underwriting</x:v>
      </x:c>
      <x:c r="C13" s="22" t="str">
        <x:v>Rare</x:v>
      </x:c>
      <x:c r="D13" s="22" t="str">
        <x:v>Credit</x:v>
      </x:c>
      <x:c r="E13" s="22" t="str">
        <x:v>Lending,Banking</x:v>
      </x:c>
      <x:c r="F13" s="22" t="str">
        <x:v>activity_efficiency ×1.12</x:v>
      </x:c>
      <x:c r="G13" s="22" t="str">
        <x:v>Credit Risk +6</x:v>
      </x:c>
      <x:c r="H13" s="22" t="str"/>
      <x:c r="I13" s="22" t="str">
        <x:v>credit_growth</x:v>
      </x:c>
      <x:c r="J13" s="77" t="n">
        <x:v>30</x:v>
      </x:c>
      <x:c r="K13" s="77" t="n">
        <x:v>150</x:v>
      </x:c>
      <x:c r="L13" s="22" t="str">
        <x:v>Mastery III</x:v>
      </x:c>
      <x:c r="M13" s="22" t="str">
        <x:v>Hard</x:v>
      </x:c>
      <x:c r="N13" s="22" t="str">
        <x:v>No</x:v>
      </x:c>
      <x:c r="O13" s="22" t="str">
        <x:v>No</x:v>
      </x:c>
      <x:c r="P13" s="22" t="str">
        <x:v>Aggressive sidegrade</x:v>
      </x:c>
      <x:c r="Q13" s="44" t="str"/>
    </x:row>
    <x:row r="14">
      <x:c r="A14" s="43" t="str">
        <x:v>mod_high_velocity_r</x:v>
      </x:c>
      <x:c r="B14" s="22" t="str">
        <x:v>High Velocity Desk</x:v>
      </x:c>
      <x:c r="C14" s="22" t="str">
        <x:v>Rare</x:v>
      </x:c>
      <x:c r="D14" s="22" t="str">
        <x:v>Market</x:v>
      </x:c>
      <x:c r="E14" s="22" t="str">
        <x:v>Trading,Brokerage,Exchange</x:v>
      </x:c>
      <x:c r="F14" s="22" t="str">
        <x:v>activity_efficiency ×1.12</x:v>
      </x:c>
      <x:c r="G14" s="22" t="str">
        <x:v>Market Risk +6</x:v>
      </x:c>
      <x:c r="H14" s="22" t="str"/>
      <x:c r="I14" s="22" t="str">
        <x:v>market_activity</x:v>
      </x:c>
      <x:c r="J14" s="77" t="n">
        <x:v>30</x:v>
      </x:c>
      <x:c r="K14" s="77" t="n">
        <x:v>150</x:v>
      </x:c>
      <x:c r="L14" s="22" t="str">
        <x:v>Mastery III</x:v>
      </x:c>
      <x:c r="M14" s="22" t="str">
        <x:v>Hard</x:v>
      </x:c>
      <x:c r="N14" s="22" t="str">
        <x:v>No</x:v>
      </x:c>
      <x:c r="O14" s="22" t="str">
        <x:v>No</x:v>
      </x:c>
      <x:c r="P14" s="22" t="str">
        <x:v>Activity up; Market Risk up</x:v>
      </x:c>
      <x:c r="Q14" s="44" t="str"/>
    </x:row>
    <x:row r="15">
      <x:c r="A15" s="43" t="str">
        <x:v>mod_circuit_breaker_r</x:v>
      </x:c>
      <x:c r="B15" s="22" t="str">
        <x:v>Circuit Breaker</x:v>
      </x:c>
      <x:c r="C15" s="22" t="str">
        <x:v>Rare</x:v>
      </x:c>
      <x:c r="D15" s="22" t="str">
        <x:v>Risk</x:v>
      </x:c>
      <x:c r="E15" s="22" t="str">
        <x:v>Trading,Exchange,Market Making</x:v>
      </x:c>
      <x:c r="F15" s="22" t="str">
        <x:v>Market Risk -8</x:v>
      </x:c>
      <x:c r="G15" s="22" t="str">
        <x:v>activity_efficiency ×0.94</x:v>
      </x:c>
      <x:c r="H15" s="22" t="str"/>
      <x:c r="I15" s="22" t="str">
        <x:v>market_risk</x:v>
      </x:c>
      <x:c r="J15" s="77" t="n">
        <x:v>30</x:v>
      </x:c>
      <x:c r="K15" s="77" t="n">
        <x:v>150</x:v>
      </x:c>
      <x:c r="L15" s="22" t="str">
        <x:v>Mastery III</x:v>
      </x:c>
      <x:c r="M15" s="22" t="str">
        <x:v>Hard</x:v>
      </x:c>
      <x:c r="N15" s="22" t="str">
        <x:v>No</x:v>
      </x:c>
      <x:c r="O15" s="22" t="str">
        <x:v>No</x:v>
      </x:c>
      <x:c r="P15" s="22" t="str">
        <x:v>Defensive trading</x:v>
      </x:c>
      <x:c r="Q15" s="44" t="str"/>
    </x:row>
    <x:row r="16">
      <x:c r="A16" s="43" t="str">
        <x:v>mod_premium_relationship_r</x:v>
      </x:c>
      <x:c r="B16" s="22" t="str">
        <x:v>Premium Relationship Team</x:v>
      </x:c>
      <x:c r="C16" s="22" t="str">
        <x:v>Rare</x:v>
      </x:c>
      <x:c r="D16" s="22" t="str">
        <x:v>Wealth</x:v>
      </x:c>
      <x:c r="E16" s="22" t="str">
        <x:v>Banking,Wealth,Private Banking</x:v>
      </x:c>
      <x:c r="F16" s="22" t="str">
        <x:v>HNW retention ×1.10</x:v>
      </x:c>
      <x:c r="G16" s="22" t="str">
        <x:v>General Consumer acquisition ×0.95</x:v>
      </x:c>
      <x:c r="H16" s="22" t="str"/>
      <x:c r="I16" s="22" t="str">
        <x:v>retention_hnw</x:v>
      </x:c>
      <x:c r="J16" s="77" t="n">
        <x:v>30</x:v>
      </x:c>
      <x:c r="K16" s="77" t="n">
        <x:v>150</x:v>
      </x:c>
      <x:c r="L16" s="22" t="str">
        <x:v>Mastery III</x:v>
      </x:c>
      <x:c r="M16" s="22" t="str">
        <x:v>Hard</x:v>
      </x:c>
      <x:c r="N16" s="22" t="str">
        <x:v>No</x:v>
      </x:c>
      <x:c r="O16" s="22" t="str">
        <x:v>No</x:v>
      </x:c>
      <x:c r="P16" s="22" t="str">
        <x:v>HNW specialization</x:v>
      </x:c>
      <x:c r="Q16" s="44" t="str"/>
    </x:row>
    <x:row r="17">
      <x:c r="A17" s="43" t="str">
        <x:v>mod_uptime_cluster_r</x:v>
      </x:c>
      <x:c r="B17" s="22" t="str">
        <x:v>Uptime Cluster</x:v>
      </x:c>
      <x:c r="C17" s="22" t="str">
        <x:v>Rare</x:v>
      </x:c>
      <x:c r="D17" s="22" t="str">
        <x:v>Operations</x:v>
      </x:c>
      <x:c r="E17" s="22" t="str">
        <x:v>Data,Fintech,Exchange,Trading</x:v>
      </x:c>
      <x:c r="F17" s="22" t="str">
        <x:v>capacity ×1.10</x:v>
      </x:c>
      <x:c r="G17" s="22" t="str">
        <x:v>Operational Risk -4</x:v>
      </x:c>
      <x:c r="H17" s="22" t="str"/>
      <x:c r="I17" s="22" t="str">
        <x:v>capacity_tech</x:v>
      </x:c>
      <x:c r="J17" s="77" t="n">
        <x:v>30</x:v>
      </x:c>
      <x:c r="K17" s="77" t="n">
        <x:v>150</x:v>
      </x:c>
      <x:c r="L17" s="22" t="str">
        <x:v>Mastery III</x:v>
      </x:c>
      <x:c r="M17" s="22" t="str">
        <x:v>Hard</x:v>
      </x:c>
      <x:c r="N17" s="22" t="str">
        <x:v>No</x:v>
      </x:c>
      <x:c r="O17" s="22" t="str">
        <x:v>No</x:v>
      </x:c>
      <x:c r="P17" s="22" t="str">
        <x:v>Two effects; both capped</x:v>
      </x:c>
      <x:c r="Q17" s="44" t="str"/>
    </x:row>
    <x:row r="18">
      <x:c r="A18" s="43" t="str">
        <x:v>mod_diversified_mandate_r</x:v>
      </x:c>
      <x:c r="B18" s="22" t="str">
        <x:v>Diversified Mandate</x:v>
      </x:c>
      <x:c r="C18" s="22" t="str">
        <x:v>Rare</x:v>
      </x:c>
      <x:c r="D18" s="22" t="str">
        <x:v>Risk</x:v>
      </x:c>
      <x:c r="E18" s="22" t="str">
        <x:v>Asset Management,Wealth</x:v>
      </x:c>
      <x:c r="F18" s="22" t="str">
        <x:v>Concentration Risk -6</x:v>
      </x:c>
      <x:c r="G18" s="22" t="str">
        <x:v>activity_efficiency ×1.05</x:v>
      </x:c>
      <x:c r="H18" s="22" t="str">
        <x:v>one segment share &lt;=70%</x:v>
      </x:c>
      <x:c r="I18" s="22" t="str">
        <x:v>concentration</x:v>
      </x:c>
      <x:c r="J18" s="77" t="n">
        <x:v>30</x:v>
      </x:c>
      <x:c r="K18" s="77" t="n">
        <x:v>150</x:v>
      </x:c>
      <x:c r="L18" s="22" t="str">
        <x:v>Mastery III</x:v>
      </x:c>
      <x:c r="M18" s="22" t="str">
        <x:v>Hard</x:v>
      </x:c>
      <x:c r="N18" s="22" t="str">
        <x:v>No</x:v>
      </x:c>
      <x:c r="O18" s="22" t="str">
        <x:v>No</x:v>
      </x:c>
      <x:c r="P18" s="22" t="str">
        <x:v>Conditional diversification</x:v>
      </x:c>
      <x:c r="Q18" s="44" t="str"/>
    </x:row>
    <x:row r="19">
      <x:c r="A19" s="43" t="str">
        <x:v>mod_deposit_sweep_e</x:v>
      </x:c>
      <x:c r="B19" s="22" t="str">
        <x:v>Deposit Sweep Engine</x:v>
      </x:c>
      <x:c r="C19" s="22" t="str">
        <x:v>Epic</x:v>
      </x:c>
      <x:c r="D19" s="22" t="str">
        <x:v>Liquidity</x:v>
      </x:c>
      <x:c r="E19" s="22" t="str">
        <x:v>Banking,Treasury</x:v>
      </x:c>
      <x:c r="F19" s="22" t="str">
        <x:v>capacity ×1.12</x:v>
      </x:c>
      <x:c r="G19" s="22" t="str">
        <x:v>if reserve&lt;8% then Liquidity Risk +6</x:v>
      </x:c>
      <x:c r="H19" s="22" t="str">
        <x:v>reserve_ratio &gt;=15%</x:v>
      </x:c>
      <x:c r="I19" s="22" t="str">
        <x:v>capacity_treasury</x:v>
      </x:c>
      <x:c r="J19" s="77" t="n">
        <x:v>80</x:v>
      </x:c>
      <x:c r="K19" s="77" t="n">
        <x:v>400</x:v>
      </x:c>
      <x:c r="L19" s="22" t="str">
        <x:v>Mastery IV</x:v>
      </x:c>
      <x:c r="M19" s="22" t="str">
        <x:v>Elite</x:v>
      </x:c>
      <x:c r="N19" s="22" t="str">
        <x:v>No</x:v>
      </x:c>
      <x:c r="O19" s="22" t="str">
        <x:v>No</x:v>
      </x:c>
      <x:c r="P19" s="22" t="str">
        <x:v>Condition branch test</x:v>
      </x:c>
      <x:c r="Q19" s="44" t="str"/>
    </x:row>
    <x:row r="20">
      <x:c r="A20" s="43" t="str">
        <x:v>mod_volatility_engine_e</x:v>
      </x:c>
      <x:c r="B20" s="22" t="str">
        <x:v>Volatility Engine</x:v>
      </x:c>
      <x:c r="C20" s="22" t="str">
        <x:v>Epic</x:v>
      </x:c>
      <x:c r="D20" s="22" t="str">
        <x:v>Market</x:v>
      </x:c>
      <x:c r="E20" s="22" t="str">
        <x:v>Trading,Exchange,Market Making</x:v>
      </x:c>
      <x:c r="F20" s="22" t="str">
        <x:v>activity_efficiency ×1.14</x:v>
      </x:c>
      <x:c r="G20" s="22" t="str">
        <x:v>Market Risk +8</x:v>
      </x:c>
      <x:c r="H20" s="22" t="str">
        <x:v>market_state in Bull,Expansion or event Volatility Spike</x:v>
      </x:c>
      <x:c r="I20" s="22" t="str">
        <x:v>market_activity</x:v>
      </x:c>
      <x:c r="J20" s="77" t="n">
        <x:v>80</x:v>
      </x:c>
      <x:c r="K20" s="77" t="n">
        <x:v>400</x:v>
      </x:c>
      <x:c r="L20" s="22" t="str">
        <x:v>Mastery IV</x:v>
      </x:c>
      <x:c r="M20" s="22" t="str">
        <x:v>Elite</x:v>
      </x:c>
      <x:c r="N20" s="22" t="str">
        <x:v>No</x:v>
      </x:c>
      <x:c r="O20" s="22" t="str">
        <x:v>No</x:v>
      </x:c>
      <x:c r="P20" s="22" t="str">
        <x:v>Event/market condition</x:v>
      </x:c>
      <x:c r="Q20" s="44" t="str"/>
    </x:row>
    <x:row r="21">
      <x:c r="A21" s="43" t="str">
        <x:v>mod_family_office_e</x:v>
      </x:c>
      <x:c r="B21" s="22" t="str">
        <x:v>Family Office Protocol</x:v>
      </x:c>
      <x:c r="C21" s="22" t="str">
        <x:v>Epic</x:v>
      </x:c>
      <x:c r="D21" s="22" t="str">
        <x:v>Wealth</x:v>
      </x:c>
      <x:c r="E21" s="22" t="str">
        <x:v>Wealth,Private Banking</x:v>
      </x:c>
      <x:c r="F21" s="22" t="str">
        <x:v>HNW retention ×1.12</x:v>
      </x:c>
      <x:c r="G21" s="22" t="str">
        <x:v>capacity ×0.95</x:v>
      </x:c>
      <x:c r="H21" s="22" t="str">
        <x:v>reputation &gt;=80</x:v>
      </x:c>
      <x:c r="I21" s="22" t="str">
        <x:v>retention_hnw</x:v>
      </x:c>
      <x:c r="J21" s="77" t="n">
        <x:v>80</x:v>
      </x:c>
      <x:c r="K21" s="77" t="n">
        <x:v>400</x:v>
      </x:c>
      <x:c r="L21" s="22" t="str">
        <x:v>Mastery IV</x:v>
      </x:c>
      <x:c r="M21" s="22" t="str">
        <x:v>Elite</x:v>
      </x:c>
      <x:c r="N21" s="22" t="str">
        <x:v>No</x:v>
      </x:c>
      <x:c r="O21" s="22" t="str">
        <x:v>No</x:v>
      </x:c>
      <x:c r="P21" s="22" t="str">
        <x:v>Rep-conditioned</x:v>
      </x:c>
      <x:c r="Q21" s="44" t="str"/>
    </x:row>
    <x:row r="22">
      <x:c r="A22" s="43" t="str">
        <x:v>mod_fortress_balance_l</x:v>
      </x:c>
      <x:c r="B22" s="22" t="str">
        <x:v>Fortress Balance Sheet</x:v>
      </x:c>
      <x:c r="C22" s="22" t="str">
        <x:v>Legendary</x:v>
      </x:c>
      <x:c r="D22" s="22" t="str">
        <x:v>Risk</x:v>
      </x:c>
      <x:c r="E22" s="22" t="str">
        <x:v>Banking,Treasury,Private Banking</x:v>
      </x:c>
      <x:c r="F22" s="22" t="str">
        <x:v>Liquidity Risk -12</x:v>
      </x:c>
      <x:c r="G22" s="22" t="str">
        <x:v>Credit Risk -8; activity_efficiency ×0.92</x:v>
      </x:c>
      <x:c r="H22" s="22" t="str"/>
      <x:c r="I22" s="22" t="str">
        <x:v>defensive_charter</x:v>
      </x:c>
      <x:c r="J22" s="77" t="n">
        <x:v>200</x:v>
      </x:c>
      <x:c r="K22" s="77" t="n">
        <x:v>1000</x:v>
      </x:c>
      <x:c r="L22" s="22" t="str">
        <x:v>Mastery V</x:v>
      </x:c>
      <x:c r="M22" s="22" t="str">
        <x:v>Jackpot</x:v>
      </x:c>
      <x:c r="N22" s="22" t="str">
        <x:v>No</x:v>
      </x:c>
      <x:c r="O22" s="22" t="str">
        <x:v>No</x:v>
      </x:c>
      <x:c r="P22" s="22" t="str">
        <x:v>Legendary multi-effect</x:v>
      </x:c>
      <x:c r="Q22" s="44" t="str">
        <x:v>Max 1 Legendary/building</x:v>
      </x:c>
    </x:row>
    <x:row r="23">
      <x:c r="A23" s="45" t="str">
        <x:v>mod_adaptive_market_l</x:v>
      </x:c>
      <x:c r="B23" s="46" t="str">
        <x:v>Adaptive Market Desk</x:v>
      </x:c>
      <x:c r="C23" s="46" t="str">
        <x:v>Legendary</x:v>
      </x:c>
      <x:c r="D23" s="46" t="str">
        <x:v>Market</x:v>
      </x:c>
      <x:c r="E23" s="46" t="str">
        <x:v>Trading,Brokerage,Exchange,Market Making</x:v>
      </x:c>
      <x:c r="F23" s="46" t="str">
        <x:v>Bull/Expansion: activity ×1.12</x:v>
      </x:c>
      <x:c r="G23" s="46" t="str">
        <x:v>Correction/Risk-Off: Market Risk -8</x:v>
      </x:c>
      <x:c r="H23" s="46" t="str">
        <x:v>market_state</x:v>
      </x:c>
      <x:c r="I23" s="46" t="str">
        <x:v>adaptive_market</x:v>
      </x:c>
      <x:c r="J23" s="78" t="n">
        <x:v>200</x:v>
      </x:c>
      <x:c r="K23" s="78" t="n">
        <x:v>1000</x:v>
      </x:c>
      <x:c r="L23" s="46" t="str">
        <x:v>Mastery V</x:v>
      </x:c>
      <x:c r="M23" s="46" t="str">
        <x:v>Jackpot</x:v>
      </x:c>
      <x:c r="N23" s="46" t="str">
        <x:v>No</x:v>
      </x:c>
      <x:c r="O23" s="46" t="str">
        <x:v>No</x:v>
      </x:c>
      <x:c r="P23" s="46" t="str">
        <x:v>State-dependent branch</x:v>
      </x:c>
      <x:c r="Q23" s="47" t="str">
        <x:v>Max 1 Legendary/building</x:v>
      </x:c>
    </x:row>
  </x:sheetData>
  <x:mergeCells>
    <x:mergeCell ref="A1:Q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Persistence Schema / Entities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84"/>
    </x:row>
    <x:row r="3">
      <x:c r="A3" s="14" t="str">
        <x:v>Entity</x:v>
      </x:c>
      <x:c r="B3" s="14" t="str">
        <x:v>Primary Key</x:v>
      </x:c>
      <x:c r="C3" s="14" t="str">
        <x:v>Foreign Keys</x:v>
      </x:c>
      <x:c r="D3" s="14" t="str">
        <x:v>Critical Fields</x:v>
      </x:c>
      <x:c r="E3" s="14" t="str">
        <x:v>Mutable?</x:v>
      </x:c>
      <x:c r="F3" s="14" t="str">
        <x:v>Version Column</x:v>
      </x:c>
      <x:c r="G3" s="14" t="str">
        <x:v>Append-Only?</x:v>
      </x:c>
      <x:c r="H3" s="14" t="str">
        <x:v>Indexes</x:v>
      </x:c>
      <x:c r="I3" s="14" t="str">
        <x:v>Retention</x:v>
      </x:c>
      <x:c r="J3" s="14" t="str">
        <x:v>PII?</x:v>
      </x:c>
      <x:c r="K3" s="14" t="str">
        <x:v>Source of Truth</x:v>
      </x:c>
      <x:c r="L3" s="14" t="str">
        <x:v>Rebuildable?</x:v>
      </x:c>
      <x:c r="M3" s="14" t="str">
        <x:v>Transaction Partner</x:v>
      </x:c>
      <x:c r="N3" s="14" t="str">
        <x:v>Integrity Check</x:v>
      </x:c>
      <x:c r="O3" s="14" t="str">
        <x:v>MVP?</x:v>
      </x:c>
      <x:c r="P3" s="14" t="str">
        <x:v>Priority</x:v>
      </x:c>
      <x:c r="Q3" s="14" t="str">
        <x:v>Notes</x:v>
      </x:c>
    </x:row>
    <x:row r="4">
      <x:c r="A4" s="40" t="str">
        <x:v>module_config</x:v>
      </x:c>
      <x:c r="B4" s="41" t="str">
        <x:v>module_id+config_version</x:v>
      </x:c>
      <x:c r="C4" s="41" t="str">
        <x:v>N/A</x:v>
      </x:c>
      <x:c r="D4" s="41" t="str">
        <x:v>rarity,category,families,effects,conditions,active,effective dates</x:v>
      </x:c>
      <x:c r="E4" s="41" t="str">
        <x:v>No version rows</x:v>
      </x:c>
      <x:c r="F4" s="41" t="str">
        <x:v>config_version</x:v>
      </x:c>
      <x:c r="G4" s="41" t="str">
        <x:v>Yes/immutable</x:v>
      </x:c>
      <x:c r="H4" s="41" t="str">
        <x:v>module_id,is_active</x:v>
      </x:c>
      <x:c r="I4" s="41" t="str">
        <x:v>Indefinite</x:v>
      </x:c>
      <x:c r="J4" s="41" t="str">
        <x:v>No</x:v>
      </x:c>
      <x:c r="K4" s="41" t="str">
        <x:v>Config store</x:v>
      </x:c>
      <x:c r="L4" s="41" t="str">
        <x:v>N/A</x:v>
      </x:c>
      <x:c r="M4" s="41" t="str">
        <x:v>None</x:v>
      </x:c>
      <x:c r="N4" s="41" t="str">
        <x:v>Schema + signed approval</x:v>
      </x:c>
      <x:c r="O4" s="41" t="str">
        <x:v>Yes</x:v>
      </x:c>
      <x:c r="P4" s="41" t="str">
        <x:v>P0</x:v>
      </x:c>
      <x:c r="Q4" s="42" t="str"/>
    </x:row>
    <x:row r="5">
      <x:c r="A5" s="43" t="str">
        <x:v>player_module_inventory</x:v>
      </x:c>
      <x:c r="B5" s="22" t="str">
        <x:v>player_id+module_id</x:v>
      </x:c>
      <x:c r="C5" s="22" t="str">
        <x:v>player_id,module_id</x:v>
      </x:c>
      <x:c r="D5" s="22" t="str">
        <x:v>owned,equipped,first/last acquired</x:v>
      </x:c>
      <x:c r="E5" s="22" t="str">
        <x:v>Yes</x:v>
      </x:c>
      <x:c r="F5" s="22" t="str">
        <x:v>row_version</x:v>
      </x:c>
      <x:c r="G5" s="22" t="str">
        <x:v>No; changes ledgered</x:v>
      </x:c>
      <x:c r="H5" s="22" t="str">
        <x:v>player_id,module_id</x:v>
      </x:c>
      <x:c r="I5" s="22" t="str">
        <x:v>Account lifetime</x:v>
      </x:c>
      <x:c r="J5" s="22" t="str">
        <x:v>No</x:v>
      </x:c>
      <x:c r="K5" s="22" t="str">
        <x:v>Game DB</x:v>
      </x:c>
      <x:c r="L5" s="22" t="str">
        <x:v>Yes from ledgers + loadouts</x:v>
      </x:c>
      <x:c r="M5" s="22" t="str">
        <x:v>loadout,parts/reward</x:v>
      </x:c>
      <x:c r="N5" s="22" t="str">
        <x:v>owned&gt;=equipped&gt;=0</x:v>
      </x:c>
      <x:c r="O5" s="22" t="str">
        <x:v>Yes</x:v>
      </x:c>
      <x:c r="P5" s="22" t="str">
        <x:v>P0</x:v>
      </x:c>
      <x:c r="Q5" s="44" t="str"/>
    </x:row>
    <x:row r="6">
      <x:c r="A6" s="43" t="str">
        <x:v>building_module_loadout</x:v>
      </x:c>
      <x:c r="B6" s="22" t="str">
        <x:v>building_id+slot_index</x:v>
      </x:c>
      <x:c r="C6" s="22" t="str">
        <x:v>building_id,module_id</x:v>
      </x:c>
      <x:c r="D6" s="22" t="str">
        <x:v>module_id,effective_at,loadout_version</x:v>
      </x:c>
      <x:c r="E6" s="22" t="str">
        <x:v>Yes</x:v>
      </x:c>
      <x:c r="F6" s="22" t="str">
        <x:v>loadout_version</x:v>
      </x:c>
      <x:c r="G6" s="22" t="str">
        <x:v>Audit log</x:v>
      </x:c>
      <x:c r="H6" s="22" t="str">
        <x:v>building_id,module_id</x:v>
      </x:c>
      <x:c r="I6" s="22" t="str">
        <x:v>Building lifetime</x:v>
      </x:c>
      <x:c r="J6" s="22" t="str">
        <x:v>No</x:v>
      </x:c>
      <x:c r="K6" s="22" t="str">
        <x:v>Game DB</x:v>
      </x:c>
      <x:c r="L6" s="22" t="str">
        <x:v>Yes from audit</x:v>
      </x:c>
      <x:c r="M6" s="22" t="str">
        <x:v>inventory</x:v>
      </x:c>
      <x:c r="N6" s="22" t="str">
        <x:v>slot unique, no duplicates</x:v>
      </x:c>
      <x:c r="O6" s="22" t="str">
        <x:v>Yes</x:v>
      </x:c>
      <x:c r="P6" s="22" t="str">
        <x:v>P0</x:v>
      </x:c>
      <x:c r="Q6" s="44" t="str"/>
    </x:row>
    <x:row r="7">
      <x:c r="A7" s="43" t="str">
        <x:v>module_loadout_audit</x:v>
      </x:c>
      <x:c r="B7" s="22" t="str">
        <x:v>event_id</x:v>
      </x:c>
      <x:c r="C7" s="22" t="str">
        <x:v>player,building,module</x:v>
      </x:c>
      <x:c r="D7" s="22" t="str">
        <x:v>old/new slot,effective_at,version</x:v>
      </x:c>
      <x:c r="E7" s="22" t="str">
        <x:v>No</x:v>
      </x:c>
      <x:c r="F7" s="22" t="str">
        <x:v>N/A</x:v>
      </x:c>
      <x:c r="G7" s="22" t="str">
        <x:v>Yes</x:v>
      </x:c>
      <x:c r="H7" s="22" t="str">
        <x:v>building_id,created_at</x:v>
      </x:c>
      <x:c r="I7" s="22" t="str">
        <x:v>Indefinite</x:v>
      </x:c>
      <x:c r="J7" s="22" t="str">
        <x:v>No</x:v>
      </x:c>
      <x:c r="K7" s="22" t="str">
        <x:v>Audit/Event store</x:v>
      </x:c>
      <x:c r="L7" s="22" t="str">
        <x:v>N/A</x:v>
      </x:c>
      <x:c r="M7" s="22" t="str">
        <x:v>loadout</x:v>
      </x:c>
      <x:c r="N7" s="22" t="str">
        <x:v>Event sequence</x:v>
      </x:c>
      <x:c r="O7" s="22" t="str">
        <x:v>Yes</x:v>
      </x:c>
      <x:c r="P7" s="22" t="str">
        <x:v>P0</x:v>
      </x:c>
      <x:c r="Q7" s="44" t="str"/>
    </x:row>
    <x:row r="8">
      <x:c r="A8" s="43" t="str">
        <x:v>building_mastery_progress</x:v>
      </x:c>
      <x:c r="B8" s="22" t="str">
        <x:v>player+building_type+tier</x:v>
      </x:c>
      <x:c r="C8" s="22" t="str">
        <x:v>player,building_type</x:v>
      </x:c>
      <x:c r="D8" s="22" t="str">
        <x:v>objective progress,status,claim</x:v>
      </x:c>
      <x:c r="E8" s="22" t="str">
        <x:v>Yes</x:v>
      </x:c>
      <x:c r="F8" s="22" t="str">
        <x:v>row_version</x:v>
      </x:c>
      <x:c r="G8" s="22" t="str">
        <x:v>Evidence events separate</x:v>
      </x:c>
      <x:c r="H8" s="22" t="str">
        <x:v>player,status</x:v>
      </x:c>
      <x:c r="I8" s="22" t="str">
        <x:v>Account lifetime</x:v>
      </x:c>
      <x:c r="J8" s="22" t="str">
        <x:v>No</x:v>
      </x:c>
      <x:c r="K8" s="22" t="str">
        <x:v>Game DB</x:v>
      </x:c>
      <x:c r="L8" s="22" t="str">
        <x:v>Yes from ledgers if needed</x:v>
      </x:c>
      <x:c r="M8" s="22" t="str">
        <x:v>reward</x:v>
      </x:c>
      <x:c r="N8" s="22" t="str">
        <x:v>No double claim</x:v>
      </x:c>
      <x:c r="O8" s="22" t="str">
        <x:v>Yes</x:v>
      </x:c>
      <x:c r="P8" s="22" t="str">
        <x:v>P1</x:v>
      </x:c>
      <x:c r="Q8" s="44" t="str"/>
    </x:row>
    <x:row r="9">
      <x:c r="A9" s="43" t="str">
        <x:v>module_reward_ledger</x:v>
      </x:c>
      <x:c r="B9" s="22" t="str">
        <x:v>reward_id</x:v>
      </x:c>
      <x:c r="C9" s="22" t="str">
        <x:v>player,module</x:v>
      </x:c>
      <x:c r="D9" s="22" t="str">
        <x:v>source,source_event,rarity,qty,config_version</x:v>
      </x:c>
      <x:c r="E9" s="22" t="str">
        <x:v>No</x:v>
      </x:c>
      <x:c r="F9" s="22" t="str">
        <x:v>N/A</x:v>
      </x:c>
      <x:c r="G9" s="22" t="str">
        <x:v>Yes</x:v>
      </x:c>
      <x:c r="H9" s="22" t="str">
        <x:v>player,source_event</x:v>
      </x:c>
      <x:c r="I9" s="22" t="str">
        <x:v>Indefinite</x:v>
      </x:c>
      <x:c r="J9" s="22" t="str">
        <x:v>No</x:v>
      </x:c>
      <x:c r="K9" s="22" t="str">
        <x:v>Reward Service</x:v>
      </x:c>
      <x:c r="L9" s="22" t="str">
        <x:v>N/A</x:v>
      </x:c>
      <x:c r="M9" s="22" t="str">
        <x:v>inventory</x:v>
      </x:c>
      <x:c r="N9" s="22" t="str">
        <x:v>Unique source_event/idempotency</x:v>
      </x:c>
      <x:c r="O9" s="22" t="str">
        <x:v>Yes</x:v>
      </x:c>
      <x:c r="P9" s="22" t="str">
        <x:v>P1</x:v>
      </x:c>
      <x:c r="Q9" s="44" t="str"/>
    </x:row>
    <x:row r="10">
      <x:c r="A10" s="43" t="str">
        <x:v>module_parts_balance</x:v>
      </x:c>
      <x:c r="B10" s="22" t="str">
        <x:v>player+rarity</x:v>
      </x:c>
      <x:c r="C10" s="22" t="str">
        <x:v>player</x:v>
      </x:c>
      <x:c r="D10" s="22" t="str">
        <x:v>balance,row_version</x:v>
      </x:c>
      <x:c r="E10" s="22" t="str">
        <x:v>Yes</x:v>
      </x:c>
      <x:c r="F10" s="22" t="str">
        <x:v>row_version</x:v>
      </x:c>
      <x:c r="G10" s="22" t="str">
        <x:v>No; ledgered</x:v>
      </x:c>
      <x:c r="H10" s="22" t="str">
        <x:v>player,rarity</x:v>
      </x:c>
      <x:c r="I10" s="22" t="str">
        <x:v>Account lifetime</x:v>
      </x:c>
      <x:c r="J10" s="22" t="str">
        <x:v>No</x:v>
      </x:c>
      <x:c r="K10" s="22" t="str">
        <x:v>Game DB</x:v>
      </x:c>
      <x:c r="L10" s="22" t="str">
        <x:v>Yes from ledger</x:v>
      </x:c>
      <x:c r="M10" s="22" t="str">
        <x:v>craft/dismantle</x:v>
      </x:c>
      <x:c r="N10" s="22" t="str">
        <x:v>balance&gt;=0</x:v>
      </x:c>
      <x:c r="O10" s="22" t="str">
        <x:v>Yes</x:v>
      </x:c>
      <x:c r="P10" s="22" t="str">
        <x:v>P2</x:v>
      </x:c>
      <x:c r="Q10" s="44" t="str"/>
    </x:row>
    <x:row r="11">
      <x:c r="A11" s="43" t="str">
        <x:v>module_parts_ledger</x:v>
      </x:c>
      <x:c r="B11" s="22" t="str">
        <x:v>entry_id</x:v>
      </x:c>
      <x:c r="C11" s="22" t="str">
        <x:v>player,module?</x:v>
      </x:c>
      <x:c r="D11" s="22" t="str">
        <x:v>rarity,delta,source,source_event</x:v>
      </x:c>
      <x:c r="E11" s="22" t="str">
        <x:v>No</x:v>
      </x:c>
      <x:c r="F11" s="22" t="str">
        <x:v>N/A</x:v>
      </x:c>
      <x:c r="G11" s="22" t="str">
        <x:v>Yes</x:v>
      </x:c>
      <x:c r="H11" s="22" t="str">
        <x:v>player,rarity,created_at</x:v>
      </x:c>
      <x:c r="I11" s="22" t="str">
        <x:v>Indefinite</x:v>
      </x:c>
      <x:c r="J11" s="22" t="str">
        <x:v>No</x:v>
      </x:c>
      <x:c r="K11" s="22" t="str">
        <x:v>Ledger</x:v>
      </x:c>
      <x:c r="L11" s="22" t="str">
        <x:v>N/A</x:v>
      </x:c>
      <x:c r="M11" s="22" t="str">
        <x:v>balance</x:v>
      </x:c>
      <x:c r="N11" s="22" t="str">
        <x:v>Unique source event</x:v>
      </x:c>
      <x:c r="O11" s="22" t="str">
        <x:v>Yes</x:v>
      </x:c>
      <x:c r="P11" s="22" t="str">
        <x:v>P2</x:v>
      </x:c>
      <x:c r="Q11" s="44" t="str"/>
    </x:row>
    <x:row r="12">
      <x:c r="A12" s="43" t="str">
        <x:v>module_pack_open_result</x:v>
      </x:c>
      <x:c r="B12" s="22" t="str">
        <x:v>open_id</x:v>
      </x:c>
      <x:c r="C12" s="22" t="str">
        <x:v>player,pack config</x:v>
      </x:c>
      <x:c r="D12" s="22" t="str">
        <x:v>seed/result,rolls,rewards,config_version</x:v>
      </x:c>
      <x:c r="E12" s="22" t="str">
        <x:v>No</x:v>
      </x:c>
      <x:c r="F12" s="22" t="str">
        <x:v>N/A</x:v>
      </x:c>
      <x:c r="G12" s="22" t="str">
        <x:v>Yes</x:v>
      </x:c>
      <x:c r="H12" s="22" t="str">
        <x:v>player,created_at</x:v>
      </x:c>
      <x:c r="I12" s="22" t="str">
        <x:v>Indefinite</x:v>
      </x:c>
      <x:c r="J12" s="22" t="str">
        <x:v>No</x:v>
      </x:c>
      <x:c r="K12" s="22" t="str">
        <x:v>Reward Service</x:v>
      </x:c>
      <x:c r="L12" s="22" t="str">
        <x:v>N/A</x:v>
      </x:c>
      <x:c r="M12" s="22" t="str">
        <x:v>inventory/reward ledger</x:v>
      </x:c>
      <x:c r="N12" s="22" t="str">
        <x:v>Exactly once</x:v>
      </x:c>
      <x:c r="O12" s="22" t="str">
        <x:v>No</x:v>
      </x:c>
      <x:c r="P12" s="22" t="str">
        <x:v>P2</x:v>
      </x:c>
      <x:c r="Q12" s="44" t="str"/>
    </x:row>
    <x:row r="13">
      <x:c r="A13" s="45" t="str">
        <x:v>module_effect_snapshot</x:v>
      </x:c>
      <x:c r="B13" s="46" t="str">
        <x:v>building_id+tick_id?</x:v>
      </x:c>
      <x:c r="C13" s="46" t="str">
        <x:v>building,loadout/config</x:v>
      </x:c>
      <x:c r="D13" s="46" t="str">
        <x:v>effective modifiers,condition results,caps</x:v>
      </x:c>
      <x:c r="E13" s="46" t="str">
        <x:v>Optional</x:v>
      </x:c>
      <x:c r="F13" s="46" t="str">
        <x:v>snapshot_version</x:v>
      </x:c>
      <x:c r="G13" s="46" t="str">
        <x:v>Optional audit</x:v>
      </x:c>
      <x:c r="H13" s="46" t="str">
        <x:v>building,tick</x:v>
      </x:c>
      <x:c r="I13" s="46" t="str">
        <x:v>Short/diagnostic</x:v>
      </x:c>
      <x:c r="J13" s="46" t="str">
        <x:v>No</x:v>
      </x:c>
      <x:c r="K13" s="46" t="str">
        <x:v>Derived</x:v>
      </x:c>
      <x:c r="L13" s="46" t="str">
        <x:v>Yes</x:v>
      </x:c>
      <x:c r="M13" s="46" t="str">
        <x:v>economy/customer/risk</x:v>
      </x:c>
      <x:c r="N13" s="46" t="str">
        <x:v>Matches replay</x:v>
      </x:c>
      <x:c r="O13" s="46" t="str">
        <x:v>No</x:v>
      </x:c>
      <x:c r="P13" s="46" t="str">
        <x:v>P1</x:v>
      </x:c>
      <x:c r="Q13" s="47" t="str">
        <x:v>Use for debugging; not authoritative source</x:v>
      </x:c>
    </x:row>
  </x:sheetData>
  <x:mergeCells>
    <x:mergeCell ref="A1:Q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API / Service Contracts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84"/>
    </x:row>
    <x:row r="3">
      <x:c r="A3" s="14" t="str">
        <x:v>Method</x:v>
      </x:c>
      <x:c r="B3" s="14" t="str">
        <x:v>Endpoint / Command</x:v>
      </x:c>
      <x:c r="C3" s="14" t="str">
        <x:v>Purpose</x:v>
      </x:c>
      <x:c r="D3" s="14" t="str">
        <x:v>Request</x:v>
      </x:c>
      <x:c r="E3" s="14" t="str">
        <x:v>Success Response</x:v>
      </x:c>
      <x:c r="F3" s="14" t="str">
        <x:v>Server Validations</x:v>
      </x:c>
      <x:c r="G3" s="14" t="str">
        <x:v>Idempotency</x:v>
      </x:c>
      <x:c r="H3" s="14" t="str">
        <x:v>Expected Version</x:v>
      </x:c>
      <x:c r="I3" s="14" t="str">
        <x:v>Atomic With</x:v>
      </x:c>
      <x:c r="J3" s="14" t="str">
        <x:v>Common Errors</x:v>
      </x:c>
      <x:c r="K3" s="14" t="str">
        <x:v>Auth</x:v>
      </x:c>
      <x:c r="L3" s="14" t="str">
        <x:v>Rate Limit</x:v>
      </x:c>
      <x:c r="M3" s="14" t="str">
        <x:v>Read/Write</x:v>
      </x:c>
      <x:c r="N3" s="14" t="str">
        <x:v>MVP?</x:v>
      </x:c>
      <x:c r="O3" s="14" t="str">
        <x:v>Priority</x:v>
      </x:c>
      <x:c r="P3" s="14" t="str">
        <x:v>Analytics Event</x:v>
      </x:c>
      <x:c r="Q3" s="14" t="str">
        <x:v>Notes</x:v>
      </x:c>
    </x:row>
    <x:row r="4">
      <x:c r="A4" s="40" t="str">
        <x:v>GET</x:v>
      </x:c>
      <x:c r="B4" s="41" t="str">
        <x:v>/v1/modules</x:v>
      </x:c>
      <x:c r="C4" s="41" t="str">
        <x:v>Inventory/config view</x:v>
      </x:c>
      <x:c r="D4" s="41" t="str">
        <x:v>filters: rarity,category,compatible_building</x:v>
      </x:c>
      <x:c r="E4" s="41" t="str">
        <x:v>owned Modules + Parts + configs</x:v>
      </x:c>
      <x:c r="F4" s="41" t="str">
        <x:v>Owner session</x:v>
      </x:c>
      <x:c r="G4" s="41" t="str">
        <x:v>N/A</x:v>
      </x:c>
      <x:c r="H4" s="41" t="str">
        <x:v>N/A</x:v>
      </x:c>
      <x:c r="I4" s="41" t="str">
        <x:v>N/A</x:v>
      </x:c>
      <x:c r="J4" s="41" t="str">
        <x:v>N/A</x:v>
      </x:c>
      <x:c r="K4" s="41" t="str">
        <x:v>Player</x:v>
      </x:c>
      <x:c r="L4" s="41" t="str">
        <x:v>Normal</x:v>
      </x:c>
      <x:c r="M4" s="41" t="str">
        <x:v>Read</x:v>
      </x:c>
      <x:c r="N4" s="41" t="str">
        <x:v>Yes</x:v>
      </x:c>
      <x:c r="O4" s="41" t="str">
        <x:v>P0</x:v>
      </x:c>
      <x:c r="P4" s="41" t="str">
        <x:v>module_inventory_viewed</x:v>
      </x:c>
      <x:c r="Q4" s="42" t="str"/>
    </x:row>
    <x:row r="5">
      <x:c r="A5" s="43" t="str">
        <x:v>GET</x:v>
      </x:c>
      <x:c r="B5" s="22" t="str">
        <x:v>/v1/buildings/{id}/modules</x:v>
      </x:c>
      <x:c r="C5" s="22" t="str">
        <x:v>Building slots/loadout/effective modifiers</x:v>
      </x:c>
      <x:c r="D5" s="22" t="str">
        <x:v>building id</x:v>
      </x:c>
      <x:c r="E5" s="22" t="str">
        <x:v>slots,loadout,effective preview</x:v>
      </x:c>
      <x:c r="F5" s="22" t="str">
        <x:v>Ownership</x:v>
      </x:c>
      <x:c r="G5" s="22" t="str">
        <x:v>N/A</x:v>
      </x:c>
      <x:c r="H5" s="22" t="str">
        <x:v>N/A</x:v>
      </x:c>
      <x:c r="I5" s="22" t="str">
        <x:v>N/A</x:v>
      </x:c>
      <x:c r="J5" s="22" t="str">
        <x:v>BUILDING_NOT_FOUND</x:v>
      </x:c>
      <x:c r="K5" s="22" t="str">
        <x:v>Player</x:v>
      </x:c>
      <x:c r="L5" s="22" t="str">
        <x:v>Normal</x:v>
      </x:c>
      <x:c r="M5" s="22" t="str">
        <x:v>Read</x:v>
      </x:c>
      <x:c r="N5" s="22" t="str">
        <x:v>Yes</x:v>
      </x:c>
      <x:c r="O5" s="22" t="str">
        <x:v>P0</x:v>
      </x:c>
      <x:c r="P5" s="22" t="str">
        <x:v>building_modules_viewed</x:v>
      </x:c>
      <x:c r="Q5" s="44" t="str"/>
    </x:row>
    <x:row r="6">
      <x:c r="A6" s="43" t="str">
        <x:v>POST</x:v>
      </x:c>
      <x:c r="B6" s="22" t="str">
        <x:v>/v1/buildings/{id}/modules/equip</x:v>
      </x:c>
      <x:c r="C6" s="22" t="str">
        <x:v>Equip Module</x:v>
      </x:c>
      <x:c r="D6" s="22" t="str">
        <x:v>slot,module_id,expected_loadout_version,idempotency_key</x:v>
      </x:c>
      <x:c r="E6" s="22" t="str">
        <x:v>new loadout + effective_at</x:v>
      </x:c>
      <x:c r="F6" s="22" t="str">
        <x:v>Ownership,slot,inventory,compatibility,duplicate,legendary,event lock</x:v>
      </x:c>
      <x:c r="G6" s="22" t="str">
        <x:v>Required</x:v>
      </x:c>
      <x:c r="H6" s="22" t="str">
        <x:v>loadout_version</x:v>
      </x:c>
      <x:c r="I6" s="22" t="str">
        <x:v>Inventory+loadout</x:v>
      </x:c>
      <x:c r="J6" s="22" t="str">
        <x:v>VERSION_CONFLICT,SLOT_LOCKED,MODULE_INCOMPATIBLE</x:v>
      </x:c>
      <x:c r="K6" s="22" t="str">
        <x:v>Player</x:v>
      </x:c>
      <x:c r="L6" s="22" t="str">
        <x:v>Burst limited</x:v>
      </x:c>
      <x:c r="M6" s="22" t="str">
        <x:v>Write</x:v>
      </x:c>
      <x:c r="N6" s="22" t="str">
        <x:v>Yes</x:v>
      </x:c>
      <x:c r="O6" s="22" t="str">
        <x:v>P0</x:v>
      </x:c>
      <x:c r="P6" s="22" t="str">
        <x:v>module_equipped</x:v>
      </x:c>
      <x:c r="Q6" s="44" t="str"/>
    </x:row>
    <x:row r="7">
      <x:c r="A7" s="43" t="str">
        <x:v>POST</x:v>
      </x:c>
      <x:c r="B7" s="22" t="str">
        <x:v>/v1/buildings/{id}/modules/unequip</x:v>
      </x:c>
      <x:c r="C7" s="22" t="str">
        <x:v>Unequip Module</x:v>
      </x:c>
      <x:c r="D7" s="22" t="str">
        <x:v>slot,expected_loadout_version,idempotency_key</x:v>
      </x:c>
      <x:c r="E7" s="22" t="str">
        <x:v>new loadout + inventory availability</x:v>
      </x:c>
      <x:c r="F7" s="22" t="str">
        <x:v>Ownership,slot,event lock</x:v>
      </x:c>
      <x:c r="G7" s="22" t="str">
        <x:v>Required</x:v>
      </x:c>
      <x:c r="H7" s="22" t="str">
        <x:v>loadout_version</x:v>
      </x:c>
      <x:c r="I7" s="22" t="str">
        <x:v>Inventory+loadout</x:v>
      </x:c>
      <x:c r="J7" s="22" t="str">
        <x:v>VERSION_CONFLICT,LOADOUT_LOCKED</x:v>
      </x:c>
      <x:c r="K7" s="22" t="str">
        <x:v>Player</x:v>
      </x:c>
      <x:c r="L7" s="22" t="str">
        <x:v>Burst limited</x:v>
      </x:c>
      <x:c r="M7" s="22" t="str">
        <x:v>Write</x:v>
      </x:c>
      <x:c r="N7" s="22" t="str">
        <x:v>Yes</x:v>
      </x:c>
      <x:c r="O7" s="22" t="str">
        <x:v>P0</x:v>
      </x:c>
      <x:c r="P7" s="22" t="str">
        <x:v>module_unequipped</x:v>
      </x:c>
      <x:c r="Q7" s="44" t="str"/>
    </x:row>
    <x:row r="8">
      <x:c r="A8" s="43" t="str">
        <x:v>GET</x:v>
      </x:c>
      <x:c r="B8" s="22" t="str">
        <x:v>/v1/building-mastery</x:v>
      </x:c>
      <x:c r="C8" s="22" t="str">
        <x:v>Mastery overview</x:v>
      </x:c>
      <x:c r="D8" s="22" t="str">
        <x:v>building_type optional</x:v>
      </x:c>
      <x:c r="E8" s="22" t="str">
        <x:v>tiers,progress,claim status,rewards</x:v>
      </x:c>
      <x:c r="F8" s="22" t="str">
        <x:v>Owner session</x:v>
      </x:c>
      <x:c r="G8" s="22" t="str">
        <x:v>N/A</x:v>
      </x:c>
      <x:c r="H8" s="22" t="str">
        <x:v>N/A</x:v>
      </x:c>
      <x:c r="I8" s="22" t="str">
        <x:v>N/A</x:v>
      </x:c>
      <x:c r="J8" s="22" t="str">
        <x:v>N/A</x:v>
      </x:c>
      <x:c r="K8" s="22" t="str">
        <x:v>Player</x:v>
      </x:c>
      <x:c r="L8" s="22" t="str">
        <x:v>Normal</x:v>
      </x:c>
      <x:c r="M8" s="22" t="str">
        <x:v>Read</x:v>
      </x:c>
      <x:c r="N8" s="22" t="str">
        <x:v>Yes</x:v>
      </x:c>
      <x:c r="O8" s="22" t="str">
        <x:v>P1</x:v>
      </x:c>
      <x:c r="P8" s="22" t="str">
        <x:v>mastery_viewed</x:v>
      </x:c>
      <x:c r="Q8" s="44" t="str"/>
    </x:row>
    <x:row r="9">
      <x:c r="A9" s="43" t="str">
        <x:v>POST</x:v>
      </x:c>
      <x:c r="B9" s="22" t="str">
        <x:v>/v1/building-mastery/{tier}/claim</x:v>
      </x:c>
      <x:c r="C9" s="22" t="str">
        <x:v>Claim mastery reward choice</x:v>
      </x:c>
      <x:c r="D9" s="22" t="str">
        <x:v>building_type,choice_id,idempotency_key</x:v>
      </x:c>
      <x:c r="E9" s="22" t="str">
        <x:v>reward result + inventory</x:v>
      </x:c>
      <x:c r="F9" s="22" t="str">
        <x:v>Tier complete,unclaimed,choice valid</x:v>
      </x:c>
      <x:c r="G9" s="22" t="str">
        <x:v>Required</x:v>
      </x:c>
      <x:c r="H9" s="22" t="str">
        <x:v>mastery row_version optional</x:v>
      </x:c>
      <x:c r="I9" s="22" t="str">
        <x:v>Mastery+reward+inventory</x:v>
      </x:c>
      <x:c r="J9" s="22" t="str">
        <x:v>MASTERY_INCOMPLETE,ALREADY_CLAIMED</x:v>
      </x:c>
      <x:c r="K9" s="22" t="str">
        <x:v>Player</x:v>
      </x:c>
      <x:c r="L9" s="22" t="str">
        <x:v>Low</x:v>
      </x:c>
      <x:c r="M9" s="22" t="str">
        <x:v>Write</x:v>
      </x:c>
      <x:c r="N9" s="22" t="str">
        <x:v>Yes</x:v>
      </x:c>
      <x:c r="O9" s="22" t="str">
        <x:v>P1</x:v>
      </x:c>
      <x:c r="P9" s="22" t="str">
        <x:v>mastery_claimed</x:v>
      </x:c>
      <x:c r="Q9" s="44" t="str"/>
    </x:row>
    <x:row r="10">
      <x:c r="A10" s="43" t="str">
        <x:v>POST</x:v>
      </x:c>
      <x:c r="B10" s="22" t="str">
        <x:v>/v1/modules/dismantle</x:v>
      </x:c>
      <x:c r="C10" s="22" t="str">
        <x:v>Dismantle copies</x:v>
      </x:c>
      <x:c r="D10" s="22" t="str">
        <x:v>module_id,quantity,idempotency_key</x:v>
      </x:c>
      <x:c r="E10" s="22" t="str">
        <x:v>new qty + Parts balance</x:v>
      </x:c>
      <x:c r="F10" s="22" t="str">
        <x:v>Available unequipped qty</x:v>
      </x:c>
      <x:c r="G10" s="22" t="str">
        <x:v>Required</x:v>
      </x:c>
      <x:c r="H10" s="22" t="str">
        <x:v>inventory row_version optional</x:v>
      </x:c>
      <x:c r="I10" s="22" t="str">
        <x:v>Inventory+Parts ledger</x:v>
      </x:c>
      <x:c r="J10" s="22" t="str">
        <x:v>INSUFFICIENT_AVAILABLE_MODULES</x:v>
      </x:c>
      <x:c r="K10" s="22" t="str">
        <x:v>Player</x:v>
      </x:c>
      <x:c r="L10" s="22" t="str">
        <x:v>Low</x:v>
      </x:c>
      <x:c r="M10" s="22" t="str">
        <x:v>Write</x:v>
      </x:c>
      <x:c r="N10" s="22" t="str">
        <x:v>No</x:v>
      </x:c>
      <x:c r="O10" s="22" t="str">
        <x:v>P2</x:v>
      </x:c>
      <x:c r="P10" s="22" t="str">
        <x:v>module_dismantled</x:v>
      </x:c>
      <x:c r="Q10" s="44" t="str"/>
    </x:row>
    <x:row r="11">
      <x:c r="A11" s="43" t="str">
        <x:v>POST</x:v>
      </x:c>
      <x:c r="B11" s="22" t="str">
        <x:v>/v1/modules/craft</x:v>
      </x:c>
      <x:c r="C11" s="22" t="str">
        <x:v>Craft exact Module</x:v>
      </x:c>
      <x:c r="D11" s="22" t="str">
        <x:v>module_id,idempotency_key</x:v>
      </x:c>
      <x:c r="E11" s="22" t="str">
        <x:v>crafted Module + Parts balance</x:v>
      </x:c>
      <x:c r="F11" s="22" t="str">
        <x:v>Active config,stage/mastery,Parts</x:v>
      </x:c>
      <x:c r="G11" s="22" t="str">
        <x:v>Required</x:v>
      </x:c>
      <x:c r="H11" s="22" t="str">
        <x:v>Parts row_version optional</x:v>
      </x:c>
      <x:c r="I11" s="22" t="str">
        <x:v>Parts+inventory</x:v>
      </x:c>
      <x:c r="J11" s="22" t="str">
        <x:v>CRAFT_LOCKED,INSUFFICIENT_PARTS</x:v>
      </x:c>
      <x:c r="K11" s="22" t="str">
        <x:v>Player</x:v>
      </x:c>
      <x:c r="L11" s="22" t="str">
        <x:v>Low</x:v>
      </x:c>
      <x:c r="M11" s="22" t="str">
        <x:v>Write</x:v>
      </x:c>
      <x:c r="N11" s="22" t="str">
        <x:v>No</x:v>
      </x:c>
      <x:c r="O11" s="22" t="str">
        <x:v>P2</x:v>
      </x:c>
      <x:c r="P11" s="22" t="str">
        <x:v>module_crafted</x:v>
      </x:c>
      <x:c r="Q11" s="44" t="str"/>
    </x:row>
    <x:row r="12">
      <x:c r="A12" s="43" t="str">
        <x:v>POST</x:v>
      </x:c>
      <x:c r="B12" s="22" t="str">
        <x:v>internal:grantModuleReward</x:v>
      </x:c>
      <x:c r="C12" s="22" t="str">
        <x:v>Grant reward</x:v>
      </x:c>
      <x:c r="D12" s="22" t="str">
        <x:v>player,source,source_event,reward_table</x:v>
      </x:c>
      <x:c r="E12" s="22" t="str">
        <x:v>reward ledger + inventory</x:v>
      </x:c>
      <x:c r="F12" s="22" t="str">
        <x:v>Eligibility,config,roll/idempotency</x:v>
      </x:c>
      <x:c r="G12" s="22" t="str">
        <x:v>Required</x:v>
      </x:c>
      <x:c r="H12" s="22" t="str">
        <x:v>N/A</x:v>
      </x:c>
      <x:c r="I12" s="22" t="str">
        <x:v>Reward+inventory</x:v>
      </x:c>
      <x:c r="J12" s="22" t="str">
        <x:v>DUPLICATE_SOURCE_EVENT</x:v>
      </x:c>
      <x:c r="K12" s="22" t="str">
        <x:v>Service</x:v>
      </x:c>
      <x:c r="L12" s="22" t="str">
        <x:v>Service-only</x:v>
      </x:c>
      <x:c r="M12" s="22" t="str">
        <x:v>Write</x:v>
      </x:c>
      <x:c r="N12" s="22" t="str">
        <x:v>Yes</x:v>
      </x:c>
      <x:c r="O12" s="22" t="str">
        <x:v>P1</x:v>
      </x:c>
      <x:c r="P12" s="22" t="str">
        <x:v>module_rewarded</x:v>
      </x:c>
      <x:c r="Q12" s="44" t="str"/>
    </x:row>
    <x:row r="13">
      <x:c r="A13" s="45" t="str">
        <x:v>POST</x:v>
      </x:c>
      <x:c r="B13" s="46" t="str">
        <x:v>internal:resolveModuleEffects</x:v>
      </x:c>
      <x:c r="C13" s="46" t="str">
        <x:v>Compute modifier vector</x:v>
      </x:c>
      <x:c r="D13" s="46" t="str">
        <x:v>building_id,context,tick/loadout version</x:v>
      </x:c>
      <x:c r="E13" s="46" t="str">
        <x:v>effective modifier vector + trace</x:v>
      </x:c>
      <x:c r="F13" s="46" t="str">
        <x:v>Loadout/config/context</x:v>
      </x:c>
      <x:c r="G13" s="46" t="str">
        <x:v>Tick id</x:v>
      </x:c>
      <x:c r="H13" s="46" t="str">
        <x:v>loadout/config versions</x:v>
      </x:c>
      <x:c r="I13" s="46" t="str">
        <x:v>N/A</x:v>
      </x:c>
      <x:c r="J13" s="46" t="str">
        <x:v>CONFIG_INVALID</x:v>
      </x:c>
      <x:c r="K13" s="46" t="str">
        <x:v>Service</x:v>
      </x:c>
      <x:c r="L13" s="46" t="str">
        <x:v>Internal</x:v>
      </x:c>
      <x:c r="M13" s="46" t="str">
        <x:v>Compute</x:v>
      </x:c>
      <x:c r="N13" s="46" t="str">
        <x:v>Yes</x:v>
      </x:c>
      <x:c r="O13" s="46" t="str">
        <x:v>P0</x:v>
      </x:c>
      <x:c r="P13" s="46" t="str">
        <x:v>module_effect_resolved</x:v>
      </x:c>
      <x:c r="Q13" s="47" t="str"/>
    </x:row>
  </x:sheetData>
  <x:mergeCells>
    <x:mergeCell ref="A1:Q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Atomic Flows, Concurrency &amp; Idempotency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22"/>
    </x:row>
    <x:row r="3">
      <x:c r="A3" s="14" t="str">
        <x:v>Flow</x:v>
      </x:c>
      <x:c r="B3" s="14" t="str">
        <x:v>Step</x:v>
      </x:c>
      <x:c r="C3" s="14" t="str">
        <x:v>Read</x:v>
      </x:c>
      <x:c r="D3" s="14" t="str">
        <x:v>Validation</x:v>
      </x:c>
      <x:c r="E3" s="14" t="str">
        <x:v>Write</x:v>
      </x:c>
      <x:c r="F3" s="14" t="str">
        <x:v>Atomic?</x:v>
      </x:c>
      <x:c r="G3" s="14" t="str">
        <x:v>Lock / Version</x:v>
      </x:c>
      <x:c r="H3" s="14" t="str">
        <x:v>Idempotency Key</x:v>
      </x:c>
      <x:c r="I3" s="14" t="str">
        <x:v>Domain Event</x:v>
      </x:c>
      <x:c r="J3" s="14" t="str">
        <x:v>Retry Safe?</x:v>
      </x:c>
      <x:c r="K3" s="14" t="str">
        <x:v>Duplicate Risk</x:v>
      </x:c>
      <x:c r="L3" s="14" t="str">
        <x:v>Rollback</x:v>
      </x:c>
      <x:c r="M3" s="14" t="str">
        <x:v>User Error</x:v>
      </x:c>
      <x:c r="N3" s="14" t="str">
        <x:v>System Error</x:v>
      </x:c>
      <x:c r="O3" s="14" t="str">
        <x:v>Priority</x:v>
      </x:c>
      <x:c r="P3" s="14" t="str">
        <x:v>Notes</x:v>
      </x:c>
    </x:row>
    <x:row r="4">
      <x:c r="A4" s="40" t="str">
        <x:v>Equip</x:v>
      </x:c>
      <x:c r="B4" s="41" t="n">
        <x:v>1</x:v>
      </x:c>
      <x:c r="C4" s="41" t="str">
        <x:v>Building+loadout+inventory+config+event lock</x:v>
      </x:c>
      <x:c r="D4" s="41" t="str">
        <x:v>Owner,slot,compatible,available copy</x:v>
      </x:c>
      <x:c r="E4" s="41" t="str">
        <x:v>None</x:v>
      </x:c>
      <x:c r="F4" s="41" t="str">
        <x:v>N/A</x:v>
      </x:c>
      <x:c r="G4" s="41" t="str">
        <x:v>Read expected loadout_version</x:v>
      </x:c>
      <x:c r="H4" s="41" t="str">
        <x:v>request key</x:v>
      </x:c>
      <x:c r="I4" s="41" t="str">
        <x:v>module.equip.requested</x:v>
      </x:c>
      <x:c r="J4" s="41" t="str">
        <x:v>Yes</x:v>
      </x:c>
      <x:c r="K4" s="41" t="str">
        <x:v>Double equip</x:v>
      </x:c>
      <x:c r="L4" s="41" t="str">
        <x:v>N/A</x:v>
      </x:c>
      <x:c r="M4" s="41" t="str">
        <x:v>Return explicit code</x:v>
      </x:c>
      <x:c r="N4" s="41" t="str">
        <x:v>Retry</x:v>
      </x:c>
      <x:c r="O4" s="41" t="str">
        <x:v>P0</x:v>
      </x:c>
      <x:c r="P4" s="42" t="str"/>
    </x:row>
    <x:row r="5">
      <x:c r="A5" s="43" t="str">
        <x:v>Equip</x:v>
      </x:c>
      <x:c r="B5" s="22" t="n">
        <x:v>2</x:v>
      </x:c>
      <x:c r="C5" s="22" t="str">
        <x:v>Same transaction</x:v>
      </x:c>
      <x:c r="D5" s="22" t="str">
        <x:v>Recheck versions</x:v>
      </x:c>
      <x:c r="E5" s="22" t="str">
        <x:v>Decrease available/increase equipped; write slot; increment loadout_version</x:v>
      </x:c>
      <x:c r="F5" s="22" t="str">
        <x:v>Yes</x:v>
      </x:c>
      <x:c r="G5" s="22" t="str">
        <x:v>Row/version locks</x:v>
      </x:c>
      <x:c r="H5" s="22" t="str">
        <x:v>same</x:v>
      </x:c>
      <x:c r="I5" s="22" t="str">
        <x:v>module.equipped</x:v>
      </x:c>
      <x:c r="J5" s="22" t="str">
        <x:v>Yes</x:v>
      </x:c>
      <x:c r="K5" s="22" t="str">
        <x:v>Inventory/loadout mismatch</x:v>
      </x:c>
      <x:c r="L5" s="22" t="str">
        <x:v>Full rollback</x:v>
      </x:c>
      <x:c r="M5" s="22" t="str">
        <x:v>Conflict</x:v>
      </x:c>
      <x:c r="N5" s="22" t="str">
        <x:v>Retry</x:v>
      </x:c>
      <x:c r="O5" s="22" t="str">
        <x:v>P0</x:v>
      </x:c>
      <x:c r="P5" s="44" t="str"/>
    </x:row>
    <x:row r="6">
      <x:c r="A6" s="43" t="str">
        <x:v>Unequip</x:v>
      </x:c>
      <x:c r="B6" s="22" t="n">
        <x:v>1</x:v>
      </x:c>
      <x:c r="C6" s="22" t="str">
        <x:v>Building+loadout</x:v>
      </x:c>
      <x:c r="D6" s="22" t="str">
        <x:v>Owner,slot occupied,not locked</x:v>
      </x:c>
      <x:c r="E6" s="22" t="str">
        <x:v>Remove slot; decrease equipped; increment loadout_version</x:v>
      </x:c>
      <x:c r="F6" s="22" t="str">
        <x:v>Yes</x:v>
      </x:c>
      <x:c r="G6" s="22" t="str">
        <x:v>Version lock</x:v>
      </x:c>
      <x:c r="H6" s="22" t="str">
        <x:v>request key</x:v>
      </x:c>
      <x:c r="I6" s="22" t="str">
        <x:v>module.unequipped</x:v>
      </x:c>
      <x:c r="J6" s="22" t="str">
        <x:v>Yes</x:v>
      </x:c>
      <x:c r="K6" s="22" t="str">
        <x:v>Double unequip</x:v>
      </x:c>
      <x:c r="L6" s="22" t="str">
        <x:v>Full rollback</x:v>
      </x:c>
      <x:c r="M6" s="22" t="str">
        <x:v>Conflict</x:v>
      </x:c>
      <x:c r="N6" s="22" t="str">
        <x:v>Retry</x:v>
      </x:c>
      <x:c r="O6" s="22" t="str">
        <x:v>P0</x:v>
      </x:c>
      <x:c r="P6" s="44" t="str"/>
    </x:row>
    <x:row r="7">
      <x:c r="A7" s="43" t="str">
        <x:v>Mastery claim</x:v>
      </x:c>
      <x:c r="B7" s="22" t="n">
        <x:v>1</x:v>
      </x:c>
      <x:c r="C7" s="22" t="str">
        <x:v>Mastery row+reward config</x:v>
      </x:c>
      <x:c r="D7" s="22" t="str">
        <x:v>complete,unclaimed,choice valid</x:v>
      </x:c>
      <x:c r="E7" s="22" t="str">
        <x:v>mark claimed + reward ledger + inventory</x:v>
      </x:c>
      <x:c r="F7" s="22" t="str">
        <x:v>Yes</x:v>
      </x:c>
      <x:c r="G7" s="22" t="str">
        <x:v>Mastery version lock</x:v>
      </x:c>
      <x:c r="H7" s="22" t="str">
        <x:v>request key</x:v>
      </x:c>
      <x:c r="I7" s="22" t="str">
        <x:v>mastery.claimed,module.acquired</x:v>
      </x:c>
      <x:c r="J7" s="22" t="str">
        <x:v>Yes</x:v>
      </x:c>
      <x:c r="K7" s="22" t="str">
        <x:v>Double claim</x:v>
      </x:c>
      <x:c r="L7" s="22" t="str">
        <x:v>Full rollback</x:v>
      </x:c>
      <x:c r="M7" s="22" t="str">
        <x:v>Already claimed</x:v>
      </x:c>
      <x:c r="N7" s="22" t="str">
        <x:v>Retry</x:v>
      </x:c>
      <x:c r="O7" s="22" t="str">
        <x:v>P1</x:v>
      </x:c>
      <x:c r="P7" s="44" t="str"/>
    </x:row>
    <x:row r="8">
      <x:c r="A8" s="43" t="str">
        <x:v>Dismantle</x:v>
      </x:c>
      <x:c r="B8" s="22" t="n">
        <x:v>1</x:v>
      </x:c>
      <x:c r="C8" s="22" t="str">
        <x:v>Inventory+Parts</x:v>
      </x:c>
      <x:c r="D8" s="22" t="str">
        <x:v>available qty &gt;= requested</x:v>
      </x:c>
      <x:c r="E8" s="22" t="str">
        <x:v>owned -= qty; parts += value; ledgers</x:v>
      </x:c>
      <x:c r="F8" s="22" t="str">
        <x:v>Yes</x:v>
      </x:c>
      <x:c r="G8" s="22" t="str">
        <x:v>Inventory/parts locks</x:v>
      </x:c>
      <x:c r="H8" s="22" t="str">
        <x:v>request key</x:v>
      </x:c>
      <x:c r="I8" s="22" t="str">
        <x:v>module.dismantled</x:v>
      </x:c>
      <x:c r="J8" s="22" t="str">
        <x:v>Yes</x:v>
      </x:c>
      <x:c r="K8" s="22" t="str">
        <x:v>Double spend</x:v>
      </x:c>
      <x:c r="L8" s="22" t="str">
        <x:v>Full rollback</x:v>
      </x:c>
      <x:c r="M8" s="22" t="str">
        <x:v>Insufficient copies</x:v>
      </x:c>
      <x:c r="N8" s="22" t="str">
        <x:v>Retry</x:v>
      </x:c>
      <x:c r="O8" s="22" t="str">
        <x:v>P2</x:v>
      </x:c>
      <x:c r="P8" s="44" t="str"/>
    </x:row>
    <x:row r="9">
      <x:c r="A9" s="43" t="str">
        <x:v>Craft</x:v>
      </x:c>
      <x:c r="B9" s="22" t="n">
        <x:v>1</x:v>
      </x:c>
      <x:c r="C9" s="22" t="str">
        <x:v>Config+Mastery+Parts+Inventory</x:v>
      </x:c>
      <x:c r="D9" s="22" t="str">
        <x:v>all gates + balance</x:v>
      </x:c>
      <x:c r="E9" s="22" t="str">
        <x:v>parts -= cost; inventory +=1; ledgers</x:v>
      </x:c>
      <x:c r="F9" s="22" t="str">
        <x:v>Yes</x:v>
      </x:c>
      <x:c r="G9" s="22" t="str">
        <x:v>Parts/inventory locks</x:v>
      </x:c>
      <x:c r="H9" s="22" t="str">
        <x:v>request key</x:v>
      </x:c>
      <x:c r="I9" s="22" t="str">
        <x:v>module.crafted</x:v>
      </x:c>
      <x:c r="J9" s="22" t="str">
        <x:v>Yes</x:v>
      </x:c>
      <x:c r="K9" s="22" t="str">
        <x:v>Double craft</x:v>
      </x:c>
      <x:c r="L9" s="22" t="str">
        <x:v>Full rollback</x:v>
      </x:c>
      <x:c r="M9" s="22" t="str">
        <x:v>Locked/insufficient</x:v>
      </x:c>
      <x:c r="N9" s="22" t="str">
        <x:v>Retry</x:v>
      </x:c>
      <x:c r="O9" s="22" t="str">
        <x:v>P2</x:v>
      </x:c>
      <x:c r="P9" s="44" t="str"/>
    </x:row>
    <x:row r="10">
      <x:c r="A10" s="43" t="str">
        <x:v>Reward grant</x:v>
      </x:c>
      <x:c r="B10" s="22" t="n">
        <x:v>1</x:v>
      </x:c>
      <x:c r="C10" s="22" t="str">
        <x:v>Eligibility+reward table+source_event</x:v>
      </x:c>
      <x:c r="D10" s="22" t="str">
        <x:v>source valid,not processed</x:v>
      </x:c>
      <x:c r="E10" s="22" t="str">
        <x:v>reward ledger + inventory</x:v>
      </x:c>
      <x:c r="F10" s="22" t="str">
        <x:v>Yes</x:v>
      </x:c>
      <x:c r="G10" s="22" t="str">
        <x:v>Unique source_event constraint</x:v>
      </x:c>
      <x:c r="H10" s="22" t="str">
        <x:v>source_event id</x:v>
      </x:c>
      <x:c r="I10" s="22" t="str">
        <x:v>module.rewarded</x:v>
      </x:c>
      <x:c r="J10" s="22" t="str">
        <x:v>Yes</x:v>
      </x:c>
      <x:c r="K10" s="22" t="str">
        <x:v>Duplicate source</x:v>
      </x:c>
      <x:c r="L10" s="22" t="str">
        <x:v>Full rollback</x:v>
      </x:c>
      <x:c r="M10" s="22" t="str">
        <x:v>N/A</x:v>
      </x:c>
      <x:c r="N10" s="22" t="str">
        <x:v>Retry queue</x:v>
      </x:c>
      <x:c r="O10" s="22" t="str">
        <x:v>P1</x:v>
      </x:c>
      <x:c r="P10" s="44" t="str"/>
    </x:row>
    <x:row r="11">
      <x:c r="A11" s="45" t="str">
        <x:v>Effect resolve</x:v>
      </x:c>
      <x:c r="B11" s="46" t="n">
        <x:v>1</x:v>
      </x:c>
      <x:c r="C11" s="46" t="str">
        <x:v>Loadout+configs+context</x:v>
      </x:c>
      <x:c r="D11" s="46" t="str">
        <x:v>versions valid</x:v>
      </x:c>
      <x:c r="E11" s="46" t="str">
        <x:v>No authoritative state mutation; returns vector/trace</x:v>
      </x:c>
      <x:c r="F11" s="46" t="str">
        <x:v>N/A</x:v>
      </x:c>
      <x:c r="G11" s="46" t="str">
        <x:v>Version check</x:v>
      </x:c>
      <x:c r="H11" s="46" t="str">
        <x:v>tick/building key optional</x:v>
      </x:c>
      <x:c r="I11" s="46" t="str">
        <x:v>module.effect_resolved</x:v>
      </x:c>
      <x:c r="J11" s="46" t="str">
        <x:v>Yes</x:v>
      </x:c>
      <x:c r="K11" s="46" t="str">
        <x:v>Stale compute</x:v>
      </x:c>
      <x:c r="L11" s="46" t="str">
        <x:v>Discard stale result</x:v>
      </x:c>
      <x:c r="M11" s="46" t="str">
        <x:v>N/A</x:v>
      </x:c>
      <x:c r="N11" s="46" t="str">
        <x:v>Recompute</x:v>
      </x:c>
      <x:c r="O11" s="46" t="str">
        <x:v>P0</x:v>
      </x:c>
      <x:c r="P11" s="47" t="str"/>
    </x:row>
  </x:sheetData>
  <x:mergeCells>
    <x:mergeCell ref="A1:P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Module UI/UX Contract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22"/>
    </x:row>
    <x:row r="3">
      <x:c r="A3" s="14" t="str">
        <x:v>Surface</x:v>
      </x:c>
      <x:c r="B3" s="14" t="str">
        <x:v>Purpose</x:v>
      </x:c>
      <x:c r="C3" s="14" t="str">
        <x:v>Primary Data</x:v>
      </x:c>
      <x:c r="D3" s="14" t="str">
        <x:v>Primary CTA</x:v>
      </x:c>
      <x:c r="E3" s="14" t="str">
        <x:v>Secondary CTA</x:v>
      </x:c>
      <x:c r="F3" s="14" t="str">
        <x:v>Mobile Pattern</x:v>
      </x:c>
      <x:c r="G3" s="14" t="str">
        <x:v>Desktop Pattern</x:v>
      </x:c>
      <x:c r="H3" s="14" t="str">
        <x:v>Empty State</x:v>
      </x:c>
      <x:c r="I3" s="14" t="str">
        <x:v>Locked State</x:v>
      </x:c>
      <x:c r="J3" s="14" t="str">
        <x:v>Before/After Preview?</x:v>
      </x:c>
      <x:c r="K3" s="14" t="str">
        <x:v>Tradeoff Visible?</x:v>
      </x:c>
      <x:c r="L3" s="14" t="str">
        <x:v>Loading/Error</x:v>
      </x:c>
      <x:c r="M3" s="14" t="str">
        <x:v>Backend Read</x:v>
      </x:c>
      <x:c r="N3" s="14" t="str">
        <x:v>Mutation</x:v>
      </x:c>
      <x:c r="O3" s="14" t="str">
        <x:v>Analytics</x:v>
      </x:c>
      <x:c r="P3" s="14" t="str">
        <x:v>Priority</x:v>
      </x:c>
    </x:row>
    <x:row r="4">
      <x:c r="A4" s="40" t="str">
        <x:v>Building Detail — Modules</x:v>
      </x:c>
      <x:c r="B4" s="41" t="str">
        <x:v>Manage loadout</x:v>
      </x:c>
      <x:c r="C4" s="41" t="str">
        <x:v>Slots,equipped Modules,effective modifiers</x:v>
      </x:c>
      <x:c r="D4" s="41" t="str">
        <x:v>Equip/Change</x:v>
      </x:c>
      <x:c r="E4" s="41" t="str">
        <x:v>View Module</x:v>
      </x:c>
      <x:c r="F4" s="41" t="str">
        <x:v>Bottom-sheet tab</x:v>
      </x:c>
      <x:c r="G4" s="41" t="str">
        <x:v>Right inspector tab</x:v>
      </x:c>
      <x:c r="H4" s="41" t="str">
        <x:v>No Modules → source CTA</x:v>
      </x:c>
      <x:c r="I4" s="41" t="str">
        <x:v>Slot shows required building level</x:v>
      </x:c>
      <x:c r="J4" s="41" t="str">
        <x:v>Yes</x:v>
      </x:c>
      <x:c r="K4" s="41" t="str">
        <x:v>Always</x:v>
      </x:c>
      <x:c r="L4" s="41" t="str">
        <x:v>Version conflict refresh</x:v>
      </x:c>
      <x:c r="M4" s="41" t="str">
        <x:v>building modules</x:v>
      </x:c>
      <x:c r="N4" s="41" t="str">
        <x:v>equip/unequip</x:v>
      </x:c>
      <x:c r="O4" s="41" t="str">
        <x:v>building_modules_viewed</x:v>
      </x:c>
      <x:c r="P4" s="42" t="str">
        <x:v>P0</x:v>
      </x:c>
    </x:row>
    <x:row r="5">
      <x:c r="A5" s="43" t="str">
        <x:v>Module Inventory</x:v>
      </x:c>
      <x:c r="B5" s="22" t="str">
        <x:v>Browse owned copies</x:v>
      </x:c>
      <x:c r="C5" s="22" t="str">
        <x:v>Name,rarity,category,qty,equipped count,compatibility</x:v>
      </x:c>
      <x:c r="D5" s="22" t="str">
        <x:v>Equip</x:v>
      </x:c>
      <x:c r="E5" s="22" t="str">
        <x:v>Filter / Craft / Dismantle</x:v>
      </x:c>
      <x:c r="F5" s="22" t="str">
        <x:v>Full page/cards</x:v>
      </x:c>
      <x:c r="G5" s="22" t="str">
        <x:v>Grid/table</x:v>
      </x:c>
      <x:c r="H5" s="22" t="str">
        <x:v>No Modules → Mastery/Hunts</x:v>
      </x:c>
      <x:c r="I5" s="22" t="str">
        <x:v>Craft locked by gate</x:v>
      </x:c>
      <x:c r="J5" s="22" t="str">
        <x:v>N/A</x:v>
      </x:c>
      <x:c r="K5" s="22" t="str">
        <x:v>On detail</x:v>
      </x:c>
      <x:c r="L5" s="22" t="str">
        <x:v>Retry</x:v>
      </x:c>
      <x:c r="M5" s="22" t="str">
        <x:v>modules inventory</x:v>
      </x:c>
      <x:c r="N5" s="22" t="str">
        <x:v>dismantle/craft</x:v>
      </x:c>
      <x:c r="O5" s="22" t="str">
        <x:v>module_inventory_viewed</x:v>
      </x:c>
      <x:c r="P5" s="44" t="str">
        <x:v>P0</x:v>
      </x:c>
    </x:row>
    <x:row r="6">
      <x:c r="A6" s="43" t="str">
        <x:v>Module Detail</x:v>
      </x:c>
      <x:c r="B6" s="22" t="str">
        <x:v>Understand effect</x:v>
      </x:c>
      <x:c r="C6" s="22" t="str">
        <x:v>Effects,conditions,tradeoffs,compatible families,sources</x:v>
      </x:c>
      <x:c r="D6" s="22" t="str">
        <x:v>Equip to compatible</x:v>
      </x:c>
      <x:c r="E6" s="22" t="str">
        <x:v>Craft/Dismantle</x:v>
      </x:c>
      <x:c r="F6" s="22" t="str">
        <x:v>Sheet</x:v>
      </x:c>
      <x:c r="G6" s="22" t="str">
        <x:v>Panel</x:v>
      </x:c>
      <x:c r="H6" s="22" t="str">
        <x:v>Not owned → acquisition sources</x:v>
      </x:c>
      <x:c r="I6" s="22" t="str">
        <x:v>Gate explanation</x:v>
      </x:c>
      <x:c r="J6" s="22" t="str">
        <x:v>Yes if building selected</x:v>
      </x:c>
      <x:c r="K6" s="22" t="str">
        <x:v>Always</x:v>
      </x:c>
      <x:c r="L6" s="22" t="str">
        <x:v>Normal</x:v>
      </x:c>
      <x:c r="M6" s="22" t="str">
        <x:v>module config/inventory</x:v>
      </x:c>
      <x:c r="N6" s="22" t="str">
        <x:v>craft/dismantle/equip</x:v>
      </x:c>
      <x:c r="O6" s="22" t="str">
        <x:v>module_detail_opened</x:v>
      </x:c>
      <x:c r="P6" s="44" t="str">
        <x:v>P0</x:v>
      </x:c>
    </x:row>
    <x:row r="7">
      <x:c r="A7" s="43" t="str">
        <x:v>Equip Comparison</x:v>
      </x:c>
      <x:c r="B7" s="22" t="str">
        <x:v>Decision support</x:v>
      </x:c>
      <x:c r="C7" s="22" t="str">
        <x:v>Current slot vs candidate,raw/effective stats,caps</x:v>
      </x:c>
      <x:c r="D7" s="22" t="str">
        <x:v>Equip</x:v>
      </x:c>
      <x:c r="E7" s="22" t="str">
        <x:v>Cancel</x:v>
      </x:c>
      <x:c r="F7" s="22" t="str">
        <x:v>Bottom sheet</x:v>
      </x:c>
      <x:c r="G7" s="22" t="str">
        <x:v>Side-by-side panel</x:v>
      </x:c>
      <x:c r="H7" s="22" t="str">
        <x:v>No compatible Modules</x:v>
      </x:c>
      <x:c r="I7" s="22" t="str">
        <x:v>Event lock reason</x:v>
      </x:c>
      <x:c r="J7" s="22" t="str">
        <x:v>Yes</x:v>
      </x:c>
      <x:c r="K7" s="22" t="str">
        <x:v>Always</x:v>
      </x:c>
      <x:c r="L7" s="22" t="str">
        <x:v>409/423 handling</x:v>
      </x:c>
      <x:c r="M7" s="22" t="str">
        <x:v>loadout preview</x:v>
      </x:c>
      <x:c r="N7" s="22" t="str">
        <x:v>equip</x:v>
      </x:c>
      <x:c r="O7" s="22" t="str">
        <x:v>module_equip_previewed</x:v>
      </x:c>
      <x:c r="P7" s="44" t="str">
        <x:v>P0</x:v>
      </x:c>
    </x:row>
    <x:row r="8">
      <x:c r="A8" s="43" t="str">
        <x:v>Building Mastery</x:v>
      </x:c>
      <x:c r="B8" s="22" t="str">
        <x:v>Deterministic progress</x:v>
      </x:c>
      <x:c r="C8" s="22" t="str">
        <x:v>Tier,obj,progress,quality gate,reward choices</x:v>
      </x:c>
      <x:c r="D8" s="22" t="str">
        <x:v>Track / Claim</x:v>
      </x:c>
      <x:c r="E8" s="22" t="str">
        <x:v>View reward</x:v>
      </x:c>
      <x:c r="F8" s="22" t="str">
        <x:v>Building tab/page</x:v>
      </x:c>
      <x:c r="G8" s="22" t="str">
        <x:v>Panel</x:v>
      </x:c>
      <x:c r="H8" s="22" t="str">
        <x:v>Starts at Tier I</x:v>
      </x:c>
      <x:c r="I8" s="22" t="str">
        <x:v>Higher tier prerequisites</x:v>
      </x:c>
      <x:c r="J8" s="22" t="str">
        <x:v>N/A</x:v>
      </x:c>
      <x:c r="K8" s="22" t="str">
        <x:v>Yes</x:v>
      </x:c>
      <x:c r="L8" s="22" t="str">
        <x:v>Progress timestamp</x:v>
      </x:c>
      <x:c r="M8" s="22" t="str">
        <x:v>mastery</x:v>
      </x:c>
      <x:c r="N8" s="22" t="str">
        <x:v>claim</x:v>
      </x:c>
      <x:c r="O8" s="22" t="str">
        <x:v>mastery_viewed</x:v>
      </x:c>
      <x:c r="P8" s="44" t="str">
        <x:v>P1</x:v>
      </x:c>
    </x:row>
    <x:row r="9">
      <x:c r="A9" s="43" t="str">
        <x:v>Crafting</x:v>
      </x:c>
      <x:c r="B9" s="22" t="str">
        <x:v>Target exact Module</x:v>
      </x:c>
      <x:c r="C9" s="22" t="str">
        <x:v>Parts balances,eligible Modules,cost,gates</x:v>
      </x:c>
      <x:c r="D9" s="22" t="str">
        <x:v>Craft</x:v>
      </x:c>
      <x:c r="E9" s="22" t="str">
        <x:v>View sources</x:v>
      </x:c>
      <x:c r="F9" s="22" t="str">
        <x:v>Inventory subtab</x:v>
      </x:c>
      <x:c r="G9" s="22" t="str">
        <x:v>Panel</x:v>
      </x:c>
      <x:c r="H9" s="22" t="str">
        <x:v>No Parts</x:v>
      </x:c>
      <x:c r="I9" s="22" t="str">
        <x:v>Stage/mastery locked</x:v>
      </x:c>
      <x:c r="J9" s="22" t="str">
        <x:v>N/A</x:v>
      </x:c>
      <x:c r="K9" s="22" t="str">
        <x:v>Yes</x:v>
      </x:c>
      <x:c r="L9" s="22" t="str">
        <x:v>Atomic error</x:v>
      </x:c>
      <x:c r="M9" s="22" t="str">
        <x:v>parts+config</x:v>
      </x:c>
      <x:c r="N9" s="22" t="str">
        <x:v>craft</x:v>
      </x:c>
      <x:c r="O9" s="22" t="str">
        <x:v>module_craft_viewed</x:v>
      </x:c>
      <x:c r="P9" s="44" t="str">
        <x:v>P2</x:v>
      </x:c>
    </x:row>
    <x:row r="10">
      <x:c r="A10" s="43" t="str">
        <x:v>Module Discovery</x:v>
      </x:c>
      <x:c r="B10" s="22" t="str">
        <x:v>Reward reveal</x:v>
      </x:c>
      <x:c r="C10" s="22" t="str">
        <x:v>Module,rarity,effect,source,owned qty</x:v>
      </x:c>
      <x:c r="D10" s="22" t="str">
        <x:v>Add to Inventory</x:v>
      </x:c>
      <x:c r="E10" s="22" t="str">
        <x:v>Equip suggested building</x:v>
      </x:c>
      <x:c r="F10" s="22" t="str">
        <x:v>Full reveal</x:v>
      </x:c>
      <x:c r="G10" s="22" t="str">
        <x:v>Modal</x:v>
      </x:c>
      <x:c r="H10" s="22" t="str">
        <x:v>N/A</x:v>
      </x:c>
      <x:c r="I10" s="22" t="str">
        <x:v>N/A</x:v>
      </x:c>
      <x:c r="J10" s="22" t="str">
        <x:v>Optional</x:v>
      </x:c>
      <x:c r="K10" s="22" t="str">
        <x:v>Always</x:v>
      </x:c>
      <x:c r="L10" s="22" t="str">
        <x:v>Reward pending</x:v>
      </x:c>
      <x:c r="M10" s="22" t="str">
        <x:v>reward result</x:v>
      </x:c>
      <x:c r="N10" s="22" t="str">
        <x:v>mark viewed</x:v>
      </x:c>
      <x:c r="O10" s="22" t="str">
        <x:v>module_discovered</x:v>
      </x:c>
      <x:c r="P10" s="44" t="str">
        <x:v>P1</x:v>
      </x:c>
    </x:row>
    <x:row r="11">
      <x:c r="A11" s="45" t="str">
        <x:v>Hunts</x:v>
      </x:c>
      <x:c r="B11" s="46" t="str">
        <x:v>Show possible Module reward</x:v>
      </x:c>
      <x:c r="C11" s="46" t="str">
        <x:v>Module chance/family bias info</x:v>
      </x:c>
      <x:c r="D11" s="46" t="str">
        <x:v>Complete Hunt</x:v>
      </x:c>
      <x:c r="E11" s="46" t="str">
        <x:v>Odds info</x:v>
      </x:c>
      <x:c r="F11" s="46" t="str">
        <x:v>Existing card</x:v>
      </x:c>
      <x:c r="G11" s="46" t="str">
        <x:v>Existing</x:v>
      </x:c>
      <x:c r="H11" s="46" t="str">
        <x:v>No change</x:v>
      </x:c>
      <x:c r="I11" s="46" t="str">
        <x:v>Difficulty gate</x:v>
      </x:c>
      <x:c r="J11" s="46" t="str">
        <x:v>N/A</x:v>
      </x:c>
      <x:c r="K11" s="46" t="str">
        <x:v>N/A</x:v>
      </x:c>
      <x:c r="L11" s="46" t="str">
        <x:v>Existing reward state</x:v>
      </x:c>
      <x:c r="M11" s="46" t="str">
        <x:v>hunt config</x:v>
      </x:c>
      <x:c r="N11" s="46" t="str">
        <x:v>hunt action</x:v>
      </x:c>
      <x:c r="O11" s="46" t="str">
        <x:v>hunt_module_info</x:v>
      </x:c>
      <x:c r="P11" s="47" t="str">
        <x:v>P1</x:v>
      </x:c>
    </x:row>
    <x:row r="13" ht="22" customHeight="1">
      <x:c r="A13" s="11" t="str">
        <x:v>UI Non-Negotiables</x:v>
      </x:c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</x:row>
    <x:row r="14">
      <x:c r="A14" s="14" t="str">
        <x:v>Rule</x:v>
      </x:c>
      <x:c r="B14" s="14" t="str">
        <x:v>Specification</x:v>
      </x:c>
    </x:row>
    <x:row r="15">
      <x:c r="A15" s="40" t="str">
        <x:v>Tradeoffs before equip</x:v>
      </x:c>
      <x:c r="B15" s="42" t="str">
        <x:v>Any downside/condition is shown beside the positive effect before confirmation.</x:v>
      </x:c>
    </x:row>
    <x:row r="16">
      <x:c r="A16" s="43" t="str">
        <x:v>Effective value after caps</x:v>
      </x:c>
      <x:c r="B16" s="44" t="str">
        <x:v>Preview shows raw effect and effective contribution after diminishing returns/hard caps.</x:v>
      </x:c>
    </x:row>
    <x:row r="17">
      <x:c r="A17" s="43" t="str">
        <x:v>No guaranteed Cash language</x:v>
      </x:c>
      <x:c r="B17" s="44" t="str">
        <x:v>Describe parameter changes, not guaranteed earnings.</x:v>
      </x:c>
    </x:row>
    <x:row r="18">
      <x:c r="A18" s="43" t="str">
        <x:v>Timing</x:v>
      </x:c>
      <x:c r="B18" s="44" t="str">
        <x:v>Show that equip/unequip becomes effective on the next relevant simulation boundary.</x:v>
      </x:c>
    </x:row>
    <x:row r="19">
      <x:c r="A19" s="45" t="str">
        <x:v>Competitive disclosure</x:v>
      </x:c>
      <x:c r="B19" s="47" t="str">
        <x:v>Module rarity/count gives no direct Performance Score or $PLOT bonus.</x:v>
      </x:c>
    </x:row>
  </x:sheetData>
  <x:mergeCells>
    <x:mergeCell ref="A1:P1"/>
    <x:mergeCell ref="A13:P1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Analytics, LiveOps &amp; Meta Health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22"/>
    </x:row>
    <x:row r="3">
      <x:c r="A3" s="14" t="str">
        <x:v>Metric / Control</x:v>
      </x:c>
      <x:c r="B3" s="14" t="str">
        <x:v>Definition</x:v>
      </x:c>
      <x:c r="C3" s="14" t="str">
        <x:v>Segment</x:v>
      </x:c>
      <x:c r="D3" s="14" t="str">
        <x:v>Target / Guardrail</x:v>
      </x:c>
      <x:c r="E3" s="14" t="str">
        <x:v>Alert</x:v>
      </x:c>
      <x:c r="F3" s="14" t="str">
        <x:v>Frequency</x:v>
      </x:c>
      <x:c r="G3" s="14" t="str">
        <x:v>Dimension</x:v>
      </x:c>
      <x:c r="H3" s="14" t="str">
        <x:v>Why</x:v>
      </x:c>
      <x:c r="I3" s="14" t="str">
        <x:v>Action if High</x:v>
      </x:c>
      <x:c r="J3" s="14" t="str">
        <x:v>Action if Low</x:v>
      </x:c>
      <x:c r="K3" s="14" t="str">
        <x:v>Experimentable?</x:v>
      </x:c>
      <x:c r="L3" s="14" t="str">
        <x:v>Competitive Risk</x:v>
      </x:c>
      <x:c r="M3" s="14" t="str">
        <x:v>Economy Risk</x:v>
      </x:c>
      <x:c r="N3" s="14" t="str">
        <x:v>Owner</x:v>
      </x:c>
      <x:c r="O3" s="14" t="str">
        <x:v>Priority</x:v>
      </x:c>
      <x:c r="P3" s="14" t="str">
        <x:v>Notes</x:v>
      </x:c>
    </x:row>
    <x:row r="4">
      <x:c r="A4" s="40" t="str">
        <x:v>Module adoption</x:v>
      </x:c>
      <x:c r="B4" s="41" t="str">
        <x:v>% active players owning &gt;=1 Module</x:v>
      </x:c>
      <x:c r="C4" s="41" t="str">
        <x:v>Stage/cohort</x:v>
      </x:c>
      <x:c r="D4" s="41" t="str">
        <x:v>Healthy growth</x:v>
      </x:c>
      <x:c r="E4" s="41" t="str">
        <x:v>&lt;50% by first eligible week</x:v>
      </x:c>
      <x:c r="F4" s="41" t="str">
        <x:v>Daily</x:v>
      </x:c>
      <x:c r="G4" s="41" t="str">
        <x:v>Stage/source</x:v>
      </x:c>
      <x:c r="H4" s="41" t="str">
        <x:v>System discovery</x:v>
      </x:c>
      <x:c r="I4" s="41" t="str">
        <x:v>Improve onboarding/rewards</x:v>
      </x:c>
      <x:c r="J4" s="41" t="str">
        <x:v>N/A</x:v>
      </x:c>
      <x:c r="K4" s="41" t="str">
        <x:v>Yes</x:v>
      </x:c>
      <x:c r="L4" s="41" t="str">
        <x:v>Low</x:v>
      </x:c>
      <x:c r="M4" s="41" t="str">
        <x:v>Low</x:v>
      </x:c>
      <x:c r="N4" s="41" t="str">
        <x:v>Product</x:v>
      </x:c>
      <x:c r="O4" s="41" t="str">
        <x:v>P1</x:v>
      </x:c>
      <x:c r="P4" s="42" t="str"/>
    </x:row>
    <x:row r="5">
      <x:c r="A5" s="43" t="str">
        <x:v>Equip rate</x:v>
      </x:c>
      <x:c r="B5" s="22" t="str">
        <x:v>% owned Modules equipped at least once</x:v>
      </x:c>
      <x:c r="C5" s="22" t="str">
        <x:v>Rarity/category</x:v>
      </x:c>
      <x:c r="D5" s="22" t="str">
        <x:v>&gt;40% useful inventory</x:v>
      </x:c>
      <x:c r="E5" s="22" t="str">
        <x:v>&lt;25%</x:v>
      </x:c>
      <x:c r="F5" s="22" t="str">
        <x:v>Daily</x:v>
      </x:c>
      <x:c r="G5" s="22" t="str">
        <x:v>Module ID</x:v>
      </x:c>
      <x:c r="H5" s="22" t="str">
        <x:v>Detect junk Modules</x:v>
      </x:c>
      <x:c r="I5" s="22" t="str">
        <x:v>Buff/rework weak</x:v>
      </x:c>
      <x:c r="J5" s="22" t="str">
        <x:v>N/A</x:v>
      </x:c>
      <x:c r="K5" s="22" t="str">
        <x:v>Yes</x:v>
      </x:c>
      <x:c r="L5" s="22" t="str">
        <x:v>Medium</x:v>
      </x:c>
      <x:c r="M5" s="22" t="str">
        <x:v>Medium</x:v>
      </x:c>
      <x:c r="N5" s="22" t="str">
        <x:v>Design</x:v>
      </x:c>
      <x:c r="O5" s="22" t="str">
        <x:v>P1</x:v>
      </x:c>
      <x:c r="P5" s="44" t="str"/>
    </x:row>
    <x:row r="6">
      <x:c r="A6" s="43" t="str">
        <x:v>Top-Module concentration</x:v>
      </x:c>
      <x:c r="B6" s="22" t="str">
        <x:v>Share of compatible top players using same Module</x:v>
      </x:c>
      <x:c r="C6" s="22" t="str">
        <x:v>League/stage</x:v>
      </x:c>
      <x:c r="D6" s="22" t="str">
        <x:v>&lt;50%</x:v>
      </x:c>
      <x:c r="E6" s="22" t="str">
        <x:v> &gt;50%</x:v>
      </x:c>
      <x:c r="F6" s="22" t="str">
        <x:v>Weekly</x:v>
      </x:c>
      <x:c r="G6" s="22" t="str">
        <x:v>Module/family</x:v>
      </x:c>
      <x:c r="H6" s="22" t="str">
        <x:v>Detect mandatory best-in-slot</x:v>
      </x:c>
      <x:c r="I6" s="22" t="str">
        <x:v>Nerf/rework or strengthen alternatives</x:v>
      </x:c>
      <x:c r="J6" s="22" t="str">
        <x:v>N/A</x:v>
      </x:c>
      <x:c r="K6" s="22" t="str">
        <x:v>Yes</x:v>
      </x:c>
      <x:c r="L6" s="22" t="str">
        <x:v>Critical</x:v>
      </x:c>
      <x:c r="M6" s="22" t="str">
        <x:v>High</x:v>
      </x:c>
      <x:c r="N6" s="22" t="str">
        <x:v>Balance</x:v>
      </x:c>
      <x:c r="O6" s="22" t="str">
        <x:v>P1</x:v>
      </x:c>
      <x:c r="P6" s="44" t="str"/>
    </x:row>
    <x:row r="7">
      <x:c r="A7" s="43" t="str">
        <x:v>Mastery completion time</x:v>
      </x:c>
      <x:c r="B7" s="22" t="str">
        <x:v>Days to mastery tier</x:v>
      </x:c>
      <x:c r="C7" s="22" t="str">
        <x:v>Building family/stage</x:v>
      </x:c>
      <x:c r="D7" s="22" t="str">
        <x:v>Within stage pacing</x:v>
      </x:c>
      <x:c r="E7" s="22" t="str">
        <x:v>2× target</x:v>
      </x:c>
      <x:c r="F7" s="22" t="str">
        <x:v>Weekly</x:v>
      </x:c>
      <x:c r="G7" s="22" t="str">
        <x:v>Tier/family</x:v>
      </x:c>
      <x:c r="H7" s="22" t="str">
        <x:v>Deterministic progression</x:v>
      </x:c>
      <x:c r="I7" s="22" t="str">
        <x:v>Reduce targets</x:v>
      </x:c>
      <x:c r="J7" s="22" t="str">
        <x:v>Raise if trivial</x:v>
      </x:c>
      <x:c r="K7" s="22" t="str">
        <x:v>Yes</x:v>
      </x:c>
      <x:c r="L7" s="22" t="str">
        <x:v>Low</x:v>
      </x:c>
      <x:c r="M7" s="22" t="str">
        <x:v>Low</x:v>
      </x:c>
      <x:c r="N7" s="22" t="str">
        <x:v>Design</x:v>
      </x:c>
      <x:c r="O7" s="22" t="str">
        <x:v>P1</x:v>
      </x:c>
      <x:c r="P7" s="44" t="str"/>
    </x:row>
    <x:row r="8">
      <x:c r="A8" s="43" t="str">
        <x:v>Random vs deterministic acquisition</x:v>
      </x:c>
      <x:c r="B8" s="22" t="str">
        <x:v>% Modules from Hunts/Events vs Mastery/Craft</x:v>
      </x:c>
      <x:c r="C8" s="22" t="str">
        <x:v>Rarity</x:v>
      </x:c>
      <x:c r="D8" s="22" t="str">
        <x:v>RNG not dominant high tier</x:v>
      </x:c>
      <x:c r="E8" s="22" t="str">
        <x:v>Legendary RNG &gt;25%</x:v>
      </x:c>
      <x:c r="F8" s="22" t="str">
        <x:v>Weekly</x:v>
      </x:c>
      <x:c r="G8" s="22" t="str">
        <x:v>Rarity/source</x:v>
      </x:c>
      <x:c r="H8" s="22" t="str">
        <x:v>Avoid luck dominance</x:v>
      </x:c>
      <x:c r="I8" s="22" t="str">
        <x:v>Reduce drop / improve mastery</x:v>
      </x:c>
      <x:c r="J8" s="22" t="str">
        <x:v>N/A</x:v>
      </x:c>
      <x:c r="K8" s="22" t="str">
        <x:v>Yes</x:v>
      </x:c>
      <x:c r="L8" s="22" t="str">
        <x:v>High</x:v>
      </x:c>
      <x:c r="M8" s="22" t="str">
        <x:v>Low</x:v>
      </x:c>
      <x:c r="N8" s="22" t="str">
        <x:v>LiveOps</x:v>
      </x:c>
      <x:c r="O8" s="22" t="str">
        <x:v>P2</x:v>
      </x:c>
      <x:c r="P8" s="44" t="str"/>
    </x:row>
    <x:row r="9">
      <x:c r="A9" s="43" t="str">
        <x:v>Duplicate dismantle rate</x:v>
      </x:c>
      <x:c r="B9" s="22" t="str">
        <x:v>% duplicate copies dismantled</x:v>
      </x:c>
      <x:c r="C9" s="22" t="str">
        <x:v>Rarity</x:v>
      </x:c>
      <x:c r="D9" s="22" t="str">
        <x:v>Meaningful but not forced</x:v>
      </x:c>
      <x:c r="E9" s="22" t="str">
        <x:v>&gt;80% immediate</x:v>
      </x:c>
      <x:c r="F9" s="22" t="str">
        <x:v>Weekly</x:v>
      </x:c>
      <x:c r="G9" s="22" t="str">
        <x:v>Module ID</x:v>
      </x:c>
      <x:c r="H9" s="22" t="str">
        <x:v>Detect unwanted Modules</x:v>
      </x:c>
      <x:c r="I9" s="22" t="str">
        <x:v>Rework weak Modules</x:v>
      </x:c>
      <x:c r="J9" s="22" t="str">
        <x:v>N/A</x:v>
      </x:c>
      <x:c r="K9" s="22" t="str">
        <x:v>Yes</x:v>
      </x:c>
      <x:c r="L9" s="22" t="str">
        <x:v>Low</x:v>
      </x:c>
      <x:c r="M9" s="22" t="str">
        <x:v>Low</x:v>
      </x:c>
      <x:c r="N9" s="22" t="str">
        <x:v>Design</x:v>
      </x:c>
      <x:c r="O9" s="22" t="str">
        <x:v>P2</x:v>
      </x:c>
      <x:c r="P9" s="44" t="str"/>
    </x:row>
    <x:row r="10">
      <x:c r="A10" s="43" t="str">
        <x:v>Craft source share</x:v>
      </x:c>
      <x:c r="B10" s="22" t="str">
        <x:v>% high-tier Modules crafted</x:v>
      </x:c>
      <x:c r="C10" s="22" t="str">
        <x:v>Rarity</x:v>
      </x:c>
      <x:c r="D10" s="22" t="str">
        <x:v>Useful agency</x:v>
      </x:c>
      <x:c r="E10" s="22" t="str">
        <x:v> &gt;35% high-tier or &lt;10% after maturity</x:v>
      </x:c>
      <x:c r="F10" s="22" t="str">
        <x:v>Weekly</x:v>
      </x:c>
      <x:c r="G10" s="22" t="str">
        <x:v>Rarity</x:v>
      </x:c>
      <x:c r="H10" s="22" t="str">
        <x:v>Craft balance</x:v>
      </x:c>
      <x:c r="I10" s="22" t="str">
        <x:v>Raise cost</x:v>
      </x:c>
      <x:c r="J10" s="22" t="str">
        <x:v>Lower cost</x:v>
      </x:c>
      <x:c r="K10" s="22" t="str">
        <x:v>Yes</x:v>
      </x:c>
      <x:c r="L10" s="22" t="str">
        <x:v>Medium</x:v>
      </x:c>
      <x:c r="M10" s="22" t="str">
        <x:v>Low</x:v>
      </x:c>
      <x:c r="N10" s="22" t="str">
        <x:v>Economy</x:v>
      </x:c>
      <x:c r="O10" s="22" t="str">
        <x:v>P2</x:v>
      </x:c>
      <x:c r="P10" s="44" t="str"/>
    </x:row>
    <x:row r="11">
      <x:c r="A11" s="43" t="str">
        <x:v>Runtime effect failure</x:v>
      </x:c>
      <x:c r="B11" s="22" t="str">
        <x:v>Invalid config/context resolutions</x:v>
      </x:c>
      <x:c r="C11" s="22" t="str">
        <x:v>Service</x:v>
      </x:c>
      <x:c r="D11" s="22" t="str">
        <x:v>~0</x:v>
      </x:c>
      <x:c r="E11" s="22" t="str">
        <x:v>Any sustained &gt;0.1%</x:v>
      </x:c>
      <x:c r="F11" s="22" t="str">
        <x:v>Hourly</x:v>
      </x:c>
      <x:c r="G11" s="22" t="str">
        <x:v>Module/config version</x:v>
      </x:c>
      <x:c r="H11" s="22" t="str">
        <x:v>Reliability</x:v>
      </x:c>
      <x:c r="I11" s="22" t="str">
        <x:v>Rollback config</x:v>
      </x:c>
      <x:c r="J11" s="22" t="str">
        <x:v>Fix resolver</x:v>
      </x:c>
      <x:c r="K11" s="22" t="str">
        <x:v>No</x:v>
      </x:c>
      <x:c r="L11" s="22" t="str">
        <x:v>Critical</x:v>
      </x:c>
      <x:c r="M11" s="22" t="str">
        <x:v>High</x:v>
      </x:c>
      <x:c r="N11" s="22" t="str">
        <x:v>Backend</x:v>
      </x:c>
      <x:c r="O11" s="22" t="str">
        <x:v>P0</x:v>
      </x:c>
      <x:c r="P11" s="44" t="str"/>
    </x:row>
    <x:row r="12">
      <x:c r="A12" s="43" t="str">
        <x:v>Loadout version conflicts</x:v>
      </x:c>
      <x:c r="B12" s="22" t="str">
        <x:v>409 equip/unequip conflicts</x:v>
      </x:c>
      <x:c r="C12" s="22" t="str">
        <x:v>Platform</x:v>
      </x:c>
      <x:c r="D12" s="22" t="str">
        <x:v>Low</x:v>
      </x:c>
      <x:c r="E12" s="22" t="str">
        <x:v> &gt;2% mutations</x:v>
      </x:c>
      <x:c r="F12" s="22" t="str">
        <x:v>Daily</x:v>
      </x:c>
      <x:c r="G12" s="22" t="str">
        <x:v>Client/version</x:v>
      </x:c>
      <x:c r="H12" s="22" t="str">
        <x:v>Concurrency UX</x:v>
      </x:c>
      <x:c r="I12" s="22" t="str">
        <x:v>Improve refresh/optimistic UX</x:v>
      </x:c>
      <x:c r="J12" s="22" t="str">
        <x:v>N/A</x:v>
      </x:c>
      <x:c r="K12" s="22" t="str">
        <x:v>No</x:v>
      </x:c>
      <x:c r="L12" s="22" t="str">
        <x:v>Low</x:v>
      </x:c>
      <x:c r="M12" s="22" t="str">
        <x:v>Low</x:v>
      </x:c>
      <x:c r="N12" s="22" t="str">
        <x:v>Backend</x:v>
      </x:c>
      <x:c r="O12" s="22" t="str">
        <x:v>P0</x:v>
      </x:c>
      <x:c r="P12" s="44" t="str"/>
    </x:row>
    <x:row r="13">
      <x:c r="A13" s="45" t="str">
        <x:v>Offline Module exploit</x:v>
      </x:c>
      <x:c r="B13" s="46" t="str">
        <x:v>Share of Module benefit during AFK/offline that violates spec</x:v>
      </x:c>
      <x:c r="C13" s="46" t="str">
        <x:v>Presence</x:v>
      </x:c>
      <x:c r="D13" s="46" t="str">
        <x:v>0 direct score/offline extension</x:v>
      </x:c>
      <x:c r="E13" s="46" t="str">
        <x:v>Any</x:v>
      </x:c>
      <x:c r="F13" s="46" t="str">
        <x:v>Daily</x:v>
      </x:c>
      <x:c r="G13" s="46" t="str">
        <x:v>Module/effect</x:v>
      </x:c>
      <x:c r="H13" s="46" t="str">
        <x:v>Prevent idle meta</x:v>
      </x:c>
      <x:c r="I13" s="46" t="str">
        <x:v>Disable config</x:v>
      </x:c>
      <x:c r="J13" s="46" t="str">
        <x:v>N/A</x:v>
      </x:c>
      <x:c r="K13" s="46" t="str">
        <x:v>No</x:v>
      </x:c>
      <x:c r="L13" s="46" t="str">
        <x:v>Critical</x:v>
      </x:c>
      <x:c r="M13" s="46" t="str">
        <x:v>Medium</x:v>
      </x:c>
      <x:c r="N13" s="46" t="str">
        <x:v>Integrity</x:v>
      </x:c>
      <x:c r="O13" s="46" t="str">
        <x:v>P0</x:v>
      </x:c>
      <x:c r="P13" s="47" t="str"/>
    </x:row>
    <x:row r="15" ht="22" customHeight="1">
      <x:c r="A15" s="11" t="str">
        <x:v>LiveOps Controls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</x:row>
    <x:row r="16">
      <x:c r="A16" s="14" t="str">
        <x:v>Control</x:v>
      </x:c>
      <x:c r="B16" s="14" t="str">
        <x:v>Default</x:v>
      </x:c>
      <x:c r="C16" s="14" t="str">
        <x:v>Safe Range</x:v>
      </x:c>
      <x:c r="D16" s="14" t="str">
        <x:v>Change Cadence</x:v>
      </x:c>
      <x:c r="E16" s="14" t="str">
        <x:v>Requires Config Version?</x:v>
      </x:c>
      <x:c r="F16" s="14" t="str">
        <x:v>Mid-Epoch Safe?</x:v>
      </x:c>
      <x:c r="G16" s="14" t="str">
        <x:v>Owner</x:v>
      </x:c>
      <x:c r="H16" s="14" t="str">
        <x:v>Notes</x:v>
      </x:c>
    </x:row>
    <x:row r="17">
      <x:c r="A17" s="40" t="str">
        <x:v>Effect caps</x:v>
      </x:c>
      <x:c r="B17" s="41" t="str">
        <x:v>Acq25%, Ret15%, Cap20%, Activity15%, Opex12%, Risk-15pts, Event20%</x:v>
      </x:c>
      <x:c r="C17" s="41" t="str">
        <x:v>Small +/-2–5 points</x:v>
      </x:c>
      <x:c r="D17" s="41" t="str">
        <x:v>Seasonal</x:v>
      </x:c>
      <x:c r="E17" s="41" t="str">
        <x:v>Yes</x:v>
      </x:c>
      <x:c r="F17" s="41" t="str">
        <x:v>Prefer no</x:v>
      </x:c>
      <x:c r="G17" s="41" t="str">
        <x:v>Balance</x:v>
      </x:c>
      <x:c r="H17" s="42" t="str"/>
    </x:row>
    <x:row r="18">
      <x:c r="A18" s="43" t="str">
        <x:v>Diminishing returns</x:v>
      </x:c>
      <x:c r="B18" s="22" t="str">
        <x:v>100/60/30/0</x:v>
      </x:c>
      <x:c r="C18" s="22" t="str">
        <x:v>100/50–70/20–40/0</x:v>
      </x:c>
      <x:c r="D18" s="22" t="str">
        <x:v>Seasonal</x:v>
      </x:c>
      <x:c r="E18" s="22" t="str">
        <x:v>Yes</x:v>
      </x:c>
      <x:c r="F18" s="22" t="str">
        <x:v>Prefer no</x:v>
      </x:c>
      <x:c r="G18" s="22" t="str">
        <x:v>Balance</x:v>
      </x:c>
      <x:c r="H18" s="44" t="str"/>
    </x:row>
    <x:row r="19">
      <x:c r="A19" s="43" t="str">
        <x:v>Hunt Module roll chance</x:v>
      </x:c>
      <x:c r="B19" s="22" t="str">
        <x:v>5/10/18/28/45%</x:v>
      </x:c>
      <x:c r="C19" s="22" t="str">
        <x:v>Small +/-2–5 pts</x:v>
      </x:c>
      <x:c r="D19" s="22" t="str">
        <x:v>Monthly</x:v>
      </x:c>
      <x:c r="E19" s="22" t="str">
        <x:v>Yes</x:v>
      </x:c>
      <x:c r="F19" s="22" t="str">
        <x:v>Yes prospective</x:v>
      </x:c>
      <x:c r="G19" s="22" t="str">
        <x:v>LiveOps</x:v>
      </x:c>
      <x:c r="H19" s="44" t="str"/>
    </x:row>
    <x:row r="20">
      <x:c r="A20" s="43" t="str">
        <x:v>Cash pack weekly cap</x:v>
      </x:c>
      <x:c r="B20" s="22" t="str">
        <x:v>3</x:v>
      </x:c>
      <x:c r="C20" s="22" t="str">
        <x:v>0–4</x:v>
      </x:c>
      <x:c r="D20" s="22" t="str">
        <x:v>Monthly</x:v>
      </x:c>
      <x:c r="E20" s="22" t="str">
        <x:v>Yes</x:v>
      </x:c>
      <x:c r="F20" s="22" t="str">
        <x:v>Yes at reset</x:v>
      </x:c>
      <x:c r="G20" s="22" t="str">
        <x:v>Economy</x:v>
      </x:c>
      <x:c r="H20" s="44" t="str">
        <x:v>Rare ceiling remains</x:v>
      </x:c>
    </x:row>
    <x:row r="21">
      <x:c r="A21" s="43" t="str">
        <x:v>Craft duplicate equivalence</x:v>
      </x:c>
      <x:c r="B21" s="22" t="str">
        <x:v>5</x:v>
      </x:c>
      <x:c r="C21" s="22" t="str">
        <x:v>4–7</x:v>
      </x:c>
      <x:c r="D21" s="22" t="str">
        <x:v>Monthly</x:v>
      </x:c>
      <x:c r="E21" s="22" t="str">
        <x:v>Yes</x:v>
      </x:c>
      <x:c r="F21" s="22" t="str">
        <x:v>Prospective recipe version</x:v>
      </x:c>
      <x:c r="G21" s="22" t="str">
        <x:v>Economy</x:v>
      </x:c>
      <x:c r="H21" s="44" t="str"/>
    </x:row>
    <x:row r="22">
      <x:c r="A22" s="45" t="str">
        <x:v>Legendary RNG share guardrail</x:v>
      </x:c>
      <x:c r="B22" s="46" t="str">
        <x:v>&lt;25% acquisition</x:v>
      </x:c>
      <x:c r="C22" s="46" t="str">
        <x:v>10–25%</x:v>
      </x:c>
      <x:c r="D22" s="46" t="str">
        <x:v>Seasonal</x:v>
      </x:c>
      <x:c r="E22" s="46" t="str">
        <x:v>Yes</x:v>
      </x:c>
      <x:c r="F22" s="46" t="str">
        <x:v>Yes prospective</x:v>
      </x:c>
      <x:c r="G22" s="46" t="str">
        <x:v>LiveOps</x:v>
      </x:c>
      <x:c r="H22" s="47" t="str">
        <x:v>Mastery/craft remain deterministic path</x:v>
      </x:c>
    </x:row>
  </x:sheetData>
  <x:mergeCells>
    <x:mergeCell ref="A1:P1"/>
    <x:mergeCell ref="A15:P15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QA / Acceptance Test Matrix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84"/>
    </x:row>
    <x:row r="3">
      <x:c r="A3" s="14" t="str">
        <x:v>Test ID</x:v>
      </x:c>
      <x:c r="B3" s="14" t="str">
        <x:v>Area</x:v>
      </x:c>
      <x:c r="C3" s="14" t="str">
        <x:v>Scenario</x:v>
      </x:c>
      <x:c r="D3" s="14" t="str">
        <x:v>Setup</x:v>
      </x:c>
      <x:c r="E3" s="14" t="str">
        <x:v>Action</x:v>
      </x:c>
      <x:c r="F3" s="14" t="str">
        <x:v>Expected Result</x:v>
      </x:c>
      <x:c r="G3" s="14" t="str">
        <x:v>Persistence Check</x:v>
      </x:c>
      <x:c r="H3" s="14" t="str">
        <x:v>Ledger Check</x:v>
      </x:c>
      <x:c r="I3" s="14" t="str">
        <x:v>Concurrency Check</x:v>
      </x:c>
      <x:c r="J3" s="14" t="str">
        <x:v>Performance Check</x:v>
      </x:c>
      <x:c r="K3" s="14" t="str">
        <x:v>Risk Check</x:v>
      </x:c>
      <x:c r="L3" s="14" t="str">
        <x:v>UI Check</x:v>
      </x:c>
      <x:c r="M3" s="14" t="str">
        <x:v>Failure Injection</x:v>
      </x:c>
      <x:c r="N3" s="14" t="str">
        <x:v>Severity</x:v>
      </x:c>
      <x:c r="O3" s="14" t="str">
        <x:v>Automation?</x:v>
      </x:c>
      <x:c r="P3" s="14" t="str">
        <x:v>Priority</x:v>
      </x:c>
      <x:c r="Q3" s="14" t="str">
        <x:v>Status</x:v>
      </x:c>
    </x:row>
    <x:row r="4">
      <x:c r="A4" s="40" t="str">
        <x:v>T001</x:v>
      </x:c>
      <x:c r="B4" s="41" t="str">
        <x:v>Inventory</x:v>
      </x:c>
      <x:c r="C4" s="41" t="str">
        <x:v>Grant first Module</x:v>
      </x:c>
      <x:c r="D4" s="41" t="str">
        <x:v>No prior copy</x:v>
      </x:c>
      <x:c r="E4" s="41" t="str">
        <x:v>Process reward once</x:v>
      </x:c>
      <x:c r="F4" s="41" t="str">
        <x:v>owned=1,equipped=0</x:v>
      </x:c>
      <x:c r="G4" s="41" t="str">
        <x:v>Reload persists</x:v>
      </x:c>
      <x:c r="H4" s="41" t="str">
        <x:v>reward ledger once</x:v>
      </x:c>
      <x:c r="I4" s="41" t="str">
        <x:v>N/A</x:v>
      </x:c>
      <x:c r="J4" s="41" t="str">
        <x:v>No direct score</x:v>
      </x:c>
      <x:c r="K4" s="41" t="str">
        <x:v>N/A</x:v>
      </x:c>
      <x:c r="L4" s="41" t="str">
        <x:v>Shows x1</x:v>
      </x:c>
      <x:c r="M4" s="41" t="str">
        <x:v>Retry same source_event</x:v>
      </x:c>
      <x:c r="N4" s="41" t="str">
        <x:v>Critical</x:v>
      </x:c>
      <x:c r="O4" s="41" t="str">
        <x:v>Yes</x:v>
      </x:c>
      <x:c r="P4" s="41" t="str">
        <x:v>P0</x:v>
      </x:c>
      <x:c r="Q4" s="42" t="str">
        <x:v>Planned</x:v>
      </x:c>
    </x:row>
    <x:row r="5">
      <x:c r="A5" s="43" t="str">
        <x:v>T002</x:v>
      </x:c>
      <x:c r="B5" s="22" t="str">
        <x:v>Inventory</x:v>
      </x:c>
      <x:c r="C5" s="22" t="str">
        <x:v>Duplicate grant retry</x:v>
      </x:c>
      <x:c r="D5" s="22" t="str">
        <x:v>owned=1</x:v>
      </x:c>
      <x:c r="E5" s="22" t="str">
        <x:v>Retry same source_event</x:v>
      </x:c>
      <x:c r="F5" s="22" t="str">
        <x:v>Still owned=1</x:v>
      </x:c>
      <x:c r="G5" s="22" t="str">
        <x:v>Stable</x:v>
      </x:c>
      <x:c r="H5" s="22" t="str">
        <x:v>No second ledger</x:v>
      </x:c>
      <x:c r="I5" s="22" t="str">
        <x:v>Unique constraint</x:v>
      </x:c>
      <x:c r="J5" s="22" t="str">
        <x:v>No change</x:v>
      </x:c>
      <x:c r="K5" s="22" t="str">
        <x:v>N/A</x:v>
      </x:c>
      <x:c r="L5" s="22" t="str">
        <x:v>No duplicate toast</x:v>
      </x:c>
      <x:c r="M5" s="22" t="str">
        <x:v>Network retry</x:v>
      </x:c>
      <x:c r="N5" s="22" t="str">
        <x:v>Critical</x:v>
      </x:c>
      <x:c r="O5" s="22" t="str">
        <x:v>Yes</x:v>
      </x:c>
      <x:c r="P5" s="22" t="str">
        <x:v>P0</x:v>
      </x:c>
      <x:c r="Q5" s="44" t="str">
        <x:v>Planned</x:v>
      </x:c>
    </x:row>
    <x:row r="6">
      <x:c r="A6" s="43" t="str">
        <x:v>T003</x:v>
      </x:c>
      <x:c r="B6" s="22" t="str">
        <x:v>Equip</x:v>
      </x:c>
      <x:c r="C6" s="22" t="str">
        <x:v>Valid equip</x:v>
      </x:c>
      <x:c r="D6" s="22" t="str">
        <x:v>1 available compatible Module + unlocked slot</x:v>
      </x:c>
      <x:c r="E6" s="22" t="str">
        <x:v>Equip</x:v>
      </x:c>
      <x:c r="F6" s="22" t="str">
        <x:v>slot set,equipped=1,owned unchanged</x:v>
      </x:c>
      <x:c r="G6" s="22" t="str">
        <x:v>Reload persists</x:v>
      </x:c>
      <x:c r="H6" s="22" t="str">
        <x:v>audit event</x:v>
      </x:c>
      <x:c r="I6" s="22" t="str">
        <x:v>Two concurrent equip requests: one wins</x:v>
      </x:c>
      <x:c r="J6" s="22" t="str">
        <x:v>No direct score</x:v>
      </x:c>
      <x:c r="K6" s="22" t="str">
        <x:v>Effect pending until boundary</x:v>
      </x:c>
      <x:c r="L6" s="22" t="str">
        <x:v>Preview matches</x:v>
      </x:c>
      <x:c r="M6" s="22" t="str">
        <x:v>Inject 409</x:v>
      </x:c>
      <x:c r="N6" s="22" t="str">
        <x:v>Critical</x:v>
      </x:c>
      <x:c r="O6" s="22" t="str">
        <x:v>Yes</x:v>
      </x:c>
      <x:c r="P6" s="22" t="str">
        <x:v>P0</x:v>
      </x:c>
      <x:c r="Q6" s="44" t="str">
        <x:v>Planned</x:v>
      </x:c>
    </x:row>
    <x:row r="7">
      <x:c r="A7" s="43" t="str">
        <x:v>T004</x:v>
      </x:c>
      <x:c r="B7" s="22" t="str">
        <x:v>Equip</x:v>
      </x:c>
      <x:c r="C7" s="22" t="str">
        <x:v>Incompatible family</x:v>
      </x:c>
      <x:c r="D7" s="22" t="str">
        <x:v>Banking-only Module + Trading building</x:v>
      </x:c>
      <x:c r="E7" s="22" t="str">
        <x:v>Equip</x:v>
      </x:c>
      <x:c r="F7" s="22" t="str">
        <x:v>Reject MODULE_INCOMPATIBLE</x:v>
      </x:c>
      <x:c r="G7" s="22" t="str">
        <x:v>No state change</x:v>
      </x:c>
      <x:c r="H7" s="22" t="str">
        <x:v>No mutation ledger</x:v>
      </x:c>
      <x:c r="I7" s="22" t="str">
        <x:v>N/A</x:v>
      </x:c>
      <x:c r="J7" s="22" t="str">
        <x:v>No score</x:v>
      </x:c>
      <x:c r="K7" s="22" t="str">
        <x:v>No risk</x:v>
      </x:c>
      <x:c r="L7" s="22" t="str">
        <x:v>Error message</x:v>
      </x:c>
      <x:c r="M7" s="22" t="str">
        <x:v>N/A</x:v>
      </x:c>
      <x:c r="N7" s="22" t="str">
        <x:v>High</x:v>
      </x:c>
      <x:c r="O7" s="22" t="str">
        <x:v>Yes</x:v>
      </x:c>
      <x:c r="P7" s="22" t="str">
        <x:v>P0</x:v>
      </x:c>
      <x:c r="Q7" s="44" t="str">
        <x:v>Planned</x:v>
      </x:c>
    </x:row>
    <x:row r="8">
      <x:c r="A8" s="43" t="str">
        <x:v>T005</x:v>
      </x:c>
      <x:c r="B8" s="22" t="str">
        <x:v>Equip</x:v>
      </x:c>
      <x:c r="C8" s="22" t="str">
        <x:v>Duplicate same Module</x:v>
      </x:c>
      <x:c r="D8" s="22" t="str">
        <x:v>2 copies + 2 slots same building</x:v>
      </x:c>
      <x:c r="E8" s="22" t="str">
        <x:v>Equip second same ID</x:v>
      </x:c>
      <x:c r="F8" s="22" t="str">
        <x:v>Reject DUPLICATE_MODULE</x:v>
      </x:c>
      <x:c r="G8" s="22" t="str">
        <x:v>No change</x:v>
      </x:c>
      <x:c r="H8" s="22" t="str">
        <x:v>Audit reject optional</x:v>
      </x:c>
      <x:c r="I8" s="22" t="str">
        <x:v>N/A</x:v>
      </x:c>
      <x:c r="J8" s="22" t="str">
        <x:v>No score</x:v>
      </x:c>
      <x:c r="K8" s="22" t="str">
        <x:v>N/A</x:v>
      </x:c>
      <x:c r="L8" s="22" t="str">
        <x:v>Explained</x:v>
      </x:c>
      <x:c r="M8" s="22" t="str">
        <x:v>N/A</x:v>
      </x:c>
      <x:c r="N8" s="22" t="str">
        <x:v>High</x:v>
      </x:c>
      <x:c r="O8" s="22" t="str">
        <x:v>Yes</x:v>
      </x:c>
      <x:c r="P8" s="22" t="str">
        <x:v>P0</x:v>
      </x:c>
      <x:c r="Q8" s="44" t="str">
        <x:v>Planned</x:v>
      </x:c>
    </x:row>
    <x:row r="9">
      <x:c r="A9" s="43" t="str">
        <x:v>T006</x:v>
      </x:c>
      <x:c r="B9" s="22" t="str">
        <x:v>Runtime</x:v>
      </x:c>
      <x:c r="C9" s="22" t="str">
        <x:v>Acquisition Module</x:v>
      </x:c>
      <x:c r="D9" s="22" t="str">
        <x:v>Customer Signage equipped</x:v>
      </x:c>
      <x:c r="E9" s="22" t="str">
        <x:v>Run customer refresh</x:v>
      </x:c>
      <x:c r="F9" s="22" t="str">
        <x:v>Acquisition modifier +4% before caps</x:v>
      </x:c>
      <x:c r="G9" s="22" t="str">
        <x:v>State persists normally</x:v>
      </x:c>
      <x:c r="H9" s="22" t="str">
        <x:v>Customer delta tagged</x:v>
      </x:c>
      <x:c r="I9" s="22" t="str">
        <x:v>N/A</x:v>
      </x:c>
      <x:c r="J9" s="22" t="str">
        <x:v>Only resulting customer metrics count</x:v>
      </x:c>
      <x:c r="K9" s="22" t="str">
        <x:v>N/A</x:v>
      </x:c>
      <x:c r="L9" s="22" t="str">
        <x:v>Effective preview equals resolver</x:v>
      </x:c>
      <x:c r="M9" s="22" t="str">
        <x:v>Replay same bucket</x:v>
      </x:c>
      <x:c r="N9" s="22" t="str">
        <x:v>Critical</x:v>
      </x:c>
      <x:c r="O9" s="22" t="str">
        <x:v>Yes</x:v>
      </x:c>
      <x:c r="P9" s="22" t="str">
        <x:v>P0</x:v>
      </x:c>
      <x:c r="Q9" s="44" t="str">
        <x:v>Planned</x:v>
      </x:c>
    </x:row>
    <x:row r="10">
      <x:c r="A10" s="43" t="str">
        <x:v>T007</x:v>
      </x:c>
      <x:c r="B10" s="22" t="str">
        <x:v>Runtime</x:v>
      </x:c>
      <x:c r="C10" s="22" t="str">
        <x:v>Tradeoff Module</x:v>
      </x:c>
      <x:c r="D10" s="22" t="str">
        <x:v>Growth Underwriting equipped</x:v>
      </x:c>
      <x:c r="E10" s="22" t="str">
        <x:v>Run economy+risk</x:v>
      </x:c>
      <x:c r="F10" s="22" t="str">
        <x:v>Activity up; Credit Risk +6</x:v>
      </x:c>
      <x:c r="G10" s="22" t="str">
        <x:v>Snapshots correct</x:v>
      </x:c>
      <x:c r="H10" s="22" t="str">
        <x:v>Ledgers reflect outcomes</x:v>
      </x:c>
      <x:c r="I10" s="22" t="str">
        <x:v>N/A</x:v>
      </x:c>
      <x:c r="J10" s="22" t="str">
        <x:v>No direct Module score</x:v>
      </x:c>
      <x:c r="K10" s="22" t="str">
        <x:v>Risk +6</x:v>
      </x:c>
      <x:c r="L10" s="22" t="str">
        <x:v>Tradeoff visible</x:v>
      </x:c>
      <x:c r="M10" s="22" t="str">
        <x:v>N/A</x:v>
      </x:c>
      <x:c r="N10" s="22" t="str">
        <x:v>Critical</x:v>
      </x:c>
      <x:c r="O10" s="22" t="str">
        <x:v>Yes</x:v>
      </x:c>
      <x:c r="P10" s="22" t="str">
        <x:v>P0</x:v>
      </x:c>
      <x:c r="Q10" s="44" t="str">
        <x:v>Planned</x:v>
      </x:c>
    </x:row>
    <x:row r="11">
      <x:c r="A11" s="43" t="str">
        <x:v>T008</x:v>
      </x:c>
      <x:c r="B11" s="22" t="str">
        <x:v>Stacking</x:v>
      </x:c>
      <x:c r="C11" s="22" t="str">
        <x:v>3 same-group effects</x:v>
      </x:c>
      <x:c r="D11" s="22" t="str">
        <x:v>Equip 3 distinct acquisition Modules</x:v>
      </x:c>
      <x:c r="E11" s="22" t="str">
        <x:v>Resolve</x:v>
      </x:c>
      <x:c r="F11" s="22" t="str">
        <x:v>100/60/30 weighting then cap</x:v>
      </x:c>
      <x:c r="G11" s="22" t="str">
        <x:v>N/A</x:v>
      </x:c>
      <x:c r="H11" s="22" t="str">
        <x:v>Trace stores contributions</x:v>
      </x:c>
      <x:c r="I11" s="22" t="str">
        <x:v>N/A</x:v>
      </x:c>
      <x:c r="J11" s="22" t="str">
        <x:v>No direct score</x:v>
      </x:c>
      <x:c r="K11" s="22" t="str">
        <x:v>N/A</x:v>
      </x:c>
      <x:c r="L11" s="22" t="str">
        <x:v>Raw vs effective shown</x:v>
      </x:c>
      <x:c r="M11" s="22" t="str">
        <x:v>N/A</x:v>
      </x:c>
      <x:c r="N11" s="22" t="str">
        <x:v>High</x:v>
      </x:c>
      <x:c r="O11" s="22" t="str">
        <x:v>Yes</x:v>
      </x:c>
      <x:c r="P11" s="22" t="str">
        <x:v>P0</x:v>
      </x:c>
      <x:c r="Q11" s="44" t="str">
        <x:v>Planned</x:v>
      </x:c>
    </x:row>
    <x:row r="12">
      <x:c r="A12" s="43" t="str">
        <x:v>T009</x:v>
      </x:c>
      <x:c r="B12" s="22" t="str">
        <x:v>Mastery</x:v>
      </x:c>
      <x:c r="C12" s="22" t="str">
        <x:v>Claim completed tier</x:v>
      </x:c>
      <x:c r="D12" s="22" t="str">
        <x:v>Tier I complete</x:v>
      </x:c>
      <x:c r="E12" s="22" t="str">
        <x:v>Choose reward</x:v>
      </x:c>
      <x:c r="F12" s="22" t="str">
        <x:v>Mark claimed + inventory +1 once</x:v>
      </x:c>
      <x:c r="G12" s="22" t="str">
        <x:v>Reload claimed</x:v>
      </x:c>
      <x:c r="H12" s="22" t="str">
        <x:v>mastery+reward ledger</x:v>
      </x:c>
      <x:c r="I12" s="22" t="str">
        <x:v>Concurrent claims only one</x:v>
      </x:c>
      <x:c r="J12" s="22" t="str">
        <x:v>No direct score</x:v>
      </x:c>
      <x:c r="K12" s="22" t="str">
        <x:v>N/A</x:v>
      </x:c>
      <x:c r="L12" s="22" t="str">
        <x:v>Reward reveal</x:v>
      </x:c>
      <x:c r="M12" s="22" t="str">
        <x:v>Retry key</x:v>
      </x:c>
      <x:c r="N12" s="22" t="str">
        <x:v>Critical</x:v>
      </x:c>
      <x:c r="O12" s="22" t="str">
        <x:v>Yes</x:v>
      </x:c>
      <x:c r="P12" s="22" t="str">
        <x:v>P1</x:v>
      </x:c>
      <x:c r="Q12" s="44" t="str">
        <x:v>Planned</x:v>
      </x:c>
    </x:row>
    <x:row r="13">
      <x:c r="A13" s="43" t="str">
        <x:v>T010</x:v>
      </x:c>
      <x:c r="B13" s="22" t="str">
        <x:v>Dismantle</x:v>
      </x:c>
      <x:c r="C13" s="22" t="str">
        <x:v>Attempt equipped copy</x:v>
      </x:c>
      <x:c r="D13" s="22" t="str">
        <x:v>owned=2,equipped=2</x:v>
      </x:c>
      <x:c r="E13" s="22" t="str">
        <x:v>Dismantle 1</x:v>
      </x:c>
      <x:c r="F13" s="22" t="str">
        <x:v>Reject</x:v>
      </x:c>
      <x:c r="G13" s="22" t="str">
        <x:v>No change</x:v>
      </x:c>
      <x:c r="H13" s="22" t="str">
        <x:v>No Parts ledger</x:v>
      </x:c>
      <x:c r="I13" s="22" t="str">
        <x:v>N/A</x:v>
      </x:c>
      <x:c r="J13" s="22" t="str">
        <x:v>No score</x:v>
      </x:c>
      <x:c r="K13" s="22" t="str">
        <x:v>N/A</x:v>
      </x:c>
      <x:c r="L13" s="22" t="str">
        <x:v>Explain available=0</x:v>
      </x:c>
      <x:c r="M13" s="22" t="str">
        <x:v>N/A</x:v>
      </x:c>
      <x:c r="N13" s="22" t="str">
        <x:v>High</x:v>
      </x:c>
      <x:c r="O13" s="22" t="str">
        <x:v>Yes</x:v>
      </x:c>
      <x:c r="P13" s="22" t="str">
        <x:v>P2</x:v>
      </x:c>
      <x:c r="Q13" s="44" t="str">
        <x:v>Planned</x:v>
      </x:c>
    </x:row>
    <x:row r="14">
      <x:c r="A14" s="43" t="str">
        <x:v>T011</x:v>
      </x:c>
      <x:c r="B14" s="22" t="str">
        <x:v>Craft</x:v>
      </x:c>
      <x:c r="C14" s="22" t="str">
        <x:v>Exact Rare Module</x:v>
      </x:c>
      <x:c r="D14" s="22" t="str">
        <x:v>Enough Rare Parts + gate</x:v>
      </x:c>
      <x:c r="E14" s="22" t="str">
        <x:v>Craft</x:v>
      </x:c>
      <x:c r="F14" s="22" t="str">
        <x:v>Parts debit; inventory +1</x:v>
      </x:c>
      <x:c r="G14" s="22" t="str">
        <x:v>Persist</x:v>
      </x:c>
      <x:c r="H14" s="22" t="str">
        <x:v>Parts+acquisition ledger</x:v>
      </x:c>
      <x:c r="I14" s="22" t="str">
        <x:v>Retry exactly once</x:v>
      </x:c>
      <x:c r="J14" s="22" t="str">
        <x:v>No score</x:v>
      </x:c>
      <x:c r="K14" s="22" t="str">
        <x:v>N/A</x:v>
      </x:c>
      <x:c r="L14" s="22" t="str">
        <x:v>Success reveal</x:v>
      </x:c>
      <x:c r="M14" s="22" t="str">
        <x:v>Timeout after commit</x:v>
      </x:c>
      <x:c r="N14" s="22" t="str">
        <x:v>Critical</x:v>
      </x:c>
      <x:c r="O14" s="22" t="str">
        <x:v>Yes</x:v>
      </x:c>
      <x:c r="P14" s="22" t="str">
        <x:v>P2</x:v>
      </x:c>
      <x:c r="Q14" s="44" t="str">
        <x:v>Planned</x:v>
      </x:c>
    </x:row>
    <x:row r="15">
      <x:c r="A15" s="43" t="str">
        <x:v>T012</x:v>
      </x:c>
      <x:c r="B15" s="22" t="str">
        <x:v>Performance</x:v>
      </x:c>
      <x:c r="C15" s="22" t="str">
        <x:v>Legendary owned but unused</x:v>
      </x:c>
      <x:c r="D15" s="22" t="str">
        <x:v>Inventory contains Legendary</x:v>
      </x:c>
      <x:c r="E15" s="22" t="str">
        <x:v>Weekly score</x:v>
      </x:c>
      <x:c r="F15" s="22" t="str">
        <x:v>No direct score change</x:v>
      </x:c>
      <x:c r="G15" s="22" t="str">
        <x:v>N/A</x:v>
      </x:c>
      <x:c r="H15" s="22" t="str">
        <x:v>No Module fields in score ledger</x:v>
      </x:c>
      <x:c r="I15" s="22" t="str">
        <x:v>N/A</x:v>
      </x:c>
      <x:c r="J15" s="22" t="str">
        <x:v>Pass</x:v>
      </x:c>
      <x:c r="K15" s="22" t="str">
        <x:v>N/A</x:v>
      </x:c>
      <x:c r="L15" s="22" t="str">
        <x:v>Explain no direct bonus</x:v>
      </x:c>
      <x:c r="M15" s="22" t="str">
        <x:v>Inject prohibited field</x:v>
      </x:c>
      <x:c r="N15" s="22" t="str">
        <x:v>Critical</x:v>
      </x:c>
      <x:c r="O15" s="22" t="str">
        <x:v>Yes</x:v>
      </x:c>
      <x:c r="P15" s="22" t="str">
        <x:v>P0</x:v>
      </x:c>
      <x:c r="Q15" s="44" t="str">
        <x:v>Planned</x:v>
      </x:c>
    </x:row>
    <x:row r="16">
      <x:c r="A16" s="43" t="str">
        <x:v>T013</x:v>
      </x:c>
      <x:c r="B16" s="22" t="str">
        <x:v>Offline</x:v>
      </x:c>
      <x:c r="C16" s="22" t="str">
        <x:v>Activity Module during offline</x:v>
      </x:c>
      <x:c r="D16" s="22" t="str">
        <x:v>Module equipped; player offline</x:v>
      </x:c>
      <x:c r="E16" s="22" t="str">
        <x:v>Offline economy catch-up</x:v>
      </x:c>
      <x:c r="F16" s="22" t="str">
        <x:v>Underlying economy can use effect; no direct offline Activity Points</x:v>
      </x:c>
      <x:c r="G16" s="22" t="str">
        <x:v>Persist</x:v>
      </x:c>
      <x:c r="H16" s="22" t="str">
        <x:v>Presence-tagged ledgers</x:v>
      </x:c>
      <x:c r="I16" s="22" t="str">
        <x:v>N/A</x:v>
      </x:c>
      <x:c r="J16" s="22" t="str">
        <x:v>No direct Module score</x:v>
      </x:c>
      <x:c r="K16" s="22" t="str">
        <x:v>Normal offline risk</x:v>
      </x:c>
      <x:c r="L16" s="22" t="str">
        <x:v>Summary truthful</x:v>
      </x:c>
      <x:c r="M16" s="22" t="str">
        <x:v>N/A</x:v>
      </x:c>
      <x:c r="N16" s="22" t="str">
        <x:v>High</x:v>
      </x:c>
      <x:c r="O16" s="22" t="str">
        <x:v>Yes</x:v>
      </x:c>
      <x:c r="P16" s="22" t="str">
        <x:v>P0</x:v>
      </x:c>
      <x:c r="Q16" s="44" t="str">
        <x:v>Planned</x:v>
      </x:c>
    </x:row>
    <x:row r="17">
      <x:c r="A17" s="43" t="str">
        <x:v>T014</x:v>
      </x:c>
      <x:c r="B17" s="22" t="str">
        <x:v>Removal</x:v>
      </x:c>
      <x:c r="C17" s="22" t="str">
        <x:v>Remove building with Modules</x:v>
      </x:c>
      <x:c r="D17" s="22" t="str">
        <x:v>2 Modules equipped</x:v>
      </x:c>
      <x:c r="E17" s="22" t="str">
        <x:v>Remove/archive building</x:v>
      </x:c>
      <x:c r="F17" s="22" t="str">
        <x:v>Modules returned to available inventory</x:v>
      </x:c>
      <x:c r="G17" s="22" t="str">
        <x:v>Reload</x:v>
      </x:c>
      <x:c r="H17" s="22" t="str">
        <x:v>loadout audit</x:v>
      </x:c>
      <x:c r="I17" s="22" t="str">
        <x:v>Atomic</x:v>
      </x:c>
      <x:c r="J17" s="22" t="str">
        <x:v>No direct score</x:v>
      </x:c>
      <x:c r="K17" s="22" t="str">
        <x:v>N/A</x:v>
      </x:c>
      <x:c r="L17" s="22" t="str">
        <x:v>Inventory updated</x:v>
      </x:c>
      <x:c r="M17" s="22" t="str">
        <x:v>Crash mid-transaction</x:v>
      </x:c>
      <x:c r="N17" s="22" t="str">
        <x:v>Critical</x:v>
      </x:c>
      <x:c r="O17" s="22" t="str">
        <x:v>Yes</x:v>
      </x:c>
      <x:c r="P17" s="22" t="str">
        <x:v>P0</x:v>
      </x:c>
      <x:c r="Q17" s="44" t="str">
        <x:v>Planned</x:v>
      </x:c>
    </x:row>
    <x:row r="18">
      <x:c r="A18" s="45" t="str">
        <x:v>T015</x:v>
      </x:c>
      <x:c r="B18" s="46" t="str">
        <x:v>Config</x:v>
      </x:c>
      <x:c r="C18" s="46" t="str">
        <x:v>Retire Module</x:v>
      </x:c>
      <x:c r="D18" s="46" t="str">
        <x:v>Owned/equipped copy</x:v>
      </x:c>
      <x:c r="E18" s="46" t="str">
        <x:v>Publish is_active=false</x:v>
      </x:c>
      <x:c r="F18" s="46" t="str">
        <x:v>No new drop/craft; existing policy respected</x:v>
      </x:c>
      <x:c r="G18" s="46" t="str">
        <x:v>Stable</x:v>
      </x:c>
      <x:c r="H18" s="46" t="str">
        <x:v>Config version recorded</x:v>
      </x:c>
      <x:c r="I18" s="46" t="str">
        <x:v>N/A</x:v>
      </x:c>
      <x:c r="J18" s="46" t="str">
        <x:v>No score</x:v>
      </x:c>
      <x:c r="K18" s="46" t="str">
        <x:v>Effect policy explicit</x:v>
      </x:c>
      <x:c r="L18" s="46" t="str">
        <x:v>Retired badge</x:v>
      </x:c>
      <x:c r="M18" s="46" t="str">
        <x:v>Config rollback</x:v>
      </x:c>
      <x:c r="N18" s="46" t="str">
        <x:v>High</x:v>
      </x:c>
      <x:c r="O18" s="46" t="str">
        <x:v>Yes</x:v>
      </x:c>
      <x:c r="P18" s="46" t="str">
        <x:v>P2</x:v>
      </x:c>
      <x:c r="Q18" s="47" t="str">
        <x:v>Planned</x:v>
      </x:c>
    </x:row>
  </x:sheetData>
  <x:mergeCells>
    <x:mergeCell ref="A1:Q1"/>
  </x:mergeCells>
  <x:dataValidations count="1">
    <x:dataValidation type="list" sqref="Q4:Q18">
      <x:formula1>"Planned,In Progress,Pass,Fail,Blocked"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Engineering Rollout / Definition of Done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22"/>
    </x:row>
    <x:row r="3">
      <x:c r="A3" s="14" t="str">
        <x:v>Phase</x:v>
      </x:c>
      <x:c r="B3" s="14" t="str">
        <x:v>Backend</x:v>
      </x:c>
      <x:c r="C3" s="14" t="str">
        <x:v>Runtime</x:v>
      </x:c>
      <x:c r="D3" s="14" t="str">
        <x:v>UI</x:v>
      </x:c>
      <x:c r="E3" s="14" t="str">
        <x:v>Content</x:v>
      </x:c>
      <x:c r="F3" s="14" t="str">
        <x:v>Telemetry</x:v>
      </x:c>
      <x:c r="G3" s="14" t="str">
        <x:v>Migration</x:v>
      </x:c>
      <x:c r="H3" s="14" t="str">
        <x:v>Feature Flag</x:v>
      </x:c>
      <x:c r="I3" s="14" t="str">
        <x:v>Load Test</x:v>
      </x:c>
      <x:c r="J3" s="14" t="str">
        <x:v>Security/Integrity</x:v>
      </x:c>
      <x:c r="K3" s="14" t="str">
        <x:v>QA Gate</x:v>
      </x:c>
      <x:c r="L3" s="14" t="str">
        <x:v>Rollback</x:v>
      </x:c>
      <x:c r="M3" s="14" t="str">
        <x:v>Definition of Done</x:v>
      </x:c>
      <x:c r="N3" s="14" t="str">
        <x:v>Owner</x:v>
      </x:c>
      <x:c r="O3" s="14" t="str">
        <x:v>Priority</x:v>
      </x:c>
      <x:c r="P3" s="14" t="str">
        <x:v>Notes</x:v>
      </x:c>
    </x:row>
    <x:row r="4">
      <x:c r="A4" s="40" t="str">
        <x:v>P0 — Core Runtime</x:v>
      </x:c>
      <x:c r="B4" s="41" t="str">
        <x:v>module_config, inventory, loadout, APIs</x:v>
      </x:c>
      <x:c r="C4" s="41" t="str">
        <x:v>Effect resolver + stacking/caps + existing system integration</x:v>
      </x:c>
      <x:c r="D4" s="41" t="str">
        <x:v>Building Detail Modules + Inventory + Equip Preview</x:v>
      </x:c>
      <x:c r="E4" s="41" t="str">
        <x:v>6–10 Common/Uncommon Modules</x:v>
      </x:c>
      <x:c r="F4" s="41" t="str">
        <x:v>Equip/effect/errors</x:v>
      </x:c>
      <x:c r="G4" s="41" t="str">
        <x:v>None if new</x:v>
      </x:c>
      <x:c r="H4" s="41" t="str">
        <x:v>module_system_core</x:v>
      </x:c>
      <x:c r="I4" s="41" t="str">
        <x:v>Effect resolution at economy/customer peak</x:v>
      </x:c>
      <x:c r="J4" s="41" t="str">
        <x:v>Server-only intents, config allowlist</x:v>
      </x:c>
      <x:c r="K4" s="41" t="str">
        <x:v>T001–T008,T012–T014 pass</x:v>
      </x:c>
      <x:c r="L4" s="41" t="str">
        <x:v>Disable new equip, preserve inventory/loadouts</x:v>
      </x:c>
      <x:c r="M4" s="41" t="str">
        <x:v>A real Module changes customer/economy/risk output correctly and safely</x:v>
      </x:c>
      <x:c r="N4" s="41" t="str">
        <x:v>Backend/Game Systems</x:v>
      </x:c>
      <x:c r="O4" s="41" t="str">
        <x:v>Critical</x:v>
      </x:c>
      <x:c r="P4" s="42" t="str"/>
    </x:row>
    <x:row r="5">
      <x:c r="A5" s="43" t="str">
        <x:v>P1 — Acquisition</x:v>
      </x:c>
      <x:c r="B5" s="22" t="str">
        <x:v>Mastery + reward ledger/resolver</x:v>
      </x:c>
      <x:c r="C5" s="22" t="str">
        <x:v>Hunt/Event reward hooks</x:v>
      </x:c>
      <x:c r="D5" s="22" t="str">
        <x:v>Mastery + Discovery reveal</x:v>
      </x:c>
      <x:c r="E5" s="22" t="str">
        <x:v>Common→Rare content + limited Epic</x:v>
      </x:c>
      <x:c r="F5" s="22" t="str">
        <x:v>Source/drop/mastery metrics</x:v>
      </x:c>
      <x:c r="G5" s="22" t="str">
        <x:v>None</x:v>
      </x:c>
      <x:c r="H5" s="22" t="str">
        <x:v>module_acquisition</x:v>
      </x:c>
      <x:c r="I5" s="22" t="str">
        <x:v>Reward burst/load test</x:v>
      </x:c>
      <x:c r="J5" s="22" t="str">
        <x:v>Exactly-once source events</x:v>
      </x:c>
      <x:c r="K5" s="22" t="str">
        <x:v>T009 + reward replay pass</x:v>
      </x:c>
      <x:c r="L5" s="22" t="str">
        <x:v>Disable new drops; keep owned Modules</x:v>
      </x:c>
      <x:c r="M5" s="22" t="str">
        <x:v>Players can deterministically earn Modules and discover them in Hunts/Events</x:v>
      </x:c>
      <x:c r="N5" s="22" t="str">
        <x:v>Game Systems</x:v>
      </x:c>
      <x:c r="O5" s="22" t="str">
        <x:v>High</x:v>
      </x:c>
      <x:c r="P5" s="44" t="str"/>
    </x:row>
    <x:row r="6">
      <x:c r="A6" s="43" t="str">
        <x:v>P2 — Crafting/Prestige</x:v>
      </x:c>
      <x:c r="B6" s="22" t="str">
        <x:v>Parts ledger/balance, craft/dismantle APIs</x:v>
      </x:c>
      <x:c r="C6" s="22" t="str">
        <x:v>No new effect engine features required</x:v>
      </x:c>
      <x:c r="D6" s="22" t="str">
        <x:v>Craft/Dismantle UI</x:v>
      </x:c>
      <x:c r="E6" s="22" t="str">
        <x:v>Epic/Legendary recipes and content</x:v>
      </x:c>
      <x:c r="F6" s="22" t="str">
        <x:v>Craft/source/meta concentration</x:v>
      </x:c>
      <x:c r="G6" s="22" t="str">
        <x:v>None</x:v>
      </x:c>
      <x:c r="H6" s="22" t="str">
        <x:v>module_crafting</x:v>
      </x:c>
      <x:c r="I6" s="22" t="str">
        <x:v>Atomic transaction stress</x:v>
      </x:c>
      <x:c r="J6" s="22" t="str">
        <x:v>Underflow/double-spend tests</x:v>
      </x:c>
      <x:c r="K6" s="22" t="str">
        <x:v>T010,T011,T015 pass</x:v>
      </x:c>
      <x:c r="L6" s="22" t="str">
        <x:v>Disable craft endpoints</x:v>
      </x:c>
      <x:c r="M6" s="22" t="str">
        <x:v>Duplicates become useful and exact targeting works</x:v>
      </x:c>
      <x:c r="N6" s="22" t="str">
        <x:v>Economy/Game Systems</x:v>
      </x:c>
      <x:c r="O6" s="22" t="str">
        <x:v>High</x:v>
      </x:c>
      <x:c r="P6" s="44" t="str"/>
    </x:row>
    <x:row r="7">
      <x:c r="A7" s="45" t="str">
        <x:v>P3 — LiveOps</x:v>
      </x:c>
      <x:c r="B7" s="46" t="str">
        <x:v>Admin/config publishing pipeline</x:v>
      </x:c>
      <x:c r="C7" s="46" t="str">
        <x:v>New supported effect types only with tests</x:v>
      </x:c>
      <x:c r="D7" s="46" t="str">
        <x:v>Filters/presets/season polish</x:v>
      </x:c>
      <x:c r="E7" s="46" t="str">
        <x:v>Seasonal sidegrades/cosmetics</x:v>
      </x:c>
      <x:c r="F7" s="46" t="str">
        <x:v>Full dashboards/alerts</x:v>
      </x:c>
      <x:c r="G7" s="46" t="str">
        <x:v>Config migration tooling</x:v>
      </x:c>
      <x:c r="H7" s="46" t="str">
        <x:v>module_liveops</x:v>
      </x:c>
      <x:c r="I7" s="46" t="str">
        <x:v>Config rollout/load</x:v>
      </x:c>
      <x:c r="J7" s="46" t="str">
        <x:v>Approval/audit trail</x:v>
      </x:c>
      <x:c r="K7" s="46" t="str">
        <x:v>Regression suite</x:v>
      </x:c>
      <x:c r="L7" s="46" t="str">
        <x:v>Rollback config version</x:v>
      </x:c>
      <x:c r="M7" s="46" t="str">
        <x:v>Content can be tuned without code while preserving replayability</x:v>
      </x:c>
      <x:c r="N7" s="46" t="str">
        <x:v>LiveOps</x:v>
      </x:c>
      <x:c r="O7" s="46" t="str">
        <x:v>Medium</x:v>
      </x:c>
      <x:c r="P7" s="47" t="str"/>
    </x:row>
    <x:row r="9" ht="22" customHeight="1">
      <x:c r="A9" s="11" t="str">
        <x:v>Do Not Ship Until</x:v>
      </x:c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</x:row>
    <x:row r="10">
      <x:c r="A10" s="14" t="str">
        <x:v>Blocker</x:v>
      </x:c>
      <x:c r="B10" s="14" t="str">
        <x:v>Reason</x:v>
      </x:c>
    </x:row>
    <x:row r="11">
      <x:c r="A11" s="40" t="str">
        <x:v>Client can submit final effect values</x:v>
      </x:c>
      <x:c r="B11" s="42" t="str">
        <x:v>Would make the economy and score exploitable.</x:v>
      </x:c>
    </x:row>
    <x:row r="12">
      <x:c r="A12" s="43" t="str">
        <x:v>Module ownership or rarity enters Performance/PLOT formulas</x:v>
      </x:c>
      <x:c r="B12" s="44" t="str">
        <x:v>Would create direct collection/pay advantage.</x:v>
      </x:c>
    </x:row>
    <x:row r="13">
      <x:c r="A13" s="43" t="str">
        <x:v>Reward operations are not exactly-once/idempotent</x:v>
      </x:c>
      <x:c r="B13" s="44" t="str">
        <x:v>Would create duplication/loss risk.</x:v>
      </x:c>
    </x:row>
    <x:row r="14">
      <x:c r="A14" s="43" t="str">
        <x:v>Loadout and inventory can diverge</x:v>
      </x:c>
      <x:c r="B14" s="44" t="str">
        <x:v>Would create duplicate-equipped or negative-available inventory.</x:v>
      </x:c>
    </x:row>
    <x:row r="15">
      <x:c r="A15" s="43" t="str">
        <x:v>Effects cannot be replayed by config/loadout version</x:v>
      </x:c>
      <x:c r="B15" s="44" t="str">
        <x:v>Would make disputes and settlement reconciliation unreliable.</x:v>
      </x:c>
    </x:row>
    <x:row r="16">
      <x:c r="A16" s="45" t="str">
        <x:v>Tradeoffs/conditions are hidden in UI</x:v>
      </x:c>
      <x:c r="B16" s="47" t="str">
        <x:v>Would make Module choices misleading.</x:v>
      </x:c>
    </x:row>
  </x:sheetData>
  <x:mergeCells>
    <x:mergeCell ref="A1:P1"/>
    <x:mergeCell ref="A9:P9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6" hidden="0" customWidth="1"/>
    <x:col min="7" max="7" width="3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84" t="str">
        <x:v>Module System Model Checks</x:v>
      </x:c>
      <x:c r="B1" s="84"/>
      <x:c r="C1" s="84"/>
      <x:c r="D1" s="84"/>
      <x:c r="E1" s="84"/>
      <x:c r="F1" s="84"/>
      <x:c r="G1" s="84"/>
      <x:c r="H1" s="22"/>
      <x:c r="I1" s="22"/>
      <x:c r="J1" s="22"/>
      <x:c r="K1" s="22"/>
      <x:c r="L1" s="22"/>
      <x:c r="M1" s="22"/>
      <x:c r="N1" s="22"/>
      <x:c r="O1" s="22"/>
      <x:c r="P1" s="22"/>
      <x:c r="Q1" s="22"/>
    </x:row>
    <x:row r="3">
      <x:c r="A3" s="14" t="str">
        <x:v>Check</x:v>
      </x:c>
      <x:c r="B3" s="14" t="str">
        <x:v>Expected</x:v>
      </x:c>
      <x:c r="C3" s="14" t="str">
        <x:v>Actual</x:v>
      </x:c>
      <x:c r="D3" s="14" t="str">
        <x:v>Status</x:v>
      </x:c>
      <x:c r="E3" s="14" t="str">
        <x:v>Severity</x:v>
      </x:c>
      <x:c r="F3" s="14" t="str">
        <x:v>Why It Matters</x:v>
      </x:c>
      <x:c r="G3" s="14" t="str">
        <x:v>Notes</x:v>
      </x:c>
    </x:row>
    <x:row r="4">
      <x:c r="A4" s="40" t="str">
        <x:v>All 50 Building Cards mapped</x:v>
      </x:c>
      <x:c r="B4" s="41" t="n">
        <x:v>50</x:v>
      </x:c>
      <x:c r="C4" s="41" t="n">
        <x:f>COUNTA('09_Building_Slot_Matrix'!A4:A53)</x:f>
        <x:v>50</x:v>
      </x:c>
      <x:c r="D4" s="41" t="str">
        <x:f>IF(C4=B4,"PASS","CHECK")</x:f>
        <x:v>PASS</x:v>
      </x:c>
      <x:c r="E4" s="41" t="str">
        <x:v>Critical</x:v>
      </x:c>
      <x:c r="F4" s="41" t="str">
        <x:v>Complete slot/compatibility coverage</x:v>
      </x:c>
      <x:c r="G4" s="42" t="str"/>
    </x:row>
    <x:row r="5">
      <x:c r="A5" s="43" t="str">
        <x:v>Canonical rules marked FINAL</x:v>
      </x:c>
      <x:c r="B5" s="22" t="n">
        <x:v>15</x:v>
      </x:c>
      <x:c r="C5" s="22" t="n">
        <x:f>COUNTIF('01_Canonical_Rules'!M4:M18,"FINAL")</x:f>
        <x:v>15</x:v>
      </x:c>
      <x:c r="D5" s="22" t="str">
        <x:f>IF(C5=B5,"PASS","CHECK")</x:f>
        <x:v>PASS</x:v>
      </x:c>
      <x:c r="E5" s="22" t="str">
        <x:v>High</x:v>
      </x:c>
      <x:c r="F5" s="22" t="str">
        <x:v>Single source of truth</x:v>
      </x:c>
      <x:c r="G5" s="44" t="str"/>
    </x:row>
    <x:row r="6">
      <x:c r="A6" s="43" t="str">
        <x:v>Supported v1.0 effect types</x:v>
      </x:c>
      <x:c r="B6" s="22" t="n">
        <x:v>8</x:v>
      </x:c>
      <x:c r="C6" s="22" t="n">
        <x:f>COUNTA('03_Effect_Schema'!A17:A24)</x:f>
        <x:v>8</x:v>
      </x:c>
      <x:c r="D6" s="22" t="str">
        <x:f>IF(C6=B6,"PASS","CHECK")</x:f>
        <x:v>PASS</x:v>
      </x:c>
      <x:c r="E6" s="22" t="str">
        <x:v>High</x:v>
      </x:c>
      <x:c r="F6" s="22" t="str">
        <x:v>Runtime bounded to tested primitives</x:v>
      </x:c>
      <x:c r="G6" s="44" t="str"/>
    </x:row>
    <x:row r="7">
      <x:c r="A7" s="43" t="str">
        <x:v>Max Module slots &lt;=4</x:v>
      </x:c>
      <x:c r="B7" s="22" t="n">
        <x:v>4</x:v>
      </x:c>
      <x:c r="C7" s="22" t="n">
        <x:f>MAX('09_Building_Slot_Matrix'!F4:F53)</x:f>
        <x:v>4</x:v>
      </x:c>
      <x:c r="D7" s="22" t="str">
        <x:f>IF(C7&lt;=B7,"PASS","CHECK")</x:f>
        <x:v>PASS</x:v>
      </x:c>
      <x:c r="E7" s="22" t="str">
        <x:v>High</x:v>
      </x:c>
      <x:c r="F7" s="22" t="str">
        <x:v>Loadout complexity bound</x:v>
      </x:c>
      <x:c r="G7" s="44" t="str"/>
    </x:row>
    <x:row r="8">
      <x:c r="A8" s="43" t="str">
        <x:v>Legendary limit =1</x:v>
      </x:c>
      <x:c r="B8" s="22" t="n">
        <x:v>1</x:v>
      </x:c>
      <x:c r="C8" s="22" t="n">
        <x:f>MAX('09_Building_Slot_Matrix'!J4:J53)</x:f>
        <x:v>1</x:v>
      </x:c>
      <x:c r="D8" s="22" t="str">
        <x:f>IF(C8=B8,"PASS","CHECK")</x:f>
        <x:v>PASS</x:v>
      </x:c>
      <x:c r="E8" s="22" t="str">
        <x:v>High</x:v>
      </x:c>
      <x:c r="F8" s="22" t="str">
        <x:v>No Legendary pileup</x:v>
      </x:c>
      <x:c r="G8" s="44" t="str"/>
    </x:row>
    <x:row r="9">
      <x:c r="A9" s="43" t="str">
        <x:v>Mastery tiers =5</x:v>
      </x:c>
      <x:c r="B9" s="22" t="n">
        <x:v>5</x:v>
      </x:c>
      <x:c r="C9" s="22" t="n">
        <x:f>COUNTA('10_Building_Mastery'!A4:A8)</x:f>
        <x:v>5</x:v>
      </x:c>
      <x:c r="D9" s="22" t="str">
        <x:f>IF(C9=B9,"PASS","CHECK")</x:f>
        <x:v>PASS</x:v>
      </x:c>
      <x:c r="E9" s="22" t="str">
        <x:v>High</x:v>
      </x:c>
      <x:c r="F9" s="22" t="str">
        <x:v>Deterministic path exists</x:v>
      </x:c>
      <x:c r="G9" s="44" t="str"/>
    </x:row>
    <x:row r="10">
      <x:c r="A10" s="43" t="str">
        <x:v>Acquisition sources &gt;=8</x:v>
      </x:c>
      <x:c r="B10" s="22" t="n">
        <x:v>8</x:v>
      </x:c>
      <x:c r="C10" s="22" t="n">
        <x:f>COUNTA('11_Acquisition_Rewards'!A4:A11)</x:f>
        <x:v>8</x:v>
      </x:c>
      <x:c r="D10" s="22" t="str">
        <x:f>IF(C10&gt;=B10,"PASS","CHECK")</x:f>
        <x:v>PASS</x:v>
      </x:c>
      <x:c r="E10" s="22" t="str">
        <x:v>Medium</x:v>
      </x:c>
      <x:c r="F10" s="22" t="str">
        <x:v>Multiple healthy sources</x:v>
      </x:c>
      <x:c r="G10" s="44" t="str"/>
    </x:row>
    <x:row r="11">
      <x:c r="A11" s="43" t="str">
        <x:v>Cash pack Epic chance zero</x:v>
      </x:c>
      <x:c r="B11" s="22" t="n">
        <x:v>0</x:v>
      </x:c>
      <x:c r="C11" s="22" t="n">
        <x:f>IF('11_Acquisition_Rewards'!F11="No",0,1)</x:f>
        <x:v>0</x:v>
      </x:c>
      <x:c r="D11" s="22" t="str">
        <x:f>IF(C11=B11,"PASS","CHECK")</x:f>
        <x:v>PASS</x:v>
      </x:c>
      <x:c r="E11" s="22" t="str">
        <x:v>Critical</x:v>
      </x:c>
      <x:c r="F11" s="22" t="str">
        <x:v>No Cash shortcut to high-tier power</x:v>
      </x:c>
      <x:c r="G11" s="44" t="str"/>
    </x:row>
    <x:row r="12">
      <x:c r="A12" s="43" t="str">
        <x:v>Cash pack Legendary chance zero</x:v>
      </x:c>
      <x:c r="B12" s="22" t="n">
        <x:v>0</x:v>
      </x:c>
      <x:c r="C12" s="22" t="n">
        <x:f>IF('11_Acquisition_Rewards'!G11="No",0,1)</x:f>
        <x:v>0</x:v>
      </x:c>
      <x:c r="D12" s="22" t="str">
        <x:f>IF(C12=B12,"PASS","CHECK")</x:f>
        <x:v>PASS</x:v>
      </x:c>
      <x:c r="E12" s="22" t="str">
        <x:v>Critical</x:v>
      </x:c>
      <x:c r="F12" s="22" t="str">
        <x:v>No Cash shortcut to endgame power</x:v>
      </x:c>
      <x:c r="G12" s="44" t="str"/>
    </x:row>
    <x:row r="13">
      <x:c r="A13" s="43" t="str">
        <x:v>Craft all 5 rarities exact</x:v>
      </x:c>
      <x:c r="B13" s="22" t="n">
        <x:v>5</x:v>
      </x:c>
      <x:c r="C13" s="22" t="n">
        <x:f>COUNTIF('12_Crafting_Parts'!L4:L8,"Yes")</x:f>
        <x:v>5</x:v>
      </x:c>
      <x:c r="D13" s="22" t="str">
        <x:f>IF(C13=B13,"PASS","CHECK")</x:f>
        <x:v>PASS</x:v>
      </x:c>
      <x:c r="E13" s="22" t="str">
        <x:v>High</x:v>
      </x:c>
      <x:c r="F13" s="22" t="str">
        <x:v>Player agency</x:v>
      </x:c>
      <x:c r="G13" s="44" t="str"/>
    </x:row>
    <x:row r="14">
      <x:c r="A14" s="43" t="str">
        <x:v>Sample Modules &gt;=20</x:v>
      </x:c>
      <x:c r="B14" s="22" t="n">
        <x:v>20</x:v>
      </x:c>
      <x:c r="C14" s="22" t="n">
        <x:f>COUNTA('13_Module_Catalog'!A4:A23)</x:f>
        <x:v>20</x:v>
      </x:c>
      <x:c r="D14" s="22" t="str">
        <x:f>IF(C14&gt;=B14,"PASS","CHECK")</x:f>
        <x:v>PASS</x:v>
      </x:c>
      <x:c r="E14" s="22" t="str">
        <x:v>Medium</x:v>
      </x:c>
      <x:c r="F14" s="22" t="str">
        <x:v>Sufficient implementation cases</x:v>
      </x:c>
      <x:c r="G14" s="44" t="str"/>
    </x:row>
    <x:row r="15">
      <x:c r="A15" s="43" t="str">
        <x:v>APIs &gt;=10</x:v>
      </x:c>
      <x:c r="B15" s="22" t="n">
        <x:v>10</x:v>
      </x:c>
      <x:c r="C15" s="22" t="n">
        <x:f>COUNTA('15_API_Contracts'!A4:A13)</x:f>
        <x:v>10</x:v>
      </x:c>
      <x:c r="D15" s="22" t="str">
        <x:f>IF(C15&gt;=B15,"PASS","CHECK")</x:f>
        <x:v>PASS</x:v>
      </x:c>
      <x:c r="E15" s="22" t="str">
        <x:v>High</x:v>
      </x:c>
      <x:c r="F15" s="22" t="str">
        <x:v>End-to-end contract coverage</x:v>
      </x:c>
      <x:c r="G15" s="44" t="str"/>
    </x:row>
    <x:row r="16">
      <x:c r="A16" s="43" t="str">
        <x:v>QA tests &gt;=15</x:v>
      </x:c>
      <x:c r="B16" s="22" t="n">
        <x:v>15</x:v>
      </x:c>
      <x:c r="C16" s="22" t="n">
        <x:f>COUNTA('19_QA_Test_Matrix'!A4:A18)</x:f>
        <x:v>15</x:v>
      </x:c>
      <x:c r="D16" s="22" t="str">
        <x:f>IF(C16&gt;=B16,"PASS","CHECK")</x:f>
        <x:v>PASS</x:v>
      </x:c>
      <x:c r="E16" s="22" t="str">
        <x:v>High</x:v>
      </x:c>
      <x:c r="F16" s="22" t="str">
        <x:v>Implementation acceptance coverage</x:v>
      </x:c>
      <x:c r="G16" s="44" t="str"/>
    </x:row>
    <x:row r="17">
      <x:c r="A17" s="43" t="str">
        <x:v>Direct Module score prohibited</x:v>
      </x:c>
      <x:c r="B17" s="22" t="n">
        <x:v>1</x:v>
      </x:c>
      <x:c r="C17" s="22" t="n">
        <x:f>IF('01_Canonical_Rules'!H15="No",1,0)</x:f>
        <x:v>1</x:v>
      </x:c>
      <x:c r="D17" s="22" t="str">
        <x:f>IF(C17=B17,"PASS","CHECK")</x:f>
        <x:v>PASS</x:v>
      </x:c>
      <x:c r="E17" s="22" t="str">
        <x:v>Critical</x:v>
      </x:c>
      <x:c r="F17" s="22" t="str">
        <x:v>Competitive fairness</x:v>
      </x:c>
      <x:c r="G17" s="44" t="str"/>
    </x:row>
    <x:row r="18">
      <x:c r="A18" s="45" t="str">
        <x:v>Direct PLOT Module bonus prohibited</x:v>
      </x:c>
      <x:c r="B18" s="46" t="n">
        <x:v>1</x:v>
      </x:c>
      <x:c r="C18" s="46" t="n">
        <x:f>IF('01_Canonical_Rules'!I16="No",1,0)</x:f>
        <x:v>1</x:v>
      </x:c>
      <x:c r="D18" s="46" t="str">
        <x:f>IF(C18=B18,"PASS","CHECK")</x:f>
        <x:v>PASS</x:v>
      </x:c>
      <x:c r="E18" s="46" t="str">
        <x:v>Critical</x:v>
      </x:c>
      <x:c r="F18" s="46" t="str">
        <x:v>Payout fairness</x:v>
      </x:c>
      <x:c r="G18" s="47" t="str"/>
    </x:row>
  </x:sheetData>
  <x:mergeCells>
    <x:mergeCell ref="A1:G1"/>
  </x:mergeCells>
  <x:conditionalFormatting sqref="D4:D18">
    <x:cfRule type="expression" dxfId="0" priority="1">
      <x:formula>D4="PASS"</x:formula>
    </x:cfRule>
    <x:cfRule type="expression" dxfId="1" priority="2">
      <x:formula>D4="CHECK"</x:formula>
    </x:cfRule>
  </x:conditionalFormatting>
  <x:pageMargins left="0.7" right="0.7" top="0.75" bottom="0.75" header="0.3" footer="0.3"/>
</x:worksheet>
</file>