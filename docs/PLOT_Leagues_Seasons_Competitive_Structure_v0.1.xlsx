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52e042a6a240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Dashboard" sheetId="1" r:id="Rec468b08fffa44db"/>
    <x:sheet xmlns:r="http://schemas.openxmlformats.org/officeDocument/2006/relationships" name="01_Assumptions" sheetId="2" r:id="Rcf5f567799a14cfc"/>
    <x:sheet xmlns:r="http://schemas.openxmlformats.org/officeDocument/2006/relationships" name="02_League_Rules" sheetId="3" r:id="R9219ef270924464f"/>
    <x:sheet xmlns:r="http://schemas.openxmlformats.org/officeDocument/2006/relationships" name="03_Placement" sheetId="4" r:id="Rf0f44195c3454ec9"/>
    <x:sheet xmlns:r="http://schemas.openxmlformats.org/officeDocument/2006/relationships" name="04_Rating_Model" sheetId="5" r:id="R8b4a57d918d147d2"/>
    <x:sheet xmlns:r="http://schemas.openxmlformats.org/officeDocument/2006/relationships" name="05_Weekly_Payout" sheetId="6" r:id="Rf65ff0b359514db8"/>
    <x:sheet xmlns:r="http://schemas.openxmlformats.org/officeDocument/2006/relationships" name="06_Promotion_Relegation" sheetId="7" r:id="R24a7142ac465425c"/>
    <x:sheet xmlns:r="http://schemas.openxmlformats.org/officeDocument/2006/relationships" name="07_Season_Points" sheetId="8" r:id="R65df8461cd4449c5"/>
    <x:sheet xmlns:r="http://schemas.openxmlformats.org/officeDocument/2006/relationships" name="08_Season_Rewards" sheetId="9" r:id="Rf0219eea871d4720"/>
    <x:sheet xmlns:r="http://schemas.openxmlformats.org/officeDocument/2006/relationships" name="09_Leaderboards" sheetId="10" r:id="Rf44d915282a5426e"/>
    <x:sheet xmlns:r="http://schemas.openxmlformats.org/officeDocument/2006/relationships" name="10_Maturity_Normalization" sheetId="11" r:id="Rc91227fc804c40e6"/>
    <x:sheet xmlns:r="http://schemas.openxmlformats.org/officeDocument/2006/relationships" name="11_Inactivity_LateJoin" sheetId="12" r:id="R191c64c9178e4a7e"/>
    <x:sheet xmlns:r="http://schemas.openxmlformats.org/officeDocument/2006/relationships" name="12_Integrity_AntiSmurf" sheetId="13" r:id="Ra162f354f5e84179"/>
    <x:sheet xmlns:r="http://schemas.openxmlformats.org/officeDocument/2006/relationships" name="13_Tiebreakers" sheetId="14" r:id="Rb8ff65c124204d46"/>
    <x:sheet xmlns:r="http://schemas.openxmlformats.org/officeDocument/2006/relationships" name="14_Scenarios" sheetId="15" r:id="R5321c8b725094562"/>
    <x:sheet xmlns:r="http://schemas.openxmlformats.org/officeDocument/2006/relationships" name="15_Treasury_Sensitivity" sheetId="16" r:id="R6b99c43169344c5d"/>
    <x:sheet xmlns:r="http://schemas.openxmlformats.org/officeDocument/2006/relationships" name="16_Season_Reset" sheetId="17" r:id="Rcd50d6bfe26042c4"/>
    <x:sheet xmlns:r="http://schemas.openxmlformats.org/officeDocument/2006/relationships" name="17_LiveOps" sheetId="18" r:id="R86feebacb66c4b9b"/>
    <x:sheet xmlns:r="http://schemas.openxmlformats.org/officeDocument/2006/relationships" name="18_Technical_Rules" sheetId="19" r:id="R660597667fdd431f"/>
    <x:sheet xmlns:r="http://schemas.openxmlformats.org/officeDocument/2006/relationships" name="19_Model_Checks" sheetId="20" r:id="R9662c96a8a7b48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 &quot;PLOT&quot;;[Red](#,##0 &quot;PLOT&quot;);-"/>
    <x:numFmt numFmtId="201" formatCode="0.0%;[Red](0.0%);-"/>
    <x:numFmt numFmtId="202" formatCode="#,##0;[Red](#,##0);-"/>
    <x:numFmt numFmtId="203" formatCode="0.00;[Red](0.00);-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b/>
      <x:sz val="11"/>
      <x:color rgb="FF0B1F3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132D46"/>
      </x:patternFill>
    </x:fill>
    <x:fill>
      <x:patternFill patternType="solid">
        <x:fgColor rgb="FFD8A93A"/>
      </x:patternFill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200" fontId="0" fillId="0" borderId="3" xfId="0" applyNumberFormat="1" applyFont="1" applyFill="1" applyBorder="1" applyAlignment="1">
      <x:alignment vertical="top" wrapText="1"/>
    </x:xf>
    <x:xf numFmtId="200" fontId="0" fillId="0" borderId="6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201" fontId="0" fillId="0" borderId="9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4" xfId="0" applyNumberFormat="1" applyFont="1" applyFill="1" applyBorder="1" applyAlignment="1">
      <x:alignment vertical="top" wrapText="1"/>
    </x:xf>
    <x:xf numFmtId="201" fontId="0" fillId="0" borderId="17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1" fontId="0" fillId="0" borderId="22" xfId="0" applyNumberFormat="1" applyFont="1" applyFill="1" applyBorder="1" applyAlignment="1">
      <x:alignment vertical="top" wrapText="1"/>
    </x:xf>
    <x:xf numFmtId="202" fontId="0" fillId="0" borderId="9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14" xfId="0" applyNumberFormat="1" applyFont="1" applyFill="1" applyBorder="1" applyAlignment="1">
      <x:alignment vertical="top" wrapText="1"/>
    </x:xf>
    <x:xf numFmtId="202" fontId="0" fillId="0" borderId="17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202" fontId="0" fillId="0" borderId="22" xfId="0" applyNumberFormat="1" applyFont="1" applyFill="1" applyBorder="1" applyAlignment="1">
      <x:alignment vertical="top" wrapText="1"/>
    </x:xf>
    <x:xf numFmtId="200" fontId="0" fillId="0" borderId="9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4" xfId="0" applyNumberFormat="1" applyFont="1" applyFill="1" applyBorder="1" applyAlignment="1">
      <x:alignment vertical="top" wrapText="1"/>
    </x:xf>
    <x:xf numFmtId="200" fontId="0" fillId="0" borderId="17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22" xfId="0" applyNumberFormat="1" applyFont="1" applyFill="1" applyBorder="1" applyAlignment="1">
      <x:alignment vertical="top" wrapText="1"/>
    </x:xf>
    <x:xf numFmtId="0" fontId="3" fillId="0" borderId="9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4" xfId="0" applyNumberFormat="1" applyFont="1" applyFill="1" applyBorder="1" applyAlignment="1">
      <x:alignment vertical="top" wrapText="1"/>
    </x:xf>
    <x:xf numFmtId="0" fontId="3" fillId="0" borderId="17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2" xfId="0" applyNumberFormat="1" applyFont="1" applyFill="1" applyBorder="1" applyAlignment="1">
      <x:alignment vertical="top" wrapText="1"/>
    </x:xf>
    <x:xf numFmtId="200" fontId="3" fillId="0" borderId="9" xfId="0" applyNumberFormat="1" applyFont="1" applyFill="1" applyBorder="1" applyAlignment="1">
      <x:alignment vertical="top" wrapText="1"/>
    </x:xf>
    <x:xf numFmtId="200" fontId="3" fillId="0" borderId="17" xfId="0" applyNumberFormat="1" applyFont="1" applyFill="1" applyBorder="1" applyAlignment="1">
      <x:alignment vertical="top" wrapText="1"/>
    </x:xf>
    <x:xf numFmtId="201" fontId="3" fillId="0" borderId="0" xfId="0" applyNumberFormat="1" applyFont="1" applyFill="1" applyBorder="1" applyAlignment="1">
      <x:alignment vertical="top" wrapText="1"/>
    </x:xf>
    <x:xf numFmtId="201" fontId="3" fillId="0" borderId="1" xfId="0" applyNumberFormat="1" applyFont="1" applyFill="1" applyBorder="1" applyAlignment="1">
      <x:alignment vertical="top" wrapText="1"/>
    </x:xf>
    <x:xf numFmtId="201" fontId="3" fillId="0" borderId="14" xfId="0" applyNumberFormat="1" applyFont="1" applyFill="1" applyBorder="1" applyAlignment="1">
      <x:alignment vertical="top" wrapText="1"/>
    </x:xf>
    <x:xf numFmtId="201" fontId="3" fillId="0" borderId="22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3" fontId="0" fillId="0" borderId="9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  <x:xf numFmtId="203" fontId="0" fillId="0" borderId="14" xfId="0" applyNumberFormat="1" applyFont="1" applyFill="1" applyBorder="1" applyAlignment="1">
      <x:alignment vertical="top" wrapText="1"/>
    </x:xf>
    <x:xf numFmtId="203" fontId="0" fillId="0" borderId="17" xfId="0" applyNumberFormat="1" applyFont="1" applyFill="1" applyBorder="1" applyAlignment="1">
      <x:alignment vertical="top" wrapText="1"/>
    </x:xf>
    <x:xf numFmtId="203" fontId="0" fillId="0" borderId="1" xfId="0" applyNumberFormat="1" applyFont="1" applyFill="1" applyBorder="1" applyAlignment="1">
      <x:alignment vertical="top" wrapText="1"/>
    </x:xf>
    <x:xf numFmtId="203" fontId="0" fillId="0" borderId="22" xfId="0" applyNumberFormat="1" applyFont="1" applyFill="1" applyBorder="1" applyAlignment="1">
      <x:alignment vertical="top" wrapText="1"/>
    </x:xf>
    <x:xf numFmtId="202" fontId="0" fillId="0" borderId="10" xfId="0" applyNumberFormat="1" applyFont="1" applyFill="1" applyBorder="1" applyAlignment="1">
      <x:alignment vertical="top" wrapText="1"/>
    </x:xf>
    <x:xf numFmtId="202" fontId="0" fillId="0" borderId="12" xfId="0" applyNumberFormat="1" applyFont="1" applyFill="1" applyBorder="1" applyAlignment="1">
      <x:alignment vertical="top" wrapText="1"/>
    </x:xf>
    <x:xf numFmtId="202" fontId="0" fillId="0" borderId="15" xfId="0" applyNumberFormat="1" applyFont="1" applyFill="1" applyBorder="1" applyAlignment="1">
      <x:alignment vertical="top" wrapText="1"/>
    </x:xf>
    <x:xf numFmtId="202" fontId="0" fillId="0" borderId="18" xfId="0" applyNumberFormat="1" applyFont="1" applyFill="1" applyBorder="1" applyAlignment="1">
      <x:alignment vertical="top" wrapText="1"/>
    </x:xf>
    <x:xf numFmtId="202" fontId="0" fillId="0" borderId="20" xfId="0" applyNumberFormat="1" applyFont="1" applyFill="1" applyBorder="1" applyAlignment="1">
      <x:alignment vertical="top" wrapText="1"/>
    </x:xf>
    <x:xf numFmtId="202" fontId="0" fillId="0" borderId="23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vertical="top" wrapText="1"/>
    </x:xf>
    <x:xf numFmtId="200" fontId="0" fillId="0" borderId="11" xfId="0" applyNumberFormat="1" applyFont="1" applyFill="1" applyBorder="1" applyAlignment="1">
      <x:alignment vertical="top" wrapText="1"/>
    </x:xf>
    <x:xf numFmtId="200" fontId="0" fillId="0" borderId="13" xfId="0" applyNumberFormat="1" applyFont="1" applyFill="1" applyBorder="1" applyAlignment="1">
      <x:alignment vertical="top" wrapText="1"/>
    </x:xf>
    <x:xf numFmtId="200" fontId="0" fillId="0" borderId="16" xfId="0" applyNumberFormat="1" applyFont="1" applyFill="1" applyBorder="1" applyAlignment="1">
      <x:alignment vertical="top" wrapText="1"/>
    </x:xf>
    <x:xf numFmtId="200" fontId="0" fillId="0" borderId="19" xfId="0" applyNumberFormat="1" applyFont="1" applyFill="1" applyBorder="1" applyAlignment="1">
      <x:alignment vertical="top" wrapText="1"/>
    </x:xf>
    <x:xf numFmtId="200" fontId="0" fillId="0" borderId="21" xfId="0" applyNumberFormat="1" applyFont="1" applyFill="1" applyBorder="1" applyAlignment="1">
      <x:alignment vertical="top" wrapText="1"/>
    </x:xf>
    <x:xf numFmtId="200" fontId="0" fillId="0" borderId="10" xfId="0" applyNumberFormat="1" applyFont="1" applyFill="1" applyBorder="1" applyAlignment="1">
      <x:alignment vertical="top" wrapText="1"/>
    </x:xf>
    <x:xf numFmtId="200" fontId="0" fillId="0" borderId="12" xfId="0" applyNumberFormat="1" applyFont="1" applyFill="1" applyBorder="1" applyAlignment="1">
      <x:alignment vertical="top" wrapText="1"/>
    </x:xf>
    <x:xf numFmtId="200" fontId="0" fillId="0" borderId="15" xfId="0" applyNumberFormat="1" applyFont="1" applyFill="1" applyBorder="1" applyAlignment="1">
      <x:alignment vertical="top" wrapText="1"/>
    </x:xf>
    <x:xf numFmtId="200" fontId="0" fillId="0" borderId="18" xfId="0" applyNumberFormat="1" applyFont="1" applyFill="1" applyBorder="1" applyAlignment="1">
      <x:alignment vertical="top" wrapText="1"/>
    </x:xf>
    <x:xf numFmtId="200" fontId="0" fillId="0" borderId="20" xfId="0" applyNumberFormat="1" applyFont="1" applyFill="1" applyBorder="1" applyAlignment="1">
      <x:alignment vertical="top" wrapText="1"/>
    </x:xf>
    <x:xf numFmtId="200" fontId="0" fillId="0" borderId="23" xfId="0" applyNumberFormat="1" applyFont="1" applyFill="1" applyBorder="1" applyAlignment="1">
      <x:alignment vertical="top" wrapText="1"/>
    </x:xf>
    <x:xf numFmtId="202" fontId="0" fillId="0" borderId="8" xfId="0" applyNumberFormat="1" applyFont="1" applyFill="1" applyBorder="1" applyAlignment="1">
      <x:alignment vertical="top" wrapText="1"/>
    </x:xf>
    <x:xf numFmtId="202" fontId="0" fillId="0" borderId="11" xfId="0" applyNumberFormat="1" applyFont="1" applyFill="1" applyBorder="1" applyAlignment="1">
      <x:alignment vertical="top" wrapText="1"/>
    </x:xf>
    <x:xf numFmtId="202" fontId="0" fillId="0" borderId="13" xfId="0" applyNumberFormat="1" applyFont="1" applyFill="1" applyBorder="1" applyAlignment="1">
      <x:alignment vertical="top" wrapText="1"/>
    </x:xf>
    <x:xf numFmtId="202" fontId="0" fillId="0" borderId="16" xfId="0" applyNumberFormat="1" applyFont="1" applyFill="1" applyBorder="1" applyAlignment="1">
      <x:alignment vertical="top" wrapText="1"/>
    </x:xf>
    <x:xf numFmtId="202" fontId="0" fillId="0" borderId="19" xfId="0" applyNumberFormat="1" applyFont="1" applyFill="1" applyBorder="1" applyAlignment="1">
      <x:alignment vertical="top" wrapText="1"/>
    </x:xf>
    <x:xf numFmtId="202" fontId="0" fillId="0" borderId="2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 applyAlignment="1">
      <x:alignment horizontal="left" vertical="top" wrapText="1"/>
    </x:xf>
    <x:xf numFmtId="0" fontId="1" fillId="2" borderId="1" xfId="0" applyNumberFormat="1" applyFont="1" applyFill="1" applyBorder="1" applyAlignment="1">
      <x:alignment horizontal="left" vertical="top" wrapText="1"/>
    </x:xf>
  </x:cellXfs>
  <x:cellStyles count="1">
    <x:cellStyle name="Normal" xfId="0"/>
  </x:cellStyles>
  <x:dxfs count="3">
    <x:dxf>
      <x:fill>
        <x:patternFill patternType="solid">
          <x:bgColor rgb="FFFFF200"/>
        </x:patternFill>
      </x:fill>
    </x:dxf>
    <x:dxf>
      <x:font>
        <x:b/>
        <x:color rgb="FF14532D"/>
      </x:font>
      <x:fill>
        <x:patternFill patternType="solid">
          <x:bgColor rgb="FFDDEFE2"/>
        </x:patternFill>
      </x:fill>
    </x:dxf>
    <x:dxf>
      <x:font>
        <x:b/>
        <x:color rgb="FF7F1D1D"/>
      </x:font>
      <x:fill>
        <x:patternFill patternType="solid">
          <x:bgColor rgb="FFF5D6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52fcc2f5264b06" /><Relationship Type="http://schemas.openxmlformats.org/officeDocument/2006/relationships/theme" Target="/xl/theme/theme1.xml" Id="R57e2db1cd996421d" /><Relationship Type="http://schemas.openxmlformats.org/officeDocument/2006/relationships/sharedStrings" Target="/xl/sharedStrings.xml" Id="Rc76ad2a224504cf4" /><Relationship Type="http://schemas.openxmlformats.org/officeDocument/2006/relationships/worksheet" Target="/xl/worksheets/sheet1.xml" Id="Rec468b08fffa44db" /><Relationship Type="http://schemas.openxmlformats.org/officeDocument/2006/relationships/worksheet" Target="/xl/worksheets/sheet2.xml" Id="Rcf5f567799a14cfc" /><Relationship Type="http://schemas.openxmlformats.org/officeDocument/2006/relationships/worksheet" Target="/xl/worksheets/sheet3.xml" Id="R9219ef270924464f" /><Relationship Type="http://schemas.openxmlformats.org/officeDocument/2006/relationships/worksheet" Target="/xl/worksheets/sheet4.xml" Id="Rf0f44195c3454ec9" /><Relationship Type="http://schemas.openxmlformats.org/officeDocument/2006/relationships/worksheet" Target="/xl/worksheets/sheet5.xml" Id="R8b4a57d918d147d2" /><Relationship Type="http://schemas.openxmlformats.org/officeDocument/2006/relationships/worksheet" Target="/xl/worksheets/sheet6.xml" Id="Rf65ff0b359514db8" /><Relationship Type="http://schemas.openxmlformats.org/officeDocument/2006/relationships/worksheet" Target="/xl/worksheets/sheet7.xml" Id="R24a7142ac465425c" /><Relationship Type="http://schemas.openxmlformats.org/officeDocument/2006/relationships/worksheet" Target="/xl/worksheets/sheet8.xml" Id="R65df8461cd4449c5" /><Relationship Type="http://schemas.openxmlformats.org/officeDocument/2006/relationships/worksheet" Target="/xl/worksheets/sheet9.xml" Id="Rf0219eea871d4720" /><Relationship Type="http://schemas.openxmlformats.org/officeDocument/2006/relationships/worksheet" Target="/xl/worksheets/sheet10.xml" Id="Rf44d915282a5426e" /><Relationship Type="http://schemas.openxmlformats.org/officeDocument/2006/relationships/worksheet" Target="/xl/worksheets/sheet11.xml" Id="Rc91227fc804c40e6" /><Relationship Type="http://schemas.openxmlformats.org/officeDocument/2006/relationships/worksheet" Target="/xl/worksheets/sheet12.xml" Id="R191c64c9178e4a7e" /><Relationship Type="http://schemas.openxmlformats.org/officeDocument/2006/relationships/worksheet" Target="/xl/worksheets/sheet13.xml" Id="Ra162f354f5e84179" /><Relationship Type="http://schemas.openxmlformats.org/officeDocument/2006/relationships/worksheet" Target="/xl/worksheets/sheet14.xml" Id="Rb8ff65c124204d46" /><Relationship Type="http://schemas.openxmlformats.org/officeDocument/2006/relationships/worksheet" Target="/xl/worksheets/sheet15.xml" Id="R5321c8b725094562" /><Relationship Type="http://schemas.openxmlformats.org/officeDocument/2006/relationships/worksheet" Target="/xl/worksheets/sheet16.xml" Id="R6b99c43169344c5d" /><Relationship Type="http://schemas.openxmlformats.org/officeDocument/2006/relationships/worksheet" Target="/xl/worksheets/sheet17.xml" Id="Rcd50d6bfe26042c4" /><Relationship Type="http://schemas.openxmlformats.org/officeDocument/2006/relationships/worksheet" Target="/xl/worksheets/sheet18.xml" Id="R86feebacb66c4b9b" /><Relationship Type="http://schemas.openxmlformats.org/officeDocument/2006/relationships/worksheet" Target="/xl/worksheets/sheet19.xml" Id="R660597667fdd431f" /><Relationship Type="http://schemas.openxmlformats.org/officeDocument/2006/relationships/worksheet" Target="/xl/worksheets/sheet20.xml" Id="R9662c96a8a7b484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b11647b607f4a4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Average weekly PLOT by competitive league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Player Share</c:v>
          </c:tx>
          <c:cat>
            <c:strRef>
              <c:f>'00_Dashboard'!$A$25:$A$30</c:f>
              <c:strCache>
                <c:ptCount val="0"/>
              </c:strCache>
            </c:strRef>
          </c:cat>
          <c:val>
            <c:numRef>
              <c:f>'00_Dashboard'!$B$25:$B$30</c:f>
              <c:numCache>
                <c:formatCode>0.0%;[Red](0.0%);-</c:formatCode>
                <c:ptCount val="0"/>
              </c:numCache>
            </c:numRef>
          </c:val>
        </c:ser>
        <c:ser>
          <c:idx val="1"/>
          <c:order val="1"/>
          <c:tx>
            <c:v>League Pool Share</c:v>
          </c:tx>
          <c:cat>
            <c:strRef>
              <c:f>'00_Dashboard'!$A$25:$A$30</c:f>
              <c:strCache>
                <c:ptCount val="0"/>
              </c:strCache>
            </c:strRef>
          </c:cat>
          <c:val>
            <c:numRef>
              <c:f>'00_Dashboard'!$C$25:$C$30</c:f>
              <c:numCache>
                <c:formatCode>0.0%;[Red](0.0%);-</c:formatCode>
                <c:ptCount val="0"/>
              </c:numCache>
            </c:numRef>
          </c:val>
        </c:ser>
        <c:ser>
          <c:idx val="2"/>
          <c:order val="2"/>
          <c:tx>
            <c:v>Eligible Players</c:v>
          </c:tx>
          <c:cat>
            <c:strRef>
              <c:f>'00_Dashboard'!$A$25:$A$30</c:f>
              <c:strCache>
                <c:ptCount val="0"/>
              </c:strCache>
            </c:strRef>
          </c:cat>
          <c:val>
            <c:numRef>
              <c:f>'00_Dashboard'!$D$25:$D$30</c:f>
              <c:numCache>
                <c:formatCode>#,##0;[Red](#,##0);-</c:formatCode>
                <c:ptCount val="0"/>
              </c:numCache>
            </c:numRef>
          </c:val>
        </c:ser>
        <c:ser>
          <c:idx val="3"/>
          <c:order val="3"/>
          <c:tx>
            <c:v>League Pool</c:v>
          </c:tx>
          <c:cat>
            <c:strRef>
              <c:f>'00_Dashboard'!$A$25:$A$30</c:f>
              <c:strCache>
                <c:ptCount val="0"/>
              </c:strCache>
            </c:strRef>
          </c:cat>
          <c:val>
            <c:numRef>
              <c:f>'00_Dashboard'!$E$25:$E$30</c:f>
              <c:numCache>
                <c:formatCode>#,##0 "PLOT";[Red](#,##0 "PLOT");-</c:formatCode>
                <c:ptCount val="0"/>
              </c:numCache>
            </c:numRef>
          </c:val>
        </c:ser>
        <c:ser>
          <c:idx val="4"/>
          <c:order val="4"/>
          <c:tx>
            <c:v>Avg PLOT/Player</c:v>
          </c:tx>
          <c:cat>
            <c:strRef>
              <c:f>'00_Dashboard'!$A$25:$A$30</c:f>
              <c:strCache>
                <c:ptCount val="0"/>
              </c:strCache>
            </c:strRef>
          </c:cat>
          <c:val>
            <c:numRef>
              <c:f>'00_Dashboard'!$F$25:$F$30</c:f>
              <c:numCache>
                <c:formatCode>#,##0 "PLOT";[Red](#,##0 "PLOT");-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22</xdr:row>
      <xdr:rowOff>0</xdr:rowOff>
    </xdr:from>
    <xdr:to>
      <xdr:col>14</xdr:col>
      <xdr:colOff>0</xdr:colOff>
      <xdr:row>39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b11647b607f4a4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826ddbdb0c14b62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 ht="28" customHeight="1">
      <x:c r="A1" s="122" t="str">
        <x:v>PLOT — Leagues, Seasons &amp; Competitive Structure v0.1</x:v>
      </x:c>
      <x:c r="B1" s="122"/>
      <x:c r="C1" s="122"/>
      <x:c r="D1" s="122"/>
      <x:c r="E1" s="122"/>
      <x:c r="F1" s="122"/>
      <x:c r="G1" s="122"/>
      <x:c r="H1" s="122"/>
      <x:c r="I1" s="122"/>
      <x:c r="J1" s="122"/>
      <x:c r="K1" s="122"/>
      <x:c r="L1" s="122"/>
      <x:c r="M1" s="122"/>
      <x:c r="N1" s="122"/>
      <x:c r="O1" s="22"/>
      <x:c r="P1" s="22"/>
      <x:c r="Q1" s="22"/>
    </x:row>
    <x:row r="3">
      <x:c r="A3" s="14" t="str">
        <x:v>System Goal</x:v>
      </x:c>
      <x:c r="B3" s="14" t="str">
        <x:v>League Ladder</x:v>
      </x:c>
      <x:c r="C3" s="14" t="str">
        <x:v>Season Length</x:v>
      </x:c>
      <x:c r="D3" s="14" t="str">
        <x:v>Weekly PLOT Pool</x:v>
      </x:c>
      <x:c r="E3" s="14" t="str">
        <x:v>League Basis</x:v>
      </x:c>
      <x:c r="F3" s="14" t="str">
        <x:v>Empire Level Basis</x:v>
      </x:c>
      <x:c r="G3" s="14" t="str">
        <x:v>Placement Weeks</x:v>
      </x:c>
      <x:c r="H3" s="14" t="str">
        <x:v>Promotion Model</x:v>
      </x:c>
      <x:c r="I3" s="14" t="str">
        <x:v>Relegation Model</x:v>
      </x:c>
      <x:c r="J3" s="14" t="str">
        <x:v>Global Leaderboard</x:v>
      </x:c>
      <x:c r="K3" s="14" t="str">
        <x:v>Season Reset</x:v>
      </x:c>
      <x:c r="L3" s="14" t="str">
        <x:v>Inactive Handling</x:v>
      </x:c>
      <x:c r="M3" s="14" t="str">
        <x:v>Anti-Whale Rule</x:v>
      </x:c>
      <x:c r="N3" s="14" t="str">
        <x:v>Core Principle</x:v>
      </x:c>
    </x:row>
    <x:row r="4">
      <x:c r="A4" s="24" t="str">
        <x:v>Create fair recurring competition where strong operators can rise regardless of empire size</x:v>
      </x:c>
      <x:c r="B4" s="25" t="str">
        <x:v>Bronze → Silver → Gold → Platinum → Diamond → Tycoon</x:v>
      </x:c>
      <x:c r="C4" s="25" t="str">
        <x:v>8 weeks</x:v>
      </x:c>
      <x:c r="D4" s="30" t="n">
        <x:v>2000000</x:v>
      </x:c>
      <x:c r="E4" s="25" t="str">
        <x:v>Stage-normalized Performance + Competitive Rating</x:v>
      </x:c>
      <x:c r="F4" s="25" t="str">
        <x:v>Not directly tied to league</x:v>
      </x:c>
      <x:c r="G4" s="25" t="n">
        <x:v>3</x:v>
      </x:c>
      <x:c r="H4" s="25" t="str">
        <x:v>Rating thresholds + top-percentile acceleration</x:v>
      </x:c>
      <x:c r="I4" s="25" t="str">
        <x:v>Rating thresholds + inactivity safeguards</x:v>
      </x:c>
      <x:c r="J4" s="25" t="str">
        <x:v>Separate prestige ranking</x:v>
      </x:c>
      <x:c r="K4" s="25" t="str">
        <x:v>Season points reset; rating softly compressed</x:v>
      </x:c>
      <x:c r="L4" s="25" t="str">
        <x:v>Removed from payout eligibility after missed activity gates</x:v>
      </x:c>
      <x:c r="M4" s="25" t="str">
        <x:v>Land/building count never creates league points directly</x:v>
      </x:c>
      <x:c r="N4" s="26" t="str">
        <x:v>Compete on quality of operation, not size of wallet</x:v>
      </x:c>
    </x:row>
    <x:row r="6" ht="22" customHeight="1">
      <x:c r="A6" s="33" t="str">
        <x:v>League Summary</x:v>
      </x:c>
      <x:c r="B6" s="33"/>
      <x:c r="C6" s="33"/>
      <x:c r="D6" s="33"/>
      <x:c r="E6" s="33"/>
      <x:c r="F6" s="33"/>
      <x:c r="G6" s="33"/>
      <x:c r="H6" s="33"/>
      <x:c r="I6" s="33"/>
      <x:c r="J6" s="33"/>
      <x:c r="K6" s="33"/>
      <x:c r="L6" s="33"/>
      <x:c r="M6" s="33"/>
      <x:c r="N6" s="33"/>
    </x:row>
    <x:row r="7">
      <x:c r="A7" s="14" t="str">
        <x:v>League</x:v>
      </x:c>
      <x:c r="B7" s="14" t="str">
        <x:v>Rating Range</x:v>
      </x:c>
      <x:c r="C7" s="14" t="str">
        <x:v>Expected Score Center</x:v>
      </x:c>
      <x:c r="D7" s="14" t="str">
        <x:v>Illustrative Population Share</x:v>
      </x:c>
      <x:c r="E7" s="14" t="str">
        <x:v>Weekly Pool Share</x:v>
      </x:c>
      <x:c r="F7" s="14" t="str">
        <x:v>Pool PLOT</x:v>
      </x:c>
      <x:c r="G7" s="14" t="str">
        <x:v>Avg PLOT / Eligible Player</x:v>
      </x:c>
      <x:c r="H7" s="14" t="str">
        <x:v>Promotion Target</x:v>
      </x:c>
      <x:c r="I7" s="14" t="str">
        <x:v>Relegation Pressure</x:v>
      </x:c>
      <x:c r="J7" s="14" t="str">
        <x:v>Min Active Days</x:v>
      </x:c>
      <x:c r="K7" s="14" t="str">
        <x:v>Min Score</x:v>
      </x:c>
      <x:c r="L7" s="14" t="str">
        <x:v>Badge</x:v>
      </x:c>
      <x:c r="M7" s="14" t="str">
        <x:v>Primary Reward Identity</x:v>
      </x:c>
      <x:c r="N7" s="14" t="str">
        <x:v>Notes</x:v>
      </x:c>
    </x:row>
    <x:row r="8">
      <x:c r="A8" s="36" t="str">
        <x:v>Bronze</x:v>
      </x:c>
      <x:c r="B8" s="37" t="str">
        <x:v>&lt;900</x:v>
      </x:c>
      <x:c r="C8" s="37" t="n">
        <x:v>65</x:v>
      </x:c>
      <x:c r="D8" s="52" t="n">
        <x:v>0.3</x:v>
      </x:c>
      <x:c r="E8" s="52" t="n">
        <x:v>0.14</x:v>
      </x:c>
      <x:c r="F8" s="64" t="n">
        <x:f>$D$4*E8</x:f>
        <x:v>280000</x:v>
      </x:c>
      <x:c r="G8" s="64" t="n">
        <x:f>F8/(10000*D8)</x:f>
        <x:v>93.33333333333333</x:v>
      </x:c>
      <x:c r="H8" s="37" t="str">
        <x:v>Reach 900</x:v>
      </x:c>
      <x:c r="I8" s="37" t="str">
        <x:v>None</x:v>
      </x:c>
      <x:c r="J8" s="58" t="n">
        <x:v>3</x:v>
      </x:c>
      <x:c r="K8" s="58" t="n">
        <x:v>35</x:v>
      </x:c>
      <x:c r="L8" s="37" t="str">
        <x:v>Bronze</x:v>
      </x:c>
      <x:c r="M8" s="37" t="str">
        <x:v>Entry competition</x:v>
      </x:c>
      <x:c r="N8" s="38" t="str">
        <x:v>New/returning players</x:v>
      </x:c>
    </x:row>
    <x:row r="9">
      <x:c r="A9" s="39" t="str">
        <x:v>Silver</x:v>
      </x:c>
      <x:c r="B9" s="22" t="str">
        <x:v>900–1099</x:v>
      </x:c>
      <x:c r="C9" s="22" t="n">
        <x:v>75</x:v>
      </x:c>
      <x:c r="D9" s="53" t="n">
        <x:v>0.25</x:v>
      </x:c>
      <x:c r="E9" s="53" t="n">
        <x:v>0.17</x:v>
      </x:c>
      <x:c r="F9" s="65" t="n">
        <x:f>$D$4*E9</x:f>
        <x:v>340000</x:v>
      </x:c>
      <x:c r="G9" s="65" t="n">
        <x:f>F9/(10000*D9)</x:f>
        <x:v>136</x:v>
      </x:c>
      <x:c r="H9" s="22" t="str">
        <x:v>Reach 1100</x:v>
      </x:c>
      <x:c r="I9" s="22" t="str">
        <x:v>Below 900</x:v>
      </x:c>
      <x:c r="J9" s="59" t="n">
        <x:v>3</x:v>
      </x:c>
      <x:c r="K9" s="59" t="n">
        <x:v>40</x:v>
      </x:c>
      <x:c r="L9" s="22" t="str">
        <x:v>Silver</x:v>
      </x:c>
      <x:c r="M9" s="22" t="str">
        <x:v>Consistent operation</x:v>
      </x:c>
      <x:c r="N9" s="40" t="str"/>
    </x:row>
    <x:row r="10">
      <x:c r="A10" s="39" t="str">
        <x:v>Gold</x:v>
      </x:c>
      <x:c r="B10" s="22" t="str">
        <x:v>1100–1299</x:v>
      </x:c>
      <x:c r="C10" s="22" t="n">
        <x:v>85</x:v>
      </x:c>
      <x:c r="D10" s="53" t="n">
        <x:v>0.2</x:v>
      </x:c>
      <x:c r="E10" s="53" t="n">
        <x:v>0.2</x:v>
      </x:c>
      <x:c r="F10" s="65" t="n">
        <x:f>$D$4*E10</x:f>
        <x:v>400000</x:v>
      </x:c>
      <x:c r="G10" s="65" t="n">
        <x:f>F10/(10000*D10)</x:f>
        <x:v>200</x:v>
      </x:c>
      <x:c r="H10" s="22" t="str">
        <x:v>Reach 1300</x:v>
      </x:c>
      <x:c r="I10" s="22" t="str">
        <x:v>Below 1100</x:v>
      </x:c>
      <x:c r="J10" s="59" t="n">
        <x:v>3</x:v>
      </x:c>
      <x:c r="K10" s="59" t="n">
        <x:v>45</x:v>
      </x:c>
      <x:c r="L10" s="22" t="str">
        <x:v>Gold</x:v>
      </x:c>
      <x:c r="M10" s="22" t="str">
        <x:v>Strong operators</x:v>
      </x:c>
      <x:c r="N10" s="40" t="str">
        <x:v>Max placement league</x:v>
      </x:c>
    </x:row>
    <x:row r="11">
      <x:c r="A11" s="39" t="str">
        <x:v>Platinum</x:v>
      </x:c>
      <x:c r="B11" s="22" t="str">
        <x:v>1300–1499</x:v>
      </x:c>
      <x:c r="C11" s="22" t="n">
        <x:v>95</x:v>
      </x:c>
      <x:c r="D11" s="53" t="n">
        <x:v>0.13</x:v>
      </x:c>
      <x:c r="E11" s="53" t="n">
        <x:v>0.2</x:v>
      </x:c>
      <x:c r="F11" s="65" t="n">
        <x:f>$D$4*E11</x:f>
        <x:v>400000</x:v>
      </x:c>
      <x:c r="G11" s="65" t="n">
        <x:f>F11/(10000*D11)</x:f>
        <x:v>307.6923076923077</x:v>
      </x:c>
      <x:c r="H11" s="22" t="str">
        <x:v>Reach 1500</x:v>
      </x:c>
      <x:c r="I11" s="22" t="str">
        <x:v>Below 1300</x:v>
      </x:c>
      <x:c r="J11" s="59" t="n">
        <x:v>4</x:v>
      </x:c>
      <x:c r="K11" s="59" t="n">
        <x:v>50</x:v>
      </x:c>
      <x:c r="L11" s="22" t="str">
        <x:v>Platinum</x:v>
      </x:c>
      <x:c r="M11" s="22" t="str">
        <x:v>Advanced competition</x:v>
      </x:c>
      <x:c r="N11" s="40" t="str"/>
    </x:row>
    <x:row r="12">
      <x:c r="A12" s="39" t="str">
        <x:v>Diamond</x:v>
      </x:c>
      <x:c r="B12" s="22" t="str">
        <x:v>1500–1699</x:v>
      </x:c>
      <x:c r="C12" s="22" t="n">
        <x:v>103</x:v>
      </x:c>
      <x:c r="D12" s="53" t="n">
        <x:v>0.08</x:v>
      </x:c>
      <x:c r="E12" s="53" t="n">
        <x:v>0.17</x:v>
      </x:c>
      <x:c r="F12" s="65" t="n">
        <x:f>$D$4*E12</x:f>
        <x:v>340000</x:v>
      </x:c>
      <x:c r="G12" s="65" t="n">
        <x:f>F12/(10000*D12)</x:f>
        <x:v>425</x:v>
      </x:c>
      <x:c r="H12" s="22" t="str">
        <x:v>Reach 1700</x:v>
      </x:c>
      <x:c r="I12" s="22" t="str">
        <x:v>Below 1500</x:v>
      </x:c>
      <x:c r="J12" s="59" t="n">
        <x:v>4</x:v>
      </x:c>
      <x:c r="K12" s="59" t="n">
        <x:v>55</x:v>
      </x:c>
      <x:c r="L12" s="22" t="str">
        <x:v>Diamond</x:v>
      </x:c>
      <x:c r="M12" s="22" t="str">
        <x:v>Elite operators</x:v>
      </x:c>
      <x:c r="N12" s="40" t="str"/>
    </x:row>
    <x:row r="13">
      <x:c r="A13" s="41" t="str">
        <x:v>Tycoon</x:v>
      </x:c>
      <x:c r="B13" s="42" t="str">
        <x:v>1700+</x:v>
      </x:c>
      <x:c r="C13" s="42" t="n">
        <x:v>110</x:v>
      </x:c>
      <x:c r="D13" s="54" t="n">
        <x:v>0.04</x:v>
      </x:c>
      <x:c r="E13" s="54" t="n">
        <x:v>0.12</x:v>
      </x:c>
      <x:c r="F13" s="66" t="n">
        <x:f>$D$4*E13</x:f>
        <x:v>240000</x:v>
      </x:c>
      <x:c r="G13" s="66" t="n">
        <x:f>F13/(10000*D13)</x:f>
        <x:v>600</x:v>
      </x:c>
      <x:c r="H13" s="42" t="str">
        <x:v>Top rating / seasonal prestige</x:v>
      </x:c>
      <x:c r="I13" s="42" t="str">
        <x:v>Below 1700</x:v>
      </x:c>
      <x:c r="J13" s="60" t="n">
        <x:v>4</x:v>
      </x:c>
      <x:c r="K13" s="60" t="n">
        <x:v>60</x:v>
      </x:c>
      <x:c r="L13" s="42" t="str">
        <x:v>Tycoon</x:v>
      </x:c>
      <x:c r="M13" s="42" t="str">
        <x:v>Highest league prestige</x:v>
      </x:c>
      <x:c r="N13" s="43" t="str">
        <x:v>Not tied to Tycoon Empire stage</x:v>
      </x:c>
    </x:row>
    <x:row r="15" ht="22" customHeight="1">
      <x:c r="A15" s="33" t="str">
        <x:v>Competitive Architecture</x:v>
      </x:c>
      <x:c r="B15" s="33"/>
      <x:c r="C15" s="33"/>
      <x:c r="D15" s="33"/>
      <x:c r="E15" s="33"/>
      <x:c r="F15" s="33"/>
      <x:c r="G15" s="33"/>
      <x:c r="H15" s="33"/>
      <x:c r="I15" s="33"/>
      <x:c r="J15" s="33"/>
      <x:c r="K15" s="33"/>
      <x:c r="L15" s="33"/>
      <x:c r="M15" s="33"/>
      <x:c r="N15" s="33"/>
    </x:row>
    <x:row r="16">
      <x:c r="A16" s="14" t="str">
        <x:v>Layer</x:v>
      </x:c>
      <x:c r="B16" s="14" t="str">
        <x:v>Purpose</x:v>
      </x:c>
      <x:c r="C16" s="14" t="str">
        <x:v>Who Competes</x:v>
      </x:c>
      <x:c r="D16" s="14" t="str">
        <x:v>Reward</x:v>
      </x:c>
    </x:row>
    <x:row r="17">
      <x:c r="A17" s="36" t="str">
        <x:v>League leaderboard</x:v>
      </x:c>
      <x:c r="B17" s="37" t="str">
        <x:v>Weekly payout competition</x:v>
      </x:c>
      <x:c r="C17" s="37" t="str">
        <x:v>Players in same competitive league</x:v>
      </x:c>
      <x:c r="D17" s="38" t="str">
        <x:v>Share of that league's fixed weekly $PLOT pool</x:v>
      </x:c>
    </x:row>
    <x:row r="18">
      <x:c r="A18" s="39" t="str">
        <x:v>Maturity filter</x:v>
      </x:c>
      <x:c r="B18" s="22" t="str">
        <x:v>Comparison view only</x:v>
      </x:c>
      <x:c r="C18" s="22" t="str">
        <x:v>Players at similar Empire stage</x:v>
      </x:c>
      <x:c r="D18" s="40" t="str">
        <x:v>No separate payout by default</x:v>
      </x:c>
    </x:row>
    <x:row r="19">
      <x:c r="A19" s="39" t="str">
        <x:v>Global leaderboard</x:v>
      </x:c>
      <x:c r="B19" s="22" t="str">
        <x:v>Prestige / strongest operators overall</x:v>
      </x:c>
      <x:c r="C19" s="22" t="str">
        <x:v>All eligible players</x:v>
      </x:c>
      <x:c r="D19" s="40" t="str">
        <x:v>Badge, profile prestige, seasonal recognition</x:v>
      </x:c>
    </x:row>
    <x:row r="20">
      <x:c r="A20" s="39" t="str">
        <x:v>Season leaderboard</x:v>
      </x:c>
      <x:c r="B20" s="22" t="str">
        <x:v>Longer-term consistency</x:v>
      </x:c>
      <x:c r="C20" s="22" t="str">
        <x:v>All eligible players, league-weighted points</x:v>
      </x:c>
      <x:c r="D20" s="40" t="str">
        <x:v>Cosmetics/titles; optional fixed seasonal pool</x:v>
      </x:c>
    </x:row>
    <x:row r="21">
      <x:c r="A21" s="41" t="str">
        <x:v>Hall of Fame</x:v>
      </x:c>
      <x:c r="B21" s="42" t="str">
        <x:v>Permanent history</x:v>
      </x:c>
      <x:c r="C21" s="42" t="str">
        <x:v>Past season top performers</x:v>
      </x:c>
      <x:c r="D21" s="43" t="str">
        <x:v>Permanent record only</x:v>
      </x:c>
    </x:row>
    <x:row r="23" ht="22" customHeight="1">
      <x:c r="A23" s="33" t="str">
        <x:v>League Economics at 10,000 Eligible Players</x:v>
      </x:c>
      <x:c r="B23" s="33"/>
      <x:c r="C23" s="33"/>
      <x:c r="D23" s="33"/>
      <x:c r="E23" s="33"/>
      <x:c r="F23" s="33"/>
      <x:c r="G23" s="33"/>
      <x:c r="H23" s="33"/>
      <x:c r="I23" s="33"/>
      <x:c r="J23" s="33"/>
      <x:c r="K23" s="33"/>
      <x:c r="L23" s="33"/>
      <x:c r="M23" s="33"/>
      <x:c r="N23" s="33"/>
    </x:row>
    <x:row r="24">
      <x:c r="A24" s="14" t="str">
        <x:v>League</x:v>
      </x:c>
      <x:c r="B24" s="14" t="str">
        <x:v>Player Share</x:v>
      </x:c>
      <x:c r="C24" s="14" t="str">
        <x:v>League Pool Share</x:v>
      </x:c>
      <x:c r="D24" s="14" t="str">
        <x:v>Eligible Players</x:v>
      </x:c>
      <x:c r="E24" s="14" t="str">
        <x:v>League Pool</x:v>
      </x:c>
      <x:c r="F24" s="14" t="str">
        <x:v>Avg PLOT/Player</x:v>
      </x:c>
    </x:row>
    <x:row r="25">
      <x:c r="A25" s="36" t="str">
        <x:f>A8</x:f>
        <x:v>Bronze</x:v>
      </x:c>
      <x:c r="B25" s="52" t="n">
        <x:f>D8</x:f>
        <x:v>0.3</x:v>
      </x:c>
      <x:c r="C25" s="52" t="n">
        <x:f>E8</x:f>
        <x:v>0.14</x:v>
      </x:c>
      <x:c r="D25" s="58" t="n">
        <x:f>'01_Assumptions'!$B$5*B25</x:f>
        <x:v>3000</x:v>
      </x:c>
      <x:c r="E25" s="64" t="n">
        <x:f>'01_Assumptions'!$B$4*C25</x:f>
        <x:v>280000</x:v>
      </x:c>
      <x:c r="F25" s="108" t="n">
        <x:f>E25/D25</x:f>
        <x:v>93.33333333333333</x:v>
      </x:c>
    </x:row>
    <x:row r="26">
      <x:c r="A26" s="39" t="str">
        <x:f>A9</x:f>
        <x:v>Silver</x:v>
      </x:c>
      <x:c r="B26" s="53" t="n">
        <x:f>D9</x:f>
        <x:v>0.25</x:v>
      </x:c>
      <x:c r="C26" s="53" t="n">
        <x:f>E9</x:f>
        <x:v>0.17</x:v>
      </x:c>
      <x:c r="D26" s="59" t="n">
        <x:f>'01_Assumptions'!$B$5*B26</x:f>
        <x:v>2500</x:v>
      </x:c>
      <x:c r="E26" s="65" t="n">
        <x:f>'01_Assumptions'!$B$4*C26</x:f>
        <x:v>340000</x:v>
      </x:c>
      <x:c r="F26" s="109" t="n">
        <x:f>E26/D26</x:f>
        <x:v>136</x:v>
      </x:c>
    </x:row>
    <x:row r="27">
      <x:c r="A27" s="39" t="str">
        <x:f>A10</x:f>
        <x:v>Gold</x:v>
      </x:c>
      <x:c r="B27" s="53" t="n">
        <x:f>D10</x:f>
        <x:v>0.2</x:v>
      </x:c>
      <x:c r="C27" s="53" t="n">
        <x:f>E10</x:f>
        <x:v>0.2</x:v>
      </x:c>
      <x:c r="D27" s="59" t="n">
        <x:f>'01_Assumptions'!$B$5*B27</x:f>
        <x:v>2000</x:v>
      </x:c>
      <x:c r="E27" s="65" t="n">
        <x:f>'01_Assumptions'!$B$4*C27</x:f>
        <x:v>400000</x:v>
      </x:c>
      <x:c r="F27" s="109" t="n">
        <x:f>E27/D27</x:f>
        <x:v>200</x:v>
      </x:c>
    </x:row>
    <x:row r="28">
      <x:c r="A28" s="39" t="str">
        <x:f>A11</x:f>
        <x:v>Platinum</x:v>
      </x:c>
      <x:c r="B28" s="53" t="n">
        <x:f>D11</x:f>
        <x:v>0.13</x:v>
      </x:c>
      <x:c r="C28" s="53" t="n">
        <x:f>E11</x:f>
        <x:v>0.2</x:v>
      </x:c>
      <x:c r="D28" s="59" t="n">
        <x:f>'01_Assumptions'!$B$5*B28</x:f>
        <x:v>1300</x:v>
      </x:c>
      <x:c r="E28" s="65" t="n">
        <x:f>'01_Assumptions'!$B$4*C28</x:f>
        <x:v>400000</x:v>
      </x:c>
      <x:c r="F28" s="109" t="n">
        <x:f>E28/D28</x:f>
        <x:v>307.6923076923077</x:v>
      </x:c>
    </x:row>
    <x:row r="29">
      <x:c r="A29" s="39" t="str">
        <x:f>A12</x:f>
        <x:v>Diamond</x:v>
      </x:c>
      <x:c r="B29" s="53" t="n">
        <x:f>D12</x:f>
        <x:v>0.08</x:v>
      </x:c>
      <x:c r="C29" s="53" t="n">
        <x:f>E12</x:f>
        <x:v>0.17</x:v>
      </x:c>
      <x:c r="D29" s="59" t="n">
        <x:f>'01_Assumptions'!$B$5*B29</x:f>
        <x:v>800</x:v>
      </x:c>
      <x:c r="E29" s="65" t="n">
        <x:f>'01_Assumptions'!$B$4*C29</x:f>
        <x:v>340000</x:v>
      </x:c>
      <x:c r="F29" s="109" t="n">
        <x:f>E29/D29</x:f>
        <x:v>425</x:v>
      </x:c>
    </x:row>
    <x:row r="30">
      <x:c r="A30" s="41" t="str">
        <x:f>A13</x:f>
        <x:v>Tycoon</x:v>
      </x:c>
      <x:c r="B30" s="54" t="n">
        <x:f>D13</x:f>
        <x:v>0.04</x:v>
      </x:c>
      <x:c r="C30" s="54" t="n">
        <x:f>E13</x:f>
        <x:v>0.12</x:v>
      </x:c>
      <x:c r="D30" s="60" t="n">
        <x:f>'01_Assumptions'!$B$5*B30</x:f>
        <x:v>400</x:v>
      </x:c>
      <x:c r="E30" s="66" t="n">
        <x:f>'01_Assumptions'!$B$4*C30</x:f>
        <x:v>240000</x:v>
      </x:c>
      <x:c r="F30" s="110" t="n">
        <x:f>E30/D30</x:f>
        <x:v>600</x:v>
      </x:c>
    </x:row>
  </x:sheetData>
  <x:mergeCells>
    <x:mergeCell ref="A1:N1"/>
    <x:mergeCell ref="A6:N6"/>
    <x:mergeCell ref="A15:N15"/>
    <x:mergeCell ref="A23:N23"/>
  </x:mergeCells>
  <x:pageMargins left="0.7" right="0.7" top="0.75" bottom="0.75" header="0.3" footer="0.3"/>
  <x:drawing xmlns:r="http://schemas.openxmlformats.org/officeDocument/2006/relationships" r:id="R7826ddbdb0c14b62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 ht="28" customHeight="1">
      <x:c r="A1" s="122" t="str">
        <x:v>League, Rating &amp; Season Global Assumptions</x:v>
      </x:c>
      <x:c r="B1" s="122"/>
      <x:c r="C1" s="122"/>
      <x:c r="D1" s="122"/>
      <x:c r="E1" s="122"/>
      <x:c r="F1" s="122"/>
      <x:c r="G1" s="122"/>
      <x:c r="H1" s="22"/>
      <x:c r="I1" s="22"/>
      <x:c r="J1" s="22"/>
      <x:c r="K1" s="22"/>
      <x:c r="L1" s="22"/>
      <x:c r="M1" s="22"/>
      <x:c r="N1" s="22"/>
      <x:c r="O1" s="22"/>
      <x:c r="P1" s="22"/>
      <x:c r="Q1" s="22"/>
    </x:row>
    <x:row r="3">
      <x:c r="A3" s="14" t="str">
        <x:v>Parameter</x:v>
      </x:c>
      <x:c r="B3" s="14" t="str">
        <x:v>Value</x:v>
      </x:c>
      <x:c r="C3" s="14" t="str">
        <x:v>Unit</x:v>
      </x:c>
      <x:c r="D3" s="14" t="str">
        <x:v>Editable?</x:v>
      </x:c>
      <x:c r="E3" s="14" t="str">
        <x:v>Purpose</x:v>
      </x:c>
      <x:c r="F3" s="14" t="str">
        <x:v>Recommended Range</x:v>
      </x:c>
      <x:c r="G3" s="14" t="str">
        <x:v>Notes</x:v>
      </x:c>
    </x:row>
    <x:row r="4">
      <x:c r="A4" s="36" t="str">
        <x:v>Weekly PLOT Pool</x:v>
      </x:c>
      <x:c r="B4" s="76" t="n">
        <x:v>2000000</x:v>
      </x:c>
      <x:c r="C4" s="37" t="str">
        <x:v>PLOT</x:v>
      </x:c>
      <x:c r="D4" s="37" t="str">
        <x:v>Yes</x:v>
      </x:c>
      <x:c r="E4" s="37" t="str">
        <x:v>Fixed weekly competitive payout</x:v>
      </x:c>
      <x:c r="F4" s="37" t="str">
        <x:v>Depends on tokenomics</x:v>
      </x:c>
      <x:c r="G4" s="38" t="str">
        <x:v>Matches existing payout model</x:v>
      </x:c>
    </x:row>
    <x:row r="5">
      <x:c r="A5" s="39" t="str">
        <x:v>Illustrative Eligible Players</x:v>
      </x:c>
      <x:c r="B5" s="71" t="n">
        <x:v>10000</x:v>
      </x:c>
      <x:c r="C5" s="22" t="str">
        <x:v>players</x:v>
      </x:c>
      <x:c r="D5" s="22" t="str">
        <x:v>Yes</x:v>
      </x:c>
      <x:c r="E5" s="22" t="str">
        <x:v>Scenario sizing</x:v>
      </x:c>
      <x:c r="F5" s="22" t="str">
        <x:v>1k–100k</x:v>
      </x:c>
      <x:c r="G5" s="40" t="str">
        <x:v>Not a forecast</x:v>
      </x:c>
    </x:row>
    <x:row r="6">
      <x:c r="A6" s="39" t="str">
        <x:v>Season Length</x:v>
      </x:c>
      <x:c r="B6" s="71" t="n">
        <x:v>8</x:v>
      </x:c>
      <x:c r="C6" s="22" t="str">
        <x:v>weeks</x:v>
      </x:c>
      <x:c r="D6" s="22" t="str">
        <x:v>Yes</x:v>
      </x:c>
      <x:c r="E6" s="22" t="str">
        <x:v>Competitive season cadence</x:v>
      </x:c>
      <x:c r="F6" s="22" t="str">
        <x:v>6–12</x:v>
      </x:c>
      <x:c r="G6" s="40" t="str"/>
    </x:row>
    <x:row r="7">
      <x:c r="A7" s="39" t="str">
        <x:v>Placement Eligible Weeks</x:v>
      </x:c>
      <x:c r="B7" s="71" t="n">
        <x:v>3</x:v>
      </x:c>
      <x:c r="C7" s="22" t="str">
        <x:v>weeks</x:v>
      </x:c>
      <x:c r="D7" s="22" t="str">
        <x:v>Yes</x:v>
      </x:c>
      <x:c r="E7" s="22" t="str">
        <x:v>New-player calibration</x:v>
      </x:c>
      <x:c r="F7" s="22" t="str">
        <x:v>2–4</x:v>
      </x:c>
      <x:c r="G7" s="40" t="str">
        <x:v>Initial placement max Gold</x:v>
      </x:c>
    </x:row>
    <x:row r="8">
      <x:c r="A8" s="39" t="str">
        <x:v>Starting Provisional Rating</x:v>
      </x:c>
      <x:c r="B8" s="71" t="n">
        <x:v>1000</x:v>
      </x:c>
      <x:c r="C8" s="22" t="str">
        <x:v>rating</x:v>
      </x:c>
      <x:c r="D8" s="22" t="str">
        <x:v>Yes</x:v>
      </x:c>
      <x:c r="E8" s="22" t="str">
        <x:v>Placement anchor</x:v>
      </x:c>
      <x:c r="F8" s="22" t="str">
        <x:v>900–1100</x:v>
      </x:c>
      <x:c r="G8" s="40" t="str">
        <x:v>Provisional only</x:v>
      </x:c>
    </x:row>
    <x:row r="9">
      <x:c r="A9" s="39" t="str">
        <x:v>Rating K Factor</x:v>
      </x:c>
      <x:c r="B9" s="71" t="n">
        <x:v>24</x:v>
      </x:c>
      <x:c r="C9" s="22" t="str">
        <x:v>rating scale</x:v>
      </x:c>
      <x:c r="D9" s="22" t="str">
        <x:v>Yes</x:v>
      </x:c>
      <x:c r="E9" s="22" t="str">
        <x:v>Weekly rating sensitivity</x:v>
      </x:c>
      <x:c r="F9" s="22" t="str">
        <x:v>15–35</x:v>
      </x:c>
      <x:c r="G9" s="40" t="str"/>
    </x:row>
    <x:row r="10">
      <x:c r="A10" s="39" t="str">
        <x:v>Max Weekly Rating Gain</x:v>
      </x:c>
      <x:c r="B10" s="71" t="n">
        <x:v>75</x:v>
      </x:c>
      <x:c r="C10" s="22" t="str">
        <x:v>rating</x:v>
      </x:c>
      <x:c r="D10" s="22" t="str">
        <x:v>Yes</x:v>
      </x:c>
      <x:c r="E10" s="22" t="str">
        <x:v>Prevents instant league jumps</x:v>
      </x:c>
      <x:c r="F10" s="22" t="str">
        <x:v>50–100</x:v>
      </x:c>
      <x:c r="G10" s="40" t="str"/>
    </x:row>
    <x:row r="11">
      <x:c r="A11" s="39" t="str">
        <x:v>Max Weekly Rating Loss</x:v>
      </x:c>
      <x:c r="B11" s="71" t="n">
        <x:v>60</x:v>
      </x:c>
      <x:c r="C11" s="22" t="str">
        <x:v>rating</x:v>
      </x:c>
      <x:c r="D11" s="22" t="str">
        <x:v>Yes</x:v>
      </x:c>
      <x:c r="E11" s="22" t="str">
        <x:v>Avoid harsh drops</x:v>
      </x:c>
      <x:c r="F11" s="22" t="str">
        <x:v>40–80</x:v>
      </x:c>
      <x:c r="G11" s="40" t="str"/>
    </x:row>
    <x:row r="12">
      <x:c r="A12" s="39" t="str">
        <x:v>Top Decile Acceleration Bonus</x:v>
      </x:c>
      <x:c r="B12" s="71" t="n">
        <x:v>20</x:v>
      </x:c>
      <x:c r="C12" s="22" t="str">
        <x:v>rating</x:v>
      </x:c>
      <x:c r="D12" s="22" t="str">
        <x:v>Yes</x:v>
      </x:c>
      <x:c r="E12" s="22" t="str">
        <x:v>Rewards exceptional weeks</x:v>
      </x:c>
      <x:c r="F12" s="22" t="str">
        <x:v>10–30</x:v>
      </x:c>
      <x:c r="G12" s="40" t="str"/>
    </x:row>
    <x:row r="13">
      <x:c r="A13" s="39" t="str">
        <x:v>Bottom Decile Pressure</x:v>
      </x:c>
      <x:c r="B13" s="71" t="n">
        <x:v>15</x:v>
      </x:c>
      <x:c r="C13" s="22" t="str">
        <x:v>rating loss</x:v>
      </x:c>
      <x:c r="D13" s="22" t="str">
        <x:v>Yes</x:v>
      </x:c>
      <x:c r="E13" s="22" t="str">
        <x:v>Creates movement at bottom</x:v>
      </x:c>
      <x:c r="F13" s="22" t="str">
        <x:v>5–25</x:v>
      </x:c>
      <x:c r="G13" s="40" t="str"/>
    </x:row>
    <x:row r="14">
      <x:c r="A14" s="39" t="str">
        <x:v>Promotion Protection</x:v>
      </x:c>
      <x:c r="B14" s="71" t="n">
        <x:v>1</x:v>
      </x:c>
      <x:c r="C14" s="22" t="str">
        <x:v>week</x:v>
      </x:c>
      <x:c r="D14" s="22" t="str">
        <x:v>Yes</x:v>
      </x:c>
      <x:c r="E14" s="22" t="str">
        <x:v>No immediate relegation after promotion</x:v>
      </x:c>
      <x:c r="F14" s="22" t="str">
        <x:v>1–2</x:v>
      </x:c>
      <x:c r="G14" s="40" t="str"/>
    </x:row>
    <x:row r="15">
      <x:c r="A15" s="39" t="str">
        <x:v>Inactivity Grace</x:v>
      </x:c>
      <x:c r="B15" s="71" t="n">
        <x:v>1</x:v>
      </x:c>
      <x:c r="C15" s="22" t="str">
        <x:v>week</x:v>
      </x:c>
      <x:c r="D15" s="22" t="str">
        <x:v>Yes</x:v>
      </x:c>
      <x:c r="E15" s="22" t="str">
        <x:v>First missed week does not hard-relegate</x:v>
      </x:c>
      <x:c r="F15" s="22" t="str">
        <x:v>1</x:v>
      </x:c>
      <x:c r="G15" s="40" t="str"/>
    </x:row>
    <x:row r="16">
      <x:c r="A16" s="39" t="str">
        <x:v>Inactivity Rating Decay</x:v>
      </x:c>
      <x:c r="B16" s="71" t="n">
        <x:v>40</x:v>
      </x:c>
      <x:c r="C16" s="22" t="str">
        <x:v>rating/week</x:v>
      </x:c>
      <x:c r="D16" s="22" t="str">
        <x:v>Yes</x:v>
      </x:c>
      <x:c r="E16" s="22" t="str">
        <x:v>Removes inactive players over time</x:v>
      </x:c>
      <x:c r="F16" s="22" t="str">
        <x:v>20–60</x:v>
      </x:c>
      <x:c r="G16" s="40" t="str">
        <x:v>After grace</x:v>
      </x:c>
    </x:row>
    <x:row r="17">
      <x:c r="A17" s="39" t="str">
        <x:v>Minimum Active Days Bronze–Gold</x:v>
      </x:c>
      <x:c r="B17" s="71" t="n">
        <x:v>3</x:v>
      </x:c>
      <x:c r="C17" s="22" t="str">
        <x:v>days</x:v>
      </x:c>
      <x:c r="D17" s="22" t="str">
        <x:v>Yes</x:v>
      </x:c>
      <x:c r="E17" s="22" t="str">
        <x:v>Weekly eligibility</x:v>
      </x:c>
      <x:c r="F17" s="22" t="str">
        <x:v>2–4</x:v>
      </x:c>
      <x:c r="G17" s="40" t="str"/>
    </x:row>
    <x:row r="18">
      <x:c r="A18" s="39" t="str">
        <x:v>Minimum Active Days Platinum+</x:v>
      </x:c>
      <x:c r="B18" s="71" t="n">
        <x:v>4</x:v>
      </x:c>
      <x:c r="C18" s="22" t="str">
        <x:v>days</x:v>
      </x:c>
      <x:c r="D18" s="22" t="str">
        <x:v>Yes</x:v>
      </x:c>
      <x:c r="E18" s="22" t="str">
        <x:v>Higher league integrity</x:v>
      </x:c>
      <x:c r="F18" s="22" t="str">
        <x:v>3–5</x:v>
      </x:c>
      <x:c r="G18" s="40" t="str"/>
    </x:row>
    <x:row r="19">
      <x:c r="A19" s="39" t="str">
        <x:v>Payout Exponent</x:v>
      </x:c>
      <x:c r="B19" s="78" t="n">
        <x:v>0.85</x:v>
      </x:c>
      <x:c r="C19" s="22" t="str">
        <x:v>exponent</x:v>
      </x:c>
      <x:c r="D19" s="22" t="str">
        <x:v>Yes</x:v>
      </x:c>
      <x:c r="E19" s="22" t="str">
        <x:v>Smooths payout concentration</x:v>
      </x:c>
      <x:c r="F19" s="22" t="str">
        <x:v>0.80–0.95</x:v>
      </x:c>
      <x:c r="G19" s="40" t="str">
        <x:v>Matches payout workbook</x:v>
      </x:c>
    </x:row>
    <x:row r="20">
      <x:c r="A20" s="39" t="str">
        <x:v>Max Player Pool Share</x:v>
      </x:c>
      <x:c r="B20" s="71" t="n">
        <x:v>0.015</x:v>
      </x:c>
      <x:c r="C20" s="22" t="str">
        <x:v>% of league pool</x:v>
      </x:c>
      <x:c r="D20" s="22" t="str">
        <x:v>Yes</x:v>
      </x:c>
      <x:c r="E20" s="22" t="str">
        <x:v>Concentration cap</x:v>
      </x:c>
      <x:c r="F20" s="22" t="str">
        <x:v>1%–2%</x:v>
      </x:c>
      <x:c r="G20" s="40" t="str"/>
    </x:row>
    <x:row r="21">
      <x:c r="A21" s="39" t="str">
        <x:v>Average-Multiple Cap</x:v>
      </x:c>
      <x:c r="B21" s="71" t="n">
        <x:v>8</x:v>
      </x:c>
      <x:c r="C21" s="22" t="str">
        <x:v>x average share</x:v>
      </x:c>
      <x:c r="D21" s="22" t="str">
        <x:v>Yes</x:v>
      </x:c>
      <x:c r="E21" s="22" t="str">
        <x:v>Large-league payout cap</x:v>
      </x:c>
      <x:c r="F21" s="22" t="str">
        <x:v>5–10x</x:v>
      </x:c>
      <x:c r="G21" s="40" t="str"/>
    </x:row>
    <x:row r="22">
      <x:c r="A22" s="39" t="str">
        <x:v>Season Rating Compression</x:v>
      </x:c>
      <x:c r="B22" s="78" t="n">
        <x:v>0.1</x:v>
      </x:c>
      <x:c r="C22" s="22" t="str">
        <x:v>% toward anchor</x:v>
      </x:c>
      <x:c r="D22" s="22" t="str">
        <x:v>Yes</x:v>
      </x:c>
      <x:c r="E22" s="22" t="str">
        <x:v>Soft reset without erasing skill</x:v>
      </x:c>
      <x:c r="F22" s="22" t="str">
        <x:v>5%–20%</x:v>
      </x:c>
      <x:c r="G22" s="40" t="str"/>
    </x:row>
    <x:row r="23">
      <x:c r="A23" s="39" t="str">
        <x:v>Season Compression Anchor</x:v>
      </x:c>
      <x:c r="B23" s="71" t="n">
        <x:v>1200</x:v>
      </x:c>
      <x:c r="C23" s="22" t="str">
        <x:v>rating</x:v>
      </x:c>
      <x:c r="D23" s="22" t="str">
        <x:v>Yes</x:v>
      </x:c>
      <x:c r="E23" s="22" t="str">
        <x:v>Soft-reset center</x:v>
      </x:c>
      <x:c r="F23" s="22" t="str">
        <x:v>1100–1300</x:v>
      </x:c>
      <x:c r="G23" s="40" t="str">
        <x:v>Gold boundary area</x:v>
      </x:c>
    </x:row>
    <x:row r="24">
      <x:c r="A24" s="39" t="str">
        <x:v>Seasonal PLOT Bonus Pool</x:v>
      </x:c>
      <x:c r="B24" s="71" t="n">
        <x:v>0</x:v>
      </x:c>
      <x:c r="C24" s="22" t="str">
        <x:v>PLOT</x:v>
      </x:c>
      <x:c r="D24" s="22" t="str">
        <x:v>Yes</x:v>
      </x:c>
      <x:c r="E24" s="22" t="str">
        <x:v>Optional separate season-end pool</x:v>
      </x:c>
      <x:c r="F24" s="22" t="str">
        <x:v>0 by default</x:v>
      </x:c>
      <x:c r="G24" s="40" t="str">
        <x:v>Cosmetics recommended first</x:v>
      </x:c>
    </x:row>
    <x:row r="25">
      <x:c r="A25" s="41" t="str">
        <x:v>Claim Window</x:v>
      </x:c>
      <x:c r="B25" s="80" t="n">
        <x:v>30</x:v>
      </x:c>
      <x:c r="C25" s="42" t="str">
        <x:v>days</x:v>
      </x:c>
      <x:c r="D25" s="42" t="str">
        <x:v>Yes</x:v>
      </x:c>
      <x:c r="E25" s="42" t="str">
        <x:v>Reward claim availability</x:v>
      </x:c>
      <x:c r="F25" s="42" t="str">
        <x:v>14–60</x:v>
      </x:c>
      <x:c r="G25" s="43" t="str"/>
    </x:row>
    <x:row r="27">
      <x:c r="B27" s="82"/>
    </x:row>
  </x:sheetData>
  <x:mergeCells>
    <x:mergeCell ref="A1:G1"/>
  </x:mergeCells>
  <x:conditionalFormatting sqref="B4:B25">
    <x:cfRule type="expression" dxfId="0" priority="1">
      <x:formula>B4&lt;&gt;""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 ht="28" customHeight="1">
      <x:c r="A1" s="122" t="str">
        <x:v>Competitive League Definitions &amp; Movement Rules</x:v>
      </x:c>
      <x:c r="B1" s="122"/>
      <x:c r="C1" s="122"/>
      <x:c r="D1" s="122"/>
      <x:c r="E1" s="122"/>
      <x:c r="F1" s="122"/>
      <x:c r="G1" s="122"/>
      <x:c r="H1" s="122"/>
      <x:c r="I1" s="122"/>
      <x:c r="J1" s="122"/>
      <x:c r="K1" s="122"/>
      <x:c r="L1" s="122"/>
      <x:c r="M1" s="122"/>
      <x:c r="N1" s="122"/>
      <x:c r="O1" s="22"/>
      <x:c r="P1" s="22"/>
      <x:c r="Q1" s="22"/>
    </x:row>
    <x:row r="3">
      <x:c r="A3" s="14" t="str">
        <x:v>League</x:v>
      </x:c>
      <x:c r="B3" s="14" t="str">
        <x:v>Min Rating</x:v>
      </x:c>
      <x:c r="C3" s="14" t="str">
        <x:v>Max Rating</x:v>
      </x:c>
      <x:c r="D3" s="14" t="str">
        <x:v>Expected Perf Score</x:v>
      </x:c>
      <x:c r="E3" s="14" t="str">
        <x:v>Min Weekly Score</x:v>
      </x:c>
      <x:c r="F3" s="14" t="str">
        <x:v>Min Active Days</x:v>
      </x:c>
      <x:c r="G3" s="14" t="str">
        <x:v>Weekly Pool Share</x:v>
      </x:c>
      <x:c r="H3" s="14" t="str">
        <x:v>Illustrative Player Share</x:v>
      </x:c>
      <x:c r="I3" s="14" t="str">
        <x:v>Fast-Track Eligible?</x:v>
      </x:c>
      <x:c r="J3" s="14" t="str">
        <x:v>Promotion Protection</x:v>
      </x:c>
      <x:c r="K3" s="14" t="str">
        <x:v>Relegation Trigger</x:v>
      </x:c>
      <x:c r="L3" s="14" t="str">
        <x:v>Maturity Requirement</x:v>
      </x:c>
      <x:c r="M3" s="14" t="str">
        <x:v>Plot Requirement</x:v>
      </x:c>
      <x:c r="N3" s="14" t="str">
        <x:v>Design Role</x:v>
      </x:c>
    </x:row>
    <x:row r="4">
      <x:c r="A4" s="36" t="str">
        <x:v>Bronze</x:v>
      </x:c>
      <x:c r="B4" s="58" t="n">
        <x:v>0</x:v>
      </x:c>
      <x:c r="C4" s="58" t="n">
        <x:v>899</x:v>
      </x:c>
      <x:c r="D4" s="58" t="n">
        <x:v>65</x:v>
      </x:c>
      <x:c r="E4" s="58" t="n">
        <x:v>35</x:v>
      </x:c>
      <x:c r="F4" s="58" t="n">
        <x:v>3</x:v>
      </x:c>
      <x:c r="G4" s="52" t="n">
        <x:v>0.14</x:v>
      </x:c>
      <x:c r="H4" s="52" t="n">
        <x:v>0.3</x:v>
      </x:c>
      <x:c r="I4" s="37" t="str">
        <x:v>Yes</x:v>
      </x:c>
      <x:c r="J4" s="37" t="str">
        <x:v>N/A</x:v>
      </x:c>
      <x:c r="K4" s="37" t="str">
        <x:v>None</x:v>
      </x:c>
      <x:c r="L4" s="37" t="str">
        <x:v>None</x:v>
      </x:c>
      <x:c r="M4" s="37" t="str">
        <x:v>None</x:v>
      </x:c>
      <x:c r="N4" s="38" t="str">
        <x:v>Entry and recovery</x:v>
      </x:c>
    </x:row>
    <x:row r="5">
      <x:c r="A5" s="39" t="str">
        <x:v>Silver</x:v>
      </x:c>
      <x:c r="B5" s="59" t="n">
        <x:v>900</x:v>
      </x:c>
      <x:c r="C5" s="59" t="n">
        <x:v>1099</x:v>
      </x:c>
      <x:c r="D5" s="59" t="n">
        <x:v>75</x:v>
      </x:c>
      <x:c r="E5" s="59" t="n">
        <x:v>40</x:v>
      </x:c>
      <x:c r="F5" s="59" t="n">
        <x:v>3</x:v>
      </x:c>
      <x:c r="G5" s="53" t="n">
        <x:v>0.17</x:v>
      </x:c>
      <x:c r="H5" s="53" t="n">
        <x:v>0.25</x:v>
      </x:c>
      <x:c r="I5" s="22" t="str">
        <x:v>Yes</x:v>
      </x:c>
      <x:c r="J5" s="22" t="str">
        <x:v>1 week</x:v>
      </x:c>
      <x:c r="K5" s="22" t="str">
        <x:v>Rating &lt;900 after protection</x:v>
      </x:c>
      <x:c r="L5" s="22" t="str">
        <x:v>None</x:v>
      </x:c>
      <x:c r="M5" s="22" t="str">
        <x:v>None</x:v>
      </x:c>
      <x:c r="N5" s="40" t="str">
        <x:v>Consistent players</x:v>
      </x:c>
    </x:row>
    <x:row r="6">
      <x:c r="A6" s="39" t="str">
        <x:v>Gold</x:v>
      </x:c>
      <x:c r="B6" s="59" t="n">
        <x:v>1100</x:v>
      </x:c>
      <x:c r="C6" s="59" t="n">
        <x:v>1299</x:v>
      </x:c>
      <x:c r="D6" s="59" t="n">
        <x:v>85</x:v>
      </x:c>
      <x:c r="E6" s="59" t="n">
        <x:v>45</x:v>
      </x:c>
      <x:c r="F6" s="59" t="n">
        <x:v>3</x:v>
      </x:c>
      <x:c r="G6" s="53" t="n">
        <x:v>0.2</x:v>
      </x:c>
      <x:c r="H6" s="53" t="n">
        <x:v>0.2</x:v>
      </x:c>
      <x:c r="I6" s="22" t="str">
        <x:v>Yes</x:v>
      </x:c>
      <x:c r="J6" s="22" t="str">
        <x:v>1 week</x:v>
      </x:c>
      <x:c r="K6" s="22" t="str">
        <x:v>Rating &lt;1100 after protection</x:v>
      </x:c>
      <x:c r="L6" s="22" t="str">
        <x:v>None</x:v>
      </x:c>
      <x:c r="M6" s="22" t="str">
        <x:v>None</x:v>
      </x:c>
      <x:c r="N6" s="40" t="str">
        <x:v>Strong competitive middle</x:v>
      </x:c>
    </x:row>
    <x:row r="7">
      <x:c r="A7" s="39" t="str">
        <x:v>Platinum</x:v>
      </x:c>
      <x:c r="B7" s="59" t="n">
        <x:v>1300</x:v>
      </x:c>
      <x:c r="C7" s="59" t="n">
        <x:v>1499</x:v>
      </x:c>
      <x:c r="D7" s="59" t="n">
        <x:v>95</x:v>
      </x:c>
      <x:c r="E7" s="59" t="n">
        <x:v>50</x:v>
      </x:c>
      <x:c r="F7" s="59" t="n">
        <x:v>4</x:v>
      </x:c>
      <x:c r="G7" s="53" t="n">
        <x:v>0.2</x:v>
      </x:c>
      <x:c r="H7" s="53" t="n">
        <x:v>0.13</x:v>
      </x:c>
      <x:c r="I7" s="22" t="str">
        <x:v>Yes</x:v>
      </x:c>
      <x:c r="J7" s="22" t="str">
        <x:v>1 week</x:v>
      </x:c>
      <x:c r="K7" s="22" t="str">
        <x:v>Rating &lt;1300 after protection</x:v>
      </x:c>
      <x:c r="L7" s="22" t="str">
        <x:v>None</x:v>
      </x:c>
      <x:c r="M7" s="22" t="str">
        <x:v>None</x:v>
      </x:c>
      <x:c r="N7" s="40" t="str">
        <x:v>Advanced operator league</x:v>
      </x:c>
    </x:row>
    <x:row r="8">
      <x:c r="A8" s="39" t="str">
        <x:v>Diamond</x:v>
      </x:c>
      <x:c r="B8" s="59" t="n">
        <x:v>1500</x:v>
      </x:c>
      <x:c r="C8" s="59" t="n">
        <x:v>1699</x:v>
      </x:c>
      <x:c r="D8" s="59" t="n">
        <x:v>103</x:v>
      </x:c>
      <x:c r="E8" s="59" t="n">
        <x:v>55</x:v>
      </x:c>
      <x:c r="F8" s="59" t="n">
        <x:v>4</x:v>
      </x:c>
      <x:c r="G8" s="53" t="n">
        <x:v>0.17</x:v>
      </x:c>
      <x:c r="H8" s="53" t="n">
        <x:v>0.08</x:v>
      </x:c>
      <x:c r="I8" s="22" t="str">
        <x:v>Yes</x:v>
      </x:c>
      <x:c r="J8" s="22" t="str">
        <x:v>1 week</x:v>
      </x:c>
      <x:c r="K8" s="22" t="str">
        <x:v>Rating &lt;1500 after protection</x:v>
      </x:c>
      <x:c r="L8" s="22" t="str">
        <x:v>None</x:v>
      </x:c>
      <x:c r="M8" s="22" t="str">
        <x:v>None</x:v>
      </x:c>
      <x:c r="N8" s="40" t="str">
        <x:v>Elite competitive league</x:v>
      </x:c>
    </x:row>
    <x:row r="9">
      <x:c r="A9" s="41" t="str">
        <x:v>Tycoon</x:v>
      </x:c>
      <x:c r="B9" s="60" t="n">
        <x:v>1700</x:v>
      </x:c>
      <x:c r="C9" s="60" t="n">
        <x:v>9999</x:v>
      </x:c>
      <x:c r="D9" s="60" t="n">
        <x:v>110</x:v>
      </x:c>
      <x:c r="E9" s="60" t="n">
        <x:v>60</x:v>
      </x:c>
      <x:c r="F9" s="60" t="n">
        <x:v>4</x:v>
      </x:c>
      <x:c r="G9" s="54" t="n">
        <x:v>0.12</x:v>
      </x:c>
      <x:c r="H9" s="54" t="n">
        <x:v>0.04</x:v>
      </x:c>
      <x:c r="I9" s="42" t="str">
        <x:v>No</x:v>
      </x:c>
      <x:c r="J9" s="42" t="str">
        <x:v>1 week</x:v>
      </x:c>
      <x:c r="K9" s="42" t="str">
        <x:v>Rating &lt;1700 after protection</x:v>
      </x:c>
      <x:c r="L9" s="42" t="str">
        <x:v>None</x:v>
      </x:c>
      <x:c r="M9" s="42" t="str">
        <x:v>None</x:v>
      </x:c>
      <x:c r="N9" s="43" t="str">
        <x:v>Highest competitive league</x:v>
      </x:c>
    </x:row>
    <x:row r="11" ht="22" customHeight="1">
      <x:c r="A11" s="33" t="str">
        <x:v>Important Separation: League vs Empire Stage</x:v>
      </x:c>
      <x:c r="B11" s="33"/>
      <x:c r="C11" s="33"/>
      <x:c r="D11" s="33"/>
      <x:c r="E11" s="33"/>
      <x:c r="F11" s="33"/>
      <x:c r="G11" s="33"/>
      <x:c r="H11" s="33"/>
      <x:c r="I11" s="33"/>
      <x:c r="J11" s="33"/>
      <x:c r="K11" s="33"/>
      <x:c r="L11" s="33"/>
      <x:c r="M11" s="33"/>
      <x:c r="N11" s="33"/>
    </x:row>
    <x:row r="12">
      <x:c r="A12" s="14" t="str">
        <x:v>Concept</x:v>
      </x:c>
      <x:c r="B12" s="14" t="str">
        <x:v>Rule</x:v>
      </x:c>
    </x:row>
    <x:row r="13">
      <x:c r="A13" s="36" t="str">
        <x:v>Empire Stage</x:v>
      </x:c>
      <x:c r="B13" s="38" t="str">
        <x:v>Humble/Starter/Growing/Established/Elite/Tycoon describes progression maturity and content access.</x:v>
      </x:c>
    </x:row>
    <x:row r="14">
      <x:c r="A14" s="39" t="str">
        <x:v>Competitive League</x:v>
      </x:c>
      <x:c r="B14" s="40" t="str">
        <x:v>Bronze/Silver/Gold/Platinum/Diamond/Tycoon describes competitive skill/consistency.</x:v>
      </x:c>
    </x:row>
    <x:row r="15">
      <x:c r="A15" s="39" t="str">
        <x:v>Same name 'Tycoon'</x:v>
      </x:c>
      <x:c r="B15" s="40" t="str">
        <x:v>Competitive Tycoon does not require Empire Tycoon. Consider renaming competitive top league later if clarity becomes an issue.</x:v>
      </x:c>
    </x:row>
    <x:row r="16">
      <x:c r="A16" s="39" t="str">
        <x:v>Score normalization</x:v>
      </x:c>
      <x:c r="B16" s="40" t="str">
        <x:v>Performance inputs are stage-normalized before they affect league rating or payout.</x:v>
      </x:c>
    </x:row>
    <x:row r="17">
      <x:c r="A17" s="39" t="str">
        <x:v>Land ownership</x:v>
      </x:c>
      <x:c r="B17" s="40" t="str">
        <x:v>Plot count is not a league eligibility criterion.</x:v>
      </x:c>
    </x:row>
    <x:row r="18">
      <x:c r="A18" s="41" t="str">
        <x:v>Building count</x:v>
      </x:c>
      <x:c r="B18" s="43" t="str">
        <x:v>Building count is not a league eligibility criterion.</x:v>
      </x:c>
    </x:row>
  </x:sheetData>
  <x:mergeCells>
    <x:mergeCell ref="A1:N1"/>
    <x:mergeCell ref="A11:N1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 ht="28" customHeight="1">
      <x:c r="A1" s="122" t="str">
        <x:v>New Player Placement &amp; Provisional Competition</x:v>
      </x:c>
      <x:c r="B1" s="122"/>
      <x:c r="C1" s="122"/>
      <x:c r="D1" s="122"/>
      <x:c r="E1" s="122"/>
      <x:c r="F1" s="122"/>
      <x:c r="G1" s="122"/>
      <x:c r="H1" s="122"/>
      <x:c r="I1" s="122"/>
      <x:c r="J1" s="122"/>
      <x:c r="K1" s="122"/>
      <x:c r="L1" s="122"/>
      <x:c r="M1" s="122"/>
      <x:c r="N1" s="122"/>
      <x:c r="O1" s="22"/>
      <x:c r="P1" s="22"/>
      <x:c r="Q1" s="22"/>
    </x:row>
    <x:row r="3">
      <x:c r="A3" s="14" t="str">
        <x:v>Step</x:v>
      </x:c>
      <x:c r="B3" s="14" t="str">
        <x:v>Week</x:v>
      </x:c>
      <x:c r="C3" s="14" t="str">
        <x:v>Eligibility</x:v>
      </x:c>
      <x:c r="D3" s="14" t="str">
        <x:v>Performance Used</x:v>
      </x:c>
      <x:c r="E3" s="14" t="str">
        <x:v>Rating State</x:v>
      </x:c>
      <x:c r="F3" s="14" t="str">
        <x:v>League Display</x:v>
      </x:c>
      <x:c r="G3" s="14" t="str">
        <x:v>Payout Eligibility</x:v>
      </x:c>
      <x:c r="H3" s="14" t="str">
        <x:v>Promotion/Relegation</x:v>
      </x:c>
      <x:c r="I3" s="14" t="str">
        <x:v>Integrity Rule</x:v>
      </x:c>
      <x:c r="J3" s="14" t="str">
        <x:v>New Player Protection</x:v>
      </x:c>
      <x:c r="K3" s="14" t="str">
        <x:v>Max Placement League</x:v>
      </x:c>
      <x:c r="L3" s="14" t="str">
        <x:v>Failure / Missed Week</x:v>
      </x:c>
      <x:c r="M3" s="14" t="str">
        <x:v>UI Message</x:v>
      </x:c>
      <x:c r="N3" s="14" t="str">
        <x:v>Notes</x:v>
      </x:c>
    </x:row>
    <x:row r="4">
      <x:c r="A4" s="36" t="n">
        <x:v>1</x:v>
      </x:c>
      <x:c r="B4" s="37" t="str">
        <x:v>First eligible week</x:v>
      </x:c>
      <x:c r="C4" s="37" t="str">
        <x:v>Meet active days + valid score</x:v>
      </x:c>
      <x:c r="D4" s="37" t="str">
        <x:v>Week 1 normalized Performance</x:v>
      </x:c>
      <x:c r="E4" s="37" t="str">
        <x:v>Provisional 1000 ± limited delta</x:v>
      </x:c>
      <x:c r="F4" s="37" t="str">
        <x:v>Provisional</x:v>
      </x:c>
      <x:c r="G4" s="37" t="str">
        <x:v>Yes, provisional Bronze pool</x:v>
      </x:c>
      <x:c r="H4" s="37" t="str">
        <x:v>No movement yet</x:v>
      </x:c>
      <x:c r="I4" s="37" t="str">
        <x:v>Full anti-cheat</x:v>
      </x:c>
      <x:c r="J4" s="37" t="str">
        <x:v>No crisis-based inactivity penalty</x:v>
      </x:c>
      <x:c r="K4" s="37" t="str">
        <x:v>Gold</x:v>
      </x:c>
      <x:c r="L4" s="37" t="str">
        <x:v>Does not count toward placement if ineligible</x:v>
      </x:c>
      <x:c r="M4" s="37" t="str">
        <x:v>Placement 1 of 3</x:v>
      </x:c>
      <x:c r="N4" s="38" t="str"/>
    </x:row>
    <x:row r="5">
      <x:c r="A5" s="39" t="n">
        <x:v>2</x:v>
      </x:c>
      <x:c r="B5" s="22" t="str">
        <x:v>Second eligible week</x:v>
      </x:c>
      <x:c r="C5" s="22" t="str">
        <x:v>Meet active days + valid score</x:v>
      </x:c>
      <x:c r="D5" s="22" t="str">
        <x:v>Average + trend of Weeks 1–2</x:v>
      </x:c>
      <x:c r="E5" s="22" t="str">
        <x:v>Provisional</x:v>
      </x:c>
      <x:c r="F5" s="22" t="str">
        <x:v>Provisional</x:v>
      </x:c>
      <x:c r="G5" s="22" t="str">
        <x:v>Yes, provisional Silver pool if rating qualifies</x:v>
      </x:c>
      <x:c r="H5" s="22" t="str">
        <x:v>No movement yet</x:v>
      </x:c>
      <x:c r="I5" s="22" t="str">
        <x:v>Full anti-cheat</x:v>
      </x:c>
      <x:c r="J5" s="22" t="str">
        <x:v>Protected from inactivity decay</x:v>
      </x:c>
      <x:c r="K5" s="22" t="str">
        <x:v>Gold</x:v>
      </x:c>
      <x:c r="L5" s="22" t="str">
        <x:v>Placement pauses</x:v>
      </x:c>
      <x:c r="M5" s="22" t="str">
        <x:v>Placement 2 of 3</x:v>
      </x:c>
      <x:c r="N5" s="40" t="str"/>
    </x:row>
    <x:row r="6">
      <x:c r="A6" s="39" t="n">
        <x:v>3</x:v>
      </x:c>
      <x:c r="B6" s="22" t="str">
        <x:v>Third eligible week</x:v>
      </x:c>
      <x:c r="C6" s="22" t="str">
        <x:v>Meet active days + valid score</x:v>
      </x:c>
      <x:c r="D6" s="22" t="str">
        <x:v>3-week average + rating</x:v>
      </x:c>
      <x:c r="E6" s="22" t="str">
        <x:v>Final placement rating</x:v>
      </x:c>
      <x:c r="F6" s="22" t="str">
        <x:v>Bronze / Silver / Gold</x:v>
      </x:c>
      <x:c r="G6" s="22" t="str">
        <x:v>Yes</x:v>
      </x:c>
      <x:c r="H6" s="22" t="str">
        <x:v>Final league assigned</x:v>
      </x:c>
      <x:c r="I6" s="22" t="str">
        <x:v>Full anti-cheat</x:v>
      </x:c>
      <x:c r="J6" s="22" t="str">
        <x:v>Promotion protection begins</x:v>
      </x:c>
      <x:c r="K6" s="22" t="str">
        <x:v>Gold</x:v>
      </x:c>
      <x:c r="L6" s="22" t="str">
        <x:v>Placement pauses until third eligible week</x:v>
      </x:c>
      <x:c r="M6" s="22" t="str">
        <x:v>Placement complete</x:v>
      </x:c>
      <x:c r="N6" s="40" t="str"/>
    </x:row>
    <x:row r="7">
      <x:c r="A7" s="41" t="n">
        <x:v>4</x:v>
      </x:c>
      <x:c r="B7" s="42" t="str">
        <x:v>Week after placement</x:v>
      </x:c>
      <x:c r="C7" s="42" t="str">
        <x:v>Normal eligibility</x:v>
      </x:c>
      <x:c r="D7" s="42" t="str">
        <x:v>Current weekly score</x:v>
      </x:c>
      <x:c r="E7" s="42" t="str">
        <x:v>Normal Competitive Rating</x:v>
      </x:c>
      <x:c r="F7" s="42" t="str">
        <x:v>Assigned league</x:v>
      </x:c>
      <x:c r="G7" s="42" t="str">
        <x:v>Yes</x:v>
      </x:c>
      <x:c r="H7" s="42" t="str">
        <x:v>Normal</x:v>
      </x:c>
      <x:c r="I7" s="42" t="str">
        <x:v>Normal</x:v>
      </x:c>
      <x:c r="J7" s="42" t="str">
        <x:v>Promotion protection for 1 week</x:v>
      </x:c>
      <x:c r="K7" s="42" t="str">
        <x:v>N/A</x:v>
      </x:c>
      <x:c r="L7" s="42" t="str">
        <x:v>Standard inactivity rules</x:v>
      </x:c>
      <x:c r="M7" s="42" t="str">
        <x:v>League competition begins</x:v>
      </x:c>
      <x:c r="N7" s="43" t="str"/>
    </x:row>
    <x:row r="9" ht="22" customHeight="1">
      <x:c r="A9" s="33" t="str">
        <x:v>Initial Placement Score Bands</x:v>
      </x:c>
      <x:c r="B9" s="33"/>
      <x:c r="C9" s="33"/>
      <x:c r="D9" s="33"/>
      <x:c r="E9" s="33"/>
      <x:c r="F9" s="33"/>
      <x:c r="G9" s="33"/>
      <x:c r="H9" s="33"/>
      <x:c r="I9" s="33"/>
      <x:c r="J9" s="33"/>
      <x:c r="K9" s="33"/>
      <x:c r="L9" s="33"/>
      <x:c r="M9" s="33"/>
      <x:c r="N9" s="33"/>
    </x:row>
    <x:row r="10">
      <x:c r="A10" s="14" t="str">
        <x:v>3-Week Avg Performance</x:v>
      </x:c>
      <x:c r="B10" s="14" t="str">
        <x:v>Base Placement League</x:v>
      </x:c>
      <x:c r="C10" s="14" t="str">
        <x:v>Placement Rating</x:v>
      </x:c>
      <x:c r="D10" s="14" t="str">
        <x:v>Max Allowed</x:v>
      </x:c>
      <x:c r="E10" s="14" t="str">
        <x:v>Trend Bonus</x:v>
      </x:c>
      <x:c r="F10" s="14" t="str">
        <x:v>Integrity Required</x:v>
      </x:c>
      <x:c r="G10" s="14" t="str">
        <x:v>Why</x:v>
      </x:c>
      <x:c r="H10" s="14" t="str">
        <x:v>Notes</x:v>
      </x:c>
    </x:row>
    <x:row r="11">
      <x:c r="A11" s="36" t="str">
        <x:v>&lt;70</x:v>
      </x:c>
      <x:c r="B11" s="37" t="str">
        <x:v>Bronze</x:v>
      </x:c>
      <x:c r="C11" s="58" t="n">
        <x:v>850</x:v>
      </x:c>
      <x:c r="D11" s="37" t="str">
        <x:v>Gold</x:v>
      </x:c>
      <x:c r="E11" s="37" t="n">
        <x:v>0</x:v>
      </x:c>
      <x:c r="F11" s="37" t="str">
        <x:v>Yes</x:v>
      </x:c>
      <x:c r="G11" s="37" t="str">
        <x:v>Needs more stable operation</x:v>
      </x:c>
      <x:c r="H11" s="38" t="str"/>
    </x:row>
    <x:row r="12">
      <x:c r="A12" s="39" t="str">
        <x:v>70–81.99</x:v>
      </x:c>
      <x:c r="B12" s="22" t="str">
        <x:v>Silver</x:v>
      </x:c>
      <x:c r="C12" s="59" t="n">
        <x:v>950</x:v>
      </x:c>
      <x:c r="D12" s="22" t="str">
        <x:v>Gold</x:v>
      </x:c>
      <x:c r="E12" s="22" t="n">
        <x:v>0</x:v>
      </x:c>
      <x:c r="F12" s="22" t="str">
        <x:v>Yes</x:v>
      </x:c>
      <x:c r="G12" s="22" t="str">
        <x:v>Healthy early performance</x:v>
      </x:c>
      <x:c r="H12" s="40" t="str"/>
    </x:row>
    <x:row r="13">
      <x:c r="A13" s="39" t="str">
        <x:v>82–94.99</x:v>
      </x:c>
      <x:c r="B13" s="22" t="str">
        <x:v>Gold</x:v>
      </x:c>
      <x:c r="C13" s="59" t="n">
        <x:v>1150</x:v>
      </x:c>
      <x:c r="D13" s="22" t="str">
        <x:v>Gold</x:v>
      </x:c>
      <x:c r="E13" s="22" t="n">
        <x:v>0</x:v>
      </x:c>
      <x:c r="F13" s="22" t="str">
        <x:v>Yes</x:v>
      </x:c>
      <x:c r="G13" s="22" t="str">
        <x:v>Strong normalized operation</x:v>
      </x:c>
      <x:c r="H13" s="40" t="str"/>
    </x:row>
    <x:row r="14">
      <x:c r="A14" s="39" t="str">
        <x:v>95–104.99</x:v>
      </x:c>
      <x:c r="B14" s="22" t="str">
        <x:v>Gold</x:v>
      </x:c>
      <x:c r="C14" s="59" t="n">
        <x:v>1225</x:v>
      </x:c>
      <x:c r="D14" s="22" t="str">
        <x:v>Gold</x:v>
      </x:c>
      <x:c r="E14" s="22" t="n">
        <x:v>25</x:v>
      </x:c>
      <x:c r="F14" s="22" t="str">
        <x:v>Yes</x:v>
      </x:c>
      <x:c r="G14" s="22" t="str">
        <x:v>Excellent start but still must earn Platinum</x:v>
      </x:c>
      <x:c r="H14" s="40" t="str"/>
    </x:row>
    <x:row r="15">
      <x:c r="A15" s="41" t="str">
        <x:v>105+</x:v>
      </x:c>
      <x:c r="B15" s="42" t="str">
        <x:v>Gold</x:v>
      </x:c>
      <x:c r="C15" s="60" t="n">
        <x:v>1275</x:v>
      </x:c>
      <x:c r="D15" s="42" t="str">
        <x:v>Gold</x:v>
      </x:c>
      <x:c r="E15" s="42" t="n">
        <x:v>25</x:v>
      </x:c>
      <x:c r="F15" s="42" t="str">
        <x:v>Yes</x:v>
      </x:c>
      <x:c r="G15" s="42" t="str">
        <x:v>Exceptional start; protected from instant top-league placement</x:v>
      </x:c>
      <x:c r="H15" s="43" t="str"/>
    </x:row>
  </x:sheetData>
  <x:mergeCells>
    <x:mergeCell ref="A1:N1"/>
    <x:mergeCell ref="A9:N9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 ht="28" customHeight="1">
      <x:c r="A1" s="122" t="str">
        <x:v>Competitive Rating Model</x:v>
      </x:c>
      <x:c r="B1" s="122"/>
      <x:c r="C1" s="122"/>
      <x:c r="D1" s="122"/>
      <x:c r="E1" s="122"/>
      <x:c r="F1" s="122"/>
      <x:c r="G1" s="122"/>
      <x:c r="H1" s="122"/>
      <x:c r="I1" s="122"/>
      <x:c r="J1" s="122"/>
      <x:c r="K1" s="122"/>
      <x:c r="L1" s="122"/>
      <x:c r="M1" s="122"/>
      <x:c r="N1" s="122"/>
      <x:c r="O1" s="22"/>
      <x:c r="P1" s="22"/>
      <x:c r="Q1" s="22"/>
    </x:row>
    <x:row r="3">
      <x:c r="A3" s="14" t="str">
        <x:v>Input</x:v>
      </x:c>
      <x:c r="B3" s="14" t="str">
        <x:v>Formula / Rule</x:v>
      </x:c>
      <x:c r="C3" s="14" t="str">
        <x:v>Bronze</x:v>
      </x:c>
      <x:c r="D3" s="14" t="str">
        <x:v>Silver</x:v>
      </x:c>
      <x:c r="E3" s="14" t="str">
        <x:v>Gold</x:v>
      </x:c>
      <x:c r="F3" s="14" t="str">
        <x:v>Platinum</x:v>
      </x:c>
      <x:c r="G3" s="14" t="str">
        <x:v>Diamond</x:v>
      </x:c>
      <x:c r="H3" s="14" t="str">
        <x:v>Tycoon</x:v>
      </x:c>
      <x:c r="I3" s="14" t="str">
        <x:v>Cap/Floor</x:v>
      </x:c>
      <x:c r="J3" s="14" t="str">
        <x:v>Reason</x:v>
      </x:c>
      <x:c r="K3" s="14" t="str">
        <x:v>Player Visible?</x:v>
      </x:c>
      <x:c r="L3" s="14" t="str">
        <x:v>Abuse Risk</x:v>
      </x:c>
      <x:c r="M3" s="14" t="str">
        <x:v>Mitigation</x:v>
      </x:c>
      <x:c r="N3" s="14" t="str">
        <x:v>Notes</x:v>
      </x:c>
    </x:row>
    <x:row r="4">
      <x:c r="A4" s="36" t="str">
        <x:v>Expected Score Center</x:v>
      </x:c>
      <x:c r="B4" s="37" t="str">
        <x:v>League-specific expected Performance Score</x:v>
      </x:c>
      <x:c r="C4" s="58" t="n">
        <x:v>65</x:v>
      </x:c>
      <x:c r="D4" s="58" t="n">
        <x:v>75</x:v>
      </x:c>
      <x:c r="E4" s="58" t="n">
        <x:v>85</x:v>
      </x:c>
      <x:c r="F4" s="58" t="n">
        <x:v>95</x:v>
      </x:c>
      <x:c r="G4" s="58" t="n">
        <x:v>103</x:v>
      </x:c>
      <x:c r="H4" s="58" t="n">
        <x:v>110</x:v>
      </x:c>
      <x:c r="I4" s="37" t="str">
        <x:v>N/A</x:v>
      </x:c>
      <x:c r="J4" s="37" t="str">
        <x:v>Creates stronger expectation at higher league</x:v>
      </x:c>
      <x:c r="K4" s="37" t="str">
        <x:v>Yes</x:v>
      </x:c>
      <x:c r="L4" s="37" t="str">
        <x:v>Low</x:v>
      </x:c>
      <x:c r="M4" s="37" t="str">
        <x:v>Stage-normalized score</x:v>
      </x:c>
      <x:c r="N4" s="38" t="str"/>
    </x:row>
    <x:row r="5">
      <x:c r="A5" s="39" t="str">
        <x:v>Base Rating Delta</x:v>
      </x:c>
      <x:c r="B5" s="22" t="str">
        <x:v>K × (Performance - Expected) / 10</x:v>
      </x:c>
      <x:c r="C5" s="59" t="str">
        <x:v>Formula</x:v>
      </x:c>
      <x:c r="D5" s="59" t="str">
        <x:v>Formula</x:v>
      </x:c>
      <x:c r="E5" s="59" t="str">
        <x:v>Formula</x:v>
      </x:c>
      <x:c r="F5" s="59" t="str">
        <x:v>Formula</x:v>
      </x:c>
      <x:c r="G5" s="59" t="str">
        <x:v>Formula</x:v>
      </x:c>
      <x:c r="H5" s="59" t="str">
        <x:v>Formula</x:v>
      </x:c>
      <x:c r="I5" s="22" t="str">
        <x:v>± cap</x:v>
      </x:c>
      <x:c r="J5" s="22" t="str">
        <x:v>Rewards beating league expectation</x:v>
      </x:c>
      <x:c r="K5" s="22" t="str">
        <x:v>Yes</x:v>
      </x:c>
      <x:c r="L5" s="22" t="str">
        <x:v>Medium</x:v>
      </x:c>
      <x:c r="M5" s="22" t="str">
        <x:v>Server score only</x:v>
      </x:c>
      <x:c r="N5" s="40" t="str"/>
    </x:row>
    <x:row r="6">
      <x:c r="A6" s="39" t="str">
        <x:v>Top 10% Bonus</x:v>
      </x:c>
      <x:c r="B6" s="22" t="str">
        <x:v>+20 rating if weekly percentile &gt;=90%</x:v>
      </x:c>
      <x:c r="C6" s="59" t="n">
        <x:v>20</x:v>
      </x:c>
      <x:c r="D6" s="59" t="n">
        <x:v>20</x:v>
      </x:c>
      <x:c r="E6" s="59" t="n">
        <x:v>20</x:v>
      </x:c>
      <x:c r="F6" s="59" t="n">
        <x:v>20</x:v>
      </x:c>
      <x:c r="G6" s="59" t="n">
        <x:v>20</x:v>
      </x:c>
      <x:c r="H6" s="59" t="n">
        <x:v>0</x:v>
      </x:c>
      <x:c r="I6" s="22" t="str">
        <x:v>Max gain cap applies</x:v>
      </x:c>
      <x:c r="J6" s="22" t="str">
        <x:v>Accelerates standout players</x:v>
      </x:c>
      <x:c r="K6" s="22" t="str">
        <x:v>Yes</x:v>
      </x:c>
      <x:c r="L6" s="22" t="str">
        <x:v>Medium</x:v>
      </x:c>
      <x:c r="M6" s="22" t="str">
        <x:v>Percentile after integrity filters</x:v>
      </x:c>
      <x:c r="N6" s="40" t="str">
        <x:v>No Tycoon fast-track</x:v>
      </x:c>
    </x:row>
    <x:row r="7">
      <x:c r="A7" s="39" t="str">
        <x:v>Bottom 10% Pressure</x:v>
      </x:c>
      <x:c r="B7" s="22" t="str">
        <x:v>-15 rating if percentile &lt;=10%</x:v>
      </x:c>
      <x:c r="C7" s="59" t="n">
        <x:v>-15</x:v>
      </x:c>
      <x:c r="D7" s="59" t="n">
        <x:v>-15</x:v>
      </x:c>
      <x:c r="E7" s="59" t="n">
        <x:v>-15</x:v>
      </x:c>
      <x:c r="F7" s="59" t="n">
        <x:v>-15</x:v>
      </x:c>
      <x:c r="G7" s="59" t="n">
        <x:v>-15</x:v>
      </x:c>
      <x:c r="H7" s="59" t="n">
        <x:v>-15</x:v>
      </x:c>
      <x:c r="I7" s="22" t="str">
        <x:v>Max loss cap applies</x:v>
      </x:c>
      <x:c r="J7" s="22" t="str">
        <x:v>Creates movement</x:v>
      </x:c>
      <x:c r="K7" s="22" t="str">
        <x:v>Yes</x:v>
      </x:c>
      <x:c r="L7" s="22" t="str">
        <x:v>Medium</x:v>
      </x:c>
      <x:c r="M7" s="22" t="str">
        <x:v>Minimum sample size</x:v>
      </x:c>
      <x:c r="N7" s="40" t="str"/>
    </x:row>
    <x:row r="8">
      <x:c r="A8" s="39" t="str">
        <x:v>Inactivity</x:v>
      </x:c>
      <x:c r="B8" s="22" t="str">
        <x:v>0 first grace week, then -40/week</x:v>
      </x:c>
      <x:c r="C8" s="59" t="n">
        <x:v>0</x:v>
      </x:c>
      <x:c r="D8" s="59" t="n">
        <x:v>-40</x:v>
      </x:c>
      <x:c r="E8" s="59" t="n">
        <x:v>-40</x:v>
      </x:c>
      <x:c r="F8" s="59" t="n">
        <x:v>-40</x:v>
      </x:c>
      <x:c r="G8" s="59" t="n">
        <x:v>-40</x:v>
      </x:c>
      <x:c r="H8" s="59" t="n">
        <x:v>-40</x:v>
      </x:c>
      <x:c r="I8" s="22" t="str">
        <x:v>Cannot fall below Bronze floor</x:v>
      </x:c>
      <x:c r="J8" s="22" t="str">
        <x:v>Clears dead league slots</x:v>
      </x:c>
      <x:c r="K8" s="22" t="str">
        <x:v>Yes</x:v>
      </x:c>
      <x:c r="L8" s="22" t="str">
        <x:v>Low</x:v>
      </x:c>
      <x:c r="M8" s="22" t="str">
        <x:v>Grace + notification</x:v>
      </x:c>
      <x:c r="N8" s="40" t="str"/>
    </x:row>
    <x:row r="9">
      <x:c r="A9" s="41" t="str">
        <x:v>Promotion Protection</x:v>
      </x:c>
      <x:c r="B9" s="42" t="str">
        <x:v>No relegation for first week after promotion</x:v>
      </x:c>
      <x:c r="C9" s="60" t="str">
        <x:v>N/A</x:v>
      </x:c>
      <x:c r="D9" s="60" t="str">
        <x:v>1w</x:v>
      </x:c>
      <x:c r="E9" s="60" t="str">
        <x:v>1w</x:v>
      </x:c>
      <x:c r="F9" s="60" t="str">
        <x:v>1w</x:v>
      </x:c>
      <x:c r="G9" s="60" t="str">
        <x:v>1w</x:v>
      </x:c>
      <x:c r="H9" s="60" t="str">
        <x:v>1w</x:v>
      </x:c>
      <x:c r="I9" s="42" t="str">
        <x:v>Does not block positive movement</x:v>
      </x:c>
      <x:c r="J9" s="42" t="str">
        <x:v>Avoid yo-yo frustration</x:v>
      </x:c>
      <x:c r="K9" s="42" t="str">
        <x:v>Yes</x:v>
      </x:c>
      <x:c r="L9" s="42" t="str">
        <x:v>Low</x:v>
      </x:c>
      <x:c r="M9" s="42" t="str">
        <x:v>State flag</x:v>
      </x:c>
      <x:c r="N9" s="43" t="str"/>
    </x:row>
    <x:row r="11" ht="22" customHeight="1">
      <x:c r="A11" s="33" t="str">
        <x:v>Rating Delta Simulation</x:v>
      </x:c>
      <x:c r="B11" s="33"/>
      <x:c r="C11" s="33"/>
      <x:c r="D11" s="33"/>
      <x:c r="E11" s="33"/>
      <x:c r="F11" s="33"/>
      <x:c r="G11" s="33"/>
      <x:c r="H11" s="33"/>
      <x:c r="I11" s="33"/>
      <x:c r="J11" s="33"/>
      <x:c r="K11" s="33"/>
      <x:c r="L11" s="33"/>
      <x:c r="M11" s="33"/>
      <x:c r="N11" s="33"/>
    </x:row>
    <x:row r="12">
      <x:c r="A12" s="14" t="str">
        <x:v>League</x:v>
      </x:c>
      <x:c r="B12" s="14" t="str">
        <x:v>Expected Score</x:v>
      </x:c>
      <x:c r="C12" s="14" t="str">
        <x:v>Player Score</x:v>
      </x:c>
      <x:c r="D12" s="14" t="str">
        <x:v>Raw Delta</x:v>
      </x:c>
      <x:c r="E12" s="14" t="str">
        <x:v>Top 10% Bonus</x:v>
      </x:c>
      <x:c r="F12" s="14" t="str">
        <x:v>Bottom 10% Pressure</x:v>
      </x:c>
      <x:c r="G12" s="14" t="str">
        <x:v>Pre-Cap Delta</x:v>
      </x:c>
      <x:c r="H12" s="14" t="str">
        <x:v>Applied Delta</x:v>
      </x:c>
      <x:c r="I12" s="14" t="str">
        <x:v>Starting Rating</x:v>
      </x:c>
      <x:c r="J12" s="14" t="str">
        <x:v>Ending Rating</x:v>
      </x:c>
    </x:row>
    <x:row r="13">
      <x:c r="A13" s="36" t="str">
        <x:v>Bronze</x:v>
      </x:c>
      <x:c r="B13" s="37" t="n">
        <x:v>65</x:v>
      </x:c>
      <x:c r="C13" s="37" t="n">
        <x:v>80</x:v>
      </x:c>
      <x:c r="D13" s="84" t="n">
        <x:f>'01_Assumptions'!$B$9*(C13-B13)/10</x:f>
        <x:v>36</x:v>
      </x:c>
      <x:c r="E13" s="84" t="n">
        <x:v>20</x:v>
      </x:c>
      <x:c r="F13" s="84" t="n">
        <x:v>0</x:v>
      </x:c>
      <x:c r="G13" s="84" t="n">
        <x:f>D13+E13+F13</x:f>
        <x:v>56</x:v>
      </x:c>
      <x:c r="H13" s="84" t="n">
        <x:f>MAX(-'01_Assumptions'!$B$11,MIN('01_Assumptions'!$B$10,G13))</x:f>
        <x:v>56</x:v>
      </x:c>
      <x:c r="I13" s="58" t="n">
        <x:v>850</x:v>
      </x:c>
      <x:c r="J13" s="90" t="n">
        <x:f>MAX(0,I13+H13)</x:f>
        <x:v>906</x:v>
      </x:c>
    </x:row>
    <x:row r="14">
      <x:c r="A14" s="39" t="str">
        <x:v>Silver</x:v>
      </x:c>
      <x:c r="B14" s="22" t="n">
        <x:v>75</x:v>
      </x:c>
      <x:c r="C14" s="22" t="n">
        <x:v>75</x:v>
      </x:c>
      <x:c r="D14" s="85" t="n">
        <x:f>'01_Assumptions'!$B$9*(C14-B14)/10</x:f>
        <x:v>0</x:v>
      </x:c>
      <x:c r="E14" s="85" t="n">
        <x:v>0</x:v>
      </x:c>
      <x:c r="F14" s="85" t="n">
        <x:v>0</x:v>
      </x:c>
      <x:c r="G14" s="85" t="n">
        <x:f>D14+E14+F14</x:f>
        <x:v>0</x:v>
      </x:c>
      <x:c r="H14" s="85" t="n">
        <x:f>MAX(-'01_Assumptions'!$B$11,MIN('01_Assumptions'!$B$10,G14))</x:f>
        <x:v>0</x:v>
      </x:c>
      <x:c r="I14" s="59" t="n">
        <x:v>1000</x:v>
      </x:c>
      <x:c r="J14" s="91" t="n">
        <x:f>MAX(0,I14+H14)</x:f>
        <x:v>1000</x:v>
      </x:c>
    </x:row>
    <x:row r="15">
      <x:c r="A15" s="39" t="str">
        <x:v>Gold</x:v>
      </x:c>
      <x:c r="B15" s="22" t="n">
        <x:v>85</x:v>
      </x:c>
      <x:c r="C15" s="22" t="n">
        <x:v>96</x:v>
      </x:c>
      <x:c r="D15" s="85" t="n">
        <x:f>'01_Assumptions'!$B$9*(C15-B15)/10</x:f>
        <x:v>26.4</x:v>
      </x:c>
      <x:c r="E15" s="85" t="n">
        <x:v>0</x:v>
      </x:c>
      <x:c r="F15" s="85" t="n">
        <x:v>0</x:v>
      </x:c>
      <x:c r="G15" s="85" t="n">
        <x:f>D15+E15+F15</x:f>
        <x:v>26.4</x:v>
      </x:c>
      <x:c r="H15" s="85" t="n">
        <x:f>MAX(-'01_Assumptions'!$B$11,MIN('01_Assumptions'!$B$10,G15))</x:f>
        <x:v>26.4</x:v>
      </x:c>
      <x:c r="I15" s="59" t="n">
        <x:v>1200</x:v>
      </x:c>
      <x:c r="J15" s="91" t="n">
        <x:f>MAX(0,I15+H15)</x:f>
        <x:v>1226.4</x:v>
      </x:c>
    </x:row>
    <x:row r="16">
      <x:c r="A16" s="39" t="str">
        <x:v>Platinum</x:v>
      </x:c>
      <x:c r="B16" s="22" t="n">
        <x:v>95</x:v>
      </x:c>
      <x:c r="C16" s="22" t="n">
        <x:v>83</x:v>
      </x:c>
      <x:c r="D16" s="85" t="n">
        <x:f>'01_Assumptions'!$B$9*(C16-B16)/10</x:f>
        <x:v>-28.8</x:v>
      </x:c>
      <x:c r="E16" s="85" t="n">
        <x:v>0</x:v>
      </x:c>
      <x:c r="F16" s="85" t="n">
        <x:v>0</x:v>
      </x:c>
      <x:c r="G16" s="85" t="n">
        <x:f>D16+E16+F16</x:f>
        <x:v>-28.8</x:v>
      </x:c>
      <x:c r="H16" s="85" t="n">
        <x:f>MAX(-'01_Assumptions'!$B$11,MIN('01_Assumptions'!$B$10,G16))</x:f>
        <x:v>-28.8</x:v>
      </x:c>
      <x:c r="I16" s="59" t="n">
        <x:v>1400</x:v>
      </x:c>
      <x:c r="J16" s="91" t="n">
        <x:f>MAX(0,I16+H16)</x:f>
        <x:v>1371.2</x:v>
      </x:c>
    </x:row>
    <x:row r="17">
      <x:c r="A17" s="39" t="str">
        <x:v>Diamond</x:v>
      </x:c>
      <x:c r="B17" s="22" t="n">
        <x:v>103</x:v>
      </x:c>
      <x:c r="C17" s="22" t="n">
        <x:v>112</x:v>
      </x:c>
      <x:c r="D17" s="85" t="n">
        <x:f>'01_Assumptions'!$B$9*(C17-B17)/10</x:f>
        <x:v>21.6</x:v>
      </x:c>
      <x:c r="E17" s="85" t="n">
        <x:v>20</x:v>
      </x:c>
      <x:c r="F17" s="85" t="n">
        <x:v>0</x:v>
      </x:c>
      <x:c r="G17" s="85" t="n">
        <x:f>D17+E17+F17</x:f>
        <x:v>41.6</x:v>
      </x:c>
      <x:c r="H17" s="85" t="n">
        <x:f>MAX(-'01_Assumptions'!$B$11,MIN('01_Assumptions'!$B$10,G17))</x:f>
        <x:v>41.6</x:v>
      </x:c>
      <x:c r="I17" s="59" t="n">
        <x:v>1600</x:v>
      </x:c>
      <x:c r="J17" s="91" t="n">
        <x:f>MAX(0,I17+H17)</x:f>
        <x:v>1641.6</x:v>
      </x:c>
    </x:row>
    <x:row r="18">
      <x:c r="A18" s="41" t="str">
        <x:v>Tycoon</x:v>
      </x:c>
      <x:c r="B18" s="42" t="n">
        <x:v>110</x:v>
      </x:c>
      <x:c r="C18" s="42" t="n">
        <x:v>100</x:v>
      </x:c>
      <x:c r="D18" s="86" t="n">
        <x:f>'01_Assumptions'!$B$9*(C18-B18)/10</x:f>
        <x:v>-24</x:v>
      </x:c>
      <x:c r="E18" s="86" t="n">
        <x:v>0</x:v>
      </x:c>
      <x:c r="F18" s="86" t="n">
        <x:v>-15</x:v>
      </x:c>
      <x:c r="G18" s="86" t="n">
        <x:f>D18+E18+F18</x:f>
        <x:v>-39</x:v>
      </x:c>
      <x:c r="H18" s="86" t="n">
        <x:f>MAX(-'01_Assumptions'!$B$11,MIN('01_Assumptions'!$B$10,G18))</x:f>
        <x:v>-39</x:v>
      </x:c>
      <x:c r="I18" s="60" t="n">
        <x:v>1800</x:v>
      </x:c>
      <x:c r="J18" s="92" t="n">
        <x:f>MAX(0,I18+H18)</x:f>
        <x:v>1761</x:v>
      </x:c>
    </x:row>
  </x:sheetData>
  <x:mergeCells>
    <x:mergeCell ref="A1:N1"/>
    <x:mergeCell ref="A11:N1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5" hidden="0" customWidth="1"/>
    <x:col min="17" max="17" width="15" hidden="0" customWidth="1"/>
  </x:cols>
  <x:sheetData>
    <x:row r="1" ht="28" customHeight="1">
      <x:c r="A1" s="122" t="str">
        <x:v>Weekly League Pool Allocation &amp; Player Payout</x:v>
      </x:c>
      <x:c r="B1" s="122"/>
      <x:c r="C1" s="122"/>
      <x:c r="D1" s="122"/>
      <x:c r="E1" s="122"/>
      <x:c r="F1" s="122"/>
      <x:c r="G1" s="122"/>
      <x:c r="H1" s="122"/>
      <x:c r="I1" s="122"/>
      <x:c r="J1" s="122"/>
      <x:c r="K1" s="122"/>
      <x:c r="L1" s="122"/>
      <x:c r="M1" s="122"/>
      <x:c r="N1" s="122"/>
      <x:c r="O1" s="122"/>
      <x:c r="P1" s="22"/>
      <x:c r="Q1" s="22"/>
    </x:row>
    <x:row r="3">
      <x:c r="A3" s="14" t="str">
        <x:v>League</x:v>
      </x:c>
      <x:c r="B3" s="14" t="str">
        <x:v>Illustrative Eligible Players</x:v>
      </x:c>
      <x:c r="C3" s="14" t="str">
        <x:v>Pool Share</x:v>
      </x:c>
      <x:c r="D3" s="14" t="str">
        <x:v>League Pool PLOT</x:v>
      </x:c>
      <x:c r="E3" s="14" t="str">
        <x:v>Avg PLOT/Player</x:v>
      </x:c>
      <x:c r="F3" s="14" t="str">
        <x:v>Expected Score</x:v>
      </x:c>
      <x:c r="G3" s="14" t="str">
        <x:v>Player Score</x:v>
      </x:c>
      <x:c r="H3" s="14" t="str">
        <x:v>Score Ratio</x:v>
      </x:c>
      <x:c r="I3" s="14" t="str">
        <x:v>Payout Weight</x:v>
      </x:c>
      <x:c r="J3" s="14" t="str">
        <x:v>Uncapped Share</x:v>
      </x:c>
      <x:c r="K3" s="14" t="str">
        <x:v>Max Share Rule</x:v>
      </x:c>
      <x:c r="L3" s="14" t="str">
        <x:v>Applied Share</x:v>
      </x:c>
      <x:c r="M3" s="14" t="str">
        <x:v>Illustrative Payout</x:v>
      </x:c>
      <x:c r="N3" s="14" t="str">
        <x:v>Weekly Cap Status</x:v>
      </x:c>
      <x:c r="O3" s="14" t="str">
        <x:v>Notes</x:v>
      </x:c>
    </x:row>
    <x:row r="4">
      <x:c r="A4" s="36" t="str">
        <x:v>Bronze</x:v>
      </x:c>
      <x:c r="B4" s="58" t="n">
        <x:v>3000</x:v>
      </x:c>
      <x:c r="C4" s="52" t="n">
        <x:v>0.14</x:v>
      </x:c>
      <x:c r="D4" s="64" t="n">
        <x:f>'01_Assumptions'!$B$4*C4</x:f>
        <x:v>280000</x:v>
      </x:c>
      <x:c r="E4" s="64" t="n">
        <x:f>D4/B4</x:f>
        <x:v>93.33333333333333</x:v>
      </x:c>
      <x:c r="F4" s="58" t="n">
        <x:v>65</x:v>
      </x:c>
      <x:c r="G4" s="58" t="n">
        <x:v>75</x:v>
      </x:c>
      <x:c r="H4" s="84" t="n">
        <x:f>G4/F4</x:f>
        <x:v>1.1538461538461537</x:v>
      </x:c>
      <x:c r="I4" s="84" t="n">
        <x:f>H4^'01_Assumptions'!$B$19</x:f>
        <x:v>1.129342626624936</x:v>
      </x:c>
      <x:c r="J4" s="84" t="n">
        <x:f>I4/B4</x:f>
        <x:v>0.000376447542208312</x:v>
      </x:c>
      <x:c r="K4" s="52" t="n">
        <x:f>IF(B4&gt;=500,MIN('01_Assumptions'!$B$20,'01_Assumptions'!$B$21/B4),1)</x:f>
        <x:v>0.0026666666666666666</x:v>
      </x:c>
      <x:c r="L4" s="52" t="n">
        <x:f>MIN(J4,K4)</x:f>
        <x:v>0.000376447542208312</x:v>
      </x:c>
      <x:c r="M4" s="64" t="n">
        <x:f>D4*L4</x:f>
        <x:v>105.40531181832736</x:v>
      </x:c>
      <x:c r="N4" s="37" t="str">
        <x:f>IF(J4&gt;K4,"CAPPED","OK")</x:f>
        <x:v>OK</x:v>
      </x:c>
      <x:c r="O4" s="38" t="str"/>
    </x:row>
    <x:row r="5">
      <x:c r="A5" s="39" t="str">
        <x:v>Silver</x:v>
      </x:c>
      <x:c r="B5" s="59" t="n">
        <x:v>2500</x:v>
      </x:c>
      <x:c r="C5" s="53" t="n">
        <x:v>0.17</x:v>
      </x:c>
      <x:c r="D5" s="65" t="n">
        <x:f>'01_Assumptions'!$B$4*C5</x:f>
        <x:v>340000</x:v>
      </x:c>
      <x:c r="E5" s="65" t="n">
        <x:f>D5/B5</x:f>
        <x:v>136</x:v>
      </x:c>
      <x:c r="F5" s="59" t="n">
        <x:v>75</x:v>
      </x:c>
      <x:c r="G5" s="59" t="n">
        <x:v>82</x:v>
      </x:c>
      <x:c r="H5" s="85" t="n">
        <x:f>G5/F5</x:f>
        <x:v>1.0933333333333333</x:v>
      </x:c>
      <x:c r="I5" s="85" t="n">
        <x:f>H5^'01_Assumptions'!$B$19</x:f>
        <x:v>1.078796926918853</x:v>
      </x:c>
      <x:c r="J5" s="85" t="n">
        <x:f>I5/B5</x:f>
        <x:v>0.00043151877076754125</x:v>
      </x:c>
      <x:c r="K5" s="53" t="n">
        <x:f>IF(B5&gt;=500,MIN('01_Assumptions'!$B$20,'01_Assumptions'!$B$21/B5),1)</x:f>
        <x:v>0.0032</x:v>
      </x:c>
      <x:c r="L5" s="53" t="n">
        <x:f>MIN(J5,K5)</x:f>
        <x:v>0.00043151877076754125</x:v>
      </x:c>
      <x:c r="M5" s="65" t="n">
        <x:f>D5*L5</x:f>
        <x:v>146.71638206096404</x:v>
      </x:c>
      <x:c r="N5" s="22" t="str">
        <x:f>IF(J5&gt;K5,"CAPPED","OK")</x:f>
        <x:v>OK</x:v>
      </x:c>
      <x:c r="O5" s="40" t="str"/>
    </x:row>
    <x:row r="6">
      <x:c r="A6" s="39" t="str">
        <x:v>Gold</x:v>
      </x:c>
      <x:c r="B6" s="59" t="n">
        <x:v>2000</x:v>
      </x:c>
      <x:c r="C6" s="53" t="n">
        <x:v>0.2</x:v>
      </x:c>
      <x:c r="D6" s="65" t="n">
        <x:f>'01_Assumptions'!$B$4*C6</x:f>
        <x:v>400000</x:v>
      </x:c>
      <x:c r="E6" s="65" t="n">
        <x:f>D6/B6</x:f>
        <x:v>200</x:v>
      </x:c>
      <x:c r="F6" s="59" t="n">
        <x:v>85</x:v>
      </x:c>
      <x:c r="G6" s="59" t="n">
        <x:v>92</x:v>
      </x:c>
      <x:c r="H6" s="85" t="n">
        <x:f>G6/F6</x:f>
        <x:v>1.0823529411764705</x:v>
      </x:c>
      <x:c r="I6" s="85" t="n">
        <x:f>H6^'01_Assumptions'!$B$19</x:f>
        <x:v>1.0695807213496464</x:v>
      </x:c>
      <x:c r="J6" s="85" t="n">
        <x:f>I6/B6</x:f>
        <x:v>0.0005347903606748232</x:v>
      </x:c>
      <x:c r="K6" s="53" t="n">
        <x:f>IF(B6&gt;=500,MIN('01_Assumptions'!$B$20,'01_Assumptions'!$B$21/B6),1)</x:f>
        <x:v>0.004</x:v>
      </x:c>
      <x:c r="L6" s="53" t="n">
        <x:f>MIN(J6,K6)</x:f>
        <x:v>0.0005347903606748232</x:v>
      </x:c>
      <x:c r="M6" s="65" t="n">
        <x:f>D6*L6</x:f>
        <x:v>213.91614426992928</x:v>
      </x:c>
      <x:c r="N6" s="22" t="str">
        <x:f>IF(J6&gt;K6,"CAPPED","OK")</x:f>
        <x:v>OK</x:v>
      </x:c>
      <x:c r="O6" s="40" t="str"/>
    </x:row>
    <x:row r="7">
      <x:c r="A7" s="39" t="str">
        <x:v>Platinum</x:v>
      </x:c>
      <x:c r="B7" s="59" t="n">
        <x:v>1300</x:v>
      </x:c>
      <x:c r="C7" s="53" t="n">
        <x:v>0.2</x:v>
      </x:c>
      <x:c r="D7" s="65" t="n">
        <x:f>'01_Assumptions'!$B$4*C7</x:f>
        <x:v>400000</x:v>
      </x:c>
      <x:c r="E7" s="65" t="n">
        <x:f>D7/B7</x:f>
        <x:v>307.6923076923077</x:v>
      </x:c>
      <x:c r="F7" s="59" t="n">
        <x:v>95</x:v>
      </x:c>
      <x:c r="G7" s="59" t="n">
        <x:v>101</x:v>
      </x:c>
      <x:c r="H7" s="85" t="n">
        <x:f>G7/F7</x:f>
        <x:v>1.063157894736842</x:v>
      </x:c>
      <x:c r="I7" s="85" t="n">
        <x:f>H7^'01_Assumptions'!$B$19</x:f>
        <x:v>1.0534358724491348</x:v>
      </x:c>
      <x:c r="J7" s="85" t="n">
        <x:f>I7/B7</x:f>
        <x:v>0.0008103352864993345</x:v>
      </x:c>
      <x:c r="K7" s="53" t="n">
        <x:f>IF(B7&gt;=500,MIN('01_Assumptions'!$B$20,'01_Assumptions'!$B$21/B7),1)</x:f>
        <x:v>0.006153846153846154</x:v>
      </x:c>
      <x:c r="L7" s="53" t="n">
        <x:f>MIN(J7,K7)</x:f>
        <x:v>0.0008103352864993345</x:v>
      </x:c>
      <x:c r="M7" s="65" t="n">
        <x:f>D7*L7</x:f>
        <x:v>324.1341145997338</x:v>
      </x:c>
      <x:c r="N7" s="22" t="str">
        <x:f>IF(J7&gt;K7,"CAPPED","OK")</x:f>
        <x:v>OK</x:v>
      </x:c>
      <x:c r="O7" s="40" t="str"/>
    </x:row>
    <x:row r="8">
      <x:c r="A8" s="39" t="str">
        <x:v>Diamond</x:v>
      </x:c>
      <x:c r="B8" s="59" t="n">
        <x:v>800</x:v>
      </x:c>
      <x:c r="C8" s="53" t="n">
        <x:v>0.17</x:v>
      </x:c>
      <x:c r="D8" s="65" t="n">
        <x:f>'01_Assumptions'!$B$4*C8</x:f>
        <x:v>340000</x:v>
      </x:c>
      <x:c r="E8" s="65" t="n">
        <x:f>D8/B8</x:f>
        <x:v>425</x:v>
      </x:c>
      <x:c r="F8" s="59" t="n">
        <x:v>103</x:v>
      </x:c>
      <x:c r="G8" s="59" t="n">
        <x:v>110</x:v>
      </x:c>
      <x:c r="H8" s="85" t="n">
        <x:f>G8/F8</x:f>
        <x:v>1.0679611650485437</x:v>
      </x:c>
      <x:c r="I8" s="85" t="n">
        <x:f>H8^'01_Assumptions'!$B$19</x:f>
        <x:v>1.0574799489220912</x:v>
      </x:c>
      <x:c r="J8" s="85" t="n">
        <x:f>I8/B8</x:f>
        <x:v>0.001321849936152614</x:v>
      </x:c>
      <x:c r="K8" s="53" t="n">
        <x:f>IF(B8&gt;=500,MIN('01_Assumptions'!$B$20,'01_Assumptions'!$B$21/B8),1)</x:f>
        <x:v>0.01</x:v>
      </x:c>
      <x:c r="L8" s="53" t="n">
        <x:f>MIN(J8,K8)</x:f>
        <x:v>0.001321849936152614</x:v>
      </x:c>
      <x:c r="M8" s="65" t="n">
        <x:f>D8*L8</x:f>
        <x:v>449.4289782918887</x:v>
      </x:c>
      <x:c r="N8" s="22" t="str">
        <x:f>IF(J8&gt;K8,"CAPPED","OK")</x:f>
        <x:v>OK</x:v>
      </x:c>
      <x:c r="O8" s="40" t="str"/>
    </x:row>
    <x:row r="9">
      <x:c r="A9" s="41" t="str">
        <x:v>Tycoon</x:v>
      </x:c>
      <x:c r="B9" s="60" t="n">
        <x:v>400</x:v>
      </x:c>
      <x:c r="C9" s="54" t="n">
        <x:v>0.12</x:v>
      </x:c>
      <x:c r="D9" s="66" t="n">
        <x:f>'01_Assumptions'!$B$4*C9</x:f>
        <x:v>240000</x:v>
      </x:c>
      <x:c r="E9" s="66" t="n">
        <x:f>D9/B9</x:f>
        <x:v>600</x:v>
      </x:c>
      <x:c r="F9" s="60" t="n">
        <x:v>110</x:v>
      </x:c>
      <x:c r="G9" s="60" t="n">
        <x:v>115</x:v>
      </x:c>
      <x:c r="H9" s="86" t="n">
        <x:f>G9/F9</x:f>
        <x:v>1.0454545454545454</x:v>
      </x:c>
      <x:c r="I9" s="86" t="n">
        <x:f>H9^'01_Assumptions'!$B$19</x:f>
        <x:v>1.0385068892773004</x:v>
      </x:c>
      <x:c r="J9" s="86" t="n">
        <x:f>I9/B9</x:f>
        <x:v>0.002596267223193251</x:v>
      </x:c>
      <x:c r="K9" s="54" t="n">
        <x:f>IF(B9&gt;=500,MIN('01_Assumptions'!$B$20,'01_Assumptions'!$B$21/B9),1)</x:f>
        <x:v>1</x:v>
      </x:c>
      <x:c r="L9" s="54" t="n">
        <x:f>MIN(J9,K9)</x:f>
        <x:v>0.002596267223193251</x:v>
      </x:c>
      <x:c r="M9" s="66" t="n">
        <x:f>D9*L9</x:f>
        <x:v>623.1041335663803</x:v>
      </x:c>
      <x:c r="N9" s="42" t="str">
        <x:f>IF(J9&gt;K9,"CAPPED","OK")</x:f>
        <x:v>OK</x:v>
      </x:c>
      <x:c r="O9" s="43" t="str"/>
    </x:row>
    <x:row r="11" ht="22" customHeight="1">
      <x:c r="A11" s="33" t="str">
        <x:v>Payout Formula</x:v>
      </x:c>
      <x:c r="B11" s="33"/>
      <x:c r="C11" s="33"/>
      <x:c r="D11" s="33"/>
      <x:c r="E11" s="33"/>
      <x:c r="F11" s="33"/>
      <x:c r="G11" s="33"/>
      <x:c r="H11" s="33"/>
      <x:c r="I11" s="33"/>
      <x:c r="J11" s="33"/>
      <x:c r="K11" s="33"/>
      <x:c r="L11" s="33"/>
      <x:c r="M11" s="33"/>
      <x:c r="N11" s="33"/>
      <x:c r="O11" s="33"/>
    </x:row>
    <x:row r="12">
      <x:c r="A12" s="14" t="str">
        <x:v>Step</x:v>
      </x:c>
      <x:c r="B12" s="14" t="str">
        <x:v>Rule</x:v>
      </x:c>
    </x:row>
    <x:row r="13">
      <x:c r="A13" s="36" t="n">
        <x:v>1</x:v>
      </x:c>
      <x:c r="B13" s="38" t="str">
        <x:v>Each league receives a fixed share of the 2,000,000 PLOT weekly pool.</x:v>
      </x:c>
    </x:row>
    <x:row r="14">
      <x:c r="A14" s="39" t="n">
        <x:v>2</x:v>
      </x:c>
      <x:c r="B14" s="40" t="str">
        <x:v>Player payout weight = (Player Performance Score / League Expected Score)^0.85.</x:v>
      </x:c>
    </x:row>
    <x:row r="15">
      <x:c r="A15" s="39" t="n">
        <x:v>3</x:v>
      </x:c>
      <x:c r="B15" s="40" t="str">
        <x:v>All eligible player weights inside the league are normalized against the league total at settlement.</x:v>
      </x:c>
    </x:row>
    <x:row r="16">
      <x:c r="A16" s="39" t="n">
        <x:v>4</x:v>
      </x:c>
      <x:c r="B16" s="40" t="str">
        <x:v>Per-player share is capped at min(1.5% of league pool, 8× average share) when league has at least 500 eligible players.</x:v>
      </x:c>
    </x:row>
    <x:row r="17">
      <x:c r="A17" s="39" t="n">
        <x:v>5</x:v>
      </x:c>
      <x:c r="B17" s="40" t="str">
        <x:v>Any overflow from capped players is redistributed pro-rata to uncapped eligible players.</x:v>
      </x:c>
    </x:row>
    <x:row r="18">
      <x:c r="A18" s="41" t="n">
        <x:v>6</x:v>
      </x:c>
      <x:c r="B18" s="43" t="str">
        <x:v>Stock rewards, Plot ownership and external asset values do not increase payout weight.</x:v>
      </x:c>
    </x:row>
  </x:sheetData>
  <x:mergeCells>
    <x:mergeCell ref="A1:O1"/>
    <x:mergeCell ref="A11:O1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 ht="28" customHeight="1">
      <x:c r="A1" s="122" t="str">
        <x:v>Promotion, Relegation &amp; League Protection</x:v>
      </x:c>
      <x:c r="B1" s="122"/>
      <x:c r="C1" s="122"/>
      <x:c r="D1" s="122"/>
      <x:c r="E1" s="122"/>
      <x:c r="F1" s="122"/>
      <x:c r="G1" s="122"/>
      <x:c r="H1" s="122"/>
      <x:c r="I1" s="122"/>
      <x:c r="J1" s="122"/>
      <x:c r="K1" s="122"/>
      <x:c r="L1" s="122"/>
      <x:c r="M1" s="122"/>
      <x:c r="N1" s="122"/>
      <x:c r="O1" s="22"/>
      <x:c r="P1" s="22"/>
      <x:c r="Q1" s="22"/>
    </x:row>
    <x:row r="3">
      <x:c r="A3" s="14" t="str">
        <x:v>Current League</x:v>
      </x:c>
      <x:c r="B3" s="14" t="str">
        <x:v>Promote At</x:v>
      </x:c>
      <x:c r="C3" s="14" t="str">
        <x:v>Relegate Below</x:v>
      </x:c>
      <x:c r="D3" s="14" t="str">
        <x:v>Fast-Track Rule</x:v>
      </x:c>
      <x:c r="E3" s="14" t="str">
        <x:v>Protection After Promotion</x:v>
      </x:c>
      <x:c r="F3" s="14" t="str">
        <x:v>Inactivity Grace</x:v>
      </x:c>
      <x:c r="G3" s="14" t="str">
        <x:v>Inactivity After Grace</x:v>
      </x:c>
      <x:c r="H3" s="14" t="str">
        <x:v>Minimum Score Gate</x:v>
      </x:c>
      <x:c r="I3" s="14" t="str">
        <x:v>Minimum Active Days</x:v>
      </x:c>
      <x:c r="J3" s="14" t="str">
        <x:v>Can Skip League?</x:v>
      </x:c>
      <x:c r="K3" s="14" t="str">
        <x:v>Max Weekly Movement</x:v>
      </x:c>
      <x:c r="L3" s="14" t="str">
        <x:v>Season-End Handling</x:v>
      </x:c>
      <x:c r="M3" s="14" t="str">
        <x:v>UI Treatment</x:v>
      </x:c>
      <x:c r="N3" s="14" t="str">
        <x:v>Notes</x:v>
      </x:c>
    </x:row>
    <x:row r="4">
      <x:c r="A4" s="36" t="str">
        <x:v>Bronze</x:v>
      </x:c>
      <x:c r="B4" s="37" t="n">
        <x:v>900</x:v>
      </x:c>
      <x:c r="C4" s="37" t="str">
        <x:v>N/A</x:v>
      </x:c>
      <x:c r="D4" s="37" t="str">
        <x:v>Top 10% gets rating acceleration</x:v>
      </x:c>
      <x:c r="E4" s="37" t="str">
        <x:v>N/A</x:v>
      </x:c>
      <x:c r="F4" s="37" t="str">
        <x:v>1 week</x:v>
      </x:c>
      <x:c r="G4" s="37" t="str">
        <x:v>-40 rating/week</x:v>
      </x:c>
      <x:c r="H4" s="58" t="n">
        <x:v>35</x:v>
      </x:c>
      <x:c r="I4" s="58" t="n">
        <x:v>3</x:v>
      </x:c>
      <x:c r="J4" s="37" t="str">
        <x:v>No</x:v>
      </x:c>
      <x:c r="K4" s="37" t="str">
        <x:v>1 league</x:v>
      </x:c>
      <x:c r="L4" s="37" t="str">
        <x:v>Normal rating carries</x:v>
      </x:c>
      <x:c r="M4" s="37" t="str">
        <x:v>Progress bar to Silver</x:v>
      </x:c>
      <x:c r="N4" s="38" t="str"/>
    </x:row>
    <x:row r="5">
      <x:c r="A5" s="39" t="str">
        <x:v>Silver</x:v>
      </x:c>
      <x:c r="B5" s="22" t="n">
        <x:v>1100</x:v>
      </x:c>
      <x:c r="C5" s="22" t="n">
        <x:v>900</x:v>
      </x:c>
      <x:c r="D5" s="22" t="str">
        <x:v>Top 10% gets rating acceleration</x:v>
      </x:c>
      <x:c r="E5" s="22" t="str">
        <x:v>1 week</x:v>
      </x:c>
      <x:c r="F5" s="22" t="str">
        <x:v>1 week</x:v>
      </x:c>
      <x:c r="G5" s="22" t="str">
        <x:v>-40 rating/week</x:v>
      </x:c>
      <x:c r="H5" s="59" t="n">
        <x:v>40</x:v>
      </x:c>
      <x:c r="I5" s="59" t="n">
        <x:v>3</x:v>
      </x:c>
      <x:c r="J5" s="22" t="str">
        <x:v>No</x:v>
      </x:c>
      <x:c r="K5" s="22" t="str">
        <x:v>1 league</x:v>
      </x:c>
      <x:c r="L5" s="22" t="str">
        <x:v>Normal rating carries</x:v>
      </x:c>
      <x:c r="M5" s="22" t="str">
        <x:v>Promotion/relegation meter</x:v>
      </x:c>
      <x:c r="N5" s="40" t="str"/>
    </x:row>
    <x:row r="6">
      <x:c r="A6" s="39" t="str">
        <x:v>Gold</x:v>
      </x:c>
      <x:c r="B6" s="22" t="n">
        <x:v>1300</x:v>
      </x:c>
      <x:c r="C6" s="22" t="n">
        <x:v>1100</x:v>
      </x:c>
      <x:c r="D6" s="22" t="str">
        <x:v>Top 10% gets rating acceleration</x:v>
      </x:c>
      <x:c r="E6" s="22" t="str">
        <x:v>1 week</x:v>
      </x:c>
      <x:c r="F6" s="22" t="str">
        <x:v>1 week</x:v>
      </x:c>
      <x:c r="G6" s="22" t="str">
        <x:v>-40 rating/week</x:v>
      </x:c>
      <x:c r="H6" s="59" t="n">
        <x:v>45</x:v>
      </x:c>
      <x:c r="I6" s="59" t="n">
        <x:v>3</x:v>
      </x:c>
      <x:c r="J6" s="22" t="str">
        <x:v>No</x:v>
      </x:c>
      <x:c r="K6" s="22" t="str">
        <x:v>1 league</x:v>
      </x:c>
      <x:c r="L6" s="22" t="str">
        <x:v>Normal rating carries</x:v>
      </x:c>
      <x:c r="M6" s="22" t="str">
        <x:v>Promotion/relegation meter</x:v>
      </x:c>
      <x:c r="N6" s="40" t="str"/>
    </x:row>
    <x:row r="7">
      <x:c r="A7" s="39" t="str">
        <x:v>Platinum</x:v>
      </x:c>
      <x:c r="B7" s="22" t="n">
        <x:v>1500</x:v>
      </x:c>
      <x:c r="C7" s="22" t="n">
        <x:v>1300</x:v>
      </x:c>
      <x:c r="D7" s="22" t="str">
        <x:v>Top 10% gets rating acceleration</x:v>
      </x:c>
      <x:c r="E7" s="22" t="str">
        <x:v>1 week</x:v>
      </x:c>
      <x:c r="F7" s="22" t="str">
        <x:v>1 week</x:v>
      </x:c>
      <x:c r="G7" s="22" t="str">
        <x:v>-40 rating/week</x:v>
      </x:c>
      <x:c r="H7" s="59" t="n">
        <x:v>50</x:v>
      </x:c>
      <x:c r="I7" s="59" t="n">
        <x:v>4</x:v>
      </x:c>
      <x:c r="J7" s="22" t="str">
        <x:v>No</x:v>
      </x:c>
      <x:c r="K7" s="22" t="str">
        <x:v>1 league</x:v>
      </x:c>
      <x:c r="L7" s="22" t="str">
        <x:v>Normal rating carries</x:v>
      </x:c>
      <x:c r="M7" s="22" t="str">
        <x:v>Promotion/relegation meter</x:v>
      </x:c>
      <x:c r="N7" s="40" t="str"/>
    </x:row>
    <x:row r="8">
      <x:c r="A8" s="39" t="str">
        <x:v>Diamond</x:v>
      </x:c>
      <x:c r="B8" s="22" t="n">
        <x:v>1700</x:v>
      </x:c>
      <x:c r="C8" s="22" t="n">
        <x:v>1500</x:v>
      </x:c>
      <x:c r="D8" s="22" t="str">
        <x:v>Top 10% gets rating acceleration</x:v>
      </x:c>
      <x:c r="E8" s="22" t="str">
        <x:v>1 week</x:v>
      </x:c>
      <x:c r="F8" s="22" t="str">
        <x:v>1 week</x:v>
      </x:c>
      <x:c r="G8" s="22" t="str">
        <x:v>-40 rating/week</x:v>
      </x:c>
      <x:c r="H8" s="59" t="n">
        <x:v>55</x:v>
      </x:c>
      <x:c r="I8" s="59" t="n">
        <x:v>4</x:v>
      </x:c>
      <x:c r="J8" s="22" t="str">
        <x:v>No</x:v>
      </x:c>
      <x:c r="K8" s="22" t="str">
        <x:v>1 league</x:v>
      </x:c>
      <x:c r="L8" s="22" t="str">
        <x:v>Normal rating carries</x:v>
      </x:c>
      <x:c r="M8" s="22" t="str">
        <x:v>Promotion/relegation meter</x:v>
      </x:c>
      <x:c r="N8" s="40" t="str"/>
    </x:row>
    <x:row r="9">
      <x:c r="A9" s="41" t="str">
        <x:v>Tycoon</x:v>
      </x:c>
      <x:c r="B9" s="42" t="str">
        <x:v>N/A</x:v>
      </x:c>
      <x:c r="C9" s="42" t="n">
        <x:v>1700</x:v>
      </x:c>
      <x:c r="D9" s="42" t="str">
        <x:v>No fast-track</x:v>
      </x:c>
      <x:c r="E9" s="42" t="str">
        <x:v>1 week</x:v>
      </x:c>
      <x:c r="F9" s="42" t="str">
        <x:v>1 week</x:v>
      </x:c>
      <x:c r="G9" s="42" t="str">
        <x:v>-40 rating/week</x:v>
      </x:c>
      <x:c r="H9" s="60" t="n">
        <x:v>60</x:v>
      </x:c>
      <x:c r="I9" s="60" t="n">
        <x:v>4</x:v>
      </x:c>
      <x:c r="J9" s="42" t="str">
        <x:v>No</x:v>
      </x:c>
      <x:c r="K9" s="42" t="str">
        <x:v>1 league</x:v>
      </x:c>
      <x:c r="L9" s="42" t="str">
        <x:v>Normal rating carries</x:v>
      </x:c>
      <x:c r="M9" s="42" t="str">
        <x:v>Tycoon rating ladder</x:v>
      </x:c>
      <x:c r="N9" s="43" t="str"/>
    </x:row>
    <x:row r="11" ht="22" customHeight="1">
      <x:c r="A11" s="33" t="str">
        <x:v>Movement Guardrails</x:v>
      </x:c>
      <x:c r="B11" s="33"/>
      <x:c r="C11" s="33"/>
      <x:c r="D11" s="33"/>
      <x:c r="E11" s="33"/>
      <x:c r="F11" s="33"/>
      <x:c r="G11" s="33"/>
      <x:c r="H11" s="33"/>
      <x:c r="I11" s="33"/>
      <x:c r="J11" s="33"/>
      <x:c r="K11" s="33"/>
      <x:c r="L11" s="33"/>
      <x:c r="M11" s="33"/>
      <x:c r="N11" s="33"/>
    </x:row>
    <x:row r="12">
      <x:c r="A12" s="14" t="str">
        <x:v>Rule</x:v>
      </x:c>
      <x:c r="B12" s="14" t="str">
        <x:v>Specification</x:v>
      </x:c>
    </x:row>
    <x:row r="13">
      <x:c r="A13" s="36" t="str">
        <x:v>No instant Bronze→Tycoon</x:v>
      </x:c>
      <x:c r="B13" s="38" t="str">
        <x:v>One league maximum promotion per weekly settlement, even if rating overshoots multiple thresholds.</x:v>
      </x:c>
    </x:row>
    <x:row r="14">
      <x:c r="A14" s="39" t="str">
        <x:v>Protection blocks only relegation</x:v>
      </x:c>
      <x:c r="B14" s="40" t="str">
        <x:v>A newly promoted player can still gain rating and promote again later; protection does not freeze progress.</x:v>
      </x:c>
    </x:row>
    <x:row r="15">
      <x:c r="A15" s="39" t="str">
        <x:v>Ineligible week is not a competitive loss</x:v>
      </x:c>
      <x:c r="B15" s="40" t="str">
        <x:v>Missing activity gates gives no payout and no normal performance delta; inactivity decay applies only after grace.</x:v>
      </x:c>
    </x:row>
    <x:row r="16">
      <x:c r="A16" s="39" t="str">
        <x:v>Integrity failure is different from inactivity</x:v>
      </x:c>
      <x:c r="B16" s="40" t="str">
        <x:v>Confirmed abuse can void payout/score and apply separate penalties.</x:v>
      </x:c>
    </x:row>
    <x:row r="17">
      <x:c r="A17" s="41" t="str">
        <x:v>League changes settle after payout</x:v>
      </x:c>
      <x:c r="B17" s="43" t="str">
        <x:v>Player earns this week's payout from the league they competed in, then movement applies.</x:v>
      </x:c>
    </x:row>
  </x:sheetData>
  <x:mergeCells>
    <x:mergeCell ref="A1:N1"/>
    <x:mergeCell ref="A11:N1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 ht="28" customHeight="1">
      <x:c r="A1" s="122" t="str">
        <x:v>Season Points, Consistency &amp; Cross-League Comparison</x:v>
      </x:c>
      <x:c r="B1" s="122"/>
      <x:c r="C1" s="122"/>
      <x:c r="D1" s="122"/>
      <x:c r="E1" s="122"/>
      <x:c r="F1" s="122"/>
      <x:c r="G1" s="122"/>
      <x:c r="H1" s="122"/>
      <x:c r="I1" s="122"/>
      <x:c r="J1" s="122"/>
      <x:c r="K1" s="122"/>
      <x:c r="L1" s="122"/>
      <x:c r="M1" s="122"/>
      <x:c r="N1" s="122"/>
      <x:c r="O1" s="22"/>
      <x:c r="P1" s="22"/>
      <x:c r="Q1" s="22"/>
    </x:row>
    <x:row r="3">
      <x:c r="A3" s="14" t="str">
        <x:v>League</x:v>
      </x:c>
      <x:c r="B3" s="14" t="str">
        <x:v>League Multiplier</x:v>
      </x:c>
      <x:c r="C3" s="14" t="str">
        <x:v>Weekly Rank Percentile</x:v>
      </x:c>
      <x:c r="D3" s="14" t="str">
        <x:v>Base Season Points</x:v>
      </x:c>
      <x:c r="E3" s="14" t="str">
        <x:v>League-Adjusted Points</x:v>
      </x:c>
      <x:c r="F3" s="14" t="str">
        <x:v>Eligible Week Bonus</x:v>
      </x:c>
      <x:c r="G3" s="14" t="str">
        <x:v>Perfect 8-Week Bonus</x:v>
      </x:c>
      <x:c r="H3" s="14" t="str">
        <x:v>Integrity Multiplier</x:v>
      </x:c>
      <x:c r="I3" s="14" t="str">
        <x:v>Max Weekly Season Points</x:v>
      </x:c>
      <x:c r="J3" s="14" t="str">
        <x:v>Purpose</x:v>
      </x:c>
      <x:c r="K3" s="14" t="str">
        <x:v>PLOT Effect</x:v>
      </x:c>
      <x:c r="L3" s="14" t="str">
        <x:v>Empire Level Effect</x:v>
      </x:c>
      <x:c r="M3" s="14" t="str">
        <x:v>Land Effect</x:v>
      </x:c>
      <x:c r="N3" s="14" t="str">
        <x:v>Notes</x:v>
      </x:c>
    </x:row>
    <x:row r="4">
      <x:c r="A4" s="36" t="str">
        <x:v>Bronze</x:v>
      </x:c>
      <x:c r="B4" s="84" t="n">
        <x:v>1</x:v>
      </x:c>
      <x:c r="C4" s="52" t="n">
        <x:v>0.8</x:v>
      </x:c>
      <x:c r="D4" s="84" t="n">
        <x:f>C4*100</x:f>
        <x:v>80</x:v>
      </x:c>
      <x:c r="E4" s="84" t="n">
        <x:f>(D4+F4)*B4*H4</x:f>
        <x:v>85</x:v>
      </x:c>
      <x:c r="F4" s="58" t="n">
        <x:v>5</x:v>
      </x:c>
      <x:c r="G4" s="58" t="n">
        <x:v>25</x:v>
      </x:c>
      <x:c r="H4" s="58" t="n">
        <x:v>1</x:v>
      </x:c>
      <x:c r="I4" s="58" t="n">
        <x:v>105</x:v>
      </x:c>
      <x:c r="J4" s="37" t="str">
        <x:v>Allows excellent Bronze players to build season history</x:v>
      </x:c>
      <x:c r="K4" s="37" t="str">
        <x:v>None</x:v>
      </x:c>
      <x:c r="L4" s="37" t="str">
        <x:v>None</x:v>
      </x:c>
      <x:c r="M4" s="37" t="str">
        <x:v>None</x:v>
      </x:c>
      <x:c r="N4" s="38" t="str"/>
    </x:row>
    <x:row r="5">
      <x:c r="A5" s="39" t="str">
        <x:v>Silver</x:v>
      </x:c>
      <x:c r="B5" s="85" t="n">
        <x:v>1.05</x:v>
      </x:c>
      <x:c r="C5" s="53" t="n">
        <x:v>0.8</x:v>
      </x:c>
      <x:c r="D5" s="85" t="n">
        <x:f>C5*100</x:f>
        <x:v>80</x:v>
      </x:c>
      <x:c r="E5" s="85" t="n">
        <x:f>(D5+F5)*B5*H5</x:f>
        <x:v>89.25</x:v>
      </x:c>
      <x:c r="F5" s="59" t="n">
        <x:v>5</x:v>
      </x:c>
      <x:c r="G5" s="59" t="n">
        <x:v>25</x:v>
      </x:c>
      <x:c r="H5" s="59" t="n">
        <x:v>1</x:v>
      </x:c>
      <x:c r="I5" s="59" t="n">
        <x:v>110</x:v>
      </x:c>
      <x:c r="J5" s="22" t="str">
        <x:v>Slight reward for harder league</x:v>
      </x:c>
      <x:c r="K5" s="22" t="str">
        <x:v>None</x:v>
      </x:c>
      <x:c r="L5" s="22" t="str">
        <x:v>None</x:v>
      </x:c>
      <x:c r="M5" s="22" t="str">
        <x:v>None</x:v>
      </x:c>
      <x:c r="N5" s="40" t="str"/>
    </x:row>
    <x:row r="6">
      <x:c r="A6" s="39" t="str">
        <x:v>Gold</x:v>
      </x:c>
      <x:c r="B6" s="85" t="n">
        <x:v>1.1</x:v>
      </x:c>
      <x:c r="C6" s="53" t="n">
        <x:v>0.8</x:v>
      </x:c>
      <x:c r="D6" s="85" t="n">
        <x:f>C6*100</x:f>
        <x:v>80</x:v>
      </x:c>
      <x:c r="E6" s="85" t="n">
        <x:f>(D6+F6)*B6*H6</x:f>
        <x:v>93.50000000000001</x:v>
      </x:c>
      <x:c r="F6" s="59" t="n">
        <x:v>5</x:v>
      </x:c>
      <x:c r="G6" s="59" t="n">
        <x:v>25</x:v>
      </x:c>
      <x:c r="H6" s="59" t="n">
        <x:v>1</x:v>
      </x:c>
      <x:c r="I6" s="59" t="n">
        <x:v>115</x:v>
      </x:c>
      <x:c r="J6" s="22" t="str">
        <x:v>Consistency + competitive strength</x:v>
      </x:c>
      <x:c r="K6" s="22" t="str">
        <x:v>None</x:v>
      </x:c>
      <x:c r="L6" s="22" t="str">
        <x:v>None</x:v>
      </x:c>
      <x:c r="M6" s="22" t="str">
        <x:v>None</x:v>
      </x:c>
      <x:c r="N6" s="40" t="str"/>
    </x:row>
    <x:row r="7">
      <x:c r="A7" s="39" t="str">
        <x:v>Platinum</x:v>
      </x:c>
      <x:c r="B7" s="85" t="n">
        <x:v>1.18</x:v>
      </x:c>
      <x:c r="C7" s="53" t="n">
        <x:v>0.8</x:v>
      </x:c>
      <x:c r="D7" s="85" t="n">
        <x:f>C7*100</x:f>
        <x:v>80</x:v>
      </x:c>
      <x:c r="E7" s="85" t="n">
        <x:f>(D7+F7)*B7*H7</x:f>
        <x:v>100.3</x:v>
      </x:c>
      <x:c r="F7" s="59" t="n">
        <x:v>5</x:v>
      </x:c>
      <x:c r="G7" s="59" t="n">
        <x:v>25</x:v>
      </x:c>
      <x:c r="H7" s="59" t="n">
        <x:v>1</x:v>
      </x:c>
      <x:c r="I7" s="59" t="n">
        <x:v>123</x:v>
      </x:c>
      <x:c r="J7" s="22" t="str">
        <x:v>Higher-league season prestige</x:v>
      </x:c>
      <x:c r="K7" s="22" t="str">
        <x:v>None</x:v>
      </x:c>
      <x:c r="L7" s="22" t="str">
        <x:v>None</x:v>
      </x:c>
      <x:c r="M7" s="22" t="str">
        <x:v>None</x:v>
      </x:c>
      <x:c r="N7" s="40" t="str"/>
    </x:row>
    <x:row r="8">
      <x:c r="A8" s="39" t="str">
        <x:v>Diamond</x:v>
      </x:c>
      <x:c r="B8" s="85" t="n">
        <x:v>1.28</x:v>
      </x:c>
      <x:c r="C8" s="53" t="n">
        <x:v>0.8</x:v>
      </x:c>
      <x:c r="D8" s="85" t="n">
        <x:f>C8*100</x:f>
        <x:v>80</x:v>
      </x:c>
      <x:c r="E8" s="85" t="n">
        <x:f>(D8+F8)*B8*H8</x:f>
        <x:v>108.8</x:v>
      </x:c>
      <x:c r="F8" s="59" t="n">
        <x:v>5</x:v>
      </x:c>
      <x:c r="G8" s="59" t="n">
        <x:v>25</x:v>
      </x:c>
      <x:c r="H8" s="59" t="n">
        <x:v>1</x:v>
      </x:c>
      <x:c r="I8" s="59" t="n">
        <x:v>133</x:v>
      </x:c>
      <x:c r="J8" s="22" t="str">
        <x:v>Elite consistency</x:v>
      </x:c>
      <x:c r="K8" s="22" t="str">
        <x:v>None</x:v>
      </x:c>
      <x:c r="L8" s="22" t="str">
        <x:v>None</x:v>
      </x:c>
      <x:c r="M8" s="22" t="str">
        <x:v>None</x:v>
      </x:c>
      <x:c r="N8" s="40" t="str"/>
    </x:row>
    <x:row r="9">
      <x:c r="A9" s="41" t="str">
        <x:v>Tycoon</x:v>
      </x:c>
      <x:c r="B9" s="86" t="n">
        <x:v>1.4</x:v>
      </x:c>
      <x:c r="C9" s="54" t="n">
        <x:v>0.8</x:v>
      </x:c>
      <x:c r="D9" s="86" t="n">
        <x:f>C9*100</x:f>
        <x:v>80</x:v>
      </x:c>
      <x:c r="E9" s="86" t="n">
        <x:f>(D9+F9)*B9*H9</x:f>
        <x:v>118.99999999999999</x:v>
      </x:c>
      <x:c r="F9" s="60" t="n">
        <x:v>5</x:v>
      </x:c>
      <x:c r="G9" s="60" t="n">
        <x:v>25</x:v>
      </x:c>
      <x:c r="H9" s="60" t="n">
        <x:v>1</x:v>
      </x:c>
      <x:c r="I9" s="60" t="n">
        <x:v>145</x:v>
      </x:c>
      <x:c r="J9" s="42" t="str">
        <x:v>Highest league multiplier</x:v>
      </x:c>
      <x:c r="K9" s="42" t="str">
        <x:v>None</x:v>
      </x:c>
      <x:c r="L9" s="42" t="str">
        <x:v>None</x:v>
      </x:c>
      <x:c r="M9" s="42" t="str">
        <x:v>None</x:v>
      </x:c>
      <x:c r="N9" s="43" t="str"/>
    </x:row>
    <x:row r="11" ht="22" customHeight="1">
      <x:c r="A11" s="33" t="str">
        <x:v>Season Point Formula</x:v>
      </x:c>
      <x:c r="B11" s="33"/>
      <x:c r="C11" s="33"/>
      <x:c r="D11" s="33"/>
      <x:c r="E11" s="33"/>
      <x:c r="F11" s="33"/>
      <x:c r="G11" s="33"/>
      <x:c r="H11" s="33"/>
      <x:c r="I11" s="33"/>
      <x:c r="J11" s="33"/>
      <x:c r="K11" s="33"/>
      <x:c r="L11" s="33"/>
      <x:c r="M11" s="33"/>
      <x:c r="N11" s="33"/>
    </x:row>
    <x:row r="12">
      <x:c r="A12" s="14" t="str">
        <x:v>Element</x:v>
      </x:c>
      <x:c r="B12" s="14" t="str">
        <x:v>Rule</x:v>
      </x:c>
    </x:row>
    <x:row r="13">
      <x:c r="A13" s="36" t="str">
        <x:v>Weekly rank percentile</x:v>
      </x:c>
      <x:c r="B13" s="38" t="str">
        <x:v>100 × percentile within current competitive league after integrity filtering.</x:v>
      </x:c>
    </x:row>
    <x:row r="14">
      <x:c r="A14" s="39" t="str">
        <x:v>League multiplier</x:v>
      </x:c>
      <x:c r="B14" s="40" t="str">
        <x:v>Higher leagues provide a modest season-point multiplier to recognize stronger competition.</x:v>
      </x:c>
    </x:row>
    <x:row r="15">
      <x:c r="A15" s="39" t="str">
        <x:v>Eligible week bonus</x:v>
      </x:c>
      <x:c r="B15" s="40" t="str">
        <x:v>+5 points for completing an eligible competitive week.</x:v>
      </x:c>
    </x:row>
    <x:row r="16">
      <x:c r="A16" s="39" t="str">
        <x:v>Perfect-season bonus</x:v>
      </x:c>
      <x:c r="B16" s="40" t="str">
        <x:v>+25 once at season end for all 8 eligible weeks.</x:v>
      </x:c>
    </x:row>
    <x:row r="17">
      <x:c r="A17" s="41" t="str">
        <x:v>No token conversion</x:v>
      </x:c>
      <x:c r="B17" s="43" t="str">
        <x:v>Season Points are prestige/ranking points and have no fixed conversion to $PLOT.</x:v>
      </x:c>
    </x:row>
  </x:sheetData>
  <x:mergeCells>
    <x:mergeCell ref="A1:N1"/>
    <x:mergeCell ref="A11:N1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 ht="28" customHeight="1">
      <x:c r="A1" s="122" t="str">
        <x:v>Season-End Rewards &amp; Prestige</x:v>
      </x:c>
      <x:c r="B1" s="122"/>
      <x:c r="C1" s="122"/>
      <x:c r="D1" s="122"/>
      <x:c r="E1" s="122"/>
      <x:c r="F1" s="122"/>
      <x:c r="G1" s="122"/>
      <x:c r="H1" s="122"/>
      <x:c r="I1" s="122"/>
      <x:c r="J1" s="122"/>
      <x:c r="K1" s="122"/>
      <x:c r="L1" s="122"/>
      <x:c r="M1" s="122"/>
      <x:c r="N1" s="122"/>
      <x:c r="O1" s="22"/>
      <x:c r="P1" s="22"/>
      <x:c r="Q1" s="22"/>
    </x:row>
    <x:row r="3">
      <x:c r="A3" s="14" t="str">
        <x:v>Reward Tier</x:v>
      </x:c>
      <x:c r="B3" s="14" t="str">
        <x:v>Qualification</x:v>
      </x:c>
      <x:c r="C3" s="14" t="str">
        <x:v>PLOT Reward Default</x:v>
      </x:c>
      <x:c r="D3" s="14" t="str">
        <x:v>Board Cosmetic</x:v>
      </x:c>
      <x:c r="E3" s="14" t="str">
        <x:v>Profile Title</x:v>
      </x:c>
      <x:c r="F3" s="14" t="str">
        <x:v>Badge</x:v>
      </x:c>
      <x:c r="G3" s="14" t="str">
        <x:v>Card / Building Power</x:v>
      </x:c>
      <x:c r="H3" s="14" t="str">
        <x:v>Market Hunt Power</x:v>
      </x:c>
      <x:c r="I3" s="14" t="str">
        <x:v>Next-Season Advantage</x:v>
      </x:c>
      <x:c r="J3" s="14" t="str">
        <x:v>Tradable?</x:v>
      </x:c>
      <x:c r="K3" s="14" t="str">
        <x:v>Scarcity</x:v>
      </x:c>
      <x:c r="L3" s="14" t="str">
        <x:v>Permanent Record</x:v>
      </x:c>
      <x:c r="M3" s="14" t="str">
        <x:v>Purpose</x:v>
      </x:c>
      <x:c r="N3" s="14" t="str">
        <x:v>Notes</x:v>
      </x:c>
    </x:row>
    <x:row r="4">
      <x:c r="A4" s="36" t="str">
        <x:v>Participation</x:v>
      </x:c>
      <x:c r="B4" s="37" t="str">
        <x:v>4+ eligible weeks</x:v>
      </x:c>
      <x:c r="C4" s="64" t="n">
        <x:v>0</x:v>
      </x:c>
      <x:c r="D4" s="37" t="str">
        <x:v>Season decal</x:v>
      </x:c>
      <x:c r="E4" s="37" t="str">
        <x:v>Season Participant</x:v>
      </x:c>
      <x:c r="F4" s="37" t="str">
        <x:v>Participant badge</x:v>
      </x:c>
      <x:c r="G4" s="37" t="str">
        <x:v>None</x:v>
      </x:c>
      <x:c r="H4" s="37" t="str">
        <x:v>None</x:v>
      </x:c>
      <x:c r="I4" s="37" t="str">
        <x:v>None</x:v>
      </x:c>
      <x:c r="J4" s="37" t="str">
        <x:v>No</x:v>
      </x:c>
      <x:c r="K4" s="37" t="str">
        <x:v>Open</x:v>
      </x:c>
      <x:c r="L4" s="37" t="str">
        <x:v>Yes</x:v>
      </x:c>
      <x:c r="M4" s="37" t="str">
        <x:v>Reward consistency without pay-to-win</x:v>
      </x:c>
      <x:c r="N4" s="38" t="str"/>
    </x:row>
    <x:row r="5">
      <x:c r="A5" s="39" t="str">
        <x:v>Top 25% League</x:v>
      </x:c>
      <x:c r="B5" s="22" t="str">
        <x:v>Season percentile &gt;=75%</x:v>
      </x:c>
      <x:c r="C5" s="65" t="n">
        <x:v>0</x:v>
      </x:c>
      <x:c r="D5" s="22" t="str">
        <x:v>League trim</x:v>
      </x:c>
      <x:c r="E5" s="22" t="str">
        <x:v>League Finisher</x:v>
      </x:c>
      <x:c r="F5" s="22" t="str">
        <x:v>Top 25% badge</x:v>
      </x:c>
      <x:c r="G5" s="22" t="str">
        <x:v>None</x:v>
      </x:c>
      <x:c r="H5" s="22" t="str">
        <x:v>None</x:v>
      </x:c>
      <x:c r="I5" s="22" t="str">
        <x:v>None</x:v>
      </x:c>
      <x:c r="J5" s="22" t="str">
        <x:v>No</x:v>
      </x:c>
      <x:c r="K5" s="22" t="str">
        <x:v>Common</x:v>
      </x:c>
      <x:c r="L5" s="22" t="str">
        <x:v>Yes</x:v>
      </x:c>
      <x:c r="M5" s="22" t="str">
        <x:v>Visible achievement</x:v>
      </x:c>
      <x:c r="N5" s="40" t="str"/>
    </x:row>
    <x:row r="6">
      <x:c r="A6" s="39" t="str">
        <x:v>Top 10% League</x:v>
      </x:c>
      <x:c r="B6" s="22" t="str">
        <x:v>Season percentile &gt;=90%</x:v>
      </x:c>
      <x:c r="C6" s="65" t="n">
        <x:v>0</x:v>
      </x:c>
      <x:c r="D6" s="22" t="str">
        <x:v>Premium league frame</x:v>
      </x:c>
      <x:c r="E6" s="22" t="str">
        <x:v>League Contender</x:v>
      </x:c>
      <x:c r="F6" s="22" t="str">
        <x:v>Top 10% badge</x:v>
      </x:c>
      <x:c r="G6" s="22" t="str">
        <x:v>None</x:v>
      </x:c>
      <x:c r="H6" s="22" t="str">
        <x:v>None</x:v>
      </x:c>
      <x:c r="I6" s="22" t="str">
        <x:v>None</x:v>
      </x:c>
      <x:c r="J6" s="22" t="str">
        <x:v>No</x:v>
      </x:c>
      <x:c r="K6" s="22" t="str">
        <x:v>Uncommon</x:v>
      </x:c>
      <x:c r="L6" s="22" t="str">
        <x:v>Yes</x:v>
      </x:c>
      <x:c r="M6" s="22" t="str">
        <x:v>Prestige</x:v>
      </x:c>
      <x:c r="N6" s="40" t="str"/>
    </x:row>
    <x:row r="7">
      <x:c r="A7" s="39" t="str">
        <x:v>Top 1% League</x:v>
      </x:c>
      <x:c r="B7" s="22" t="str">
        <x:v>Season percentile &gt;=99%</x:v>
      </x:c>
      <x:c r="C7" s="65" t="n">
        <x:v>0</x:v>
      </x:c>
      <x:c r="D7" s="22" t="str">
        <x:v>Animated board accent</x:v>
      </x:c>
      <x:c r="E7" s="22" t="str">
        <x:v>League Elite</x:v>
      </x:c>
      <x:c r="F7" s="22" t="str">
        <x:v>Top 1% badge</x:v>
      </x:c>
      <x:c r="G7" s="22" t="str">
        <x:v>None</x:v>
      </x:c>
      <x:c r="H7" s="22" t="str">
        <x:v>None</x:v>
      </x:c>
      <x:c r="I7" s="22" t="str">
        <x:v>None</x:v>
      </x:c>
      <x:c r="J7" s="22" t="str">
        <x:v>No</x:v>
      </x:c>
      <x:c r="K7" s="22" t="str">
        <x:v>Rare</x:v>
      </x:c>
      <x:c r="L7" s="22" t="str">
        <x:v>Yes</x:v>
      </x:c>
      <x:c r="M7" s="22" t="str">
        <x:v>High prestige</x:v>
      </x:c>
      <x:c r="N7" s="40" t="str"/>
    </x:row>
    <x:row r="8">
      <x:c r="A8" s="39" t="str">
        <x:v>League Champion</x:v>
      </x:c>
      <x:c r="B8" s="22" t="str">
        <x:v>Rank #1 in league</x:v>
      </x:c>
      <x:c r="C8" s="65" t="n">
        <x:v>0</x:v>
      </x:c>
      <x:c r="D8" s="22" t="str">
        <x:v>Champion board frame</x:v>
      </x:c>
      <x:c r="E8" s="22" t="str">
        <x:v>Bronze/Silver/etc Champion</x:v>
      </x:c>
      <x:c r="F8" s="22" t="str">
        <x:v>Champion badge</x:v>
      </x:c>
      <x:c r="G8" s="22" t="str">
        <x:v>None</x:v>
      </x:c>
      <x:c r="H8" s="22" t="str">
        <x:v>None</x:v>
      </x:c>
      <x:c r="I8" s="22" t="str">
        <x:v>None</x:v>
      </x:c>
      <x:c r="J8" s="22" t="str">
        <x:v>No</x:v>
      </x:c>
      <x:c r="K8" s="22" t="str">
        <x:v>6 per season</x:v>
      </x:c>
      <x:c r="L8" s="22" t="str">
        <x:v>Yes</x:v>
      </x:c>
      <x:c r="M8" s="22" t="str">
        <x:v>League identity</x:v>
      </x:c>
      <x:c r="N8" s="40" t="str"/>
    </x:row>
    <x:row r="9">
      <x:c r="A9" s="39" t="str">
        <x:v>Global Top 100</x:v>
      </x:c>
      <x:c r="B9" s="22" t="str">
        <x:v>Top 100 global season points</x:v>
      </x:c>
      <x:c r="C9" s="65" t="n">
        <x:v>0</x:v>
      </x:c>
      <x:c r="D9" s="22" t="str">
        <x:v>Global prestige trim</x:v>
      </x:c>
      <x:c r="E9" s="22" t="str">
        <x:v>Global 100</x:v>
      </x:c>
      <x:c r="F9" s="22" t="str">
        <x:v>Global badge</x:v>
      </x:c>
      <x:c r="G9" s="22" t="str">
        <x:v>None</x:v>
      </x:c>
      <x:c r="H9" s="22" t="str">
        <x:v>None</x:v>
      </x:c>
      <x:c r="I9" s="22" t="str">
        <x:v>None</x:v>
      </x:c>
      <x:c r="J9" s="22" t="str">
        <x:v>No</x:v>
      </x:c>
      <x:c r="K9" s="22" t="str">
        <x:v>100</x:v>
      </x:c>
      <x:c r="L9" s="22" t="str">
        <x:v>Yes</x:v>
      </x:c>
      <x:c r="M9" s="22" t="str">
        <x:v>Cross-league prestige</x:v>
      </x:c>
      <x:c r="N9" s="40" t="str"/>
    </x:row>
    <x:row r="10">
      <x:c r="A10" s="39" t="str">
        <x:v>Global Top 10</x:v>
      </x:c>
      <x:c r="B10" s="22" t="str">
        <x:v>Top 10 global season points</x:v>
      </x:c>
      <x:c r="C10" s="65" t="n">
        <x:v>0</x:v>
      </x:c>
      <x:c r="D10" s="22" t="str">
        <x:v>Rare global skin</x:v>
      </x:c>
      <x:c r="E10" s="22" t="str">
        <x:v>Global Top 10</x:v>
      </x:c>
      <x:c r="F10" s="22" t="str">
        <x:v>Top 10 badge</x:v>
      </x:c>
      <x:c r="G10" s="22" t="str">
        <x:v>None</x:v>
      </x:c>
      <x:c r="H10" s="22" t="str">
        <x:v>None</x:v>
      </x:c>
      <x:c r="I10" s="22" t="str">
        <x:v>None</x:v>
      </x:c>
      <x:c r="J10" s="22" t="str">
        <x:v>No</x:v>
      </x:c>
      <x:c r="K10" s="22" t="str">
        <x:v>10</x:v>
      </x:c>
      <x:c r="L10" s="22" t="str">
        <x:v>Yes</x:v>
      </x:c>
      <x:c r="M10" s="22" t="str">
        <x:v>Highest seasonal prestige</x:v>
      </x:c>
      <x:c r="N10" s="40" t="str"/>
    </x:row>
    <x:row r="11">
      <x:c r="A11" s="41" t="str">
        <x:v>Season #1</x:v>
      </x:c>
      <x:c r="B11" s="42" t="str">
        <x:v>Global rank #1</x:v>
      </x:c>
      <x:c r="C11" s="66" t="n">
        <x:v>0</x:v>
      </x:c>
      <x:c r="D11" s="42" t="str">
        <x:v>Unique season champion skin</x:v>
      </x:c>
      <x:c r="E11" s="42" t="str">
        <x:v>Season Champion</x:v>
      </x:c>
      <x:c r="F11" s="42" t="str">
        <x:v>#1 badge</x:v>
      </x:c>
      <x:c r="G11" s="42" t="str">
        <x:v>None</x:v>
      </x:c>
      <x:c r="H11" s="42" t="str">
        <x:v>None</x:v>
      </x:c>
      <x:c r="I11" s="42" t="str">
        <x:v>None</x:v>
      </x:c>
      <x:c r="J11" s="42" t="str">
        <x:v>No</x:v>
      </x:c>
      <x:c r="K11" s="42" t="str">
        <x:v>1</x:v>
      </x:c>
      <x:c r="L11" s="42" t="str">
        <x:v>Yes</x:v>
      </x:c>
      <x:c r="M11" s="42" t="str">
        <x:v>Hall of Fame centerpiece</x:v>
      </x:c>
      <x:c r="N11" s="43" t="str"/>
    </x:row>
    <x:row r="13" ht="22" customHeight="1">
      <x:c r="A13" s="33" t="str">
        <x:v>Seasonal PLOT Policy</x:v>
      </x:c>
      <x:c r="B13" s="33"/>
      <x:c r="C13" s="33"/>
      <x:c r="D13" s="33"/>
      <x:c r="E13" s="33"/>
      <x:c r="F13" s="33"/>
      <x:c r="G13" s="33"/>
      <x:c r="H13" s="33"/>
      <x:c r="I13" s="33"/>
      <x:c r="J13" s="33"/>
      <x:c r="K13" s="33"/>
      <x:c r="L13" s="33"/>
      <x:c r="M13" s="33"/>
      <x:c r="N13" s="33"/>
    </x:row>
    <x:row r="14">
      <x:c r="A14" s="98" t="str">
        <x:v>Default v0.1 seasonal PLOT reward pool is 0. Weekly competition already distributes the fixed $PLOT pool. Season rewards should begin as prestige/cosmetic rewards; if a separate seasonal token pool is later funded, it must be a fixed treasury input and never an uncapped emission.</x:v>
      </x:c>
      <x:c r="B14" s="98"/>
      <x:c r="C14" s="98"/>
      <x:c r="D14" s="98"/>
      <x:c r="E14" s="98"/>
      <x:c r="F14" s="98"/>
      <x:c r="G14" s="98"/>
      <x:c r="H14" s="98"/>
      <x:c r="I14" s="98"/>
      <x:c r="J14" s="98"/>
      <x:c r="K14" s="98"/>
      <x:c r="L14" s="98"/>
      <x:c r="M14" s="98"/>
      <x:c r="N14" s="98"/>
    </x:row>
    <x:row r="15">
      <x:c r="A15" s="98"/>
      <x:c r="B15" s="98"/>
      <x:c r="C15" s="98"/>
      <x:c r="D15" s="98"/>
      <x:c r="E15" s="98"/>
      <x:c r="F15" s="98"/>
      <x:c r="G15" s="98"/>
      <x:c r="H15" s="98"/>
      <x:c r="I15" s="98"/>
      <x:c r="J15" s="98"/>
      <x:c r="K15" s="98"/>
      <x:c r="L15" s="98"/>
      <x:c r="M15" s="98"/>
      <x:c r="N15" s="98"/>
    </x:row>
  </x:sheetData>
  <x:mergeCells>
    <x:mergeCell ref="A1:N1"/>
    <x:mergeCell ref="A13:N13"/>
    <x:mergeCell ref="A14:N15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 ht="28" customHeight="1">
      <x:c r="A1" s="122" t="str">
        <x:v>Leaderboard Architecture &amp; Ranking Views</x:v>
      </x:c>
      <x:c r="B1" s="122"/>
      <x:c r="C1" s="122"/>
      <x:c r="D1" s="122"/>
      <x:c r="E1" s="122"/>
      <x:c r="F1" s="122"/>
      <x:c r="G1" s="122"/>
      <x:c r="H1" s="122"/>
      <x:c r="I1" s="122"/>
      <x:c r="J1" s="122"/>
      <x:c r="K1" s="122"/>
      <x:c r="L1" s="122"/>
      <x:c r="M1" s="122"/>
      <x:c r="N1" s="122"/>
      <x:c r="O1" s="22"/>
      <x:c r="P1" s="22"/>
      <x:c r="Q1" s="22"/>
    </x:row>
    <x:row r="3">
      <x:c r="A3" s="14" t="str">
        <x:v>Leaderboard</x:v>
      </x:c>
      <x:c r="B3" s="14" t="str">
        <x:v>Primary Rank Metric</x:v>
      </x:c>
      <x:c r="C3" s="14" t="str">
        <x:v>Population</x:v>
      </x:c>
      <x:c r="D3" s="14" t="str">
        <x:v>Reset Cadence</x:v>
      </x:c>
      <x:c r="E3" s="14" t="str">
        <x:v>Payout?</x:v>
      </x:c>
      <x:c r="F3" s="14" t="str">
        <x:v>Stage Filter</x:v>
      </x:c>
      <x:c r="G3" s="14" t="str">
        <x:v>League Filter</x:v>
      </x:c>
      <x:c r="H3" s="14" t="str">
        <x:v>Plot Count Filter</x:v>
      </x:c>
      <x:c r="I3" s="14" t="str">
        <x:v>Tie Break 1</x:v>
      </x:c>
      <x:c r="J3" s="14" t="str">
        <x:v>Tie Break 2</x:v>
      </x:c>
      <x:c r="K3" s="14" t="str">
        <x:v>Visible History</x:v>
      </x:c>
      <x:c r="L3" s="14" t="str">
        <x:v>Anti-Whale Role</x:v>
      </x:c>
      <x:c r="M3" s="14" t="str">
        <x:v>Player Purpose</x:v>
      </x:c>
      <x:c r="N3" s="14" t="str">
        <x:v>Notes</x:v>
      </x:c>
    </x:row>
    <x:row r="4">
      <x:c r="A4" s="36" t="str">
        <x:v>Weekly League</x:v>
      </x:c>
      <x:c r="B4" s="37" t="str">
        <x:v>Weekly Performance Score / payout weight</x:v>
      </x:c>
      <x:c r="C4" s="37" t="str">
        <x:v>Current league</x:v>
      </x:c>
      <x:c r="D4" s="37" t="str">
        <x:v>Weekly</x:v>
      </x:c>
      <x:c r="E4" s="37" t="str">
        <x:v>Yes</x:v>
      </x:c>
      <x:c r="F4" s="37" t="str">
        <x:v>Optional</x:v>
      </x:c>
      <x:c r="G4" s="37" t="str">
        <x:v>Required</x:v>
      </x:c>
      <x:c r="H4" s="37" t="str">
        <x:v>Optional</x:v>
      </x:c>
      <x:c r="I4" s="37" t="str">
        <x:v>Higher valid economic activity</x:v>
      </x:c>
      <x:c r="J4" s="37" t="str">
        <x:v>Lower median Risk</x:v>
      </x:c>
      <x:c r="K4" s="37" t="str">
        <x:v>Last 8 weeks</x:v>
      </x:c>
      <x:c r="L4" s="37" t="str">
        <x:v>Primary fair payout surface</x:v>
      </x:c>
      <x:c r="M4" s="37" t="str">
        <x:v>Weekly competition</x:v>
      </x:c>
      <x:c r="N4" s="38" t="str"/>
    </x:row>
    <x:row r="5">
      <x:c r="A5" s="39" t="str">
        <x:v>Global Weekly</x:v>
      </x:c>
      <x:c r="B5" s="22" t="str">
        <x:v>Performance Score</x:v>
      </x:c>
      <x:c r="C5" s="22" t="str">
        <x:v>All eligible players</x:v>
      </x:c>
      <x:c r="D5" s="22" t="str">
        <x:v>Weekly</x:v>
      </x:c>
      <x:c r="E5" s="22" t="str">
        <x:v>No</x:v>
      </x:c>
      <x:c r="F5" s="22" t="str">
        <x:v>Optional</x:v>
      </x:c>
      <x:c r="G5" s="22" t="str">
        <x:v>Optional</x:v>
      </x:c>
      <x:c r="H5" s="22" t="str">
        <x:v>Optional</x:v>
      </x:c>
      <x:c r="I5" s="22" t="str">
        <x:v>Higher active days</x:v>
      </x:c>
      <x:c r="J5" s="22" t="str">
        <x:v>Higher Reputation</x:v>
      </x:c>
      <x:c r="K5" s="22" t="str">
        <x:v>Last 8 weeks</x:v>
      </x:c>
      <x:c r="L5" s="22" t="str">
        <x:v>Shows excellence without changing payout</x:v>
      </x:c>
      <x:c r="M5" s="22" t="str">
        <x:v>Prestige comparison</x:v>
      </x:c>
      <x:c r="N5" s="40" t="str"/>
    </x:row>
    <x:row r="6">
      <x:c r="A6" s="39" t="str">
        <x:v>Maturity Weekly</x:v>
      </x:c>
      <x:c r="B6" s="22" t="str">
        <x:v>Performance Score</x:v>
      </x:c>
      <x:c r="C6" s="22" t="str">
        <x:v>Same Empire stage</x:v>
      </x:c>
      <x:c r="D6" s="22" t="str">
        <x:v>Weekly</x:v>
      </x:c>
      <x:c r="E6" s="22" t="str">
        <x:v>No</x:v>
      </x:c>
      <x:c r="F6" s="22" t="str">
        <x:v>Required</x:v>
      </x:c>
      <x:c r="G6" s="22" t="str">
        <x:v>Optional</x:v>
      </x:c>
      <x:c r="H6" s="22" t="str">
        <x:v>Optional</x:v>
      </x:c>
      <x:c r="I6" s="22" t="str">
        <x:v>Higher economic activity</x:v>
      </x:c>
      <x:c r="J6" s="22" t="str">
        <x:v>Lower Risk</x:v>
      </x:c>
      <x:c r="K6" s="22" t="str">
        <x:v>Last 8 weeks</x:v>
      </x:c>
      <x:c r="L6" s="22" t="str">
        <x:v>Lets small empires compare fairly</x:v>
      </x:c>
      <x:c r="M6" s="22" t="str">
        <x:v>Progression benchmark</x:v>
      </x:c>
      <x:c r="N6" s="40" t="str"/>
    </x:row>
    <x:row r="7">
      <x:c r="A7" s="39" t="str">
        <x:v>Season League</x:v>
      </x:c>
      <x:c r="B7" s="22" t="str">
        <x:v>Season Points</x:v>
      </x:c>
      <x:c r="C7" s="22" t="str">
        <x:v>Current/season league history</x:v>
      </x:c>
      <x:c r="D7" s="22" t="str">
        <x:v>Season</x:v>
      </x:c>
      <x:c r="E7" s="22" t="str">
        <x:v>No default token payout</x:v>
      </x:c>
      <x:c r="F7" s="22" t="str">
        <x:v>Optional</x:v>
      </x:c>
      <x:c r="G7" s="22" t="str">
        <x:v>Required</x:v>
      </x:c>
      <x:c r="H7" s="22" t="str">
        <x:v>Optional</x:v>
      </x:c>
      <x:c r="I7" s="22" t="str">
        <x:v>More eligible weeks</x:v>
      </x:c>
      <x:c r="J7" s="22" t="str">
        <x:v>Higher average weekly percentile</x:v>
      </x:c>
      <x:c r="K7" s="22" t="str">
        <x:v>Past seasons</x:v>
      </x:c>
      <x:c r="L7" s="22" t="str">
        <x:v>Rewards consistency</x:v>
      </x:c>
      <x:c r="M7" s="22" t="str">
        <x:v>Season prestige</x:v>
      </x:c>
      <x:c r="N7" s="40" t="str"/>
    </x:row>
    <x:row r="8">
      <x:c r="A8" s="39" t="str">
        <x:v>Global Season</x:v>
      </x:c>
      <x:c r="B8" s="22" t="str">
        <x:v>Season Points</x:v>
      </x:c>
      <x:c r="C8" s="22" t="str">
        <x:v>All eligible players</x:v>
      </x:c>
      <x:c r="D8" s="22" t="str">
        <x:v>Season</x:v>
      </x:c>
      <x:c r="E8" s="22" t="str">
        <x:v>No default token payout</x:v>
      </x:c>
      <x:c r="F8" s="22" t="str">
        <x:v>Optional</x:v>
      </x:c>
      <x:c r="G8" s="22" t="str">
        <x:v>Optional</x:v>
      </x:c>
      <x:c r="H8" s="22" t="str">
        <x:v>Optional</x:v>
      </x:c>
      <x:c r="I8" s="22" t="str">
        <x:v>Higher average league</x:v>
      </x:c>
      <x:c r="J8" s="22" t="str">
        <x:v>Higher eligible weeks</x:v>
      </x:c>
      <x:c r="K8" s="22" t="str">
        <x:v>Permanent top records</x:v>
      </x:c>
      <x:c r="L8" s="22" t="str">
        <x:v>Separate from land size</x:v>
      </x:c>
      <x:c r="M8" s="22" t="str">
        <x:v>Global prestige</x:v>
      </x:c>
      <x:c r="N8" s="40" t="str"/>
    </x:row>
    <x:row r="9">
      <x:c r="A9" s="39" t="str">
        <x:v>Empire Value</x:v>
      </x:c>
      <x:c r="B9" s="22" t="str">
        <x:v>Empire Value</x:v>
      </x:c>
      <x:c r="C9" s="22" t="str">
        <x:v>All players</x:v>
      </x:c>
      <x:c r="D9" s="22" t="str">
        <x:v>Persistent</x:v>
      </x:c>
      <x:c r="E9" s="22" t="str">
        <x:v>No</x:v>
      </x:c>
      <x:c r="F9" s="22" t="str">
        <x:v>Optional</x:v>
      </x:c>
      <x:c r="G9" s="22" t="str">
        <x:v>Optional</x:v>
      </x:c>
      <x:c r="H9" s="22" t="str">
        <x:v>Optional</x:v>
      </x:c>
      <x:c r="I9" s="22" t="str">
        <x:v>Higher Reputation</x:v>
      </x:c>
      <x:c r="J9" s="22" t="str">
        <x:v>Older empire</x:v>
      </x:c>
      <x:c r="K9" s="22" t="str">
        <x:v>Persistent</x:v>
      </x:c>
      <x:c r="L9" s="22" t="str">
        <x:v>Explicitly non-payout</x:v>
      </x:c>
      <x:c r="M9" s="22" t="str">
        <x:v>Show collection/progression scale</x:v>
      </x:c>
      <x:c r="N9" s="40" t="str">
        <x:v>Must not be confused with competitive ranking</x:v>
      </x:c>
    </x:row>
    <x:row r="10">
      <x:c r="A10" s="41" t="str">
        <x:v>Hall of Fame</x:v>
      </x:c>
      <x:c r="B10" s="42" t="str">
        <x:v>Historic championships / records</x:v>
      </x:c>
      <x:c r="C10" s="42" t="str">
        <x:v>Past winners</x:v>
      </x:c>
      <x:c r="D10" s="42" t="str">
        <x:v>Never resets</x:v>
      </x:c>
      <x:c r="E10" s="42" t="str">
        <x:v>No</x:v>
      </x:c>
      <x:c r="F10" s="42" t="str">
        <x:v>No</x:v>
      </x:c>
      <x:c r="G10" s="42" t="str">
        <x:v>No</x:v>
      </x:c>
      <x:c r="H10" s="42" t="str">
        <x:v>No</x:v>
      </x:c>
      <x:c r="I10" s="42" t="str">
        <x:v>Season championships</x:v>
      </x:c>
      <x:c r="J10" s="42" t="str">
        <x:v>Global top finishes</x:v>
      </x:c>
      <x:c r="K10" s="42" t="str">
        <x:v>Permanent</x:v>
      </x:c>
      <x:c r="L10" s="42" t="str">
        <x:v>Pure prestige</x:v>
      </x:c>
      <x:c r="M10" s="42" t="str">
        <x:v>Legacy</x:v>
      </x:c>
      <x:c r="N10" s="43" t="str"/>
    </x:row>
  </x:sheetData>
  <x:mergeCells>
    <x:mergeCell ref="A1:N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5" hidden="0" customWidth="1"/>
    <x:col min="17" max="17" width="15" hidden="0" customWidth="1"/>
  </x:cols>
  <x:sheetData>
    <x:row r="1" ht="28" customHeight="1">
      <x:c r="A1" s="122" t="str">
        <x:v>Empire Maturity Normalization &amp; Cross-Stage Fairness</x:v>
      </x:c>
      <x:c r="B1" s="122"/>
      <x:c r="C1" s="122"/>
      <x:c r="D1" s="122"/>
      <x:c r="E1" s="122"/>
      <x:c r="F1" s="122"/>
      <x:c r="G1" s="122"/>
      <x:c r="H1" s="122"/>
      <x:c r="I1" s="122"/>
      <x:c r="J1" s="122"/>
      <x:c r="K1" s="122"/>
      <x:c r="L1" s="122"/>
      <x:c r="M1" s="122"/>
      <x:c r="N1" s="122"/>
      <x:c r="O1" s="122"/>
      <x:c r="P1" s="22"/>
      <x:c r="Q1" s="22"/>
    </x:row>
    <x:row r="3">
      <x:c r="A3" s="14" t="str">
        <x:v>Performance Component</x:v>
      </x:c>
      <x:c r="B3" s="14" t="str">
        <x:v>Raw Metric Example</x:v>
      </x:c>
      <x:c r="C3" s="14" t="str">
        <x:v>Normalization Basis</x:v>
      </x:c>
      <x:c r="D3" s="14" t="str">
        <x:v>Humble</x:v>
      </x:c>
      <x:c r="E3" s="14" t="str">
        <x:v>Starter</x:v>
      </x:c>
      <x:c r="F3" s="14" t="str">
        <x:v>Growing</x:v>
      </x:c>
      <x:c r="G3" s="14" t="str">
        <x:v>Established</x:v>
      </x:c>
      <x:c r="H3" s="14" t="str">
        <x:v>Elite</x:v>
      </x:c>
      <x:c r="I3" s="14" t="str">
        <x:v>Tycoon</x:v>
      </x:c>
      <x:c r="J3" s="14" t="str">
        <x:v>League Uses Raw?</x:v>
      </x:c>
      <x:c r="K3" s="14" t="str">
        <x:v>League Uses Normalized?</x:v>
      </x:c>
      <x:c r="L3" s="14" t="str">
        <x:v>Land Count Bonus?</x:v>
      </x:c>
      <x:c r="M3" s="14" t="str">
        <x:v>Building Count Bonus?</x:v>
      </x:c>
      <x:c r="N3" s="14" t="str">
        <x:v>Fairness Purpose</x:v>
      </x:c>
      <x:c r="O3" s="14" t="str">
        <x:v>Notes</x:v>
      </x:c>
    </x:row>
    <x:row r="4">
      <x:c r="A4" s="36" t="str">
        <x:v>Economic Activity</x:v>
      </x:c>
      <x:c r="B4" s="37" t="str">
        <x:v>Activity/day</x:v>
      </x:c>
      <x:c r="C4" s="37" t="str">
        <x:v>Stage baseline</x:v>
      </x:c>
      <x:c r="D4" s="58" t="n">
        <x:v>701</x:v>
      </x:c>
      <x:c r="E4" s="58" t="n">
        <x:v>9623</x:v>
      </x:c>
      <x:c r="F4" s="58" t="n">
        <x:v>81246</x:v>
      </x:c>
      <x:c r="G4" s="58" t="n">
        <x:v>548164</x:v>
      </x:c>
      <x:c r="H4" s="58" t="n">
        <x:v>1806094</x:v>
      </x:c>
      <x:c r="I4" s="58" t="n">
        <x:v>4341888</x:v>
      </x:c>
      <x:c r="J4" s="37" t="str">
        <x:v>No</x:v>
      </x:c>
      <x:c r="K4" s="37" t="str">
        <x:v>Yes</x:v>
      </x:c>
      <x:c r="L4" s="37" t="str">
        <x:v>No</x:v>
      </x:c>
      <x:c r="M4" s="37" t="str">
        <x:v>No</x:v>
      </x:c>
      <x:c r="N4" s="37" t="str">
        <x:v>Scale-independent activity quality</x:v>
      </x:c>
      <x:c r="O4" s="38" t="str">
        <x:v>From existing economy model</x:v>
      </x:c>
    </x:row>
    <x:row r="5">
      <x:c r="A5" s="39" t="str">
        <x:v>Net Business Revenue</x:v>
      </x:c>
      <x:c r="B5" s="22" t="str">
        <x:v>Net Cash/day</x:v>
      </x:c>
      <x:c r="C5" s="22" t="str">
        <x:v>Stage baseline</x:v>
      </x:c>
      <x:c r="D5" s="59" t="n">
        <x:v>2991</x:v>
      </x:c>
      <x:c r="E5" s="59" t="n">
        <x:v>50100</x:v>
      </x:c>
      <x:c r="F5" s="59" t="n">
        <x:v>487748</x:v>
      </x:c>
      <x:c r="G5" s="59" t="n">
        <x:v>4071248</x:v>
      </x:c>
      <x:c r="H5" s="59" t="n">
        <x:v>14792355</x:v>
      </x:c>
      <x:c r="I5" s="59" t="n">
        <x:v>45738214</x:v>
      </x:c>
      <x:c r="J5" s="22" t="str">
        <x:v>No</x:v>
      </x:c>
      <x:c r="K5" s="22" t="str">
        <x:v>Yes</x:v>
      </x:c>
      <x:c r="L5" s="22" t="str">
        <x:v>No</x:v>
      </x:c>
      <x:c r="M5" s="22" t="str">
        <x:v>No</x:v>
      </x:c>
      <x:c r="N5" s="22" t="str">
        <x:v>Revenue relative to stage</x:v>
      </x:c>
      <x:c r="O5" s="40" t="str"/>
    </x:row>
    <x:row r="6">
      <x:c r="A6" s="39" t="str">
        <x:v>Active Customers</x:v>
      </x:c>
      <x:c r="B6" s="22" t="str">
        <x:v>Customers</x:v>
      </x:c>
      <x:c r="C6" s="22" t="str">
        <x:v>Stage baseline</x:v>
      </x:c>
      <x:c r="D6" s="59" t="n">
        <x:v>240</x:v>
      </x:c>
      <x:c r="E6" s="59" t="n">
        <x:v>3341</x:v>
      </x:c>
      <x:c r="F6" s="59" t="n">
        <x:v>26802</x:v>
      </x:c>
      <x:c r="G6" s="59" t="n">
        <x:v>158907</x:v>
      </x:c>
      <x:c r="H6" s="59" t="n">
        <x:v>461056</x:v>
      </x:c>
      <x:c r="I6" s="59" t="n">
        <x:v>1243101</x:v>
      </x:c>
      <x:c r="J6" s="22" t="str">
        <x:v>No</x:v>
      </x:c>
      <x:c r="K6" s="22" t="str">
        <x:v>Yes</x:v>
      </x:c>
      <x:c r="L6" s="22" t="str">
        <x:v>No</x:v>
      </x:c>
      <x:c r="M6" s="22" t="str">
        <x:v>No</x:v>
      </x:c>
      <x:c r="N6" s="22" t="str">
        <x:v>Customer quality relative to maturity</x:v>
      </x:c>
      <x:c r="O6" s="40" t="str"/>
    </x:row>
    <x:row r="7">
      <x:c r="A7" s="39" t="str">
        <x:v>Customer Growth</x:v>
      </x:c>
      <x:c r="B7" s="22" t="str">
        <x:v>Weekly %</x:v>
      </x:c>
      <x:c r="C7" s="22" t="str">
        <x:v>Stage target</x:v>
      </x:c>
      <x:c r="D7" s="53" t="n">
        <x:v>0.15</x:v>
      </x:c>
      <x:c r="E7" s="53" t="n">
        <x:v>0.1</x:v>
      </x:c>
      <x:c r="F7" s="53" t="n">
        <x:v>0.06</x:v>
      </x:c>
      <x:c r="G7" s="53" t="n">
        <x:v>0.035</x:v>
      </x:c>
      <x:c r="H7" s="53" t="n">
        <x:v>0.02</x:v>
      </x:c>
      <x:c r="I7" s="53" t="n">
        <x:v>0.01</x:v>
      </x:c>
      <x:c r="J7" s="22" t="str">
        <x:v>No</x:v>
      </x:c>
      <x:c r="K7" s="22" t="str">
        <x:v>Yes</x:v>
      </x:c>
      <x:c r="L7" s="22" t="str">
        <x:v>No</x:v>
      </x:c>
      <x:c r="M7" s="22" t="str">
        <x:v>No</x:v>
      </x:c>
      <x:c r="N7" s="22" t="str">
        <x:v>Early-stage growth naturally faster</x:v>
      </x:c>
      <x:c r="O7" s="40" t="str"/>
    </x:row>
    <x:row r="8">
      <x:c r="A8" s="39" t="str">
        <x:v>Utilization</x:v>
      </x:c>
      <x:c r="B8" s="22" t="str">
        <x:v>% capacity</x:v>
      </x:c>
      <x:c r="C8" s="22" t="str">
        <x:v>Quality curve</x:v>
      </x:c>
      <x:c r="D8" s="22" t="str">
        <x:v>Same curve</x:v>
      </x:c>
      <x:c r="E8" s="22" t="str">
        <x:v>Same curve</x:v>
      </x:c>
      <x:c r="F8" s="22" t="str">
        <x:v>Same curve</x:v>
      </x:c>
      <x:c r="G8" s="22" t="str">
        <x:v>Same curve</x:v>
      </x:c>
      <x:c r="H8" s="22" t="str">
        <x:v>Same curve</x:v>
      </x:c>
      <x:c r="I8" s="22" t="str">
        <x:v>Same curve</x:v>
      </x:c>
      <x:c r="J8" s="22" t="str">
        <x:v>No</x:v>
      </x:c>
      <x:c r="K8" s="22" t="str">
        <x:v>Yes</x:v>
      </x:c>
      <x:c r="L8" s="22" t="str">
        <x:v>No</x:v>
      </x:c>
      <x:c r="M8" s="22" t="str">
        <x:v>No</x:v>
      </x:c>
      <x:c r="N8" s="22" t="str">
        <x:v>Healthy capacity usage</x:v>
      </x:c>
      <x:c r="O8" s="40" t="str"/>
    </x:row>
    <x:row r="9">
      <x:c r="A9" s="39" t="str">
        <x:v>Reputation</x:v>
      </x:c>
      <x:c r="B9" s="22" t="str">
        <x:v>0–100</x:v>
      </x:c>
      <x:c r="C9" s="22" t="str">
        <x:v>Absolute bounded metric</x:v>
      </x:c>
      <x:c r="D9" s="22" t="str">
        <x:v>Same</x:v>
      </x:c>
      <x:c r="E9" s="22" t="str">
        <x:v>Same</x:v>
      </x:c>
      <x:c r="F9" s="22" t="str">
        <x:v>Same</x:v>
      </x:c>
      <x:c r="G9" s="22" t="str">
        <x:v>Same</x:v>
      </x:c>
      <x:c r="H9" s="22" t="str">
        <x:v>Same</x:v>
      </x:c>
      <x:c r="I9" s="22" t="str">
        <x:v>Same</x:v>
      </x:c>
      <x:c r="J9" s="22" t="str">
        <x:v>No</x:v>
      </x:c>
      <x:c r="K9" s="22" t="str">
        <x:v>Yes</x:v>
      </x:c>
      <x:c r="L9" s="22" t="str">
        <x:v>No</x:v>
      </x:c>
      <x:c r="M9" s="22" t="str">
        <x:v>No</x:v>
      </x:c>
      <x:c r="N9" s="22" t="str">
        <x:v>Trust quality comparable</x:v>
      </x:c>
      <x:c r="O9" s="40" t="str"/>
    </x:row>
    <x:row r="10">
      <x:c r="A10" s="39" t="str">
        <x:v>Risk Management</x:v>
      </x:c>
      <x:c r="B10" s="22" t="str">
        <x:v>Composite Risk curve</x:v>
      </x:c>
      <x:c r="C10" s="22" t="str">
        <x:v>Absolute quality band</x:v>
      </x:c>
      <x:c r="D10" s="22" t="str">
        <x:v>Same</x:v>
      </x:c>
      <x:c r="E10" s="22" t="str">
        <x:v>Same</x:v>
      </x:c>
      <x:c r="F10" s="22" t="str">
        <x:v>Same</x:v>
      </x:c>
      <x:c r="G10" s="22" t="str">
        <x:v>Same</x:v>
      </x:c>
      <x:c r="H10" s="22" t="str">
        <x:v>Same</x:v>
      </x:c>
      <x:c r="I10" s="22" t="str">
        <x:v>Same</x:v>
      </x:c>
      <x:c r="J10" s="22" t="str">
        <x:v>No</x:v>
      </x:c>
      <x:c r="K10" s="22" t="str">
        <x:v>Yes</x:v>
      </x:c>
      <x:c r="L10" s="22" t="str">
        <x:v>No</x:v>
      </x:c>
      <x:c r="M10" s="22" t="str">
        <x:v>No</x:v>
      </x:c>
      <x:c r="N10" s="22" t="str">
        <x:v>Risk control comparable</x:v>
      </x:c>
      <x:c r="O10" s="40" t="str"/>
    </x:row>
    <x:row r="11">
      <x:c r="A11" s="41" t="str">
        <x:v>Market Hunts</x:v>
      </x:c>
      <x:c r="B11" s="42" t="str">
        <x:v>Valid Hunt points</x:v>
      </x:c>
      <x:c r="C11" s="42" t="str">
        <x:v>Stage weekly target</x:v>
      </x:c>
      <x:c r="D11" s="42" t="n">
        <x:v>22</x:v>
      </x:c>
      <x:c r="E11" s="42" t="n">
        <x:v>32</x:v>
      </x:c>
      <x:c r="F11" s="42" t="n">
        <x:v>45</x:v>
      </x:c>
      <x:c r="G11" s="42" t="n">
        <x:v>60</x:v>
      </x:c>
      <x:c r="H11" s="42" t="n">
        <x:v>80</x:v>
      </x:c>
      <x:c r="I11" s="42" t="n">
        <x:v>100</x:v>
      </x:c>
      <x:c r="J11" s="42" t="str">
        <x:v>No</x:v>
      </x:c>
      <x:c r="K11" s="42" t="str">
        <x:v>Yes</x:v>
      </x:c>
      <x:c r="L11" s="42" t="str">
        <x:v>No</x:v>
      </x:c>
      <x:c r="M11" s="42" t="str">
        <x:v>No</x:v>
      </x:c>
      <x:c r="N11" s="42" t="str">
        <x:v>Stage-appropriate mission load</x:v>
      </x:c>
      <x:c r="O11" s="43" t="str"/>
    </x:row>
    <x:row r="13" ht="22" customHeight="1">
      <x:c r="A13" s="33" t="str">
        <x:v>Cross-Stage Competitive Rule</x:v>
      </x:c>
      <x:c r="B13" s="33"/>
      <x:c r="C13" s="33"/>
      <x:c r="D13" s="33"/>
      <x:c r="E13" s="33"/>
      <x:c r="F13" s="33"/>
      <x:c r="G13" s="33"/>
      <x:c r="H13" s="33"/>
      <x:c r="I13" s="33"/>
      <x:c r="J13" s="33"/>
      <x:c r="K13" s="33"/>
      <x:c r="L13" s="33"/>
      <x:c r="M13" s="33"/>
      <x:c r="N13" s="33"/>
      <x:c r="O13" s="33"/>
    </x:row>
    <x:row r="14">
      <x:c r="A14" s="98" t="str">
        <x:v>Competitive leagues consume the already-normalized Performance Score, not raw revenue, customer count, building count or Plot count. A Humble player who performs exceptionally against Humble baselines can therefore outrank an Established player who performs poorly against Established baselines.</x:v>
      </x:c>
      <x:c r="B14" s="98"/>
      <x:c r="C14" s="98"/>
      <x:c r="D14" s="98"/>
      <x:c r="E14" s="98"/>
      <x:c r="F14" s="98"/>
      <x:c r="G14" s="98"/>
      <x:c r="H14" s="98"/>
      <x:c r="I14" s="98"/>
      <x:c r="J14" s="98"/>
      <x:c r="K14" s="98"/>
      <x:c r="L14" s="98"/>
      <x:c r="M14" s="98"/>
      <x:c r="N14" s="98"/>
      <x:c r="O14" s="98"/>
    </x:row>
    <x:row r="15">
      <x:c r="A15" s="98"/>
      <x:c r="B15" s="98"/>
      <x:c r="C15" s="98"/>
      <x:c r="D15" s="98"/>
      <x:c r="E15" s="98"/>
      <x:c r="F15" s="98"/>
      <x:c r="G15" s="98"/>
      <x:c r="H15" s="98"/>
      <x:c r="I15" s="98"/>
      <x:c r="J15" s="98"/>
      <x:c r="K15" s="98"/>
      <x:c r="L15" s="98"/>
      <x:c r="M15" s="98"/>
      <x:c r="N15" s="98"/>
      <x:c r="O15" s="98"/>
    </x:row>
  </x:sheetData>
  <x:mergeCells>
    <x:mergeCell ref="A1:O1"/>
    <x:mergeCell ref="A13:O13"/>
    <x:mergeCell ref="A14:O15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 ht="28" customHeight="1">
      <x:c r="A1" s="122" t="str">
        <x:v>Inactivity, Returning Players &amp; Late-Season Joiners</x:v>
      </x:c>
      <x:c r="B1" s="122"/>
      <x:c r="C1" s="122"/>
      <x:c r="D1" s="122"/>
      <x:c r="E1" s="122"/>
      <x:c r="F1" s="122"/>
      <x:c r="G1" s="122"/>
      <x:c r="H1" s="122"/>
      <x:c r="I1" s="122"/>
      <x:c r="J1" s="122"/>
      <x:c r="K1" s="122"/>
      <x:c r="L1" s="122"/>
      <x:c r="M1" s="122"/>
      <x:c r="N1" s="122"/>
      <x:c r="O1" s="22"/>
      <x:c r="P1" s="22"/>
      <x:c r="Q1" s="22"/>
    </x:row>
    <x:row r="3">
      <x:c r="A3" s="14" t="str">
        <x:v>Case</x:v>
      </x:c>
      <x:c r="B3" s="14" t="str">
        <x:v>Week State</x:v>
      </x:c>
      <x:c r="C3" s="14" t="str">
        <x:v>Payout Eligibility</x:v>
      </x:c>
      <x:c r="D3" s="14" t="str">
        <x:v>Rating Change</x:v>
      </x:c>
      <x:c r="E3" s="14" t="str">
        <x:v>Season Points</x:v>
      </x:c>
      <x:c r="F3" s="14" t="str">
        <x:v>League Protection</x:v>
      </x:c>
      <x:c r="G3" s="14" t="str">
        <x:v>Placement Handling</x:v>
      </x:c>
      <x:c r="H3" s="14" t="str">
        <x:v>Return Handling</x:v>
      </x:c>
      <x:c r="I3" s="14" t="str">
        <x:v>Can Be Promoted?</x:v>
      </x:c>
      <x:c r="J3" s="14" t="str">
        <x:v>Can Be Relegated?</x:v>
      </x:c>
      <x:c r="K3" s="14" t="str">
        <x:v>Abuse Risk</x:v>
      </x:c>
      <x:c r="L3" s="14" t="str">
        <x:v>Mitigation</x:v>
      </x:c>
      <x:c r="M3" s="14" t="str">
        <x:v>Player Message</x:v>
      </x:c>
      <x:c r="N3" s="14" t="str">
        <x:v>Notes</x:v>
      </x:c>
    </x:row>
    <x:row r="4">
      <x:c r="A4" s="36" t="str">
        <x:v>First missed eligible week</x:v>
      </x:c>
      <x:c r="B4" s="37" t="str">
        <x:v>Inactive / insufficient days</x:v>
      </x:c>
      <x:c r="C4" s="37" t="str">
        <x:v>No</x:v>
      </x:c>
      <x:c r="D4" s="58" t="n">
        <x:v>0</x:v>
      </x:c>
      <x:c r="E4" s="37" t="n">
        <x:v>0</x:v>
      </x:c>
      <x:c r="F4" s="37" t="str">
        <x:v>Grace remains if unused</x:v>
      </x:c>
      <x:c r="G4" s="37" t="str">
        <x:v>Placement pauses</x:v>
      </x:c>
      <x:c r="H4" s="37" t="str">
        <x:v>N/A</x:v>
      </x:c>
      <x:c r="I4" s="37" t="str">
        <x:v>No</x:v>
      </x:c>
      <x:c r="J4" s="37" t="str">
        <x:v>No</x:v>
      </x:c>
      <x:c r="K4" s="37" t="str">
        <x:v>Low</x:v>
      </x:c>
      <x:c r="L4" s="37" t="str">
        <x:v>1-week inactivity grace</x:v>
      </x:c>
      <x:c r="M4" s="37" t="str">
        <x:v>You were not eligible this week; no rating loss yet</x:v>
      </x:c>
      <x:c r="N4" s="38" t="str"/>
    </x:row>
    <x:row r="5">
      <x:c r="A5" s="39" t="str">
        <x:v>Second consecutive missed week</x:v>
      </x:c>
      <x:c r="B5" s="22" t="str">
        <x:v>Inactive</x:v>
      </x:c>
      <x:c r="C5" s="22" t="str">
        <x:v>No</x:v>
      </x:c>
      <x:c r="D5" s="59" t="n">
        <x:v>-40</x:v>
      </x:c>
      <x:c r="E5" s="22" t="n">
        <x:v>0</x:v>
      </x:c>
      <x:c r="F5" s="22" t="str">
        <x:v>Promotion protection consumed</x:v>
      </x:c>
      <x:c r="G5" s="22" t="str">
        <x:v>Placement pauses</x:v>
      </x:c>
      <x:c r="H5" s="22" t="str">
        <x:v>N/A</x:v>
      </x:c>
      <x:c r="I5" s="22" t="str">
        <x:v>No</x:v>
      </x:c>
      <x:c r="J5" s="22" t="str">
        <x:v>Yes by rating</x:v>
      </x:c>
      <x:c r="K5" s="22" t="str">
        <x:v>Low</x:v>
      </x:c>
      <x:c r="L5" s="22" t="str">
        <x:v>Decay begins</x:v>
      </x:c>
      <x:c r="M5" s="22" t="str">
        <x:v>Your Competitive Rating is decaying due to inactivity</x:v>
      </x:c>
      <x:c r="N5" s="40" t="str"/>
    </x:row>
    <x:row r="6">
      <x:c r="A6" s="39" t="str">
        <x:v>3+ missed weeks</x:v>
      </x:c>
      <x:c r="B6" s="22" t="str">
        <x:v>Inactive</x:v>
      </x:c>
      <x:c r="C6" s="22" t="str">
        <x:v>No</x:v>
      </x:c>
      <x:c r="D6" s="59" t="n">
        <x:v>-40</x:v>
      </x:c>
      <x:c r="E6" s="22" t="n">
        <x:v>0</x:v>
      </x:c>
      <x:c r="F6" s="22" t="str">
        <x:v>None</x:v>
      </x:c>
      <x:c r="G6" s="22" t="str">
        <x:v>Placement pauses</x:v>
      </x:c>
      <x:c r="H6" s="22" t="str">
        <x:v>Return at decayed rating</x:v>
      </x:c>
      <x:c r="I6" s="22" t="str">
        <x:v>No</x:v>
      </x:c>
      <x:c r="J6" s="22" t="str">
        <x:v>Yes</x:v>
      </x:c>
      <x:c r="K6" s="22" t="str">
        <x:v>Low</x:v>
      </x:c>
      <x:c r="L6" s="22" t="str">
        <x:v>Continued decay, Bronze floor</x:v>
      </x:c>
      <x:c r="M6" s="22" t="str">
        <x:v>Return to competition to stabilize rating</x:v>
      </x:c>
      <x:c r="N6" s="40" t="str"/>
    </x:row>
    <x:row r="7">
      <x:c r="A7" s="39" t="str">
        <x:v>Returning after 4+ weeks</x:v>
      </x:c>
      <x:c r="B7" s="22" t="str">
        <x:v>Return</x:v>
      </x:c>
      <x:c r="C7" s="22" t="str">
        <x:v>Yes if eligible</x:v>
      </x:c>
      <x:c r="D7" s="59" t="str">
        <x:v>Normal after one eligible week</x:v>
      </x:c>
      <x:c r="E7" s="22" t="str">
        <x:v>Normal</x:v>
      </x:c>
      <x:c r="F7" s="22" t="str">
        <x:v>1 return week against relegation</x:v>
      </x:c>
      <x:c r="G7" s="22" t="str">
        <x:v>If placement incomplete, resume</x:v>
      </x:c>
      <x:c r="H7" s="22" t="str">
        <x:v>No hard reset</x:v>
      </x:c>
      <x:c r="I7" s="22" t="str">
        <x:v>Yes</x:v>
      </x:c>
      <x:c r="J7" s="22" t="str">
        <x:v>Protected one week</x:v>
      </x:c>
      <x:c r="K7" s="22" t="str">
        <x:v>Medium</x:v>
      </x:c>
      <x:c r="L7" s="22" t="str">
        <x:v>Return protection</x:v>
      </x:c>
      <x:c r="M7" s="22" t="str">
        <x:v>Welcome back — complete an eligible week to resume normal movement</x:v>
      </x:c>
      <x:c r="N7" s="40" t="str"/>
    </x:row>
    <x:row r="8">
      <x:c r="A8" s="39" t="str">
        <x:v>Late season join Week 1–4</x:v>
      </x:c>
      <x:c r="B8" s="22" t="str">
        <x:v>New</x:v>
      </x:c>
      <x:c r="C8" s="22" t="str">
        <x:v>Yes after eligibility</x:v>
      </x:c>
      <x:c r="D8" s="59" t="str">
        <x:v>Placement</x:v>
      </x:c>
      <x:c r="E8" s="22" t="str">
        <x:v>Can still rank seasonally</x:v>
      </x:c>
      <x:c r="F8" s="22" t="str">
        <x:v>Placement protection</x:v>
      </x:c>
      <x:c r="G8" s="22" t="str">
        <x:v>Normal 3 eligible weeks</x:v>
      </x:c>
      <x:c r="H8" s="22" t="str">
        <x:v>N/A</x:v>
      </x:c>
      <x:c r="I8" s="22" t="str">
        <x:v>After placement</x:v>
      </x:c>
      <x:c r="J8" s="22" t="str">
        <x:v>No during placement</x:v>
      </x:c>
      <x:c r="K8" s="22" t="str">
        <x:v>Low</x:v>
      </x:c>
      <x:c r="L8" s="22" t="str">
        <x:v>No catch-up multiplier</x:v>
      </x:c>
      <x:c r="M8" s="22" t="str">
        <x:v>You can join the current season</x:v>
      </x:c>
      <x:c r="N8" s="40" t="str"/>
    </x:row>
    <x:row r="9">
      <x:c r="A9" s="41" t="str">
        <x:v>Late season join Week 5–8</x:v>
      </x:c>
      <x:c r="B9" s="42" t="str">
        <x:v>New</x:v>
      </x:c>
      <x:c r="C9" s="42" t="str">
        <x:v>Yes after eligibility</x:v>
      </x:c>
      <x:c r="D9" s="60" t="str">
        <x:v>Placement</x:v>
      </x:c>
      <x:c r="E9" s="42" t="str">
        <x:v>Season points only for played weeks</x:v>
      </x:c>
      <x:c r="F9" s="42" t="str">
        <x:v>Placement protection</x:v>
      </x:c>
      <x:c r="G9" s="42" t="str">
        <x:v>May finish season provisional</x:v>
      </x:c>
      <x:c r="H9" s="42" t="str">
        <x:v>Carries placement into next season</x:v>
      </x:c>
      <x:c r="I9" s="42" t="str">
        <x:v>No</x:v>
      </x:c>
      <x:c r="J9" s="42" t="str">
        <x:v>No during placement</x:v>
      </x:c>
      <x:c r="K9" s="42" t="str">
        <x:v>Medium</x:v>
      </x:c>
      <x:c r="L9" s="42" t="str">
        <x:v>No artificial catch-up</x:v>
      </x:c>
      <x:c r="M9" s="42" t="str">
        <x:v>Compete now; full placement can continue next season</x:v>
      </x:c>
      <x:c r="N9" s="43" t="str"/>
    </x:row>
  </x:sheetData>
  <x:mergeCells>
    <x:mergeCell ref="A1:N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 ht="28" customHeight="1">
      <x:c r="A1" s="122" t="str">
        <x:v>Competitive Integrity, Anti-Smurfing &amp; Anti-Manipulation</x:v>
      </x:c>
      <x:c r="B1" s="122"/>
      <x:c r="C1" s="122"/>
      <x:c r="D1" s="122"/>
      <x:c r="E1" s="122"/>
      <x:c r="F1" s="122"/>
      <x:c r="G1" s="122"/>
      <x:c r="H1" s="122"/>
      <x:c r="I1" s="122"/>
      <x:c r="J1" s="122"/>
      <x:c r="K1" s="122"/>
      <x:c r="L1" s="122"/>
      <x:c r="M1" s="122"/>
      <x:c r="N1" s="122"/>
      <x:c r="O1" s="22"/>
      <x:c r="P1" s="22"/>
      <x:c r="Q1" s="22"/>
    </x:row>
    <x:row r="3">
      <x:c r="A3" s="14" t="str">
        <x:v>Threat</x:v>
      </x:c>
      <x:c r="B3" s="14" t="str">
        <x:v>Example</x:v>
      </x:c>
      <x:c r="C3" s="14" t="str">
        <x:v>Detection Signal</x:v>
      </x:c>
      <x:c r="D3" s="14" t="str">
        <x:v>Weekly Score Action</x:v>
      </x:c>
      <x:c r="E3" s="14" t="str">
        <x:v>Payout Action</x:v>
      </x:c>
      <x:c r="F3" s="14" t="str">
        <x:v>Rating Action</x:v>
      </x:c>
      <x:c r="G3" s="14" t="str">
        <x:v>Season Points</x:v>
      </x:c>
      <x:c r="H3" s="14" t="str">
        <x:v>Review Needed?</x:v>
      </x:c>
      <x:c r="I3" s="14" t="str">
        <x:v>False Positive Risk</x:v>
      </x:c>
      <x:c r="J3" s="14" t="str">
        <x:v>Primary Mitigation</x:v>
      </x:c>
      <x:c r="K3" s="14" t="str">
        <x:v>Secondary Mitigation</x:v>
      </x:c>
      <x:c r="L3" s="14" t="str">
        <x:v>MVP?</x:v>
      </x:c>
      <x:c r="M3" s="14" t="str">
        <x:v>Severity</x:v>
      </x:c>
      <x:c r="N3" s="14" t="str">
        <x:v>Notes</x:v>
      </x:c>
    </x:row>
    <x:row r="4">
      <x:c r="A4" s="36" t="str">
        <x:v>Smurfing / intentional deranking</x:v>
      </x:c>
      <x:c r="B4" s="37" t="str">
        <x:v>Strong player deliberately tanks score to farm lower leagues</x:v>
      </x:c>
      <x:c r="C4" s="37" t="str">
        <x:v>Sharp repeated score drops followed by top-percentile lower-league performance</x:v>
      </x:c>
      <x:c r="D4" s="37" t="str">
        <x:v>Use valid score but flag pattern</x:v>
      </x:c>
      <x:c r="E4" s="37" t="str">
        <x:v>Normal unless confirmed</x:v>
      </x:c>
      <x:c r="F4" s="37" t="str">
        <x:v>Limit deliberate abnormal loss if confirmed</x:v>
      </x:c>
      <x:c r="G4" s="37" t="str">
        <x:v>Normal/void if abuse confirmed</x:v>
      </x:c>
      <x:c r="H4" s="37" t="str">
        <x:v>Yes</x:v>
      </x:c>
      <x:c r="I4" s="37" t="str">
        <x:v>Medium</x:v>
      </x:c>
      <x:c r="J4" s="37" t="str">
        <x:v>One-league max weekly movement</x:v>
      </x:c>
      <x:c r="K4" s="37" t="str">
        <x:v>Historical performance anomaly review</x:v>
      </x:c>
      <x:c r="L4" s="37" t="str">
        <x:v>Phase 2</x:v>
      </x:c>
      <x:c r="M4" s="37" t="str">
        <x:v>Medium</x:v>
      </x:c>
      <x:c r="N4" s="38" t="str">
        <x:v>Do not punish genuine bad weeks</x:v>
      </x:c>
    </x:row>
    <x:row r="5">
      <x:c r="A5" s="39" t="str">
        <x:v>Multi-account farming</x:v>
      </x:c>
      <x:c r="B5" s="22" t="str">
        <x:v>One operator competes through many accounts</x:v>
      </x:c>
      <x:c r="C5" s="22" t="str">
        <x:v>Wallet/device/network/behavior clusters</x:v>
      </x:c>
      <x:c r="D5" s="22" t="str">
        <x:v>Hold suspicious score</x:v>
      </x:c>
      <x:c r="E5" s="22" t="str">
        <x:v>Hold claim</x:v>
      </x:c>
      <x:c r="F5" s="22" t="str">
        <x:v>Freeze rating</x:v>
      </x:c>
      <x:c r="G5" s="22" t="str">
        <x:v>Hold</x:v>
      </x:c>
      <x:c r="H5" s="22" t="str">
        <x:v>Yes</x:v>
      </x:c>
      <x:c r="I5" s="22" t="str">
        <x:v>Medium</x:v>
      </x:c>
      <x:c r="J5" s="22" t="str">
        <x:v>Identity/device graph</x:v>
      </x:c>
      <x:c r="K5" s="22" t="str">
        <x:v>Economic action graph</x:v>
      </x:c>
      <x:c r="L5" s="22" t="str">
        <x:v>Phase 2</x:v>
      </x:c>
      <x:c r="M5" s="22" t="str">
        <x:v>High</x:v>
      </x:c>
      <x:c r="N5" s="40" t="str"/>
    </x:row>
    <x:row r="6">
      <x:c r="A6" s="39" t="str">
        <x:v>Wash economic activity</x:v>
      </x:c>
      <x:c r="B6" s="22" t="str">
        <x:v>Synthetic activity inflates Performance Score</x:v>
      </x:c>
      <x:c r="C6" s="22" t="str">
        <x:v>Circular/self-related activity patterns</x:v>
      </x:c>
      <x:c r="D6" s="22" t="str">
        <x:v>Exclude invalid activity</x:v>
      </x:c>
      <x:c r="E6" s="22" t="str">
        <x:v>Recalculate payout</x:v>
      </x:c>
      <x:c r="F6" s="22" t="str">
        <x:v>Recalculate rating</x:v>
      </x:c>
      <x:c r="G6" s="22" t="str">
        <x:v>Recalculate</x:v>
      </x:c>
      <x:c r="H6" s="22" t="str">
        <x:v>Yes</x:v>
      </x:c>
      <x:c r="I6" s="22" t="str">
        <x:v>Low/Medium</x:v>
      </x:c>
      <x:c r="J6" s="22" t="str">
        <x:v>Server-authoritative activity ledger</x:v>
      </x:c>
      <x:c r="K6" s="22" t="str">
        <x:v>Graph analysis</x:v>
      </x:c>
      <x:c r="L6" s="22" t="str">
        <x:v>Yes</x:v>
      </x:c>
      <x:c r="M6" s="22" t="str">
        <x:v>Critical</x:v>
      </x:c>
      <x:c r="N6" s="40" t="str"/>
    </x:row>
    <x:row r="7">
      <x:c r="A7" s="39" t="str">
        <x:v>Market Hunt botting</x:v>
      </x:c>
      <x:c r="B7" s="22" t="str">
        <x:v>Automated Hunt completion</x:v>
      </x:c>
      <x:c r="C7" s="22" t="str">
        <x:v>Impossible timing/repetitive patterns</x:v>
      </x:c>
      <x:c r="D7" s="22" t="str">
        <x:v>Exclude invalid Hunt points</x:v>
      </x:c>
      <x:c r="E7" s="22" t="str">
        <x:v>Recalculate payout</x:v>
      </x:c>
      <x:c r="F7" s="22" t="str">
        <x:v>Recalculate rating</x:v>
      </x:c>
      <x:c r="G7" s="22" t="str">
        <x:v>Recalculate</x:v>
      </x:c>
      <x:c r="H7" s="22" t="str">
        <x:v>Yes</x:v>
      </x:c>
      <x:c r="I7" s="22" t="str">
        <x:v>Medium</x:v>
      </x:c>
      <x:c r="J7" s="22" t="str">
        <x:v>Rate/behavior limits</x:v>
      </x:c>
      <x:c r="K7" s="22" t="str">
        <x:v>Challenge variation</x:v>
      </x:c>
      <x:c r="L7" s="22" t="str">
        <x:v>Yes</x:v>
      </x:c>
      <x:c r="M7" s="22" t="str">
        <x:v>High</x:v>
      </x:c>
      <x:c r="N7" s="40" t="str"/>
    </x:row>
    <x:row r="8">
      <x:c r="A8" s="39" t="str">
        <x:v>Inactivity dodge</x:v>
      </x:c>
      <x:c r="B8" s="22" t="str">
        <x:v>Player alternates inactivity to avoid bad score weeks</x:v>
      </x:c>
      <x:c r="C8" s="22" t="str">
        <x:v>Repeated eligibility just above/below threshold</x:v>
      </x:c>
      <x:c r="D8" s="22" t="str">
        <x:v>No score when ineligible</x:v>
      </x:c>
      <x:c r="E8" s="22" t="str">
        <x:v>No payout</x:v>
      </x:c>
      <x:c r="F8" s="22" t="str">
        <x:v>Inactivity rules still apply</x:v>
      </x:c>
      <x:c r="G8" s="22" t="str">
        <x:v>No points</x:v>
      </x:c>
      <x:c r="H8" s="22" t="str">
        <x:v>No</x:v>
      </x:c>
      <x:c r="I8" s="22" t="str">
        <x:v>Low</x:v>
      </x:c>
      <x:c r="J8" s="22" t="str">
        <x:v>Grace only once per inactivity streak</x:v>
      </x:c>
      <x:c r="K8" s="22" t="str">
        <x:v>Minimum active days</x:v>
      </x:c>
      <x:c r="L8" s="22" t="str">
        <x:v>Yes</x:v>
      </x:c>
      <x:c r="M8" s="22" t="str">
        <x:v>Medium</x:v>
      </x:c>
      <x:c r="N8" s="40" t="str"/>
    </x:row>
    <x:row r="9">
      <x:c r="A9" s="39" t="str">
        <x:v>Score snapshot gaming</x:v>
      </x:c>
      <x:c r="B9" s="22" t="str">
        <x:v>Player temporarily rearranges empire near settlement</x:v>
      </x:c>
      <x:c r="C9" s="22" t="str">
        <x:v>Large last-minute layout/risk swings</x:v>
      </x:c>
      <x:c r="D9" s="22" t="str">
        <x:v>Use weekly aggregates/medians where applicable</x:v>
      </x:c>
      <x:c r="E9" s="22" t="str">
        <x:v>Normal after valid score</x:v>
      </x:c>
      <x:c r="F9" s="22" t="str">
        <x:v>Normal</x:v>
      </x:c>
      <x:c r="G9" s="22" t="str">
        <x:v>Normal</x:v>
      </x:c>
      <x:c r="H9" s="22" t="str">
        <x:v>No</x:v>
      </x:c>
      <x:c r="I9" s="22" t="str">
        <x:v>Low</x:v>
      </x:c>
      <x:c r="J9" s="22" t="str">
        <x:v>Weekly medians + event locks</x:v>
      </x:c>
      <x:c r="K9" s="22" t="str">
        <x:v>Snapshot audit</x:v>
      </x:c>
      <x:c r="L9" s="22" t="str">
        <x:v>Yes</x:v>
      </x:c>
      <x:c r="M9" s="22" t="str">
        <x:v>Medium</x:v>
      </x:c>
      <x:c r="N9" s="40" t="str"/>
    </x:row>
    <x:row r="10">
      <x:c r="A10" s="39" t="str">
        <x:v>Purchased score</x:v>
      </x:c>
      <x:c r="B10" s="22" t="str">
        <x:v>External payment directly buys competitive metric</x:v>
      </x:c>
      <x:c r="C10" s="22" t="str">
        <x:v>Premium purchase correlation / invalid source</x:v>
      </x:c>
      <x:c r="D10" s="22" t="str">
        <x:v>Exclude direct purchased inputs</x:v>
      </x:c>
      <x:c r="E10" s="22" t="str">
        <x:v>No payout benefit</x:v>
      </x:c>
      <x:c r="F10" s="22" t="str">
        <x:v>No rating benefit</x:v>
      </x:c>
      <x:c r="G10" s="22" t="str">
        <x:v>No points</x:v>
      </x:c>
      <x:c r="H10" s="22" t="str">
        <x:v>No</x:v>
      </x:c>
      <x:c r="I10" s="22" t="str">
        <x:v>Low</x:v>
      </x:c>
      <x:c r="J10" s="22" t="str">
        <x:v>No purchasable Performance Score</x:v>
      </x:c>
      <x:c r="K10" s="22" t="str">
        <x:v>Separate cosmetics/ownership from score</x:v>
      </x:c>
      <x:c r="L10" s="22" t="str">
        <x:v>Yes</x:v>
      </x:c>
      <x:c r="M10" s="22" t="str">
        <x:v>Critical</x:v>
      </x:c>
      <x:c r="N10" s="40" t="str"/>
    </x:row>
    <x:row r="11">
      <x:c r="A11" s="39" t="str">
        <x:v>Collusion</x:v>
      </x:c>
      <x:c r="B11" s="22" t="str">
        <x:v>Players coordinate transfers/activity to manipulate metrics</x:v>
      </x:c>
      <x:c r="C11" s="22" t="str">
        <x:v>Repeated reciprocal economic patterns</x:v>
      </x:c>
      <x:c r="D11" s="22" t="str">
        <x:v>Exclude invalid flows</x:v>
      </x:c>
      <x:c r="E11" s="22" t="str">
        <x:v>Hold/recalculate</x:v>
      </x:c>
      <x:c r="F11" s="22" t="str">
        <x:v>Hold/recalculate</x:v>
      </x:c>
      <x:c r="G11" s="22" t="str">
        <x:v>Hold/recalculate</x:v>
      </x:c>
      <x:c r="H11" s="22" t="str">
        <x:v>Yes</x:v>
      </x:c>
      <x:c r="I11" s="22" t="str">
        <x:v>Medium</x:v>
      </x:c>
      <x:c r="J11" s="22" t="str">
        <x:v>Economic graph</x:v>
      </x:c>
      <x:c r="K11" s="22" t="str">
        <x:v>Manual review thresholds</x:v>
      </x:c>
      <x:c r="L11" s="22" t="str">
        <x:v>Later</x:v>
      </x:c>
      <x:c r="M11" s="22" t="str">
        <x:v>High</x:v>
      </x:c>
      <x:c r="N11" s="40" t="str"/>
    </x:row>
    <x:row r="12">
      <x:c r="A12" s="41" t="str">
        <x:v>Exploit abuse</x:v>
      </x:c>
      <x:c r="B12" s="42" t="str">
        <x:v>Bug creates extreme score/payout</x:v>
      </x:c>
      <x:c r="C12" s="42" t="str">
        <x:v>Outlier + known exploit signature</x:v>
      </x:c>
      <x:c r="D12" s="42" t="str">
        <x:v>Void affected inputs</x:v>
      </x:c>
      <x:c r="E12" s="42" t="str">
        <x:v>Freeze claim</x:v>
      </x:c>
      <x:c r="F12" s="42" t="str">
        <x:v>Freeze movement</x:v>
      </x:c>
      <x:c r="G12" s="42" t="str">
        <x:v>Void affected points</x:v>
      </x:c>
      <x:c r="H12" s="42" t="str">
        <x:v>Yes</x:v>
      </x:c>
      <x:c r="I12" s="42" t="str">
        <x:v>Low</x:v>
      </x:c>
      <x:c r="J12" s="42" t="str">
        <x:v>Emergency settlement hold</x:v>
      </x:c>
      <x:c r="K12" s="42" t="str">
        <x:v>Versioned rules</x:v>
      </x:c>
      <x:c r="L12" s="42" t="str">
        <x:v>Yes</x:v>
      </x:c>
      <x:c r="M12" s="42" t="str">
        <x:v>Critical</x:v>
      </x:c>
      <x:c r="N12" s="43" t="str"/>
    </x:row>
  </x:sheetData>
  <x:mergeCells>
    <x:mergeCell ref="A1:N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 ht="28" customHeight="1">
      <x:c r="A1" s="122" t="str">
        <x:v>Weekly &amp; Seasonal Tiebreaker Rules</x:v>
      </x:c>
      <x:c r="B1" s="122"/>
      <x:c r="C1" s="122"/>
      <x:c r="D1" s="122"/>
      <x:c r="E1" s="122"/>
      <x:c r="F1" s="122"/>
      <x:c r="G1" s="122"/>
      <x:c r="H1" s="122"/>
      <x:c r="I1" s="122"/>
      <x:c r="J1" s="122"/>
      <x:c r="K1" s="122"/>
      <x:c r="L1" s="122"/>
      <x:c r="M1" s="22"/>
      <x:c r="N1" s="22"/>
      <x:c r="O1" s="22"/>
      <x:c r="P1" s="22"/>
      <x:c r="Q1" s="22"/>
    </x:row>
    <x:row r="3">
      <x:c r="A3" s="14" t="str">
        <x:v>Ranking</x:v>
      </x:c>
      <x:c r="B3" s="14" t="str">
        <x:v>Tie Level</x:v>
      </x:c>
      <x:c r="C3" s="14" t="str">
        <x:v>Tiebreak 1</x:v>
      </x:c>
      <x:c r="D3" s="14" t="str">
        <x:v>Tiebreak 2</x:v>
      </x:c>
      <x:c r="E3" s="14" t="str">
        <x:v>Tiebreak 3</x:v>
      </x:c>
      <x:c r="F3" s="14" t="str">
        <x:v>Tiebreak 4</x:v>
      </x:c>
      <x:c r="G3" s="14" t="str">
        <x:v>Final Fallback</x:v>
      </x:c>
      <x:c r="H3" s="14" t="str">
        <x:v>Why</x:v>
      </x:c>
      <x:c r="I3" s="14" t="str">
        <x:v>Payout Effect</x:v>
      </x:c>
      <x:c r="J3" s="14" t="str">
        <x:v>Season Effect</x:v>
      </x:c>
      <x:c r="K3" s="14" t="str">
        <x:v>Player Visible?</x:v>
      </x:c>
      <x:c r="L3" s="14" t="str">
        <x:v>Notes</x:v>
      </x:c>
    </x:row>
    <x:row r="4">
      <x:c r="A4" s="36" t="str">
        <x:v>Weekly League</x:v>
      </x:c>
      <x:c r="B4" s="37" t="str">
        <x:v>Same Performance Score</x:v>
      </x:c>
      <x:c r="C4" s="37" t="str">
        <x:v>Higher validated economic activity index</x:v>
      </x:c>
      <x:c r="D4" s="37" t="str">
        <x:v>Lower weekly median Composite Risk</x:v>
      </x:c>
      <x:c r="E4" s="37" t="str">
        <x:v>Higher Reputation</x:v>
      </x:c>
      <x:c r="F4" s="37" t="str">
        <x:v>More active days</x:v>
      </x:c>
      <x:c r="G4" s="37" t="str">
        <x:v>Earlier valid settlement timestamp</x:v>
      </x:c>
      <x:c r="H4" s="37" t="str">
        <x:v>Rewards productive quality</x:v>
      </x:c>
      <x:c r="I4" s="37" t="str">
        <x:v>Only rank display; payout weight formula remains continuous</x:v>
      </x:c>
      <x:c r="J4" s="37" t="str">
        <x:v>None</x:v>
      </x:c>
      <x:c r="K4" s="37" t="str">
        <x:v>Yes</x:v>
      </x:c>
      <x:c r="L4" s="38" t="str">
        <x:v>Do not use land/building count</x:v>
      </x:c>
    </x:row>
    <x:row r="5">
      <x:c r="A5" s="39" t="str">
        <x:v>Global Weekly</x:v>
      </x:c>
      <x:c r="B5" s="22" t="str">
        <x:v>Same Performance Score</x:v>
      </x:c>
      <x:c r="C5" s="22" t="str">
        <x:v>Higher active days</x:v>
      </x:c>
      <x:c r="D5" s="22" t="str">
        <x:v>Lower median Risk</x:v>
      </x:c>
      <x:c r="E5" s="22" t="str">
        <x:v>Higher Reputation</x:v>
      </x:c>
      <x:c r="F5" s="22" t="str">
        <x:v>Higher Hunt completion quality</x:v>
      </x:c>
      <x:c r="G5" s="22" t="str">
        <x:v>Earlier settlement timestamp</x:v>
      </x:c>
      <x:c r="H5" s="22" t="str">
        <x:v>Quality and consistency</x:v>
      </x:c>
      <x:c r="I5" s="22" t="str">
        <x:v>No payout</x:v>
      </x:c>
      <x:c r="J5" s="22" t="str">
        <x:v>None</x:v>
      </x:c>
      <x:c r="K5" s="22" t="str">
        <x:v>Yes</x:v>
      </x:c>
      <x:c r="L5" s="40" t="str"/>
    </x:row>
    <x:row r="6">
      <x:c r="A6" s="39" t="str">
        <x:v>Season League</x:v>
      </x:c>
      <x:c r="B6" s="22" t="str">
        <x:v>Same Season Points</x:v>
      </x:c>
      <x:c r="C6" s="22" t="str">
        <x:v>More eligible weeks</x:v>
      </x:c>
      <x:c r="D6" s="22" t="str">
        <x:v>Higher average weekly percentile</x:v>
      </x:c>
      <x:c r="E6" s="22" t="str">
        <x:v>Higher final league</x:v>
      </x:c>
      <x:c r="F6" s="22" t="str">
        <x:v>Higher average Performance Score</x:v>
      </x:c>
      <x:c r="G6" s="22" t="str">
        <x:v>Earlier season registration</x:v>
      </x:c>
      <x:c r="H6" s="22" t="str">
        <x:v>Consistency first</x:v>
      </x:c>
      <x:c r="I6" s="22" t="str">
        <x:v>No default extra payout</x:v>
      </x:c>
      <x:c r="J6" s="22" t="str">
        <x:v>Determines cosmetic rank</x:v>
      </x:c>
      <x:c r="K6" s="22" t="str">
        <x:v>Yes</x:v>
      </x:c>
      <x:c r="L6" s="40" t="str"/>
    </x:row>
    <x:row r="7">
      <x:c r="A7" s="39" t="str">
        <x:v>Global Season</x:v>
      </x:c>
      <x:c r="B7" s="22" t="str">
        <x:v>Same Season Points</x:v>
      </x:c>
      <x:c r="C7" s="22" t="str">
        <x:v>Higher average league multiplier</x:v>
      </x:c>
      <x:c r="D7" s="22" t="str">
        <x:v>More eligible weeks</x:v>
      </x:c>
      <x:c r="E7" s="22" t="str">
        <x:v>Higher average weekly percentile</x:v>
      </x:c>
      <x:c r="F7" s="22" t="str">
        <x:v>Lower integrity flags</x:v>
      </x:c>
      <x:c r="G7" s="22" t="str">
        <x:v>Earlier season registration</x:v>
      </x:c>
      <x:c r="H7" s="22" t="str">
        <x:v>Rewards sustained harder competition</x:v>
      </x:c>
      <x:c r="I7" s="22" t="str">
        <x:v>No default payout</x:v>
      </x:c>
      <x:c r="J7" s="22" t="str">
        <x:v>Determines global prestige</x:v>
      </x:c>
      <x:c r="K7" s="22" t="str">
        <x:v>Yes</x:v>
      </x:c>
      <x:c r="L7" s="40" t="str"/>
    </x:row>
    <x:row r="8">
      <x:c r="A8" s="41" t="str">
        <x:v>Hall of Fame</x:v>
      </x:c>
      <x:c r="B8" s="42" t="str">
        <x:v>Same championships</x:v>
      </x:c>
      <x:c r="C8" s="42" t="str">
        <x:v>More Global Top 10 finishes</x:v>
      </x:c>
      <x:c r="D8" s="42" t="str">
        <x:v>More League Championships</x:v>
      </x:c>
      <x:c r="E8" s="42" t="str">
        <x:v>More seasons participated</x:v>
      </x:c>
      <x:c r="F8" s="42" t="str">
        <x:v>Higher best season points</x:v>
      </x:c>
      <x:c r="G8" s="42" t="str">
        <x:v>Earlier achievement date</x:v>
      </x:c>
      <x:c r="H8" s="42" t="str">
        <x:v>Historical prestige</x:v>
      </x:c>
      <x:c r="I8" s="42" t="str">
        <x:v>None</x:v>
      </x:c>
      <x:c r="J8" s="42" t="str">
        <x:v>Permanent order</x:v>
      </x:c>
      <x:c r="K8" s="42" t="str">
        <x:v>Yes</x:v>
      </x:c>
      <x:c r="L8" s="43" t="str"/>
    </x:row>
  </x:sheetData>
  <x:mergeCells>
    <x:mergeCell ref="A1:L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42" hidden="0" customWidth="1"/>
  </x:cols>
  <x:sheetData>
    <x:row r="1" ht="28" customHeight="1">
      <x:c r="A1" s="122" t="str">
        <x:v>Competitive Rating, League Movement &amp; Payout Scenarios</x:v>
      </x:c>
      <x:c r="B1" s="122"/>
      <x:c r="C1" s="122"/>
      <x:c r="D1" s="122"/>
      <x:c r="E1" s="122"/>
      <x:c r="F1" s="122"/>
      <x:c r="G1" s="122"/>
      <x:c r="H1" s="122"/>
      <x:c r="I1" s="122"/>
      <x:c r="J1" s="122"/>
      <x:c r="K1" s="122"/>
      <x:c r="L1" s="122"/>
      <x:c r="M1" s="122"/>
      <x:c r="N1" s="122"/>
      <x:c r="O1" s="122"/>
      <x:c r="P1" s="122"/>
      <x:c r="Q1" s="122"/>
    </x:row>
    <x:row r="3">
      <x:c r="A3" s="14" t="str">
        <x:v>Player</x:v>
      </x:c>
      <x:c r="B3" s="14" t="str">
        <x:v>Empire Stage</x:v>
      </x:c>
      <x:c r="C3" s="14" t="str">
        <x:v>Current League</x:v>
      </x:c>
      <x:c r="D3" s="14" t="str">
        <x:v>Start Rating</x:v>
      </x:c>
      <x:c r="E3" s="14" t="str">
        <x:v>Performance Score</x:v>
      </x:c>
      <x:c r="F3" s="14" t="str">
        <x:v>Expected Score</x:v>
      </x:c>
      <x:c r="G3" s="14" t="str">
        <x:v>Percentile</x:v>
      </x:c>
      <x:c r="H3" s="14" t="str">
        <x:v>Top Bonus</x:v>
      </x:c>
      <x:c r="I3" s="14" t="str">
        <x:v>Bottom Pressure</x:v>
      </x:c>
      <x:c r="J3" s="14" t="str">
        <x:v>Raw Rating Delta</x:v>
      </x:c>
      <x:c r="K3" s="14" t="str">
        <x:v>Applied Delta</x:v>
      </x:c>
      <x:c r="L3" s="14" t="str">
        <x:v>End Rating</x:v>
      </x:c>
      <x:c r="M3" s="14" t="str">
        <x:v>Result League</x:v>
      </x:c>
      <x:c r="N3" s="14" t="str">
        <x:v>League Pool</x:v>
      </x:c>
      <x:c r="O3" s="14" t="str">
        <x:v>Illustrative Payout Weight</x:v>
      </x:c>
      <x:c r="P3" s="14" t="str">
        <x:v>Illustrative Payout</x:v>
      </x:c>
      <x:c r="Q3" s="14" t="str">
        <x:v>Interpretation</x:v>
      </x:c>
    </x:row>
    <x:row r="4">
      <x:c r="A4" s="36" t="str">
        <x:v>A — Strong Humble</x:v>
      </x:c>
      <x:c r="B4" s="37" t="str">
        <x:v>Humble</x:v>
      </x:c>
      <x:c r="C4" s="37" t="str">
        <x:v>Silver</x:v>
      </x:c>
      <x:c r="D4" s="58" t="n">
        <x:v>1020</x:v>
      </x:c>
      <x:c r="E4" s="58" t="n">
        <x:v>92</x:v>
      </x:c>
      <x:c r="F4" s="58" t="n">
        <x:v>75</x:v>
      </x:c>
      <x:c r="G4" s="52" t="n">
        <x:v>0.92</x:v>
      </x:c>
      <x:c r="H4" s="58" t="n">
        <x:v>20</x:v>
      </x:c>
      <x:c r="I4" s="58" t="n">
        <x:v>0</x:v>
      </x:c>
      <x:c r="J4" s="84" t="n">
        <x:f>'01_Assumptions'!$B$9*(E4-F4)/10+H4+I4</x:f>
        <x:v>60.8</x:v>
      </x:c>
      <x:c r="K4" s="84" t="n">
        <x:f>MAX(-'01_Assumptions'!$B$11,MIN('01_Assumptions'!$B$10,J4))</x:f>
        <x:v>60.8</x:v>
      </x:c>
      <x:c r="L4" s="58" t="n">
        <x:f>MAX(0,D4+K4)</x:f>
        <x:v>1080.8</x:v>
      </x:c>
      <x:c r="M4" s="37" t="str">
        <x:f>IF(L4&lt;900,"Bronze",IF(L4&lt;1100,"Silver",IF(L4&lt;1300,"Gold",IF(L4&lt;1500,"Platinum",IF(L4&lt;1700,"Diamond","Tycoon")))))</x:f>
        <x:v>Silver</x:v>
      </x:c>
      <x:c r="N4" s="64" t="n">
        <x:f>IF(C4="Bronze",'01_Assumptions'!$B$4*0.14,IF(C4="Silver",'01_Assumptions'!$B$4*0.17,IF(C4="Gold",'01_Assumptions'!$B$4*0.20,IF(C4="Platinum",'01_Assumptions'!$B$4*0.20,IF(C4="Diamond",'01_Assumptions'!$B$4*0.17,'01_Assumptions'!$B$4*0.12)))))</x:f>
        <x:v>340000</x:v>
      </x:c>
      <x:c r="O4" s="84" t="n">
        <x:f>(E4/F4)^'01_Assumptions'!$B$19</x:f>
        <x:v>1.1896455361685727</x:v>
      </x:c>
      <x:c r="P4" s="64" t="n">
        <x:f>N4/IF(C4="Bronze",3000,IF(C4="Silver",2500,IF(C4="Gold",2000,IF(C4="Platinum",1300,IF(C4="Diamond",800,400)))))*O4</x:f>
        <x:v>161.7917929189259</x:v>
      </x:c>
      <x:c r="Q4" s="38" t="str">
        <x:v>Small empire can rise quickly through normalized performance</x:v>
      </x:c>
    </x:row>
    <x:row r="5">
      <x:c r="A5" s="39" t="str">
        <x:v>B — Average Growing</x:v>
      </x:c>
      <x:c r="B5" s="22" t="str">
        <x:v>Growing</x:v>
      </x:c>
      <x:c r="C5" s="22" t="str">
        <x:v>Gold</x:v>
      </x:c>
      <x:c r="D5" s="59" t="n">
        <x:v>1210</x:v>
      </x:c>
      <x:c r="E5" s="59" t="n">
        <x:v>86</x:v>
      </x:c>
      <x:c r="F5" s="59" t="n">
        <x:v>85</x:v>
      </x:c>
      <x:c r="G5" s="53" t="n">
        <x:v>0.55</x:v>
      </x:c>
      <x:c r="H5" s="59" t="n">
        <x:v>0</x:v>
      </x:c>
      <x:c r="I5" s="59" t="n">
        <x:v>0</x:v>
      </x:c>
      <x:c r="J5" s="85" t="n">
        <x:f>'01_Assumptions'!$B$9*(E5-F5)/10+H5+I5</x:f>
        <x:v>2.4</x:v>
      </x:c>
      <x:c r="K5" s="85" t="n">
        <x:f>MAX(-'01_Assumptions'!$B$11,MIN('01_Assumptions'!$B$10,J5))</x:f>
        <x:v>2.4</x:v>
      </x:c>
      <x:c r="L5" s="59" t="n">
        <x:f>MAX(0,D5+K5)</x:f>
        <x:v>1212.4</x:v>
      </x:c>
      <x:c r="M5" s="22" t="str">
        <x:f>IF(L5&lt;900,"Bronze",IF(L5&lt;1100,"Silver",IF(L5&lt;1300,"Gold",IF(L5&lt;1500,"Platinum",IF(L5&lt;1700,"Diamond","Tycoon")))))</x:f>
        <x:v>Gold</x:v>
      </x:c>
      <x:c r="N5" s="65" t="n">
        <x:f>IF(C5="Bronze",'01_Assumptions'!$B$4*0.14,IF(C5="Silver",'01_Assumptions'!$B$4*0.17,IF(C5="Gold",'01_Assumptions'!$B$4*0.20,IF(C5="Platinum",'01_Assumptions'!$B$4*0.20,IF(C5="Diamond",'01_Assumptions'!$B$4*0.17,'01_Assumptions'!$B$4*0.12)))))</x:f>
        <x:v>400000</x:v>
      </x:c>
      <x:c r="O5" s="85" t="n">
        <x:f>(E5/F5)^'01_Assumptions'!$B$19</x:f>
        <x:v>1.0099912160131974</x:v>
      </x:c>
      <x:c r="P5" s="65" t="n">
        <x:f>N5/IF(C5="Bronze",3000,IF(C5="Silver",2500,IF(C5="Gold",2000,IF(C5="Platinum",1300,IF(C5="Diamond",800,400)))))*O5</x:f>
        <x:v>201.9982432026395</x:v>
      </x:c>
      <x:c r="Q5" s="40" t="str">
        <x:v>Healthy but not dominant</x:v>
      </x:c>
    </x:row>
    <x:row r="6">
      <x:c r="A6" s="39" t="str">
        <x:v>C — Weak Established</x:v>
      </x:c>
      <x:c r="B6" s="22" t="str">
        <x:v>Established</x:v>
      </x:c>
      <x:c r="C6" s="22" t="str">
        <x:v>Gold</x:v>
      </x:c>
      <x:c r="D6" s="59" t="n">
        <x:v>1150</x:v>
      </x:c>
      <x:c r="E6" s="59" t="n">
        <x:v>67</x:v>
      </x:c>
      <x:c r="F6" s="59" t="n">
        <x:v>85</x:v>
      </x:c>
      <x:c r="G6" s="53" t="n">
        <x:v>0.08</x:v>
      </x:c>
      <x:c r="H6" s="59" t="n">
        <x:v>0</x:v>
      </x:c>
      <x:c r="I6" s="59" t="n">
        <x:v>-15</x:v>
      </x:c>
      <x:c r="J6" s="85" t="n">
        <x:f>'01_Assumptions'!$B$9*(E6-F6)/10+H6+I6</x:f>
        <x:v>-58.2</x:v>
      </x:c>
      <x:c r="K6" s="85" t="n">
        <x:f>MAX(-'01_Assumptions'!$B$11,MIN('01_Assumptions'!$B$10,J6))</x:f>
        <x:v>-58.2</x:v>
      </x:c>
      <x:c r="L6" s="59" t="n">
        <x:f>MAX(0,D6+K6)</x:f>
        <x:v>1091.8</x:v>
      </x:c>
      <x:c r="M6" s="22" t="str">
        <x:f>IF(L6&lt;900,"Bronze",IF(L6&lt;1100,"Silver",IF(L6&lt;1300,"Gold",IF(L6&lt;1500,"Platinum",IF(L6&lt;1700,"Diamond","Tycoon")))))</x:f>
        <x:v>Silver</x:v>
      </x:c>
      <x:c r="N6" s="65" t="n">
        <x:f>IF(C6="Bronze",'01_Assumptions'!$B$4*0.14,IF(C6="Silver",'01_Assumptions'!$B$4*0.17,IF(C6="Gold",'01_Assumptions'!$B$4*0.20,IF(C6="Platinum",'01_Assumptions'!$B$4*0.20,IF(C6="Diamond",'01_Assumptions'!$B$4*0.17,'01_Assumptions'!$B$4*0.12)))))</x:f>
        <x:v>400000</x:v>
      </x:c>
      <x:c r="O6" s="85" t="n">
        <x:f>(E6/F6)^'01_Assumptions'!$B$19</x:f>
        <x:v>0.8168785559211447</x:v>
      </x:c>
      <x:c r="P6" s="65" t="n">
        <x:f>N6/IF(C6="Bronze",3000,IF(C6="Silver",2500,IF(C6="Gold",2000,IF(C6="Platinum",1300,IF(C6="Diamond",800,400)))))*O6</x:f>
        <x:v>163.37571118422892</x:v>
      </x:c>
      <x:c r="Q6" s="40" t="str">
        <x:v>Larger empire can fall if poorly operated</x:v>
      </x:c>
    </x:row>
    <x:row r="7">
      <x:c r="A7" s="39" t="str">
        <x:v>D — Elite Operator</x:v>
      </x:c>
      <x:c r="B7" s="22" t="str">
        <x:v>Elite</x:v>
      </x:c>
      <x:c r="C7" s="22" t="str">
        <x:v>Platinum</x:v>
      </x:c>
      <x:c r="D7" s="59" t="n">
        <x:v>1470</x:v>
      </x:c>
      <x:c r="E7" s="59" t="n">
        <x:v>108</x:v>
      </x:c>
      <x:c r="F7" s="59" t="n">
        <x:v>95</x:v>
      </x:c>
      <x:c r="G7" s="53" t="n">
        <x:v>0.94</x:v>
      </x:c>
      <x:c r="H7" s="59" t="n">
        <x:v>20</x:v>
      </x:c>
      <x:c r="I7" s="59" t="n">
        <x:v>0</x:v>
      </x:c>
      <x:c r="J7" s="85" t="n">
        <x:f>'01_Assumptions'!$B$9*(E7-F7)/10+H7+I7</x:f>
        <x:v>51.2</x:v>
      </x:c>
      <x:c r="K7" s="85" t="n">
        <x:f>MAX(-'01_Assumptions'!$B$11,MIN('01_Assumptions'!$B$10,J7))</x:f>
        <x:v>51.2</x:v>
      </x:c>
      <x:c r="L7" s="59" t="n">
        <x:f>MAX(0,D7+K7)</x:f>
        <x:v>1521.2</x:v>
      </x:c>
      <x:c r="M7" s="22" t="str">
        <x:f>IF(L7&lt;900,"Bronze",IF(L7&lt;1100,"Silver",IF(L7&lt;1300,"Gold",IF(L7&lt;1500,"Platinum",IF(L7&lt;1700,"Diamond","Tycoon")))))</x:f>
        <x:v>Diamond</x:v>
      </x:c>
      <x:c r="N7" s="65" t="n">
        <x:f>IF(C7="Bronze",'01_Assumptions'!$B$4*0.14,IF(C7="Silver",'01_Assumptions'!$B$4*0.17,IF(C7="Gold",'01_Assumptions'!$B$4*0.20,IF(C7="Platinum",'01_Assumptions'!$B$4*0.20,IF(C7="Diamond",'01_Assumptions'!$B$4*0.17,'01_Assumptions'!$B$4*0.12)))))</x:f>
        <x:v>400000</x:v>
      </x:c>
      <x:c r="O7" s="85" t="n">
        <x:f>(E7/F7)^'01_Assumptions'!$B$19</x:f>
        <x:v>1.1151803996077514</x:v>
      </x:c>
      <x:c r="P7" s="65" t="n">
        <x:f>N7/IF(C7="Bronze",3000,IF(C7="Silver",2500,IF(C7="Gold",2000,IF(C7="Platinum",1300,IF(C7="Diamond",800,400)))))*O7</x:f>
        <x:v>343.1324306485389</x:v>
      </x:c>
      <x:c r="Q7" s="40" t="str">
        <x:v>Promotion candidate</x:v>
      </x:c>
    </x:row>
    <x:row r="8">
      <x:c r="A8" s="39" t="str">
        <x:v>E — Diamond Stable</x:v>
      </x:c>
      <x:c r="B8" s="22" t="str">
        <x:v>Established</x:v>
      </x:c>
      <x:c r="C8" s="22" t="str">
        <x:v>Diamond</x:v>
      </x:c>
      <x:c r="D8" s="59" t="n">
        <x:v>1580</x:v>
      </x:c>
      <x:c r="E8" s="59" t="n">
        <x:v>104</x:v>
      </x:c>
      <x:c r="F8" s="59" t="n">
        <x:v>103</x:v>
      </x:c>
      <x:c r="G8" s="53" t="n">
        <x:v>0.6</x:v>
      </x:c>
      <x:c r="H8" s="59" t="n">
        <x:v>0</x:v>
      </x:c>
      <x:c r="I8" s="59" t="n">
        <x:v>0</x:v>
      </x:c>
      <x:c r="J8" s="85" t="n">
        <x:f>'01_Assumptions'!$B$9*(E8-F8)/10+H8+I8</x:f>
        <x:v>2.4</x:v>
      </x:c>
      <x:c r="K8" s="85" t="n">
        <x:f>MAX(-'01_Assumptions'!$B$11,MIN('01_Assumptions'!$B$10,J8))</x:f>
        <x:v>2.4</x:v>
      </x:c>
      <x:c r="L8" s="59" t="n">
        <x:f>MAX(0,D8+K8)</x:f>
        <x:v>1582.4</x:v>
      </x:c>
      <x:c r="M8" s="22" t="str">
        <x:f>IF(L8&lt;900,"Bronze",IF(L8&lt;1100,"Silver",IF(L8&lt;1300,"Gold",IF(L8&lt;1500,"Platinum",IF(L8&lt;1700,"Diamond","Tycoon")))))</x:f>
        <x:v>Diamond</x:v>
      </x:c>
      <x:c r="N8" s="65" t="n">
        <x:f>IF(C8="Bronze",'01_Assumptions'!$B$4*0.14,IF(C8="Silver",'01_Assumptions'!$B$4*0.17,IF(C8="Gold",'01_Assumptions'!$B$4*0.20,IF(C8="Platinum",'01_Assumptions'!$B$4*0.20,IF(C8="Diamond",'01_Assumptions'!$B$4*0.17,'01_Assumptions'!$B$4*0.12)))))</x:f>
        <x:v>340000</x:v>
      </x:c>
      <x:c r="O8" s="85" t="n">
        <x:f>(E8/F8)^'01_Assumptions'!$B$19</x:f>
        <x:v>1.0082464403833244</x:v>
      </x:c>
      <x:c r="P8" s="65" t="n">
        <x:f>N8/IF(C8="Bronze",3000,IF(C8="Silver",2500,IF(C8="Gold",2000,IF(C8="Platinum",1300,IF(C8="Diamond",800,400)))))*O8</x:f>
        <x:v>428.5047371629129</x:v>
      </x:c>
      <x:c r="Q8" s="40" t="str">
        <x:v>Maintains high league</x:v>
      </x:c>
    </x:row>
    <x:row r="9">
      <x:c r="A9" s="39" t="str">
        <x:v>F — Competitive Tycoon Stage</x:v>
      </x:c>
      <x:c r="B9" s="22" t="str">
        <x:v>Tycoon</x:v>
      </x:c>
      <x:c r="C9" s="22" t="str">
        <x:v>Silver</x:v>
      </x:c>
      <x:c r="D9" s="59" t="n">
        <x:v>980</x:v>
      </x:c>
      <x:c r="E9" s="59" t="n">
        <x:v>80</x:v>
      </x:c>
      <x:c r="F9" s="59" t="n">
        <x:v>75</x:v>
      </x:c>
      <x:c r="G9" s="53" t="n">
        <x:v>0.72</x:v>
      </x:c>
      <x:c r="H9" s="59" t="n">
        <x:v>0</x:v>
      </x:c>
      <x:c r="I9" s="59" t="n">
        <x:v>0</x:v>
      </x:c>
      <x:c r="J9" s="85" t="n">
        <x:f>'01_Assumptions'!$B$9*(E9-F9)/10+H9+I9</x:f>
        <x:v>12</x:v>
      </x:c>
      <x:c r="K9" s="85" t="n">
        <x:f>MAX(-'01_Assumptions'!$B$11,MIN('01_Assumptions'!$B$10,J9))</x:f>
        <x:v>12</x:v>
      </x:c>
      <x:c r="L9" s="59" t="n">
        <x:f>MAX(0,D9+K9)</x:f>
        <x:v>992</x:v>
      </x:c>
      <x:c r="M9" s="22" t="str">
        <x:f>IF(L9&lt;900,"Bronze",IF(L9&lt;1100,"Silver",IF(L9&lt;1300,"Gold",IF(L9&lt;1500,"Platinum",IF(L9&lt;1700,"Diamond","Tycoon")))))</x:f>
        <x:v>Silver</x:v>
      </x:c>
      <x:c r="N9" s="65" t="n">
        <x:f>IF(C9="Bronze",'01_Assumptions'!$B$4*0.14,IF(C9="Silver",'01_Assumptions'!$B$4*0.17,IF(C9="Gold",'01_Assumptions'!$B$4*0.20,IF(C9="Platinum",'01_Assumptions'!$B$4*0.20,IF(C9="Diamond",'01_Assumptions'!$B$4*0.17,'01_Assumptions'!$B$4*0.12)))))</x:f>
        <x:v>340000</x:v>
      </x:c>
      <x:c r="O9" s="85" t="n">
        <x:f>(E9/F9)^'01_Assumptions'!$B$19</x:f>
        <x:v>1.056390325032471</x:v>
      </x:c>
      <x:c r="P9" s="65" t="n">
        <x:f>N9/IF(C9="Bronze",3000,IF(C9="Silver",2500,IF(C9="Gold",2000,IF(C9="Platinum",1300,IF(C9="Diamond",800,400)))))*O9</x:f>
        <x:v>143.66908420441607</x:v>
      </x:c>
      <x:c r="Q9" s="40" t="str">
        <x:v>Empire Tycoon does not guarantee competitive Tycoon</x:v>
      </x:c>
    </x:row>
    <x:row r="10">
      <x:c r="A10" s="39" t="str">
        <x:v>G — Humble Exceptional</x:v>
      </x:c>
      <x:c r="B10" s="22" t="str">
        <x:v>Humble</x:v>
      </x:c>
      <x:c r="C10" s="22" t="str">
        <x:v>Gold</x:v>
      </x:c>
      <x:c r="D10" s="59" t="n">
        <x:v>1265</x:v>
      </x:c>
      <x:c r="E10" s="59" t="n">
        <x:v>112</x:v>
      </x:c>
      <x:c r="F10" s="59" t="n">
        <x:v>85</x:v>
      </x:c>
      <x:c r="G10" s="53" t="n">
        <x:v>0.98</x:v>
      </x:c>
      <x:c r="H10" s="59" t="n">
        <x:v>20</x:v>
      </x:c>
      <x:c r="I10" s="59" t="n">
        <x:v>0</x:v>
      </x:c>
      <x:c r="J10" s="85" t="n">
        <x:f>'01_Assumptions'!$B$9*(E10-F10)/10+H10+I10</x:f>
        <x:v>84.8</x:v>
      </x:c>
      <x:c r="K10" s="85" t="n">
        <x:f>MAX(-'01_Assumptions'!$B$11,MIN('01_Assumptions'!$B$10,J10))</x:f>
        <x:v>75</x:v>
      </x:c>
      <x:c r="L10" s="59" t="n">
        <x:f>MAX(0,D10+K10)</x:f>
        <x:v>1340</x:v>
      </x:c>
      <x:c r="M10" s="22" t="str">
        <x:f>IF(L10&lt;900,"Bronze",IF(L10&lt;1100,"Silver",IF(L10&lt;1300,"Gold",IF(L10&lt;1500,"Platinum",IF(L10&lt;1700,"Diamond","Tycoon")))))</x:f>
        <x:v>Platinum</x:v>
      </x:c>
      <x:c r="N10" s="65" t="n">
        <x:f>IF(C10="Bronze",'01_Assumptions'!$B$4*0.14,IF(C10="Silver",'01_Assumptions'!$B$4*0.17,IF(C10="Gold",'01_Assumptions'!$B$4*0.20,IF(C10="Platinum",'01_Assumptions'!$B$4*0.20,IF(C10="Diamond",'01_Assumptions'!$B$4*0.17,'01_Assumptions'!$B$4*0.12)))))</x:f>
        <x:v>400000</x:v>
      </x:c>
      <x:c r="O10" s="85" t="n">
        <x:f>(E10/F10)^'01_Assumptions'!$B$19</x:f>
        <x:v>1.2642391421696453</x:v>
      </x:c>
      <x:c r="P10" s="65" t="n">
        <x:f>N10/IF(C10="Bronze",3000,IF(C10="Silver",2500,IF(C10="Gold",2000,IF(C10="Platinum",1300,IF(C10="Diamond",800,400)))))*O10</x:f>
        <x:v>252.84782843392907</x:v>
      </x:c>
      <x:c r="Q10" s="40" t="str">
        <x:v>Can reach Platinum despite early maturity</x:v>
      </x:c>
    </x:row>
    <x:row r="11">
      <x:c r="A11" s="41" t="str">
        <x:v>H — Top Competitive League</x:v>
      </x:c>
      <x:c r="B11" s="42" t="str">
        <x:v>Growing</x:v>
      </x:c>
      <x:c r="C11" s="42" t="str">
        <x:v>Tycoon</x:v>
      </x:c>
      <x:c r="D11" s="60" t="n">
        <x:v>1780</x:v>
      </x:c>
      <x:c r="E11" s="60" t="n">
        <x:v>114</x:v>
      </x:c>
      <x:c r="F11" s="60" t="n">
        <x:v>110</x:v>
      </x:c>
      <x:c r="G11" s="54" t="n">
        <x:v>0.7</x:v>
      </x:c>
      <x:c r="H11" s="60" t="n">
        <x:v>0</x:v>
      </x:c>
      <x:c r="I11" s="60" t="n">
        <x:v>0</x:v>
      </x:c>
      <x:c r="J11" s="86" t="n">
        <x:f>'01_Assumptions'!$B$9*(E11-F11)/10+H11+I11</x:f>
        <x:v>9.6</x:v>
      </x:c>
      <x:c r="K11" s="86" t="n">
        <x:f>MAX(-'01_Assumptions'!$B$11,MIN('01_Assumptions'!$B$10,J11))</x:f>
        <x:v>9.6</x:v>
      </x:c>
      <x:c r="L11" s="60" t="n">
        <x:f>MAX(0,D11+K11)</x:f>
        <x:v>1789.6</x:v>
      </x:c>
      <x:c r="M11" s="42" t="str">
        <x:f>IF(L11&lt;900,"Bronze",IF(L11&lt;1100,"Silver",IF(L11&lt;1300,"Gold",IF(L11&lt;1500,"Platinum",IF(L11&lt;1700,"Diamond","Tycoon")))))</x:f>
        <x:v>Tycoon</x:v>
      </x:c>
      <x:c r="N11" s="66" t="n">
        <x:f>IF(C11="Bronze",'01_Assumptions'!$B$4*0.14,IF(C11="Silver",'01_Assumptions'!$B$4*0.17,IF(C11="Gold",'01_Assumptions'!$B$4*0.20,IF(C11="Platinum",'01_Assumptions'!$B$4*0.20,IF(C11="Diamond",'01_Assumptions'!$B$4*0.17,'01_Assumptions'!$B$4*0.12)))))</x:f>
        <x:v>240000</x:v>
      </x:c>
      <x:c r="O11" s="86" t="n">
        <x:f>(E11/F11)^'01_Assumptions'!$B$19</x:f>
        <x:v>1.030825945991032</x:v>
      </x:c>
      <x:c r="P11" s="66" t="n">
        <x:f>N11/IF(C11="Bronze",3000,IF(C11="Silver",2500,IF(C11="Gold",2000,IF(C11="Platinum",1300,IF(C11="Diamond",800,400)))))*O11</x:f>
        <x:v>618.4955675946193</x:v>
      </x:c>
      <x:c r="Q11" s="43" t="str">
        <x:v>Top league can contain non-Tycoon-stage player</x:v>
      </x:c>
    </x:row>
  </x:sheetData>
  <x:mergeCells>
    <x:mergeCell ref="A1:Q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 ht="28" customHeight="1">
      <x:c r="A1" s="122" t="str">
        <x:v>Weekly Treasury &amp; Population Sensitivity</x:v>
      </x:c>
      <x:c r="B1" s="122"/>
      <x:c r="C1" s="122"/>
      <x:c r="D1" s="122"/>
      <x:c r="E1" s="122"/>
      <x:c r="F1" s="122"/>
      <x:c r="G1" s="122"/>
      <x:c r="H1" s="122"/>
      <x:c r="I1" s="122"/>
      <x:c r="J1" s="122"/>
      <x:c r="K1" s="122"/>
      <x:c r="L1" s="122"/>
      <x:c r="M1" s="122"/>
      <x:c r="N1" s="122"/>
      <x:c r="O1" s="22"/>
      <x:c r="P1" s="22"/>
      <x:c r="Q1" s="22"/>
    </x:row>
    <x:row r="3">
      <x:c r="A3" s="14" t="str">
        <x:v>Weekly PLOT Pool</x:v>
      </x:c>
      <x:c r="B3" s="14" t="str">
        <x:v>Eligible Players</x:v>
      </x:c>
      <x:c r="C3" s="14" t="str">
        <x:v>Avg PLOT / Player</x:v>
      </x:c>
      <x:c r="D3" s="14" t="str">
        <x:v>Bronze Avg</x:v>
      </x:c>
      <x:c r="E3" s="14" t="str">
        <x:v>Silver Avg</x:v>
      </x:c>
      <x:c r="F3" s="14" t="str">
        <x:v>Gold Avg</x:v>
      </x:c>
      <x:c r="G3" s="14" t="str">
        <x:v>Diamond Avg</x:v>
      </x:c>
      <x:c r="H3" s="14" t="str">
        <x:v>Tycoon Avg</x:v>
      </x:c>
    </x:row>
    <x:row r="4">
      <x:c r="A4" s="102" t="n">
        <x:v>500000</x:v>
      </x:c>
      <x:c r="B4" s="58" t="n">
        <x:v>2500</x:v>
      </x:c>
      <x:c r="C4" s="64" t="n">
        <x:f>A4/B4</x:f>
        <x:v>200</x:v>
      </x:c>
      <x:c r="D4" s="64" t="n">
        <x:f>A4*0.14/(B4*0.30)</x:f>
        <x:v>93.33333333333333</x:v>
      </x:c>
      <x:c r="E4" s="64" t="n">
        <x:f>A4*0.17/(B4*0.25)</x:f>
        <x:v>136</x:v>
      </x:c>
      <x:c r="F4" s="64" t="n">
        <x:f>A4*0.20/(B4*0.20)</x:f>
        <x:v>200</x:v>
      </x:c>
      <x:c r="G4" s="64" t="n">
        <x:f>A4*0.17/(B4*0.08)</x:f>
        <x:v>425</x:v>
      </x:c>
      <x:c r="H4" s="108" t="n">
        <x:f>A4*0.12/(B4*0.04)</x:f>
        <x:v>600</x:v>
      </x:c>
    </x:row>
    <x:row r="5">
      <x:c r="A5" s="103" t="n">
        <x:v>500000</x:v>
      </x:c>
      <x:c r="B5" s="59" t="n">
        <x:v>5000</x:v>
      </x:c>
      <x:c r="C5" s="65" t="n">
        <x:f>A5/B5</x:f>
        <x:v>100</x:v>
      </x:c>
      <x:c r="D5" s="65" t="n">
        <x:f>A5*0.14/(B5*0.30)</x:f>
        <x:v>46.666666666666664</x:v>
      </x:c>
      <x:c r="E5" s="65" t="n">
        <x:f>A5*0.17/(B5*0.25)</x:f>
        <x:v>68</x:v>
      </x:c>
      <x:c r="F5" s="65" t="n">
        <x:f>A5*0.20/(B5*0.20)</x:f>
        <x:v>100</x:v>
      </x:c>
      <x:c r="G5" s="65" t="n">
        <x:f>A5*0.17/(B5*0.08)</x:f>
        <x:v>212.5</x:v>
      </x:c>
      <x:c r="H5" s="109" t="n">
        <x:f>A5*0.12/(B5*0.04)</x:f>
        <x:v>300</x:v>
      </x:c>
    </x:row>
    <x:row r="6">
      <x:c r="A6" s="103" t="n">
        <x:v>500000</x:v>
      </x:c>
      <x:c r="B6" s="59" t="n">
        <x:v>10000</x:v>
      </x:c>
      <x:c r="C6" s="65" t="n">
        <x:f>A6/B6</x:f>
        <x:v>50</x:v>
      </x:c>
      <x:c r="D6" s="65" t="n">
        <x:f>A6*0.14/(B6*0.30)</x:f>
        <x:v>23.333333333333332</x:v>
      </x:c>
      <x:c r="E6" s="65" t="n">
        <x:f>A6*0.17/(B6*0.25)</x:f>
        <x:v>34</x:v>
      </x:c>
      <x:c r="F6" s="65" t="n">
        <x:f>A6*0.20/(B6*0.20)</x:f>
        <x:v>50</x:v>
      </x:c>
      <x:c r="G6" s="65" t="n">
        <x:f>A6*0.17/(B6*0.08)</x:f>
        <x:v>106.25</x:v>
      </x:c>
      <x:c r="H6" s="109" t="n">
        <x:f>A6*0.12/(B6*0.04)</x:f>
        <x:v>150</x:v>
      </x:c>
    </x:row>
    <x:row r="7">
      <x:c r="A7" s="103" t="n">
        <x:v>500000</x:v>
      </x:c>
      <x:c r="B7" s="59" t="n">
        <x:v>25000</x:v>
      </x:c>
      <x:c r="C7" s="65" t="n">
        <x:f>A7/B7</x:f>
        <x:v>20</x:v>
      </x:c>
      <x:c r="D7" s="65" t="n">
        <x:f>A7*0.14/(B7*0.30)</x:f>
        <x:v>9.333333333333334</x:v>
      </x:c>
      <x:c r="E7" s="65" t="n">
        <x:f>A7*0.17/(B7*0.25)</x:f>
        <x:v>13.6</x:v>
      </x:c>
      <x:c r="F7" s="65" t="n">
        <x:f>A7*0.20/(B7*0.20)</x:f>
        <x:v>20</x:v>
      </x:c>
      <x:c r="G7" s="65" t="n">
        <x:f>A7*0.17/(B7*0.08)</x:f>
        <x:v>42.5</x:v>
      </x:c>
      <x:c r="H7" s="109" t="n">
        <x:f>A7*0.12/(B7*0.04)</x:f>
        <x:v>60</x:v>
      </x:c>
    </x:row>
    <x:row r="8">
      <x:c r="A8" s="103" t="n">
        <x:v>500000</x:v>
      </x:c>
      <x:c r="B8" s="59" t="n">
        <x:v>50000</x:v>
      </x:c>
      <x:c r="C8" s="65" t="n">
        <x:f>A8/B8</x:f>
        <x:v>10</x:v>
      </x:c>
      <x:c r="D8" s="65" t="n">
        <x:f>A8*0.14/(B8*0.30)</x:f>
        <x:v>4.666666666666667</x:v>
      </x:c>
      <x:c r="E8" s="65" t="n">
        <x:f>A8*0.17/(B8*0.25)</x:f>
        <x:v>6.8</x:v>
      </x:c>
      <x:c r="F8" s="65" t="n">
        <x:f>A8*0.20/(B8*0.20)</x:f>
        <x:v>10</x:v>
      </x:c>
      <x:c r="G8" s="65" t="n">
        <x:f>A8*0.17/(B8*0.08)</x:f>
        <x:v>21.25</x:v>
      </x:c>
      <x:c r="H8" s="109" t="n">
        <x:f>A8*0.12/(B8*0.04)</x:f>
        <x:v>30</x:v>
      </x:c>
    </x:row>
    <x:row r="9">
      <x:c r="A9" s="103" t="n">
        <x:v>1000000</x:v>
      </x:c>
      <x:c r="B9" s="59" t="n">
        <x:v>2500</x:v>
      </x:c>
      <x:c r="C9" s="65" t="n">
        <x:f>A9/B9</x:f>
        <x:v>400</x:v>
      </x:c>
      <x:c r="D9" s="65" t="n">
        <x:f>A9*0.14/(B9*0.30)</x:f>
        <x:v>186.66666666666666</x:v>
      </x:c>
      <x:c r="E9" s="65" t="n">
        <x:f>A9*0.17/(B9*0.25)</x:f>
        <x:v>272</x:v>
      </x:c>
      <x:c r="F9" s="65" t="n">
        <x:f>A9*0.20/(B9*0.20)</x:f>
        <x:v>400</x:v>
      </x:c>
      <x:c r="G9" s="65" t="n">
        <x:f>A9*0.17/(B9*0.08)</x:f>
        <x:v>850</x:v>
      </x:c>
      <x:c r="H9" s="109" t="n">
        <x:f>A9*0.12/(B9*0.04)</x:f>
        <x:v>1200</x:v>
      </x:c>
    </x:row>
    <x:row r="10">
      <x:c r="A10" s="103" t="n">
        <x:v>1000000</x:v>
      </x:c>
      <x:c r="B10" s="59" t="n">
        <x:v>5000</x:v>
      </x:c>
      <x:c r="C10" s="65" t="n">
        <x:f>A10/B10</x:f>
        <x:v>200</x:v>
      </x:c>
      <x:c r="D10" s="65" t="n">
        <x:f>A10*0.14/(B10*0.30)</x:f>
        <x:v>93.33333333333333</x:v>
      </x:c>
      <x:c r="E10" s="65" t="n">
        <x:f>A10*0.17/(B10*0.25)</x:f>
        <x:v>136</x:v>
      </x:c>
      <x:c r="F10" s="65" t="n">
        <x:f>A10*0.20/(B10*0.20)</x:f>
        <x:v>200</x:v>
      </x:c>
      <x:c r="G10" s="65" t="n">
        <x:f>A10*0.17/(B10*0.08)</x:f>
        <x:v>425</x:v>
      </x:c>
      <x:c r="H10" s="109" t="n">
        <x:f>A10*0.12/(B10*0.04)</x:f>
        <x:v>600</x:v>
      </x:c>
    </x:row>
    <x:row r="11">
      <x:c r="A11" s="103" t="n">
        <x:v>1000000</x:v>
      </x:c>
      <x:c r="B11" s="59" t="n">
        <x:v>10000</x:v>
      </x:c>
      <x:c r="C11" s="65" t="n">
        <x:f>A11/B11</x:f>
        <x:v>100</x:v>
      </x:c>
      <x:c r="D11" s="65" t="n">
        <x:f>A11*0.14/(B11*0.30)</x:f>
        <x:v>46.666666666666664</x:v>
      </x:c>
      <x:c r="E11" s="65" t="n">
        <x:f>A11*0.17/(B11*0.25)</x:f>
        <x:v>68</x:v>
      </x:c>
      <x:c r="F11" s="65" t="n">
        <x:f>A11*0.20/(B11*0.20)</x:f>
        <x:v>100</x:v>
      </x:c>
      <x:c r="G11" s="65" t="n">
        <x:f>A11*0.17/(B11*0.08)</x:f>
        <x:v>212.5</x:v>
      </x:c>
      <x:c r="H11" s="109" t="n">
        <x:f>A11*0.12/(B11*0.04)</x:f>
        <x:v>300</x:v>
      </x:c>
    </x:row>
    <x:row r="12">
      <x:c r="A12" s="103" t="n">
        <x:v>1000000</x:v>
      </x:c>
      <x:c r="B12" s="59" t="n">
        <x:v>25000</x:v>
      </x:c>
      <x:c r="C12" s="65" t="n">
        <x:f>A12/B12</x:f>
        <x:v>40</x:v>
      </x:c>
      <x:c r="D12" s="65" t="n">
        <x:f>A12*0.14/(B12*0.30)</x:f>
        <x:v>18.666666666666668</x:v>
      </x:c>
      <x:c r="E12" s="65" t="n">
        <x:f>A12*0.17/(B12*0.25)</x:f>
        <x:v>27.2</x:v>
      </x:c>
      <x:c r="F12" s="65" t="n">
        <x:f>A12*0.20/(B12*0.20)</x:f>
        <x:v>40</x:v>
      </x:c>
      <x:c r="G12" s="65" t="n">
        <x:f>A12*0.17/(B12*0.08)</x:f>
        <x:v>85</x:v>
      </x:c>
      <x:c r="H12" s="109" t="n">
        <x:f>A12*0.12/(B12*0.04)</x:f>
        <x:v>120</x:v>
      </x:c>
    </x:row>
    <x:row r="13">
      <x:c r="A13" s="103" t="n">
        <x:v>1000000</x:v>
      </x:c>
      <x:c r="B13" s="59" t="n">
        <x:v>50000</x:v>
      </x:c>
      <x:c r="C13" s="65" t="n">
        <x:f>A13/B13</x:f>
        <x:v>20</x:v>
      </x:c>
      <x:c r="D13" s="65" t="n">
        <x:f>A13*0.14/(B13*0.30)</x:f>
        <x:v>9.333333333333334</x:v>
      </x:c>
      <x:c r="E13" s="65" t="n">
        <x:f>A13*0.17/(B13*0.25)</x:f>
        <x:v>13.6</x:v>
      </x:c>
      <x:c r="F13" s="65" t="n">
        <x:f>A13*0.20/(B13*0.20)</x:f>
        <x:v>20</x:v>
      </x:c>
      <x:c r="G13" s="65" t="n">
        <x:f>A13*0.17/(B13*0.08)</x:f>
        <x:v>42.5</x:v>
      </x:c>
      <x:c r="H13" s="109" t="n">
        <x:f>A13*0.12/(B13*0.04)</x:f>
        <x:v>60</x:v>
      </x:c>
    </x:row>
    <x:row r="14">
      <x:c r="A14" s="103" t="n">
        <x:v>2000000</x:v>
      </x:c>
      <x:c r="B14" s="59" t="n">
        <x:v>2500</x:v>
      </x:c>
      <x:c r="C14" s="65" t="n">
        <x:f>A14/B14</x:f>
        <x:v>800</x:v>
      </x:c>
      <x:c r="D14" s="65" t="n">
        <x:f>A14*0.14/(B14*0.30)</x:f>
        <x:v>373.3333333333333</x:v>
      </x:c>
      <x:c r="E14" s="65" t="n">
        <x:f>A14*0.17/(B14*0.25)</x:f>
        <x:v>544</x:v>
      </x:c>
      <x:c r="F14" s="65" t="n">
        <x:f>A14*0.20/(B14*0.20)</x:f>
        <x:v>800</x:v>
      </x:c>
      <x:c r="G14" s="65" t="n">
        <x:f>A14*0.17/(B14*0.08)</x:f>
        <x:v>1700</x:v>
      </x:c>
      <x:c r="H14" s="109" t="n">
        <x:f>A14*0.12/(B14*0.04)</x:f>
        <x:v>2400</x:v>
      </x:c>
    </x:row>
    <x:row r="15">
      <x:c r="A15" s="103" t="n">
        <x:v>2000000</x:v>
      </x:c>
      <x:c r="B15" s="59" t="n">
        <x:v>5000</x:v>
      </x:c>
      <x:c r="C15" s="65" t="n">
        <x:f>A15/B15</x:f>
        <x:v>400</x:v>
      </x:c>
      <x:c r="D15" s="65" t="n">
        <x:f>A15*0.14/(B15*0.30)</x:f>
        <x:v>186.66666666666666</x:v>
      </x:c>
      <x:c r="E15" s="65" t="n">
        <x:f>A15*0.17/(B15*0.25)</x:f>
        <x:v>272</x:v>
      </x:c>
      <x:c r="F15" s="65" t="n">
        <x:f>A15*0.20/(B15*0.20)</x:f>
        <x:v>400</x:v>
      </x:c>
      <x:c r="G15" s="65" t="n">
        <x:f>A15*0.17/(B15*0.08)</x:f>
        <x:v>850</x:v>
      </x:c>
      <x:c r="H15" s="109" t="n">
        <x:f>A15*0.12/(B15*0.04)</x:f>
        <x:v>1200</x:v>
      </x:c>
    </x:row>
    <x:row r="16">
      <x:c r="A16" s="103" t="n">
        <x:v>2000000</x:v>
      </x:c>
      <x:c r="B16" s="59" t="n">
        <x:v>10000</x:v>
      </x:c>
      <x:c r="C16" s="65" t="n">
        <x:f>A16/B16</x:f>
        <x:v>200</x:v>
      </x:c>
      <x:c r="D16" s="65" t="n">
        <x:f>A16*0.14/(B16*0.30)</x:f>
        <x:v>93.33333333333333</x:v>
      </x:c>
      <x:c r="E16" s="65" t="n">
        <x:f>A16*0.17/(B16*0.25)</x:f>
        <x:v>136</x:v>
      </x:c>
      <x:c r="F16" s="65" t="n">
        <x:f>A16*0.20/(B16*0.20)</x:f>
        <x:v>200</x:v>
      </x:c>
      <x:c r="G16" s="65" t="n">
        <x:f>A16*0.17/(B16*0.08)</x:f>
        <x:v>425</x:v>
      </x:c>
      <x:c r="H16" s="109" t="n">
        <x:f>A16*0.12/(B16*0.04)</x:f>
        <x:v>600</x:v>
      </x:c>
    </x:row>
    <x:row r="17">
      <x:c r="A17" s="103" t="n">
        <x:v>2000000</x:v>
      </x:c>
      <x:c r="B17" s="59" t="n">
        <x:v>25000</x:v>
      </x:c>
      <x:c r="C17" s="65" t="n">
        <x:f>A17/B17</x:f>
        <x:v>80</x:v>
      </x:c>
      <x:c r="D17" s="65" t="n">
        <x:f>A17*0.14/(B17*0.30)</x:f>
        <x:v>37.333333333333336</x:v>
      </x:c>
      <x:c r="E17" s="65" t="n">
        <x:f>A17*0.17/(B17*0.25)</x:f>
        <x:v>54.4</x:v>
      </x:c>
      <x:c r="F17" s="65" t="n">
        <x:f>A17*0.20/(B17*0.20)</x:f>
        <x:v>80</x:v>
      </x:c>
      <x:c r="G17" s="65" t="n">
        <x:f>A17*0.17/(B17*0.08)</x:f>
        <x:v>170</x:v>
      </x:c>
      <x:c r="H17" s="109" t="n">
        <x:f>A17*0.12/(B17*0.04)</x:f>
        <x:v>240</x:v>
      </x:c>
    </x:row>
    <x:row r="18">
      <x:c r="A18" s="103" t="n">
        <x:v>2000000</x:v>
      </x:c>
      <x:c r="B18" s="59" t="n">
        <x:v>50000</x:v>
      </x:c>
      <x:c r="C18" s="65" t="n">
        <x:f>A18/B18</x:f>
        <x:v>40</x:v>
      </x:c>
      <x:c r="D18" s="65" t="n">
        <x:f>A18*0.14/(B18*0.30)</x:f>
        <x:v>18.666666666666668</x:v>
      </x:c>
      <x:c r="E18" s="65" t="n">
        <x:f>A18*0.17/(B18*0.25)</x:f>
        <x:v>27.2</x:v>
      </x:c>
      <x:c r="F18" s="65" t="n">
        <x:f>A18*0.20/(B18*0.20)</x:f>
        <x:v>40</x:v>
      </x:c>
      <x:c r="G18" s="65" t="n">
        <x:f>A18*0.17/(B18*0.08)</x:f>
        <x:v>85</x:v>
      </x:c>
      <x:c r="H18" s="109" t="n">
        <x:f>A18*0.12/(B18*0.04)</x:f>
        <x:v>120</x:v>
      </x:c>
    </x:row>
    <x:row r="19">
      <x:c r="A19" s="103" t="n">
        <x:v>3000000</x:v>
      </x:c>
      <x:c r="B19" s="59" t="n">
        <x:v>2500</x:v>
      </x:c>
      <x:c r="C19" s="65" t="n">
        <x:f>A19/B19</x:f>
        <x:v>1200</x:v>
      </x:c>
      <x:c r="D19" s="65" t="n">
        <x:f>A19*0.14/(B19*0.30)</x:f>
        <x:v>560.0000000000001</x:v>
      </x:c>
      <x:c r="E19" s="65" t="n">
        <x:f>A19*0.17/(B19*0.25)</x:f>
        <x:v>816.0000000000001</x:v>
      </x:c>
      <x:c r="F19" s="65" t="n">
        <x:f>A19*0.20/(B19*0.20)</x:f>
        <x:v>1200</x:v>
      </x:c>
      <x:c r="G19" s="65" t="n">
        <x:f>A19*0.17/(B19*0.08)</x:f>
        <x:v>2550.0000000000005</x:v>
      </x:c>
      <x:c r="H19" s="109" t="n">
        <x:f>A19*0.12/(B19*0.04)</x:f>
        <x:v>3600</x:v>
      </x:c>
    </x:row>
    <x:row r="20">
      <x:c r="A20" s="103" t="n">
        <x:v>3000000</x:v>
      </x:c>
      <x:c r="B20" s="59" t="n">
        <x:v>5000</x:v>
      </x:c>
      <x:c r="C20" s="65" t="n">
        <x:f>A20/B20</x:f>
        <x:v>600</x:v>
      </x:c>
      <x:c r="D20" s="65" t="n">
        <x:f>A20*0.14/(B20*0.30)</x:f>
        <x:v>280.00000000000006</x:v>
      </x:c>
      <x:c r="E20" s="65" t="n">
        <x:f>A20*0.17/(B20*0.25)</x:f>
        <x:v>408.00000000000006</x:v>
      </x:c>
      <x:c r="F20" s="65" t="n">
        <x:f>A20*0.20/(B20*0.20)</x:f>
        <x:v>600</x:v>
      </x:c>
      <x:c r="G20" s="65" t="n">
        <x:f>A20*0.17/(B20*0.08)</x:f>
        <x:v>1275.0000000000002</x:v>
      </x:c>
      <x:c r="H20" s="109" t="n">
        <x:f>A20*0.12/(B20*0.04)</x:f>
        <x:v>1800</x:v>
      </x:c>
    </x:row>
    <x:row r="21">
      <x:c r="A21" s="103" t="n">
        <x:v>3000000</x:v>
      </x:c>
      <x:c r="B21" s="59" t="n">
        <x:v>10000</x:v>
      </x:c>
      <x:c r="C21" s="65" t="n">
        <x:f>A21/B21</x:f>
        <x:v>300</x:v>
      </x:c>
      <x:c r="D21" s="65" t="n">
        <x:f>A21*0.14/(B21*0.30)</x:f>
        <x:v>140.00000000000003</x:v>
      </x:c>
      <x:c r="E21" s="65" t="n">
        <x:f>A21*0.17/(B21*0.25)</x:f>
        <x:v>204.00000000000003</x:v>
      </x:c>
      <x:c r="F21" s="65" t="n">
        <x:f>A21*0.20/(B21*0.20)</x:f>
        <x:v>300</x:v>
      </x:c>
      <x:c r="G21" s="65" t="n">
        <x:f>A21*0.17/(B21*0.08)</x:f>
        <x:v>637.5000000000001</x:v>
      </x:c>
      <x:c r="H21" s="109" t="n">
        <x:f>A21*0.12/(B21*0.04)</x:f>
        <x:v>900</x:v>
      </x:c>
    </x:row>
    <x:row r="22">
      <x:c r="A22" s="103" t="n">
        <x:v>3000000</x:v>
      </x:c>
      <x:c r="B22" s="59" t="n">
        <x:v>25000</x:v>
      </x:c>
      <x:c r="C22" s="65" t="n">
        <x:f>A22/B22</x:f>
        <x:v>120</x:v>
      </x:c>
      <x:c r="D22" s="65" t="n">
        <x:f>A22*0.14/(B22*0.30)</x:f>
        <x:v>56.00000000000001</x:v>
      </x:c>
      <x:c r="E22" s="65" t="n">
        <x:f>A22*0.17/(B22*0.25)</x:f>
        <x:v>81.60000000000001</x:v>
      </x:c>
      <x:c r="F22" s="65" t="n">
        <x:f>A22*0.20/(B22*0.20)</x:f>
        <x:v>120</x:v>
      </x:c>
      <x:c r="G22" s="65" t="n">
        <x:f>A22*0.17/(B22*0.08)</x:f>
        <x:v>255.00000000000003</x:v>
      </x:c>
      <x:c r="H22" s="109" t="n">
        <x:f>A22*0.12/(B22*0.04)</x:f>
        <x:v>360</x:v>
      </x:c>
    </x:row>
    <x:row r="23">
      <x:c r="A23" s="103" t="n">
        <x:v>3000000</x:v>
      </x:c>
      <x:c r="B23" s="59" t="n">
        <x:v>50000</x:v>
      </x:c>
      <x:c r="C23" s="65" t="n">
        <x:f>A23/B23</x:f>
        <x:v>60</x:v>
      </x:c>
      <x:c r="D23" s="65" t="n">
        <x:f>A23*0.14/(B23*0.30)</x:f>
        <x:v>28.000000000000004</x:v>
      </x:c>
      <x:c r="E23" s="65" t="n">
        <x:f>A23*0.17/(B23*0.25)</x:f>
        <x:v>40.800000000000004</x:v>
      </x:c>
      <x:c r="F23" s="65" t="n">
        <x:f>A23*0.20/(B23*0.20)</x:f>
        <x:v>60</x:v>
      </x:c>
      <x:c r="G23" s="65" t="n">
        <x:f>A23*0.17/(B23*0.08)</x:f>
        <x:v>127.50000000000001</x:v>
      </x:c>
      <x:c r="H23" s="109" t="n">
        <x:f>A23*0.12/(B23*0.04)</x:f>
        <x:v>180</x:v>
      </x:c>
    </x:row>
    <x:row r="24">
      <x:c r="A24" s="103" t="n">
        <x:v>5000000</x:v>
      </x:c>
      <x:c r="B24" s="59" t="n">
        <x:v>2500</x:v>
      </x:c>
      <x:c r="C24" s="65" t="n">
        <x:f>A24/B24</x:f>
        <x:v>2000</x:v>
      </x:c>
      <x:c r="D24" s="65" t="n">
        <x:f>A24*0.14/(B24*0.30)</x:f>
        <x:v>933.3333333333335</x:v>
      </x:c>
      <x:c r="E24" s="65" t="n">
        <x:f>A24*0.17/(B24*0.25)</x:f>
        <x:v>1360.0000000000002</x:v>
      </x:c>
      <x:c r="F24" s="65" t="n">
        <x:f>A24*0.20/(B24*0.20)</x:f>
        <x:v>2000</x:v>
      </x:c>
      <x:c r="G24" s="65" t="n">
        <x:f>A24*0.17/(B24*0.08)</x:f>
        <x:v>4250.000000000001</x:v>
      </x:c>
      <x:c r="H24" s="109" t="n">
        <x:f>A24*0.12/(B24*0.04)</x:f>
        <x:v>6000</x:v>
      </x:c>
    </x:row>
    <x:row r="25">
      <x:c r="A25" s="103" t="n">
        <x:v>5000000</x:v>
      </x:c>
      <x:c r="B25" s="59" t="n">
        <x:v>5000</x:v>
      </x:c>
      <x:c r="C25" s="65" t="n">
        <x:f>A25/B25</x:f>
        <x:v>1000</x:v>
      </x:c>
      <x:c r="D25" s="65" t="n">
        <x:f>A25*0.14/(B25*0.30)</x:f>
        <x:v>466.66666666666674</x:v>
      </x:c>
      <x:c r="E25" s="65" t="n">
        <x:f>A25*0.17/(B25*0.25)</x:f>
        <x:v>680.0000000000001</x:v>
      </x:c>
      <x:c r="F25" s="65" t="n">
        <x:f>A25*0.20/(B25*0.20)</x:f>
        <x:v>1000</x:v>
      </x:c>
      <x:c r="G25" s="65" t="n">
        <x:f>A25*0.17/(B25*0.08)</x:f>
        <x:v>2125.0000000000005</x:v>
      </x:c>
      <x:c r="H25" s="109" t="n">
        <x:f>A25*0.12/(B25*0.04)</x:f>
        <x:v>3000</x:v>
      </x:c>
    </x:row>
    <x:row r="26">
      <x:c r="A26" s="103" t="n">
        <x:v>5000000</x:v>
      </x:c>
      <x:c r="B26" s="59" t="n">
        <x:v>10000</x:v>
      </x:c>
      <x:c r="C26" s="65" t="n">
        <x:f>A26/B26</x:f>
        <x:v>500</x:v>
      </x:c>
      <x:c r="D26" s="65" t="n">
        <x:f>A26*0.14/(B26*0.30)</x:f>
        <x:v>233.33333333333337</x:v>
      </x:c>
      <x:c r="E26" s="65" t="n">
        <x:f>A26*0.17/(B26*0.25)</x:f>
        <x:v>340.00000000000006</x:v>
      </x:c>
      <x:c r="F26" s="65" t="n">
        <x:f>A26*0.20/(B26*0.20)</x:f>
        <x:v>500</x:v>
      </x:c>
      <x:c r="G26" s="65" t="n">
        <x:f>A26*0.17/(B26*0.08)</x:f>
        <x:v>1062.5000000000002</x:v>
      </x:c>
      <x:c r="H26" s="109" t="n">
        <x:f>A26*0.12/(B26*0.04)</x:f>
        <x:v>1500</x:v>
      </x:c>
    </x:row>
    <x:row r="27">
      <x:c r="A27" s="103" t="n">
        <x:v>5000000</x:v>
      </x:c>
      <x:c r="B27" s="59" t="n">
        <x:v>25000</x:v>
      </x:c>
      <x:c r="C27" s="65" t="n">
        <x:f>A27/B27</x:f>
        <x:v>200</x:v>
      </x:c>
      <x:c r="D27" s="65" t="n">
        <x:f>A27*0.14/(B27*0.30)</x:f>
        <x:v>93.33333333333334</x:v>
      </x:c>
      <x:c r="E27" s="65" t="n">
        <x:f>A27*0.17/(B27*0.25)</x:f>
        <x:v>136.00000000000003</x:v>
      </x:c>
      <x:c r="F27" s="65" t="n">
        <x:f>A27*0.20/(B27*0.20)</x:f>
        <x:v>200</x:v>
      </x:c>
      <x:c r="G27" s="65" t="n">
        <x:f>A27*0.17/(B27*0.08)</x:f>
        <x:v>425.00000000000006</x:v>
      </x:c>
      <x:c r="H27" s="109" t="n">
        <x:f>A27*0.12/(B27*0.04)</x:f>
        <x:v>600</x:v>
      </x:c>
    </x:row>
    <x:row r="28">
      <x:c r="A28" s="104" t="n">
        <x:v>5000000</x:v>
      </x:c>
      <x:c r="B28" s="60" t="n">
        <x:v>50000</x:v>
      </x:c>
      <x:c r="C28" s="66" t="n">
        <x:f>A28/B28</x:f>
        <x:v>100</x:v>
      </x:c>
      <x:c r="D28" s="66" t="n">
        <x:f>A28*0.14/(B28*0.30)</x:f>
        <x:v>46.66666666666667</x:v>
      </x:c>
      <x:c r="E28" s="66" t="n">
        <x:f>A28*0.17/(B28*0.25)</x:f>
        <x:v>68.00000000000001</x:v>
      </x:c>
      <x:c r="F28" s="66" t="n">
        <x:f>A28*0.20/(B28*0.20)</x:f>
        <x:v>100</x:v>
      </x:c>
      <x:c r="G28" s="66" t="n">
        <x:f>A28*0.17/(B28*0.08)</x:f>
        <x:v>212.50000000000003</x:v>
      </x:c>
      <x:c r="H28" s="110" t="n">
        <x:f>A28*0.12/(B28*0.04)</x:f>
        <x:v>300</x:v>
      </x:c>
    </x:row>
    <x:row r="30" ht="22" customHeight="1">
      <x:c r="A30" s="33" t="str">
        <x:v>Pool Allocation Sensitivity</x:v>
      </x:c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  <x:c r="M30" s="33"/>
      <x:c r="N30" s="33"/>
    </x:row>
    <x:row r="31">
      <x:c r="A31" s="14" t="str">
        <x:v>League</x:v>
      </x:c>
      <x:c r="B31" s="14" t="str">
        <x:v>Current Share</x:v>
      </x:c>
      <x:c r="C31" s="14" t="str">
        <x:v>Low Share</x:v>
      </x:c>
      <x:c r="D31" s="14" t="str">
        <x:v>High Share</x:v>
      </x:c>
      <x:c r="E31" s="14" t="str">
        <x:v>Current Avg @10k</x:v>
      </x:c>
      <x:c r="F31" s="14" t="str">
        <x:v>Low Avg</x:v>
      </x:c>
      <x:c r="G31" s="14" t="str">
        <x:v>High Avg</x:v>
      </x:c>
      <x:c r="H31" s="14" t="str">
        <x:v>Live-Ops Interpretation</x:v>
      </x:c>
    </x:row>
    <x:row r="32">
      <x:c r="A32" s="36" t="str">
        <x:v>Bronze</x:v>
      </x:c>
      <x:c r="B32" s="52" t="n">
        <x:v>0.14</x:v>
      </x:c>
      <x:c r="C32" s="52" t="n">
        <x:v>0.1</x:v>
      </x:c>
      <x:c r="D32" s="52" t="n">
        <x:v>0.18</x:v>
      </x:c>
      <x:c r="E32" s="64" t="n">
        <x:f>'01_Assumptions'!$B$4*B32/3000</x:f>
        <x:v>93.33333333333333</x:v>
      </x:c>
      <x:c r="F32" s="64" t="n">
        <x:f>'01_Assumptions'!$B$4*C32/3000</x:f>
        <x:v>66.66666666666667</x:v>
      </x:c>
      <x:c r="G32" s="64" t="n">
        <x:f>'01_Assumptions'!$B$4*D32/3000</x:f>
        <x:v>120</x:v>
      </x:c>
      <x:c r="H32" s="38" t="str">
        <x:v>Can shift modestly based on population without changing total emission</x:v>
      </x:c>
    </x:row>
    <x:row r="33">
      <x:c r="A33" s="39" t="str">
        <x:v>Silver</x:v>
      </x:c>
      <x:c r="B33" s="53" t="n">
        <x:v>0.17</x:v>
      </x:c>
      <x:c r="C33" s="53" t="n">
        <x:v>0.13</x:v>
      </x:c>
      <x:c r="D33" s="53" t="n">
        <x:v>0.2</x:v>
      </x:c>
      <x:c r="E33" s="65" t="n">
        <x:f>'01_Assumptions'!$B$4*B33/2500</x:f>
        <x:v>136</x:v>
      </x:c>
      <x:c r="F33" s="65" t="n">
        <x:f>'01_Assumptions'!$B$4*C33/2500</x:f>
        <x:v>104</x:v>
      </x:c>
      <x:c r="G33" s="65" t="n">
        <x:f>'01_Assumptions'!$B$4*D33/2500</x:f>
        <x:v>160</x:v>
      </x:c>
      <x:c r="H33" s="40" t="str"/>
    </x:row>
    <x:row r="34">
      <x:c r="A34" s="39" t="str">
        <x:v>Gold</x:v>
      </x:c>
      <x:c r="B34" s="53" t="n">
        <x:v>0.2</x:v>
      </x:c>
      <x:c r="C34" s="53" t="n">
        <x:v>0.16</x:v>
      </x:c>
      <x:c r="D34" s="53" t="n">
        <x:v>0.23</x:v>
      </x:c>
      <x:c r="E34" s="65" t="n">
        <x:f>'01_Assumptions'!$B$4*B34/2000</x:f>
        <x:v>200</x:v>
      </x:c>
      <x:c r="F34" s="65" t="n">
        <x:f>'01_Assumptions'!$B$4*C34/2000</x:f>
        <x:v>160</x:v>
      </x:c>
      <x:c r="G34" s="65" t="n">
        <x:f>'01_Assumptions'!$B$4*D34/2000</x:f>
        <x:v>230</x:v>
      </x:c>
      <x:c r="H34" s="40" t="str"/>
    </x:row>
    <x:row r="35">
      <x:c r="A35" s="39" t="str">
        <x:v>Platinum</x:v>
      </x:c>
      <x:c r="B35" s="53" t="n">
        <x:v>0.2</x:v>
      </x:c>
      <x:c r="C35" s="53" t="n">
        <x:v>0.16</x:v>
      </x:c>
      <x:c r="D35" s="53" t="n">
        <x:v>0.23</x:v>
      </x:c>
      <x:c r="E35" s="65" t="n">
        <x:f>'01_Assumptions'!$B$4*B35/1300</x:f>
        <x:v>307.6923076923077</x:v>
      </x:c>
      <x:c r="F35" s="65" t="n">
        <x:f>'01_Assumptions'!$B$4*C35/1300</x:f>
        <x:v>246.15384615384616</x:v>
      </x:c>
      <x:c r="G35" s="65" t="n">
        <x:f>'01_Assumptions'!$B$4*D35/1300</x:f>
        <x:v>353.84615384615387</x:v>
      </x:c>
      <x:c r="H35" s="40" t="str"/>
    </x:row>
    <x:row r="36">
      <x:c r="A36" s="39" t="str">
        <x:v>Diamond</x:v>
      </x:c>
      <x:c r="B36" s="53" t="n">
        <x:v>0.17</x:v>
      </x:c>
      <x:c r="C36" s="53" t="n">
        <x:v>0.13</x:v>
      </x:c>
      <x:c r="D36" s="53" t="n">
        <x:v>0.2</x:v>
      </x:c>
      <x:c r="E36" s="65" t="n">
        <x:f>'01_Assumptions'!$B$4*B36/800</x:f>
        <x:v>425</x:v>
      </x:c>
      <x:c r="F36" s="65" t="n">
        <x:f>'01_Assumptions'!$B$4*C36/800</x:f>
        <x:v>325</x:v>
      </x:c>
      <x:c r="G36" s="65" t="n">
        <x:f>'01_Assumptions'!$B$4*D36/800</x:f>
        <x:v>500</x:v>
      </x:c>
      <x:c r="H36" s="40" t="str"/>
    </x:row>
    <x:row r="37">
      <x:c r="A37" s="41" t="str">
        <x:v>Tycoon</x:v>
      </x:c>
      <x:c r="B37" s="54" t="n">
        <x:v>0.12</x:v>
      </x:c>
      <x:c r="C37" s="54" t="n">
        <x:v>0.08</x:v>
      </x:c>
      <x:c r="D37" s="54" t="n">
        <x:v>0.16</x:v>
      </x:c>
      <x:c r="E37" s="66" t="n">
        <x:f>'01_Assumptions'!$B$4*B37/400</x:f>
        <x:v>600</x:v>
      </x:c>
      <x:c r="F37" s="66" t="n">
        <x:f>'01_Assumptions'!$B$4*C37/400</x:f>
        <x:v>400</x:v>
      </x:c>
      <x:c r="G37" s="66" t="n">
        <x:f>'01_Assumptions'!$B$4*D37/400</x:f>
        <x:v>800</x:v>
      </x:c>
      <x:c r="H37" s="43" t="str">
        <x:v>Keep top league valuable but not winner-take-all</x:v>
      </x:c>
    </x:row>
  </x:sheetData>
  <x:mergeCells>
    <x:mergeCell ref="A1:N1"/>
    <x:mergeCell ref="A30:N30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 ht="28" customHeight="1">
      <x:c r="A1" s="122" t="str">
        <x:v>Season Rollover, Rating Compression &amp; Persistent Progress</x:v>
      </x:c>
      <x:c r="B1" s="122"/>
      <x:c r="C1" s="122"/>
      <x:c r="D1" s="122"/>
      <x:c r="E1" s="122"/>
      <x:c r="F1" s="122"/>
      <x:c r="G1" s="122"/>
      <x:c r="H1" s="122"/>
      <x:c r="I1" s="122"/>
      <x:c r="J1" s="122"/>
      <x:c r="K1" s="122"/>
      <x:c r="L1" s="122"/>
      <x:c r="M1" s="122"/>
      <x:c r="N1" s="122"/>
      <x:c r="O1" s="22"/>
      <x:c r="P1" s="22"/>
      <x:c r="Q1" s="22"/>
    </x:row>
    <x:row r="3">
      <x:c r="A3" s="14" t="str">
        <x:v>State</x:v>
      </x:c>
      <x:c r="B3" s="14" t="str">
        <x:v>Season End Action</x:v>
      </x:c>
      <x:c r="C3" s="14" t="str">
        <x:v>Carries Over?</x:v>
      </x:c>
      <x:c r="D3" s="14" t="str">
        <x:v>Reset Amount</x:v>
      </x:c>
      <x:c r="E3" s="14" t="str">
        <x:v>Why</x:v>
      </x:c>
      <x:c r="F3" s="14" t="str">
        <x:v>Competitive Effect</x:v>
      </x:c>
      <x:c r="G3" s="14" t="str">
        <x:v>Economic Effect</x:v>
      </x:c>
      <x:c r="H3" s="14" t="str">
        <x:v>Player-Facing Result</x:v>
      </x:c>
      <x:c r="I3" s="14" t="str">
        <x:v>New Season Week 1</x:v>
      </x:c>
      <x:c r="J3" s="14" t="str">
        <x:v>Can Be Lost?</x:v>
      </x:c>
      <x:c r="K3" s="14" t="str">
        <x:v>Onchain Impact</x:v>
      </x:c>
      <x:c r="L3" s="14" t="str">
        <x:v>Archive?</x:v>
      </x:c>
      <x:c r="M3" s="14" t="str">
        <x:v>MVP?</x:v>
      </x:c>
      <x:c r="N3" s="14" t="str">
        <x:v>Notes</x:v>
      </x:c>
    </x:row>
    <x:row r="4">
      <x:c r="A4" s="36" t="str">
        <x:v>Empire Level</x:v>
      </x:c>
      <x:c r="B4" s="37" t="str">
        <x:v>No reset</x:v>
      </x:c>
      <x:c r="C4" s="37" t="str">
        <x:v>Yes</x:v>
      </x:c>
      <x:c r="D4" s="37" t="str">
        <x:v>0</x:v>
      </x:c>
      <x:c r="E4" s="37" t="str">
        <x:v>Progression should remain durable</x:v>
      </x:c>
      <x:c r="F4" s="37" t="str">
        <x:v>None</x:v>
      </x:c>
      <x:c r="G4" s="37" t="str">
        <x:v>None</x:v>
      </x:c>
      <x:c r="H4" s="37" t="str">
        <x:v>Same empire maturity</x:v>
      </x:c>
      <x:c r="I4" s="37" t="str">
        <x:v>Normal</x:v>
      </x:c>
      <x:c r="J4" s="37" t="str">
        <x:v>No season reset</x:v>
      </x:c>
      <x:c r="K4" s="37" t="str">
        <x:v>None</x:v>
      </x:c>
      <x:c r="L4" s="37" t="str">
        <x:v>Yes</x:v>
      </x:c>
      <x:c r="M4" s="37" t="str">
        <x:v>Yes</x:v>
      </x:c>
      <x:c r="N4" s="38" t="str"/>
    </x:row>
    <x:row r="5">
      <x:c r="A5" s="39" t="str">
        <x:v>Buildings / upgrades</x:v>
      </x:c>
      <x:c r="B5" s="22" t="str">
        <x:v>No reset</x:v>
      </x:c>
      <x:c r="C5" s="22" t="str">
        <x:v>Yes</x:v>
      </x:c>
      <x:c r="D5" s="22" t="str">
        <x:v>0</x:v>
      </x:c>
      <x:c r="E5" s="22" t="str">
        <x:v>Core game progress is persistent</x:v>
      </x:c>
      <x:c r="F5" s="22" t="str">
        <x:v>None</x:v>
      </x:c>
      <x:c r="G5" s="22" t="str">
        <x:v>None</x:v>
      </x:c>
      <x:c r="H5" s="22" t="str">
        <x:v>Same board</x:v>
      </x:c>
      <x:c r="I5" s="22" t="str">
        <x:v>Normal</x:v>
      </x:c>
      <x:c r="J5" s="22" t="str">
        <x:v>No season reset</x:v>
      </x:c>
      <x:c r="K5" s="22" t="str">
        <x:v>None</x:v>
      </x:c>
      <x:c r="L5" s="22" t="str">
        <x:v>Yes</x:v>
      </x:c>
      <x:c r="M5" s="22" t="str">
        <x:v>Yes</x:v>
      </x:c>
      <x:c r="N5" s="40" t="str"/>
    </x:row>
    <x:row r="6">
      <x:c r="A6" s="39" t="str">
        <x:v>Plots / merges</x:v>
      </x:c>
      <x:c r="B6" s="22" t="str">
        <x:v>No reset</x:v>
      </x:c>
      <x:c r="C6" s="22" t="str">
        <x:v>Yes</x:v>
      </x:c>
      <x:c r="D6" s="22" t="str">
        <x:v>0</x:v>
      </x:c>
      <x:c r="E6" s="22" t="str">
        <x:v>Ownership/progression persists</x:v>
      </x:c>
      <x:c r="F6" s="22" t="str">
        <x:v>None</x:v>
      </x:c>
      <x:c r="G6" s="22" t="str">
        <x:v>None</x:v>
      </x:c>
      <x:c r="H6" s="22" t="str">
        <x:v>Same land</x:v>
      </x:c>
      <x:c r="I6" s="22" t="str">
        <x:v>Normal</x:v>
      </x:c>
      <x:c r="J6" s="22" t="str">
        <x:v>No season reset</x:v>
      </x:c>
      <x:c r="K6" s="22" t="str">
        <x:v>None</x:v>
      </x:c>
      <x:c r="L6" s="22" t="str">
        <x:v>Yes</x:v>
      </x:c>
      <x:c r="M6" s="22" t="str">
        <x:v>Yes</x:v>
      </x:c>
      <x:c r="N6" s="40" t="str"/>
    </x:row>
    <x:row r="7">
      <x:c r="A7" s="39" t="str">
        <x:v>Cash / customers</x:v>
      </x:c>
      <x:c r="B7" s="22" t="str">
        <x:v>No season reset</x:v>
      </x:c>
      <x:c r="C7" s="22" t="str">
        <x:v>Yes</x:v>
      </x:c>
      <x:c r="D7" s="22" t="str">
        <x:v>0</x:v>
      </x:c>
      <x:c r="E7" s="22" t="str">
        <x:v>Economy continues</x:v>
      </x:c>
      <x:c r="F7" s="22" t="str">
        <x:v>None</x:v>
      </x:c>
      <x:c r="G7" s="22" t="str">
        <x:v>None</x:v>
      </x:c>
      <x:c r="H7" s="22" t="str">
        <x:v>Same operating economy</x:v>
      </x:c>
      <x:c r="I7" s="22" t="str">
        <x:v>Normal</x:v>
      </x:c>
      <x:c r="J7" s="22" t="str">
        <x:v>Can change through gameplay</x:v>
      </x:c>
      <x:c r="K7" s="22" t="str">
        <x:v>None</x:v>
      </x:c>
      <x:c r="L7" s="22" t="str">
        <x:v>Checkpoint</x:v>
      </x:c>
      <x:c r="M7" s="22" t="str">
        <x:v>Yes</x:v>
      </x:c>
      <x:c r="N7" s="40" t="str"/>
    </x:row>
    <x:row r="8">
      <x:c r="A8" s="39" t="str">
        <x:v>Reputation / Risk</x:v>
      </x:c>
      <x:c r="B8" s="22" t="str">
        <x:v>No season reset</x:v>
      </x:c>
      <x:c r="C8" s="22" t="str">
        <x:v>Yes</x:v>
      </x:c>
      <x:c r="D8" s="22" t="str">
        <x:v>0</x:v>
      </x:c>
      <x:c r="E8" s="22" t="str">
        <x:v>Quality state should persist</x:v>
      </x:c>
      <x:c r="F8" s="22" t="str">
        <x:v>Affects new season normally</x:v>
      </x:c>
      <x:c r="G8" s="22" t="str">
        <x:v>None</x:v>
      </x:c>
      <x:c r="H8" s="22" t="str">
        <x:v>Same quality profile</x:v>
      </x:c>
      <x:c r="I8" s="22" t="str">
        <x:v>Normal</x:v>
      </x:c>
      <x:c r="J8" s="22" t="str">
        <x:v>Can change through gameplay</x:v>
      </x:c>
      <x:c r="K8" s="22" t="str">
        <x:v>None</x:v>
      </x:c>
      <x:c r="L8" s="22" t="str">
        <x:v>Checkpoint</x:v>
      </x:c>
      <x:c r="M8" s="22" t="str">
        <x:v>Yes</x:v>
      </x:c>
      <x:c r="N8" s="40" t="str"/>
    </x:row>
    <x:row r="9">
      <x:c r="A9" s="39" t="str">
        <x:v>Competitive Rating</x:v>
      </x:c>
      <x:c r="B9" s="22" t="str">
        <x:v>Soft compression</x:v>
      </x:c>
      <x:c r="C9" s="22" t="str">
        <x:v>Yes</x:v>
      </x:c>
      <x:c r="D9" s="22" t="str">
        <x:v>10% toward 1200</x:v>
      </x:c>
      <x:c r="E9" s="22" t="str">
        <x:v>Reduce ladder stagnation without erasing skill</x:v>
      </x:c>
      <x:c r="F9" s="22" t="str">
        <x:v>Slightly pulls extremes toward center</x:v>
      </x:c>
      <x:c r="G9" s="22" t="str">
        <x:v>None</x:v>
      </x:c>
      <x:c r="H9" s="22" t="str">
        <x:v>League usually retained or moves at most near boundary</x:v>
      </x:c>
      <x:c r="I9" s="22" t="str">
        <x:v>Starts compressed</x:v>
      </x:c>
      <x:c r="J9" s="22" t="str">
        <x:v>Yes via competition</x:v>
      </x:c>
      <x:c r="K9" s="22" t="str">
        <x:v>None</x:v>
      </x:c>
      <x:c r="L9" s="22" t="str">
        <x:v>Yes</x:v>
      </x:c>
      <x:c r="M9" s="22" t="str">
        <x:v>Yes</x:v>
      </x:c>
      <x:c r="N9" s="40" t="str"/>
    </x:row>
    <x:row r="10">
      <x:c r="A10" s="39" t="str">
        <x:v>Season Points</x:v>
      </x:c>
      <x:c r="B10" s="22" t="str">
        <x:v>Reset to 0</x:v>
      </x:c>
      <x:c r="C10" s="22" t="str">
        <x:v>No</x:v>
      </x:c>
      <x:c r="D10" s="22" t="str">
        <x:v>100%</x:v>
      </x:c>
      <x:c r="E10" s="22" t="str">
        <x:v>New seasonal race</x:v>
      </x:c>
      <x:c r="F10" s="22" t="str">
        <x:v>Full reset</x:v>
      </x:c>
      <x:c r="G10" s="22" t="str">
        <x:v>None</x:v>
      </x:c>
      <x:c r="H10" s="22" t="str">
        <x:v>Season history archived</x:v>
      </x:c>
      <x:c r="I10" s="22" t="str">
        <x:v>0 points</x:v>
      </x:c>
      <x:c r="J10" s="22" t="str">
        <x:v>Yes by design</x:v>
      </x:c>
      <x:c r="K10" s="22" t="str">
        <x:v>None</x:v>
      </x:c>
      <x:c r="L10" s="22" t="str">
        <x:v>Yes</x:v>
      </x:c>
      <x:c r="M10" s="22" t="str">
        <x:v>Yes</x:v>
      </x:c>
      <x:c r="N10" s="40" t="str"/>
    </x:row>
    <x:row r="11">
      <x:c r="A11" s="39" t="str">
        <x:v>Weekly payout state</x:v>
      </x:c>
      <x:c r="B11" s="22" t="str">
        <x:v>New epoch</x:v>
      </x:c>
      <x:c r="C11" s="22" t="str">
        <x:v>No</x:v>
      </x:c>
      <x:c r="D11" s="22" t="str">
        <x:v>100%</x:v>
      </x:c>
      <x:c r="E11" s="22" t="str">
        <x:v>Weekly pool is independent</x:v>
      </x:c>
      <x:c r="F11" s="22" t="str">
        <x:v>New league payout week</x:v>
      </x:c>
      <x:c r="G11" s="22" t="str">
        <x:v>New fixed pool</x:v>
      </x:c>
      <x:c r="H11" s="22" t="str">
        <x:v>Fresh week</x:v>
      </x:c>
      <x:c r="I11" s="22" t="str">
        <x:v>Open</x:v>
      </x:c>
      <x:c r="J11" s="22" t="str">
        <x:v>Yes by epoch</x:v>
      </x:c>
      <x:c r="K11" s="22" t="str">
        <x:v>$PLOT claim history remains</x:v>
      </x:c>
      <x:c r="L11" s="22" t="str">
        <x:v>Yes</x:v>
      </x:c>
      <x:c r="M11" s="22" t="str">
        <x:v>Yes</x:v>
      </x:c>
      <x:c r="N11" s="40" t="str"/>
    </x:row>
    <x:row r="12">
      <x:c r="A12" s="39" t="str">
        <x:v>Season cosmetics/titles</x:v>
      </x:c>
      <x:c r="B12" s="22" t="str">
        <x:v>Grant + retain</x:v>
      </x:c>
      <x:c r="C12" s="22" t="str">
        <x:v>Yes</x:v>
      </x:c>
      <x:c r="D12" s="22" t="str">
        <x:v>0</x:v>
      </x:c>
      <x:c r="E12" s="22" t="str">
        <x:v>Prestige should be durable</x:v>
      </x:c>
      <x:c r="F12" s="22" t="str">
        <x:v>None</x:v>
      </x:c>
      <x:c r="G12" s="22" t="str">
        <x:v>None</x:v>
      </x:c>
      <x:c r="H12" s="22" t="str">
        <x:v>Permanent collection / history</x:v>
      </x:c>
      <x:c r="I12" s="22" t="str">
        <x:v>Visible</x:v>
      </x:c>
      <x:c r="J12" s="22" t="str">
        <x:v>No</x:v>
      </x:c>
      <x:c r="K12" s="22" t="str">
        <x:v>Optional tokenization later</x:v>
      </x:c>
      <x:c r="L12" s="22" t="str">
        <x:v>Yes</x:v>
      </x:c>
      <x:c r="M12" s="22" t="str">
        <x:v>Yes</x:v>
      </x:c>
      <x:c r="N12" s="40" t="str"/>
    </x:row>
    <x:row r="13">
      <x:c r="A13" s="41" t="str">
        <x:v>Hall of Fame records</x:v>
      </x:c>
      <x:c r="B13" s="42" t="str">
        <x:v>Append</x:v>
      </x:c>
      <x:c r="C13" s="42" t="str">
        <x:v>Yes</x:v>
      </x:c>
      <x:c r="D13" s="42" t="str">
        <x:v>0</x:v>
      </x:c>
      <x:c r="E13" s="42" t="str">
        <x:v>Permanent competitive history</x:v>
      </x:c>
      <x:c r="F13" s="42" t="str">
        <x:v>Prestige</x:v>
      </x:c>
      <x:c r="G13" s="42" t="str">
        <x:v>None</x:v>
      </x:c>
      <x:c r="H13" s="42" t="str">
        <x:v>Historic record</x:v>
      </x:c>
      <x:c r="I13" s="42" t="str">
        <x:v>Visible</x:v>
      </x:c>
      <x:c r="J13" s="42" t="str">
        <x:v>No</x:v>
      </x:c>
      <x:c r="K13" s="42" t="str">
        <x:v>Optional proof later</x:v>
      </x:c>
      <x:c r="L13" s="42" t="str">
        <x:v>Yes</x:v>
      </x:c>
      <x:c r="M13" s="42" t="str">
        <x:v>Yes</x:v>
      </x:c>
      <x:c r="N13" s="43" t="str"/>
    </x:row>
    <x:row r="15" ht="22" customHeight="1">
      <x:c r="A15" s="33" t="str">
        <x:v>Rating Compression Examples</x:v>
      </x:c>
      <x:c r="B15" s="33"/>
      <x:c r="C15" s="33"/>
      <x:c r="D15" s="33"/>
      <x:c r="E15" s="33"/>
      <x:c r="F15" s="33"/>
      <x:c r="G15" s="33"/>
      <x:c r="H15" s="33"/>
      <x:c r="I15" s="33"/>
      <x:c r="J15" s="33"/>
      <x:c r="K15" s="33"/>
      <x:c r="L15" s="33"/>
      <x:c r="M15" s="33"/>
      <x:c r="N15" s="33"/>
    </x:row>
    <x:row r="16">
      <x:c r="A16" s="14" t="str">
        <x:v>Old Rating</x:v>
      </x:c>
      <x:c r="B16" s="14" t="str">
        <x:v>Compression %</x:v>
      </x:c>
      <x:c r="C16" s="14" t="str">
        <x:v>Anchor</x:v>
      </x:c>
      <x:c r="D16" s="14" t="str">
        <x:v>New Rating</x:v>
      </x:c>
      <x:c r="E16" s="14" t="str">
        <x:v>Old League</x:v>
      </x:c>
      <x:c r="F16" s="14" t="str">
        <x:v>New League</x:v>
      </x:c>
      <x:c r="G16" s="14" t="str">
        <x:v>Interpretation</x:v>
      </x:c>
    </x:row>
    <x:row r="17">
      <x:c r="A17" s="114" t="n">
        <x:v>700</x:v>
      </x:c>
      <x:c r="B17" s="52" t="n">
        <x:v>0.1</x:v>
      </x:c>
      <x:c r="C17" s="58" t="n">
        <x:v>1200</x:v>
      </x:c>
      <x:c r="D17" s="58" t="n">
        <x:f>A17+(C17-A17)*B17</x:f>
        <x:v>750</x:v>
      </x:c>
      <x:c r="E17" s="37" t="str">
        <x:v>Bronze</x:v>
      </x:c>
      <x:c r="F17" s="37" t="str">
        <x:f>IF(D17&lt;900,"Bronze",IF(D17&lt;1100,"Silver",IF(D17&lt;1300,"Gold",IF(D17&lt;1500,"Platinum",IF(D17&lt;1700,"Diamond","Tycoon")))))</x:f>
        <x:v>Bronze</x:v>
      </x:c>
      <x:c r="G17" s="38" t="str">
        <x:v>Low ratings move slightly toward competitive center</x:v>
      </x:c>
    </x:row>
    <x:row r="18">
      <x:c r="A18" s="115" t="n">
        <x:v>950</x:v>
      </x:c>
      <x:c r="B18" s="53" t="n">
        <x:v>0.1</x:v>
      </x:c>
      <x:c r="C18" s="59" t="n">
        <x:v>1200</x:v>
      </x:c>
      <x:c r="D18" s="59" t="n">
        <x:f>A18+(C18-A18)*B18</x:f>
        <x:v>975</x:v>
      </x:c>
      <x:c r="E18" s="22" t="str">
        <x:v>Silver</x:v>
      </x:c>
      <x:c r="F18" s="22" t="str">
        <x:f>IF(D18&lt;900,"Bronze",IF(D18&lt;1100,"Silver",IF(D18&lt;1300,"Gold",IF(D18&lt;1500,"Platinum",IF(D18&lt;1700,"Diamond","Tycoon")))))</x:f>
        <x:v>Silver</x:v>
      </x:c>
      <x:c r="G18" s="40" t="str">
        <x:v>Minor change</x:v>
      </x:c>
    </x:row>
    <x:row r="19">
      <x:c r="A19" s="115" t="n">
        <x:v>1200</x:v>
      </x:c>
      <x:c r="B19" s="53" t="n">
        <x:v>0.1</x:v>
      </x:c>
      <x:c r="C19" s="59" t="n">
        <x:v>1200</x:v>
      </x:c>
      <x:c r="D19" s="59" t="n">
        <x:f>A19+(C19-A19)*B19</x:f>
        <x:v>1200</x:v>
      </x:c>
      <x:c r="E19" s="22" t="str">
        <x:v>Gold</x:v>
      </x:c>
      <x:c r="F19" s="22" t="str">
        <x:f>IF(D19&lt;900,"Bronze",IF(D19&lt;1100,"Silver",IF(D19&lt;1300,"Gold",IF(D19&lt;1500,"Platinum",IF(D19&lt;1700,"Diamond","Tycoon")))))</x:f>
        <x:v>Gold</x:v>
      </x:c>
      <x:c r="G19" s="40" t="str">
        <x:v>No change at anchor</x:v>
      </x:c>
    </x:row>
    <x:row r="20">
      <x:c r="A20" s="115" t="n">
        <x:v>1450</x:v>
      </x:c>
      <x:c r="B20" s="53" t="n">
        <x:v>0.1</x:v>
      </x:c>
      <x:c r="C20" s="59" t="n">
        <x:v>1200</x:v>
      </x:c>
      <x:c r="D20" s="59" t="n">
        <x:f>A20+(C20-A20)*B20</x:f>
        <x:v>1425</x:v>
      </x:c>
      <x:c r="E20" s="22" t="str">
        <x:v>Platinum</x:v>
      </x:c>
      <x:c r="F20" s="22" t="str">
        <x:f>IF(D20&lt;900,"Bronze",IF(D20&lt;1100,"Silver",IF(D20&lt;1300,"Gold",IF(D20&lt;1500,"Platinum",IF(D20&lt;1700,"Diamond","Tycoon")))))</x:f>
        <x:v>Platinum</x:v>
      </x:c>
      <x:c r="G20" s="40" t="str">
        <x:v>Small compression</x:v>
      </x:c>
    </x:row>
    <x:row r="21">
      <x:c r="A21" s="115" t="n">
        <x:v>1650</x:v>
      </x:c>
      <x:c r="B21" s="53" t="n">
        <x:v>0.1</x:v>
      </x:c>
      <x:c r="C21" s="59" t="n">
        <x:v>1200</x:v>
      </x:c>
      <x:c r="D21" s="59" t="n">
        <x:f>A21+(C21-A21)*B21</x:f>
        <x:v>1605</x:v>
      </x:c>
      <x:c r="E21" s="22" t="str">
        <x:v>Diamond</x:v>
      </x:c>
      <x:c r="F21" s="22" t="str">
        <x:f>IF(D21&lt;900,"Bronze",IF(D21&lt;1100,"Silver",IF(D21&lt;1300,"Gold",IF(D21&lt;1500,"Platinum",IF(D21&lt;1700,"Diamond","Tycoon")))))</x:f>
        <x:v>Diamond</x:v>
      </x:c>
      <x:c r="G21" s="40" t="str">
        <x:v>Small compression</x:v>
      </x:c>
    </x:row>
    <x:row r="22">
      <x:c r="A22" s="116" t="n">
        <x:v>1900</x:v>
      </x:c>
      <x:c r="B22" s="54" t="n">
        <x:v>0.1</x:v>
      </x:c>
      <x:c r="C22" s="60" t="n">
        <x:v>1200</x:v>
      </x:c>
      <x:c r="D22" s="60" t="n">
        <x:f>A22+(C22-A22)*B22</x:f>
        <x:v>1830</x:v>
      </x:c>
      <x:c r="E22" s="42" t="str">
        <x:v>Tycoon</x:v>
      </x:c>
      <x:c r="F22" s="42" t="str">
        <x:f>IF(D22&lt;900,"Bronze",IF(D22&lt;1100,"Silver",IF(D22&lt;1300,"Gold",IF(D22&lt;1500,"Platinum",IF(D22&lt;1700,"Diamond","Tycoon")))))</x:f>
        <x:v>Tycoon</x:v>
      </x:c>
      <x:c r="G22" s="43" t="str">
        <x:v>Top rating remains high but gap narrows</x:v>
      </x:c>
    </x:row>
  </x:sheetData>
  <x:mergeCells>
    <x:mergeCell ref="A1:N1"/>
    <x:mergeCell ref="A15:N15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 ht="28" customHeight="1">
      <x:c r="A1" s="122" t="str">
        <x:v>Competitive Live-Ops Controls</x:v>
      </x:c>
      <x:c r="B1" s="122"/>
      <x:c r="C1" s="122"/>
      <x:c r="D1" s="122"/>
      <x:c r="E1" s="122"/>
      <x:c r="F1" s="122"/>
      <x:c r="G1" s="122"/>
      <x:c r="H1" s="122"/>
      <x:c r="I1" s="122"/>
      <x:c r="J1" s="122"/>
      <x:c r="K1" s="122"/>
      <x:c r="L1" s="122"/>
      <x:c r="M1" s="22"/>
      <x:c r="N1" s="22"/>
      <x:c r="O1" s="22"/>
      <x:c r="P1" s="22"/>
      <x:c r="Q1" s="22"/>
    </x:row>
    <x:row r="3">
      <x:c r="A3" s="14" t="str">
        <x:v>Control</x:v>
      </x:c>
      <x:c r="B3" s="14" t="str">
        <x:v>Default</x:v>
      </x:c>
      <x:c r="C3" s="14" t="str">
        <x:v>Review Frequency</x:v>
      </x:c>
      <x:c r="D3" s="14" t="str">
        <x:v>Primary Metric</x:v>
      </x:c>
      <x:c r="E3" s="14" t="str">
        <x:v>Increase When</x:v>
      </x:c>
      <x:c r="F3" s="14" t="str">
        <x:v>Decrease When</x:v>
      </x:c>
      <x:c r="G3" s="14" t="str">
        <x:v>Safe Change</x:v>
      </x:c>
      <x:c r="H3" s="14" t="str">
        <x:v>Owner</x:v>
      </x:c>
      <x:c r="I3" s="14" t="str">
        <x:v>Alert Threshold</x:v>
      </x:c>
      <x:c r="J3" s="14" t="str">
        <x:v>Player Impact</x:v>
      </x:c>
      <x:c r="K3" s="14" t="str">
        <x:v>Competitive Risk</x:v>
      </x:c>
      <x:c r="L3" s="14" t="str">
        <x:v>Notes</x:v>
      </x:c>
    </x:row>
    <x:row r="4">
      <x:c r="A4" s="36" t="str">
        <x:v>Weekly PLOT pool</x:v>
      </x:c>
      <x:c r="B4" s="37" t="str">
        <x:v>2,000,000</x:v>
      </x:c>
      <x:c r="C4" s="37" t="str">
        <x:v>Tokenomics governance / treasury</x:v>
      </x:c>
      <x:c r="D4" s="37" t="str">
        <x:v>Treasury runway</x:v>
      </x:c>
      <x:c r="E4" s="37" t="str">
        <x:v>Treasury supports more rewards</x:v>
      </x:c>
      <x:c r="F4" s="37" t="str">
        <x:v>Runway tight</x:v>
      </x:c>
      <x:c r="G4" s="37" t="str">
        <x:v>Explicit fixed change only</x:v>
      </x:c>
      <x:c r="H4" s="37" t="str">
        <x:v>Economy/Treasury</x:v>
      </x:c>
      <x:c r="I4" s="37" t="str">
        <x:v>Runway below target</x:v>
      </x:c>
      <x:c r="J4" s="37" t="str">
        <x:v>High</x:v>
      </x:c>
      <x:c r="K4" s="37" t="str">
        <x:v>Critical</x:v>
      </x:c>
      <x:c r="L4" s="38" t="str">
        <x:v>Never auto-scale with players</x:v>
      </x:c>
    </x:row>
    <x:row r="5">
      <x:c r="A5" s="39" t="str">
        <x:v>League pool shares</x:v>
      </x:c>
      <x:c r="B5" s="22" t="str">
        <x:v>14/17/20/20/17/12%</x:v>
      </x:c>
      <x:c r="C5" s="22" t="str">
        <x:v>Monthly</x:v>
      </x:c>
      <x:c r="D5" s="22" t="str">
        <x:v>Payout/player by league</x:v>
      </x:c>
      <x:c r="E5" s="22" t="str">
        <x:v>Higher league reward too weak</x:v>
      </x:c>
      <x:c r="F5" s="22" t="str">
        <x:v>Lower leagues unrewarding</x:v>
      </x:c>
      <x:c r="G5" s="22" t="str">
        <x:v>+/-2 pts/league with total 100%</x:v>
      </x:c>
      <x:c r="H5" s="22" t="str">
        <x:v>Economy</x:v>
      </x:c>
      <x:c r="I5" s="22" t="str">
        <x:v>Migration driven by payout not skill</x:v>
      </x:c>
      <x:c r="J5" s="22" t="str">
        <x:v>High</x:v>
      </x:c>
      <x:c r="K5" s="22" t="str">
        <x:v>Critical</x:v>
      </x:c>
      <x:c r="L5" s="40" t="str"/>
    </x:row>
    <x:row r="6">
      <x:c r="A6" s="39" t="str">
        <x:v>Rating K factor</x:v>
      </x:c>
      <x:c r="B6" s="22" t="str">
        <x:v>24</x:v>
      </x:c>
      <x:c r="C6" s="22" t="str">
        <x:v>Monthly</x:v>
      </x:c>
      <x:c r="D6" s="22" t="str">
        <x:v>League movement speed</x:v>
      </x:c>
      <x:c r="E6" s="22" t="str">
        <x:v>Ladder stagnant</x:v>
      </x:c>
      <x:c r="F6" s="22" t="str">
        <x:v>Players churn from volatility</x:v>
      </x:c>
      <x:c r="G6" s="22" t="str">
        <x:v>+/-4</x:v>
      </x:c>
      <x:c r="H6" s="22" t="str">
        <x:v>Game Design</x:v>
      </x:c>
      <x:c r="I6" s="22" t="str">
        <x:v>Median league tenure extreme</x:v>
      </x:c>
      <x:c r="J6" s="22" t="str">
        <x:v>High</x:v>
      </x:c>
      <x:c r="K6" s="22" t="str">
        <x:v>High</x:v>
      </x:c>
      <x:c r="L6" s="40" t="str"/>
    </x:row>
    <x:row r="7">
      <x:c r="A7" s="39" t="str">
        <x:v>Max weekly gain</x:v>
      </x:c>
      <x:c r="B7" s="22" t="str">
        <x:v>75</x:v>
      </x:c>
      <x:c r="C7" s="22" t="str">
        <x:v>Monthly</x:v>
      </x:c>
      <x:c r="D7" s="22" t="str">
        <x:v>Promotion pace</x:v>
      </x:c>
      <x:c r="E7" s="22" t="str">
        <x:v>Strong players trapped</x:v>
      </x:c>
      <x:c r="F7" s="22" t="str">
        <x:v>Players jump too quickly</x:v>
      </x:c>
      <x:c r="G7" s="22" t="str">
        <x:v>+/-10</x:v>
      </x:c>
      <x:c r="H7" s="22" t="str">
        <x:v>Game Design</x:v>
      </x:c>
      <x:c r="I7" s="22" t="str">
        <x:v>Multi-week promotion queue too long/short</x:v>
      </x:c>
      <x:c r="J7" s="22" t="str">
        <x:v>Medium</x:v>
      </x:c>
      <x:c r="K7" s="22" t="str">
        <x:v>Medium</x:v>
      </x:c>
      <x:c r="L7" s="40" t="str"/>
    </x:row>
    <x:row r="8">
      <x:c r="A8" s="39" t="str">
        <x:v>Max weekly loss</x:v>
      </x:c>
      <x:c r="B8" s="22" t="str">
        <x:v>60</x:v>
      </x:c>
      <x:c r="C8" s="22" t="str">
        <x:v>Monthly</x:v>
      </x:c>
      <x:c r="D8" s="22" t="str">
        <x:v>Relegation/churn</x:v>
      </x:c>
      <x:c r="E8" s="22" t="str">
        <x:v>Weak players never move</x:v>
      </x:c>
      <x:c r="F8" s="22" t="str">
        <x:v>One bad week too punishing</x:v>
      </x:c>
      <x:c r="G8" s="22" t="str">
        <x:v>+/-10</x:v>
      </x:c>
      <x:c r="H8" s="22" t="str">
        <x:v>Game Design</x:v>
      </x:c>
      <x:c r="I8" s="22" t="str">
        <x:v>Relegation churn spike</x:v>
      </x:c>
      <x:c r="J8" s="22" t="str">
        <x:v>Medium</x:v>
      </x:c>
      <x:c r="K8" s="22" t="str">
        <x:v>Medium</x:v>
      </x:c>
      <x:c r="L8" s="40" t="str"/>
    </x:row>
    <x:row r="9">
      <x:c r="A9" s="39" t="str">
        <x:v>Top-decile bonus</x:v>
      </x:c>
      <x:c r="B9" s="22" t="str">
        <x:v>20</x:v>
      </x:c>
      <x:c r="C9" s="22" t="str">
        <x:v>Monthly</x:v>
      </x:c>
      <x:c r="D9" s="22" t="str">
        <x:v>Top player movement</x:v>
      </x:c>
      <x:c r="E9" s="22" t="str">
        <x:v>Top performers stagnate</x:v>
      </x:c>
      <x:c r="F9" s="22" t="str">
        <x:v>League churn too high</x:v>
      </x:c>
      <x:c r="G9" s="22" t="str">
        <x:v>+/-5</x:v>
      </x:c>
      <x:c r="H9" s="22" t="str">
        <x:v>Game Design</x:v>
      </x:c>
      <x:c r="I9" s="22" t="str">
        <x:v>Top 10% promotion delay</x:v>
      </x:c>
      <x:c r="J9" s="22" t="str">
        <x:v>Medium</x:v>
      </x:c>
      <x:c r="K9" s="22" t="str">
        <x:v>Medium</x:v>
      </x:c>
      <x:c r="L9" s="40" t="str"/>
    </x:row>
    <x:row r="10">
      <x:c r="A10" s="39" t="str">
        <x:v>Season length</x:v>
      </x:c>
      <x:c r="B10" s="22" t="str">
        <x:v>8 weeks</x:v>
      </x:c>
      <x:c r="C10" s="22" t="str">
        <x:v>Seasonal</x:v>
      </x:c>
      <x:c r="D10" s="22" t="str">
        <x:v>Retention / fatigue</x:v>
      </x:c>
      <x:c r="E10" s="22" t="str">
        <x:v>Players want longer arc</x:v>
      </x:c>
      <x:c r="F10" s="22" t="str">
        <x:v>Season fatigue rises</x:v>
      </x:c>
      <x:c r="G10" s="22" t="str">
        <x:v>6–12 weeks only between seasons</x:v>
      </x:c>
      <x:c r="H10" s="22" t="str">
        <x:v>Live Ops</x:v>
      </x:c>
      <x:c r="I10" s="22" t="str">
        <x:v>Late-season engagement drop</x:v>
      </x:c>
      <x:c r="J10" s="22" t="str">
        <x:v>High</x:v>
      </x:c>
      <x:c r="K10" s="22" t="str">
        <x:v>Low</x:v>
      </x:c>
      <x:c r="L10" s="40" t="str"/>
    </x:row>
    <x:row r="11">
      <x:c r="A11" s="39" t="str">
        <x:v>Rating compression</x:v>
      </x:c>
      <x:c r="B11" s="22" t="str">
        <x:v>10%</x:v>
      </x:c>
      <x:c r="C11" s="22" t="str">
        <x:v>Seasonal</x:v>
      </x:c>
      <x:c r="D11" s="22" t="str">
        <x:v>Post-reset league distribution</x:v>
      </x:c>
      <x:c r="E11" s="22" t="str">
        <x:v>Top ladder ossifies</x:v>
      </x:c>
      <x:c r="F11" s="22" t="str">
        <x:v>Players feel reset too hard</x:v>
      </x:c>
      <x:c r="G11" s="22" t="str">
        <x:v>+/-5 pts</x:v>
      </x:c>
      <x:c r="H11" s="22" t="str">
        <x:v>Game Design</x:v>
      </x:c>
      <x:c r="I11" s="22" t="str">
        <x:v>Season rollover churn</x:v>
      </x:c>
      <x:c r="J11" s="22" t="str">
        <x:v>High</x:v>
      </x:c>
      <x:c r="K11" s="22" t="str">
        <x:v>High</x:v>
      </x:c>
      <x:c r="L11" s="40" t="str"/>
    </x:row>
    <x:row r="12">
      <x:c r="A12" s="39" t="str">
        <x:v>Min active days</x:v>
      </x:c>
      <x:c r="B12" s="22" t="str">
        <x:v>3 / 4</x:v>
      </x:c>
      <x:c r="C12" s="22" t="str">
        <x:v>Monthly</x:v>
      </x:c>
      <x:c r="D12" s="22" t="str">
        <x:v>Eligibility quality</x:v>
      </x:c>
      <x:c r="E12" s="22" t="str">
        <x:v>Low-effort farming</x:v>
      </x:c>
      <x:c r="F12" s="22" t="str">
        <x:v>Too many legitimate players excluded</x:v>
      </x:c>
      <x:c r="G12" s="22" t="str">
        <x:v>+/-1 day</x:v>
      </x:c>
      <x:c r="H12" s="22" t="str">
        <x:v>Game Design</x:v>
      </x:c>
      <x:c r="I12" s="22" t="str">
        <x:v>Eligibility &lt;60% or abuse rises</x:v>
      </x:c>
      <x:c r="J12" s="22" t="str">
        <x:v>High</x:v>
      </x:c>
      <x:c r="K12" s="22" t="str">
        <x:v>High</x:v>
      </x:c>
      <x:c r="L12" s="40" t="str"/>
    </x:row>
    <x:row r="13">
      <x:c r="A13" s="39" t="str">
        <x:v>Payout exponent</x:v>
      </x:c>
      <x:c r="B13" s="22" t="str">
        <x:v>0.85</x:v>
      </x:c>
      <x:c r="C13" s="22" t="str">
        <x:v>Seasonal</x:v>
      </x:c>
      <x:c r="D13" s="22" t="str">
        <x:v>Reward concentration</x:v>
      </x:c>
      <x:c r="E13" s="22" t="str">
        <x:v>Top performance under-rewarded</x:v>
      </x:c>
      <x:c r="F13" s="22" t="str">
        <x:v>Whale/top concentration rises</x:v>
      </x:c>
      <x:c r="G13" s="22" t="str">
        <x:v>+/-0.05</x:v>
      </x:c>
      <x:c r="H13" s="22" t="str">
        <x:v>Economy</x:v>
      </x:c>
      <x:c r="I13" s="22" t="str">
        <x:v>Gini/concentration outside target</x:v>
      </x:c>
      <x:c r="J13" s="22" t="str">
        <x:v>High</x:v>
      </x:c>
      <x:c r="K13" s="22" t="str">
        <x:v>Critical</x:v>
      </x:c>
      <x:c r="L13" s="40" t="str"/>
    </x:row>
    <x:row r="14">
      <x:c r="A14" s="39" t="str">
        <x:v>Player pool share cap</x:v>
      </x:c>
      <x:c r="B14" s="22" t="str">
        <x:v>1.5%</x:v>
      </x:c>
      <x:c r="C14" s="22" t="str">
        <x:v>Seasonal</x:v>
      </x:c>
      <x:c r="D14" s="22" t="str">
        <x:v>Top payout concentration</x:v>
      </x:c>
      <x:c r="E14" s="22" t="str">
        <x:v>Single users take too much</x:v>
      </x:c>
      <x:c r="F14" s="22" t="str">
        <x:v>Cap suppresses legitimate reward</x:v>
      </x:c>
      <x:c r="G14" s="22" t="str">
        <x:v>+/-0.25 pt</x:v>
      </x:c>
      <x:c r="H14" s="22" t="str">
        <x:v>Economy</x:v>
      </x:c>
      <x:c r="I14" s="22" t="str">
        <x:v>Top 1 payout share</x:v>
      </x:c>
      <x:c r="J14" s="22" t="str">
        <x:v>Medium</x:v>
      </x:c>
      <x:c r="K14" s="22" t="str">
        <x:v>High</x:v>
      </x:c>
      <x:c r="L14" s="40" t="str"/>
    </x:row>
    <x:row r="15">
      <x:c r="A15" s="41" t="str">
        <x:v>Inactivity decay</x:v>
      </x:c>
      <x:c r="B15" s="42" t="str">
        <x:v>40/week</x:v>
      </x:c>
      <x:c r="C15" s="42" t="str">
        <x:v>Monthly</x:v>
      </x:c>
      <x:c r="D15" s="42" t="str">
        <x:v>Inactive league occupancy</x:v>
      </x:c>
      <x:c r="E15" s="42" t="str">
        <x:v>Dead accounts clog leagues</x:v>
      </x:c>
      <x:c r="F15" s="42" t="str">
        <x:v>Returning players punished</x:v>
      </x:c>
      <x:c r="G15" s="42" t="str">
        <x:v>+/-10</x:v>
      </x:c>
      <x:c r="H15" s="42" t="str">
        <x:v>Game Design</x:v>
      </x:c>
      <x:c r="I15" s="42" t="str">
        <x:v>Inactive share &gt;15%</x:v>
      </x:c>
      <x:c r="J15" s="42" t="str">
        <x:v>Medium</x:v>
      </x:c>
      <x:c r="K15" s="42" t="str">
        <x:v>Low</x:v>
      </x:c>
      <x:c r="L15" s="43" t="str"/>
    </x:row>
  </x:sheetData>
  <x:mergeCells>
    <x:mergeCell ref="A1:L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 ht="28" customHeight="1">
      <x:c r="A1" s="122" t="str">
        <x:v>Backend League, Rating, Settlement &amp; Season Rules</x:v>
      </x:c>
      <x:c r="B1" s="122"/>
      <x:c r="C1" s="122"/>
      <x:c r="D1" s="122"/>
      <x:c r="E1" s="122"/>
      <x:c r="F1" s="122"/>
      <x:c r="G1" s="122"/>
      <x:c r="H1" s="122"/>
      <x:c r="I1" s="122"/>
      <x:c r="J1" s="122"/>
      <x:c r="K1" s="122"/>
      <x:c r="L1" s="122"/>
      <x:c r="M1" s="122"/>
      <x:c r="N1" s="22"/>
      <x:c r="O1" s="22"/>
      <x:c r="P1" s="22"/>
      <x:c r="Q1" s="22"/>
    </x:row>
    <x:row r="3">
      <x:c r="A3" s="14" t="str">
        <x:v>System</x:v>
      </x:c>
      <x:c r="B3" s="14" t="str">
        <x:v>Source of Truth</x:v>
      </x:c>
      <x:c r="C3" s="14" t="str">
        <x:v>Cadence</x:v>
      </x:c>
      <x:c r="D3" s="14" t="str">
        <x:v>Inputs</x:v>
      </x:c>
      <x:c r="E3" s="14" t="str">
        <x:v>Outputs</x:v>
      </x:c>
      <x:c r="F3" s="14" t="str">
        <x:v>Client Can Submit</x:v>
      </x:c>
      <x:c r="G3" s="14" t="str">
        <x:v>Client Cannot Assert</x:v>
      </x:c>
      <x:c r="H3" s="14" t="str">
        <x:v>Lock / Idempotency</x:v>
      </x:c>
      <x:c r="I3" s="14" t="str">
        <x:v>Recompute Strategy</x:v>
      </x:c>
      <x:c r="J3" s="14" t="str">
        <x:v>Exploit Risk</x:v>
      </x:c>
      <x:c r="K3" s="14" t="str">
        <x:v>Priority</x:v>
      </x:c>
      <x:c r="L3" s="14" t="str">
        <x:v>Audit Field</x:v>
      </x:c>
      <x:c r="M3" s="14" t="str">
        <x:v>Notes</x:v>
      </x:c>
    </x:row>
    <x:row r="4">
      <x:c r="A4" s="36" t="str">
        <x:v>League membership</x:v>
      </x:c>
      <x:c r="B4" s="37" t="str">
        <x:v>Game server</x:v>
      </x:c>
      <x:c r="C4" s="37" t="str">
        <x:v>After weekly settlement</x:v>
      </x:c>
      <x:c r="D4" s="37" t="str">
        <x:v>prior rating, protection, season state</x:v>
      </x:c>
      <x:c r="E4" s="37" t="str">
        <x:v>league + rating band</x:v>
      </x:c>
      <x:c r="F4" s="37" t="str">
        <x:v>None</x:v>
      </x:c>
      <x:c r="G4" s="37" t="str">
        <x:v>League</x:v>
      </x:c>
      <x:c r="H4" s="37" t="str">
        <x:v>settlement lock</x:v>
      </x:c>
      <x:c r="I4" s="37" t="str">
        <x:v>Recompute from rating history</x:v>
      </x:c>
      <x:c r="J4" s="37" t="str">
        <x:v>High</x:v>
      </x:c>
      <x:c r="K4" s="37" t="str">
        <x:v>P0</x:v>
      </x:c>
      <x:c r="L4" s="37" t="str">
        <x:v>league_version</x:v>
      </x:c>
      <x:c r="M4" s="38" t="str"/>
    </x:row>
    <x:row r="5">
      <x:c r="A5" s="39" t="str">
        <x:v>Competitive Rating</x:v>
      </x:c>
      <x:c r="B5" s="22" t="str">
        <x:v>Game server</x:v>
      </x:c>
      <x:c r="C5" s="22" t="str">
        <x:v>Weekly</x:v>
      </x:c>
      <x:c r="D5" s="22" t="str">
        <x:v>Performance Score, expected score, percentile, inactivity</x:v>
      </x:c>
      <x:c r="E5" s="22" t="str">
        <x:v>rating delta + new rating</x:v>
      </x:c>
      <x:c r="F5" s="22" t="str">
        <x:v>None</x:v>
      </x:c>
      <x:c r="G5" s="22" t="str">
        <x:v>Rating/delta</x:v>
      </x:c>
      <x:c r="H5" s="22" t="str">
        <x:v>rating_epoch_id</x:v>
      </x:c>
      <x:c r="I5" s="22" t="str">
        <x:v>Replay weekly formula</x:v>
      </x:c>
      <x:c r="J5" s="22" t="str">
        <x:v>Critical</x:v>
      </x:c>
      <x:c r="K5" s="22" t="str">
        <x:v>P0</x:v>
      </x:c>
      <x:c r="L5" s="22" t="str">
        <x:v>rating_ledger_id</x:v>
      </x:c>
      <x:c r="M5" s="40" t="str"/>
    </x:row>
    <x:row r="6">
      <x:c r="A6" s="39" t="str">
        <x:v>Placement</x:v>
      </x:c>
      <x:c r="B6" s="22" t="str">
        <x:v>Game server</x:v>
      </x:c>
      <x:c r="C6" s="22" t="str">
        <x:v>Eligible weeks</x:v>
      </x:c>
      <x:c r="D6" s="22" t="str">
        <x:v>3 valid weekly scores + provisional rating</x:v>
      </x:c>
      <x:c r="E6" s="22" t="str">
        <x:v>final Bronze/Silver/Gold</x:v>
      </x:c>
      <x:c r="F6" s="22" t="str">
        <x:v>Normal gameplay only</x:v>
      </x:c>
      <x:c r="G6" s="22" t="str">
        <x:v>Placement league</x:v>
      </x:c>
      <x:c r="H6" s="22" t="str">
        <x:v>placement_week_id</x:v>
      </x:c>
      <x:c r="I6" s="22" t="str">
        <x:v>Replay eligible weeks</x:v>
      </x:c>
      <x:c r="J6" s="22" t="str">
        <x:v>High</x:v>
      </x:c>
      <x:c r="K6" s="22" t="str">
        <x:v>P0</x:v>
      </x:c>
      <x:c r="L6" s="22" t="str">
        <x:v>placement_state</x:v>
      </x:c>
      <x:c r="M6" s="40" t="str"/>
    </x:row>
    <x:row r="7">
      <x:c r="A7" s="39" t="str">
        <x:v>League percentile</x:v>
      </x:c>
      <x:c r="B7" s="22" t="str">
        <x:v>Game server</x:v>
      </x:c>
      <x:c r="C7" s="22" t="str">
        <x:v>Weekly finalization</x:v>
      </x:c>
      <x:c r="D7" s="22" t="str">
        <x:v>eligible league scores after integrity filters</x:v>
      </x:c>
      <x:c r="E7" s="22" t="str">
        <x:v>percentile</x:v>
      </x:c>
      <x:c r="F7" s="22" t="str">
        <x:v>None</x:v>
      </x:c>
      <x:c r="G7" s="22" t="str">
        <x:v>Percentile</x:v>
      </x:c>
      <x:c r="H7" s="22" t="str">
        <x:v>settlement_id</x:v>
      </x:c>
      <x:c r="I7" s="22" t="str">
        <x:v>Recompute cohort</x:v>
      </x:c>
      <x:c r="J7" s="22" t="str">
        <x:v>Critical</x:v>
      </x:c>
      <x:c r="K7" s="22" t="str">
        <x:v>P0</x:v>
      </x:c>
      <x:c r="L7" s="22" t="str">
        <x:v>percentile_version</x:v>
      </x:c>
      <x:c r="M7" s="40" t="str"/>
    </x:row>
    <x:row r="8">
      <x:c r="A8" s="39" t="str">
        <x:v>League PLOT pool</x:v>
      </x:c>
      <x:c r="B8" s="22" t="str">
        <x:v>Treasury/config + server</x:v>
      </x:c>
      <x:c r="C8" s="22" t="str">
        <x:v>Weekly</x:v>
      </x:c>
      <x:c r="D8" s="22" t="str">
        <x:v>fixed pool + league shares</x:v>
      </x:c>
      <x:c r="E8" s="22" t="str">
        <x:v>league budgets</x:v>
      </x:c>
      <x:c r="F8" s="22" t="str">
        <x:v>None</x:v>
      </x:c>
      <x:c r="G8" s="22" t="str">
        <x:v>Budget</x:v>
      </x:c>
      <x:c r="H8" s="22" t="str">
        <x:v>epoch_id</x:v>
      </x:c>
      <x:c r="I8" s="22" t="str">
        <x:v>Rebuild from config snapshot</x:v>
      </x:c>
      <x:c r="J8" s="22" t="str">
        <x:v>Critical</x:v>
      </x:c>
      <x:c r="K8" s="22" t="str">
        <x:v>P0</x:v>
      </x:c>
      <x:c r="L8" s="22" t="str">
        <x:v>pool_config_version</x:v>
      </x:c>
      <x:c r="M8" s="40" t="str"/>
    </x:row>
    <x:row r="9">
      <x:c r="A9" s="39" t="str">
        <x:v>Player payout</x:v>
      </x:c>
      <x:c r="B9" s="22" t="str">
        <x:v>Game server / claim contract</x:v>
      </x:c>
      <x:c r="C9" s="22" t="str">
        <x:v>Weekly</x:v>
      </x:c>
      <x:c r="D9" s="22" t="str">
        <x:v>league pool, payout weights, caps</x:v>
      </x:c>
      <x:c r="E9" s="22" t="str">
        <x:v>claim amount</x:v>
      </x:c>
      <x:c r="F9" s="22" t="str">
        <x:v>Claim action</x:v>
      </x:c>
      <x:c r="G9" s="22" t="str">
        <x:v>Amount</x:v>
      </x:c>
      <x:c r="H9" s="22" t="str">
        <x:v>settlement_id</x:v>
      </x:c>
      <x:c r="I9" s="22" t="str">
        <x:v>Iterative redistribution from frozen cohort</x:v>
      </x:c>
      <x:c r="J9" s="22" t="str">
        <x:v>Critical</x:v>
      </x:c>
      <x:c r="K9" s="22" t="str">
        <x:v>P0</x:v>
      </x:c>
      <x:c r="L9" s="22" t="str">
        <x:v>claim_root/version</x:v>
      </x:c>
      <x:c r="M9" s="40" t="str"/>
    </x:row>
    <x:row r="10">
      <x:c r="A10" s="39" t="str">
        <x:v>Season Points</x:v>
      </x:c>
      <x:c r="B10" s="22" t="str">
        <x:v>Game server</x:v>
      </x:c>
      <x:c r="C10" s="22" t="str">
        <x:v>Weekly</x:v>
      </x:c>
      <x:c r="D10" s="22" t="str">
        <x:v>percentile, league multiplier, eligibility, integrity</x:v>
      </x:c>
      <x:c r="E10" s="22" t="str">
        <x:v>season points</x:v>
      </x:c>
      <x:c r="F10" s="22" t="str">
        <x:v>None</x:v>
      </x:c>
      <x:c r="G10" s="22" t="str">
        <x:v>Points</x:v>
      </x:c>
      <x:c r="H10" s="22" t="str">
        <x:v>season_week_id</x:v>
      </x:c>
      <x:c r="I10" s="22" t="str">
        <x:v>Replay weekly records</x:v>
      </x:c>
      <x:c r="J10" s="22" t="str">
        <x:v>High</x:v>
      </x:c>
      <x:c r="K10" s="22" t="str">
        <x:v>P1</x:v>
      </x:c>
      <x:c r="L10" s="22" t="str">
        <x:v>season_points_ledger</x:v>
      </x:c>
      <x:c r="M10" s="40" t="str"/>
    </x:row>
    <x:row r="11">
      <x:c r="A11" s="39" t="str">
        <x:v>Season reset</x:v>
      </x:c>
      <x:c r="B11" s="22" t="str">
        <x:v>Game server</x:v>
      </x:c>
      <x:c r="C11" s="22" t="str">
        <x:v>Season boundary</x:v>
      </x:c>
      <x:c r="D11" s="22" t="str">
        <x:v>rating, compression config, season points</x:v>
      </x:c>
      <x:c r="E11" s="22" t="str">
        <x:v>compressed rating, zeroed season points</x:v>
      </x:c>
      <x:c r="F11" s="22" t="str">
        <x:v>None</x:v>
      </x:c>
      <x:c r="G11" s="22" t="str">
        <x:v>Reset result</x:v>
      </x:c>
      <x:c r="H11" s="22" t="str">
        <x:v>season_id</x:v>
      </x:c>
      <x:c r="I11" s="22" t="str">
        <x:v>Replay reset snapshot</x:v>
      </x:c>
      <x:c r="J11" s="22" t="str">
        <x:v>High</x:v>
      </x:c>
      <x:c r="K11" s="22" t="str">
        <x:v>P1</x:v>
      </x:c>
      <x:c r="L11" s="22" t="str">
        <x:v>season_reset_id</x:v>
      </x:c>
      <x:c r="M11" s="40" t="str"/>
    </x:row>
    <x:row r="12">
      <x:c r="A12" s="39" t="str">
        <x:v>Inactivity</x:v>
      </x:c>
      <x:c r="B12" s="22" t="str">
        <x:v>Game server</x:v>
      </x:c>
      <x:c r="C12" s="22" t="str">
        <x:v>Weekly</x:v>
      </x:c>
      <x:c r="D12" s="22" t="str">
        <x:v>eligibility history, grace state</x:v>
      </x:c>
      <x:c r="E12" s="22" t="str">
        <x:v>decay/protection state</x:v>
      </x:c>
      <x:c r="F12" s="22" t="str">
        <x:v>None</x:v>
      </x:c>
      <x:c r="G12" s="22" t="str">
        <x:v>Grace/decay</x:v>
      </x:c>
      <x:c r="H12" s="22" t="str">
        <x:v>weekly_epoch_id</x:v>
      </x:c>
      <x:c r="I12" s="22" t="str">
        <x:v>Replay history</x:v>
      </x:c>
      <x:c r="J12" s="22" t="str">
        <x:v>Medium</x:v>
      </x:c>
      <x:c r="K12" s="22" t="str">
        <x:v>P0</x:v>
      </x:c>
      <x:c r="L12" s="22" t="str">
        <x:v>inactivity_state</x:v>
      </x:c>
      <x:c r="M12" s="40" t="str"/>
    </x:row>
    <x:row r="13">
      <x:c r="A13" s="39" t="str">
        <x:v>Integrity holds</x:v>
      </x:c>
      <x:c r="B13" s="22" t="str">
        <x:v>Game server/review</x:v>
      </x:c>
      <x:c r="C13" s="22" t="str">
        <x:v>Continuous + settlement</x:v>
      </x:c>
      <x:c r="D13" s="22" t="str">
        <x:v>flags, invalid activity, exploit versions</x:v>
      </x:c>
      <x:c r="E13" s="22" t="str">
        <x:v>hold/void/recalc state</x:v>
      </x:c>
      <x:c r="F13" s="22" t="str">
        <x:v>Appeal/review request</x:v>
      </x:c>
      <x:c r="G13" s="22" t="str">
        <x:v>Clean status</x:v>
      </x:c>
      <x:c r="H13" s="22" t="str">
        <x:v>case_id</x:v>
      </x:c>
      <x:c r="I13" s="22" t="str">
        <x:v>Recompute after case closure</x:v>
      </x:c>
      <x:c r="J13" s="22" t="str">
        <x:v>Critical</x:v>
      </x:c>
      <x:c r="K13" s="22" t="str">
        <x:v>P0</x:v>
      </x:c>
      <x:c r="L13" s="22" t="str">
        <x:v>integrity_case_id</x:v>
      </x:c>
      <x:c r="M13" s="40" t="str"/>
    </x:row>
    <x:row r="14">
      <x:c r="A14" s="41" t="str">
        <x:v>Hall of Fame</x:v>
      </x:c>
      <x:c r="B14" s="42" t="str">
        <x:v>Game server/archive</x:v>
      </x:c>
      <x:c r="C14" s="42" t="str">
        <x:v>Season end</x:v>
      </x:c>
      <x:c r="D14" s="42" t="str">
        <x:v>final season rankings</x:v>
      </x:c>
      <x:c r="E14" s="42" t="str">
        <x:v>immutable historic records</x:v>
      </x:c>
      <x:c r="F14" s="42" t="str">
        <x:v>None</x:v>
      </x:c>
      <x:c r="G14" s="42" t="str">
        <x:v>Historic record</x:v>
      </x:c>
      <x:c r="H14" s="42" t="str">
        <x:v>season_id</x:v>
      </x:c>
      <x:c r="I14" s="42" t="str">
        <x:v>Rebuild from signed season result</x:v>
      </x:c>
      <x:c r="J14" s="42" t="str">
        <x:v>Low</x:v>
      </x:c>
      <x:c r="K14" s="42" t="str">
        <x:v>P2</x:v>
      </x:c>
      <x:c r="L14" s="42" t="str">
        <x:v>hof_record_id</x:v>
      </x:c>
      <x:c r="M14" s="43" t="str"/>
    </x:row>
  </x:sheetData>
  <x:mergeCells>
    <x:mergeCell ref="A1:M1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34" hidden="0" customWidth="1"/>
    <x:col min="7" max="7" width="34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 ht="28" customHeight="1">
      <x:c r="A1" s="122" t="str">
        <x:v>Model Checks</x:v>
      </x:c>
      <x:c r="B1" s="122"/>
      <x:c r="C1" s="122"/>
      <x:c r="D1" s="122"/>
      <x:c r="E1" s="122"/>
      <x:c r="F1" s="122"/>
      <x:c r="G1" s="122"/>
      <x:c r="H1" s="22"/>
      <x:c r="I1" s="22"/>
      <x:c r="J1" s="22"/>
      <x:c r="K1" s="22"/>
      <x:c r="L1" s="22"/>
      <x:c r="M1" s="22"/>
      <x:c r="N1" s="22"/>
      <x:c r="O1" s="22"/>
      <x:c r="P1" s="22"/>
      <x:c r="Q1" s="22"/>
    </x:row>
    <x:row r="3">
      <x:c r="A3" s="14" t="str">
        <x:v>Check</x:v>
      </x:c>
      <x:c r="B3" s="14" t="str">
        <x:v>Expected</x:v>
      </x:c>
      <x:c r="C3" s="14" t="str">
        <x:v>Actual</x:v>
      </x:c>
      <x:c r="D3" s="14" t="str">
        <x:v>Status</x:v>
      </x:c>
      <x:c r="E3" s="14" t="str">
        <x:v>Severity</x:v>
      </x:c>
      <x:c r="F3" s="14" t="str">
        <x:v>Why It Matters</x:v>
      </x:c>
      <x:c r="G3" s="14" t="str">
        <x:v>Notes</x:v>
      </x:c>
    </x:row>
    <x:row r="4">
      <x:c r="A4" s="36" t="str">
        <x:v>League pool shares total 100%</x:v>
      </x:c>
      <x:c r="B4" s="52" t="n">
        <x:v>1</x:v>
      </x:c>
      <x:c r="C4" s="52" t="n">
        <x:f>SUM('02_League_Rules'!G4:G9)</x:f>
        <x:v>1</x:v>
      </x:c>
      <x:c r="D4" s="37" t="str">
        <x:f>IF(ABS(C4-B4)&lt;0.0001,"PASS","CHECK")</x:f>
        <x:v>PASS</x:v>
      </x:c>
      <x:c r="E4" s="37" t="str">
        <x:v>Critical</x:v>
      </x:c>
      <x:c r="F4" s="37" t="str">
        <x:v>Weekly PLOT allocation must reconcile</x:v>
      </x:c>
      <x:c r="G4" s="38" t="str"/>
    </x:row>
    <x:row r="5">
      <x:c r="A5" s="39" t="str">
        <x:v>Illustrative player shares total 100%</x:v>
      </x:c>
      <x:c r="B5" s="53" t="n">
        <x:v>1</x:v>
      </x:c>
      <x:c r="C5" s="53" t="n">
        <x:f>SUM('02_League_Rules'!H4:H9)</x:f>
        <x:v>1</x:v>
      </x:c>
      <x:c r="D5" s="22" t="str">
        <x:f>IF(ABS(C5-B5)&lt;0.0001,"PASS","CHECK")</x:f>
        <x:v>PASS</x:v>
      </x:c>
      <x:c r="E5" s="22" t="str">
        <x:v>High</x:v>
      </x:c>
      <x:c r="F5" s="22" t="str">
        <x:v>Population scenario must reconcile</x:v>
      </x:c>
      <x:c r="G5" s="40" t="str"/>
    </x:row>
    <x:row r="6">
      <x:c r="A6" s="39" t="str">
        <x:v>Dashboard league pool equals weekly pool</x:v>
      </x:c>
      <x:c r="B6" s="22" t="n">
        <x:v>2000000</x:v>
      </x:c>
      <x:c r="C6" s="22" t="n">
        <x:f>SUM('00_Dashboard'!F8:F13)</x:f>
        <x:v>2000000</x:v>
      </x:c>
      <x:c r="D6" s="22" t="str">
        <x:f>IF(C6=B6,"PASS","CHECK")</x:f>
        <x:v>PASS</x:v>
      </x:c>
      <x:c r="E6" s="22" t="str">
        <x:v>Critical</x:v>
      </x:c>
      <x:c r="F6" s="22" t="str">
        <x:v>Dashboard allocation integrity</x:v>
      </x:c>
      <x:c r="G6" s="40" t="str"/>
    </x:row>
    <x:row r="7">
      <x:c r="A7" s="39" t="str">
        <x:v>Season length = 8 weeks</x:v>
      </x:c>
      <x:c r="B7" s="22" t="n">
        <x:v>8</x:v>
      </x:c>
      <x:c r="C7" s="22" t="n">
        <x:f>'01_Assumptions'!B6</x:f>
        <x:v>8</x:v>
      </x:c>
      <x:c r="D7" s="22" t="str">
        <x:f>IF(C7=B7,"PASS","CHECK")</x:f>
        <x:v>PASS</x:v>
      </x:c>
      <x:c r="E7" s="22" t="str">
        <x:v>Medium</x:v>
      </x:c>
      <x:c r="F7" s="22" t="str">
        <x:v>v0.1 season assumption</x:v>
      </x:c>
      <x:c r="G7" s="40" t="str">
        <x:v>Editable</x:v>
      </x:c>
    </x:row>
    <x:row r="8">
      <x:c r="A8" s="39" t="str">
        <x:v>Placement maximum is Gold</x:v>
      </x:c>
      <x:c r="B8" s="22" t="n">
        <x:v>1</x:v>
      </x:c>
      <x:c r="C8" s="22" t="n">
        <x:f>IF('03_Placement'!K4="Gold",1,0)</x:f>
        <x:v>1</x:v>
      </x:c>
      <x:c r="D8" s="22" t="str">
        <x:f>IF(C8=B8,"PASS","CHECK")</x:f>
        <x:v>PASS</x:v>
      </x:c>
      <x:c r="E8" s="22" t="str">
        <x:v>High</x:v>
      </x:c>
      <x:c r="F8" s="22" t="str">
        <x:v>Prevents instant top-league placement</x:v>
      </x:c>
      <x:c r="G8" s="40" t="str"/>
    </x:row>
    <x:row r="9">
      <x:c r="A9" s="39" t="str">
        <x:v>Payout exponent between 0 and 1</x:v>
      </x:c>
      <x:c r="B9" s="22" t="n">
        <x:v>1</x:v>
      </x:c>
      <x:c r="C9" s="22" t="n">
        <x:f>IF(AND('01_Assumptions'!B19&gt;0,'01_Assumptions'!B19&lt;=1),1,0)</x:f>
        <x:v>1</x:v>
      </x:c>
      <x:c r="D9" s="22" t="str">
        <x:f>IF(C9=B9,"PASS","CHECK")</x:f>
        <x:v>PASS</x:v>
      </x:c>
      <x:c r="E9" s="22" t="str">
        <x:v>Critical</x:v>
      </x:c>
      <x:c r="F9" s="22" t="str">
        <x:v>Payout curve validity</x:v>
      </x:c>
      <x:c r="G9" s="40" t="str"/>
    </x:row>
    <x:row r="10">
      <x:c r="A10" s="39" t="str">
        <x:v>Max pool share &lt;=2%</x:v>
      </x:c>
      <x:c r="B10" s="53" t="n">
        <x:v>0.02</x:v>
      </x:c>
      <x:c r="C10" s="53" t="n">
        <x:f>'01_Assumptions'!B20</x:f>
        <x:v>0.015</x:v>
      </x:c>
      <x:c r="D10" s="22" t="str">
        <x:f>IF(C10&lt;=B10,"PASS","CHECK")</x:f>
        <x:v>PASS</x:v>
      </x:c>
      <x:c r="E10" s="22" t="str">
        <x:v>High</x:v>
      </x:c>
      <x:c r="F10" s="22" t="str">
        <x:v>Limits payout concentration</x:v>
      </x:c>
      <x:c r="G10" s="40" t="str"/>
    </x:row>
    <x:row r="11">
      <x:c r="A11" s="39" t="str">
        <x:v>Seasonal bonus PLOT defaults to zero</x:v>
      </x:c>
      <x:c r="B11" s="22" t="n">
        <x:v>0</x:v>
      </x:c>
      <x:c r="C11" s="22" t="n">
        <x:f>'01_Assumptions'!B24</x:f>
        <x:v>0</x:v>
      </x:c>
      <x:c r="D11" s="22" t="str">
        <x:f>IF(C11=B11,"PASS","CHECK")</x:f>
        <x:v>PASS</x:v>
      </x:c>
      <x:c r="E11" s="22" t="str">
        <x:v>Medium</x:v>
      </x:c>
      <x:c r="F11" s="22" t="str">
        <x:v>Weekly pool remains primary token emission</x:v>
      </x:c>
      <x:c r="G11" s="40" t="str">
        <x:v>Editable</x:v>
      </x:c>
    </x:row>
    <x:row r="12">
      <x:c r="A12" s="39" t="str">
        <x:v>Land/building count gives no league points</x:v>
      </x:c>
      <x:c r="B12" s="22" t="n">
        <x:v>1</x:v>
      </x:c>
      <x:c r="C12" s="22" t="n">
        <x:f>IF(AND('10_Maturity_Normalization'!L4="No",'10_Maturity_Normalization'!M4="No"),1,0)</x:f>
        <x:v>1</x:v>
      </x:c>
      <x:c r="D12" s="22" t="str">
        <x:f>IF(C12=B12,"PASS","CHECK")</x:f>
        <x:v>PASS</x:v>
      </x:c>
      <x:c r="E12" s="22" t="str">
        <x:v>Critical</x:v>
      </x:c>
      <x:c r="F12" s="22" t="str">
        <x:v>Anti-whale fairness</x:v>
      </x:c>
      <x:c r="G12" s="40" t="str"/>
    </x:row>
    <x:row r="13">
      <x:c r="A13" s="39" t="str">
        <x:v>Tycoon league player share is 4%</x:v>
      </x:c>
      <x:c r="B13" s="53" t="n">
        <x:v>0.04</x:v>
      </x:c>
      <x:c r="C13" s="53" t="n">
        <x:f>'02_League_Rules'!H9</x:f>
        <x:v>0.04</x:v>
      </x:c>
      <x:c r="D13" s="22" t="str">
        <x:f>IF(ABS(C13-B13)&lt;0.0001,"PASS","CHECK")</x:f>
        <x:v>PASS</x:v>
      </x:c>
      <x:c r="E13" s="22" t="str">
        <x:v>Low</x:v>
      </x:c>
      <x:c r="F13" s="22" t="str">
        <x:v>Illustrative scenario consistency</x:v>
      </x:c>
      <x:c r="G13" s="40" t="str">
        <x:v>Editable</x:v>
      </x:c>
    </x:row>
    <x:row r="14">
      <x:c r="A14" s="39" t="str">
        <x:v>Rating compression &lt;=20%</x:v>
      </x:c>
      <x:c r="B14" s="53" t="n">
        <x:v>0.2</x:v>
      </x:c>
      <x:c r="C14" s="53" t="n">
        <x:f>'01_Assumptions'!B22</x:f>
        <x:v>0.1</x:v>
      </x:c>
      <x:c r="D14" s="22" t="str">
        <x:f>IF(C14&lt;=B14,"PASS","CHECK")</x:f>
        <x:v>PASS</x:v>
      </x:c>
      <x:c r="E14" s="22" t="str">
        <x:v>High</x:v>
      </x:c>
      <x:c r="F14" s="22" t="str">
        <x:v>Avoid excessive season reset</x:v>
      </x:c>
      <x:c r="G14" s="40" t="str"/>
    </x:row>
    <x:row r="15">
      <x:c r="A15" s="39" t="str">
        <x:v>Claim window &gt;=14 days</x:v>
      </x:c>
      <x:c r="B15" s="22" t="n">
        <x:v>14</x:v>
      </x:c>
      <x:c r="C15" s="22" t="n">
        <x:f>'01_Assumptions'!B25</x:f>
        <x:v>30</x:v>
      </x:c>
      <x:c r="D15" s="22" t="str">
        <x:f>IF(C15&gt;=B15,"PASS","CHECK")</x:f>
        <x:v>PASS</x:v>
      </x:c>
      <x:c r="E15" s="22" t="str">
        <x:v>Medium</x:v>
      </x:c>
      <x:c r="F15" s="22" t="str">
        <x:v>Reasonable reward access</x:v>
      </x:c>
      <x:c r="G15" s="40" t="str"/>
    </x:row>
    <x:row r="16">
      <x:c r="A16" s="41" t="str">
        <x:v>Payout league rows = 6</x:v>
      </x:c>
      <x:c r="B16" s="42" t="n">
        <x:v>6</x:v>
      </x:c>
      <x:c r="C16" s="42" t="n">
        <x:f>COUNTA('05_Weekly_Payout'!A4:A9)</x:f>
        <x:v>6</x:v>
      </x:c>
      <x:c r="D16" s="42" t="str">
        <x:f>IF(C16=B16,"PASS","CHECK")</x:f>
        <x:v>PASS</x:v>
      </x:c>
      <x:c r="E16" s="42" t="str">
        <x:v>High</x:v>
      </x:c>
      <x:c r="F16" s="42" t="str">
        <x:v>Payout sheet coverage</x:v>
      </x:c>
      <x:c r="G16" s="43" t="str"/>
    </x:row>
  </x:sheetData>
  <x:mergeCells>
    <x:mergeCell ref="A1:G1"/>
  </x:mergeCells>
  <x:conditionalFormatting sqref="D4:D16">
    <x:cfRule type="expression" dxfId="1" priority="1">
      <x:formula>D4="PASS"</x:formula>
    </x:cfRule>
    <x:cfRule type="expression" dxfId="2" priority="2">
      <x:formula>D4="CHECK"</x:formula>
    </x:cfRule>
  </x:conditionalFormatting>
  <x:pageMargins left="0.7" right="0.7" top="0.75" bottom="0.75" header="0.3" footer="0.3"/>
</x:worksheet>
</file>