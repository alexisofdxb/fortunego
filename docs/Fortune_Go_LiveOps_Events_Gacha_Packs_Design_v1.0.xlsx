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6a606982fa48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8bd536fdba24015"/>
    <x:sheet xmlns:r="http://schemas.openxmlformats.org/officeDocument/2006/relationships" name="Assumptions" sheetId="2" r:id="R88aa16af171c4e29"/>
    <x:sheet xmlns:r="http://schemas.openxmlformats.org/officeDocument/2006/relationships" name="Economy Architecture" sheetId="3" r:id="R70b943456c814b1d"/>
    <x:sheet xmlns:r="http://schemas.openxmlformats.org/officeDocument/2006/relationships" name="Materials Catalog" sheetId="4" r:id="Rcd35d2fc14b9462c"/>
    <x:sheet xmlns:r="http://schemas.openxmlformats.org/officeDocument/2006/relationships" name="Event Framework" sheetId="5" r:id="Rcff3f28f082a4ff1"/>
    <x:sheet xmlns:r="http://schemas.openxmlformats.org/officeDocument/2006/relationships" name="Event Catalog" sheetId="6" r:id="R94015916b94b4eb2"/>
    <x:sheet xmlns:r="http://schemas.openxmlformats.org/officeDocument/2006/relationships" name="Event Calendar" sheetId="7" r:id="Rcdff990dd21e49f0"/>
    <x:sheet xmlns:r="http://schemas.openxmlformats.org/officeDocument/2006/relationships" name="Gacha Cases" sheetId="8" r:id="R298ccb65a6ec49a6"/>
    <x:sheet xmlns:r="http://schemas.openxmlformats.org/officeDocument/2006/relationships" name="Loot Tables" sheetId="9" r:id="Re871567cf9f544af"/>
    <x:sheet xmlns:r="http://schemas.openxmlformats.org/officeDocument/2006/relationships" name="Pity &amp; Duplicates" sheetId="10" r:id="R5be1f44308da4cf7"/>
    <x:sheet xmlns:r="http://schemas.openxmlformats.org/officeDocument/2006/relationships" name="Packs" sheetId="11" r:id="Ra48495340c444d91"/>
    <x:sheet xmlns:r="http://schemas.openxmlformats.org/officeDocument/2006/relationships" name="Season Pass" sheetId="12" r:id="R1cd4a4a229504ce8"/>
    <x:sheet xmlns:r="http://schemas.openxmlformats.org/officeDocument/2006/relationships" name="Shop Rotation" sheetId="13" r:id="Rfd40f824370e4f34"/>
    <x:sheet xmlns:r="http://schemas.openxmlformats.org/officeDocument/2006/relationships" name="Token Sink Routing" sheetId="14" r:id="Re8feaac48aaa4c09"/>
    <x:sheet xmlns:r="http://schemas.openxmlformats.org/officeDocument/2006/relationships" name="Faucets &amp; Sinks" sheetId="15" r:id="R97e76fc3ec7e49c7"/>
    <x:sheet xmlns:r="http://schemas.openxmlformats.org/officeDocument/2006/relationships" name="Balance Simulator" sheetId="16" r:id="R08c7dec09b304b8b"/>
    <x:sheet xmlns:r="http://schemas.openxmlformats.org/officeDocument/2006/relationships" name="LiveOps KPIs" sheetId="17" r:id="Rb057be52a58445b1"/>
    <x:sheet xmlns:r="http://schemas.openxmlformats.org/officeDocument/2006/relationships" name="Backend Rules" sheetId="18" r:id="R00adbcc3eca94b80"/>
    <x:sheet xmlns:r="http://schemas.openxmlformats.org/officeDocument/2006/relationships" name="Implementation Roadmap" sheetId="19" r:id="R4d30884ca5a24625"/>
    <x:sheet xmlns:r="http://schemas.openxmlformats.org/officeDocument/2006/relationships" name="Source of Truth" sheetId="20" r:id="R7c885352b7894c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$0.0000"/>
    <x:numFmt numFmtId="201" formatCode="$0.00"/>
    <x:numFmt numFmtId="202" formatCode="0.0%"/>
    <x:numFmt numFmtId="203" formatCode="0%"/>
    <x:numFmt numFmtId="204" formatCode="#,##0"/>
    <x:numFmt numFmtId="205" formatCode="#,##0;[Red](#,##0);-"/>
    <x:numFmt numFmtId="206" formatCode="#,##0.00;[Red](#,##0.00);-"/>
  </x:numFmts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17365D"/>
      </x:patternFill>
    </x:fill>
    <x:fill>
      <x:patternFill patternType="solid">
        <x:fgColor rgb="FF1F6D6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left"/>
    </x:xf>
    <x:xf numFmtId="0" fontId="2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left"/>
    </x:xf>
    <x:xf numFmtId="0" fontId="2" fillId="4" borderId="1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4" fillId="5" borderId="0" xfId="0" applyNumberFormat="1" applyFont="1" applyFill="1" applyBorder="1"/>
    <x:xf numFmtId="0" fontId="5" fillId="5" borderId="0" xfId="0" applyNumberFormat="1" applyFont="1" applyFill="1" applyBorder="1"/>
    <x:xf numFmtId="0" fontId="4" fillId="5" borderId="1" xfId="0" applyNumberFormat="1" applyFont="1" applyFill="1" applyBorder="1"/>
    <x:xf numFmtId="0" fontId="5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202" fontId="4" fillId="5" borderId="0" xfId="0" applyNumberFormat="1" applyFont="1" applyFill="1" applyBorder="1"/>
    <x:xf numFmtId="202" fontId="4" fillId="5" borderId="1" xfId="0" applyNumberFormat="1" applyFont="1" applyFill="1" applyBorder="1"/>
    <x:xf numFmtId="203" fontId="4" fillId="5" borderId="0" xfId="0" applyNumberFormat="1" applyFont="1" applyFill="1" applyBorder="1"/>
    <x:xf numFmtId="203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201" fontId="4" fillId="5" borderId="0" xfId="0" applyNumberFormat="1" applyFont="1" applyFill="1" applyBorder="1" applyAlignment="1">
      <x:alignment wrapText="1"/>
    </x:xf>
    <x:xf numFmtId="202" fontId="4" fillId="5" borderId="0" xfId="0" applyNumberFormat="1" applyFont="1" applyFill="1" applyBorder="1" applyAlignment="1">
      <x:alignment wrapText="1"/>
    </x:xf>
    <x:xf numFmtId="203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200" fontId="4" fillId="5" borderId="1" xfId="0" applyNumberFormat="1" applyFont="1" applyFill="1" applyBorder="1" applyAlignment="1">
      <x:alignment wrapText="1"/>
    </x:xf>
    <x:xf numFmtId="201" fontId="4" fillId="5" borderId="1" xfId="0" applyNumberFormat="1" applyFont="1" applyFill="1" applyBorder="1" applyAlignment="1">
      <x:alignment wrapText="1"/>
    </x:xf>
    <x:xf numFmtId="202" fontId="4" fillId="5" borderId="1" xfId="0" applyNumberFormat="1" applyFont="1" applyFill="1" applyBorder="1" applyAlignment="1">
      <x:alignment wrapText="1"/>
    </x:xf>
    <x:xf numFmtId="203" fontId="4" fillId="5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200" fontId="4" fillId="5" borderId="0" xfId="0" applyNumberFormat="1" applyFont="1" applyFill="1" applyBorder="1" applyAlignment="1">
      <x:alignment vertical="top" wrapText="1"/>
    </x:xf>
    <x:xf numFmtId="201" fontId="4" fillId="5" borderId="0" xfId="0" applyNumberFormat="1" applyFont="1" applyFill="1" applyBorder="1" applyAlignment="1">
      <x:alignment vertical="top" wrapText="1"/>
    </x:xf>
    <x:xf numFmtId="202" fontId="4" fillId="5" borderId="0" xfId="0" applyNumberFormat="1" applyFont="1" applyFill="1" applyBorder="1" applyAlignment="1">
      <x:alignment vertical="top" wrapText="1"/>
    </x:xf>
    <x:xf numFmtId="203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200" fontId="4" fillId="5" borderId="1" xfId="0" applyNumberFormat="1" applyFont="1" applyFill="1" applyBorder="1" applyAlignment="1">
      <x:alignment vertical="top" wrapText="1"/>
    </x:xf>
    <x:xf numFmtId="201" fontId="4" fillId="5" borderId="1" xfId="0" applyNumberFormat="1" applyFont="1" applyFill="1" applyBorder="1" applyAlignment="1">
      <x:alignment vertical="top" wrapText="1"/>
    </x:xf>
    <x:xf numFmtId="202" fontId="4" fillId="5" borderId="1" xfId="0" applyNumberFormat="1" applyFont="1" applyFill="1" applyBorder="1" applyAlignment="1">
      <x:alignment vertical="top" wrapText="1"/>
    </x:xf>
    <x:xf numFmtId="203" fontId="4" fillId="5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1" fontId="4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1" fontId="4" fillId="0" borderId="1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0" fontId="6" fillId="0" borderId="1" xfId="0" applyNumberFormat="1" applyFont="1" applyFill="1" applyBorder="1" applyAlignment="1">
      <x:alignment vertical="top" wrapText="1"/>
    </x:xf>
    <x:xf numFmtId="204" fontId="0" fillId="0" borderId="1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/>
    <x:xf numFmtId="204" fontId="6" fillId="0" borderId="0" xfId="0" applyNumberFormat="1" applyFont="1" applyFill="1" applyBorder="1"/>
    <x:xf numFmtId="201" fontId="6" fillId="0" borderId="1" xfId="0" applyNumberFormat="1" applyFont="1" applyFill="1" applyBorder="1"/>
    <x:xf numFmtId="204" fontId="6" fillId="0" borderId="1" xfId="0" applyNumberFormat="1" applyFont="1" applyFill="1" applyBorder="1"/>
    <x:xf numFmtId="205" fontId="4" fillId="0" borderId="0" xfId="0" applyNumberFormat="1" applyFont="1" applyFill="1" applyBorder="1"/>
    <x:xf numFmtId="205" fontId="6" fillId="0" borderId="0" xfId="0" applyNumberFormat="1" applyFont="1" applyFill="1" applyBorder="1"/>
    <x:xf numFmtId="205" fontId="0" fillId="0" borderId="0" xfId="0" applyNumberFormat="1" applyFont="1" applyFill="1" applyBorder="1"/>
    <x:xf numFmtId="205" fontId="4" fillId="0" borderId="1" xfId="0" applyNumberFormat="1" applyFont="1" applyFill="1" applyBorder="1"/>
    <x:xf numFmtId="205" fontId="6" fillId="0" borderId="1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6" fontId="4" fillId="0" borderId="0" xfId="0" applyNumberFormat="1" applyFont="1" applyFill="1" applyBorder="1"/>
    <x:xf numFmtId="206" fontId="4" fillId="0" borderId="1" xfId="0" applyNumberFormat="1" applyFont="1" applyFill="1" applyBorder="1"/>
    <x:xf numFmtId="206" fontId="6" fillId="0" borderId="0" xfId="0" applyNumberFormat="1" applyFont="1" applyFill="1" applyBorder="1"/>
    <x:xf numFmtId="206" fontId="6" fillId="0" borderId="1" xfId="0" applyNumberFormat="1" applyFont="1" applyFill="1" applyBorder="1"/>
    <x:xf numFmtId="206" fontId="6" fillId="0" borderId="0" xfId="0" applyNumberFormat="1" applyFont="1" applyFill="1" applyBorder="1" applyAlignment="1">
      <x:alignment wrapText="1"/>
    </x:xf>
    <x:xf numFmtId="206" fontId="4" fillId="0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206" fontId="6" fillId="0" borderId="1" xfId="0" applyNumberFormat="1" applyFont="1" applyFill="1" applyBorder="1" applyAlignment="1">
      <x:alignment wrapText="1"/>
    </x:xf>
    <x:xf numFmtId="206" fontId="4" fillId="0" borderId="1" xfId="0" applyNumberFormat="1" applyFont="1" applyFill="1" applyBorder="1" applyAlignment="1">
      <x:alignment wrapText="1"/>
    </x:xf>
    <x:xf numFmtId="206" fontId="0" fillId="0" borderId="1" xfId="0" applyNumberFormat="1" applyFont="1" applyFill="1" applyBorder="1" applyAlignment="1">
      <x:alignment wrapText="1"/>
    </x:xf>
    <x:xf numFmtId="206" fontId="6" fillId="0" borderId="0" xfId="0" applyNumberFormat="1" applyFont="1" applyFill="1" applyBorder="1" applyAlignment="1">
      <x:alignment vertical="top" wrapText="1"/>
    </x:xf>
    <x:xf numFmtId="206" fontId="4" fillId="0" borderId="0" xfId="0" applyNumberFormat="1" applyFont="1" applyFill="1" applyBorder="1" applyAlignment="1">
      <x:alignment vertical="top" wrapText="1"/>
    </x:xf>
    <x:xf numFmtId="206" fontId="0" fillId="0" borderId="0" xfId="0" applyNumberFormat="1" applyFont="1" applyFill="1" applyBorder="1" applyAlignment="1">
      <x:alignment vertical="top" wrapText="1"/>
    </x:xf>
    <x:xf numFmtId="206" fontId="6" fillId="0" borderId="1" xfId="0" applyNumberFormat="1" applyFont="1" applyFill="1" applyBorder="1" applyAlignment="1">
      <x:alignment vertical="top" wrapText="1"/>
    </x:xf>
    <x:xf numFmtId="206" fontId="4" fillId="0" borderId="1" xfId="0" applyNumberFormat="1" applyFont="1" applyFill="1" applyBorder="1" applyAlignment="1">
      <x:alignment vertical="top" wrapText="1"/>
    </x:xf>
    <x:xf numFmtId="206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left" vertical="top"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 applyAlignment="1">
      <x:alignment wrapText="1"/>
    </x:xf>
    <x:xf numFmtId="204" fontId="6" fillId="0" borderId="0" xfId="0" applyNumberFormat="1" applyFont="1" applyFill="1" applyBorder="1" applyAlignment="1">
      <x:alignment wrapText="1"/>
    </x:xf>
    <x:xf numFmtId="201" fontId="6" fillId="0" borderId="1" xfId="0" applyNumberFormat="1" applyFont="1" applyFill="1" applyBorder="1" applyAlignment="1">
      <x:alignment wrapText="1"/>
    </x:xf>
    <x:xf numFmtId="204" fontId="6" fillId="0" borderId="1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vertical="top" wrapText="1"/>
    </x:xf>
    <x:xf numFmtId="204" fontId="6" fillId="0" borderId="0" xfId="0" applyNumberFormat="1" applyFont="1" applyFill="1" applyBorder="1" applyAlignment="1">
      <x:alignment vertical="top" wrapText="1"/>
    </x:xf>
    <x:xf numFmtId="201" fontId="6" fillId="0" borderId="1" xfId="0" applyNumberFormat="1" applyFont="1" applyFill="1" applyBorder="1" applyAlignment="1">
      <x:alignment vertical="top" wrapText="1"/>
    </x:xf>
    <x:xf numFmtId="204" fontId="6" fillId="0" borderId="1" xfId="0" applyNumberFormat="1" applyFont="1" applyFill="1" applyBorder="1" applyAlignment="1">
      <x:alignment vertical="top" wrapText="1"/>
    </x:xf>
    <x:xf numFmtId="205" fontId="4" fillId="0" borderId="0" xfId="0" applyNumberFormat="1" applyFont="1" applyFill="1" applyBorder="1" applyAlignment="1">
      <x:alignment wrapText="1"/>
    </x:xf>
    <x:xf numFmtId="205" fontId="6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5" fontId="4" fillId="0" borderId="1" xfId="0" applyNumberFormat="1" applyFont="1" applyFill="1" applyBorder="1" applyAlignment="1">
      <x:alignment wrapText="1"/>
    </x:xf>
    <x:xf numFmtId="205" fontId="6" fillId="0" borderId="1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205" fontId="4" fillId="0" borderId="0" xfId="0" applyNumberFormat="1" applyFont="1" applyFill="1" applyBorder="1" applyAlignment="1">
      <x:alignment vertical="top" wrapText="1"/>
    </x:xf>
    <x:xf numFmtId="205" fontId="6" fillId="0" borderId="0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 applyAlignment="1">
      <x:alignment vertical="top" wrapText="1"/>
    </x:xf>
    <x:xf numFmtId="205" fontId="4" fillId="0" borderId="1" xfId="0" applyNumberFormat="1" applyFont="1" applyFill="1" applyBorder="1" applyAlignment="1">
      <x:alignment vertical="top" wrapText="1"/>
    </x:xf>
    <x:xf numFmtId="205" fontId="6" fillId="0" borderId="1" xfId="0" applyNumberFormat="1" applyFont="1" applyFill="1" applyBorder="1" applyAlignment="1">
      <x:alignment vertical="top" wrapText="1"/>
    </x:xf>
    <x:xf numFmtId="205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1F6D68"/>
      </x:font>
      <x:fill>
        <x:patternFill patternType="solid">
          <x:bgColor rgb="FFDDEFE7"/>
        </x:patternFill>
      </x:fill>
    </x:dxf>
    <x:dxf>
      <x:font>
        <x:b/>
        <x:color rgb="FF1F6D68"/>
      </x:font>
      <x:fill>
        <x:patternFill patternType="solid">
          <x:bgColor rgb="FFDDEFE7"/>
        </x:patternFill>
      </x:fill>
    </x:dxf>
    <x:dxf>
      <x:font>
        <x:b/>
        <x:color rgb="FF1F6D68"/>
      </x:font>
      <x:fill>
        <x:patternFill patternType="solid">
          <x:bgColor rgb="FFDDEFE7"/>
        </x:patternFill>
      </x:fill>
    </x:dxf>
    <x:dxf>
      <x:font>
        <x:b/>
        <x:color rgb="FF1F6D68"/>
      </x:font>
      <x:fill>
        <x:patternFill patternType="solid">
          <x:bgColor rgb="FFDDEFE7"/>
        </x:patternFill>
      </x:fill>
    </x:dxf>
    <x:dxf>
      <x:font>
        <x:b/>
        <x:color rgb="FF1F6D68"/>
      </x:font>
      <x:fill>
        <x:patternFill patternType="solid">
          <x:bgColor rgb="FFDDEFE7"/>
        </x:patternFill>
      </x:fill>
    </x:dxf>
    <x:dxf>
      <x:font>
        <x:b/>
        <x:color rgb="FF1F6D68"/>
      </x:font>
      <x:fill>
        <x:patternFill patternType="solid">
          <x:bgColor rgb="FFDDEFE7"/>
        </x:patternFill>
      </x:fill>
    </x:dxf>
    <x:dxf>
      <x:font>
        <x:b/>
        <x:color rgb="FF1F6D68"/>
      </x:font>
      <x:fill>
        <x:patternFill patternType="solid">
          <x:bgColor rgb="FFDDEF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8abb86c4e74d11" /><Relationship Type="http://schemas.openxmlformats.org/officeDocument/2006/relationships/theme" Target="/xl/theme/theme1.xml" Id="R1b86d311edea436d" /><Relationship Type="http://schemas.openxmlformats.org/officeDocument/2006/relationships/sharedStrings" Target="/xl/sharedStrings.xml" Id="R00889921c97446ff" /><Relationship Type="http://schemas.openxmlformats.org/officeDocument/2006/relationships/worksheet" Target="/xl/worksheets/sheet1.xml" Id="R88bd536fdba24015" /><Relationship Type="http://schemas.openxmlformats.org/officeDocument/2006/relationships/worksheet" Target="/xl/worksheets/sheet2.xml" Id="R88aa16af171c4e29" /><Relationship Type="http://schemas.openxmlformats.org/officeDocument/2006/relationships/worksheet" Target="/xl/worksheets/sheet3.xml" Id="R70b943456c814b1d" /><Relationship Type="http://schemas.openxmlformats.org/officeDocument/2006/relationships/worksheet" Target="/xl/worksheets/sheet4.xml" Id="Rcd35d2fc14b9462c" /><Relationship Type="http://schemas.openxmlformats.org/officeDocument/2006/relationships/worksheet" Target="/xl/worksheets/sheet5.xml" Id="Rcff3f28f082a4ff1" /><Relationship Type="http://schemas.openxmlformats.org/officeDocument/2006/relationships/worksheet" Target="/xl/worksheets/sheet6.xml" Id="R94015916b94b4eb2" /><Relationship Type="http://schemas.openxmlformats.org/officeDocument/2006/relationships/worksheet" Target="/xl/worksheets/sheet7.xml" Id="Rcdff990dd21e49f0" /><Relationship Type="http://schemas.openxmlformats.org/officeDocument/2006/relationships/worksheet" Target="/xl/worksheets/sheet8.xml" Id="R298ccb65a6ec49a6" /><Relationship Type="http://schemas.openxmlformats.org/officeDocument/2006/relationships/worksheet" Target="/xl/worksheets/sheet9.xml" Id="Re871567cf9f544af" /><Relationship Type="http://schemas.openxmlformats.org/officeDocument/2006/relationships/worksheet" Target="/xl/worksheets/sheet10.xml" Id="R5be1f44308da4cf7" /><Relationship Type="http://schemas.openxmlformats.org/officeDocument/2006/relationships/worksheet" Target="/xl/worksheets/sheet11.xml" Id="Ra48495340c444d91" /><Relationship Type="http://schemas.openxmlformats.org/officeDocument/2006/relationships/worksheet" Target="/xl/worksheets/sheet12.xml" Id="R1cd4a4a229504ce8" /><Relationship Type="http://schemas.openxmlformats.org/officeDocument/2006/relationships/worksheet" Target="/xl/worksheets/sheet13.xml" Id="Rfd40f824370e4f34" /><Relationship Type="http://schemas.openxmlformats.org/officeDocument/2006/relationships/worksheet" Target="/xl/worksheets/sheet14.xml" Id="Re8feaac48aaa4c09" /><Relationship Type="http://schemas.openxmlformats.org/officeDocument/2006/relationships/worksheet" Target="/xl/worksheets/sheet15.xml" Id="R97e76fc3ec7e49c7" /><Relationship Type="http://schemas.openxmlformats.org/officeDocument/2006/relationships/worksheet" Target="/xl/worksheets/sheet16.xml" Id="R08c7dec09b304b8b" /><Relationship Type="http://schemas.openxmlformats.org/officeDocument/2006/relationships/worksheet" Target="/xl/worksheets/sheet17.xml" Id="Rb057be52a58445b1" /><Relationship Type="http://schemas.openxmlformats.org/officeDocument/2006/relationships/worksheet" Target="/xl/worksheets/sheet18.xml" Id="R00adbcc3eca94b80" /><Relationship Type="http://schemas.openxmlformats.org/officeDocument/2006/relationships/worksheet" Target="/xl/worksheets/sheet19.xml" Id="R4d30884ca5a24625" /><Relationship Type="http://schemas.openxmlformats.org/officeDocument/2006/relationships/worksheet" Target="/xl/worksheets/sheet20.xml" Id="R7c885352b7894c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8" hidden="0" customWidth="1"/>
    <x:col min="4" max="4" width="2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4" customHeight="1">
      <x:c r="A1" s="142" t="str">
        <x:v>Overview</x:v>
      </x:c>
      <x:c r="B1" s="142"/>
      <x:c r="C1" s="142"/>
      <x:c r="D1" s="142"/>
      <x:c r="E1" s="142"/>
      <x:c r="F1" s="142"/>
      <x:c r="G1" s="142"/>
      <x:c r="H1" s="142"/>
    </x:row>
    <x:row r="2" ht="30" customHeight="1">
      <x:c r="A2" s="143" t="str">
        <x:v>System</x:v>
      </x:c>
      <x:c r="B2" s="143" t="str">
        <x:v>Purpose</x:v>
      </x:c>
      <x:c r="C2" s="143" t="str">
        <x:v>Fortune Go Rule</x:v>
      </x:c>
      <x:c r="D2" s="143" t="str">
        <x:v>Owner / Source of Truth</x:v>
      </x:c>
      <x:c r="E2" s="20"/>
      <x:c r="F2" s="20"/>
      <x:c r="G2" s="20"/>
      <x:c r="H2" s="20"/>
    </x:row>
    <x:row r="3">
      <x:c r="A3" s="20" t="str">
        <x:v>Events</x:v>
      </x:c>
      <x:c r="B3" s="20" t="str">
        <x:v>Recurring live-ops objectives and competition</x:v>
      </x:c>
      <x:c r="C3" s="20" t="str">
        <x:v>Overlapping daily, multi-day, weekly and seasonal finance events; one action can score in several active events.</x:v>
      </x:c>
      <x:c r="D3" s="20" t="str">
        <x:v>This workbook</x:v>
      </x:c>
      <x:c r="E3" s="20"/>
      <x:c r="F3" s="20"/>
      <x:c r="G3" s="20"/>
      <x:c r="H3" s="20"/>
    </x:row>
    <x:row r="4">
      <x:c r="A4" s="20" t="str">
        <x:v>Cases / Gacha</x:v>
      </x:c>
      <x:c r="B4" s="20" t="str">
        <x:v>Randomized earned rewards</x:v>
      </x:c>
      <x:c r="C4" s="20" t="str">
        <x:v>Cases are primarily earned through gameplay; direct token-for-random-box monetization is not the default.</x:v>
      </x:c>
      <x:c r="D4" s="20" t="str">
        <x:v>This workbook</x:v>
      </x:c>
      <x:c r="E4" s="20"/>
      <x:c r="F4" s="20"/>
      <x:c r="G4" s="20"/>
      <x:c r="H4" s="20"/>
    </x:row>
    <x:row r="5">
      <x:c r="A5" s="20" t="str">
        <x:v>Packs</x:v>
      </x:c>
      <x:c r="B5" s="20" t="str">
        <x:v>Deterministic premium bundles</x:v>
      </x:c>
      <x:c r="C5" s="20" t="str">
        <x:v>Players know exactly what they receive; priced in USD-equivalent and paid in $PLOT.</x:v>
      </x:c>
      <x:c r="D5" s="20" t="str">
        <x:v>This workbook</x:v>
      </x:c>
      <x:c r="E5" s="20"/>
      <x:c r="F5" s="20"/>
      <x:c r="G5" s="20"/>
      <x:c r="H5" s="20"/>
    </x:row>
    <x:row r="6">
      <x:c r="A6" s="20" t="str">
        <x:v>Season Pass</x:v>
      </x:c>
      <x:c r="B6" s="20" t="str">
        <x:v>28-day progression layer</x:v>
      </x:c>
      <x:c r="C6" s="20" t="str">
        <x:v>Free and premium tracks; premium bought in $PLOT-equivalent.</x:v>
      </x:c>
      <x:c r="D6" s="20" t="str">
        <x:v>This workbook</x:v>
      </x:c>
      <x:c r="E6" s="20"/>
      <x:c r="F6" s="20"/>
      <x:c r="G6" s="20"/>
      <x:c r="H6" s="20"/>
    </x:row>
    <x:row r="7">
      <x:c r="A7" s="20" t="str">
        <x:v>Cash</x:v>
      </x:c>
      <x:c r="B7" s="20" t="str">
        <x:v>Soft currency</x:v>
      </x:c>
      <x:c r="C7" s="20" t="str">
        <x:v>Buildings, upgrades, land, operations, investments and city economy.</x:v>
      </x:c>
      <x:c r="D7" s="20" t="str">
        <x:v>Canonical economy workbook</x:v>
      </x:c>
      <x:c r="E7" s="20"/>
      <x:c r="F7" s="20"/>
      <x:c r="G7" s="20"/>
      <x:c r="H7" s="20"/>
    </x:row>
    <x:row r="8">
      <x:c r="A8" s="20" t="str">
        <x:v>$PLOT</x:v>
      </x:c>
      <x:c r="B8" s="20" t="str">
        <x:v>Premium ecosystem token</x:v>
      </x:c>
      <x:c r="C8" s="20" t="str">
        <x:v>Packs, pass, selected premium services, marketplace/service fees and sinks.</x:v>
      </x:c>
      <x:c r="D8" s="20" t="str">
        <x:v>Tokenomics model</x:v>
      </x:c>
      <x:c r="E8" s="20"/>
      <x:c r="F8" s="20"/>
      <x:c r="G8" s="20"/>
      <x:c r="H8" s="20"/>
    </x:row>
    <x:row r="9">
      <x:c r="A9" s="20" t="str">
        <x:v>Modules</x:v>
      </x:c>
      <x:c r="B9" s="20" t="str">
        <x:v>Build customization / buffs</x:v>
      </x:c>
      <x:c r="C9" s="20" t="str">
        <x:v>Common to Legendary modules; duplicates convert to shards.</x:v>
      </x:c>
      <x:c r="D9" s="20" t="str">
        <x:v>This workbook + module system</x:v>
      </x:c>
      <x:c r="E9" s="20"/>
      <x:c r="F9" s="20"/>
      <x:c r="G9" s="20"/>
      <x:c r="H9" s="20"/>
    </x:row>
    <x:row r="10">
      <x:c r="A10" s="20" t="str">
        <x:v>Opportunity Cards</x:v>
      </x:c>
      <x:c r="B10" s="20" t="str">
        <x:v>Bonus strategic layer</x:v>
      </x:c>
      <x:c r="C10" s="20" t="str">
        <x:v>Normal catalog remains available; opportunities provide situational advantages.</x:v>
      </x:c>
      <x:c r="D10" s="20" t="str">
        <x:v>Opportunity design</x:v>
      </x:c>
      <x:c r="E10" s="20"/>
      <x:c r="F10" s="20"/>
      <x:c r="G10" s="20"/>
      <x:c r="H10" s="20"/>
    </x:row>
    <x:row r="11">
      <x:c r="A11" s="20"/>
      <x:c r="B11" s="20"/>
      <x:c r="C11" s="20"/>
      <x:c r="D11" s="20"/>
      <x:c r="E11" s="20"/>
      <x:c r="F11" s="20"/>
      <x:c r="G11" s="20"/>
      <x:c r="H11" s="20"/>
    </x:row>
    <x:row r="12">
      <x:c r="A12" s="144" t="str">
        <x:v>Core design principles</x:v>
      </x:c>
      <x:c r="B12" s="144"/>
      <x:c r="C12" s="144"/>
      <x:c r="D12" s="144"/>
      <x:c r="E12" s="144"/>
      <x:c r="F12" s="144"/>
      <x:c r="G12" s="144"/>
      <x:c r="H12" s="144"/>
    </x:row>
    <x:row r="13">
      <x:c r="A13" s="34" t="str">
        <x:v>1</x:v>
      </x:c>
      <x:c r="B13" s="20" t="str">
        <x:v>Do not hard-gate the normal building catalog behind gacha or opportunity cards.</x:v>
      </x:c>
      <x:c r="C13" s="20"/>
      <x:c r="D13" s="20"/>
      <x:c r="E13" s="20"/>
      <x:c r="F13" s="20"/>
      <x:c r="G13" s="20"/>
      <x:c r="H13" s="20"/>
    </x:row>
    <x:row r="14">
      <x:c r="A14" s="34" t="str">
        <x:v>2</x:v>
      </x:c>
      <x:c r="B14" s="20" t="str">
        <x:v>Do not sell direct power so aggressively that token spend invalidates strategy or time investment.</x:v>
      </x:c>
      <x:c r="C14" s="20"/>
      <x:c r="D14" s="20"/>
      <x:c r="E14" s="20"/>
      <x:c r="F14" s="20"/>
      <x:c r="G14" s="20"/>
      <x:c r="H14" s="20"/>
    </x:row>
    <x:row r="15">
      <x:c r="A15" s="34" t="str">
        <x:v>3</x:v>
      </x:c>
      <x:c r="B15" s="20" t="str">
        <x:v>Earned randomized cases and deterministic token packs are separate systems.</x:v>
      </x:c>
      <x:c r="C15" s="20"/>
      <x:c r="D15" s="20"/>
      <x:c r="E15" s="20"/>
      <x:c r="F15" s="20"/>
      <x:c r="G15" s="20"/>
      <x:c r="H15" s="20"/>
    </x:row>
    <x:row r="16">
      <x:c r="A16" s="34" t="str">
        <x:v>4</x:v>
      </x:c>
      <x:c r="B16" s="20" t="str">
        <x:v>Every reward item needs a sink or long-term use; duplicates should not become dead inventory.</x:v>
      </x:c>
      <x:c r="C16" s="20"/>
      <x:c r="D16" s="20"/>
      <x:c r="E16" s="20"/>
      <x:c r="F16" s="20"/>
      <x:c r="G16" s="20"/>
      <x:c r="H16" s="20"/>
    </x:row>
    <x:row r="17">
      <x:c r="A17" s="34" t="str">
        <x:v>5</x:v>
      </x:c>
      <x:c r="B17" s="20" t="str">
        <x:v>Events rotate demand across construction, upgrades, investing, Market Hunts, trading and multiplayer.</x:v>
      </x:c>
      <x:c r="C17" s="20"/>
      <x:c r="D17" s="20"/>
      <x:c r="E17" s="20"/>
      <x:c r="F17" s="20"/>
      <x:c r="G17" s="20"/>
      <x:c r="H17" s="20"/>
    </x:row>
    <x:row r="18">
      <x:c r="A18" s="34" t="str">
        <x:v>6</x:v>
      </x:c>
      <x:c r="B18" s="20" t="str">
        <x:v>$PLOT pack prices are derived from a USD/reference value so token volatility does not break store pricing.</x:v>
      </x:c>
      <x:c r="C18" s="20"/>
      <x:c r="D18" s="20"/>
      <x:c r="E18" s="20"/>
      <x:c r="F18" s="20"/>
      <x:c r="G18" s="20"/>
      <x:c r="H18" s="20"/>
    </x:row>
    <x:row r="19">
      <x:c r="A19" s="34" t="str">
        <x:v>7</x:v>
      </x:c>
      <x:c r="B19" s="20" t="str">
        <x:v>This workbook does not redefine canonical Cash/building economics.</x:v>
      </x:c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  <x:row r="21">
      <x:c r="A21" s="20"/>
      <x:c r="B21" s="20"/>
      <x:c r="C21" s="20"/>
      <x:c r="D21" s="20"/>
      <x:c r="E21" s="20"/>
      <x:c r="F21" s="20"/>
      <x:c r="G21" s="20"/>
      <x:c r="H21" s="20"/>
    </x:row>
    <x:row r="22">
      <x:c r="A22" s="20"/>
      <x:c r="B22" s="20"/>
      <x:c r="C22" s="20"/>
      <x:c r="D22" s="20"/>
      <x:c r="E22" s="20"/>
      <x:c r="F22" s="20"/>
      <x:c r="G22" s="20"/>
      <x:c r="H22" s="20"/>
    </x:row>
    <x:row r="23">
      <x:c r="A23" s="20"/>
      <x:c r="B23" s="20"/>
      <x:c r="C23" s="20"/>
      <x:c r="D23" s="20"/>
      <x:c r="E23" s="20"/>
      <x:c r="F23" s="20"/>
      <x:c r="G23" s="20"/>
      <x:c r="H23" s="20"/>
    </x:row>
    <x:row r="24">
      <x:c r="A24" s="20"/>
      <x:c r="B24" s="20"/>
      <x:c r="C24" s="20"/>
      <x:c r="D24" s="20"/>
      <x:c r="E24" s="20"/>
      <x:c r="F24" s="20"/>
      <x:c r="G24" s="20"/>
      <x:c r="H24" s="20"/>
    </x:row>
    <x:row r="25">
      <x:c r="A25" s="20"/>
      <x:c r="B25" s="20"/>
      <x:c r="C25" s="20"/>
      <x:c r="D25" s="20"/>
      <x:c r="E25" s="20"/>
      <x:c r="F25" s="20"/>
      <x:c r="G25" s="20"/>
      <x:c r="H25" s="20"/>
    </x:row>
    <x:row r="26">
      <x:c r="A26" s="20"/>
      <x:c r="B26" s="20"/>
      <x:c r="C26" s="20"/>
      <x:c r="D26" s="20"/>
      <x:c r="E26" s="20"/>
      <x:c r="F26" s="20"/>
      <x:c r="G26" s="20"/>
      <x:c r="H26" s="20"/>
    </x:row>
    <x:row r="27">
      <x:c r="A27" s="20"/>
      <x:c r="B27" s="20"/>
      <x:c r="C27" s="20"/>
      <x:c r="D27" s="20"/>
      <x:c r="E27" s="20"/>
      <x:c r="F27" s="20"/>
      <x:c r="G27" s="20"/>
      <x:c r="H27" s="20"/>
    </x:row>
    <x:row r="28">
      <x:c r="A28" s="20"/>
      <x:c r="B28" s="20"/>
      <x:c r="C28" s="20"/>
      <x:c r="D28" s="20"/>
      <x:c r="E28" s="20"/>
      <x:c r="F28" s="20"/>
      <x:c r="G28" s="20"/>
      <x:c r="H28" s="20"/>
    </x:row>
    <x:row r="29">
      <x:c r="A29" s="20"/>
      <x:c r="B29" s="20"/>
      <x:c r="C29" s="20"/>
      <x:c r="D29" s="20"/>
      <x:c r="E29" s="20"/>
      <x:c r="F29" s="20"/>
      <x:c r="G29" s="20"/>
      <x:c r="H29" s="20"/>
    </x:row>
    <x:row r="30">
      <x:c r="A30" s="20"/>
      <x:c r="B30" s="20"/>
      <x:c r="C30" s="20"/>
      <x:c r="D30" s="20"/>
      <x:c r="E30" s="20"/>
      <x:c r="F30" s="20"/>
      <x:c r="G30" s="20"/>
      <x:c r="H30" s="20"/>
    </x:row>
    <x:row r="31">
      <x:c r="A31" s="20"/>
      <x:c r="B31" s="20"/>
      <x:c r="C31" s="20"/>
      <x:c r="D31" s="20"/>
      <x:c r="E31" s="20"/>
      <x:c r="F31" s="20"/>
      <x:c r="G31" s="20"/>
      <x:c r="H31" s="20"/>
    </x:row>
    <x:row r="32">
      <x:c r="A32" s="20"/>
      <x:c r="B32" s="20"/>
      <x:c r="C32" s="20"/>
      <x:c r="D32" s="20"/>
      <x:c r="E32" s="20"/>
      <x:c r="F32" s="20"/>
      <x:c r="G32" s="20"/>
      <x:c r="H32" s="20"/>
    </x:row>
    <x:row r="33">
      <x:c r="A33" s="20"/>
      <x:c r="B33" s="20"/>
      <x:c r="C33" s="20"/>
      <x:c r="D33" s="20"/>
      <x:c r="E33" s="20"/>
      <x:c r="F33" s="20"/>
      <x:c r="G33" s="20"/>
      <x:c r="H33" s="20"/>
    </x:row>
    <x:row r="34">
      <x:c r="A34" s="20"/>
      <x:c r="B34" s="20"/>
      <x:c r="C34" s="20"/>
      <x:c r="D34" s="20"/>
      <x:c r="E34" s="20"/>
      <x:c r="F34" s="20"/>
      <x:c r="G34" s="20"/>
      <x:c r="H34" s="20"/>
    </x:row>
    <x:row r="35">
      <x:c r="A35" s="20"/>
      <x:c r="B35" s="20"/>
      <x:c r="C35" s="20"/>
      <x:c r="D35" s="20"/>
      <x:c r="E35" s="20"/>
      <x:c r="F35" s="20"/>
      <x:c r="G35" s="20"/>
      <x:c r="H35" s="20"/>
    </x:row>
    <x:row r="36">
      <x:c r="A36" s="20"/>
      <x:c r="B36" s="20"/>
      <x:c r="C36" s="20"/>
      <x:c r="D36" s="20"/>
      <x:c r="E36" s="20"/>
      <x:c r="F36" s="20"/>
      <x:c r="G36" s="20"/>
      <x:c r="H36" s="20"/>
    </x:row>
    <x:row r="37">
      <x:c r="A37" s="20"/>
      <x:c r="B37" s="20"/>
      <x:c r="C37" s="20"/>
      <x:c r="D37" s="20"/>
      <x:c r="E37" s="20"/>
      <x:c r="F37" s="20"/>
      <x:c r="G37" s="20"/>
      <x:c r="H37" s="20"/>
    </x:row>
    <x:row r="38">
      <x:c r="A38" s="20"/>
      <x:c r="B38" s="20"/>
      <x:c r="C38" s="20"/>
      <x:c r="D38" s="20"/>
      <x:c r="E38" s="20"/>
      <x:c r="F38" s="20"/>
      <x:c r="G38" s="20"/>
      <x:c r="H38" s="20"/>
    </x:row>
    <x:row r="39">
      <x:c r="A39" s="20"/>
      <x:c r="B39" s="20"/>
      <x:c r="C39" s="20"/>
      <x:c r="D39" s="20"/>
      <x:c r="E39" s="20"/>
      <x:c r="F39" s="20"/>
      <x:c r="G39" s="20"/>
      <x:c r="H39" s="20"/>
    </x:row>
    <x:row r="40">
      <x:c r="A40" s="20"/>
      <x:c r="B40" s="20"/>
      <x:c r="C40" s="20"/>
      <x:c r="D40" s="20"/>
      <x:c r="E40" s="20"/>
      <x:c r="F40" s="20"/>
      <x:c r="G40" s="20"/>
      <x:c r="H40" s="20"/>
    </x:row>
    <x:row r="41">
      <x:c r="A41" s="20"/>
      <x:c r="B41" s="20"/>
      <x:c r="C41" s="20"/>
      <x:c r="D41" s="20"/>
      <x:c r="E41" s="20"/>
      <x:c r="F41" s="20"/>
      <x:c r="G41" s="20"/>
      <x:c r="H41" s="20"/>
    </x:row>
    <x:row r="42">
      <x:c r="A42" s="20"/>
      <x:c r="B42" s="20"/>
      <x:c r="C42" s="20"/>
      <x:c r="D42" s="20"/>
      <x:c r="E42" s="20"/>
      <x:c r="F42" s="20"/>
      <x:c r="G42" s="20"/>
      <x:c r="H42" s="20"/>
    </x:row>
    <x:row r="43">
      <x:c r="A43" s="20"/>
      <x:c r="B43" s="20"/>
      <x:c r="C43" s="20"/>
      <x:c r="D43" s="20"/>
      <x:c r="E43" s="20"/>
      <x:c r="F43" s="20"/>
      <x:c r="G43" s="20"/>
      <x:c r="H43" s="20"/>
    </x:row>
    <x:row r="44">
      <x:c r="A44" s="20"/>
      <x:c r="B44" s="20"/>
      <x:c r="C44" s="20"/>
      <x:c r="D44" s="20"/>
      <x:c r="E44" s="20"/>
      <x:c r="F44" s="20"/>
      <x:c r="G44" s="20"/>
      <x:c r="H44" s="20"/>
    </x:row>
    <x:row r="45">
      <x:c r="A45" s="20"/>
      <x:c r="B45" s="20"/>
      <x:c r="C45" s="20"/>
      <x:c r="D45" s="20"/>
      <x:c r="E45" s="20"/>
      <x:c r="F45" s="20"/>
      <x:c r="G45" s="20"/>
      <x:c r="H45" s="20"/>
    </x:row>
    <x:row r="46">
      <x:c r="A46" s="20"/>
      <x:c r="B46" s="20"/>
      <x:c r="C46" s="20"/>
      <x:c r="D46" s="20"/>
      <x:c r="E46" s="20"/>
      <x:c r="F46" s="20"/>
      <x:c r="G46" s="20"/>
      <x:c r="H46" s="20"/>
    </x:row>
    <x:row r="47">
      <x:c r="A47" s="20"/>
      <x:c r="B47" s="20"/>
      <x:c r="C47" s="20"/>
      <x:c r="D47" s="20"/>
      <x:c r="E47" s="20"/>
      <x:c r="F47" s="20"/>
      <x:c r="G47" s="20"/>
      <x:c r="H47" s="20"/>
    </x:row>
    <x:row r="48">
      <x:c r="A48" s="20"/>
      <x:c r="B48" s="20"/>
      <x:c r="C48" s="20"/>
      <x:c r="D48" s="20"/>
      <x:c r="E48" s="20"/>
      <x:c r="F48" s="20"/>
      <x:c r="G48" s="20"/>
      <x:c r="H48" s="20"/>
    </x:row>
    <x:row r="49">
      <x:c r="A49" s="20"/>
      <x:c r="B49" s="20"/>
      <x:c r="C49" s="20"/>
      <x:c r="D49" s="20"/>
      <x:c r="E49" s="20"/>
      <x:c r="F49" s="20"/>
      <x:c r="G49" s="20"/>
      <x:c r="H49" s="20"/>
    </x:row>
    <x:row r="50">
      <x:c r="A50" s="20"/>
      <x:c r="B50" s="20"/>
      <x:c r="C50" s="20"/>
      <x:c r="D50" s="20"/>
      <x:c r="E50" s="20"/>
      <x:c r="F50" s="20"/>
      <x:c r="G50" s="20"/>
      <x:c r="H50" s="20"/>
    </x:row>
    <x:row r="51">
      <x:c r="A51" s="20"/>
      <x:c r="B51" s="20"/>
      <x:c r="C51" s="20"/>
      <x:c r="D51" s="20"/>
      <x:c r="E51" s="20"/>
      <x:c r="F51" s="20"/>
      <x:c r="G51" s="20"/>
      <x:c r="H51" s="20"/>
    </x:row>
    <x:row r="52">
      <x:c r="A52" s="20"/>
      <x:c r="B52" s="20"/>
      <x:c r="C52" s="20"/>
      <x:c r="D52" s="20"/>
      <x:c r="E52" s="20"/>
      <x:c r="F52" s="20"/>
      <x:c r="G52" s="20"/>
      <x:c r="H52" s="20"/>
    </x:row>
    <x:row r="53">
      <x:c r="A53" s="20"/>
      <x:c r="B53" s="20"/>
      <x:c r="C53" s="20"/>
      <x:c r="D53" s="20"/>
      <x:c r="E53" s="20"/>
      <x:c r="F53" s="20"/>
      <x:c r="G53" s="20"/>
      <x:c r="H53" s="20"/>
    </x:row>
    <x:row r="54">
      <x:c r="A54" s="20"/>
      <x:c r="B54" s="20"/>
      <x:c r="C54" s="20"/>
      <x:c r="D54" s="20"/>
      <x:c r="E54" s="20"/>
      <x:c r="F54" s="20"/>
      <x:c r="G54" s="20"/>
      <x:c r="H54" s="20"/>
    </x:row>
    <x:row r="55">
      <x:c r="A55" s="20"/>
      <x:c r="B55" s="20"/>
      <x:c r="C55" s="20"/>
      <x:c r="D55" s="20"/>
      <x:c r="E55" s="20"/>
      <x:c r="F55" s="20"/>
      <x:c r="G55" s="20"/>
      <x:c r="H55" s="20"/>
    </x:row>
    <x:row r="56">
      <x:c r="A56" s="20"/>
      <x:c r="B56" s="20"/>
      <x:c r="C56" s="20"/>
      <x:c r="D56" s="20"/>
      <x:c r="E56" s="20"/>
      <x:c r="F56" s="20"/>
      <x:c r="G56" s="20"/>
      <x:c r="H56" s="20"/>
    </x:row>
    <x:row r="57">
      <x:c r="A57" s="20"/>
      <x:c r="B57" s="20"/>
      <x:c r="C57" s="20"/>
      <x:c r="D57" s="20"/>
      <x:c r="E57" s="20"/>
      <x:c r="F57" s="20"/>
      <x:c r="G57" s="20"/>
      <x:c r="H57" s="20"/>
    </x:row>
    <x:row r="58">
      <x:c r="A58" s="20"/>
      <x:c r="B58" s="20"/>
      <x:c r="C58" s="20"/>
      <x:c r="D58" s="20"/>
      <x:c r="E58" s="20"/>
      <x:c r="F58" s="20"/>
      <x:c r="G58" s="20"/>
      <x:c r="H58" s="20"/>
    </x:row>
    <x:row r="59">
      <x:c r="A59" s="20"/>
      <x:c r="B59" s="20"/>
      <x:c r="C59" s="20"/>
      <x:c r="D59" s="20"/>
      <x:c r="E59" s="20"/>
      <x:c r="F59" s="20"/>
      <x:c r="G59" s="20"/>
      <x:c r="H59" s="20"/>
    </x:row>
    <x:row r="60">
      <x:c r="A60" s="20"/>
      <x:c r="B60" s="20"/>
      <x:c r="C60" s="20"/>
      <x:c r="D60" s="20"/>
      <x:c r="E60" s="20"/>
      <x:c r="F60" s="20"/>
      <x:c r="G60" s="20"/>
      <x:c r="H60" s="20"/>
    </x:row>
    <x:row r="61">
      <x:c r="A61" s="20"/>
      <x:c r="B61" s="20"/>
      <x:c r="C61" s="20"/>
      <x:c r="D61" s="20"/>
      <x:c r="E61" s="20"/>
      <x:c r="F61" s="20"/>
      <x:c r="G61" s="20"/>
      <x:c r="H61" s="20"/>
    </x:row>
    <x:row r="62">
      <x:c r="A62" s="20"/>
      <x:c r="B62" s="20"/>
      <x:c r="C62" s="20"/>
      <x:c r="D62" s="20"/>
      <x:c r="E62" s="20"/>
      <x:c r="F62" s="20"/>
      <x:c r="G62" s="20"/>
      <x:c r="H62" s="20"/>
    </x:row>
    <x:row r="63">
      <x:c r="A63" s="20"/>
      <x:c r="B63" s="20"/>
      <x:c r="C63" s="20"/>
      <x:c r="D63" s="20"/>
      <x:c r="E63" s="20"/>
      <x:c r="F63" s="20"/>
      <x:c r="G63" s="20"/>
      <x:c r="H63" s="20"/>
    </x:row>
    <x:row r="64">
      <x:c r="A64" s="20"/>
      <x:c r="B64" s="20"/>
      <x:c r="C64" s="20"/>
      <x:c r="D64" s="20"/>
      <x:c r="E64" s="20"/>
      <x:c r="F64" s="20"/>
      <x:c r="G64" s="20"/>
      <x:c r="H64" s="20"/>
    </x:row>
    <x:row r="65">
      <x:c r="A65" s="20"/>
      <x:c r="B65" s="20"/>
      <x:c r="C65" s="20"/>
      <x:c r="D65" s="20"/>
      <x:c r="E65" s="20"/>
      <x:c r="F65" s="20"/>
      <x:c r="G65" s="20"/>
      <x:c r="H65" s="20"/>
    </x:row>
    <x:row r="66">
      <x:c r="A66" s="20"/>
      <x:c r="B66" s="20"/>
      <x:c r="C66" s="20"/>
      <x:c r="D66" s="20"/>
      <x:c r="E66" s="20"/>
      <x:c r="F66" s="20"/>
      <x:c r="G66" s="20"/>
      <x:c r="H66" s="20"/>
    </x:row>
    <x:row r="67">
      <x:c r="A67" s="20"/>
      <x:c r="B67" s="20"/>
      <x:c r="C67" s="20"/>
      <x:c r="D67" s="20"/>
      <x:c r="E67" s="20"/>
      <x:c r="F67" s="20"/>
      <x:c r="G67" s="20"/>
      <x:c r="H67" s="20"/>
    </x:row>
    <x:row r="68">
      <x:c r="A68" s="20"/>
      <x:c r="B68" s="20"/>
      <x:c r="C68" s="20"/>
      <x:c r="D68" s="20"/>
      <x:c r="E68" s="20"/>
      <x:c r="F68" s="20"/>
      <x:c r="G68" s="20"/>
      <x:c r="H68" s="20"/>
    </x:row>
    <x:row r="69">
      <x:c r="A69" s="20"/>
      <x:c r="B69" s="20"/>
      <x:c r="C69" s="20"/>
      <x:c r="D69" s="20"/>
      <x:c r="E69" s="20"/>
      <x:c r="F69" s="20"/>
      <x:c r="G69" s="20"/>
      <x:c r="H69" s="20"/>
    </x:row>
    <x:row r="70">
      <x:c r="A70" s="20"/>
      <x:c r="B70" s="20"/>
      <x:c r="C70" s="20"/>
      <x:c r="D70" s="20"/>
      <x:c r="E70" s="20"/>
      <x:c r="F70" s="20"/>
      <x:c r="G70" s="20"/>
      <x:c r="H70" s="20"/>
    </x:row>
    <x:row r="71">
      <x:c r="A71" s="20"/>
      <x:c r="B71" s="20"/>
      <x:c r="C71" s="20"/>
      <x:c r="D71" s="20"/>
      <x:c r="E71" s="20"/>
      <x:c r="F71" s="20"/>
      <x:c r="G71" s="20"/>
      <x:c r="H71" s="20"/>
    </x:row>
    <x:row r="72">
      <x:c r="A72" s="20"/>
      <x:c r="B72" s="20"/>
      <x:c r="C72" s="20"/>
      <x:c r="D72" s="20"/>
      <x:c r="E72" s="20"/>
      <x:c r="F72" s="20"/>
      <x:c r="G72" s="20"/>
      <x:c r="H72" s="20"/>
    </x:row>
    <x:row r="73">
      <x:c r="A73" s="20"/>
      <x:c r="B73" s="20"/>
      <x:c r="C73" s="20"/>
      <x:c r="D73" s="20"/>
      <x:c r="E73" s="20"/>
      <x:c r="F73" s="20"/>
      <x:c r="G73" s="20"/>
      <x:c r="H73" s="20"/>
    </x:row>
    <x:row r="74">
      <x:c r="A74" s="20"/>
      <x:c r="B74" s="20"/>
      <x:c r="C74" s="20"/>
      <x:c r="D74" s="20"/>
      <x:c r="E74" s="20"/>
      <x:c r="F74" s="20"/>
      <x:c r="G74" s="20"/>
      <x:c r="H74" s="20"/>
    </x:row>
    <x:row r="75">
      <x:c r="A75" s="20"/>
      <x:c r="B75" s="20"/>
      <x:c r="C75" s="20"/>
      <x:c r="D75" s="20"/>
      <x:c r="E75" s="20"/>
      <x:c r="F75" s="20"/>
      <x:c r="G75" s="20"/>
      <x:c r="H75" s="20"/>
    </x:row>
    <x:row r="76">
      <x:c r="A76" s="20"/>
      <x:c r="B76" s="20"/>
      <x:c r="C76" s="20"/>
      <x:c r="D76" s="20"/>
      <x:c r="E76" s="20"/>
      <x:c r="F76" s="20"/>
      <x:c r="G76" s="20"/>
      <x:c r="H76" s="20"/>
    </x:row>
    <x:row r="77">
      <x:c r="A77" s="20"/>
      <x:c r="B77" s="20"/>
      <x:c r="C77" s="20"/>
      <x:c r="D77" s="20"/>
      <x:c r="E77" s="20"/>
      <x:c r="F77" s="20"/>
      <x:c r="G77" s="20"/>
      <x:c r="H77" s="20"/>
    </x:row>
    <x:row r="78">
      <x:c r="A78" s="20"/>
      <x:c r="B78" s="20"/>
      <x:c r="C78" s="20"/>
      <x:c r="D78" s="20"/>
      <x:c r="E78" s="20"/>
      <x:c r="F78" s="20"/>
      <x:c r="G78" s="20"/>
      <x:c r="H78" s="20"/>
    </x:row>
    <x:row r="79">
      <x:c r="A79" s="20"/>
      <x:c r="B79" s="20"/>
      <x:c r="C79" s="20"/>
      <x:c r="D79" s="20"/>
      <x:c r="E79" s="20"/>
      <x:c r="F79" s="20"/>
      <x:c r="G79" s="20"/>
      <x:c r="H79" s="20"/>
    </x:row>
    <x:row r="80">
      <x:c r="A80" s="20"/>
      <x:c r="B80" s="20"/>
      <x:c r="C80" s="20"/>
      <x:c r="D80" s="20"/>
      <x:c r="E80" s="20"/>
      <x:c r="F80" s="20"/>
      <x:c r="G80" s="20"/>
      <x:c r="H80" s="20"/>
    </x:row>
  </x:sheetData>
  <x:mergeCells>
    <x:mergeCell ref="A1:H1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44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142" t="str">
        <x:v>Assumptions</x:v>
      </x:c>
      <x:c r="B1" s="142"/>
      <x:c r="C1" s="142"/>
      <x:c r="D1" s="142"/>
      <x:c r="E1" s="142"/>
      <x:c r="F1" s="142"/>
      <x:c r="G1" s="142"/>
      <x:c r="H1" s="142"/>
    </x:row>
    <x:row r="2" ht="30" customHeight="1">
      <x:c r="A2" s="143" t="str">
        <x:v>Assumption</x:v>
      </x:c>
      <x:c r="B2" s="143" t="str">
        <x:v>Value</x:v>
      </x:c>
      <x:c r="C2" s="143" t="str">
        <x:v>Unit</x:v>
      </x:c>
      <x:c r="D2" s="143" t="str">
        <x:v>Design Note</x:v>
      </x:c>
      <x:c r="E2" s="143" t="str">
        <x:v>Source</x:v>
      </x:c>
      <x:c r="F2" s="20"/>
      <x:c r="G2" s="20"/>
      <x:c r="H2" s="20"/>
    </x:row>
    <x:row r="3">
      <x:c r="A3" s="20" t="str">
        <x:v>Season length</x:v>
      </x:c>
      <x:c r="B3" s="64" t="n">
        <x:v>28</x:v>
      </x:c>
      <x:c r="C3" s="20" t="str">
        <x:v>days</x:v>
      </x:c>
      <x:c r="D3" s="20" t="str">
        <x:v>One financial season.</x:v>
      </x:c>
      <x:c r="E3" s="20" t="str">
        <x:v>Design assumption</x:v>
      </x:c>
      <x:c r="F3" s="20"/>
      <x:c r="G3" s="20"/>
      <x:c r="H3" s="20"/>
    </x:row>
    <x:row r="4">
      <x:c r="A4" s="20" t="str">
        <x:v>Weeks per season</x:v>
      </x:c>
      <x:c r="B4" s="65" t="n">
        <x:f>B3/7</x:f>
        <x:v>4</x:v>
      </x:c>
      <x:c r="C4" s="20" t="str">
        <x:v>weeks</x:v>
      </x:c>
      <x:c r="D4" s="20" t="str">
        <x:v>Formula: season length / 7.</x:v>
      </x:c>
      <x:c r="E4" s="20" t="str">
        <x:v>Formula</x:v>
      </x:c>
      <x:c r="F4" s="20"/>
      <x:c r="G4" s="20"/>
      <x:c r="H4" s="20"/>
    </x:row>
    <x:row r="5">
      <x:c r="A5" s="20" t="str">
        <x:v>Reference $PLOT price</x:v>
      </x:c>
      <x:c r="B5" s="66" t="n">
        <x:v>0.015</x:v>
      </x:c>
      <x:c r="C5" s="20" t="str">
        <x:v>USD / PLOT</x:v>
      </x:c>
      <x:c r="D5" s="20" t="str">
        <x:v>Store conversion reference; production should use controlled quote/oracle logic.</x:v>
      </x:c>
      <x:c r="E5" s="20" t="str">
        <x:v>Token market input</x:v>
      </x:c>
      <x:c r="F5" s="20"/>
      <x:c r="G5" s="20"/>
      <x:c r="H5" s="20"/>
    </x:row>
    <x:row r="6">
      <x:c r="A6" s="20" t="str">
        <x:v>Premium pass reference price</x:v>
      </x:c>
      <x:c r="B6" s="67" t="n">
        <x:v>9.99</x:v>
      </x:c>
      <x:c r="C6" s="20" t="str">
        <x:v>USD</x:v>
      </x:c>
      <x:c r="D6" s="20" t="str">
        <x:v>Illustrative; tune after testing.</x:v>
      </x:c>
      <x:c r="E6" s="20" t="str">
        <x:v>Design assumption</x:v>
      </x:c>
      <x:c r="F6" s="20"/>
      <x:c r="G6" s="20"/>
      <x:c r="H6" s="20"/>
    </x:row>
    <x:row r="7">
      <x:c r="A7" s="20" t="str">
        <x:v>Pack reprice threshold</x:v>
      </x:c>
      <x:c r="B7" s="68" t="n">
        <x:v>0.05</x:v>
      </x:c>
      <x:c r="C7" s="20" t="str">
        <x:v>% move</x:v>
      </x:c>
      <x:c r="D7" s="20" t="str">
        <x:v>Refresh store quote when token reference price moves materially.</x:v>
      </x:c>
      <x:c r="E7" s="20" t="str">
        <x:v>Design assumption</x:v>
      </x:c>
      <x:c r="F7" s="20"/>
      <x:c r="G7" s="20"/>
      <x:c r="H7" s="20"/>
    </x:row>
    <x:row r="8">
      <x:c r="A8" s="20" t="str">
        <x:v>Daily free case entitlement</x:v>
      </x:c>
      <x:c r="B8" s="64" t="n">
        <x:v>1</x:v>
      </x:c>
      <x:c r="C8" s="20" t="str">
        <x:v>case/day</x:v>
      </x:c>
      <x:c r="D8" s="20" t="str">
        <x:v>One free Daily Case.</x:v>
      </x:c>
      <x:c r="E8" s="20" t="str">
        <x:v>Design assumption</x:v>
      </x:c>
      <x:c r="F8" s="20"/>
      <x:c r="G8" s="20"/>
      <x:c r="H8" s="20"/>
    </x:row>
    <x:row r="9">
      <x:c r="A9" s="20" t="str">
        <x:v>Executive pity threshold</x:v>
      </x:c>
      <x:c r="B9" s="64" t="n">
        <x:v>20</x:v>
      </x:c>
      <x:c r="C9" s="20" t="str">
        <x:v>opens</x:v>
      </x:c>
      <x:c r="D9" s="20" t="str">
        <x:v>Guarantee Epic+ if no Epic+ by threshold.</x:v>
      </x:c>
      <x:c r="E9" s="20" t="str">
        <x:v>Design assumption</x:v>
      </x:c>
      <x:c r="F9" s="20"/>
      <x:c r="G9" s="20"/>
      <x:c r="H9" s="20"/>
    </x:row>
    <x:row r="10">
      <x:c r="A10" s="20" t="str">
        <x:v>Tycoon pity threshold</x:v>
      </x:c>
      <x:c r="B10" s="64" t="n">
        <x:v>30</x:v>
      </x:c>
      <x:c r="C10" s="20" t="str">
        <x:v>opens</x:v>
      </x:c>
      <x:c r="D10" s="20" t="str">
        <x:v>Guarantee Legendary if no Legendary by threshold.</x:v>
      </x:c>
      <x:c r="E10" s="20" t="str">
        <x:v>Design assumption</x:v>
      </x:c>
      <x:c r="F10" s="20"/>
      <x:c r="G10" s="20"/>
      <x:c r="H10" s="20"/>
    </x:row>
    <x:row r="11">
      <x:c r="A11" s="20" t="str">
        <x:v>Common duplicate salvage</x:v>
      </x:c>
      <x:c r="B11" s="64" t="n">
        <x:v>5</x:v>
      </x:c>
      <x:c r="C11" s="20" t="str">
        <x:v>shards</x:v>
      </x:c>
      <x:c r="D11" s="20" t="str">
        <x:v>Duplicate module conversion.</x:v>
      </x:c>
      <x:c r="E11" s="20" t="str">
        <x:v>Design assumption</x:v>
      </x:c>
      <x:c r="F11" s="20"/>
      <x:c r="G11" s="20"/>
      <x:c r="H11" s="20"/>
    </x:row>
    <x:row r="12">
      <x:c r="A12" s="20" t="str">
        <x:v>Rare duplicate salvage</x:v>
      </x:c>
      <x:c r="B12" s="64" t="n">
        <x:v>20</x:v>
      </x:c>
      <x:c r="C12" s="20" t="str">
        <x:v>shards</x:v>
      </x:c>
      <x:c r="D12" s="20" t="str">
        <x:v>Duplicate module conversion.</x:v>
      </x:c>
      <x:c r="E12" s="20" t="str">
        <x:v>Design assumption</x:v>
      </x:c>
      <x:c r="F12" s="20"/>
      <x:c r="G12" s="20"/>
      <x:c r="H12" s="20"/>
    </x:row>
    <x:row r="13">
      <x:c r="A13" s="20" t="str">
        <x:v>Epic duplicate salvage</x:v>
      </x:c>
      <x:c r="B13" s="64" t="n">
        <x:v>80</x:v>
      </x:c>
      <x:c r="C13" s="20" t="str">
        <x:v>shards</x:v>
      </x:c>
      <x:c r="D13" s="20" t="str">
        <x:v>Duplicate module conversion.</x:v>
      </x:c>
      <x:c r="E13" s="20" t="str">
        <x:v>Design assumption</x:v>
      </x:c>
      <x:c r="F13" s="20"/>
      <x:c r="G13" s="20"/>
      <x:c r="H13" s="20"/>
    </x:row>
    <x:row r="14">
      <x:c r="A14" s="20" t="str">
        <x:v>Legendary duplicate salvage</x:v>
      </x:c>
      <x:c r="B14" s="64" t="n">
        <x:v>250</x:v>
      </x:c>
      <x:c r="C14" s="20" t="str">
        <x:v>shards</x:v>
      </x:c>
      <x:c r="D14" s="20" t="str">
        <x:v>Duplicate module conversion.</x:v>
      </x:c>
      <x:c r="E14" s="20" t="str">
        <x:v>Design assumption</x:v>
      </x:c>
      <x:c r="F14" s="20"/>
      <x:c r="G14" s="20"/>
      <x:c r="H14" s="20"/>
    </x:row>
    <x:row r="15">
      <x:c r="A15" s="20" t="str">
        <x:v>Gameplay treasury routing</x:v>
      </x:c>
      <x:c r="B15" s="69" t="n">
        <x:v>0.4</x:v>
      </x:c>
      <x:c r="C15" s="20" t="str">
        <x:v>% of spent PLOT</x:v>
      </x:c>
      <x:c r="D15" s="20" t="str">
        <x:v>Illustrative only; final tokenomics may override.</x:v>
      </x:c>
      <x:c r="E15" s="20" t="str">
        <x:v>Design assumption</x:v>
      </x:c>
      <x:c r="F15" s="20"/>
      <x:c r="G15" s="20"/>
      <x:c r="H15" s="20"/>
    </x:row>
    <x:row r="16">
      <x:c r="A16" s="20" t="str">
        <x:v>Token burn routing</x:v>
      </x:c>
      <x:c r="B16" s="69" t="n">
        <x:v>0.4</x:v>
      </x:c>
      <x:c r="C16" s="20" t="str">
        <x:v>% of spent PLOT</x:v>
      </x:c>
      <x:c r="D16" s="20" t="str">
        <x:v>Illustrative only; final tokenomics may override.</x:v>
      </x:c>
      <x:c r="E16" s="20" t="str">
        <x:v>Design assumption</x:v>
      </x:c>
      <x:c r="F16" s="20"/>
      <x:c r="G16" s="20"/>
      <x:c r="H16" s="20"/>
    </x:row>
    <x:row r="17">
      <x:c r="A17" s="20" t="str">
        <x:v>Operations/ecosystem routing</x:v>
      </x:c>
      <x:c r="B17" s="69" t="n">
        <x:v>0.2</x:v>
      </x:c>
      <x:c r="C17" s="20" t="str">
        <x:v>% of spent PLOT</x:v>
      </x:c>
      <x:c r="D17" s="20" t="str">
        <x:v>Illustrative only; final tokenomics may override.</x:v>
      </x:c>
      <x:c r="E17" s="20" t="str">
        <x:v>Design assumption</x:v>
      </x:c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  <x:row r="21">
      <x:c r="A21" s="20"/>
      <x:c r="B21" s="20"/>
      <x:c r="C21" s="20"/>
      <x:c r="D21" s="20"/>
      <x:c r="E21" s="20"/>
      <x:c r="F21" s="20"/>
      <x:c r="G21" s="20"/>
      <x:c r="H21" s="20"/>
    </x:row>
    <x:row r="22">
      <x:c r="A22" s="20"/>
      <x:c r="B22" s="20"/>
      <x:c r="C22" s="20"/>
      <x:c r="D22" s="20"/>
      <x:c r="E22" s="20"/>
      <x:c r="F22" s="20"/>
      <x:c r="G22" s="20"/>
      <x:c r="H22" s="20"/>
    </x:row>
    <x:row r="23">
      <x:c r="A23" s="20"/>
      <x:c r="B23" s="20"/>
      <x:c r="C23" s="20"/>
      <x:c r="D23" s="20"/>
      <x:c r="E23" s="20"/>
      <x:c r="F23" s="20"/>
      <x:c r="G23" s="20"/>
      <x:c r="H23" s="20"/>
    </x:row>
    <x:row r="24">
      <x:c r="A24" s="20"/>
      <x:c r="B24" s="20"/>
      <x:c r="C24" s="20"/>
      <x:c r="D24" s="20"/>
      <x:c r="E24" s="20"/>
      <x:c r="F24" s="20"/>
      <x:c r="G24" s="20"/>
      <x:c r="H24" s="20"/>
    </x:row>
    <x:row r="25">
      <x:c r="A25" s="20"/>
      <x:c r="B25" s="20"/>
      <x:c r="C25" s="20"/>
      <x:c r="D25" s="20"/>
      <x:c r="E25" s="20"/>
      <x:c r="F25" s="20"/>
      <x:c r="G25" s="20"/>
      <x:c r="H25" s="20"/>
    </x:row>
    <x:row r="26">
      <x:c r="A26" s="20"/>
      <x:c r="B26" s="20"/>
      <x:c r="C26" s="20"/>
      <x:c r="D26" s="20"/>
      <x:c r="E26" s="20"/>
      <x:c r="F26" s="20"/>
      <x:c r="G26" s="20"/>
      <x:c r="H26" s="20"/>
    </x:row>
    <x:row r="27">
      <x:c r="A27" s="20"/>
      <x:c r="B27" s="20"/>
      <x:c r="C27" s="20"/>
      <x:c r="D27" s="20"/>
      <x:c r="E27" s="20"/>
      <x:c r="F27" s="20"/>
      <x:c r="G27" s="20"/>
      <x:c r="H27" s="20"/>
    </x:row>
    <x:row r="28">
      <x:c r="A28" s="20"/>
      <x:c r="B28" s="20"/>
      <x:c r="C28" s="20"/>
      <x:c r="D28" s="20"/>
      <x:c r="E28" s="20"/>
      <x:c r="F28" s="20"/>
      <x:c r="G28" s="20"/>
      <x:c r="H28" s="20"/>
    </x:row>
    <x:row r="29">
      <x:c r="A29" s="20"/>
      <x:c r="B29" s="20"/>
      <x:c r="C29" s="20"/>
      <x:c r="D29" s="20"/>
      <x:c r="E29" s="20"/>
      <x:c r="F29" s="20"/>
      <x:c r="G29" s="20"/>
      <x:c r="H29" s="20"/>
    </x:row>
    <x:row r="30">
      <x:c r="A30" s="20"/>
      <x:c r="B30" s="20"/>
      <x:c r="C30" s="20"/>
      <x:c r="D30" s="20"/>
      <x:c r="E30" s="20"/>
      <x:c r="F30" s="20"/>
      <x:c r="G30" s="20"/>
      <x:c r="H30" s="20"/>
    </x:row>
    <x:row r="31">
      <x:c r="A31" s="20"/>
      <x:c r="B31" s="20"/>
      <x:c r="C31" s="20"/>
      <x:c r="D31" s="20"/>
      <x:c r="E31" s="20"/>
      <x:c r="F31" s="20"/>
      <x:c r="G31" s="20"/>
      <x:c r="H31" s="20"/>
    </x:row>
    <x:row r="32">
      <x:c r="A32" s="20"/>
      <x:c r="B32" s="20"/>
      <x:c r="C32" s="20"/>
      <x:c r="D32" s="20"/>
      <x:c r="E32" s="20"/>
      <x:c r="F32" s="20"/>
      <x:c r="G32" s="20"/>
      <x:c r="H32" s="20"/>
    </x:row>
    <x:row r="33">
      <x:c r="A33" s="20"/>
      <x:c r="B33" s="20"/>
      <x:c r="C33" s="20"/>
      <x:c r="D33" s="20"/>
      <x:c r="E33" s="20"/>
      <x:c r="F33" s="20"/>
      <x:c r="G33" s="20"/>
      <x:c r="H33" s="20"/>
    </x:row>
    <x:row r="34">
      <x:c r="A34" s="20"/>
      <x:c r="B34" s="20"/>
      <x:c r="C34" s="20"/>
      <x:c r="D34" s="20"/>
      <x:c r="E34" s="20"/>
      <x:c r="F34" s="20"/>
      <x:c r="G34" s="20"/>
      <x:c r="H34" s="20"/>
    </x:row>
    <x:row r="35">
      <x:c r="A35" s="20"/>
      <x:c r="B35" s="20"/>
      <x:c r="C35" s="20"/>
      <x:c r="D35" s="20"/>
      <x:c r="E35" s="20"/>
      <x:c r="F35" s="20"/>
      <x:c r="G35" s="20"/>
      <x:c r="H35" s="20"/>
    </x:row>
    <x:row r="36">
      <x:c r="A36" s="20"/>
      <x:c r="B36" s="20"/>
      <x:c r="C36" s="20"/>
      <x:c r="D36" s="20"/>
      <x:c r="E36" s="20"/>
      <x:c r="F36" s="20"/>
      <x:c r="G36" s="20"/>
      <x:c r="H36" s="20"/>
    </x:row>
    <x:row r="37">
      <x:c r="A37" s="20"/>
      <x:c r="B37" s="20"/>
      <x:c r="C37" s="20"/>
      <x:c r="D37" s="20"/>
      <x:c r="E37" s="20"/>
      <x:c r="F37" s="20"/>
      <x:c r="G37" s="20"/>
      <x:c r="H37" s="20"/>
    </x:row>
    <x:row r="38">
      <x:c r="A38" s="20"/>
      <x:c r="B38" s="20"/>
      <x:c r="C38" s="20"/>
      <x:c r="D38" s="20"/>
      <x:c r="E38" s="20"/>
      <x:c r="F38" s="20"/>
      <x:c r="G38" s="20"/>
      <x:c r="H38" s="20"/>
    </x:row>
    <x:row r="39">
      <x:c r="A39" s="20"/>
      <x:c r="B39" s="20"/>
      <x:c r="C39" s="20"/>
      <x:c r="D39" s="20"/>
      <x:c r="E39" s="20"/>
      <x:c r="F39" s="20"/>
      <x:c r="G39" s="20"/>
      <x:c r="H39" s="20"/>
    </x:row>
    <x:row r="40">
      <x:c r="A40" s="20"/>
      <x:c r="B40" s="20"/>
      <x:c r="C40" s="20"/>
      <x:c r="D40" s="20"/>
      <x:c r="E40" s="20"/>
      <x:c r="F40" s="20"/>
      <x:c r="G40" s="20"/>
      <x:c r="H40" s="20"/>
    </x:row>
    <x:row r="41">
      <x:c r="A41" s="20"/>
      <x:c r="B41" s="20"/>
      <x:c r="C41" s="20"/>
      <x:c r="D41" s="20"/>
      <x:c r="E41" s="20"/>
      <x:c r="F41" s="20"/>
      <x:c r="G41" s="20"/>
      <x:c r="H41" s="20"/>
    </x:row>
    <x:row r="42">
      <x:c r="A42" s="20"/>
      <x:c r="B42" s="20"/>
      <x:c r="C42" s="20"/>
      <x:c r="D42" s="20"/>
      <x:c r="E42" s="20"/>
      <x:c r="F42" s="20"/>
      <x:c r="G42" s="20"/>
      <x:c r="H42" s="20"/>
    </x:row>
    <x:row r="43">
      <x:c r="A43" s="20"/>
      <x:c r="B43" s="20"/>
      <x:c r="C43" s="20"/>
      <x:c r="D43" s="20"/>
      <x:c r="E43" s="20"/>
      <x:c r="F43" s="20"/>
      <x:c r="G43" s="20"/>
      <x:c r="H43" s="20"/>
    </x:row>
    <x:row r="44">
      <x:c r="A44" s="20"/>
      <x:c r="B44" s="20"/>
      <x:c r="C44" s="20"/>
      <x:c r="D44" s="20"/>
      <x:c r="E44" s="20"/>
      <x:c r="F44" s="20"/>
      <x:c r="G44" s="20"/>
      <x:c r="H44" s="20"/>
    </x:row>
    <x:row r="45">
      <x:c r="A45" s="20"/>
      <x:c r="B45" s="20"/>
      <x:c r="C45" s="20"/>
      <x:c r="D45" s="20"/>
      <x:c r="E45" s="20"/>
      <x:c r="F45" s="20"/>
      <x:c r="G45" s="20"/>
      <x:c r="H45" s="20"/>
    </x:row>
    <x:row r="46">
      <x:c r="A46" s="20"/>
      <x:c r="B46" s="20"/>
      <x:c r="C46" s="20"/>
      <x:c r="D46" s="20"/>
      <x:c r="E46" s="20"/>
      <x:c r="F46" s="20"/>
      <x:c r="G46" s="20"/>
      <x:c r="H46" s="20"/>
    </x:row>
    <x:row r="47">
      <x:c r="A47" s="20"/>
      <x:c r="B47" s="20"/>
      <x:c r="C47" s="20"/>
      <x:c r="D47" s="20"/>
      <x:c r="E47" s="20"/>
      <x:c r="F47" s="20"/>
      <x:c r="G47" s="20"/>
      <x:c r="H47" s="20"/>
    </x:row>
    <x:row r="48">
      <x:c r="A48" s="20"/>
      <x:c r="B48" s="20"/>
      <x:c r="C48" s="20"/>
      <x:c r="D48" s="20"/>
      <x:c r="E48" s="20"/>
      <x:c r="F48" s="20"/>
      <x:c r="G48" s="20"/>
      <x:c r="H48" s="20"/>
    </x:row>
    <x:row r="49">
      <x:c r="A49" s="20"/>
      <x:c r="B49" s="20"/>
      <x:c r="C49" s="20"/>
      <x:c r="D49" s="20"/>
      <x:c r="E49" s="20"/>
      <x:c r="F49" s="20"/>
      <x:c r="G49" s="20"/>
      <x:c r="H49" s="20"/>
    </x:row>
    <x:row r="50">
      <x:c r="A50" s="20"/>
      <x:c r="B50" s="20"/>
      <x:c r="C50" s="20"/>
      <x:c r="D50" s="20"/>
      <x:c r="E50" s="20"/>
      <x:c r="F50" s="20"/>
      <x:c r="G50" s="20"/>
      <x:c r="H50" s="20"/>
    </x:row>
    <x:row r="51">
      <x:c r="A51" s="20"/>
      <x:c r="B51" s="20"/>
      <x:c r="C51" s="20"/>
      <x:c r="D51" s="20"/>
      <x:c r="E51" s="20"/>
      <x:c r="F51" s="20"/>
      <x:c r="G51" s="20"/>
      <x:c r="H51" s="20"/>
    </x:row>
    <x:row r="52">
      <x:c r="A52" s="20"/>
      <x:c r="B52" s="20"/>
      <x:c r="C52" s="20"/>
      <x:c r="D52" s="20"/>
      <x:c r="E52" s="20"/>
      <x:c r="F52" s="20"/>
      <x:c r="G52" s="20"/>
      <x:c r="H52" s="20"/>
    </x:row>
    <x:row r="53">
      <x:c r="A53" s="20"/>
      <x:c r="B53" s="20"/>
      <x:c r="C53" s="20"/>
      <x:c r="D53" s="20"/>
      <x:c r="E53" s="20"/>
      <x:c r="F53" s="20"/>
      <x:c r="G53" s="20"/>
      <x:c r="H53" s="20"/>
    </x:row>
    <x:row r="54">
      <x:c r="A54" s="20"/>
      <x:c r="B54" s="20"/>
      <x:c r="C54" s="20"/>
      <x:c r="D54" s="20"/>
      <x:c r="E54" s="20"/>
      <x:c r="F54" s="20"/>
      <x:c r="G54" s="20"/>
      <x:c r="H54" s="20"/>
    </x:row>
    <x:row r="55">
      <x:c r="A55" s="20"/>
      <x:c r="B55" s="20"/>
      <x:c r="C55" s="20"/>
      <x:c r="D55" s="20"/>
      <x:c r="E55" s="20"/>
      <x:c r="F55" s="20"/>
      <x:c r="G55" s="20"/>
      <x:c r="H55" s="20"/>
    </x:row>
    <x:row r="56">
      <x:c r="A56" s="20"/>
      <x:c r="B56" s="20"/>
      <x:c r="C56" s="20"/>
      <x:c r="D56" s="20"/>
      <x:c r="E56" s="20"/>
      <x:c r="F56" s="20"/>
      <x:c r="G56" s="20"/>
      <x:c r="H56" s="20"/>
    </x:row>
    <x:row r="57">
      <x:c r="A57" s="20"/>
      <x:c r="B57" s="20"/>
      <x:c r="C57" s="20"/>
      <x:c r="D57" s="20"/>
      <x:c r="E57" s="20"/>
      <x:c r="F57" s="20"/>
      <x:c r="G57" s="20"/>
      <x:c r="H57" s="20"/>
    </x:row>
    <x:row r="58">
      <x:c r="A58" s="20"/>
      <x:c r="B58" s="20"/>
      <x:c r="C58" s="20"/>
      <x:c r="D58" s="20"/>
      <x:c r="E58" s="20"/>
      <x:c r="F58" s="20"/>
      <x:c r="G58" s="20"/>
      <x:c r="H58" s="20"/>
    </x:row>
    <x:row r="59">
      <x:c r="A59" s="20"/>
      <x:c r="B59" s="20"/>
      <x:c r="C59" s="20"/>
      <x:c r="D59" s="20"/>
      <x:c r="E59" s="20"/>
      <x:c r="F59" s="20"/>
      <x:c r="G59" s="20"/>
      <x:c r="H59" s="20"/>
    </x:row>
    <x:row r="60">
      <x:c r="A60" s="20"/>
      <x:c r="B60" s="20"/>
      <x:c r="C60" s="20"/>
      <x:c r="D60" s="20"/>
      <x:c r="E60" s="20"/>
      <x:c r="F60" s="20"/>
      <x:c r="G60" s="20"/>
      <x:c r="H60" s="20"/>
    </x:row>
    <x:row r="61">
      <x:c r="A61" s="20"/>
      <x:c r="B61" s="20"/>
      <x:c r="C61" s="20"/>
      <x:c r="D61" s="20"/>
      <x:c r="E61" s="20"/>
      <x:c r="F61" s="20"/>
      <x:c r="G61" s="20"/>
      <x:c r="H61" s="20"/>
    </x:row>
    <x:row r="62">
      <x:c r="A62" s="20"/>
      <x:c r="B62" s="20"/>
      <x:c r="C62" s="20"/>
      <x:c r="D62" s="20"/>
      <x:c r="E62" s="20"/>
      <x:c r="F62" s="20"/>
      <x:c r="G62" s="20"/>
      <x:c r="H62" s="20"/>
    </x:row>
    <x:row r="63">
      <x:c r="A63" s="20"/>
      <x:c r="B63" s="20"/>
      <x:c r="C63" s="20"/>
      <x:c r="D63" s="20"/>
      <x:c r="E63" s="20"/>
      <x:c r="F63" s="20"/>
      <x:c r="G63" s="20"/>
      <x:c r="H63" s="20"/>
    </x:row>
    <x:row r="64">
      <x:c r="A64" s="20"/>
      <x:c r="B64" s="20"/>
      <x:c r="C64" s="20"/>
      <x:c r="D64" s="20"/>
      <x:c r="E64" s="20"/>
      <x:c r="F64" s="20"/>
      <x:c r="G64" s="20"/>
      <x:c r="H64" s="20"/>
    </x:row>
    <x:row r="65">
      <x:c r="A65" s="20"/>
      <x:c r="B65" s="20"/>
      <x:c r="C65" s="20"/>
      <x:c r="D65" s="20"/>
      <x:c r="E65" s="20"/>
      <x:c r="F65" s="20"/>
      <x:c r="G65" s="20"/>
      <x:c r="H65" s="20"/>
    </x:row>
    <x:row r="66">
      <x:c r="A66" s="20"/>
      <x:c r="B66" s="20"/>
      <x:c r="C66" s="20"/>
      <x:c r="D66" s="20"/>
      <x:c r="E66" s="20"/>
      <x:c r="F66" s="20"/>
      <x:c r="G66" s="20"/>
      <x:c r="H66" s="20"/>
    </x:row>
    <x:row r="67">
      <x:c r="A67" s="20"/>
      <x:c r="B67" s="20"/>
      <x:c r="C67" s="20"/>
      <x:c r="D67" s="20"/>
      <x:c r="E67" s="20"/>
      <x:c r="F67" s="20"/>
      <x:c r="G67" s="20"/>
      <x:c r="H67" s="20"/>
    </x:row>
    <x:row r="68">
      <x:c r="A68" s="20"/>
      <x:c r="B68" s="20"/>
      <x:c r="C68" s="20"/>
      <x:c r="D68" s="20"/>
      <x:c r="E68" s="20"/>
      <x:c r="F68" s="20"/>
      <x:c r="G68" s="20"/>
      <x:c r="H68" s="20"/>
    </x:row>
    <x:row r="69">
      <x:c r="A69" s="20"/>
      <x:c r="B69" s="20"/>
      <x:c r="C69" s="20"/>
      <x:c r="D69" s="20"/>
      <x:c r="E69" s="20"/>
      <x:c r="F69" s="20"/>
      <x:c r="G69" s="20"/>
      <x:c r="H69" s="20"/>
    </x:row>
    <x:row r="70">
      <x:c r="A70" s="20"/>
      <x:c r="B70" s="20"/>
      <x:c r="C70" s="20"/>
      <x:c r="D70" s="20"/>
      <x:c r="E70" s="20"/>
      <x:c r="F70" s="20"/>
      <x:c r="G70" s="20"/>
      <x:c r="H70" s="20"/>
    </x:row>
    <x:row r="71">
      <x:c r="A71" s="20"/>
      <x:c r="B71" s="20"/>
      <x:c r="C71" s="20"/>
      <x:c r="D71" s="20"/>
      <x:c r="E71" s="20"/>
      <x:c r="F71" s="20"/>
      <x:c r="G71" s="20"/>
      <x:c r="H71" s="20"/>
    </x:row>
    <x:row r="72">
      <x:c r="A72" s="20"/>
      <x:c r="B72" s="20"/>
      <x:c r="C72" s="20"/>
      <x:c r="D72" s="20"/>
      <x:c r="E72" s="20"/>
      <x:c r="F72" s="20"/>
      <x:c r="G72" s="20"/>
      <x:c r="H72" s="20"/>
    </x:row>
    <x:row r="73">
      <x:c r="A73" s="20"/>
      <x:c r="B73" s="20"/>
      <x:c r="C73" s="20"/>
      <x:c r="D73" s="20"/>
      <x:c r="E73" s="20"/>
      <x:c r="F73" s="20"/>
      <x:c r="G73" s="20"/>
      <x:c r="H73" s="20"/>
    </x:row>
    <x:row r="74">
      <x:c r="A74" s="20"/>
      <x:c r="B74" s="20"/>
      <x:c r="C74" s="20"/>
      <x:c r="D74" s="20"/>
      <x:c r="E74" s="20"/>
      <x:c r="F74" s="20"/>
      <x:c r="G74" s="20"/>
      <x:c r="H74" s="20"/>
    </x:row>
    <x:row r="75">
      <x:c r="A75" s="20"/>
      <x:c r="B75" s="20"/>
      <x:c r="C75" s="20"/>
      <x:c r="D75" s="20"/>
      <x:c r="E75" s="20"/>
      <x:c r="F75" s="20"/>
      <x:c r="G75" s="20"/>
      <x:c r="H75" s="20"/>
    </x:row>
    <x:row r="76">
      <x:c r="A76" s="20"/>
      <x:c r="B76" s="20"/>
      <x:c r="C76" s="20"/>
      <x:c r="D76" s="20"/>
      <x:c r="E76" s="20"/>
      <x:c r="F76" s="20"/>
      <x:c r="G76" s="20"/>
      <x:c r="H76" s="20"/>
    </x:row>
    <x:row r="77">
      <x:c r="A77" s="20"/>
      <x:c r="B77" s="20"/>
      <x:c r="C77" s="20"/>
      <x:c r="D77" s="20"/>
      <x:c r="E77" s="20"/>
      <x:c r="F77" s="20"/>
      <x:c r="G77" s="20"/>
      <x:c r="H77" s="20"/>
    </x:row>
    <x:row r="78">
      <x:c r="A78" s="20"/>
      <x:c r="B78" s="20"/>
      <x:c r="C78" s="20"/>
      <x:c r="D78" s="20"/>
      <x:c r="E78" s="20"/>
      <x:c r="F78" s="20"/>
      <x:c r="G78" s="20"/>
      <x:c r="H78" s="20"/>
    </x:row>
    <x:row r="79">
      <x:c r="A79" s="20"/>
      <x:c r="B79" s="20"/>
      <x:c r="C79" s="20"/>
      <x:c r="D79" s="20"/>
      <x:c r="E79" s="20"/>
      <x:c r="F79" s="20"/>
      <x:c r="G79" s="20"/>
      <x:c r="H79" s="20"/>
    </x:row>
    <x:row r="80">
      <x:c r="A80" s="20"/>
      <x:c r="B80" s="20"/>
      <x:c r="C80" s="20"/>
      <x:c r="D80" s="20"/>
      <x:c r="E80" s="20"/>
      <x:c r="F80" s="20"/>
      <x:c r="G80" s="20"/>
      <x:c r="H80" s="20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0" hidden="0" customWidth="1"/>
    <x:col min="4" max="4" width="36" hidden="0" customWidth="1"/>
    <x:col min="5" max="5" width="20" hidden="0" customWidth="1"/>
    <x:col min="6" max="6" width="20" hidden="0" customWidth="1"/>
    <x:col min="7" max="7" width="30" hidden="0" customWidth="1"/>
    <x:col min="8" max="8" width="28" hidden="0" customWidth="1"/>
  </x:cols>
  <x:sheetData>
    <x:row r="1" ht="24" customHeight="1">
      <x:c r="A1" s="142" t="str">
        <x:v>Economy Architecture</x:v>
      </x:c>
      <x:c r="B1" s="142"/>
      <x:c r="C1" s="142"/>
      <x:c r="D1" s="142"/>
      <x:c r="E1" s="142"/>
      <x:c r="F1" s="142"/>
      <x:c r="G1" s="142"/>
      <x:c r="H1" s="142"/>
    </x:row>
    <x:row r="2" ht="30" customHeight="1">
      <x:c r="A2" s="143" t="str">
        <x:v>Layer</x:v>
      </x:c>
      <x:c r="B2" s="143" t="str">
        <x:v>Type</x:v>
      </x:c>
      <x:c r="C2" s="143" t="str">
        <x:v>Acquired From</x:v>
      </x:c>
      <x:c r="D2" s="143" t="str">
        <x:v>Spent On</x:v>
      </x:c>
      <x:c r="E2" s="143" t="str">
        <x:v>Tradable?</x:v>
      </x:c>
      <x:c r="F2" s="143" t="str">
        <x:v>Random Reward?</x:v>
      </x:c>
      <x:c r="G2" s="143" t="str">
        <x:v>Primary Sink</x:v>
      </x:c>
      <x:c r="H2" s="143" t="str">
        <x:v>Design Intent</x:v>
      </x:c>
    </x:row>
    <x:row r="3">
      <x:c r="A3" s="20" t="str">
        <x:v>Cash</x:v>
      </x:c>
      <x:c r="B3" s="20" t="str">
        <x:v>Soft currency</x:v>
      </x:c>
      <x:c r="C3" s="20" t="str">
        <x:v>Businesses, settlements, events, investments</x:v>
      </x:c>
      <x:c r="D3" s="20" t="str">
        <x:v>Buildings, upgrades, land, operations, player investments</x:v>
      </x:c>
      <x:c r="E3" s="20" t="str">
        <x:v>No</x:v>
      </x:c>
      <x:c r="F3" s="20" t="str">
        <x:v>Yes</x:v>
      </x:c>
      <x:c r="G3" s="20" t="str">
        <x:v>Construction / investment / weekly Cash commitment</x:v>
      </x:c>
      <x:c r="H3" s="20" t="str">
        <x:v>Core progression economy</x:v>
      </x:c>
    </x:row>
    <x:row r="4">
      <x:c r="A4" s="20" t="str">
        <x:v>$PLOT</x:v>
      </x:c>
      <x:c r="B4" s="20" t="str">
        <x:v>Premium token</x:v>
      </x:c>
      <x:c r="C4" s="20" t="str">
        <x:v>Gameplay rewards, external acquisition</x:v>
      </x:c>
      <x:c r="D4" s="20" t="str">
        <x:v>Packs, pass, selected services, fees</x:v>
      </x:c>
      <x:c r="E4" s="20" t="str">
        <x:v>Yes</x:v>
      </x:c>
      <x:c r="F4" s="20" t="str">
        <x:v>Avoid direct paid random gacha</x:v>
      </x:c>
      <x:c r="G4" s="20" t="str">
        <x:v>Burn / reward treasury / ecosystem</x:v>
      </x:c>
      <x:c r="H4" s="20" t="str">
        <x:v>Premium ecosystem currency</x:v>
      </x:c>
    </x:row>
    <x:row r="5">
      <x:c r="A5" s="20" t="str">
        <x:v>Module Shards</x:v>
      </x:c>
      <x:c r="B5" s="20" t="str">
        <x:v>Material</x:v>
      </x:c>
      <x:c r="C5" s="20" t="str">
        <x:v>Duplicates, events, cases, pass</x:v>
      </x:c>
      <x:c r="D5" s="20" t="str">
        <x:v>Craft / upgrade modules</x:v>
      </x:c>
      <x:c r="E5" s="20" t="str">
        <x:v>No</x:v>
      </x:c>
      <x:c r="F5" s="20" t="str">
        <x:v>Yes</x:v>
      </x:c>
      <x:c r="G5" s="20" t="str">
        <x:v>Module crafting</x:v>
      </x:c>
      <x:c r="H5" s="20" t="str">
        <x:v>Turns duplicates into progress</x:v>
      </x:c>
    </x:row>
    <x:row r="6">
      <x:c r="A6" s="20" t="str">
        <x:v>Upgrade Components</x:v>
      </x:c>
      <x:c r="B6" s="20" t="str">
        <x:v>Material</x:v>
      </x:c>
      <x:c r="C6" s="20" t="str">
        <x:v>Events, cases, objectives</x:v>
      </x:c>
      <x:c r="D6" s="20" t="str">
        <x:v>Advanced module / special upgrade recipes</x:v>
      </x:c>
      <x:c r="E6" s="20" t="str">
        <x:v>No</x:v>
      </x:c>
      <x:c r="F6" s="20" t="str">
        <x:v>Yes</x:v>
      </x:c>
      <x:c r="G6" s="20" t="str">
        <x:v>Crafting</x:v>
      </x:c>
      <x:c r="H6" s="20" t="str">
        <x:v>Mid-term progression</x:v>
      </x:c>
    </x:row>
    <x:row r="7">
      <x:c r="A7" s="20" t="str">
        <x:v>Development Permits</x:v>
      </x:c>
      <x:c r="B7" s="20" t="str">
        <x:v>Material</x:v>
      </x:c>
      <x:c r="C7" s="20" t="str">
        <x:v>Events, progression, packs</x:v>
      </x:c>
      <x:c r="D7" s="20" t="str">
        <x:v>Special development actions</x:v>
      </x:c>
      <x:c r="E7" s="20" t="str">
        <x:v>No</x:v>
      </x:c>
      <x:c r="F7" s="20" t="str">
        <x:v>Yes</x:v>
      </x:c>
      <x:c r="G7" s="20" t="str">
        <x:v>Consumed on use</x:v>
      </x:c>
      <x:c r="H7" s="20" t="str">
        <x:v>Controls special development</x:v>
      </x:c>
    </x:row>
    <x:row r="8">
      <x:c r="A8" s="20" t="str">
        <x:v>Market Hunt Tickets</x:v>
      </x:c>
      <x:c r="B8" s="20" t="str">
        <x:v>Ticket</x:v>
      </x:c>
      <x:c r="C8" s="20" t="str">
        <x:v>Events, pass, objectives, packs</x:v>
      </x:c>
      <x:c r="D8" s="20" t="str">
        <x:v>Market Hunts</x:v>
      </x:c>
      <x:c r="E8" s="20" t="str">
        <x:v>No</x:v>
      </x:c>
      <x:c r="F8" s="20" t="str">
        <x:v>Yes</x:v>
      </x:c>
      <x:c r="G8" s="20" t="str">
        <x:v>Consumed on activity</x:v>
      </x:c>
      <x:c r="H8" s="20" t="str">
        <x:v>Activity cadence</x:v>
      </x:c>
    </x:row>
    <x:row r="9">
      <x:c r="A9" s="20" t="str">
        <x:v>Opportunity Rerolls</x:v>
      </x:c>
      <x:c r="B9" s="20" t="str">
        <x:v>Ticket</x:v>
      </x:c>
      <x:c r="C9" s="20" t="str">
        <x:v>Events, cases, packs</x:v>
      </x:c>
      <x:c r="D9" s="20" t="str">
        <x:v>Refresh opportunity hand</x:v>
      </x:c>
      <x:c r="E9" s="20" t="str">
        <x:v>No</x:v>
      </x:c>
      <x:c r="F9" s="20" t="str">
        <x:v>Yes</x:v>
      </x:c>
      <x:c r="G9" s="20" t="str">
        <x:v>Consumed on reroll</x:v>
      </x:c>
      <x:c r="H9" s="20" t="str">
        <x:v>Strategic flexibility</x:v>
      </x:c>
    </x:row>
    <x:row r="10">
      <x:c r="A10" s="20" t="str">
        <x:v>Boost Items</x:v>
      </x:c>
      <x:c r="B10" s="20" t="str">
        <x:v>Consumable</x:v>
      </x:c>
      <x:c r="C10" s="20" t="str">
        <x:v>Events, cases, pass, packs</x:v>
      </x:c>
      <x:c r="D10" s="20" t="str">
        <x:v>Temporary economic modifiers</x:v>
      </x:c>
      <x:c r="E10" s="20" t="str">
        <x:v>No</x:v>
      </x:c>
      <x:c r="F10" s="20" t="str">
        <x:v>Yes</x:v>
      </x:c>
      <x:c r="G10" s="20" t="str">
        <x:v>Consumed on use</x:v>
      </x:c>
      <x:c r="H10" s="20" t="str">
        <x:v>Short-term acceleration</x:v>
      </x:c>
    </x:row>
    <x:row r="11">
      <x:c r="A11" s="20" t="str">
        <x:v>Case Keys</x:v>
      </x:c>
      <x:c r="B11" s="20" t="str">
        <x:v>Ticket</x:v>
      </x:c>
      <x:c r="C11" s="20" t="str">
        <x:v>Events, objectives, pass</x:v>
      </x:c>
      <x:c r="D11" s="20" t="str">
        <x:v>Open earned premium cases</x:v>
      </x:c>
      <x:c r="E11" s="20" t="str">
        <x:v>No</x:v>
      </x:c>
      <x:c r="F11" s="20" t="str">
        <x:v>Yes</x:v>
      </x:c>
      <x:c r="G11" s="20" t="str">
        <x:v>Consumed on open</x:v>
      </x:c>
      <x:c r="H11" s="20" t="str">
        <x:v>Separates earning from opening</x:v>
      </x:c>
    </x:row>
    <x:row r="12">
      <x:c r="A12" s="20"/>
      <x:c r="B12" s="20"/>
      <x:c r="C12" s="20"/>
      <x:c r="D12" s="20"/>
      <x:c r="E12" s="20"/>
      <x:c r="F12" s="20"/>
      <x:c r="G12" s="20"/>
      <x:c r="H12" s="20"/>
    </x:row>
    <x:row r="13">
      <x:c r="A13" s="20"/>
      <x:c r="B13" s="20"/>
      <x:c r="C13" s="20"/>
      <x:c r="D13" s="20"/>
      <x:c r="E13" s="20"/>
      <x:c r="F13" s="20"/>
      <x:c r="G13" s="20"/>
      <x:c r="H13" s="20"/>
    </x:row>
    <x:row r="14">
      <x:c r="A14" s="20"/>
      <x:c r="B14" s="20"/>
      <x:c r="C14" s="20"/>
      <x:c r="D14" s="20"/>
      <x:c r="E14" s="20"/>
      <x:c r="F14" s="20"/>
      <x:c r="G14" s="20"/>
      <x:c r="H14" s="20"/>
    </x:row>
    <x:row r="15">
      <x:c r="A15" s="20"/>
      <x:c r="B15" s="20"/>
      <x:c r="C15" s="20"/>
      <x:c r="D15" s="20"/>
      <x:c r="E15" s="20"/>
      <x:c r="F15" s="20"/>
      <x:c r="G15" s="20"/>
      <x:c r="H15" s="20"/>
    </x:row>
    <x:row r="16">
      <x:c r="A16" s="20"/>
      <x:c r="B16" s="20"/>
      <x:c r="C16" s="20"/>
      <x:c r="D16" s="20"/>
      <x:c r="E16" s="20"/>
      <x:c r="F16" s="20"/>
      <x:c r="G16" s="20"/>
      <x:c r="H16" s="20"/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  <x:row r="21">
      <x:c r="A21" s="20"/>
      <x:c r="B21" s="20"/>
      <x:c r="C21" s="20"/>
      <x:c r="D21" s="20"/>
      <x:c r="E21" s="20"/>
      <x:c r="F21" s="20"/>
      <x:c r="G21" s="20"/>
      <x:c r="H21" s="20"/>
    </x:row>
    <x:row r="22">
      <x:c r="A22" s="20"/>
      <x:c r="B22" s="20"/>
      <x:c r="C22" s="20"/>
      <x:c r="D22" s="20"/>
      <x:c r="E22" s="20"/>
      <x:c r="F22" s="20"/>
      <x:c r="G22" s="20"/>
      <x:c r="H22" s="20"/>
    </x:row>
    <x:row r="23">
      <x:c r="A23" s="20"/>
      <x:c r="B23" s="20"/>
      <x:c r="C23" s="20"/>
      <x:c r="D23" s="20"/>
      <x:c r="E23" s="20"/>
      <x:c r="F23" s="20"/>
      <x:c r="G23" s="20"/>
      <x:c r="H23" s="20"/>
    </x:row>
    <x:row r="24">
      <x:c r="A24" s="20"/>
      <x:c r="B24" s="20"/>
      <x:c r="C24" s="20"/>
      <x:c r="D24" s="20"/>
      <x:c r="E24" s="20"/>
      <x:c r="F24" s="20"/>
      <x:c r="G24" s="20"/>
      <x:c r="H24" s="20"/>
    </x:row>
    <x:row r="25">
      <x:c r="A25" s="20"/>
      <x:c r="B25" s="20"/>
      <x:c r="C25" s="20"/>
      <x:c r="D25" s="20"/>
      <x:c r="E25" s="20"/>
      <x:c r="F25" s="20"/>
      <x:c r="G25" s="20"/>
      <x:c r="H25" s="20"/>
    </x:row>
    <x:row r="26">
      <x:c r="A26" s="20"/>
      <x:c r="B26" s="20"/>
      <x:c r="C26" s="20"/>
      <x:c r="D26" s="20"/>
      <x:c r="E26" s="20"/>
      <x:c r="F26" s="20"/>
      <x:c r="G26" s="20"/>
      <x:c r="H26" s="20"/>
    </x:row>
    <x:row r="27">
      <x:c r="A27" s="20"/>
      <x:c r="B27" s="20"/>
      <x:c r="C27" s="20"/>
      <x:c r="D27" s="20"/>
      <x:c r="E27" s="20"/>
      <x:c r="F27" s="20"/>
      <x:c r="G27" s="20"/>
      <x:c r="H27" s="20"/>
    </x:row>
    <x:row r="28">
      <x:c r="A28" s="20"/>
      <x:c r="B28" s="20"/>
      <x:c r="C28" s="20"/>
      <x:c r="D28" s="20"/>
      <x:c r="E28" s="20"/>
      <x:c r="F28" s="20"/>
      <x:c r="G28" s="20"/>
      <x:c r="H28" s="20"/>
    </x:row>
    <x:row r="29">
      <x:c r="A29" s="20"/>
      <x:c r="B29" s="20"/>
      <x:c r="C29" s="20"/>
      <x:c r="D29" s="20"/>
      <x:c r="E29" s="20"/>
      <x:c r="F29" s="20"/>
      <x:c r="G29" s="20"/>
      <x:c r="H29" s="20"/>
    </x:row>
    <x:row r="30">
      <x:c r="A30" s="20"/>
      <x:c r="B30" s="20"/>
      <x:c r="C30" s="20"/>
      <x:c r="D30" s="20"/>
      <x:c r="E30" s="20"/>
      <x:c r="F30" s="20"/>
      <x:c r="G30" s="20"/>
      <x:c r="H30" s="20"/>
    </x:row>
    <x:row r="31">
      <x:c r="A31" s="20"/>
      <x:c r="B31" s="20"/>
      <x:c r="C31" s="20"/>
      <x:c r="D31" s="20"/>
      <x:c r="E31" s="20"/>
      <x:c r="F31" s="20"/>
      <x:c r="G31" s="20"/>
      <x:c r="H31" s="20"/>
    </x:row>
    <x:row r="32">
      <x:c r="A32" s="20"/>
      <x:c r="B32" s="20"/>
      <x:c r="C32" s="20"/>
      <x:c r="D32" s="20"/>
      <x:c r="E32" s="20"/>
      <x:c r="F32" s="20"/>
      <x:c r="G32" s="20"/>
      <x:c r="H32" s="20"/>
    </x:row>
    <x:row r="33">
      <x:c r="A33" s="20"/>
      <x:c r="B33" s="20"/>
      <x:c r="C33" s="20"/>
      <x:c r="D33" s="20"/>
      <x:c r="E33" s="20"/>
      <x:c r="F33" s="20"/>
      <x:c r="G33" s="20"/>
      <x:c r="H33" s="20"/>
    </x:row>
    <x:row r="34">
      <x:c r="A34" s="20"/>
      <x:c r="B34" s="20"/>
      <x:c r="C34" s="20"/>
      <x:c r="D34" s="20"/>
      <x:c r="E34" s="20"/>
      <x:c r="F34" s="20"/>
      <x:c r="G34" s="20"/>
      <x:c r="H34" s="20"/>
    </x:row>
    <x:row r="35">
      <x:c r="A35" s="20"/>
      <x:c r="B35" s="20"/>
      <x:c r="C35" s="20"/>
      <x:c r="D35" s="20"/>
      <x:c r="E35" s="20"/>
      <x:c r="F35" s="20"/>
      <x:c r="G35" s="20"/>
      <x:c r="H35" s="20"/>
    </x:row>
    <x:row r="36">
      <x:c r="A36" s="20"/>
      <x:c r="B36" s="20"/>
      <x:c r="C36" s="20"/>
      <x:c r="D36" s="20"/>
      <x:c r="E36" s="20"/>
      <x:c r="F36" s="20"/>
      <x:c r="G36" s="20"/>
      <x:c r="H36" s="20"/>
    </x:row>
    <x:row r="37">
      <x:c r="A37" s="20"/>
      <x:c r="B37" s="20"/>
      <x:c r="C37" s="20"/>
      <x:c r="D37" s="20"/>
      <x:c r="E37" s="20"/>
      <x:c r="F37" s="20"/>
      <x:c r="G37" s="20"/>
      <x:c r="H37" s="20"/>
    </x:row>
    <x:row r="38">
      <x:c r="A38" s="20"/>
      <x:c r="B38" s="20"/>
      <x:c r="C38" s="20"/>
      <x:c r="D38" s="20"/>
      <x:c r="E38" s="20"/>
      <x:c r="F38" s="20"/>
      <x:c r="G38" s="20"/>
      <x:c r="H38" s="20"/>
    </x:row>
    <x:row r="39">
      <x:c r="A39" s="20"/>
      <x:c r="B39" s="20"/>
      <x:c r="C39" s="20"/>
      <x:c r="D39" s="20"/>
      <x:c r="E39" s="20"/>
      <x:c r="F39" s="20"/>
      <x:c r="G39" s="20"/>
      <x:c r="H39" s="20"/>
    </x:row>
    <x:row r="40">
      <x:c r="A40" s="20"/>
      <x:c r="B40" s="20"/>
      <x:c r="C40" s="20"/>
      <x:c r="D40" s="20"/>
      <x:c r="E40" s="20"/>
      <x:c r="F40" s="20"/>
      <x:c r="G40" s="20"/>
      <x:c r="H40" s="20"/>
    </x:row>
    <x:row r="41">
      <x:c r="A41" s="20"/>
      <x:c r="B41" s="20"/>
      <x:c r="C41" s="20"/>
      <x:c r="D41" s="20"/>
      <x:c r="E41" s="20"/>
      <x:c r="F41" s="20"/>
      <x:c r="G41" s="20"/>
      <x:c r="H41" s="20"/>
    </x:row>
    <x:row r="42">
      <x:c r="A42" s="20"/>
      <x:c r="B42" s="20"/>
      <x:c r="C42" s="20"/>
      <x:c r="D42" s="20"/>
      <x:c r="E42" s="20"/>
      <x:c r="F42" s="20"/>
      <x:c r="G42" s="20"/>
      <x:c r="H42" s="20"/>
    </x:row>
    <x:row r="43">
      <x:c r="A43" s="20"/>
      <x:c r="B43" s="20"/>
      <x:c r="C43" s="20"/>
      <x:c r="D43" s="20"/>
      <x:c r="E43" s="20"/>
      <x:c r="F43" s="20"/>
      <x:c r="G43" s="20"/>
      <x:c r="H43" s="20"/>
    </x:row>
    <x:row r="44">
      <x:c r="A44" s="20"/>
      <x:c r="B44" s="20"/>
      <x:c r="C44" s="20"/>
      <x:c r="D44" s="20"/>
      <x:c r="E44" s="20"/>
      <x:c r="F44" s="20"/>
      <x:c r="G44" s="20"/>
      <x:c r="H44" s="20"/>
    </x:row>
    <x:row r="45">
      <x:c r="A45" s="20"/>
      <x:c r="B45" s="20"/>
      <x:c r="C45" s="20"/>
      <x:c r="D45" s="20"/>
      <x:c r="E45" s="20"/>
      <x:c r="F45" s="20"/>
      <x:c r="G45" s="20"/>
      <x:c r="H45" s="20"/>
    </x:row>
    <x:row r="46">
      <x:c r="A46" s="20"/>
      <x:c r="B46" s="20"/>
      <x:c r="C46" s="20"/>
      <x:c r="D46" s="20"/>
      <x:c r="E46" s="20"/>
      <x:c r="F46" s="20"/>
      <x:c r="G46" s="20"/>
      <x:c r="H46" s="20"/>
    </x:row>
    <x:row r="47">
      <x:c r="A47" s="20"/>
      <x:c r="B47" s="20"/>
      <x:c r="C47" s="20"/>
      <x:c r="D47" s="20"/>
      <x:c r="E47" s="20"/>
      <x:c r="F47" s="20"/>
      <x:c r="G47" s="20"/>
      <x:c r="H47" s="20"/>
    </x:row>
    <x:row r="48">
      <x:c r="A48" s="20"/>
      <x:c r="B48" s="20"/>
      <x:c r="C48" s="20"/>
      <x:c r="D48" s="20"/>
      <x:c r="E48" s="20"/>
      <x:c r="F48" s="20"/>
      <x:c r="G48" s="20"/>
      <x:c r="H48" s="20"/>
    </x:row>
    <x:row r="49">
      <x:c r="A49" s="20"/>
      <x:c r="B49" s="20"/>
      <x:c r="C49" s="20"/>
      <x:c r="D49" s="20"/>
      <x:c r="E49" s="20"/>
      <x:c r="F49" s="20"/>
      <x:c r="G49" s="20"/>
      <x:c r="H49" s="20"/>
    </x:row>
    <x:row r="50">
      <x:c r="A50" s="20"/>
      <x:c r="B50" s="20"/>
      <x:c r="C50" s="20"/>
      <x:c r="D50" s="20"/>
      <x:c r="E50" s="20"/>
      <x:c r="F50" s="20"/>
      <x:c r="G50" s="20"/>
      <x:c r="H50" s="20"/>
    </x:row>
    <x:row r="51">
      <x:c r="A51" s="20"/>
      <x:c r="B51" s="20"/>
      <x:c r="C51" s="20"/>
      <x:c r="D51" s="20"/>
      <x:c r="E51" s="20"/>
      <x:c r="F51" s="20"/>
      <x:c r="G51" s="20"/>
      <x:c r="H51" s="20"/>
    </x:row>
    <x:row r="52">
      <x:c r="A52" s="20"/>
      <x:c r="B52" s="20"/>
      <x:c r="C52" s="20"/>
      <x:c r="D52" s="20"/>
      <x:c r="E52" s="20"/>
      <x:c r="F52" s="20"/>
      <x:c r="G52" s="20"/>
      <x:c r="H52" s="20"/>
    </x:row>
    <x:row r="53">
      <x:c r="A53" s="20"/>
      <x:c r="B53" s="20"/>
      <x:c r="C53" s="20"/>
      <x:c r="D53" s="20"/>
      <x:c r="E53" s="20"/>
      <x:c r="F53" s="20"/>
      <x:c r="G53" s="20"/>
      <x:c r="H53" s="20"/>
    </x:row>
    <x:row r="54">
      <x:c r="A54" s="20"/>
      <x:c r="B54" s="20"/>
      <x:c r="C54" s="20"/>
      <x:c r="D54" s="20"/>
      <x:c r="E54" s="20"/>
      <x:c r="F54" s="20"/>
      <x:c r="G54" s="20"/>
      <x:c r="H54" s="20"/>
    </x:row>
    <x:row r="55">
      <x:c r="A55" s="20"/>
      <x:c r="B55" s="20"/>
      <x:c r="C55" s="20"/>
      <x:c r="D55" s="20"/>
      <x:c r="E55" s="20"/>
      <x:c r="F55" s="20"/>
      <x:c r="G55" s="20"/>
      <x:c r="H55" s="20"/>
    </x:row>
    <x:row r="56">
      <x:c r="A56" s="20"/>
      <x:c r="B56" s="20"/>
      <x:c r="C56" s="20"/>
      <x:c r="D56" s="20"/>
      <x:c r="E56" s="20"/>
      <x:c r="F56" s="20"/>
      <x:c r="G56" s="20"/>
      <x:c r="H56" s="20"/>
    </x:row>
    <x:row r="57">
      <x:c r="A57" s="20"/>
      <x:c r="B57" s="20"/>
      <x:c r="C57" s="20"/>
      <x:c r="D57" s="20"/>
      <x:c r="E57" s="20"/>
      <x:c r="F57" s="20"/>
      <x:c r="G57" s="20"/>
      <x:c r="H57" s="20"/>
    </x:row>
    <x:row r="58">
      <x:c r="A58" s="20"/>
      <x:c r="B58" s="20"/>
      <x:c r="C58" s="20"/>
      <x:c r="D58" s="20"/>
      <x:c r="E58" s="20"/>
      <x:c r="F58" s="20"/>
      <x:c r="G58" s="20"/>
      <x:c r="H58" s="20"/>
    </x:row>
    <x:row r="59">
      <x:c r="A59" s="20"/>
      <x:c r="B59" s="20"/>
      <x:c r="C59" s="20"/>
      <x:c r="D59" s="20"/>
      <x:c r="E59" s="20"/>
      <x:c r="F59" s="20"/>
      <x:c r="G59" s="20"/>
      <x:c r="H59" s="20"/>
    </x:row>
    <x:row r="60">
      <x:c r="A60" s="20"/>
      <x:c r="B60" s="20"/>
      <x:c r="C60" s="20"/>
      <x:c r="D60" s="20"/>
      <x:c r="E60" s="20"/>
      <x:c r="F60" s="20"/>
      <x:c r="G60" s="20"/>
      <x:c r="H60" s="20"/>
    </x:row>
    <x:row r="61">
      <x:c r="A61" s="20"/>
      <x:c r="B61" s="20"/>
      <x:c r="C61" s="20"/>
      <x:c r="D61" s="20"/>
      <x:c r="E61" s="20"/>
      <x:c r="F61" s="20"/>
      <x:c r="G61" s="20"/>
      <x:c r="H61" s="20"/>
    </x:row>
    <x:row r="62">
      <x:c r="A62" s="20"/>
      <x:c r="B62" s="20"/>
      <x:c r="C62" s="20"/>
      <x:c r="D62" s="20"/>
      <x:c r="E62" s="20"/>
      <x:c r="F62" s="20"/>
      <x:c r="G62" s="20"/>
      <x:c r="H62" s="20"/>
    </x:row>
    <x:row r="63">
      <x:c r="A63" s="20"/>
      <x:c r="B63" s="20"/>
      <x:c r="C63" s="20"/>
      <x:c r="D63" s="20"/>
      <x:c r="E63" s="20"/>
      <x:c r="F63" s="20"/>
      <x:c r="G63" s="20"/>
      <x:c r="H63" s="20"/>
    </x:row>
    <x:row r="64">
      <x:c r="A64" s="20"/>
      <x:c r="B64" s="20"/>
      <x:c r="C64" s="20"/>
      <x:c r="D64" s="20"/>
      <x:c r="E64" s="20"/>
      <x:c r="F64" s="20"/>
      <x:c r="G64" s="20"/>
      <x:c r="H64" s="20"/>
    </x:row>
    <x:row r="65">
      <x:c r="A65" s="20"/>
      <x:c r="B65" s="20"/>
      <x:c r="C65" s="20"/>
      <x:c r="D65" s="20"/>
      <x:c r="E65" s="20"/>
      <x:c r="F65" s="20"/>
      <x:c r="G65" s="20"/>
      <x:c r="H65" s="20"/>
    </x:row>
    <x:row r="66">
      <x:c r="A66" s="20"/>
      <x:c r="B66" s="20"/>
      <x:c r="C66" s="20"/>
      <x:c r="D66" s="20"/>
      <x:c r="E66" s="20"/>
      <x:c r="F66" s="20"/>
      <x:c r="G66" s="20"/>
      <x:c r="H66" s="20"/>
    </x:row>
    <x:row r="67">
      <x:c r="A67" s="20"/>
      <x:c r="B67" s="20"/>
      <x:c r="C67" s="20"/>
      <x:c r="D67" s="20"/>
      <x:c r="E67" s="20"/>
      <x:c r="F67" s="20"/>
      <x:c r="G67" s="20"/>
      <x:c r="H67" s="20"/>
    </x:row>
    <x:row r="68">
      <x:c r="A68" s="20"/>
      <x:c r="B68" s="20"/>
      <x:c r="C68" s="20"/>
      <x:c r="D68" s="20"/>
      <x:c r="E68" s="20"/>
      <x:c r="F68" s="20"/>
      <x:c r="G68" s="20"/>
      <x:c r="H68" s="20"/>
    </x:row>
    <x:row r="69">
      <x:c r="A69" s="20"/>
      <x:c r="B69" s="20"/>
      <x:c r="C69" s="20"/>
      <x:c r="D69" s="20"/>
      <x:c r="E69" s="20"/>
      <x:c r="F69" s="20"/>
      <x:c r="G69" s="20"/>
      <x:c r="H69" s="20"/>
    </x:row>
    <x:row r="70">
      <x:c r="A70" s="20"/>
      <x:c r="B70" s="20"/>
      <x:c r="C70" s="20"/>
      <x:c r="D70" s="20"/>
      <x:c r="E70" s="20"/>
      <x:c r="F70" s="20"/>
      <x:c r="G70" s="20"/>
      <x:c r="H70" s="20"/>
    </x:row>
    <x:row r="71">
      <x:c r="A71" s="20"/>
      <x:c r="B71" s="20"/>
      <x:c r="C71" s="20"/>
      <x:c r="D71" s="20"/>
      <x:c r="E71" s="20"/>
      <x:c r="F71" s="20"/>
      <x:c r="G71" s="20"/>
      <x:c r="H71" s="20"/>
    </x:row>
    <x:row r="72">
      <x:c r="A72" s="20"/>
      <x:c r="B72" s="20"/>
      <x:c r="C72" s="20"/>
      <x:c r="D72" s="20"/>
      <x:c r="E72" s="20"/>
      <x:c r="F72" s="20"/>
      <x:c r="G72" s="20"/>
      <x:c r="H72" s="20"/>
    </x:row>
    <x:row r="73">
      <x:c r="A73" s="20"/>
      <x:c r="B73" s="20"/>
      <x:c r="C73" s="20"/>
      <x:c r="D73" s="20"/>
      <x:c r="E73" s="20"/>
      <x:c r="F73" s="20"/>
      <x:c r="G73" s="20"/>
      <x:c r="H73" s="20"/>
    </x:row>
    <x:row r="74">
      <x:c r="A74" s="20"/>
      <x:c r="B74" s="20"/>
      <x:c r="C74" s="20"/>
      <x:c r="D74" s="20"/>
      <x:c r="E74" s="20"/>
      <x:c r="F74" s="20"/>
      <x:c r="G74" s="20"/>
      <x:c r="H74" s="20"/>
    </x:row>
    <x:row r="75">
      <x:c r="A75" s="20"/>
      <x:c r="B75" s="20"/>
      <x:c r="C75" s="20"/>
      <x:c r="D75" s="20"/>
      <x:c r="E75" s="20"/>
      <x:c r="F75" s="20"/>
      <x:c r="G75" s="20"/>
      <x:c r="H75" s="20"/>
    </x:row>
    <x:row r="76">
      <x:c r="A76" s="20"/>
      <x:c r="B76" s="20"/>
      <x:c r="C76" s="20"/>
      <x:c r="D76" s="20"/>
      <x:c r="E76" s="20"/>
      <x:c r="F76" s="20"/>
      <x:c r="G76" s="20"/>
      <x:c r="H76" s="20"/>
    </x:row>
    <x:row r="77">
      <x:c r="A77" s="20"/>
      <x:c r="B77" s="20"/>
      <x:c r="C77" s="20"/>
      <x:c r="D77" s="20"/>
      <x:c r="E77" s="20"/>
      <x:c r="F77" s="20"/>
      <x:c r="G77" s="20"/>
      <x:c r="H77" s="20"/>
    </x:row>
    <x:row r="78">
      <x:c r="A78" s="20"/>
      <x:c r="B78" s="20"/>
      <x:c r="C78" s="20"/>
      <x:c r="D78" s="20"/>
      <x:c r="E78" s="20"/>
      <x:c r="F78" s="20"/>
      <x:c r="G78" s="20"/>
      <x:c r="H78" s="20"/>
    </x:row>
    <x:row r="79">
      <x:c r="A79" s="20"/>
      <x:c r="B79" s="20"/>
      <x:c r="C79" s="20"/>
      <x:c r="D79" s="20"/>
      <x:c r="E79" s="20"/>
      <x:c r="F79" s="20"/>
      <x:c r="G79" s="20"/>
      <x:c r="H79" s="20"/>
    </x:row>
    <x:row r="80">
      <x:c r="A80" s="20"/>
      <x:c r="B80" s="20"/>
      <x:c r="C80" s="20"/>
      <x:c r="D80" s="20"/>
      <x:c r="E80" s="20"/>
      <x:c r="F80" s="20"/>
      <x:c r="G80" s="20"/>
      <x:c r="H80" s="20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34" hidden="0" customWidth="1"/>
    <x:col min="5" max="5" width="34" hidden="0" customWidth="1"/>
    <x:col min="6" max="6" width="16" hidden="0" customWidth="1"/>
    <x:col min="7" max="7" width="16" hidden="0" customWidth="1"/>
    <x:col min="8" max="8" width="30" hidden="0" customWidth="1"/>
  </x:cols>
  <x:sheetData>
    <x:row r="1" ht="24" customHeight="1">
      <x:c r="A1" s="142" t="str">
        <x:v>Materials Catalog</x:v>
      </x:c>
      <x:c r="B1" s="142"/>
      <x:c r="C1" s="142"/>
      <x:c r="D1" s="142"/>
      <x:c r="E1" s="142"/>
      <x:c r="F1" s="142"/>
      <x:c r="G1" s="142"/>
      <x:c r="H1" s="142"/>
    </x:row>
    <x:row r="2" ht="30" customHeight="1">
      <x:c r="A2" s="143" t="str">
        <x:v>Item</x:v>
      </x:c>
      <x:c r="B2" s="143" t="str">
        <x:v>Category</x:v>
      </x:c>
      <x:c r="C2" s="143" t="str">
        <x:v>Rarity</x:v>
      </x:c>
      <x:c r="D2" s="143" t="str">
        <x:v>Primary Sources</x:v>
      </x:c>
      <x:c r="E2" s="143" t="str">
        <x:v>Primary Uses</x:v>
      </x:c>
      <x:c r="F2" s="143" t="str">
        <x:v>Stackable</x:v>
      </x:c>
      <x:c r="G2" s="143" t="str">
        <x:v>Tradable</x:v>
      </x:c>
      <x:c r="H2" s="143" t="str">
        <x:v>Notes</x:v>
      </x:c>
    </x:row>
    <x:row r="3">
      <x:c r="A3" s="20" t="str">
        <x:v>Module Shard</x:v>
      </x:c>
      <x:c r="B3" s="20" t="str">
        <x:v>Crafting</x:v>
      </x:c>
      <x:c r="C3" s="20" t="str">
        <x:v>Common</x:v>
      </x:c>
      <x:c r="D3" s="20" t="str">
        <x:v>Duplicate salvage, cases, events</x:v>
      </x:c>
      <x:c r="E3" s="20" t="str">
        <x:v>Craft and upgrade modules</x:v>
      </x:c>
      <x:c r="F3" s="20" t="str">
        <x:v>Yes</x:v>
      </x:c>
      <x:c r="G3" s="20" t="str">
        <x:v>No</x:v>
      </x:c>
      <x:c r="H3" s="20" t="str">
        <x:v>Can later split into module-family shards if needed.</x:v>
      </x:c>
    </x:row>
    <x:row r="4">
      <x:c r="A4" s="20" t="str">
        <x:v>Precision Component</x:v>
      </x:c>
      <x:c r="B4" s="20" t="str">
        <x:v>Crafting</x:v>
      </x:c>
      <x:c r="C4" s="20" t="str">
        <x:v>Rare</x:v>
      </x:c>
      <x:c r="D4" s="20" t="str">
        <x:v>Cases, weekly events</x:v>
      </x:c>
      <x:c r="E4" s="20" t="str">
        <x:v>Advanced module upgrades</x:v>
      </x:c>
      <x:c r="F4" s="20" t="str">
        <x:v>Yes</x:v>
      </x:c>
      <x:c r="G4" s="20" t="str">
        <x:v>No</x:v>
      </x:c>
      <x:c r="H4" s="20" t="str">
        <x:v>Mid-tier sink.</x:v>
      </x:c>
    </x:row>
    <x:row r="5">
      <x:c r="A5" s="20" t="str">
        <x:v>Executive Component</x:v>
      </x:c>
      <x:c r="B5" s="20" t="str">
        <x:v>Crafting</x:v>
      </x:c>
      <x:c r="C5" s="20" t="str">
        <x:v>Epic</x:v>
      </x:c>
      <x:c r="D5" s="20" t="str">
        <x:v>Season pass, leaderboard, Executive Case</x:v>
      </x:c>
      <x:c r="E5" s="20" t="str">
        <x:v>Epic/Legendary module recipes</x:v>
      </x:c>
      <x:c r="F5" s="20" t="str">
        <x:v>Yes</x:v>
      </x:c>
      <x:c r="G5" s="20" t="str">
        <x:v>No</x:v>
      </x:c>
      <x:c r="H5" s="20" t="str">
        <x:v>Scarce progression material.</x:v>
      </x:c>
    </x:row>
    <x:row r="6">
      <x:c r="A6" s="20" t="str">
        <x:v>Development Permit</x:v>
      </x:c>
      <x:c r="B6" s="20" t="str">
        <x:v>Permit</x:v>
      </x:c>
      <x:c r="C6" s="20" t="str">
        <x:v>Rare</x:v>
      </x:c>
      <x:c r="D6" s="20" t="str">
        <x:v>Expansion events, packs</x:v>
      </x:c>
      <x:c r="E6" s="20" t="str">
        <x:v>Special development actions</x:v>
      </x:c>
      <x:c r="F6" s="20" t="str">
        <x:v>Yes</x:v>
      </x:c>
      <x:c r="G6" s="20" t="str">
        <x:v>No</x:v>
      </x:c>
      <x:c r="H6" s="20" t="str">
        <x:v>Does not bypass Empire Level gates.</x:v>
      </x:c>
    </x:row>
    <x:row r="7">
      <x:c r="A7" s="20" t="str">
        <x:v>Prime Permit</x:v>
      </x:c>
      <x:c r="B7" s="20" t="str">
        <x:v>Permit</x:v>
      </x:c>
      <x:c r="C7" s="20" t="str">
        <x:v>Epic</x:v>
      </x:c>
      <x:c r="D7" s="20" t="str">
        <x:v>Major events, high-tier pass</x:v>
      </x:c>
      <x:c r="E7" s="20" t="str">
        <x:v>Prime/Trophy development actions</x:v>
      </x:c>
      <x:c r="F7" s="20" t="str">
        <x:v>Yes</x:v>
      </x:c>
      <x:c r="G7" s="20" t="str">
        <x:v>No</x:v>
      </x:c>
      <x:c r="H7" s="20" t="str">
        <x:v>Use sparingly.</x:v>
      </x:c>
    </x:row>
    <x:row r="8">
      <x:c r="A8" s="20" t="str">
        <x:v>Market Hunt Ticket</x:v>
      </x:c>
      <x:c r="B8" s="20" t="str">
        <x:v>Ticket</x:v>
      </x:c>
      <x:c r="C8" s="20" t="str">
        <x:v>Common</x:v>
      </x:c>
      <x:c r="D8" s="20" t="str">
        <x:v>Daily objectives, events, packs</x:v>
      </x:c>
      <x:c r="E8" s="20" t="str">
        <x:v>One Market Hunt attempt</x:v>
      </x:c>
      <x:c r="F8" s="20" t="str">
        <x:v>Yes</x:v>
      </x:c>
      <x:c r="G8" s="20" t="str">
        <x:v>No</x:v>
      </x:c>
      <x:c r="H8" s="20" t="str">
        <x:v>Core activity ticket.</x:v>
      </x:c>
    </x:row>
    <x:row r="9">
      <x:c r="A9" s="20" t="str">
        <x:v>Opportunity Reroll</x:v>
      </x:c>
      <x:c r="B9" s="20" t="str">
        <x:v>Ticket</x:v>
      </x:c>
      <x:c r="C9" s="20" t="str">
        <x:v>Common</x:v>
      </x:c>
      <x:c r="D9" s="20" t="str">
        <x:v>Objectives, cases, packs</x:v>
      </x:c>
      <x:c r="E9" s="20" t="str">
        <x:v>Reroll one opportunity slot</x:v>
      </x:c>
      <x:c r="F9" s="20" t="str">
        <x:v>Yes</x:v>
      </x:c>
      <x:c r="G9" s="20" t="str">
        <x:v>No</x:v>
      </x:c>
      <x:c r="H9" s="20" t="str">
        <x:v>Does not unlock permanent catalog.</x:v>
      </x:c>
    </x:row>
    <x:row r="10">
      <x:c r="A10" s="20" t="str">
        <x:v>Maturation Booster</x:v>
      </x:c>
      <x:c r="B10" s="20" t="str">
        <x:v>Boost</x:v>
      </x:c>
      <x:c r="C10" s="20" t="str">
        <x:v>Rare</x:v>
      </x:c>
      <x:c r="D10" s="20" t="str">
        <x:v>Cases, pass, packs</x:v>
      </x:c>
      <x:c r="E10" s="20" t="str">
        <x:v>Reduce maturation time / temporary multiplier</x:v>
      </x:c>
      <x:c r="F10" s="20" t="str">
        <x:v>Yes</x:v>
      </x:c>
      <x:c r="G10" s="20" t="str">
        <x:v>No</x:v>
      </x:c>
      <x:c r="H10" s="20" t="str">
        <x:v>Cannot exceed hard balance cap.</x:v>
      </x:c>
    </x:row>
    <x:row r="11">
      <x:c r="A11" s="20" t="str">
        <x:v>Customer Campaign</x:v>
      </x:c>
      <x:c r="B11" s="20" t="str">
        <x:v>Boost</x:v>
      </x:c>
      <x:c r="C11" s="20" t="str">
        <x:v>Rare</x:v>
      </x:c>
      <x:c r="D11" s="20" t="str">
        <x:v>Marketing events, packs</x:v>
      </x:c>
      <x:c r="E11" s="20" t="str">
        <x:v>Temporary acquisition multiplier</x:v>
      </x:c>
      <x:c r="F11" s="20" t="str">
        <x:v>Yes</x:v>
      </x:c>
      <x:c r="G11" s="20" t="str">
        <x:v>No</x:v>
      </x:c>
      <x:c r="H11" s="20" t="str">
        <x:v>Time-limited.</x:v>
      </x:c>
    </x:row>
    <x:row r="12">
      <x:c r="A12" s="20" t="str">
        <x:v>Efficiency Voucher</x:v>
      </x:c>
      <x:c r="B12" s="20" t="str">
        <x:v>Boost</x:v>
      </x:c>
      <x:c r="C12" s="20" t="str">
        <x:v>Rare</x:v>
      </x:c>
      <x:c r="D12" s="20" t="str">
        <x:v>Events, cases</x:v>
      </x:c>
      <x:c r="E12" s="20" t="str">
        <x:v>Temporary operating efficiency</x:v>
      </x:c>
      <x:c r="F12" s="20" t="str">
        <x:v>Yes</x:v>
      </x:c>
      <x:c r="G12" s="20" t="str">
        <x:v>No</x:v>
      </x:c>
      <x:c r="H12" s="20" t="str">
        <x:v>Time-limited.</x:v>
      </x:c>
    </x:row>
    <x:row r="13">
      <x:c r="A13" s="20" t="str">
        <x:v>Stock Fragment</x:v>
      </x:c>
      <x:c r="B13" s="20" t="str">
        <x:v>Collectible</x:v>
      </x:c>
      <x:c r="C13" s="20" t="str">
        <x:v>Variable</x:v>
      </x:c>
      <x:c r="D13" s="20" t="str">
        <x:v>Market Hunts, events</x:v>
      </x:c>
      <x:c r="E13" s="20" t="str">
        <x:v>Complete in-game stock collection</x:v>
      </x:c>
      <x:c r="F13" s="20" t="str">
        <x:v>Yes</x:v>
      </x:c>
      <x:c r="G13" s="20" t="str">
        <x:v>No</x:v>
      </x:c>
      <x:c r="H13" s="20" t="str">
        <x:v>Not a crypto asset.</x:v>
      </x:c>
    </x:row>
    <x:row r="14">
      <x:c r="A14" s="20" t="str">
        <x:v>City Cosmetic Token</x:v>
      </x:c>
      <x:c r="B14" s="20" t="str">
        <x:v>Cosmetic</x:v>
      </x:c>
      <x:c r="C14" s="20" t="str">
        <x:v>Variable</x:v>
      </x:c>
      <x:c r="D14" s="20" t="str">
        <x:v>Events, pass</x:v>
      </x:c>
      <x:c r="E14" s="20" t="str">
        <x:v>Unlock visual city customization</x:v>
      </x:c>
      <x:c r="F14" s="20" t="str">
        <x:v>Yes</x:v>
      </x:c>
      <x:c r="G14" s="20" t="str">
        <x:v>No</x:v>
      </x:c>
      <x:c r="H14" s="20" t="str">
        <x:v>No economic power.</x:v>
      </x:c>
    </x:row>
    <x:row r="15">
      <x:c r="A15" s="20"/>
      <x:c r="B15" s="20"/>
      <x:c r="C15" s="20"/>
      <x:c r="D15" s="20"/>
      <x:c r="E15" s="20"/>
      <x:c r="F15" s="20"/>
      <x:c r="G15" s="20"/>
      <x:c r="H15" s="20"/>
    </x:row>
    <x:row r="16">
      <x:c r="A16" s="20"/>
      <x:c r="B16" s="20"/>
      <x:c r="C16" s="20"/>
      <x:c r="D16" s="20"/>
      <x:c r="E16" s="20"/>
      <x:c r="F16" s="20"/>
      <x:c r="G16" s="20"/>
      <x:c r="H16" s="20"/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  <x:row r="21">
      <x:c r="A21" s="20"/>
      <x:c r="B21" s="20"/>
      <x:c r="C21" s="20"/>
      <x:c r="D21" s="20"/>
      <x:c r="E21" s="20"/>
      <x:c r="F21" s="20"/>
      <x:c r="G21" s="20"/>
      <x:c r="H21" s="20"/>
    </x:row>
    <x:row r="22">
      <x:c r="A22" s="20"/>
      <x:c r="B22" s="20"/>
      <x:c r="C22" s="20"/>
      <x:c r="D22" s="20"/>
      <x:c r="E22" s="20"/>
      <x:c r="F22" s="20"/>
      <x:c r="G22" s="20"/>
      <x:c r="H22" s="20"/>
    </x:row>
    <x:row r="23">
      <x:c r="A23" s="20"/>
      <x:c r="B23" s="20"/>
      <x:c r="C23" s="20"/>
      <x:c r="D23" s="20"/>
      <x:c r="E23" s="20"/>
      <x:c r="F23" s="20"/>
      <x:c r="G23" s="20"/>
      <x:c r="H23" s="20"/>
    </x:row>
    <x:row r="24">
      <x:c r="A24" s="20"/>
      <x:c r="B24" s="20"/>
      <x:c r="C24" s="20"/>
      <x:c r="D24" s="20"/>
      <x:c r="E24" s="20"/>
      <x:c r="F24" s="20"/>
      <x:c r="G24" s="20"/>
      <x:c r="H24" s="20"/>
    </x:row>
    <x:row r="25">
      <x:c r="A25" s="20"/>
      <x:c r="B25" s="20"/>
      <x:c r="C25" s="20"/>
      <x:c r="D25" s="20"/>
      <x:c r="E25" s="20"/>
      <x:c r="F25" s="20"/>
      <x:c r="G25" s="20"/>
      <x:c r="H25" s="20"/>
    </x:row>
    <x:row r="26">
      <x:c r="A26" s="20"/>
      <x:c r="B26" s="20"/>
      <x:c r="C26" s="20"/>
      <x:c r="D26" s="20"/>
      <x:c r="E26" s="20"/>
      <x:c r="F26" s="20"/>
      <x:c r="G26" s="20"/>
      <x:c r="H26" s="20"/>
    </x:row>
    <x:row r="27">
      <x:c r="A27" s="20"/>
      <x:c r="B27" s="20"/>
      <x:c r="C27" s="20"/>
      <x:c r="D27" s="20"/>
      <x:c r="E27" s="20"/>
      <x:c r="F27" s="20"/>
      <x:c r="G27" s="20"/>
      <x:c r="H27" s="20"/>
    </x:row>
    <x:row r="28">
      <x:c r="A28" s="20"/>
      <x:c r="B28" s="20"/>
      <x:c r="C28" s="20"/>
      <x:c r="D28" s="20"/>
      <x:c r="E28" s="20"/>
      <x:c r="F28" s="20"/>
      <x:c r="G28" s="20"/>
      <x:c r="H28" s="20"/>
    </x:row>
    <x:row r="29">
      <x:c r="A29" s="20"/>
      <x:c r="B29" s="20"/>
      <x:c r="C29" s="20"/>
      <x:c r="D29" s="20"/>
      <x:c r="E29" s="20"/>
      <x:c r="F29" s="20"/>
      <x:c r="G29" s="20"/>
      <x:c r="H29" s="20"/>
    </x:row>
    <x:row r="30">
      <x:c r="A30" s="20"/>
      <x:c r="B30" s="20"/>
      <x:c r="C30" s="20"/>
      <x:c r="D30" s="20"/>
      <x:c r="E30" s="20"/>
      <x:c r="F30" s="20"/>
      <x:c r="G30" s="20"/>
      <x:c r="H30" s="20"/>
    </x:row>
    <x:row r="31">
      <x:c r="A31" s="20"/>
      <x:c r="B31" s="20"/>
      <x:c r="C31" s="20"/>
      <x:c r="D31" s="20"/>
      <x:c r="E31" s="20"/>
      <x:c r="F31" s="20"/>
      <x:c r="G31" s="20"/>
      <x:c r="H31" s="20"/>
    </x:row>
    <x:row r="32">
      <x:c r="A32" s="20"/>
      <x:c r="B32" s="20"/>
      <x:c r="C32" s="20"/>
      <x:c r="D32" s="20"/>
      <x:c r="E32" s="20"/>
      <x:c r="F32" s="20"/>
      <x:c r="G32" s="20"/>
      <x:c r="H32" s="20"/>
    </x:row>
    <x:row r="33">
      <x:c r="A33" s="20"/>
      <x:c r="B33" s="20"/>
      <x:c r="C33" s="20"/>
      <x:c r="D33" s="20"/>
      <x:c r="E33" s="20"/>
      <x:c r="F33" s="20"/>
      <x:c r="G33" s="20"/>
      <x:c r="H33" s="20"/>
    </x:row>
    <x:row r="34">
      <x:c r="A34" s="20"/>
      <x:c r="B34" s="20"/>
      <x:c r="C34" s="20"/>
      <x:c r="D34" s="20"/>
      <x:c r="E34" s="20"/>
      <x:c r="F34" s="20"/>
      <x:c r="G34" s="20"/>
      <x:c r="H34" s="20"/>
    </x:row>
    <x:row r="35">
      <x:c r="A35" s="20"/>
      <x:c r="B35" s="20"/>
      <x:c r="C35" s="20"/>
      <x:c r="D35" s="20"/>
      <x:c r="E35" s="20"/>
      <x:c r="F35" s="20"/>
      <x:c r="G35" s="20"/>
      <x:c r="H35" s="20"/>
    </x:row>
    <x:row r="36">
      <x:c r="A36" s="20"/>
      <x:c r="B36" s="20"/>
      <x:c r="C36" s="20"/>
      <x:c r="D36" s="20"/>
      <x:c r="E36" s="20"/>
      <x:c r="F36" s="20"/>
      <x:c r="G36" s="20"/>
      <x:c r="H36" s="20"/>
    </x:row>
    <x:row r="37">
      <x:c r="A37" s="20"/>
      <x:c r="B37" s="20"/>
      <x:c r="C37" s="20"/>
      <x:c r="D37" s="20"/>
      <x:c r="E37" s="20"/>
      <x:c r="F37" s="20"/>
      <x:c r="G37" s="20"/>
      <x:c r="H37" s="20"/>
    </x:row>
    <x:row r="38">
      <x:c r="A38" s="20"/>
      <x:c r="B38" s="20"/>
      <x:c r="C38" s="20"/>
      <x:c r="D38" s="20"/>
      <x:c r="E38" s="20"/>
      <x:c r="F38" s="20"/>
      <x:c r="G38" s="20"/>
      <x:c r="H38" s="20"/>
    </x:row>
    <x:row r="39">
      <x:c r="A39" s="20"/>
      <x:c r="B39" s="20"/>
      <x:c r="C39" s="20"/>
      <x:c r="D39" s="20"/>
      <x:c r="E39" s="20"/>
      <x:c r="F39" s="20"/>
      <x:c r="G39" s="20"/>
      <x:c r="H39" s="20"/>
    </x:row>
    <x:row r="40">
      <x:c r="A40" s="20"/>
      <x:c r="B40" s="20"/>
      <x:c r="C40" s="20"/>
      <x:c r="D40" s="20"/>
      <x:c r="E40" s="20"/>
      <x:c r="F40" s="20"/>
      <x:c r="G40" s="20"/>
      <x:c r="H40" s="20"/>
    </x:row>
    <x:row r="41">
      <x:c r="A41" s="20"/>
      <x:c r="B41" s="20"/>
      <x:c r="C41" s="20"/>
      <x:c r="D41" s="20"/>
      <x:c r="E41" s="20"/>
      <x:c r="F41" s="20"/>
      <x:c r="G41" s="20"/>
      <x:c r="H41" s="20"/>
    </x:row>
    <x:row r="42">
      <x:c r="A42" s="20"/>
      <x:c r="B42" s="20"/>
      <x:c r="C42" s="20"/>
      <x:c r="D42" s="20"/>
      <x:c r="E42" s="20"/>
      <x:c r="F42" s="20"/>
      <x:c r="G42" s="20"/>
      <x:c r="H42" s="20"/>
    </x:row>
    <x:row r="43">
      <x:c r="A43" s="20"/>
      <x:c r="B43" s="20"/>
      <x:c r="C43" s="20"/>
      <x:c r="D43" s="20"/>
      <x:c r="E43" s="20"/>
      <x:c r="F43" s="20"/>
      <x:c r="G43" s="20"/>
      <x:c r="H43" s="20"/>
    </x:row>
    <x:row r="44">
      <x:c r="A44" s="20"/>
      <x:c r="B44" s="20"/>
      <x:c r="C44" s="20"/>
      <x:c r="D44" s="20"/>
      <x:c r="E44" s="20"/>
      <x:c r="F44" s="20"/>
      <x:c r="G44" s="20"/>
      <x:c r="H44" s="20"/>
    </x:row>
    <x:row r="45">
      <x:c r="A45" s="20"/>
      <x:c r="B45" s="20"/>
      <x:c r="C45" s="20"/>
      <x:c r="D45" s="20"/>
      <x:c r="E45" s="20"/>
      <x:c r="F45" s="20"/>
      <x:c r="G45" s="20"/>
      <x:c r="H45" s="20"/>
    </x:row>
    <x:row r="46">
      <x:c r="A46" s="20"/>
      <x:c r="B46" s="20"/>
      <x:c r="C46" s="20"/>
      <x:c r="D46" s="20"/>
      <x:c r="E46" s="20"/>
      <x:c r="F46" s="20"/>
      <x:c r="G46" s="20"/>
      <x:c r="H46" s="20"/>
    </x:row>
    <x:row r="47">
      <x:c r="A47" s="20"/>
      <x:c r="B47" s="20"/>
      <x:c r="C47" s="20"/>
      <x:c r="D47" s="20"/>
      <x:c r="E47" s="20"/>
      <x:c r="F47" s="20"/>
      <x:c r="G47" s="20"/>
      <x:c r="H47" s="20"/>
    </x:row>
    <x:row r="48">
      <x:c r="A48" s="20"/>
      <x:c r="B48" s="20"/>
      <x:c r="C48" s="20"/>
      <x:c r="D48" s="20"/>
      <x:c r="E48" s="20"/>
      <x:c r="F48" s="20"/>
      <x:c r="G48" s="20"/>
      <x:c r="H48" s="20"/>
    </x:row>
    <x:row r="49">
      <x:c r="A49" s="20"/>
      <x:c r="B49" s="20"/>
      <x:c r="C49" s="20"/>
      <x:c r="D49" s="20"/>
      <x:c r="E49" s="20"/>
      <x:c r="F49" s="20"/>
      <x:c r="G49" s="20"/>
      <x:c r="H49" s="20"/>
    </x:row>
    <x:row r="50">
      <x:c r="A50" s="20"/>
      <x:c r="B50" s="20"/>
      <x:c r="C50" s="20"/>
      <x:c r="D50" s="20"/>
      <x:c r="E50" s="20"/>
      <x:c r="F50" s="20"/>
      <x:c r="G50" s="20"/>
      <x:c r="H50" s="20"/>
    </x:row>
    <x:row r="51">
      <x:c r="A51" s="20"/>
      <x:c r="B51" s="20"/>
      <x:c r="C51" s="20"/>
      <x:c r="D51" s="20"/>
      <x:c r="E51" s="20"/>
      <x:c r="F51" s="20"/>
      <x:c r="G51" s="20"/>
      <x:c r="H51" s="20"/>
    </x:row>
    <x:row r="52">
      <x:c r="A52" s="20"/>
      <x:c r="B52" s="20"/>
      <x:c r="C52" s="20"/>
      <x:c r="D52" s="20"/>
      <x:c r="E52" s="20"/>
      <x:c r="F52" s="20"/>
      <x:c r="G52" s="20"/>
      <x:c r="H52" s="20"/>
    </x:row>
    <x:row r="53">
      <x:c r="A53" s="20"/>
      <x:c r="B53" s="20"/>
      <x:c r="C53" s="20"/>
      <x:c r="D53" s="20"/>
      <x:c r="E53" s="20"/>
      <x:c r="F53" s="20"/>
      <x:c r="G53" s="20"/>
      <x:c r="H53" s="20"/>
    </x:row>
    <x:row r="54">
      <x:c r="A54" s="20"/>
      <x:c r="B54" s="20"/>
      <x:c r="C54" s="20"/>
      <x:c r="D54" s="20"/>
      <x:c r="E54" s="20"/>
      <x:c r="F54" s="20"/>
      <x:c r="G54" s="20"/>
      <x:c r="H54" s="20"/>
    </x:row>
    <x:row r="55">
      <x:c r="A55" s="20"/>
      <x:c r="B55" s="20"/>
      <x:c r="C55" s="20"/>
      <x:c r="D55" s="20"/>
      <x:c r="E55" s="20"/>
      <x:c r="F55" s="20"/>
      <x:c r="G55" s="20"/>
      <x:c r="H55" s="20"/>
    </x:row>
    <x:row r="56">
      <x:c r="A56" s="20"/>
      <x:c r="B56" s="20"/>
      <x:c r="C56" s="20"/>
      <x:c r="D56" s="20"/>
      <x:c r="E56" s="20"/>
      <x:c r="F56" s="20"/>
      <x:c r="G56" s="20"/>
      <x:c r="H56" s="20"/>
    </x:row>
    <x:row r="57">
      <x:c r="A57" s="20"/>
      <x:c r="B57" s="20"/>
      <x:c r="C57" s="20"/>
      <x:c r="D57" s="20"/>
      <x:c r="E57" s="20"/>
      <x:c r="F57" s="20"/>
      <x:c r="G57" s="20"/>
      <x:c r="H57" s="20"/>
    </x:row>
    <x:row r="58">
      <x:c r="A58" s="20"/>
      <x:c r="B58" s="20"/>
      <x:c r="C58" s="20"/>
      <x:c r="D58" s="20"/>
      <x:c r="E58" s="20"/>
      <x:c r="F58" s="20"/>
      <x:c r="G58" s="20"/>
      <x:c r="H58" s="20"/>
    </x:row>
    <x:row r="59">
      <x:c r="A59" s="20"/>
      <x:c r="B59" s="20"/>
      <x:c r="C59" s="20"/>
      <x:c r="D59" s="20"/>
      <x:c r="E59" s="20"/>
      <x:c r="F59" s="20"/>
      <x:c r="G59" s="20"/>
      <x:c r="H59" s="20"/>
    </x:row>
    <x:row r="60">
      <x:c r="A60" s="20"/>
      <x:c r="B60" s="20"/>
      <x:c r="C60" s="20"/>
      <x:c r="D60" s="20"/>
      <x:c r="E60" s="20"/>
      <x:c r="F60" s="20"/>
      <x:c r="G60" s="20"/>
      <x:c r="H60" s="20"/>
    </x:row>
    <x:row r="61">
      <x:c r="A61" s="20"/>
      <x:c r="B61" s="20"/>
      <x:c r="C61" s="20"/>
      <x:c r="D61" s="20"/>
      <x:c r="E61" s="20"/>
      <x:c r="F61" s="20"/>
      <x:c r="G61" s="20"/>
      <x:c r="H61" s="20"/>
    </x:row>
    <x:row r="62">
      <x:c r="A62" s="20"/>
      <x:c r="B62" s="20"/>
      <x:c r="C62" s="20"/>
      <x:c r="D62" s="20"/>
      <x:c r="E62" s="20"/>
      <x:c r="F62" s="20"/>
      <x:c r="G62" s="20"/>
      <x:c r="H62" s="20"/>
    </x:row>
    <x:row r="63">
      <x:c r="A63" s="20"/>
      <x:c r="B63" s="20"/>
      <x:c r="C63" s="20"/>
      <x:c r="D63" s="20"/>
      <x:c r="E63" s="20"/>
      <x:c r="F63" s="20"/>
      <x:c r="G63" s="20"/>
      <x:c r="H63" s="20"/>
    </x:row>
    <x:row r="64">
      <x:c r="A64" s="20"/>
      <x:c r="B64" s="20"/>
      <x:c r="C64" s="20"/>
      <x:c r="D64" s="20"/>
      <x:c r="E64" s="20"/>
      <x:c r="F64" s="20"/>
      <x:c r="G64" s="20"/>
      <x:c r="H64" s="20"/>
    </x:row>
    <x:row r="65">
      <x:c r="A65" s="20"/>
      <x:c r="B65" s="20"/>
      <x:c r="C65" s="20"/>
      <x:c r="D65" s="20"/>
      <x:c r="E65" s="20"/>
      <x:c r="F65" s="20"/>
      <x:c r="G65" s="20"/>
      <x:c r="H65" s="20"/>
    </x:row>
    <x:row r="66">
      <x:c r="A66" s="20"/>
      <x:c r="B66" s="20"/>
      <x:c r="C66" s="20"/>
      <x:c r="D66" s="20"/>
      <x:c r="E66" s="20"/>
      <x:c r="F66" s="20"/>
      <x:c r="G66" s="20"/>
      <x:c r="H66" s="20"/>
    </x:row>
    <x:row r="67">
      <x:c r="A67" s="20"/>
      <x:c r="B67" s="20"/>
      <x:c r="C67" s="20"/>
      <x:c r="D67" s="20"/>
      <x:c r="E67" s="20"/>
      <x:c r="F67" s="20"/>
      <x:c r="G67" s="20"/>
      <x:c r="H67" s="20"/>
    </x:row>
    <x:row r="68">
      <x:c r="A68" s="20"/>
      <x:c r="B68" s="20"/>
      <x:c r="C68" s="20"/>
      <x:c r="D68" s="20"/>
      <x:c r="E68" s="20"/>
      <x:c r="F68" s="20"/>
      <x:c r="G68" s="20"/>
      <x:c r="H68" s="20"/>
    </x:row>
    <x:row r="69">
      <x:c r="A69" s="20"/>
      <x:c r="B69" s="20"/>
      <x:c r="C69" s="20"/>
      <x:c r="D69" s="20"/>
      <x:c r="E69" s="20"/>
      <x:c r="F69" s="20"/>
      <x:c r="G69" s="20"/>
      <x:c r="H69" s="20"/>
    </x:row>
    <x:row r="70">
      <x:c r="A70" s="20"/>
      <x:c r="B70" s="20"/>
      <x:c r="C70" s="20"/>
      <x:c r="D70" s="20"/>
      <x:c r="E70" s="20"/>
      <x:c r="F70" s="20"/>
      <x:c r="G70" s="20"/>
      <x:c r="H70" s="20"/>
    </x:row>
    <x:row r="71">
      <x:c r="A71" s="20"/>
      <x:c r="B71" s="20"/>
      <x:c r="C71" s="20"/>
      <x:c r="D71" s="20"/>
      <x:c r="E71" s="20"/>
      <x:c r="F71" s="20"/>
      <x:c r="G71" s="20"/>
      <x:c r="H71" s="20"/>
    </x:row>
    <x:row r="72">
      <x:c r="A72" s="20"/>
      <x:c r="B72" s="20"/>
      <x:c r="C72" s="20"/>
      <x:c r="D72" s="20"/>
      <x:c r="E72" s="20"/>
      <x:c r="F72" s="20"/>
      <x:c r="G72" s="20"/>
      <x:c r="H72" s="20"/>
    </x:row>
    <x:row r="73">
      <x:c r="A73" s="20"/>
      <x:c r="B73" s="20"/>
      <x:c r="C73" s="20"/>
      <x:c r="D73" s="20"/>
      <x:c r="E73" s="20"/>
      <x:c r="F73" s="20"/>
      <x:c r="G73" s="20"/>
      <x:c r="H73" s="20"/>
    </x:row>
    <x:row r="74">
      <x:c r="A74" s="20"/>
      <x:c r="B74" s="20"/>
      <x:c r="C74" s="20"/>
      <x:c r="D74" s="20"/>
      <x:c r="E74" s="20"/>
      <x:c r="F74" s="20"/>
      <x:c r="G74" s="20"/>
      <x:c r="H74" s="20"/>
    </x:row>
    <x:row r="75">
      <x:c r="A75" s="20"/>
      <x:c r="B75" s="20"/>
      <x:c r="C75" s="20"/>
      <x:c r="D75" s="20"/>
      <x:c r="E75" s="20"/>
      <x:c r="F75" s="20"/>
      <x:c r="G75" s="20"/>
      <x:c r="H75" s="20"/>
    </x:row>
    <x:row r="76">
      <x:c r="A76" s="20"/>
      <x:c r="B76" s="20"/>
      <x:c r="C76" s="20"/>
      <x:c r="D76" s="20"/>
      <x:c r="E76" s="20"/>
      <x:c r="F76" s="20"/>
      <x:c r="G76" s="20"/>
      <x:c r="H76" s="20"/>
    </x:row>
    <x:row r="77">
      <x:c r="A77" s="20"/>
      <x:c r="B77" s="20"/>
      <x:c r="C77" s="20"/>
      <x:c r="D77" s="20"/>
      <x:c r="E77" s="20"/>
      <x:c r="F77" s="20"/>
      <x:c r="G77" s="20"/>
      <x:c r="H77" s="20"/>
    </x:row>
    <x:row r="78">
      <x:c r="A78" s="20"/>
      <x:c r="B78" s="20"/>
      <x:c r="C78" s="20"/>
      <x:c r="D78" s="20"/>
      <x:c r="E78" s="20"/>
      <x:c r="F78" s="20"/>
      <x:c r="G78" s="20"/>
      <x:c r="H78" s="20"/>
    </x:row>
    <x:row r="79">
      <x:c r="A79" s="20"/>
      <x:c r="B79" s="20"/>
      <x:c r="C79" s="20"/>
      <x:c r="D79" s="20"/>
      <x:c r="E79" s="20"/>
      <x:c r="F79" s="20"/>
      <x:c r="G79" s="20"/>
      <x:c r="H79" s="20"/>
    </x:row>
    <x:row r="80">
      <x:c r="A80" s="20"/>
      <x:c r="B80" s="20"/>
      <x:c r="C80" s="20"/>
      <x:c r="D80" s="20"/>
      <x:c r="E80" s="20"/>
      <x:c r="F80" s="20"/>
      <x:c r="G80" s="20"/>
      <x:c r="H80" s="20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30" hidden="0" customWidth="1"/>
    <x:col min="5" max="5" width="34" hidden="0" customWidth="1"/>
    <x:col min="6" max="6" width="34" hidden="0" customWidth="1"/>
    <x:col min="7" max="7" width="20" hidden="0" customWidth="1"/>
    <x:col min="8" max="8" width="22" hidden="0" customWidth="1"/>
  </x:cols>
  <x:sheetData>
    <x:row r="1" ht="24" customHeight="1">
      <x:c r="A1" s="142" t="str">
        <x:v>Event Framework</x:v>
      </x:c>
      <x:c r="B1" s="142"/>
      <x:c r="C1" s="142"/>
      <x:c r="D1" s="142"/>
      <x:c r="E1" s="142"/>
      <x:c r="F1" s="142"/>
      <x:c r="G1" s="142"/>
      <x:c r="H1" s="142"/>
    </x:row>
    <x:row r="2" ht="30" customHeight="1">
      <x:c r="A2" s="143" t="str">
        <x:v>Event Tier</x:v>
      </x:c>
      <x:c r="B2" s="143" t="str">
        <x:v>Typical Duration</x:v>
      </x:c>
      <x:c r="C2" s="143" t="str">
        <x:v>Cadence</x:v>
      </x:c>
      <x:c r="D2" s="143" t="str">
        <x:v>Purpose</x:v>
      </x:c>
      <x:c r="E2" s="143" t="str">
        <x:v>Scoring Examples</x:v>
      </x:c>
      <x:c r="F2" s="143" t="str">
        <x:v>Reward Examples</x:v>
      </x:c>
      <x:c r="G2" s="143" t="str">
        <x:v>Can Overlap?</x:v>
      </x:c>
      <x:c r="H2" s="143" t="str">
        <x:v>Multiplayer Ready?</x:v>
      </x:c>
    </x:row>
    <x:row r="3">
      <x:c r="A3" s="20" t="str">
        <x:v>Daily Flash</x:v>
      </x:c>
      <x:c r="B3" s="20" t="str">
        <x:v>6-24 hours</x:v>
      </x:c>
      <x:c r="C3" s="20" t="str">
        <x:v>Daily</x:v>
      </x:c>
      <x:c r="D3" s="20" t="str">
        <x:v>Direct attention to one activity</x:v>
      </x:c>
      <x:c r="E3" s="20" t="str">
        <x:v>Upgrade, Market Hunt, customer milestones</x:v>
      </x:c>
      <x:c r="F3" s="20" t="str">
        <x:v>Cash, tickets, shards</x:v>
      </x:c>
      <x:c r="G3" s="20" t="str">
        <x:v>Yes</x:v>
      </x:c>
      <x:c r="H3" s="20" t="str">
        <x:v>Yes</x:v>
      </x:c>
    </x:row>
    <x:row r="4">
      <x:c r="A4" s="20" t="str">
        <x:v>Mini Event</x:v>
      </x:c>
      <x:c r="B4" s="20" t="str">
        <x:v>1-3 days</x:v>
      </x:c>
      <x:c r="C4" s="20" t="str">
        <x:v>2-4 per week</x:v>
      </x:c>
      <x:c r="D4" s="20" t="str">
        <x:v>Short competitive objective</x:v>
      </x:c>
      <x:c r="E4" s="20" t="str">
        <x:v>Expansion, property, trading, investment</x:v>
      </x:c>
      <x:c r="F4" s="20" t="str">
        <x:v>Cases, materials, boosts</x:v>
      </x:c>
      <x:c r="G4" s="20" t="str">
        <x:v>Yes</x:v>
      </x:c>
      <x:c r="H4" s="20" t="str">
        <x:v>Yes</x:v>
      </x:c>
    </x:row>
    <x:row r="5">
      <x:c r="A5" s="20" t="str">
        <x:v>Weekly Campaign</x:v>
      </x:c>
      <x:c r="B5" s="20" t="str">
        <x:v>7 days</x:v>
      </x:c>
      <x:c r="C5" s="20" t="str">
        <x:v>Weekly</x:v>
      </x:c>
      <x:c r="D5" s="20" t="str">
        <x:v>Umbrella progression / leaderboard</x:v>
      </x:c>
      <x:c r="E5" s="20" t="str">
        <x:v>Points from several sub-events</x:v>
      </x:c>
      <x:c r="F5" s="20" t="str">
        <x:v>Premium cases, cosmetics, pass XP</x:v>
      </x:c>
      <x:c r="G5" s="20" t="str">
        <x:v>Yes</x:v>
      </x:c>
      <x:c r="H5" s="20" t="str">
        <x:v>Yes</x:v>
      </x:c>
    </x:row>
    <x:row r="6">
      <x:c r="A6" s="20" t="str">
        <x:v>Season Event</x:v>
      </x:c>
      <x:c r="B6" s="20" t="str">
        <x:v>28 days</x:v>
      </x:c>
      <x:c r="C6" s="20" t="str">
        <x:v>Every season</x:v>
      </x:c>
      <x:c r="D6" s="20" t="str">
        <x:v>Long-term live-ops arc</x:v>
      </x:c>
      <x:c r="E6" s="20" t="str">
        <x:v>Cumulative economic achievements</x:v>
      </x:c>
      <x:c r="F6" s="20" t="str">
        <x:v>Exclusive cosmetics, modules, titles</x:v>
      </x:c>
      <x:c r="G6" s="20" t="str">
        <x:v>Yes</x:v>
      </x:c>
      <x:c r="H6" s="20" t="str">
        <x:v>Yes</x:v>
      </x:c>
    </x:row>
    <x:row r="7">
      <x:c r="A7" s="20" t="str">
        <x:v>Server / World Event</x:v>
      </x:c>
      <x:c r="B7" s="20" t="str">
        <x:v>2-7 days</x:v>
      </x:c>
      <x:c r="C7" s="20" t="str">
        <x:v>Periodic</x:v>
      </x:c>
      <x:c r="D7" s="20" t="str">
        <x:v>Collective or competitive global objective</x:v>
      </x:c>
      <x:c r="E7" s="20" t="str">
        <x:v>World investment, city output, M&amp;A</x:v>
      </x:c>
      <x:c r="F7" s="20" t="str">
        <x:v>World chest, title, rare materials</x:v>
      </x:c>
      <x:c r="G7" s="20" t="str">
        <x:v>Yes</x:v>
      </x:c>
      <x:c r="H7" s="20" t="str">
        <x:v>Yes</x:v>
      </x:c>
    </x:row>
    <x:row r="8">
      <x:c r="A8" s="20"/>
      <x:c r="B8" s="20"/>
      <x:c r="C8" s="20"/>
      <x:c r="D8" s="20"/>
      <x:c r="E8" s="20"/>
      <x:c r="F8" s="20"/>
      <x:c r="G8" s="20"/>
      <x:c r="H8" s="20"/>
    </x:row>
    <x:row r="9">
      <x:c r="A9" s="144" t="str">
        <x:v>Scoring rules</x:v>
      </x:c>
      <x:c r="B9" s="144"/>
      <x:c r="C9" s="144"/>
      <x:c r="D9" s="144"/>
      <x:c r="E9" s="144"/>
      <x:c r="F9" s="144"/>
      <x:c r="G9" s="144"/>
      <x:c r="H9" s="144"/>
    </x:row>
    <x:row r="10">
      <x:c r="A10" s="143" t="str">
        <x:v>Rule</x:v>
      </x:c>
      <x:c r="B10" s="143" t="str">
        <x:v>Implementation</x:v>
      </x:c>
      <x:c r="C10" s="20"/>
      <x:c r="D10" s="20"/>
      <x:c r="E10" s="20"/>
      <x:c r="F10" s="20"/>
      <x:c r="G10" s="20"/>
      <x:c r="H10" s="20"/>
    </x:row>
    <x:row r="11">
      <x:c r="A11" s="20" t="str">
        <x:v>Multi-event contribution</x:v>
      </x:c>
      <x:c r="B11" s="20" t="str">
        <x:v>A qualifying action may score in every active event whose rule includes that action.</x:v>
      </x:c>
      <x:c r="C11" s="20"/>
      <x:c r="D11" s="20"/>
      <x:c r="E11" s="20"/>
      <x:c r="F11" s="20"/>
      <x:c r="G11" s="20"/>
      <x:c r="H11" s="20"/>
    </x:row>
    <x:row r="12">
      <x:c r="A12" s="20" t="str">
        <x:v>No raw spend leaderboard</x:v>
      </x:c>
      <x:c r="B12" s="20" t="str">
        <x:v>Do not score purely by Cash or $PLOT spent; include efficiency, growth and objective completion.</x:v>
      </x:c>
      <x:c r="C12" s="20"/>
      <x:c r="D12" s="20"/>
      <x:c r="E12" s="20"/>
      <x:c r="F12" s="20"/>
      <x:c r="G12" s="20"/>
      <x:c r="H12" s="20"/>
    </x:row>
    <x:row r="13">
      <x:c r="A13" s="20" t="str">
        <x:v>Diminishing repeat points</x:v>
      </x:c>
      <x:c r="B13" s="20" t="str">
        <x:v>Repeated identical actions may earn lower marginal points to limit automation / brute force.</x:v>
      </x:c>
      <x:c r="C13" s="20"/>
      <x:c r="D13" s="20"/>
      <x:c r="E13" s="20"/>
      <x:c r="F13" s="20"/>
      <x:c r="G13" s="20"/>
      <x:c r="H13" s="20"/>
    </x:row>
    <x:row r="14">
      <x:c r="A14" s="20" t="str">
        <x:v>Bracketed leaderboards</x:v>
      </x:c>
      <x:c r="B14" s="20" t="str">
        <x:v>Use Empire Level, server age or activity brackets where needed.</x:v>
      </x:c>
      <x:c r="C14" s="20"/>
      <x:c r="D14" s="20"/>
      <x:c r="E14" s="20"/>
      <x:c r="F14" s="20"/>
      <x:c r="G14" s="20"/>
      <x:c r="H14" s="20"/>
    </x:row>
    <x:row r="15">
      <x:c r="A15" s="20" t="str">
        <x:v>Event-specific caps</x:v>
      </x:c>
      <x:c r="B15" s="20" t="str">
        <x:v>Optional daily point caps for highly farmable actions.</x:v>
      </x:c>
      <x:c r="C15" s="20"/>
      <x:c r="D15" s="20"/>
      <x:c r="E15" s="20"/>
      <x:c r="F15" s="20"/>
      <x:c r="G15" s="20"/>
      <x:c r="H15" s="20"/>
    </x:row>
    <x:row r="16">
      <x:c r="A16" s="20" t="str">
        <x:v>Catch-up</x:v>
      </x:c>
      <x:c r="B16" s="20" t="str">
        <x:v>Late joiners should still access milestone rewards even if top leaderboard rank is unrealistic.</x:v>
      </x:c>
      <x:c r="C16" s="20"/>
      <x:c r="D16" s="20"/>
      <x:c r="E16" s="20"/>
      <x:c r="F16" s="20"/>
      <x:c r="G16" s="20"/>
      <x:c r="H16" s="20"/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  <x:row r="21">
      <x:c r="A21" s="20"/>
      <x:c r="B21" s="20"/>
      <x:c r="C21" s="20"/>
      <x:c r="D21" s="20"/>
      <x:c r="E21" s="20"/>
      <x:c r="F21" s="20"/>
      <x:c r="G21" s="20"/>
      <x:c r="H21" s="20"/>
    </x:row>
    <x:row r="22">
      <x:c r="A22" s="20"/>
      <x:c r="B22" s="20"/>
      <x:c r="C22" s="20"/>
      <x:c r="D22" s="20"/>
      <x:c r="E22" s="20"/>
      <x:c r="F22" s="20"/>
      <x:c r="G22" s="20"/>
      <x:c r="H22" s="20"/>
    </x:row>
    <x:row r="23">
      <x:c r="A23" s="20"/>
      <x:c r="B23" s="20"/>
      <x:c r="C23" s="20"/>
      <x:c r="D23" s="20"/>
      <x:c r="E23" s="20"/>
      <x:c r="F23" s="20"/>
      <x:c r="G23" s="20"/>
      <x:c r="H23" s="20"/>
    </x:row>
    <x:row r="24">
      <x:c r="A24" s="20"/>
      <x:c r="B24" s="20"/>
      <x:c r="C24" s="20"/>
      <x:c r="D24" s="20"/>
      <x:c r="E24" s="20"/>
      <x:c r="F24" s="20"/>
      <x:c r="G24" s="20"/>
      <x:c r="H24" s="20"/>
    </x:row>
    <x:row r="25">
      <x:c r="A25" s="20"/>
      <x:c r="B25" s="20"/>
      <x:c r="C25" s="20"/>
      <x:c r="D25" s="20"/>
      <x:c r="E25" s="20"/>
      <x:c r="F25" s="20"/>
      <x:c r="G25" s="20"/>
      <x:c r="H25" s="20"/>
    </x:row>
    <x:row r="26">
      <x:c r="A26" s="20"/>
      <x:c r="B26" s="20"/>
      <x:c r="C26" s="20"/>
      <x:c r="D26" s="20"/>
      <x:c r="E26" s="20"/>
      <x:c r="F26" s="20"/>
      <x:c r="G26" s="20"/>
      <x:c r="H26" s="20"/>
    </x:row>
    <x:row r="27">
      <x:c r="A27" s="20"/>
      <x:c r="B27" s="20"/>
      <x:c r="C27" s="20"/>
      <x:c r="D27" s="20"/>
      <x:c r="E27" s="20"/>
      <x:c r="F27" s="20"/>
      <x:c r="G27" s="20"/>
      <x:c r="H27" s="20"/>
    </x:row>
    <x:row r="28">
      <x:c r="A28" s="20"/>
      <x:c r="B28" s="20"/>
      <x:c r="C28" s="20"/>
      <x:c r="D28" s="20"/>
      <x:c r="E28" s="20"/>
      <x:c r="F28" s="20"/>
      <x:c r="G28" s="20"/>
      <x:c r="H28" s="20"/>
    </x:row>
    <x:row r="29">
      <x:c r="A29" s="20"/>
      <x:c r="B29" s="20"/>
      <x:c r="C29" s="20"/>
      <x:c r="D29" s="20"/>
      <x:c r="E29" s="20"/>
      <x:c r="F29" s="20"/>
      <x:c r="G29" s="20"/>
      <x:c r="H29" s="20"/>
    </x:row>
    <x:row r="30">
      <x:c r="A30" s="20"/>
      <x:c r="B30" s="20"/>
      <x:c r="C30" s="20"/>
      <x:c r="D30" s="20"/>
      <x:c r="E30" s="20"/>
      <x:c r="F30" s="20"/>
      <x:c r="G30" s="20"/>
      <x:c r="H30" s="20"/>
    </x:row>
    <x:row r="31">
      <x:c r="A31" s="20"/>
      <x:c r="B31" s="20"/>
      <x:c r="C31" s="20"/>
      <x:c r="D31" s="20"/>
      <x:c r="E31" s="20"/>
      <x:c r="F31" s="20"/>
      <x:c r="G31" s="20"/>
      <x:c r="H31" s="20"/>
    </x:row>
    <x:row r="32">
      <x:c r="A32" s="20"/>
      <x:c r="B32" s="20"/>
      <x:c r="C32" s="20"/>
      <x:c r="D32" s="20"/>
      <x:c r="E32" s="20"/>
      <x:c r="F32" s="20"/>
      <x:c r="G32" s="20"/>
      <x:c r="H32" s="20"/>
    </x:row>
    <x:row r="33">
      <x:c r="A33" s="20"/>
      <x:c r="B33" s="20"/>
      <x:c r="C33" s="20"/>
      <x:c r="D33" s="20"/>
      <x:c r="E33" s="20"/>
      <x:c r="F33" s="20"/>
      <x:c r="G33" s="20"/>
      <x:c r="H33" s="20"/>
    </x:row>
    <x:row r="34">
      <x:c r="A34" s="20"/>
      <x:c r="B34" s="20"/>
      <x:c r="C34" s="20"/>
      <x:c r="D34" s="20"/>
      <x:c r="E34" s="20"/>
      <x:c r="F34" s="20"/>
      <x:c r="G34" s="20"/>
      <x:c r="H34" s="20"/>
    </x:row>
    <x:row r="35">
      <x:c r="A35" s="20"/>
      <x:c r="B35" s="20"/>
      <x:c r="C35" s="20"/>
      <x:c r="D35" s="20"/>
      <x:c r="E35" s="20"/>
      <x:c r="F35" s="20"/>
      <x:c r="G35" s="20"/>
      <x:c r="H35" s="20"/>
    </x:row>
    <x:row r="36">
      <x:c r="A36" s="20"/>
      <x:c r="B36" s="20"/>
      <x:c r="C36" s="20"/>
      <x:c r="D36" s="20"/>
      <x:c r="E36" s="20"/>
      <x:c r="F36" s="20"/>
      <x:c r="G36" s="20"/>
      <x:c r="H36" s="20"/>
    </x:row>
    <x:row r="37">
      <x:c r="A37" s="20"/>
      <x:c r="B37" s="20"/>
      <x:c r="C37" s="20"/>
      <x:c r="D37" s="20"/>
      <x:c r="E37" s="20"/>
      <x:c r="F37" s="20"/>
      <x:c r="G37" s="20"/>
      <x:c r="H37" s="20"/>
    </x:row>
    <x:row r="38">
      <x:c r="A38" s="20"/>
      <x:c r="B38" s="20"/>
      <x:c r="C38" s="20"/>
      <x:c r="D38" s="20"/>
      <x:c r="E38" s="20"/>
      <x:c r="F38" s="20"/>
      <x:c r="G38" s="20"/>
      <x:c r="H38" s="20"/>
    </x:row>
    <x:row r="39">
      <x:c r="A39" s="20"/>
      <x:c r="B39" s="20"/>
      <x:c r="C39" s="20"/>
      <x:c r="D39" s="20"/>
      <x:c r="E39" s="20"/>
      <x:c r="F39" s="20"/>
      <x:c r="G39" s="20"/>
      <x:c r="H39" s="20"/>
    </x:row>
    <x:row r="40">
      <x:c r="A40" s="20"/>
      <x:c r="B40" s="20"/>
      <x:c r="C40" s="20"/>
      <x:c r="D40" s="20"/>
      <x:c r="E40" s="20"/>
      <x:c r="F40" s="20"/>
      <x:c r="G40" s="20"/>
      <x:c r="H40" s="20"/>
    </x:row>
    <x:row r="41">
      <x:c r="A41" s="20"/>
      <x:c r="B41" s="20"/>
      <x:c r="C41" s="20"/>
      <x:c r="D41" s="20"/>
      <x:c r="E41" s="20"/>
      <x:c r="F41" s="20"/>
      <x:c r="G41" s="20"/>
      <x:c r="H41" s="20"/>
    </x:row>
    <x:row r="42">
      <x:c r="A42" s="20"/>
      <x:c r="B42" s="20"/>
      <x:c r="C42" s="20"/>
      <x:c r="D42" s="20"/>
      <x:c r="E42" s="20"/>
      <x:c r="F42" s="20"/>
      <x:c r="G42" s="20"/>
      <x:c r="H42" s="20"/>
    </x:row>
    <x:row r="43">
      <x:c r="A43" s="20"/>
      <x:c r="B43" s="20"/>
      <x:c r="C43" s="20"/>
      <x:c r="D43" s="20"/>
      <x:c r="E43" s="20"/>
      <x:c r="F43" s="20"/>
      <x:c r="G43" s="20"/>
      <x:c r="H43" s="20"/>
    </x:row>
    <x:row r="44">
      <x:c r="A44" s="20"/>
      <x:c r="B44" s="20"/>
      <x:c r="C44" s="20"/>
      <x:c r="D44" s="20"/>
      <x:c r="E44" s="20"/>
      <x:c r="F44" s="20"/>
      <x:c r="G44" s="20"/>
      <x:c r="H44" s="20"/>
    </x:row>
    <x:row r="45">
      <x:c r="A45" s="20"/>
      <x:c r="B45" s="20"/>
      <x:c r="C45" s="20"/>
      <x:c r="D45" s="20"/>
      <x:c r="E45" s="20"/>
      <x:c r="F45" s="20"/>
      <x:c r="G45" s="20"/>
      <x:c r="H45" s="20"/>
    </x:row>
    <x:row r="46">
      <x:c r="A46" s="20"/>
      <x:c r="B46" s="20"/>
      <x:c r="C46" s="20"/>
      <x:c r="D46" s="20"/>
      <x:c r="E46" s="20"/>
      <x:c r="F46" s="20"/>
      <x:c r="G46" s="20"/>
      <x:c r="H46" s="20"/>
    </x:row>
    <x:row r="47">
      <x:c r="A47" s="20"/>
      <x:c r="B47" s="20"/>
      <x:c r="C47" s="20"/>
      <x:c r="D47" s="20"/>
      <x:c r="E47" s="20"/>
      <x:c r="F47" s="20"/>
      <x:c r="G47" s="20"/>
      <x:c r="H47" s="20"/>
    </x:row>
    <x:row r="48">
      <x:c r="A48" s="20"/>
      <x:c r="B48" s="20"/>
      <x:c r="C48" s="20"/>
      <x:c r="D48" s="20"/>
      <x:c r="E48" s="20"/>
      <x:c r="F48" s="20"/>
      <x:c r="G48" s="20"/>
      <x:c r="H48" s="20"/>
    </x:row>
    <x:row r="49">
      <x:c r="A49" s="20"/>
      <x:c r="B49" s="20"/>
      <x:c r="C49" s="20"/>
      <x:c r="D49" s="20"/>
      <x:c r="E49" s="20"/>
      <x:c r="F49" s="20"/>
      <x:c r="G49" s="20"/>
      <x:c r="H49" s="20"/>
    </x:row>
    <x:row r="50">
      <x:c r="A50" s="20"/>
      <x:c r="B50" s="20"/>
      <x:c r="C50" s="20"/>
      <x:c r="D50" s="20"/>
      <x:c r="E50" s="20"/>
      <x:c r="F50" s="20"/>
      <x:c r="G50" s="20"/>
      <x:c r="H50" s="20"/>
    </x:row>
    <x:row r="51">
      <x:c r="A51" s="20"/>
      <x:c r="B51" s="20"/>
      <x:c r="C51" s="20"/>
      <x:c r="D51" s="20"/>
      <x:c r="E51" s="20"/>
      <x:c r="F51" s="20"/>
      <x:c r="G51" s="20"/>
      <x:c r="H51" s="20"/>
    </x:row>
    <x:row r="52">
      <x:c r="A52" s="20"/>
      <x:c r="B52" s="20"/>
      <x:c r="C52" s="20"/>
      <x:c r="D52" s="20"/>
      <x:c r="E52" s="20"/>
      <x:c r="F52" s="20"/>
      <x:c r="G52" s="20"/>
      <x:c r="H52" s="20"/>
    </x:row>
    <x:row r="53">
      <x:c r="A53" s="20"/>
      <x:c r="B53" s="20"/>
      <x:c r="C53" s="20"/>
      <x:c r="D53" s="20"/>
      <x:c r="E53" s="20"/>
      <x:c r="F53" s="20"/>
      <x:c r="G53" s="20"/>
      <x:c r="H53" s="20"/>
    </x:row>
    <x:row r="54">
      <x:c r="A54" s="20"/>
      <x:c r="B54" s="20"/>
      <x:c r="C54" s="20"/>
      <x:c r="D54" s="20"/>
      <x:c r="E54" s="20"/>
      <x:c r="F54" s="20"/>
      <x:c r="G54" s="20"/>
      <x:c r="H54" s="20"/>
    </x:row>
    <x:row r="55">
      <x:c r="A55" s="20"/>
      <x:c r="B55" s="20"/>
      <x:c r="C55" s="20"/>
      <x:c r="D55" s="20"/>
      <x:c r="E55" s="20"/>
      <x:c r="F55" s="20"/>
      <x:c r="G55" s="20"/>
      <x:c r="H55" s="20"/>
    </x:row>
    <x:row r="56">
      <x:c r="A56" s="20"/>
      <x:c r="B56" s="20"/>
      <x:c r="C56" s="20"/>
      <x:c r="D56" s="20"/>
      <x:c r="E56" s="20"/>
      <x:c r="F56" s="20"/>
      <x:c r="G56" s="20"/>
      <x:c r="H56" s="20"/>
    </x:row>
    <x:row r="57">
      <x:c r="A57" s="20"/>
      <x:c r="B57" s="20"/>
      <x:c r="C57" s="20"/>
      <x:c r="D57" s="20"/>
      <x:c r="E57" s="20"/>
      <x:c r="F57" s="20"/>
      <x:c r="G57" s="20"/>
      <x:c r="H57" s="20"/>
    </x:row>
    <x:row r="58">
      <x:c r="A58" s="20"/>
      <x:c r="B58" s="20"/>
      <x:c r="C58" s="20"/>
      <x:c r="D58" s="20"/>
      <x:c r="E58" s="20"/>
      <x:c r="F58" s="20"/>
      <x:c r="G58" s="20"/>
      <x:c r="H58" s="20"/>
    </x:row>
    <x:row r="59">
      <x:c r="A59" s="20"/>
      <x:c r="B59" s="20"/>
      <x:c r="C59" s="20"/>
      <x:c r="D59" s="20"/>
      <x:c r="E59" s="20"/>
      <x:c r="F59" s="20"/>
      <x:c r="G59" s="20"/>
      <x:c r="H59" s="20"/>
    </x:row>
    <x:row r="60">
      <x:c r="A60" s="20"/>
      <x:c r="B60" s="20"/>
      <x:c r="C60" s="20"/>
      <x:c r="D60" s="20"/>
      <x:c r="E60" s="20"/>
      <x:c r="F60" s="20"/>
      <x:c r="G60" s="20"/>
      <x:c r="H60" s="20"/>
    </x:row>
    <x:row r="61">
      <x:c r="A61" s="20"/>
      <x:c r="B61" s="20"/>
      <x:c r="C61" s="20"/>
      <x:c r="D61" s="20"/>
      <x:c r="E61" s="20"/>
      <x:c r="F61" s="20"/>
      <x:c r="G61" s="20"/>
      <x:c r="H61" s="20"/>
    </x:row>
    <x:row r="62">
      <x:c r="A62" s="20"/>
      <x:c r="B62" s="20"/>
      <x:c r="C62" s="20"/>
      <x:c r="D62" s="20"/>
      <x:c r="E62" s="20"/>
      <x:c r="F62" s="20"/>
      <x:c r="G62" s="20"/>
      <x:c r="H62" s="20"/>
    </x:row>
    <x:row r="63">
      <x:c r="A63" s="20"/>
      <x:c r="B63" s="20"/>
      <x:c r="C63" s="20"/>
      <x:c r="D63" s="20"/>
      <x:c r="E63" s="20"/>
      <x:c r="F63" s="20"/>
      <x:c r="G63" s="20"/>
      <x:c r="H63" s="20"/>
    </x:row>
    <x:row r="64">
      <x:c r="A64" s="20"/>
      <x:c r="B64" s="20"/>
      <x:c r="C64" s="20"/>
      <x:c r="D64" s="20"/>
      <x:c r="E64" s="20"/>
      <x:c r="F64" s="20"/>
      <x:c r="G64" s="20"/>
      <x:c r="H64" s="20"/>
    </x:row>
    <x:row r="65">
      <x:c r="A65" s="20"/>
      <x:c r="B65" s="20"/>
      <x:c r="C65" s="20"/>
      <x:c r="D65" s="20"/>
      <x:c r="E65" s="20"/>
      <x:c r="F65" s="20"/>
      <x:c r="G65" s="20"/>
      <x:c r="H65" s="20"/>
    </x:row>
    <x:row r="66">
      <x:c r="A66" s="20"/>
      <x:c r="B66" s="20"/>
      <x:c r="C66" s="20"/>
      <x:c r="D66" s="20"/>
      <x:c r="E66" s="20"/>
      <x:c r="F66" s="20"/>
      <x:c r="G66" s="20"/>
      <x:c r="H66" s="20"/>
    </x:row>
    <x:row r="67">
      <x:c r="A67" s="20"/>
      <x:c r="B67" s="20"/>
      <x:c r="C67" s="20"/>
      <x:c r="D67" s="20"/>
      <x:c r="E67" s="20"/>
      <x:c r="F67" s="20"/>
      <x:c r="G67" s="20"/>
      <x:c r="H67" s="20"/>
    </x:row>
    <x:row r="68">
      <x:c r="A68" s="20"/>
      <x:c r="B68" s="20"/>
      <x:c r="C68" s="20"/>
      <x:c r="D68" s="20"/>
      <x:c r="E68" s="20"/>
      <x:c r="F68" s="20"/>
      <x:c r="G68" s="20"/>
      <x:c r="H68" s="20"/>
    </x:row>
    <x:row r="69">
      <x:c r="A69" s="20"/>
      <x:c r="B69" s="20"/>
      <x:c r="C69" s="20"/>
      <x:c r="D69" s="20"/>
      <x:c r="E69" s="20"/>
      <x:c r="F69" s="20"/>
      <x:c r="G69" s="20"/>
      <x:c r="H69" s="20"/>
    </x:row>
    <x:row r="70">
      <x:c r="A70" s="20"/>
      <x:c r="B70" s="20"/>
      <x:c r="C70" s="20"/>
      <x:c r="D70" s="20"/>
      <x:c r="E70" s="20"/>
      <x:c r="F70" s="20"/>
      <x:c r="G70" s="20"/>
      <x:c r="H70" s="20"/>
    </x:row>
    <x:row r="71">
      <x:c r="A71" s="20"/>
      <x:c r="B71" s="20"/>
      <x:c r="C71" s="20"/>
      <x:c r="D71" s="20"/>
      <x:c r="E71" s="20"/>
      <x:c r="F71" s="20"/>
      <x:c r="G71" s="20"/>
      <x:c r="H71" s="20"/>
    </x:row>
    <x:row r="72">
      <x:c r="A72" s="20"/>
      <x:c r="B72" s="20"/>
      <x:c r="C72" s="20"/>
      <x:c r="D72" s="20"/>
      <x:c r="E72" s="20"/>
      <x:c r="F72" s="20"/>
      <x:c r="G72" s="20"/>
      <x:c r="H72" s="20"/>
    </x:row>
    <x:row r="73">
      <x:c r="A73" s="20"/>
      <x:c r="B73" s="20"/>
      <x:c r="C73" s="20"/>
      <x:c r="D73" s="20"/>
      <x:c r="E73" s="20"/>
      <x:c r="F73" s="20"/>
      <x:c r="G73" s="20"/>
      <x:c r="H73" s="20"/>
    </x:row>
    <x:row r="74">
      <x:c r="A74" s="20"/>
      <x:c r="B74" s="20"/>
      <x:c r="C74" s="20"/>
      <x:c r="D74" s="20"/>
      <x:c r="E74" s="20"/>
      <x:c r="F74" s="20"/>
      <x:c r="G74" s="20"/>
      <x:c r="H74" s="20"/>
    </x:row>
    <x:row r="75">
      <x:c r="A75" s="20"/>
      <x:c r="B75" s="20"/>
      <x:c r="C75" s="20"/>
      <x:c r="D75" s="20"/>
      <x:c r="E75" s="20"/>
      <x:c r="F75" s="20"/>
      <x:c r="G75" s="20"/>
      <x:c r="H75" s="20"/>
    </x:row>
    <x:row r="76">
      <x:c r="A76" s="20"/>
      <x:c r="B76" s="20"/>
      <x:c r="C76" s="20"/>
      <x:c r="D76" s="20"/>
      <x:c r="E76" s="20"/>
      <x:c r="F76" s="20"/>
      <x:c r="G76" s="20"/>
      <x:c r="H76" s="20"/>
    </x:row>
    <x:row r="77">
      <x:c r="A77" s="20"/>
      <x:c r="B77" s="20"/>
      <x:c r="C77" s="20"/>
      <x:c r="D77" s="20"/>
      <x:c r="E77" s="20"/>
      <x:c r="F77" s="20"/>
      <x:c r="G77" s="20"/>
      <x:c r="H77" s="20"/>
    </x:row>
    <x:row r="78">
      <x:c r="A78" s="20"/>
      <x:c r="B78" s="20"/>
      <x:c r="C78" s="20"/>
      <x:c r="D78" s="20"/>
      <x:c r="E78" s="20"/>
      <x:c r="F78" s="20"/>
      <x:c r="G78" s="20"/>
      <x:c r="H78" s="20"/>
    </x:row>
    <x:row r="79">
      <x:c r="A79" s="20"/>
      <x:c r="B79" s="20"/>
      <x:c r="C79" s="20"/>
      <x:c r="D79" s="20"/>
      <x:c r="E79" s="20"/>
      <x:c r="F79" s="20"/>
      <x:c r="G79" s="20"/>
      <x:c r="H79" s="20"/>
    </x:row>
    <x:row r="80">
      <x:c r="A80" s="20"/>
      <x:c r="B80" s="20"/>
      <x:c r="C80" s="20"/>
      <x:c r="D80" s="20"/>
      <x:c r="E80" s="20"/>
      <x:c r="F80" s="20"/>
      <x:c r="G80" s="20"/>
      <x:c r="H80" s="20"/>
    </x:row>
  </x:sheetData>
  <x:mergeCells>
    <x:mergeCell ref="A1:H1"/>
    <x:mergeCell ref="A9:H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16" hidden="0" customWidth="1"/>
    <x:col min="4" max="4" width="38" hidden="0" customWidth="1"/>
    <x:col min="5" max="5" width="30" hidden="0" customWidth="1"/>
    <x:col min="6" max="6" width="32" hidden="0" customWidth="1"/>
    <x:col min="7" max="7" width="28" hidden="0" customWidth="1"/>
    <x:col min="8" max="8" width="22" hidden="0" customWidth="1"/>
  </x:cols>
  <x:sheetData>
    <x:row r="1" ht="24" customHeight="1">
      <x:c r="A1" s="142" t="str">
        <x:v>Event Catalog</x:v>
      </x:c>
      <x:c r="B1" s="142"/>
      <x:c r="C1" s="142"/>
      <x:c r="D1" s="142"/>
      <x:c r="E1" s="142"/>
      <x:c r="F1" s="142"/>
      <x:c r="G1" s="142"/>
      <x:c r="H1" s="142"/>
    </x:row>
    <x:row r="2" ht="30" customHeight="1">
      <x:c r="A2" s="143" t="str">
        <x:v>Event</x:v>
      </x:c>
      <x:c r="B2" s="143" t="str">
        <x:v>Category</x:v>
      </x:c>
      <x:c r="C2" s="143" t="str">
        <x:v>Duration</x:v>
      </x:c>
      <x:c r="D2" s="143" t="str">
        <x:v>Qualifying Actions</x:v>
      </x:c>
      <x:c r="E2" s="143" t="str">
        <x:v>Primary KPI</x:v>
      </x:c>
      <x:c r="F2" s="143" t="str">
        <x:v>Milestone Rewards</x:v>
      </x:c>
      <x:c r="G2" s="143" t="str">
        <x:v>Leaderboard Reward</x:v>
      </x:c>
      <x:c r="H2" s="143" t="str">
        <x:v>Phase</x:v>
      </x:c>
    </x:row>
    <x:row r="3">
      <x:c r="A3" s="20" t="str">
        <x:v>Global Finance Week</x:v>
      </x:c>
      <x:c r="B3" s="20" t="str">
        <x:v>Weekly umbrella</x:v>
      </x:c>
      <x:c r="C3" s="20" t="str">
        <x:v>7d</x:v>
      </x:c>
      <x:c r="D3" s="20" t="str">
        <x:v>Build, upgrade, invest, trade, Market Hunts</x:v>
      </x:c>
      <x:c r="E3" s="20" t="str">
        <x:v>Cross-system engagement</x:v>
      </x:c>
      <x:c r="F3" s="20" t="str">
        <x:v>Cash, case keys, shards</x:v>
      </x:c>
      <x:c r="G3" s="20" t="str">
        <x:v>Season XP + exclusive cosmetic</x:v>
      </x:c>
      <x:c r="H3" s="20" t="str">
        <x:v>MVP+</x:v>
      </x:c>
    </x:row>
    <x:row r="4">
      <x:c r="A4" s="20" t="str">
        <x:v>Business Expansion</x:v>
      </x:c>
      <x:c r="B4" s="20" t="str">
        <x:v>Construction</x:v>
      </x:c>
      <x:c r="C4" s="20" t="str">
        <x:v>48h</x:v>
      </x:c>
      <x:c r="D4" s="20" t="str">
        <x:v>Build new businesses, mature openings</x:v>
      </x:c>
      <x:c r="E4" s="20" t="str">
        <x:v>Construction activity</x:v>
      </x:c>
      <x:c r="F4" s="20" t="str">
        <x:v>Cash, components</x:v>
      </x:c>
      <x:c r="G4" s="20" t="str">
        <x:v>Executive Case</x:v>
      </x:c>
      <x:c r="H4" s="20" t="str">
        <x:v>MVP</x:v>
      </x:c>
    </x:row>
    <x:row r="5">
      <x:c r="A5" s="20" t="str">
        <x:v>Upgrade Sprint</x:v>
      </x:c>
      <x:c r="B5" s="20" t="str">
        <x:v>Progression</x:v>
      </x:c>
      <x:c r="C5" s="20" t="str">
        <x:v>24h</x:v>
      </x:c>
      <x:c r="D5" s="20" t="str">
        <x:v>Stage upgrades, module upgrades</x:v>
      </x:c>
      <x:c r="E5" s="20" t="str">
        <x:v>Upgrade depth</x:v>
      </x:c>
      <x:c r="F5" s="20" t="str">
        <x:v>Shards, boosters</x:v>
      </x:c>
      <x:c r="G5" s="20" t="str">
        <x:v>Epic material</x:v>
      </x:c>
      <x:c r="H5" s="20" t="str">
        <x:v>MVP</x:v>
      </x:c>
    </x:row>
    <x:row r="6">
      <x:c r="A6" s="20" t="str">
        <x:v>Market Hunter</x:v>
      </x:c>
      <x:c r="B6" s="20" t="str">
        <x:v>Exploration</x:v>
      </x:c>
      <x:c r="C6" s="20" t="str">
        <x:v>24h</x:v>
      </x:c>
      <x:c r="D6" s="20" t="str">
        <x:v>Market Hunts, stock fragments</x:v>
      </x:c>
      <x:c r="E6" s="20" t="str">
        <x:v>Hunt participation</x:v>
      </x:c>
      <x:c r="F6" s="20" t="str">
        <x:v>Tickets, Market Cases</x:v>
      </x:c>
      <x:c r="G6" s="20" t="str">
        <x:v>Rare stock cosmetic</x:v>
      </x:c>
      <x:c r="H6" s="20" t="str">
        <x:v>MVP</x:v>
      </x:c>
    </x:row>
    <x:row r="7">
      <x:c r="A7" s="20" t="str">
        <x:v>Customer Rush</x:v>
      </x:c>
      <x:c r="B7" s="20" t="str">
        <x:v>Operations</x:v>
      </x:c>
      <x:c r="C7" s="20" t="str">
        <x:v>24h</x:v>
      </x:c>
      <x:c r="D7" s="20" t="str">
        <x:v>Acquire/serve customers, throughput goals</x:v>
      </x:c>
      <x:c r="E7" s="20" t="str">
        <x:v>Active operations</x:v>
      </x:c>
      <x:c r="F7" s="20" t="str">
        <x:v>Cash, campaign boosts</x:v>
      </x:c>
      <x:c r="G7" s="20" t="str">
        <x:v>Executive Case</x:v>
      </x:c>
      <x:c r="H7" s="20" t="str">
        <x:v>MVP</x:v>
      </x:c>
    </x:row>
    <x:row r="8">
      <x:c r="A8" s="20" t="str">
        <x:v>Property Development</x:v>
      </x:c>
      <x:c r="B8" s="20" t="str">
        <x:v>Land</x:v>
      </x:c>
      <x:c r="C8" s="20" t="str">
        <x:v>48h</x:v>
      </x:c>
      <x:c r="D8" s="20" t="str">
        <x:v>Buy land, develop qualifying parcels</x:v>
      </x:c>
      <x:c r="E8" s="20" t="str">
        <x:v>Land utilization</x:v>
      </x:c>
      <x:c r="F8" s="20" t="str">
        <x:v>Permits, Cash</x:v>
      </x:c>
      <x:c r="G8" s="20" t="str">
        <x:v>Prime Permit</x:v>
      </x:c>
      <x:c r="H8" s="20" t="str">
        <x:v>MVP</x:v>
      </x:c>
    </x:row>
    <x:row r="9">
      <x:c r="A9" s="20" t="str">
        <x:v>Capital Efficiency</x:v>
      </x:c>
      <x:c r="B9" s="20" t="str">
        <x:v>Finance</x:v>
      </x:c>
      <x:c r="C9" s="20" t="str">
        <x:v>48h</x:v>
      </x:c>
      <x:c r="D9" s="20" t="str">
        <x:v>Increase net output without equal cost growth</x:v>
      </x:c>
      <x:c r="E9" s="20" t="str">
        <x:v>Efficiency</x:v>
      </x:c>
      <x:c r="F9" s="20" t="str">
        <x:v>Components, boosts</x:v>
      </x:c>
      <x:c r="G9" s="20" t="str">
        <x:v>Rare module</x:v>
      </x:c>
      <x:c r="H9" s="20" t="str">
        <x:v>MVP+</x:v>
      </x:c>
    </x:row>
    <x:row r="10">
      <x:c r="A10" s="20" t="str">
        <x:v>Portfolio Week</x:v>
      </x:c>
      <x:c r="B10" s="20" t="str">
        <x:v>Collections</x:v>
      </x:c>
      <x:c r="C10" s="20" t="str">
        <x:v>72h</x:v>
      </x:c>
      <x:c r="D10" s="20" t="str">
        <x:v>Complete stock sets / diversify collections</x:v>
      </x:c>
      <x:c r="E10" s="20" t="str">
        <x:v>Collection depth</x:v>
      </x:c>
      <x:c r="F10" s="20" t="str">
        <x:v>Fragments, cases</x:v>
      </x:c>
      <x:c r="G10" s="20" t="str">
        <x:v>Exclusive title</x:v>
      </x:c>
      <x:c r="H10" s="20" t="str">
        <x:v>MVP+</x:v>
      </x:c>
    </x:row>
    <x:row r="11">
      <x:c r="A11" s="20" t="str">
        <x:v>Foreign Investment Week</x:v>
      </x:c>
      <x:c r="B11" s="20" t="str">
        <x:v>Multiplayer</x:v>
      </x:c>
      <x:c r="C11" s="20" t="str">
        <x:v>72h</x:v>
      </x:c>
      <x:c r="D11" s="20" t="str">
        <x:v>Invest in other cities / build commercial properties</x:v>
      </x:c>
      <x:c r="E11" s="20" t="str">
        <x:v>Cross-city capital flow</x:v>
      </x:c>
      <x:c r="F11" s="20" t="str">
        <x:v>Cash, Investor Cases</x:v>
      </x:c>
      <x:c r="G11" s="20" t="str">
        <x:v>Investor title + cosmetic</x:v>
      </x:c>
      <x:c r="H11" s="20" t="str">
        <x:v>Multiplayer</x:v>
      </x:c>
    </x:row>
    <x:row r="12">
      <x:c r="A12" s="20" t="str">
        <x:v>M&amp;A Monday</x:v>
      </x:c>
      <x:c r="B12" s="20" t="str">
        <x:v>Multiplayer</x:v>
      </x:c>
      <x:c r="C12" s="20" t="str">
        <x:v>24h</x:v>
      </x:c>
      <x:c r="D12" s="20" t="str">
        <x:v>Bid, buy, sell businesses</x:v>
      </x:c>
      <x:c r="E12" s="20" t="str">
        <x:v>Business market liquidity</x:v>
      </x:c>
      <x:c r="F12" s="20" t="str">
        <x:v>Deal tickets, Cash</x:v>
      </x:c>
      <x:c r="G12" s="20" t="str">
        <x:v>M&amp;A cosmetic</x:v>
      </x:c>
      <x:c r="H12" s="20" t="str">
        <x:v>Multiplayer</x:v>
      </x:c>
    </x:row>
    <x:row r="13">
      <x:c r="A13" s="20" t="str">
        <x:v>City Exchange Rally</x:v>
      </x:c>
      <x:c r="B13" s="20" t="str">
        <x:v>Multiplayer</x:v>
      </x:c>
      <x:c r="C13" s="20" t="str">
        <x:v>48h</x:v>
      </x:c>
      <x:c r="D13" s="20" t="str">
        <x:v>Buy/sell city shares; profitable positions</x:v>
      </x:c>
      <x:c r="E13" s="20" t="str">
        <x:v>Exchange activity</x:v>
      </x:c>
      <x:c r="F13" s="20" t="str">
        <x:v>Investor cases, materials</x:v>
      </x:c>
      <x:c r="G13" s="20" t="str">
        <x:v>Exchange badge</x:v>
      </x:c>
      <x:c r="H13" s="20" t="str">
        <x:v>Multiplayer</x:v>
      </x:c>
    </x:row>
    <x:row r="14">
      <x:c r="A14" s="20" t="str">
        <x:v>Corporate Takeover</x:v>
      </x:c>
      <x:c r="B14" s="20" t="str">
        <x:v>Competitive</x:v>
      </x:c>
      <x:c r="C14" s="20" t="str">
        <x:v>48h</x:v>
      </x:c>
      <x:c r="D14" s="20" t="str">
        <x:v>Approved hostile acquisition / corporate actions</x:v>
      </x:c>
      <x:c r="E14" s="20" t="str">
        <x:v>Competitive finance</x:v>
      </x:c>
      <x:c r="F14" s="20" t="str">
        <x:v>Rare materials</x:v>
      </x:c>
      <x:c r="G14" s="20" t="str">
        <x:v>Corporate Raider title</x:v>
      </x:c>
      <x:c r="H14" s="20" t="str">
        <x:v>Multiplayer</x:v>
      </x:c>
    </x:row>
    <x:row r="15">
      <x:c r="A15" s="20" t="str">
        <x:v>World Development Fund</x:v>
      </x:c>
      <x:c r="B15" s="20" t="str">
        <x:v>World</x:v>
      </x:c>
      <x:c r="C15" s="20" t="str">
        <x:v>7d</x:v>
      </x:c>
      <x:c r="D15" s="20" t="str">
        <x:v>Server-wide investment contribution</x:v>
      </x:c>
      <x:c r="E15" s="20" t="str">
        <x:v>Collective progress</x:v>
      </x:c>
      <x:c r="F15" s="20" t="str">
        <x:v>World chest tiers</x:v>
      </x:c>
      <x:c r="G15" s="20" t="str">
        <x:v>Top city banner</x:v>
      </x:c>
      <x:c r="H15" s="20" t="str">
        <x:v>Multiplayer</x:v>
      </x:c>
    </x:row>
    <x:row r="16">
      <x:c r="A16" s="20" t="str">
        <x:v>Bull Market Rally</x:v>
      </x:c>
      <x:c r="B16" s="20" t="str">
        <x:v>Market cycle</x:v>
      </x:c>
      <x:c r="C16" s="20" t="str">
        <x:v>72h</x:v>
      </x:c>
      <x:c r="D16" s="20" t="str">
        <x:v>Selected market-sensitive actions</x:v>
      </x:c>
      <x:c r="E16" s="20" t="str">
        <x:v>Market response</x:v>
      </x:c>
      <x:c r="F16" s="20" t="str">
        <x:v>Cash, boosts, cases</x:v>
      </x:c>
      <x:c r="G16" s="20" t="str">
        <x:v>Limited cosmetic</x:v>
      </x:c>
      <x:c r="H16" s="20" t="str">
        <x:v>MVP+</x:v>
      </x:c>
    </x:row>
    <x:row r="17">
      <x:c r="A17" s="20" t="str">
        <x:v>Liquidity Week</x:v>
      </x:c>
      <x:c r="B17" s="20" t="str">
        <x:v>Finance</x:v>
      </x:c>
      <x:c r="C17" s="20" t="str">
        <x:v>72h</x:v>
      </x:c>
      <x:c r="D17" s="20" t="str">
        <x:v>Liquidity/reserve objectives, obligations</x:v>
      </x:c>
      <x:c r="E17" s="20" t="str">
        <x:v>Treasury management</x:v>
      </x:c>
      <x:c r="F17" s="20" t="str">
        <x:v>Cash, efficiency items</x:v>
      </x:c>
      <x:c r="G17" s="20" t="str">
        <x:v>Treasury module</x:v>
      </x:c>
      <x:c r="H17" s="20" t="str">
        <x:v>MVP+</x:v>
      </x:c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  <x:row r="21">
      <x:c r="A21" s="20"/>
      <x:c r="B21" s="20"/>
      <x:c r="C21" s="20"/>
      <x:c r="D21" s="20"/>
      <x:c r="E21" s="20"/>
      <x:c r="F21" s="20"/>
      <x:c r="G21" s="20"/>
      <x:c r="H21" s="20"/>
    </x:row>
    <x:row r="22">
      <x:c r="A22" s="20"/>
      <x:c r="B22" s="20"/>
      <x:c r="C22" s="20"/>
      <x:c r="D22" s="20"/>
      <x:c r="E22" s="20"/>
      <x:c r="F22" s="20"/>
      <x:c r="G22" s="20"/>
      <x:c r="H22" s="20"/>
    </x:row>
    <x:row r="23">
      <x:c r="A23" s="20"/>
      <x:c r="B23" s="20"/>
      <x:c r="C23" s="20"/>
      <x:c r="D23" s="20"/>
      <x:c r="E23" s="20"/>
      <x:c r="F23" s="20"/>
      <x:c r="G23" s="20"/>
      <x:c r="H23" s="20"/>
    </x:row>
    <x:row r="24">
      <x:c r="A24" s="20"/>
      <x:c r="B24" s="20"/>
      <x:c r="C24" s="20"/>
      <x:c r="D24" s="20"/>
      <x:c r="E24" s="20"/>
      <x:c r="F24" s="20"/>
      <x:c r="G24" s="20"/>
      <x:c r="H24" s="20"/>
    </x:row>
    <x:row r="25">
      <x:c r="A25" s="20"/>
      <x:c r="B25" s="20"/>
      <x:c r="C25" s="20"/>
      <x:c r="D25" s="20"/>
      <x:c r="E25" s="20"/>
      <x:c r="F25" s="20"/>
      <x:c r="G25" s="20"/>
      <x:c r="H25" s="20"/>
    </x:row>
    <x:row r="26">
      <x:c r="A26" s="20"/>
      <x:c r="B26" s="20"/>
      <x:c r="C26" s="20"/>
      <x:c r="D26" s="20"/>
      <x:c r="E26" s="20"/>
      <x:c r="F26" s="20"/>
      <x:c r="G26" s="20"/>
      <x:c r="H26" s="20"/>
    </x:row>
    <x:row r="27">
      <x:c r="A27" s="20"/>
      <x:c r="B27" s="20"/>
      <x:c r="C27" s="20"/>
      <x:c r="D27" s="20"/>
      <x:c r="E27" s="20"/>
      <x:c r="F27" s="20"/>
      <x:c r="G27" s="20"/>
      <x:c r="H27" s="20"/>
    </x:row>
    <x:row r="28">
      <x:c r="A28" s="20"/>
      <x:c r="B28" s="20"/>
      <x:c r="C28" s="20"/>
      <x:c r="D28" s="20"/>
      <x:c r="E28" s="20"/>
      <x:c r="F28" s="20"/>
      <x:c r="G28" s="20"/>
      <x:c r="H28" s="20"/>
    </x:row>
    <x:row r="29">
      <x:c r="A29" s="20"/>
      <x:c r="B29" s="20"/>
      <x:c r="C29" s="20"/>
      <x:c r="D29" s="20"/>
      <x:c r="E29" s="20"/>
      <x:c r="F29" s="20"/>
      <x:c r="G29" s="20"/>
      <x:c r="H29" s="20"/>
    </x:row>
    <x:row r="30">
      <x:c r="A30" s="20"/>
      <x:c r="B30" s="20"/>
      <x:c r="C30" s="20"/>
      <x:c r="D30" s="20"/>
      <x:c r="E30" s="20"/>
      <x:c r="F30" s="20"/>
      <x:c r="G30" s="20"/>
      <x:c r="H30" s="20"/>
    </x:row>
    <x:row r="31">
      <x:c r="A31" s="20"/>
      <x:c r="B31" s="20"/>
      <x:c r="C31" s="20"/>
      <x:c r="D31" s="20"/>
      <x:c r="E31" s="20"/>
      <x:c r="F31" s="20"/>
      <x:c r="G31" s="20"/>
      <x:c r="H31" s="20"/>
    </x:row>
    <x:row r="32">
      <x:c r="A32" s="20"/>
      <x:c r="B32" s="20"/>
      <x:c r="C32" s="20"/>
      <x:c r="D32" s="20"/>
      <x:c r="E32" s="20"/>
      <x:c r="F32" s="20"/>
      <x:c r="G32" s="20"/>
      <x:c r="H32" s="20"/>
    </x:row>
    <x:row r="33">
      <x:c r="A33" s="20"/>
      <x:c r="B33" s="20"/>
      <x:c r="C33" s="20"/>
      <x:c r="D33" s="20"/>
      <x:c r="E33" s="20"/>
      <x:c r="F33" s="20"/>
      <x:c r="G33" s="20"/>
      <x:c r="H33" s="20"/>
    </x:row>
    <x:row r="34">
      <x:c r="A34" s="20"/>
      <x:c r="B34" s="20"/>
      <x:c r="C34" s="20"/>
      <x:c r="D34" s="20"/>
      <x:c r="E34" s="20"/>
      <x:c r="F34" s="20"/>
      <x:c r="G34" s="20"/>
      <x:c r="H34" s="20"/>
    </x:row>
    <x:row r="35">
      <x:c r="A35" s="20"/>
      <x:c r="B35" s="20"/>
      <x:c r="C35" s="20"/>
      <x:c r="D35" s="20"/>
      <x:c r="E35" s="20"/>
      <x:c r="F35" s="20"/>
      <x:c r="G35" s="20"/>
      <x:c r="H35" s="20"/>
    </x:row>
    <x:row r="36">
      <x:c r="A36" s="20"/>
      <x:c r="B36" s="20"/>
      <x:c r="C36" s="20"/>
      <x:c r="D36" s="20"/>
      <x:c r="E36" s="20"/>
      <x:c r="F36" s="20"/>
      <x:c r="G36" s="20"/>
      <x:c r="H36" s="20"/>
    </x:row>
    <x:row r="37">
      <x:c r="A37" s="20"/>
      <x:c r="B37" s="20"/>
      <x:c r="C37" s="20"/>
      <x:c r="D37" s="20"/>
      <x:c r="E37" s="20"/>
      <x:c r="F37" s="20"/>
      <x:c r="G37" s="20"/>
      <x:c r="H37" s="20"/>
    </x:row>
    <x:row r="38">
      <x:c r="A38" s="20"/>
      <x:c r="B38" s="20"/>
      <x:c r="C38" s="20"/>
      <x:c r="D38" s="20"/>
      <x:c r="E38" s="20"/>
      <x:c r="F38" s="20"/>
      <x:c r="G38" s="20"/>
      <x:c r="H38" s="20"/>
    </x:row>
    <x:row r="39">
      <x:c r="A39" s="20"/>
      <x:c r="B39" s="20"/>
      <x:c r="C39" s="20"/>
      <x:c r="D39" s="20"/>
      <x:c r="E39" s="20"/>
      <x:c r="F39" s="20"/>
      <x:c r="G39" s="20"/>
      <x:c r="H39" s="20"/>
    </x:row>
    <x:row r="40">
      <x:c r="A40" s="20"/>
      <x:c r="B40" s="20"/>
      <x:c r="C40" s="20"/>
      <x:c r="D40" s="20"/>
      <x:c r="E40" s="20"/>
      <x:c r="F40" s="20"/>
      <x:c r="G40" s="20"/>
      <x:c r="H40" s="20"/>
    </x:row>
    <x:row r="41">
      <x:c r="A41" s="20"/>
      <x:c r="B41" s="20"/>
      <x:c r="C41" s="20"/>
      <x:c r="D41" s="20"/>
      <x:c r="E41" s="20"/>
      <x:c r="F41" s="20"/>
      <x:c r="G41" s="20"/>
      <x:c r="H41" s="20"/>
    </x:row>
    <x:row r="42">
      <x:c r="A42" s="20"/>
      <x:c r="B42" s="20"/>
      <x:c r="C42" s="20"/>
      <x:c r="D42" s="20"/>
      <x:c r="E42" s="20"/>
      <x:c r="F42" s="20"/>
      <x:c r="G42" s="20"/>
      <x:c r="H42" s="20"/>
    </x:row>
    <x:row r="43">
      <x:c r="A43" s="20"/>
      <x:c r="B43" s="20"/>
      <x:c r="C43" s="20"/>
      <x:c r="D43" s="20"/>
      <x:c r="E43" s="20"/>
      <x:c r="F43" s="20"/>
      <x:c r="G43" s="20"/>
      <x:c r="H43" s="20"/>
    </x:row>
    <x:row r="44">
      <x:c r="A44" s="20"/>
      <x:c r="B44" s="20"/>
      <x:c r="C44" s="20"/>
      <x:c r="D44" s="20"/>
      <x:c r="E44" s="20"/>
      <x:c r="F44" s="20"/>
      <x:c r="G44" s="20"/>
      <x:c r="H44" s="20"/>
    </x:row>
    <x:row r="45">
      <x:c r="A45" s="20"/>
      <x:c r="B45" s="20"/>
      <x:c r="C45" s="20"/>
      <x:c r="D45" s="20"/>
      <x:c r="E45" s="20"/>
      <x:c r="F45" s="20"/>
      <x:c r="G45" s="20"/>
      <x:c r="H45" s="20"/>
    </x:row>
    <x:row r="46">
      <x:c r="A46" s="20"/>
      <x:c r="B46" s="20"/>
      <x:c r="C46" s="20"/>
      <x:c r="D46" s="20"/>
      <x:c r="E46" s="20"/>
      <x:c r="F46" s="20"/>
      <x:c r="G46" s="20"/>
      <x:c r="H46" s="20"/>
    </x:row>
    <x:row r="47">
      <x:c r="A47" s="20"/>
      <x:c r="B47" s="20"/>
      <x:c r="C47" s="20"/>
      <x:c r="D47" s="20"/>
      <x:c r="E47" s="20"/>
      <x:c r="F47" s="20"/>
      <x:c r="G47" s="20"/>
      <x:c r="H47" s="20"/>
    </x:row>
    <x:row r="48">
      <x:c r="A48" s="20"/>
      <x:c r="B48" s="20"/>
      <x:c r="C48" s="20"/>
      <x:c r="D48" s="20"/>
      <x:c r="E48" s="20"/>
      <x:c r="F48" s="20"/>
      <x:c r="G48" s="20"/>
      <x:c r="H48" s="20"/>
    </x:row>
    <x:row r="49">
      <x:c r="A49" s="20"/>
      <x:c r="B49" s="20"/>
      <x:c r="C49" s="20"/>
      <x:c r="D49" s="20"/>
      <x:c r="E49" s="20"/>
      <x:c r="F49" s="20"/>
      <x:c r="G49" s="20"/>
      <x:c r="H49" s="20"/>
    </x:row>
    <x:row r="50">
      <x:c r="A50" s="20"/>
      <x:c r="B50" s="20"/>
      <x:c r="C50" s="20"/>
      <x:c r="D50" s="20"/>
      <x:c r="E50" s="20"/>
      <x:c r="F50" s="20"/>
      <x:c r="G50" s="20"/>
      <x:c r="H50" s="20"/>
    </x:row>
    <x:row r="51">
      <x:c r="A51" s="20"/>
      <x:c r="B51" s="20"/>
      <x:c r="C51" s="20"/>
      <x:c r="D51" s="20"/>
      <x:c r="E51" s="20"/>
      <x:c r="F51" s="20"/>
      <x:c r="G51" s="20"/>
      <x:c r="H51" s="20"/>
    </x:row>
    <x:row r="52">
      <x:c r="A52" s="20"/>
      <x:c r="B52" s="20"/>
      <x:c r="C52" s="20"/>
      <x:c r="D52" s="20"/>
      <x:c r="E52" s="20"/>
      <x:c r="F52" s="20"/>
      <x:c r="G52" s="20"/>
      <x:c r="H52" s="20"/>
    </x:row>
    <x:row r="53">
      <x:c r="A53" s="20"/>
      <x:c r="B53" s="20"/>
      <x:c r="C53" s="20"/>
      <x:c r="D53" s="20"/>
      <x:c r="E53" s="20"/>
      <x:c r="F53" s="20"/>
      <x:c r="G53" s="20"/>
      <x:c r="H53" s="20"/>
    </x:row>
    <x:row r="54">
      <x:c r="A54" s="20"/>
      <x:c r="B54" s="20"/>
      <x:c r="C54" s="20"/>
      <x:c r="D54" s="20"/>
      <x:c r="E54" s="20"/>
      <x:c r="F54" s="20"/>
      <x:c r="G54" s="20"/>
      <x:c r="H54" s="20"/>
    </x:row>
    <x:row r="55">
      <x:c r="A55" s="20"/>
      <x:c r="B55" s="20"/>
      <x:c r="C55" s="20"/>
      <x:c r="D55" s="20"/>
      <x:c r="E55" s="20"/>
      <x:c r="F55" s="20"/>
      <x:c r="G55" s="20"/>
      <x:c r="H55" s="20"/>
    </x:row>
    <x:row r="56">
      <x:c r="A56" s="20"/>
      <x:c r="B56" s="20"/>
      <x:c r="C56" s="20"/>
      <x:c r="D56" s="20"/>
      <x:c r="E56" s="20"/>
      <x:c r="F56" s="20"/>
      <x:c r="G56" s="20"/>
      <x:c r="H56" s="20"/>
    </x:row>
    <x:row r="57">
      <x:c r="A57" s="20"/>
      <x:c r="B57" s="20"/>
      <x:c r="C57" s="20"/>
      <x:c r="D57" s="20"/>
      <x:c r="E57" s="20"/>
      <x:c r="F57" s="20"/>
      <x:c r="G57" s="20"/>
      <x:c r="H57" s="20"/>
    </x:row>
    <x:row r="58">
      <x:c r="A58" s="20"/>
      <x:c r="B58" s="20"/>
      <x:c r="C58" s="20"/>
      <x:c r="D58" s="20"/>
      <x:c r="E58" s="20"/>
      <x:c r="F58" s="20"/>
      <x:c r="G58" s="20"/>
      <x:c r="H58" s="20"/>
    </x:row>
    <x:row r="59">
      <x:c r="A59" s="20"/>
      <x:c r="B59" s="20"/>
      <x:c r="C59" s="20"/>
      <x:c r="D59" s="20"/>
      <x:c r="E59" s="20"/>
      <x:c r="F59" s="20"/>
      <x:c r="G59" s="20"/>
      <x:c r="H59" s="20"/>
    </x:row>
    <x:row r="60">
      <x:c r="A60" s="20"/>
      <x:c r="B60" s="20"/>
      <x:c r="C60" s="20"/>
      <x:c r="D60" s="20"/>
      <x:c r="E60" s="20"/>
      <x:c r="F60" s="20"/>
      <x:c r="G60" s="20"/>
      <x:c r="H60" s="20"/>
    </x:row>
    <x:row r="61">
      <x:c r="A61" s="20"/>
      <x:c r="B61" s="20"/>
      <x:c r="C61" s="20"/>
      <x:c r="D61" s="20"/>
      <x:c r="E61" s="20"/>
      <x:c r="F61" s="20"/>
      <x:c r="G61" s="20"/>
      <x:c r="H61" s="20"/>
    </x:row>
    <x:row r="62">
      <x:c r="A62" s="20"/>
      <x:c r="B62" s="20"/>
      <x:c r="C62" s="20"/>
      <x:c r="D62" s="20"/>
      <x:c r="E62" s="20"/>
      <x:c r="F62" s="20"/>
      <x:c r="G62" s="20"/>
      <x:c r="H62" s="20"/>
    </x:row>
    <x:row r="63">
      <x:c r="A63" s="20"/>
      <x:c r="B63" s="20"/>
      <x:c r="C63" s="20"/>
      <x:c r="D63" s="20"/>
      <x:c r="E63" s="20"/>
      <x:c r="F63" s="20"/>
      <x:c r="G63" s="20"/>
      <x:c r="H63" s="20"/>
    </x:row>
    <x:row r="64">
      <x:c r="A64" s="20"/>
      <x:c r="B64" s="20"/>
      <x:c r="C64" s="20"/>
      <x:c r="D64" s="20"/>
      <x:c r="E64" s="20"/>
      <x:c r="F64" s="20"/>
      <x:c r="G64" s="20"/>
      <x:c r="H64" s="20"/>
    </x:row>
    <x:row r="65">
      <x:c r="A65" s="20"/>
      <x:c r="B65" s="20"/>
      <x:c r="C65" s="20"/>
      <x:c r="D65" s="20"/>
      <x:c r="E65" s="20"/>
      <x:c r="F65" s="20"/>
      <x:c r="G65" s="20"/>
      <x:c r="H65" s="20"/>
    </x:row>
    <x:row r="66">
      <x:c r="A66" s="20"/>
      <x:c r="B66" s="20"/>
      <x:c r="C66" s="20"/>
      <x:c r="D66" s="20"/>
      <x:c r="E66" s="20"/>
      <x:c r="F66" s="20"/>
      <x:c r="G66" s="20"/>
      <x:c r="H66" s="20"/>
    </x:row>
    <x:row r="67">
      <x:c r="A67" s="20"/>
      <x:c r="B67" s="20"/>
      <x:c r="C67" s="20"/>
      <x:c r="D67" s="20"/>
      <x:c r="E67" s="20"/>
      <x:c r="F67" s="20"/>
      <x:c r="G67" s="20"/>
      <x:c r="H67" s="20"/>
    </x:row>
    <x:row r="68">
      <x:c r="A68" s="20"/>
      <x:c r="B68" s="20"/>
      <x:c r="C68" s="20"/>
      <x:c r="D68" s="20"/>
      <x:c r="E68" s="20"/>
      <x:c r="F68" s="20"/>
      <x:c r="G68" s="20"/>
      <x:c r="H68" s="20"/>
    </x:row>
    <x:row r="69">
      <x:c r="A69" s="20"/>
      <x:c r="B69" s="20"/>
      <x:c r="C69" s="20"/>
      <x:c r="D69" s="20"/>
      <x:c r="E69" s="20"/>
      <x:c r="F69" s="20"/>
      <x:c r="G69" s="20"/>
      <x:c r="H69" s="20"/>
    </x:row>
    <x:row r="70">
      <x:c r="A70" s="20"/>
      <x:c r="B70" s="20"/>
      <x:c r="C70" s="20"/>
      <x:c r="D70" s="20"/>
      <x:c r="E70" s="20"/>
      <x:c r="F70" s="20"/>
      <x:c r="G70" s="20"/>
      <x:c r="H70" s="20"/>
    </x:row>
    <x:row r="71">
      <x:c r="A71" s="20"/>
      <x:c r="B71" s="20"/>
      <x:c r="C71" s="20"/>
      <x:c r="D71" s="20"/>
      <x:c r="E71" s="20"/>
      <x:c r="F71" s="20"/>
      <x:c r="G71" s="20"/>
      <x:c r="H71" s="20"/>
    </x:row>
    <x:row r="72">
      <x:c r="A72" s="20"/>
      <x:c r="B72" s="20"/>
      <x:c r="C72" s="20"/>
      <x:c r="D72" s="20"/>
      <x:c r="E72" s="20"/>
      <x:c r="F72" s="20"/>
      <x:c r="G72" s="20"/>
      <x:c r="H72" s="20"/>
    </x:row>
    <x:row r="73">
      <x:c r="A73" s="20"/>
      <x:c r="B73" s="20"/>
      <x:c r="C73" s="20"/>
      <x:c r="D73" s="20"/>
      <x:c r="E73" s="20"/>
      <x:c r="F73" s="20"/>
      <x:c r="G73" s="20"/>
      <x:c r="H73" s="20"/>
    </x:row>
    <x:row r="74">
      <x:c r="A74" s="20"/>
      <x:c r="B74" s="20"/>
      <x:c r="C74" s="20"/>
      <x:c r="D74" s="20"/>
      <x:c r="E74" s="20"/>
      <x:c r="F74" s="20"/>
      <x:c r="G74" s="20"/>
      <x:c r="H74" s="20"/>
    </x:row>
    <x:row r="75">
      <x:c r="A75" s="20"/>
      <x:c r="B75" s="20"/>
      <x:c r="C75" s="20"/>
      <x:c r="D75" s="20"/>
      <x:c r="E75" s="20"/>
      <x:c r="F75" s="20"/>
      <x:c r="G75" s="20"/>
      <x:c r="H75" s="20"/>
    </x:row>
    <x:row r="76">
      <x:c r="A76" s="20"/>
      <x:c r="B76" s="20"/>
      <x:c r="C76" s="20"/>
      <x:c r="D76" s="20"/>
      <x:c r="E76" s="20"/>
      <x:c r="F76" s="20"/>
      <x:c r="G76" s="20"/>
      <x:c r="H76" s="20"/>
    </x:row>
    <x:row r="77">
      <x:c r="A77" s="20"/>
      <x:c r="B77" s="20"/>
      <x:c r="C77" s="20"/>
      <x:c r="D77" s="20"/>
      <x:c r="E77" s="20"/>
      <x:c r="F77" s="20"/>
      <x:c r="G77" s="20"/>
      <x:c r="H77" s="20"/>
    </x:row>
    <x:row r="78">
      <x:c r="A78" s="20"/>
      <x:c r="B78" s="20"/>
      <x:c r="C78" s="20"/>
      <x:c r="D78" s="20"/>
      <x:c r="E78" s="20"/>
      <x:c r="F78" s="20"/>
      <x:c r="G78" s="20"/>
      <x:c r="H78" s="20"/>
    </x:row>
    <x:row r="79">
      <x:c r="A79" s="20"/>
      <x:c r="B79" s="20"/>
      <x:c r="C79" s="20"/>
      <x:c r="D79" s="20"/>
      <x:c r="E79" s="20"/>
      <x:c r="F79" s="20"/>
      <x:c r="G79" s="20"/>
      <x:c r="H79" s="20"/>
    </x:row>
    <x:row r="80">
      <x:c r="A80" s="20"/>
      <x:c r="B80" s="20"/>
      <x:c r="C80" s="20"/>
      <x:c r="D80" s="20"/>
      <x:c r="E80" s="20"/>
      <x:c r="F80" s="20"/>
      <x:c r="G80" s="20"/>
      <x:c r="H80" s="20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4" customHeight="1">
      <x:c r="A1" s="142" t="str">
        <x:v>Event Calendar</x:v>
      </x:c>
      <x:c r="B1" s="142"/>
      <x:c r="C1" s="142"/>
      <x:c r="D1" s="142"/>
      <x:c r="E1" s="142"/>
      <x:c r="F1" s="142"/>
      <x:c r="G1" s="142"/>
      <x:c r="H1" s="142"/>
    </x:row>
    <x:row r="2" ht="30" customHeight="1">
      <x:c r="A2" s="143" t="str">
        <x:v>Event</x:v>
      </x:c>
      <x:c r="B2" s="143" t="str">
        <x:v>Mon</x:v>
      </x:c>
      <x:c r="C2" s="143" t="str">
        <x:v>Tue</x:v>
      </x:c>
      <x:c r="D2" s="143" t="str">
        <x:v>Wed</x:v>
      </x:c>
      <x:c r="E2" s="143" t="str">
        <x:v>Thu</x:v>
      </x:c>
      <x:c r="F2" s="143" t="str">
        <x:v>Fri</x:v>
      </x:c>
      <x:c r="G2" s="143" t="str">
        <x:v>Sat</x:v>
      </x:c>
      <x:c r="H2" s="143" t="str">
        <x:v>Sun</x:v>
      </x:c>
    </x:row>
    <x:row r="3">
      <x:c r="A3" s="20" t="str">
        <x:v>Global Finance Week</x:v>
      </x:c>
      <x:c r="B3" s="20" t="str">
        <x:v>●</x:v>
      </x:c>
      <x:c r="C3" s="20" t="str">
        <x:v>●</x:v>
      </x:c>
      <x:c r="D3" s="20" t="str">
        <x:v>●</x:v>
      </x:c>
      <x:c r="E3" s="20" t="str">
        <x:v>●</x:v>
      </x:c>
      <x:c r="F3" s="20" t="str">
        <x:v>●</x:v>
      </x:c>
      <x:c r="G3" s="20" t="str">
        <x:v>●</x:v>
      </x:c>
      <x:c r="H3" s="20" t="str">
        <x:v>●</x:v>
      </x:c>
    </x:row>
    <x:row r="4">
      <x:c r="A4" s="20" t="str">
        <x:v>Business Expansion</x:v>
      </x:c>
      <x:c r="B4" s="20" t="str">
        <x:v>●</x:v>
      </x:c>
      <x:c r="C4" s="20" t="str">
        <x:v>●</x:v>
      </x:c>
      <x:c r="D4" s="20" t="str"/>
      <x:c r="E4" s="20" t="str"/>
      <x:c r="F4" s="20" t="str"/>
      <x:c r="G4" s="20" t="str"/>
      <x:c r="H4" s="20" t="str"/>
    </x:row>
    <x:row r="5">
      <x:c r="A5" s="20" t="str">
        <x:v>Market Hunter</x:v>
      </x:c>
      <x:c r="B5" s="20" t="str"/>
      <x:c r="C5" s="20" t="str"/>
      <x:c r="D5" s="20" t="str">
        <x:v>●</x:v>
      </x:c>
      <x:c r="E5" s="20" t="str"/>
      <x:c r="F5" s="20" t="str"/>
      <x:c r="G5" s="20" t="str"/>
      <x:c r="H5" s="20" t="str"/>
    </x:row>
    <x:row r="6">
      <x:c r="A6" s="20" t="str">
        <x:v>Customer Rush</x:v>
      </x:c>
      <x:c r="B6" s="20" t="str"/>
      <x:c r="C6" s="20" t="str"/>
      <x:c r="D6" s="20" t="str"/>
      <x:c r="E6" s="20" t="str">
        <x:v>●</x:v>
      </x:c>
      <x:c r="F6" s="20" t="str"/>
      <x:c r="G6" s="20" t="str"/>
      <x:c r="H6" s="20" t="str"/>
    </x:row>
    <x:row r="7">
      <x:c r="A7" s="20" t="str">
        <x:v>Property Development</x:v>
      </x:c>
      <x:c r="B7" s="20" t="str"/>
      <x:c r="C7" s="20" t="str"/>
      <x:c r="D7" s="20" t="str"/>
      <x:c r="E7" s="20" t="str"/>
      <x:c r="F7" s="20" t="str">
        <x:v>●</x:v>
      </x:c>
      <x:c r="G7" s="20" t="str">
        <x:v>●</x:v>
      </x:c>
      <x:c r="H7" s="20" t="str"/>
    </x:row>
    <x:row r="8">
      <x:c r="A8" s="20" t="str">
        <x:v>Bull Market Rally</x:v>
      </x:c>
      <x:c r="B8" s="20" t="str"/>
      <x:c r="C8" s="20" t="str"/>
      <x:c r="D8" s="20" t="str"/>
      <x:c r="E8" s="20" t="str"/>
      <x:c r="F8" s="20" t="str">
        <x:v>●</x:v>
      </x:c>
      <x:c r="G8" s="20" t="str">
        <x:v>●</x:v>
      </x:c>
      <x:c r="H8" s="20" t="str">
        <x:v>●</x:v>
      </x:c>
    </x:row>
    <x:row r="9">
      <x:c r="A9" s="20" t="str">
        <x:v>Portfolio Week</x:v>
      </x:c>
      <x:c r="B9" s="20" t="str"/>
      <x:c r="C9" s="20" t="str"/>
      <x:c r="D9" s="20" t="str"/>
      <x:c r="E9" s="20" t="str"/>
      <x:c r="F9" s="20" t="str"/>
      <x:c r="G9" s="20" t="str">
        <x:v>●</x:v>
      </x:c>
      <x:c r="H9" s="20" t="str">
        <x:v>●</x:v>
      </x:c>
    </x:row>
    <x:row r="10">
      <x:c r="A10" s="20" t="str">
        <x:v>Weekly Settlement</x:v>
      </x:c>
      <x:c r="B10" s="20" t="str"/>
      <x:c r="C10" s="20" t="str"/>
      <x:c r="D10" s="20" t="str"/>
      <x:c r="E10" s="20" t="str"/>
      <x:c r="F10" s="20" t="str"/>
      <x:c r="G10" s="20" t="str"/>
      <x:c r="H10" s="20" t="str">
        <x:v>●</x:v>
      </x:c>
    </x:row>
    <x:row r="11">
      <x:c r="A11" s="20"/>
      <x:c r="B11" s="20"/>
      <x:c r="C11" s="20"/>
      <x:c r="D11" s="20"/>
      <x:c r="E11" s="20"/>
      <x:c r="F11" s="20"/>
      <x:c r="G11" s="20"/>
      <x:c r="H11" s="20"/>
    </x:row>
    <x:row r="12">
      <x:c r="A12" s="20"/>
      <x:c r="B12" s="20"/>
      <x:c r="C12" s="20"/>
      <x:c r="D12" s="20"/>
      <x:c r="E12" s="20"/>
      <x:c r="F12" s="20"/>
      <x:c r="G12" s="20"/>
      <x:c r="H12" s="20"/>
    </x:row>
    <x:row r="13">
      <x:c r="A13" s="20"/>
      <x:c r="B13" s="20"/>
      <x:c r="C13" s="20"/>
      <x:c r="D13" s="20"/>
      <x:c r="E13" s="20"/>
      <x:c r="F13" s="20"/>
      <x:c r="G13" s="20"/>
      <x:c r="H13" s="20"/>
    </x:row>
    <x:row r="14">
      <x:c r="A14" s="20"/>
      <x:c r="B14" s="20"/>
      <x:c r="C14" s="20"/>
      <x:c r="D14" s="20"/>
      <x:c r="E14" s="20"/>
      <x:c r="F14" s="20"/>
      <x:c r="G14" s="20"/>
      <x:c r="H14" s="20"/>
    </x:row>
    <x:row r="15">
      <x:c r="A15" s="20"/>
      <x:c r="B15" s="20"/>
      <x:c r="C15" s="20"/>
      <x:c r="D15" s="20"/>
      <x:c r="E15" s="20"/>
      <x:c r="F15" s="20"/>
      <x:c r="G15" s="20"/>
      <x:c r="H15" s="20"/>
    </x:row>
    <x:row r="16">
      <x:c r="A16" s="20"/>
      <x:c r="B16" s="20"/>
      <x:c r="C16" s="20"/>
      <x:c r="D16" s="20"/>
      <x:c r="E16" s="20"/>
      <x:c r="F16" s="20"/>
      <x:c r="G16" s="20"/>
      <x:c r="H16" s="20"/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  <x:row r="21">
      <x:c r="A21" s="20"/>
      <x:c r="B21" s="20"/>
      <x:c r="C21" s="20"/>
      <x:c r="D21" s="20"/>
      <x:c r="E21" s="20"/>
      <x:c r="F21" s="20"/>
      <x:c r="G21" s="20"/>
      <x:c r="H21" s="20"/>
    </x:row>
    <x:row r="22">
      <x:c r="A22" s="20"/>
      <x:c r="B22" s="20"/>
      <x:c r="C22" s="20"/>
      <x:c r="D22" s="20"/>
      <x:c r="E22" s="20"/>
      <x:c r="F22" s="20"/>
      <x:c r="G22" s="20"/>
      <x:c r="H22" s="20"/>
    </x:row>
    <x:row r="23">
      <x:c r="A23" s="20"/>
      <x:c r="B23" s="20"/>
      <x:c r="C23" s="20"/>
      <x:c r="D23" s="20"/>
      <x:c r="E23" s="20"/>
      <x:c r="F23" s="20"/>
      <x:c r="G23" s="20"/>
      <x:c r="H23" s="20"/>
    </x:row>
    <x:row r="24">
      <x:c r="A24" s="20"/>
      <x:c r="B24" s="20"/>
      <x:c r="C24" s="20"/>
      <x:c r="D24" s="20"/>
      <x:c r="E24" s="20"/>
      <x:c r="F24" s="20"/>
      <x:c r="G24" s="20"/>
      <x:c r="H24" s="20"/>
    </x:row>
    <x:row r="25">
      <x:c r="A25" s="20"/>
      <x:c r="B25" s="20"/>
      <x:c r="C25" s="20"/>
      <x:c r="D25" s="20"/>
      <x:c r="E25" s="20"/>
      <x:c r="F25" s="20"/>
      <x:c r="G25" s="20"/>
      <x:c r="H25" s="20"/>
    </x:row>
    <x:row r="26">
      <x:c r="A26" s="20"/>
      <x:c r="B26" s="20"/>
      <x:c r="C26" s="20"/>
      <x:c r="D26" s="20"/>
      <x:c r="E26" s="20"/>
      <x:c r="F26" s="20"/>
      <x:c r="G26" s="20"/>
      <x:c r="H26" s="20"/>
    </x:row>
    <x:row r="27">
      <x:c r="A27" s="20"/>
      <x:c r="B27" s="20"/>
      <x:c r="C27" s="20"/>
      <x:c r="D27" s="20"/>
      <x:c r="E27" s="20"/>
      <x:c r="F27" s="20"/>
      <x:c r="G27" s="20"/>
      <x:c r="H27" s="20"/>
    </x:row>
    <x:row r="28">
      <x:c r="A28" s="20"/>
      <x:c r="B28" s="20"/>
      <x:c r="C28" s="20"/>
      <x:c r="D28" s="20"/>
      <x:c r="E28" s="20"/>
      <x:c r="F28" s="20"/>
      <x:c r="G28" s="20"/>
      <x:c r="H28" s="20"/>
    </x:row>
    <x:row r="29">
      <x:c r="A29" s="20"/>
      <x:c r="B29" s="20"/>
      <x:c r="C29" s="20"/>
      <x:c r="D29" s="20"/>
      <x:c r="E29" s="20"/>
      <x:c r="F29" s="20"/>
      <x:c r="G29" s="20"/>
      <x:c r="H29" s="20"/>
    </x:row>
    <x:row r="30">
      <x:c r="A30" s="20"/>
      <x:c r="B30" s="20"/>
      <x:c r="C30" s="20"/>
      <x:c r="D30" s="20"/>
      <x:c r="E30" s="20"/>
      <x:c r="F30" s="20"/>
      <x:c r="G30" s="20"/>
      <x:c r="H30" s="20"/>
    </x:row>
    <x:row r="31">
      <x:c r="A31" s="20"/>
      <x:c r="B31" s="20"/>
      <x:c r="C31" s="20"/>
      <x:c r="D31" s="20"/>
      <x:c r="E31" s="20"/>
      <x:c r="F31" s="20"/>
      <x:c r="G31" s="20"/>
      <x:c r="H31" s="20"/>
    </x:row>
    <x:row r="32">
      <x:c r="A32" s="20"/>
      <x:c r="B32" s="20"/>
      <x:c r="C32" s="20"/>
      <x:c r="D32" s="20"/>
      <x:c r="E32" s="20"/>
      <x:c r="F32" s="20"/>
      <x:c r="G32" s="20"/>
      <x:c r="H32" s="20"/>
    </x:row>
    <x:row r="33">
      <x:c r="A33" s="20"/>
      <x:c r="B33" s="20"/>
      <x:c r="C33" s="20"/>
      <x:c r="D33" s="20"/>
      <x:c r="E33" s="20"/>
      <x:c r="F33" s="20"/>
      <x:c r="G33" s="20"/>
      <x:c r="H33" s="20"/>
    </x:row>
    <x:row r="34">
      <x:c r="A34" s="20"/>
      <x:c r="B34" s="20"/>
      <x:c r="C34" s="20"/>
      <x:c r="D34" s="20"/>
      <x:c r="E34" s="20"/>
      <x:c r="F34" s="20"/>
      <x:c r="G34" s="20"/>
      <x:c r="H34" s="20"/>
    </x:row>
    <x:row r="35">
      <x:c r="A35" s="20"/>
      <x:c r="B35" s="20"/>
      <x:c r="C35" s="20"/>
      <x:c r="D35" s="20"/>
      <x:c r="E35" s="20"/>
      <x:c r="F35" s="20"/>
      <x:c r="G35" s="20"/>
      <x:c r="H35" s="20"/>
    </x:row>
    <x:row r="36">
      <x:c r="A36" s="20"/>
      <x:c r="B36" s="20"/>
      <x:c r="C36" s="20"/>
      <x:c r="D36" s="20"/>
      <x:c r="E36" s="20"/>
      <x:c r="F36" s="20"/>
      <x:c r="G36" s="20"/>
      <x:c r="H36" s="20"/>
    </x:row>
    <x:row r="37">
      <x:c r="A37" s="20"/>
      <x:c r="B37" s="20"/>
      <x:c r="C37" s="20"/>
      <x:c r="D37" s="20"/>
      <x:c r="E37" s="20"/>
      <x:c r="F37" s="20"/>
      <x:c r="G37" s="20"/>
      <x:c r="H37" s="20"/>
    </x:row>
    <x:row r="38">
      <x:c r="A38" s="20"/>
      <x:c r="B38" s="20"/>
      <x:c r="C38" s="20"/>
      <x:c r="D38" s="20"/>
      <x:c r="E38" s="20"/>
      <x:c r="F38" s="20"/>
      <x:c r="G38" s="20"/>
      <x:c r="H38" s="20"/>
    </x:row>
    <x:row r="39">
      <x:c r="A39" s="20"/>
      <x:c r="B39" s="20"/>
      <x:c r="C39" s="20"/>
      <x:c r="D39" s="20"/>
      <x:c r="E39" s="20"/>
      <x:c r="F39" s="20"/>
      <x:c r="G39" s="20"/>
      <x:c r="H39" s="20"/>
    </x:row>
    <x:row r="40">
      <x:c r="A40" s="20"/>
      <x:c r="B40" s="20"/>
      <x:c r="C40" s="20"/>
      <x:c r="D40" s="20"/>
      <x:c r="E40" s="20"/>
      <x:c r="F40" s="20"/>
      <x:c r="G40" s="20"/>
      <x:c r="H40" s="20"/>
    </x:row>
    <x:row r="41">
      <x:c r="A41" s="20"/>
      <x:c r="B41" s="20"/>
      <x:c r="C41" s="20"/>
      <x:c r="D41" s="20"/>
      <x:c r="E41" s="20"/>
      <x:c r="F41" s="20"/>
      <x:c r="G41" s="20"/>
      <x:c r="H41" s="20"/>
    </x:row>
    <x:row r="42">
      <x:c r="A42" s="20"/>
      <x:c r="B42" s="20"/>
      <x:c r="C42" s="20"/>
      <x:c r="D42" s="20"/>
      <x:c r="E42" s="20"/>
      <x:c r="F42" s="20"/>
      <x:c r="G42" s="20"/>
      <x:c r="H42" s="20"/>
    </x:row>
    <x:row r="43">
      <x:c r="A43" s="20"/>
      <x:c r="B43" s="20"/>
      <x:c r="C43" s="20"/>
      <x:c r="D43" s="20"/>
      <x:c r="E43" s="20"/>
      <x:c r="F43" s="20"/>
      <x:c r="G43" s="20"/>
      <x:c r="H43" s="20"/>
    </x:row>
    <x:row r="44">
      <x:c r="A44" s="20"/>
      <x:c r="B44" s="20"/>
      <x:c r="C44" s="20"/>
      <x:c r="D44" s="20"/>
      <x:c r="E44" s="20"/>
      <x:c r="F44" s="20"/>
      <x:c r="G44" s="20"/>
      <x:c r="H44" s="20"/>
    </x:row>
    <x:row r="45">
      <x:c r="A45" s="20"/>
      <x:c r="B45" s="20"/>
      <x:c r="C45" s="20"/>
      <x:c r="D45" s="20"/>
      <x:c r="E45" s="20"/>
      <x:c r="F45" s="20"/>
      <x:c r="G45" s="20"/>
      <x:c r="H45" s="20"/>
    </x:row>
    <x:row r="46">
      <x:c r="A46" s="20"/>
      <x:c r="B46" s="20"/>
      <x:c r="C46" s="20"/>
      <x:c r="D46" s="20"/>
      <x:c r="E46" s="20"/>
      <x:c r="F46" s="20"/>
      <x:c r="G46" s="20"/>
      <x:c r="H46" s="20"/>
    </x:row>
    <x:row r="47">
      <x:c r="A47" s="20"/>
      <x:c r="B47" s="20"/>
      <x:c r="C47" s="20"/>
      <x:c r="D47" s="20"/>
      <x:c r="E47" s="20"/>
      <x:c r="F47" s="20"/>
      <x:c r="G47" s="20"/>
      <x:c r="H47" s="20"/>
    </x:row>
    <x:row r="48">
      <x:c r="A48" s="20"/>
      <x:c r="B48" s="20"/>
      <x:c r="C48" s="20"/>
      <x:c r="D48" s="20"/>
      <x:c r="E48" s="20"/>
      <x:c r="F48" s="20"/>
      <x:c r="G48" s="20"/>
      <x:c r="H48" s="20"/>
    </x:row>
    <x:row r="49">
      <x:c r="A49" s="20"/>
      <x:c r="B49" s="20"/>
      <x:c r="C49" s="20"/>
      <x:c r="D49" s="20"/>
      <x:c r="E49" s="20"/>
      <x:c r="F49" s="20"/>
      <x:c r="G49" s="20"/>
      <x:c r="H49" s="20"/>
    </x:row>
    <x:row r="50">
      <x:c r="A50" s="20"/>
      <x:c r="B50" s="20"/>
      <x:c r="C50" s="20"/>
      <x:c r="D50" s="20"/>
      <x:c r="E50" s="20"/>
      <x:c r="F50" s="20"/>
      <x:c r="G50" s="20"/>
      <x:c r="H50" s="20"/>
    </x:row>
    <x:row r="51">
      <x:c r="A51" s="20"/>
      <x:c r="B51" s="20"/>
      <x:c r="C51" s="20"/>
      <x:c r="D51" s="20"/>
      <x:c r="E51" s="20"/>
      <x:c r="F51" s="20"/>
      <x:c r="G51" s="20"/>
      <x:c r="H51" s="20"/>
    </x:row>
    <x:row r="52">
      <x:c r="A52" s="20"/>
      <x:c r="B52" s="20"/>
      <x:c r="C52" s="20"/>
      <x:c r="D52" s="20"/>
      <x:c r="E52" s="20"/>
      <x:c r="F52" s="20"/>
      <x:c r="G52" s="20"/>
      <x:c r="H52" s="20"/>
    </x:row>
    <x:row r="53">
      <x:c r="A53" s="20"/>
      <x:c r="B53" s="20"/>
      <x:c r="C53" s="20"/>
      <x:c r="D53" s="20"/>
      <x:c r="E53" s="20"/>
      <x:c r="F53" s="20"/>
      <x:c r="G53" s="20"/>
      <x:c r="H53" s="20"/>
    </x:row>
    <x:row r="54">
      <x:c r="A54" s="20"/>
      <x:c r="B54" s="20"/>
      <x:c r="C54" s="20"/>
      <x:c r="D54" s="20"/>
      <x:c r="E54" s="20"/>
      <x:c r="F54" s="20"/>
      <x:c r="G54" s="20"/>
      <x:c r="H54" s="20"/>
    </x:row>
    <x:row r="55">
      <x:c r="A55" s="20"/>
      <x:c r="B55" s="20"/>
      <x:c r="C55" s="20"/>
      <x:c r="D55" s="20"/>
      <x:c r="E55" s="20"/>
      <x:c r="F55" s="20"/>
      <x:c r="G55" s="20"/>
      <x:c r="H55" s="20"/>
    </x:row>
    <x:row r="56">
      <x:c r="A56" s="20"/>
      <x:c r="B56" s="20"/>
      <x:c r="C56" s="20"/>
      <x:c r="D56" s="20"/>
      <x:c r="E56" s="20"/>
      <x:c r="F56" s="20"/>
      <x:c r="G56" s="20"/>
      <x:c r="H56" s="20"/>
    </x:row>
    <x:row r="57">
      <x:c r="A57" s="20"/>
      <x:c r="B57" s="20"/>
      <x:c r="C57" s="20"/>
      <x:c r="D57" s="20"/>
      <x:c r="E57" s="20"/>
      <x:c r="F57" s="20"/>
      <x:c r="G57" s="20"/>
      <x:c r="H57" s="20"/>
    </x:row>
    <x:row r="58">
      <x:c r="A58" s="20"/>
      <x:c r="B58" s="20"/>
      <x:c r="C58" s="20"/>
      <x:c r="D58" s="20"/>
      <x:c r="E58" s="20"/>
      <x:c r="F58" s="20"/>
      <x:c r="G58" s="20"/>
      <x:c r="H58" s="20"/>
    </x:row>
    <x:row r="59">
      <x:c r="A59" s="20"/>
      <x:c r="B59" s="20"/>
      <x:c r="C59" s="20"/>
      <x:c r="D59" s="20"/>
      <x:c r="E59" s="20"/>
      <x:c r="F59" s="20"/>
      <x:c r="G59" s="20"/>
      <x:c r="H59" s="20"/>
    </x:row>
    <x:row r="60">
      <x:c r="A60" s="20"/>
      <x:c r="B60" s="20"/>
      <x:c r="C60" s="20"/>
      <x:c r="D60" s="20"/>
      <x:c r="E60" s="20"/>
      <x:c r="F60" s="20"/>
      <x:c r="G60" s="20"/>
      <x:c r="H60" s="20"/>
    </x:row>
    <x:row r="61">
      <x:c r="A61" s="20"/>
      <x:c r="B61" s="20"/>
      <x:c r="C61" s="20"/>
      <x:c r="D61" s="20"/>
      <x:c r="E61" s="20"/>
      <x:c r="F61" s="20"/>
      <x:c r="G61" s="20"/>
      <x:c r="H61" s="20"/>
    </x:row>
    <x:row r="62">
      <x:c r="A62" s="20"/>
      <x:c r="B62" s="20"/>
      <x:c r="C62" s="20"/>
      <x:c r="D62" s="20"/>
      <x:c r="E62" s="20"/>
      <x:c r="F62" s="20"/>
      <x:c r="G62" s="20"/>
      <x:c r="H62" s="20"/>
    </x:row>
    <x:row r="63">
      <x:c r="A63" s="20"/>
      <x:c r="B63" s="20"/>
      <x:c r="C63" s="20"/>
      <x:c r="D63" s="20"/>
      <x:c r="E63" s="20"/>
      <x:c r="F63" s="20"/>
      <x:c r="G63" s="20"/>
      <x:c r="H63" s="20"/>
    </x:row>
    <x:row r="64">
      <x:c r="A64" s="20"/>
      <x:c r="B64" s="20"/>
      <x:c r="C64" s="20"/>
      <x:c r="D64" s="20"/>
      <x:c r="E64" s="20"/>
      <x:c r="F64" s="20"/>
      <x:c r="G64" s="20"/>
      <x:c r="H64" s="20"/>
    </x:row>
    <x:row r="65">
      <x:c r="A65" s="20"/>
      <x:c r="B65" s="20"/>
      <x:c r="C65" s="20"/>
      <x:c r="D65" s="20"/>
      <x:c r="E65" s="20"/>
      <x:c r="F65" s="20"/>
      <x:c r="G65" s="20"/>
      <x:c r="H65" s="20"/>
    </x:row>
    <x:row r="66">
      <x:c r="A66" s="20"/>
      <x:c r="B66" s="20"/>
      <x:c r="C66" s="20"/>
      <x:c r="D66" s="20"/>
      <x:c r="E66" s="20"/>
      <x:c r="F66" s="20"/>
      <x:c r="G66" s="20"/>
      <x:c r="H66" s="20"/>
    </x:row>
    <x:row r="67">
      <x:c r="A67" s="20"/>
      <x:c r="B67" s="20"/>
      <x:c r="C67" s="20"/>
      <x:c r="D67" s="20"/>
      <x:c r="E67" s="20"/>
      <x:c r="F67" s="20"/>
      <x:c r="G67" s="20"/>
      <x:c r="H67" s="20"/>
    </x:row>
    <x:row r="68">
      <x:c r="A68" s="20"/>
      <x:c r="B68" s="20"/>
      <x:c r="C68" s="20"/>
      <x:c r="D68" s="20"/>
      <x:c r="E68" s="20"/>
      <x:c r="F68" s="20"/>
      <x:c r="G68" s="20"/>
      <x:c r="H68" s="20"/>
    </x:row>
    <x:row r="69">
      <x:c r="A69" s="20"/>
      <x:c r="B69" s="20"/>
      <x:c r="C69" s="20"/>
      <x:c r="D69" s="20"/>
      <x:c r="E69" s="20"/>
      <x:c r="F69" s="20"/>
      <x:c r="G69" s="20"/>
      <x:c r="H69" s="20"/>
    </x:row>
    <x:row r="70">
      <x:c r="A70" s="20"/>
      <x:c r="B70" s="20"/>
      <x:c r="C70" s="20"/>
      <x:c r="D70" s="20"/>
      <x:c r="E70" s="20"/>
      <x:c r="F70" s="20"/>
      <x:c r="G70" s="20"/>
      <x:c r="H70" s="20"/>
    </x:row>
    <x:row r="71">
      <x:c r="A71" s="20"/>
      <x:c r="B71" s="20"/>
      <x:c r="C71" s="20"/>
      <x:c r="D71" s="20"/>
      <x:c r="E71" s="20"/>
      <x:c r="F71" s="20"/>
      <x:c r="G71" s="20"/>
      <x:c r="H71" s="20"/>
    </x:row>
    <x:row r="72">
      <x:c r="A72" s="20"/>
      <x:c r="B72" s="20"/>
      <x:c r="C72" s="20"/>
      <x:c r="D72" s="20"/>
      <x:c r="E72" s="20"/>
      <x:c r="F72" s="20"/>
      <x:c r="G72" s="20"/>
      <x:c r="H72" s="20"/>
    </x:row>
    <x:row r="73">
      <x:c r="A73" s="20"/>
      <x:c r="B73" s="20"/>
      <x:c r="C73" s="20"/>
      <x:c r="D73" s="20"/>
      <x:c r="E73" s="20"/>
      <x:c r="F73" s="20"/>
      <x:c r="G73" s="20"/>
      <x:c r="H73" s="20"/>
    </x:row>
    <x:row r="74">
      <x:c r="A74" s="20"/>
      <x:c r="B74" s="20"/>
      <x:c r="C74" s="20"/>
      <x:c r="D74" s="20"/>
      <x:c r="E74" s="20"/>
      <x:c r="F74" s="20"/>
      <x:c r="G74" s="20"/>
      <x:c r="H74" s="20"/>
    </x:row>
    <x:row r="75">
      <x:c r="A75" s="20"/>
      <x:c r="B75" s="20"/>
      <x:c r="C75" s="20"/>
      <x:c r="D75" s="20"/>
      <x:c r="E75" s="20"/>
      <x:c r="F75" s="20"/>
      <x:c r="G75" s="20"/>
      <x:c r="H75" s="20"/>
    </x:row>
    <x:row r="76">
      <x:c r="A76" s="20"/>
      <x:c r="B76" s="20"/>
      <x:c r="C76" s="20"/>
      <x:c r="D76" s="20"/>
      <x:c r="E76" s="20"/>
      <x:c r="F76" s="20"/>
      <x:c r="G76" s="20"/>
      <x:c r="H76" s="20"/>
    </x:row>
    <x:row r="77">
      <x:c r="A77" s="20"/>
      <x:c r="B77" s="20"/>
      <x:c r="C77" s="20"/>
      <x:c r="D77" s="20"/>
      <x:c r="E77" s="20"/>
      <x:c r="F77" s="20"/>
      <x:c r="G77" s="20"/>
      <x:c r="H77" s="20"/>
    </x:row>
    <x:row r="78">
      <x:c r="A78" s="20"/>
      <x:c r="B78" s="20"/>
      <x:c r="C78" s="20"/>
      <x:c r="D78" s="20"/>
      <x:c r="E78" s="20"/>
      <x:c r="F78" s="20"/>
      <x:c r="G78" s="20"/>
      <x:c r="H78" s="20"/>
    </x:row>
    <x:row r="79">
      <x:c r="A79" s="20"/>
      <x:c r="B79" s="20"/>
      <x:c r="C79" s="20"/>
      <x:c r="D79" s="20"/>
      <x:c r="E79" s="20"/>
      <x:c r="F79" s="20"/>
      <x:c r="G79" s="20"/>
      <x:c r="H79" s="20"/>
    </x:row>
    <x:row r="80">
      <x:c r="A80" s="20"/>
      <x:c r="B80" s="20"/>
      <x:c r="C80" s="20"/>
      <x:c r="D80" s="20"/>
      <x:c r="E80" s="20"/>
      <x:c r="F80" s="20"/>
      <x:c r="G80" s="20"/>
      <x:c r="H80" s="20"/>
    </x:row>
  </x:sheetData>
  <x:mergeCells>
    <x:mergeCell ref="A1:H1"/>
  </x:mergeCells>
  <x:conditionalFormatting sqref="B3:B10">
    <x:cfRule type="expression" dxfId="0" priority="1">
      <x:formula>B3="●"</x:formula>
    </x:cfRule>
  </x:conditionalFormatting>
  <x:conditionalFormatting sqref="C3:C10">
    <x:cfRule type="expression" dxfId="1" priority="2">
      <x:formula>C3="●"</x:formula>
    </x:cfRule>
  </x:conditionalFormatting>
  <x:conditionalFormatting sqref="D3:D10">
    <x:cfRule type="expression" dxfId="2" priority="3">
      <x:formula>D3="●"</x:formula>
    </x:cfRule>
  </x:conditionalFormatting>
  <x:conditionalFormatting sqref="E3:E10">
    <x:cfRule type="expression" dxfId="3" priority="4">
      <x:formula>E3="●"</x:formula>
    </x:cfRule>
  </x:conditionalFormatting>
  <x:conditionalFormatting sqref="F3:F10">
    <x:cfRule type="expression" dxfId="4" priority="5">
      <x:formula>F3="●"</x:formula>
    </x:cfRule>
  </x:conditionalFormatting>
  <x:conditionalFormatting sqref="G3:G10">
    <x:cfRule type="expression" dxfId="5" priority="6">
      <x:formula>G3="●"</x:formula>
    </x:cfRule>
  </x:conditionalFormatting>
  <x:conditionalFormatting sqref="H3:H10">
    <x:cfRule type="expression" dxfId="6" priority="7">
      <x:formula>H3="●"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2" hidden="0" customWidth="1"/>
    <x:col min="4" max="4" width="30" hidden="0" customWidth="1"/>
    <x:col min="5" max="5" width="30" hidden="0" customWidth="1"/>
    <x:col min="6" max="6" width="26" hidden="0" customWidth="1"/>
    <x:col min="7" max="7" width="26" hidden="0" customWidth="1"/>
    <x:col min="8" max="8" width="32" hidden="0" customWidth="1"/>
  </x:cols>
  <x:sheetData>
    <x:row r="1" ht="24" customHeight="1">
      <x:c r="A1" s="142" t="str">
        <x:v>Gacha Cases</x:v>
      </x:c>
      <x:c r="B1" s="142"/>
      <x:c r="C1" s="142"/>
      <x:c r="D1" s="142"/>
      <x:c r="E1" s="142"/>
      <x:c r="F1" s="142"/>
      <x:c r="G1" s="142"/>
      <x:c r="H1" s="142"/>
    </x:row>
    <x:row r="2" ht="30" customHeight="1">
      <x:c r="A2" s="143" t="str">
        <x:v>Case</x:v>
      </x:c>
      <x:c r="B2" s="143" t="str">
        <x:v>Access</x:v>
      </x:c>
      <x:c r="C2" s="143" t="str">
        <x:v>Open Cost</x:v>
      </x:c>
      <x:c r="D2" s="143" t="str">
        <x:v>Reward Focus</x:v>
      </x:c>
      <x:c r="E2" s="143" t="str">
        <x:v>Pity Rule</x:v>
      </x:c>
      <x:c r="F2" s="143" t="str">
        <x:v>Key Source</x:v>
      </x:c>
      <x:c r="G2" s="143" t="str">
        <x:v>Direct $PLOT Purchase?</x:v>
      </x:c>
      <x:c r="H2" s="143" t="str">
        <x:v>Notes</x:v>
      </x:c>
    </x:row>
    <x:row r="3">
      <x:c r="A3" s="20" t="str">
        <x:v>Daily Case</x:v>
      </x:c>
      <x:c r="B3" s="20" t="str">
        <x:v>1 free/day</x:v>
      </x:c>
      <x:c r="C3" s="20" t="str">
        <x:v>Free</x:v>
      </x:c>
      <x:c r="D3" s="20" t="str">
        <x:v>Cash + common materials</x:v>
      </x:c>
      <x:c r="E3" s="20" t="str">
        <x:v>None</x:v>
      </x:c>
      <x:c r="F3" s="20" t="str">
        <x:v>Daily entitlement</x:v>
      </x:c>
      <x:c r="G3" s="20" t="str">
        <x:v>No</x:v>
      </x:c>
      <x:c r="H3" s="20" t="str">
        <x:v>Low-value retention reward.</x:v>
      </x:c>
    </x:row>
    <x:row r="4">
      <x:c r="A4" s="20" t="str">
        <x:v>Business Case</x:v>
      </x:c>
      <x:c r="B4" s="20" t="str">
        <x:v>Gameplay earned</x:v>
      </x:c>
      <x:c r="C4" s="20" t="str">
        <x:v>1 Business Key</x:v>
      </x:c>
      <x:c r="D4" s="20" t="str">
        <x:v>Cash + module shards + boosts</x:v>
      </x:c>
      <x:c r="E4" s="20" t="str">
        <x:v>Rare+ every 12</x:v>
      </x:c>
      <x:c r="F4" s="20" t="str">
        <x:v>Construction / operations events</x:v>
      </x:c>
      <x:c r="G4" s="20" t="str">
        <x:v>No</x:v>
      </x:c>
      <x:c r="H4" s="20" t="str">
        <x:v>Supports core progression.</x:v>
      </x:c>
    </x:row>
    <x:row r="5">
      <x:c r="A5" s="20" t="str">
        <x:v>Market Case</x:v>
      </x:c>
      <x:c r="B5" s="20" t="str">
        <x:v>Gameplay earned</x:v>
      </x:c>
      <x:c r="C5" s="20" t="str">
        <x:v>1 Market Key</x:v>
      </x:c>
      <x:c r="D5" s="20" t="str">
        <x:v>Stock fragments + tickets + market boosts</x:v>
      </x:c>
      <x:c r="E5" s="20" t="str">
        <x:v>Rare+ every 12</x:v>
      </x:c>
      <x:c r="F5" s="20" t="str">
        <x:v>Market Hunts / market events</x:v>
      </x:c>
      <x:c r="G5" s="20" t="str">
        <x:v>No</x:v>
      </x:c>
      <x:c r="H5" s="20" t="str">
        <x:v>Finance-themed loot.</x:v>
      </x:c>
    </x:row>
    <x:row r="6">
      <x:c r="A6" s="20" t="str">
        <x:v>Event Case</x:v>
      </x:c>
      <x:c r="B6" s="20" t="str">
        <x:v>Event earned</x:v>
      </x:c>
      <x:c r="C6" s="20" t="str">
        <x:v>1 Event Key</x:v>
      </x:c>
      <x:c r="D6" s="20" t="str">
        <x:v>Event-specific materials + cosmetics</x:v>
      </x:c>
      <x:c r="E6" s="20" t="str">
        <x:v>Epic+ every 20</x:v>
      </x:c>
      <x:c r="F6" s="20" t="str">
        <x:v>Milestones / leaderboard</x:v>
      </x:c>
      <x:c r="G6" s="20" t="str">
        <x:v>No</x:v>
      </x:c>
      <x:c r="H6" s="20" t="str">
        <x:v>Seasonal table can rotate.</x:v>
      </x:c>
    </x:row>
    <x:row r="7">
      <x:c r="A7" s="20" t="str">
        <x:v>Executive Case</x:v>
      </x:c>
      <x:c r="B7" s="20" t="str">
        <x:v>High-tier earned</x:v>
      </x:c>
      <x:c r="C7" s="20" t="str">
        <x:v>1 Executive Key</x:v>
      </x:c>
      <x:c r="D7" s="20" t="str">
        <x:v>Rare/Epic modules + premium materials</x:v>
      </x:c>
      <x:c r="E7" s="20" t="str">
        <x:v>Epic+ by assumption threshold</x:v>
      </x:c>
      <x:c r="F7" s="20" t="str">
        <x:v>Season pass / major events</x:v>
      </x:c>
      <x:c r="G7" s="20" t="str">
        <x:v>No</x:v>
      </x:c>
      <x:c r="H7" s="20" t="str">
        <x:v>High-value earned gacha.</x:v>
      </x:c>
    </x:row>
    <x:row r="8">
      <x:c r="A8" s="20" t="str">
        <x:v>Tycoon Case</x:v>
      </x:c>
      <x:c r="B8" s="20" t="str">
        <x:v>Endgame earned</x:v>
      </x:c>
      <x:c r="C8" s="20" t="str">
        <x:v>1 Tycoon Key</x:v>
      </x:c>
      <x:c r="D8" s="20" t="str">
        <x:v>Epic/Legendary modules + cosmetics</x:v>
      </x:c>
      <x:c r="E8" s="20" t="str">
        <x:v>Legendary by assumption threshold</x:v>
      </x:c>
      <x:c r="F8" s="20" t="str">
        <x:v>Season finale / elite milestones</x:v>
      </x:c>
      <x:c r="G8" s="20" t="str">
        <x:v>No</x:v>
      </x:c>
      <x:c r="H8" s="20" t="str">
        <x:v>Very scarce.</x:v>
      </x:c>
    </x:row>
    <x:row r="9">
      <x:c r="A9" s="20"/>
      <x:c r="B9" s="20"/>
      <x:c r="C9" s="20"/>
      <x:c r="D9" s="20"/>
      <x:c r="E9" s="20"/>
      <x:c r="F9" s="20"/>
      <x:c r="G9" s="20"/>
      <x:c r="H9" s="20"/>
    </x:row>
    <x:row r="10">
      <x:c r="A10" s="20"/>
      <x:c r="B10" s="20"/>
      <x:c r="C10" s="20"/>
      <x:c r="D10" s="20"/>
      <x:c r="E10" s="20"/>
      <x:c r="F10" s="20"/>
      <x:c r="G10" s="20"/>
      <x:c r="H10" s="20"/>
    </x:row>
    <x:row r="11">
      <x:c r="A11" s="20"/>
      <x:c r="B11" s="20"/>
      <x:c r="C11" s="20"/>
      <x:c r="D11" s="20"/>
      <x:c r="E11" s="20"/>
      <x:c r="F11" s="20"/>
      <x:c r="G11" s="20"/>
      <x:c r="H11" s="20"/>
    </x:row>
    <x:row r="12">
      <x:c r="A12" s="20"/>
      <x:c r="B12" s="20"/>
      <x:c r="C12" s="20"/>
      <x:c r="D12" s="20"/>
      <x:c r="E12" s="20"/>
      <x:c r="F12" s="20"/>
      <x:c r="G12" s="20"/>
      <x:c r="H12" s="20"/>
    </x:row>
    <x:row r="13">
      <x:c r="A13" s="20"/>
      <x:c r="B13" s="20"/>
      <x:c r="C13" s="20"/>
      <x:c r="D13" s="20"/>
      <x:c r="E13" s="20"/>
      <x:c r="F13" s="20"/>
      <x:c r="G13" s="20"/>
      <x:c r="H13" s="20"/>
    </x:row>
    <x:row r="14">
      <x:c r="A14" s="20"/>
      <x:c r="B14" s="20"/>
      <x:c r="C14" s="20"/>
      <x:c r="D14" s="20"/>
      <x:c r="E14" s="20"/>
      <x:c r="F14" s="20"/>
      <x:c r="G14" s="20"/>
      <x:c r="H14" s="20"/>
    </x:row>
    <x:row r="15">
      <x:c r="A15" s="20"/>
      <x:c r="B15" s="20"/>
      <x:c r="C15" s="20"/>
      <x:c r="D15" s="20"/>
      <x:c r="E15" s="20"/>
      <x:c r="F15" s="20"/>
      <x:c r="G15" s="20"/>
      <x:c r="H15" s="20"/>
    </x:row>
    <x:row r="16">
      <x:c r="A16" s="20"/>
      <x:c r="B16" s="20"/>
      <x:c r="C16" s="20"/>
      <x:c r="D16" s="20"/>
      <x:c r="E16" s="20"/>
      <x:c r="F16" s="20"/>
      <x:c r="G16" s="20"/>
      <x:c r="H16" s="20"/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  <x:row r="21">
      <x:c r="A21" s="20"/>
      <x:c r="B21" s="20"/>
      <x:c r="C21" s="20"/>
      <x:c r="D21" s="20"/>
      <x:c r="E21" s="20"/>
      <x:c r="F21" s="20"/>
      <x:c r="G21" s="20"/>
      <x:c r="H21" s="20"/>
    </x:row>
    <x:row r="22">
      <x:c r="A22" s="20"/>
      <x:c r="B22" s="20"/>
      <x:c r="C22" s="20"/>
      <x:c r="D22" s="20"/>
      <x:c r="E22" s="20"/>
      <x:c r="F22" s="20"/>
      <x:c r="G22" s="20"/>
      <x:c r="H22" s="20"/>
    </x:row>
    <x:row r="23">
      <x:c r="A23" s="20"/>
      <x:c r="B23" s="20"/>
      <x:c r="C23" s="20"/>
      <x:c r="D23" s="20"/>
      <x:c r="E23" s="20"/>
      <x:c r="F23" s="20"/>
      <x:c r="G23" s="20"/>
      <x:c r="H23" s="20"/>
    </x:row>
    <x:row r="24">
      <x:c r="A24" s="20"/>
      <x:c r="B24" s="20"/>
      <x:c r="C24" s="20"/>
      <x:c r="D24" s="20"/>
      <x:c r="E24" s="20"/>
      <x:c r="F24" s="20"/>
      <x:c r="G24" s="20"/>
      <x:c r="H24" s="20"/>
    </x:row>
    <x:row r="25">
      <x:c r="A25" s="20"/>
      <x:c r="B25" s="20"/>
      <x:c r="C25" s="20"/>
      <x:c r="D25" s="20"/>
      <x:c r="E25" s="20"/>
      <x:c r="F25" s="20"/>
      <x:c r="G25" s="20"/>
      <x:c r="H25" s="20"/>
    </x:row>
    <x:row r="26">
      <x:c r="A26" s="20"/>
      <x:c r="B26" s="20"/>
      <x:c r="C26" s="20"/>
      <x:c r="D26" s="20"/>
      <x:c r="E26" s="20"/>
      <x:c r="F26" s="20"/>
      <x:c r="G26" s="20"/>
      <x:c r="H26" s="20"/>
    </x:row>
    <x:row r="27">
      <x:c r="A27" s="20"/>
      <x:c r="B27" s="20"/>
      <x:c r="C27" s="20"/>
      <x:c r="D27" s="20"/>
      <x:c r="E27" s="20"/>
      <x:c r="F27" s="20"/>
      <x:c r="G27" s="20"/>
      <x:c r="H27" s="20"/>
    </x:row>
    <x:row r="28">
      <x:c r="A28" s="20"/>
      <x:c r="B28" s="20"/>
      <x:c r="C28" s="20"/>
      <x:c r="D28" s="20"/>
      <x:c r="E28" s="20"/>
      <x:c r="F28" s="20"/>
      <x:c r="G28" s="20"/>
      <x:c r="H28" s="20"/>
    </x:row>
    <x:row r="29">
      <x:c r="A29" s="20"/>
      <x:c r="B29" s="20"/>
      <x:c r="C29" s="20"/>
      <x:c r="D29" s="20"/>
      <x:c r="E29" s="20"/>
      <x:c r="F29" s="20"/>
      <x:c r="G29" s="20"/>
      <x:c r="H29" s="20"/>
    </x:row>
    <x:row r="30">
      <x:c r="A30" s="20"/>
      <x:c r="B30" s="20"/>
      <x:c r="C30" s="20"/>
      <x:c r="D30" s="20"/>
      <x:c r="E30" s="20"/>
      <x:c r="F30" s="20"/>
      <x:c r="G30" s="20"/>
      <x:c r="H30" s="20"/>
    </x:row>
    <x:row r="31">
      <x:c r="A31" s="20"/>
      <x:c r="B31" s="20"/>
      <x:c r="C31" s="20"/>
      <x:c r="D31" s="20"/>
      <x:c r="E31" s="20"/>
      <x:c r="F31" s="20"/>
      <x:c r="G31" s="20"/>
      <x:c r="H31" s="20"/>
    </x:row>
    <x:row r="32">
      <x:c r="A32" s="20"/>
      <x:c r="B32" s="20"/>
      <x:c r="C32" s="20"/>
      <x:c r="D32" s="20"/>
      <x:c r="E32" s="20"/>
      <x:c r="F32" s="20"/>
      <x:c r="G32" s="20"/>
      <x:c r="H32" s="20"/>
    </x:row>
    <x:row r="33">
      <x:c r="A33" s="20"/>
      <x:c r="B33" s="20"/>
      <x:c r="C33" s="20"/>
      <x:c r="D33" s="20"/>
      <x:c r="E33" s="20"/>
      <x:c r="F33" s="20"/>
      <x:c r="G33" s="20"/>
      <x:c r="H33" s="20"/>
    </x:row>
    <x:row r="34">
      <x:c r="A34" s="20"/>
      <x:c r="B34" s="20"/>
      <x:c r="C34" s="20"/>
      <x:c r="D34" s="20"/>
      <x:c r="E34" s="20"/>
      <x:c r="F34" s="20"/>
      <x:c r="G34" s="20"/>
      <x:c r="H34" s="20"/>
    </x:row>
    <x:row r="35">
      <x:c r="A35" s="20"/>
      <x:c r="B35" s="20"/>
      <x:c r="C35" s="20"/>
      <x:c r="D35" s="20"/>
      <x:c r="E35" s="20"/>
      <x:c r="F35" s="20"/>
      <x:c r="G35" s="20"/>
      <x:c r="H35" s="20"/>
    </x:row>
    <x:row r="36">
      <x:c r="A36" s="20"/>
      <x:c r="B36" s="20"/>
      <x:c r="C36" s="20"/>
      <x:c r="D36" s="20"/>
      <x:c r="E36" s="20"/>
      <x:c r="F36" s="20"/>
      <x:c r="G36" s="20"/>
      <x:c r="H36" s="20"/>
    </x:row>
    <x:row r="37">
      <x:c r="A37" s="20"/>
      <x:c r="B37" s="20"/>
      <x:c r="C37" s="20"/>
      <x:c r="D37" s="20"/>
      <x:c r="E37" s="20"/>
      <x:c r="F37" s="20"/>
      <x:c r="G37" s="20"/>
      <x:c r="H37" s="20"/>
    </x:row>
    <x:row r="38">
      <x:c r="A38" s="20"/>
      <x:c r="B38" s="20"/>
      <x:c r="C38" s="20"/>
      <x:c r="D38" s="20"/>
      <x:c r="E38" s="20"/>
      <x:c r="F38" s="20"/>
      <x:c r="G38" s="20"/>
      <x:c r="H38" s="20"/>
    </x:row>
    <x:row r="39">
      <x:c r="A39" s="20"/>
      <x:c r="B39" s="20"/>
      <x:c r="C39" s="20"/>
      <x:c r="D39" s="20"/>
      <x:c r="E39" s="20"/>
      <x:c r="F39" s="20"/>
      <x:c r="G39" s="20"/>
      <x:c r="H39" s="20"/>
    </x:row>
    <x:row r="40">
      <x:c r="A40" s="20"/>
      <x:c r="B40" s="20"/>
      <x:c r="C40" s="20"/>
      <x:c r="D40" s="20"/>
      <x:c r="E40" s="20"/>
      <x:c r="F40" s="20"/>
      <x:c r="G40" s="20"/>
      <x:c r="H40" s="20"/>
    </x:row>
    <x:row r="41">
      <x:c r="A41" s="20"/>
      <x:c r="B41" s="20"/>
      <x:c r="C41" s="20"/>
      <x:c r="D41" s="20"/>
      <x:c r="E41" s="20"/>
      <x:c r="F41" s="20"/>
      <x:c r="G41" s="20"/>
      <x:c r="H41" s="20"/>
    </x:row>
    <x:row r="42">
      <x:c r="A42" s="20"/>
      <x:c r="B42" s="20"/>
      <x:c r="C42" s="20"/>
      <x:c r="D42" s="20"/>
      <x:c r="E42" s="20"/>
      <x:c r="F42" s="20"/>
      <x:c r="G42" s="20"/>
      <x:c r="H42" s="20"/>
    </x:row>
    <x:row r="43">
      <x:c r="A43" s="20"/>
      <x:c r="B43" s="20"/>
      <x:c r="C43" s="20"/>
      <x:c r="D43" s="20"/>
      <x:c r="E43" s="20"/>
      <x:c r="F43" s="20"/>
      <x:c r="G43" s="20"/>
      <x:c r="H43" s="20"/>
    </x:row>
    <x:row r="44">
      <x:c r="A44" s="20"/>
      <x:c r="B44" s="20"/>
      <x:c r="C44" s="20"/>
      <x:c r="D44" s="20"/>
      <x:c r="E44" s="20"/>
      <x:c r="F44" s="20"/>
      <x:c r="G44" s="20"/>
      <x:c r="H44" s="20"/>
    </x:row>
    <x:row r="45">
      <x:c r="A45" s="20"/>
      <x:c r="B45" s="20"/>
      <x:c r="C45" s="20"/>
      <x:c r="D45" s="20"/>
      <x:c r="E45" s="20"/>
      <x:c r="F45" s="20"/>
      <x:c r="G45" s="20"/>
      <x:c r="H45" s="20"/>
    </x:row>
    <x:row r="46">
      <x:c r="A46" s="20"/>
      <x:c r="B46" s="20"/>
      <x:c r="C46" s="20"/>
      <x:c r="D46" s="20"/>
      <x:c r="E46" s="20"/>
      <x:c r="F46" s="20"/>
      <x:c r="G46" s="20"/>
      <x:c r="H46" s="20"/>
    </x:row>
    <x:row r="47">
      <x:c r="A47" s="20"/>
      <x:c r="B47" s="20"/>
      <x:c r="C47" s="20"/>
      <x:c r="D47" s="20"/>
      <x:c r="E47" s="20"/>
      <x:c r="F47" s="20"/>
      <x:c r="G47" s="20"/>
      <x:c r="H47" s="20"/>
    </x:row>
    <x:row r="48">
      <x:c r="A48" s="20"/>
      <x:c r="B48" s="20"/>
      <x:c r="C48" s="20"/>
      <x:c r="D48" s="20"/>
      <x:c r="E48" s="20"/>
      <x:c r="F48" s="20"/>
      <x:c r="G48" s="20"/>
      <x:c r="H48" s="20"/>
    </x:row>
    <x:row r="49">
      <x:c r="A49" s="20"/>
      <x:c r="B49" s="20"/>
      <x:c r="C49" s="20"/>
      <x:c r="D49" s="20"/>
      <x:c r="E49" s="20"/>
      <x:c r="F49" s="20"/>
      <x:c r="G49" s="20"/>
      <x:c r="H49" s="20"/>
    </x:row>
    <x:row r="50">
      <x:c r="A50" s="20"/>
      <x:c r="B50" s="20"/>
      <x:c r="C50" s="20"/>
      <x:c r="D50" s="20"/>
      <x:c r="E50" s="20"/>
      <x:c r="F50" s="20"/>
      <x:c r="G50" s="20"/>
      <x:c r="H50" s="20"/>
    </x:row>
    <x:row r="51">
      <x:c r="A51" s="20"/>
      <x:c r="B51" s="20"/>
      <x:c r="C51" s="20"/>
      <x:c r="D51" s="20"/>
      <x:c r="E51" s="20"/>
      <x:c r="F51" s="20"/>
      <x:c r="G51" s="20"/>
      <x:c r="H51" s="20"/>
    </x:row>
    <x:row r="52">
      <x:c r="A52" s="20"/>
      <x:c r="B52" s="20"/>
      <x:c r="C52" s="20"/>
      <x:c r="D52" s="20"/>
      <x:c r="E52" s="20"/>
      <x:c r="F52" s="20"/>
      <x:c r="G52" s="20"/>
      <x:c r="H52" s="20"/>
    </x:row>
    <x:row r="53">
      <x:c r="A53" s="20"/>
      <x:c r="B53" s="20"/>
      <x:c r="C53" s="20"/>
      <x:c r="D53" s="20"/>
      <x:c r="E53" s="20"/>
      <x:c r="F53" s="20"/>
      <x:c r="G53" s="20"/>
      <x:c r="H53" s="20"/>
    </x:row>
    <x:row r="54">
      <x:c r="A54" s="20"/>
      <x:c r="B54" s="20"/>
      <x:c r="C54" s="20"/>
      <x:c r="D54" s="20"/>
      <x:c r="E54" s="20"/>
      <x:c r="F54" s="20"/>
      <x:c r="G54" s="20"/>
      <x:c r="H54" s="20"/>
    </x:row>
    <x:row r="55">
      <x:c r="A55" s="20"/>
      <x:c r="B55" s="20"/>
      <x:c r="C55" s="20"/>
      <x:c r="D55" s="20"/>
      <x:c r="E55" s="20"/>
      <x:c r="F55" s="20"/>
      <x:c r="G55" s="20"/>
      <x:c r="H55" s="20"/>
    </x:row>
    <x:row r="56">
      <x:c r="A56" s="20"/>
      <x:c r="B56" s="20"/>
      <x:c r="C56" s="20"/>
      <x:c r="D56" s="20"/>
      <x:c r="E56" s="20"/>
      <x:c r="F56" s="20"/>
      <x:c r="G56" s="20"/>
      <x:c r="H56" s="20"/>
    </x:row>
    <x:row r="57">
      <x:c r="A57" s="20"/>
      <x:c r="B57" s="20"/>
      <x:c r="C57" s="20"/>
      <x:c r="D57" s="20"/>
      <x:c r="E57" s="20"/>
      <x:c r="F57" s="20"/>
      <x:c r="G57" s="20"/>
      <x:c r="H57" s="20"/>
    </x:row>
    <x:row r="58">
      <x:c r="A58" s="20"/>
      <x:c r="B58" s="20"/>
      <x:c r="C58" s="20"/>
      <x:c r="D58" s="20"/>
      <x:c r="E58" s="20"/>
      <x:c r="F58" s="20"/>
      <x:c r="G58" s="20"/>
      <x:c r="H58" s="20"/>
    </x:row>
    <x:row r="59">
      <x:c r="A59" s="20"/>
      <x:c r="B59" s="20"/>
      <x:c r="C59" s="20"/>
      <x:c r="D59" s="20"/>
      <x:c r="E59" s="20"/>
      <x:c r="F59" s="20"/>
      <x:c r="G59" s="20"/>
      <x:c r="H59" s="20"/>
    </x:row>
    <x:row r="60">
      <x:c r="A60" s="20"/>
      <x:c r="B60" s="20"/>
      <x:c r="C60" s="20"/>
      <x:c r="D60" s="20"/>
      <x:c r="E60" s="20"/>
      <x:c r="F60" s="20"/>
      <x:c r="G60" s="20"/>
      <x:c r="H60" s="20"/>
    </x:row>
    <x:row r="61">
      <x:c r="A61" s="20"/>
      <x:c r="B61" s="20"/>
      <x:c r="C61" s="20"/>
      <x:c r="D61" s="20"/>
      <x:c r="E61" s="20"/>
      <x:c r="F61" s="20"/>
      <x:c r="G61" s="20"/>
      <x:c r="H61" s="20"/>
    </x:row>
    <x:row r="62">
      <x:c r="A62" s="20"/>
      <x:c r="B62" s="20"/>
      <x:c r="C62" s="20"/>
      <x:c r="D62" s="20"/>
      <x:c r="E62" s="20"/>
      <x:c r="F62" s="20"/>
      <x:c r="G62" s="20"/>
      <x:c r="H62" s="20"/>
    </x:row>
    <x:row r="63">
      <x:c r="A63" s="20"/>
      <x:c r="B63" s="20"/>
      <x:c r="C63" s="20"/>
      <x:c r="D63" s="20"/>
      <x:c r="E63" s="20"/>
      <x:c r="F63" s="20"/>
      <x:c r="G63" s="20"/>
      <x:c r="H63" s="20"/>
    </x:row>
    <x:row r="64">
      <x:c r="A64" s="20"/>
      <x:c r="B64" s="20"/>
      <x:c r="C64" s="20"/>
      <x:c r="D64" s="20"/>
      <x:c r="E64" s="20"/>
      <x:c r="F64" s="20"/>
      <x:c r="G64" s="20"/>
      <x:c r="H64" s="20"/>
    </x:row>
    <x:row r="65">
      <x:c r="A65" s="20"/>
      <x:c r="B65" s="20"/>
      <x:c r="C65" s="20"/>
      <x:c r="D65" s="20"/>
      <x:c r="E65" s="20"/>
      <x:c r="F65" s="20"/>
      <x:c r="G65" s="20"/>
      <x:c r="H65" s="20"/>
    </x:row>
    <x:row r="66">
      <x:c r="A66" s="20"/>
      <x:c r="B66" s="20"/>
      <x:c r="C66" s="20"/>
      <x:c r="D66" s="20"/>
      <x:c r="E66" s="20"/>
      <x:c r="F66" s="20"/>
      <x:c r="G66" s="20"/>
      <x:c r="H66" s="20"/>
    </x:row>
    <x:row r="67">
      <x:c r="A67" s="20"/>
      <x:c r="B67" s="20"/>
      <x:c r="C67" s="20"/>
      <x:c r="D67" s="20"/>
      <x:c r="E67" s="20"/>
      <x:c r="F67" s="20"/>
      <x:c r="G67" s="20"/>
      <x:c r="H67" s="20"/>
    </x:row>
    <x:row r="68">
      <x:c r="A68" s="20"/>
      <x:c r="B68" s="20"/>
      <x:c r="C68" s="20"/>
      <x:c r="D68" s="20"/>
      <x:c r="E68" s="20"/>
      <x:c r="F68" s="20"/>
      <x:c r="G68" s="20"/>
      <x:c r="H68" s="20"/>
    </x:row>
    <x:row r="69">
      <x:c r="A69" s="20"/>
      <x:c r="B69" s="20"/>
      <x:c r="C69" s="20"/>
      <x:c r="D69" s="20"/>
      <x:c r="E69" s="20"/>
      <x:c r="F69" s="20"/>
      <x:c r="G69" s="20"/>
      <x:c r="H69" s="20"/>
    </x:row>
    <x:row r="70">
      <x:c r="A70" s="20"/>
      <x:c r="B70" s="20"/>
      <x:c r="C70" s="20"/>
      <x:c r="D70" s="20"/>
      <x:c r="E70" s="20"/>
      <x:c r="F70" s="20"/>
      <x:c r="G70" s="20"/>
      <x:c r="H70" s="20"/>
    </x:row>
    <x:row r="71">
      <x:c r="A71" s="20"/>
      <x:c r="B71" s="20"/>
      <x:c r="C71" s="20"/>
      <x:c r="D71" s="20"/>
      <x:c r="E71" s="20"/>
      <x:c r="F71" s="20"/>
      <x:c r="G71" s="20"/>
      <x:c r="H71" s="20"/>
    </x:row>
    <x:row r="72">
      <x:c r="A72" s="20"/>
      <x:c r="B72" s="20"/>
      <x:c r="C72" s="20"/>
      <x:c r="D72" s="20"/>
      <x:c r="E72" s="20"/>
      <x:c r="F72" s="20"/>
      <x:c r="G72" s="20"/>
      <x:c r="H72" s="20"/>
    </x:row>
    <x:row r="73">
      <x:c r="A73" s="20"/>
      <x:c r="B73" s="20"/>
      <x:c r="C73" s="20"/>
      <x:c r="D73" s="20"/>
      <x:c r="E73" s="20"/>
      <x:c r="F73" s="20"/>
      <x:c r="G73" s="20"/>
      <x:c r="H73" s="20"/>
    </x:row>
    <x:row r="74">
      <x:c r="A74" s="20"/>
      <x:c r="B74" s="20"/>
      <x:c r="C74" s="20"/>
      <x:c r="D74" s="20"/>
      <x:c r="E74" s="20"/>
      <x:c r="F74" s="20"/>
      <x:c r="G74" s="20"/>
      <x:c r="H74" s="20"/>
    </x:row>
    <x:row r="75">
      <x:c r="A75" s="20"/>
      <x:c r="B75" s="20"/>
      <x:c r="C75" s="20"/>
      <x:c r="D75" s="20"/>
      <x:c r="E75" s="20"/>
      <x:c r="F75" s="20"/>
      <x:c r="G75" s="20"/>
      <x:c r="H75" s="20"/>
    </x:row>
    <x:row r="76">
      <x:c r="A76" s="20"/>
      <x:c r="B76" s="20"/>
      <x:c r="C76" s="20"/>
      <x:c r="D76" s="20"/>
      <x:c r="E76" s="20"/>
      <x:c r="F76" s="20"/>
      <x:c r="G76" s="20"/>
      <x:c r="H76" s="20"/>
    </x:row>
    <x:row r="77">
      <x:c r="A77" s="20"/>
      <x:c r="B77" s="20"/>
      <x:c r="C77" s="20"/>
      <x:c r="D77" s="20"/>
      <x:c r="E77" s="20"/>
      <x:c r="F77" s="20"/>
      <x:c r="G77" s="20"/>
      <x:c r="H77" s="20"/>
    </x:row>
    <x:row r="78">
      <x:c r="A78" s="20"/>
      <x:c r="B78" s="20"/>
      <x:c r="C78" s="20"/>
      <x:c r="D78" s="20"/>
      <x:c r="E78" s="20"/>
      <x:c r="F78" s="20"/>
      <x:c r="G78" s="20"/>
      <x:c r="H78" s="20"/>
    </x:row>
    <x:row r="79">
      <x:c r="A79" s="20"/>
      <x:c r="B79" s="20"/>
      <x:c r="C79" s="20"/>
      <x:c r="D79" s="20"/>
      <x:c r="E79" s="20"/>
      <x:c r="F79" s="20"/>
      <x:c r="G79" s="20"/>
      <x:c r="H79" s="20"/>
    </x:row>
    <x:row r="80">
      <x:c r="A80" s="20"/>
      <x:c r="B80" s="20"/>
      <x:c r="C80" s="20"/>
      <x:c r="D80" s="20"/>
      <x:c r="E80" s="20"/>
      <x:c r="F80" s="20"/>
      <x:c r="G80" s="20"/>
      <x:c r="H80" s="20"/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4" hidden="0" customWidth="1"/>
    <x:col min="4" max="4" width="18" hidden="0" customWidth="1"/>
    <x:col min="5" max="5" width="30" hidden="0" customWidth="1"/>
    <x:col min="6" max="6" width="16" hidden="0" customWidth="1"/>
    <x:col min="7" max="7" width="16" hidden="0" customWidth="1"/>
    <x:col min="8" max="8" width="30" hidden="0" customWidth="1"/>
  </x:cols>
  <x:sheetData>
    <x:row r="1" ht="24" customHeight="1">
      <x:c r="A1" s="142" t="str">
        <x:v>Loot Tables</x:v>
      </x:c>
      <x:c r="B1" s="142"/>
      <x:c r="C1" s="142"/>
      <x:c r="D1" s="142"/>
      <x:c r="E1" s="142"/>
      <x:c r="F1" s="142"/>
      <x:c r="G1" s="142"/>
      <x:c r="H1" s="142"/>
    </x:row>
    <x:row r="2" ht="30" customHeight="1">
      <x:c r="A2" s="143" t="str">
        <x:v>Case</x:v>
      </x:c>
      <x:c r="B2" s="143" t="str">
        <x:v>Reward Category</x:v>
      </x:c>
      <x:c r="C2" s="143" t="str">
        <x:v>Weight</x:v>
      </x:c>
      <x:c r="D2" s="143" t="str">
        <x:v>Probability</x:v>
      </x:c>
      <x:c r="E2" s="143" t="str">
        <x:v>Example Reward</x:v>
      </x:c>
      <x:c r="F2" s="143" t="str">
        <x:v>Min Qty</x:v>
      </x:c>
      <x:c r="G2" s="143" t="str">
        <x:v>Max Qty</x:v>
      </x:c>
      <x:c r="H2" s="143" t="str">
        <x:v>Notes</x:v>
      </x:c>
    </x:row>
    <x:row r="3">
      <x:c r="A3" s="20" t="str">
        <x:v>Daily Case</x:v>
      </x:c>
      <x:c r="B3" s="20" t="str">
        <x:v>Cash</x:v>
      </x:c>
      <x:c r="C3" s="82" t="n">
        <x:v>45</x:v>
      </x:c>
      <x:c r="D3" s="83" t="n">
        <x:f>C3/SUMIF($A$3:$A$33,A3,$C$3:$C$33)</x:f>
        <x:v>0.45</x:v>
      </x:c>
      <x:c r="E3" s="20" t="str">
        <x:v>Cash</x:v>
      </x:c>
      <x:c r="F3" s="20" t="n">
        <x:v>500</x:v>
      </x:c>
      <x:c r="G3" s="20" t="n">
        <x:v>2500</x:v>
      </x:c>
      <x:c r="H3" s="20" t="str">
        <x:v>Primary reward</x:v>
      </x:c>
    </x:row>
    <x:row r="4">
      <x:c r="A4" s="20" t="str">
        <x:v>Daily Case</x:v>
      </x:c>
      <x:c r="B4" s="20" t="str">
        <x:v>Module Shards</x:v>
      </x:c>
      <x:c r="C4" s="82" t="n">
        <x:v>25</x:v>
      </x:c>
      <x:c r="D4" s="83" t="n">
        <x:f>C4/SUMIF($A$3:$A$33,A4,$C$3:$C$33)</x:f>
        <x:v>0.25</x:v>
      </x:c>
      <x:c r="E4" s="20" t="str">
        <x:v>Module Shards</x:v>
      </x:c>
      <x:c r="F4" s="20" t="n">
        <x:v>5</x:v>
      </x:c>
      <x:c r="G4" s="20" t="n">
        <x:v>15</x:v>
      </x:c>
      <x:c r="H4" s="20" t="str"/>
    </x:row>
    <x:row r="5">
      <x:c r="A5" s="20" t="str">
        <x:v>Daily Case</x:v>
      </x:c>
      <x:c r="B5" s="20" t="str">
        <x:v>Market Hunt Ticket</x:v>
      </x:c>
      <x:c r="C5" s="82" t="n">
        <x:v>12</x:v>
      </x:c>
      <x:c r="D5" s="83" t="n">
        <x:f>C5/SUMIF($A$3:$A$33,A5,$C$3:$C$33)</x:f>
        <x:v>0.12</x:v>
      </x:c>
      <x:c r="E5" s="20" t="str">
        <x:v>Ticket</x:v>
      </x:c>
      <x:c r="F5" s="20" t="n">
        <x:v>1</x:v>
      </x:c>
      <x:c r="G5" s="20" t="n">
        <x:v>1</x:v>
      </x:c>
      <x:c r="H5" s="20" t="str"/>
    </x:row>
    <x:row r="6">
      <x:c r="A6" s="20" t="str">
        <x:v>Daily Case</x:v>
      </x:c>
      <x:c r="B6" s="20" t="str">
        <x:v>Boost</x:v>
      </x:c>
      <x:c r="C6" s="82" t="n">
        <x:v>10</x:v>
      </x:c>
      <x:c r="D6" s="83" t="n">
        <x:f>C6/SUMIF($A$3:$A$33,A6,$C$3:$C$33)</x:f>
        <x:v>0.1</x:v>
      </x:c>
      <x:c r="E6" s="20" t="str">
        <x:v>Minor Boost</x:v>
      </x:c>
      <x:c r="F6" s="20" t="n">
        <x:v>1</x:v>
      </x:c>
      <x:c r="G6" s="20" t="n">
        <x:v>1</x:v>
      </x:c>
      <x:c r="H6" s="20" t="str"/>
    </x:row>
    <x:row r="7">
      <x:c r="A7" s="20" t="str">
        <x:v>Daily Case</x:v>
      </x:c>
      <x:c r="B7" s="20" t="str">
        <x:v>Rare Material</x:v>
      </x:c>
      <x:c r="C7" s="82" t="n">
        <x:v>7</x:v>
      </x:c>
      <x:c r="D7" s="83" t="n">
        <x:f>C7/SUMIF($A$3:$A$33,A7,$C$3:$C$33)</x:f>
        <x:v>0.07</x:v>
      </x:c>
      <x:c r="E7" s="20" t="str">
        <x:v>Precision Component</x:v>
      </x:c>
      <x:c r="F7" s="20" t="n">
        <x:v>1</x:v>
      </x:c>
      <x:c r="G7" s="20" t="n">
        <x:v>2</x:v>
      </x:c>
      <x:c r="H7" s="20" t="str"/>
    </x:row>
    <x:row r="8">
      <x:c r="A8" s="20" t="str">
        <x:v>Daily Case</x:v>
      </x:c>
      <x:c r="B8" s="20" t="str">
        <x:v>Jackpot</x:v>
      </x:c>
      <x:c r="C8" s="82" t="n">
        <x:v>1</x:v>
      </x:c>
      <x:c r="D8" s="83" t="n">
        <x:f>C8/SUMIF($A$3:$A$33,A8,$C$3:$C$33)</x:f>
        <x:v>0.01</x:v>
      </x:c>
      <x:c r="E8" s="20" t="str">
        <x:v>Rare Module / large Cash</x:v>
      </x:c>
      <x:c r="F8" s="20" t="n">
        <x:v>1</x:v>
      </x:c>
      <x:c r="G8" s="20" t="n">
        <x:v>1</x:v>
      </x:c>
      <x:c r="H8" s="20" t="str"/>
    </x:row>
    <x:row r="9">
      <x:c r="A9" s="20" t="str">
        <x:v>Business Case</x:v>
      </x:c>
      <x:c r="B9" s="20" t="str">
        <x:v>Cash</x:v>
      </x:c>
      <x:c r="C9" s="82" t="n">
        <x:v>30</x:v>
      </x:c>
      <x:c r="D9" s="83" t="n">
        <x:f>C9/SUMIF($A$3:$A$33,A9,$C$3:$C$33)</x:f>
        <x:v>0.3</x:v>
      </x:c>
      <x:c r="E9" s="20" t="str">
        <x:v>Cash</x:v>
      </x:c>
      <x:c r="F9" s="20" t="n">
        <x:v>1500</x:v>
      </x:c>
      <x:c r="G9" s="20" t="n">
        <x:v>7500</x:v>
      </x:c>
      <x:c r="H9" s="20" t="str"/>
    </x:row>
    <x:row r="10">
      <x:c r="A10" s="20" t="str">
        <x:v>Business Case</x:v>
      </x:c>
      <x:c r="B10" s="20" t="str">
        <x:v>Module Shards</x:v>
      </x:c>
      <x:c r="C10" s="82" t="n">
        <x:v>30</x:v>
      </x:c>
      <x:c r="D10" s="83" t="n">
        <x:f>C10/SUMIF($A$3:$A$33,A10,$C$3:$C$33)</x:f>
        <x:v>0.3</x:v>
      </x:c>
      <x:c r="E10" s="20" t="str">
        <x:v>Module Shards</x:v>
      </x:c>
      <x:c r="F10" s="20" t="n">
        <x:v>10</x:v>
      </x:c>
      <x:c r="G10" s="20" t="n">
        <x:v>40</x:v>
      </x:c>
      <x:c r="H10" s="20" t="str"/>
    </x:row>
    <x:row r="11">
      <x:c r="A11" s="20" t="str">
        <x:v>Business Case</x:v>
      </x:c>
      <x:c r="B11" s="20" t="str">
        <x:v>Boost</x:v>
      </x:c>
      <x:c r="C11" s="82" t="n">
        <x:v>15</x:v>
      </x:c>
      <x:c r="D11" s="83" t="n">
        <x:f>C11/SUMIF($A$3:$A$33,A11,$C$3:$C$33)</x:f>
        <x:v>0.15</x:v>
      </x:c>
      <x:c r="E11" s="20" t="str">
        <x:v>Maturation Booster</x:v>
      </x:c>
      <x:c r="F11" s="20" t="n">
        <x:v>1</x:v>
      </x:c>
      <x:c r="G11" s="20" t="n">
        <x:v>2</x:v>
      </x:c>
      <x:c r="H11" s="20" t="str"/>
    </x:row>
    <x:row r="12">
      <x:c r="A12" s="20" t="str">
        <x:v>Business Case</x:v>
      </x:c>
      <x:c r="B12" s="20" t="str">
        <x:v>Upgrade Component</x:v>
      </x:c>
      <x:c r="C12" s="82" t="n">
        <x:v>15</x:v>
      </x:c>
      <x:c r="D12" s="83" t="n">
        <x:f>C12/SUMIF($A$3:$A$33,A12,$C$3:$C$33)</x:f>
        <x:v>0.15</x:v>
      </x:c>
      <x:c r="E12" s="20" t="str">
        <x:v>Precision Component</x:v>
      </x:c>
      <x:c r="F12" s="20" t="n">
        <x:v>1</x:v>
      </x:c>
      <x:c r="G12" s="20" t="n">
        <x:v>3</x:v>
      </x:c>
      <x:c r="H12" s="20" t="str"/>
    </x:row>
    <x:row r="13">
      <x:c r="A13" s="20" t="str">
        <x:v>Business Case</x:v>
      </x:c>
      <x:c r="B13" s="20" t="str">
        <x:v>Rare Module</x:v>
      </x:c>
      <x:c r="C13" s="82" t="n">
        <x:v>8</x:v>
      </x:c>
      <x:c r="D13" s="83" t="n">
        <x:f>C13/SUMIF($A$3:$A$33,A13,$C$3:$C$33)</x:f>
        <x:v>0.08</x:v>
      </x:c>
      <x:c r="E13" s="20" t="str">
        <x:v>Rare Module</x:v>
      </x:c>
      <x:c r="F13" s="20" t="n">
        <x:v>1</x:v>
      </x:c>
      <x:c r="G13" s="20" t="n">
        <x:v>1</x:v>
      </x:c>
      <x:c r="H13" s="20" t="str"/>
    </x:row>
    <x:row r="14">
      <x:c r="A14" s="20" t="str">
        <x:v>Business Case</x:v>
      </x:c>
      <x:c r="B14" s="20" t="str">
        <x:v>Epic Module</x:v>
      </x:c>
      <x:c r="C14" s="82" t="n">
        <x:v>2</x:v>
      </x:c>
      <x:c r="D14" s="83" t="n">
        <x:f>C14/SUMIF($A$3:$A$33,A14,$C$3:$C$33)</x:f>
        <x:v>0.02</x:v>
      </x:c>
      <x:c r="E14" s="20" t="str">
        <x:v>Epic Module</x:v>
      </x:c>
      <x:c r="F14" s="20" t="n">
        <x:v>1</x:v>
      </x:c>
      <x:c r="G14" s="20" t="n">
        <x:v>1</x:v>
      </x:c>
      <x:c r="H14" s="20" t="str">
        <x:v>Pity eligible</x:v>
      </x:c>
    </x:row>
    <x:row r="15">
      <x:c r="A15" s="20" t="str">
        <x:v>Market Case</x:v>
      </x:c>
      <x:c r="B15" s="20" t="str">
        <x:v>Stock Fragment</x:v>
      </x:c>
      <x:c r="C15" s="82" t="n">
        <x:v>35</x:v>
      </x:c>
      <x:c r="D15" s="83" t="n">
        <x:f>C15/SUMIF($A$3:$A$33,A15,$C$3:$C$33)</x:f>
        <x:v>0.35</x:v>
      </x:c>
      <x:c r="E15" s="20" t="str">
        <x:v>Stock Fragment</x:v>
      </x:c>
      <x:c r="F15" s="20" t="n">
        <x:v>1</x:v>
      </x:c>
      <x:c r="G15" s="20" t="n">
        <x:v>4</x:v>
      </x:c>
      <x:c r="H15" s="20" t="str"/>
    </x:row>
    <x:row r="16">
      <x:c r="A16" s="20" t="str">
        <x:v>Market Case</x:v>
      </x:c>
      <x:c r="B16" s="20" t="str">
        <x:v>Market Hunt Ticket</x:v>
      </x:c>
      <x:c r="C16" s="82" t="n">
        <x:v>20</x:v>
      </x:c>
      <x:c r="D16" s="83" t="n">
        <x:f>C16/SUMIF($A$3:$A$33,A16,$C$3:$C$33)</x:f>
        <x:v>0.2</x:v>
      </x:c>
      <x:c r="E16" s="20" t="str">
        <x:v>Ticket</x:v>
      </x:c>
      <x:c r="F16" s="20" t="n">
        <x:v>1</x:v>
      </x:c>
      <x:c r="G16" s="20" t="n">
        <x:v>2</x:v>
      </x:c>
      <x:c r="H16" s="20" t="str"/>
    </x:row>
    <x:row r="17">
      <x:c r="A17" s="20" t="str">
        <x:v>Market Case</x:v>
      </x:c>
      <x:c r="B17" s="20" t="str">
        <x:v>Cash</x:v>
      </x:c>
      <x:c r="C17" s="82" t="n">
        <x:v>20</x:v>
      </x:c>
      <x:c r="D17" s="83" t="n">
        <x:f>C17/SUMIF($A$3:$A$33,A17,$C$3:$C$33)</x:f>
        <x:v>0.2</x:v>
      </x:c>
      <x:c r="E17" s="20" t="str">
        <x:v>Cash</x:v>
      </x:c>
      <x:c r="F17" s="20" t="n">
        <x:v>1000</x:v>
      </x:c>
      <x:c r="G17" s="20" t="n">
        <x:v>5000</x:v>
      </x:c>
      <x:c r="H17" s="20" t="str"/>
    </x:row>
    <x:row r="18">
      <x:c r="A18" s="20" t="str">
        <x:v>Market Case</x:v>
      </x:c>
      <x:c r="B18" s="20" t="str">
        <x:v>Opportunity Reroll</x:v>
      </x:c>
      <x:c r="C18" s="82" t="n">
        <x:v>12</x:v>
      </x:c>
      <x:c r="D18" s="83" t="n">
        <x:f>C18/SUMIF($A$3:$A$33,A18,$C$3:$C$33)</x:f>
        <x:v>0.12</x:v>
      </x:c>
      <x:c r="E18" s="20" t="str">
        <x:v>Reroll</x:v>
      </x:c>
      <x:c r="F18" s="20" t="n">
        <x:v>1</x:v>
      </x:c>
      <x:c r="G18" s="20" t="n">
        <x:v>2</x:v>
      </x:c>
      <x:c r="H18" s="20" t="str"/>
    </x:row>
    <x:row r="19">
      <x:c r="A19" s="20" t="str">
        <x:v>Market Case</x:v>
      </x:c>
      <x:c r="B19" s="20" t="str">
        <x:v>Market Boost</x:v>
      </x:c>
      <x:c r="C19" s="82" t="n">
        <x:v>10</x:v>
      </x:c>
      <x:c r="D19" s="83" t="n">
        <x:f>C19/SUMIF($A$3:$A$33,A19,$C$3:$C$33)</x:f>
        <x:v>0.1</x:v>
      </x:c>
      <x:c r="E19" s="20" t="str">
        <x:v>Market-sensitive boost</x:v>
      </x:c>
      <x:c r="F19" s="20" t="n">
        <x:v>1</x:v>
      </x:c>
      <x:c r="G19" s="20" t="n">
        <x:v>1</x:v>
      </x:c>
      <x:c r="H19" s="20" t="str"/>
    </x:row>
    <x:row r="20">
      <x:c r="A20" s="20" t="str">
        <x:v>Market Case</x:v>
      </x:c>
      <x:c r="B20" s="20" t="str">
        <x:v>Epic Find</x:v>
      </x:c>
      <x:c r="C20" s="82" t="n">
        <x:v>3</x:v>
      </x:c>
      <x:c r="D20" s="83" t="n">
        <x:f>C20/SUMIF($A$3:$A$33,A20,$C$3:$C$33)</x:f>
        <x:v>0.03</x:v>
      </x:c>
      <x:c r="E20" s="20" t="str">
        <x:v>Rare stock fragment / module</x:v>
      </x:c>
      <x:c r="F20" s="20" t="n">
        <x:v>1</x:v>
      </x:c>
      <x:c r="G20" s="20" t="n">
        <x:v>1</x:v>
      </x:c>
      <x:c r="H20" s="20" t="str"/>
    </x:row>
    <x:row r="21">
      <x:c r="A21" s="20" t="str">
        <x:v>Executive Case</x:v>
      </x:c>
      <x:c r="B21" s="20" t="str">
        <x:v>Rare Module</x:v>
      </x:c>
      <x:c r="C21" s="82" t="n">
        <x:v>40</x:v>
      </x:c>
      <x:c r="D21" s="83" t="n">
        <x:f>C21/SUMIF($A$3:$A$33,A21,$C$3:$C$33)</x:f>
        <x:v>0.4</x:v>
      </x:c>
      <x:c r="E21" s="20" t="str">
        <x:v>Rare Module</x:v>
      </x:c>
      <x:c r="F21" s="20" t="n">
        <x:v>1</x:v>
      </x:c>
      <x:c r="G21" s="20" t="n">
        <x:v>1</x:v>
      </x:c>
      <x:c r="H21" s="20" t="str"/>
    </x:row>
    <x:row r="22">
      <x:c r="A22" s="20" t="str">
        <x:v>Executive Case</x:v>
      </x:c>
      <x:c r="B22" s="20" t="str">
        <x:v>Epic Module</x:v>
      </x:c>
      <x:c r="C22" s="82" t="n">
        <x:v>20</x:v>
      </x:c>
      <x:c r="D22" s="83" t="n">
        <x:f>C22/SUMIF($A$3:$A$33,A22,$C$3:$C$33)</x:f>
        <x:v>0.2</x:v>
      </x:c>
      <x:c r="E22" s="20" t="str">
        <x:v>Epic Module</x:v>
      </x:c>
      <x:c r="F22" s="20" t="n">
        <x:v>1</x:v>
      </x:c>
      <x:c r="G22" s="20" t="n">
        <x:v>1</x:v>
      </x:c>
      <x:c r="H22" s="20" t="str">
        <x:v>Pity target</x:v>
      </x:c>
    </x:row>
    <x:row r="23">
      <x:c r="A23" s="20" t="str">
        <x:v>Executive Case</x:v>
      </x:c>
      <x:c r="B23" s="20" t="str">
        <x:v>Legendary Module</x:v>
      </x:c>
      <x:c r="C23" s="82" t="n">
        <x:v>3</x:v>
      </x:c>
      <x:c r="D23" s="83" t="n">
        <x:f>C23/SUMIF($A$3:$A$33,A23,$C$3:$C$33)</x:f>
        <x:v>0.03</x:v>
      </x:c>
      <x:c r="E23" s="20" t="str">
        <x:v>Legendary Module</x:v>
      </x:c>
      <x:c r="F23" s="20" t="n">
        <x:v>1</x:v>
      </x:c>
      <x:c r="G23" s="20" t="n">
        <x:v>1</x:v>
      </x:c>
      <x:c r="H23" s="20" t="str"/>
    </x:row>
    <x:row r="24">
      <x:c r="A24" s="20" t="str">
        <x:v>Executive Case</x:v>
      </x:c>
      <x:c r="B24" s="20" t="str">
        <x:v>Executive Component</x:v>
      </x:c>
      <x:c r="C24" s="82" t="n">
        <x:v>15</x:v>
      </x:c>
      <x:c r="D24" s="83" t="n">
        <x:f>C24/SUMIF($A$3:$A$33,A24,$C$3:$C$33)</x:f>
        <x:v>0.15</x:v>
      </x:c>
      <x:c r="E24" s="20" t="str">
        <x:v>Executive Component</x:v>
      </x:c>
      <x:c r="F24" s="20" t="n">
        <x:v>1</x:v>
      </x:c>
      <x:c r="G24" s="20" t="n">
        <x:v>3</x:v>
      </x:c>
      <x:c r="H24" s="20" t="str"/>
    </x:row>
    <x:row r="25">
      <x:c r="A25" s="20" t="str">
        <x:v>Executive Case</x:v>
      </x:c>
      <x:c r="B25" s="20" t="str">
        <x:v>Prime Permit</x:v>
      </x:c>
      <x:c r="C25" s="82" t="n">
        <x:v>7</x:v>
      </x:c>
      <x:c r="D25" s="83" t="n">
        <x:f>C25/SUMIF($A$3:$A$33,A25,$C$3:$C$33)</x:f>
        <x:v>0.07</x:v>
      </x:c>
      <x:c r="E25" s="20" t="str">
        <x:v>Prime Permit</x:v>
      </x:c>
      <x:c r="F25" s="20" t="n">
        <x:v>1</x:v>
      </x:c>
      <x:c r="G25" s="20" t="n">
        <x:v>1</x:v>
      </x:c>
      <x:c r="H25" s="20" t="str"/>
    </x:row>
    <x:row r="26">
      <x:c r="A26" s="20" t="str">
        <x:v>Executive Case</x:v>
      </x:c>
      <x:c r="B26" s="20" t="str">
        <x:v>Cash</x:v>
      </x:c>
      <x:c r="C26" s="82" t="n">
        <x:v>10</x:v>
      </x:c>
      <x:c r="D26" s="83" t="n">
        <x:f>C26/SUMIF($A$3:$A$33,A26,$C$3:$C$33)</x:f>
        <x:v>0.1</x:v>
      </x:c>
      <x:c r="E26" s="20" t="str">
        <x:v>Cash</x:v>
      </x:c>
      <x:c r="F26" s="20" t="n">
        <x:v>10000</x:v>
      </x:c>
      <x:c r="G26" s="20" t="n">
        <x:v>30000</x:v>
      </x:c>
      <x:c r="H26" s="20" t="str"/>
    </x:row>
    <x:row r="27">
      <x:c r="A27" s="20" t="str">
        <x:v>Executive Case</x:v>
      </x:c>
      <x:c r="B27" s="20" t="str">
        <x:v>Cosmetic</x:v>
      </x:c>
      <x:c r="C27" s="82" t="n">
        <x:v>5</x:v>
      </x:c>
      <x:c r="D27" s="83" t="n">
        <x:f>C27/SUMIF($A$3:$A$33,A27,$C$3:$C$33)</x:f>
        <x:v>0.05</x:v>
      </x:c>
      <x:c r="E27" s="20" t="str">
        <x:v>City Cosmetic Token</x:v>
      </x:c>
      <x:c r="F27" s="20" t="n">
        <x:v>1</x:v>
      </x:c>
      <x:c r="G27" s="20" t="n">
        <x:v>1</x:v>
      </x:c>
      <x:c r="H27" s="20" t="str"/>
    </x:row>
    <x:row r="28">
      <x:c r="A28" s="20" t="str">
        <x:v>Tycoon Case</x:v>
      </x:c>
      <x:c r="B28" s="20" t="str">
        <x:v>Epic Module</x:v>
      </x:c>
      <x:c r="C28" s="82" t="n">
        <x:v>45</x:v>
      </x:c>
      <x:c r="D28" s="83" t="n">
        <x:f>C28/SUMIF($A$3:$A$33,A28,$C$3:$C$33)</x:f>
        <x:v>0.45</x:v>
      </x:c>
      <x:c r="E28" s="20" t="str">
        <x:v>Epic Module</x:v>
      </x:c>
      <x:c r="F28" s="20" t="n">
        <x:v>1</x:v>
      </x:c>
      <x:c r="G28" s="20" t="n">
        <x:v>1</x:v>
      </x:c>
      <x:c r="H28" s="20" t="str"/>
    </x:row>
    <x:row r="29">
      <x:c r="A29" s="20" t="str">
        <x:v>Tycoon Case</x:v>
      </x:c>
      <x:c r="B29" s="20" t="str">
        <x:v>Legendary Module</x:v>
      </x:c>
      <x:c r="C29" s="82" t="n">
        <x:v>10</x:v>
      </x:c>
      <x:c r="D29" s="83" t="n">
        <x:f>C29/SUMIF($A$3:$A$33,A29,$C$3:$C$33)</x:f>
        <x:v>0.1</x:v>
      </x:c>
      <x:c r="E29" s="20" t="str">
        <x:v>Legendary Module</x:v>
      </x:c>
      <x:c r="F29" s="20" t="n">
        <x:v>1</x:v>
      </x:c>
      <x:c r="G29" s="20" t="n">
        <x:v>1</x:v>
      </x:c>
      <x:c r="H29" s="20" t="str">
        <x:v>Pity target</x:v>
      </x:c>
    </x:row>
    <x:row r="30">
      <x:c r="A30" s="20" t="str">
        <x:v>Tycoon Case</x:v>
      </x:c>
      <x:c r="B30" s="20" t="str">
        <x:v>Executive Component</x:v>
      </x:c>
      <x:c r="C30" s="82" t="n">
        <x:v>20</x:v>
      </x:c>
      <x:c r="D30" s="83" t="n">
        <x:f>C30/SUMIF($A$3:$A$33,A30,$C$3:$C$33)</x:f>
        <x:v>0.2</x:v>
      </x:c>
      <x:c r="E30" s="20" t="str">
        <x:v>Executive Component</x:v>
      </x:c>
      <x:c r="F30" s="20" t="n">
        <x:v>2</x:v>
      </x:c>
      <x:c r="G30" s="20" t="n">
        <x:v>5</x:v>
      </x:c>
      <x:c r="H30" s="20" t="str"/>
    </x:row>
    <x:row r="31">
      <x:c r="A31" s="20" t="str">
        <x:v>Tycoon Case</x:v>
      </x:c>
      <x:c r="B31" s="20" t="str">
        <x:v>Prime Permit</x:v>
      </x:c>
      <x:c r="C31" s="82" t="n">
        <x:v>10</x:v>
      </x:c>
      <x:c r="D31" s="83" t="n">
        <x:f>C31/SUMIF($A$3:$A$33,A31,$C$3:$C$33)</x:f>
        <x:v>0.1</x:v>
      </x:c>
      <x:c r="E31" s="20" t="str">
        <x:v>Prime Permit</x:v>
      </x:c>
      <x:c r="F31" s="20" t="n">
        <x:v>1</x:v>
      </x:c>
      <x:c r="G31" s="20" t="n">
        <x:v>2</x:v>
      </x:c>
      <x:c r="H31" s="20" t="str"/>
    </x:row>
    <x:row r="32">
      <x:c r="A32" s="20" t="str">
        <x:v>Tycoon Case</x:v>
      </x:c>
      <x:c r="B32" s="20" t="str">
        <x:v>Exclusive Cosmetic</x:v>
      </x:c>
      <x:c r="C32" s="82" t="n">
        <x:v>10</x:v>
      </x:c>
      <x:c r="D32" s="83" t="n">
        <x:f>C32/SUMIF($A$3:$A$33,A32,$C$3:$C$33)</x:f>
        <x:v>0.1</x:v>
      </x:c>
      <x:c r="E32" s="20" t="str">
        <x:v>Limited cosmetic</x:v>
      </x:c>
      <x:c r="F32" s="20" t="n">
        <x:v>1</x:v>
      </x:c>
      <x:c r="G32" s="20" t="n">
        <x:v>1</x:v>
      </x:c>
      <x:c r="H32" s="20" t="str"/>
    </x:row>
    <x:row r="33">
      <x:c r="A33" s="20" t="str">
        <x:v>Tycoon Case</x:v>
      </x:c>
      <x:c r="B33" s="20" t="str">
        <x:v>Jackpot Cash</x:v>
      </x:c>
      <x:c r="C33" s="82" t="n">
        <x:v>5</x:v>
      </x:c>
      <x:c r="D33" s="83" t="n">
        <x:f>C33/SUMIF($A$3:$A$33,A33,$C$3:$C$33)</x:f>
        <x:v>0.05</x:v>
      </x:c>
      <x:c r="E33" s="20" t="str">
        <x:v>Cash</x:v>
      </x:c>
      <x:c r="F33" s="20" t="n">
        <x:v>50000</x:v>
      </x:c>
      <x:c r="G33" s="20" t="n">
        <x:v>100000</x:v>
      </x:c>
      <x:c r="H33" s="20" t="str"/>
    </x:row>
    <x:row r="34">
      <x:c r="A34" s="20"/>
      <x:c r="B34" s="20"/>
      <x:c r="C34" s="20"/>
      <x:c r="D34" s="20"/>
      <x:c r="E34" s="20"/>
      <x:c r="F34" s="20"/>
      <x:c r="G34" s="20"/>
      <x:c r="H34" s="20"/>
    </x:row>
    <x:row r="35">
      <x:c r="A35" s="20"/>
      <x:c r="B35" s="20"/>
      <x:c r="C35" s="20"/>
      <x:c r="D35" s="20"/>
      <x:c r="E35" s="20"/>
      <x:c r="F35" s="20"/>
      <x:c r="G35" s="20"/>
      <x:c r="H35" s="20"/>
    </x:row>
    <x:row r="36">
      <x:c r="A36" s="20"/>
      <x:c r="B36" s="20"/>
      <x:c r="C36" s="20"/>
      <x:c r="D36" s="20"/>
      <x:c r="E36" s="20"/>
      <x:c r="F36" s="20"/>
      <x:c r="G36" s="20"/>
      <x:c r="H36" s="20"/>
    </x:row>
    <x:row r="37">
      <x:c r="A37" s="20"/>
      <x:c r="B37" s="20"/>
      <x:c r="C37" s="20"/>
      <x:c r="D37" s="20"/>
      <x:c r="E37" s="20"/>
      <x:c r="F37" s="20"/>
      <x:c r="G37" s="20"/>
      <x:c r="H37" s="20"/>
    </x:row>
    <x:row r="38">
      <x:c r="A38" s="20"/>
      <x:c r="B38" s="20"/>
      <x:c r="C38" s="20"/>
      <x:c r="D38" s="20"/>
      <x:c r="E38" s="20"/>
      <x:c r="F38" s="20"/>
      <x:c r="G38" s="20"/>
      <x:c r="H38" s="20"/>
    </x:row>
    <x:row r="39">
      <x:c r="A39" s="20"/>
      <x:c r="B39" s="20"/>
      <x:c r="C39" s="20"/>
      <x:c r="D39" s="20"/>
      <x:c r="E39" s="20"/>
      <x:c r="F39" s="20"/>
      <x:c r="G39" s="20"/>
      <x:c r="H39" s="20"/>
    </x:row>
    <x:row r="40">
      <x:c r="A40" s="20"/>
      <x:c r="B40" s="20"/>
      <x:c r="C40" s="20"/>
      <x:c r="D40" s="20"/>
      <x:c r="E40" s="20"/>
      <x:c r="F40" s="20"/>
      <x:c r="G40" s="20"/>
      <x:c r="H40" s="20"/>
    </x:row>
    <x:row r="41">
      <x:c r="A41" s="20"/>
      <x:c r="B41" s="20"/>
      <x:c r="C41" s="20"/>
      <x:c r="D41" s="20"/>
      <x:c r="E41" s="20"/>
      <x:c r="F41" s="20"/>
      <x:c r="G41" s="20"/>
      <x:c r="H41" s="20"/>
    </x:row>
    <x:row r="42">
      <x:c r="A42" s="20"/>
      <x:c r="B42" s="20"/>
      <x:c r="C42" s="20"/>
      <x:c r="D42" s="20"/>
      <x:c r="E42" s="20"/>
      <x:c r="F42" s="20"/>
      <x:c r="G42" s="20"/>
      <x:c r="H42" s="20"/>
    </x:row>
    <x:row r="43">
      <x:c r="A43" s="20"/>
      <x:c r="B43" s="20"/>
      <x:c r="C43" s="20"/>
      <x:c r="D43" s="20"/>
      <x:c r="E43" s="20"/>
      <x:c r="F43" s="20"/>
      <x:c r="G43" s="20"/>
      <x:c r="H43" s="20"/>
    </x:row>
    <x:row r="44">
      <x:c r="A44" s="20"/>
      <x:c r="B44" s="20"/>
      <x:c r="C44" s="20"/>
      <x:c r="D44" s="20"/>
      <x:c r="E44" s="20"/>
      <x:c r="F44" s="20"/>
      <x:c r="G44" s="20"/>
      <x:c r="H44" s="20"/>
    </x:row>
    <x:row r="45">
      <x:c r="A45" s="20"/>
      <x:c r="B45" s="20"/>
      <x:c r="C45" s="20"/>
      <x:c r="D45" s="20"/>
      <x:c r="E45" s="20"/>
      <x:c r="F45" s="20"/>
      <x:c r="G45" s="20"/>
      <x:c r="H45" s="20"/>
    </x:row>
    <x:row r="46">
      <x:c r="A46" s="20"/>
      <x:c r="B46" s="20"/>
      <x:c r="C46" s="20"/>
      <x:c r="D46" s="20"/>
      <x:c r="E46" s="20"/>
      <x:c r="F46" s="20"/>
      <x:c r="G46" s="20"/>
      <x:c r="H46" s="20"/>
    </x:row>
    <x:row r="47">
      <x:c r="A47" s="20"/>
      <x:c r="B47" s="20"/>
      <x:c r="C47" s="20"/>
      <x:c r="D47" s="20"/>
      <x:c r="E47" s="20"/>
      <x:c r="F47" s="20"/>
      <x:c r="G47" s="20"/>
      <x:c r="H47" s="20"/>
    </x:row>
    <x:row r="48">
      <x:c r="A48" s="20"/>
      <x:c r="B48" s="20"/>
      <x:c r="C48" s="20"/>
      <x:c r="D48" s="20"/>
      <x:c r="E48" s="20"/>
      <x:c r="F48" s="20"/>
      <x:c r="G48" s="20"/>
      <x:c r="H48" s="20"/>
    </x:row>
    <x:row r="49">
      <x:c r="A49" s="20"/>
      <x:c r="B49" s="20"/>
      <x:c r="C49" s="20"/>
      <x:c r="D49" s="20"/>
      <x:c r="E49" s="20"/>
      <x:c r="F49" s="20"/>
      <x:c r="G49" s="20"/>
      <x:c r="H49" s="20"/>
    </x:row>
    <x:row r="50">
      <x:c r="A50" s="20"/>
      <x:c r="B50" s="20"/>
      <x:c r="C50" s="20"/>
      <x:c r="D50" s="20"/>
      <x:c r="E50" s="20"/>
      <x:c r="F50" s="20"/>
      <x:c r="G50" s="20"/>
      <x:c r="H50" s="20"/>
    </x:row>
    <x:row r="51">
      <x:c r="A51" s="20"/>
      <x:c r="B51" s="20"/>
      <x:c r="C51" s="20"/>
      <x:c r="D51" s="20"/>
      <x:c r="E51" s="20"/>
      <x:c r="F51" s="20"/>
      <x:c r="G51" s="20"/>
      <x:c r="H51" s="20"/>
    </x:row>
    <x:row r="52">
      <x:c r="A52" s="20"/>
      <x:c r="B52" s="20"/>
      <x:c r="C52" s="20"/>
      <x:c r="D52" s="20"/>
      <x:c r="E52" s="20"/>
      <x:c r="F52" s="20"/>
      <x:c r="G52" s="20"/>
      <x:c r="H52" s="20"/>
    </x:row>
    <x:row r="53">
      <x:c r="A53" s="20"/>
      <x:c r="B53" s="20"/>
      <x:c r="C53" s="20"/>
      <x:c r="D53" s="20"/>
      <x:c r="E53" s="20"/>
      <x:c r="F53" s="20"/>
      <x:c r="G53" s="20"/>
      <x:c r="H53" s="20"/>
    </x:row>
    <x:row r="54">
      <x:c r="A54" s="20"/>
      <x:c r="B54" s="20"/>
      <x:c r="C54" s="20"/>
      <x:c r="D54" s="20"/>
      <x:c r="E54" s="20"/>
      <x:c r="F54" s="20"/>
      <x:c r="G54" s="20"/>
      <x:c r="H54" s="20"/>
    </x:row>
    <x:row r="55">
      <x:c r="A55" s="20"/>
      <x:c r="B55" s="20"/>
      <x:c r="C55" s="20"/>
      <x:c r="D55" s="20"/>
      <x:c r="E55" s="20"/>
      <x:c r="F55" s="20"/>
      <x:c r="G55" s="20"/>
      <x:c r="H55" s="20"/>
    </x:row>
    <x:row r="56">
      <x:c r="A56" s="20"/>
      <x:c r="B56" s="20"/>
      <x:c r="C56" s="20"/>
      <x:c r="D56" s="20"/>
      <x:c r="E56" s="20"/>
      <x:c r="F56" s="20"/>
      <x:c r="G56" s="20"/>
      <x:c r="H56" s="20"/>
    </x:row>
    <x:row r="57">
      <x:c r="A57" s="20"/>
      <x:c r="B57" s="20"/>
      <x:c r="C57" s="20"/>
      <x:c r="D57" s="20"/>
      <x:c r="E57" s="20"/>
      <x:c r="F57" s="20"/>
      <x:c r="G57" s="20"/>
      <x:c r="H57" s="20"/>
    </x:row>
    <x:row r="58">
      <x:c r="A58" s="20"/>
      <x:c r="B58" s="20"/>
      <x:c r="C58" s="20"/>
      <x:c r="D58" s="20"/>
      <x:c r="E58" s="20"/>
      <x:c r="F58" s="20"/>
      <x:c r="G58" s="20"/>
      <x:c r="H58" s="20"/>
    </x:row>
    <x:row r="59">
      <x:c r="A59" s="20"/>
      <x:c r="B59" s="20"/>
      <x:c r="C59" s="20"/>
      <x:c r="D59" s="20"/>
      <x:c r="E59" s="20"/>
      <x:c r="F59" s="20"/>
      <x:c r="G59" s="20"/>
      <x:c r="H59" s="20"/>
    </x:row>
    <x:row r="60">
      <x:c r="A60" s="20"/>
      <x:c r="B60" s="20"/>
      <x:c r="C60" s="20"/>
      <x:c r="D60" s="20"/>
      <x:c r="E60" s="20"/>
      <x:c r="F60" s="20"/>
      <x:c r="G60" s="20"/>
      <x:c r="H60" s="20"/>
    </x:row>
    <x:row r="61">
      <x:c r="A61" s="20"/>
      <x:c r="B61" s="20"/>
      <x:c r="C61" s="20"/>
      <x:c r="D61" s="20"/>
      <x:c r="E61" s="20"/>
      <x:c r="F61" s="20"/>
      <x:c r="G61" s="20"/>
      <x:c r="H61" s="20"/>
    </x:row>
    <x:row r="62">
      <x:c r="A62" s="20"/>
      <x:c r="B62" s="20"/>
      <x:c r="C62" s="20"/>
      <x:c r="D62" s="20"/>
      <x:c r="E62" s="20"/>
      <x:c r="F62" s="20"/>
      <x:c r="G62" s="20"/>
      <x:c r="H62" s="20"/>
    </x:row>
    <x:row r="63">
      <x:c r="A63" s="20"/>
      <x:c r="B63" s="20"/>
      <x:c r="C63" s="20"/>
      <x:c r="D63" s="20"/>
      <x:c r="E63" s="20"/>
      <x:c r="F63" s="20"/>
      <x:c r="G63" s="20"/>
      <x:c r="H63" s="20"/>
    </x:row>
    <x:row r="64">
      <x:c r="A64" s="20"/>
      <x:c r="B64" s="20"/>
      <x:c r="C64" s="20"/>
      <x:c r="D64" s="20"/>
      <x:c r="E64" s="20"/>
      <x:c r="F64" s="20"/>
      <x:c r="G64" s="20"/>
      <x:c r="H64" s="20"/>
    </x:row>
    <x:row r="65">
      <x:c r="A65" s="20"/>
      <x:c r="B65" s="20"/>
      <x:c r="C65" s="20"/>
      <x:c r="D65" s="20"/>
      <x:c r="E65" s="20"/>
      <x:c r="F65" s="20"/>
      <x:c r="G65" s="20"/>
      <x:c r="H65" s="20"/>
    </x:row>
    <x:row r="66">
      <x:c r="A66" s="20"/>
      <x:c r="B66" s="20"/>
      <x:c r="C66" s="20"/>
      <x:c r="D66" s="20"/>
      <x:c r="E66" s="20"/>
      <x:c r="F66" s="20"/>
      <x:c r="G66" s="20"/>
      <x:c r="H66" s="20"/>
    </x:row>
    <x:row r="67">
      <x:c r="A67" s="20"/>
      <x:c r="B67" s="20"/>
      <x:c r="C67" s="20"/>
      <x:c r="D67" s="20"/>
      <x:c r="E67" s="20"/>
      <x:c r="F67" s="20"/>
      <x:c r="G67" s="20"/>
      <x:c r="H67" s="20"/>
    </x:row>
    <x:row r="68">
      <x:c r="A68" s="20"/>
      <x:c r="B68" s="20"/>
      <x:c r="C68" s="20"/>
      <x:c r="D68" s="20"/>
      <x:c r="E68" s="20"/>
      <x:c r="F68" s="20"/>
      <x:c r="G68" s="20"/>
      <x:c r="H68" s="20"/>
    </x:row>
    <x:row r="69">
      <x:c r="A69" s="20"/>
      <x:c r="B69" s="20"/>
      <x:c r="C69" s="20"/>
      <x:c r="D69" s="20"/>
      <x:c r="E69" s="20"/>
      <x:c r="F69" s="20"/>
      <x:c r="G69" s="20"/>
      <x:c r="H69" s="20"/>
    </x:row>
    <x:row r="70">
      <x:c r="A70" s="20"/>
      <x:c r="B70" s="20"/>
      <x:c r="C70" s="20"/>
      <x:c r="D70" s="20"/>
      <x:c r="E70" s="20"/>
      <x:c r="F70" s="20"/>
      <x:c r="G70" s="20"/>
      <x:c r="H70" s="20"/>
    </x:row>
    <x:row r="71">
      <x:c r="A71" s="20"/>
      <x:c r="B71" s="20"/>
      <x:c r="C71" s="20"/>
      <x:c r="D71" s="20"/>
      <x:c r="E71" s="20"/>
      <x:c r="F71" s="20"/>
      <x:c r="G71" s="20"/>
      <x:c r="H71" s="20"/>
    </x:row>
    <x:row r="72">
      <x:c r="A72" s="20"/>
      <x:c r="B72" s="20"/>
      <x:c r="C72" s="20"/>
      <x:c r="D72" s="20"/>
      <x:c r="E72" s="20"/>
      <x:c r="F72" s="20"/>
      <x:c r="G72" s="20"/>
      <x:c r="H72" s="20"/>
    </x:row>
    <x:row r="73">
      <x:c r="A73" s="20"/>
      <x:c r="B73" s="20"/>
      <x:c r="C73" s="20"/>
      <x:c r="D73" s="20"/>
      <x:c r="E73" s="20"/>
      <x:c r="F73" s="20"/>
      <x:c r="G73" s="20"/>
      <x:c r="H73" s="20"/>
    </x:row>
    <x:row r="74">
      <x:c r="A74" s="20"/>
      <x:c r="B74" s="20"/>
      <x:c r="C74" s="20"/>
      <x:c r="D74" s="20"/>
      <x:c r="E74" s="20"/>
      <x:c r="F74" s="20"/>
      <x:c r="G74" s="20"/>
      <x:c r="H74" s="20"/>
    </x:row>
    <x:row r="75">
      <x:c r="A75" s="20"/>
      <x:c r="B75" s="20"/>
      <x:c r="C75" s="20"/>
      <x:c r="D75" s="20"/>
      <x:c r="E75" s="20"/>
      <x:c r="F75" s="20"/>
      <x:c r="G75" s="20"/>
      <x:c r="H75" s="20"/>
    </x:row>
    <x:row r="76">
      <x:c r="A76" s="20"/>
      <x:c r="B76" s="20"/>
      <x:c r="C76" s="20"/>
      <x:c r="D76" s="20"/>
      <x:c r="E76" s="20"/>
      <x:c r="F76" s="20"/>
      <x:c r="G76" s="20"/>
      <x:c r="H76" s="20"/>
    </x:row>
    <x:row r="77">
      <x:c r="A77" s="20"/>
      <x:c r="B77" s="20"/>
      <x:c r="C77" s="20"/>
      <x:c r="D77" s="20"/>
      <x:c r="E77" s="20"/>
      <x:c r="F77" s="20"/>
      <x:c r="G77" s="20"/>
      <x:c r="H77" s="20"/>
    </x:row>
    <x:row r="78">
      <x:c r="A78" s="20"/>
      <x:c r="B78" s="20"/>
      <x:c r="C78" s="20"/>
      <x:c r="D78" s="20"/>
      <x:c r="E78" s="20"/>
      <x:c r="F78" s="20"/>
      <x:c r="G78" s="20"/>
      <x:c r="H78" s="20"/>
    </x:row>
    <x:row r="79">
      <x:c r="A79" s="20"/>
      <x:c r="B79" s="20"/>
      <x:c r="C79" s="20"/>
      <x:c r="D79" s="20"/>
      <x:c r="E79" s="20"/>
      <x:c r="F79" s="20"/>
      <x:c r="G79" s="20"/>
      <x:c r="H79" s="20"/>
    </x:row>
    <x:row r="80">
      <x:c r="A80" s="20"/>
      <x:c r="B80" s="20"/>
      <x:c r="C80" s="20"/>
      <x:c r="D80" s="20"/>
      <x:c r="E80" s="20"/>
      <x:c r="F80" s="20"/>
      <x:c r="G80" s="20"/>
      <x:c r="H80" s="20"/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32" hidden="0" customWidth="1"/>
    <x:col min="4" max="4" width="28" hidden="0" customWidth="1"/>
    <x:col min="5" max="5" width="34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142" t="str">
        <x:v>Pity &amp; Duplicates</x:v>
      </x:c>
      <x:c r="B1" s="142"/>
      <x:c r="C1" s="142"/>
      <x:c r="D1" s="142"/>
      <x:c r="E1" s="142"/>
      <x:c r="F1" s="142"/>
      <x:c r="G1" s="142"/>
      <x:c r="H1" s="142"/>
    </x:row>
    <x:row r="2" ht="30" customHeight="1">
      <x:c r="A2" s="143" t="str">
        <x:v>System</x:v>
      </x:c>
      <x:c r="B2" s="143" t="str">
        <x:v>Trigger</x:v>
      </x:c>
      <x:c r="C2" s="143" t="str">
        <x:v>Result</x:v>
      </x:c>
      <x:c r="D2" s="143" t="str">
        <x:v>Reset Condition</x:v>
      </x:c>
      <x:c r="E2" s="143" t="str">
        <x:v>Implementation Note</x:v>
      </x:c>
      <x:c r="F2" s="20"/>
      <x:c r="G2" s="20"/>
      <x:c r="H2" s="20"/>
    </x:row>
    <x:row r="3">
      <x:c r="A3" s="20" t="str">
        <x:v>Executive pity</x:v>
      </x:c>
      <x:c r="B3" s="20" t="str">
        <x:v>No Epic+ before threshold</x:v>
      </x:c>
      <x:c r="C3" s="20" t="str">
        <x:v>Next Executive Case guarantees Epic+</x:v>
      </x:c>
      <x:c r="D3" s="20" t="str">
        <x:v>Epic+ obtained</x:v>
      </x:c>
      <x:c r="E3" s="20" t="str">
        <x:v>Threshold linked to Assumptions.</x:v>
      </x:c>
      <x:c r="F3" s="20"/>
      <x:c r="G3" s="20"/>
      <x:c r="H3" s="20"/>
    </x:row>
    <x:row r="4">
      <x:c r="A4" s="20" t="str">
        <x:v>Tycoon pity</x:v>
      </x:c>
      <x:c r="B4" s="20" t="str">
        <x:v>No Legendary before threshold</x:v>
      </x:c>
      <x:c r="C4" s="20" t="str">
        <x:v>Next Tycoon Case guarantees Legendary</x:v>
      </x:c>
      <x:c r="D4" s="20" t="str">
        <x:v>Legendary obtained</x:v>
      </x:c>
      <x:c r="E4" s="20" t="str">
        <x:v>Threshold linked to Assumptions.</x:v>
      </x:c>
      <x:c r="F4" s="20"/>
      <x:c r="G4" s="20"/>
      <x:c r="H4" s="20"/>
    </x:row>
    <x:row r="5">
      <x:c r="A5" s="20" t="str">
        <x:v>Duplicate module</x:v>
      </x:c>
      <x:c r="B5" s="20" t="str">
        <x:v>Module already owned</x:v>
      </x:c>
      <x:c r="C5" s="20" t="str">
        <x:v>Convert duplicate to rarity-specific shards</x:v>
      </x:c>
      <x:c r="D5" s="20" t="str">
        <x:v>Immediate</x:v>
      </x:c>
      <x:c r="E5" s="20" t="str">
        <x:v>No dead duplicate.</x:v>
      </x:c>
      <x:c r="F5" s="20"/>
      <x:c r="G5" s="20"/>
      <x:c r="H5" s="20"/>
    </x:row>
    <x:row r="6">
      <x:c r="A6" s="20" t="str">
        <x:v>Event duplicate cosmetic</x:v>
      </x:c>
      <x:c r="B6" s="20" t="str">
        <x:v>Cosmetic already owned</x:v>
      </x:c>
      <x:c r="C6" s="20" t="str">
        <x:v>Convert to cosmetic token / event currency</x:v>
      </x:c>
      <x:c r="D6" s="20" t="str">
        <x:v>Immediate</x:v>
      </x:c>
      <x:c r="E6" s="20" t="str">
        <x:v>No zero-value duplicate.</x:v>
      </x:c>
      <x:c r="F6" s="20"/>
      <x:c r="G6" s="20"/>
      <x:c r="H6" s="20"/>
    </x:row>
    <x:row r="7">
      <x:c r="A7" s="20" t="str">
        <x:v>Bad-luck smoothing</x:v>
      </x:c>
      <x:c r="B7" s="20" t="str">
        <x:v>Long streak of low-tier outcomes</x:v>
      </x:c>
      <x:c r="C7" s="20" t="str">
        <x:v>Optional soft probability increase before hard pity</x:v>
      </x:c>
      <x:c r="D7" s="20" t="str">
        <x:v>High-tier outcome</x:v>
      </x:c>
      <x:c r="E7" s="20" t="str">
        <x:v>Server-side deterministic audit trail.</x:v>
      </x:c>
      <x:c r="F7" s="20"/>
      <x:c r="G7" s="20"/>
      <x:c r="H7" s="20"/>
    </x:row>
    <x:row r="8">
      <x:c r="A8" s="20"/>
      <x:c r="B8" s="20"/>
      <x:c r="C8" s="20"/>
      <x:c r="D8" s="20"/>
      <x:c r="E8" s="20"/>
      <x:c r="F8" s="20"/>
      <x:c r="G8" s="20"/>
      <x:c r="H8" s="20"/>
    </x:row>
    <x:row r="9">
      <x:c r="A9" s="144" t="str">
        <x:v>Duplicate salvage values</x:v>
      </x:c>
      <x:c r="B9" s="144"/>
      <x:c r="C9" s="144"/>
      <x:c r="D9" s="144"/>
      <x:c r="E9" s="144"/>
      <x:c r="F9" s="144"/>
      <x:c r="G9" s="144"/>
      <x:c r="H9" s="144"/>
    </x:row>
    <x:row r="10">
      <x:c r="A10" s="143" t="str">
        <x:v>Rarity</x:v>
      </x:c>
      <x:c r="B10" s="143" t="str">
        <x:v>Shards Returned</x:v>
      </x:c>
      <x:c r="C10" s="143" t="str">
        <x:v>Assumption Link</x:v>
      </x:c>
      <x:c r="D10" s="20"/>
      <x:c r="E10" s="20"/>
      <x:c r="F10" s="20"/>
      <x:c r="G10" s="20"/>
      <x:c r="H10" s="20"/>
    </x:row>
    <x:row r="11">
      <x:c r="A11" s="20" t="str">
        <x:v>Common</x:v>
      </x:c>
      <x:c r="B11" s="150" t="n">
        <x:f>Assumptions!B11</x:f>
        <x:v>5</x:v>
      </x:c>
      <x:c r="C11" s="20" t="str">
        <x:v>Assumptions!B11</x:v>
      </x:c>
      <x:c r="D11" s="20"/>
      <x:c r="E11" s="20"/>
      <x:c r="F11" s="20"/>
      <x:c r="G11" s="20"/>
      <x:c r="H11" s="20"/>
    </x:row>
    <x:row r="12">
      <x:c r="A12" s="20" t="str">
        <x:v>Rare</x:v>
      </x:c>
      <x:c r="B12" s="150" t="n">
        <x:f>Assumptions!B12</x:f>
        <x:v>20</x:v>
      </x:c>
      <x:c r="C12" s="20" t="str">
        <x:v>Assumptions!B12</x:v>
      </x:c>
      <x:c r="D12" s="20"/>
      <x:c r="E12" s="20"/>
      <x:c r="F12" s="20"/>
      <x:c r="G12" s="20"/>
      <x:c r="H12" s="20"/>
    </x:row>
    <x:row r="13">
      <x:c r="A13" s="20" t="str">
        <x:v>Epic</x:v>
      </x:c>
      <x:c r="B13" s="150" t="n">
        <x:f>Assumptions!B13</x:f>
        <x:v>80</x:v>
      </x:c>
      <x:c r="C13" s="20" t="str">
        <x:v>Assumptions!B13</x:v>
      </x:c>
      <x:c r="D13" s="20"/>
      <x:c r="E13" s="20"/>
      <x:c r="F13" s="20"/>
      <x:c r="G13" s="20"/>
      <x:c r="H13" s="20"/>
    </x:row>
    <x:row r="14">
      <x:c r="A14" s="20" t="str">
        <x:v>Legendary</x:v>
      </x:c>
      <x:c r="B14" s="150" t="n">
        <x:f>Assumptions!B14</x:f>
        <x:v>250</x:v>
      </x:c>
      <x:c r="C14" s="20" t="str">
        <x:v>Assumptions!B14</x:v>
      </x:c>
      <x:c r="D14" s="20"/>
      <x:c r="E14" s="20"/>
      <x:c r="F14" s="20"/>
      <x:c r="G14" s="20"/>
      <x:c r="H14" s="20"/>
    </x:row>
    <x:row r="15">
      <x:c r="A15" s="20"/>
      <x:c r="B15" s="20"/>
      <x:c r="C15" s="20"/>
      <x:c r="D15" s="20"/>
      <x:c r="E15" s="20"/>
      <x:c r="F15" s="20"/>
      <x:c r="G15" s="20"/>
      <x:c r="H15" s="20"/>
    </x:row>
    <x:row r="16">
      <x:c r="A16" s="20"/>
      <x:c r="B16" s="20"/>
      <x:c r="C16" s="20"/>
      <x:c r="D16" s="20"/>
      <x:c r="E16" s="20"/>
      <x:c r="F16" s="20"/>
      <x:c r="G16" s="20"/>
      <x:c r="H16" s="20"/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  <x:row r="21">
      <x:c r="A21" s="20"/>
      <x:c r="B21" s="20"/>
      <x:c r="C21" s="20"/>
      <x:c r="D21" s="20"/>
      <x:c r="E21" s="20"/>
      <x:c r="F21" s="20"/>
      <x:c r="G21" s="20"/>
      <x:c r="H21" s="20"/>
    </x:row>
    <x:row r="22">
      <x:c r="A22" s="20"/>
      <x:c r="B22" s="20"/>
      <x:c r="C22" s="20"/>
      <x:c r="D22" s="20"/>
      <x:c r="E22" s="20"/>
      <x:c r="F22" s="20"/>
      <x:c r="G22" s="20"/>
      <x:c r="H22" s="20"/>
    </x:row>
    <x:row r="23">
      <x:c r="A23" s="20"/>
      <x:c r="B23" s="20"/>
      <x:c r="C23" s="20"/>
      <x:c r="D23" s="20"/>
      <x:c r="E23" s="20"/>
      <x:c r="F23" s="20"/>
      <x:c r="G23" s="20"/>
      <x:c r="H23" s="20"/>
    </x:row>
    <x:row r="24">
      <x:c r="A24" s="20"/>
      <x:c r="B24" s="20"/>
      <x:c r="C24" s="20"/>
      <x:c r="D24" s="20"/>
      <x:c r="E24" s="20"/>
      <x:c r="F24" s="20"/>
      <x:c r="G24" s="20"/>
      <x:c r="H24" s="20"/>
    </x:row>
    <x:row r="25">
      <x:c r="A25" s="20"/>
      <x:c r="B25" s="20"/>
      <x:c r="C25" s="20"/>
      <x:c r="D25" s="20"/>
      <x:c r="E25" s="20"/>
      <x:c r="F25" s="20"/>
      <x:c r="G25" s="20"/>
      <x:c r="H25" s="20"/>
    </x:row>
    <x:row r="26">
      <x:c r="A26" s="20"/>
      <x:c r="B26" s="20"/>
      <x:c r="C26" s="20"/>
      <x:c r="D26" s="20"/>
      <x:c r="E26" s="20"/>
      <x:c r="F26" s="20"/>
      <x:c r="G26" s="20"/>
      <x:c r="H26" s="20"/>
    </x:row>
    <x:row r="27">
      <x:c r="A27" s="20"/>
      <x:c r="B27" s="20"/>
      <x:c r="C27" s="20"/>
      <x:c r="D27" s="20"/>
      <x:c r="E27" s="20"/>
      <x:c r="F27" s="20"/>
      <x:c r="G27" s="20"/>
      <x:c r="H27" s="20"/>
    </x:row>
    <x:row r="28">
      <x:c r="A28" s="20"/>
      <x:c r="B28" s="20"/>
      <x:c r="C28" s="20"/>
      <x:c r="D28" s="20"/>
      <x:c r="E28" s="20"/>
      <x:c r="F28" s="20"/>
      <x:c r="G28" s="20"/>
      <x:c r="H28" s="20"/>
    </x:row>
    <x:row r="29">
      <x:c r="A29" s="20"/>
      <x:c r="B29" s="20"/>
      <x:c r="C29" s="20"/>
      <x:c r="D29" s="20"/>
      <x:c r="E29" s="20"/>
      <x:c r="F29" s="20"/>
      <x:c r="G29" s="20"/>
      <x:c r="H29" s="20"/>
    </x:row>
    <x:row r="30">
      <x:c r="A30" s="20"/>
      <x:c r="B30" s="20"/>
      <x:c r="C30" s="20"/>
      <x:c r="D30" s="20"/>
      <x:c r="E30" s="20"/>
      <x:c r="F30" s="20"/>
      <x:c r="G30" s="20"/>
      <x:c r="H30" s="20"/>
    </x:row>
    <x:row r="31">
      <x:c r="A31" s="20"/>
      <x:c r="B31" s="20"/>
      <x:c r="C31" s="20"/>
      <x:c r="D31" s="20"/>
      <x:c r="E31" s="20"/>
      <x:c r="F31" s="20"/>
      <x:c r="G31" s="20"/>
      <x:c r="H31" s="20"/>
    </x:row>
    <x:row r="32">
      <x:c r="A32" s="20"/>
      <x:c r="B32" s="20"/>
      <x:c r="C32" s="20"/>
      <x:c r="D32" s="20"/>
      <x:c r="E32" s="20"/>
      <x:c r="F32" s="20"/>
      <x:c r="G32" s="20"/>
      <x:c r="H32" s="20"/>
    </x:row>
    <x:row r="33">
      <x:c r="A33" s="20"/>
      <x:c r="B33" s="20"/>
      <x:c r="C33" s="20"/>
      <x:c r="D33" s="20"/>
      <x:c r="E33" s="20"/>
      <x:c r="F33" s="20"/>
      <x:c r="G33" s="20"/>
      <x:c r="H33" s="20"/>
    </x:row>
    <x:row r="34">
      <x:c r="A34" s="20"/>
      <x:c r="B34" s="20"/>
      <x:c r="C34" s="20"/>
      <x:c r="D34" s="20"/>
      <x:c r="E34" s="20"/>
      <x:c r="F34" s="20"/>
      <x:c r="G34" s="20"/>
      <x:c r="H34" s="20"/>
    </x:row>
    <x:row r="35">
      <x:c r="A35" s="20"/>
      <x:c r="B35" s="20"/>
      <x:c r="C35" s="20"/>
      <x:c r="D35" s="20"/>
      <x:c r="E35" s="20"/>
      <x:c r="F35" s="20"/>
      <x:c r="G35" s="20"/>
      <x:c r="H35" s="20"/>
    </x:row>
    <x:row r="36">
      <x:c r="A36" s="20"/>
      <x:c r="B36" s="20"/>
      <x:c r="C36" s="20"/>
      <x:c r="D36" s="20"/>
      <x:c r="E36" s="20"/>
      <x:c r="F36" s="20"/>
      <x:c r="G36" s="20"/>
      <x:c r="H36" s="20"/>
    </x:row>
    <x:row r="37">
      <x:c r="A37" s="20"/>
      <x:c r="B37" s="20"/>
      <x:c r="C37" s="20"/>
      <x:c r="D37" s="20"/>
      <x:c r="E37" s="20"/>
      <x:c r="F37" s="20"/>
      <x:c r="G37" s="20"/>
      <x:c r="H37" s="20"/>
    </x:row>
    <x:row r="38">
      <x:c r="A38" s="20"/>
      <x:c r="B38" s="20"/>
      <x:c r="C38" s="20"/>
      <x:c r="D38" s="20"/>
      <x:c r="E38" s="20"/>
      <x:c r="F38" s="20"/>
      <x:c r="G38" s="20"/>
      <x:c r="H38" s="20"/>
    </x:row>
    <x:row r="39">
      <x:c r="A39" s="20"/>
      <x:c r="B39" s="20"/>
      <x:c r="C39" s="20"/>
      <x:c r="D39" s="20"/>
      <x:c r="E39" s="20"/>
      <x:c r="F39" s="20"/>
      <x:c r="G39" s="20"/>
      <x:c r="H39" s="20"/>
    </x:row>
    <x:row r="40">
      <x:c r="A40" s="20"/>
      <x:c r="B40" s="20"/>
      <x:c r="C40" s="20"/>
      <x:c r="D40" s="20"/>
      <x:c r="E40" s="20"/>
      <x:c r="F40" s="20"/>
      <x:c r="G40" s="20"/>
      <x:c r="H40" s="20"/>
    </x:row>
    <x:row r="41">
      <x:c r="A41" s="20"/>
      <x:c r="B41" s="20"/>
      <x:c r="C41" s="20"/>
      <x:c r="D41" s="20"/>
      <x:c r="E41" s="20"/>
      <x:c r="F41" s="20"/>
      <x:c r="G41" s="20"/>
      <x:c r="H41" s="20"/>
    </x:row>
    <x:row r="42">
      <x:c r="A42" s="20"/>
      <x:c r="B42" s="20"/>
      <x:c r="C42" s="20"/>
      <x:c r="D42" s="20"/>
      <x:c r="E42" s="20"/>
      <x:c r="F42" s="20"/>
      <x:c r="G42" s="20"/>
      <x:c r="H42" s="20"/>
    </x:row>
    <x:row r="43">
      <x:c r="A43" s="20"/>
      <x:c r="B43" s="20"/>
      <x:c r="C43" s="20"/>
      <x:c r="D43" s="20"/>
      <x:c r="E43" s="20"/>
      <x:c r="F43" s="20"/>
      <x:c r="G43" s="20"/>
      <x:c r="H43" s="20"/>
    </x:row>
    <x:row r="44">
      <x:c r="A44" s="20"/>
      <x:c r="B44" s="20"/>
      <x:c r="C44" s="20"/>
      <x:c r="D44" s="20"/>
      <x:c r="E44" s="20"/>
      <x:c r="F44" s="20"/>
      <x:c r="G44" s="20"/>
      <x:c r="H44" s="20"/>
    </x:row>
    <x:row r="45">
      <x:c r="A45" s="20"/>
      <x:c r="B45" s="20"/>
      <x:c r="C45" s="20"/>
      <x:c r="D45" s="20"/>
      <x:c r="E45" s="20"/>
      <x:c r="F45" s="20"/>
      <x:c r="G45" s="20"/>
      <x:c r="H45" s="20"/>
    </x:row>
    <x:row r="46">
      <x:c r="A46" s="20"/>
      <x:c r="B46" s="20"/>
      <x:c r="C46" s="20"/>
      <x:c r="D46" s="20"/>
      <x:c r="E46" s="20"/>
      <x:c r="F46" s="20"/>
      <x:c r="G46" s="20"/>
      <x:c r="H46" s="20"/>
    </x:row>
    <x:row r="47">
      <x:c r="A47" s="20"/>
      <x:c r="B47" s="20"/>
      <x:c r="C47" s="20"/>
      <x:c r="D47" s="20"/>
      <x:c r="E47" s="20"/>
      <x:c r="F47" s="20"/>
      <x:c r="G47" s="20"/>
      <x:c r="H47" s="20"/>
    </x:row>
    <x:row r="48">
      <x:c r="A48" s="20"/>
      <x:c r="B48" s="20"/>
      <x:c r="C48" s="20"/>
      <x:c r="D48" s="20"/>
      <x:c r="E48" s="20"/>
      <x:c r="F48" s="20"/>
      <x:c r="G48" s="20"/>
      <x:c r="H48" s="20"/>
    </x:row>
    <x:row r="49">
      <x:c r="A49" s="20"/>
      <x:c r="B49" s="20"/>
      <x:c r="C49" s="20"/>
      <x:c r="D49" s="20"/>
      <x:c r="E49" s="20"/>
      <x:c r="F49" s="20"/>
      <x:c r="G49" s="20"/>
      <x:c r="H49" s="20"/>
    </x:row>
    <x:row r="50">
      <x:c r="A50" s="20"/>
      <x:c r="B50" s="20"/>
      <x:c r="C50" s="20"/>
      <x:c r="D50" s="20"/>
      <x:c r="E50" s="20"/>
      <x:c r="F50" s="20"/>
      <x:c r="G50" s="20"/>
      <x:c r="H50" s="20"/>
    </x:row>
    <x:row r="51">
      <x:c r="A51" s="20"/>
      <x:c r="B51" s="20"/>
      <x:c r="C51" s="20"/>
      <x:c r="D51" s="20"/>
      <x:c r="E51" s="20"/>
      <x:c r="F51" s="20"/>
      <x:c r="G51" s="20"/>
      <x:c r="H51" s="20"/>
    </x:row>
    <x:row r="52">
      <x:c r="A52" s="20"/>
      <x:c r="B52" s="20"/>
      <x:c r="C52" s="20"/>
      <x:c r="D52" s="20"/>
      <x:c r="E52" s="20"/>
      <x:c r="F52" s="20"/>
      <x:c r="G52" s="20"/>
      <x:c r="H52" s="20"/>
    </x:row>
    <x:row r="53">
      <x:c r="A53" s="20"/>
      <x:c r="B53" s="20"/>
      <x:c r="C53" s="20"/>
      <x:c r="D53" s="20"/>
      <x:c r="E53" s="20"/>
      <x:c r="F53" s="20"/>
      <x:c r="G53" s="20"/>
      <x:c r="H53" s="20"/>
    </x:row>
    <x:row r="54">
      <x:c r="A54" s="20"/>
      <x:c r="B54" s="20"/>
      <x:c r="C54" s="20"/>
      <x:c r="D54" s="20"/>
      <x:c r="E54" s="20"/>
      <x:c r="F54" s="20"/>
      <x:c r="G54" s="20"/>
      <x:c r="H54" s="20"/>
    </x:row>
    <x:row r="55">
      <x:c r="A55" s="20"/>
      <x:c r="B55" s="20"/>
      <x:c r="C55" s="20"/>
      <x:c r="D55" s="20"/>
      <x:c r="E55" s="20"/>
      <x:c r="F55" s="20"/>
      <x:c r="G55" s="20"/>
      <x:c r="H55" s="20"/>
    </x:row>
    <x:row r="56">
      <x:c r="A56" s="20"/>
      <x:c r="B56" s="20"/>
      <x:c r="C56" s="20"/>
      <x:c r="D56" s="20"/>
      <x:c r="E56" s="20"/>
      <x:c r="F56" s="20"/>
      <x:c r="G56" s="20"/>
      <x:c r="H56" s="20"/>
    </x:row>
    <x:row r="57">
      <x:c r="A57" s="20"/>
      <x:c r="B57" s="20"/>
      <x:c r="C57" s="20"/>
      <x:c r="D57" s="20"/>
      <x:c r="E57" s="20"/>
      <x:c r="F57" s="20"/>
      <x:c r="G57" s="20"/>
      <x:c r="H57" s="20"/>
    </x:row>
    <x:row r="58">
      <x:c r="A58" s="20"/>
      <x:c r="B58" s="20"/>
      <x:c r="C58" s="20"/>
      <x:c r="D58" s="20"/>
      <x:c r="E58" s="20"/>
      <x:c r="F58" s="20"/>
      <x:c r="G58" s="20"/>
      <x:c r="H58" s="20"/>
    </x:row>
    <x:row r="59">
      <x:c r="A59" s="20"/>
      <x:c r="B59" s="20"/>
      <x:c r="C59" s="20"/>
      <x:c r="D59" s="20"/>
      <x:c r="E59" s="20"/>
      <x:c r="F59" s="20"/>
      <x:c r="G59" s="20"/>
      <x:c r="H59" s="20"/>
    </x:row>
    <x:row r="60">
      <x:c r="A60" s="20"/>
      <x:c r="B60" s="20"/>
      <x:c r="C60" s="20"/>
      <x:c r="D60" s="20"/>
      <x:c r="E60" s="20"/>
      <x:c r="F60" s="20"/>
      <x:c r="G60" s="20"/>
      <x:c r="H60" s="20"/>
    </x:row>
    <x:row r="61">
      <x:c r="A61" s="20"/>
      <x:c r="B61" s="20"/>
      <x:c r="C61" s="20"/>
      <x:c r="D61" s="20"/>
      <x:c r="E61" s="20"/>
      <x:c r="F61" s="20"/>
      <x:c r="G61" s="20"/>
      <x:c r="H61" s="20"/>
    </x:row>
    <x:row r="62">
      <x:c r="A62" s="20"/>
      <x:c r="B62" s="20"/>
      <x:c r="C62" s="20"/>
      <x:c r="D62" s="20"/>
      <x:c r="E62" s="20"/>
      <x:c r="F62" s="20"/>
      <x:c r="G62" s="20"/>
      <x:c r="H62" s="20"/>
    </x:row>
    <x:row r="63">
      <x:c r="A63" s="20"/>
      <x:c r="B63" s="20"/>
      <x:c r="C63" s="20"/>
      <x:c r="D63" s="20"/>
      <x:c r="E63" s="20"/>
      <x:c r="F63" s="20"/>
      <x:c r="G63" s="20"/>
      <x:c r="H63" s="20"/>
    </x:row>
    <x:row r="64">
      <x:c r="A64" s="20"/>
      <x:c r="B64" s="20"/>
      <x:c r="C64" s="20"/>
      <x:c r="D64" s="20"/>
      <x:c r="E64" s="20"/>
      <x:c r="F64" s="20"/>
      <x:c r="G64" s="20"/>
      <x:c r="H64" s="20"/>
    </x:row>
    <x:row r="65">
      <x:c r="A65" s="20"/>
      <x:c r="B65" s="20"/>
      <x:c r="C65" s="20"/>
      <x:c r="D65" s="20"/>
      <x:c r="E65" s="20"/>
      <x:c r="F65" s="20"/>
      <x:c r="G65" s="20"/>
      <x:c r="H65" s="20"/>
    </x:row>
    <x:row r="66">
      <x:c r="A66" s="20"/>
      <x:c r="B66" s="20"/>
      <x:c r="C66" s="20"/>
      <x:c r="D66" s="20"/>
      <x:c r="E66" s="20"/>
      <x:c r="F66" s="20"/>
      <x:c r="G66" s="20"/>
      <x:c r="H66" s="20"/>
    </x:row>
    <x:row r="67">
      <x:c r="A67" s="20"/>
      <x:c r="B67" s="20"/>
      <x:c r="C67" s="20"/>
      <x:c r="D67" s="20"/>
      <x:c r="E67" s="20"/>
      <x:c r="F67" s="20"/>
      <x:c r="G67" s="20"/>
      <x:c r="H67" s="20"/>
    </x:row>
    <x:row r="68">
      <x:c r="A68" s="20"/>
      <x:c r="B68" s="20"/>
      <x:c r="C68" s="20"/>
      <x:c r="D68" s="20"/>
      <x:c r="E68" s="20"/>
      <x:c r="F68" s="20"/>
      <x:c r="G68" s="20"/>
      <x:c r="H68" s="20"/>
    </x:row>
    <x:row r="69">
      <x:c r="A69" s="20"/>
      <x:c r="B69" s="20"/>
      <x:c r="C69" s="20"/>
      <x:c r="D69" s="20"/>
      <x:c r="E69" s="20"/>
      <x:c r="F69" s="20"/>
      <x:c r="G69" s="20"/>
      <x:c r="H69" s="20"/>
    </x:row>
    <x:row r="70">
      <x:c r="A70" s="20"/>
      <x:c r="B70" s="20"/>
      <x:c r="C70" s="20"/>
      <x:c r="D70" s="20"/>
      <x:c r="E70" s="20"/>
      <x:c r="F70" s="20"/>
      <x:c r="G70" s="20"/>
      <x:c r="H70" s="20"/>
    </x:row>
    <x:row r="71">
      <x:c r="A71" s="20"/>
      <x:c r="B71" s="20"/>
      <x:c r="C71" s="20"/>
      <x:c r="D71" s="20"/>
      <x:c r="E71" s="20"/>
      <x:c r="F71" s="20"/>
      <x:c r="G71" s="20"/>
      <x:c r="H71" s="20"/>
    </x:row>
    <x:row r="72">
      <x:c r="A72" s="20"/>
      <x:c r="B72" s="20"/>
      <x:c r="C72" s="20"/>
      <x:c r="D72" s="20"/>
      <x:c r="E72" s="20"/>
      <x:c r="F72" s="20"/>
      <x:c r="G72" s="20"/>
      <x:c r="H72" s="20"/>
    </x:row>
    <x:row r="73">
      <x:c r="A73" s="20"/>
      <x:c r="B73" s="20"/>
      <x:c r="C73" s="20"/>
      <x:c r="D73" s="20"/>
      <x:c r="E73" s="20"/>
      <x:c r="F73" s="20"/>
      <x:c r="G73" s="20"/>
      <x:c r="H73" s="20"/>
    </x:row>
    <x:row r="74">
      <x:c r="A74" s="20"/>
      <x:c r="B74" s="20"/>
      <x:c r="C74" s="20"/>
      <x:c r="D74" s="20"/>
      <x:c r="E74" s="20"/>
      <x:c r="F74" s="20"/>
      <x:c r="G74" s="20"/>
      <x:c r="H74" s="20"/>
    </x:row>
    <x:row r="75">
      <x:c r="A75" s="20"/>
      <x:c r="B75" s="20"/>
      <x:c r="C75" s="20"/>
      <x:c r="D75" s="20"/>
      <x:c r="E75" s="20"/>
      <x:c r="F75" s="20"/>
      <x:c r="G75" s="20"/>
      <x:c r="H75" s="20"/>
    </x:row>
    <x:row r="76">
      <x:c r="A76" s="20"/>
      <x:c r="B76" s="20"/>
      <x:c r="C76" s="20"/>
      <x:c r="D76" s="20"/>
      <x:c r="E76" s="20"/>
      <x:c r="F76" s="20"/>
      <x:c r="G76" s="20"/>
      <x:c r="H76" s="20"/>
    </x:row>
    <x:row r="77">
      <x:c r="A77" s="20"/>
      <x:c r="B77" s="20"/>
      <x:c r="C77" s="20"/>
      <x:c r="D77" s="20"/>
      <x:c r="E77" s="20"/>
      <x:c r="F77" s="20"/>
      <x:c r="G77" s="20"/>
      <x:c r="H77" s="20"/>
    </x:row>
    <x:row r="78">
      <x:c r="A78" s="20"/>
      <x:c r="B78" s="20"/>
      <x:c r="C78" s="20"/>
      <x:c r="D78" s="20"/>
      <x:c r="E78" s="20"/>
      <x:c r="F78" s="20"/>
      <x:c r="G78" s="20"/>
      <x:c r="H78" s="20"/>
    </x:row>
    <x:row r="79">
      <x:c r="A79" s="20"/>
      <x:c r="B79" s="20"/>
      <x:c r="C79" s="20"/>
      <x:c r="D79" s="20"/>
      <x:c r="E79" s="20"/>
      <x:c r="F79" s="20"/>
      <x:c r="G79" s="20"/>
      <x:c r="H79" s="20"/>
    </x:row>
    <x:row r="80">
      <x:c r="A80" s="20"/>
      <x:c r="B80" s="20"/>
      <x:c r="C80" s="20"/>
      <x:c r="D80" s="20"/>
      <x:c r="E80" s="20"/>
      <x:c r="F80" s="20"/>
      <x:c r="G80" s="20"/>
      <x:c r="H80" s="20"/>
    </x:row>
  </x:sheetData>
  <x:mergeCells>
    <x:mergeCell ref="A1:H1"/>
    <x:mergeCell ref="A9:H9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8" hidden="0" customWidth="1"/>
    <x:col min="5" max="5" width="48" hidden="0" customWidth="1"/>
    <x:col min="6" max="6" width="20" hidden="0" customWidth="1"/>
    <x:col min="7" max="7" width="22" hidden="0" customWidth="1"/>
    <x:col min="8" max="8" width="28" hidden="0" customWidth="1"/>
  </x:cols>
  <x:sheetData>
    <x:row r="1" ht="24" customHeight="1">
      <x:c r="A1" s="142" t="str">
        <x:v>Packs</x:v>
      </x:c>
      <x:c r="B1" s="142"/>
      <x:c r="C1" s="142"/>
      <x:c r="D1" s="142"/>
      <x:c r="E1" s="142"/>
      <x:c r="F1" s="142"/>
      <x:c r="G1" s="142"/>
      <x:c r="H1" s="142"/>
    </x:row>
    <x:row r="2" ht="30" customHeight="1">
      <x:c r="A2" s="143" t="str">
        <x:v>Pack</x:v>
      </x:c>
      <x:c r="B2" s="143" t="str">
        <x:v>USD Ref Price</x:v>
      </x:c>
      <x:c r="C2" s="143" t="str">
        <x:v>PLOT Ref Price</x:v>
      </x:c>
      <x:c r="D2" s="143" t="str">
        <x:v>Calculated PLOT</x:v>
      </x:c>
      <x:c r="E2" s="143" t="str">
        <x:v>Guaranteed Contents</x:v>
      </x:c>
      <x:c r="F2" s="143" t="str">
        <x:v>Purchase Limit</x:v>
      </x:c>
      <x:c r="G2" s="143" t="str">
        <x:v>Audience</x:v>
      </x:c>
      <x:c r="H2" s="143" t="str">
        <x:v>Design Role</x:v>
      </x:c>
    </x:row>
    <x:row r="3">
      <x:c r="A3" s="20" t="str">
        <x:v>Starter Expansion Pack</x:v>
      </x:c>
      <x:c r="B3" s="104" t="n">
        <x:v>4.99</x:v>
      </x:c>
      <x:c r="C3" s="105" t="n">
        <x:f>Assumptions!B5</x:f>
        <x:v>0.015</x:v>
      </x:c>
      <x:c r="D3" s="106" t="n">
        <x:f>B3/C3</x:f>
        <x:v>332.6666666666667</x:v>
      </x:c>
      <x:c r="E3" s="20" t="str">
        <x:v>10,000 Cash; 2 Market Hunt Tickets; 15 Module Shards; 1 minor boost</x:v>
      </x:c>
      <x:c r="F3" s="20" t="str">
        <x:v>1/account</x:v>
      </x:c>
      <x:c r="G3" s="20" t="str">
        <x:v>New player</x:v>
      </x:c>
      <x:c r="H3" s="20" t="str">
        <x:v>Early convenience, not permanent advantage</x:v>
      </x:c>
    </x:row>
    <x:row r="4">
      <x:c r="A4" s="20" t="str">
        <x:v>Investor Pack</x:v>
      </x:c>
      <x:c r="B4" s="104" t="n">
        <x:v>9.99</x:v>
      </x:c>
      <x:c r="C4" s="105" t="n">
        <x:f>Assumptions!B5</x:f>
        <x:v>0.015</x:v>
      </x:c>
      <x:c r="D4" s="106" t="n">
        <x:f>B4/C4</x:f>
        <x:v>666</x:v>
      </x:c>
      <x:c r="E4" s="20" t="str">
        <x:v>30,000 Cash; 4 Market Hunt Tickets; 1 Rare Module; 2 Opportunity Rerolls</x:v>
      </x:c>
      <x:c r="F4" s="20" t="str">
        <x:v>2/season</x:v>
      </x:c>
      <x:c r="G4" s="20" t="str">
        <x:v>Growing player</x:v>
      </x:c>
      <x:c r="H4" s="20" t="str">
        <x:v>Broad utility</x:v>
      </x:c>
    </x:row>
    <x:row r="5">
      <x:c r="A5" s="20" t="str">
        <x:v>Executive Pack</x:v>
      </x:c>
      <x:c r="B5" s="104" t="n">
        <x:v>19.99</x:v>
      </x:c>
      <x:c r="C5" s="105" t="n">
        <x:f>Assumptions!B5</x:f>
        <x:v>0.015</x:v>
      </x:c>
      <x:c r="D5" s="106" t="n">
        <x:f>B5/C5</x:f>
        <x:v>1332.6666666666665</x:v>
      </x:c>
      <x:c r="E5" s="20" t="str">
        <x:v>75,000 Cash; 1 Rare Module; 2 Precision Components; 4 boosts; cosmetic token</x:v>
      </x:c>
      <x:c r="F5" s="20" t="str">
        <x:v>2/season</x:v>
      </x:c>
      <x:c r="G5" s="20" t="str">
        <x:v>Mid-game</x:v>
      </x:c>
      <x:c r="H5" s="20" t="str">
        <x:v>Progression + cosmetic</x:v>
      </x:c>
    </x:row>
    <x:row r="6">
      <x:c r="A6" s="20" t="str">
        <x:v>Tycoon Pack</x:v>
      </x:c>
      <x:c r="B6" s="104" t="n">
        <x:v>49.99</x:v>
      </x:c>
      <x:c r="C6" s="105" t="n">
        <x:f>Assumptions!B5</x:f>
        <x:v>0.015</x:v>
      </x:c>
      <x:c r="D6" s="106" t="n">
        <x:f>B6/C6</x:f>
        <x:v>3332.666666666667</x:v>
      </x:c>
      <x:c r="E6" s="20" t="str">
        <x:v>175,000 Cash; 1 Epic Module; 2 Rare Modules; 1 Prime Permit; exclusive cosmetic</x:v>
      </x:c>
      <x:c r="F6" s="20" t="str">
        <x:v>1/season</x:v>
      </x:c>
      <x:c r="G6" s="20" t="str">
        <x:v>Late-game</x:v>
      </x:c>
      <x:c r="H6" s="20" t="str">
        <x:v>High-value deterministic bundle</x:v>
      </x:c>
    </x:row>
    <x:row r="7">
      <x:c r="A7" s="20" t="str">
        <x:v>Season Launch Pack</x:v>
      </x:c>
      <x:c r="B7" s="104" t="n">
        <x:v>14.99</x:v>
      </x:c>
      <x:c r="C7" s="105" t="n">
        <x:f>Assumptions!B5</x:f>
        <x:v>0.015</x:v>
      </x:c>
      <x:c r="D7" s="106" t="n">
        <x:f>B7/C7</x:f>
        <x:v>999.3333333333334</x:v>
      </x:c>
      <x:c r="E7" s="20" t="str">
        <x:v>Season cosmetic; 3 Event Keys; 30 shards; 3 Market Hunt Tickets</x:v>
      </x:c>
      <x:c r="F7" s="20" t="str">
        <x:v>1/season</x:v>
      </x:c>
      <x:c r="G7" s="20" t="str">
        <x:v>All</x:v>
      </x:c>
      <x:c r="H7" s="20" t="str">
        <x:v>Season kickoff</x:v>
      </x:c>
    </x:row>
    <x:row r="8">
      <x:c r="A8" s="20"/>
      <x:c r="B8" s="20"/>
      <x:c r="C8" s="20"/>
      <x:c r="D8" s="20"/>
      <x:c r="E8" s="20"/>
      <x:c r="F8" s="20"/>
      <x:c r="G8" s="20"/>
      <x:c r="H8" s="20"/>
    </x:row>
    <x:row r="9">
      <x:c r="A9" s="144" t="str">
        <x:v>Store pricing rule</x:v>
      </x:c>
      <x:c r="B9" s="144"/>
      <x:c r="C9" s="144"/>
      <x:c r="D9" s="144"/>
      <x:c r="E9" s="144"/>
      <x:c r="F9" s="144"/>
      <x:c r="G9" s="144"/>
      <x:c r="H9" s="144"/>
    </x:row>
    <x:row r="10">
      <x:c r="A10" s="143" t="str">
        <x:v>Rule</x:v>
      </x:c>
      <x:c r="B10" s="143" t="str">
        <x:v>Implementation</x:v>
      </x:c>
      <x:c r="C10" s="20"/>
      <x:c r="D10" s="20"/>
      <x:c r="E10" s="20"/>
      <x:c r="F10" s="20"/>
      <x:c r="G10" s="20"/>
      <x:c r="H10" s="20"/>
    </x:row>
    <x:row r="11">
      <x:c r="A11" s="20" t="str">
        <x:v>USD-equivalent anchor</x:v>
      </x:c>
      <x:c r="B11" s="20" t="str">
        <x:v>Each pack has a reference USD value; player pays the current/reference-equivalent amount of $PLOT.</x:v>
      </x:c>
      <x:c r="C11" s="20"/>
      <x:c r="D11" s="20"/>
      <x:c r="E11" s="20"/>
      <x:c r="F11" s="20"/>
      <x:c r="G11" s="20"/>
      <x:c r="H11" s="20"/>
    </x:row>
    <x:row r="12">
      <x:c r="A12" s="20" t="str">
        <x:v>Repricing</x:v>
      </x:c>
      <x:c r="B12" s="20" t="str">
        <x:v>Refresh quoted $PLOT when price movement exceeds configured threshold or at scheduled store refresh.</x:v>
      </x:c>
      <x:c r="C12" s="20"/>
      <x:c r="D12" s="20"/>
      <x:c r="E12" s="20"/>
      <x:c r="F12" s="20"/>
      <x:c r="G12" s="20"/>
      <x:c r="H12" s="20"/>
    </x:row>
    <x:row r="13">
      <x:c r="A13" s="20" t="str">
        <x:v>Price protection</x:v>
      </x:c>
      <x:c r="B13" s="20" t="str">
        <x:v>Use a short quote expiry to prevent stale token prices.</x:v>
      </x:c>
      <x:c r="C13" s="20"/>
      <x:c r="D13" s="20"/>
      <x:c r="E13" s="20"/>
      <x:c r="F13" s="20"/>
      <x:c r="G13" s="20"/>
      <x:c r="H13" s="20"/>
    </x:row>
    <x:row r="14">
      <x:c r="A14" s="20"/>
      <x:c r="B14" s="20"/>
      <x:c r="C14" s="20"/>
      <x:c r="D14" s="20"/>
      <x:c r="E14" s="20"/>
      <x:c r="F14" s="20"/>
      <x:c r="G14" s="20"/>
      <x:c r="H14" s="20"/>
    </x:row>
    <x:row r="15">
      <x:c r="A15" s="20"/>
      <x:c r="B15" s="20"/>
      <x:c r="C15" s="20"/>
      <x:c r="D15" s="20"/>
      <x:c r="E15" s="20"/>
      <x:c r="F15" s="20"/>
      <x:c r="G15" s="20"/>
      <x:c r="H15" s="20"/>
    </x:row>
    <x:row r="16">
      <x:c r="A16" s="20"/>
      <x:c r="B16" s="20"/>
      <x:c r="C16" s="20"/>
      <x:c r="D16" s="20"/>
      <x:c r="E16" s="20"/>
      <x:c r="F16" s="20"/>
      <x:c r="G16" s="20"/>
      <x:c r="H16" s="20"/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  <x:row r="21">
      <x:c r="A21" s="20"/>
      <x:c r="B21" s="20"/>
      <x:c r="C21" s="20"/>
      <x:c r="D21" s="20"/>
      <x:c r="E21" s="20"/>
      <x:c r="F21" s="20"/>
      <x:c r="G21" s="20"/>
      <x:c r="H21" s="20"/>
    </x:row>
    <x:row r="22">
      <x:c r="A22" s="20"/>
      <x:c r="B22" s="20"/>
      <x:c r="C22" s="20"/>
      <x:c r="D22" s="20"/>
      <x:c r="E22" s="20"/>
      <x:c r="F22" s="20"/>
      <x:c r="G22" s="20"/>
      <x:c r="H22" s="20"/>
    </x:row>
    <x:row r="23">
      <x:c r="A23" s="20"/>
      <x:c r="B23" s="20"/>
      <x:c r="C23" s="20"/>
      <x:c r="D23" s="20"/>
      <x:c r="E23" s="20"/>
      <x:c r="F23" s="20"/>
      <x:c r="G23" s="20"/>
      <x:c r="H23" s="20"/>
    </x:row>
    <x:row r="24">
      <x:c r="A24" s="20"/>
      <x:c r="B24" s="20"/>
      <x:c r="C24" s="20"/>
      <x:c r="D24" s="20"/>
      <x:c r="E24" s="20"/>
      <x:c r="F24" s="20"/>
      <x:c r="G24" s="20"/>
      <x:c r="H24" s="20"/>
    </x:row>
    <x:row r="25">
      <x:c r="A25" s="20"/>
      <x:c r="B25" s="20"/>
      <x:c r="C25" s="20"/>
      <x:c r="D25" s="20"/>
      <x:c r="E25" s="20"/>
      <x:c r="F25" s="20"/>
      <x:c r="G25" s="20"/>
      <x:c r="H25" s="20"/>
    </x:row>
    <x:row r="26">
      <x:c r="A26" s="20"/>
      <x:c r="B26" s="20"/>
      <x:c r="C26" s="20"/>
      <x:c r="D26" s="20"/>
      <x:c r="E26" s="20"/>
      <x:c r="F26" s="20"/>
      <x:c r="G26" s="20"/>
      <x:c r="H26" s="20"/>
    </x:row>
    <x:row r="27">
      <x:c r="A27" s="20"/>
      <x:c r="B27" s="20"/>
      <x:c r="C27" s="20"/>
      <x:c r="D27" s="20"/>
      <x:c r="E27" s="20"/>
      <x:c r="F27" s="20"/>
      <x:c r="G27" s="20"/>
      <x:c r="H27" s="20"/>
    </x:row>
    <x:row r="28">
      <x:c r="A28" s="20"/>
      <x:c r="B28" s="20"/>
      <x:c r="C28" s="20"/>
      <x:c r="D28" s="20"/>
      <x:c r="E28" s="20"/>
      <x:c r="F28" s="20"/>
      <x:c r="G28" s="20"/>
      <x:c r="H28" s="20"/>
    </x:row>
    <x:row r="29">
      <x:c r="A29" s="20"/>
      <x:c r="B29" s="20"/>
      <x:c r="C29" s="20"/>
      <x:c r="D29" s="20"/>
      <x:c r="E29" s="20"/>
      <x:c r="F29" s="20"/>
      <x:c r="G29" s="20"/>
      <x:c r="H29" s="20"/>
    </x:row>
    <x:row r="30">
      <x:c r="A30" s="20"/>
      <x:c r="B30" s="20"/>
      <x:c r="C30" s="20"/>
      <x:c r="D30" s="20"/>
      <x:c r="E30" s="20"/>
      <x:c r="F30" s="20"/>
      <x:c r="G30" s="20"/>
      <x:c r="H30" s="20"/>
    </x:row>
    <x:row r="31">
      <x:c r="A31" s="20"/>
      <x:c r="B31" s="20"/>
      <x:c r="C31" s="20"/>
      <x:c r="D31" s="20"/>
      <x:c r="E31" s="20"/>
      <x:c r="F31" s="20"/>
      <x:c r="G31" s="20"/>
      <x:c r="H31" s="20"/>
    </x:row>
    <x:row r="32">
      <x:c r="A32" s="20"/>
      <x:c r="B32" s="20"/>
      <x:c r="C32" s="20"/>
      <x:c r="D32" s="20"/>
      <x:c r="E32" s="20"/>
      <x:c r="F32" s="20"/>
      <x:c r="G32" s="20"/>
      <x:c r="H32" s="20"/>
    </x:row>
    <x:row r="33">
      <x:c r="A33" s="20"/>
      <x:c r="B33" s="20"/>
      <x:c r="C33" s="20"/>
      <x:c r="D33" s="20"/>
      <x:c r="E33" s="20"/>
      <x:c r="F33" s="20"/>
      <x:c r="G33" s="20"/>
      <x:c r="H33" s="20"/>
    </x:row>
    <x:row r="34">
      <x:c r="A34" s="20"/>
      <x:c r="B34" s="20"/>
      <x:c r="C34" s="20"/>
      <x:c r="D34" s="20"/>
      <x:c r="E34" s="20"/>
      <x:c r="F34" s="20"/>
      <x:c r="G34" s="20"/>
      <x:c r="H34" s="20"/>
    </x:row>
    <x:row r="35">
      <x:c r="A35" s="20"/>
      <x:c r="B35" s="20"/>
      <x:c r="C35" s="20"/>
      <x:c r="D35" s="20"/>
      <x:c r="E35" s="20"/>
      <x:c r="F35" s="20"/>
      <x:c r="G35" s="20"/>
      <x:c r="H35" s="20"/>
    </x:row>
    <x:row r="36">
      <x:c r="A36" s="20"/>
      <x:c r="B36" s="20"/>
      <x:c r="C36" s="20"/>
      <x:c r="D36" s="20"/>
      <x:c r="E36" s="20"/>
      <x:c r="F36" s="20"/>
      <x:c r="G36" s="20"/>
      <x:c r="H36" s="20"/>
    </x:row>
    <x:row r="37">
      <x:c r="A37" s="20"/>
      <x:c r="B37" s="20"/>
      <x:c r="C37" s="20"/>
      <x:c r="D37" s="20"/>
      <x:c r="E37" s="20"/>
      <x:c r="F37" s="20"/>
      <x:c r="G37" s="20"/>
      <x:c r="H37" s="20"/>
    </x:row>
    <x:row r="38">
      <x:c r="A38" s="20"/>
      <x:c r="B38" s="20"/>
      <x:c r="C38" s="20"/>
      <x:c r="D38" s="20"/>
      <x:c r="E38" s="20"/>
      <x:c r="F38" s="20"/>
      <x:c r="G38" s="20"/>
      <x:c r="H38" s="20"/>
    </x:row>
    <x:row r="39">
      <x:c r="A39" s="20"/>
      <x:c r="B39" s="20"/>
      <x:c r="C39" s="20"/>
      <x:c r="D39" s="20"/>
      <x:c r="E39" s="20"/>
      <x:c r="F39" s="20"/>
      <x:c r="G39" s="20"/>
      <x:c r="H39" s="20"/>
    </x:row>
    <x:row r="40">
      <x:c r="A40" s="20"/>
      <x:c r="B40" s="20"/>
      <x:c r="C40" s="20"/>
      <x:c r="D40" s="20"/>
      <x:c r="E40" s="20"/>
      <x:c r="F40" s="20"/>
      <x:c r="G40" s="20"/>
      <x:c r="H40" s="20"/>
    </x:row>
    <x:row r="41">
      <x:c r="A41" s="20"/>
      <x:c r="B41" s="20"/>
      <x:c r="C41" s="20"/>
      <x:c r="D41" s="20"/>
      <x:c r="E41" s="20"/>
      <x:c r="F41" s="20"/>
      <x:c r="G41" s="20"/>
      <x:c r="H41" s="20"/>
    </x:row>
    <x:row r="42">
      <x:c r="A42" s="20"/>
      <x:c r="B42" s="20"/>
      <x:c r="C42" s="20"/>
      <x:c r="D42" s="20"/>
      <x:c r="E42" s="20"/>
      <x:c r="F42" s="20"/>
      <x:c r="G42" s="20"/>
      <x:c r="H42" s="20"/>
    </x:row>
    <x:row r="43">
      <x:c r="A43" s="20"/>
      <x:c r="B43" s="20"/>
      <x:c r="C43" s="20"/>
      <x:c r="D43" s="20"/>
      <x:c r="E43" s="20"/>
      <x:c r="F43" s="20"/>
      <x:c r="G43" s="20"/>
      <x:c r="H43" s="20"/>
    </x:row>
    <x:row r="44">
      <x:c r="A44" s="20"/>
      <x:c r="B44" s="20"/>
      <x:c r="C44" s="20"/>
      <x:c r="D44" s="20"/>
      <x:c r="E44" s="20"/>
      <x:c r="F44" s="20"/>
      <x:c r="G44" s="20"/>
      <x:c r="H44" s="20"/>
    </x:row>
    <x:row r="45">
      <x:c r="A45" s="20"/>
      <x:c r="B45" s="20"/>
      <x:c r="C45" s="20"/>
      <x:c r="D45" s="20"/>
      <x:c r="E45" s="20"/>
      <x:c r="F45" s="20"/>
      <x:c r="G45" s="20"/>
      <x:c r="H45" s="20"/>
    </x:row>
    <x:row r="46">
      <x:c r="A46" s="20"/>
      <x:c r="B46" s="20"/>
      <x:c r="C46" s="20"/>
      <x:c r="D46" s="20"/>
      <x:c r="E46" s="20"/>
      <x:c r="F46" s="20"/>
      <x:c r="G46" s="20"/>
      <x:c r="H46" s="20"/>
    </x:row>
    <x:row r="47">
      <x:c r="A47" s="20"/>
      <x:c r="B47" s="20"/>
      <x:c r="C47" s="20"/>
      <x:c r="D47" s="20"/>
      <x:c r="E47" s="20"/>
      <x:c r="F47" s="20"/>
      <x:c r="G47" s="20"/>
      <x:c r="H47" s="20"/>
    </x:row>
    <x:row r="48">
      <x:c r="A48" s="20"/>
      <x:c r="B48" s="20"/>
      <x:c r="C48" s="20"/>
      <x:c r="D48" s="20"/>
      <x:c r="E48" s="20"/>
      <x:c r="F48" s="20"/>
      <x:c r="G48" s="20"/>
      <x:c r="H48" s="20"/>
    </x:row>
    <x:row r="49">
      <x:c r="A49" s="20"/>
      <x:c r="B49" s="20"/>
      <x:c r="C49" s="20"/>
      <x:c r="D49" s="20"/>
      <x:c r="E49" s="20"/>
      <x:c r="F49" s="20"/>
      <x:c r="G49" s="20"/>
      <x:c r="H49" s="20"/>
    </x:row>
    <x:row r="50">
      <x:c r="A50" s="20"/>
      <x:c r="B50" s="20"/>
      <x:c r="C50" s="20"/>
      <x:c r="D50" s="20"/>
      <x:c r="E50" s="20"/>
      <x:c r="F50" s="20"/>
      <x:c r="G50" s="20"/>
      <x:c r="H50" s="20"/>
    </x:row>
    <x:row r="51">
      <x:c r="A51" s="20"/>
      <x:c r="B51" s="20"/>
      <x:c r="C51" s="20"/>
      <x:c r="D51" s="20"/>
      <x:c r="E51" s="20"/>
      <x:c r="F51" s="20"/>
      <x:c r="G51" s="20"/>
      <x:c r="H51" s="20"/>
    </x:row>
    <x:row r="52">
      <x:c r="A52" s="20"/>
      <x:c r="B52" s="20"/>
      <x:c r="C52" s="20"/>
      <x:c r="D52" s="20"/>
      <x:c r="E52" s="20"/>
      <x:c r="F52" s="20"/>
      <x:c r="G52" s="20"/>
      <x:c r="H52" s="20"/>
    </x:row>
    <x:row r="53">
      <x:c r="A53" s="20"/>
      <x:c r="B53" s="20"/>
      <x:c r="C53" s="20"/>
      <x:c r="D53" s="20"/>
      <x:c r="E53" s="20"/>
      <x:c r="F53" s="20"/>
      <x:c r="G53" s="20"/>
      <x:c r="H53" s="20"/>
    </x:row>
    <x:row r="54">
      <x:c r="A54" s="20"/>
      <x:c r="B54" s="20"/>
      <x:c r="C54" s="20"/>
      <x:c r="D54" s="20"/>
      <x:c r="E54" s="20"/>
      <x:c r="F54" s="20"/>
      <x:c r="G54" s="20"/>
      <x:c r="H54" s="20"/>
    </x:row>
    <x:row r="55">
      <x:c r="A55" s="20"/>
      <x:c r="B55" s="20"/>
      <x:c r="C55" s="20"/>
      <x:c r="D55" s="20"/>
      <x:c r="E55" s="20"/>
      <x:c r="F55" s="20"/>
      <x:c r="G55" s="20"/>
      <x:c r="H55" s="20"/>
    </x:row>
    <x:row r="56">
      <x:c r="A56" s="20"/>
      <x:c r="B56" s="20"/>
      <x:c r="C56" s="20"/>
      <x:c r="D56" s="20"/>
      <x:c r="E56" s="20"/>
      <x:c r="F56" s="20"/>
      <x:c r="G56" s="20"/>
      <x:c r="H56" s="20"/>
    </x:row>
    <x:row r="57">
      <x:c r="A57" s="20"/>
      <x:c r="B57" s="20"/>
      <x:c r="C57" s="20"/>
      <x:c r="D57" s="20"/>
      <x:c r="E57" s="20"/>
      <x:c r="F57" s="20"/>
      <x:c r="G57" s="20"/>
      <x:c r="H57" s="20"/>
    </x:row>
    <x:row r="58">
      <x:c r="A58" s="20"/>
      <x:c r="B58" s="20"/>
      <x:c r="C58" s="20"/>
      <x:c r="D58" s="20"/>
      <x:c r="E58" s="20"/>
      <x:c r="F58" s="20"/>
      <x:c r="G58" s="20"/>
      <x:c r="H58" s="20"/>
    </x:row>
    <x:row r="59">
      <x:c r="A59" s="20"/>
      <x:c r="B59" s="20"/>
      <x:c r="C59" s="20"/>
      <x:c r="D59" s="20"/>
      <x:c r="E59" s="20"/>
      <x:c r="F59" s="20"/>
      <x:c r="G59" s="20"/>
      <x:c r="H59" s="20"/>
    </x:row>
    <x:row r="60">
      <x:c r="A60" s="20"/>
      <x:c r="B60" s="20"/>
      <x:c r="C60" s="20"/>
      <x:c r="D60" s="20"/>
      <x:c r="E60" s="20"/>
      <x:c r="F60" s="20"/>
      <x:c r="G60" s="20"/>
      <x:c r="H60" s="20"/>
    </x:row>
    <x:row r="61">
      <x:c r="A61" s="20"/>
      <x:c r="B61" s="20"/>
      <x:c r="C61" s="20"/>
      <x:c r="D61" s="20"/>
      <x:c r="E61" s="20"/>
      <x:c r="F61" s="20"/>
      <x:c r="G61" s="20"/>
      <x:c r="H61" s="20"/>
    </x:row>
    <x:row r="62">
      <x:c r="A62" s="20"/>
      <x:c r="B62" s="20"/>
      <x:c r="C62" s="20"/>
      <x:c r="D62" s="20"/>
      <x:c r="E62" s="20"/>
      <x:c r="F62" s="20"/>
      <x:c r="G62" s="20"/>
      <x:c r="H62" s="20"/>
    </x:row>
    <x:row r="63">
      <x:c r="A63" s="20"/>
      <x:c r="B63" s="20"/>
      <x:c r="C63" s="20"/>
      <x:c r="D63" s="20"/>
      <x:c r="E63" s="20"/>
      <x:c r="F63" s="20"/>
      <x:c r="G63" s="20"/>
      <x:c r="H63" s="20"/>
    </x:row>
    <x:row r="64">
      <x:c r="A64" s="20"/>
      <x:c r="B64" s="20"/>
      <x:c r="C64" s="20"/>
      <x:c r="D64" s="20"/>
      <x:c r="E64" s="20"/>
      <x:c r="F64" s="20"/>
      <x:c r="G64" s="20"/>
      <x:c r="H64" s="20"/>
    </x:row>
    <x:row r="65">
      <x:c r="A65" s="20"/>
      <x:c r="B65" s="20"/>
      <x:c r="C65" s="20"/>
      <x:c r="D65" s="20"/>
      <x:c r="E65" s="20"/>
      <x:c r="F65" s="20"/>
      <x:c r="G65" s="20"/>
      <x:c r="H65" s="20"/>
    </x:row>
    <x:row r="66">
      <x:c r="A66" s="20"/>
      <x:c r="B66" s="20"/>
      <x:c r="C66" s="20"/>
      <x:c r="D66" s="20"/>
      <x:c r="E66" s="20"/>
      <x:c r="F66" s="20"/>
      <x:c r="G66" s="20"/>
      <x:c r="H66" s="20"/>
    </x:row>
    <x:row r="67">
      <x:c r="A67" s="20"/>
      <x:c r="B67" s="20"/>
      <x:c r="C67" s="20"/>
      <x:c r="D67" s="20"/>
      <x:c r="E67" s="20"/>
      <x:c r="F67" s="20"/>
      <x:c r="G67" s="20"/>
      <x:c r="H67" s="20"/>
    </x:row>
    <x:row r="68">
      <x:c r="A68" s="20"/>
      <x:c r="B68" s="20"/>
      <x:c r="C68" s="20"/>
      <x:c r="D68" s="20"/>
      <x:c r="E68" s="20"/>
      <x:c r="F68" s="20"/>
      <x:c r="G68" s="20"/>
      <x:c r="H68" s="20"/>
    </x:row>
    <x:row r="69">
      <x:c r="A69" s="20"/>
      <x:c r="B69" s="20"/>
      <x:c r="C69" s="20"/>
      <x:c r="D69" s="20"/>
      <x:c r="E69" s="20"/>
      <x:c r="F69" s="20"/>
      <x:c r="G69" s="20"/>
      <x:c r="H69" s="20"/>
    </x:row>
    <x:row r="70">
      <x:c r="A70" s="20"/>
      <x:c r="B70" s="20"/>
      <x:c r="C70" s="20"/>
      <x:c r="D70" s="20"/>
      <x:c r="E70" s="20"/>
      <x:c r="F70" s="20"/>
      <x:c r="G70" s="20"/>
      <x:c r="H70" s="20"/>
    </x:row>
    <x:row r="71">
      <x:c r="A71" s="20"/>
      <x:c r="B71" s="20"/>
      <x:c r="C71" s="20"/>
      <x:c r="D71" s="20"/>
      <x:c r="E71" s="20"/>
      <x:c r="F71" s="20"/>
      <x:c r="G71" s="20"/>
      <x:c r="H71" s="20"/>
    </x:row>
    <x:row r="72">
      <x:c r="A72" s="20"/>
      <x:c r="B72" s="20"/>
      <x:c r="C72" s="20"/>
      <x:c r="D72" s="20"/>
      <x:c r="E72" s="20"/>
      <x:c r="F72" s="20"/>
      <x:c r="G72" s="20"/>
      <x:c r="H72" s="20"/>
    </x:row>
    <x:row r="73">
      <x:c r="A73" s="20"/>
      <x:c r="B73" s="20"/>
      <x:c r="C73" s="20"/>
      <x:c r="D73" s="20"/>
      <x:c r="E73" s="20"/>
      <x:c r="F73" s="20"/>
      <x:c r="G73" s="20"/>
      <x:c r="H73" s="20"/>
    </x:row>
    <x:row r="74">
      <x:c r="A74" s="20"/>
      <x:c r="B74" s="20"/>
      <x:c r="C74" s="20"/>
      <x:c r="D74" s="20"/>
      <x:c r="E74" s="20"/>
      <x:c r="F74" s="20"/>
      <x:c r="G74" s="20"/>
      <x:c r="H74" s="20"/>
    </x:row>
    <x:row r="75">
      <x:c r="A75" s="20"/>
      <x:c r="B75" s="20"/>
      <x:c r="C75" s="20"/>
      <x:c r="D75" s="20"/>
      <x:c r="E75" s="20"/>
      <x:c r="F75" s="20"/>
      <x:c r="G75" s="20"/>
      <x:c r="H75" s="20"/>
    </x:row>
    <x:row r="76">
      <x:c r="A76" s="20"/>
      <x:c r="B76" s="20"/>
      <x:c r="C76" s="20"/>
      <x:c r="D76" s="20"/>
      <x:c r="E76" s="20"/>
      <x:c r="F76" s="20"/>
      <x:c r="G76" s="20"/>
      <x:c r="H76" s="20"/>
    </x:row>
    <x:row r="77">
      <x:c r="A77" s="20"/>
      <x:c r="B77" s="20"/>
      <x:c r="C77" s="20"/>
      <x:c r="D77" s="20"/>
      <x:c r="E77" s="20"/>
      <x:c r="F77" s="20"/>
      <x:c r="G77" s="20"/>
      <x:c r="H77" s="20"/>
    </x:row>
    <x:row r="78">
      <x:c r="A78" s="20"/>
      <x:c r="B78" s="20"/>
      <x:c r="C78" s="20"/>
      <x:c r="D78" s="20"/>
      <x:c r="E78" s="20"/>
      <x:c r="F78" s="20"/>
      <x:c r="G78" s="20"/>
      <x:c r="H78" s="20"/>
    </x:row>
    <x:row r="79">
      <x:c r="A79" s="20"/>
      <x:c r="B79" s="20"/>
      <x:c r="C79" s="20"/>
      <x:c r="D79" s="20"/>
      <x:c r="E79" s="20"/>
      <x:c r="F79" s="20"/>
      <x:c r="G79" s="20"/>
      <x:c r="H79" s="20"/>
    </x:row>
    <x:row r="80">
      <x:c r="A80" s="20"/>
      <x:c r="B80" s="20"/>
      <x:c r="C80" s="20"/>
      <x:c r="D80" s="20"/>
      <x:c r="E80" s="20"/>
      <x:c r="F80" s="20"/>
      <x:c r="G80" s="20"/>
      <x:c r="H80" s="20"/>
    </x:row>
  </x:sheetData>
  <x:mergeCells>
    <x:mergeCell ref="A1:H1"/>
    <x:mergeCell ref="A9:H9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26" hidden="0" customWidth="1"/>
    <x:col min="5" max="5" width="28" hidden="0" customWidth="1"/>
    <x:col min="6" max="6" width="22" hidden="0" customWidth="1"/>
    <x:col min="7" max="7" width="18" hidden="0" customWidth="1"/>
    <x:col min="8" max="8" width="22" hidden="0" customWidth="1"/>
  </x:cols>
  <x:sheetData>
    <x:row r="1" ht="24" customHeight="1">
      <x:c r="A1" s="142" t="str">
        <x:v>Season Pass</x:v>
      </x:c>
      <x:c r="B1" s="142"/>
      <x:c r="C1" s="142"/>
      <x:c r="D1" s="142"/>
      <x:c r="E1" s="142"/>
      <x:c r="F1" s="142"/>
      <x:c r="G1" s="142"/>
      <x:c r="H1" s="142"/>
    </x:row>
    <x:row r="2" ht="30" customHeight="1">
      <x:c r="A2" s="143" t="str">
        <x:v>Level</x:v>
      </x:c>
      <x:c r="B2" s="143" t="str">
        <x:v>XP Req.</x:v>
      </x:c>
      <x:c r="C2" s="143" t="str">
        <x:v>Cumulative XP</x:v>
      </x:c>
      <x:c r="D2" s="143" t="str">
        <x:v>Free Track</x:v>
      </x:c>
      <x:c r="E2" s="143" t="str">
        <x:v>Premium Track</x:v>
      </x:c>
      <x:c r="F2" s="143" t="str">
        <x:v>Value Type</x:v>
      </x:c>
      <x:c r="G2" s="143" t="str">
        <x:v>Power Risk</x:v>
      </x:c>
      <x:c r="H2" s="143" t="str">
        <x:v>Notes</x:v>
      </x:c>
    </x:row>
    <x:row r="3">
      <x:c r="A3" s="20" t="n">
        <x:v>1</x:v>
      </x:c>
      <x:c r="B3" s="20" t="n">
        <x:v>100</x:v>
      </x:c>
      <x:c r="C3" s="20" t="n">
        <x:v>100</x:v>
      </x:c>
      <x:c r="D3" s="20" t="str">
        <x:v>Cash</x:v>
      </x:c>
      <x:c r="E3" s="20" t="str">
        <x:v>Event Key</x:v>
      </x:c>
      <x:c r="F3" s="20" t="str">
        <x:v>Mixed</x:v>
      </x:c>
      <x:c r="G3" s="20" t="str">
        <x:v>Low</x:v>
      </x:c>
      <x:c r="H3" s="20" t="str"/>
    </x:row>
    <x:row r="4">
      <x:c r="A4" s="20" t="n">
        <x:v>2</x:v>
      </x:c>
      <x:c r="B4" s="20" t="n">
        <x:v>110</x:v>
      </x:c>
      <x:c r="C4" s="20" t="n">
        <x:v>210</x:v>
      </x:c>
      <x:c r="D4" s="20" t="str">
        <x:v>Module Shards</x:v>
      </x:c>
      <x:c r="E4" s="20" t="str">
        <x:v>Rare Material</x:v>
      </x:c>
      <x:c r="F4" s="20" t="str">
        <x:v>Mixed</x:v>
      </x:c>
      <x:c r="G4" s="20" t="str">
        <x:v>Medium</x:v>
      </x:c>
      <x:c r="H4" s="20" t="str"/>
    </x:row>
    <x:row r="5">
      <x:c r="A5" s="20" t="n">
        <x:v>3</x:v>
      </x:c>
      <x:c r="B5" s="20" t="n">
        <x:v>120</x:v>
      </x:c>
      <x:c r="C5" s="20" t="n">
        <x:v>330</x:v>
      </x:c>
      <x:c r="D5" s="20" t="str">
        <x:v>Market Hunt Ticket</x:v>
      </x:c>
      <x:c r="E5" s="20" t="str">
        <x:v>Premium Cosmetic</x:v>
      </x:c>
      <x:c r="F5" s="20" t="str">
        <x:v>Mixed</x:v>
      </x:c>
      <x:c r="G5" s="20" t="str">
        <x:v>Low</x:v>
      </x:c>
      <x:c r="H5" s="20" t="str"/>
    </x:row>
    <x:row r="6">
      <x:c r="A6" s="20" t="n">
        <x:v>4</x:v>
      </x:c>
      <x:c r="B6" s="20" t="n">
        <x:v>130</x:v>
      </x:c>
      <x:c r="C6" s="20" t="n">
        <x:v>460</x:v>
      </x:c>
      <x:c r="D6" s="20" t="str">
        <x:v>Daily Case</x:v>
      </x:c>
      <x:c r="E6" s="20" t="str">
        <x:v>Opportunity Reroll</x:v>
      </x:c>
      <x:c r="F6" s="20" t="str">
        <x:v>Mixed</x:v>
      </x:c>
      <x:c r="G6" s="20" t="str">
        <x:v>Low</x:v>
      </x:c>
      <x:c r="H6" s="20" t="str"/>
    </x:row>
    <x:row r="7">
      <x:c r="A7" s="20" t="n">
        <x:v>5</x:v>
      </x:c>
      <x:c r="B7" s="20" t="n">
        <x:v>140</x:v>
      </x:c>
      <x:c r="C7" s="20" t="n">
        <x:v>600</x:v>
      </x:c>
      <x:c r="D7" s="20" t="str">
        <x:v>Boost</x:v>
      </x:c>
      <x:c r="E7" s="20" t="str">
        <x:v>Executive Case</x:v>
      </x:c>
      <x:c r="F7" s="20" t="str">
        <x:v>Mixed</x:v>
      </x:c>
      <x:c r="G7" s="20" t="str">
        <x:v>Medium</x:v>
      </x:c>
      <x:c r="H7" s="20" t="str"/>
    </x:row>
    <x:row r="8">
      <x:c r="A8" s="20" t="n">
        <x:v>6</x:v>
      </x:c>
      <x:c r="B8" s="20" t="n">
        <x:v>150</x:v>
      </x:c>
      <x:c r="C8" s="20" t="n">
        <x:v>750</x:v>
      </x:c>
      <x:c r="D8" s="20" t="str">
        <x:v>Cash</x:v>
      </x:c>
      <x:c r="E8" s="20" t="str">
        <x:v>Event Key</x:v>
      </x:c>
      <x:c r="F8" s="20" t="str">
        <x:v>Mixed</x:v>
      </x:c>
      <x:c r="G8" s="20" t="str">
        <x:v>Low</x:v>
      </x:c>
      <x:c r="H8" s="20" t="str"/>
    </x:row>
    <x:row r="9">
      <x:c r="A9" s="20" t="n">
        <x:v>7</x:v>
      </x:c>
      <x:c r="B9" s="20" t="n">
        <x:v>160</x:v>
      </x:c>
      <x:c r="C9" s="20" t="n">
        <x:v>910</x:v>
      </x:c>
      <x:c r="D9" s="20" t="str">
        <x:v>Module Shards</x:v>
      </x:c>
      <x:c r="E9" s="20" t="str">
        <x:v>Rare Material</x:v>
      </x:c>
      <x:c r="F9" s="20" t="str">
        <x:v>Mixed</x:v>
      </x:c>
      <x:c r="G9" s="20" t="str">
        <x:v>Medium</x:v>
      </x:c>
      <x:c r="H9" s="20" t="str"/>
    </x:row>
    <x:row r="10">
      <x:c r="A10" s="20" t="n">
        <x:v>8</x:v>
      </x:c>
      <x:c r="B10" s="20" t="n">
        <x:v>170</x:v>
      </x:c>
      <x:c r="C10" s="20" t="n">
        <x:v>1080</x:v>
      </x:c>
      <x:c r="D10" s="20" t="str">
        <x:v>Market Hunt Ticket</x:v>
      </x:c>
      <x:c r="E10" s="20" t="str">
        <x:v>Premium Cosmetic</x:v>
      </x:c>
      <x:c r="F10" s="20" t="str">
        <x:v>Mixed</x:v>
      </x:c>
      <x:c r="G10" s="20" t="str">
        <x:v>Low</x:v>
      </x:c>
      <x:c r="H10" s="20" t="str"/>
    </x:row>
    <x:row r="11">
      <x:c r="A11" s="20" t="n">
        <x:v>9</x:v>
      </x:c>
      <x:c r="B11" s="20" t="n">
        <x:v>180</x:v>
      </x:c>
      <x:c r="C11" s="20" t="n">
        <x:v>1260</x:v>
      </x:c>
      <x:c r="D11" s="20" t="str">
        <x:v>Daily Case</x:v>
      </x:c>
      <x:c r="E11" s="20" t="str">
        <x:v>Opportunity Reroll</x:v>
      </x:c>
      <x:c r="F11" s="20" t="str">
        <x:v>Mixed</x:v>
      </x:c>
      <x:c r="G11" s="20" t="str">
        <x:v>Low</x:v>
      </x:c>
      <x:c r="H11" s="20" t="str"/>
    </x:row>
    <x:row r="12">
      <x:c r="A12" s="20" t="n">
        <x:v>10</x:v>
      </x:c>
      <x:c r="B12" s="20" t="n">
        <x:v>190</x:v>
      </x:c>
      <x:c r="C12" s="20" t="n">
        <x:v>1450</x:v>
      </x:c>
      <x:c r="D12" s="20" t="str">
        <x:v>Boost</x:v>
      </x:c>
      <x:c r="E12" s="20" t="str">
        <x:v>Executive Case</x:v>
      </x:c>
      <x:c r="F12" s="20" t="str">
        <x:v>Mixed</x:v>
      </x:c>
      <x:c r="G12" s="20" t="str">
        <x:v>Medium</x:v>
      </x:c>
      <x:c r="H12" s="20" t="str">
        <x:v>Major milestone</x:v>
      </x:c>
    </x:row>
    <x:row r="13">
      <x:c r="A13" s="20" t="n">
        <x:v>11</x:v>
      </x:c>
      <x:c r="B13" s="20" t="n">
        <x:v>200</x:v>
      </x:c>
      <x:c r="C13" s="20" t="n">
        <x:v>1650</x:v>
      </x:c>
      <x:c r="D13" s="20" t="str">
        <x:v>Cash</x:v>
      </x:c>
      <x:c r="E13" s="20" t="str">
        <x:v>Event Key</x:v>
      </x:c>
      <x:c r="F13" s="20" t="str">
        <x:v>Mixed</x:v>
      </x:c>
      <x:c r="G13" s="20" t="str">
        <x:v>Low</x:v>
      </x:c>
      <x:c r="H13" s="20" t="str"/>
    </x:row>
    <x:row r="14">
      <x:c r="A14" s="20" t="n">
        <x:v>12</x:v>
      </x:c>
      <x:c r="B14" s="20" t="n">
        <x:v>210</x:v>
      </x:c>
      <x:c r="C14" s="20" t="n">
        <x:v>1860</x:v>
      </x:c>
      <x:c r="D14" s="20" t="str">
        <x:v>Module Shards</x:v>
      </x:c>
      <x:c r="E14" s="20" t="str">
        <x:v>Rare Material</x:v>
      </x:c>
      <x:c r="F14" s="20" t="str">
        <x:v>Mixed</x:v>
      </x:c>
      <x:c r="G14" s="20" t="str">
        <x:v>Medium</x:v>
      </x:c>
      <x:c r="H14" s="20" t="str"/>
    </x:row>
    <x:row r="15">
      <x:c r="A15" s="20" t="n">
        <x:v>13</x:v>
      </x:c>
      <x:c r="B15" s="20" t="n">
        <x:v>220</x:v>
      </x:c>
      <x:c r="C15" s="20" t="n">
        <x:v>2080</x:v>
      </x:c>
      <x:c r="D15" s="20" t="str">
        <x:v>Market Hunt Ticket</x:v>
      </x:c>
      <x:c r="E15" s="20" t="str">
        <x:v>Premium Cosmetic</x:v>
      </x:c>
      <x:c r="F15" s="20" t="str">
        <x:v>Mixed</x:v>
      </x:c>
      <x:c r="G15" s="20" t="str">
        <x:v>Low</x:v>
      </x:c>
      <x:c r="H15" s="20" t="str"/>
    </x:row>
    <x:row r="16">
      <x:c r="A16" s="20" t="n">
        <x:v>14</x:v>
      </x:c>
      <x:c r="B16" s="20" t="n">
        <x:v>230</x:v>
      </x:c>
      <x:c r="C16" s="20" t="n">
        <x:v>2310</x:v>
      </x:c>
      <x:c r="D16" s="20" t="str">
        <x:v>Daily Case</x:v>
      </x:c>
      <x:c r="E16" s="20" t="str">
        <x:v>Opportunity Reroll</x:v>
      </x:c>
      <x:c r="F16" s="20" t="str">
        <x:v>Mixed</x:v>
      </x:c>
      <x:c r="G16" s="20" t="str">
        <x:v>Low</x:v>
      </x:c>
      <x:c r="H16" s="20" t="str"/>
    </x:row>
    <x:row r="17">
      <x:c r="A17" s="20" t="n">
        <x:v>15</x:v>
      </x:c>
      <x:c r="B17" s="20" t="n">
        <x:v>240</x:v>
      </x:c>
      <x:c r="C17" s="20" t="n">
        <x:v>2550</x:v>
      </x:c>
      <x:c r="D17" s="20" t="str">
        <x:v>Boost</x:v>
      </x:c>
      <x:c r="E17" s="20" t="str">
        <x:v>Executive Case</x:v>
      </x:c>
      <x:c r="F17" s="20" t="str">
        <x:v>Mixed</x:v>
      </x:c>
      <x:c r="G17" s="20" t="str">
        <x:v>Medium</x:v>
      </x:c>
      <x:c r="H17" s="20" t="str"/>
    </x:row>
    <x:row r="18">
      <x:c r="A18" s="20" t="n">
        <x:v>16</x:v>
      </x:c>
      <x:c r="B18" s="20" t="n">
        <x:v>250</x:v>
      </x:c>
      <x:c r="C18" s="20" t="n">
        <x:v>2800</x:v>
      </x:c>
      <x:c r="D18" s="20" t="str">
        <x:v>Cash</x:v>
      </x:c>
      <x:c r="E18" s="20" t="str">
        <x:v>Event Key</x:v>
      </x:c>
      <x:c r="F18" s="20" t="str">
        <x:v>Mixed</x:v>
      </x:c>
      <x:c r="G18" s="20" t="str">
        <x:v>Low</x:v>
      </x:c>
      <x:c r="H18" s="20" t="str"/>
    </x:row>
    <x:row r="19">
      <x:c r="A19" s="20" t="n">
        <x:v>17</x:v>
      </x:c>
      <x:c r="B19" s="20" t="n">
        <x:v>260</x:v>
      </x:c>
      <x:c r="C19" s="20" t="n">
        <x:v>3060</x:v>
      </x:c>
      <x:c r="D19" s="20" t="str">
        <x:v>Module Shards</x:v>
      </x:c>
      <x:c r="E19" s="20" t="str">
        <x:v>Rare Material</x:v>
      </x:c>
      <x:c r="F19" s="20" t="str">
        <x:v>Mixed</x:v>
      </x:c>
      <x:c r="G19" s="20" t="str">
        <x:v>Medium</x:v>
      </x:c>
      <x:c r="H19" s="20" t="str"/>
    </x:row>
    <x:row r="20">
      <x:c r="A20" s="20" t="n">
        <x:v>18</x:v>
      </x:c>
      <x:c r="B20" s="20" t="n">
        <x:v>270</x:v>
      </x:c>
      <x:c r="C20" s="20" t="n">
        <x:v>3330</x:v>
      </x:c>
      <x:c r="D20" s="20" t="str">
        <x:v>Market Hunt Ticket</x:v>
      </x:c>
      <x:c r="E20" s="20" t="str">
        <x:v>Premium Cosmetic</x:v>
      </x:c>
      <x:c r="F20" s="20" t="str">
        <x:v>Mixed</x:v>
      </x:c>
      <x:c r="G20" s="20" t="str">
        <x:v>Low</x:v>
      </x:c>
      <x:c r="H20" s="20" t="str"/>
    </x:row>
    <x:row r="21">
      <x:c r="A21" s="20" t="n">
        <x:v>19</x:v>
      </x:c>
      <x:c r="B21" s="20" t="n">
        <x:v>280</x:v>
      </x:c>
      <x:c r="C21" s="20" t="n">
        <x:v>3610</x:v>
      </x:c>
      <x:c r="D21" s="20" t="str">
        <x:v>Daily Case</x:v>
      </x:c>
      <x:c r="E21" s="20" t="str">
        <x:v>Opportunity Reroll</x:v>
      </x:c>
      <x:c r="F21" s="20" t="str">
        <x:v>Mixed</x:v>
      </x:c>
      <x:c r="G21" s="20" t="str">
        <x:v>Low</x:v>
      </x:c>
      <x:c r="H21" s="20" t="str"/>
    </x:row>
    <x:row r="22">
      <x:c r="A22" s="20" t="n">
        <x:v>20</x:v>
      </x:c>
      <x:c r="B22" s="20" t="n">
        <x:v>290</x:v>
      </x:c>
      <x:c r="C22" s="20" t="n">
        <x:v>3900</x:v>
      </x:c>
      <x:c r="D22" s="20" t="str">
        <x:v>Boost</x:v>
      </x:c>
      <x:c r="E22" s="20" t="str">
        <x:v>Executive Case</x:v>
      </x:c>
      <x:c r="F22" s="20" t="str">
        <x:v>Mixed</x:v>
      </x:c>
      <x:c r="G22" s="20" t="str">
        <x:v>Medium</x:v>
      </x:c>
      <x:c r="H22" s="20" t="str">
        <x:v>Major milestone</x:v>
      </x:c>
    </x:row>
    <x:row r="23">
      <x:c r="A23" s="20" t="n">
        <x:v>21</x:v>
      </x:c>
      <x:c r="B23" s="20" t="n">
        <x:v>300</x:v>
      </x:c>
      <x:c r="C23" s="20" t="n">
        <x:v>4200</x:v>
      </x:c>
      <x:c r="D23" s="20" t="str">
        <x:v>Cash</x:v>
      </x:c>
      <x:c r="E23" s="20" t="str">
        <x:v>Event Key</x:v>
      </x:c>
      <x:c r="F23" s="20" t="str">
        <x:v>Mixed</x:v>
      </x:c>
      <x:c r="G23" s="20" t="str">
        <x:v>Low</x:v>
      </x:c>
      <x:c r="H23" s="20" t="str"/>
    </x:row>
    <x:row r="24">
      <x:c r="A24" s="20" t="n">
        <x:v>22</x:v>
      </x:c>
      <x:c r="B24" s="20" t="n">
        <x:v>310</x:v>
      </x:c>
      <x:c r="C24" s="20" t="n">
        <x:v>4510</x:v>
      </x:c>
      <x:c r="D24" s="20" t="str">
        <x:v>Module Shards</x:v>
      </x:c>
      <x:c r="E24" s="20" t="str">
        <x:v>Rare Material</x:v>
      </x:c>
      <x:c r="F24" s="20" t="str">
        <x:v>Mixed</x:v>
      </x:c>
      <x:c r="G24" s="20" t="str">
        <x:v>Medium</x:v>
      </x:c>
      <x:c r="H24" s="20" t="str"/>
    </x:row>
    <x:row r="25">
      <x:c r="A25" s="20" t="n">
        <x:v>23</x:v>
      </x:c>
      <x:c r="B25" s="20" t="n">
        <x:v>320</x:v>
      </x:c>
      <x:c r="C25" s="20" t="n">
        <x:v>4830</x:v>
      </x:c>
      <x:c r="D25" s="20" t="str">
        <x:v>Market Hunt Ticket</x:v>
      </x:c>
      <x:c r="E25" s="20" t="str">
        <x:v>Premium Cosmetic</x:v>
      </x:c>
      <x:c r="F25" s="20" t="str">
        <x:v>Mixed</x:v>
      </x:c>
      <x:c r="G25" s="20" t="str">
        <x:v>Low</x:v>
      </x:c>
      <x:c r="H25" s="20" t="str"/>
    </x:row>
    <x:row r="26">
      <x:c r="A26" s="20" t="n">
        <x:v>24</x:v>
      </x:c>
      <x:c r="B26" s="20" t="n">
        <x:v>330</x:v>
      </x:c>
      <x:c r="C26" s="20" t="n">
        <x:v>5160</x:v>
      </x:c>
      <x:c r="D26" s="20" t="str">
        <x:v>Daily Case</x:v>
      </x:c>
      <x:c r="E26" s="20" t="str">
        <x:v>Opportunity Reroll</x:v>
      </x:c>
      <x:c r="F26" s="20" t="str">
        <x:v>Mixed</x:v>
      </x:c>
      <x:c r="G26" s="20" t="str">
        <x:v>Low</x:v>
      </x:c>
      <x:c r="H26" s="20" t="str"/>
    </x:row>
    <x:row r="27">
      <x:c r="A27" s="20" t="n">
        <x:v>25</x:v>
      </x:c>
      <x:c r="B27" s="20" t="n">
        <x:v>340</x:v>
      </x:c>
      <x:c r="C27" s="20" t="n">
        <x:v>5500</x:v>
      </x:c>
      <x:c r="D27" s="20" t="str">
        <x:v>Boost</x:v>
      </x:c>
      <x:c r="E27" s="20" t="str">
        <x:v>Executive Case</x:v>
      </x:c>
      <x:c r="F27" s="20" t="str">
        <x:v>Mixed</x:v>
      </x:c>
      <x:c r="G27" s="20" t="str">
        <x:v>Medium</x:v>
      </x:c>
      <x:c r="H27" s="20" t="str"/>
    </x:row>
    <x:row r="28">
      <x:c r="A28" s="20" t="n">
        <x:v>26</x:v>
      </x:c>
      <x:c r="B28" s="20" t="n">
        <x:v>350</x:v>
      </x:c>
      <x:c r="C28" s="20" t="n">
        <x:v>5850</x:v>
      </x:c>
      <x:c r="D28" s="20" t="str">
        <x:v>Cash</x:v>
      </x:c>
      <x:c r="E28" s="20" t="str">
        <x:v>Event Key</x:v>
      </x:c>
      <x:c r="F28" s="20" t="str">
        <x:v>Mixed</x:v>
      </x:c>
      <x:c r="G28" s="20" t="str">
        <x:v>Low</x:v>
      </x:c>
      <x:c r="H28" s="20" t="str"/>
    </x:row>
    <x:row r="29">
      <x:c r="A29" s="20" t="n">
        <x:v>27</x:v>
      </x:c>
      <x:c r="B29" s="20" t="n">
        <x:v>360</x:v>
      </x:c>
      <x:c r="C29" s="20" t="n">
        <x:v>6210</x:v>
      </x:c>
      <x:c r="D29" s="20" t="str">
        <x:v>Module Shards</x:v>
      </x:c>
      <x:c r="E29" s="20" t="str">
        <x:v>Rare Material</x:v>
      </x:c>
      <x:c r="F29" s="20" t="str">
        <x:v>Mixed</x:v>
      </x:c>
      <x:c r="G29" s="20" t="str">
        <x:v>Medium</x:v>
      </x:c>
      <x:c r="H29" s="20" t="str"/>
    </x:row>
    <x:row r="30">
      <x:c r="A30" s="20" t="n">
        <x:v>28</x:v>
      </x:c>
      <x:c r="B30" s="20" t="n">
        <x:v>370</x:v>
      </x:c>
      <x:c r="C30" s="20" t="n">
        <x:v>6580</x:v>
      </x:c>
      <x:c r="D30" s="20" t="str">
        <x:v>Market Hunt Ticket</x:v>
      </x:c>
      <x:c r="E30" s="20" t="str">
        <x:v>Premium Cosmetic</x:v>
      </x:c>
      <x:c r="F30" s="20" t="str">
        <x:v>Mixed</x:v>
      </x:c>
      <x:c r="G30" s="20" t="str">
        <x:v>Low</x:v>
      </x:c>
      <x:c r="H30" s="20" t="str"/>
    </x:row>
    <x:row r="31">
      <x:c r="A31" s="20" t="n">
        <x:v>29</x:v>
      </x:c>
      <x:c r="B31" s="20" t="n">
        <x:v>380</x:v>
      </x:c>
      <x:c r="C31" s="20" t="n">
        <x:v>6960</x:v>
      </x:c>
      <x:c r="D31" s="20" t="str">
        <x:v>Daily Case</x:v>
      </x:c>
      <x:c r="E31" s="20" t="str">
        <x:v>Opportunity Reroll</x:v>
      </x:c>
      <x:c r="F31" s="20" t="str">
        <x:v>Mixed</x:v>
      </x:c>
      <x:c r="G31" s="20" t="str">
        <x:v>Low</x:v>
      </x:c>
      <x:c r="H31" s="20" t="str"/>
    </x:row>
    <x:row r="32">
      <x:c r="A32" s="20" t="n">
        <x:v>30</x:v>
      </x:c>
      <x:c r="B32" s="20" t="n">
        <x:v>390</x:v>
      </x:c>
      <x:c r="C32" s="20" t="n">
        <x:v>7350</x:v>
      </x:c>
      <x:c r="D32" s="20" t="str">
        <x:v>Boost</x:v>
      </x:c>
      <x:c r="E32" s="20" t="str">
        <x:v>Executive Case</x:v>
      </x:c>
      <x:c r="F32" s="20" t="str">
        <x:v>Mixed</x:v>
      </x:c>
      <x:c r="G32" s="20" t="str">
        <x:v>Medium</x:v>
      </x:c>
      <x:c r="H32" s="20" t="str">
        <x:v>Major milestone</x:v>
      </x:c>
    </x:row>
    <x:row r="33">
      <x:c r="A33" s="20"/>
      <x:c r="B33" s="20"/>
      <x:c r="C33" s="20"/>
      <x:c r="D33" s="20"/>
      <x:c r="E33" s="20"/>
      <x:c r="F33" s="20"/>
      <x:c r="G33" s="20"/>
      <x:c r="H33" s="20"/>
    </x:row>
    <x:row r="34">
      <x:c r="A34" s="144" t="str">
        <x:v>Premium pass pricing</x:v>
      </x:c>
      <x:c r="B34" s="144"/>
      <x:c r="C34" s="144"/>
      <x:c r="D34" s="144"/>
      <x:c r="E34" s="144"/>
      <x:c r="F34" s="144"/>
      <x:c r="G34" s="144"/>
      <x:c r="H34" s="144"/>
    </x:row>
    <x:row r="35">
      <x:c r="A35" s="143" t="str">
        <x:v>Metric</x:v>
      </x:c>
      <x:c r="B35" s="143" t="str">
        <x:v>Value</x:v>
      </x:c>
      <x:c r="C35" s="143" t="str">
        <x:v>Formula / Note</x:v>
      </x:c>
      <x:c r="D35" s="20"/>
      <x:c r="E35" s="20"/>
      <x:c r="F35" s="20"/>
      <x:c r="G35" s="20"/>
      <x:c r="H35" s="20"/>
    </x:row>
    <x:row r="36">
      <x:c r="A36" s="20" t="str">
        <x:v>Reference USD price</x:v>
      </x:c>
      <x:c r="B36" s="156" t="n">
        <x:f>Assumptions!B6</x:f>
        <x:v>9.99</x:v>
      </x:c>
      <x:c r="C36" s="20" t="str">
        <x:v>Assumptions</x:v>
      </x:c>
      <x:c r="D36" s="20"/>
      <x:c r="E36" s="20"/>
      <x:c r="F36" s="20"/>
      <x:c r="G36" s="20"/>
      <x:c r="H36" s="20"/>
    </x:row>
    <x:row r="37">
      <x:c r="A37" s="20" t="str">
        <x:v>PLOT price</x:v>
      </x:c>
      <x:c r="B37" s="157" t="n">
        <x:f>B36/Assumptions!B5</x:f>
        <x:v>666</x:v>
      </x:c>
      <x:c r="C37" s="20" t="str">
        <x:v>USD price / reference PLOT price</x:v>
      </x:c>
      <x:c r="D37" s="20"/>
      <x:c r="E37" s="20"/>
      <x:c r="F37" s="20"/>
      <x:c r="G37" s="20"/>
      <x:c r="H37" s="20"/>
    </x:row>
    <x:row r="38">
      <x:c r="A38" s="20"/>
      <x:c r="B38" s="20"/>
      <x:c r="C38" s="20"/>
      <x:c r="D38" s="20"/>
      <x:c r="E38" s="20"/>
      <x:c r="F38" s="20"/>
      <x:c r="G38" s="20"/>
      <x:c r="H38" s="20"/>
    </x:row>
    <x:row r="39">
      <x:c r="A39" s="20"/>
      <x:c r="B39" s="20"/>
      <x:c r="C39" s="20"/>
      <x:c r="D39" s="20"/>
      <x:c r="E39" s="20"/>
      <x:c r="F39" s="20"/>
      <x:c r="G39" s="20"/>
      <x:c r="H39" s="20"/>
    </x:row>
    <x:row r="40">
      <x:c r="A40" s="20"/>
      <x:c r="B40" s="20"/>
      <x:c r="C40" s="20"/>
      <x:c r="D40" s="20"/>
      <x:c r="E40" s="20"/>
      <x:c r="F40" s="20"/>
      <x:c r="G40" s="20"/>
      <x:c r="H40" s="20"/>
    </x:row>
    <x:row r="41">
      <x:c r="A41" s="20"/>
      <x:c r="B41" s="20"/>
      <x:c r="C41" s="20"/>
      <x:c r="D41" s="20"/>
      <x:c r="E41" s="20"/>
      <x:c r="F41" s="20"/>
      <x:c r="G41" s="20"/>
      <x:c r="H41" s="20"/>
    </x:row>
    <x:row r="42">
      <x:c r="A42" s="20"/>
      <x:c r="B42" s="20"/>
      <x:c r="C42" s="20"/>
      <x:c r="D42" s="20"/>
      <x:c r="E42" s="20"/>
      <x:c r="F42" s="20"/>
      <x:c r="G42" s="20"/>
      <x:c r="H42" s="20"/>
    </x:row>
    <x:row r="43">
      <x:c r="A43" s="20"/>
      <x:c r="B43" s="20"/>
      <x:c r="C43" s="20"/>
      <x:c r="D43" s="20"/>
      <x:c r="E43" s="20"/>
      <x:c r="F43" s="20"/>
      <x:c r="G43" s="20"/>
      <x:c r="H43" s="20"/>
    </x:row>
    <x:row r="44">
      <x:c r="A44" s="20"/>
      <x:c r="B44" s="20"/>
      <x:c r="C44" s="20"/>
      <x:c r="D44" s="20"/>
      <x:c r="E44" s="20"/>
      <x:c r="F44" s="20"/>
      <x:c r="G44" s="20"/>
      <x:c r="H44" s="20"/>
    </x:row>
    <x:row r="45">
      <x:c r="A45" s="20"/>
      <x:c r="B45" s="20"/>
      <x:c r="C45" s="20"/>
      <x:c r="D45" s="20"/>
      <x:c r="E45" s="20"/>
      <x:c r="F45" s="20"/>
      <x:c r="G45" s="20"/>
      <x:c r="H45" s="20"/>
    </x:row>
    <x:row r="46">
      <x:c r="A46" s="20"/>
      <x:c r="B46" s="20"/>
      <x:c r="C46" s="20"/>
      <x:c r="D46" s="20"/>
      <x:c r="E46" s="20"/>
      <x:c r="F46" s="20"/>
      <x:c r="G46" s="20"/>
      <x:c r="H46" s="20"/>
    </x:row>
    <x:row r="47">
      <x:c r="A47" s="20"/>
      <x:c r="B47" s="20"/>
      <x:c r="C47" s="20"/>
      <x:c r="D47" s="20"/>
      <x:c r="E47" s="20"/>
      <x:c r="F47" s="20"/>
      <x:c r="G47" s="20"/>
      <x:c r="H47" s="20"/>
    </x:row>
    <x:row r="48">
      <x:c r="A48" s="20"/>
      <x:c r="B48" s="20"/>
      <x:c r="C48" s="20"/>
      <x:c r="D48" s="20"/>
      <x:c r="E48" s="20"/>
      <x:c r="F48" s="20"/>
      <x:c r="G48" s="20"/>
      <x:c r="H48" s="20"/>
    </x:row>
    <x:row r="49">
      <x:c r="A49" s="20"/>
      <x:c r="B49" s="20"/>
      <x:c r="C49" s="20"/>
      <x:c r="D49" s="20"/>
      <x:c r="E49" s="20"/>
      <x:c r="F49" s="20"/>
      <x:c r="G49" s="20"/>
      <x:c r="H49" s="20"/>
    </x:row>
    <x:row r="50">
      <x:c r="A50" s="20"/>
      <x:c r="B50" s="20"/>
      <x:c r="C50" s="20"/>
      <x:c r="D50" s="20"/>
      <x:c r="E50" s="20"/>
      <x:c r="F50" s="20"/>
      <x:c r="G50" s="20"/>
      <x:c r="H50" s="20"/>
    </x:row>
    <x:row r="51">
      <x:c r="A51" s="20"/>
      <x:c r="B51" s="20"/>
      <x:c r="C51" s="20"/>
      <x:c r="D51" s="20"/>
      <x:c r="E51" s="20"/>
      <x:c r="F51" s="20"/>
      <x:c r="G51" s="20"/>
      <x:c r="H51" s="20"/>
    </x:row>
    <x:row r="52">
      <x:c r="A52" s="20"/>
      <x:c r="B52" s="20"/>
      <x:c r="C52" s="20"/>
      <x:c r="D52" s="20"/>
      <x:c r="E52" s="20"/>
      <x:c r="F52" s="20"/>
      <x:c r="G52" s="20"/>
      <x:c r="H52" s="20"/>
    </x:row>
    <x:row r="53">
      <x:c r="A53" s="20"/>
      <x:c r="B53" s="20"/>
      <x:c r="C53" s="20"/>
      <x:c r="D53" s="20"/>
      <x:c r="E53" s="20"/>
      <x:c r="F53" s="20"/>
      <x:c r="G53" s="20"/>
      <x:c r="H53" s="20"/>
    </x:row>
    <x:row r="54">
      <x:c r="A54" s="20"/>
      <x:c r="B54" s="20"/>
      <x:c r="C54" s="20"/>
      <x:c r="D54" s="20"/>
      <x:c r="E54" s="20"/>
      <x:c r="F54" s="20"/>
      <x:c r="G54" s="20"/>
      <x:c r="H54" s="20"/>
    </x:row>
    <x:row r="55">
      <x:c r="A55" s="20"/>
      <x:c r="B55" s="20"/>
      <x:c r="C55" s="20"/>
      <x:c r="D55" s="20"/>
      <x:c r="E55" s="20"/>
      <x:c r="F55" s="20"/>
      <x:c r="G55" s="20"/>
      <x:c r="H55" s="20"/>
    </x:row>
    <x:row r="56">
      <x:c r="A56" s="20"/>
      <x:c r="B56" s="20"/>
      <x:c r="C56" s="20"/>
      <x:c r="D56" s="20"/>
      <x:c r="E56" s="20"/>
      <x:c r="F56" s="20"/>
      <x:c r="G56" s="20"/>
      <x:c r="H56" s="20"/>
    </x:row>
    <x:row r="57">
      <x:c r="A57" s="20"/>
      <x:c r="B57" s="20"/>
      <x:c r="C57" s="20"/>
      <x:c r="D57" s="20"/>
      <x:c r="E57" s="20"/>
      <x:c r="F57" s="20"/>
      <x:c r="G57" s="20"/>
      <x:c r="H57" s="20"/>
    </x:row>
    <x:row r="58">
      <x:c r="A58" s="20"/>
      <x:c r="B58" s="20"/>
      <x:c r="C58" s="20"/>
      <x:c r="D58" s="20"/>
      <x:c r="E58" s="20"/>
      <x:c r="F58" s="20"/>
      <x:c r="G58" s="20"/>
      <x:c r="H58" s="20"/>
    </x:row>
    <x:row r="59">
      <x:c r="A59" s="20"/>
      <x:c r="B59" s="20"/>
      <x:c r="C59" s="20"/>
      <x:c r="D59" s="20"/>
      <x:c r="E59" s="20"/>
      <x:c r="F59" s="20"/>
      <x:c r="G59" s="20"/>
      <x:c r="H59" s="20"/>
    </x:row>
    <x:row r="60">
      <x:c r="A60" s="20"/>
      <x:c r="B60" s="20"/>
      <x:c r="C60" s="20"/>
      <x:c r="D60" s="20"/>
      <x:c r="E60" s="20"/>
      <x:c r="F60" s="20"/>
      <x:c r="G60" s="20"/>
      <x:c r="H60" s="20"/>
    </x:row>
    <x:row r="61">
      <x:c r="A61" s="20"/>
      <x:c r="B61" s="20"/>
      <x:c r="C61" s="20"/>
      <x:c r="D61" s="20"/>
      <x:c r="E61" s="20"/>
      <x:c r="F61" s="20"/>
      <x:c r="G61" s="20"/>
      <x:c r="H61" s="20"/>
    </x:row>
    <x:row r="62">
      <x:c r="A62" s="20"/>
      <x:c r="B62" s="20"/>
      <x:c r="C62" s="20"/>
      <x:c r="D62" s="20"/>
      <x:c r="E62" s="20"/>
      <x:c r="F62" s="20"/>
      <x:c r="G62" s="20"/>
      <x:c r="H62" s="20"/>
    </x:row>
    <x:row r="63">
      <x:c r="A63" s="20"/>
      <x:c r="B63" s="20"/>
      <x:c r="C63" s="20"/>
      <x:c r="D63" s="20"/>
      <x:c r="E63" s="20"/>
      <x:c r="F63" s="20"/>
      <x:c r="G63" s="20"/>
      <x:c r="H63" s="20"/>
    </x:row>
    <x:row r="64">
      <x:c r="A64" s="20"/>
      <x:c r="B64" s="20"/>
      <x:c r="C64" s="20"/>
      <x:c r="D64" s="20"/>
      <x:c r="E64" s="20"/>
      <x:c r="F64" s="20"/>
      <x:c r="G64" s="20"/>
      <x:c r="H64" s="20"/>
    </x:row>
    <x:row r="65">
      <x:c r="A65" s="20"/>
      <x:c r="B65" s="20"/>
      <x:c r="C65" s="20"/>
      <x:c r="D65" s="20"/>
      <x:c r="E65" s="20"/>
      <x:c r="F65" s="20"/>
      <x:c r="G65" s="20"/>
      <x:c r="H65" s="20"/>
    </x:row>
    <x:row r="66">
      <x:c r="A66" s="20"/>
      <x:c r="B66" s="20"/>
      <x:c r="C66" s="20"/>
      <x:c r="D66" s="20"/>
      <x:c r="E66" s="20"/>
      <x:c r="F66" s="20"/>
      <x:c r="G66" s="20"/>
      <x:c r="H66" s="20"/>
    </x:row>
    <x:row r="67">
      <x:c r="A67" s="20"/>
      <x:c r="B67" s="20"/>
      <x:c r="C67" s="20"/>
      <x:c r="D67" s="20"/>
      <x:c r="E67" s="20"/>
      <x:c r="F67" s="20"/>
      <x:c r="G67" s="20"/>
      <x:c r="H67" s="20"/>
    </x:row>
    <x:row r="68">
      <x:c r="A68" s="20"/>
      <x:c r="B68" s="20"/>
      <x:c r="C68" s="20"/>
      <x:c r="D68" s="20"/>
      <x:c r="E68" s="20"/>
      <x:c r="F68" s="20"/>
      <x:c r="G68" s="20"/>
      <x:c r="H68" s="20"/>
    </x:row>
    <x:row r="69">
      <x:c r="A69" s="20"/>
      <x:c r="B69" s="20"/>
      <x:c r="C69" s="20"/>
      <x:c r="D69" s="20"/>
      <x:c r="E69" s="20"/>
      <x:c r="F69" s="20"/>
      <x:c r="G69" s="20"/>
      <x:c r="H69" s="20"/>
    </x:row>
    <x:row r="70">
      <x:c r="A70" s="20"/>
      <x:c r="B70" s="20"/>
      <x:c r="C70" s="20"/>
      <x:c r="D70" s="20"/>
      <x:c r="E70" s="20"/>
      <x:c r="F70" s="20"/>
      <x:c r="G70" s="20"/>
      <x:c r="H70" s="20"/>
    </x:row>
    <x:row r="71">
      <x:c r="A71" s="20"/>
      <x:c r="B71" s="20"/>
      <x:c r="C71" s="20"/>
      <x:c r="D71" s="20"/>
      <x:c r="E71" s="20"/>
      <x:c r="F71" s="20"/>
      <x:c r="G71" s="20"/>
      <x:c r="H71" s="20"/>
    </x:row>
    <x:row r="72">
      <x:c r="A72" s="20"/>
      <x:c r="B72" s="20"/>
      <x:c r="C72" s="20"/>
      <x:c r="D72" s="20"/>
      <x:c r="E72" s="20"/>
      <x:c r="F72" s="20"/>
      <x:c r="G72" s="20"/>
      <x:c r="H72" s="20"/>
    </x:row>
    <x:row r="73">
      <x:c r="A73" s="20"/>
      <x:c r="B73" s="20"/>
      <x:c r="C73" s="20"/>
      <x:c r="D73" s="20"/>
      <x:c r="E73" s="20"/>
      <x:c r="F73" s="20"/>
      <x:c r="G73" s="20"/>
      <x:c r="H73" s="20"/>
    </x:row>
    <x:row r="74">
      <x:c r="A74" s="20"/>
      <x:c r="B74" s="20"/>
      <x:c r="C74" s="20"/>
      <x:c r="D74" s="20"/>
      <x:c r="E74" s="20"/>
      <x:c r="F74" s="20"/>
      <x:c r="G74" s="20"/>
      <x:c r="H74" s="20"/>
    </x:row>
    <x:row r="75">
      <x:c r="A75" s="20"/>
      <x:c r="B75" s="20"/>
      <x:c r="C75" s="20"/>
      <x:c r="D75" s="20"/>
      <x:c r="E75" s="20"/>
      <x:c r="F75" s="20"/>
      <x:c r="G75" s="20"/>
      <x:c r="H75" s="20"/>
    </x:row>
    <x:row r="76">
      <x:c r="A76" s="20"/>
      <x:c r="B76" s="20"/>
      <x:c r="C76" s="20"/>
      <x:c r="D76" s="20"/>
      <x:c r="E76" s="20"/>
      <x:c r="F76" s="20"/>
      <x:c r="G76" s="20"/>
      <x:c r="H76" s="20"/>
    </x:row>
    <x:row r="77">
      <x:c r="A77" s="20"/>
      <x:c r="B77" s="20"/>
      <x:c r="C77" s="20"/>
      <x:c r="D77" s="20"/>
      <x:c r="E77" s="20"/>
      <x:c r="F77" s="20"/>
      <x:c r="G77" s="20"/>
      <x:c r="H77" s="20"/>
    </x:row>
    <x:row r="78">
      <x:c r="A78" s="20"/>
      <x:c r="B78" s="20"/>
      <x:c r="C78" s="20"/>
      <x:c r="D78" s="20"/>
      <x:c r="E78" s="20"/>
      <x:c r="F78" s="20"/>
      <x:c r="G78" s="20"/>
      <x:c r="H78" s="20"/>
    </x:row>
    <x:row r="79">
      <x:c r="A79" s="20"/>
      <x:c r="B79" s="20"/>
      <x:c r="C79" s="20"/>
      <x:c r="D79" s="20"/>
      <x:c r="E79" s="20"/>
      <x:c r="F79" s="20"/>
      <x:c r="G79" s="20"/>
      <x:c r="H79" s="20"/>
    </x:row>
    <x:row r="80">
      <x:c r="A80" s="20"/>
      <x:c r="B80" s="20"/>
      <x:c r="C80" s="20"/>
      <x:c r="D80" s="20"/>
      <x:c r="E80" s="20"/>
      <x:c r="F80" s="20"/>
      <x:c r="G80" s="20"/>
      <x:c r="H80" s="20"/>
    </x:row>
  </x:sheetData>
  <x:mergeCells>
    <x:mergeCell ref="A1:H1"/>
    <x:mergeCell ref="A34:H34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22" hidden="0" customWidth="1"/>
    <x:col min="4" max="4" width="24" hidden="0" customWidth="1"/>
    <x:col min="5" max="5" width="28" hidden="0" customWidth="1"/>
    <x:col min="6" max="6" width="34" hidden="0" customWidth="1"/>
    <x:col min="7" max="7" width="18" hidden="0" customWidth="1"/>
    <x:col min="8" max="8" width="30" hidden="0" customWidth="1"/>
  </x:cols>
  <x:sheetData>
    <x:row r="1" ht="24" customHeight="1">
      <x:c r="A1" s="142" t="str">
        <x:v>Shop Rotation</x:v>
      </x:c>
      <x:c r="B1" s="142"/>
      <x:c r="C1" s="142"/>
      <x:c r="D1" s="142"/>
      <x:c r="E1" s="142"/>
      <x:c r="F1" s="142"/>
      <x:c r="G1" s="142"/>
      <x:c r="H1" s="142"/>
    </x:row>
    <x:row r="2" ht="30" customHeight="1">
      <x:c r="A2" s="143" t="str">
        <x:v>Slot</x:v>
      </x:c>
      <x:c r="B2" s="143" t="str">
        <x:v>Rotation</x:v>
      </x:c>
      <x:c r="C2" s="143" t="str">
        <x:v>Payment</x:v>
      </x:c>
      <x:c r="D2" s="143" t="str">
        <x:v>Item Type</x:v>
      </x:c>
      <x:c r="E2" s="143" t="str">
        <x:v>Example</x:v>
      </x:c>
      <x:c r="F2" s="143" t="str">
        <x:v>Restriction</x:v>
      </x:c>
      <x:c r="G2" s="143" t="str">
        <x:v>Power Level</x:v>
      </x:c>
      <x:c r="H2" s="143" t="str">
        <x:v>Notes</x:v>
      </x:c>
    </x:row>
    <x:row r="3">
      <x:c r="A3" s="20" t="str">
        <x:v>Featured Pack</x:v>
      </x:c>
      <x:c r="B3" s="20" t="str">
        <x:v>Weekly</x:v>
      </x:c>
      <x:c r="C3" s="20" t="str">
        <x:v>$PLOT</x:v>
      </x:c>
      <x:c r="D3" s="20" t="str">
        <x:v>Deterministic pack</x:v>
      </x:c>
      <x:c r="E3" s="20" t="str">
        <x:v>Season Launch Pack</x:v>
      </x:c>
      <x:c r="F3" s="20" t="str">
        <x:v>Purchase cap</x:v>
      </x:c>
      <x:c r="G3" s="20" t="str">
        <x:v>Medium</x:v>
      </x:c>
      <x:c r="H3" s="20" t="str">
        <x:v>Known contents.</x:v>
      </x:c>
    </x:row>
    <x:row r="4">
      <x:c r="A4" s="20" t="str">
        <x:v>Daily Utility</x:v>
      </x:c>
      <x:c r="B4" s="20" t="str">
        <x:v>Daily</x:v>
      </x:c>
      <x:c r="C4" s="20" t="str">
        <x:v>Cash / earned currency</x:v>
      </x:c>
      <x:c r="D4" s="20" t="str">
        <x:v>Consumable</x:v>
      </x:c>
      <x:c r="E4" s="20" t="str">
        <x:v>Market Hunt Ticket</x:v>
      </x:c>
      <x:c r="F4" s="20" t="str">
        <x:v>Daily cap</x:v>
      </x:c>
      <x:c r="G4" s="20" t="str">
        <x:v>Low</x:v>
      </x:c>
      <x:c r="H4" s="20" t="str">
        <x:v>Can create soft-currency sink.</x:v>
      </x:c>
    </x:row>
    <x:row r="5">
      <x:c r="A5" s="20" t="str">
        <x:v>Premium Utility</x:v>
      </x:c>
      <x:c r="B5" s="20" t="str">
        <x:v>Daily</x:v>
      </x:c>
      <x:c r="C5" s="20" t="str">
        <x:v>$PLOT</x:v>
      </x:c>
      <x:c r="D5" s="20" t="str">
        <x:v>Convenience</x:v>
      </x:c>
      <x:c r="E5" s="20" t="str">
        <x:v>Opportunity Reroll bundle</x:v>
      </x:c>
      <x:c r="F5" s="20" t="str">
        <x:v>Daily cap</x:v>
      </x:c>
      <x:c r="G5" s="20" t="str">
        <x:v>Low</x:v>
      </x:c>
      <x:c r="H5" s="20" t="str">
        <x:v>Avoid progression bypass.</x:v>
      </x:c>
    </x:row>
    <x:row r="6">
      <x:c r="A6" s="20" t="str">
        <x:v>Cosmetic Feature</x:v>
      </x:c>
      <x:c r="B6" s="20" t="str">
        <x:v>Weekly</x:v>
      </x:c>
      <x:c r="C6" s="20" t="str">
        <x:v>$PLOT</x:v>
      </x:c>
      <x:c r="D6" s="20" t="str">
        <x:v>Cosmetic</x:v>
      </x:c>
      <x:c r="E6" s="20" t="str">
        <x:v>City skin / building skin</x:v>
      </x:c>
      <x:c r="F6" s="20" t="str">
        <x:v>None</x:v>
      </x:c>
      <x:c r="G6" s="20" t="str">
        <x:v>None</x:v>
      </x:c>
      <x:c r="H6" s="20" t="str">
        <x:v>Best premium sink.</x:v>
      </x:c>
    </x:row>
    <x:row r="7">
      <x:c r="A7" s="20" t="str">
        <x:v>Event Store</x:v>
      </x:c>
      <x:c r="B7" s="20" t="str">
        <x:v>Event</x:v>
      </x:c>
      <x:c r="C7" s="20" t="str">
        <x:v>Event currency</x:v>
      </x:c>
      <x:c r="D7" s="20" t="str">
        <x:v>Materials / cosmetic</x:v>
      </x:c>
      <x:c r="E7" s="20" t="str">
        <x:v>Event material</x:v>
      </x:c>
      <x:c r="F7" s="20" t="str">
        <x:v>Event limit</x:v>
      </x:c>
      <x:c r="G7" s="20" t="str">
        <x:v>Medium</x:v>
      </x:c>
      <x:c r="H7" s="20" t="str">
        <x:v>Earned progression.</x:v>
      </x:c>
    </x:row>
    <x:row r="8">
      <x:c r="A8" s="20" t="str">
        <x:v>Case Key Store</x:v>
      </x:c>
      <x:c r="B8" s="20" t="str">
        <x:v>Event/Season</x:v>
      </x:c>
      <x:c r="C8" s="20" t="str">
        <x:v>Earned event currency</x:v>
      </x:c>
      <x:c r="D8" s="20" t="str">
        <x:v>Keys</x:v>
      </x:c>
      <x:c r="E8" s="20" t="str">
        <x:v>Event Key</x:v>
      </x:c>
      <x:c r="F8" s="20" t="str">
        <x:v>Cap</x:v>
      </x:c>
      <x:c r="G8" s="20" t="str">
        <x:v>Medium</x:v>
      </x:c>
      <x:c r="H8" s="20" t="str">
        <x:v>Prefer earned currency, not direct token gacha.</x:v>
      </x:c>
    </x:row>
    <x:row r="9">
      <x:c r="A9" s="20" t="str">
        <x:v>Marketplace Fee</x:v>
      </x:c>
      <x:c r="B9" s="20" t="str">
        <x:v>Always</x:v>
      </x:c>
      <x:c r="C9" s="20" t="str">
        <x:v>$PLOT or Cash</x:v>
      </x:c>
      <x:c r="D9" s="20" t="str">
        <x:v>Service fee</x:v>
      </x:c>
      <x:c r="E9" s="20" t="str">
        <x:v>Player market listing fee</x:v>
      </x:c>
      <x:c r="F9" s="20" t="str">
        <x:v>Rule-based</x:v>
      </x:c>
      <x:c r="G9" s="20" t="str">
        <x:v>None</x:v>
      </x:c>
      <x:c r="H9" s="20" t="str">
        <x:v>Token utility without direct power sale.</x:v>
      </x:c>
    </x:row>
    <x:row r="10">
      <x:c r="A10" s="20"/>
      <x:c r="B10" s="20"/>
      <x:c r="C10" s="20"/>
      <x:c r="D10" s="20"/>
      <x:c r="E10" s="20"/>
      <x:c r="F10" s="20"/>
      <x:c r="G10" s="20"/>
      <x:c r="H10" s="20"/>
    </x:row>
    <x:row r="11">
      <x:c r="A11" s="20"/>
      <x:c r="B11" s="20"/>
      <x:c r="C11" s="20"/>
      <x:c r="D11" s="20"/>
      <x:c r="E11" s="20"/>
      <x:c r="F11" s="20"/>
      <x:c r="G11" s="20"/>
      <x:c r="H11" s="20"/>
    </x:row>
    <x:row r="12">
      <x:c r="A12" s="20"/>
      <x:c r="B12" s="20"/>
      <x:c r="C12" s="20"/>
      <x:c r="D12" s="20"/>
      <x:c r="E12" s="20"/>
      <x:c r="F12" s="20"/>
      <x:c r="G12" s="20"/>
      <x:c r="H12" s="20"/>
    </x:row>
    <x:row r="13">
      <x:c r="A13" s="20"/>
      <x:c r="B13" s="20"/>
      <x:c r="C13" s="20"/>
      <x:c r="D13" s="20"/>
      <x:c r="E13" s="20"/>
      <x:c r="F13" s="20"/>
      <x:c r="G13" s="20"/>
      <x:c r="H13" s="20"/>
    </x:row>
    <x:row r="14">
      <x:c r="A14" s="20"/>
      <x:c r="B14" s="20"/>
      <x:c r="C14" s="20"/>
      <x:c r="D14" s="20"/>
      <x:c r="E14" s="20"/>
      <x:c r="F14" s="20"/>
      <x:c r="G14" s="20"/>
      <x:c r="H14" s="20"/>
    </x:row>
    <x:row r="15">
      <x:c r="A15" s="20"/>
      <x:c r="B15" s="20"/>
      <x:c r="C15" s="20"/>
      <x:c r="D15" s="20"/>
      <x:c r="E15" s="20"/>
      <x:c r="F15" s="20"/>
      <x:c r="G15" s="20"/>
      <x:c r="H15" s="20"/>
    </x:row>
    <x:row r="16">
      <x:c r="A16" s="20"/>
      <x:c r="B16" s="20"/>
      <x:c r="C16" s="20"/>
      <x:c r="D16" s="20"/>
      <x:c r="E16" s="20"/>
      <x:c r="F16" s="20"/>
      <x:c r="G16" s="20"/>
      <x:c r="H16" s="20"/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  <x:row r="21">
      <x:c r="A21" s="20"/>
      <x:c r="B21" s="20"/>
      <x:c r="C21" s="20"/>
      <x:c r="D21" s="20"/>
      <x:c r="E21" s="20"/>
      <x:c r="F21" s="20"/>
      <x:c r="G21" s="20"/>
      <x:c r="H21" s="20"/>
    </x:row>
    <x:row r="22">
      <x:c r="A22" s="20"/>
      <x:c r="B22" s="20"/>
      <x:c r="C22" s="20"/>
      <x:c r="D22" s="20"/>
      <x:c r="E22" s="20"/>
      <x:c r="F22" s="20"/>
      <x:c r="G22" s="20"/>
      <x:c r="H22" s="20"/>
    </x:row>
    <x:row r="23">
      <x:c r="A23" s="20"/>
      <x:c r="B23" s="20"/>
      <x:c r="C23" s="20"/>
      <x:c r="D23" s="20"/>
      <x:c r="E23" s="20"/>
      <x:c r="F23" s="20"/>
      <x:c r="G23" s="20"/>
      <x:c r="H23" s="20"/>
    </x:row>
    <x:row r="24">
      <x:c r="A24" s="20"/>
      <x:c r="B24" s="20"/>
      <x:c r="C24" s="20"/>
      <x:c r="D24" s="20"/>
      <x:c r="E24" s="20"/>
      <x:c r="F24" s="20"/>
      <x:c r="G24" s="20"/>
      <x:c r="H24" s="20"/>
    </x:row>
    <x:row r="25">
      <x:c r="A25" s="20"/>
      <x:c r="B25" s="20"/>
      <x:c r="C25" s="20"/>
      <x:c r="D25" s="20"/>
      <x:c r="E25" s="20"/>
      <x:c r="F25" s="20"/>
      <x:c r="G25" s="20"/>
      <x:c r="H25" s="20"/>
    </x:row>
    <x:row r="26">
      <x:c r="A26" s="20"/>
      <x:c r="B26" s="20"/>
      <x:c r="C26" s="20"/>
      <x:c r="D26" s="20"/>
      <x:c r="E26" s="20"/>
      <x:c r="F26" s="20"/>
      <x:c r="G26" s="20"/>
      <x:c r="H26" s="20"/>
    </x:row>
    <x:row r="27">
      <x:c r="A27" s="20"/>
      <x:c r="B27" s="20"/>
      <x:c r="C27" s="20"/>
      <x:c r="D27" s="20"/>
      <x:c r="E27" s="20"/>
      <x:c r="F27" s="20"/>
      <x:c r="G27" s="20"/>
      <x:c r="H27" s="20"/>
    </x:row>
    <x:row r="28">
      <x:c r="A28" s="20"/>
      <x:c r="B28" s="20"/>
      <x:c r="C28" s="20"/>
      <x:c r="D28" s="20"/>
      <x:c r="E28" s="20"/>
      <x:c r="F28" s="20"/>
      <x:c r="G28" s="20"/>
      <x:c r="H28" s="20"/>
    </x:row>
    <x:row r="29">
      <x:c r="A29" s="20"/>
      <x:c r="B29" s="20"/>
      <x:c r="C29" s="20"/>
      <x:c r="D29" s="20"/>
      <x:c r="E29" s="20"/>
      <x:c r="F29" s="20"/>
      <x:c r="G29" s="20"/>
      <x:c r="H29" s="20"/>
    </x:row>
    <x:row r="30">
      <x:c r="A30" s="20"/>
      <x:c r="B30" s="20"/>
      <x:c r="C30" s="20"/>
      <x:c r="D30" s="20"/>
      <x:c r="E30" s="20"/>
      <x:c r="F30" s="20"/>
      <x:c r="G30" s="20"/>
      <x:c r="H30" s="20"/>
    </x:row>
    <x:row r="31">
      <x:c r="A31" s="20"/>
      <x:c r="B31" s="20"/>
      <x:c r="C31" s="20"/>
      <x:c r="D31" s="20"/>
      <x:c r="E31" s="20"/>
      <x:c r="F31" s="20"/>
      <x:c r="G31" s="20"/>
      <x:c r="H31" s="20"/>
    </x:row>
    <x:row r="32">
      <x:c r="A32" s="20"/>
      <x:c r="B32" s="20"/>
      <x:c r="C32" s="20"/>
      <x:c r="D32" s="20"/>
      <x:c r="E32" s="20"/>
      <x:c r="F32" s="20"/>
      <x:c r="G32" s="20"/>
      <x:c r="H32" s="20"/>
    </x:row>
    <x:row r="33">
      <x:c r="A33" s="20"/>
      <x:c r="B33" s="20"/>
      <x:c r="C33" s="20"/>
      <x:c r="D33" s="20"/>
      <x:c r="E33" s="20"/>
      <x:c r="F33" s="20"/>
      <x:c r="G33" s="20"/>
      <x:c r="H33" s="20"/>
    </x:row>
    <x:row r="34">
      <x:c r="A34" s="20"/>
      <x:c r="B34" s="20"/>
      <x:c r="C34" s="20"/>
      <x:c r="D34" s="20"/>
      <x:c r="E34" s="20"/>
      <x:c r="F34" s="20"/>
      <x:c r="G34" s="20"/>
      <x:c r="H34" s="20"/>
    </x:row>
    <x:row r="35">
      <x:c r="A35" s="20"/>
      <x:c r="B35" s="20"/>
      <x:c r="C35" s="20"/>
      <x:c r="D35" s="20"/>
      <x:c r="E35" s="20"/>
      <x:c r="F35" s="20"/>
      <x:c r="G35" s="20"/>
      <x:c r="H35" s="20"/>
    </x:row>
    <x:row r="36">
      <x:c r="A36" s="20"/>
      <x:c r="B36" s="20"/>
      <x:c r="C36" s="20"/>
      <x:c r="D36" s="20"/>
      <x:c r="E36" s="20"/>
      <x:c r="F36" s="20"/>
      <x:c r="G36" s="20"/>
      <x:c r="H36" s="20"/>
    </x:row>
    <x:row r="37">
      <x:c r="A37" s="20"/>
      <x:c r="B37" s="20"/>
      <x:c r="C37" s="20"/>
      <x:c r="D37" s="20"/>
      <x:c r="E37" s="20"/>
      <x:c r="F37" s="20"/>
      <x:c r="G37" s="20"/>
      <x:c r="H37" s="20"/>
    </x:row>
    <x:row r="38">
      <x:c r="A38" s="20"/>
      <x:c r="B38" s="20"/>
      <x:c r="C38" s="20"/>
      <x:c r="D38" s="20"/>
      <x:c r="E38" s="20"/>
      <x:c r="F38" s="20"/>
      <x:c r="G38" s="20"/>
      <x:c r="H38" s="20"/>
    </x:row>
    <x:row r="39">
      <x:c r="A39" s="20"/>
      <x:c r="B39" s="20"/>
      <x:c r="C39" s="20"/>
      <x:c r="D39" s="20"/>
      <x:c r="E39" s="20"/>
      <x:c r="F39" s="20"/>
      <x:c r="G39" s="20"/>
      <x:c r="H39" s="20"/>
    </x:row>
    <x:row r="40">
      <x:c r="A40" s="20"/>
      <x:c r="B40" s="20"/>
      <x:c r="C40" s="20"/>
      <x:c r="D40" s="20"/>
      <x:c r="E40" s="20"/>
      <x:c r="F40" s="20"/>
      <x:c r="G40" s="20"/>
      <x:c r="H40" s="20"/>
    </x:row>
    <x:row r="41">
      <x:c r="A41" s="20"/>
      <x:c r="B41" s="20"/>
      <x:c r="C41" s="20"/>
      <x:c r="D41" s="20"/>
      <x:c r="E41" s="20"/>
      <x:c r="F41" s="20"/>
      <x:c r="G41" s="20"/>
      <x:c r="H41" s="20"/>
    </x:row>
    <x:row r="42">
      <x:c r="A42" s="20"/>
      <x:c r="B42" s="20"/>
      <x:c r="C42" s="20"/>
      <x:c r="D42" s="20"/>
      <x:c r="E42" s="20"/>
      <x:c r="F42" s="20"/>
      <x:c r="G42" s="20"/>
      <x:c r="H42" s="20"/>
    </x:row>
    <x:row r="43">
      <x:c r="A43" s="20"/>
      <x:c r="B43" s="20"/>
      <x:c r="C43" s="20"/>
      <x:c r="D43" s="20"/>
      <x:c r="E43" s="20"/>
      <x:c r="F43" s="20"/>
      <x:c r="G43" s="20"/>
      <x:c r="H43" s="20"/>
    </x:row>
    <x:row r="44">
      <x:c r="A44" s="20"/>
      <x:c r="B44" s="20"/>
      <x:c r="C44" s="20"/>
      <x:c r="D44" s="20"/>
      <x:c r="E44" s="20"/>
      <x:c r="F44" s="20"/>
      <x:c r="G44" s="20"/>
      <x:c r="H44" s="20"/>
    </x:row>
    <x:row r="45">
      <x:c r="A45" s="20"/>
      <x:c r="B45" s="20"/>
      <x:c r="C45" s="20"/>
      <x:c r="D45" s="20"/>
      <x:c r="E45" s="20"/>
      <x:c r="F45" s="20"/>
      <x:c r="G45" s="20"/>
      <x:c r="H45" s="20"/>
    </x:row>
    <x:row r="46">
      <x:c r="A46" s="20"/>
      <x:c r="B46" s="20"/>
      <x:c r="C46" s="20"/>
      <x:c r="D46" s="20"/>
      <x:c r="E46" s="20"/>
      <x:c r="F46" s="20"/>
      <x:c r="G46" s="20"/>
      <x:c r="H46" s="20"/>
    </x:row>
    <x:row r="47">
      <x:c r="A47" s="20"/>
      <x:c r="B47" s="20"/>
      <x:c r="C47" s="20"/>
      <x:c r="D47" s="20"/>
      <x:c r="E47" s="20"/>
      <x:c r="F47" s="20"/>
      <x:c r="G47" s="20"/>
      <x:c r="H47" s="20"/>
    </x:row>
    <x:row r="48">
      <x:c r="A48" s="20"/>
      <x:c r="B48" s="20"/>
      <x:c r="C48" s="20"/>
      <x:c r="D48" s="20"/>
      <x:c r="E48" s="20"/>
      <x:c r="F48" s="20"/>
      <x:c r="G48" s="20"/>
      <x:c r="H48" s="20"/>
    </x:row>
    <x:row r="49">
      <x:c r="A49" s="20"/>
      <x:c r="B49" s="20"/>
      <x:c r="C49" s="20"/>
      <x:c r="D49" s="20"/>
      <x:c r="E49" s="20"/>
      <x:c r="F49" s="20"/>
      <x:c r="G49" s="20"/>
      <x:c r="H49" s="20"/>
    </x:row>
    <x:row r="50">
      <x:c r="A50" s="20"/>
      <x:c r="B50" s="20"/>
      <x:c r="C50" s="20"/>
      <x:c r="D50" s="20"/>
      <x:c r="E50" s="20"/>
      <x:c r="F50" s="20"/>
      <x:c r="G50" s="20"/>
      <x:c r="H50" s="20"/>
    </x:row>
    <x:row r="51">
      <x:c r="A51" s="20"/>
      <x:c r="B51" s="20"/>
      <x:c r="C51" s="20"/>
      <x:c r="D51" s="20"/>
      <x:c r="E51" s="20"/>
      <x:c r="F51" s="20"/>
      <x:c r="G51" s="20"/>
      <x:c r="H51" s="20"/>
    </x:row>
    <x:row r="52">
      <x:c r="A52" s="20"/>
      <x:c r="B52" s="20"/>
      <x:c r="C52" s="20"/>
      <x:c r="D52" s="20"/>
      <x:c r="E52" s="20"/>
      <x:c r="F52" s="20"/>
      <x:c r="G52" s="20"/>
      <x:c r="H52" s="20"/>
    </x:row>
    <x:row r="53">
      <x:c r="A53" s="20"/>
      <x:c r="B53" s="20"/>
      <x:c r="C53" s="20"/>
      <x:c r="D53" s="20"/>
      <x:c r="E53" s="20"/>
      <x:c r="F53" s="20"/>
      <x:c r="G53" s="20"/>
      <x:c r="H53" s="20"/>
    </x:row>
    <x:row r="54">
      <x:c r="A54" s="20"/>
      <x:c r="B54" s="20"/>
      <x:c r="C54" s="20"/>
      <x:c r="D54" s="20"/>
      <x:c r="E54" s="20"/>
      <x:c r="F54" s="20"/>
      <x:c r="G54" s="20"/>
      <x:c r="H54" s="20"/>
    </x:row>
    <x:row r="55">
      <x:c r="A55" s="20"/>
      <x:c r="B55" s="20"/>
      <x:c r="C55" s="20"/>
      <x:c r="D55" s="20"/>
      <x:c r="E55" s="20"/>
      <x:c r="F55" s="20"/>
      <x:c r="G55" s="20"/>
      <x:c r="H55" s="20"/>
    </x:row>
    <x:row r="56">
      <x:c r="A56" s="20"/>
      <x:c r="B56" s="20"/>
      <x:c r="C56" s="20"/>
      <x:c r="D56" s="20"/>
      <x:c r="E56" s="20"/>
      <x:c r="F56" s="20"/>
      <x:c r="G56" s="20"/>
      <x:c r="H56" s="20"/>
    </x:row>
    <x:row r="57">
      <x:c r="A57" s="20"/>
      <x:c r="B57" s="20"/>
      <x:c r="C57" s="20"/>
      <x:c r="D57" s="20"/>
      <x:c r="E57" s="20"/>
      <x:c r="F57" s="20"/>
      <x:c r="G57" s="20"/>
      <x:c r="H57" s="20"/>
    </x:row>
    <x:row r="58">
      <x:c r="A58" s="20"/>
      <x:c r="B58" s="20"/>
      <x:c r="C58" s="20"/>
      <x:c r="D58" s="20"/>
      <x:c r="E58" s="20"/>
      <x:c r="F58" s="20"/>
      <x:c r="G58" s="20"/>
      <x:c r="H58" s="20"/>
    </x:row>
    <x:row r="59">
      <x:c r="A59" s="20"/>
      <x:c r="B59" s="20"/>
      <x:c r="C59" s="20"/>
      <x:c r="D59" s="20"/>
      <x:c r="E59" s="20"/>
      <x:c r="F59" s="20"/>
      <x:c r="G59" s="20"/>
      <x:c r="H59" s="20"/>
    </x:row>
    <x:row r="60">
      <x:c r="A60" s="20"/>
      <x:c r="B60" s="20"/>
      <x:c r="C60" s="20"/>
      <x:c r="D60" s="20"/>
      <x:c r="E60" s="20"/>
      <x:c r="F60" s="20"/>
      <x:c r="G60" s="20"/>
      <x:c r="H60" s="20"/>
    </x:row>
    <x:row r="61">
      <x:c r="A61" s="20"/>
      <x:c r="B61" s="20"/>
      <x:c r="C61" s="20"/>
      <x:c r="D61" s="20"/>
      <x:c r="E61" s="20"/>
      <x:c r="F61" s="20"/>
      <x:c r="G61" s="20"/>
      <x:c r="H61" s="20"/>
    </x:row>
    <x:row r="62">
      <x:c r="A62" s="20"/>
      <x:c r="B62" s="20"/>
      <x:c r="C62" s="20"/>
      <x:c r="D62" s="20"/>
      <x:c r="E62" s="20"/>
      <x:c r="F62" s="20"/>
      <x:c r="G62" s="20"/>
      <x:c r="H62" s="20"/>
    </x:row>
    <x:row r="63">
      <x:c r="A63" s="20"/>
      <x:c r="B63" s="20"/>
      <x:c r="C63" s="20"/>
      <x:c r="D63" s="20"/>
      <x:c r="E63" s="20"/>
      <x:c r="F63" s="20"/>
      <x:c r="G63" s="20"/>
      <x:c r="H63" s="20"/>
    </x:row>
    <x:row r="64">
      <x:c r="A64" s="20"/>
      <x:c r="B64" s="20"/>
      <x:c r="C64" s="20"/>
      <x:c r="D64" s="20"/>
      <x:c r="E64" s="20"/>
      <x:c r="F64" s="20"/>
      <x:c r="G64" s="20"/>
      <x:c r="H64" s="20"/>
    </x:row>
    <x:row r="65">
      <x:c r="A65" s="20"/>
      <x:c r="B65" s="20"/>
      <x:c r="C65" s="20"/>
      <x:c r="D65" s="20"/>
      <x:c r="E65" s="20"/>
      <x:c r="F65" s="20"/>
      <x:c r="G65" s="20"/>
      <x:c r="H65" s="20"/>
    </x:row>
    <x:row r="66">
      <x:c r="A66" s="20"/>
      <x:c r="B66" s="20"/>
      <x:c r="C66" s="20"/>
      <x:c r="D66" s="20"/>
      <x:c r="E66" s="20"/>
      <x:c r="F66" s="20"/>
      <x:c r="G66" s="20"/>
      <x:c r="H66" s="20"/>
    </x:row>
    <x:row r="67">
      <x:c r="A67" s="20"/>
      <x:c r="B67" s="20"/>
      <x:c r="C67" s="20"/>
      <x:c r="D67" s="20"/>
      <x:c r="E67" s="20"/>
      <x:c r="F67" s="20"/>
      <x:c r="G67" s="20"/>
      <x:c r="H67" s="20"/>
    </x:row>
    <x:row r="68">
      <x:c r="A68" s="20"/>
      <x:c r="B68" s="20"/>
      <x:c r="C68" s="20"/>
      <x:c r="D68" s="20"/>
      <x:c r="E68" s="20"/>
      <x:c r="F68" s="20"/>
      <x:c r="G68" s="20"/>
      <x:c r="H68" s="20"/>
    </x:row>
    <x:row r="69">
      <x:c r="A69" s="20"/>
      <x:c r="B69" s="20"/>
      <x:c r="C69" s="20"/>
      <x:c r="D69" s="20"/>
      <x:c r="E69" s="20"/>
      <x:c r="F69" s="20"/>
      <x:c r="G69" s="20"/>
      <x:c r="H69" s="20"/>
    </x:row>
    <x:row r="70">
      <x:c r="A70" s="20"/>
      <x:c r="B70" s="20"/>
      <x:c r="C70" s="20"/>
      <x:c r="D70" s="20"/>
      <x:c r="E70" s="20"/>
      <x:c r="F70" s="20"/>
      <x:c r="G70" s="20"/>
      <x:c r="H70" s="20"/>
    </x:row>
    <x:row r="71">
      <x:c r="A71" s="20"/>
      <x:c r="B71" s="20"/>
      <x:c r="C71" s="20"/>
      <x:c r="D71" s="20"/>
      <x:c r="E71" s="20"/>
      <x:c r="F71" s="20"/>
      <x:c r="G71" s="20"/>
      <x:c r="H71" s="20"/>
    </x:row>
    <x:row r="72">
      <x:c r="A72" s="20"/>
      <x:c r="B72" s="20"/>
      <x:c r="C72" s="20"/>
      <x:c r="D72" s="20"/>
      <x:c r="E72" s="20"/>
      <x:c r="F72" s="20"/>
      <x:c r="G72" s="20"/>
      <x:c r="H72" s="20"/>
    </x:row>
    <x:row r="73">
      <x:c r="A73" s="20"/>
      <x:c r="B73" s="20"/>
      <x:c r="C73" s="20"/>
      <x:c r="D73" s="20"/>
      <x:c r="E73" s="20"/>
      <x:c r="F73" s="20"/>
      <x:c r="G73" s="20"/>
      <x:c r="H73" s="20"/>
    </x:row>
    <x:row r="74">
      <x:c r="A74" s="20"/>
      <x:c r="B74" s="20"/>
      <x:c r="C74" s="20"/>
      <x:c r="D74" s="20"/>
      <x:c r="E74" s="20"/>
      <x:c r="F74" s="20"/>
      <x:c r="G74" s="20"/>
      <x:c r="H74" s="20"/>
    </x:row>
    <x:row r="75">
      <x:c r="A75" s="20"/>
      <x:c r="B75" s="20"/>
      <x:c r="C75" s="20"/>
      <x:c r="D75" s="20"/>
      <x:c r="E75" s="20"/>
      <x:c r="F75" s="20"/>
      <x:c r="G75" s="20"/>
      <x:c r="H75" s="20"/>
    </x:row>
    <x:row r="76">
      <x:c r="A76" s="20"/>
      <x:c r="B76" s="20"/>
      <x:c r="C76" s="20"/>
      <x:c r="D76" s="20"/>
      <x:c r="E76" s="20"/>
      <x:c r="F76" s="20"/>
      <x:c r="G76" s="20"/>
      <x:c r="H76" s="20"/>
    </x:row>
    <x:row r="77">
      <x:c r="A77" s="20"/>
      <x:c r="B77" s="20"/>
      <x:c r="C77" s="20"/>
      <x:c r="D77" s="20"/>
      <x:c r="E77" s="20"/>
      <x:c r="F77" s="20"/>
      <x:c r="G77" s="20"/>
      <x:c r="H77" s="20"/>
    </x:row>
    <x:row r="78">
      <x:c r="A78" s="20"/>
      <x:c r="B78" s="20"/>
      <x:c r="C78" s="20"/>
      <x:c r="D78" s="20"/>
      <x:c r="E78" s="20"/>
      <x:c r="F78" s="20"/>
      <x:c r="G78" s="20"/>
      <x:c r="H78" s="20"/>
    </x:row>
    <x:row r="79">
      <x:c r="A79" s="20"/>
      <x:c r="B79" s="20"/>
      <x:c r="C79" s="20"/>
      <x:c r="D79" s="20"/>
      <x:c r="E79" s="20"/>
      <x:c r="F79" s="20"/>
      <x:c r="G79" s="20"/>
      <x:c r="H79" s="20"/>
    </x:row>
    <x:row r="80">
      <x:c r="A80" s="20"/>
      <x:c r="B80" s="20"/>
      <x:c r="C80" s="20"/>
      <x:c r="D80" s="20"/>
      <x:c r="E80" s="20"/>
      <x:c r="F80" s="20"/>
      <x:c r="G80" s="20"/>
      <x:c r="H80" s="20"/>
    </x:row>
  </x:sheetData>
  <x:mergeCells>
    <x:mergeCell ref="A1:H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20" hidden="0" customWidth="1"/>
    <x:col min="4" max="4" width="22" hidden="0" customWidth="1"/>
    <x:col min="5" max="5" width="22" hidden="0" customWidth="1"/>
    <x:col min="6" max="6" width="20" hidden="0" customWidth="1"/>
    <x:col min="7" max="7" width="18" hidden="0" customWidth="1"/>
    <x:col min="8" max="8" width="18" hidden="0" customWidth="1"/>
  </x:cols>
  <x:sheetData>
    <x:row r="1" ht="24" customHeight="1">
      <x:c r="A1" s="142" t="str">
        <x:v>Token Sink Routing</x:v>
      </x:c>
      <x:c r="B1" s="142"/>
      <x:c r="C1" s="142"/>
      <x:c r="D1" s="142"/>
      <x:c r="E1" s="142"/>
      <x:c r="F1" s="142"/>
      <x:c r="G1" s="142"/>
      <x:c r="H1" s="142"/>
    </x:row>
    <x:row r="2" ht="30" customHeight="1">
      <x:c r="A2" s="143" t="str">
        <x:v>Spend Type</x:v>
      </x:c>
      <x:c r="B2" s="143" t="str">
        <x:v>PLOT Spent</x:v>
      </x:c>
      <x:c r="C2" s="143" t="str">
        <x:v>Burn</x:v>
      </x:c>
      <x:c r="D2" s="143" t="str">
        <x:v>Gameplay Treasury</x:v>
      </x:c>
      <x:c r="E2" s="143" t="str">
        <x:v>Ops/Ecosystem</x:v>
      </x:c>
      <x:c r="F2" s="143" t="str">
        <x:v>Check</x:v>
      </x:c>
      <x:c r="G2" s="20"/>
      <x:c r="H2" s="20"/>
    </x:row>
    <x:row r="3">
      <x:c r="A3" s="20" t="str">
        <x:v>Starter Pack</x:v>
      </x:c>
      <x:c r="B3" s="166" t="n">
        <x:v>1000</x:v>
      </x:c>
      <x:c r="C3" s="167" t="n">
        <x:f>B3*Assumptions!B16</x:f>
        <x:v>400</x:v>
      </x:c>
      <x:c r="D3" s="167" t="n">
        <x:f>B3*Assumptions!B15</x:f>
        <x:v>400</x:v>
      </x:c>
      <x:c r="E3" s="167" t="n">
        <x:f>B3*Assumptions!B17</x:f>
        <x:v>200</x:v>
      </x:c>
      <x:c r="F3" s="168" t="n">
        <x:f>C3+D3+E3-B3</x:f>
        <x:v>0</x:v>
      </x:c>
      <x:c r="G3" s="20"/>
      <x:c r="H3" s="20"/>
    </x:row>
    <x:row r="4">
      <x:c r="A4" s="20" t="str">
        <x:v>Season Pass</x:v>
      </x:c>
      <x:c r="B4" s="166" t="n">
        <x:v>5000</x:v>
      </x:c>
      <x:c r="C4" s="167" t="n">
        <x:f>B4*Assumptions!B16</x:f>
        <x:v>2000</x:v>
      </x:c>
      <x:c r="D4" s="167" t="n">
        <x:f>B4*Assumptions!B15</x:f>
        <x:v>2000</x:v>
      </x:c>
      <x:c r="E4" s="167" t="n">
        <x:f>B4*Assumptions!B17</x:f>
        <x:v>1000</x:v>
      </x:c>
      <x:c r="F4" s="168" t="n">
        <x:f>C4+D4+E4-B4</x:f>
        <x:v>0</x:v>
      </x:c>
      <x:c r="G4" s="20"/>
      <x:c r="H4" s="20"/>
    </x:row>
    <x:row r="5">
      <x:c r="A5" s="20" t="str">
        <x:v>Cosmetics</x:v>
      </x:c>
      <x:c r="B5" s="166" t="n">
        <x:v>2000</x:v>
      </x:c>
      <x:c r="C5" s="167" t="n">
        <x:f>B5*Assumptions!B16</x:f>
        <x:v>800</x:v>
      </x:c>
      <x:c r="D5" s="167" t="n">
        <x:f>B5*Assumptions!B15</x:f>
        <x:v>800</x:v>
      </x:c>
      <x:c r="E5" s="167" t="n">
        <x:f>B5*Assumptions!B17</x:f>
        <x:v>400</x:v>
      </x:c>
      <x:c r="F5" s="168" t="n">
        <x:f>C5+D5+E5-B5</x:f>
        <x:v>0</x:v>
      </x:c>
      <x:c r="G5" s="20"/>
      <x:c r="H5" s="20"/>
    </x:row>
    <x:row r="6">
      <x:c r="A6" s="20" t="str">
        <x:v>Marketplace fees</x:v>
      </x:c>
      <x:c r="B6" s="166" t="n">
        <x:v>1000</x:v>
      </x:c>
      <x:c r="C6" s="167" t="n">
        <x:f>B6*Assumptions!B16</x:f>
        <x:v>400</x:v>
      </x:c>
      <x:c r="D6" s="167" t="n">
        <x:f>B6*Assumptions!B15</x:f>
        <x:v>400</x:v>
      </x:c>
      <x:c r="E6" s="167" t="n">
        <x:f>B6*Assumptions!B17</x:f>
        <x:v>200</x:v>
      </x:c>
      <x:c r="F6" s="168" t="n">
        <x:f>C6+D6+E6-B6</x:f>
        <x:v>0</x:v>
      </x:c>
      <x:c r="G6" s="20"/>
      <x:c r="H6" s="20"/>
    </x:row>
    <x:row r="7">
      <x:c r="A7" s="20"/>
      <x:c r="B7" s="20"/>
      <x:c r="C7" s="20"/>
      <x:c r="D7" s="20"/>
      <x:c r="E7" s="20"/>
      <x:c r="F7" s="20"/>
      <x:c r="G7" s="20"/>
      <x:c r="H7" s="20"/>
    </x:row>
    <x:row r="8">
      <x:c r="A8" s="144" t="str">
        <x:v>Routing note</x:v>
      </x:c>
      <x:c r="B8" s="144"/>
      <x:c r="C8" s="144"/>
      <x:c r="D8" s="144"/>
      <x:c r="E8" s="144"/>
      <x:c r="F8" s="144"/>
      <x:c r="G8" s="144"/>
      <x:c r="H8" s="144"/>
    </x:row>
    <x:row r="9">
      <x:c r="A9" s="20" t="str">
        <x:v>The 40% burn / 40% gameplay treasury / 20% operations split is illustrative, not locked tokenomics. Final routing should be tuned against reward emissions, revenue, liquidity, player value and legal structure.</x:v>
      </x:c>
      <x:c r="B9" s="20"/>
      <x:c r="C9" s="20"/>
      <x:c r="D9" s="20"/>
      <x:c r="E9" s="20"/>
      <x:c r="F9" s="20"/>
      <x:c r="G9" s="20"/>
      <x:c r="H9" s="20"/>
    </x:row>
    <x:row r="10">
      <x:c r="A10" s="20"/>
      <x:c r="B10" s="20"/>
      <x:c r="C10" s="20"/>
      <x:c r="D10" s="20"/>
      <x:c r="E10" s="20"/>
      <x:c r="F10" s="20"/>
      <x:c r="G10" s="20"/>
      <x:c r="H10" s="20"/>
    </x:row>
    <x:row r="11">
      <x:c r="A11" s="20"/>
      <x:c r="B11" s="20"/>
      <x:c r="C11" s="20"/>
      <x:c r="D11" s="20"/>
      <x:c r="E11" s="20"/>
      <x:c r="F11" s="20"/>
      <x:c r="G11" s="20"/>
      <x:c r="H11" s="20"/>
    </x:row>
    <x:row r="12">
      <x:c r="A12" s="20"/>
      <x:c r="B12" s="20"/>
      <x:c r="C12" s="20"/>
      <x:c r="D12" s="20"/>
      <x:c r="E12" s="20"/>
      <x:c r="F12" s="20"/>
      <x:c r="G12" s="20"/>
      <x:c r="H12" s="20"/>
    </x:row>
    <x:row r="13">
      <x:c r="A13" s="20"/>
      <x:c r="B13" s="20"/>
      <x:c r="C13" s="20"/>
      <x:c r="D13" s="20"/>
      <x:c r="E13" s="20"/>
      <x:c r="F13" s="20"/>
      <x:c r="G13" s="20"/>
      <x:c r="H13" s="20"/>
    </x:row>
    <x:row r="14">
      <x:c r="A14" s="20"/>
      <x:c r="B14" s="20"/>
      <x:c r="C14" s="20"/>
      <x:c r="D14" s="20"/>
      <x:c r="E14" s="20"/>
      <x:c r="F14" s="20"/>
      <x:c r="G14" s="20"/>
      <x:c r="H14" s="20"/>
    </x:row>
    <x:row r="15">
      <x:c r="A15" s="20"/>
      <x:c r="B15" s="20"/>
      <x:c r="C15" s="20"/>
      <x:c r="D15" s="20"/>
      <x:c r="E15" s="20"/>
      <x:c r="F15" s="20"/>
      <x:c r="G15" s="20"/>
      <x:c r="H15" s="20"/>
    </x:row>
    <x:row r="16">
      <x:c r="A16" s="20"/>
      <x:c r="B16" s="20"/>
      <x:c r="C16" s="20"/>
      <x:c r="D16" s="20"/>
      <x:c r="E16" s="20"/>
      <x:c r="F16" s="20"/>
      <x:c r="G16" s="20"/>
      <x:c r="H16" s="20"/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  <x:row r="21">
      <x:c r="A21" s="20"/>
      <x:c r="B21" s="20"/>
      <x:c r="C21" s="20"/>
      <x:c r="D21" s="20"/>
      <x:c r="E21" s="20"/>
      <x:c r="F21" s="20"/>
      <x:c r="G21" s="20"/>
      <x:c r="H21" s="20"/>
    </x:row>
    <x:row r="22">
      <x:c r="A22" s="20"/>
      <x:c r="B22" s="20"/>
      <x:c r="C22" s="20"/>
      <x:c r="D22" s="20"/>
      <x:c r="E22" s="20"/>
      <x:c r="F22" s="20"/>
      <x:c r="G22" s="20"/>
      <x:c r="H22" s="20"/>
    </x:row>
    <x:row r="23">
      <x:c r="A23" s="20"/>
      <x:c r="B23" s="20"/>
      <x:c r="C23" s="20"/>
      <x:c r="D23" s="20"/>
      <x:c r="E23" s="20"/>
      <x:c r="F23" s="20"/>
      <x:c r="G23" s="20"/>
      <x:c r="H23" s="20"/>
    </x:row>
    <x:row r="24">
      <x:c r="A24" s="20"/>
      <x:c r="B24" s="20"/>
      <x:c r="C24" s="20"/>
      <x:c r="D24" s="20"/>
      <x:c r="E24" s="20"/>
      <x:c r="F24" s="20"/>
      <x:c r="G24" s="20"/>
      <x:c r="H24" s="20"/>
    </x:row>
    <x:row r="25">
      <x:c r="A25" s="20"/>
      <x:c r="B25" s="20"/>
      <x:c r="C25" s="20"/>
      <x:c r="D25" s="20"/>
      <x:c r="E25" s="20"/>
      <x:c r="F25" s="20"/>
      <x:c r="G25" s="20"/>
      <x:c r="H25" s="20"/>
    </x:row>
    <x:row r="26">
      <x:c r="A26" s="20"/>
      <x:c r="B26" s="20"/>
      <x:c r="C26" s="20"/>
      <x:c r="D26" s="20"/>
      <x:c r="E26" s="20"/>
      <x:c r="F26" s="20"/>
      <x:c r="G26" s="20"/>
      <x:c r="H26" s="20"/>
    </x:row>
    <x:row r="27">
      <x:c r="A27" s="20"/>
      <x:c r="B27" s="20"/>
      <x:c r="C27" s="20"/>
      <x:c r="D27" s="20"/>
      <x:c r="E27" s="20"/>
      <x:c r="F27" s="20"/>
      <x:c r="G27" s="20"/>
      <x:c r="H27" s="20"/>
    </x:row>
    <x:row r="28">
      <x:c r="A28" s="20"/>
      <x:c r="B28" s="20"/>
      <x:c r="C28" s="20"/>
      <x:c r="D28" s="20"/>
      <x:c r="E28" s="20"/>
      <x:c r="F28" s="20"/>
      <x:c r="G28" s="20"/>
      <x:c r="H28" s="20"/>
    </x:row>
    <x:row r="29">
      <x:c r="A29" s="20"/>
      <x:c r="B29" s="20"/>
      <x:c r="C29" s="20"/>
      <x:c r="D29" s="20"/>
      <x:c r="E29" s="20"/>
      <x:c r="F29" s="20"/>
      <x:c r="G29" s="20"/>
      <x:c r="H29" s="20"/>
    </x:row>
    <x:row r="30">
      <x:c r="A30" s="20"/>
      <x:c r="B30" s="20"/>
      <x:c r="C30" s="20"/>
      <x:c r="D30" s="20"/>
      <x:c r="E30" s="20"/>
      <x:c r="F30" s="20"/>
      <x:c r="G30" s="20"/>
      <x:c r="H30" s="20"/>
    </x:row>
    <x:row r="31">
      <x:c r="A31" s="20"/>
      <x:c r="B31" s="20"/>
      <x:c r="C31" s="20"/>
      <x:c r="D31" s="20"/>
      <x:c r="E31" s="20"/>
      <x:c r="F31" s="20"/>
      <x:c r="G31" s="20"/>
      <x:c r="H31" s="20"/>
    </x:row>
    <x:row r="32">
      <x:c r="A32" s="20"/>
      <x:c r="B32" s="20"/>
      <x:c r="C32" s="20"/>
      <x:c r="D32" s="20"/>
      <x:c r="E32" s="20"/>
      <x:c r="F32" s="20"/>
      <x:c r="G32" s="20"/>
      <x:c r="H32" s="20"/>
    </x:row>
    <x:row r="33">
      <x:c r="A33" s="20"/>
      <x:c r="B33" s="20"/>
      <x:c r="C33" s="20"/>
      <x:c r="D33" s="20"/>
      <x:c r="E33" s="20"/>
      <x:c r="F33" s="20"/>
      <x:c r="G33" s="20"/>
      <x:c r="H33" s="20"/>
    </x:row>
    <x:row r="34">
      <x:c r="A34" s="20"/>
      <x:c r="B34" s="20"/>
      <x:c r="C34" s="20"/>
      <x:c r="D34" s="20"/>
      <x:c r="E34" s="20"/>
      <x:c r="F34" s="20"/>
      <x:c r="G34" s="20"/>
      <x:c r="H34" s="20"/>
    </x:row>
    <x:row r="35">
      <x:c r="A35" s="20"/>
      <x:c r="B35" s="20"/>
      <x:c r="C35" s="20"/>
      <x:c r="D35" s="20"/>
      <x:c r="E35" s="20"/>
      <x:c r="F35" s="20"/>
      <x:c r="G35" s="20"/>
      <x:c r="H35" s="20"/>
    </x:row>
    <x:row r="36">
      <x:c r="A36" s="20"/>
      <x:c r="B36" s="20"/>
      <x:c r="C36" s="20"/>
      <x:c r="D36" s="20"/>
      <x:c r="E36" s="20"/>
      <x:c r="F36" s="20"/>
      <x:c r="G36" s="20"/>
      <x:c r="H36" s="20"/>
    </x:row>
    <x:row r="37">
      <x:c r="A37" s="20"/>
      <x:c r="B37" s="20"/>
      <x:c r="C37" s="20"/>
      <x:c r="D37" s="20"/>
      <x:c r="E37" s="20"/>
      <x:c r="F37" s="20"/>
      <x:c r="G37" s="20"/>
      <x:c r="H37" s="20"/>
    </x:row>
    <x:row r="38">
      <x:c r="A38" s="20"/>
      <x:c r="B38" s="20"/>
      <x:c r="C38" s="20"/>
      <x:c r="D38" s="20"/>
      <x:c r="E38" s="20"/>
      <x:c r="F38" s="20"/>
      <x:c r="G38" s="20"/>
      <x:c r="H38" s="20"/>
    </x:row>
    <x:row r="39">
      <x:c r="A39" s="20"/>
      <x:c r="B39" s="20"/>
      <x:c r="C39" s="20"/>
      <x:c r="D39" s="20"/>
      <x:c r="E39" s="20"/>
      <x:c r="F39" s="20"/>
      <x:c r="G39" s="20"/>
      <x:c r="H39" s="20"/>
    </x:row>
    <x:row r="40">
      <x:c r="A40" s="20"/>
      <x:c r="B40" s="20"/>
      <x:c r="C40" s="20"/>
      <x:c r="D40" s="20"/>
      <x:c r="E40" s="20"/>
      <x:c r="F40" s="20"/>
      <x:c r="G40" s="20"/>
      <x:c r="H40" s="20"/>
    </x:row>
    <x:row r="41">
      <x:c r="A41" s="20"/>
      <x:c r="B41" s="20"/>
      <x:c r="C41" s="20"/>
      <x:c r="D41" s="20"/>
      <x:c r="E41" s="20"/>
      <x:c r="F41" s="20"/>
      <x:c r="G41" s="20"/>
      <x:c r="H41" s="20"/>
    </x:row>
    <x:row r="42">
      <x:c r="A42" s="20"/>
      <x:c r="B42" s="20"/>
      <x:c r="C42" s="20"/>
      <x:c r="D42" s="20"/>
      <x:c r="E42" s="20"/>
      <x:c r="F42" s="20"/>
      <x:c r="G42" s="20"/>
      <x:c r="H42" s="20"/>
    </x:row>
    <x:row r="43">
      <x:c r="A43" s="20"/>
      <x:c r="B43" s="20"/>
      <x:c r="C43" s="20"/>
      <x:c r="D43" s="20"/>
      <x:c r="E43" s="20"/>
      <x:c r="F43" s="20"/>
      <x:c r="G43" s="20"/>
      <x:c r="H43" s="20"/>
    </x:row>
    <x:row r="44">
      <x:c r="A44" s="20"/>
      <x:c r="B44" s="20"/>
      <x:c r="C44" s="20"/>
      <x:c r="D44" s="20"/>
      <x:c r="E44" s="20"/>
      <x:c r="F44" s="20"/>
      <x:c r="G44" s="20"/>
      <x:c r="H44" s="20"/>
    </x:row>
    <x:row r="45">
      <x:c r="A45" s="20"/>
      <x:c r="B45" s="20"/>
      <x:c r="C45" s="20"/>
      <x:c r="D45" s="20"/>
      <x:c r="E45" s="20"/>
      <x:c r="F45" s="20"/>
      <x:c r="G45" s="20"/>
      <x:c r="H45" s="20"/>
    </x:row>
    <x:row r="46">
      <x:c r="A46" s="20"/>
      <x:c r="B46" s="20"/>
      <x:c r="C46" s="20"/>
      <x:c r="D46" s="20"/>
      <x:c r="E46" s="20"/>
      <x:c r="F46" s="20"/>
      <x:c r="G46" s="20"/>
      <x:c r="H46" s="20"/>
    </x:row>
    <x:row r="47">
      <x:c r="A47" s="20"/>
      <x:c r="B47" s="20"/>
      <x:c r="C47" s="20"/>
      <x:c r="D47" s="20"/>
      <x:c r="E47" s="20"/>
      <x:c r="F47" s="20"/>
      <x:c r="G47" s="20"/>
      <x:c r="H47" s="20"/>
    </x:row>
    <x:row r="48">
      <x:c r="A48" s="20"/>
      <x:c r="B48" s="20"/>
      <x:c r="C48" s="20"/>
      <x:c r="D48" s="20"/>
      <x:c r="E48" s="20"/>
      <x:c r="F48" s="20"/>
      <x:c r="G48" s="20"/>
      <x:c r="H48" s="20"/>
    </x:row>
    <x:row r="49">
      <x:c r="A49" s="20"/>
      <x:c r="B49" s="20"/>
      <x:c r="C49" s="20"/>
      <x:c r="D49" s="20"/>
      <x:c r="E49" s="20"/>
      <x:c r="F49" s="20"/>
      <x:c r="G49" s="20"/>
      <x:c r="H49" s="20"/>
    </x:row>
    <x:row r="50">
      <x:c r="A50" s="20"/>
      <x:c r="B50" s="20"/>
      <x:c r="C50" s="20"/>
      <x:c r="D50" s="20"/>
      <x:c r="E50" s="20"/>
      <x:c r="F50" s="20"/>
      <x:c r="G50" s="20"/>
      <x:c r="H50" s="20"/>
    </x:row>
    <x:row r="51">
      <x:c r="A51" s="20"/>
      <x:c r="B51" s="20"/>
      <x:c r="C51" s="20"/>
      <x:c r="D51" s="20"/>
      <x:c r="E51" s="20"/>
      <x:c r="F51" s="20"/>
      <x:c r="G51" s="20"/>
      <x:c r="H51" s="20"/>
    </x:row>
    <x:row r="52">
      <x:c r="A52" s="20"/>
      <x:c r="B52" s="20"/>
      <x:c r="C52" s="20"/>
      <x:c r="D52" s="20"/>
      <x:c r="E52" s="20"/>
      <x:c r="F52" s="20"/>
      <x:c r="G52" s="20"/>
      <x:c r="H52" s="20"/>
    </x:row>
    <x:row r="53">
      <x:c r="A53" s="20"/>
      <x:c r="B53" s="20"/>
      <x:c r="C53" s="20"/>
      <x:c r="D53" s="20"/>
      <x:c r="E53" s="20"/>
      <x:c r="F53" s="20"/>
      <x:c r="G53" s="20"/>
      <x:c r="H53" s="20"/>
    </x:row>
    <x:row r="54">
      <x:c r="A54" s="20"/>
      <x:c r="B54" s="20"/>
      <x:c r="C54" s="20"/>
      <x:c r="D54" s="20"/>
      <x:c r="E54" s="20"/>
      <x:c r="F54" s="20"/>
      <x:c r="G54" s="20"/>
      <x:c r="H54" s="20"/>
    </x:row>
    <x:row r="55">
      <x:c r="A55" s="20"/>
      <x:c r="B55" s="20"/>
      <x:c r="C55" s="20"/>
      <x:c r="D55" s="20"/>
      <x:c r="E55" s="20"/>
      <x:c r="F55" s="20"/>
      <x:c r="G55" s="20"/>
      <x:c r="H55" s="20"/>
    </x:row>
    <x:row r="56">
      <x:c r="A56" s="20"/>
      <x:c r="B56" s="20"/>
      <x:c r="C56" s="20"/>
      <x:c r="D56" s="20"/>
      <x:c r="E56" s="20"/>
      <x:c r="F56" s="20"/>
      <x:c r="G56" s="20"/>
      <x:c r="H56" s="20"/>
    </x:row>
    <x:row r="57">
      <x:c r="A57" s="20"/>
      <x:c r="B57" s="20"/>
      <x:c r="C57" s="20"/>
      <x:c r="D57" s="20"/>
      <x:c r="E57" s="20"/>
      <x:c r="F57" s="20"/>
      <x:c r="G57" s="20"/>
      <x:c r="H57" s="20"/>
    </x:row>
    <x:row r="58">
      <x:c r="A58" s="20"/>
      <x:c r="B58" s="20"/>
      <x:c r="C58" s="20"/>
      <x:c r="D58" s="20"/>
      <x:c r="E58" s="20"/>
      <x:c r="F58" s="20"/>
      <x:c r="G58" s="20"/>
      <x:c r="H58" s="20"/>
    </x:row>
    <x:row r="59">
      <x:c r="A59" s="20"/>
      <x:c r="B59" s="20"/>
      <x:c r="C59" s="20"/>
      <x:c r="D59" s="20"/>
      <x:c r="E59" s="20"/>
      <x:c r="F59" s="20"/>
      <x:c r="G59" s="20"/>
      <x:c r="H59" s="20"/>
    </x:row>
    <x:row r="60">
      <x:c r="A60" s="20"/>
      <x:c r="B60" s="20"/>
      <x:c r="C60" s="20"/>
      <x:c r="D60" s="20"/>
      <x:c r="E60" s="20"/>
      <x:c r="F60" s="20"/>
      <x:c r="G60" s="20"/>
      <x:c r="H60" s="20"/>
    </x:row>
    <x:row r="61">
      <x:c r="A61" s="20"/>
      <x:c r="B61" s="20"/>
      <x:c r="C61" s="20"/>
      <x:c r="D61" s="20"/>
      <x:c r="E61" s="20"/>
      <x:c r="F61" s="20"/>
      <x:c r="G61" s="20"/>
      <x:c r="H61" s="20"/>
    </x:row>
    <x:row r="62">
      <x:c r="A62" s="20"/>
      <x:c r="B62" s="20"/>
      <x:c r="C62" s="20"/>
      <x:c r="D62" s="20"/>
      <x:c r="E62" s="20"/>
      <x:c r="F62" s="20"/>
      <x:c r="G62" s="20"/>
      <x:c r="H62" s="20"/>
    </x:row>
    <x:row r="63">
      <x:c r="A63" s="20"/>
      <x:c r="B63" s="20"/>
      <x:c r="C63" s="20"/>
      <x:c r="D63" s="20"/>
      <x:c r="E63" s="20"/>
      <x:c r="F63" s="20"/>
      <x:c r="G63" s="20"/>
      <x:c r="H63" s="20"/>
    </x:row>
    <x:row r="64">
      <x:c r="A64" s="20"/>
      <x:c r="B64" s="20"/>
      <x:c r="C64" s="20"/>
      <x:c r="D64" s="20"/>
      <x:c r="E64" s="20"/>
      <x:c r="F64" s="20"/>
      <x:c r="G64" s="20"/>
      <x:c r="H64" s="20"/>
    </x:row>
    <x:row r="65">
      <x:c r="A65" s="20"/>
      <x:c r="B65" s="20"/>
      <x:c r="C65" s="20"/>
      <x:c r="D65" s="20"/>
      <x:c r="E65" s="20"/>
      <x:c r="F65" s="20"/>
      <x:c r="G65" s="20"/>
      <x:c r="H65" s="20"/>
    </x:row>
    <x:row r="66">
      <x:c r="A66" s="20"/>
      <x:c r="B66" s="20"/>
      <x:c r="C66" s="20"/>
      <x:c r="D66" s="20"/>
      <x:c r="E66" s="20"/>
      <x:c r="F66" s="20"/>
      <x:c r="G66" s="20"/>
      <x:c r="H66" s="20"/>
    </x:row>
    <x:row r="67">
      <x:c r="A67" s="20"/>
      <x:c r="B67" s="20"/>
      <x:c r="C67" s="20"/>
      <x:c r="D67" s="20"/>
      <x:c r="E67" s="20"/>
      <x:c r="F67" s="20"/>
      <x:c r="G67" s="20"/>
      <x:c r="H67" s="20"/>
    </x:row>
    <x:row r="68">
      <x:c r="A68" s="20"/>
      <x:c r="B68" s="20"/>
      <x:c r="C68" s="20"/>
      <x:c r="D68" s="20"/>
      <x:c r="E68" s="20"/>
      <x:c r="F68" s="20"/>
      <x:c r="G68" s="20"/>
      <x:c r="H68" s="20"/>
    </x:row>
    <x:row r="69">
      <x:c r="A69" s="20"/>
      <x:c r="B69" s="20"/>
      <x:c r="C69" s="20"/>
      <x:c r="D69" s="20"/>
      <x:c r="E69" s="20"/>
      <x:c r="F69" s="20"/>
      <x:c r="G69" s="20"/>
      <x:c r="H69" s="20"/>
    </x:row>
    <x:row r="70">
      <x:c r="A70" s="20"/>
      <x:c r="B70" s="20"/>
      <x:c r="C70" s="20"/>
      <x:c r="D70" s="20"/>
      <x:c r="E70" s="20"/>
      <x:c r="F70" s="20"/>
      <x:c r="G70" s="20"/>
      <x:c r="H70" s="20"/>
    </x:row>
    <x:row r="71">
      <x:c r="A71" s="20"/>
      <x:c r="B71" s="20"/>
      <x:c r="C71" s="20"/>
      <x:c r="D71" s="20"/>
      <x:c r="E71" s="20"/>
      <x:c r="F71" s="20"/>
      <x:c r="G71" s="20"/>
      <x:c r="H71" s="20"/>
    </x:row>
    <x:row r="72">
      <x:c r="A72" s="20"/>
      <x:c r="B72" s="20"/>
      <x:c r="C72" s="20"/>
      <x:c r="D72" s="20"/>
      <x:c r="E72" s="20"/>
      <x:c r="F72" s="20"/>
      <x:c r="G72" s="20"/>
      <x:c r="H72" s="20"/>
    </x:row>
    <x:row r="73">
      <x:c r="A73" s="20"/>
      <x:c r="B73" s="20"/>
      <x:c r="C73" s="20"/>
      <x:c r="D73" s="20"/>
      <x:c r="E73" s="20"/>
      <x:c r="F73" s="20"/>
      <x:c r="G73" s="20"/>
      <x:c r="H73" s="20"/>
    </x:row>
    <x:row r="74">
      <x:c r="A74" s="20"/>
      <x:c r="B74" s="20"/>
      <x:c r="C74" s="20"/>
      <x:c r="D74" s="20"/>
      <x:c r="E74" s="20"/>
      <x:c r="F74" s="20"/>
      <x:c r="G74" s="20"/>
      <x:c r="H74" s="20"/>
    </x:row>
    <x:row r="75">
      <x:c r="A75" s="20"/>
      <x:c r="B75" s="20"/>
      <x:c r="C75" s="20"/>
      <x:c r="D75" s="20"/>
      <x:c r="E75" s="20"/>
      <x:c r="F75" s="20"/>
      <x:c r="G75" s="20"/>
      <x:c r="H75" s="20"/>
    </x:row>
    <x:row r="76">
      <x:c r="A76" s="20"/>
      <x:c r="B76" s="20"/>
      <x:c r="C76" s="20"/>
      <x:c r="D76" s="20"/>
      <x:c r="E76" s="20"/>
      <x:c r="F76" s="20"/>
      <x:c r="G76" s="20"/>
      <x:c r="H76" s="20"/>
    </x:row>
    <x:row r="77">
      <x:c r="A77" s="20"/>
      <x:c r="B77" s="20"/>
      <x:c r="C77" s="20"/>
      <x:c r="D77" s="20"/>
      <x:c r="E77" s="20"/>
      <x:c r="F77" s="20"/>
      <x:c r="G77" s="20"/>
      <x:c r="H77" s="20"/>
    </x:row>
    <x:row r="78">
      <x:c r="A78" s="20"/>
      <x:c r="B78" s="20"/>
      <x:c r="C78" s="20"/>
      <x:c r="D78" s="20"/>
      <x:c r="E78" s="20"/>
      <x:c r="F78" s="20"/>
      <x:c r="G78" s="20"/>
      <x:c r="H78" s="20"/>
    </x:row>
    <x:row r="79">
      <x:c r="A79" s="20"/>
      <x:c r="B79" s="20"/>
      <x:c r="C79" s="20"/>
      <x:c r="D79" s="20"/>
      <x:c r="E79" s="20"/>
      <x:c r="F79" s="20"/>
      <x:c r="G79" s="20"/>
      <x:c r="H79" s="20"/>
    </x:row>
    <x:row r="80">
      <x:c r="A80" s="20"/>
      <x:c r="B80" s="20"/>
      <x:c r="C80" s="20"/>
      <x:c r="D80" s="20"/>
      <x:c r="E80" s="20"/>
      <x:c r="F80" s="20"/>
      <x:c r="G80" s="20"/>
      <x:c r="H80" s="20"/>
    </x:row>
  </x:sheetData>
  <x:mergeCells>
    <x:mergeCell ref="A1:H1"/>
    <x:mergeCell ref="A8:H8"/>
    <x:mergeCell ref="A9:H1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6" hidden="0" customWidth="1"/>
    <x:col min="4" max="4" width="32" hidden="0" customWidth="1"/>
    <x:col min="5" max="5" width="18" hidden="0" customWidth="1"/>
    <x:col min="6" max="6" width="24" hidden="0" customWidth="1"/>
    <x:col min="7" max="7" width="22" hidden="0" customWidth="1"/>
    <x:col min="8" max="8" width="32" hidden="0" customWidth="1"/>
  </x:cols>
  <x:sheetData>
    <x:row r="1" ht="24" customHeight="1">
      <x:c r="A1" s="142" t="str">
        <x:v>Faucets &amp; Sinks</x:v>
      </x:c>
      <x:c r="B1" s="142"/>
      <x:c r="C1" s="142"/>
      <x:c r="D1" s="142"/>
      <x:c r="E1" s="142"/>
      <x:c r="F1" s="142"/>
      <x:c r="G1" s="142"/>
      <x:c r="H1" s="142"/>
    </x:row>
    <x:row r="2" ht="30" customHeight="1">
      <x:c r="A2" s="143" t="str">
        <x:v>Resource</x:v>
      </x:c>
      <x:c r="B2" s="143" t="str">
        <x:v>Flow Type</x:v>
      </x:c>
      <x:c r="C2" s="143" t="str">
        <x:v>Source / Sink</x:v>
      </x:c>
      <x:c r="D2" s="143" t="str">
        <x:v>Examples</x:v>
      </x:c>
      <x:c r="E2" s="143" t="str">
        <x:v>Frequency</x:v>
      </x:c>
      <x:c r="F2" s="143" t="str">
        <x:v>Control Lever</x:v>
      </x:c>
      <x:c r="G2" s="143" t="str">
        <x:v>Risk</x:v>
      </x:c>
      <x:c r="H2" s="143" t="str">
        <x:v>Countermeasure</x:v>
      </x:c>
    </x:row>
    <x:row r="3">
      <x:c r="A3" s="20" t="str">
        <x:v>Cash</x:v>
      </x:c>
      <x:c r="B3" s="20" t="str">
        <x:v>Faucet</x:v>
      </x:c>
      <x:c r="C3" s="20" t="str">
        <x:v>Business operations</x:v>
      </x:c>
      <x:c r="D3" s="20" t="str">
        <x:v>Settlement income</x:v>
      </x:c>
      <x:c r="E3" s="20" t="str">
        <x:v>Continuous</x:v>
      </x:c>
      <x:c r="F3" s="20" t="str">
        <x:v>Output multipliers</x:v>
      </x:c>
      <x:c r="G3" s="20" t="str">
        <x:v>Inflation</x:v>
      </x:c>
      <x:c r="H3" s="20" t="str">
        <x:v>Land, upgrades, operations, investments, weekly commitment</x:v>
      </x:c>
    </x:row>
    <x:row r="4">
      <x:c r="A4" s="20" t="str">
        <x:v>Cash</x:v>
      </x:c>
      <x:c r="B4" s="20" t="str">
        <x:v>Faucet</x:v>
      </x:c>
      <x:c r="C4" s="20" t="str">
        <x:v>Events / cases</x:v>
      </x:c>
      <x:c r="D4" s="20" t="str">
        <x:v>Milestone rewards</x:v>
      </x:c>
      <x:c r="E4" s="20" t="str">
        <x:v>Daily/weekly</x:v>
      </x:c>
      <x:c r="F4" s="20" t="str">
        <x:v>Reward tables</x:v>
      </x:c>
      <x:c r="G4" s="20" t="str">
        <x:v>Inflation</x:v>
      </x:c>
      <x:c r="H4" s="20" t="str">
        <x:v>Cap case Cash; scale by progression</x:v>
      </x:c>
    </x:row>
    <x:row r="5">
      <x:c r="A5" s="20" t="str">
        <x:v>Cash</x:v>
      </x:c>
      <x:c r="B5" s="20" t="str">
        <x:v>Sink</x:v>
      </x:c>
      <x:c r="C5" s="20" t="str">
        <x:v>Construction</x:v>
      </x:c>
      <x:c r="D5" s="20" t="str">
        <x:v>Buildings / upgrades</x:v>
      </x:c>
      <x:c r="E5" s="20" t="str">
        <x:v>Continuous</x:v>
      </x:c>
      <x:c r="F5" s="20" t="str">
        <x:v>Canonical costs</x:v>
      </x:c>
      <x:c r="G5" s="20" t="str">
        <x:v>Too punishing</x:v>
      </x:c>
      <x:c r="H5" s="20" t="str">
        <x:v>Payback targets</x:v>
      </x:c>
    </x:row>
    <x:row r="6">
      <x:c r="A6" s="20" t="str">
        <x:v>Cash</x:v>
      </x:c>
      <x:c r="B6" s="20" t="str">
        <x:v>Sink</x:v>
      </x:c>
      <x:c r="C6" s="20" t="str">
        <x:v>Land</x:v>
      </x:c>
      <x:c r="D6" s="20" t="str">
        <x:v>Parcel purchase</x:v>
      </x:c>
      <x:c r="E6" s="20" t="str">
        <x:v>Progression</x:v>
      </x:c>
      <x:c r="F6" s="20" t="str">
        <x:v>Land prices</x:v>
      </x:c>
      <x:c r="G6" s="20" t="str">
        <x:v>Progression wall</x:v>
      </x:c>
      <x:c r="H6" s="20" t="str">
        <x:v>Capacity/frontier grants</x:v>
      </x:c>
    </x:row>
    <x:row r="7">
      <x:c r="A7" s="20" t="str">
        <x:v>Cash</x:v>
      </x:c>
      <x:c r="B7" s="20" t="str">
        <x:v>Sink</x:v>
      </x:c>
      <x:c r="C7" s="20" t="str">
        <x:v>Player investment</x:v>
      </x:c>
      <x:c r="D7" s="20" t="str">
        <x:v>Other cities / deals</x:v>
      </x:c>
      <x:c r="E7" s="20" t="str">
        <x:v>Multiplayer</x:v>
      </x:c>
      <x:c r="F7" s="20" t="str">
        <x:v>Deal system</x:v>
      </x:c>
      <x:c r="G7" s="20" t="str">
        <x:v>Wealth concentration</x:v>
      </x:c>
      <x:c r="H7" s="20" t="str">
        <x:v>Diversification / risk rules</x:v>
      </x:c>
    </x:row>
    <x:row r="8">
      <x:c r="A8" s="20" t="str">
        <x:v>$PLOT</x:v>
      </x:c>
      <x:c r="B8" s="20" t="str">
        <x:v>Faucet</x:v>
      </x:c>
      <x:c r="C8" s="20" t="str">
        <x:v>Gameplay reward treasury</x:v>
      </x:c>
      <x:c r="D8" s="20" t="str">
        <x:v>Weekly reward pool</x:v>
      </x:c>
      <x:c r="E8" s="20" t="str">
        <x:v>Weekly</x:v>
      </x:c>
      <x:c r="F8" s="20" t="str">
        <x:v>Emission budget</x:v>
      </x:c>
      <x:c r="G8" s="20" t="str">
        <x:v>Sell pressure</x:v>
      </x:c>
      <x:c r="H8" s="20" t="str">
        <x:v>Revenue buyback / vesting / sinks</x:v>
      </x:c>
    </x:row>
    <x:row r="9">
      <x:c r="A9" s="20" t="str">
        <x:v>$PLOT</x:v>
      </x:c>
      <x:c r="B9" s="20" t="str">
        <x:v>Sink</x:v>
      </x:c>
      <x:c r="C9" s="20" t="str">
        <x:v>Packs / pass</x:v>
      </x:c>
      <x:c r="D9" s="20" t="str">
        <x:v>Premium purchases</x:v>
      </x:c>
      <x:c r="E9" s="20" t="str">
        <x:v>Continuous</x:v>
      </x:c>
      <x:c r="F9" s="20" t="str">
        <x:v>USD-equivalent prices</x:v>
      </x:c>
      <x:c r="G9" s="20" t="str">
        <x:v>Over-monetization</x:v>
      </x:c>
      <x:c r="H9" s="20" t="str">
        <x:v>Purchase caps / deterministic value</x:v>
      </x:c>
    </x:row>
    <x:row r="10">
      <x:c r="A10" s="20" t="str">
        <x:v>$PLOT</x:v>
      </x:c>
      <x:c r="B10" s="20" t="str">
        <x:v>Sink</x:v>
      </x:c>
      <x:c r="C10" s="20" t="str">
        <x:v>Marketplace/service fee</x:v>
      </x:c>
      <x:c r="D10" s="20" t="str">
        <x:v>Listings, premium actions</x:v>
      </x:c>
      <x:c r="E10" s="20" t="str">
        <x:v>Continuous</x:v>
      </x:c>
      <x:c r="F10" s="20" t="str">
        <x:v>Fee rate</x:v>
      </x:c>
      <x:c r="G10" s="20" t="str">
        <x:v>Friction</x:v>
      </x:c>
      <x:c r="H10" s="20" t="str">
        <x:v>Low rates / waivers</x:v>
      </x:c>
    </x:row>
    <x:row r="11">
      <x:c r="A11" s="20" t="str">
        <x:v>Modules</x:v>
      </x:c>
      <x:c r="B11" s="20" t="str">
        <x:v>Faucet</x:v>
      </x:c>
      <x:c r="C11" s="20" t="str">
        <x:v>Cases / events</x:v>
      </x:c>
      <x:c r="D11" s="20" t="str">
        <x:v>Random and guaranteed rewards</x:v>
      </x:c>
      <x:c r="E11" s="20" t="str">
        <x:v>Daily/weekly</x:v>
      </x:c>
      <x:c r="F11" s="20" t="str">
        <x:v>Drop weights</x:v>
      </x:c>
      <x:c r="G11" s="20" t="str">
        <x:v>Inventory saturation</x:v>
      </x:c>
      <x:c r="H11" s="20" t="str">
        <x:v>Shard conversion / upgrade sink</x:v>
      </x:c>
    </x:row>
    <x:row r="12">
      <x:c r="A12" s="20" t="str">
        <x:v>Materials</x:v>
      </x:c>
      <x:c r="B12" s="20" t="str">
        <x:v>Sink</x:v>
      </x:c>
      <x:c r="C12" s="20" t="str">
        <x:v>Crafting</x:v>
      </x:c>
      <x:c r="D12" s="20" t="str">
        <x:v>Module upgrade recipes</x:v>
      </x:c>
      <x:c r="E12" s="20" t="str">
        <x:v>Continuous</x:v>
      </x:c>
      <x:c r="F12" s="20" t="str">
        <x:v>Recipe cost</x:v>
      </x:c>
      <x:c r="G12" s="20" t="str">
        <x:v>Stall</x:v>
      </x:c>
      <x:c r="H12" s="20" t="str">
        <x:v>Multiple acquisition paths</x:v>
      </x:c>
    </x:row>
    <x:row r="13">
      <x:c r="A13" s="20" t="str">
        <x:v>Tickets</x:v>
      </x:c>
      <x:c r="B13" s="20" t="str">
        <x:v>Faucet</x:v>
      </x:c>
      <x:c r="C13" s="20" t="str">
        <x:v>Events / objectives</x:v>
      </x:c>
      <x:c r="D13" s="20" t="str">
        <x:v>Market Hunt tickets</x:v>
      </x:c>
      <x:c r="E13" s="20" t="str">
        <x:v>Daily</x:v>
      </x:c>
      <x:c r="F13" s="20" t="str">
        <x:v>Grant cadence</x:v>
      </x:c>
      <x:c r="G13" s="20" t="str">
        <x:v>Activity spam</x:v>
      </x:c>
      <x:c r="H13" s="20" t="str">
        <x:v>Daily caps / diminishing rewards</x:v>
      </x:c>
    </x:row>
    <x:row r="14">
      <x:c r="A14" s="20" t="str">
        <x:v>Tickets</x:v>
      </x:c>
      <x:c r="B14" s="20" t="str">
        <x:v>Sink</x:v>
      </x:c>
      <x:c r="C14" s="20" t="str">
        <x:v>Activities</x:v>
      </x:c>
      <x:c r="D14" s="20" t="str">
        <x:v>Market Hunt / reroll</x:v>
      </x:c>
      <x:c r="E14" s="20" t="str">
        <x:v>Continuous</x:v>
      </x:c>
      <x:c r="F14" s="20" t="str">
        <x:v>Use cost</x:v>
      </x:c>
      <x:c r="G14" s="20" t="str">
        <x:v>Scarcity frustration</x:v>
      </x:c>
      <x:c r="H14" s="20" t="str">
        <x:v>Free baseline allowance</x:v>
      </x:c>
    </x:row>
    <x:row r="15">
      <x:c r="A15" s="20"/>
      <x:c r="B15" s="20"/>
      <x:c r="C15" s="20"/>
      <x:c r="D15" s="20"/>
      <x:c r="E15" s="20"/>
      <x:c r="F15" s="20"/>
      <x:c r="G15" s="20"/>
      <x:c r="H15" s="20"/>
    </x:row>
    <x:row r="16">
      <x:c r="A16" s="20"/>
      <x:c r="B16" s="20"/>
      <x:c r="C16" s="20"/>
      <x:c r="D16" s="20"/>
      <x:c r="E16" s="20"/>
      <x:c r="F16" s="20"/>
      <x:c r="G16" s="20"/>
      <x:c r="H16" s="20"/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  <x:row r="21">
      <x:c r="A21" s="20"/>
      <x:c r="B21" s="20"/>
      <x:c r="C21" s="20"/>
      <x:c r="D21" s="20"/>
      <x:c r="E21" s="20"/>
      <x:c r="F21" s="20"/>
      <x:c r="G21" s="20"/>
      <x:c r="H21" s="20"/>
    </x:row>
    <x:row r="22">
      <x:c r="A22" s="20"/>
      <x:c r="B22" s="20"/>
      <x:c r="C22" s="20"/>
      <x:c r="D22" s="20"/>
      <x:c r="E22" s="20"/>
      <x:c r="F22" s="20"/>
      <x:c r="G22" s="20"/>
      <x:c r="H22" s="20"/>
    </x:row>
    <x:row r="23">
      <x:c r="A23" s="20"/>
      <x:c r="B23" s="20"/>
      <x:c r="C23" s="20"/>
      <x:c r="D23" s="20"/>
      <x:c r="E23" s="20"/>
      <x:c r="F23" s="20"/>
      <x:c r="G23" s="20"/>
      <x:c r="H23" s="20"/>
    </x:row>
    <x:row r="24">
      <x:c r="A24" s="20"/>
      <x:c r="B24" s="20"/>
      <x:c r="C24" s="20"/>
      <x:c r="D24" s="20"/>
      <x:c r="E24" s="20"/>
      <x:c r="F24" s="20"/>
      <x:c r="G24" s="20"/>
      <x:c r="H24" s="20"/>
    </x:row>
    <x:row r="25">
      <x:c r="A25" s="20"/>
      <x:c r="B25" s="20"/>
      <x:c r="C25" s="20"/>
      <x:c r="D25" s="20"/>
      <x:c r="E25" s="20"/>
      <x:c r="F25" s="20"/>
      <x:c r="G25" s="20"/>
      <x:c r="H25" s="20"/>
    </x:row>
    <x:row r="26">
      <x:c r="A26" s="20"/>
      <x:c r="B26" s="20"/>
      <x:c r="C26" s="20"/>
      <x:c r="D26" s="20"/>
      <x:c r="E26" s="20"/>
      <x:c r="F26" s="20"/>
      <x:c r="G26" s="20"/>
      <x:c r="H26" s="20"/>
    </x:row>
    <x:row r="27">
      <x:c r="A27" s="20"/>
      <x:c r="B27" s="20"/>
      <x:c r="C27" s="20"/>
      <x:c r="D27" s="20"/>
      <x:c r="E27" s="20"/>
      <x:c r="F27" s="20"/>
      <x:c r="G27" s="20"/>
      <x:c r="H27" s="20"/>
    </x:row>
    <x:row r="28">
      <x:c r="A28" s="20"/>
      <x:c r="B28" s="20"/>
      <x:c r="C28" s="20"/>
      <x:c r="D28" s="20"/>
      <x:c r="E28" s="20"/>
      <x:c r="F28" s="20"/>
      <x:c r="G28" s="20"/>
      <x:c r="H28" s="20"/>
    </x:row>
    <x:row r="29">
      <x:c r="A29" s="20"/>
      <x:c r="B29" s="20"/>
      <x:c r="C29" s="20"/>
      <x:c r="D29" s="20"/>
      <x:c r="E29" s="20"/>
      <x:c r="F29" s="20"/>
      <x:c r="G29" s="20"/>
      <x:c r="H29" s="20"/>
    </x:row>
    <x:row r="30">
      <x:c r="A30" s="20"/>
      <x:c r="B30" s="20"/>
      <x:c r="C30" s="20"/>
      <x:c r="D30" s="20"/>
      <x:c r="E30" s="20"/>
      <x:c r="F30" s="20"/>
      <x:c r="G30" s="20"/>
      <x:c r="H30" s="20"/>
    </x:row>
    <x:row r="31">
      <x:c r="A31" s="20"/>
      <x:c r="B31" s="20"/>
      <x:c r="C31" s="20"/>
      <x:c r="D31" s="20"/>
      <x:c r="E31" s="20"/>
      <x:c r="F31" s="20"/>
      <x:c r="G31" s="20"/>
      <x:c r="H31" s="20"/>
    </x:row>
    <x:row r="32">
      <x:c r="A32" s="20"/>
      <x:c r="B32" s="20"/>
      <x:c r="C32" s="20"/>
      <x:c r="D32" s="20"/>
      <x:c r="E32" s="20"/>
      <x:c r="F32" s="20"/>
      <x:c r="G32" s="20"/>
      <x:c r="H32" s="20"/>
    </x:row>
    <x:row r="33">
      <x:c r="A33" s="20"/>
      <x:c r="B33" s="20"/>
      <x:c r="C33" s="20"/>
      <x:c r="D33" s="20"/>
      <x:c r="E33" s="20"/>
      <x:c r="F33" s="20"/>
      <x:c r="G33" s="20"/>
      <x:c r="H33" s="20"/>
    </x:row>
    <x:row r="34">
      <x:c r="A34" s="20"/>
      <x:c r="B34" s="20"/>
      <x:c r="C34" s="20"/>
      <x:c r="D34" s="20"/>
      <x:c r="E34" s="20"/>
      <x:c r="F34" s="20"/>
      <x:c r="G34" s="20"/>
      <x:c r="H34" s="20"/>
    </x:row>
    <x:row r="35">
      <x:c r="A35" s="20"/>
      <x:c r="B35" s="20"/>
      <x:c r="C35" s="20"/>
      <x:c r="D35" s="20"/>
      <x:c r="E35" s="20"/>
      <x:c r="F35" s="20"/>
      <x:c r="G35" s="20"/>
      <x:c r="H35" s="20"/>
    </x:row>
    <x:row r="36">
      <x:c r="A36" s="20"/>
      <x:c r="B36" s="20"/>
      <x:c r="C36" s="20"/>
      <x:c r="D36" s="20"/>
      <x:c r="E36" s="20"/>
      <x:c r="F36" s="20"/>
      <x:c r="G36" s="20"/>
      <x:c r="H36" s="20"/>
    </x:row>
    <x:row r="37">
      <x:c r="A37" s="20"/>
      <x:c r="B37" s="20"/>
      <x:c r="C37" s="20"/>
      <x:c r="D37" s="20"/>
      <x:c r="E37" s="20"/>
      <x:c r="F37" s="20"/>
      <x:c r="G37" s="20"/>
      <x:c r="H37" s="20"/>
    </x:row>
    <x:row r="38">
      <x:c r="A38" s="20"/>
      <x:c r="B38" s="20"/>
      <x:c r="C38" s="20"/>
      <x:c r="D38" s="20"/>
      <x:c r="E38" s="20"/>
      <x:c r="F38" s="20"/>
      <x:c r="G38" s="20"/>
      <x:c r="H38" s="20"/>
    </x:row>
    <x:row r="39">
      <x:c r="A39" s="20"/>
      <x:c r="B39" s="20"/>
      <x:c r="C39" s="20"/>
      <x:c r="D39" s="20"/>
      <x:c r="E39" s="20"/>
      <x:c r="F39" s="20"/>
      <x:c r="G39" s="20"/>
      <x:c r="H39" s="20"/>
    </x:row>
    <x:row r="40">
      <x:c r="A40" s="20"/>
      <x:c r="B40" s="20"/>
      <x:c r="C40" s="20"/>
      <x:c r="D40" s="20"/>
      <x:c r="E40" s="20"/>
      <x:c r="F40" s="20"/>
      <x:c r="G40" s="20"/>
      <x:c r="H40" s="20"/>
    </x:row>
    <x:row r="41">
      <x:c r="A41" s="20"/>
      <x:c r="B41" s="20"/>
      <x:c r="C41" s="20"/>
      <x:c r="D41" s="20"/>
      <x:c r="E41" s="20"/>
      <x:c r="F41" s="20"/>
      <x:c r="G41" s="20"/>
      <x:c r="H41" s="20"/>
    </x:row>
    <x:row r="42">
      <x:c r="A42" s="20"/>
      <x:c r="B42" s="20"/>
      <x:c r="C42" s="20"/>
      <x:c r="D42" s="20"/>
      <x:c r="E42" s="20"/>
      <x:c r="F42" s="20"/>
      <x:c r="G42" s="20"/>
      <x:c r="H42" s="20"/>
    </x:row>
    <x:row r="43">
      <x:c r="A43" s="20"/>
      <x:c r="B43" s="20"/>
      <x:c r="C43" s="20"/>
      <x:c r="D43" s="20"/>
      <x:c r="E43" s="20"/>
      <x:c r="F43" s="20"/>
      <x:c r="G43" s="20"/>
      <x:c r="H43" s="20"/>
    </x:row>
    <x:row r="44">
      <x:c r="A44" s="20"/>
      <x:c r="B44" s="20"/>
      <x:c r="C44" s="20"/>
      <x:c r="D44" s="20"/>
      <x:c r="E44" s="20"/>
      <x:c r="F44" s="20"/>
      <x:c r="G44" s="20"/>
      <x:c r="H44" s="20"/>
    </x:row>
    <x:row r="45">
      <x:c r="A45" s="20"/>
      <x:c r="B45" s="20"/>
      <x:c r="C45" s="20"/>
      <x:c r="D45" s="20"/>
      <x:c r="E45" s="20"/>
      <x:c r="F45" s="20"/>
      <x:c r="G45" s="20"/>
      <x:c r="H45" s="20"/>
    </x:row>
    <x:row r="46">
      <x:c r="A46" s="20"/>
      <x:c r="B46" s="20"/>
      <x:c r="C46" s="20"/>
      <x:c r="D46" s="20"/>
      <x:c r="E46" s="20"/>
      <x:c r="F46" s="20"/>
      <x:c r="G46" s="20"/>
      <x:c r="H46" s="20"/>
    </x:row>
    <x:row r="47">
      <x:c r="A47" s="20"/>
      <x:c r="B47" s="20"/>
      <x:c r="C47" s="20"/>
      <x:c r="D47" s="20"/>
      <x:c r="E47" s="20"/>
      <x:c r="F47" s="20"/>
      <x:c r="G47" s="20"/>
      <x:c r="H47" s="20"/>
    </x:row>
    <x:row r="48">
      <x:c r="A48" s="20"/>
      <x:c r="B48" s="20"/>
      <x:c r="C48" s="20"/>
      <x:c r="D48" s="20"/>
      <x:c r="E48" s="20"/>
      <x:c r="F48" s="20"/>
      <x:c r="G48" s="20"/>
      <x:c r="H48" s="20"/>
    </x:row>
    <x:row r="49">
      <x:c r="A49" s="20"/>
      <x:c r="B49" s="20"/>
      <x:c r="C49" s="20"/>
      <x:c r="D49" s="20"/>
      <x:c r="E49" s="20"/>
      <x:c r="F49" s="20"/>
      <x:c r="G49" s="20"/>
      <x:c r="H49" s="20"/>
    </x:row>
    <x:row r="50">
      <x:c r="A50" s="20"/>
      <x:c r="B50" s="20"/>
      <x:c r="C50" s="20"/>
      <x:c r="D50" s="20"/>
      <x:c r="E50" s="20"/>
      <x:c r="F50" s="20"/>
      <x:c r="G50" s="20"/>
      <x:c r="H50" s="20"/>
    </x:row>
    <x:row r="51">
      <x:c r="A51" s="20"/>
      <x:c r="B51" s="20"/>
      <x:c r="C51" s="20"/>
      <x:c r="D51" s="20"/>
      <x:c r="E51" s="20"/>
      <x:c r="F51" s="20"/>
      <x:c r="G51" s="20"/>
      <x:c r="H51" s="20"/>
    </x:row>
    <x:row r="52">
      <x:c r="A52" s="20"/>
      <x:c r="B52" s="20"/>
      <x:c r="C52" s="20"/>
      <x:c r="D52" s="20"/>
      <x:c r="E52" s="20"/>
      <x:c r="F52" s="20"/>
      <x:c r="G52" s="20"/>
      <x:c r="H52" s="20"/>
    </x:row>
    <x:row r="53">
      <x:c r="A53" s="20"/>
      <x:c r="B53" s="20"/>
      <x:c r="C53" s="20"/>
      <x:c r="D53" s="20"/>
      <x:c r="E53" s="20"/>
      <x:c r="F53" s="20"/>
      <x:c r="G53" s="20"/>
      <x:c r="H53" s="20"/>
    </x:row>
    <x:row r="54">
      <x:c r="A54" s="20"/>
      <x:c r="B54" s="20"/>
      <x:c r="C54" s="20"/>
      <x:c r="D54" s="20"/>
      <x:c r="E54" s="20"/>
      <x:c r="F54" s="20"/>
      <x:c r="G54" s="20"/>
      <x:c r="H54" s="20"/>
    </x:row>
    <x:row r="55">
      <x:c r="A55" s="20"/>
      <x:c r="B55" s="20"/>
      <x:c r="C55" s="20"/>
      <x:c r="D55" s="20"/>
      <x:c r="E55" s="20"/>
      <x:c r="F55" s="20"/>
      <x:c r="G55" s="20"/>
      <x:c r="H55" s="20"/>
    </x:row>
    <x:row r="56">
      <x:c r="A56" s="20"/>
      <x:c r="B56" s="20"/>
      <x:c r="C56" s="20"/>
      <x:c r="D56" s="20"/>
      <x:c r="E56" s="20"/>
      <x:c r="F56" s="20"/>
      <x:c r="G56" s="20"/>
      <x:c r="H56" s="20"/>
    </x:row>
    <x:row r="57">
      <x:c r="A57" s="20"/>
      <x:c r="B57" s="20"/>
      <x:c r="C57" s="20"/>
      <x:c r="D57" s="20"/>
      <x:c r="E57" s="20"/>
      <x:c r="F57" s="20"/>
      <x:c r="G57" s="20"/>
      <x:c r="H57" s="20"/>
    </x:row>
    <x:row r="58">
      <x:c r="A58" s="20"/>
      <x:c r="B58" s="20"/>
      <x:c r="C58" s="20"/>
      <x:c r="D58" s="20"/>
      <x:c r="E58" s="20"/>
      <x:c r="F58" s="20"/>
      <x:c r="G58" s="20"/>
      <x:c r="H58" s="20"/>
    </x:row>
    <x:row r="59">
      <x:c r="A59" s="20"/>
      <x:c r="B59" s="20"/>
      <x:c r="C59" s="20"/>
      <x:c r="D59" s="20"/>
      <x:c r="E59" s="20"/>
      <x:c r="F59" s="20"/>
      <x:c r="G59" s="20"/>
      <x:c r="H59" s="20"/>
    </x:row>
    <x:row r="60">
      <x:c r="A60" s="20"/>
      <x:c r="B60" s="20"/>
      <x:c r="C60" s="20"/>
      <x:c r="D60" s="20"/>
      <x:c r="E60" s="20"/>
      <x:c r="F60" s="20"/>
      <x:c r="G60" s="20"/>
      <x:c r="H60" s="20"/>
    </x:row>
    <x:row r="61">
      <x:c r="A61" s="20"/>
      <x:c r="B61" s="20"/>
      <x:c r="C61" s="20"/>
      <x:c r="D61" s="20"/>
      <x:c r="E61" s="20"/>
      <x:c r="F61" s="20"/>
      <x:c r="G61" s="20"/>
      <x:c r="H61" s="20"/>
    </x:row>
    <x:row r="62">
      <x:c r="A62" s="20"/>
      <x:c r="B62" s="20"/>
      <x:c r="C62" s="20"/>
      <x:c r="D62" s="20"/>
      <x:c r="E62" s="20"/>
      <x:c r="F62" s="20"/>
      <x:c r="G62" s="20"/>
      <x:c r="H62" s="20"/>
    </x:row>
    <x:row r="63">
      <x:c r="A63" s="20"/>
      <x:c r="B63" s="20"/>
      <x:c r="C63" s="20"/>
      <x:c r="D63" s="20"/>
      <x:c r="E63" s="20"/>
      <x:c r="F63" s="20"/>
      <x:c r="G63" s="20"/>
      <x:c r="H63" s="20"/>
    </x:row>
    <x:row r="64">
      <x:c r="A64" s="20"/>
      <x:c r="B64" s="20"/>
      <x:c r="C64" s="20"/>
      <x:c r="D64" s="20"/>
      <x:c r="E64" s="20"/>
      <x:c r="F64" s="20"/>
      <x:c r="G64" s="20"/>
      <x:c r="H64" s="20"/>
    </x:row>
    <x:row r="65">
      <x:c r="A65" s="20"/>
      <x:c r="B65" s="20"/>
      <x:c r="C65" s="20"/>
      <x:c r="D65" s="20"/>
      <x:c r="E65" s="20"/>
      <x:c r="F65" s="20"/>
      <x:c r="G65" s="20"/>
      <x:c r="H65" s="20"/>
    </x:row>
    <x:row r="66">
      <x:c r="A66" s="20"/>
      <x:c r="B66" s="20"/>
      <x:c r="C66" s="20"/>
      <x:c r="D66" s="20"/>
      <x:c r="E66" s="20"/>
      <x:c r="F66" s="20"/>
      <x:c r="G66" s="20"/>
      <x:c r="H66" s="20"/>
    </x:row>
    <x:row r="67">
      <x:c r="A67" s="20"/>
      <x:c r="B67" s="20"/>
      <x:c r="C67" s="20"/>
      <x:c r="D67" s="20"/>
      <x:c r="E67" s="20"/>
      <x:c r="F67" s="20"/>
      <x:c r="G67" s="20"/>
      <x:c r="H67" s="20"/>
    </x:row>
    <x:row r="68">
      <x:c r="A68" s="20"/>
      <x:c r="B68" s="20"/>
      <x:c r="C68" s="20"/>
      <x:c r="D68" s="20"/>
      <x:c r="E68" s="20"/>
      <x:c r="F68" s="20"/>
      <x:c r="G68" s="20"/>
      <x:c r="H68" s="20"/>
    </x:row>
    <x:row r="69">
      <x:c r="A69" s="20"/>
      <x:c r="B69" s="20"/>
      <x:c r="C69" s="20"/>
      <x:c r="D69" s="20"/>
      <x:c r="E69" s="20"/>
      <x:c r="F69" s="20"/>
      <x:c r="G69" s="20"/>
      <x:c r="H69" s="20"/>
    </x:row>
    <x:row r="70">
      <x:c r="A70" s="20"/>
      <x:c r="B70" s="20"/>
      <x:c r="C70" s="20"/>
      <x:c r="D70" s="20"/>
      <x:c r="E70" s="20"/>
      <x:c r="F70" s="20"/>
      <x:c r="G70" s="20"/>
      <x:c r="H70" s="20"/>
    </x:row>
    <x:row r="71">
      <x:c r="A71" s="20"/>
      <x:c r="B71" s="20"/>
      <x:c r="C71" s="20"/>
      <x:c r="D71" s="20"/>
      <x:c r="E71" s="20"/>
      <x:c r="F71" s="20"/>
      <x:c r="G71" s="20"/>
      <x:c r="H71" s="20"/>
    </x:row>
    <x:row r="72">
      <x:c r="A72" s="20"/>
      <x:c r="B72" s="20"/>
      <x:c r="C72" s="20"/>
      <x:c r="D72" s="20"/>
      <x:c r="E72" s="20"/>
      <x:c r="F72" s="20"/>
      <x:c r="G72" s="20"/>
      <x:c r="H72" s="20"/>
    </x:row>
    <x:row r="73">
      <x:c r="A73" s="20"/>
      <x:c r="B73" s="20"/>
      <x:c r="C73" s="20"/>
      <x:c r="D73" s="20"/>
      <x:c r="E73" s="20"/>
      <x:c r="F73" s="20"/>
      <x:c r="G73" s="20"/>
      <x:c r="H73" s="20"/>
    </x:row>
    <x:row r="74">
      <x:c r="A74" s="20"/>
      <x:c r="B74" s="20"/>
      <x:c r="C74" s="20"/>
      <x:c r="D74" s="20"/>
      <x:c r="E74" s="20"/>
      <x:c r="F74" s="20"/>
      <x:c r="G74" s="20"/>
      <x:c r="H74" s="20"/>
    </x:row>
    <x:row r="75">
      <x:c r="A75" s="20"/>
      <x:c r="B75" s="20"/>
      <x:c r="C75" s="20"/>
      <x:c r="D75" s="20"/>
      <x:c r="E75" s="20"/>
      <x:c r="F75" s="20"/>
      <x:c r="G75" s="20"/>
      <x:c r="H75" s="20"/>
    </x:row>
    <x:row r="76">
      <x:c r="A76" s="20"/>
      <x:c r="B76" s="20"/>
      <x:c r="C76" s="20"/>
      <x:c r="D76" s="20"/>
      <x:c r="E76" s="20"/>
      <x:c r="F76" s="20"/>
      <x:c r="G76" s="20"/>
      <x:c r="H76" s="20"/>
    </x:row>
    <x:row r="77">
      <x:c r="A77" s="20"/>
      <x:c r="B77" s="20"/>
      <x:c r="C77" s="20"/>
      <x:c r="D77" s="20"/>
      <x:c r="E77" s="20"/>
      <x:c r="F77" s="20"/>
      <x:c r="G77" s="20"/>
      <x:c r="H77" s="20"/>
    </x:row>
    <x:row r="78">
      <x:c r="A78" s="20"/>
      <x:c r="B78" s="20"/>
      <x:c r="C78" s="20"/>
      <x:c r="D78" s="20"/>
      <x:c r="E78" s="20"/>
      <x:c r="F78" s="20"/>
      <x:c r="G78" s="20"/>
      <x:c r="H78" s="20"/>
    </x:row>
    <x:row r="79">
      <x:c r="A79" s="20"/>
      <x:c r="B79" s="20"/>
      <x:c r="C79" s="20"/>
      <x:c r="D79" s="20"/>
      <x:c r="E79" s="20"/>
      <x:c r="F79" s="20"/>
      <x:c r="G79" s="20"/>
      <x:c r="H79" s="20"/>
    </x:row>
    <x:row r="80">
      <x:c r="A80" s="20"/>
      <x:c r="B80" s="20"/>
      <x:c r="C80" s="20"/>
      <x:c r="D80" s="20"/>
      <x:c r="E80" s="20"/>
      <x:c r="F80" s="20"/>
      <x:c r="G80" s="20"/>
      <x:c r="H80" s="20"/>
    </x:row>
  </x:sheetData>
  <x:mergeCells>
    <x:mergeCell ref="A1:H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  <x:col min="5" max="5" width="18" hidden="0" customWidth="1"/>
    <x:col min="6" max="6" width="18" hidden="0" customWidth="1"/>
    <x:col min="7" max="7" width="18" hidden="0" customWidth="1"/>
    <x:col min="8" max="8" width="30" hidden="0" customWidth="1"/>
  </x:cols>
  <x:sheetData>
    <x:row r="1" ht="24" customHeight="1">
      <x:c r="A1" s="142" t="str">
        <x:v>Balance Simulator</x:v>
      </x:c>
      <x:c r="B1" s="142"/>
      <x:c r="C1" s="142"/>
      <x:c r="D1" s="142"/>
      <x:c r="E1" s="142"/>
      <x:c r="F1" s="142"/>
      <x:c r="G1" s="142"/>
      <x:c r="H1" s="142"/>
    </x:row>
    <x:row r="2" ht="30" customHeight="1">
      <x:c r="A2" s="143" t="str">
        <x:v>Metric</x:v>
      </x:c>
      <x:c r="B2" s="143" t="str">
        <x:v>Input / Formula</x:v>
      </x:c>
      <x:c r="C2" s="143" t="str">
        <x:v>Unit</x:v>
      </x:c>
      <x:c r="D2" s="143" t="str">
        <x:v>Case</x:v>
      </x:c>
      <x:c r="E2" s="143" t="str">
        <x:v>Low</x:v>
      </x:c>
      <x:c r="F2" s="143" t="str">
        <x:v>Base</x:v>
      </x:c>
      <x:c r="G2" s="143" t="str">
        <x:v>High</x:v>
      </x:c>
      <x:c r="H2" s="143" t="str">
        <x:v>Notes</x:v>
      </x:c>
    </x:row>
    <x:row r="3">
      <x:c r="A3" s="20" t="str">
        <x:v>Reference $PLOT price</x:v>
      </x:c>
      <x:c r="B3" s="20"/>
      <x:c r="C3" s="20" t="str">
        <x:v>USD</x:v>
      </x:c>
      <x:c r="D3" s="20"/>
      <x:c r="E3" s="132" t="n">
        <x:f>Assumptions!B5</x:f>
        <x:v>0.015</x:v>
      </x:c>
      <x:c r="F3" s="132" t="n">
        <x:f>Assumptions!B5</x:f>
        <x:v>0.015</x:v>
      </x:c>
      <x:c r="G3" s="132" t="n">
        <x:f>Assumptions!B5</x:f>
        <x:v>0.015</x:v>
      </x:c>
      <x:c r="H3" s="20" t="str">
        <x:v>Linked to assumptions</x:v>
      </x:c>
    </x:row>
    <x:row r="4">
      <x:c r="A4" s="20" t="str">
        <x:v>Monthly active players</x:v>
      </x:c>
      <x:c r="B4" s="20"/>
      <x:c r="C4" s="20" t="str">
        <x:v>players</x:v>
      </x:c>
      <x:c r="D4" s="20"/>
      <x:c r="E4" s="133" t="n">
        <x:v>10000</x:v>
      </x:c>
      <x:c r="F4" s="133" t="n">
        <x:v>50000</x:v>
      </x:c>
      <x:c r="G4" s="133" t="n">
        <x:v>150000</x:v>
      </x:c>
      <x:c r="H4" s="20" t="str">
        <x:v>Scenario input</x:v>
      </x:c>
    </x:row>
    <x:row r="5">
      <x:c r="A5" s="20" t="str">
        <x:v>Premium conversion</x:v>
      </x:c>
      <x:c r="B5" s="20"/>
      <x:c r="C5" s="20" t="str">
        <x:v>%</x:v>
      </x:c>
      <x:c r="D5" s="20"/>
      <x:c r="E5" s="133" t="n">
        <x:v>0.02</x:v>
      </x:c>
      <x:c r="F5" s="133" t="n">
        <x:v>0.04</x:v>
      </x:c>
      <x:c r="G5" s="133" t="n">
        <x:v>0.07</x:v>
      </x:c>
      <x:c r="H5" s="20" t="str">
        <x:v>Scenario input</x:v>
      </x:c>
    </x:row>
    <x:row r="6">
      <x:c r="A6" s="20" t="str">
        <x:v>Avg monthly premium spend / payer</x:v>
      </x:c>
      <x:c r="B6" s="20"/>
      <x:c r="C6" s="20" t="str">
        <x:v>USD</x:v>
      </x:c>
      <x:c r="D6" s="20"/>
      <x:c r="E6" s="133" t="n">
        <x:v>8</x:v>
      </x:c>
      <x:c r="F6" s="133" t="n">
        <x:v>15</x:v>
      </x:c>
      <x:c r="G6" s="133" t="n">
        <x:v>25</x:v>
      </x:c>
      <x:c r="H6" s="20" t="str">
        <x:v>Scenario input</x:v>
      </x:c>
    </x:row>
    <x:row r="7">
      <x:c r="A7" s="20" t="str">
        <x:v>Monthly premium revenue</x:v>
      </x:c>
      <x:c r="B7" s="20"/>
      <x:c r="C7" s="20" t="str">
        <x:v>USD</x:v>
      </x:c>
      <x:c r="D7" s="20"/>
      <x:c r="E7" s="134" t="n">
        <x:f>E4*E5*E6</x:f>
        <x:v>1600</x:v>
      </x:c>
      <x:c r="F7" s="134" t="n">
        <x:f>F4*F5*F6</x:f>
        <x:v>30000</x:v>
      </x:c>
      <x:c r="G7" s="134" t="n">
        <x:f>G4*G5*G6</x:f>
        <x:v>262500.00000000006</x:v>
      </x:c>
      <x:c r="H7" s="20" t="str">
        <x:v>MAU × conversion × spend</x:v>
      </x:c>
    </x:row>
    <x:row r="8">
      <x:c r="A8" s="20" t="str">
        <x:v>50% revenue buyback budget</x:v>
      </x:c>
      <x:c r="B8" s="20"/>
      <x:c r="C8" s="20" t="str">
        <x:v>USD</x:v>
      </x:c>
      <x:c r="D8" s="20"/>
      <x:c r="E8" s="134" t="n">
        <x:f>E7*50%</x:f>
        <x:v>800</x:v>
      </x:c>
      <x:c r="F8" s="134" t="n">
        <x:f>F7*50%</x:f>
        <x:v>15000</x:v>
      </x:c>
      <x:c r="G8" s="134" t="n">
        <x:f>G7*50%</x:f>
        <x:v>131250.00000000003</x:v>
      </x:c>
      <x:c r="H8" s="20" t="str">
        <x:v>Illustrative 50% revenue buyback</x:v>
      </x:c>
    </x:row>
    <x:row r="9">
      <x:c r="A9" s="20" t="str">
        <x:v>PLOT bought back</x:v>
      </x:c>
      <x:c r="B9" s="20"/>
      <x:c r="C9" s="20" t="str">
        <x:v>PLOT</x:v>
      </x:c>
      <x:c r="D9" s="20"/>
      <x:c r="E9" s="134" t="n">
        <x:f>E8/E3</x:f>
        <x:v>53333.333333333336</x:v>
      </x:c>
      <x:c r="F9" s="134" t="n">
        <x:f>F8/F3</x:f>
        <x:v>1000000</x:v>
      </x:c>
      <x:c r="G9" s="134" t="n">
        <x:f>G8/G3</x:f>
        <x:v>8750000.000000002</x:v>
      </x:c>
      <x:c r="H9" s="20" t="str">
        <x:v>Buyback budget / token price</x:v>
      </x:c>
    </x:row>
    <x:row r="10">
      <x:c r="A10" s="20" t="str">
        <x:v>Gross weekly reward target</x:v>
      </x:c>
      <x:c r="B10" s="20"/>
      <x:c r="C10" s="20" t="str">
        <x:v>PLOT</x:v>
      </x:c>
      <x:c r="D10" s="20"/>
      <x:c r="E10" s="133" t="n">
        <x:v>150000</x:v>
      </x:c>
      <x:c r="F10" s="133" t="n">
        <x:v>300000</x:v>
      </x:c>
      <x:c r="G10" s="133" t="n">
        <x:v>600000</x:v>
      </x:c>
      <x:c r="H10" s="20" t="str">
        <x:v>Illustrative</x:v>
      </x:c>
    </x:row>
    <x:row r="11">
      <x:c r="A11" s="20" t="str">
        <x:v>Weekly recycled buyback equivalent</x:v>
      </x:c>
      <x:c r="B11" s="20"/>
      <x:c r="C11" s="20" t="str">
        <x:v>PLOT</x:v>
      </x:c>
      <x:c r="D11" s="20"/>
      <x:c r="E11" s="134" t="n">
        <x:f>E9/4.345</x:f>
        <x:v>12274.645186037593</x:v>
      </x:c>
      <x:c r="F11" s="134" t="n">
        <x:f>F9/4.345</x:f>
        <x:v>230149.59723820485</x:v>
      </x:c>
      <x:c r="G11" s="134" t="n">
        <x:f>G9/4.345</x:f>
        <x:v>2013808.9758342928</x:v>
      </x:c>
      <x:c r="H11" s="20" t="str">
        <x:v>Monthly buyback / 4.345</x:v>
      </x:c>
    </x:row>
    <x:row r="12">
      <x:c r="A12" s="20" t="str">
        <x:v>Net reserve emission / week</x:v>
      </x:c>
      <x:c r="B12" s="20"/>
      <x:c r="C12" s="20" t="str">
        <x:v>PLOT</x:v>
      </x:c>
      <x:c r="D12" s="20"/>
      <x:c r="E12" s="134" t="n">
        <x:f>MAX(0,E10-E11)</x:f>
        <x:v>137725.35481396242</x:v>
      </x:c>
      <x:c r="F12" s="134" t="n">
        <x:f>MAX(0,F10-F11)</x:f>
        <x:v>69850.40276179515</x:v>
      </x:c>
      <x:c r="G12" s="134" t="n">
        <x:f>MAX(0,G10-G11)</x:f>
        <x:v>0</x:v>
      </x:c>
      <x:c r="H12" s="20" t="str">
        <x:v>MAX(0, gross - recycled)</x:v>
      </x:c>
    </x:row>
    <x:row r="13">
      <x:c r="A13" s="20" t="str">
        <x:v>Annual reserve consumption</x:v>
      </x:c>
      <x:c r="B13" s="20"/>
      <x:c r="C13" s="20" t="str">
        <x:v>PLOT</x:v>
      </x:c>
      <x:c r="D13" s="20"/>
      <x:c r="E13" s="134" t="n">
        <x:f>E12*52</x:f>
        <x:v>7161718.450326046</x:v>
      </x:c>
      <x:c r="F13" s="134" t="n">
        <x:f>F12*52</x:f>
        <x:v>3632220.9436133476</x:v>
      </x:c>
      <x:c r="G13" s="134" t="n">
        <x:f>G12*52</x:f>
        <x:v>0</x:v>
      </x:c>
      <x:c r="H13" s="20" t="str">
        <x:v>Net × 52</x:v>
      </x:c>
    </x:row>
    <x:row r="14">
      <x:c r="A14" s="20"/>
      <x:c r="B14" s="20"/>
      <x:c r="C14" s="20"/>
      <x:c r="D14" s="20"/>
      <x:c r="E14" s="20"/>
      <x:c r="F14" s="20"/>
      <x:c r="G14" s="20"/>
      <x:c r="H14" s="20"/>
    </x:row>
    <x:row r="15">
      <x:c r="A15" s="20"/>
      <x:c r="B15" s="20"/>
      <x:c r="C15" s="20"/>
      <x:c r="D15" s="20"/>
      <x:c r="E15" s="20"/>
      <x:c r="F15" s="20"/>
      <x:c r="G15" s="20"/>
      <x:c r="H15" s="20"/>
    </x:row>
    <x:row r="16">
      <x:c r="A16" s="20"/>
      <x:c r="B16" s="20"/>
      <x:c r="C16" s="20"/>
      <x:c r="D16" s="20"/>
      <x:c r="E16" s="20"/>
      <x:c r="F16" s="20"/>
      <x:c r="G16" s="20"/>
      <x:c r="H16" s="20"/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  <x:row r="21">
      <x:c r="A21" s="20"/>
      <x:c r="B21" s="20"/>
      <x:c r="C21" s="20"/>
      <x:c r="D21" s="20"/>
      <x:c r="E21" s="20"/>
      <x:c r="F21" s="20"/>
      <x:c r="G21" s="20"/>
      <x:c r="H21" s="20"/>
    </x:row>
    <x:row r="22">
      <x:c r="A22" s="20"/>
      <x:c r="B22" s="20"/>
      <x:c r="C22" s="20"/>
      <x:c r="D22" s="20"/>
      <x:c r="E22" s="20"/>
      <x:c r="F22" s="20"/>
      <x:c r="G22" s="20"/>
      <x:c r="H22" s="20"/>
    </x:row>
    <x:row r="23">
      <x:c r="A23" s="20"/>
      <x:c r="B23" s="20"/>
      <x:c r="C23" s="20"/>
      <x:c r="D23" s="20"/>
      <x:c r="E23" s="20"/>
      <x:c r="F23" s="20"/>
      <x:c r="G23" s="20"/>
      <x:c r="H23" s="20"/>
    </x:row>
    <x:row r="24">
      <x:c r="A24" s="20"/>
      <x:c r="B24" s="20"/>
      <x:c r="C24" s="20"/>
      <x:c r="D24" s="20"/>
      <x:c r="E24" s="20"/>
      <x:c r="F24" s="20"/>
      <x:c r="G24" s="20"/>
      <x:c r="H24" s="20"/>
    </x:row>
    <x:row r="25">
      <x:c r="A25" s="20"/>
      <x:c r="B25" s="20"/>
      <x:c r="C25" s="20"/>
      <x:c r="D25" s="20"/>
      <x:c r="E25" s="20"/>
      <x:c r="F25" s="20"/>
      <x:c r="G25" s="20"/>
      <x:c r="H25" s="20"/>
    </x:row>
    <x:row r="26">
      <x:c r="A26" s="20"/>
      <x:c r="B26" s="20"/>
      <x:c r="C26" s="20"/>
      <x:c r="D26" s="20"/>
      <x:c r="E26" s="20"/>
      <x:c r="F26" s="20"/>
      <x:c r="G26" s="20"/>
      <x:c r="H26" s="20"/>
    </x:row>
    <x:row r="27">
      <x:c r="A27" s="20"/>
      <x:c r="B27" s="20"/>
      <x:c r="C27" s="20"/>
      <x:c r="D27" s="20"/>
      <x:c r="E27" s="20"/>
      <x:c r="F27" s="20"/>
      <x:c r="G27" s="20"/>
      <x:c r="H27" s="20"/>
    </x:row>
    <x:row r="28">
      <x:c r="A28" s="20"/>
      <x:c r="B28" s="20"/>
      <x:c r="C28" s="20"/>
      <x:c r="D28" s="20"/>
      <x:c r="E28" s="20"/>
      <x:c r="F28" s="20"/>
      <x:c r="G28" s="20"/>
      <x:c r="H28" s="20"/>
    </x:row>
    <x:row r="29">
      <x:c r="A29" s="20"/>
      <x:c r="B29" s="20"/>
      <x:c r="C29" s="20"/>
      <x:c r="D29" s="20"/>
      <x:c r="E29" s="20"/>
      <x:c r="F29" s="20"/>
      <x:c r="G29" s="20"/>
      <x:c r="H29" s="20"/>
    </x:row>
    <x:row r="30">
      <x:c r="A30" s="20"/>
      <x:c r="B30" s="20"/>
      <x:c r="C30" s="20"/>
      <x:c r="D30" s="20"/>
      <x:c r="E30" s="20"/>
      <x:c r="F30" s="20"/>
      <x:c r="G30" s="20"/>
      <x:c r="H30" s="20"/>
    </x:row>
    <x:row r="31">
      <x:c r="A31" s="20"/>
      <x:c r="B31" s="20"/>
      <x:c r="C31" s="20"/>
      <x:c r="D31" s="20"/>
      <x:c r="E31" s="20"/>
      <x:c r="F31" s="20"/>
      <x:c r="G31" s="20"/>
      <x:c r="H31" s="20"/>
    </x:row>
    <x:row r="32">
      <x:c r="A32" s="20"/>
      <x:c r="B32" s="20"/>
      <x:c r="C32" s="20"/>
      <x:c r="D32" s="20"/>
      <x:c r="E32" s="20"/>
      <x:c r="F32" s="20"/>
      <x:c r="G32" s="20"/>
      <x:c r="H32" s="20"/>
    </x:row>
    <x:row r="33">
      <x:c r="A33" s="20"/>
      <x:c r="B33" s="20"/>
      <x:c r="C33" s="20"/>
      <x:c r="D33" s="20"/>
      <x:c r="E33" s="20"/>
      <x:c r="F33" s="20"/>
      <x:c r="G33" s="20"/>
      <x:c r="H33" s="20"/>
    </x:row>
    <x:row r="34">
      <x:c r="A34" s="20"/>
      <x:c r="B34" s="20"/>
      <x:c r="C34" s="20"/>
      <x:c r="D34" s="20"/>
      <x:c r="E34" s="20"/>
      <x:c r="F34" s="20"/>
      <x:c r="G34" s="20"/>
      <x:c r="H34" s="20"/>
    </x:row>
    <x:row r="35">
      <x:c r="A35" s="20"/>
      <x:c r="B35" s="20"/>
      <x:c r="C35" s="20"/>
      <x:c r="D35" s="20"/>
      <x:c r="E35" s="20"/>
      <x:c r="F35" s="20"/>
      <x:c r="G35" s="20"/>
      <x:c r="H35" s="20"/>
    </x:row>
    <x:row r="36">
      <x:c r="A36" s="20"/>
      <x:c r="B36" s="20"/>
      <x:c r="C36" s="20"/>
      <x:c r="D36" s="20"/>
      <x:c r="E36" s="20"/>
      <x:c r="F36" s="20"/>
      <x:c r="G36" s="20"/>
      <x:c r="H36" s="20"/>
    </x:row>
    <x:row r="37">
      <x:c r="A37" s="20"/>
      <x:c r="B37" s="20"/>
      <x:c r="C37" s="20"/>
      <x:c r="D37" s="20"/>
      <x:c r="E37" s="20"/>
      <x:c r="F37" s="20"/>
      <x:c r="G37" s="20"/>
      <x:c r="H37" s="20"/>
    </x:row>
    <x:row r="38">
      <x:c r="A38" s="20"/>
      <x:c r="B38" s="20"/>
      <x:c r="C38" s="20"/>
      <x:c r="D38" s="20"/>
      <x:c r="E38" s="20"/>
      <x:c r="F38" s="20"/>
      <x:c r="G38" s="20"/>
      <x:c r="H38" s="20"/>
    </x:row>
    <x:row r="39">
      <x:c r="A39" s="20"/>
      <x:c r="B39" s="20"/>
      <x:c r="C39" s="20"/>
      <x:c r="D39" s="20"/>
      <x:c r="E39" s="20"/>
      <x:c r="F39" s="20"/>
      <x:c r="G39" s="20"/>
      <x:c r="H39" s="20"/>
    </x:row>
    <x:row r="40">
      <x:c r="A40" s="20"/>
      <x:c r="B40" s="20"/>
      <x:c r="C40" s="20"/>
      <x:c r="D40" s="20"/>
      <x:c r="E40" s="20"/>
      <x:c r="F40" s="20"/>
      <x:c r="G40" s="20"/>
      <x:c r="H40" s="20"/>
    </x:row>
    <x:row r="41">
      <x:c r="A41" s="20"/>
      <x:c r="B41" s="20"/>
      <x:c r="C41" s="20"/>
      <x:c r="D41" s="20"/>
      <x:c r="E41" s="20"/>
      <x:c r="F41" s="20"/>
      <x:c r="G41" s="20"/>
      <x:c r="H41" s="20"/>
    </x:row>
    <x:row r="42">
      <x:c r="A42" s="20"/>
      <x:c r="B42" s="20"/>
      <x:c r="C42" s="20"/>
      <x:c r="D42" s="20"/>
      <x:c r="E42" s="20"/>
      <x:c r="F42" s="20"/>
      <x:c r="G42" s="20"/>
      <x:c r="H42" s="20"/>
    </x:row>
    <x:row r="43">
      <x:c r="A43" s="20"/>
      <x:c r="B43" s="20"/>
      <x:c r="C43" s="20"/>
      <x:c r="D43" s="20"/>
      <x:c r="E43" s="20"/>
      <x:c r="F43" s="20"/>
      <x:c r="G43" s="20"/>
      <x:c r="H43" s="20"/>
    </x:row>
    <x:row r="44">
      <x:c r="A44" s="20"/>
      <x:c r="B44" s="20"/>
      <x:c r="C44" s="20"/>
      <x:c r="D44" s="20"/>
      <x:c r="E44" s="20"/>
      <x:c r="F44" s="20"/>
      <x:c r="G44" s="20"/>
      <x:c r="H44" s="20"/>
    </x:row>
    <x:row r="45">
      <x:c r="A45" s="20"/>
      <x:c r="B45" s="20"/>
      <x:c r="C45" s="20"/>
      <x:c r="D45" s="20"/>
      <x:c r="E45" s="20"/>
      <x:c r="F45" s="20"/>
      <x:c r="G45" s="20"/>
      <x:c r="H45" s="20"/>
    </x:row>
    <x:row r="46">
      <x:c r="A46" s="20"/>
      <x:c r="B46" s="20"/>
      <x:c r="C46" s="20"/>
      <x:c r="D46" s="20"/>
      <x:c r="E46" s="20"/>
      <x:c r="F46" s="20"/>
      <x:c r="G46" s="20"/>
      <x:c r="H46" s="20"/>
    </x:row>
    <x:row r="47">
      <x:c r="A47" s="20"/>
      <x:c r="B47" s="20"/>
      <x:c r="C47" s="20"/>
      <x:c r="D47" s="20"/>
      <x:c r="E47" s="20"/>
      <x:c r="F47" s="20"/>
      <x:c r="G47" s="20"/>
      <x:c r="H47" s="20"/>
    </x:row>
    <x:row r="48">
      <x:c r="A48" s="20"/>
      <x:c r="B48" s="20"/>
      <x:c r="C48" s="20"/>
      <x:c r="D48" s="20"/>
      <x:c r="E48" s="20"/>
      <x:c r="F48" s="20"/>
      <x:c r="G48" s="20"/>
      <x:c r="H48" s="20"/>
    </x:row>
    <x:row r="49">
      <x:c r="A49" s="20"/>
      <x:c r="B49" s="20"/>
      <x:c r="C49" s="20"/>
      <x:c r="D49" s="20"/>
      <x:c r="E49" s="20"/>
      <x:c r="F49" s="20"/>
      <x:c r="G49" s="20"/>
      <x:c r="H49" s="20"/>
    </x:row>
    <x:row r="50">
      <x:c r="A50" s="20"/>
      <x:c r="B50" s="20"/>
      <x:c r="C50" s="20"/>
      <x:c r="D50" s="20"/>
      <x:c r="E50" s="20"/>
      <x:c r="F50" s="20"/>
      <x:c r="G50" s="20"/>
      <x:c r="H50" s="20"/>
    </x:row>
    <x:row r="51">
      <x:c r="A51" s="20"/>
      <x:c r="B51" s="20"/>
      <x:c r="C51" s="20"/>
      <x:c r="D51" s="20"/>
      <x:c r="E51" s="20"/>
      <x:c r="F51" s="20"/>
      <x:c r="G51" s="20"/>
      <x:c r="H51" s="20"/>
    </x:row>
    <x:row r="52">
      <x:c r="A52" s="20"/>
      <x:c r="B52" s="20"/>
      <x:c r="C52" s="20"/>
      <x:c r="D52" s="20"/>
      <x:c r="E52" s="20"/>
      <x:c r="F52" s="20"/>
      <x:c r="G52" s="20"/>
      <x:c r="H52" s="20"/>
    </x:row>
    <x:row r="53">
      <x:c r="A53" s="20"/>
      <x:c r="B53" s="20"/>
      <x:c r="C53" s="20"/>
      <x:c r="D53" s="20"/>
      <x:c r="E53" s="20"/>
      <x:c r="F53" s="20"/>
      <x:c r="G53" s="20"/>
      <x:c r="H53" s="20"/>
    </x:row>
    <x:row r="54">
      <x:c r="A54" s="20"/>
      <x:c r="B54" s="20"/>
      <x:c r="C54" s="20"/>
      <x:c r="D54" s="20"/>
      <x:c r="E54" s="20"/>
      <x:c r="F54" s="20"/>
      <x:c r="G54" s="20"/>
      <x:c r="H54" s="20"/>
    </x:row>
    <x:row r="55">
      <x:c r="A55" s="20"/>
      <x:c r="B55" s="20"/>
      <x:c r="C55" s="20"/>
      <x:c r="D55" s="20"/>
      <x:c r="E55" s="20"/>
      <x:c r="F55" s="20"/>
      <x:c r="G55" s="20"/>
      <x:c r="H55" s="20"/>
    </x:row>
    <x:row r="56">
      <x:c r="A56" s="20"/>
      <x:c r="B56" s="20"/>
      <x:c r="C56" s="20"/>
      <x:c r="D56" s="20"/>
      <x:c r="E56" s="20"/>
      <x:c r="F56" s="20"/>
      <x:c r="G56" s="20"/>
      <x:c r="H56" s="20"/>
    </x:row>
    <x:row r="57">
      <x:c r="A57" s="20"/>
      <x:c r="B57" s="20"/>
      <x:c r="C57" s="20"/>
      <x:c r="D57" s="20"/>
      <x:c r="E57" s="20"/>
      <x:c r="F57" s="20"/>
      <x:c r="G57" s="20"/>
      <x:c r="H57" s="20"/>
    </x:row>
    <x:row r="58">
      <x:c r="A58" s="20"/>
      <x:c r="B58" s="20"/>
      <x:c r="C58" s="20"/>
      <x:c r="D58" s="20"/>
      <x:c r="E58" s="20"/>
      <x:c r="F58" s="20"/>
      <x:c r="G58" s="20"/>
      <x:c r="H58" s="20"/>
    </x:row>
    <x:row r="59">
      <x:c r="A59" s="20"/>
      <x:c r="B59" s="20"/>
      <x:c r="C59" s="20"/>
      <x:c r="D59" s="20"/>
      <x:c r="E59" s="20"/>
      <x:c r="F59" s="20"/>
      <x:c r="G59" s="20"/>
      <x:c r="H59" s="20"/>
    </x:row>
    <x:row r="60">
      <x:c r="A60" s="20"/>
      <x:c r="B60" s="20"/>
      <x:c r="C60" s="20"/>
      <x:c r="D60" s="20"/>
      <x:c r="E60" s="20"/>
      <x:c r="F60" s="20"/>
      <x:c r="G60" s="20"/>
      <x:c r="H60" s="20"/>
    </x:row>
    <x:row r="61">
      <x:c r="A61" s="20"/>
      <x:c r="B61" s="20"/>
      <x:c r="C61" s="20"/>
      <x:c r="D61" s="20"/>
      <x:c r="E61" s="20"/>
      <x:c r="F61" s="20"/>
      <x:c r="G61" s="20"/>
      <x:c r="H61" s="20"/>
    </x:row>
    <x:row r="62">
      <x:c r="A62" s="20"/>
      <x:c r="B62" s="20"/>
      <x:c r="C62" s="20"/>
      <x:c r="D62" s="20"/>
      <x:c r="E62" s="20"/>
      <x:c r="F62" s="20"/>
      <x:c r="G62" s="20"/>
      <x:c r="H62" s="20"/>
    </x:row>
    <x:row r="63">
      <x:c r="A63" s="20"/>
      <x:c r="B63" s="20"/>
      <x:c r="C63" s="20"/>
      <x:c r="D63" s="20"/>
      <x:c r="E63" s="20"/>
      <x:c r="F63" s="20"/>
      <x:c r="G63" s="20"/>
      <x:c r="H63" s="20"/>
    </x:row>
    <x:row r="64">
      <x:c r="A64" s="20"/>
      <x:c r="B64" s="20"/>
      <x:c r="C64" s="20"/>
      <x:c r="D64" s="20"/>
      <x:c r="E64" s="20"/>
      <x:c r="F64" s="20"/>
      <x:c r="G64" s="20"/>
      <x:c r="H64" s="20"/>
    </x:row>
    <x:row r="65">
      <x:c r="A65" s="20"/>
      <x:c r="B65" s="20"/>
      <x:c r="C65" s="20"/>
      <x:c r="D65" s="20"/>
      <x:c r="E65" s="20"/>
      <x:c r="F65" s="20"/>
      <x:c r="G65" s="20"/>
      <x:c r="H65" s="20"/>
    </x:row>
    <x:row r="66">
      <x:c r="A66" s="20"/>
      <x:c r="B66" s="20"/>
      <x:c r="C66" s="20"/>
      <x:c r="D66" s="20"/>
      <x:c r="E66" s="20"/>
      <x:c r="F66" s="20"/>
      <x:c r="G66" s="20"/>
      <x:c r="H66" s="20"/>
    </x:row>
    <x:row r="67">
      <x:c r="A67" s="20"/>
      <x:c r="B67" s="20"/>
      <x:c r="C67" s="20"/>
      <x:c r="D67" s="20"/>
      <x:c r="E67" s="20"/>
      <x:c r="F67" s="20"/>
      <x:c r="G67" s="20"/>
      <x:c r="H67" s="20"/>
    </x:row>
    <x:row r="68">
      <x:c r="A68" s="20"/>
      <x:c r="B68" s="20"/>
      <x:c r="C68" s="20"/>
      <x:c r="D68" s="20"/>
      <x:c r="E68" s="20"/>
      <x:c r="F68" s="20"/>
      <x:c r="G68" s="20"/>
      <x:c r="H68" s="20"/>
    </x:row>
    <x:row r="69">
      <x:c r="A69" s="20"/>
      <x:c r="B69" s="20"/>
      <x:c r="C69" s="20"/>
      <x:c r="D69" s="20"/>
      <x:c r="E69" s="20"/>
      <x:c r="F69" s="20"/>
      <x:c r="G69" s="20"/>
      <x:c r="H69" s="20"/>
    </x:row>
    <x:row r="70">
      <x:c r="A70" s="20"/>
      <x:c r="B70" s="20"/>
      <x:c r="C70" s="20"/>
      <x:c r="D70" s="20"/>
      <x:c r="E70" s="20"/>
      <x:c r="F70" s="20"/>
      <x:c r="G70" s="20"/>
      <x:c r="H70" s="20"/>
    </x:row>
    <x:row r="71">
      <x:c r="A71" s="20"/>
      <x:c r="B71" s="20"/>
      <x:c r="C71" s="20"/>
      <x:c r="D71" s="20"/>
      <x:c r="E71" s="20"/>
      <x:c r="F71" s="20"/>
      <x:c r="G71" s="20"/>
      <x:c r="H71" s="20"/>
    </x:row>
    <x:row r="72">
      <x:c r="A72" s="20"/>
      <x:c r="B72" s="20"/>
      <x:c r="C72" s="20"/>
      <x:c r="D72" s="20"/>
      <x:c r="E72" s="20"/>
      <x:c r="F72" s="20"/>
      <x:c r="G72" s="20"/>
      <x:c r="H72" s="20"/>
    </x:row>
    <x:row r="73">
      <x:c r="A73" s="20"/>
      <x:c r="B73" s="20"/>
      <x:c r="C73" s="20"/>
      <x:c r="D73" s="20"/>
      <x:c r="E73" s="20"/>
      <x:c r="F73" s="20"/>
      <x:c r="G73" s="20"/>
      <x:c r="H73" s="20"/>
    </x:row>
    <x:row r="74">
      <x:c r="A74" s="20"/>
      <x:c r="B74" s="20"/>
      <x:c r="C74" s="20"/>
      <x:c r="D74" s="20"/>
      <x:c r="E74" s="20"/>
      <x:c r="F74" s="20"/>
      <x:c r="G74" s="20"/>
      <x:c r="H74" s="20"/>
    </x:row>
    <x:row r="75">
      <x:c r="A75" s="20"/>
      <x:c r="B75" s="20"/>
      <x:c r="C75" s="20"/>
      <x:c r="D75" s="20"/>
      <x:c r="E75" s="20"/>
      <x:c r="F75" s="20"/>
      <x:c r="G75" s="20"/>
      <x:c r="H75" s="20"/>
    </x:row>
    <x:row r="76">
      <x:c r="A76" s="20"/>
      <x:c r="B76" s="20"/>
      <x:c r="C76" s="20"/>
      <x:c r="D76" s="20"/>
      <x:c r="E76" s="20"/>
      <x:c r="F76" s="20"/>
      <x:c r="G76" s="20"/>
      <x:c r="H76" s="20"/>
    </x:row>
    <x:row r="77">
      <x:c r="A77" s="20"/>
      <x:c r="B77" s="20"/>
      <x:c r="C77" s="20"/>
      <x:c r="D77" s="20"/>
      <x:c r="E77" s="20"/>
      <x:c r="F77" s="20"/>
      <x:c r="G77" s="20"/>
      <x:c r="H77" s="20"/>
    </x:row>
    <x:row r="78">
      <x:c r="A78" s="20"/>
      <x:c r="B78" s="20"/>
      <x:c r="C78" s="20"/>
      <x:c r="D78" s="20"/>
      <x:c r="E78" s="20"/>
      <x:c r="F78" s="20"/>
      <x:c r="G78" s="20"/>
      <x:c r="H78" s="20"/>
    </x:row>
    <x:row r="79">
      <x:c r="A79" s="20"/>
      <x:c r="B79" s="20"/>
      <x:c r="C79" s="20"/>
      <x:c r="D79" s="20"/>
      <x:c r="E79" s="20"/>
      <x:c r="F79" s="20"/>
      <x:c r="G79" s="20"/>
      <x:c r="H79" s="20"/>
    </x:row>
    <x:row r="80">
      <x:c r="A80" s="20"/>
      <x:c r="B80" s="20"/>
      <x:c r="C80" s="20"/>
      <x:c r="D80" s="20"/>
      <x:c r="E80" s="20"/>
      <x:c r="F80" s="20"/>
      <x:c r="G80" s="20"/>
      <x:c r="H80" s="20"/>
    </x:row>
  </x:sheetData>
  <x:mergeCells>
    <x:mergeCell ref="A1:H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30" hidden="0" customWidth="1"/>
    <x:col min="4" max="4" width="34" hidden="0" customWidth="1"/>
    <x:col min="5" max="5" width="32" hidden="0" customWidth="1"/>
    <x:col min="6" max="6" width="20" hidden="0" customWidth="1"/>
    <x:col min="7" max="7" width="22" hidden="0" customWidth="1"/>
    <x:col min="8" max="8" width="24" hidden="0" customWidth="1"/>
  </x:cols>
  <x:sheetData>
    <x:row r="1" ht="24" customHeight="1">
      <x:c r="A1" s="142" t="str">
        <x:v>LiveOps KPIs</x:v>
      </x:c>
      <x:c r="B1" s="142"/>
      <x:c r="C1" s="142"/>
      <x:c r="D1" s="142"/>
      <x:c r="E1" s="142"/>
      <x:c r="F1" s="142"/>
      <x:c r="G1" s="142"/>
      <x:c r="H1" s="142"/>
    </x:row>
    <x:row r="2" ht="30" customHeight="1">
      <x:c r="A2" s="143" t="str">
        <x:v>KPI</x:v>
      </x:c>
      <x:c r="B2" s="143" t="str">
        <x:v>Cadence</x:v>
      </x:c>
      <x:c r="C2" s="143" t="str">
        <x:v>Why It Matters</x:v>
      </x:c>
      <x:c r="D2" s="143" t="str">
        <x:v>Healthy Question</x:v>
      </x:c>
      <x:c r="E2" s="143" t="str">
        <x:v>Warning Signal</x:v>
      </x:c>
      <x:c r="F2" s="143" t="str">
        <x:v>Owner</x:v>
      </x:c>
      <x:c r="G2" s="143" t="str">
        <x:v>Segment</x:v>
      </x:c>
      <x:c r="H2" s="143" t="str">
        <x:v>Notes</x:v>
      </x:c>
    </x:row>
    <x:row r="3">
      <x:c r="A3" s="20" t="str">
        <x:v>Event participation rate</x:v>
      </x:c>
      <x:c r="B3" s="20" t="str">
        <x:v>Per event</x:v>
      </x:c>
      <x:c r="C3" s="20" t="str">
        <x:v>Measures live-ops reach</x:v>
      </x:c>
      <x:c r="D3" s="20" t="str">
        <x:v>Are enough active players entering?</x:v>
      </x:c>
      <x:c r="E3" s="20" t="str">
        <x:v>Low participation despite exposure</x:v>
      </x:c>
      <x:c r="F3" s="20" t="str">
        <x:v>LiveOps</x:v>
      </x:c>
      <x:c r="G3" s="20" t="str">
        <x:v>All</x:v>
      </x:c>
      <x:c r="H3" s="20" t="str"/>
    </x:row>
    <x:row r="4">
      <x:c r="A4" s="20" t="str">
        <x:v>Event completion rate</x:v>
      </x:c>
      <x:c r="B4" s="20" t="str">
        <x:v>Per event</x:v>
      </x:c>
      <x:c r="C4" s="20" t="str">
        <x:v>Difficulty calibration</x:v>
      </x:c>
      <x:c r="D4" s="20" t="str">
        <x:v>Do milestones feel reachable?</x:v>
      </x:c>
      <x:c r="E4" s="20" t="str">
        <x:v>Very low or near-100% completion</x:v>
      </x:c>
      <x:c r="F4" s="20" t="str">
        <x:v>LiveOps</x:v>
      </x:c>
      <x:c r="G4" s="20" t="str">
        <x:v>Empire Level</x:v>
      </x:c>
      <x:c r="H4" s="20" t="str"/>
    </x:row>
    <x:row r="5">
      <x:c r="A5" s="20" t="str">
        <x:v>Leaderboard concentration</x:v>
      </x:c>
      <x:c r="B5" s="20" t="str">
        <x:v>Per event</x:v>
      </x:c>
      <x:c r="C5" s="20" t="str">
        <x:v>Competitive fairness</x:v>
      </x:c>
      <x:c r="D5" s="20" t="str">
        <x:v>Are rewards dominated by very few players?</x:v>
      </x:c>
      <x:c r="E5" s="20" t="str">
        <x:v>Top 1% owns most points</x:v>
      </x:c>
      <x:c r="F5" s="20" t="str">
        <x:v>Economy</x:v>
      </x:c>
      <x:c r="G5" s="20" t="str">
        <x:v>Bracket</x:v>
      </x:c>
      <x:c r="H5" s="20" t="str"/>
    </x:row>
    <x:row r="6">
      <x:c r="A6" s="20" t="str">
        <x:v>Case opens / DAU</x:v>
      </x:c>
      <x:c r="B6" s="20" t="str">
        <x:v>Daily</x:v>
      </x:c>
      <x:c r="C6" s="20" t="str">
        <x:v>Reward-loop engagement</x:v>
      </x:c>
      <x:c r="D6" s="20" t="str">
        <x:v>Are earned cases meaningful?</x:v>
      </x:c>
      <x:c r="E6" s="20" t="str">
        <x:v>High unopened backlog</x:v>
      </x:c>
      <x:c r="F6" s="20" t="str">
        <x:v>Economy</x:v>
      </x:c>
      <x:c r="G6" s="20" t="str">
        <x:v>All</x:v>
      </x:c>
      <x:c r="H6" s="20" t="str"/>
    </x:row>
    <x:row r="7">
      <x:c r="A7" s="20" t="str">
        <x:v>Pity activation rate</x:v>
      </x:c>
      <x:c r="B7" s="20" t="str">
        <x:v>Weekly</x:v>
      </x:c>
      <x:c r="C7" s="20" t="str">
        <x:v>RNG quality</x:v>
      </x:c>
      <x:c r="D7" s="20" t="str">
        <x:v>Are odds too punitive?</x:v>
      </x:c>
      <x:c r="E7" s="20" t="str">
        <x:v>Excessive pity triggers</x:v>
      </x:c>
      <x:c r="F7" s="20" t="str">
        <x:v>Economy</x:v>
      </x:c>
      <x:c r="G7" s="20" t="str">
        <x:v>By case</x:v>
      </x:c>
      <x:c r="H7" s="20" t="str"/>
    </x:row>
    <x:row r="8">
      <x:c r="A8" s="20" t="str">
        <x:v>Duplicate salvage share</x:v>
      </x:c>
      <x:c r="B8" s="20" t="str">
        <x:v>Weekly</x:v>
      </x:c>
      <x:c r="C8" s="20" t="str">
        <x:v>Inventory saturation</x:v>
      </x:c>
      <x:c r="D8" s="20" t="str">
        <x:v>Are duplicates becoming too common?</x:v>
      </x:c>
      <x:c r="E8" s="20" t="str">
        <x:v>High salvage vs new unlock rate</x:v>
      </x:c>
      <x:c r="F8" s="20" t="str">
        <x:v>Economy</x:v>
      </x:c>
      <x:c r="G8" s="20" t="str">
        <x:v>By rarity</x:v>
      </x:c>
      <x:c r="H8" s="20" t="str"/>
    </x:row>
    <x:row r="9">
      <x:c r="A9" s="20" t="str">
        <x:v>Pack conversion</x:v>
      </x:c>
      <x:c r="B9" s="20" t="str">
        <x:v>Weekly</x:v>
      </x:c>
      <x:c r="C9" s="20" t="str">
        <x:v>Monetization</x:v>
      </x:c>
      <x:c r="D9" s="20" t="str">
        <x:v>Are deterministic offers useful?</x:v>
      </x:c>
      <x:c r="E9" s="20" t="str">
        <x:v>Only whales convert</x:v>
      </x:c>
      <x:c r="F9" s="20" t="str">
        <x:v>Monetization</x:v>
      </x:c>
      <x:c r="G9" s="20" t="str">
        <x:v>Cohort</x:v>
      </x:c>
      <x:c r="H9" s="20" t="str"/>
    </x:row>
    <x:row r="10">
      <x:c r="A10" s="20" t="str">
        <x:v>Season pass conversion</x:v>
      </x:c>
      <x:c r="B10" s="20" t="str">
        <x:v>Season</x:v>
      </x:c>
      <x:c r="C10" s="20" t="str">
        <x:v>Core premium product</x:v>
      </x:c>
      <x:c r="D10" s="20" t="str">
        <x:v>Does pass feel worth it?</x:v>
      </x:c>
      <x:c r="E10" s="20" t="str">
        <x:v>Low conversion / low completion</x:v>
      </x:c>
      <x:c r="F10" s="20" t="str">
        <x:v>Monetization</x:v>
      </x:c>
      <x:c r="G10" s="20" t="str">
        <x:v>Cohort</x:v>
      </x:c>
      <x:c r="H10" s="20" t="str"/>
    </x:row>
    <x:row r="11">
      <x:c r="A11" s="20" t="str">
        <x:v>Cash inflation</x:v>
      </x:c>
      <x:c r="B11" s="20" t="str">
        <x:v>Weekly</x:v>
      </x:c>
      <x:c r="C11" s="20" t="str">
        <x:v>Core balance</x:v>
      </x:c>
      <x:c r="D11" s="20" t="str">
        <x:v>Is money supply outpacing sinks?</x:v>
      </x:c>
      <x:c r="E11" s="20" t="str">
        <x:v>Median balances rise too fast</x:v>
      </x:c>
      <x:c r="F11" s="20" t="str">
        <x:v>Economy</x:v>
      </x:c>
      <x:c r="G11" s="20" t="str">
        <x:v>Level</x:v>
      </x:c>
      <x:c r="H11" s="20" t="str"/>
    </x:row>
    <x:row r="12">
      <x:c r="A12" s="20" t="str">
        <x:v>PLOT sink / reward ratio</x:v>
      </x:c>
      <x:c r="B12" s="20" t="str">
        <x:v>Weekly</x:v>
      </x:c>
      <x:c r="C12" s="20" t="str">
        <x:v>Token economy</x:v>
      </x:c>
      <x:c r="D12" s="20" t="str">
        <x:v>Does utility offset emissions?</x:v>
      </x:c>
      <x:c r="E12" s="20" t="str">
        <x:v>Sinks materially below emissions</x:v>
      </x:c>
      <x:c r="F12" s="20" t="str">
        <x:v>Tokenomics</x:v>
      </x:c>
      <x:c r="G12" s="20" t="str">
        <x:v>All</x:v>
      </x:c>
      <x:c r="H12" s="20" t="str"/>
    </x:row>
    <x:row r="13">
      <x:c r="A13" s="20" t="str">
        <x:v>Buyback coverage</x:v>
      </x:c>
      <x:c r="B13" s="20" t="str">
        <x:v>Monthly</x:v>
      </x:c>
      <x:c r="C13" s="20" t="str">
        <x:v>Reward sustainability</x:v>
      </x:c>
      <x:c r="D13" s="20" t="str">
        <x:v>How much reward need is recycled?</x:v>
      </x:c>
      <x:c r="E13" s="20" t="str">
        <x:v>Coverage declining with revenue</x:v>
      </x:c>
      <x:c r="F13" s="20" t="str">
        <x:v>Tokenomics</x:v>
      </x:c>
      <x:c r="G13" s="20" t="str">
        <x:v>All</x:v>
      </x:c>
      <x:c r="H13" s="20" t="str"/>
    </x:row>
    <x:row r="14">
      <x:c r="A14" s="20" t="str">
        <x:v>Payer power gap</x:v>
      </x:c>
      <x:c r="B14" s="20" t="str">
        <x:v>Weekly</x:v>
      </x:c>
      <x:c r="C14" s="20" t="str">
        <x:v>P2W guardrail</x:v>
      </x:c>
      <x:c r="D14" s="20" t="str">
        <x:v>Does spend create unbeatable advantage?</x:v>
      </x:c>
      <x:c r="E14" s="20" t="str">
        <x:v>Paid users dominate normalized performance</x:v>
      </x:c>
      <x:c r="F14" s="20" t="str">
        <x:v>Design</x:v>
      </x:c>
      <x:c r="G14" s="20" t="str">
        <x:v>Level</x:v>
      </x:c>
      <x:c r="H14" s="20" t="str"/>
    </x:row>
    <x:row r="15">
      <x:c r="A15" s="20"/>
      <x:c r="B15" s="20"/>
      <x:c r="C15" s="20"/>
      <x:c r="D15" s="20"/>
      <x:c r="E15" s="20"/>
      <x:c r="F15" s="20"/>
      <x:c r="G15" s="20"/>
      <x:c r="H15" s="20"/>
    </x:row>
    <x:row r="16">
      <x:c r="A16" s="20"/>
      <x:c r="B16" s="20"/>
      <x:c r="C16" s="20"/>
      <x:c r="D16" s="20"/>
      <x:c r="E16" s="20"/>
      <x:c r="F16" s="20"/>
      <x:c r="G16" s="20"/>
      <x:c r="H16" s="20"/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  <x:row r="21">
      <x:c r="A21" s="20"/>
      <x:c r="B21" s="20"/>
      <x:c r="C21" s="20"/>
      <x:c r="D21" s="20"/>
      <x:c r="E21" s="20"/>
      <x:c r="F21" s="20"/>
      <x:c r="G21" s="20"/>
      <x:c r="H21" s="20"/>
    </x:row>
    <x:row r="22">
      <x:c r="A22" s="20"/>
      <x:c r="B22" s="20"/>
      <x:c r="C22" s="20"/>
      <x:c r="D22" s="20"/>
      <x:c r="E22" s="20"/>
      <x:c r="F22" s="20"/>
      <x:c r="G22" s="20"/>
      <x:c r="H22" s="20"/>
    </x:row>
    <x:row r="23">
      <x:c r="A23" s="20"/>
      <x:c r="B23" s="20"/>
      <x:c r="C23" s="20"/>
      <x:c r="D23" s="20"/>
      <x:c r="E23" s="20"/>
      <x:c r="F23" s="20"/>
      <x:c r="G23" s="20"/>
      <x:c r="H23" s="20"/>
    </x:row>
    <x:row r="24">
      <x:c r="A24" s="20"/>
      <x:c r="B24" s="20"/>
      <x:c r="C24" s="20"/>
      <x:c r="D24" s="20"/>
      <x:c r="E24" s="20"/>
      <x:c r="F24" s="20"/>
      <x:c r="G24" s="20"/>
      <x:c r="H24" s="20"/>
    </x:row>
    <x:row r="25">
      <x:c r="A25" s="20"/>
      <x:c r="B25" s="20"/>
      <x:c r="C25" s="20"/>
      <x:c r="D25" s="20"/>
      <x:c r="E25" s="20"/>
      <x:c r="F25" s="20"/>
      <x:c r="G25" s="20"/>
      <x:c r="H25" s="20"/>
    </x:row>
    <x:row r="26">
      <x:c r="A26" s="20"/>
      <x:c r="B26" s="20"/>
      <x:c r="C26" s="20"/>
      <x:c r="D26" s="20"/>
      <x:c r="E26" s="20"/>
      <x:c r="F26" s="20"/>
      <x:c r="G26" s="20"/>
      <x:c r="H26" s="20"/>
    </x:row>
    <x:row r="27">
      <x:c r="A27" s="20"/>
      <x:c r="B27" s="20"/>
      <x:c r="C27" s="20"/>
      <x:c r="D27" s="20"/>
      <x:c r="E27" s="20"/>
      <x:c r="F27" s="20"/>
      <x:c r="G27" s="20"/>
      <x:c r="H27" s="20"/>
    </x:row>
    <x:row r="28">
      <x:c r="A28" s="20"/>
      <x:c r="B28" s="20"/>
      <x:c r="C28" s="20"/>
      <x:c r="D28" s="20"/>
      <x:c r="E28" s="20"/>
      <x:c r="F28" s="20"/>
      <x:c r="G28" s="20"/>
      <x:c r="H28" s="20"/>
    </x:row>
    <x:row r="29">
      <x:c r="A29" s="20"/>
      <x:c r="B29" s="20"/>
      <x:c r="C29" s="20"/>
      <x:c r="D29" s="20"/>
      <x:c r="E29" s="20"/>
      <x:c r="F29" s="20"/>
      <x:c r="G29" s="20"/>
      <x:c r="H29" s="20"/>
    </x:row>
    <x:row r="30">
      <x:c r="A30" s="20"/>
      <x:c r="B30" s="20"/>
      <x:c r="C30" s="20"/>
      <x:c r="D30" s="20"/>
      <x:c r="E30" s="20"/>
      <x:c r="F30" s="20"/>
      <x:c r="G30" s="20"/>
      <x:c r="H30" s="20"/>
    </x:row>
    <x:row r="31">
      <x:c r="A31" s="20"/>
      <x:c r="B31" s="20"/>
      <x:c r="C31" s="20"/>
      <x:c r="D31" s="20"/>
      <x:c r="E31" s="20"/>
      <x:c r="F31" s="20"/>
      <x:c r="G31" s="20"/>
      <x:c r="H31" s="20"/>
    </x:row>
    <x:row r="32">
      <x:c r="A32" s="20"/>
      <x:c r="B32" s="20"/>
      <x:c r="C32" s="20"/>
      <x:c r="D32" s="20"/>
      <x:c r="E32" s="20"/>
      <x:c r="F32" s="20"/>
      <x:c r="G32" s="20"/>
      <x:c r="H32" s="20"/>
    </x:row>
    <x:row r="33">
      <x:c r="A33" s="20"/>
      <x:c r="B33" s="20"/>
      <x:c r="C33" s="20"/>
      <x:c r="D33" s="20"/>
      <x:c r="E33" s="20"/>
      <x:c r="F33" s="20"/>
      <x:c r="G33" s="20"/>
      <x:c r="H33" s="20"/>
    </x:row>
    <x:row r="34">
      <x:c r="A34" s="20"/>
      <x:c r="B34" s="20"/>
      <x:c r="C34" s="20"/>
      <x:c r="D34" s="20"/>
      <x:c r="E34" s="20"/>
      <x:c r="F34" s="20"/>
      <x:c r="G34" s="20"/>
      <x:c r="H34" s="20"/>
    </x:row>
    <x:row r="35">
      <x:c r="A35" s="20"/>
      <x:c r="B35" s="20"/>
      <x:c r="C35" s="20"/>
      <x:c r="D35" s="20"/>
      <x:c r="E35" s="20"/>
      <x:c r="F35" s="20"/>
      <x:c r="G35" s="20"/>
      <x:c r="H35" s="20"/>
    </x:row>
    <x:row r="36">
      <x:c r="A36" s="20"/>
      <x:c r="B36" s="20"/>
      <x:c r="C36" s="20"/>
      <x:c r="D36" s="20"/>
      <x:c r="E36" s="20"/>
      <x:c r="F36" s="20"/>
      <x:c r="G36" s="20"/>
      <x:c r="H36" s="20"/>
    </x:row>
    <x:row r="37">
      <x:c r="A37" s="20"/>
      <x:c r="B37" s="20"/>
      <x:c r="C37" s="20"/>
      <x:c r="D37" s="20"/>
      <x:c r="E37" s="20"/>
      <x:c r="F37" s="20"/>
      <x:c r="G37" s="20"/>
      <x:c r="H37" s="20"/>
    </x:row>
    <x:row r="38">
      <x:c r="A38" s="20"/>
      <x:c r="B38" s="20"/>
      <x:c r="C38" s="20"/>
      <x:c r="D38" s="20"/>
      <x:c r="E38" s="20"/>
      <x:c r="F38" s="20"/>
      <x:c r="G38" s="20"/>
      <x:c r="H38" s="20"/>
    </x:row>
    <x:row r="39">
      <x:c r="A39" s="20"/>
      <x:c r="B39" s="20"/>
      <x:c r="C39" s="20"/>
      <x:c r="D39" s="20"/>
      <x:c r="E39" s="20"/>
      <x:c r="F39" s="20"/>
      <x:c r="G39" s="20"/>
      <x:c r="H39" s="20"/>
    </x:row>
    <x:row r="40">
      <x:c r="A40" s="20"/>
      <x:c r="B40" s="20"/>
      <x:c r="C40" s="20"/>
      <x:c r="D40" s="20"/>
      <x:c r="E40" s="20"/>
      <x:c r="F40" s="20"/>
      <x:c r="G40" s="20"/>
      <x:c r="H40" s="20"/>
    </x:row>
    <x:row r="41">
      <x:c r="A41" s="20"/>
      <x:c r="B41" s="20"/>
      <x:c r="C41" s="20"/>
      <x:c r="D41" s="20"/>
      <x:c r="E41" s="20"/>
      <x:c r="F41" s="20"/>
      <x:c r="G41" s="20"/>
      <x:c r="H41" s="20"/>
    </x:row>
    <x:row r="42">
      <x:c r="A42" s="20"/>
      <x:c r="B42" s="20"/>
      <x:c r="C42" s="20"/>
      <x:c r="D42" s="20"/>
      <x:c r="E42" s="20"/>
      <x:c r="F42" s="20"/>
      <x:c r="G42" s="20"/>
      <x:c r="H42" s="20"/>
    </x:row>
    <x:row r="43">
      <x:c r="A43" s="20"/>
      <x:c r="B43" s="20"/>
      <x:c r="C43" s="20"/>
      <x:c r="D43" s="20"/>
      <x:c r="E43" s="20"/>
      <x:c r="F43" s="20"/>
      <x:c r="G43" s="20"/>
      <x:c r="H43" s="20"/>
    </x:row>
    <x:row r="44">
      <x:c r="A44" s="20"/>
      <x:c r="B44" s="20"/>
      <x:c r="C44" s="20"/>
      <x:c r="D44" s="20"/>
      <x:c r="E44" s="20"/>
      <x:c r="F44" s="20"/>
      <x:c r="G44" s="20"/>
      <x:c r="H44" s="20"/>
    </x:row>
    <x:row r="45">
      <x:c r="A45" s="20"/>
      <x:c r="B45" s="20"/>
      <x:c r="C45" s="20"/>
      <x:c r="D45" s="20"/>
      <x:c r="E45" s="20"/>
      <x:c r="F45" s="20"/>
      <x:c r="G45" s="20"/>
      <x:c r="H45" s="20"/>
    </x:row>
    <x:row r="46">
      <x:c r="A46" s="20"/>
      <x:c r="B46" s="20"/>
      <x:c r="C46" s="20"/>
      <x:c r="D46" s="20"/>
      <x:c r="E46" s="20"/>
      <x:c r="F46" s="20"/>
      <x:c r="G46" s="20"/>
      <x:c r="H46" s="20"/>
    </x:row>
    <x:row r="47">
      <x:c r="A47" s="20"/>
      <x:c r="B47" s="20"/>
      <x:c r="C47" s="20"/>
      <x:c r="D47" s="20"/>
      <x:c r="E47" s="20"/>
      <x:c r="F47" s="20"/>
      <x:c r="G47" s="20"/>
      <x:c r="H47" s="20"/>
    </x:row>
    <x:row r="48">
      <x:c r="A48" s="20"/>
      <x:c r="B48" s="20"/>
      <x:c r="C48" s="20"/>
      <x:c r="D48" s="20"/>
      <x:c r="E48" s="20"/>
      <x:c r="F48" s="20"/>
      <x:c r="G48" s="20"/>
      <x:c r="H48" s="20"/>
    </x:row>
    <x:row r="49">
      <x:c r="A49" s="20"/>
      <x:c r="B49" s="20"/>
      <x:c r="C49" s="20"/>
      <x:c r="D49" s="20"/>
      <x:c r="E49" s="20"/>
      <x:c r="F49" s="20"/>
      <x:c r="G49" s="20"/>
      <x:c r="H49" s="20"/>
    </x:row>
    <x:row r="50">
      <x:c r="A50" s="20"/>
      <x:c r="B50" s="20"/>
      <x:c r="C50" s="20"/>
      <x:c r="D50" s="20"/>
      <x:c r="E50" s="20"/>
      <x:c r="F50" s="20"/>
      <x:c r="G50" s="20"/>
      <x:c r="H50" s="20"/>
    </x:row>
    <x:row r="51">
      <x:c r="A51" s="20"/>
      <x:c r="B51" s="20"/>
      <x:c r="C51" s="20"/>
      <x:c r="D51" s="20"/>
      <x:c r="E51" s="20"/>
      <x:c r="F51" s="20"/>
      <x:c r="G51" s="20"/>
      <x:c r="H51" s="20"/>
    </x:row>
    <x:row r="52">
      <x:c r="A52" s="20"/>
      <x:c r="B52" s="20"/>
      <x:c r="C52" s="20"/>
      <x:c r="D52" s="20"/>
      <x:c r="E52" s="20"/>
      <x:c r="F52" s="20"/>
      <x:c r="G52" s="20"/>
      <x:c r="H52" s="20"/>
    </x:row>
    <x:row r="53">
      <x:c r="A53" s="20"/>
      <x:c r="B53" s="20"/>
      <x:c r="C53" s="20"/>
      <x:c r="D53" s="20"/>
      <x:c r="E53" s="20"/>
      <x:c r="F53" s="20"/>
      <x:c r="G53" s="20"/>
      <x:c r="H53" s="20"/>
    </x:row>
    <x:row r="54">
      <x:c r="A54" s="20"/>
      <x:c r="B54" s="20"/>
      <x:c r="C54" s="20"/>
      <x:c r="D54" s="20"/>
      <x:c r="E54" s="20"/>
      <x:c r="F54" s="20"/>
      <x:c r="G54" s="20"/>
      <x:c r="H54" s="20"/>
    </x:row>
    <x:row r="55">
      <x:c r="A55" s="20"/>
      <x:c r="B55" s="20"/>
      <x:c r="C55" s="20"/>
      <x:c r="D55" s="20"/>
      <x:c r="E55" s="20"/>
      <x:c r="F55" s="20"/>
      <x:c r="G55" s="20"/>
      <x:c r="H55" s="20"/>
    </x:row>
    <x:row r="56">
      <x:c r="A56" s="20"/>
      <x:c r="B56" s="20"/>
      <x:c r="C56" s="20"/>
      <x:c r="D56" s="20"/>
      <x:c r="E56" s="20"/>
      <x:c r="F56" s="20"/>
      <x:c r="G56" s="20"/>
      <x:c r="H56" s="20"/>
    </x:row>
    <x:row r="57">
      <x:c r="A57" s="20"/>
      <x:c r="B57" s="20"/>
      <x:c r="C57" s="20"/>
      <x:c r="D57" s="20"/>
      <x:c r="E57" s="20"/>
      <x:c r="F57" s="20"/>
      <x:c r="G57" s="20"/>
      <x:c r="H57" s="20"/>
    </x:row>
    <x:row r="58">
      <x:c r="A58" s="20"/>
      <x:c r="B58" s="20"/>
      <x:c r="C58" s="20"/>
      <x:c r="D58" s="20"/>
      <x:c r="E58" s="20"/>
      <x:c r="F58" s="20"/>
      <x:c r="G58" s="20"/>
      <x:c r="H58" s="20"/>
    </x:row>
    <x:row r="59">
      <x:c r="A59" s="20"/>
      <x:c r="B59" s="20"/>
      <x:c r="C59" s="20"/>
      <x:c r="D59" s="20"/>
      <x:c r="E59" s="20"/>
      <x:c r="F59" s="20"/>
      <x:c r="G59" s="20"/>
      <x:c r="H59" s="20"/>
    </x:row>
    <x:row r="60">
      <x:c r="A60" s="20"/>
      <x:c r="B60" s="20"/>
      <x:c r="C60" s="20"/>
      <x:c r="D60" s="20"/>
      <x:c r="E60" s="20"/>
      <x:c r="F60" s="20"/>
      <x:c r="G60" s="20"/>
      <x:c r="H60" s="20"/>
    </x:row>
    <x:row r="61">
      <x:c r="A61" s="20"/>
      <x:c r="B61" s="20"/>
      <x:c r="C61" s="20"/>
      <x:c r="D61" s="20"/>
      <x:c r="E61" s="20"/>
      <x:c r="F61" s="20"/>
      <x:c r="G61" s="20"/>
      <x:c r="H61" s="20"/>
    </x:row>
    <x:row r="62">
      <x:c r="A62" s="20"/>
      <x:c r="B62" s="20"/>
      <x:c r="C62" s="20"/>
      <x:c r="D62" s="20"/>
      <x:c r="E62" s="20"/>
      <x:c r="F62" s="20"/>
      <x:c r="G62" s="20"/>
      <x:c r="H62" s="20"/>
    </x:row>
    <x:row r="63">
      <x:c r="A63" s="20"/>
      <x:c r="B63" s="20"/>
      <x:c r="C63" s="20"/>
      <x:c r="D63" s="20"/>
      <x:c r="E63" s="20"/>
      <x:c r="F63" s="20"/>
      <x:c r="G63" s="20"/>
      <x:c r="H63" s="20"/>
    </x:row>
    <x:row r="64">
      <x:c r="A64" s="20"/>
      <x:c r="B64" s="20"/>
      <x:c r="C64" s="20"/>
      <x:c r="D64" s="20"/>
      <x:c r="E64" s="20"/>
      <x:c r="F64" s="20"/>
      <x:c r="G64" s="20"/>
      <x:c r="H64" s="20"/>
    </x:row>
    <x:row r="65">
      <x:c r="A65" s="20"/>
      <x:c r="B65" s="20"/>
      <x:c r="C65" s="20"/>
      <x:c r="D65" s="20"/>
      <x:c r="E65" s="20"/>
      <x:c r="F65" s="20"/>
      <x:c r="G65" s="20"/>
      <x:c r="H65" s="20"/>
    </x:row>
    <x:row r="66">
      <x:c r="A66" s="20"/>
      <x:c r="B66" s="20"/>
      <x:c r="C66" s="20"/>
      <x:c r="D66" s="20"/>
      <x:c r="E66" s="20"/>
      <x:c r="F66" s="20"/>
      <x:c r="G66" s="20"/>
      <x:c r="H66" s="20"/>
    </x:row>
    <x:row r="67">
      <x:c r="A67" s="20"/>
      <x:c r="B67" s="20"/>
      <x:c r="C67" s="20"/>
      <x:c r="D67" s="20"/>
      <x:c r="E67" s="20"/>
      <x:c r="F67" s="20"/>
      <x:c r="G67" s="20"/>
      <x:c r="H67" s="20"/>
    </x:row>
    <x:row r="68">
      <x:c r="A68" s="20"/>
      <x:c r="B68" s="20"/>
      <x:c r="C68" s="20"/>
      <x:c r="D68" s="20"/>
      <x:c r="E68" s="20"/>
      <x:c r="F68" s="20"/>
      <x:c r="G68" s="20"/>
      <x:c r="H68" s="20"/>
    </x:row>
    <x:row r="69">
      <x:c r="A69" s="20"/>
      <x:c r="B69" s="20"/>
      <x:c r="C69" s="20"/>
      <x:c r="D69" s="20"/>
      <x:c r="E69" s="20"/>
      <x:c r="F69" s="20"/>
      <x:c r="G69" s="20"/>
      <x:c r="H69" s="20"/>
    </x:row>
    <x:row r="70">
      <x:c r="A70" s="20"/>
      <x:c r="B70" s="20"/>
      <x:c r="C70" s="20"/>
      <x:c r="D70" s="20"/>
      <x:c r="E70" s="20"/>
      <x:c r="F70" s="20"/>
      <x:c r="G70" s="20"/>
      <x:c r="H70" s="20"/>
    </x:row>
    <x:row r="71">
      <x:c r="A71" s="20"/>
      <x:c r="B71" s="20"/>
      <x:c r="C71" s="20"/>
      <x:c r="D71" s="20"/>
      <x:c r="E71" s="20"/>
      <x:c r="F71" s="20"/>
      <x:c r="G71" s="20"/>
      <x:c r="H71" s="20"/>
    </x:row>
    <x:row r="72">
      <x:c r="A72" s="20"/>
      <x:c r="B72" s="20"/>
      <x:c r="C72" s="20"/>
      <x:c r="D72" s="20"/>
      <x:c r="E72" s="20"/>
      <x:c r="F72" s="20"/>
      <x:c r="G72" s="20"/>
      <x:c r="H72" s="20"/>
    </x:row>
    <x:row r="73">
      <x:c r="A73" s="20"/>
      <x:c r="B73" s="20"/>
      <x:c r="C73" s="20"/>
      <x:c r="D73" s="20"/>
      <x:c r="E73" s="20"/>
      <x:c r="F73" s="20"/>
      <x:c r="G73" s="20"/>
      <x:c r="H73" s="20"/>
    </x:row>
    <x:row r="74">
      <x:c r="A74" s="20"/>
      <x:c r="B74" s="20"/>
      <x:c r="C74" s="20"/>
      <x:c r="D74" s="20"/>
      <x:c r="E74" s="20"/>
      <x:c r="F74" s="20"/>
      <x:c r="G74" s="20"/>
      <x:c r="H74" s="20"/>
    </x:row>
    <x:row r="75">
      <x:c r="A75" s="20"/>
      <x:c r="B75" s="20"/>
      <x:c r="C75" s="20"/>
      <x:c r="D75" s="20"/>
      <x:c r="E75" s="20"/>
      <x:c r="F75" s="20"/>
      <x:c r="G75" s="20"/>
      <x:c r="H75" s="20"/>
    </x:row>
    <x:row r="76">
      <x:c r="A76" s="20"/>
      <x:c r="B76" s="20"/>
      <x:c r="C76" s="20"/>
      <x:c r="D76" s="20"/>
      <x:c r="E76" s="20"/>
      <x:c r="F76" s="20"/>
      <x:c r="G76" s="20"/>
      <x:c r="H76" s="20"/>
    </x:row>
    <x:row r="77">
      <x:c r="A77" s="20"/>
      <x:c r="B77" s="20"/>
      <x:c r="C77" s="20"/>
      <x:c r="D77" s="20"/>
      <x:c r="E77" s="20"/>
      <x:c r="F77" s="20"/>
      <x:c r="G77" s="20"/>
      <x:c r="H77" s="20"/>
    </x:row>
    <x:row r="78">
      <x:c r="A78" s="20"/>
      <x:c r="B78" s="20"/>
      <x:c r="C78" s="20"/>
      <x:c r="D78" s="20"/>
      <x:c r="E78" s="20"/>
      <x:c r="F78" s="20"/>
      <x:c r="G78" s="20"/>
      <x:c r="H78" s="20"/>
    </x:row>
    <x:row r="79">
      <x:c r="A79" s="20"/>
      <x:c r="B79" s="20"/>
      <x:c r="C79" s="20"/>
      <x:c r="D79" s="20"/>
      <x:c r="E79" s="20"/>
      <x:c r="F79" s="20"/>
      <x:c r="G79" s="20"/>
      <x:c r="H79" s="20"/>
    </x:row>
    <x:row r="80">
      <x:c r="A80" s="20"/>
      <x:c r="B80" s="20"/>
      <x:c r="C80" s="20"/>
      <x:c r="D80" s="20"/>
      <x:c r="E80" s="20"/>
      <x:c r="F80" s="20"/>
      <x:c r="G80" s="20"/>
      <x:c r="H80" s="20"/>
    </x:row>
  </x:sheetData>
  <x:mergeCells>
    <x:mergeCell ref="A1:H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48" hidden="0" customWidth="1"/>
    <x:col min="4" max="4" width="4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142" t="str">
        <x:v>Backend Rules</x:v>
      </x:c>
      <x:c r="B1" s="142"/>
      <x:c r="C1" s="142"/>
      <x:c r="D1" s="142"/>
      <x:c r="E1" s="142"/>
      <x:c r="F1" s="142"/>
      <x:c r="G1" s="142"/>
      <x:c r="H1" s="142"/>
    </x:row>
    <x:row r="2" ht="30" customHeight="1">
      <x:c r="A2" s="143" t="str">
        <x:v>System</x:v>
      </x:c>
      <x:c r="B2" s="143" t="str">
        <x:v>Server Authority</x:v>
      </x:c>
      <x:c r="C2" s="143" t="str">
        <x:v>Required State</x:v>
      </x:c>
      <x:c r="D2" s="143" t="str">
        <x:v>Anti-Abuse / Integrity Rule</x:v>
      </x:c>
      <x:c r="E2" s="20"/>
      <x:c r="F2" s="20"/>
      <x:c r="G2" s="20"/>
      <x:c r="H2" s="20"/>
    </x:row>
    <x:row r="3">
      <x:c r="A3" s="20" t="str">
        <x:v>Events</x:v>
      </x:c>
      <x:c r="B3" s="20" t="str">
        <x:v>Server</x:v>
      </x:c>
      <x:c r="C3" s="20" t="str">
        <x:v>event_id, schedule, score rules, player score, claimed milestones</x:v>
      </x:c>
      <x:c r="D3" s="20" t="str">
        <x:v>All scoring server-side; idempotent action IDs.</x:v>
      </x:c>
      <x:c r="E3" s="20"/>
      <x:c r="F3" s="20"/>
      <x:c r="G3" s="20"/>
      <x:c r="H3" s="20"/>
    </x:row>
    <x:row r="4">
      <x:c r="A4" s="20" t="str">
        <x:v>Gacha</x:v>
      </x:c>
      <x:c r="B4" s="20" t="str">
        <x:v>Server</x:v>
      </x:c>
      <x:c r="C4" s="20" t="str">
        <x:v>case_id, loot-table version, RNG ref, pity counter, reward result</x:v>
      </x:c>
      <x:c r="D4" s="20" t="str">
        <x:v>Server RNG; immutable open record; no client-chosen result.</x:v>
      </x:c>
      <x:c r="E4" s="20"/>
      <x:c r="F4" s="20"/>
      <x:c r="G4" s="20"/>
      <x:c r="H4" s="20"/>
    </x:row>
    <x:row r="5">
      <x:c r="A5" s="20" t="str">
        <x:v>Pity</x:v>
      </x:c>
      <x:c r="B5" s="20" t="str">
        <x:v>Server</x:v>
      </x:c>
      <x:c r="C5" s="20" t="str">
        <x:v>counter by case family and account</x:v>
      </x:c>
      <x:c r="D5" s="20" t="str">
        <x:v>Increment only on eligible opens; reset only on qualifying reward.</x:v>
      </x:c>
      <x:c r="E5" s="20"/>
      <x:c r="F5" s="20"/>
      <x:c r="G5" s="20"/>
      <x:c r="H5" s="20"/>
    </x:row>
    <x:row r="6">
      <x:c r="A6" s="20" t="str">
        <x:v>Duplicates</x:v>
      </x:c>
      <x:c r="B6" s="20" t="str">
        <x:v>Server</x:v>
      </x:c>
      <x:c r="C6" s="20" t="str">
        <x:v>owned module IDs / quantities</x:v>
      </x:c>
      <x:c r="D6" s="20" t="str">
        <x:v>Resolve ownership before reward finalization; convert deterministically.</x:v>
      </x:c>
      <x:c r="E6" s="20"/>
      <x:c r="F6" s="20"/>
      <x:c r="G6" s="20"/>
      <x:c r="H6" s="20"/>
    </x:row>
    <x:row r="7">
      <x:c r="A7" s="20" t="str">
        <x:v>Packs</x:v>
      </x:c>
      <x:c r="B7" s="20" t="str">
        <x:v>Server</x:v>
      </x:c>
      <x:c r="C7" s="20" t="str">
        <x:v>SKU, USD ref, token quote, expiry, contents version</x:v>
      </x:c>
      <x:c r="D7" s="20" t="str">
        <x:v>Quote expiry; store exact contents snapshot with purchase.</x:v>
      </x:c>
      <x:c r="E7" s="20"/>
      <x:c r="F7" s="20"/>
      <x:c r="G7" s="20"/>
      <x:c r="H7" s="20"/>
    </x:row>
    <x:row r="8">
      <x:c r="A8" s="20" t="str">
        <x:v>Season Pass</x:v>
      </x:c>
      <x:c r="B8" s="20" t="str">
        <x:v>Server</x:v>
      </x:c>
      <x:c r="C8" s="20" t="str">
        <x:v>season XP, claimed levels, premium entitlement</x:v>
      </x:c>
      <x:c r="D8" s="20" t="str">
        <x:v>No duplicate claims; archive season rollover.</x:v>
      </x:c>
      <x:c r="E8" s="20"/>
      <x:c r="F8" s="20"/>
      <x:c r="G8" s="20"/>
      <x:c r="H8" s="20"/>
    </x:row>
    <x:row r="9">
      <x:c r="A9" s="20" t="str">
        <x:v>Shop</x:v>
      </x:c>
      <x:c r="B9" s="20" t="str">
        <x:v>Server</x:v>
      </x:c>
      <x:c r="C9" s="20" t="str">
        <x:v>rotation list, purchase caps, history</x:v>
      </x:c>
      <x:c r="D9" s="20" t="str">
        <x:v>Caps enforced server-side.</x:v>
      </x:c>
      <x:c r="E9" s="20"/>
      <x:c r="F9" s="20"/>
      <x:c r="G9" s="20"/>
      <x:c r="H9" s="20"/>
    </x:row>
    <x:row r="10">
      <x:c r="A10" s="20" t="str">
        <x:v>Token spend</x:v>
      </x:c>
      <x:c r="B10" s="20" t="str">
        <x:v>Server + chain/indexer</x:v>
      </x:c>
      <x:c r="C10" s="20" t="str">
        <x:v>tx hash, user, SKU, amount, confirmation</x:v>
      </x:c>
      <x:c r="D10" s="20" t="str">
        <x:v>Grant only after required finality/confirmation.</x:v>
      </x:c>
      <x:c r="E10" s="20"/>
      <x:c r="F10" s="20"/>
      <x:c r="G10" s="20"/>
      <x:c r="H10" s="20"/>
    </x:row>
    <x:row r="11">
      <x:c r="A11" s="20" t="str">
        <x:v>Event rewards</x:v>
      </x:c>
      <x:c r="B11" s="20" t="str">
        <x:v>Server</x:v>
      </x:c>
      <x:c r="C11" s="20" t="str">
        <x:v>rank snapshot, milestone state</x:v>
      </x:c>
      <x:c r="D11" s="20" t="str">
        <x:v>Freeze leaderboard at close before distribution.</x:v>
      </x:c>
      <x:c r="E11" s="20"/>
      <x:c r="F11" s="20"/>
      <x:c r="G11" s="20"/>
      <x:c r="H11" s="20"/>
    </x:row>
    <x:row r="12">
      <x:c r="A12" s="20" t="str">
        <x:v>Multiplayer events</x:v>
      </x:c>
      <x:c r="B12" s="20" t="str">
        <x:v>Server</x:v>
      </x:c>
      <x:c r="C12" s="20" t="str">
        <x:v>deal / investment / ownership events</x:v>
      </x:c>
      <x:c r="D12" s="20" t="str">
        <x:v>Prevent wash trading/self-dealing from generating event points.</x:v>
      </x:c>
      <x:c r="E12" s="20"/>
      <x:c r="F12" s="20"/>
      <x:c r="G12" s="20"/>
      <x:c r="H12" s="20"/>
    </x:row>
    <x:row r="13">
      <x:c r="A13" s="20"/>
      <x:c r="B13" s="20"/>
      <x:c r="C13" s="20"/>
      <x:c r="D13" s="20"/>
      <x:c r="E13" s="20"/>
      <x:c r="F13" s="20"/>
      <x:c r="G13" s="20"/>
      <x:c r="H13" s="20"/>
    </x:row>
    <x:row r="14">
      <x:c r="A14" s="20"/>
      <x:c r="B14" s="20"/>
      <x:c r="C14" s="20"/>
      <x:c r="D14" s="20"/>
      <x:c r="E14" s="20"/>
      <x:c r="F14" s="20"/>
      <x:c r="G14" s="20"/>
      <x:c r="H14" s="20"/>
    </x:row>
    <x:row r="15">
      <x:c r="A15" s="20"/>
      <x:c r="B15" s="20"/>
      <x:c r="C15" s="20"/>
      <x:c r="D15" s="20"/>
      <x:c r="E15" s="20"/>
      <x:c r="F15" s="20"/>
      <x:c r="G15" s="20"/>
      <x:c r="H15" s="20"/>
    </x:row>
    <x:row r="16">
      <x:c r="A16" s="20"/>
      <x:c r="B16" s="20"/>
      <x:c r="C16" s="20"/>
      <x:c r="D16" s="20"/>
      <x:c r="E16" s="20"/>
      <x:c r="F16" s="20"/>
      <x:c r="G16" s="20"/>
      <x:c r="H16" s="20"/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  <x:row r="21">
      <x:c r="A21" s="20"/>
      <x:c r="B21" s="20"/>
      <x:c r="C21" s="20"/>
      <x:c r="D21" s="20"/>
      <x:c r="E21" s="20"/>
      <x:c r="F21" s="20"/>
      <x:c r="G21" s="20"/>
      <x:c r="H21" s="20"/>
    </x:row>
    <x:row r="22">
      <x:c r="A22" s="20"/>
      <x:c r="B22" s="20"/>
      <x:c r="C22" s="20"/>
      <x:c r="D22" s="20"/>
      <x:c r="E22" s="20"/>
      <x:c r="F22" s="20"/>
      <x:c r="G22" s="20"/>
      <x:c r="H22" s="20"/>
    </x:row>
    <x:row r="23">
      <x:c r="A23" s="20"/>
      <x:c r="B23" s="20"/>
      <x:c r="C23" s="20"/>
      <x:c r="D23" s="20"/>
      <x:c r="E23" s="20"/>
      <x:c r="F23" s="20"/>
      <x:c r="G23" s="20"/>
      <x:c r="H23" s="20"/>
    </x:row>
    <x:row r="24">
      <x:c r="A24" s="20"/>
      <x:c r="B24" s="20"/>
      <x:c r="C24" s="20"/>
      <x:c r="D24" s="20"/>
      <x:c r="E24" s="20"/>
      <x:c r="F24" s="20"/>
      <x:c r="G24" s="20"/>
      <x:c r="H24" s="20"/>
    </x:row>
    <x:row r="25">
      <x:c r="A25" s="20"/>
      <x:c r="B25" s="20"/>
      <x:c r="C25" s="20"/>
      <x:c r="D25" s="20"/>
      <x:c r="E25" s="20"/>
      <x:c r="F25" s="20"/>
      <x:c r="G25" s="20"/>
      <x:c r="H25" s="20"/>
    </x:row>
    <x:row r="26">
      <x:c r="A26" s="20"/>
      <x:c r="B26" s="20"/>
      <x:c r="C26" s="20"/>
      <x:c r="D26" s="20"/>
      <x:c r="E26" s="20"/>
      <x:c r="F26" s="20"/>
      <x:c r="G26" s="20"/>
      <x:c r="H26" s="20"/>
    </x:row>
    <x:row r="27">
      <x:c r="A27" s="20"/>
      <x:c r="B27" s="20"/>
      <x:c r="C27" s="20"/>
      <x:c r="D27" s="20"/>
      <x:c r="E27" s="20"/>
      <x:c r="F27" s="20"/>
      <x:c r="G27" s="20"/>
      <x:c r="H27" s="20"/>
    </x:row>
    <x:row r="28">
      <x:c r="A28" s="20"/>
      <x:c r="B28" s="20"/>
      <x:c r="C28" s="20"/>
      <x:c r="D28" s="20"/>
      <x:c r="E28" s="20"/>
      <x:c r="F28" s="20"/>
      <x:c r="G28" s="20"/>
      <x:c r="H28" s="20"/>
    </x:row>
    <x:row r="29">
      <x:c r="A29" s="20"/>
      <x:c r="B29" s="20"/>
      <x:c r="C29" s="20"/>
      <x:c r="D29" s="20"/>
      <x:c r="E29" s="20"/>
      <x:c r="F29" s="20"/>
      <x:c r="G29" s="20"/>
      <x:c r="H29" s="20"/>
    </x:row>
    <x:row r="30">
      <x:c r="A30" s="20"/>
      <x:c r="B30" s="20"/>
      <x:c r="C30" s="20"/>
      <x:c r="D30" s="20"/>
      <x:c r="E30" s="20"/>
      <x:c r="F30" s="20"/>
      <x:c r="G30" s="20"/>
      <x:c r="H30" s="20"/>
    </x:row>
    <x:row r="31">
      <x:c r="A31" s="20"/>
      <x:c r="B31" s="20"/>
      <x:c r="C31" s="20"/>
      <x:c r="D31" s="20"/>
      <x:c r="E31" s="20"/>
      <x:c r="F31" s="20"/>
      <x:c r="G31" s="20"/>
      <x:c r="H31" s="20"/>
    </x:row>
    <x:row r="32">
      <x:c r="A32" s="20"/>
      <x:c r="B32" s="20"/>
      <x:c r="C32" s="20"/>
      <x:c r="D32" s="20"/>
      <x:c r="E32" s="20"/>
      <x:c r="F32" s="20"/>
      <x:c r="G32" s="20"/>
      <x:c r="H32" s="20"/>
    </x:row>
    <x:row r="33">
      <x:c r="A33" s="20"/>
      <x:c r="B33" s="20"/>
      <x:c r="C33" s="20"/>
      <x:c r="D33" s="20"/>
      <x:c r="E33" s="20"/>
      <x:c r="F33" s="20"/>
      <x:c r="G33" s="20"/>
      <x:c r="H33" s="20"/>
    </x:row>
    <x:row r="34">
      <x:c r="A34" s="20"/>
      <x:c r="B34" s="20"/>
      <x:c r="C34" s="20"/>
      <x:c r="D34" s="20"/>
      <x:c r="E34" s="20"/>
      <x:c r="F34" s="20"/>
      <x:c r="G34" s="20"/>
      <x:c r="H34" s="20"/>
    </x:row>
    <x:row r="35">
      <x:c r="A35" s="20"/>
      <x:c r="B35" s="20"/>
      <x:c r="C35" s="20"/>
      <x:c r="D35" s="20"/>
      <x:c r="E35" s="20"/>
      <x:c r="F35" s="20"/>
      <x:c r="G35" s="20"/>
      <x:c r="H35" s="20"/>
    </x:row>
    <x:row r="36">
      <x:c r="A36" s="20"/>
      <x:c r="B36" s="20"/>
      <x:c r="C36" s="20"/>
      <x:c r="D36" s="20"/>
      <x:c r="E36" s="20"/>
      <x:c r="F36" s="20"/>
      <x:c r="G36" s="20"/>
      <x:c r="H36" s="20"/>
    </x:row>
    <x:row r="37">
      <x:c r="A37" s="20"/>
      <x:c r="B37" s="20"/>
      <x:c r="C37" s="20"/>
      <x:c r="D37" s="20"/>
      <x:c r="E37" s="20"/>
      <x:c r="F37" s="20"/>
      <x:c r="G37" s="20"/>
      <x:c r="H37" s="20"/>
    </x:row>
    <x:row r="38">
      <x:c r="A38" s="20"/>
      <x:c r="B38" s="20"/>
      <x:c r="C38" s="20"/>
      <x:c r="D38" s="20"/>
      <x:c r="E38" s="20"/>
      <x:c r="F38" s="20"/>
      <x:c r="G38" s="20"/>
      <x:c r="H38" s="20"/>
    </x:row>
    <x:row r="39">
      <x:c r="A39" s="20"/>
      <x:c r="B39" s="20"/>
      <x:c r="C39" s="20"/>
      <x:c r="D39" s="20"/>
      <x:c r="E39" s="20"/>
      <x:c r="F39" s="20"/>
      <x:c r="G39" s="20"/>
      <x:c r="H39" s="20"/>
    </x:row>
    <x:row r="40">
      <x:c r="A40" s="20"/>
      <x:c r="B40" s="20"/>
      <x:c r="C40" s="20"/>
      <x:c r="D40" s="20"/>
      <x:c r="E40" s="20"/>
      <x:c r="F40" s="20"/>
      <x:c r="G40" s="20"/>
      <x:c r="H40" s="20"/>
    </x:row>
    <x:row r="41">
      <x:c r="A41" s="20"/>
      <x:c r="B41" s="20"/>
      <x:c r="C41" s="20"/>
      <x:c r="D41" s="20"/>
      <x:c r="E41" s="20"/>
      <x:c r="F41" s="20"/>
      <x:c r="G41" s="20"/>
      <x:c r="H41" s="20"/>
    </x:row>
    <x:row r="42">
      <x:c r="A42" s="20"/>
      <x:c r="B42" s="20"/>
      <x:c r="C42" s="20"/>
      <x:c r="D42" s="20"/>
      <x:c r="E42" s="20"/>
      <x:c r="F42" s="20"/>
      <x:c r="G42" s="20"/>
      <x:c r="H42" s="20"/>
    </x:row>
    <x:row r="43">
      <x:c r="A43" s="20"/>
      <x:c r="B43" s="20"/>
      <x:c r="C43" s="20"/>
      <x:c r="D43" s="20"/>
      <x:c r="E43" s="20"/>
      <x:c r="F43" s="20"/>
      <x:c r="G43" s="20"/>
      <x:c r="H43" s="20"/>
    </x:row>
    <x:row r="44">
      <x:c r="A44" s="20"/>
      <x:c r="B44" s="20"/>
      <x:c r="C44" s="20"/>
      <x:c r="D44" s="20"/>
      <x:c r="E44" s="20"/>
      <x:c r="F44" s="20"/>
      <x:c r="G44" s="20"/>
      <x:c r="H44" s="20"/>
    </x:row>
    <x:row r="45">
      <x:c r="A45" s="20"/>
      <x:c r="B45" s="20"/>
      <x:c r="C45" s="20"/>
      <x:c r="D45" s="20"/>
      <x:c r="E45" s="20"/>
      <x:c r="F45" s="20"/>
      <x:c r="G45" s="20"/>
      <x:c r="H45" s="20"/>
    </x:row>
    <x:row r="46">
      <x:c r="A46" s="20"/>
      <x:c r="B46" s="20"/>
      <x:c r="C46" s="20"/>
      <x:c r="D46" s="20"/>
      <x:c r="E46" s="20"/>
      <x:c r="F46" s="20"/>
      <x:c r="G46" s="20"/>
      <x:c r="H46" s="20"/>
    </x:row>
    <x:row r="47">
      <x:c r="A47" s="20"/>
      <x:c r="B47" s="20"/>
      <x:c r="C47" s="20"/>
      <x:c r="D47" s="20"/>
      <x:c r="E47" s="20"/>
      <x:c r="F47" s="20"/>
      <x:c r="G47" s="20"/>
      <x:c r="H47" s="20"/>
    </x:row>
    <x:row r="48">
      <x:c r="A48" s="20"/>
      <x:c r="B48" s="20"/>
      <x:c r="C48" s="20"/>
      <x:c r="D48" s="20"/>
      <x:c r="E48" s="20"/>
      <x:c r="F48" s="20"/>
      <x:c r="G48" s="20"/>
      <x:c r="H48" s="20"/>
    </x:row>
    <x:row r="49">
      <x:c r="A49" s="20"/>
      <x:c r="B49" s="20"/>
      <x:c r="C49" s="20"/>
      <x:c r="D49" s="20"/>
      <x:c r="E49" s="20"/>
      <x:c r="F49" s="20"/>
      <x:c r="G49" s="20"/>
      <x:c r="H49" s="20"/>
    </x:row>
    <x:row r="50">
      <x:c r="A50" s="20"/>
      <x:c r="B50" s="20"/>
      <x:c r="C50" s="20"/>
      <x:c r="D50" s="20"/>
      <x:c r="E50" s="20"/>
      <x:c r="F50" s="20"/>
      <x:c r="G50" s="20"/>
      <x:c r="H50" s="20"/>
    </x:row>
    <x:row r="51">
      <x:c r="A51" s="20"/>
      <x:c r="B51" s="20"/>
      <x:c r="C51" s="20"/>
      <x:c r="D51" s="20"/>
      <x:c r="E51" s="20"/>
      <x:c r="F51" s="20"/>
      <x:c r="G51" s="20"/>
      <x:c r="H51" s="20"/>
    </x:row>
    <x:row r="52">
      <x:c r="A52" s="20"/>
      <x:c r="B52" s="20"/>
      <x:c r="C52" s="20"/>
      <x:c r="D52" s="20"/>
      <x:c r="E52" s="20"/>
      <x:c r="F52" s="20"/>
      <x:c r="G52" s="20"/>
      <x:c r="H52" s="20"/>
    </x:row>
    <x:row r="53">
      <x:c r="A53" s="20"/>
      <x:c r="B53" s="20"/>
      <x:c r="C53" s="20"/>
      <x:c r="D53" s="20"/>
      <x:c r="E53" s="20"/>
      <x:c r="F53" s="20"/>
      <x:c r="G53" s="20"/>
      <x:c r="H53" s="20"/>
    </x:row>
    <x:row r="54">
      <x:c r="A54" s="20"/>
      <x:c r="B54" s="20"/>
      <x:c r="C54" s="20"/>
      <x:c r="D54" s="20"/>
      <x:c r="E54" s="20"/>
      <x:c r="F54" s="20"/>
      <x:c r="G54" s="20"/>
      <x:c r="H54" s="20"/>
    </x:row>
    <x:row r="55">
      <x:c r="A55" s="20"/>
      <x:c r="B55" s="20"/>
      <x:c r="C55" s="20"/>
      <x:c r="D55" s="20"/>
      <x:c r="E55" s="20"/>
      <x:c r="F55" s="20"/>
      <x:c r="G55" s="20"/>
      <x:c r="H55" s="20"/>
    </x:row>
    <x:row r="56">
      <x:c r="A56" s="20"/>
      <x:c r="B56" s="20"/>
      <x:c r="C56" s="20"/>
      <x:c r="D56" s="20"/>
      <x:c r="E56" s="20"/>
      <x:c r="F56" s="20"/>
      <x:c r="G56" s="20"/>
      <x:c r="H56" s="20"/>
    </x:row>
    <x:row r="57">
      <x:c r="A57" s="20"/>
      <x:c r="B57" s="20"/>
      <x:c r="C57" s="20"/>
      <x:c r="D57" s="20"/>
      <x:c r="E57" s="20"/>
      <x:c r="F57" s="20"/>
      <x:c r="G57" s="20"/>
      <x:c r="H57" s="20"/>
    </x:row>
    <x:row r="58">
      <x:c r="A58" s="20"/>
      <x:c r="B58" s="20"/>
      <x:c r="C58" s="20"/>
      <x:c r="D58" s="20"/>
      <x:c r="E58" s="20"/>
      <x:c r="F58" s="20"/>
      <x:c r="G58" s="20"/>
      <x:c r="H58" s="20"/>
    </x:row>
    <x:row r="59">
      <x:c r="A59" s="20"/>
      <x:c r="B59" s="20"/>
      <x:c r="C59" s="20"/>
      <x:c r="D59" s="20"/>
      <x:c r="E59" s="20"/>
      <x:c r="F59" s="20"/>
      <x:c r="G59" s="20"/>
      <x:c r="H59" s="20"/>
    </x:row>
    <x:row r="60">
      <x:c r="A60" s="20"/>
      <x:c r="B60" s="20"/>
      <x:c r="C60" s="20"/>
      <x:c r="D60" s="20"/>
      <x:c r="E60" s="20"/>
      <x:c r="F60" s="20"/>
      <x:c r="G60" s="20"/>
      <x:c r="H60" s="20"/>
    </x:row>
    <x:row r="61">
      <x:c r="A61" s="20"/>
      <x:c r="B61" s="20"/>
      <x:c r="C61" s="20"/>
      <x:c r="D61" s="20"/>
      <x:c r="E61" s="20"/>
      <x:c r="F61" s="20"/>
      <x:c r="G61" s="20"/>
      <x:c r="H61" s="20"/>
    </x:row>
    <x:row r="62">
      <x:c r="A62" s="20"/>
      <x:c r="B62" s="20"/>
      <x:c r="C62" s="20"/>
      <x:c r="D62" s="20"/>
      <x:c r="E62" s="20"/>
      <x:c r="F62" s="20"/>
      <x:c r="G62" s="20"/>
      <x:c r="H62" s="20"/>
    </x:row>
    <x:row r="63">
      <x:c r="A63" s="20"/>
      <x:c r="B63" s="20"/>
      <x:c r="C63" s="20"/>
      <x:c r="D63" s="20"/>
      <x:c r="E63" s="20"/>
      <x:c r="F63" s="20"/>
      <x:c r="G63" s="20"/>
      <x:c r="H63" s="20"/>
    </x:row>
    <x:row r="64">
      <x:c r="A64" s="20"/>
      <x:c r="B64" s="20"/>
      <x:c r="C64" s="20"/>
      <x:c r="D64" s="20"/>
      <x:c r="E64" s="20"/>
      <x:c r="F64" s="20"/>
      <x:c r="G64" s="20"/>
      <x:c r="H64" s="20"/>
    </x:row>
    <x:row r="65">
      <x:c r="A65" s="20"/>
      <x:c r="B65" s="20"/>
      <x:c r="C65" s="20"/>
      <x:c r="D65" s="20"/>
      <x:c r="E65" s="20"/>
      <x:c r="F65" s="20"/>
      <x:c r="G65" s="20"/>
      <x:c r="H65" s="20"/>
    </x:row>
    <x:row r="66">
      <x:c r="A66" s="20"/>
      <x:c r="B66" s="20"/>
      <x:c r="C66" s="20"/>
      <x:c r="D66" s="20"/>
      <x:c r="E66" s="20"/>
      <x:c r="F66" s="20"/>
      <x:c r="G66" s="20"/>
      <x:c r="H66" s="20"/>
    </x:row>
    <x:row r="67">
      <x:c r="A67" s="20"/>
      <x:c r="B67" s="20"/>
      <x:c r="C67" s="20"/>
      <x:c r="D67" s="20"/>
      <x:c r="E67" s="20"/>
      <x:c r="F67" s="20"/>
      <x:c r="G67" s="20"/>
      <x:c r="H67" s="20"/>
    </x:row>
    <x:row r="68">
      <x:c r="A68" s="20"/>
      <x:c r="B68" s="20"/>
      <x:c r="C68" s="20"/>
      <x:c r="D68" s="20"/>
      <x:c r="E68" s="20"/>
      <x:c r="F68" s="20"/>
      <x:c r="G68" s="20"/>
      <x:c r="H68" s="20"/>
    </x:row>
    <x:row r="69">
      <x:c r="A69" s="20"/>
      <x:c r="B69" s="20"/>
      <x:c r="C69" s="20"/>
      <x:c r="D69" s="20"/>
      <x:c r="E69" s="20"/>
      <x:c r="F69" s="20"/>
      <x:c r="G69" s="20"/>
      <x:c r="H69" s="20"/>
    </x:row>
    <x:row r="70">
      <x:c r="A70" s="20"/>
      <x:c r="B70" s="20"/>
      <x:c r="C70" s="20"/>
      <x:c r="D70" s="20"/>
      <x:c r="E70" s="20"/>
      <x:c r="F70" s="20"/>
      <x:c r="G70" s="20"/>
      <x:c r="H70" s="20"/>
    </x:row>
    <x:row r="71">
      <x:c r="A71" s="20"/>
      <x:c r="B71" s="20"/>
      <x:c r="C71" s="20"/>
      <x:c r="D71" s="20"/>
      <x:c r="E71" s="20"/>
      <x:c r="F71" s="20"/>
      <x:c r="G71" s="20"/>
      <x:c r="H71" s="20"/>
    </x:row>
    <x:row r="72">
      <x:c r="A72" s="20"/>
      <x:c r="B72" s="20"/>
      <x:c r="C72" s="20"/>
      <x:c r="D72" s="20"/>
      <x:c r="E72" s="20"/>
      <x:c r="F72" s="20"/>
      <x:c r="G72" s="20"/>
      <x:c r="H72" s="20"/>
    </x:row>
    <x:row r="73">
      <x:c r="A73" s="20"/>
      <x:c r="B73" s="20"/>
      <x:c r="C73" s="20"/>
      <x:c r="D73" s="20"/>
      <x:c r="E73" s="20"/>
      <x:c r="F73" s="20"/>
      <x:c r="G73" s="20"/>
      <x:c r="H73" s="20"/>
    </x:row>
    <x:row r="74">
      <x:c r="A74" s="20"/>
      <x:c r="B74" s="20"/>
      <x:c r="C74" s="20"/>
      <x:c r="D74" s="20"/>
      <x:c r="E74" s="20"/>
      <x:c r="F74" s="20"/>
      <x:c r="G74" s="20"/>
      <x:c r="H74" s="20"/>
    </x:row>
    <x:row r="75">
      <x:c r="A75" s="20"/>
      <x:c r="B75" s="20"/>
      <x:c r="C75" s="20"/>
      <x:c r="D75" s="20"/>
      <x:c r="E75" s="20"/>
      <x:c r="F75" s="20"/>
      <x:c r="G75" s="20"/>
      <x:c r="H75" s="20"/>
    </x:row>
    <x:row r="76">
      <x:c r="A76" s="20"/>
      <x:c r="B76" s="20"/>
      <x:c r="C76" s="20"/>
      <x:c r="D76" s="20"/>
      <x:c r="E76" s="20"/>
      <x:c r="F76" s="20"/>
      <x:c r="G76" s="20"/>
      <x:c r="H76" s="20"/>
    </x:row>
    <x:row r="77">
      <x:c r="A77" s="20"/>
      <x:c r="B77" s="20"/>
      <x:c r="C77" s="20"/>
      <x:c r="D77" s="20"/>
      <x:c r="E77" s="20"/>
      <x:c r="F77" s="20"/>
      <x:c r="G77" s="20"/>
      <x:c r="H77" s="20"/>
    </x:row>
    <x:row r="78">
      <x:c r="A78" s="20"/>
      <x:c r="B78" s="20"/>
      <x:c r="C78" s="20"/>
      <x:c r="D78" s="20"/>
      <x:c r="E78" s="20"/>
      <x:c r="F78" s="20"/>
      <x:c r="G78" s="20"/>
      <x:c r="H78" s="20"/>
    </x:row>
    <x:row r="79">
      <x:c r="A79" s="20"/>
      <x:c r="B79" s="20"/>
      <x:c r="C79" s="20"/>
      <x:c r="D79" s="20"/>
      <x:c r="E79" s="20"/>
      <x:c r="F79" s="20"/>
      <x:c r="G79" s="20"/>
      <x:c r="H79" s="20"/>
    </x:row>
    <x:row r="80">
      <x:c r="A80" s="20"/>
      <x:c r="B80" s="20"/>
      <x:c r="C80" s="20"/>
      <x:c r="D80" s="20"/>
      <x:c r="E80" s="20"/>
      <x:c r="F80" s="20"/>
      <x:c r="G80" s="20"/>
      <x:c r="H80" s="20"/>
    </x:row>
  </x:sheetData>
  <x:mergeCells>
    <x:mergeCell ref="A1:H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44" hidden="0" customWidth="1"/>
    <x:col min="4" max="4" width="32" hidden="0" customWidth="1"/>
    <x:col min="5" max="5" width="18" hidden="0" customWidth="1"/>
    <x:col min="6" max="6" width="22" hidden="0" customWidth="1"/>
    <x:col min="7" max="7" width="20" hidden="0" customWidth="1"/>
    <x:col min="8" max="8" width="24" hidden="0" customWidth="1"/>
  </x:cols>
  <x:sheetData>
    <x:row r="1" ht="24" customHeight="1">
      <x:c r="A1" s="142" t="str">
        <x:v>Implementation Roadmap</x:v>
      </x:c>
      <x:c r="B1" s="142"/>
      <x:c r="C1" s="142"/>
      <x:c r="D1" s="142"/>
      <x:c r="E1" s="142"/>
      <x:c r="F1" s="142"/>
      <x:c r="G1" s="142"/>
      <x:c r="H1" s="142"/>
    </x:row>
    <x:row r="2" ht="30" customHeight="1">
      <x:c r="A2" s="143" t="str">
        <x:v>Phase</x:v>
      </x:c>
      <x:c r="B2" s="143" t="str">
        <x:v>System</x:v>
      </x:c>
      <x:c r="C2" s="143" t="str">
        <x:v>Deliverable</x:v>
      </x:c>
      <x:c r="D2" s="143" t="str">
        <x:v>Dependency</x:v>
      </x:c>
      <x:c r="E2" s="143" t="str">
        <x:v>Priority</x:v>
      </x:c>
      <x:c r="F2" s="143" t="str">
        <x:v>Launch Gate</x:v>
      </x:c>
      <x:c r="G2" s="143" t="str">
        <x:v>Owner</x:v>
      </x:c>
      <x:c r="H2" s="143" t="str">
        <x:v>Notes</x:v>
      </x:c>
    </x:row>
    <x:row r="3">
      <x:c r="A3" s="20" t="str">
        <x:v>1</x:v>
      </x:c>
      <x:c r="B3" s="20" t="str">
        <x:v>Event engine</x:v>
      </x:c>
      <x:c r="C3" s="20" t="str">
        <x:v>Schedules, scoring, milestones, overlapping events</x:v>
      </x:c>
      <x:c r="D3" s="20" t="str">
        <x:v>Core action telemetry</x:v>
      </x:c>
      <x:c r="E3" s="20" t="str">
        <x:v>P0</x:v>
      </x:c>
      <x:c r="F3" s="20" t="str">
        <x:v>Before public beta</x:v>
      </x:c>
      <x:c r="G3" s="20" t="str"/>
      <x:c r="H3" s="20" t="str"/>
    </x:row>
    <x:row r="4">
      <x:c r="A4" s="20" t="str">
        <x:v>1</x:v>
      </x:c>
      <x:c r="B4" s="20" t="str">
        <x:v>Daily/Business/Market Cases</x:v>
      </x:c>
      <x:c r="C4" s="20" t="str">
        <x:v>Earn, inventory, open, reward</x:v>
      </x:c>
      <x:c r="D4" s="20" t="str">
        <x:v>Inventory + item catalog</x:v>
      </x:c>
      <x:c r="E4" s="20" t="str">
        <x:v>P0</x:v>
      </x:c>
      <x:c r="F4" s="20" t="str">
        <x:v>Before public beta</x:v>
      </x:c>
      <x:c r="G4" s="20" t="str"/>
      <x:c r="H4" s="20" t="str"/>
    </x:row>
    <x:row r="5">
      <x:c r="A5" s="20" t="str">
        <x:v>1</x:v>
      </x:c>
      <x:c r="B5" s="20" t="str">
        <x:v>Materials inventory</x:v>
      </x:c>
      <x:c r="C5" s="20" t="str">
        <x:v>Shards, tickets, boosts, permits</x:v>
      </x:c>
      <x:c r="D5" s="20" t="str">
        <x:v>Backend inventory</x:v>
      </x:c>
      <x:c r="E5" s="20" t="str">
        <x:v>P0</x:v>
      </x:c>
      <x:c r="F5" s="20" t="str">
        <x:v>Before public beta</x:v>
      </x:c>
      <x:c r="G5" s="20" t="str"/>
      <x:c r="H5" s="20" t="str"/>
    </x:row>
    <x:row r="6">
      <x:c r="A6" s="20" t="str">
        <x:v>1</x:v>
      </x:c>
      <x:c r="B6" s="20" t="str">
        <x:v>Deterministic packs</x:v>
      </x:c>
      <x:c r="C6" s="20" t="str">
        <x:v>SKU, contents, PLOT quote, cap</x:v>
      </x:c>
      <x:c r="D6" s="20" t="str">
        <x:v>Token payment infrastructure</x:v>
      </x:c>
      <x:c r="E6" s="20" t="str">
        <x:v>P0</x:v>
      </x:c>
      <x:c r="F6" s="20" t="str">
        <x:v>Before TGE</x:v>
      </x:c>
      <x:c r="G6" s="20" t="str"/>
      <x:c r="H6" s="20" t="str"/>
    </x:row>
    <x:row r="7">
      <x:c r="A7" s="20" t="str">
        <x:v>1</x:v>
      </x:c>
      <x:c r="B7" s="20" t="str">
        <x:v>Shop</x:v>
      </x:c>
      <x:c r="C7" s="20" t="str">
        <x:v>Featured + daily rotation</x:v>
      </x:c>
      <x:c r="D7" s="20" t="str">
        <x:v>SKU catalog</x:v>
      </x:c>
      <x:c r="E7" s="20" t="str">
        <x:v>P1</x:v>
      </x:c>
      <x:c r="F7" s="20" t="str">
        <x:v>Before TGE</x:v>
      </x:c>
      <x:c r="G7" s="20" t="str"/>
      <x:c r="H7" s="20" t="str"/>
    </x:row>
    <x:row r="8">
      <x:c r="A8" s="20" t="str">
        <x:v>2</x:v>
      </x:c>
      <x:c r="B8" s="20" t="str">
        <x:v>Season Pass</x:v>
      </x:c>
      <x:c r="C8" s="20" t="str">
        <x:v>28-day XP and dual track</x:v>
      </x:c>
      <x:c r="D8" s="20" t="str">
        <x:v>Event XP + inventory</x:v>
      </x:c>
      <x:c r="E8" s="20" t="str">
        <x:v>P1</x:v>
      </x:c>
      <x:c r="F8" s="20" t="str">
        <x:v>Launch season</x:v>
      </x:c>
      <x:c r="G8" s="20" t="str"/>
      <x:c r="H8" s="20" t="str"/>
    </x:row>
    <x:row r="9">
      <x:c r="A9" s="20" t="str">
        <x:v>2</x:v>
      </x:c>
      <x:c r="B9" s="20" t="str">
        <x:v>Executive/Tycoon Cases</x:v>
      </x:c>
      <x:c r="C9" s="20" t="str">
        <x:v>Pity + high-tier loot</x:v>
      </x:c>
      <x:c r="D9" s="20" t="str">
        <x:v>Module system</x:v>
      </x:c>
      <x:c r="E9" s="20" t="str">
        <x:v>P1</x:v>
      </x:c>
      <x:c r="F9" s="20" t="str">
        <x:v>Launch season</x:v>
      </x:c>
      <x:c r="G9" s="20" t="str"/>
      <x:c r="H9" s="20" t="str"/>
    </x:row>
    <x:row r="10">
      <x:c r="A10" s="20" t="str">
        <x:v>2</x:v>
      </x:c>
      <x:c r="B10" s="20" t="str">
        <x:v>Event leaderboard</x:v>
      </x:c>
      <x:c r="C10" s="20" t="str">
        <x:v>Brackets, anti-abuse, rewards</x:v>
      </x:c>
      <x:c r="D10" s="20" t="str">
        <x:v>Event engine</x:v>
      </x:c>
      <x:c r="E10" s="20" t="str">
        <x:v>P1</x:v>
      </x:c>
      <x:c r="F10" s="20" t="str">
        <x:v>Launch season</x:v>
      </x:c>
      <x:c r="G10" s="20" t="str"/>
      <x:c r="H10" s="20" t="str"/>
    </x:row>
    <x:row r="11">
      <x:c r="A11" s="20" t="str">
        <x:v>3</x:v>
      </x:c>
      <x:c r="B11" s="20" t="str">
        <x:v>Multiplayer event hooks</x:v>
      </x:c>
      <x:c r="C11" s="20" t="str">
        <x:v>Investment, M&amp;A, exchange scoring</x:v>
      </x:c>
      <x:c r="D11" s="20" t="str">
        <x:v>Multiplayer economy</x:v>
      </x:c>
      <x:c r="E11" s="20" t="str">
        <x:v>P1</x:v>
      </x:c>
      <x:c r="F11" s="20" t="str">
        <x:v>Multiplayer release</x:v>
      </x:c>
      <x:c r="G11" s="20" t="str"/>
      <x:c r="H11" s="20" t="str"/>
    </x:row>
    <x:row r="12">
      <x:c r="A12" s="20" t="str">
        <x:v>3</x:v>
      </x:c>
      <x:c r="B12" s="20" t="str">
        <x:v>World events</x:v>
      </x:c>
      <x:c r="C12" s="20" t="str">
        <x:v>Server/world shared objectives</x:v>
      </x:c>
      <x:c r="D12" s="20" t="str">
        <x:v>World map</x:v>
      </x:c>
      <x:c r="E12" s="20" t="str">
        <x:v>P2</x:v>
      </x:c>
      <x:c r="F12" s="20" t="str">
        <x:v>Post multiplayer</x:v>
      </x:c>
      <x:c r="G12" s="20" t="str"/>
      <x:c r="H12" s="20" t="str"/>
    </x:row>
    <x:row r="13">
      <x:c r="A13" s="20"/>
      <x:c r="B13" s="20"/>
      <x:c r="C13" s="20"/>
      <x:c r="D13" s="20"/>
      <x:c r="E13" s="20"/>
      <x:c r="F13" s="20"/>
      <x:c r="G13" s="20"/>
      <x:c r="H13" s="20"/>
    </x:row>
    <x:row r="14">
      <x:c r="A14" s="20"/>
      <x:c r="B14" s="20"/>
      <x:c r="C14" s="20"/>
      <x:c r="D14" s="20"/>
      <x:c r="E14" s="20"/>
      <x:c r="F14" s="20"/>
      <x:c r="G14" s="20"/>
      <x:c r="H14" s="20"/>
    </x:row>
    <x:row r="15">
      <x:c r="A15" s="20"/>
      <x:c r="B15" s="20"/>
      <x:c r="C15" s="20"/>
      <x:c r="D15" s="20"/>
      <x:c r="E15" s="20"/>
      <x:c r="F15" s="20"/>
      <x:c r="G15" s="20"/>
      <x:c r="H15" s="20"/>
    </x:row>
    <x:row r="16">
      <x:c r="A16" s="20"/>
      <x:c r="B16" s="20"/>
      <x:c r="C16" s="20"/>
      <x:c r="D16" s="20"/>
      <x:c r="E16" s="20"/>
      <x:c r="F16" s="20"/>
      <x:c r="G16" s="20"/>
      <x:c r="H16" s="20"/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  <x:row r="21">
      <x:c r="A21" s="20"/>
      <x:c r="B21" s="20"/>
      <x:c r="C21" s="20"/>
      <x:c r="D21" s="20"/>
      <x:c r="E21" s="20"/>
      <x:c r="F21" s="20"/>
      <x:c r="G21" s="20"/>
      <x:c r="H21" s="20"/>
    </x:row>
    <x:row r="22">
      <x:c r="A22" s="20"/>
      <x:c r="B22" s="20"/>
      <x:c r="C22" s="20"/>
      <x:c r="D22" s="20"/>
      <x:c r="E22" s="20"/>
      <x:c r="F22" s="20"/>
      <x:c r="G22" s="20"/>
      <x:c r="H22" s="20"/>
    </x:row>
    <x:row r="23">
      <x:c r="A23" s="20"/>
      <x:c r="B23" s="20"/>
      <x:c r="C23" s="20"/>
      <x:c r="D23" s="20"/>
      <x:c r="E23" s="20"/>
      <x:c r="F23" s="20"/>
      <x:c r="G23" s="20"/>
      <x:c r="H23" s="20"/>
    </x:row>
    <x:row r="24">
      <x:c r="A24" s="20"/>
      <x:c r="B24" s="20"/>
      <x:c r="C24" s="20"/>
      <x:c r="D24" s="20"/>
      <x:c r="E24" s="20"/>
      <x:c r="F24" s="20"/>
      <x:c r="G24" s="20"/>
      <x:c r="H24" s="20"/>
    </x:row>
    <x:row r="25">
      <x:c r="A25" s="20"/>
      <x:c r="B25" s="20"/>
      <x:c r="C25" s="20"/>
      <x:c r="D25" s="20"/>
      <x:c r="E25" s="20"/>
      <x:c r="F25" s="20"/>
      <x:c r="G25" s="20"/>
      <x:c r="H25" s="20"/>
    </x:row>
    <x:row r="26">
      <x:c r="A26" s="20"/>
      <x:c r="B26" s="20"/>
      <x:c r="C26" s="20"/>
      <x:c r="D26" s="20"/>
      <x:c r="E26" s="20"/>
      <x:c r="F26" s="20"/>
      <x:c r="G26" s="20"/>
      <x:c r="H26" s="20"/>
    </x:row>
    <x:row r="27">
      <x:c r="A27" s="20"/>
      <x:c r="B27" s="20"/>
      <x:c r="C27" s="20"/>
      <x:c r="D27" s="20"/>
      <x:c r="E27" s="20"/>
      <x:c r="F27" s="20"/>
      <x:c r="G27" s="20"/>
      <x:c r="H27" s="20"/>
    </x:row>
    <x:row r="28">
      <x:c r="A28" s="20"/>
      <x:c r="B28" s="20"/>
      <x:c r="C28" s="20"/>
      <x:c r="D28" s="20"/>
      <x:c r="E28" s="20"/>
      <x:c r="F28" s="20"/>
      <x:c r="G28" s="20"/>
      <x:c r="H28" s="20"/>
    </x:row>
    <x:row r="29">
      <x:c r="A29" s="20"/>
      <x:c r="B29" s="20"/>
      <x:c r="C29" s="20"/>
      <x:c r="D29" s="20"/>
      <x:c r="E29" s="20"/>
      <x:c r="F29" s="20"/>
      <x:c r="G29" s="20"/>
      <x:c r="H29" s="20"/>
    </x:row>
    <x:row r="30">
      <x:c r="A30" s="20"/>
      <x:c r="B30" s="20"/>
      <x:c r="C30" s="20"/>
      <x:c r="D30" s="20"/>
      <x:c r="E30" s="20"/>
      <x:c r="F30" s="20"/>
      <x:c r="G30" s="20"/>
      <x:c r="H30" s="20"/>
    </x:row>
    <x:row r="31">
      <x:c r="A31" s="20"/>
      <x:c r="B31" s="20"/>
      <x:c r="C31" s="20"/>
      <x:c r="D31" s="20"/>
      <x:c r="E31" s="20"/>
      <x:c r="F31" s="20"/>
      <x:c r="G31" s="20"/>
      <x:c r="H31" s="20"/>
    </x:row>
    <x:row r="32">
      <x:c r="A32" s="20"/>
      <x:c r="B32" s="20"/>
      <x:c r="C32" s="20"/>
      <x:c r="D32" s="20"/>
      <x:c r="E32" s="20"/>
      <x:c r="F32" s="20"/>
      <x:c r="G32" s="20"/>
      <x:c r="H32" s="20"/>
    </x:row>
    <x:row r="33">
      <x:c r="A33" s="20"/>
      <x:c r="B33" s="20"/>
      <x:c r="C33" s="20"/>
      <x:c r="D33" s="20"/>
      <x:c r="E33" s="20"/>
      <x:c r="F33" s="20"/>
      <x:c r="G33" s="20"/>
      <x:c r="H33" s="20"/>
    </x:row>
    <x:row r="34">
      <x:c r="A34" s="20"/>
      <x:c r="B34" s="20"/>
      <x:c r="C34" s="20"/>
      <x:c r="D34" s="20"/>
      <x:c r="E34" s="20"/>
      <x:c r="F34" s="20"/>
      <x:c r="G34" s="20"/>
      <x:c r="H34" s="20"/>
    </x:row>
    <x:row r="35">
      <x:c r="A35" s="20"/>
      <x:c r="B35" s="20"/>
      <x:c r="C35" s="20"/>
      <x:c r="D35" s="20"/>
      <x:c r="E35" s="20"/>
      <x:c r="F35" s="20"/>
      <x:c r="G35" s="20"/>
      <x:c r="H35" s="20"/>
    </x:row>
    <x:row r="36">
      <x:c r="A36" s="20"/>
      <x:c r="B36" s="20"/>
      <x:c r="C36" s="20"/>
      <x:c r="D36" s="20"/>
      <x:c r="E36" s="20"/>
      <x:c r="F36" s="20"/>
      <x:c r="G36" s="20"/>
      <x:c r="H36" s="20"/>
    </x:row>
    <x:row r="37">
      <x:c r="A37" s="20"/>
      <x:c r="B37" s="20"/>
      <x:c r="C37" s="20"/>
      <x:c r="D37" s="20"/>
      <x:c r="E37" s="20"/>
      <x:c r="F37" s="20"/>
      <x:c r="G37" s="20"/>
      <x:c r="H37" s="20"/>
    </x:row>
    <x:row r="38">
      <x:c r="A38" s="20"/>
      <x:c r="B38" s="20"/>
      <x:c r="C38" s="20"/>
      <x:c r="D38" s="20"/>
      <x:c r="E38" s="20"/>
      <x:c r="F38" s="20"/>
      <x:c r="G38" s="20"/>
      <x:c r="H38" s="20"/>
    </x:row>
    <x:row r="39">
      <x:c r="A39" s="20"/>
      <x:c r="B39" s="20"/>
      <x:c r="C39" s="20"/>
      <x:c r="D39" s="20"/>
      <x:c r="E39" s="20"/>
      <x:c r="F39" s="20"/>
      <x:c r="G39" s="20"/>
      <x:c r="H39" s="20"/>
    </x:row>
    <x:row r="40">
      <x:c r="A40" s="20"/>
      <x:c r="B40" s="20"/>
      <x:c r="C40" s="20"/>
      <x:c r="D40" s="20"/>
      <x:c r="E40" s="20"/>
      <x:c r="F40" s="20"/>
      <x:c r="G40" s="20"/>
      <x:c r="H40" s="20"/>
    </x:row>
    <x:row r="41">
      <x:c r="A41" s="20"/>
      <x:c r="B41" s="20"/>
      <x:c r="C41" s="20"/>
      <x:c r="D41" s="20"/>
      <x:c r="E41" s="20"/>
      <x:c r="F41" s="20"/>
      <x:c r="G41" s="20"/>
      <x:c r="H41" s="20"/>
    </x:row>
    <x:row r="42">
      <x:c r="A42" s="20"/>
      <x:c r="B42" s="20"/>
      <x:c r="C42" s="20"/>
      <x:c r="D42" s="20"/>
      <x:c r="E42" s="20"/>
      <x:c r="F42" s="20"/>
      <x:c r="G42" s="20"/>
      <x:c r="H42" s="20"/>
    </x:row>
    <x:row r="43">
      <x:c r="A43" s="20"/>
      <x:c r="B43" s="20"/>
      <x:c r="C43" s="20"/>
      <x:c r="D43" s="20"/>
      <x:c r="E43" s="20"/>
      <x:c r="F43" s="20"/>
      <x:c r="G43" s="20"/>
      <x:c r="H43" s="20"/>
    </x:row>
    <x:row r="44">
      <x:c r="A44" s="20"/>
      <x:c r="B44" s="20"/>
      <x:c r="C44" s="20"/>
      <x:c r="D44" s="20"/>
      <x:c r="E44" s="20"/>
      <x:c r="F44" s="20"/>
      <x:c r="G44" s="20"/>
      <x:c r="H44" s="20"/>
    </x:row>
    <x:row r="45">
      <x:c r="A45" s="20"/>
      <x:c r="B45" s="20"/>
      <x:c r="C45" s="20"/>
      <x:c r="D45" s="20"/>
      <x:c r="E45" s="20"/>
      <x:c r="F45" s="20"/>
      <x:c r="G45" s="20"/>
      <x:c r="H45" s="20"/>
    </x:row>
    <x:row r="46">
      <x:c r="A46" s="20"/>
      <x:c r="B46" s="20"/>
      <x:c r="C46" s="20"/>
      <x:c r="D46" s="20"/>
      <x:c r="E46" s="20"/>
      <x:c r="F46" s="20"/>
      <x:c r="G46" s="20"/>
      <x:c r="H46" s="20"/>
    </x:row>
    <x:row r="47">
      <x:c r="A47" s="20"/>
      <x:c r="B47" s="20"/>
      <x:c r="C47" s="20"/>
      <x:c r="D47" s="20"/>
      <x:c r="E47" s="20"/>
      <x:c r="F47" s="20"/>
      <x:c r="G47" s="20"/>
      <x:c r="H47" s="20"/>
    </x:row>
    <x:row r="48">
      <x:c r="A48" s="20"/>
      <x:c r="B48" s="20"/>
      <x:c r="C48" s="20"/>
      <x:c r="D48" s="20"/>
      <x:c r="E48" s="20"/>
      <x:c r="F48" s="20"/>
      <x:c r="G48" s="20"/>
      <x:c r="H48" s="20"/>
    </x:row>
    <x:row r="49">
      <x:c r="A49" s="20"/>
      <x:c r="B49" s="20"/>
      <x:c r="C49" s="20"/>
      <x:c r="D49" s="20"/>
      <x:c r="E49" s="20"/>
      <x:c r="F49" s="20"/>
      <x:c r="G49" s="20"/>
      <x:c r="H49" s="20"/>
    </x:row>
    <x:row r="50">
      <x:c r="A50" s="20"/>
      <x:c r="B50" s="20"/>
      <x:c r="C50" s="20"/>
      <x:c r="D50" s="20"/>
      <x:c r="E50" s="20"/>
      <x:c r="F50" s="20"/>
      <x:c r="G50" s="20"/>
      <x:c r="H50" s="20"/>
    </x:row>
    <x:row r="51">
      <x:c r="A51" s="20"/>
      <x:c r="B51" s="20"/>
      <x:c r="C51" s="20"/>
      <x:c r="D51" s="20"/>
      <x:c r="E51" s="20"/>
      <x:c r="F51" s="20"/>
      <x:c r="G51" s="20"/>
      <x:c r="H51" s="20"/>
    </x:row>
    <x:row r="52">
      <x:c r="A52" s="20"/>
      <x:c r="B52" s="20"/>
      <x:c r="C52" s="20"/>
      <x:c r="D52" s="20"/>
      <x:c r="E52" s="20"/>
      <x:c r="F52" s="20"/>
      <x:c r="G52" s="20"/>
      <x:c r="H52" s="20"/>
    </x:row>
    <x:row r="53">
      <x:c r="A53" s="20"/>
      <x:c r="B53" s="20"/>
      <x:c r="C53" s="20"/>
      <x:c r="D53" s="20"/>
      <x:c r="E53" s="20"/>
      <x:c r="F53" s="20"/>
      <x:c r="G53" s="20"/>
      <x:c r="H53" s="20"/>
    </x:row>
    <x:row r="54">
      <x:c r="A54" s="20"/>
      <x:c r="B54" s="20"/>
      <x:c r="C54" s="20"/>
      <x:c r="D54" s="20"/>
      <x:c r="E54" s="20"/>
      <x:c r="F54" s="20"/>
      <x:c r="G54" s="20"/>
      <x:c r="H54" s="20"/>
    </x:row>
    <x:row r="55">
      <x:c r="A55" s="20"/>
      <x:c r="B55" s="20"/>
      <x:c r="C55" s="20"/>
      <x:c r="D55" s="20"/>
      <x:c r="E55" s="20"/>
      <x:c r="F55" s="20"/>
      <x:c r="G55" s="20"/>
      <x:c r="H55" s="20"/>
    </x:row>
    <x:row r="56">
      <x:c r="A56" s="20"/>
      <x:c r="B56" s="20"/>
      <x:c r="C56" s="20"/>
      <x:c r="D56" s="20"/>
      <x:c r="E56" s="20"/>
      <x:c r="F56" s="20"/>
      <x:c r="G56" s="20"/>
      <x:c r="H56" s="20"/>
    </x:row>
    <x:row r="57">
      <x:c r="A57" s="20"/>
      <x:c r="B57" s="20"/>
      <x:c r="C57" s="20"/>
      <x:c r="D57" s="20"/>
      <x:c r="E57" s="20"/>
      <x:c r="F57" s="20"/>
      <x:c r="G57" s="20"/>
      <x:c r="H57" s="20"/>
    </x:row>
    <x:row r="58">
      <x:c r="A58" s="20"/>
      <x:c r="B58" s="20"/>
      <x:c r="C58" s="20"/>
      <x:c r="D58" s="20"/>
      <x:c r="E58" s="20"/>
      <x:c r="F58" s="20"/>
      <x:c r="G58" s="20"/>
      <x:c r="H58" s="20"/>
    </x:row>
    <x:row r="59">
      <x:c r="A59" s="20"/>
      <x:c r="B59" s="20"/>
      <x:c r="C59" s="20"/>
      <x:c r="D59" s="20"/>
      <x:c r="E59" s="20"/>
      <x:c r="F59" s="20"/>
      <x:c r="G59" s="20"/>
      <x:c r="H59" s="20"/>
    </x:row>
    <x:row r="60">
      <x:c r="A60" s="20"/>
      <x:c r="B60" s="20"/>
      <x:c r="C60" s="20"/>
      <x:c r="D60" s="20"/>
      <x:c r="E60" s="20"/>
      <x:c r="F60" s="20"/>
      <x:c r="G60" s="20"/>
      <x:c r="H60" s="20"/>
    </x:row>
    <x:row r="61">
      <x:c r="A61" s="20"/>
      <x:c r="B61" s="20"/>
      <x:c r="C61" s="20"/>
      <x:c r="D61" s="20"/>
      <x:c r="E61" s="20"/>
      <x:c r="F61" s="20"/>
      <x:c r="G61" s="20"/>
      <x:c r="H61" s="20"/>
    </x:row>
    <x:row r="62">
      <x:c r="A62" s="20"/>
      <x:c r="B62" s="20"/>
      <x:c r="C62" s="20"/>
      <x:c r="D62" s="20"/>
      <x:c r="E62" s="20"/>
      <x:c r="F62" s="20"/>
      <x:c r="G62" s="20"/>
      <x:c r="H62" s="20"/>
    </x:row>
    <x:row r="63">
      <x:c r="A63" s="20"/>
      <x:c r="B63" s="20"/>
      <x:c r="C63" s="20"/>
      <x:c r="D63" s="20"/>
      <x:c r="E63" s="20"/>
      <x:c r="F63" s="20"/>
      <x:c r="G63" s="20"/>
      <x:c r="H63" s="20"/>
    </x:row>
    <x:row r="64">
      <x:c r="A64" s="20"/>
      <x:c r="B64" s="20"/>
      <x:c r="C64" s="20"/>
      <x:c r="D64" s="20"/>
      <x:c r="E64" s="20"/>
      <x:c r="F64" s="20"/>
      <x:c r="G64" s="20"/>
      <x:c r="H64" s="20"/>
    </x:row>
    <x:row r="65">
      <x:c r="A65" s="20"/>
      <x:c r="B65" s="20"/>
      <x:c r="C65" s="20"/>
      <x:c r="D65" s="20"/>
      <x:c r="E65" s="20"/>
      <x:c r="F65" s="20"/>
      <x:c r="G65" s="20"/>
      <x:c r="H65" s="20"/>
    </x:row>
    <x:row r="66">
      <x:c r="A66" s="20"/>
      <x:c r="B66" s="20"/>
      <x:c r="C66" s="20"/>
      <x:c r="D66" s="20"/>
      <x:c r="E66" s="20"/>
      <x:c r="F66" s="20"/>
      <x:c r="G66" s="20"/>
      <x:c r="H66" s="20"/>
    </x:row>
    <x:row r="67">
      <x:c r="A67" s="20"/>
      <x:c r="B67" s="20"/>
      <x:c r="C67" s="20"/>
      <x:c r="D67" s="20"/>
      <x:c r="E67" s="20"/>
      <x:c r="F67" s="20"/>
      <x:c r="G67" s="20"/>
      <x:c r="H67" s="20"/>
    </x:row>
    <x:row r="68">
      <x:c r="A68" s="20"/>
      <x:c r="B68" s="20"/>
      <x:c r="C68" s="20"/>
      <x:c r="D68" s="20"/>
      <x:c r="E68" s="20"/>
      <x:c r="F68" s="20"/>
      <x:c r="G68" s="20"/>
      <x:c r="H68" s="20"/>
    </x:row>
    <x:row r="69">
      <x:c r="A69" s="20"/>
      <x:c r="B69" s="20"/>
      <x:c r="C69" s="20"/>
      <x:c r="D69" s="20"/>
      <x:c r="E69" s="20"/>
      <x:c r="F69" s="20"/>
      <x:c r="G69" s="20"/>
      <x:c r="H69" s="20"/>
    </x:row>
    <x:row r="70">
      <x:c r="A70" s="20"/>
      <x:c r="B70" s="20"/>
      <x:c r="C70" s="20"/>
      <x:c r="D70" s="20"/>
      <x:c r="E70" s="20"/>
      <x:c r="F70" s="20"/>
      <x:c r="G70" s="20"/>
      <x:c r="H70" s="20"/>
    </x:row>
    <x:row r="71">
      <x:c r="A71" s="20"/>
      <x:c r="B71" s="20"/>
      <x:c r="C71" s="20"/>
      <x:c r="D71" s="20"/>
      <x:c r="E71" s="20"/>
      <x:c r="F71" s="20"/>
      <x:c r="G71" s="20"/>
      <x:c r="H71" s="20"/>
    </x:row>
    <x:row r="72">
      <x:c r="A72" s="20"/>
      <x:c r="B72" s="20"/>
      <x:c r="C72" s="20"/>
      <x:c r="D72" s="20"/>
      <x:c r="E72" s="20"/>
      <x:c r="F72" s="20"/>
      <x:c r="G72" s="20"/>
      <x:c r="H72" s="20"/>
    </x:row>
    <x:row r="73">
      <x:c r="A73" s="20"/>
      <x:c r="B73" s="20"/>
      <x:c r="C73" s="20"/>
      <x:c r="D73" s="20"/>
      <x:c r="E73" s="20"/>
      <x:c r="F73" s="20"/>
      <x:c r="G73" s="20"/>
      <x:c r="H73" s="20"/>
    </x:row>
    <x:row r="74">
      <x:c r="A74" s="20"/>
      <x:c r="B74" s="20"/>
      <x:c r="C74" s="20"/>
      <x:c r="D74" s="20"/>
      <x:c r="E74" s="20"/>
      <x:c r="F74" s="20"/>
      <x:c r="G74" s="20"/>
      <x:c r="H74" s="20"/>
    </x:row>
    <x:row r="75">
      <x:c r="A75" s="20"/>
      <x:c r="B75" s="20"/>
      <x:c r="C75" s="20"/>
      <x:c r="D75" s="20"/>
      <x:c r="E75" s="20"/>
      <x:c r="F75" s="20"/>
      <x:c r="G75" s="20"/>
      <x:c r="H75" s="20"/>
    </x:row>
    <x:row r="76">
      <x:c r="A76" s="20"/>
      <x:c r="B76" s="20"/>
      <x:c r="C76" s="20"/>
      <x:c r="D76" s="20"/>
      <x:c r="E76" s="20"/>
      <x:c r="F76" s="20"/>
      <x:c r="G76" s="20"/>
      <x:c r="H76" s="20"/>
    </x:row>
    <x:row r="77">
      <x:c r="A77" s="20"/>
      <x:c r="B77" s="20"/>
      <x:c r="C77" s="20"/>
      <x:c r="D77" s="20"/>
      <x:c r="E77" s="20"/>
      <x:c r="F77" s="20"/>
      <x:c r="G77" s="20"/>
      <x:c r="H77" s="20"/>
    </x:row>
    <x:row r="78">
      <x:c r="A78" s="20"/>
      <x:c r="B78" s="20"/>
      <x:c r="C78" s="20"/>
      <x:c r="D78" s="20"/>
      <x:c r="E78" s="20"/>
      <x:c r="F78" s="20"/>
      <x:c r="G78" s="20"/>
      <x:c r="H78" s="20"/>
    </x:row>
    <x:row r="79">
      <x:c r="A79" s="20"/>
      <x:c r="B79" s="20"/>
      <x:c r="C79" s="20"/>
      <x:c r="D79" s="20"/>
      <x:c r="E79" s="20"/>
      <x:c r="F79" s="20"/>
      <x:c r="G79" s="20"/>
      <x:c r="H79" s="20"/>
    </x:row>
    <x:row r="80">
      <x:c r="A80" s="20"/>
      <x:c r="B80" s="20"/>
      <x:c r="C80" s="20"/>
      <x:c r="D80" s="20"/>
      <x:c r="E80" s="20"/>
      <x:c r="F80" s="20"/>
      <x:c r="G80" s="20"/>
      <x:c r="H80" s="20"/>
    </x:row>
  </x:sheetData>
  <x:mergeCells>
    <x:mergeCell ref="A1:H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4" hidden="0" customWidth="1"/>
    <x:col min="3" max="3" width="46" hidden="0" customWidth="1"/>
    <x:col min="4" max="4" width="4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142" t="str">
        <x:v>Source of Truth</x:v>
      </x:c>
      <x:c r="B1" s="142"/>
      <x:c r="C1" s="142"/>
      <x:c r="D1" s="142"/>
      <x:c r="E1" s="142"/>
      <x:c r="F1" s="142"/>
      <x:c r="G1" s="142"/>
      <x:c r="H1" s="142"/>
    </x:row>
    <x:row r="2" ht="30" customHeight="1">
      <x:c r="A2" s="143" t="str">
        <x:v>Variable / System</x:v>
      </x:c>
      <x:c r="B2" s="143" t="str">
        <x:v>Owning Document</x:v>
      </x:c>
      <x:c r="C2" s="143" t="str">
        <x:v>This Workbook May</x:v>
      </x:c>
      <x:c r="D2" s="143" t="str">
        <x:v>This Workbook Must Not</x:v>
      </x:c>
      <x:c r="E2" s="20"/>
      <x:c r="F2" s="20"/>
      <x:c r="G2" s="20"/>
      <x:c r="H2" s="20"/>
    </x:row>
    <x:row r="3">
      <x:c r="A3" s="20" t="str">
        <x:v>Building purchase cost / base revenue</x:v>
      </x:c>
      <x:c r="B3" s="20" t="str">
        <x:v>Financial Empire Balancing Model v0.2</x:v>
      </x:c>
      <x:c r="C3" s="20" t="str">
        <x:v>Reference values</x:v>
      </x:c>
      <x:c r="D3" s="20" t="str">
        <x:v>Redefine canonical economy</x:v>
      </x:c>
      <x:c r="E3" s="20"/>
      <x:c r="F3" s="20"/>
      <x:c r="G3" s="20"/>
      <x:c r="H3" s="20"/>
    </x:row>
    <x:row r="4">
      <x:c r="A4" s="20" t="str">
        <x:v>Upgrade cost / payback</x:v>
      </x:c>
      <x:c r="B4" s="20" t="str">
        <x:v>Financial Empire Balancing Model v0.2</x:v>
      </x:c>
      <x:c r="C4" s="20" t="str">
        <x:v>Use for event scoring and rewards</x:v>
      </x:c>
      <x:c r="D4" s="20" t="str">
        <x:v>Create a separate upgrade economy</x:v>
      </x:c>
      <x:c r="E4" s="20"/>
      <x:c r="F4" s="20"/>
      <x:c r="G4" s="20"/>
      <x:c r="H4" s="20"/>
    </x:row>
    <x:row r="5">
      <x:c r="A5" s="20" t="str">
        <x:v>Land pricing / capacity</x:v>
      </x:c>
      <x:c r="B5" s="20" t="str">
        <x:v>Financial Empire Balancing Model v0.2 + progression</x:v>
      </x:c>
      <x:c r="C5" s="20" t="str">
        <x:v>Reference event requirements</x:v>
      </x:c>
      <x:c r="D5" s="20" t="str">
        <x:v>Bypass progression gates</x:v>
      </x:c>
      <x:c r="E5" s="20"/>
      <x:c r="F5" s="20"/>
      <x:c r="G5" s="20"/>
      <x:c r="H5" s="20"/>
    </x:row>
    <x:row r="6">
      <x:c r="A6" s="20" t="str">
        <x:v>Empire XP / levels</x:v>
      </x:c>
      <x:c r="B6" s="20" t="str">
        <x:v>Empire Progression System</x:v>
      </x:c>
      <x:c r="C6" s="20" t="str">
        <x:v>Award approved progression XP where configured</x:v>
      </x:c>
      <x:c r="D6" s="20" t="str">
        <x:v>Invent conflicting thresholds</x:v>
      </x:c>
      <x:c r="E6" s="20"/>
      <x:c r="F6" s="20"/>
      <x:c r="G6" s="20"/>
      <x:c r="H6" s="20"/>
    </x:row>
    <x:row r="7">
      <x:c r="A7" s="20" t="str">
        <x:v>Opportunity cards</x:v>
      </x:c>
      <x:c r="B7" s="20" t="str">
        <x:v>Opportunity design</x:v>
      </x:c>
      <x:c r="C7" s="20" t="str">
        <x:v>Reward rerolls / opportunity-related items</x:v>
      </x:c>
      <x:c r="D7" s="20" t="str">
        <x:v>Lock permanent catalog behind random cards</x:v>
      </x:c>
      <x:c r="E7" s="20"/>
      <x:c r="F7" s="20"/>
      <x:c r="G7" s="20"/>
      <x:c r="H7" s="20"/>
    </x:row>
    <x:row r="8">
      <x:c r="A8" s="20" t="str">
        <x:v>Events</x:v>
      </x:c>
      <x:c r="B8" s="20" t="str">
        <x:v>This workbook</x:v>
      </x:c>
      <x:c r="C8" s="20" t="str">
        <x:v>Define schedules, scoring, milestones, rewards</x:v>
      </x:c>
      <x:c r="D8" s="20" t="str">
        <x:v>Change core building economics</x:v>
      </x:c>
      <x:c r="E8" s="20"/>
      <x:c r="F8" s="20"/>
      <x:c r="G8" s="20"/>
      <x:c r="H8" s="20"/>
    </x:row>
    <x:row r="9">
      <x:c r="A9" s="20" t="str">
        <x:v>Cases / loot</x:v>
      </x:c>
      <x:c r="B9" s="20" t="str">
        <x:v>This workbook</x:v>
      </x:c>
      <x:c r="C9" s="20" t="str">
        <x:v>Define randomized earned rewards</x:v>
      </x:c>
      <x:c r="D9" s="20" t="str">
        <x:v>Sell direct token-random loot as default monetization</x:v>
      </x:c>
      <x:c r="E9" s="20"/>
      <x:c r="F9" s="20"/>
      <x:c r="G9" s="20"/>
      <x:c r="H9" s="20"/>
    </x:row>
    <x:row r="10">
      <x:c r="A10" s="20" t="str">
        <x:v>Packs / pass / shop</x:v>
      </x:c>
      <x:c r="B10" s="20" t="str">
        <x:v>This workbook</x:v>
      </x:c>
      <x:c r="C10" s="20" t="str">
        <x:v>Define deterministic premium offers</x:v>
      </x:c>
      <x:c r="D10" s="20" t="str">
        <x:v>Promise fixed fiat value from $PLOT</x:v>
      </x:c>
      <x:c r="E10" s="20"/>
      <x:c r="F10" s="20"/>
      <x:c r="G10" s="20"/>
      <x:c r="H10" s="20"/>
    </x:row>
    <x:row r="11">
      <x:c r="A11" s="20" t="str">
        <x:v>$PLOT tokenomics</x:v>
      </x:c>
      <x:c r="B11" s="20" t="str">
        <x:v>Tokenomics model</x:v>
      </x:c>
      <x:c r="C11" s="20" t="str">
        <x:v>Model illustrative sinks/routing</x:v>
      </x:c>
      <x:c r="D11" s="20" t="str">
        <x:v>Override final allocation/emission policy</x:v>
      </x:c>
      <x:c r="E11" s="20"/>
      <x:c r="F11" s="20"/>
      <x:c r="G11" s="20"/>
      <x:c r="H11" s="20"/>
    </x:row>
    <x:row r="12">
      <x:c r="A12" s="20"/>
      <x:c r="B12" s="20"/>
      <x:c r="C12" s="20"/>
      <x:c r="D12" s="20"/>
      <x:c r="E12" s="20"/>
      <x:c r="F12" s="20"/>
      <x:c r="G12" s="20"/>
      <x:c r="H12" s="20"/>
    </x:row>
    <x:row r="13">
      <x:c r="A13" s="20"/>
      <x:c r="B13" s="20"/>
      <x:c r="C13" s="20"/>
      <x:c r="D13" s="20"/>
      <x:c r="E13" s="20"/>
      <x:c r="F13" s="20"/>
      <x:c r="G13" s="20"/>
      <x:c r="H13" s="20"/>
    </x:row>
    <x:row r="14">
      <x:c r="A14" s="20"/>
      <x:c r="B14" s="20"/>
      <x:c r="C14" s="20"/>
      <x:c r="D14" s="20"/>
      <x:c r="E14" s="20"/>
      <x:c r="F14" s="20"/>
      <x:c r="G14" s="20"/>
      <x:c r="H14" s="20"/>
    </x:row>
    <x:row r="15">
      <x:c r="A15" s="20"/>
      <x:c r="B15" s="20"/>
      <x:c r="C15" s="20"/>
      <x:c r="D15" s="20"/>
      <x:c r="E15" s="20"/>
      <x:c r="F15" s="20"/>
      <x:c r="G15" s="20"/>
      <x:c r="H15" s="20"/>
    </x:row>
    <x:row r="16">
      <x:c r="A16" s="20"/>
      <x:c r="B16" s="20"/>
      <x:c r="C16" s="20"/>
      <x:c r="D16" s="20"/>
      <x:c r="E16" s="20"/>
      <x:c r="F16" s="20"/>
      <x:c r="G16" s="20"/>
      <x:c r="H16" s="20"/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  <x:row r="21">
      <x:c r="A21" s="20"/>
      <x:c r="B21" s="20"/>
      <x:c r="C21" s="20"/>
      <x:c r="D21" s="20"/>
      <x:c r="E21" s="20"/>
      <x:c r="F21" s="20"/>
      <x:c r="G21" s="20"/>
      <x:c r="H21" s="20"/>
    </x:row>
    <x:row r="22">
      <x:c r="A22" s="20"/>
      <x:c r="B22" s="20"/>
      <x:c r="C22" s="20"/>
      <x:c r="D22" s="20"/>
      <x:c r="E22" s="20"/>
      <x:c r="F22" s="20"/>
      <x:c r="G22" s="20"/>
      <x:c r="H22" s="20"/>
    </x:row>
    <x:row r="23">
      <x:c r="A23" s="20"/>
      <x:c r="B23" s="20"/>
      <x:c r="C23" s="20"/>
      <x:c r="D23" s="20"/>
      <x:c r="E23" s="20"/>
      <x:c r="F23" s="20"/>
      <x:c r="G23" s="20"/>
      <x:c r="H23" s="20"/>
    </x:row>
    <x:row r="24">
      <x:c r="A24" s="20"/>
      <x:c r="B24" s="20"/>
      <x:c r="C24" s="20"/>
      <x:c r="D24" s="20"/>
      <x:c r="E24" s="20"/>
      <x:c r="F24" s="20"/>
      <x:c r="G24" s="20"/>
      <x:c r="H24" s="20"/>
    </x:row>
    <x:row r="25">
      <x:c r="A25" s="20"/>
      <x:c r="B25" s="20"/>
      <x:c r="C25" s="20"/>
      <x:c r="D25" s="20"/>
      <x:c r="E25" s="20"/>
      <x:c r="F25" s="20"/>
      <x:c r="G25" s="20"/>
      <x:c r="H25" s="20"/>
    </x:row>
    <x:row r="26">
      <x:c r="A26" s="20"/>
      <x:c r="B26" s="20"/>
      <x:c r="C26" s="20"/>
      <x:c r="D26" s="20"/>
      <x:c r="E26" s="20"/>
      <x:c r="F26" s="20"/>
      <x:c r="G26" s="20"/>
      <x:c r="H26" s="20"/>
    </x:row>
    <x:row r="27">
      <x:c r="A27" s="20"/>
      <x:c r="B27" s="20"/>
      <x:c r="C27" s="20"/>
      <x:c r="D27" s="20"/>
      <x:c r="E27" s="20"/>
      <x:c r="F27" s="20"/>
      <x:c r="G27" s="20"/>
      <x:c r="H27" s="20"/>
    </x:row>
    <x:row r="28">
      <x:c r="A28" s="20"/>
      <x:c r="B28" s="20"/>
      <x:c r="C28" s="20"/>
      <x:c r="D28" s="20"/>
      <x:c r="E28" s="20"/>
      <x:c r="F28" s="20"/>
      <x:c r="G28" s="20"/>
      <x:c r="H28" s="20"/>
    </x:row>
    <x:row r="29">
      <x:c r="A29" s="20"/>
      <x:c r="B29" s="20"/>
      <x:c r="C29" s="20"/>
      <x:c r="D29" s="20"/>
      <x:c r="E29" s="20"/>
      <x:c r="F29" s="20"/>
      <x:c r="G29" s="20"/>
      <x:c r="H29" s="20"/>
    </x:row>
    <x:row r="30">
      <x:c r="A30" s="20"/>
      <x:c r="B30" s="20"/>
      <x:c r="C30" s="20"/>
      <x:c r="D30" s="20"/>
      <x:c r="E30" s="20"/>
      <x:c r="F30" s="20"/>
      <x:c r="G30" s="20"/>
      <x:c r="H30" s="20"/>
    </x:row>
    <x:row r="31">
      <x:c r="A31" s="20"/>
      <x:c r="B31" s="20"/>
      <x:c r="C31" s="20"/>
      <x:c r="D31" s="20"/>
      <x:c r="E31" s="20"/>
      <x:c r="F31" s="20"/>
      <x:c r="G31" s="20"/>
      <x:c r="H31" s="20"/>
    </x:row>
    <x:row r="32">
      <x:c r="A32" s="20"/>
      <x:c r="B32" s="20"/>
      <x:c r="C32" s="20"/>
      <x:c r="D32" s="20"/>
      <x:c r="E32" s="20"/>
      <x:c r="F32" s="20"/>
      <x:c r="G32" s="20"/>
      <x:c r="H32" s="20"/>
    </x:row>
    <x:row r="33">
      <x:c r="A33" s="20"/>
      <x:c r="B33" s="20"/>
      <x:c r="C33" s="20"/>
      <x:c r="D33" s="20"/>
      <x:c r="E33" s="20"/>
      <x:c r="F33" s="20"/>
      <x:c r="G33" s="20"/>
      <x:c r="H33" s="20"/>
    </x:row>
    <x:row r="34">
      <x:c r="A34" s="20"/>
      <x:c r="B34" s="20"/>
      <x:c r="C34" s="20"/>
      <x:c r="D34" s="20"/>
      <x:c r="E34" s="20"/>
      <x:c r="F34" s="20"/>
      <x:c r="G34" s="20"/>
      <x:c r="H34" s="20"/>
    </x:row>
    <x:row r="35">
      <x:c r="A35" s="20"/>
      <x:c r="B35" s="20"/>
      <x:c r="C35" s="20"/>
      <x:c r="D35" s="20"/>
      <x:c r="E35" s="20"/>
      <x:c r="F35" s="20"/>
      <x:c r="G35" s="20"/>
      <x:c r="H35" s="20"/>
    </x:row>
    <x:row r="36">
      <x:c r="A36" s="20"/>
      <x:c r="B36" s="20"/>
      <x:c r="C36" s="20"/>
      <x:c r="D36" s="20"/>
      <x:c r="E36" s="20"/>
      <x:c r="F36" s="20"/>
      <x:c r="G36" s="20"/>
      <x:c r="H36" s="20"/>
    </x:row>
    <x:row r="37">
      <x:c r="A37" s="20"/>
      <x:c r="B37" s="20"/>
      <x:c r="C37" s="20"/>
      <x:c r="D37" s="20"/>
      <x:c r="E37" s="20"/>
      <x:c r="F37" s="20"/>
      <x:c r="G37" s="20"/>
      <x:c r="H37" s="20"/>
    </x:row>
    <x:row r="38">
      <x:c r="A38" s="20"/>
      <x:c r="B38" s="20"/>
      <x:c r="C38" s="20"/>
      <x:c r="D38" s="20"/>
      <x:c r="E38" s="20"/>
      <x:c r="F38" s="20"/>
      <x:c r="G38" s="20"/>
      <x:c r="H38" s="20"/>
    </x:row>
    <x:row r="39">
      <x:c r="A39" s="20"/>
      <x:c r="B39" s="20"/>
      <x:c r="C39" s="20"/>
      <x:c r="D39" s="20"/>
      <x:c r="E39" s="20"/>
      <x:c r="F39" s="20"/>
      <x:c r="G39" s="20"/>
      <x:c r="H39" s="20"/>
    </x:row>
    <x:row r="40">
      <x:c r="A40" s="20"/>
      <x:c r="B40" s="20"/>
      <x:c r="C40" s="20"/>
      <x:c r="D40" s="20"/>
      <x:c r="E40" s="20"/>
      <x:c r="F40" s="20"/>
      <x:c r="G40" s="20"/>
      <x:c r="H40" s="20"/>
    </x:row>
    <x:row r="41">
      <x:c r="A41" s="20"/>
      <x:c r="B41" s="20"/>
      <x:c r="C41" s="20"/>
      <x:c r="D41" s="20"/>
      <x:c r="E41" s="20"/>
      <x:c r="F41" s="20"/>
      <x:c r="G41" s="20"/>
      <x:c r="H41" s="20"/>
    </x:row>
    <x:row r="42">
      <x:c r="A42" s="20"/>
      <x:c r="B42" s="20"/>
      <x:c r="C42" s="20"/>
      <x:c r="D42" s="20"/>
      <x:c r="E42" s="20"/>
      <x:c r="F42" s="20"/>
      <x:c r="G42" s="20"/>
      <x:c r="H42" s="20"/>
    </x:row>
    <x:row r="43">
      <x:c r="A43" s="20"/>
      <x:c r="B43" s="20"/>
      <x:c r="C43" s="20"/>
      <x:c r="D43" s="20"/>
      <x:c r="E43" s="20"/>
      <x:c r="F43" s="20"/>
      <x:c r="G43" s="20"/>
      <x:c r="H43" s="20"/>
    </x:row>
    <x:row r="44">
      <x:c r="A44" s="20"/>
      <x:c r="B44" s="20"/>
      <x:c r="C44" s="20"/>
      <x:c r="D44" s="20"/>
      <x:c r="E44" s="20"/>
      <x:c r="F44" s="20"/>
      <x:c r="G44" s="20"/>
      <x:c r="H44" s="20"/>
    </x:row>
    <x:row r="45">
      <x:c r="A45" s="20"/>
      <x:c r="B45" s="20"/>
      <x:c r="C45" s="20"/>
      <x:c r="D45" s="20"/>
      <x:c r="E45" s="20"/>
      <x:c r="F45" s="20"/>
      <x:c r="G45" s="20"/>
      <x:c r="H45" s="20"/>
    </x:row>
    <x:row r="46">
      <x:c r="A46" s="20"/>
      <x:c r="B46" s="20"/>
      <x:c r="C46" s="20"/>
      <x:c r="D46" s="20"/>
      <x:c r="E46" s="20"/>
      <x:c r="F46" s="20"/>
      <x:c r="G46" s="20"/>
      <x:c r="H46" s="20"/>
    </x:row>
    <x:row r="47">
      <x:c r="A47" s="20"/>
      <x:c r="B47" s="20"/>
      <x:c r="C47" s="20"/>
      <x:c r="D47" s="20"/>
      <x:c r="E47" s="20"/>
      <x:c r="F47" s="20"/>
      <x:c r="G47" s="20"/>
      <x:c r="H47" s="20"/>
    </x:row>
    <x:row r="48">
      <x:c r="A48" s="20"/>
      <x:c r="B48" s="20"/>
      <x:c r="C48" s="20"/>
      <x:c r="D48" s="20"/>
      <x:c r="E48" s="20"/>
      <x:c r="F48" s="20"/>
      <x:c r="G48" s="20"/>
      <x:c r="H48" s="20"/>
    </x:row>
    <x:row r="49">
      <x:c r="A49" s="20"/>
      <x:c r="B49" s="20"/>
      <x:c r="C49" s="20"/>
      <x:c r="D49" s="20"/>
      <x:c r="E49" s="20"/>
      <x:c r="F49" s="20"/>
      <x:c r="G49" s="20"/>
      <x:c r="H49" s="20"/>
    </x:row>
    <x:row r="50">
      <x:c r="A50" s="20"/>
      <x:c r="B50" s="20"/>
      <x:c r="C50" s="20"/>
      <x:c r="D50" s="20"/>
      <x:c r="E50" s="20"/>
      <x:c r="F50" s="20"/>
      <x:c r="G50" s="20"/>
      <x:c r="H50" s="20"/>
    </x:row>
    <x:row r="51">
      <x:c r="A51" s="20"/>
      <x:c r="B51" s="20"/>
      <x:c r="C51" s="20"/>
      <x:c r="D51" s="20"/>
      <x:c r="E51" s="20"/>
      <x:c r="F51" s="20"/>
      <x:c r="G51" s="20"/>
      <x:c r="H51" s="20"/>
    </x:row>
    <x:row r="52">
      <x:c r="A52" s="20"/>
      <x:c r="B52" s="20"/>
      <x:c r="C52" s="20"/>
      <x:c r="D52" s="20"/>
      <x:c r="E52" s="20"/>
      <x:c r="F52" s="20"/>
      <x:c r="G52" s="20"/>
      <x:c r="H52" s="20"/>
    </x:row>
    <x:row r="53">
      <x:c r="A53" s="20"/>
      <x:c r="B53" s="20"/>
      <x:c r="C53" s="20"/>
      <x:c r="D53" s="20"/>
      <x:c r="E53" s="20"/>
      <x:c r="F53" s="20"/>
      <x:c r="G53" s="20"/>
      <x:c r="H53" s="20"/>
    </x:row>
    <x:row r="54">
      <x:c r="A54" s="20"/>
      <x:c r="B54" s="20"/>
      <x:c r="C54" s="20"/>
      <x:c r="D54" s="20"/>
      <x:c r="E54" s="20"/>
      <x:c r="F54" s="20"/>
      <x:c r="G54" s="20"/>
      <x:c r="H54" s="20"/>
    </x:row>
    <x:row r="55">
      <x:c r="A55" s="20"/>
      <x:c r="B55" s="20"/>
      <x:c r="C55" s="20"/>
      <x:c r="D55" s="20"/>
      <x:c r="E55" s="20"/>
      <x:c r="F55" s="20"/>
      <x:c r="G55" s="20"/>
      <x:c r="H55" s="20"/>
    </x:row>
    <x:row r="56">
      <x:c r="A56" s="20"/>
      <x:c r="B56" s="20"/>
      <x:c r="C56" s="20"/>
      <x:c r="D56" s="20"/>
      <x:c r="E56" s="20"/>
      <x:c r="F56" s="20"/>
      <x:c r="G56" s="20"/>
      <x:c r="H56" s="20"/>
    </x:row>
    <x:row r="57">
      <x:c r="A57" s="20"/>
      <x:c r="B57" s="20"/>
      <x:c r="C57" s="20"/>
      <x:c r="D57" s="20"/>
      <x:c r="E57" s="20"/>
      <x:c r="F57" s="20"/>
      <x:c r="G57" s="20"/>
      <x:c r="H57" s="20"/>
    </x:row>
    <x:row r="58">
      <x:c r="A58" s="20"/>
      <x:c r="B58" s="20"/>
      <x:c r="C58" s="20"/>
      <x:c r="D58" s="20"/>
      <x:c r="E58" s="20"/>
      <x:c r="F58" s="20"/>
      <x:c r="G58" s="20"/>
      <x:c r="H58" s="20"/>
    </x:row>
    <x:row r="59">
      <x:c r="A59" s="20"/>
      <x:c r="B59" s="20"/>
      <x:c r="C59" s="20"/>
      <x:c r="D59" s="20"/>
      <x:c r="E59" s="20"/>
      <x:c r="F59" s="20"/>
      <x:c r="G59" s="20"/>
      <x:c r="H59" s="20"/>
    </x:row>
    <x:row r="60">
      <x:c r="A60" s="20"/>
      <x:c r="B60" s="20"/>
      <x:c r="C60" s="20"/>
      <x:c r="D60" s="20"/>
      <x:c r="E60" s="20"/>
      <x:c r="F60" s="20"/>
      <x:c r="G60" s="20"/>
      <x:c r="H60" s="20"/>
    </x:row>
    <x:row r="61">
      <x:c r="A61" s="20"/>
      <x:c r="B61" s="20"/>
      <x:c r="C61" s="20"/>
      <x:c r="D61" s="20"/>
      <x:c r="E61" s="20"/>
      <x:c r="F61" s="20"/>
      <x:c r="G61" s="20"/>
      <x:c r="H61" s="20"/>
    </x:row>
    <x:row r="62">
      <x:c r="A62" s="20"/>
      <x:c r="B62" s="20"/>
      <x:c r="C62" s="20"/>
      <x:c r="D62" s="20"/>
      <x:c r="E62" s="20"/>
      <x:c r="F62" s="20"/>
      <x:c r="G62" s="20"/>
      <x:c r="H62" s="20"/>
    </x:row>
    <x:row r="63">
      <x:c r="A63" s="20"/>
      <x:c r="B63" s="20"/>
      <x:c r="C63" s="20"/>
      <x:c r="D63" s="20"/>
      <x:c r="E63" s="20"/>
      <x:c r="F63" s="20"/>
      <x:c r="G63" s="20"/>
      <x:c r="H63" s="20"/>
    </x:row>
    <x:row r="64">
      <x:c r="A64" s="20"/>
      <x:c r="B64" s="20"/>
      <x:c r="C64" s="20"/>
      <x:c r="D64" s="20"/>
      <x:c r="E64" s="20"/>
      <x:c r="F64" s="20"/>
      <x:c r="G64" s="20"/>
      <x:c r="H64" s="20"/>
    </x:row>
    <x:row r="65">
      <x:c r="A65" s="20"/>
      <x:c r="B65" s="20"/>
      <x:c r="C65" s="20"/>
      <x:c r="D65" s="20"/>
      <x:c r="E65" s="20"/>
      <x:c r="F65" s="20"/>
      <x:c r="G65" s="20"/>
      <x:c r="H65" s="20"/>
    </x:row>
    <x:row r="66">
      <x:c r="A66" s="20"/>
      <x:c r="B66" s="20"/>
      <x:c r="C66" s="20"/>
      <x:c r="D66" s="20"/>
      <x:c r="E66" s="20"/>
      <x:c r="F66" s="20"/>
      <x:c r="G66" s="20"/>
      <x:c r="H66" s="20"/>
    </x:row>
    <x:row r="67">
      <x:c r="A67" s="20"/>
      <x:c r="B67" s="20"/>
      <x:c r="C67" s="20"/>
      <x:c r="D67" s="20"/>
      <x:c r="E67" s="20"/>
      <x:c r="F67" s="20"/>
      <x:c r="G67" s="20"/>
      <x:c r="H67" s="20"/>
    </x:row>
    <x:row r="68">
      <x:c r="A68" s="20"/>
      <x:c r="B68" s="20"/>
      <x:c r="C68" s="20"/>
      <x:c r="D68" s="20"/>
      <x:c r="E68" s="20"/>
      <x:c r="F68" s="20"/>
      <x:c r="G68" s="20"/>
      <x:c r="H68" s="20"/>
    </x:row>
    <x:row r="69">
      <x:c r="A69" s="20"/>
      <x:c r="B69" s="20"/>
      <x:c r="C69" s="20"/>
      <x:c r="D69" s="20"/>
      <x:c r="E69" s="20"/>
      <x:c r="F69" s="20"/>
      <x:c r="G69" s="20"/>
      <x:c r="H69" s="20"/>
    </x:row>
    <x:row r="70">
      <x:c r="A70" s="20"/>
      <x:c r="B70" s="20"/>
      <x:c r="C70" s="20"/>
      <x:c r="D70" s="20"/>
      <x:c r="E70" s="20"/>
      <x:c r="F70" s="20"/>
      <x:c r="G70" s="20"/>
      <x:c r="H70" s="20"/>
    </x:row>
    <x:row r="71">
      <x:c r="A71" s="20"/>
      <x:c r="B71" s="20"/>
      <x:c r="C71" s="20"/>
      <x:c r="D71" s="20"/>
      <x:c r="E71" s="20"/>
      <x:c r="F71" s="20"/>
      <x:c r="G71" s="20"/>
      <x:c r="H71" s="20"/>
    </x:row>
    <x:row r="72">
      <x:c r="A72" s="20"/>
      <x:c r="B72" s="20"/>
      <x:c r="C72" s="20"/>
      <x:c r="D72" s="20"/>
      <x:c r="E72" s="20"/>
      <x:c r="F72" s="20"/>
      <x:c r="G72" s="20"/>
      <x:c r="H72" s="20"/>
    </x:row>
    <x:row r="73">
      <x:c r="A73" s="20"/>
      <x:c r="B73" s="20"/>
      <x:c r="C73" s="20"/>
      <x:c r="D73" s="20"/>
      <x:c r="E73" s="20"/>
      <x:c r="F73" s="20"/>
      <x:c r="G73" s="20"/>
      <x:c r="H73" s="20"/>
    </x:row>
    <x:row r="74">
      <x:c r="A74" s="20"/>
      <x:c r="B74" s="20"/>
      <x:c r="C74" s="20"/>
      <x:c r="D74" s="20"/>
      <x:c r="E74" s="20"/>
      <x:c r="F74" s="20"/>
      <x:c r="G74" s="20"/>
      <x:c r="H74" s="20"/>
    </x:row>
    <x:row r="75">
      <x:c r="A75" s="20"/>
      <x:c r="B75" s="20"/>
      <x:c r="C75" s="20"/>
      <x:c r="D75" s="20"/>
      <x:c r="E75" s="20"/>
      <x:c r="F75" s="20"/>
      <x:c r="G75" s="20"/>
      <x:c r="H75" s="20"/>
    </x:row>
    <x:row r="76">
      <x:c r="A76" s="20"/>
      <x:c r="B76" s="20"/>
      <x:c r="C76" s="20"/>
      <x:c r="D76" s="20"/>
      <x:c r="E76" s="20"/>
      <x:c r="F76" s="20"/>
      <x:c r="G76" s="20"/>
      <x:c r="H76" s="20"/>
    </x:row>
    <x:row r="77">
      <x:c r="A77" s="20"/>
      <x:c r="B77" s="20"/>
      <x:c r="C77" s="20"/>
      <x:c r="D77" s="20"/>
      <x:c r="E77" s="20"/>
      <x:c r="F77" s="20"/>
      <x:c r="G77" s="20"/>
      <x:c r="H77" s="20"/>
    </x:row>
    <x:row r="78">
      <x:c r="A78" s="20"/>
      <x:c r="B78" s="20"/>
      <x:c r="C78" s="20"/>
      <x:c r="D78" s="20"/>
      <x:c r="E78" s="20"/>
      <x:c r="F78" s="20"/>
      <x:c r="G78" s="20"/>
      <x:c r="H78" s="20"/>
    </x:row>
    <x:row r="79">
      <x:c r="A79" s="20"/>
      <x:c r="B79" s="20"/>
      <x:c r="C79" s="20"/>
      <x:c r="D79" s="20"/>
      <x:c r="E79" s="20"/>
      <x:c r="F79" s="20"/>
      <x:c r="G79" s="20"/>
      <x:c r="H79" s="20"/>
    </x:row>
    <x:row r="80">
      <x:c r="A80" s="20"/>
      <x:c r="B80" s="20"/>
      <x:c r="C80" s="20"/>
      <x:c r="D80" s="20"/>
      <x:c r="E80" s="20"/>
      <x:c r="F80" s="20"/>
      <x:c r="G80" s="20"/>
      <x:c r="H80" s="20"/>
    </x:row>
  </x:sheetData>
  <x:mergeCells>
    <x:mergeCell ref="A1:H1"/>
  </x:mergeCells>
  <x:pageMargins left="0.7" right="0.7" top="0.75" bottom="0.75" header="0.3" footer="0.3"/>
</x:worksheet>
</file>