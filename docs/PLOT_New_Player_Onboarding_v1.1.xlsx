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f7ff02b21945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e216f0e11ab04a00"/>
    <x:sheet xmlns:r="http://schemas.openxmlformats.org/officeDocument/2006/relationships" name="01_Exact_Timeline" sheetId="2" r:id="Ra714bdc7987241f5"/>
    <x:sheet xmlns:r="http://schemas.openxmlformats.org/officeDocument/2006/relationships" name="02_First_5_Min" sheetId="3" r:id="R5d61b06ba59f4f36"/>
    <x:sheet xmlns:r="http://schemas.openxmlformats.org/officeDocument/2006/relationships" name="03_5_to_15_Min" sheetId="4" r:id="R189632e45c9d4630"/>
    <x:sheet xmlns:r="http://schemas.openxmlformats.org/officeDocument/2006/relationships" name="04_15_to_30_Min" sheetId="5" r:id="R57255bf592ca44a2"/>
    <x:sheet xmlns:r="http://schemas.openxmlformats.org/officeDocument/2006/relationships" name="05_30_to_60_Min" sheetId="6" r:id="Rf8177c1a187a430d"/>
    <x:sheet xmlns:r="http://schemas.openxmlformats.org/officeDocument/2006/relationships" name="06_Onboarding_Economy_XP" sheetId="7" r:id="R373ebdcffc7a47a7"/>
    <x:sheet xmlns:r="http://schemas.openxmlformats.org/officeDocument/2006/relationships" name="07_First_Buildings_Synergy" sheetId="8" r:id="R3dfa54a14ff742bf"/>
    <x:sheet xmlns:r="http://schemas.openxmlformats.org/officeDocument/2006/relationships" name="08_First_Hunt_Stock" sheetId="9" r:id="Rec4a2a8f60eb4741"/>
    <x:sheet xmlns:r="http://schemas.openxmlformats.org/officeDocument/2006/relationships" name="09_First_Performance_View" sheetId="10" r:id="Rd6c40f83b53b4afe"/>
    <x:sheet xmlns:r="http://schemas.openxmlformats.org/officeDocument/2006/relationships" name="10_Protection_Recovery" sheetId="11" r:id="Rb9c5298148be4676"/>
    <x:sheet xmlns:r="http://schemas.openxmlformats.org/officeDocument/2006/relationships" name="11_UI_Coachmarks" sheetId="12" r:id="R8454f3dab0b84bb4"/>
    <x:sheet xmlns:r="http://schemas.openxmlformats.org/officeDocument/2006/relationships" name="12_Backend_State" sheetId="13" r:id="R52b2e841b5d4431d"/>
    <x:sheet xmlns:r="http://schemas.openxmlformats.org/officeDocument/2006/relationships" name="13_Analytics_Funnel" sheetId="14" r:id="Rfa0f2ef565b44c36"/>
    <x:sheet xmlns:r="http://schemas.openxmlformats.org/officeDocument/2006/relationships" name="14_QA_Acceptance" sheetId="15" r:id="R3542b05a66dd4423"/>
    <x:sheet xmlns:r="http://schemas.openxmlformats.org/officeDocument/2006/relationships" name="15_Canonical_Overrides" sheetId="16" r:id="Rdaf3e3faf873449f"/>
    <x:sheet xmlns:r="http://schemas.openxmlformats.org/officeDocument/2006/relationships" name="16_Model_Checks" sheetId="17" r:id="R5cf813a3e4af45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 &quot;min&quot;"/>
    <x:numFmt numFmtId="201" formatCode="#,##0 &quot;Cash&quot;;[Red](#,##0 &quot;Cash&quot;);-"/>
    <x:numFmt numFmtId="202" formatCode="#,##0;[Red](#,##0);-"/>
    <x:numFmt numFmtId="203" formatCode="0.0%;[Red](0.0%);-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32D46"/>
      </x:patternFill>
    </x:fill>
    <x:fill>
      <x:patternFill patternType="solid">
        <x:fgColor rgb="FF132D46"/>
      </x:patternFill>
    </x:fill>
  </x:fills>
  <x:borders count="34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</x:border>
    <x:border>
      <x:right/>
    </x:border>
  </x:borders>
  <x:cellStyleXfs count="1">
    <x:xf numFmtId="0" fontId="0" fillId="0" borderId="0"/>
  </x:cellStyleXfs>
  <x:cellXfs count="1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4" xfId="0" applyNumberFormat="1" applyFont="1" applyFill="1" applyBorder="1" applyAlignment="1">
      <x:alignment vertical="top" wrapText="1"/>
    </x:xf>
    <x:xf numFmtId="200" fontId="0" fillId="0" borderId="17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22" xfId="0" applyNumberFormat="1" applyFont="1" applyFill="1" applyBorder="1" applyAlignment="1">
      <x:alignment vertical="top" wrapText="1"/>
    </x:xf>
    <x:xf numFmtId="201" fontId="0" fillId="0" borderId="9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4" xfId="0" applyNumberFormat="1" applyFont="1" applyFill="1" applyBorder="1" applyAlignment="1">
      <x:alignment vertical="top" wrapText="1"/>
    </x:xf>
    <x:xf numFmtId="201" fontId="0" fillId="0" borderId="17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1" fontId="0" fillId="0" borderId="22" xfId="0" applyNumberFormat="1" applyFont="1" applyFill="1" applyBorder="1" applyAlignment="1">
      <x:alignment vertical="top" wrapText="1"/>
    </x:xf>
    <x:xf numFmtId="202" fontId="0" fillId="0" borderId="9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4" xfId="0" applyNumberFormat="1" applyFont="1" applyFill="1" applyBorder="1" applyAlignment="1">
      <x:alignment vertical="top" wrapText="1"/>
    </x:xf>
    <x:xf numFmtId="202" fontId="0" fillId="0" borderId="17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2" fontId="0" fillId="0" borderId="22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0" fontId="0" fillId="0" borderId="11" xfId="0" applyNumberFormat="1" applyFont="1" applyFill="1" applyBorder="1" applyAlignment="1">
      <x:alignment vertical="top" wrapText="1"/>
    </x:xf>
    <x:xf numFmtId="200" fontId="0" fillId="0" borderId="13" xfId="0" applyNumberFormat="1" applyFont="1" applyFill="1" applyBorder="1" applyAlignment="1">
      <x:alignment vertical="top" wrapText="1"/>
    </x:xf>
    <x:xf numFmtId="200" fontId="0" fillId="0" borderId="16" xfId="0" applyNumberFormat="1" applyFont="1" applyFill="1" applyBorder="1" applyAlignment="1">
      <x:alignment vertical="top" wrapText="1"/>
    </x:xf>
    <x:xf numFmtId="200" fontId="0" fillId="0" borderId="19" xfId="0" applyNumberFormat="1" applyFont="1" applyFill="1" applyBorder="1" applyAlignment="1">
      <x:alignment vertical="top" wrapText="1"/>
    </x:xf>
    <x:xf numFmtId="200" fontId="0" fillId="0" borderId="2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vertical="top" wrapText="1"/>
    </x:xf>
    <x:xf numFmtId="202" fontId="0" fillId="0" borderId="11" xfId="0" applyNumberFormat="1" applyFont="1" applyFill="1" applyBorder="1" applyAlignment="1">
      <x:alignment vertical="top" wrapText="1"/>
    </x:xf>
    <x:xf numFmtId="202" fontId="0" fillId="0" borderId="13" xfId="0" applyNumberFormat="1" applyFont="1" applyFill="1" applyBorder="1" applyAlignment="1">
      <x:alignment vertical="top" wrapText="1"/>
    </x:xf>
    <x:xf numFmtId="202" fontId="0" fillId="0" borderId="16" xfId="0" applyNumberFormat="1" applyFont="1" applyFill="1" applyBorder="1" applyAlignment="1">
      <x:alignment vertical="top" wrapText="1"/>
    </x:xf>
    <x:xf numFmtId="202" fontId="0" fillId="0" borderId="19" xfId="0" applyNumberFormat="1" applyFont="1" applyFill="1" applyBorder="1" applyAlignment="1">
      <x:alignment vertical="top" wrapText="1"/>
    </x:xf>
    <x:xf numFmtId="202" fontId="0" fillId="0" borderId="21" xfId="0" applyNumberFormat="1" applyFont="1" applyFill="1" applyBorder="1" applyAlignment="1">
      <x:alignment vertical="top" wrapText="1"/>
    </x:xf>
    <x:xf numFmtId="203" fontId="0" fillId="0" borderId="9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3" fontId="0" fillId="0" borderId="14" xfId="0" applyNumberFormat="1" applyFont="1" applyFill="1" applyBorder="1" applyAlignment="1">
      <x:alignment vertical="top" wrapText="1"/>
    </x:xf>
    <x:xf numFmtId="203" fontId="0" fillId="0" borderId="17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  <x:xf numFmtId="203" fontId="0" fillId="0" borderId="22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/>
    <x:xf numFmtId="0" fontId="0" fillId="0" borderId="24" xfId="0" applyNumberFormat="1" applyFont="1" applyFill="1" applyBorder="1" applyAlignment="1">
      <x:alignment vertical="top" wrapText="1"/>
    </x:xf>
    <x:xf numFmtId="200" fontId="0" fillId="0" borderId="25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0" fillId="0" borderId="26" xfId="0" applyNumberFormat="1" applyFont="1" applyFill="1" applyBorder="1" applyAlignment="1">
      <x:alignment vertical="top" wrapText="1"/>
    </x:xf>
    <x:xf numFmtId="0" fontId="0" fillId="0" borderId="27" xfId="0" applyNumberFormat="1" applyFont="1" applyFill="1" applyBorder="1" applyAlignment="1">
      <x:alignment vertical="top" wrapText="1"/>
    </x:xf>
    <x:xf numFmtId="200" fontId="0" fillId="0" xfId="0" applyNumberFormat="1" applyFont="1" applyFill="1" applyBorder="0" applyAlignment="1">
      <x:alignment vertical="top" wrapText="1"/>
    </x:xf>
    <x:xf numFmtId="0" fontId="0" fillId="0" xfId="0" applyNumberFormat="1" applyFont="1" applyFill="1" applyBorder="0" applyAlignment="1">
      <x:alignment vertical="top" wrapText="1"/>
    </x:xf>
    <x:xf numFmtId="0" fontId="0" fillId="0" borderId="28" xfId="0" applyNumberFormat="1" applyFont="1" applyFill="1" applyBorder="1" applyAlignment="1">
      <x:alignment vertical="top" wrapText="1"/>
    </x:xf>
    <x:xf numFmtId="0" fontId="0" fillId="0" borderId="29" xfId="0" applyNumberFormat="1" applyFont="1" applyFill="1" applyBorder="1" applyAlignment="1">
      <x:alignment vertical="top" wrapText="1"/>
    </x:xf>
    <x:xf numFmtId="200" fontId="0" fillId="0" borderId="30" xfId="0" applyNumberFormat="1" applyFont="1" applyFill="1" applyBorder="1" applyAlignment="1">
      <x:alignment vertical="top" wrapText="1"/>
    </x:xf>
    <x:xf numFmtId="0" fontId="0" fillId="0" borderId="30" xfId="0" applyNumberFormat="1" applyFont="1" applyFill="1" applyBorder="1" applyAlignment="1">
      <x:alignment vertical="top" wrapText="1"/>
    </x:xf>
    <x:xf numFmtId="0" fontId="0" fillId="0" borderId="31" xfId="0" applyNumberFormat="1" applyFont="1" applyFill="1" applyBorder="1" applyAlignment="1">
      <x:alignment vertical="top" wrapText="1"/>
    </x:xf>
    <x:xf numFmtId="201" fontId="0" fillId="0" borderId="25" xfId="0" applyNumberFormat="1" applyFont="1" applyFill="1" applyBorder="1" applyAlignment="1">
      <x:alignment vertical="top" wrapText="1"/>
    </x:xf>
    <x:xf numFmtId="202" fontId="0" fillId="0" borderId="25" xfId="0" applyNumberFormat="1" applyFont="1" applyFill="1" applyBorder="1" applyAlignment="1">
      <x:alignment vertical="top" wrapText="1"/>
    </x:xf>
    <x:xf numFmtId="201" fontId="0" fillId="0" xfId="0" applyNumberFormat="1" applyFont="1" applyFill="1" applyBorder="0" applyAlignment="1">
      <x:alignment vertical="top" wrapText="1"/>
    </x:xf>
    <x:xf numFmtId="202" fontId="0" fillId="0" xfId="0" applyNumberFormat="1" applyFont="1" applyFill="1" applyBorder="0" applyAlignment="1">
      <x:alignment vertical="top" wrapText="1"/>
    </x:xf>
    <x:xf numFmtId="201" fontId="0" fillId="0" borderId="30" xfId="0" applyNumberFormat="1" applyFont="1" applyFill="1" applyBorder="1" applyAlignment="1">
      <x:alignment vertical="top" wrapText="1"/>
    </x:xf>
    <x:xf numFmtId="202" fontId="0" fillId="0" borderId="30" xfId="0" applyNumberFormat="1" applyFont="1" applyFill="1" applyBorder="1" applyAlignment="1">
      <x:alignment vertical="top" wrapText="1"/>
    </x:xf>
    <x:xf numFmtId="200" fontId="0" fillId="0" borderId="24" xfId="0" applyNumberFormat="1" applyFont="1" applyFill="1" applyBorder="1" applyAlignment="1">
      <x:alignment vertical="top" wrapText="1"/>
    </x:xf>
    <x:xf numFmtId="200" fontId="0" fillId="0" borderId="27" xfId="0" applyNumberFormat="1" applyFont="1" applyFill="1" applyBorder="1" applyAlignment="1">
      <x:alignment vertical="top" wrapText="1"/>
    </x:xf>
    <x:xf numFmtId="200" fontId="0" fillId="0" borderId="32" xfId="0" applyNumberFormat="1" applyFont="1" applyFill="1" applyBorder="1" applyAlignment="1">
      <x:alignment vertical="top" wrapText="1"/>
    </x:xf>
    <x:xf numFmtId="0" fontId="0" fillId="0" borderId="33" xfId="0" applyNumberFormat="1" applyFont="1" applyFill="1" applyBorder="1" applyAlignment="1">
      <x:alignment vertical="top" wrapText="1"/>
    </x:xf>
    <x:xf numFmtId="200" fontId="0" fillId="0" borderId="29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32" xfId="0" applyNumberFormat="1" applyFont="1" applyFill="1" applyBorder="1" applyAlignment="1">
      <x:alignment vertical="top" wrapText="1"/>
    </x:xf>
    <x:xf numFmtId="0" fontId="2" fillId="3" borderId="29" xfId="0" applyNumberFormat="1" applyFont="1" applyFill="1" applyBorder="1" applyAlignment="1">
      <x:alignment vertical="top" wrapText="1"/>
    </x:xf>
    <x:xf numFmtId="0" fontId="2" fillId="3" borderId="30" xfId="0" applyNumberFormat="1" applyFont="1" applyFill="1" applyBorder="1" applyAlignment="1">
      <x:alignment vertical="top" wrapText="1"/>
    </x:xf>
    <x:xf numFmtId="0" fontId="2" fillId="3" borderId="31" xfId="0" applyNumberFormat="1" applyFont="1" applyFill="1" applyBorder="1" applyAlignment="1">
      <x:alignment vertical="top" wrapText="1"/>
    </x:xf>
    <x:xf numFmtId="201" fontId="2" fillId="3" borderId="30" xfId="0" applyNumberFormat="1" applyFont="1" applyFill="1" applyBorder="1" applyAlignment="1">
      <x:alignment vertical="top" wrapText="1"/>
    </x:xf>
    <x:xf numFmtId="202" fontId="2" fillId="3" borderId="30" xfId="0" applyNumberFormat="1" applyFont="1" applyFill="1" applyBorder="1" applyAlignment="1">
      <x:alignment vertical="top" wrapText="1"/>
    </x:xf>
    <x:xf numFmtId="202" fontId="0" fillId="4" borderId="8" xfId="0" applyNumberFormat="1" applyFont="1" applyFill="1" applyBorder="1" applyAlignment="1">
      <x:alignment vertical="top" wrapText="1"/>
    </x:xf>
    <x:xf numFmtId="202" fontId="0" fillId="4" borderId="9" xfId="0" applyNumberFormat="1" applyFont="1" applyFill="1" applyBorder="1" applyAlignment="1">
      <x:alignment vertical="top" wrapText="1"/>
    </x:xf>
    <x:xf numFmtId="0" fontId="0" fillId="4" borderId="9" xfId="0" applyNumberFormat="1" applyFont="1" applyFill="1" applyBorder="1" applyAlignment="1">
      <x:alignment vertical="top" wrapText="1"/>
    </x:xf>
    <x:xf numFmtId="200" fontId="0" fillId="4" borderId="9" xfId="0" applyNumberFormat="1" applyFont="1" applyFill="1" applyBorder="1" applyAlignment="1">
      <x:alignment vertical="top" wrapText="1"/>
    </x:xf>
    <x:xf numFmtId="0" fontId="0" fillId="4" borderId="1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202" fontId="2" fillId="4" borderId="8" xfId="0" applyNumberFormat="1" applyFont="1" applyFill="1" applyBorder="1" applyAlignment="1">
      <x:alignment vertical="top" wrapText="1"/>
    </x:xf>
    <x:xf numFmtId="202" fontId="2" fillId="4" borderId="9" xfId="0" applyNumberFormat="1" applyFont="1" applyFill="1" applyBorder="1" applyAlignment="1">
      <x:alignment vertical="top" wrapText="1"/>
    </x:xf>
    <x:xf numFmtId="0" fontId="2" fillId="4" borderId="9" xfId="0" applyNumberFormat="1" applyFont="1" applyFill="1" applyBorder="1" applyAlignment="1">
      <x:alignment vertical="top" wrapText="1"/>
    </x:xf>
    <x:xf numFmtId="200" fontId="2" fillId="4" borderId="9" xfId="0" applyNumberFormat="1" applyFont="1" applyFill="1" applyBorder="1" applyAlignment="1">
      <x:alignment vertical="top" wrapText="1"/>
    </x:xf>
    <x:xf numFmtId="0" fontId="2" fillId="4" borderId="1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/>
    <x:xf numFmtId="202" fontId="0" fillId="4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200" fontId="0" fillId="4" borderId="0" xfId="0" applyNumberFormat="1" applyFont="1" applyFill="1" applyBorder="1" applyAlignment="1">
      <x:alignment vertical="top" wrapText="1"/>
    </x:xf>
    <x:xf numFmtId="202" fontId="2" fillId="4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200" fontId="2" fillId="4" borderId="0" xfId="0" applyNumberFormat="1" applyFont="1" applyFill="1" applyBorder="1" applyAlignment="1">
      <x:alignment vertical="top" wrapText="1"/>
    </x:xf>
    <x:xf numFmtId="202" fontId="0" fillId="4" borderId="11" xfId="0" applyNumberFormat="1" applyFont="1" applyFill="1" applyBorder="1" applyAlignment="1">
      <x:alignment vertical="top" wrapText="1"/>
    </x:xf>
    <x:xf numFmtId="0" fontId="0" fillId="4" borderId="12" xfId="0" applyNumberFormat="1" applyFont="1" applyFill="1" applyBorder="1" applyAlignment="1">
      <x:alignment vertical="top" wrapText="1"/>
    </x:xf>
    <x:xf numFmtId="202" fontId="2" fillId="4" borderId="11" xfId="0" applyNumberFormat="1" applyFont="1" applyFill="1" applyBorder="1" applyAlignment="1">
      <x:alignment vertical="top" wrapText="1"/>
    </x:xf>
    <x:xf numFmtId="0" fontId="2" fillId="4" borderId="12" xfId="0" applyNumberFormat="1" applyFont="1" applyFill="1" applyBorder="1" applyAlignment="1">
      <x:alignment vertical="top" wrapText="1"/>
    </x:xf>
    <x:xf numFmtId="202" fontId="2" fillId="4" borderId="11" xfId="0" applyNumberFormat="1" applyFont="1" applyFill="1" applyBorder="1" applyAlignment="1">
      <x:alignment horizontal="center" vertical="top" wrapText="1"/>
    </x:xf>
    <x:xf numFmtId="202" fontId="2" fillId="4" borderId="0" xfId="0" applyNumberFormat="1" applyFont="1" applyFill="1" applyBorder="1" applyAlignment="1">
      <x:alignment horizontal="center" vertical="top" wrapText="1"/>
    </x:xf>
    <x:xf numFmtId="0" fontId="2" fillId="4" borderId="0" xfId="0" applyNumberFormat="1" applyFont="1" applyFill="1" applyBorder="1" applyAlignment="1">
      <x:alignment horizontal="center" vertical="top" wrapText="1"/>
    </x:xf>
    <x:xf numFmtId="200" fontId="2" fillId="4" borderId="0" xfId="0" applyNumberFormat="1" applyFont="1" applyFill="1" applyBorder="1" applyAlignment="1">
      <x:alignment horizontal="center" vertical="top" wrapText="1"/>
    </x:xf>
    <x:xf numFmtId="0" fontId="2" fillId="4" borderId="12" xfId="0" applyNumberFormat="1" applyFont="1" applyFill="1" applyBorder="1" applyAlignment="1">
      <x:alignment horizontal="center" vertical="top" wrapText="1"/>
    </x:xf>
    <x:xf numFmtId="202" fontId="2" fillId="4" borderId="11" xfId="0" applyNumberFormat="1" applyFont="1" applyFill="1" applyBorder="1" applyAlignment="1">
      <x:alignment horizontal="center" vertical="center" wrapText="1"/>
    </x:xf>
    <x:xf numFmtId="202" fontId="2" fillId="4" borderId="0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200" fontId="2" fillId="4" borderId="0" xfId="0" applyNumberFormat="1" applyFont="1" applyFill="1" applyBorder="1" applyAlignment="1">
      <x:alignment horizontal="center" vertical="center" wrapText="1"/>
    </x:xf>
    <x:xf numFmtId="0" fontId="2" fillId="4" borderId="12" xfId="0" applyNumberFormat="1" applyFont="1" applyFill="1" applyBorder="1" applyAlignment="1">
      <x:alignment horizontal="center" vertical="center" wrapText="1"/>
    </x:xf>
    <x:xf numFmtId="202" fontId="0" fillId="0" borderId="24" xfId="0" applyNumberFormat="1" applyFont="1" applyFill="1" applyBorder="1" applyAlignment="1">
      <x:alignment vertical="top" wrapText="1"/>
    </x:xf>
    <x:xf numFmtId="202" fontId="0" fillId="0" borderId="32" xfId="0" applyNumberFormat="1" applyFont="1" applyFill="1" applyBorder="1" applyAlignment="1">
      <x:alignment vertical="top" wrapText="1"/>
    </x:xf>
    <x:xf numFmtId="202" fontId="0" fillId="0" borderId="27" xfId="0" applyNumberFormat="1" applyFont="1" applyFill="1" applyBorder="1" applyAlignment="1">
      <x:alignment vertical="top" wrapText="1"/>
    </x:xf>
    <x:xf numFmtId="202" fontId="0" fillId="0" borderId="29" xfId="0" applyNumberFormat="1" applyFont="1" applyFill="1" applyBorder="1" applyAlignment="1">
      <x:alignment vertical="top" wrapText="1"/>
    </x:xf>
    <x:xf numFmtId="203" fontId="0" fillId="0" borderId="25" xfId="0" applyNumberFormat="1" applyFont="1" applyFill="1" applyBorder="1" applyAlignment="1">
      <x:alignment vertical="top" wrapText="1"/>
    </x:xf>
    <x:xf numFmtId="203" fontId="0" fillId="0" xfId="0" applyNumberFormat="1" applyFont="1" applyFill="1" applyBorder="0" applyAlignment="1">
      <x:alignment vertical="top" wrapText="1"/>
    </x:xf>
    <x:xf numFmtId="203" fontId="0" fillId="0" borderId="3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14532D"/>
      </x:font>
      <x:fill>
        <x:patternFill>
          <x:bgColor rgb="FFDDEFE2"/>
        </x:patternFill>
      </x:fill>
    </x:dxf>
    <x:dxf>
      <x:font>
        <x:b/>
        <x:color rgb="FF7F1D1D"/>
      </x:font>
      <x:fill>
        <x:patternFill>
          <x:bgColor rgb="FFF5D6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01d046b0ac49a4" /><Relationship Type="http://schemas.openxmlformats.org/officeDocument/2006/relationships/theme" Target="/xl/theme/theme1.xml" Id="R5aa311a7153c44b9" /><Relationship Type="http://schemas.openxmlformats.org/officeDocument/2006/relationships/sharedStrings" Target="/xl/sharedStrings.xml" Id="Rfe73d61c606d4ed7" /><Relationship Type="http://schemas.openxmlformats.org/officeDocument/2006/relationships/worksheet" Target="/xl/worksheets/sheet1.xml" Id="Re216f0e11ab04a00" /><Relationship Type="http://schemas.openxmlformats.org/officeDocument/2006/relationships/worksheet" Target="/xl/worksheets/sheet2.xml" Id="Ra714bdc7987241f5" /><Relationship Type="http://schemas.openxmlformats.org/officeDocument/2006/relationships/worksheet" Target="/xl/worksheets/sheet3.xml" Id="R5d61b06ba59f4f36" /><Relationship Type="http://schemas.openxmlformats.org/officeDocument/2006/relationships/worksheet" Target="/xl/worksheets/sheet4.xml" Id="R189632e45c9d4630" /><Relationship Type="http://schemas.openxmlformats.org/officeDocument/2006/relationships/worksheet" Target="/xl/worksheets/sheet5.xml" Id="R57255bf592ca44a2" /><Relationship Type="http://schemas.openxmlformats.org/officeDocument/2006/relationships/worksheet" Target="/xl/worksheets/sheet6.xml" Id="Rf8177c1a187a430d" /><Relationship Type="http://schemas.openxmlformats.org/officeDocument/2006/relationships/worksheet" Target="/xl/worksheets/sheet7.xml" Id="R373ebdcffc7a47a7" /><Relationship Type="http://schemas.openxmlformats.org/officeDocument/2006/relationships/worksheet" Target="/xl/worksheets/sheet8.xml" Id="R3dfa54a14ff742bf" /><Relationship Type="http://schemas.openxmlformats.org/officeDocument/2006/relationships/worksheet" Target="/xl/worksheets/sheet9.xml" Id="Rec4a2a8f60eb4741" /><Relationship Type="http://schemas.openxmlformats.org/officeDocument/2006/relationships/worksheet" Target="/xl/worksheets/sheet10.xml" Id="Rd6c40f83b53b4afe" /><Relationship Type="http://schemas.openxmlformats.org/officeDocument/2006/relationships/worksheet" Target="/xl/worksheets/sheet11.xml" Id="Rb9c5298148be4676" /><Relationship Type="http://schemas.openxmlformats.org/officeDocument/2006/relationships/worksheet" Target="/xl/worksheets/sheet12.xml" Id="R8454f3dab0b84bb4" /><Relationship Type="http://schemas.openxmlformats.org/officeDocument/2006/relationships/worksheet" Target="/xl/worksheets/sheet13.xml" Id="R52b2e841b5d4431d" /><Relationship Type="http://schemas.openxmlformats.org/officeDocument/2006/relationships/worksheet" Target="/xl/worksheets/sheet14.xml" Id="Rfa0f2ef565b44c36" /><Relationship Type="http://schemas.openxmlformats.org/officeDocument/2006/relationships/worksheet" Target="/xl/worksheets/sheet15.xml" Id="R3542b05a66dd4423" /><Relationship Type="http://schemas.openxmlformats.org/officeDocument/2006/relationships/worksheet" Target="/xl/worksheets/sheet16.xml" Id="Rdaf3e3faf873449f" /><Relationship Type="http://schemas.openxmlformats.org/officeDocument/2006/relationships/worksheet" Target="/xl/worksheets/sheet17.xml" Id="R5cf813a3e4af456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c173c5bb7254f6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First-session milestone targets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Target Minute</c:v>
          </c:tx>
          <c:cat>
            <c:strRef>
              <c:f>'00_Dashboard'!$A$27:$A$40</c:f>
              <c:strCache>
                <c:ptCount val="0"/>
              </c:strCache>
            </c:strRef>
          </c:cat>
          <c:val>
            <c:numRef>
              <c:f>'00_Dashboard'!$B$27:$B$40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6</xdr:row>
      <xdr:rowOff>0</xdr:rowOff>
    </xdr:from>
    <xdr:to>
      <xdr:col>14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c173c5bb7254f6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aa1a052c5b2422b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92" t="str">
        <x:v>PLOT — New Player Onboarding Specification v1.1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  <x:c r="O1" s="22"/>
      <x:c r="P1" s="22"/>
      <x:c r="Q1" s="22"/>
    </x:row>
    <x:row r="3">
      <x:c r="A3" s="14" t="str">
        <x:v>Starting State</x:v>
      </x:c>
      <x:c r="B3" s="14" t="str">
        <x:v>5-Min Goal</x:v>
      </x:c>
      <x:c r="C3" s="14" t="str">
        <x:v>15-Min Goal</x:v>
      </x:c>
      <x:c r="D3" s="14" t="str">
        <x:v>30-Min Goal</x:v>
      </x:c>
      <x:c r="E3" s="14" t="str">
        <x:v>60-Min Goal</x:v>
      </x:c>
      <x:c r="F3" s="14" t="str">
        <x:v>First Building</x:v>
      </x:c>
      <x:c r="G3" s="14" t="str">
        <x:v>First Upgrade</x:v>
      </x:c>
      <x:c r="H3" s="14" t="str">
        <x:v>Second Business</x:v>
      </x:c>
      <x:c r="I3" s="14" t="str">
        <x:v>First Synergy</x:v>
      </x:c>
      <x:c r="J3" s="14" t="str">
        <x:v>First Hunt</x:v>
      </x:c>
      <x:c r="K3" s="14" t="str">
        <x:v>First Stock Reward</x:v>
      </x:c>
      <x:c r="L3" s="14" t="str">
        <x:v>First Performance View</x:v>
      </x:c>
      <x:c r="M3" s="14" t="str">
        <x:v>Tutorial Protection</x:v>
      </x:c>
      <x:c r="N3" s="14" t="str">
        <x:v>Status</x:v>
      </x:c>
    </x:row>
    <x:row r="4">
      <x:c r="A4" s="24" t="str">
        <x:v>Empire Lv1 • 2,500 Cash • empty 12×12 Plot • Rep 50 • Risk 25</x:v>
      </x:c>
      <x:c r="B4" s="25" t="str">
        <x:v>Own 3 businesses, serve first customer, activate first synergy, see first real Cash</x:v>
      </x:c>
      <x:c r="C4" s="25" t="str">
        <x:v>Complete first upgrade, start first Market Hunt, receive first stock fragment</x:v>
      </x:c>
      <x:c r="D4" s="25" t="str">
        <x:v>View Portfolio + provisional Performance Score; enter self-directed free play with optional 4th business</x:v>
      </x:c>
      <x:c r="E4" s="25" t="str">
        <x:v>Understand Build → Customers → Cash → Placement → Hunts → Portfolio → Performance and have a growing mini financial district</x:v>
      </x:c>
      <x:c r="F4" s="25" t="str">
        <x:v>Cash Kiosk — 300 Cash</x:v>
      </x:c>
      <x:c r="G4" s="25" t="str">
        <x:v>Cash Kiosk Lv2 — 465 Cash</x:v>
      </x:c>
      <x:c r="H4" s="25" t="str">
        <x:v>Trading Booth — 370 Cash</x:v>
      </x:c>
      <x:c r="I4" s="25" t="str">
        <x:v>Cash Kiosk + Savings Stand: Cash Access Loop</x:v>
      </x:c>
      <x:c r="J4" s="25" t="str">
        <x:v>Starter Market Signal Hunt</x:v>
      </x:c>
      <x:c r="K4" s="25" t="str">
        <x:v>Guaranteed Common stock packet ($0.10 notional/provider-labeled)</x:v>
      </x:c>
      <x:c r="L4" s="25" t="str">
        <x:v>Provisional weekly score; no payout estimate before eligibility</x:v>
      </x:c>
      <x:c r="M4" s="25" t="str">
        <x:v>No punitive personal events; guided recovery; first Hunt guaranteed stock reward</x:v>
      </x:c>
      <x:c r="N4" s="26" t="str">
        <x:v>Canonical first-session flow v1.1</x:v>
      </x:c>
    </x:row>
    <x:row r="6" ht="22" customHeight="1">
      <x:c r="A6" s="11" t="str">
        <x:v>Milestone Targets</x:v>
      </x:c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</x:row>
    <x:row r="7">
      <x:c r="A7" s="14" t="str">
        <x:v>Milestone</x:v>
      </x:c>
      <x:c r="B7" s="14" t="str">
        <x:v>Target Minute</x:v>
      </x:c>
      <x:c r="C7" s="14" t="str">
        <x:v>Hard SLA</x:v>
      </x:c>
      <x:c r="D7" s="14" t="str">
        <x:v>Player Emotion</x:v>
      </x:c>
      <x:c r="E7" s="14" t="str">
        <x:v>Required?</x:v>
      </x:c>
      <x:c r="F7" s="14" t="str">
        <x:v>Recovery Trigger</x:v>
      </x:c>
      <x:c r="G7" s="14" t="str">
        <x:v>Analytics Event</x:v>
      </x:c>
      <x:c r="H7" s="14" t="str">
        <x:v>Notes</x:v>
      </x:c>
    </x:row>
    <x:row r="8">
      <x:c r="A8" s="95" t="str">
        <x:v>Place first Cash Kiosk</x:v>
      </x:c>
      <x:c r="B8" s="96" t="n">
        <x:v>1</x:v>
      </x:c>
      <x:c r="C8" s="96" t="n">
        <x:v>2</x:v>
      </x:c>
      <x:c r="D8" s="97" t="str">
        <x:v>I own something</x:v>
      </x:c>
      <x:c r="E8" s="97" t="str">
        <x:v>Yes</x:v>
      </x:c>
      <x:c r="F8" s="97" t="str">
        <x:v>At 1:20 highlight Build/Confirm again</x:v>
      </x:c>
      <x:c r="G8" s="97" t="str">
        <x:v>onboarding_first_build</x:v>
      </x:c>
      <x:c r="H8" s="98" t="str">
        <x:v>Cash Kiosk costs 300 Cash</x:v>
      </x:c>
    </x:row>
    <x:row r="9">
      <x:c r="A9" s="99" t="str">
        <x:v>First customer appears</x:v>
      </x:c>
      <x:c r="B9" s="100" t="n">
        <x:v>1.4</x:v>
      </x:c>
      <x:c r="C9" s="100" t="n">
        <x:v>2.2</x:v>
      </x:c>
      <x:c r="D9" s="101" t="str">
        <x:v>My business is alive</x:v>
      </x:c>
      <x:c r="E9" s="101" t="str">
        <x:v>Yes</x:v>
      </x:c>
      <x:c r="F9" s="101" t="str">
        <x:v>Demand assist if no arrival by 2:00</x:v>
      </x:c>
      <x:c r="G9" s="101" t="str">
        <x:v>onboarding_first_customer</x:v>
      </x:c>
      <x:c r="H9" s="102" t="str">
        <x:v>First customer helps unlock Lv2</x:v>
      </x:c>
    </x:row>
    <x:row r="10">
      <x:c r="A10" s="99" t="str">
        <x:v>Reach Empire Lv2</x:v>
      </x:c>
      <x:c r="B10" s="100" t="n">
        <x:v>1.5</x:v>
      </x:c>
      <x:c r="C10" s="100" t="n">
        <x:v>2.3</x:v>
      </x:c>
      <x:c r="D10" s="101" t="str">
        <x:v>More businesses unlock quickly</x:v>
      </x:c>
      <x:c r="E10" s="101" t="str">
        <x:v>Yes</x:v>
      </x:c>
      <x:c r="F10" s="101" t="str">
        <x:v>Award only validated tutorial XP</x:v>
      </x:c>
      <x:c r="G10" s="101" t="str">
        <x:v>onboarding_level_2</x:v>
      </x:c>
      <x:c r="H10" s="102" t="str">
        <x:v>Trading Booth unlocks</x:v>
      </x:c>
    </x:row>
    <x:row r="11">
      <x:c r="A11" s="99" t="str">
        <x:v>Second business: Trading Booth</x:v>
      </x:c>
      <x:c r="B11" s="100" t="n">
        <x:v>2.5</x:v>
      </x:c>
      <x:c r="C11" s="100" t="n">
        <x:v>3.3</x:v>
      </x:c>
      <x:c r="D11" s="101" t="str">
        <x:v>My Plot is already growing</x:v>
      </x:c>
      <x:c r="E11" s="101" t="str">
        <x:v>Yes</x:v>
      </x:c>
      <x:c r="F11" s="101" t="str">
        <x:v>Build catalog auto-focus</x:v>
      </x:c>
      <x:c r="G11" s="101" t="str">
        <x:v>onboarding_second_business</x:v>
      </x:c>
      <x:c r="H11" s="102" t="str">
        <x:v>Second building is inside first 3 minutes</x:v>
      </x:c>
    </x:row>
    <x:row r="12">
      <x:c r="A12" s="99" t="str">
        <x:v>Reach Empire Lv3</x:v>
      </x:c>
      <x:c r="B12" s="100" t="n">
        <x:v>2.6</x:v>
      </x:c>
      <x:c r="C12" s="100" t="n">
        <x:v>3.5</x:v>
      </x:c>
      <x:c r="D12" s="101" t="str">
        <x:v>I have another business option</x:v>
      </x:c>
      <x:c r="E12" s="101" t="str">
        <x:v>Yes</x:v>
      </x:c>
      <x:c r="F12" s="101" t="str">
        <x:v>XP projector recovery</x:v>
      </x:c>
      <x:c r="G12" s="101" t="str">
        <x:v>onboarding_level_3</x:v>
      </x:c>
      <x:c r="H12" s="102" t="str">
        <x:v>Savings Stand unlocks</x:v>
      </x:c>
    </x:row>
    <x:row r="13">
      <x:c r="A13" s="99" t="str">
        <x:v>Third business: Savings Stand</x:v>
      </x:c>
      <x:c r="B13" s="100" t="n">
        <x:v>4</x:v>
      </x:c>
      <x:c r="C13" s="100" t="n">
        <x:v>4.8</x:v>
      </x:c>
      <x:c r="D13" s="101" t="str">
        <x:v>This feels like an empire, not a single kiosk</x:v>
      </x:c>
      <x:c r="E13" s="101" t="str">
        <x:v>Yes</x:v>
      </x:c>
      <x:c r="F13" s="101" t="str">
        <x:v>Adjacency ghost guidance</x:v>
      </x:c>
      <x:c r="G13" s="101" t="str">
        <x:v>onboarding_third_business</x:v>
      </x:c>
      <x:c r="H13" s="102" t="str">
        <x:v>Place next to Cash Kiosk</x:v>
      </x:c>
    </x:row>
    <x:row r="14">
      <x:c r="A14" s="99" t="str">
        <x:v>First synergy</x:v>
      </x:c>
      <x:c r="B14" s="100" t="n">
        <x:v>4.2</x:v>
      </x:c>
      <x:c r="C14" s="100" t="n">
        <x:v>5</x:v>
      </x:c>
      <x:c r="D14" s="101" t="str">
        <x:v>Placement matters</x:v>
      </x:c>
      <x:c r="E14" s="101" t="str">
        <x:v>Yes</x:v>
      </x:c>
      <x:c r="F14" s="101" t="str">
        <x:v>One free tutorial relocation</x:v>
      </x:c>
      <x:c r="G14" s="101" t="str">
        <x:v>onboarding_first_synergy</x:v>
      </x:c>
      <x:c r="H14" s="102" t="str">
        <x:v>Cash Access Loop</x:v>
      </x:c>
    </x:row>
    <x:row r="15">
      <x:c r="A15" s="99" t="str">
        <x:v>Reach Empire Lv4</x:v>
      </x:c>
      <x:c r="B15" s="100" t="n">
        <x:v>4.3</x:v>
      </x:c>
      <x:c r="C15" s="100" t="n">
        <x:v>5.2</x:v>
      </x:c>
      <x:c r="D15" s="101" t="str">
        <x:v>Markets are opening</x:v>
      </x:c>
      <x:c r="E15" s="101" t="str">
        <x:v>Yes</x:v>
      </x:c>
      <x:c r="F15" s="101" t="str">
        <x:v>Synergy mission XP</x:v>
      </x:c>
      <x:c r="G15" s="101" t="str">
        <x:v>onboarding_level_4</x:v>
      </x:c>
      <x:c r="H15" s="102" t="str">
        <x:v>Mini Brokerage + Market/Hunts available</x:v>
      </x:c>
    </x:row>
    <x:row r="16">
      <x:c r="A16" s="99" t="str">
        <x:v>First Cash visibly earned</x:v>
      </x:c>
      <x:c r="B16" s="100" t="n">
        <x:v>5</x:v>
      </x:c>
      <x:c r="C16" s="100" t="n">
        <x:v>6</x:v>
      </x:c>
      <x:c r="D16" s="101" t="str">
        <x:v>My businesses make money</x:v>
      </x:c>
      <x:c r="E16" s="101" t="str">
        <x:v>Yes</x:v>
      </x:c>
      <x:c r="F16" s="101" t="str">
        <x:v>Run catch-up settlement if tick delayed</x:v>
      </x:c>
      <x:c r="G16" s="101" t="str">
        <x:v>onboarding_first_cash</x:v>
      </x:c>
      <x:c r="H16" s="102" t="str">
        <x:v>Cash comes from real customer-driven economy across the early businesses</x:v>
      </x:c>
    </x:row>
    <x:row r="17">
      <x:c r="A17" s="99" t="str">
        <x:v>First upgrade</x:v>
      </x:c>
      <x:c r="B17" s="100" t="n">
        <x:v>6.5</x:v>
      </x:c>
      <x:c r="C17" s="100" t="n">
        <x:v>8</x:v>
      </x:c>
      <x:c r="D17" s="101" t="str">
        <x:v>My first business gets stronger</x:v>
      </x:c>
      <x:c r="E17" s="101" t="str">
        <x:v>Yes</x:v>
      </x:c>
      <x:c r="F17" s="101" t="str">
        <x:v>Spotlight Building Detail</x:v>
      </x:c>
      <x:c r="G17" s="101" t="str">
        <x:v>onboarding_first_upgrade</x:v>
      </x:c>
      <x:c r="H17" s="102" t="str">
        <x:v>Cash Kiosk → Lv2</x:v>
      </x:c>
    </x:row>
    <x:row r="18">
      <x:c r="A18" s="99" t="str">
        <x:v>Open first Market Hunt</x:v>
      </x:c>
      <x:c r="B18" s="100" t="n">
        <x:v>8</x:v>
      </x:c>
      <x:c r="C18" s="100" t="n">
        <x:v>10</x:v>
      </x:c>
      <x:c r="D18" s="101" t="str">
        <x:v>There is something active to chase</x:v>
      </x:c>
      <x:c r="E18" s="101" t="str">
        <x:v>Yes</x:v>
      </x:c>
      <x:c r="F18" s="101" t="str">
        <x:v>Market nav pulse</x:v>
      </x:c>
      <x:c r="G18" s="101" t="str">
        <x:v>onboarding_first_hunt_open</x:v>
      </x:c>
      <x:c r="H18" s="102" t="str">
        <x:v>Starter Hunt deterministic</x:v>
      </x:c>
    </x:row>
    <x:row r="19">
      <x:c r="A19" s="99" t="str">
        <x:v>Complete first Market Hunt</x:v>
      </x:c>
      <x:c r="B19" s="100" t="n">
        <x:v>14</x:v>
      </x:c>
      <x:c r="C19" s="100" t="n">
        <x:v>16</x:v>
      </x:c>
      <x:c r="D19" s="101" t="str">
        <x:v>My activity earns discoveries</x:v>
      </x:c>
      <x:c r="E19" s="101" t="str">
        <x:v>Yes</x:v>
      </x:c>
      <x:c r="F19" s="101" t="str">
        <x:v>Lower target only if validated activity lag</x:v>
      </x:c>
      <x:c r="G19" s="101" t="str">
        <x:v>onboarding_first_hunt_complete</x:v>
      </x:c>
      <x:c r="H19" s="102" t="str">
        <x:v>Requires real eligible Activity Points</x:v>
      </x:c>
    </x:row>
    <x:row r="20">
      <x:c r="A20" s="99" t="str">
        <x:v>Receive first stock fragment</x:v>
      </x:c>
      <x:c r="B20" s="100" t="n">
        <x:v>14.2</x:v>
      </x:c>
      <x:c r="C20" s="100" t="n">
        <x:v>16.2</x:v>
      </x:c>
      <x:c r="D20" s="101" t="str">
        <x:v>I own a market asset</x:v>
      </x:c>
      <x:c r="E20" s="101" t="str">
        <x:v>Yes</x:v>
      </x:c>
      <x:c r="F20" s="101" t="str">
        <x:v>Guaranteed first-Hunt packet</x:v>
      </x:c>
      <x:c r="G20" s="101" t="str">
        <x:v>onboarding_first_stock</x:v>
      </x:c>
      <x:c r="H20" s="102" t="str">
        <x:v>Starter ticker pool</x:v>
      </x:c>
    </x:row>
    <x:row r="21">
      <x:c r="A21" s="99" t="str">
        <x:v>View Portfolio</x:v>
      </x:c>
      <x:c r="B21" s="100" t="n">
        <x:v>14.5</x:v>
      </x:c>
      <x:c r="C21" s="100" t="n">
        <x:v>17</x:v>
      </x:c>
      <x:c r="D21" s="101" t="str">
        <x:v>I can track what I found</x:v>
      </x:c>
      <x:c r="E21" s="101" t="str">
        <x:v>Yes</x:v>
      </x:c>
      <x:c r="F21" s="101" t="str">
        <x:v>Reward CTA opens Portfolio</x:v>
      </x:c>
      <x:c r="G21" s="101" t="str">
        <x:v>onboarding_first_portfolio</x:v>
      </x:c>
      <x:c r="H21" s="102" t="str">
        <x:v>Clearly label asset mode</x:v>
      </x:c>
    </x:row>
    <x:row r="22">
      <x:c r="A22" s="99" t="str">
        <x:v>View Performance Score</x:v>
      </x:c>
      <x:c r="B22" s="100" t="n">
        <x:v>18</x:v>
      </x:c>
      <x:c r="C22" s="100" t="n">
        <x:v>22</x:v>
      </x:c>
      <x:c r="D22" s="101" t="str">
        <x:v>My choices build weekly performance</x:v>
      </x:c>
      <x:c r="E22" s="101" t="str">
        <x:v>Yes</x:v>
      </x:c>
      <x:c r="F22" s="101" t="str">
        <x:v>Post-Portfolio CTA</x:v>
      </x:c>
      <x:c r="G22" s="101" t="str">
        <x:v>onboarding_first_performance</x:v>
      </x:c>
      <x:c r="H22" s="102" t="str">
        <x:v>Provisional only</x:v>
      </x:c>
    </x:row>
    <x:row r="23">
      <x:c r="A23" s="103" t="str">
        <x:v>Enter free play</x:v>
      </x:c>
      <x:c r="B23" s="104" t="n">
        <x:v>22</x:v>
      </x:c>
      <x:c r="C23" s="104" t="n">
        <x:v>27</x:v>
      </x:c>
      <x:c r="D23" s="105" t="str">
        <x:v>I know the core loop</x:v>
      </x:c>
      <x:c r="E23" s="105" t="str">
        <x:v>Yes</x:v>
      </x:c>
      <x:c r="F23" s="105" t="str">
        <x:v>Offer 3 next-goal cards</x:v>
      </x:c>
      <x:c r="G23" s="105" t="str">
        <x:v>onboarding_freeplay</x:v>
      </x:c>
      <x:c r="H23" s="106" t="str">
        <x:v>Guided flow ends before 30 minutes</x:v>
      </x:c>
    </x:row>
    <x:row r="25" ht="22" customHeight="1">
      <x:c r="A25" s="11" t="str">
        <x:v>Milestone Timing</x:v>
      </x:c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</x:row>
    <x:row r="26">
      <x:c r="A26" s="14" t="str">
        <x:v>Milestone</x:v>
      </x:c>
      <x:c r="B26" s="14" t="str">
        <x:v>Target Minute</x:v>
      </x:c>
    </x:row>
    <x:row r="27">
      <x:c r="A27" t="str">
        <x:v>Place first Cash Kiosk</x:v>
      </x:c>
      <x:c r="B27" t="n">
        <x:v>1</x:v>
      </x:c>
    </x:row>
    <x:row r="28">
      <x:c r="A28" t="str">
        <x:v>First customer appears</x:v>
      </x:c>
      <x:c r="B28" t="n">
        <x:v>1.4</x:v>
      </x:c>
    </x:row>
    <x:row r="29">
      <x:c r="A29" t="str">
        <x:v>Reach Empire Lv2</x:v>
      </x:c>
      <x:c r="B29" t="n">
        <x:v>1.5</x:v>
      </x:c>
    </x:row>
    <x:row r="30">
      <x:c r="A30" t="str">
        <x:v>Second business: Trading Booth</x:v>
      </x:c>
      <x:c r="B30" t="n">
        <x:v>2.5</x:v>
      </x:c>
    </x:row>
    <x:row r="31">
      <x:c r="A31" t="str">
        <x:v>Reach Empire Lv3</x:v>
      </x:c>
      <x:c r="B31" t="n">
        <x:v>2.6</x:v>
      </x:c>
    </x:row>
    <x:row r="32">
      <x:c r="A32" t="str">
        <x:v>Third business: Savings Stand</x:v>
      </x:c>
      <x:c r="B32" t="n">
        <x:v>4</x:v>
      </x:c>
    </x:row>
    <x:row r="33">
      <x:c r="A33" t="str">
        <x:v>First synergy</x:v>
      </x:c>
      <x:c r="B33" t="n">
        <x:v>4.2</x:v>
      </x:c>
    </x:row>
    <x:row r="34">
      <x:c r="A34" t="str">
        <x:v>Reach Empire Lv4</x:v>
      </x:c>
      <x:c r="B34" t="n">
        <x:v>4.3</x:v>
      </x:c>
    </x:row>
    <x:row r="35">
      <x:c r="A35" t="str">
        <x:v>First Cash visibly earned</x:v>
      </x:c>
      <x:c r="B35" t="n">
        <x:v>5</x:v>
      </x:c>
    </x:row>
    <x:row r="36">
      <x:c r="A36" t="str">
        <x:v>First upgrade</x:v>
      </x:c>
      <x:c r="B36" t="n">
        <x:v>6.5</x:v>
      </x:c>
    </x:row>
    <x:row r="37">
      <x:c r="A37" t="str">
        <x:v>Open first Market Hunt</x:v>
      </x:c>
      <x:c r="B37" t="n">
        <x:v>8</x:v>
      </x:c>
    </x:row>
    <x:row r="38">
      <x:c r="A38" t="str">
        <x:v>Complete first Market Hunt</x:v>
      </x:c>
      <x:c r="B38" t="n">
        <x:v>14</x:v>
      </x:c>
    </x:row>
    <x:row r="39">
      <x:c r="A39" t="str">
        <x:v>Receive first stock fragment</x:v>
      </x:c>
      <x:c r="B39" t="n">
        <x:v>14.2</x:v>
      </x:c>
    </x:row>
    <x:row r="40">
      <x:c r="A40" t="str">
        <x:v>View Portfolio</x:v>
      </x:c>
      <x:c r="B40" t="n">
        <x:v>14.5</x:v>
      </x:c>
    </x:row>
  </x:sheetData>
  <x:mergeCells>
    <x:mergeCell ref="A1:N1"/>
    <x:mergeCell ref="A6:N6"/>
    <x:mergeCell ref="A25:N25"/>
  </x:mergeCells>
  <x:pageMargins left="0.7" right="0.7" top="0.75" bottom="0.75" header="0.3" footer="0.3"/>
  <x:drawing xmlns:r="http://schemas.openxmlformats.org/officeDocument/2006/relationships" r:id="R7aa1a052c5b2422b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25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</x:cols>
  <x:sheetData>
    <x:row r="1" ht="30" customHeight="1">
      <x:c r="A1" s="92" t="str">
        <x:v>Exact First 60 Minutes — Minute-by-Minute Flow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  <x:c r="O1" s="92"/>
      <x:c r="P1" s="92"/>
      <x:c r="Q1" s="92"/>
    </x:row>
    <x:row r="3">
      <x:c r="A3" s="14" t="str">
        <x:v>Time</x:v>
      </x:c>
      <x:c r="B3" s="14" t="str">
        <x:v>Minute</x:v>
      </x:c>
      <x:c r="C3" s="14" t="str">
        <x:v>Player State Before</x:v>
      </x:c>
      <x:c r="D3" s="14" t="str">
        <x:v>Coach / UI Action</x:v>
      </x:c>
      <x:c r="E3" s="14" t="str">
        <x:v>Player Action</x:v>
      </x:c>
      <x:c r="F3" s="14" t="str">
        <x:v>Server/System Action</x:v>
      </x:c>
      <x:c r="G3" s="14" t="str">
        <x:v>Expected Result</x:v>
      </x:c>
      <x:c r="H3" s="14" t="str">
        <x:v>Cash Cost</x:v>
      </x:c>
      <x:c r="I3" s="14" t="str">
        <x:v>Tutorial XP</x:v>
      </x:c>
      <x:c r="J3" s="14" t="str">
        <x:v>Empire Level After</x:v>
      </x:c>
      <x:c r="K3" s="14" t="str">
        <x:v>Unlock / Feature</x:v>
      </x:c>
      <x:c r="L3" s="14" t="str">
        <x:v>Success Signal</x:v>
      </x:c>
      <x:c r="M3" s="14" t="str">
        <x:v>If Player Does Nothing</x:v>
      </x:c>
      <x:c r="N3" s="14" t="str">
        <x:v>If Player Deviates</x:v>
      </x:c>
      <x:c r="O3" s="14" t="str">
        <x:v>Can Skip?</x:v>
      </x:c>
      <x:c r="P3" s="14" t="str">
        <x:v>Analytics</x:v>
      </x:c>
      <x:c r="Q3" s="14" t="str">
        <x:v>Notes</x:v>
      </x:c>
    </x:row>
    <x:row r="4">
      <x:c r="A4" s="95" t="str">
        <x:v>00:00</x:v>
      </x:c>
      <x:c r="B4" s="96" t="n">
        <x:v>0</x:v>
      </x:c>
      <x:c r="C4" s="97" t="str">
        <x:v>Lv1; 2,500 Cash; empty Plot</x:v>
      </x:c>
      <x:c r="D4" s="97" t="str">
        <x:v>Welcome: 'Build your first financial businesses.'</x:v>
      </x:c>
      <x:c r="E4" s="97" t="str">
        <x:v>Tap Start</x:v>
      </x:c>
      <x:c r="F4" s="97" t="str">
        <x:v>Create onboarding session; suppress punitive personal events</x:v>
      </x:c>
      <x:c r="G4" s="97" t="str">
        <x:v>Immediate Build goal</x:v>
      </x:c>
      <x:c r="H4" s="107" t="n">
        <x:v>0</x:v>
      </x:c>
      <x:c r="I4" s="108" t="n">
        <x:v>0</x:v>
      </x:c>
      <x:c r="J4" s="108" t="n">
        <x:v>1</x:v>
      </x:c>
      <x:c r="K4" s="97" t="str">
        <x:v>Build highlighted</x:v>
      </x:c>
      <x:c r="L4" s="97" t="str">
        <x:v>Build CTA</x:v>
      </x:c>
      <x:c r="M4" s="97" t="str">
        <x:v>After 15s pulse Build</x:v>
      </x:c>
      <x:c r="N4" s="97" t="str">
        <x:v>Player may look around</x:v>
      </x:c>
      <x:c r="O4" s="97" t="str">
        <x:v>Yes</x:v>
      </x:c>
      <x:c r="P4" s="97" t="str">
        <x:v>onboarding_started</x:v>
      </x:c>
      <x:c r="Q4" s="98" t="str">
        <x:v>No lore wall</x:v>
      </x:c>
    </x:row>
    <x:row r="5">
      <x:c r="A5" s="99" t="str">
        <x:v>00:15</x:v>
      </x:c>
      <x:c r="B5" s="100" t="n">
        <x:v>0.25</x:v>
      </x:c>
      <x:c r="C5" s="101" t="str">
        <x:v>Lv1; empty Plot</x:v>
      </x:c>
      <x:c r="D5" s="101" t="str">
        <x:v>Open Build focused on Cash Kiosk</x:v>
      </x:c>
      <x:c r="E5" s="101" t="str">
        <x:v>Select Cash Kiosk</x:v>
      </x:c>
      <x:c r="F5" s="101" t="str">
        <x:v>Validate unlock/cost</x:v>
      </x:c>
      <x:c r="G5" s="101" t="str">
        <x:v>Placement ghost</x:v>
      </x:c>
      <x:c r="H5" s="109" t="n">
        <x:v>0</x:v>
      </x:c>
      <x:c r="I5" s="110" t="n">
        <x:v>0</x:v>
      </x:c>
      <x:c r="J5" s="110" t="n">
        <x:v>1</x:v>
      </x:c>
      <x:c r="K5" s="101" t="str">
        <x:v>Placement mode</x:v>
      </x:c>
      <x:c r="L5" s="101" t="str">
        <x:v>Valid tiles</x:v>
      </x:c>
      <x:c r="M5" s="101" t="str">
        <x:v>Auto-open at 0:35 if idle</x:v>
      </x:c>
      <x:c r="N5" s="101" t="str">
        <x:v>Any valid tile</x:v>
      </x:c>
      <x:c r="O5" s="101" t="str">
        <x:v>Yes</x:v>
      </x:c>
      <x:c r="P5" s="101" t="str">
        <x:v>onboarding_build_opened</x:v>
      </x:c>
      <x:c r="Q5" s="102" t="str"/>
    </x:row>
    <x:row r="6">
      <x:c r="A6" s="99" t="str">
        <x:v>00:40</x:v>
      </x:c>
      <x:c r="B6" s="100" t="n">
        <x:v>0.67</x:v>
      </x:c>
      <x:c r="C6" s="101" t="str">
        <x:v>Cash Kiosk selected</x:v>
      </x:c>
      <x:c r="D6" s="101" t="str">
        <x:v>Short placement hint</x:v>
      </x:c>
      <x:c r="E6" s="101" t="str">
        <x:v>Place + confirm</x:v>
      </x:c>
      <x:c r="F6" s="101" t="str">
        <x:v>Debit 300; create instance</x:v>
      </x:c>
      <x:c r="G6" s="101" t="str">
        <x:v>Cash Kiosk active; Cash 2,200</x:v>
      </x:c>
      <x:c r="H6" s="109" t="n">
        <x:v>300</x:v>
      </x:c>
      <x:c r="I6" s="110" t="n">
        <x:v>60</x:v>
      </x:c>
      <x:c r="J6" s="110" t="n">
        <x:v>1</x:v>
      </x:c>
      <x:c r="K6" s="101" t="str">
        <x:v>Customer system</x:v>
      </x:c>
      <x:c r="L6" s="101" t="str">
        <x:v>Building appears</x:v>
      </x:c>
      <x:c r="M6" s="101" t="str">
        <x:v>Confirm pulses</x:v>
      </x:c>
      <x:c r="N6" s="101" t="str">
        <x:v>Cancel returns to ghost</x:v>
      </x:c>
      <x:c r="O6" s="101" t="str">
        <x:v>Yes</x:v>
      </x:c>
      <x:c r="P6" s="101" t="str">
        <x:v>onboarding_first_build</x:v>
      </x:c>
      <x:c r="Q6" s="102" t="str">
        <x:v>Real spend</x:v>
      </x:c>
    </x:row>
    <x:row r="7">
      <x:c r="A7" s="99" t="str">
        <x:v>01:15</x:v>
      </x:c>
      <x:c r="B7" s="100" t="n">
        <x:v>1.25</x:v>
      </x:c>
      <x:c r="C7" s="101" t="str">
        <x:v>Kiosk operating</x:v>
      </x:c>
      <x:c r="D7" s="101" t="str">
        <x:v>Camera frames kiosk</x:v>
      </x:c>
      <x:c r="E7" s="101" t="str">
        <x:v>Observe first customer</x:v>
      </x:c>
      <x:c r="F7" s="101" t="str">
        <x:v>3× new-player acquisition + first-customer SLA</x:v>
      </x:c>
      <x:c r="G7" s="101" t="str">
        <x:v>First customer attached</x:v>
      </x:c>
      <x:c r="H7" s="109" t="n">
        <x:v>0</x:v>
      </x:c>
      <x:c r="I7" s="110" t="n">
        <x:v>40</x:v>
      </x:c>
      <x:c r="J7" s="110" t="n">
        <x:v>2</x:v>
      </x:c>
      <x:c r="K7" s="101" t="str">
        <x:v>Trading Booth unlock</x:v>
      </x:c>
      <x:c r="L7" s="101" t="str">
        <x:v>Customer counter + Level Up</x:v>
      </x:c>
      <x:c r="M7" s="101" t="str">
        <x:v>Demand floor by 2:00</x:v>
      </x:c>
      <x:c r="N7" s="101" t="str">
        <x:v>Player can open kiosk</x:v>
      </x:c>
      <x:c r="O7" s="101" t="str">
        <x:v>Yes</x:v>
      </x:c>
      <x:c r="P7" s="101" t="str">
        <x:v>onboarding_first_customer</x:v>
      </x:c>
      <x:c r="Q7" s="102" t="str">
        <x:v>Customer is normal state</x:v>
      </x:c>
    </x:row>
    <x:row r="8">
      <x:c r="A8" s="99" t="str">
        <x:v>01:35</x:v>
      </x:c>
      <x:c r="B8" s="100" t="n">
        <x:v>1.58</x:v>
      </x:c>
      <x:c r="C8" s="101" t="str">
        <x:v>Lv2</x:v>
      </x:c>
      <x:c r="D8" s="101" t="str">
        <x:v>Compact unlock card</x:v>
      </x:c>
      <x:c r="E8" s="101" t="str">
        <x:v>Continue</x:v>
      </x:c>
      <x:c r="F8" s="101" t="str">
        <x:v>Build catalog updates</x:v>
      </x:c>
      <x:c r="G8" s="101" t="str">
        <x:v>Trading Booth available</x:v>
      </x:c>
      <x:c r="H8" s="109" t="n">
        <x:v>0</x:v>
      </x:c>
      <x:c r="I8" s="110" t="n">
        <x:v>0</x:v>
      </x:c>
      <x:c r="J8" s="110" t="n">
        <x:v>2</x:v>
      </x:c>
      <x:c r="K8" s="101" t="str">
        <x:v>Trading Booth</x:v>
      </x:c>
      <x:c r="L8" s="101" t="str">
        <x:v>Unlock badge</x:v>
      </x:c>
      <x:c r="M8" s="101" t="str">
        <x:v>Auto-collapse</x:v>
      </x:c>
      <x:c r="N8" s="101" t="str">
        <x:v>Can inspect first</x:v>
      </x:c>
      <x:c r="O8" s="101" t="str">
        <x:v>Yes</x:v>
      </x:c>
      <x:c r="P8" s="101" t="str">
        <x:v>onboarding_level_2</x:v>
      </x:c>
      <x:c r="Q8" s="102" t="str"/>
    </x:row>
    <x:row r="9">
      <x:c r="A9" s="99" t="str">
        <x:v>01:50</x:v>
      </x:c>
      <x:c r="B9" s="100" t="n">
        <x:v>1.83</x:v>
      </x:c>
      <x:c r="C9" s="101" t="str">
        <x:v>Cash 2,200</x:v>
      </x:c>
      <x:c r="D9" s="101" t="str">
        <x:v>Mission: 'Add a trading business.'</x:v>
      </x:c>
      <x:c r="E9" s="101" t="str">
        <x:v>Open Build → Trading Booth</x:v>
      </x:c>
      <x:c r="F9" s="101" t="str">
        <x:v>Validate 370 cost</x:v>
      </x:c>
      <x:c r="G9" s="101" t="str">
        <x:v>Ghost appears</x:v>
      </x:c>
      <x:c r="H9" s="109" t="n">
        <x:v>0</x:v>
      </x:c>
      <x:c r="I9" s="110" t="n">
        <x:v>0</x:v>
      </x:c>
      <x:c r="J9" s="110" t="n">
        <x:v>2</x:v>
      </x:c>
      <x:c r="K9" s="101" t="str">
        <x:v>Second business</x:v>
      </x:c>
      <x:c r="L9" s="101" t="str">
        <x:v>Placement mode</x:v>
      </x:c>
      <x:c r="M9" s="101" t="str">
        <x:v>Auto-open at 2:10</x:v>
      </x:c>
      <x:c r="N9" s="101" t="str">
        <x:v>Any valid nearby tile</x:v>
      </x:c>
      <x:c r="O9" s="101" t="str">
        <x:v>Yes</x:v>
      </x:c>
      <x:c r="P9" s="101" t="str">
        <x:v>onboarding_second_build_open</x:v>
      </x:c>
      <x:c r="Q9" s="102" t="str"/>
    </x:row>
    <x:row r="10">
      <x:c r="A10" s="99" t="str">
        <x:v>02:30</x:v>
      </x:c>
      <x:c r="B10" s="100" t="n">
        <x:v>2.5</x:v>
      </x:c>
      <x:c r="C10" s="101" t="str">
        <x:v>Cash 2,200</x:v>
      </x:c>
      <x:c r="D10" s="101" t="str">
        <x:v>Confirm Trading Booth</x:v>
      </x:c>
      <x:c r="E10" s="101" t="str">
        <x:v>Build</x:v>
      </x:c>
      <x:c r="F10" s="101" t="str">
        <x:v>Debit 370; create instance; grant validated tutorial XP</x:v>
      </x:c>
      <x:c r="G10" s="101" t="str">
        <x:v>2 businesses; Cash 1,830</x:v>
      </x:c>
      <x:c r="H10" s="109" t="n">
        <x:v>370</x:v>
      </x:c>
      <x:c r="I10" s="110" t="n">
        <x:v>75</x:v>
      </x:c>
      <x:c r="J10" s="110" t="n">
        <x:v>3</x:v>
      </x:c>
      <x:c r="K10" s="101" t="str">
        <x:v>Savings Stand unlock</x:v>
      </x:c>
      <x:c r="L10" s="101" t="str">
        <x:v>Second building + Level Up</x:v>
      </x:c>
      <x:c r="M10" s="101" t="str">
        <x:v>Prompt Savings at 2:50</x:v>
      </x:c>
      <x:c r="N10" s="101" t="str">
        <x:v>Can place anywhere valid</x:v>
      </x:c>
      <x:c r="O10" s="101" t="str">
        <x:v>Yes</x:v>
      </x:c>
      <x:c r="P10" s="101" t="str">
        <x:v>onboarding_second_business</x:v>
      </x:c>
      <x:c r="Q10" s="102" t="str">
        <x:v>Second building well before 5m</x:v>
      </x:c>
    </x:row>
    <x:row r="11">
      <x:c r="A11" s="99" t="str">
        <x:v>02:45</x:v>
      </x:c>
      <x:c r="B11" s="100" t="n">
        <x:v>2.75</x:v>
      </x:c>
      <x:c r="C11" s="101" t="str">
        <x:v>Lv3</x:v>
      </x:c>
      <x:c r="D11" s="101" t="str">
        <x:v>Savings Stand unlock card</x:v>
      </x:c>
      <x:c r="E11" s="101" t="str">
        <x:v>Continue</x:v>
      </x:c>
      <x:c r="F11" s="101" t="str">
        <x:v>Catalog updates</x:v>
      </x:c>
      <x:c r="G11" s="101" t="str">
        <x:v>Savings Stand available</x:v>
      </x:c>
      <x:c r="H11" s="109" t="n">
        <x:v>0</x:v>
      </x:c>
      <x:c r="I11" s="110" t="n">
        <x:v>0</x:v>
      </x:c>
      <x:c r="J11" s="110" t="n">
        <x:v>3</x:v>
      </x:c>
      <x:c r="K11" s="101" t="str">
        <x:v>Savings Stand</x:v>
      </x:c>
      <x:c r="L11" s="101" t="str">
        <x:v>Unlock badge</x:v>
      </x:c>
      <x:c r="M11" s="101" t="str">
        <x:v>Auto-collapse</x:v>
      </x:c>
      <x:c r="N11" s="101" t="str">
        <x:v>No penalty</x:v>
      </x:c>
      <x:c r="O11" s="101" t="str">
        <x:v>Yes</x:v>
      </x:c>
      <x:c r="P11" s="101" t="str">
        <x:v>onboarding_level_3</x:v>
      </x:c>
      <x:c r="Q11" s="102" t="str"/>
    </x:row>
    <x:row r="12">
      <x:c r="A12" s="99" t="str">
        <x:v>03:00</x:v>
      </x:c>
      <x:c r="B12" s="100" t="n">
        <x:v>3</x:v>
      </x:c>
      <x:c r="C12" s="101" t="str">
        <x:v>2 businesses</x:v>
      </x:c>
      <x:c r="D12" s="101" t="str">
        <x:v>Mission: 'Add savings beside your Cash Kiosk.'</x:v>
      </x:c>
      <x:c r="E12" s="101" t="str">
        <x:v>Select Savings Stand</x:v>
      </x:c>
      <x:c r="F12" s="101" t="str">
        <x:v>Validate 460 cost; preview adjacency</x:v>
      </x:c>
      <x:c r="G12" s="101" t="str">
        <x:v>Ghost highlights orthogonal tiles</x:v>
      </x:c>
      <x:c r="H12" s="109" t="n">
        <x:v>0</x:v>
      </x:c>
      <x:c r="I12" s="110" t="n">
        <x:v>0</x:v>
      </x:c>
      <x:c r="J12" s="110" t="n">
        <x:v>3</x:v>
      </x:c>
      <x:c r="K12" s="101" t="str">
        <x:v>Synergy preview</x:v>
      </x:c>
      <x:c r="L12" s="101" t="str">
        <x:v>Synergy preview badge</x:v>
      </x:c>
      <x:c r="M12" s="101" t="str">
        <x:v>At 3:25 snap suggestion</x:v>
      </x:c>
      <x:c r="N12" s="101" t="str">
        <x:v>Player can choose any valid adjacent side</x:v>
      </x:c>
      <x:c r="O12" s="101" t="str">
        <x:v>Yes</x:v>
      </x:c>
      <x:c r="P12" s="101" t="str">
        <x:v>onboarding_synergy_preview</x:v>
      </x:c>
      <x:c r="Q12" s="102" t="str"/>
    </x:row>
    <x:row r="13">
      <x:c r="A13" s="99" t="str">
        <x:v>04:00</x:v>
      </x:c>
      <x:c r="B13" s="100" t="n">
        <x:v>4</x:v>
      </x:c>
      <x:c r="C13" s="101" t="str">
        <x:v>Cash 1,830</x:v>
      </x:c>
      <x:c r="D13" s="101" t="str">
        <x:v>Confirm Savings Stand</x:v>
      </x:c>
      <x:c r="E13" s="101" t="str">
        <x:v>Build adjacent</x:v>
      </x:c>
      <x:c r="F13" s="101" t="str">
        <x:v>Debit 460; create instance</x:v>
      </x:c>
      <x:c r="G13" s="101" t="str">
        <x:v>3 businesses; Cash 1,370</x:v>
      </x:c>
      <x:c r="H13" s="109" t="n">
        <x:v>460</x:v>
      </x:c>
      <x:c r="I13" s="110" t="n">
        <x:v>60</x:v>
      </x:c>
      <x:c r="J13" s="110" t="n">
        <x:v>3</x:v>
      </x:c>
      <x:c r="K13" s="101" t="str">
        <x:v>Synergy evaluator</x:v>
      </x:c>
      <x:c r="L13" s="101" t="str">
        <x:v>Third building appears</x:v>
      </x:c>
      <x:c r="M13" s="101" t="str">
        <x:v>If invalid, nearest valid adjacent hint</x:v>
      </x:c>
      <x:c r="N13" s="101" t="str">
        <x:v>If elsewhere, free relocation offered</x:v>
      </x:c>
      <x:c r="O13" s="101" t="str">
        <x:v>Yes</x:v>
      </x:c>
      <x:c r="P13" s="101" t="str">
        <x:v>onboarding_third_business</x:v>
      </x:c>
      <x:c r="Q13" s="102" t="str">
        <x:v>Three businesses inside first 5m</x:v>
      </x:c>
    </x:row>
    <x:row r="14">
      <x:c r="A14" s="99" t="str">
        <x:v>04:10</x:v>
      </x:c>
      <x:c r="B14" s="100" t="n">
        <x:v>4.17</x:v>
      </x:c>
      <x:c r="C14" s="101" t="str">
        <x:v>Kiosk + Savings adjacent</x:v>
      </x:c>
      <x:c r="D14" s="101" t="str">
        <x:v>Synergy explainer</x:v>
      </x:c>
      <x:c r="E14" s="101" t="str">
        <x:v>Acknowledge</x:v>
      </x:c>
      <x:c r="F14" s="101" t="str">
        <x:v>Apply Cash Access Loop +6% General Consumer acquisition to both</x:v>
      </x:c>
      <x:c r="G14" s="101" t="str">
        <x:v>First synergy active</x:v>
      </x:c>
      <x:c r="H14" s="109" t="n">
        <x:v>0</x:v>
      </x:c>
      <x:c r="I14" s="110" t="n">
        <x:v>40</x:v>
      </x:c>
      <x:c r="J14" s="110" t="n">
        <x:v>4</x:v>
      </x:c>
      <x:c r="K14" s="101" t="str">
        <x:v>Market/Hunts + Mini Brokerage unlock</x:v>
      </x:c>
      <x:c r="L14" s="101" t="str">
        <x:v>Synergy badge + Level Up</x:v>
      </x:c>
      <x:c r="M14" s="101" t="str">
        <x:v>Auto-collapse</x:v>
      </x:c>
      <x:c r="N14" s="101" t="str">
        <x:v>Can inspect synergy</x:v>
      </x:c>
      <x:c r="O14" s="101" t="str">
        <x:v>Yes</x:v>
      </x:c>
      <x:c r="P14" s="101" t="str">
        <x:v>onboarding_first_synergy</x:v>
      </x:c>
      <x:c r="Q14" s="102" t="str">
        <x:v>Within placement caps</x:v>
      </x:c>
    </x:row>
    <x:row r="15">
      <x:c r="A15" s="99" t="str">
        <x:v>04:30</x:v>
      </x:c>
      <x:c r="B15" s="100" t="n">
        <x:v>4.5</x:v>
      </x:c>
      <x:c r="C15" s="101" t="str">
        <x:v>Lv4; 3 businesses</x:v>
      </x:c>
      <x:c r="D15" s="101" t="str">
        <x:v>HUD shows customers/activity across multiple businesses</x:v>
      </x:c>
      <x:c r="E15" s="101" t="str">
        <x:v>Observe</x:v>
      </x:c>
      <x:c r="F15" s="101" t="str">
        <x:v>Normal customer system continues</x:v>
      </x:c>
      <x:c r="G15" s="101" t="str">
        <x:v>Player sees mini financial district alive</x:v>
      </x:c>
      <x:c r="H15" s="109" t="n">
        <x:v>0</x:v>
      </x:c>
      <x:c r="I15" s="110" t="n">
        <x:v>0</x:v>
      </x:c>
      <x:c r="J15" s="110" t="n">
        <x:v>4</x:v>
      </x:c>
      <x:c r="K15" s="101" t="str">
        <x:v>Market nav visible</x:v>
      </x:c>
      <x:c r="L15" s="101" t="str">
        <x:v>Multiple activity indicators</x:v>
      </x:c>
      <x:c r="M15" s="101" t="str">
        <x:v>No modal</x:v>
      </x:c>
      <x:c r="N15" s="101" t="str">
        <x:v>Free camera allowed</x:v>
      </x:c>
      <x:c r="O15" s="101" t="str">
        <x:v>Yes</x:v>
      </x:c>
      <x:c r="P15" s="101" t="str">
        <x:v>onboarding_multi_business_state</x:v>
      </x:c>
      <x:c r="Q15" s="102" t="str"/>
    </x:row>
    <x:row r="16">
      <x:c r="A16" s="99" t="str">
        <x:v>05:00</x:v>
      </x:c>
      <x:c r="B16" s="100" t="n">
        <x:v>5</x:v>
      </x:c>
      <x:c r="C16" s="101" t="str">
        <x:v>3 businesses operating</x:v>
      </x:c>
      <x:c r="D16" s="101" t="str">
        <x:v>Cash HUD animates when real tick posts</x:v>
      </x:c>
      <x:c r="E16" s="101" t="str">
        <x:v>Observe first economy settlement</x:v>
      </x:c>
      <x:c r="F16" s="101" t="str">
        <x:v>5-min economy tick calculates active businesses</x:v>
      </x:c>
      <x:c r="G16" s="101" t="str">
        <x:v>First visible earned Cash</x:v>
      </x:c>
      <x:c r="H16" s="109" t="n">
        <x:v>0</x:v>
      </x:c>
      <x:c r="I16" s="110" t="n">
        <x:v>25</x:v>
      </x:c>
      <x:c r="J16" s="110" t="n">
        <x:v>4</x:v>
      </x:c>
      <x:c r="K16" s="101" t="str">
        <x:v>Economy understood</x:v>
      </x:c>
      <x:c r="L16" s="101" t="str">
        <x:v>Cash delta</x:v>
      </x:c>
      <x:c r="M16" s="101" t="str">
        <x:v>Catch-up bucket if &gt;60s late</x:v>
      </x:c>
      <x:c r="N16" s="101" t="str">
        <x:v>Show actual amount</x:v>
      </x:c>
      <x:c r="O16" s="101" t="str">
        <x:v>Yes</x:v>
      </x:c>
      <x:c r="P16" s="101" t="str">
        <x:v>onboarding_first_cash</x:v>
      </x:c>
      <x:c r="Q16" s="102" t="str">
        <x:v>No fake mission revenue</x:v>
      </x:c>
    </x:row>
    <x:row r="17">
      <x:c r="A17" s="99" t="str">
        <x:v>05:30</x:v>
      </x:c>
      <x:c r="B17" s="100" t="n">
        <x:v>5.5</x:v>
      </x:c>
      <x:c r="C17" s="101" t="str">
        <x:v>Cash ~1,372+</x:v>
      </x:c>
      <x:c r="D17" s="101" t="str">
        <x:v>Spotlight Cash Kiosk Building Detail</x:v>
      </x:c>
      <x:c r="E17" s="101" t="str">
        <x:v>Open detail</x:v>
      </x:c>
      <x:c r="F17" s="101" t="str">
        <x:v>Show Lv1→Lv2 stats and cost</x:v>
      </x:c>
      <x:c r="G17" s="101" t="str">
        <x:v>Upgrade CTA</x:v>
      </x:c>
      <x:c r="H17" s="109" t="n">
        <x:v>0</x:v>
      </x:c>
      <x:c r="I17" s="110" t="n">
        <x:v>0</x:v>
      </x:c>
      <x:c r="J17" s="110" t="n">
        <x:v>4</x:v>
      </x:c>
      <x:c r="K17" s="101" t="str">
        <x:v>Upgrade tutorial</x:v>
      </x:c>
      <x:c r="L17" s="101" t="str">
        <x:v>Before/after stats</x:v>
      </x:c>
      <x:c r="M17" s="101" t="str">
        <x:v>Auto-open at 6:00 if idle</x:v>
      </x:c>
      <x:c r="N17" s="101" t="str">
        <x:v>Can inspect tabs</x:v>
      </x:c>
      <x:c r="O17" s="101" t="str">
        <x:v>Yes</x:v>
      </x:c>
      <x:c r="P17" s="101" t="str">
        <x:v>onboarding_upgrade_opened</x:v>
      </x:c>
      <x:c r="Q17" s="102" t="str"/>
    </x:row>
    <x:row r="18">
      <x:c r="A18" s="99" t="str">
        <x:v>06:30</x:v>
      </x:c>
      <x:c r="B18" s="100" t="n">
        <x:v>6.5</x:v>
      </x:c>
      <x:c r="C18" s="101" t="str">
        <x:v>3 businesses; enough Cash</x:v>
      </x:c>
      <x:c r="D18" s="101" t="str">
        <x:v>Coach: 'Upgrade your first kiosk.'</x:v>
      </x:c>
      <x:c r="E18" s="101" t="str">
        <x:v>Upgrade Cash Kiosk to Lv2</x:v>
      </x:c>
      <x:c r="F18" s="101" t="str">
        <x:v>Debit 465; apply canonical upgrade</x:v>
      </x:c>
      <x:c r="G18" s="101" t="str">
        <x:v>Kiosk Lv2; Cash ~907+</x:v>
      </x:c>
      <x:c r="H18" s="109" t="n">
        <x:v>465</x:v>
      </x:c>
      <x:c r="I18" s="110" t="n">
        <x:v>100</x:v>
      </x:c>
      <x:c r="J18" s="110" t="n">
        <x:v>4</x:v>
      </x:c>
      <x:c r="K18" s="101" t="str">
        <x:v>Stronger first building</x:v>
      </x:c>
      <x:c r="L18" s="101" t="str">
        <x:v>Art/stat change</x:v>
      </x:c>
      <x:c r="M18" s="101" t="str">
        <x:v>Recovery credit only for noncanonical overspend</x:v>
      </x:c>
      <x:c r="N18" s="101" t="str">
        <x:v>Player may upgrade later but Hunt CTA waits only briefly</x:v>
      </x:c>
      <x:c r="O18" s="101" t="str">
        <x:v>Yes</x:v>
      </x:c>
      <x:c r="P18" s="101" t="str">
        <x:v>onboarding_first_upgrade</x:v>
      </x:c>
      <x:c r="Q18" s="102" t="str"/>
    </x:row>
    <x:row r="19">
      <x:c r="A19" s="99" t="str">
        <x:v>07:15</x:v>
      </x:c>
      <x:c r="B19" s="100" t="n">
        <x:v>7.25</x:v>
      </x:c>
      <x:c r="C19" s="101" t="str">
        <x:v>Upgrade complete</x:v>
      </x:c>
      <x:c r="D19" s="101" t="str">
        <x:v>Market nav pulses</x:v>
      </x:c>
      <x:c r="E19" s="101" t="str">
        <x:v>Open Market/Hunts</x:v>
      </x:c>
      <x:c r="F19" s="101" t="str">
        <x:v>Create tutorial Hunt availability</x:v>
      </x:c>
      <x:c r="G19" s="101" t="str">
        <x:v>Hunts screen</x:v>
      </x:c>
      <x:c r="H19" s="109" t="n">
        <x:v>0</x:v>
      </x:c>
      <x:c r="I19" s="110" t="n">
        <x:v>0</x:v>
      </x:c>
      <x:c r="J19" s="110" t="n">
        <x:v>4</x:v>
      </x:c>
      <x:c r="K19" s="101" t="str">
        <x:v>Market Hunts</x:v>
      </x:c>
      <x:c r="L19" s="101" t="str">
        <x:v>Starter card highlighted</x:v>
      </x:c>
      <x:c r="M19" s="101" t="str">
        <x:v>At 8:30 prompt</x:v>
      </x:c>
      <x:c r="N19" s="101" t="str">
        <x:v>Can inspect Portfolio</x:v>
      </x:c>
      <x:c r="O19" s="101" t="str">
        <x:v>Yes</x:v>
      </x:c>
      <x:c r="P19" s="101" t="str">
        <x:v>onboarding_market_open</x:v>
      </x:c>
      <x:c r="Q19" s="102" t="str"/>
    </x:row>
    <x:row r="20">
      <x:c r="A20" s="99" t="str">
        <x:v>08:00</x:v>
      </x:c>
      <x:c r="B20" s="100" t="n">
        <x:v>8</x:v>
      </x:c>
      <x:c r="C20" s="101" t="str">
        <x:v>Hunts available</x:v>
      </x:c>
      <x:c r="D20" s="101" t="str">
        <x:v>Starter Hunt: choose a market signal; generate 2 eligible Activity Points</x:v>
      </x:c>
      <x:c r="E20" s="101" t="str">
        <x:v>Open Hunt</x:v>
      </x:c>
      <x:c r="F20" s="101" t="str">
        <x:v>Create deterministic tutorial Hunt</x:v>
      </x:c>
      <x:c r="G20" s="101" t="str">
        <x:v>Three neutral signal choices</x:v>
      </x:c>
      <x:c r="H20" s="109" t="n">
        <x:v>0</x:v>
      </x:c>
      <x:c r="I20" s="110" t="n">
        <x:v>0</x:v>
      </x:c>
      <x:c r="J20" s="110" t="n">
        <x:v>4</x:v>
      </x:c>
      <x:c r="K20" s="101" t="str">
        <x:v>First Hunt</x:v>
      </x:c>
      <x:c r="L20" s="101" t="str">
        <x:v>Start CTA</x:v>
      </x:c>
      <x:c r="M20" s="101" t="str">
        <x:v>Reminder at 9:30</x:v>
      </x:c>
      <x:c r="N20" s="101" t="str">
        <x:v>No return prediction language</x:v>
      </x:c>
      <x:c r="O20" s="101" t="str">
        <x:v>Yes</x:v>
      </x:c>
      <x:c r="P20" s="101" t="str">
        <x:v>onboarding_first_hunt_open</x:v>
      </x:c>
      <x:c r="Q20" s="102" t="str"/>
    </x:row>
    <x:row r="21">
      <x:c r="A21" s="99" t="str">
        <x:v>08:30</x:v>
      </x:c>
      <x:c r="B21" s="100" t="n">
        <x:v>8.5</x:v>
      </x:c>
      <x:c r="C21" s="101" t="str">
        <x:v>Starter Hunt open</x:v>
      </x:c>
      <x:c r="D21" s="101" t="str">
        <x:v>Choose Tech / Consumer / Broad Market</x:v>
      </x:c>
      <x:c r="E21" s="101" t="str">
        <x:v>Choose</x:v>
      </x:c>
      <x:c r="F21" s="101" t="str">
        <x:v>Record choice; objective 0/2</x:v>
      </x:c>
      <x:c r="G21" s="101" t="str">
        <x:v>Hunt active</x:v>
      </x:c>
      <x:c r="H21" s="109" t="n">
        <x:v>0</x:v>
      </x:c>
      <x:c r="I21" s="110" t="n">
        <x:v>0</x:v>
      </x:c>
      <x:c r="J21" s="110" t="n">
        <x:v>4</x:v>
      </x:c>
      <x:c r="K21" s="101" t="str">
        <x:v>Hunt progress</x:v>
      </x:c>
      <x:c r="L21" s="101" t="str">
        <x:v>0/2</x:v>
      </x:c>
      <x:c r="M21" s="101" t="str">
        <x:v>Quick Start only by explicit tap</x:v>
      </x:c>
      <x:c r="N21" s="101" t="str">
        <x:v>No auto-choice</x:v>
      </x:c>
      <x:c r="O21" s="101" t="str">
        <x:v>Yes</x:v>
      </x:c>
      <x:c r="P21" s="101" t="str">
        <x:v>onboarding_hunt_started</x:v>
      </x:c>
      <x:c r="Q21" s="102" t="str">
        <x:v>Choice biases ticker pool only</x:v>
      </x:c>
    </x:row>
    <x:row r="22">
      <x:c r="A22" s="99" t="str">
        <x:v>08:30–14:00</x:v>
      </x:c>
      <x:c r="B22" s="100" t="n">
        <x:v>11.25</x:v>
      </x:c>
      <x:c r="C22" s="101" t="str">
        <x:v>3 businesses operating</x:v>
      </x:c>
      <x:c r="D22" s="101" t="str">
        <x:v>Only small progress toasts</x:v>
      </x:c>
      <x:c r="E22" s="101" t="str">
        <x:v>Operate / inspect / rearrange / optionally prepare 4th build</x:v>
      </x:c>
      <x:c r="F22" s="101" t="str">
        <x:v>Normal economy/activity ledgers feed Hunt</x:v>
      </x:c>
      <x:c r="G22" s="101" t="str">
        <x:v>2 Activity Points accumulate</x:v>
      </x:c>
      <x:c r="H22" s="109" t="n">
        <x:v>0</x:v>
      </x:c>
      <x:c r="I22" s="110" t="n">
        <x:v>0</x:v>
      </x:c>
      <x:c r="J22" s="110" t="n">
        <x:v>4</x:v>
      </x:c>
      <x:c r="K22" s="101" t="str">
        <x:v>Hunt completion</x:v>
      </x:c>
      <x:c r="L22" s="101" t="str">
        <x:v>Progress meter</x:v>
      </x:c>
      <x:c r="M22" s="101" t="str">
        <x:v>If &lt;2 by 15:30 due system lag, validated &gt;=1 may complete tutorial target</x:v>
      </x:c>
      <x:c r="N22" s="101" t="str">
        <x:v>Any valid gameplay accepted</x:v>
      </x:c>
      <x:c r="O22" s="101" t="str">
        <x:v>Yes</x:v>
      </x:c>
      <x:c r="P22" s="101" t="str">
        <x:v>onboarding_hunt_progress</x:v>
      </x:c>
      <x:c r="Q22" s="102" t="str"/>
    </x:row>
    <x:row r="23">
      <x:c r="A23" s="99" t="str">
        <x:v>14:00</x:v>
      </x:c>
      <x:c r="B23" s="100" t="n">
        <x:v>14</x:v>
      </x:c>
      <x:c r="C23" s="101" t="str">
        <x:v>Hunt objective complete</x:v>
      </x:c>
      <x:c r="D23" s="101" t="str">
        <x:v>Completion reveal</x:v>
      </x:c>
      <x:c r="E23" s="101" t="str">
        <x:v>Claim</x:v>
      </x:c>
      <x:c r="F23" s="101" t="str">
        <x:v>Resolve first-Hunt reward exactly once</x:v>
      </x:c>
      <x:c r="G23" s="101" t="str">
        <x:v>Hunt complete + stock packet ready</x:v>
      </x:c>
      <x:c r="H23" s="109" t="n">
        <x:v>0</x:v>
      </x:c>
      <x:c r="I23" s="110" t="n">
        <x:v>25</x:v>
      </x:c>
      <x:c r="J23" s="110" t="n">
        <x:v>4</x:v>
      </x:c>
      <x:c r="K23" s="101" t="str">
        <x:v>Stock reward</x:v>
      </x:c>
      <x:c r="L23" s="101" t="str">
        <x:v>Reward reveal</x:v>
      </x:c>
      <x:c r="M23" s="101" t="str">
        <x:v>Claim persists</x:v>
      </x:c>
      <x:c r="N23" s="101" t="str">
        <x:v>No reroll needed</x:v>
      </x:c>
      <x:c r="O23" s="101" t="str">
        <x:v>Yes</x:v>
      </x:c>
      <x:c r="P23" s="101" t="str">
        <x:v>onboarding_first_hunt_complete</x:v>
      </x:c>
      <x:c r="Q23" s="102" t="str">
        <x:v>Canonical Hunt Points still apply</x:v>
      </x:c>
    </x:row>
    <x:row r="24">
      <x:c r="A24" s="99" t="str">
        <x:v>14:12</x:v>
      </x:c>
      <x:c r="B24" s="100" t="n">
        <x:v>14.2</x:v>
      </x:c>
      <x:c r="C24" s="101" t="str">
        <x:v>Reward claim</x:v>
      </x:c>
      <x:c r="D24" s="101" t="str">
        <x:v>Reveal stock fragment</x:v>
      </x:c>
      <x:c r="E24" s="101" t="str">
        <x:v>Continue</x:v>
      </x:c>
      <x:c r="F24" s="101" t="str">
        <x:v>Grant $0.10 Common packet from signal-aligned pool</x:v>
      </x:c>
      <x:c r="G24" s="101" t="str">
        <x:v>First stock asset owned</x:v>
      </x:c>
      <x:c r="H24" s="109" t="n">
        <x:v>0</x:v>
      </x:c>
      <x:c r="I24" s="110" t="n">
        <x:v>0</x:v>
      </x:c>
      <x:c r="J24" s="110" t="n">
        <x:v>4</x:v>
      </x:c>
      <x:c r="K24" s="101" t="str">
        <x:v>Portfolio CTA</x:v>
      </x:c>
      <x:c r="L24" s="101" t="str">
        <x:v>Ticker/value label</x:v>
      </x:c>
      <x:c r="M24" s="101" t="str">
        <x:v>Reward persists</x:v>
      </x:c>
      <x:c r="N24" s="101" t="str">
        <x:v>No trading tutorial yet</x:v>
      </x:c>
      <x:c r="O24" s="101" t="str">
        <x:v>Yes</x:v>
      </x:c>
      <x:c r="P24" s="101" t="str">
        <x:v>onboarding_first_stock</x:v>
      </x:c>
      <x:c r="Q24" s="102" t="str">
        <x:v>Label asset mode clearly</x:v>
      </x:c>
    </x:row>
    <x:row r="25">
      <x:c r="A25" s="99" t="str">
        <x:v>14:30</x:v>
      </x:c>
      <x:c r="B25" s="100" t="n">
        <x:v>14.5</x:v>
      </x:c>
      <x:c r="C25" s="101" t="str">
        <x:v>First stock owned</x:v>
      </x:c>
      <x:c r="D25" s="101" t="str">
        <x:v>CTA: View Portfolio</x:v>
      </x:c>
      <x:c r="E25" s="101" t="str">
        <x:v>Open Portfolio</x:v>
      </x:c>
      <x:c r="F25" s="101" t="str">
        <x:v>Read position</x:v>
      </x:c>
      <x:c r="G25" s="101" t="str">
        <x:v>Portfolio position visible</x:v>
      </x:c>
      <x:c r="H25" s="109" t="n">
        <x:v>0</x:v>
      </x:c>
      <x:c r="I25" s="110" t="n">
        <x:v>0</x:v>
      </x:c>
      <x:c r="J25" s="110" t="n">
        <x:v>4</x:v>
      </x:c>
      <x:c r="K25" s="101" t="str">
        <x:v>Portfolio</x:v>
      </x:c>
      <x:c r="L25" s="101" t="str">
        <x:v>Asset shown</x:v>
      </x:c>
      <x:c r="M25" s="101" t="str">
        <x:v>CTA remains</x:v>
      </x:c>
      <x:c r="N25" s="101" t="str">
        <x:v>Return to Plot allowed</x:v>
      </x:c>
      <x:c r="O25" s="101" t="str">
        <x:v>Yes</x:v>
      </x:c>
      <x:c r="P25" s="101" t="str">
        <x:v>onboarding_first_portfolio</x:v>
      </x:c>
      <x:c r="Q25" s="102" t="str">
        <x:v>Stock value 0 direct score</x:v>
      </x:c>
    </x:row>
    <x:row r="26">
      <x:c r="A26" s="99" t="str">
        <x:v>15:30</x:v>
      </x:c>
      <x:c r="B26" s="100" t="n">
        <x:v>15.5</x:v>
      </x:c>
      <x:c r="C26" s="101" t="str">
        <x:v>Core build/economy/reward loop established</x:v>
      </x:c>
      <x:c r="D26" s="101" t="str">
        <x:v>Short free-play beat</x:v>
      </x:c>
      <x:c r="E26" s="101" t="str">
        <x:v>Return to Plot / inspect empire</x:v>
      </x:c>
      <x:c r="F26" s="101" t="str">
        <x:v>Normal systems</x:v>
      </x:c>
      <x:c r="G26" s="101" t="str">
        <x:v>Player gets breathing room</x:v>
      </x:c>
      <x:c r="H26" s="109" t="n">
        <x:v>0</x:v>
      </x:c>
      <x:c r="I26" s="110" t="n">
        <x:v>0</x:v>
      </x:c>
      <x:c r="J26" s="110" t="n">
        <x:v>4</x:v>
      </x:c>
      <x:c r="K26" s="101" t="str">
        <x:v>Self-directed moment</x:v>
      </x:c>
      <x:c r="L26" s="101" t="str">
        <x:v>No modal</x:v>
      </x:c>
      <x:c r="M26" s="101" t="str">
        <x:v>No nagging</x:v>
      </x:c>
      <x:c r="N26" s="101" t="str">
        <x:v>Any valid action</x:v>
      </x:c>
      <x:c r="O26" s="101" t="str">
        <x:v>Yes</x:v>
      </x:c>
      <x:c r="P26" s="101" t="str">
        <x:v>onboarding_breathing_room</x:v>
      </x:c>
      <x:c r="Q26" s="102" t="str"/>
    </x:row>
    <x:row r="27">
      <x:c r="A27" s="99" t="str">
        <x:v>17:00</x:v>
      </x:c>
      <x:c r="B27" s="100" t="n">
        <x:v>17</x:v>
      </x:c>
      <x:c r="C27" s="101" t="str">
        <x:v>Enough ledgers/snapshots</x:v>
      </x:c>
      <x:c r="D27" s="101" t="str">
        <x:v>Coachmark on Performance</x:v>
      </x:c>
      <x:c r="E27" s="101" t="str">
        <x:v>Open Performance</x:v>
      </x:c>
      <x:c r="F27" s="101" t="str">
        <x:v>Generate provisional weekly view</x:v>
      </x:c>
      <x:c r="G27" s="101" t="str">
        <x:v>Performance page opens</x:v>
      </x:c>
      <x:c r="H27" s="109" t="n">
        <x:v>0</x:v>
      </x:c>
      <x:c r="I27" s="110" t="n">
        <x:v>0</x:v>
      </x:c>
      <x:c r="J27" s="110" t="n">
        <x:v>4</x:v>
      </x:c>
      <x:c r="K27" s="101" t="str">
        <x:v>Performance</x:v>
      </x:c>
      <x:c r="L27" s="101" t="str">
        <x:v>Provisional badge</x:v>
      </x:c>
      <x:c r="M27" s="101" t="str">
        <x:v>Prompt again at 19:00</x:v>
      </x:c>
      <x:c r="N27" s="101" t="str">
        <x:v>Can defer</x:v>
      </x:c>
      <x:c r="O27" s="101" t="str">
        <x:v>Yes</x:v>
      </x:c>
      <x:c r="P27" s="101" t="str">
        <x:v>onboarding_performance_prompt</x:v>
      </x:c>
      <x:c r="Q27" s="102" t="str"/>
    </x:row>
    <x:row r="28">
      <x:c r="A28" s="99" t="str">
        <x:v>18:00</x:v>
      </x:c>
      <x:c r="B28" s="100" t="n">
        <x:v>18</x:v>
      </x:c>
      <x:c r="C28" s="101" t="str">
        <x:v>Performance page</x:v>
      </x:c>
      <x:c r="D28" s="101" t="str">
        <x:v>Explain Activity, Revenue, Customers, Hunts</x:v>
      </x:c>
      <x:c r="E28" s="101" t="str">
        <x:v>Review</x:v>
      </x:c>
      <x:c r="F28" s="101" t="str">
        <x:v>Existing formulas only</x:v>
      </x:c>
      <x:c r="G28" s="101" t="str">
        <x:v>First Performance Score view</x:v>
      </x:c>
      <x:c r="H28" s="109" t="n">
        <x:v>0</x:v>
      </x:c>
      <x:c r="I28" s="110" t="n">
        <x:v>25</x:v>
      </x:c>
      <x:c r="J28" s="110" t="n">
        <x:v>4</x:v>
      </x:c>
      <x:c r="K28" s="101" t="str">
        <x:v>Competition understood</x:v>
      </x:c>
      <x:c r="L28" s="101" t="str">
        <x:v>Component bars + eligibility</x:v>
      </x:c>
      <x:c r="M28" s="101" t="str">
        <x:v>No payout estimate</x:v>
      </x:c>
      <x:c r="N28" s="101" t="str">
        <x:v>Can close</x:v>
      </x:c>
      <x:c r="O28" s="101" t="str">
        <x:v>Yes</x:v>
      </x:c>
      <x:c r="P28" s="101" t="str">
        <x:v>onboarding_first_performance</x:v>
      </x:c>
      <x:c r="Q28" s="102" t="str"/>
    </x:row>
    <x:row r="29">
      <x:c r="A29" s="99" t="str">
        <x:v>20:00</x:v>
      </x:c>
      <x:c r="B29" s="100" t="n">
        <x:v>20</x:v>
      </x:c>
      <x:c r="C29" s="101" t="str">
        <x:v>Performance seen</x:v>
      </x:c>
      <x:c r="D29" s="101" t="str">
        <x:v>Completion card: 'Your core empire loop is live.'</x:v>
      </x:c>
      <x:c r="E29" s="101" t="str">
        <x:v>Choose next goal / close</x:v>
      </x:c>
      <x:c r="F29" s="101" t="str">
        <x:v>Mark guided tutorial nearly complete</x:v>
      </x:c>
      <x:c r="G29" s="101" t="str">
        <x:v>Next-goal choice</x:v>
      </x:c>
      <x:c r="H29" s="109" t="n">
        <x:v>0</x:v>
      </x:c>
      <x:c r="I29" s="110" t="n">
        <x:v>0</x:v>
      </x:c>
      <x:c r="J29" s="110" t="n">
        <x:v>4</x:v>
      </x:c>
      <x:c r="K29" s="101" t="str">
        <x:v>Free play transition</x:v>
      </x:c>
      <x:c r="L29" s="101" t="str">
        <x:v>3 goal cards</x:v>
      </x:c>
      <x:c r="M29" s="101" t="str">
        <x:v>Non-blocking</x:v>
      </x:c>
      <x:c r="N29" s="101" t="str">
        <x:v>Can close</x:v>
      </x:c>
      <x:c r="O29" s="101" t="str">
        <x:v>Yes</x:v>
      </x:c>
      <x:c r="P29" s="101" t="str">
        <x:v>onboarding_completion_card</x:v>
      </x:c>
      <x:c r="Q29" s="102" t="str"/>
    </x:row>
    <x:row r="30">
      <x:c r="A30" s="99" t="str">
        <x:v>22:00</x:v>
      </x:c>
      <x:c r="B30" s="100" t="n">
        <x:v>22</x:v>
      </x:c>
      <x:c r="C30" s="101" t="str">
        <x:v>Required milestones complete</x:v>
      </x:c>
      <x:c r="D30" s="101" t="str">
        <x:v>Switch to free play</x:v>
      </x:c>
      <x:c r="E30" s="101" t="str">
        <x:v>Play</x:v>
      </x:c>
      <x:c r="F30" s="101" t="str">
        <x:v>Guided mode ends</x:v>
      </x:c>
      <x:c r="G30" s="101" t="str">
        <x:v>Free play</x:v>
      </x:c>
      <x:c r="H30" s="109" t="n">
        <x:v>0</x:v>
      </x:c>
      <x:c r="I30" s="110" t="n">
        <x:v>0</x:v>
      </x:c>
      <x:c r="J30" s="110" t="n">
        <x:v>4</x:v>
      </x:c>
      <x:c r="K30" s="101" t="str">
        <x:v>Normal game</x:v>
      </x:c>
      <x:c r="L30" s="101" t="str">
        <x:v>Checklist complete</x:v>
      </x:c>
      <x:c r="M30" s="101" t="str">
        <x:v>Persistent goal card only</x:v>
      </x:c>
      <x:c r="N30" s="101" t="str">
        <x:v>Skip already respected</x:v>
      </x:c>
      <x:c r="O30" s="101" t="str">
        <x:v>Yes</x:v>
      </x:c>
      <x:c r="P30" s="101" t="str">
        <x:v>onboarding_freeplay</x:v>
      </x:c>
      <x:c r="Q30" s="102" t="str"/>
    </x:row>
    <x:row r="31">
      <x:c r="A31" s="99" t="str">
        <x:v>25:00</x:v>
      </x:c>
      <x:c r="B31" s="100" t="n">
        <x:v>25</x:v>
      </x:c>
      <x:c r="C31" s="101" t="str">
        <x:v>Lv4; Cash ~900+ plus earnings</x:v>
      </x:c>
      <x:c r="D31" s="101" t="str">
        <x:v>Optional goal: Mini Brokerage Desk</x:v>
      </x:c>
      <x:c r="E31" s="101" t="str">
        <x:v>Build or save</x:v>
      </x:c>
      <x:c r="F31" s="101" t="str">
        <x:v>If built, debit 560</x:v>
      </x:c>
      <x:c r="G31" s="101" t="str">
        <x:v>Optional 4th business</x:v>
      </x:c>
      <x:c r="H31" s="109" t="n">
        <x:v>560</x:v>
      </x:c>
      <x:c r="I31" s="110" t="n">
        <x:v>0</x:v>
      </x:c>
      <x:c r="J31" s="110" t="n">
        <x:v>4</x:v>
      </x:c>
      <x:c r="K31" s="101" t="str">
        <x:v>Brokerage / stock-hunt affinity</x:v>
      </x:c>
      <x:c r="L31" s="101" t="str">
        <x:v>Optional goal progress</x:v>
      </x:c>
      <x:c r="M31" s="101" t="str">
        <x:v>No auto-build</x:v>
      </x:c>
      <x:c r="N31" s="101" t="str">
        <x:v>Can upgrade/save instead</x:v>
      </x:c>
      <x:c r="O31" s="101" t="str">
        <x:v>Yes</x:v>
      </x:c>
      <x:c r="P31" s="101" t="str">
        <x:v>onboarding_optional_brokerage</x:v>
      </x:c>
      <x:c r="Q31" s="102" t="str">
        <x:v>Not required for first Hunt</x:v>
      </x:c>
    </x:row>
    <x:row r="32">
      <x:c r="A32" s="99" t="str">
        <x:v>30:00</x:v>
      </x:c>
      <x:c r="B32" s="100" t="n">
        <x:v>30</x:v>
      </x:c>
      <x:c r="C32" s="101" t="str">
        <x:v>Free play</x:v>
      </x:c>
      <x:c r="D32" s="101" t="str">
        <x:v>No modal tutorial</x:v>
      </x:c>
      <x:c r="E32" s="101" t="str">
        <x:v>Choose any valid action</x:v>
      </x:c>
      <x:c r="F32" s="101" t="str">
        <x:v>Normal game state</x:v>
      </x:c>
      <x:c r="G32" s="101" t="str">
        <x:v>Player owns 3–4 businesses and understands core loop</x:v>
      </x:c>
      <x:c r="H32" s="109" t="n">
        <x:v>0</x:v>
      </x:c>
      <x:c r="I32" s="110" t="n">
        <x:v>0</x:v>
      </x:c>
      <x:c r="J32" s="110" t="n">
        <x:v>4</x:v>
      </x:c>
      <x:c r="K32" s="101" t="str">
        <x:v>Normal core systems</x:v>
      </x:c>
      <x:c r="L32" s="101" t="str">
        <x:v>Organic actions</x:v>
      </x:c>
      <x:c r="M32" s="101" t="str">
        <x:v>No nagging</x:v>
      </x:c>
      <x:c r="N32" s="101" t="str">
        <x:v>All valid play</x:v>
      </x:c>
      <x:c r="O32" s="101" t="str">
        <x:v>Yes</x:v>
      </x:c>
      <x:c r="P32" s="101" t="str">
        <x:v>onboarding_30m_checkpoint</x:v>
      </x:c>
      <x:c r="Q32" s="102" t="str"/>
    </x:row>
    <x:row r="33">
      <x:c r="A33" s="103" t="str">
        <x:v>60:00</x:v>
      </x:c>
      <x:c r="B33" s="104" t="n">
        <x:v>60</x:v>
      </x:c>
      <x:c r="C33" s="105" t="str">
        <x:v>Established first session</x:v>
      </x:c>
      <x:c r="D33" s="105" t="str">
        <x:v>Protection expiry is inbox-only</x:v>
      </x:c>
      <x:c r="E33" s="105" t="str">
        <x:v>Continue normal play</x:v>
      </x:c>
      <x:c r="F33" s="105" t="str">
        <x:v>Enable normal personal-event pool; retain 3× new-player acquisition through 24h</x:v>
      </x:c>
      <x:c r="G33" s="105" t="str">
        <x:v>First-hour onboarding complete</x:v>
      </x:c>
      <x:c r="H33" s="111" t="n">
        <x:v>0</x:v>
      </x:c>
      <x:c r="I33" s="112" t="n">
        <x:v>0</x:v>
      </x:c>
      <x:c r="J33" s="112" t="n">
        <x:v>4</x:v>
      </x:c>
      <x:c r="K33" s="105" t="str">
        <x:v>Normal game</x:v>
      </x:c>
      <x:c r="L33" s="105" t="str">
        <x:v>No forced ceremony</x:v>
      </x:c>
      <x:c r="M33" s="105" t="str">
        <x:v>If offline, transition silently</x:v>
      </x:c>
      <x:c r="N33" s="105" t="str">
        <x:v>N/A</x:v>
      </x:c>
      <x:c r="O33" s="105" t="str">
        <x:v>Yes</x:v>
      </x:c>
      <x:c r="P33" s="105" t="str">
        <x:v>onboarding_hour_1</x:v>
      </x:c>
      <x:c r="Q33" s="106" t="str">
        <x:v>Modules still not forced in first hour</x:v>
      </x:c>
    </x:row>
    <x:row r="34">
      <x:c r="A34" s="35"/>
      <x:c r="B34" s="48"/>
      <x:c r="C34" s="36"/>
      <x:c r="D34" s="36"/>
      <x:c r="E34" s="36"/>
      <x:c r="F34" s="36"/>
      <x:c r="G34" s="36"/>
      <x:c r="H34" s="54"/>
      <x:c r="I34" s="60"/>
      <x:c r="J34" s="60"/>
      <x:c r="K34" s="36"/>
      <x:c r="L34" s="36"/>
      <x:c r="M34" s="36"/>
      <x:c r="N34" s="36"/>
      <x:c r="O34" s="36"/>
      <x:c r="P34" s="36"/>
      <x:c r="Q34" s="37"/>
    </x:row>
  </x:sheetData>
  <x:mergeCells>
    <x:mergeCell ref="A1:Q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92" t="str">
        <x:v>0–5 Minutes — Ownership, Customer, First Cash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  <x:c r="O1" s="22"/>
      <x:c r="P1" s="22"/>
      <x:c r="Q1" s="22"/>
    </x:row>
    <x:row r="3">
      <x:c r="A3" s="14" t="str">
        <x:v>Minute</x:v>
      </x:c>
      <x:c r="B3" s="14" t="str">
        <x:v>Goal</x:v>
      </x:c>
      <x:c r="C3" s="14" t="str">
        <x:v>UI</x:v>
      </x:c>
      <x:c r="D3" s="14" t="str">
        <x:v>Player Action</x:v>
      </x:c>
      <x:c r="E3" s="14" t="str">
        <x:v>System</x:v>
      </x:c>
      <x:c r="F3" s="14" t="str">
        <x:v>Economy</x:v>
      </x:c>
      <x:c r="G3" s="14" t="str">
        <x:v>XP</x:v>
      </x:c>
      <x:c r="H3" s="14" t="str">
        <x:v>Level</x:v>
      </x:c>
      <x:c r="I3" s="14" t="str">
        <x:v>Success Metric</x:v>
      </x:c>
      <x:c r="J3" s="14" t="str">
        <x:v>SLA</x:v>
      </x:c>
      <x:c r="K3" s="14" t="str">
        <x:v>Failure Recovery</x:v>
      </x:c>
      <x:c r="L3" s="14" t="str">
        <x:v>Do Not Do</x:v>
      </x:c>
      <x:c r="M3" s="14" t="str">
        <x:v>Analytics</x:v>
      </x:c>
      <x:c r="N3" s="14" t="str">
        <x:v>Notes</x:v>
      </x:c>
    </x:row>
    <x:row r="4">
      <x:c r="A4" s="113" t="n">
        <x:v>0</x:v>
      </x:c>
      <x:c r="B4" s="97" t="str">
        <x:v>Start building immediately</x:v>
      </x:c>
      <x:c r="C4" s="97" t="str">
        <x:v>Welcome + Build focus</x:v>
      </x:c>
      <x:c r="D4" s="97" t="str">
        <x:v>Start</x:v>
      </x:c>
      <x:c r="E4" s="97" t="str">
        <x:v>Create onboarding session</x:v>
      </x:c>
      <x:c r="F4" s="97" t="str">
        <x:v>2,500 starting Cash</x:v>
      </x:c>
      <x:c r="G4" s="97" t="n">
        <x:v>0</x:v>
      </x:c>
      <x:c r="H4" s="97" t="n">
        <x:v>1</x:v>
      </x:c>
      <x:c r="I4" s="97" t="str">
        <x:v>Start→Build</x:v>
      </x:c>
      <x:c r="J4" s="96" t="n">
        <x:v>0.5</x:v>
      </x:c>
      <x:c r="K4" s="97" t="str">
        <x:v>Pulse Build</x:v>
      </x:c>
      <x:c r="L4" s="97" t="str">
        <x:v>Do not front-load explanations</x:v>
      </x:c>
      <x:c r="M4" s="97" t="str">
        <x:v>onboarding_started</x:v>
      </x:c>
      <x:c r="N4" s="98" t="str"/>
    </x:row>
    <x:row r="5">
      <x:c r="A5" s="114" t="n">
        <x:v>0.7</x:v>
      </x:c>
      <x:c r="B5" s="101" t="str">
        <x:v>Own first business</x:v>
      </x:c>
      <x:c r="C5" s="101" t="str">
        <x:v>Place Cash Kiosk</x:v>
      </x:c>
      <x:c r="D5" s="101" t="str">
        <x:v>Build + debit</x:v>
      </x:c>
      <x:c r="E5" s="101" t="str">
        <x:v>Cash Kiosk live</x:v>
      </x:c>
      <x:c r="F5" s="101" t="str">
        <x:v>-300 Cash</x:v>
      </x:c>
      <x:c r="G5" s="101" t="n">
        <x:v>60</x:v>
      </x:c>
      <x:c r="H5" s="101" t="n">
        <x:v>1</x:v>
      </x:c>
      <x:c r="I5" s="101" t="str">
        <x:v>First building &lt;=1m</x:v>
      </x:c>
      <x:c r="J5" s="100" t="n">
        <x:v>2</x:v>
      </x:c>
      <x:c r="K5" s="101" t="str">
        <x:v>Persistent mission</x:v>
      </x:c>
      <x:c r="L5" s="101" t="str">
        <x:v>Do not make first building free</x:v>
      </x:c>
      <x:c r="M5" s="101" t="str">
        <x:v>onboarding_first_build</x:v>
      </x:c>
      <x:c r="N5" s="102" t="str"/>
    </x:row>
    <x:row r="6">
      <x:c r="A6" s="114" t="n">
        <x:v>1.25</x:v>
      </x:c>
      <x:c r="B6" s="101" t="str">
        <x:v>See first customer</x:v>
      </x:c>
      <x:c r="C6" s="101" t="str">
        <x:v>Observe customer</x:v>
      </x:c>
      <x:c r="D6" s="101" t="str">
        <x:v>Customer acquisition</x:v>
      </x:c>
      <x:c r="E6" s="101" t="str">
        <x:v>Valid customer record</x:v>
      </x:c>
      <x:c r="F6" s="101" t="str">
        <x:v>Normal economy state</x:v>
      </x:c>
      <x:c r="G6" s="101" t="n">
        <x:v>40</x:v>
      </x:c>
      <x:c r="H6" s="101" t="n">
        <x:v>2</x:v>
      </x:c>
      <x:c r="I6" s="101" t="str">
        <x:v>Customer &lt;=2.2m</x:v>
      </x:c>
      <x:c r="J6" s="100" t="n">
        <x:v>2.2</x:v>
      </x:c>
      <x:c r="K6" s="101" t="str">
        <x:v>Demand floor if needed</x:v>
      </x:c>
      <x:c r="L6" s="101" t="str">
        <x:v>No fake customer</x:v>
      </x:c>
      <x:c r="M6" s="101" t="str">
        <x:v>onboarding_first_customer</x:v>
      </x:c>
      <x:c r="N6" s="102" t="str"/>
    </x:row>
    <x:row r="7">
      <x:c r="A7" s="114" t="n">
        <x:v>2.5</x:v>
      </x:c>
      <x:c r="B7" s="101" t="str">
        <x:v>Own second business</x:v>
      </x:c>
      <x:c r="C7" s="101" t="str">
        <x:v>Build Trading Booth</x:v>
      </x:c>
      <x:c r="D7" s="101" t="str">
        <x:v>Build + debit</x:v>
      </x:c>
      <x:c r="E7" s="101" t="str">
        <x:v>2 businesses live</x:v>
      </x:c>
      <x:c r="F7" s="101" t="str">
        <x:v>-370 Cash</x:v>
      </x:c>
      <x:c r="G7" s="101" t="n">
        <x:v>75</x:v>
      </x:c>
      <x:c r="H7" s="101" t="n">
        <x:v>3</x:v>
      </x:c>
      <x:c r="I7" s="101" t="str">
        <x:v>Second building &lt;=3.3m</x:v>
      </x:c>
      <x:c r="J7" s="100" t="n">
        <x:v>3.3</x:v>
      </x:c>
      <x:c r="K7" s="101" t="str">
        <x:v>Auto-focus Trading Booth</x:v>
      </x:c>
      <x:c r="L7" s="101" t="str">
        <x:v>Do not wait for first Cash before expanding</x:v>
      </x:c>
      <x:c r="M7" s="101" t="str">
        <x:v>onboarding_second_business</x:v>
      </x:c>
      <x:c r="N7" s="102" t="str"/>
    </x:row>
    <x:row r="8">
      <x:c r="A8" s="115" t="n">
        <x:v>3</x:v>
      </x:c>
      <x:c r="B8" s="36" t="str">
        <x:v>Prepare first placement strategy</x:v>
      </x:c>
      <x:c r="C8" s="36" t="str">
        <x:v>Select Savings Stand</x:v>
      </x:c>
      <x:c r="D8" s="36" t="str">
        <x:v>Adjacency preview</x:v>
      </x:c>
      <x:c r="E8" s="36" t="str">
        <x:v>Synergy ghost</x:v>
      </x:c>
      <x:c r="F8" s="36" t="str">
        <x:v>Preview 460 cost</x:v>
      </x:c>
      <x:c r="G8" s="36" t="n">
        <x:v>0</x:v>
      </x:c>
      <x:c r="H8" s="36" t="n">
        <x:v>3</x:v>
      </x:c>
      <x:c r="I8" s="36" t="str">
        <x:v>Savings placement started</x:v>
      </x:c>
      <x:c r="J8" s="48" t="n">
        <x:v>3.6</x:v>
      </x:c>
      <x:c r="K8" s="36" t="str">
        <x:v>Snap hint</x:v>
      </x:c>
      <x:c r="L8" s="36" t="str">
        <x:v>Do not require exact tile</x:v>
      </x:c>
      <x:c r="M8" s="36" t="str">
        <x:v>onboarding_synergy_preview</x:v>
      </x:c>
      <x:c r="N8" s="116" t="str"/>
    </x:row>
    <x:row r="9">
      <x:c r="A9" s="114" t="n">
        <x:v>4</x:v>
      </x:c>
      <x:c r="B9" s="101" t="str">
        <x:v>Own third business</x:v>
      </x:c>
      <x:c r="C9" s="101" t="str">
        <x:v>Build Savings Stand adjacent</x:v>
      </x:c>
      <x:c r="D9" s="101" t="str">
        <x:v>Build + debit</x:v>
      </x:c>
      <x:c r="E9" s="101" t="str">
        <x:v>3 businesses live</x:v>
      </x:c>
      <x:c r="F9" s="101" t="str">
        <x:v>-460 Cash</x:v>
      </x:c>
      <x:c r="G9" s="101" t="n">
        <x:v>60</x:v>
      </x:c>
      <x:c r="H9" s="101" t="n">
        <x:v>3</x:v>
      </x:c>
      <x:c r="I9" s="101" t="str">
        <x:v>Third building &lt;=4.8m</x:v>
      </x:c>
      <x:c r="J9" s="100" t="n">
        <x:v>4.8</x:v>
      </x:c>
      <x:c r="K9" s="101" t="str">
        <x:v>Free relocation if missed</x:v>
      </x:c>
      <x:c r="L9" s="101" t="str">
        <x:v>No artificial free building</x:v>
      </x:c>
      <x:c r="M9" s="101" t="str">
        <x:v>onboarding_third_business</x:v>
      </x:c>
      <x:c r="N9" s="102" t="str"/>
    </x:row>
    <x:row r="10">
      <x:c r="A10" s="114" t="n">
        <x:v>4.17</x:v>
      </x:c>
      <x:c r="B10" s="101" t="str">
        <x:v>Trigger first synergy</x:v>
      </x:c>
      <x:c r="C10" s="101" t="str">
        <x:v>Acknowledge Cash Access Loop</x:v>
      </x:c>
      <x:c r="D10" s="101" t="str">
        <x:v>Placement resolver</x:v>
      </x:c>
      <x:c r="E10" s="101" t="str">
        <x:v>Kiosk + Savings +6% consumer acquisition</x:v>
      </x:c>
      <x:c r="F10" s="101" t="n">
        <x:v>0</x:v>
      </x:c>
      <x:c r="G10" s="101" t="n">
        <x:v>40</x:v>
      </x:c>
      <x:c r="H10" s="101" t="n">
        <x:v>4</x:v>
      </x:c>
      <x:c r="I10" s="101" t="str">
        <x:v>Synergy &lt;=5m</x:v>
      </x:c>
      <x:c r="J10" s="100" t="n">
        <x:v>5</x:v>
      </x:c>
      <x:c r="K10" s="101" t="str">
        <x:v>Free relocation once</x:v>
      </x:c>
      <x:c r="L10" s="101" t="str">
        <x:v>No direct score reward</x:v>
      </x:c>
      <x:c r="M10" s="101" t="str">
        <x:v>onboarding_first_synergy</x:v>
      </x:c>
      <x:c r="N10" s="102" t="str"/>
    </x:row>
    <x:row r="11">
      <x:c r="A11" s="117" t="n">
        <x:v>5</x:v>
      </x:c>
      <x:c r="B11" s="105" t="str">
        <x:v>See first real earnings from a small district</x:v>
      </x:c>
      <x:c r="C11" s="105" t="str">
        <x:v>Observe Cash tick</x:v>
      </x:c>
      <x:c r="D11" s="105" t="str">
        <x:v>Economy tick</x:v>
      </x:c>
      <x:c r="E11" s="105" t="str">
        <x:v>Cash from active businesses</x:v>
      </x:c>
      <x:c r="F11" s="105" t="str">
        <x:v>Actual customer-driven delta</x:v>
      </x:c>
      <x:c r="G11" s="105" t="n">
        <x:v>25</x:v>
      </x:c>
      <x:c r="H11" s="105" t="n">
        <x:v>4</x:v>
      </x:c>
      <x:c r="I11" s="105" t="str">
        <x:v>First Cash &lt;=6m</x:v>
      </x:c>
      <x:c r="J11" s="104" t="n">
        <x:v>6</x:v>
      </x:c>
      <x:c r="K11" s="105" t="str">
        <x:v>Catch-up tick if delayed</x:v>
      </x:c>
      <x:c r="L11" s="105" t="str">
        <x:v>No fake mission Cash</x:v>
      </x:c>
      <x:c r="M11" s="105" t="str">
        <x:v>onboarding_first_cash</x:v>
      </x:c>
      <x:c r="N11" s="106" t="str">
        <x:v>By minute 5 the player has 3 buildings, not one</x:v>
      </x:c>
    </x:row>
  </x:sheetData>
  <x:mergeCells>
    <x:mergeCell ref="A1:N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92" t="str">
        <x:v>5–15 Minutes — Upgrade, Expansion &amp; First Synergy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  <x:c r="O1" s="22"/>
      <x:c r="P1" s="22"/>
      <x:c r="Q1" s="22"/>
    </x:row>
    <x:row r="3">
      <x:c r="A3" s="14" t="str">
        <x:v>Minute</x:v>
      </x:c>
      <x:c r="B3" s="14" t="str">
        <x:v>Goal</x:v>
      </x:c>
      <x:c r="C3" s="14" t="str">
        <x:v>Required Action</x:v>
      </x:c>
      <x:c r="D3" s="14" t="str">
        <x:v>Cash Cost</x:v>
      </x:c>
      <x:c r="E3" s="14" t="str">
        <x:v>XP</x:v>
      </x:c>
      <x:c r="F3" s="14" t="str">
        <x:v>Level Result</x:v>
      </x:c>
      <x:c r="G3" s="14" t="str">
        <x:v>Building Result</x:v>
      </x:c>
      <x:c r="H3" s="14" t="str">
        <x:v>Feature Learned</x:v>
      </x:c>
      <x:c r="I3" s="14" t="str">
        <x:v>Success Signal</x:v>
      </x:c>
      <x:c r="J3" s="14" t="str">
        <x:v>Hard SLA</x:v>
      </x:c>
      <x:c r="K3" s="14" t="str">
        <x:v>Recovery</x:v>
      </x:c>
      <x:c r="L3" s="14" t="str">
        <x:v>Can Deviate?</x:v>
      </x:c>
      <x:c r="M3" s="14" t="str">
        <x:v>Analytics</x:v>
      </x:c>
      <x:c r="N3" s="14" t="str">
        <x:v>Notes</x:v>
      </x:c>
    </x:row>
    <x:row r="4">
      <x:c r="A4" s="113" t="n">
        <x:v>5.5</x:v>
      </x:c>
      <x:c r="B4" s="97" t="str">
        <x:v>Learn upgrades</x:v>
      </x:c>
      <x:c r="C4" s="97" t="str">
        <x:v>Open Cash Kiosk detail</x:v>
      </x:c>
      <x:c r="D4" s="107" t="n">
        <x:v>0</x:v>
      </x:c>
      <x:c r="E4" s="108" t="n">
        <x:v>0</x:v>
      </x:c>
      <x:c r="F4" s="108" t="n">
        <x:v>4</x:v>
      </x:c>
      <x:c r="G4" s="97" t="str">
        <x:v>3 businesses operating</x:v>
      </x:c>
      <x:c r="H4" s="97" t="str">
        <x:v>Upgrades</x:v>
      </x:c>
      <x:c r="I4" s="97" t="str">
        <x:v>Before/after stats</x:v>
      </x:c>
      <x:c r="J4" s="96" t="n">
        <x:v>6.5</x:v>
      </x:c>
      <x:c r="K4" s="97" t="str">
        <x:v>Auto-open detail if idle</x:v>
      </x:c>
      <x:c r="L4" s="97" t="str">
        <x:v>Yes</x:v>
      </x:c>
      <x:c r="M4" s="97" t="str">
        <x:v>onboarding_upgrade_opened</x:v>
      </x:c>
      <x:c r="N4" s="98" t="str"/>
    </x:row>
    <x:row r="5">
      <x:c r="A5" s="114" t="n">
        <x:v>6.5</x:v>
      </x:c>
      <x:c r="B5" s="101" t="str">
        <x:v>Strengthen first business</x:v>
      </x:c>
      <x:c r="C5" s="101" t="str">
        <x:v>Upgrade Cash Kiosk to Lv2</x:v>
      </x:c>
      <x:c r="D5" s="109" t="n">
        <x:v>465</x:v>
      </x:c>
      <x:c r="E5" s="110" t="n">
        <x:v>100</x:v>
      </x:c>
      <x:c r="F5" s="110" t="n">
        <x:v>4</x:v>
      </x:c>
      <x:c r="G5" s="101" t="str">
        <x:v>Kiosk Lv2</x:v>
      </x:c>
      <x:c r="H5" s="101" t="str">
        <x:v>Upgrade progression</x:v>
      </x:c>
      <x:c r="I5" s="101" t="str">
        <x:v>Visible stat/art change</x:v>
      </x:c>
      <x:c r="J5" s="100" t="n">
        <x:v>8</x:v>
      </x:c>
      <x:c r="K5" s="101" t="str">
        <x:v>Exact-shortfall recovery only if blocked</x:v>
      </x:c>
      <x:c r="L5" s="101" t="str">
        <x:v>Yes</x:v>
      </x:c>
      <x:c r="M5" s="101" t="str">
        <x:v>onboarding_first_upgrade</x:v>
      </x:c>
      <x:c r="N5" s="102" t="str"/>
    </x:row>
    <x:row r="6">
      <x:c r="A6" s="114" t="n">
        <x:v>7.25</x:v>
      </x:c>
      <x:c r="B6" s="101" t="str">
        <x:v>Discover active market gameplay</x:v>
      </x:c>
      <x:c r="C6" s="101" t="str">
        <x:v>Open Market/Hunts</x:v>
      </x:c>
      <x:c r="D6" s="109" t="n">
        <x:v>0</x:v>
      </x:c>
      <x:c r="E6" s="110" t="n">
        <x:v>0</x:v>
      </x:c>
      <x:c r="F6" s="110" t="n">
        <x:v>4</x:v>
      </x:c>
      <x:c r="G6" s="101" t="str">
        <x:v>Starter Hunt available</x:v>
      </x:c>
      <x:c r="H6" s="101" t="str">
        <x:v>Hunts</x:v>
      </x:c>
      <x:c r="I6" s="101" t="str">
        <x:v>Highlighted Hunt</x:v>
      </x:c>
      <x:c r="J6" s="100" t="n">
        <x:v>10</x:v>
      </x:c>
      <x:c r="K6" s="101" t="str">
        <x:v>Market nav pulse</x:v>
      </x:c>
      <x:c r="L6" s="101" t="str">
        <x:v>Yes</x:v>
      </x:c>
      <x:c r="M6" s="101" t="str">
        <x:v>onboarding_market_open</x:v>
      </x:c>
      <x:c r="N6" s="102" t="str"/>
    </x:row>
    <x:row r="7">
      <x:c r="A7" s="114" t="n">
        <x:v>8.5</x:v>
      </x:c>
      <x:c r="B7" s="101" t="str">
        <x:v>Start first Hunt</x:v>
      </x:c>
      <x:c r="C7" s="101" t="str">
        <x:v>Choose Tech / Consumer / Broad Market</x:v>
      </x:c>
      <x:c r="D7" s="109" t="n">
        <x:v>0</x:v>
      </x:c>
      <x:c r="E7" s="110" t="n">
        <x:v>0</x:v>
      </x:c>
      <x:c r="F7" s="110" t="n">
        <x:v>4</x:v>
      </x:c>
      <x:c r="G7" s="101" t="str">
        <x:v>Hunt objective 0/2</x:v>
      </x:c>
      <x:c r="H7" s="101" t="str">
        <x:v>Market choice</x:v>
      </x:c>
      <x:c r="I7" s="101" t="str">
        <x:v>Progress meter</x:v>
      </x:c>
      <x:c r="J7" s="100" t="n">
        <x:v>10.5</x:v>
      </x:c>
      <x:c r="K7" s="101" t="str">
        <x:v>Quick Start only if explicit</x:v>
      </x:c>
      <x:c r="L7" s="101" t="str">
        <x:v>Yes</x:v>
      </x:c>
      <x:c r="M7" s="101" t="str">
        <x:v>onboarding_hunt_started</x:v>
      </x:c>
      <x:c r="N7" s="102" t="str"/>
    </x:row>
    <x:row r="8">
      <x:c r="A8" s="115" t="n">
        <x:v>14</x:v>
      </x:c>
      <x:c r="B8" s="36" t="str">
        <x:v>Complete first Hunt</x:v>
      </x:c>
      <x:c r="C8" s="36" t="str">
        <x:v>Generate 2 eligible Activity Points</x:v>
      </x:c>
      <x:c r="D8" s="54" t="n">
        <x:v>0</x:v>
      </x:c>
      <x:c r="E8" s="60" t="n">
        <x:v>25</x:v>
      </x:c>
      <x:c r="F8" s="60" t="n">
        <x:v>4</x:v>
      </x:c>
      <x:c r="G8" s="36" t="str">
        <x:v>Hunt complete</x:v>
      </x:c>
      <x:c r="H8" s="36" t="str">
        <x:v>Active play → reward</x:v>
      </x:c>
      <x:c r="I8" s="36" t="str">
        <x:v>2/2 + reveal</x:v>
      </x:c>
      <x:c r="J8" s="48" t="n">
        <x:v>16</x:v>
      </x:c>
      <x:c r="K8" s="36" t="str">
        <x:v>Validated &gt;=1 fallback only for system lag</x:v>
      </x:c>
      <x:c r="L8" s="36" t="str">
        <x:v>Yes</x:v>
      </x:c>
      <x:c r="M8" s="36" t="str">
        <x:v>onboarding_first_hunt_complete</x:v>
      </x:c>
      <x:c r="N8" s="116" t="str"/>
    </x:row>
    <x:row r="9">
      <x:c r="A9" s="114" t="n">
        <x:v>14.2</x:v>
      </x:c>
      <x:c r="B9" s="101" t="str">
        <x:v>Receive first stock fragment</x:v>
      </x:c>
      <x:c r="C9" s="101" t="str">
        <x:v>Claim guaranteed Common packet</x:v>
      </x:c>
      <x:c r="D9" s="109" t="n">
        <x:v>0</x:v>
      </x:c>
      <x:c r="E9" s="110" t="n">
        <x:v>0</x:v>
      </x:c>
      <x:c r="F9" s="110" t="n">
        <x:v>4</x:v>
      </x:c>
      <x:c r="G9" s="101" t="str">
        <x:v>First stock asset</x:v>
      </x:c>
      <x:c r="H9" s="101" t="str">
        <x:v>Stock reward</x:v>
      </x:c>
      <x:c r="I9" s="101" t="str">
        <x:v>Reward reveal</x:v>
      </x:c>
      <x:c r="J9" s="100" t="n">
        <x:v>16.2</x:v>
      </x:c>
      <x:c r="K9" s="101" t="str">
        <x:v>Claim persists</x:v>
      </x:c>
      <x:c r="L9" s="101" t="str">
        <x:v>Yes</x:v>
      </x:c>
      <x:c r="M9" s="101" t="str">
        <x:v>onboarding_first_stock</x:v>
      </x:c>
      <x:c r="N9" s="102" t="str"/>
    </x:row>
    <x:row r="10">
      <x:c r="A10" s="117" t="n">
        <x:v>14.5</x:v>
      </x:c>
      <x:c r="B10" s="105" t="str">
        <x:v>View Portfolio</x:v>
      </x:c>
      <x:c r="C10" s="105" t="str">
        <x:v>Open reward CTA</x:v>
      </x:c>
      <x:c r="D10" s="111" t="n">
        <x:v>0</x:v>
      </x:c>
      <x:c r="E10" s="112" t="n">
        <x:v>0</x:v>
      </x:c>
      <x:c r="F10" s="112" t="n">
        <x:v>4</x:v>
      </x:c>
      <x:c r="G10" s="105" t="str">
        <x:v>Portfolio position visible</x:v>
      </x:c>
      <x:c r="H10" s="105" t="str">
        <x:v>Asset tracking</x:v>
      </x:c>
      <x:c r="I10" s="105" t="str">
        <x:v>Position card</x:v>
      </x:c>
      <x:c r="J10" s="104" t="n">
        <x:v>17</x:v>
      </x:c>
      <x:c r="K10" s="105" t="str">
        <x:v>CTA persists</x:v>
      </x:c>
      <x:c r="L10" s="105" t="str">
        <x:v>Yes</x:v>
      </x:c>
      <x:c r="M10" s="105" t="str">
        <x:v>onboarding_first_portfolio</x:v>
      </x:c>
      <x:c r="N10" s="106" t="str"/>
    </x:row>
  </x:sheetData>
  <x:mergeCells>
    <x:mergeCell ref="A1:N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92" t="str">
        <x:v>15–30 Minutes — Hunt, Stock Discovery &amp; Performance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  <x:c r="O1" s="22"/>
      <x:c r="P1" s="22"/>
      <x:c r="Q1" s="22"/>
    </x:row>
    <x:row r="3">
      <x:c r="A3" s="14" t="str">
        <x:v>Minute</x:v>
      </x:c>
      <x:c r="B3" s="14" t="str">
        <x:v>Goal</x:v>
      </x:c>
      <x:c r="C3" s="14" t="str">
        <x:v>Player Action</x:v>
      </x:c>
      <x:c r="D3" s="14" t="str">
        <x:v>System Requirement</x:v>
      </x:c>
      <x:c r="E3" s="14" t="str">
        <x:v>Reward / Result</x:v>
      </x:c>
      <x:c r="F3" s="14" t="str">
        <x:v>Guaranteed?</x:v>
      </x:c>
      <x:c r="G3" s="14" t="str">
        <x:v>RNG?</x:v>
      </x:c>
      <x:c r="H3" s="14" t="str">
        <x:v>Performance Effect</x:v>
      </x:c>
      <x:c r="I3" s="14" t="str">
        <x:v>UI</x:v>
      </x:c>
      <x:c r="J3" s="14" t="str">
        <x:v>SLA</x:v>
      </x:c>
      <x:c r="K3" s="14" t="str">
        <x:v>Recovery</x:v>
      </x:c>
      <x:c r="L3" s="14" t="str">
        <x:v>Analytics</x:v>
      </x:c>
      <x:c r="M3" s="14" t="str">
        <x:v>Priority</x:v>
      </x:c>
      <x:c r="N3" s="14" t="str">
        <x:v>Notes</x:v>
      </x:c>
    </x:row>
    <x:row r="4">
      <x:c r="A4" s="113" t="n">
        <x:v>15.5</x:v>
      </x:c>
      <x:c r="B4" s="97" t="str">
        <x:v>Create breathing room</x:v>
      </x:c>
      <x:c r="C4" s="97" t="str">
        <x:v>Return to Plot and inspect the 3-business district</x:v>
      </x:c>
      <x:c r="D4" s="97" t="str">
        <x:v>No modal requirement</x:v>
      </x:c>
      <x:c r="E4" s="97" t="str">
        <x:v>Self-directed play</x:v>
      </x:c>
      <x:c r="F4" s="97" t="str">
        <x:v>Yes</x:v>
      </x:c>
      <x:c r="G4" s="97" t="str">
        <x:v>No</x:v>
      </x:c>
      <x:c r="H4" s="97" t="str">
        <x:v>Underlying play only</x:v>
      </x:c>
      <x:c r="I4" s="97" t="str">
        <x:v>Plot</x:v>
      </x:c>
      <x:c r="J4" s="96" t="n">
        <x:v>18</x:v>
      </x:c>
      <x:c r="K4" s="97" t="str">
        <x:v>No recovery needed</x:v>
      </x:c>
      <x:c r="L4" s="97" t="str">
        <x:v>onboarding_breathing_room</x:v>
      </x:c>
      <x:c r="M4" s="97" t="str">
        <x:v>P1</x:v>
      </x:c>
      <x:c r="N4" s="98" t="str"/>
    </x:row>
    <x:row r="5">
      <x:c r="A5" s="114" t="n">
        <x:v>17</x:v>
      </x:c>
      <x:c r="B5" s="101" t="str">
        <x:v>Discover Performance</x:v>
      </x:c>
      <x:c r="C5" s="101" t="str">
        <x:v>Open Performance coachmark</x:v>
      </x:c>
      <x:c r="D5" s="101" t="str">
        <x:v>Provisional weekly aggregate available</x:v>
      </x:c>
      <x:c r="E5" s="101" t="str">
        <x:v>Performance screen</x:v>
      </x:c>
      <x:c r="F5" s="101" t="str">
        <x:v>Yes</x:v>
      </x:c>
      <x:c r="G5" s="101" t="str">
        <x:v>No special score</x:v>
      </x:c>
      <x:c r="H5" s="101" t="str">
        <x:v>Existing formulas only</x:v>
      </x:c>
      <x:c r="I5" s="101" t="str">
        <x:v>Performance nav</x:v>
      </x:c>
      <x:c r="J5" s="100" t="n">
        <x:v>22</x:v>
      </x:c>
      <x:c r="K5" s="101" t="str">
        <x:v>Prompt again once</x:v>
      </x:c>
      <x:c r="L5" s="101" t="str">
        <x:v>onboarding_performance_prompt</x:v>
      </x:c>
      <x:c r="M5" s="101" t="str">
        <x:v>P0</x:v>
      </x:c>
      <x:c r="N5" s="102" t="str"/>
    </x:row>
    <x:row r="6">
      <x:c r="A6" s="114" t="n">
        <x:v>18</x:v>
      </x:c>
      <x:c r="B6" s="101" t="str">
        <x:v>Understand weekly competition</x:v>
      </x:c>
      <x:c r="C6" s="101" t="str">
        <x:v>Review Activity, Revenue, Customers, Hunts</x:v>
      </x:c>
      <x:c r="D6" s="101" t="str">
        <x:v>Existing component formulas</x:v>
      </x:c>
      <x:c r="E6" s="101" t="str">
        <x:v>First Performance Score view</x:v>
      </x:c>
      <x:c r="F6" s="101" t="str">
        <x:v>Yes</x:v>
      </x:c>
      <x:c r="G6" s="101" t="str">
        <x:v>No</x:v>
      </x:c>
      <x:c r="H6" s="101" t="str">
        <x:v>No payout estimate yet</x:v>
      </x:c>
      <x:c r="I6" s="101" t="str">
        <x:v>Provisional component bars</x:v>
      </x:c>
      <x:c r="J6" s="100" t="n">
        <x:v>22</x:v>
      </x:c>
      <x:c r="K6" s="101" t="str">
        <x:v>Can defer</x:v>
      </x:c>
      <x:c r="L6" s="101" t="str">
        <x:v>onboarding_first_performance</x:v>
      </x:c>
      <x:c r="M6" s="101" t="str">
        <x:v>P0</x:v>
      </x:c>
      <x:c r="N6" s="102" t="str"/>
    </x:row>
    <x:row r="7">
      <x:c r="A7" s="114" t="n">
        <x:v>20</x:v>
      </x:c>
      <x:c r="B7" s="101" t="str">
        <x:v>Choose next direction</x:v>
      </x:c>
      <x:c r="C7" s="101" t="str">
        <x:v>Select Build / Upgrade / Hunt again</x:v>
      </x:c>
      <x:c r="D7" s="101" t="str">
        <x:v>Normal systems</x:v>
      </x:c>
      <x:c r="E7" s="101" t="str">
        <x:v>Next-goal card</x:v>
      </x:c>
      <x:c r="F7" s="101" t="str">
        <x:v>Yes</x:v>
      </x:c>
      <x:c r="G7" s="101" t="str">
        <x:v>No</x:v>
      </x:c>
      <x:c r="H7" s="101" t="str">
        <x:v>Normal thereafter</x:v>
      </x:c>
      <x:c r="I7" s="101" t="str">
        <x:v>Completion card</x:v>
      </x:c>
      <x:c r="J7" s="100" t="n">
        <x:v>25</x:v>
      </x:c>
      <x:c r="K7" s="101" t="str">
        <x:v>Non-blocking</x:v>
      </x:c>
      <x:c r="L7" s="101" t="str">
        <x:v>onboarding_completion_card</x:v>
      </x:c>
      <x:c r="M7" s="101" t="str">
        <x:v>P1</x:v>
      </x:c>
      <x:c r="N7" s="102" t="str"/>
    </x:row>
    <x:row r="8">
      <x:c r="A8" s="114" t="n">
        <x:v>22</x:v>
      </x:c>
      <x:c r="B8" s="101" t="str">
        <x:v>Enter free play</x:v>
      </x:c>
      <x:c r="C8" s="101" t="str">
        <x:v>Close guided mode / choose goal</x:v>
      </x:c>
      <x:c r="D8" s="101" t="str">
        <x:v>Mandatory milestones complete</x:v>
      </x:c>
      <x:c r="E8" s="101" t="str">
        <x:v>Guided tutorial ends</x:v>
      </x:c>
      <x:c r="F8" s="101" t="str">
        <x:v>Yes</x:v>
      </x:c>
      <x:c r="G8" s="101" t="str">
        <x:v>No</x:v>
      </x:c>
      <x:c r="H8" s="101" t="str">
        <x:v>Normal thereafter</x:v>
      </x:c>
      <x:c r="I8" s="101" t="str">
        <x:v>Plot</x:v>
      </x:c>
      <x:c r="J8" s="100" t="n">
        <x:v>27</x:v>
      </x:c>
      <x:c r="K8" s="101" t="str">
        <x:v>Checklist persists</x:v>
      </x:c>
      <x:c r="L8" s="101" t="str">
        <x:v>onboarding_freeplay</x:v>
      </x:c>
      <x:c r="M8" s="101" t="str">
        <x:v>P0</x:v>
      </x:c>
      <x:c r="N8" s="102" t="str"/>
    </x:row>
    <x:row r="9">
      <x:c r="A9" s="114" t="n">
        <x:v>25</x:v>
      </x:c>
      <x:c r="B9" s="101" t="str">
        <x:v>Optional fourth business</x:v>
      </x:c>
      <x:c r="C9" s="101" t="str">
        <x:v>Build Mini Brokerage Desk or save</x:v>
      </x:c>
      <x:c r="D9" s="101" t="str">
        <x:v>Requires 560 Cash if chosen</x:v>
      </x:c>
      <x:c r="E9" s="101" t="str">
        <x:v>4th business optional</x:v>
      </x:c>
      <x:c r="F9" s="101" t="str">
        <x:v>No</x:v>
      </x:c>
      <x:c r="G9" s="101" t="str">
        <x:v>No</x:v>
      </x:c>
      <x:c r="H9" s="101" t="str">
        <x:v>Normal business effects</x:v>
      </x:c>
      <x:c r="I9" s="101" t="str">
        <x:v>Build catalog</x:v>
      </x:c>
      <x:c r="J9" s="100" t="n">
        <x:v>30</x:v>
      </x:c>
      <x:c r="K9" s="101" t="str">
        <x:v>No subsidy</x:v>
      </x:c>
      <x:c r="L9" s="101" t="str">
        <x:v>onboarding_optional_brokerage</x:v>
      </x:c>
      <x:c r="M9" s="101" t="str">
        <x:v>P1</x:v>
      </x:c>
      <x:c r="N9" s="102" t="str"/>
    </x:row>
    <x:row r="10">
      <x:c r="A10" s="117" t="n">
        <x:v>30</x:v>
      </x:c>
      <x:c r="B10" s="105" t="str">
        <x:v>30-minute checkpoint</x:v>
      </x:c>
      <x:c r="C10" s="105" t="str">
        <x:v>Continue own strategy</x:v>
      </x:c>
      <x:c r="D10" s="105" t="str">
        <x:v>Normal game</x:v>
      </x:c>
      <x:c r="E10" s="105" t="str">
        <x:v>3–4 businesses + core loop understood</x:v>
      </x:c>
      <x:c r="F10" s="105" t="str">
        <x:v>Yes</x:v>
      </x:c>
      <x:c r="G10" s="105" t="str">
        <x:v>No</x:v>
      </x:c>
      <x:c r="H10" s="105" t="str">
        <x:v>Normal</x:v>
      </x:c>
      <x:c r="I10" s="105" t="str">
        <x:v>Plot/Goals</x:v>
      </x:c>
      <x:c r="J10" s="104" t="n">
        <x:v>35</x:v>
      </x:c>
      <x:c r="K10" s="105" t="str">
        <x:v>None</x:v>
      </x:c>
      <x:c r="L10" s="105" t="str">
        <x:v>onboarding_30m_checkpoint</x:v>
      </x:c>
      <x:c r="M10" s="105" t="str">
        <x:v>P0</x:v>
      </x:c>
      <x:c r="N10" s="106" t="str"/>
    </x:row>
  </x:sheetData>
  <x:mergeCells>
    <x:mergeCell ref="A1:N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92" t="str">
        <x:v>30–60 Minutes — Free Play &amp; Retention Bridge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  <x:c r="O1" s="22"/>
      <x:c r="P1" s="22"/>
      <x:c r="Q1" s="22"/>
    </x:row>
    <x:row r="3">
      <x:c r="A3" s="14" t="str">
        <x:v>Window</x:v>
      </x:c>
      <x:c r="B3" s="14" t="str">
        <x:v>Player Goal</x:v>
      </x:c>
      <x:c r="C3" s="14" t="str">
        <x:v>Recommended Prompt</x:v>
      </x:c>
      <x:c r="D3" s="14" t="str">
        <x:v>Required?</x:v>
      </x:c>
      <x:c r="E3" s="14" t="str">
        <x:v>Allowed Choices</x:v>
      </x:c>
      <x:c r="F3" s="14" t="str">
        <x:v>Economy Constraint</x:v>
      </x:c>
      <x:c r="G3" s="14" t="str">
        <x:v>Systems Exposed</x:v>
      </x:c>
      <x:c r="H3" s="14" t="str">
        <x:v>Systems Deliberately Delayed</x:v>
      </x:c>
      <x:c r="I3" s="14" t="str">
        <x:v>Event Treatment</x:v>
      </x:c>
      <x:c r="J3" s="14" t="str">
        <x:v>Success Metric</x:v>
      </x:c>
      <x:c r="K3" s="14" t="str">
        <x:v>Failure Recovery</x:v>
      </x:c>
      <x:c r="L3" s="14" t="str">
        <x:v>Analytics</x:v>
      </x:c>
      <x:c r="M3" s="14" t="str">
        <x:v>Priority</x:v>
      </x:c>
      <x:c r="N3" s="14" t="str">
        <x:v>Notes</x:v>
      </x:c>
    </x:row>
    <x:row r="4">
      <x:c r="A4" s="95" t="str">
        <x:v>30–40</x:v>
      </x:c>
      <x:c r="B4" s="97" t="str">
        <x:v>Deepen chosen strategy</x:v>
      </x:c>
      <x:c r="C4" s="97" t="str">
        <x:v>Contextual tip only after meaningful action</x:v>
      </x:c>
      <x:c r="D4" s="97" t="str">
        <x:v>No</x:v>
      </x:c>
      <x:c r="E4" s="97" t="str">
        <x:v>Upgrade / 4th business / second Hunt / rearrange</x:v>
      </x:c>
      <x:c r="F4" s="97" t="str">
        <x:v>Canonical economy</x:v>
      </x:c>
      <x:c r="G4" s="97" t="str">
        <x:v>Build, Customers, Hunts, Portfolio, Performance</x:v>
      </x:c>
      <x:c r="H4" s="97" t="str">
        <x:v>Modules/crafting still not forced</x:v>
      </x:c>
      <x:c r="I4" s="97" t="str">
        <x:v>Personal negative events suppressed</x:v>
      </x:c>
      <x:c r="J4" s="97" t="str">
        <x:v>At least one self-directed action</x:v>
      </x:c>
      <x:c r="K4" s="97" t="str">
        <x:v>No modal nag</x:v>
      </x:c>
      <x:c r="L4" s="97" t="str">
        <x:v>onboarding_self_directed_action</x:v>
      </x:c>
      <x:c r="M4" s="97" t="str">
        <x:v>P1</x:v>
      </x:c>
      <x:c r="N4" s="98" t="str"/>
    </x:row>
    <x:row r="5">
      <x:c r="A5" s="99" t="str">
        <x:v>40–50</x:v>
      </x:c>
      <x:c r="B5" s="101" t="str">
        <x:v>Let player experiment</x:v>
      </x:c>
      <x:c r="C5" s="101" t="str">
        <x:v>No fixed path</x:v>
      </x:c>
      <x:c r="D5" s="101" t="str">
        <x:v>No</x:v>
      </x:c>
      <x:c r="E5" s="101" t="str">
        <x:v>Any valid play</x:v>
      </x:c>
      <x:c r="F5" s="101" t="str">
        <x:v>Canonical economy</x:v>
      </x:c>
      <x:c r="G5" s="101" t="str">
        <x:v>Normal core systems</x:v>
      </x:c>
      <x:c r="H5" s="101" t="str">
        <x:v>Deep league/payout math</x:v>
      </x:c>
      <x:c r="I5" s="101" t="str">
        <x:v>Global events can appear</x:v>
      </x:c>
      <x:c r="J5" s="101" t="str">
        <x:v>Organic action diversity</x:v>
      </x:c>
      <x:c r="K5" s="101" t="str">
        <x:v>None</x:v>
      </x:c>
      <x:c r="L5" s="101" t="str">
        <x:v>onboarding_experiment_window</x:v>
      </x:c>
      <x:c r="M5" s="101" t="str">
        <x:v>P1</x:v>
      </x:c>
      <x:c r="N5" s="102" t="str"/>
    </x:row>
    <x:row r="6">
      <x:c r="A6" s="99" t="str">
        <x:v>50–60</x:v>
      </x:c>
      <x:c r="B6" s="101" t="str">
        <x:v>Create return reason</x:v>
      </x:c>
      <x:c r="C6" s="101" t="str">
        <x:v>Next 3 Days card</x:v>
      </x:c>
      <x:c r="D6" s="101" t="str">
        <x:v>No</x:v>
      </x:c>
      <x:c r="E6" s="101" t="str">
        <x:v>Dismiss or inspect</x:v>
      </x:c>
      <x:c r="F6" s="101" t="str">
        <x:v>No reward inflation</x:v>
      </x:c>
      <x:c r="G6" s="101" t="str">
        <x:v>Daily Hunts, weekly Performance, building growth</x:v>
      </x:c>
      <x:c r="H6" s="101" t="str">
        <x:v>No forced Module tutorial</x:v>
      </x:c>
      <x:c r="I6" s="101" t="str">
        <x:v>No punitive personal event before 60m</x:v>
      </x:c>
      <x:c r="J6" s="101" t="str">
        <x:v>Goal card viewed/dismissed</x:v>
      </x:c>
      <x:c r="K6" s="101" t="str">
        <x:v>Card moves to Goals</x:v>
      </x:c>
      <x:c r="L6" s="101" t="str">
        <x:v>onboarding_next_days</x:v>
      </x:c>
      <x:c r="M6" s="101" t="str">
        <x:v>P1</x:v>
      </x:c>
      <x:c r="N6" s="102" t="str"/>
    </x:row>
    <x:row r="7">
      <x:c r="A7" s="103" t="str">
        <x:v>60+</x:v>
      </x:c>
      <x:c r="B7" s="105" t="str">
        <x:v>Normal game</x:v>
      </x:c>
      <x:c r="C7" s="105" t="str">
        <x:v>No modal</x:v>
      </x:c>
      <x:c r="D7" s="105" t="str">
        <x:v>No</x:v>
      </x:c>
      <x:c r="E7" s="105" t="str">
        <x:v>All</x:v>
      </x:c>
      <x:c r="F7" s="105" t="str">
        <x:v>Normal</x:v>
      </x:c>
      <x:c r="G7" s="105" t="str">
        <x:v>All progression-unlocked systems</x:v>
      </x:c>
      <x:c r="H7" s="105" t="str">
        <x:v>None</x:v>
      </x:c>
      <x:c r="I7" s="105" t="str">
        <x:v>Normal personal-event pool enabled</x:v>
      </x:c>
      <x:c r="J7" s="105" t="str">
        <x:v>Player knows where to return</x:v>
      </x:c>
      <x:c r="K7" s="105" t="str">
        <x:v>Return summary only if relevant</x:v>
      </x:c>
      <x:c r="L7" s="105" t="str">
        <x:v>onboarding_hour_1</x:v>
      </x:c>
      <x:c r="M7" s="105" t="str">
        <x:v>P0</x:v>
      </x:c>
      <x:c r="N7" s="106" t="str"/>
    </x:row>
  </x:sheetData>
  <x:mergeCells>
    <x:mergeCell ref="A1:N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92" t="str">
        <x:v>Onboarding Economy, Spend &amp; Empire-Level Bootstrap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  <x:c r="O1" s="92"/>
      <x:c r="P1" s="92"/>
      <x:c r="Q1" s="22"/>
    </x:row>
    <x:row r="3">
      <x:c r="A3" s="14" t="str">
        <x:v>Step</x:v>
      </x:c>
      <x:c r="B3" s="14" t="str">
        <x:v>Building / Action</x:v>
      </x:c>
      <x:c r="C3" s="14" t="str">
        <x:v>Canonical Cost</x:v>
      </x:c>
      <x:c r="D3" s="14" t="str">
        <x:v>Cash Before</x:v>
      </x:c>
      <x:c r="E3" s="14" t="str">
        <x:v>Cash After (Before Revenue)</x:v>
      </x:c>
      <x:c r="F3" s="14" t="str">
        <x:v>Tutorial XP</x:v>
      </x:c>
      <x:c r="G3" s="14" t="str">
        <x:v>Cumulative XP</x:v>
      </x:c>
      <x:c r="H3" s="14" t="str">
        <x:v>Empire Level</x:v>
      </x:c>
      <x:c r="I3" s="14" t="str">
        <x:v>Unlock</x:v>
      </x:c>
      <x:c r="J3" s="14" t="str">
        <x:v>Required?</x:v>
      </x:c>
      <x:c r="K3" s="14" t="str">
        <x:v>Recovery Rule</x:v>
      </x:c>
      <x:c r="L3" s="14" t="str">
        <x:v>Revenue Is Mission Grant?</x:v>
      </x:c>
      <x:c r="M3" s="14" t="str">
        <x:v>Source of Cost</x:v>
      </x:c>
      <x:c r="N3" s="14" t="str">
        <x:v>Balance Risk</x:v>
      </x:c>
      <x:c r="O3" s="14" t="str">
        <x:v>Priority</x:v>
      </x:c>
      <x:c r="P3" s="14" t="str">
        <x:v>Notes</x:v>
      </x:c>
    </x:row>
    <x:row r="4">
      <x:c r="A4" s="95" t="n">
        <x:v>1</x:v>
      </x:c>
      <x:c r="B4" s="97" t="str">
        <x:v>Start</x:v>
      </x:c>
      <x:c r="C4" s="107" t="n">
        <x:v>0</x:v>
      </x:c>
      <x:c r="D4" s="107" t="n">
        <x:v>2500</x:v>
      </x:c>
      <x:c r="E4" s="107" t="n">
        <x:v>2500</x:v>
      </x:c>
      <x:c r="F4" s="108" t="n">
        <x:v>0</x:v>
      </x:c>
      <x:c r="G4" s="108" t="n">
        <x:v>0</x:v>
      </x:c>
      <x:c r="H4" s="108" t="n">
        <x:v>1</x:v>
      </x:c>
      <x:c r="I4" s="97" t="str">
        <x:v>Cash Kiosk</x:v>
      </x:c>
      <x:c r="J4" s="97" t="str">
        <x:v>Yes</x:v>
      </x:c>
      <x:c r="K4" s="97" t="str">
        <x:v>N/A</x:v>
      </x:c>
      <x:c r="L4" s="97" t="str">
        <x:v>No</x:v>
      </x:c>
      <x:c r="M4" s="97" t="str">
        <x:v>Customer Economy starting Cash</x:v>
      </x:c>
      <x:c r="N4" s="97" t="str">
        <x:v>None</x:v>
      </x:c>
      <x:c r="O4" s="97" t="str">
        <x:v>P0</x:v>
      </x:c>
      <x:c r="P4" s="98" t="str"/>
    </x:row>
    <x:row r="5">
      <x:c r="A5" s="99" t="n">
        <x:v>2</x:v>
      </x:c>
      <x:c r="B5" s="101" t="str">
        <x:v>Build Cash Kiosk</x:v>
      </x:c>
      <x:c r="C5" s="109" t="n">
        <x:v>300</x:v>
      </x:c>
      <x:c r="D5" s="109" t="n">
        <x:f>E4</x:f>
        <x:v>2500</x:v>
      </x:c>
      <x:c r="E5" s="109" t="n">
        <x:f>D5-C5</x:f>
        <x:v>2200</x:v>
      </x:c>
      <x:c r="F5" s="110" t="n">
        <x:v>60</x:v>
      </x:c>
      <x:c r="G5" s="110" t="n">
        <x:v>60</x:v>
      </x:c>
      <x:c r="H5" s="110" t="n">
        <x:v>1</x:v>
      </x:c>
      <x:c r="I5" s="101" t="str">
        <x:v>Customer system</x:v>
      </x:c>
      <x:c r="J5" s="101" t="str">
        <x:v>Yes</x:v>
      </x:c>
      <x:c r="K5" s="101" t="str">
        <x:v>No subsidy by default</x:v>
      </x:c>
      <x:c r="L5" s="101" t="str">
        <x:v>No</x:v>
      </x:c>
      <x:c r="M5" s="101" t="str">
        <x:v>Building Balance</x:v>
      </x:c>
      <x:c r="N5" s="101" t="str">
        <x:v>Low</x:v>
      </x:c>
      <x:c r="O5" s="101" t="str">
        <x:v>P0</x:v>
      </x:c>
      <x:c r="P5" s="102" t="str"/>
    </x:row>
    <x:row r="6">
      <x:c r="A6" s="99" t="n">
        <x:v>3</x:v>
      </x:c>
      <x:c r="B6" s="101" t="str">
        <x:v>First customer</x:v>
      </x:c>
      <x:c r="C6" s="109" t="n">
        <x:v>0</x:v>
      </x:c>
      <x:c r="D6" s="109" t="n">
        <x:f>E5</x:f>
        <x:v>2200</x:v>
      </x:c>
      <x:c r="E6" s="109" t="n">
        <x:f>D6-C6</x:f>
        <x:v>2200</x:v>
      </x:c>
      <x:c r="F6" s="110" t="n">
        <x:v>40</x:v>
      </x:c>
      <x:c r="G6" s="110" t="n">
        <x:v>100</x:v>
      </x:c>
      <x:c r="H6" s="110" t="n">
        <x:v>2</x:v>
      </x:c>
      <x:c r="I6" s="101" t="str">
        <x:v>Trading Booth</x:v>
      </x:c>
      <x:c r="J6" s="101" t="str">
        <x:v>Yes</x:v>
      </x:c>
      <x:c r="K6" s="101" t="str">
        <x:v>Demand SLA only</x:v>
      </x:c>
      <x:c r="L6" s="101" t="str">
        <x:v>No</x:v>
      </x:c>
      <x:c r="M6" s="101" t="str">
        <x:v>Onboarding XP only</x:v>
      </x:c>
      <x:c r="N6" s="101" t="str">
        <x:v>Low</x:v>
      </x:c>
      <x:c r="O6" s="101" t="str">
        <x:v>P0</x:v>
      </x:c>
      <x:c r="P6" s="102" t="str"/>
    </x:row>
    <x:row r="7">
      <x:c r="A7" s="99" t="n">
        <x:v>4</x:v>
      </x:c>
      <x:c r="B7" s="101" t="str">
        <x:v>Build Trading Booth</x:v>
      </x:c>
      <x:c r="C7" s="109" t="n">
        <x:v>370</x:v>
      </x:c>
      <x:c r="D7" s="109" t="n">
        <x:f>E6</x:f>
        <x:v>2200</x:v>
      </x:c>
      <x:c r="E7" s="109" t="n">
        <x:f>D7-C7</x:f>
        <x:v>1830</x:v>
      </x:c>
      <x:c r="F7" s="110" t="n">
        <x:v>75</x:v>
      </x:c>
      <x:c r="G7" s="110" t="n">
        <x:v>175</x:v>
      </x:c>
      <x:c r="H7" s="110" t="n">
        <x:v>3</x:v>
      </x:c>
      <x:c r="I7" s="101" t="str">
        <x:v>Savings Stand</x:v>
      </x:c>
      <x:c r="J7" s="101" t="str">
        <x:v>Yes</x:v>
      </x:c>
      <x:c r="K7" s="101" t="str">
        <x:v>Mission persists</x:v>
      </x:c>
      <x:c r="L7" s="101" t="str">
        <x:v>No</x:v>
      </x:c>
      <x:c r="M7" s="101" t="str">
        <x:v>Building Balance</x:v>
      </x:c>
      <x:c r="N7" s="101" t="str">
        <x:v>Low</x:v>
      </x:c>
      <x:c r="O7" s="101" t="str">
        <x:v>P0</x:v>
      </x:c>
      <x:c r="P7" s="102" t="str"/>
    </x:row>
    <x:row r="8">
      <x:c r="A8" s="99" t="n">
        <x:v>5</x:v>
      </x:c>
      <x:c r="B8" s="101" t="str">
        <x:v>Build Savings Stand</x:v>
      </x:c>
      <x:c r="C8" s="109" t="n">
        <x:v>460</x:v>
      </x:c>
      <x:c r="D8" s="109" t="n">
        <x:f>E7</x:f>
        <x:v>1830</x:v>
      </x:c>
      <x:c r="E8" s="109" t="n">
        <x:f>D8-C8</x:f>
        <x:v>1370</x:v>
      </x:c>
      <x:c r="F8" s="110" t="n">
        <x:v>60</x:v>
      </x:c>
      <x:c r="G8" s="110" t="n">
        <x:v>235</x:v>
      </x:c>
      <x:c r="H8" s="110" t="n">
        <x:v>3</x:v>
      </x:c>
      <x:c r="I8" s="101" t="str">
        <x:v>Synergy evaluator</x:v>
      </x:c>
      <x:c r="J8" s="101" t="str">
        <x:v>Yes</x:v>
      </x:c>
      <x:c r="K8" s="101" t="str">
        <x:v>Free one-time relocation if needed</x:v>
      </x:c>
      <x:c r="L8" s="101" t="str">
        <x:v>No</x:v>
      </x:c>
      <x:c r="M8" s="101" t="str">
        <x:v>Building Balance</x:v>
      </x:c>
      <x:c r="N8" s="101" t="str">
        <x:v>Low</x:v>
      </x:c>
      <x:c r="O8" s="101" t="str">
        <x:v>P0</x:v>
      </x:c>
      <x:c r="P8" s="102" t="str"/>
    </x:row>
    <x:row r="9">
      <x:c r="A9" s="99" t="n">
        <x:v>6</x:v>
      </x:c>
      <x:c r="B9" s="101" t="str">
        <x:v>Activate first synergy</x:v>
      </x:c>
      <x:c r="C9" s="109" t="n">
        <x:v>0</x:v>
      </x:c>
      <x:c r="D9" s="109" t="n">
        <x:f>E8</x:f>
        <x:v>1370</x:v>
      </x:c>
      <x:c r="E9" s="109" t="n">
        <x:f>D9-C9</x:f>
        <x:v>1370</x:v>
      </x:c>
      <x:c r="F9" s="110" t="n">
        <x:v>40</x:v>
      </x:c>
      <x:c r="G9" s="110" t="n">
        <x:v>275</x:v>
      </x:c>
      <x:c r="H9" s="110" t="n">
        <x:v>4</x:v>
      </x:c>
      <x:c r="I9" s="101" t="str">
        <x:v>Mini Brokerage + Market/Hunts</x:v>
      </x:c>
      <x:c r="J9" s="101" t="str">
        <x:v>Yes</x:v>
      </x:c>
      <x:c r="K9" s="101" t="str">
        <x:v>XP only after validated adjacency synergy</x:v>
      </x:c>
      <x:c r="L9" s="101" t="str">
        <x:v>No</x:v>
      </x:c>
      <x:c r="M9" s="101" t="str">
        <x:v>Tutorial XP</x:v>
      </x:c>
      <x:c r="N9" s="101" t="str">
        <x:v>Low</x:v>
      </x:c>
      <x:c r="O9" s="101" t="str">
        <x:v>P0</x:v>
      </x:c>
      <x:c r="P9" s="102" t="str"/>
    </x:row>
    <x:row r="10">
      <x:c r="A10" s="99" t="n">
        <x:v>7</x:v>
      </x:c>
      <x:c r="B10" s="101" t="str">
        <x:v>First real Cash settlement</x:v>
      </x:c>
      <x:c r="C10" s="109" t="n">
        <x:v>0</x:v>
      </x:c>
      <x:c r="D10" s="109" t="n">
        <x:f>E9</x:f>
        <x:v>1370</x:v>
      </x:c>
      <x:c r="E10" s="109" t="n">
        <x:f>D10-C10</x:f>
        <x:v>1370</x:v>
      </x:c>
      <x:c r="F10" s="110" t="n">
        <x:v>25</x:v>
      </x:c>
      <x:c r="G10" s="110" t="n">
        <x:v>300</x:v>
      </x:c>
      <x:c r="H10" s="110" t="n">
        <x:v>4</x:v>
      </x:c>
      <x:c r="I10" s="101" t="str">
        <x:v>Economy understood</x:v>
      </x:c>
      <x:c r="J10" s="101" t="str">
        <x:v>Yes</x:v>
      </x:c>
      <x:c r="K10" s="101" t="str">
        <x:v>Catch-up tick if delayed</x:v>
      </x:c>
      <x:c r="L10" s="101" t="str">
        <x:v>No — real economy Cash only</x:v>
      </x:c>
      <x:c r="M10" s="101" t="str">
        <x:v>Economy tick</x:v>
      </x:c>
      <x:c r="N10" s="101" t="str">
        <x:v>Low</x:v>
      </x:c>
      <x:c r="O10" s="101" t="str">
        <x:v>P0</x:v>
      </x:c>
      <x:c r="P10" s="102" t="str"/>
    </x:row>
    <x:row r="11">
      <x:c r="A11" s="99" t="n">
        <x:v>8</x:v>
      </x:c>
      <x:c r="B11" s="101" t="str">
        <x:v>Upgrade Cash Kiosk → Lv2</x:v>
      </x:c>
      <x:c r="C11" s="109" t="n">
        <x:v>465</x:v>
      </x:c>
      <x:c r="D11" s="109" t="n">
        <x:f>E10</x:f>
        <x:v>1370</x:v>
      </x:c>
      <x:c r="E11" s="109" t="n">
        <x:f>D11-C11</x:f>
        <x:v>905</x:v>
      </x:c>
      <x:c r="F11" s="110" t="n">
        <x:v>100</x:v>
      </x:c>
      <x:c r="G11" s="110" t="n">
        <x:v>400</x:v>
      </x:c>
      <x:c r="H11" s="110" t="n">
        <x:v>4</x:v>
      </x:c>
      <x:c r="I11" s="101" t="str">
        <x:v>Upgrade progression</x:v>
      </x:c>
      <x:c r="J11" s="101" t="str">
        <x:v>Yes</x:v>
      </x:c>
      <x:c r="K11" s="101" t="str">
        <x:v>Exact-shortfall Tutorial Recovery Credit only if noncanonical overspend blocks required action</x:v>
      </x:c>
      <x:c r="L11" s="101" t="str">
        <x:v>No</x:v>
      </x:c>
      <x:c r="M11" s="101" t="str">
        <x:v>Building Balance Level Balance</x:v>
      </x:c>
      <x:c r="N11" s="101" t="str">
        <x:v>Medium</x:v>
      </x:c>
      <x:c r="O11" s="101" t="str">
        <x:v>P0</x:v>
      </x:c>
      <x:c r="P11" s="102" t="str"/>
    </x:row>
    <x:row r="12">
      <x:c r="A12" s="119" t="n">
        <x:v>9</x:v>
      </x:c>
      <x:c r="B12" s="36" t="str">
        <x:v>Complete first Hunt</x:v>
      </x:c>
      <x:c r="C12" s="54" t="n">
        <x:v>0</x:v>
      </x:c>
      <x:c r="D12" s="54" t="n">
        <x:f>E11</x:f>
        <x:v>905</x:v>
      </x:c>
      <x:c r="E12" s="54" t="n">
        <x:f>D12-C12</x:f>
        <x:v>905</x:v>
      </x:c>
      <x:c r="F12" s="60" t="n">
        <x:v>25</x:v>
      </x:c>
      <x:c r="G12" s="60" t="n">
        <x:v>425</x:v>
      </x:c>
      <x:c r="H12" s="60" t="n">
        <x:v>4</x:v>
      </x:c>
      <x:c r="I12" s="36" t="str">
        <x:v>Portfolio/Performance bridge</x:v>
      </x:c>
      <x:c r="J12" s="36" t="str">
        <x:v>Yes</x:v>
      </x:c>
      <x:c r="K12" s="36" t="str">
        <x:v>Validated Hunt activity only</x:v>
      </x:c>
      <x:c r="L12" s="36" t="str">
        <x:v>No</x:v>
      </x:c>
      <x:c r="M12" s="36" t="str">
        <x:v>Hunt system</x:v>
      </x:c>
      <x:c r="N12" s="36" t="str">
        <x:v>Low</x:v>
      </x:c>
      <x:c r="O12" s="36" t="str">
        <x:v>P0</x:v>
      </x:c>
      <x:c r="P12" s="116" t="str"/>
    </x:row>
    <x:row r="13">
      <x:c r="A13" s="99" t="n">
        <x:v>10</x:v>
      </x:c>
      <x:c r="B13" s="101" t="str">
        <x:v>View Performance</x:v>
      </x:c>
      <x:c r="C13" s="109" t="n">
        <x:v>0</x:v>
      </x:c>
      <x:c r="D13" s="109" t="n">
        <x:f>E12</x:f>
        <x:v>905</x:v>
      </x:c>
      <x:c r="E13" s="109" t="n">
        <x:f>D13-C13</x:f>
        <x:v>905</x:v>
      </x:c>
      <x:c r="F13" s="110" t="n">
        <x:v>25</x:v>
      </x:c>
      <x:c r="G13" s="110" t="n">
        <x:v>450</x:v>
      </x:c>
      <x:c r="H13" s="110" t="n">
        <x:v>4</x:v>
      </x:c>
      <x:c r="I13" s="101" t="str">
        <x:v>Free play</x:v>
      </x:c>
      <x:c r="J13" s="101" t="str">
        <x:v>Yes</x:v>
      </x:c>
      <x:c r="K13" s="101" t="str">
        <x:v>No recovery grant required</x:v>
      </x:c>
      <x:c r="L13" s="101" t="str">
        <x:v>No</x:v>
      </x:c>
      <x:c r="M13" s="101" t="str">
        <x:v>Tutorial XP</x:v>
      </x:c>
      <x:c r="N13" s="101" t="str">
        <x:v>Low</x:v>
      </x:c>
      <x:c r="O13" s="101" t="str">
        <x:v>P0</x:v>
      </x:c>
      <x:c r="P13" s="102" t="str"/>
    </x:row>
    <x:row r="14" ht="22" customHeight="1">
      <x:c r="A14" s="120" t="n">
        <x:v>11</x:v>
      </x:c>
      <x:c r="B14" s="121" t="str">
        <x:v>Optional Mini Brokerage</x:v>
      </x:c>
      <x:c r="C14" s="123" t="n">
        <x:v>560</x:v>
      </x:c>
      <x:c r="D14" s="123" t="n">
        <x:f>E13</x:f>
        <x:v>905</x:v>
      </x:c>
      <x:c r="E14" s="123" t="n">
        <x:f>D14-C14</x:f>
        <x:v>345</x:v>
      </x:c>
      <x:c r="F14" s="124" t="n">
        <x:v>0</x:v>
      </x:c>
      <x:c r="G14" s="124" t="n">
        <x:v>450</x:v>
      </x:c>
      <x:c r="H14" s="124" t="n">
        <x:v>4</x:v>
      </x:c>
      <x:c r="I14" s="121" t="str">
        <x:v>Brokerage / stock-hunt affinity</x:v>
      </x:c>
      <x:c r="J14" s="121" t="str">
        <x:v>No</x:v>
      </x:c>
      <x:c r="K14" s="121" t="str">
        <x:v>No subsidy</x:v>
      </x:c>
      <x:c r="L14" s="121" t="str">
        <x:v>No</x:v>
      </x:c>
      <x:c r="M14" s="121" t="str">
        <x:v>Building Balance</x:v>
      </x:c>
      <x:c r="N14" s="121" t="str">
        <x:v>Medium</x:v>
      </x:c>
      <x:c r="O14" s="121" t="str">
        <x:v>P1</x:v>
      </x:c>
      <x:c r="P14" s="122" t="str"/>
    </x:row>
    <x:row r="15">
      <x:c r="A15" s="14"/>
      <x:c r="B15" s="14"/>
      <x:c r="C15" s="14"/>
      <x:c r="D15" s="14"/>
      <x:c r="E15" s="14"/>
    </x:row>
    <x:row r="16" ht="22" customHeight="1">
      <x:c r="A16" s="131" t="str">
        <x:v>Empire XP Bootstrap Thresholds</x:v>
      </x:c>
      <x:c r="B16" s="132"/>
      <x:c r="C16" s="133"/>
      <x:c r="D16" s="134"/>
      <x:c r="E16" s="135"/>
      <x:c r="F16" s="136"/>
      <x:c r="G16" s="136"/>
      <x:c r="H16" s="136"/>
      <x:c r="I16" s="136"/>
      <x:c r="J16" s="136"/>
      <x:c r="K16" s="136"/>
      <x:c r="L16" s="136"/>
      <x:c r="M16" s="136"/>
      <x:c r="N16" s="136"/>
      <x:c r="O16" s="136"/>
      <x:c r="P16" s="136"/>
    </x:row>
    <x:row r="17">
      <x:c r="A17" s="152" t="str">
        <x:v>Empire Level</x:v>
      </x:c>
      <x:c r="B17" s="153" t="str">
        <x:v>XP Threshold</x:v>
      </x:c>
      <x:c r="C17" s="154" t="str">
        <x:v>Intended Trigger</x:v>
      </x:c>
      <x:c r="D17" s="155" t="str">
        <x:v>Target Minute</x:v>
      </x:c>
      <x:c r="E17" s="156" t="str">
        <x:v>Notes</x:v>
      </x:c>
    </x:row>
    <x:row r="18">
      <x:c r="A18" s="157" t="n">
        <x:v>1</x:v>
      </x:c>
      <x:c r="B18" s="108" t="n">
        <x:v>0</x:v>
      </x:c>
      <x:c r="C18" s="97" t="str">
        <x:v>Account starts</x:v>
      </x:c>
      <x:c r="D18" s="96" t="n">
        <x:v>0</x:v>
      </x:c>
      <x:c r="E18" s="98" t="str"/>
    </x:row>
    <x:row r="19">
      <x:c r="A19" s="158" t="n">
        <x:v>2</x:v>
      </x:c>
      <x:c r="B19" s="60" t="n">
        <x:v>100</x:v>
      </x:c>
      <x:c r="C19" s="36" t="str">
        <x:v>Cash Kiosk + first customer</x:v>
      </x:c>
      <x:c r="D19" s="48" t="n">
        <x:v>1.5</x:v>
      </x:c>
      <x:c r="E19" s="116" t="str">
        <x:v>Unlock Trading Booth</x:v>
      </x:c>
    </x:row>
    <x:row r="20">
      <x:c r="A20" s="159" t="n">
        <x:v>3</x:v>
      </x:c>
      <x:c r="B20" s="110" t="n">
        <x:v>175</x:v>
      </x:c>
      <x:c r="C20" s="101" t="str">
        <x:v>Build Trading Booth</x:v>
      </x:c>
      <x:c r="D20" s="100" t="n">
        <x:v>2.6</x:v>
      </x:c>
      <x:c r="E20" s="102" t="str">
        <x:v>Unlock Savings Stand</x:v>
      </x:c>
    </x:row>
    <x:row r="21">
      <x:c r="A21" s="160" t="n">
        <x:v>4</x:v>
      </x:c>
      <x:c r="B21" s="112" t="n">
        <x:v>275</x:v>
      </x:c>
      <x:c r="C21" s="105" t="str">
        <x:v>Build Savings Stand + activate first synergy</x:v>
      </x:c>
      <x:c r="D21" s="104" t="n">
        <x:v>4.3</x:v>
      </x:c>
      <x:c r="E21" s="106" t="str">
        <x:v>Unlock Mini Brokerage + Market/Hunts onboarding</x:v>
      </x:c>
    </x:row>
  </x:sheetData>
  <x:mergeCells>
    <x:mergeCell ref="A1:P1"/>
    <x:mergeCell ref="A14:P14"/>
    <x:mergeCell ref="A16:P16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92" t="str">
        <x:v>First Buildings, Upgrade &amp; Starter Synergy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  <x:c r="O1" s="92"/>
      <x:c r="P1" s="92"/>
      <x:c r="Q1" s="22"/>
    </x:row>
    <x:row r="3">
      <x:c r="A3" s="14" t="str">
        <x:v>Order</x:v>
      </x:c>
      <x:c r="B3" s="14" t="str">
        <x:v>Building</x:v>
      </x:c>
      <x:c r="C3" s="14" t="str">
        <x:v>Empire Unlock</x:v>
      </x:c>
      <x:c r="D3" s="14" t="str">
        <x:v>Build Cost</x:v>
      </x:c>
      <x:c r="E3" s="14" t="str">
        <x:v>Initial Level</x:v>
      </x:c>
      <x:c r="F3" s="14" t="str">
        <x:v>Tutorial Role</x:v>
      </x:c>
      <x:c r="G3" s="14" t="str">
        <x:v>Primary Customer</x:v>
      </x:c>
      <x:c r="H3" s="14" t="str">
        <x:v>Lv1 Net Cash/h</x:v>
      </x:c>
      <x:c r="I3" s="14" t="str">
        <x:v>Lv1 Capacity</x:v>
      </x:c>
      <x:c r="J3" s="14" t="str">
        <x:v>Activity Pts/h</x:v>
      </x:c>
      <x:c r="K3" s="14" t="str">
        <x:v>Required?</x:v>
      </x:c>
      <x:c r="L3" s="14" t="str">
        <x:v>Placement Guidance</x:v>
      </x:c>
      <x:c r="M3" s="14" t="str">
        <x:v>Upgrade Used?</x:v>
      </x:c>
      <x:c r="N3" s="14" t="str">
        <x:v>Synergy Partner</x:v>
      </x:c>
      <x:c r="O3" s="14" t="str">
        <x:v>Tutorial Modifier</x:v>
      </x:c>
      <x:c r="P3" s="14" t="str">
        <x:v>Notes</x:v>
      </x:c>
    </x:row>
    <x:row r="4">
      <x:c r="A4" s="157" t="n">
        <x:v>1</x:v>
      </x:c>
      <x:c r="B4" s="108" t="str">
        <x:v>Cash Kiosk</x:v>
      </x:c>
      <x:c r="C4" s="108" t="n">
        <x:v>1</x:v>
      </x:c>
      <x:c r="D4" s="107" t="n">
        <x:v>300</x:v>
      </x:c>
      <x:c r="E4" s="97" t="n">
        <x:v>1</x:v>
      </x:c>
      <x:c r="F4" s="97" t="str">
        <x:v>First ownership + first customer anchor</x:v>
      </x:c>
      <x:c r="G4" s="97" t="str">
        <x:v>General Consumers</x:v>
      </x:c>
      <x:c r="H4" s="108" t="n">
        <x:v>31</x:v>
      </x:c>
      <x:c r="I4" s="108" t="n">
        <x:v>60</x:v>
      </x:c>
      <x:c r="J4" s="108" t="n">
        <x:v>6</x:v>
      </x:c>
      <x:c r="K4" s="97" t="str">
        <x:v>Yes</x:v>
      </x:c>
      <x:c r="L4" s="97" t="str">
        <x:v>Place by ~1 min in an open area</x:v>
      </x:c>
      <x:c r="M4" s="97" t="str">
        <x:v>Lv1→Lv2 at ~6.5m</x:v>
      </x:c>
      <x:c r="N4" s="97" t="str">
        <x:v>Savings Stand</x:v>
      </x:c>
      <x:c r="O4" s="97" t="str">
        <x:v>Cash Access Loop partner</x:v>
      </x:c>
      <x:c r="P4" s="98" t="str"/>
    </x:row>
    <x:row r="5">
      <x:c r="A5" s="159" t="n">
        <x:v>2</x:v>
      </x:c>
      <x:c r="B5" s="110" t="str">
        <x:v>Trading Booth</x:v>
      </x:c>
      <x:c r="C5" s="110" t="n">
        <x:v>2</x:v>
      </x:c>
      <x:c r="D5" s="109" t="n">
        <x:v>370</x:v>
      </x:c>
      <x:c r="E5" s="101" t="n">
        <x:v>1</x:v>
      </x:c>
      <x:c r="F5" s="101" t="str">
        <x:v>Second business inside first 3 minutes; proves fast empire growth</x:v>
      </x:c>
      <x:c r="G5" s="101" t="str">
        <x:v>Retail Investors</x:v>
      </x:c>
      <x:c r="H5" s="110" t="n">
        <x:v>44</x:v>
      </x:c>
      <x:c r="I5" s="110" t="n">
        <x:v>71</x:v>
      </x:c>
      <x:c r="J5" s="110" t="n">
        <x:v>10</x:v>
      </x:c>
      <x:c r="K5" s="101" t="str">
        <x:v>Yes</x:v>
      </x:c>
      <x:c r="L5" s="101" t="str">
        <x:v>Nearby but not forced adjacent</x:v>
      </x:c>
      <x:c r="M5" s="101" t="str">
        <x:v>No</x:v>
      </x:c>
      <x:c r="N5" s="101" t="str">
        <x:v>Future Exchange / Market Maker</x:v>
      </x:c>
      <x:c r="O5" s="101" t="str">
        <x:v>None</x:v>
      </x:c>
      <x:c r="P5" s="102" t="str"/>
    </x:row>
    <x:row r="6">
      <x:c r="A6" s="159" t="n">
        <x:v>3</x:v>
      </x:c>
      <x:c r="B6" s="110" t="str">
        <x:v>Savings Stand</x:v>
      </x:c>
      <x:c r="C6" s="110" t="n">
        <x:v>3</x:v>
      </x:c>
      <x:c r="D6" s="109" t="n">
        <x:v>460</x:v>
      </x:c>
      <x:c r="E6" s="101" t="n">
        <x:v>1</x:v>
      </x:c>
      <x:c r="F6" s="101" t="str">
        <x:v>Third business inside first 5 minutes + placement lesson</x:v>
      </x:c>
      <x:c r="G6" s="101" t="str">
        <x:v>General Consumers</x:v>
      </x:c>
      <x:c r="H6" s="110" t="n">
        <x:v>47</x:v>
      </x:c>
      <x:c r="I6" s="110" t="n">
        <x:v>85</x:v>
      </x:c>
      <x:c r="J6" s="110" t="n">
        <x:v>10</x:v>
      </x:c>
      <x:c r="K6" s="101" t="str">
        <x:v>Yes</x:v>
      </x:c>
      <x:c r="L6" s="101" t="str">
        <x:v>Orthogonally adjacent to Cash Kiosk</x:v>
      </x:c>
      <x:c r="M6" s="101" t="str">
        <x:v>No</x:v>
      </x:c>
      <x:c r="N6" s="101" t="str">
        <x:v>Cash Kiosk</x:v>
      </x:c>
      <x:c r="O6" s="101" t="str">
        <x:v>Cash Access Loop</x:v>
      </x:c>
      <x:c r="P6" s="102" t="str"/>
    </x:row>
    <x:row r="7">
      <x:c r="A7" s="160" t="n">
        <x:v>4</x:v>
      </x:c>
      <x:c r="B7" s="112" t="str">
        <x:v>Mini Brokerage Desk</x:v>
      </x:c>
      <x:c r="C7" s="112" t="n">
        <x:v>4</x:v>
      </x:c>
      <x:c r="D7" s="111" t="n">
        <x:v>560</x:v>
      </x:c>
      <x:c r="E7" s="105" t="n">
        <x:v>1</x:v>
      </x:c>
      <x:c r="F7" s="105" t="str">
        <x:v>Optional 15–30m/30m+ expansion</x:v>
      </x:c>
      <x:c r="G7" s="105" t="str">
        <x:v>Retail Investors</x:v>
      </x:c>
      <x:c r="H7" s="112" t="n">
        <x:v>59</x:v>
      </x:c>
      <x:c r="I7" s="112" t="n">
        <x:v>101</x:v>
      </x:c>
      <x:c r="J7" s="112" t="n">
        <x:v>14</x:v>
      </x:c>
      <x:c r="K7" s="105" t="str">
        <x:v>No</x:v>
      </x:c>
      <x:c r="L7" s="105" t="str">
        <x:v>Player choice</x:v>
      </x:c>
      <x:c r="M7" s="105" t="str">
        <x:v>No</x:v>
      </x:c>
      <x:c r="N7" s="105" t="str">
        <x:v>Research / future Exchange</x:v>
      </x:c>
      <x:c r="O7" s="105" t="str">
        <x:v>None</x:v>
      </x:c>
      <x:c r="P7" s="106" t="str">
        <x:v>Not required for first Hunt</x:v>
      </x:c>
    </x:row>
    <x:row r="9" ht="22" customHeight="1">
      <x:c r="A9" s="11" t="str">
        <x:v>Cash Access Loop — Starter Synergy</x:v>
      </x:c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  <x:c r="P9" s="11"/>
    </x:row>
    <x:row r="10">
      <x:c r="A10" s="14" t="str">
        <x:v>Property</x:v>
      </x:c>
      <x:c r="B10" s="14" t="str">
        <x:v>Canonical Rule</x:v>
      </x:c>
    </x:row>
    <x:row r="11">
      <x:c r="A11" s="30" t="str">
        <x:v>Trigger</x:v>
      </x:c>
      <x:c r="B11" s="32" t="str">
        <x:v>Cash Kiosk and Savings Stand share an orthogonal edge.</x:v>
      </x:c>
    </x:row>
    <x:row r="12">
      <x:c r="A12" s="33" t="str">
        <x:v>Effect</x:v>
      </x:c>
      <x:c r="B12" s="34" t="str">
        <x:v>+6% General Consumer acquisition to both Building Instances.</x:v>
      </x:c>
    </x:row>
    <x:row r="13">
      <x:c r="A13" s="33" t="str">
        <x:v>Stacking</x:v>
      </x:c>
      <x:c r="B13" s="34" t="str">
        <x:v>Uses customer-acquisition stacking group and existing diminishing returns / 25% placement-positive cap.</x:v>
      </x:c>
    </x:row>
    <x:row r="14">
      <x:c r="A14" s="33" t="str">
        <x:v>Diagonal</x:v>
      </x:c>
      <x:c r="B14" s="34" t="str">
        <x:v>No.</x:v>
      </x:c>
    </x:row>
    <x:row r="15">
      <x:c r="A15" s="33" t="str">
        <x:v>Tutorial relocation</x:v>
      </x:c>
      <x:c r="B15" s="34" t="str">
        <x:v>One free relocation of Savings Stand is allowed before minute 30 if the player missed adjacency; after tutorial, normal relocation rules apply.</x:v>
      </x:c>
    </x:row>
    <x:row r="16">
      <x:c r="A16" s="33" t="str">
        <x:v>Performance</x:v>
      </x:c>
      <x:c r="B16" s="34" t="str">
        <x:v>No direct score points. Any benefit flows only through legitimate customer/activity/revenue outcomes.</x:v>
      </x:c>
    </x:row>
    <x:row r="17">
      <x:c r="A17" s="35" t="str">
        <x:v>Reason</x:v>
      </x:c>
      <x:c r="B17" s="37" t="str">
        <x:v>Teaches that placement matters using two early, understandable consumer-finance businesses.</x:v>
      </x:c>
    </x:row>
  </x:sheetData>
  <x:mergeCells>
    <x:mergeCell ref="A1:P1"/>
    <x:mergeCell ref="A9:P9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92" t="str">
        <x:v>First Market Hunt &amp; Stock Fragment Tutorial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  <x:c r="O1" s="92"/>
      <x:c r="P1" s="92"/>
      <x:c r="Q1" s="22"/>
    </x:row>
    <x:row r="3">
      <x:c r="A3" s="14" t="str">
        <x:v>Element</x:v>
      </x:c>
      <x:c r="B3" s="14" t="str">
        <x:v>Canonical Rule</x:v>
      </x:c>
      <x:c r="C3" s="14" t="str">
        <x:v>Player Sees</x:v>
      </x:c>
      <x:c r="D3" s="14" t="str">
        <x:v>Server Validation</x:v>
      </x:c>
      <x:c r="E3" s="14" t="str">
        <x:v>RNG?</x:v>
      </x:c>
      <x:c r="F3" s="14" t="str">
        <x:v>Guaranteed?</x:v>
      </x:c>
      <x:c r="G3" s="14" t="str">
        <x:v>Time Target</x:v>
      </x:c>
      <x:c r="H3" s="14" t="str">
        <x:v>Fallback</x:v>
      </x:c>
      <x:c r="I3" s="14" t="str">
        <x:v>Performance Impact</x:v>
      </x:c>
      <x:c r="J3" s="14" t="str">
        <x:v>Stock Budget Impact</x:v>
      </x:c>
      <x:c r="K3" s="14" t="str">
        <x:v>Asset Labeling</x:v>
      </x:c>
      <x:c r="L3" s="14" t="str">
        <x:v>Can Repeat?</x:v>
      </x:c>
      <x:c r="M3" s="14" t="str">
        <x:v>Exploit Guard</x:v>
      </x:c>
      <x:c r="N3" s="14" t="str">
        <x:v>Analytics</x:v>
      </x:c>
      <x:c r="O3" s="14" t="str">
        <x:v>Priority</x:v>
      </x:c>
      <x:c r="P3" s="14" t="str">
        <x:v>Notes</x:v>
      </x:c>
    </x:row>
    <x:row r="4">
      <x:c r="A4" s="95" t="str">
        <x:v>Unlock</x:v>
      </x:c>
      <x:c r="B4" s="97" t="str">
        <x:v>Market/Hunts tutorial becomes available at Lv4 after first synergy; coachmark appears after the first Cash tick</x:v>
      </x:c>
      <x:c r="C4" s="97" t="str">
        <x:v>Market nav pulse</x:v>
      </x:c>
      <x:c r="D4" s="97" t="str">
        <x:v>Level + synergy + onboarding flags</x:v>
      </x:c>
      <x:c r="E4" s="97" t="str">
        <x:v>No</x:v>
      </x:c>
      <x:c r="F4" s="97" t="str">
        <x:v>Yes</x:v>
      </x:c>
      <x:c r="G4" s="97" t="str">
        <x:v>7–8m</x:v>
      </x:c>
      <x:c r="H4" s="97" t="str">
        <x:v>Prompt remains</x:v>
      </x:c>
      <x:c r="I4" s="97" t="str">
        <x:v>None</x:v>
      </x:c>
      <x:c r="J4" s="97" t="str">
        <x:v>None</x:v>
      </x:c>
      <x:c r="K4" s="97" t="str">
        <x:v>N/A</x:v>
      </x:c>
      <x:c r="L4" s="97" t="str">
        <x:v>N/A</x:v>
      </x:c>
      <x:c r="M4" s="97" t="str">
        <x:v>Server flag only</x:v>
      </x:c>
      <x:c r="N4" s="97" t="str">
        <x:v>onboarding_market_open</x:v>
      </x:c>
      <x:c r="O4" s="97" t="str">
        <x:v>P0</x:v>
      </x:c>
      <x:c r="P4" s="98" t="str"/>
    </x:row>
    <x:row r="5">
      <x:c r="A5" s="99" t="str">
        <x:v>Starter Hunt</x:v>
      </x:c>
      <x:c r="B5" s="101" t="str">
        <x:v>Market Signals</x:v>
      </x:c>
      <x:c r="C5" s="101" t="str">
        <x:v>Choose Tech / Consumer / Broad Market; generate 2 eligible Activity Points</x:v>
      </x:c>
      <x:c r="D5" s="101" t="str">
        <x:v>Server activity ledger</x:v>
      </x:c>
      <x:c r="E5" s="101" t="str">
        <x:v>Choice biases pool</x:v>
      </x:c>
      <x:c r="F5" s="101" t="str">
        <x:v>Yes</x:v>
      </x:c>
      <x:c r="G5" s="101" t="str">
        <x:v>8–14m</x:v>
      </x:c>
      <x:c r="H5" s="101" t="str">
        <x:v>If backend lag leaves &lt;2 by 15:30, validated &gt;=1 may satisfy tutorial target; never fabricate</x:v>
      </x:c>
      <x:c r="I5" s="101" t="str">
        <x:v>Canonical Hunt Points only</x:v>
      </x:c>
      <x:c r="J5" s="101" t="str">
        <x:v>None until reward</x:v>
      </x:c>
      <x:c r="K5" s="101" t="str">
        <x:v>N/A</x:v>
      </x:c>
      <x:c r="L5" s="101" t="str">
        <x:v>One tutorial instance/account</x:v>
      </x:c>
      <x:c r="M5" s="101" t="str">
        <x:v>Unique onboarding_hunt_id</x:v>
      </x:c>
      <x:c r="N5" s="101" t="str">
        <x:v>onboarding_hunt_started</x:v>
      </x:c>
      <x:c r="O5" s="101" t="str">
        <x:v>P0</x:v>
      </x:c>
      <x:c r="P5" s="102" t="str"/>
    </x:row>
    <x:row r="6">
      <x:c r="A6" s="99" t="str">
        <x:v>First reward</x:v>
      </x:c>
      <x:c r="B6" s="101" t="str">
        <x:v>Common stock packet</x:v>
      </x:c>
      <x:c r="C6" s="101" t="str">
        <x:v>Reveal ticker + $0.10 packet</x:v>
      </x:c>
      <x:c r="D6" s="101" t="str">
        <x:v>Exactly-once reward ledger</x:v>
      </x:c>
      <x:c r="E6" s="101" t="str">
        <x:v>Ticker within selected pool</x:v>
      </x:c>
      <x:c r="F6" s="101" t="str">
        <x:v>Yes</x:v>
      </x:c>
      <x:c r="G6" s="101" t="str">
        <x:v>14–16.2m</x:v>
      </x:c>
      <x:c r="H6" s="101" t="str">
        <x:v>Reward remains claimable</x:v>
      </x:c>
      <x:c r="I6" s="101" t="str">
        <x:v>Stock value 0 direct Performance</x:v>
      </x:c>
      <x:c r="J6" s="101" t="str">
        <x:v>Uses normal stock reward budget or configured onboarding allocation</x:v>
      </x:c>
      <x:c r="K6" s="101" t="str">
        <x:v>Must state simulated/notional/provider-backed/redeemable status</x:v>
      </x:c>
      <x:c r="L6" s="101" t="str">
        <x:v>No special guarantee after first Hunt</x:v>
      </x:c>
      <x:c r="M6" s="101" t="str">
        <x:v>No duplicate reward on retry</x:v>
      </x:c>
      <x:c r="N6" s="101" t="str">
        <x:v>onboarding_first_stock</x:v>
      </x:c>
      <x:c r="O6" s="101" t="str">
        <x:v>P0</x:v>
      </x:c>
      <x:c r="P6" s="102" t="str"/>
    </x:row>
    <x:row r="7">
      <x:c r="A7" s="99" t="str">
        <x:v>Tech starter pool</x:v>
      </x:c>
      <x:c r="B7" s="101" t="str">
        <x:v>AAPL / NVDA / MSFT</x:v>
      </x:c>
      <x:c r="C7" s="101" t="str">
        <x:v>One ticker selected</x:v>
      </x:c>
      <x:c r="D7" s="101" t="str">
        <x:v>Allowlist</x:v>
      </x:c>
      <x:c r="E7" s="101" t="str">
        <x:v>Yes</x:v>
      </x:c>
      <x:c r="F7" s="101" t="str">
        <x:v>One of pool</x:v>
      </x:c>
      <x:c r="G7" s="101" t="str">
        <x:v>N/A</x:v>
      </x:c>
      <x:c r="H7" s="101" t="str">
        <x:v>Fallback SPY if unavailable</x:v>
      </x:c>
      <x:c r="I7" s="101" t="str">
        <x:v>None</x:v>
      </x:c>
      <x:c r="J7" s="101" t="str">
        <x:v>Budget applies</x:v>
      </x:c>
      <x:c r="K7" s="101" t="str">
        <x:v>Same</x:v>
      </x:c>
      <x:c r="L7" s="101" t="str">
        <x:v>N/A</x:v>
      </x:c>
      <x:c r="M7" s="101" t="str">
        <x:v>No recommendation language</x:v>
      </x:c>
      <x:c r="N7" s="101" t="str">
        <x:v>onboarding_stock_pool_tech</x:v>
      </x:c>
      <x:c r="O7" s="101" t="str">
        <x:v>P1</x:v>
      </x:c>
      <x:c r="P7" s="102" t="str"/>
    </x:row>
    <x:row r="8">
      <x:c r="A8" s="99" t="str">
        <x:v>Consumer starter pool</x:v>
      </x:c>
      <x:c r="B8" s="101" t="str">
        <x:v>AMZN / TSLA / GOOGL</x:v>
      </x:c>
      <x:c r="C8" s="101" t="str">
        <x:v>One ticker selected</x:v>
      </x:c>
      <x:c r="D8" s="101" t="str">
        <x:v>Allowlist</x:v>
      </x:c>
      <x:c r="E8" s="101" t="str">
        <x:v>Yes</x:v>
      </x:c>
      <x:c r="F8" s="101" t="str">
        <x:v>One of pool</x:v>
      </x:c>
      <x:c r="G8" s="101" t="str">
        <x:v>N/A</x:v>
      </x:c>
      <x:c r="H8" s="101" t="str">
        <x:v>Fallback SPY</x:v>
      </x:c>
      <x:c r="I8" s="101" t="str">
        <x:v>None</x:v>
      </x:c>
      <x:c r="J8" s="101" t="str">
        <x:v>Budget applies</x:v>
      </x:c>
      <x:c r="K8" s="101" t="str">
        <x:v>Same</x:v>
      </x:c>
      <x:c r="L8" s="101" t="str">
        <x:v>N/A</x:v>
      </x:c>
      <x:c r="M8" s="101" t="str">
        <x:v>No recommendation language</x:v>
      </x:c>
      <x:c r="N8" s="101" t="str">
        <x:v>onboarding_stock_pool_consumer</x:v>
      </x:c>
      <x:c r="O8" s="101" t="str">
        <x:v>P1</x:v>
      </x:c>
      <x:c r="P8" s="102" t="str"/>
    </x:row>
    <x:row r="9">
      <x:c r="A9" s="103" t="str">
        <x:v>Broad Market pool</x:v>
      </x:c>
      <x:c r="B9" s="105" t="str">
        <x:v>SPY / AAPL / MSFT</x:v>
      </x:c>
      <x:c r="C9" s="105" t="str">
        <x:v>One ticker selected</x:v>
      </x:c>
      <x:c r="D9" s="105" t="str">
        <x:v>Allowlist</x:v>
      </x:c>
      <x:c r="E9" s="105" t="str">
        <x:v>Yes</x:v>
      </x:c>
      <x:c r="F9" s="105" t="str">
        <x:v>One of pool</x:v>
      </x:c>
      <x:c r="G9" s="105" t="str">
        <x:v>N/A</x:v>
      </x:c>
      <x:c r="H9" s="105" t="str">
        <x:v>Fallback SPY</x:v>
      </x:c>
      <x:c r="I9" s="105" t="str">
        <x:v>None</x:v>
      </x:c>
      <x:c r="J9" s="105" t="str">
        <x:v>Budget applies</x:v>
      </x:c>
      <x:c r="K9" s="105" t="str">
        <x:v>Same</x:v>
      </x:c>
      <x:c r="L9" s="105" t="str">
        <x:v>N/A</x:v>
      </x:c>
      <x:c r="M9" s="105" t="str">
        <x:v>No recommendation language</x:v>
      </x:c>
      <x:c r="N9" s="105" t="str">
        <x:v>onboarding_stock_pool_broad</x:v>
      </x:c>
      <x:c r="O9" s="105" t="str">
        <x:v>P1</x:v>
      </x:c>
      <x:c r="P9" s="106" t="str"/>
    </x:row>
  </x:sheetData>
  <x:mergeCells>
    <x:mergeCell ref="A1:P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92" t="str">
        <x:v>First Performance Score View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  <x:c r="O1" s="92"/>
      <x:c r="P1" s="92"/>
      <x:c r="Q1" s="22"/>
    </x:row>
    <x:row r="3">
      <x:c r="A3" s="14" t="str">
        <x:v>Component</x:v>
      </x:c>
      <x:c r="B3" s="14" t="str">
        <x:v>Weight</x:v>
      </x:c>
      <x:c r="C3" s="14" t="str">
        <x:v>Shown First Visit?</x:v>
      </x:c>
      <x:c r="D3" s="14" t="str">
        <x:v>State</x:v>
      </x:c>
      <x:c r="E3" s="14" t="str">
        <x:v>Copy Goal</x:v>
      </x:c>
      <x:c r="F3" s="14" t="str">
        <x:v>Offline Rule</x:v>
      </x:c>
      <x:c r="G3" s="14" t="str">
        <x:v>Module Rule</x:v>
      </x:c>
      <x:c r="H3" s="14" t="str">
        <x:v>Stock Value Rule</x:v>
      </x:c>
      <x:c r="I3" s="14" t="str">
        <x:v>Payout Estimate?</x:v>
      </x:c>
      <x:c r="J3" s="14" t="str">
        <x:v>Eligibility Message</x:v>
      </x:c>
      <x:c r="K3" s="14" t="str">
        <x:v>UI Priority</x:v>
      </x:c>
      <x:c r="L3" s="14" t="str">
        <x:v>Data Source</x:v>
      </x:c>
      <x:c r="M3" s="14" t="str">
        <x:v>If Missing Data</x:v>
      </x:c>
      <x:c r="N3" s="14" t="str">
        <x:v>Analytics</x:v>
      </x:c>
      <x:c r="O3" s="14" t="str">
        <x:v>Priority</x:v>
      </x:c>
      <x:c r="P3" s="14" t="str">
        <x:v>Notes</x:v>
      </x:c>
    </x:row>
    <x:row r="4">
      <x:c r="A4" s="30" t="str">
        <x:v>Economic Activity</x:v>
      </x:c>
      <x:c r="B4" s="84" t="n">
        <x:v>0.3</x:v>
      </x:c>
      <x:c r="C4" s="31" t="str">
        <x:v>Yes</x:v>
      </x:c>
      <x:c r="D4" s="31" t="str">
        <x:v>Provisional</x:v>
      </x:c>
      <x:c r="E4" s="31" t="str">
        <x:v>Active business activity matters</x:v>
      </x:c>
      <x:c r="F4" s="31" t="str">
        <x:v>Offline/AFK activity gives 0 eligible Activity Points</x:v>
      </x:c>
      <x:c r="G4" s="31" t="str">
        <x:v>Modules only affect underlying business state, never direct points</x:v>
      </x:c>
      <x:c r="H4" s="31" t="str">
        <x:v>0 direct</x:v>
      </x:c>
      <x:c r="I4" s="31" t="str">
        <x:v>No</x:v>
      </x:c>
      <x:c r="J4" s="31" t="str">
        <x:v>Build activity across eligible active days</x:v>
      </x:c>
      <x:c r="K4" s="31" t="str">
        <x:v>1</x:v>
      </x:c>
      <x:c r="L4" s="31" t="str">
        <x:v>Activity ledger</x:v>
      </x:c>
      <x:c r="M4" s="31" t="str">
        <x:v>Show collecting data</x:v>
      </x:c>
      <x:c r="N4" s="31" t="str">
        <x:v>onboarding_perf_activity</x:v>
      </x:c>
      <x:c r="O4" s="31" t="str">
        <x:v>P0</x:v>
      </x:c>
      <x:c r="P4" s="32" t="str"/>
    </x:row>
    <x:row r="5">
      <x:c r="A5" s="33" t="str">
        <x:v>Net Business Revenue</x:v>
      </x:c>
      <x:c r="B5" s="85" t="n">
        <x:v>0.2</x:v>
      </x:c>
      <x:c r="C5" s="22" t="str">
        <x:v>Yes</x:v>
      </x:c>
      <x:c r="D5" s="22" t="str">
        <x:v>Provisional</x:v>
      </x:c>
      <x:c r="E5" s="22" t="str">
        <x:v>Healthy operations matter</x:v>
      </x:c>
      <x:c r="F5" s="22" t="str">
        <x:v>Offline revenue receives reduced credit per Idle spec</x:v>
      </x:c>
      <x:c r="G5" s="22" t="str">
        <x:v>Indirect only</x:v>
      </x:c>
      <x:c r="H5" s="22" t="str">
        <x:v>0 direct</x:v>
      </x:c>
      <x:c r="I5" s="22" t="str">
        <x:v>No</x:v>
      </x:c>
      <x:c r="J5" s="22" t="str">
        <x:v>Payout eligibility not yet met</x:v>
      </x:c>
      <x:c r="K5" s="22" t="str">
        <x:v>2</x:v>
      </x:c>
      <x:c r="L5" s="22" t="str">
        <x:v>Cash ledger</x:v>
      </x:c>
      <x:c r="M5" s="22" t="str">
        <x:v>Show collecting data</x:v>
      </x:c>
      <x:c r="N5" s="22" t="str">
        <x:v>onboarding_perf_revenue</x:v>
      </x:c>
      <x:c r="O5" s="22" t="str">
        <x:v>P0</x:v>
      </x:c>
      <x:c r="P5" s="34" t="str"/>
    </x:row>
    <x:row r="6">
      <x:c r="A6" s="33" t="str">
        <x:v>Active Customers</x:v>
      </x:c>
      <x:c r="B6" s="85" t="n">
        <x:v>0.15</x:v>
      </x:c>
      <x:c r="C6" s="22" t="str">
        <x:v>Yes</x:v>
      </x:c>
      <x:c r="D6" s="22" t="str">
        <x:v>Provisional</x:v>
      </x:c>
      <x:c r="E6" s="22" t="str">
        <x:v>Customers are core</x:v>
      </x:c>
      <x:c r="F6" s="22" t="str">
        <x:v>Snapshot valid</x:v>
      </x:c>
      <x:c r="G6" s="22" t="str">
        <x:v>Indirect only</x:v>
      </x:c>
      <x:c r="H6" s="22" t="str">
        <x:v>0 direct</x:v>
      </x:c>
      <x:c r="I6" s="22" t="str">
        <x:v>No</x:v>
      </x:c>
      <x:c r="J6" s="22" t="str">
        <x:v>Same</x:v>
      </x:c>
      <x:c r="K6" s="22" t="str">
        <x:v>3</x:v>
      </x:c>
      <x:c r="L6" s="22" t="str">
        <x:v>Customer snapshot</x:v>
      </x:c>
      <x:c r="M6" s="22" t="str">
        <x:v>Show current count</x:v>
      </x:c>
      <x:c r="N6" s="22" t="str">
        <x:v>onboarding_perf_customers</x:v>
      </x:c>
      <x:c r="O6" s="22" t="str">
        <x:v>P0</x:v>
      </x:c>
      <x:c r="P6" s="34" t="str"/>
    </x:row>
    <x:row r="7">
      <x:c r="A7" s="33" t="str">
        <x:v>Customer Growth</x:v>
      </x:c>
      <x:c r="B7" s="85" t="n">
        <x:v>0.1</x:v>
      </x:c>
      <x:c r="C7" s="22" t="str">
        <x:v>Collapsed detail</x:v>
      </x:c>
      <x:c r="D7" s="22" t="str">
        <x:v>Provisional</x:v>
      </x:c>
      <x:c r="E7" s="22" t="str">
        <x:v>Growth matters over time</x:v>
      </x:c>
      <x:c r="F7" s="22" t="str">
        <x:v>Offline growth reduced credit</x:v>
      </x:c>
      <x:c r="G7" s="22" t="str">
        <x:v>Indirect only</x:v>
      </x:c>
      <x:c r="H7" s="22" t="str">
        <x:v>0 direct</x:v>
      </x:c>
      <x:c r="I7" s="22" t="str">
        <x:v>No</x:v>
      </x:c>
      <x:c r="J7" s="22" t="str">
        <x:v>Same</x:v>
      </x:c>
      <x:c r="K7" s="22" t="str">
        <x:v>4</x:v>
      </x:c>
      <x:c r="L7" s="22" t="str">
        <x:v>Customer deltas</x:v>
      </x:c>
      <x:c r="M7" s="22" t="str">
        <x:v>No 0/0 warning</x:v>
      </x:c>
      <x:c r="N7" s="22" t="str">
        <x:v>onboarding_perf_growth</x:v>
      </x:c>
      <x:c r="O7" s="22" t="str">
        <x:v>P1</x:v>
      </x:c>
      <x:c r="P7" s="34" t="str"/>
    </x:row>
    <x:row r="8">
      <x:c r="A8" s="33" t="str">
        <x:v>Utilization</x:v>
      </x:c>
      <x:c r="B8" s="85" t="n">
        <x:v>0.1</x:v>
      </x:c>
      <x:c r="C8" s="22" t="str">
        <x:v>Collapsed detail</x:v>
      </x:c>
      <x:c r="D8" s="22" t="str">
        <x:v>Provisional</x:v>
      </x:c>
      <x:c r="E8" s="22" t="str">
        <x:v>Don't overload capacity</x:v>
      </x:c>
      <x:c r="F8" s="22" t="str">
        <x:v>Snapshot valid</x:v>
      </x:c>
      <x:c r="G8" s="22" t="str">
        <x:v>Indirect only</x:v>
      </x:c>
      <x:c r="H8" s="22" t="str">
        <x:v>0 direct</x:v>
      </x:c>
      <x:c r="I8" s="22" t="str">
        <x:v>No</x:v>
      </x:c>
      <x:c r="J8" s="22" t="str">
        <x:v>Same</x:v>
      </x:c>
      <x:c r="K8" s="22" t="str">
        <x:v>5</x:v>
      </x:c>
      <x:c r="L8" s="22" t="str">
        <x:v>Economy/customer snapshot</x:v>
      </x:c>
      <x:c r="M8" s="22" t="str">
        <x:v>Explain insufficient history</x:v>
      </x:c>
      <x:c r="N8" s="22" t="str">
        <x:v>onboarding_perf_utilization</x:v>
      </x:c>
      <x:c r="O8" s="22" t="str">
        <x:v>P1</x:v>
      </x:c>
      <x:c r="P8" s="34" t="str"/>
    </x:row>
    <x:row r="9">
      <x:c r="A9" s="33" t="str">
        <x:v>Reputation</x:v>
      </x:c>
      <x:c r="B9" s="85" t="n">
        <x:v>0.05</x:v>
      </x:c>
      <x:c r="C9" s="22" t="str">
        <x:v>Collapsed detail</x:v>
      </x:c>
      <x:c r="D9" s="22" t="str">
        <x:v>Provisional</x:v>
      </x:c>
      <x:c r="E9" s="22" t="str">
        <x:v>Trust matters</x:v>
      </x:c>
      <x:c r="F9" s="22" t="str">
        <x:v>No positive passive gain</x:v>
      </x:c>
      <x:c r="G9" s="22" t="str">
        <x:v>No direct Module Rep</x:v>
      </x:c>
      <x:c r="H9" s="22" t="str">
        <x:v>0 direct</x:v>
      </x:c>
      <x:c r="I9" s="22" t="str">
        <x:v>No</x:v>
      </x:c>
      <x:c r="J9" s="22" t="str">
        <x:v>Same</x:v>
      </x:c>
      <x:c r="K9" s="22" t="str">
        <x:v>6</x:v>
      </x:c>
      <x:c r="L9" s="22" t="str">
        <x:v>Rep snapshot</x:v>
      </x:c>
      <x:c r="M9" s="22" t="str">
        <x:v>Start 50</x:v>
      </x:c>
      <x:c r="N9" s="22" t="str">
        <x:v>onboarding_perf_rep</x:v>
      </x:c>
      <x:c r="O9" s="22" t="str">
        <x:v>P1</x:v>
      </x:c>
      <x:c r="P9" s="34" t="str"/>
    </x:row>
    <x:row r="10">
      <x:c r="A10" s="33" t="str">
        <x:v>Risk Management</x:v>
      </x:c>
      <x:c r="B10" s="85" t="n">
        <x:v>0.05</x:v>
      </x:c>
      <x:c r="C10" s="22" t="str">
        <x:v>Collapsed detail</x:v>
      </x:c>
      <x:c r="D10" s="22" t="str">
        <x:v>Provisional</x:v>
      </x:c>
      <x:c r="E10" s="22" t="str">
        <x:v>Managed risk is better than reckless or over-conservative extremes per Risk spec</x:v>
      </x:c>
      <x:c r="F10" s="22" t="str">
        <x:v>Offline risk snapshots can count</x:v>
      </x:c>
      <x:c r="G10" s="22" t="str">
        <x:v>Module risk effects indirect</x:v>
      </x:c>
      <x:c r="H10" s="22" t="str">
        <x:v>0 direct</x:v>
      </x:c>
      <x:c r="I10" s="22" t="str">
        <x:v>No</x:v>
      </x:c>
      <x:c r="J10" s="22" t="str">
        <x:v>Same</x:v>
      </x:c>
      <x:c r="K10" s="22" t="str">
        <x:v>7</x:v>
      </x:c>
      <x:c r="L10" s="22" t="str">
        <x:v>Risk history</x:v>
      </x:c>
      <x:c r="M10" s="22" t="str">
        <x:v>Start 25</x:v>
      </x:c>
      <x:c r="N10" s="22" t="str">
        <x:v>onboarding_perf_risk</x:v>
      </x:c>
      <x:c r="O10" s="22" t="str">
        <x:v>P1</x:v>
      </x:c>
      <x:c r="P10" s="34" t="str"/>
    </x:row>
    <x:row r="11">
      <x:c r="A11" s="35" t="str">
        <x:v>Market Hunts</x:v>
      </x:c>
      <x:c r="B11" s="86" t="n">
        <x:v>0.05</x:v>
      </x:c>
      <x:c r="C11" s="36" t="str">
        <x:v>Yes</x:v>
      </x:c>
      <x:c r="D11" s="36" t="str">
        <x:v>First Hunt posted</x:v>
      </x:c>
      <x:c r="E11" s="36" t="str">
        <x:v>Hunts reward active play</x:v>
      </x:c>
      <x:c r="F11" s="36" t="str">
        <x:v>No offline Hunt progress</x:v>
      </x:c>
      <x:c r="G11" s="36" t="str">
        <x:v>Modules do not increase Hunt Points</x:v>
      </x:c>
      <x:c r="H11" s="36" t="str">
        <x:v>0 direct</x:v>
      </x:c>
      <x:c r="I11" s="36" t="str">
        <x:v>No</x:v>
      </x:c>
      <x:c r="J11" s="36" t="str">
        <x:v>Same</x:v>
      </x:c>
      <x:c r="K11" s="36" t="str">
        <x:v>8</x:v>
      </x:c>
      <x:c r="L11" s="36" t="str">
        <x:v>Hunt ledger</x:v>
      </x:c>
      <x:c r="M11" s="36" t="str">
        <x:v>Show 0 until claim finalized</x:v>
      </x:c>
      <x:c r="N11" s="36" t="str">
        <x:v>onboarding_perf_hunts</x:v>
      </x:c>
      <x:c r="O11" s="36" t="str">
        <x:v>P0</x:v>
      </x:c>
      <x:c r="P11" s="37" t="str"/>
    </x:row>
    <x:row r="13" ht="22" customHeight="1">
      <x:c r="A13" s="11" t="str">
        <x:v>First-Visit Rules</x:v>
      </x:c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</x:row>
    <x:row r="14">
      <x:c r="A14" s="154" t="str">
        <x:v>Rule</x:v>
      </x:c>
      <x:c r="B14" s="154" t="str">
        <x:v>Decision</x:v>
      </x:c>
    </x:row>
    <x:row r="15">
      <x:c r="A15" s="95" t="str">
        <x:v>Label</x:v>
      </x:c>
      <x:c r="B15" s="98" t="str">
        <x:v>Always show 'Provisional' until weekly settlement is final.</x:v>
      </x:c>
    </x:row>
    <x:row r="16">
      <x:c r="A16" s="99" t="str">
        <x:v>Timing</x:v>
      </x:c>
      <x:c r="B16" s="102" t="str">
        <x:v>Target first Performance view around minute 18, after the player already owns 3 buildings, completed a Hunt and seen the Portfolio.</x:v>
      </x:c>
    </x:row>
    <x:row r="17">
      <x:c r="A17" s="99" t="str">
        <x:v>Payout</x:v>
      </x:c>
      <x:c r="B17" s="102" t="str">
        <x:v>Do not display a $PLOT payout estimate during onboarding or before minimum score + active-day eligibility.</x:v>
      </x:c>
    </x:row>
    <x:row r="18">
      <x:c r="A18" s="99" t="str">
        <x:v>Complexity</x:v>
      </x:c>
      <x:c r="B18" s="102" t="str">
        <x:v>First visit expands Activity, Revenue, Customers and Hunts; other components are collapsed but visible.</x:v>
      </x:c>
    </x:row>
    <x:row r="19">
      <x:c r="A19" s="103" t="str">
        <x:v>Agency</x:v>
      </x:c>
      <x:c r="B19" s="106" t="str">
        <x:v>Explain that stock portfolio value, Module rarity, Plot ownership and marketplace value do not directly increase score.</x:v>
      </x:c>
    </x:row>
  </x:sheetData>
  <x:mergeCells>
    <x:mergeCell ref="A1:P1"/>
    <x:mergeCell ref="A13:P1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92" t="str">
        <x:v>Tutorial Protection, Skips &amp; Recovery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  <x:c r="O1" s="92"/>
      <x:c r="P1" s="92"/>
      <x:c r="Q1" s="22"/>
    </x:row>
    <x:row r="3">
      <x:c r="A3" s="14" t="str">
        <x:v>Risk / Failure</x:v>
      </x:c>
      <x:c r="B3" s="14" t="str">
        <x:v>Trigger</x:v>
      </x:c>
      <x:c r="C3" s="14" t="str">
        <x:v>Player Experience</x:v>
      </x:c>
      <x:c r="D3" s="14" t="str">
        <x:v>Recovery</x:v>
      </x:c>
      <x:c r="E3" s="14" t="str">
        <x:v>Cash Treatment</x:v>
      </x:c>
      <x:c r="F3" s="14" t="str">
        <x:v>XP Treatment</x:v>
      </x:c>
      <x:c r="G3" s="14" t="str">
        <x:v>Event Treatment</x:v>
      </x:c>
      <x:c r="H3" s="14" t="str">
        <x:v>Hunt Treatment</x:v>
      </x:c>
      <x:c r="I3" s="14" t="str">
        <x:v>Server Flag</x:v>
      </x:c>
      <x:c r="J3" s="14" t="str">
        <x:v>One-Time?</x:v>
      </x:c>
      <x:c r="K3" s="14" t="str">
        <x:v>Abuse Risk</x:v>
      </x:c>
      <x:c r="L3" s="14" t="str">
        <x:v>Mitigation</x:v>
      </x:c>
      <x:c r="M3" s="14" t="str">
        <x:v>Can Skip?</x:v>
      </x:c>
      <x:c r="N3" s="14" t="str">
        <x:v>Analytics</x:v>
      </x:c>
      <x:c r="O3" s="14" t="str">
        <x:v>Priority</x:v>
      </x:c>
      <x:c r="P3" s="14" t="str">
        <x:v>Notes</x:v>
      </x:c>
    </x:row>
    <x:row r="4">
      <x:c r="A4" s="95" t="str">
        <x:v>No first customer</x:v>
      </x:c>
      <x:c r="B4" s="97" t="str">
        <x:v>No customer by 2:00 after valid Kiosk build</x:v>
      </x:c>
      <x:c r="C4" s="97" t="str">
        <x:v>First 2 minutes feel broken</x:v>
      </x:c>
      <x:c r="D4" s="97" t="str">
        <x:v>Apply onboarding demand floor; create valid acquisition under normal customer record</x:v>
      </x:c>
      <x:c r="E4" s="97" t="str">
        <x:v>None</x:v>
      </x:c>
      <x:c r="F4" s="97" t="str">
        <x:v>Award XP only when customer exists</x:v>
      </x:c>
      <x:c r="G4" s="97" t="str">
        <x:v>N/A</x:v>
      </x:c>
      <x:c r="H4" s="97" t="str">
        <x:v>N/A</x:v>
      </x:c>
      <x:c r="I4" s="97" t="str">
        <x:v>first_customer_assist</x:v>
      </x:c>
      <x:c r="J4" s="97" t="str">
        <x:v>Yes</x:v>
      </x:c>
      <x:c r="K4" s="97" t="str">
        <x:v>Low</x:v>
      </x:c>
      <x:c r="L4" s="97" t="str">
        <x:v>Only for first valid Cash Kiosk</x:v>
      </x:c>
      <x:c r="M4" s="97" t="str">
        <x:v>N/A</x:v>
      </x:c>
      <x:c r="N4" s="97" t="str">
        <x:v>onboarding_customer_assist</x:v>
      </x:c>
      <x:c r="O4" s="97" t="str">
        <x:v>P0</x:v>
      </x:c>
      <x:c r="P4" s="98" t="str"/>
    </x:row>
    <x:row r="5">
      <x:c r="A5" s="99" t="str">
        <x:v>No first Cash</x:v>
      </x:c>
      <x:c r="B5" s="101" t="str">
        <x:v>No settlement by 6:00</x:v>
      </x:c>
      <x:c r="C5" s="101" t="str">
        <x:v>Revenue feels broken</x:v>
      </x:c>
      <x:c r="D5" s="101" t="str">
        <x:v>Run catch-up economy bucket; never grant fake revenue</x:v>
      </x:c>
      <x:c r="E5" s="101" t="str">
        <x:v>Actual calculated Cash only</x:v>
      </x:c>
      <x:c r="F5" s="101" t="str">
        <x:v>XP after actual ledger post</x:v>
      </x:c>
      <x:c r="G5" s="101" t="str">
        <x:v>N/A</x:v>
      </x:c>
      <x:c r="H5" s="101" t="str">
        <x:v>N/A</x:v>
      </x:c>
      <x:c r="I5" s="101" t="str">
        <x:v>first_cash_assist</x:v>
      </x:c>
      <x:c r="J5" s="101" t="str">
        <x:v>Yes</x:v>
      </x:c>
      <x:c r="K5" s="101" t="str">
        <x:v>Low</x:v>
      </x:c>
      <x:c r="L5" s="101" t="str">
        <x:v>Ledger-backed</x:v>
      </x:c>
      <x:c r="M5" s="101" t="str">
        <x:v>N/A</x:v>
      </x:c>
      <x:c r="N5" s="101" t="str">
        <x:v>onboarding_cash_assist</x:v>
      </x:c>
      <x:c r="O5" s="101" t="str">
        <x:v>P0</x:v>
      </x:c>
      <x:c r="P5" s="102" t="str"/>
    </x:row>
    <x:row r="6">
      <x:c r="A6" s="99" t="str">
        <x:v>Player spent too much Cash</x:v>
      </x:c>
      <x:c r="B6" s="101" t="str">
        <x:v>Cannot afford required first upgrade after buying 3 tutorial businesses or other noncanonical spend</x:v>
      </x:c>
      <x:c r="C6" s="101" t="str">
        <x:v>Tutorial blocked</x:v>
      </x:c>
      <x:c r="D6" s="101" t="str">
        <x:v>Grant Tutorial Recovery Credit equal only to exact shortfall for the required Cash Kiosk upgrade</x:v>
      </x:c>
      <x:c r="E6" s="101" t="str">
        <x:v>Tagged non-performance tutorial credit</x:v>
      </x:c>
      <x:c r="F6" s="101" t="str">
        <x:v>No extra XP</x:v>
      </x:c>
      <x:c r="G6" s="101" t="str">
        <x:v>N/A</x:v>
      </x:c>
      <x:c r="H6" s="101" t="str">
        <x:v>N/A</x:v>
      </x:c>
      <x:c r="I6" s="101" t="str">
        <x:v>cash_recovery_used</x:v>
      </x:c>
      <x:c r="J6" s="101" t="str">
        <x:v>Once</x:v>
      </x:c>
      <x:c r="K6" s="101" t="str">
        <x:v>Medium</x:v>
      </x:c>
      <x:c r="L6" s="101" t="str">
        <x:v>Cannot withdraw/trade; excluded from revenue score</x:v>
      </x:c>
      <x:c r="M6" s="101" t="str">
        <x:v>Yes</x:v>
      </x:c>
      <x:c r="N6" s="101" t="str">
        <x:v>onboarding_cash_recovery</x:v>
      </x:c>
      <x:c r="O6" s="101" t="str">
        <x:v>P0</x:v>
      </x:c>
      <x:c r="P6" s="102" t="str"/>
    </x:row>
    <x:row r="7">
      <x:c r="A7" s="99" t="str">
        <x:v>Missed synergy placement</x:v>
      </x:c>
      <x:c r="B7" s="101" t="str">
        <x:v>Savings Stand not adjacent by first placement</x:v>
      </x:c>
      <x:c r="C7" s="101" t="str">
        <x:v>Placement lesson missed</x:v>
      </x:c>
      <x:c r="D7" s="101" t="str">
        <x:v>Offer one free tutorial relocation before minute 20</x:v>
      </x:c>
      <x:c r="E7" s="101" t="str">
        <x:v>No fee once</x:v>
      </x:c>
      <x:c r="F7" s="101" t="str">
        <x:v>XP only after real synergy validates</x:v>
      </x:c>
      <x:c r="G7" s="101" t="str">
        <x:v>N/A</x:v>
      </x:c>
      <x:c r="H7" s="101" t="str">
        <x:v>N/A</x:v>
      </x:c>
      <x:c r="I7" s="101" t="str">
        <x:v>free_tutorial_relocation</x:v>
      </x:c>
      <x:c r="J7" s="101" t="str">
        <x:v>Once</x:v>
      </x:c>
      <x:c r="K7" s="101" t="str">
        <x:v>Low</x:v>
      </x:c>
      <x:c r="L7" s="101" t="str">
        <x:v>Specific Savings Stand only</x:v>
      </x:c>
      <x:c r="M7" s="101" t="str">
        <x:v>Yes</x:v>
      </x:c>
      <x:c r="N7" s="101" t="str">
        <x:v>onboarding_synergy_recovery</x:v>
      </x:c>
      <x:c r="O7" s="101" t="str">
        <x:v>P0</x:v>
      </x:c>
      <x:c r="P7" s="102" t="str"/>
    </x:row>
    <x:row r="8">
      <x:c r="A8" s="99" t="str">
        <x:v>Hunt activity lag</x:v>
      </x:c>
      <x:c r="B8" s="101" t="str">
        <x:v>&lt;2 eligible Activity Points by 15:30 due system cadence</x:v>
      </x:c>
      <x:c r="C8" s="101" t="str">
        <x:v>Hunt stalls</x:v>
      </x:c>
      <x:c r="D8" s="101" t="str">
        <x:v>If &gt;=1 validated point exists, lower tutorial target to 1; otherwise keep active and surface retry</x:v>
      </x:c>
      <x:c r="E8" s="101" t="str">
        <x:v>No Cash</x:v>
      </x:c>
      <x:c r="F8" s="101" t="str">
        <x:v>No extra XP</x:v>
      </x:c>
      <x:c r="G8" s="101" t="str">
        <x:v>N/A</x:v>
      </x:c>
      <x:c r="H8" s="101" t="str">
        <x:v>Never fabricate activity</x:v>
      </x:c>
      <x:c r="I8" s="101" t="str">
        <x:v>hunt_target_recovery</x:v>
      </x:c>
      <x:c r="J8" s="101" t="str">
        <x:v>Once</x:v>
      </x:c>
      <x:c r="K8" s="101" t="str">
        <x:v>Medium</x:v>
      </x:c>
      <x:c r="L8" s="101" t="str">
        <x:v>Requires validated ledger</x:v>
      </x:c>
      <x:c r="M8" s="101" t="str">
        <x:v>Yes</x:v>
      </x:c>
      <x:c r="N8" s="101" t="str">
        <x:v>onboarding_hunt_recovery</x:v>
      </x:c>
      <x:c r="O8" s="101" t="str">
        <x:v>P0</x:v>
      </x:c>
      <x:c r="P8" s="102" t="str"/>
    </x:row>
    <x:row r="9">
      <x:c r="A9" s="99" t="str">
        <x:v>Player exits app</x:v>
      </x:c>
      <x:c r="B9" s="101" t="str">
        <x:v>Any point</x:v>
      </x:c>
      <x:c r="C9" s="101" t="str">
        <x:v>No loss of progress</x:v>
      </x:c>
      <x:c r="D9" s="101" t="str">
        <x:v>Resume at next incomplete milestone; early buildings and XP persist</x:v>
      </x:c>
      <x:c r="E9" s="101" t="str">
        <x:v>Normal offline rules where applicable</x:v>
      </x:c>
      <x:c r="F9" s="101" t="str">
        <x:v>No duplicate XP</x:v>
      </x:c>
      <x:c r="G9" s="101" t="str">
        <x:v>No punitive personal event until protection expiry</x:v>
      </x:c>
      <x:c r="H9" s="101" t="str">
        <x:v>Tutorial Hunt can be reissued once if it expires before completion</x:v>
      </x:c>
      <x:c r="I9" s="101" t="str">
        <x:v>onboarding_resume_state</x:v>
      </x:c>
      <x:c r="J9" s="101" t="str">
        <x:v>Reissue once</x:v>
      </x:c>
      <x:c r="K9" s="101" t="str">
        <x:v>Medium</x:v>
      </x:c>
      <x:c r="L9" s="101" t="str">
        <x:v>Account-bound flags</x:v>
      </x:c>
      <x:c r="M9" s="101" t="str">
        <x:v>Yes</x:v>
      </x:c>
      <x:c r="N9" s="101" t="str">
        <x:v>onboarding_resumed</x:v>
      </x:c>
      <x:c r="O9" s="101" t="str">
        <x:v>P0</x:v>
      </x:c>
      <x:c r="P9" s="102" t="str"/>
    </x:row>
    <x:row r="10">
      <x:c r="A10" s="99" t="str">
        <x:v>Player skips tutorial</x:v>
      </x:c>
      <x:c r="B10" s="101" t="str">
        <x:v>Tap Skip after intro</x:v>
      </x:c>
      <x:c r="C10" s="101" t="str">
        <x:v>Immediate free play</x:v>
      </x:c>
      <x:c r="D10" s="101" t="str">
        <x:v>Milestones become passive checklist; rewards only on actual completion</x:v>
      </x:c>
      <x:c r="E10" s="101" t="str">
        <x:v>Normal</x:v>
      </x:c>
      <x:c r="F10" s="101" t="str">
        <x:v>Tutorial XP still awarded from validated milestones</x:v>
      </x:c>
      <x:c r="G10" s="101" t="str">
        <x:v>Protection remains until 60m/account-age equivalent</x:v>
      </x:c>
      <x:c r="H10" s="101" t="str">
        <x:v>Starter Hunt guarantee remains available once</x:v>
      </x:c>
      <x:c r="I10" s="101" t="str">
        <x:v>tutorial_skipped</x:v>
      </x:c>
      <x:c r="J10" s="101" t="str">
        <x:v>Once</x:v>
      </x:c>
      <x:c r="K10" s="101" t="str">
        <x:v>Medium</x:v>
      </x:c>
      <x:c r="L10" s="101" t="str">
        <x:v>No instant grants</x:v>
      </x:c>
      <x:c r="M10" s="101" t="str">
        <x:v>Yes</x:v>
      </x:c>
      <x:c r="N10" s="101" t="str">
        <x:v>onboarding_skipped</x:v>
      </x:c>
      <x:c r="O10" s="101" t="str">
        <x:v>P0</x:v>
      </x:c>
      <x:c r="P10" s="102" t="str"/>
    </x:row>
    <x:row r="11">
      <x:c r="A11" s="103" t="str">
        <x:v>Negative personal event</x:v>
      </x:c>
      <x:c r="B11" s="105" t="str">
        <x:v>Before 60m</x:v>
      </x:c>
      <x:c r="C11" s="105" t="str">
        <x:v>Could overwhelm new player</x:v>
      </x:c>
      <x:c r="D11" s="105" t="str">
        <x:v>Do not spawn punitive personal decision events</x:v>
      </x:c>
      <x:c r="E11" s="105" t="str">
        <x:v>Normal global market modifiers may display</x:v>
      </x:c>
      <x:c r="F11" s="105" t="str">
        <x:v>Normal</x:v>
      </x:c>
      <x:c r="G11" s="105" t="str">
        <x:v>Suppressed</x:v>
      </x:c>
      <x:c r="H11" s="105" t="str">
        <x:v>N/A</x:v>
      </x:c>
      <x:c r="I11" s="105" t="str">
        <x:v>protection_until</x:v>
      </x:c>
      <x:c r="J11" s="105" t="str">
        <x:v>N/A</x:v>
      </x:c>
      <x:c r="K11" s="105" t="str">
        <x:v>Low</x:v>
      </x:c>
      <x:c r="L11" s="105" t="str">
        <x:v>Server time</x:v>
      </x:c>
      <x:c r="M11" s="105" t="str">
        <x:v>N/A</x:v>
      </x:c>
      <x:c r="N11" s="105" t="str">
        <x:v>onboarding_event_protection</x:v>
      </x:c>
      <x:c r="O11" s="105" t="str">
        <x:v>P0</x:v>
      </x:c>
      <x:c r="P11" s="106" t="str"/>
    </x:row>
  </x:sheetData>
  <x:mergeCells>
    <x:mergeCell ref="A1:P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92" t="str">
        <x:v>Onboarding UI, Coachmarks &amp; Information Density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  <x:c r="O1" s="92"/>
      <x:c r="P1" s="92"/>
      <x:c r="Q1" s="22"/>
    </x:row>
    <x:row r="3">
      <x:c r="A3" s="14" t="str">
        <x:v>Moment</x:v>
      </x:c>
      <x:c r="B3" s="14" t="str">
        <x:v>Surface</x:v>
      </x:c>
      <x:c r="C3" s="14" t="str">
        <x:v>UI Pattern</x:v>
      </x:c>
      <x:c r="D3" s="14" t="str">
        <x:v>Text Length Rule</x:v>
      </x:c>
      <x:c r="E3" s="14" t="str">
        <x:v>Primary CTA</x:v>
      </x:c>
      <x:c r="F3" s="14" t="str">
        <x:v>Secondary CTA</x:v>
      </x:c>
      <x:c r="G3" s="14" t="str">
        <x:v>Blocks Play?</x:v>
      </x:c>
      <x:c r="H3" s="14" t="str">
        <x:v>Auto-Dismiss?</x:v>
      </x:c>
      <x:c r="I3" s="14" t="str">
        <x:v>Highlight</x:v>
      </x:c>
      <x:c r="J3" s="14" t="str">
        <x:v>Audio/Haptic?</x:v>
      </x:c>
      <x:c r="K3" s="14" t="str">
        <x:v>Accessibility</x:v>
      </x:c>
      <x:c r="L3" s="14" t="str">
        <x:v>Repeat Rule</x:v>
      </x:c>
      <x:c r="M3" s="14" t="str">
        <x:v>Backend Dependency</x:v>
      </x:c>
      <x:c r="N3" s="14" t="str">
        <x:v>Analytics</x:v>
      </x:c>
      <x:c r="O3" s="14" t="str">
        <x:v>Priority</x:v>
      </x:c>
      <x:c r="P3" s="14" t="str">
        <x:v>Notes</x:v>
      </x:c>
    </x:row>
    <x:row r="4">
      <x:c r="A4" s="95" t="str">
        <x:v>Welcome</x:v>
      </x:c>
      <x:c r="B4" s="97" t="str">
        <x:v>Plot</x:v>
      </x:c>
      <x:c r="C4" s="97" t="str">
        <x:v>Bottom sheet / centered card</x:v>
      </x:c>
      <x:c r="D4" s="97" t="str">
        <x:v>&lt;=16 words</x:v>
      </x:c>
      <x:c r="E4" s="97" t="str">
        <x:v>Start</x:v>
      </x:c>
      <x:c r="F4" s="97" t="str">
        <x:v>Skip</x:v>
      </x:c>
      <x:c r="G4" s="97" t="str">
        <x:v>Yes until Start/Skip</x:v>
      </x:c>
      <x:c r="H4" s="97" t="str">
        <x:v>No</x:v>
      </x:c>
      <x:c r="I4" s="97" t="str">
        <x:v>Build button</x:v>
      </x:c>
      <x:c r="J4" s="97" t="str">
        <x:v>Optional subtle</x:v>
      </x:c>
      <x:c r="K4" s="97" t="str">
        <x:v>Screen-reader heading; reduced motion</x:v>
      </x:c>
      <x:c r="L4" s="97" t="str">
        <x:v>Once</x:v>
      </x:c>
      <x:c r="M4" s="97" t="str">
        <x:v>onboarding state</x:v>
      </x:c>
      <x:c r="N4" s="97" t="str">
        <x:v>onboarding_started</x:v>
      </x:c>
      <x:c r="O4" s="97" t="str">
        <x:v>P0</x:v>
      </x:c>
      <x:c r="P4" s="98" t="str"/>
    </x:row>
    <x:row r="5">
      <x:c r="A5" s="99" t="str">
        <x:v>Build Cash Kiosk</x:v>
      </x:c>
      <x:c r="B5" s="101" t="str">
        <x:v>Build</x:v>
      </x:c>
      <x:c r="C5" s="101" t="str">
        <x:v>Spotlight + catalog focus</x:v>
      </x:c>
      <x:c r="D5" s="101" t="str">
        <x:v>&lt;=12 words</x:v>
      </x:c>
      <x:c r="E5" s="101" t="str">
        <x:v>Select/Place</x:v>
      </x:c>
      <x:c r="F5" s="101" t="str">
        <x:v>Back</x:v>
      </x:c>
      <x:c r="G5" s="101" t="str">
        <x:v>No</x:v>
      </x:c>
      <x:c r="H5" s="101" t="str">
        <x:v>No</x:v>
      </x:c>
      <x:c r="I5" s="101" t="str">
        <x:v>Cash Kiosk card</x:v>
      </x:c>
      <x:c r="J5" s="101" t="str">
        <x:v>Optional</x:v>
      </x:c>
      <x:c r="K5" s="101" t="str">
        <x:v>44px targets</x:v>
      </x:c>
      <x:c r="L5" s="101" t="str">
        <x:v>Until placed</x:v>
      </x:c>
      <x:c r="M5" s="101" t="str">
        <x:v>building catalog</x:v>
      </x:c>
      <x:c r="N5" s="101" t="str">
        <x:v>onboarding_build_opened</x:v>
      </x:c>
      <x:c r="O5" s="101" t="str">
        <x:v>P0</x:v>
      </x:c>
      <x:c r="P5" s="102" t="str"/>
    </x:row>
    <x:row r="6">
      <x:c r="A6" s="99" t="str">
        <x:v>First customer</x:v>
      </x:c>
      <x:c r="B6" s="101" t="str">
        <x:v>Plot</x:v>
      </x:c>
      <x:c r="C6" s="101" t="str">
        <x:v>Non-blocking tooltip</x:v>
      </x:c>
      <x:c r="D6" s="101" t="str">
        <x:v>&lt;=12 words</x:v>
      </x:c>
      <x:c r="E6" s="101" t="str">
        <x:v>Dismiss</x:v>
      </x:c>
      <x:c r="F6" s="101" t="str">
        <x:v>Open Customers</x:v>
      </x:c>
      <x:c r="G6" s="101" t="str">
        <x:v>No</x:v>
      </x:c>
      <x:c r="H6" s="101" t="str">
        <x:v>Yes after 4s</x:v>
      </x:c>
      <x:c r="I6" s="101" t="str">
        <x:v>Customer counter</x:v>
      </x:c>
      <x:c r="J6" s="101" t="str">
        <x:v>None</x:v>
      </x:c>
      <x:c r="K6" s="101" t="str">
        <x:v>Do not rely on animation only</x:v>
      </x:c>
      <x:c r="L6" s="101" t="str">
        <x:v>Once</x:v>
      </x:c>
      <x:c r="M6" s="101" t="str">
        <x:v>customer state</x:v>
      </x:c>
      <x:c r="N6" s="101" t="str">
        <x:v>onboarding_first_customer</x:v>
      </x:c>
      <x:c r="O6" s="101" t="str">
        <x:v>P0</x:v>
      </x:c>
      <x:c r="P6" s="102" t="str"/>
    </x:row>
    <x:row r="7">
      <x:c r="A7" s="99" t="str">
        <x:v>Build Trading Booth</x:v>
      </x:c>
      <x:c r="B7" s="101" t="str">
        <x:v>Build</x:v>
      </x:c>
      <x:c r="C7" s="101" t="str">
        <x:v>Fast follow-up mission</x:v>
      </x:c>
      <x:c r="D7" s="101" t="str">
        <x:v>&lt;=12 words</x:v>
      </x:c>
      <x:c r="E7" s="101" t="str">
        <x:v>Build</x:v>
      </x:c>
      <x:c r="F7" s="101" t="str">
        <x:v>Later</x:v>
      </x:c>
      <x:c r="G7" s="101" t="str">
        <x:v>No</x:v>
      </x:c>
      <x:c r="H7" s="101" t="str">
        <x:v>No</x:v>
      </x:c>
      <x:c r="I7" s="101" t="str">
        <x:v>Trading Booth card</x:v>
      </x:c>
      <x:c r="J7" s="101" t="str">
        <x:v>Optional</x:v>
      </x:c>
      <x:c r="K7" s="101" t="str">
        <x:v>Text + icon</x:v>
      </x:c>
      <x:c r="L7" s="101" t="str">
        <x:v>Until built/skipped</x:v>
      </x:c>
      <x:c r="M7" s="101" t="str">
        <x:v>catalog + level</x:v>
      </x:c>
      <x:c r="N7" s="101" t="str">
        <x:v>onboarding_second_business</x:v>
      </x:c>
      <x:c r="O7" s="101" t="str">
        <x:v>P0</x:v>
      </x:c>
      <x:c r="P7" s="102" t="str"/>
    </x:row>
    <x:row r="8">
      <x:c r="A8" s="99" t="str">
        <x:v>Savings + synergy</x:v>
      </x:c>
      <x:c r="B8" s="101" t="str">
        <x:v>Build/Plot</x:v>
      </x:c>
      <x:c r="C8" s="101" t="str">
        <x:v>Adjacency ghost + synergy preview</x:v>
      </x:c>
      <x:c r="D8" s="101" t="str">
        <x:v>&lt;=16 words</x:v>
      </x:c>
      <x:c r="E8" s="101" t="str">
        <x:v>Place</x:v>
      </x:c>
      <x:c r="F8" s="101" t="str">
        <x:v>Cancel</x:v>
      </x:c>
      <x:c r="G8" s="101" t="str">
        <x:v>No</x:v>
      </x:c>
      <x:c r="H8" s="101" t="str">
        <x:v>No</x:v>
      </x:c>
      <x:c r="I8" s="101" t="str">
        <x:v>Orthogonal tiles</x:v>
      </x:c>
      <x:c r="J8" s="101" t="str">
        <x:v>Optional</x:v>
      </x:c>
      <x:c r="K8" s="101" t="str">
        <x:v>Pattern + text, not color only</x:v>
      </x:c>
      <x:c r="L8" s="101" t="str">
        <x:v>Until resolved/skipped</x:v>
      </x:c>
      <x:c r="M8" s="101" t="str">
        <x:v>placement resolver</x:v>
      </x:c>
      <x:c r="N8" s="101" t="str">
        <x:v>onboarding_synergy_preview</x:v>
      </x:c>
      <x:c r="O8" s="101" t="str">
        <x:v>P0</x:v>
      </x:c>
      <x:c r="P8" s="102" t="str"/>
    </x:row>
    <x:row r="9">
      <x:c r="A9" s="99" t="str">
        <x:v>First Cash</x:v>
      </x:c>
      <x:c r="B9" s="101" t="str">
        <x:v>HUD</x:v>
      </x:c>
      <x:c r="C9" s="101" t="str">
        <x:v>Delta animation + one-line tooltip</x:v>
      </x:c>
      <x:c r="D9" s="101" t="str">
        <x:v>&lt;=14 words</x:v>
      </x:c>
      <x:c r="E9" s="101" t="str">
        <x:v>Got it</x:v>
      </x:c>
      <x:c r="F9" s="101" t="str">
        <x:v>Open Empire</x:v>
      </x:c>
      <x:c r="G9" s="101" t="str">
        <x:v>No</x:v>
      </x:c>
      <x:c r="H9" s="101" t="str">
        <x:v>Yes</x:v>
      </x:c>
      <x:c r="I9" s="101" t="str">
        <x:v>Cash HUD</x:v>
      </x:c>
      <x:c r="J9" s="101" t="str">
        <x:v>Light haptic optional</x:v>
      </x:c>
      <x:c r="K9" s="101" t="str">
        <x:v>Text delta persists in log</x:v>
      </x:c>
      <x:c r="L9" s="101" t="str">
        <x:v>Once</x:v>
      </x:c>
      <x:c r="M9" s="101" t="str">
        <x:v>cash ledger</x:v>
      </x:c>
      <x:c r="N9" s="101" t="str">
        <x:v>onboarding_first_cash</x:v>
      </x:c>
      <x:c r="O9" s="101" t="str">
        <x:v>P0</x:v>
      </x:c>
      <x:c r="P9" s="102" t="str"/>
    </x:row>
    <x:row r="10">
      <x:c r="A10" s="99" t="str">
        <x:v>First upgrade</x:v>
      </x:c>
      <x:c r="B10" s="101" t="str">
        <x:v>Building Detail</x:v>
      </x:c>
      <x:c r="C10" s="101" t="str">
        <x:v>Spotlight CTA + before/after card</x:v>
      </x:c>
      <x:c r="D10" s="101" t="str">
        <x:v>&lt;=18 words</x:v>
      </x:c>
      <x:c r="E10" s="101" t="str">
        <x:v>Upgrade</x:v>
      </x:c>
      <x:c r="F10" s="101" t="str">
        <x:v>Close</x:v>
      </x:c>
      <x:c r="G10" s="101" t="str">
        <x:v>No</x:v>
      </x:c>
      <x:c r="H10" s="101" t="str">
        <x:v>No</x:v>
      </x:c>
      <x:c r="I10" s="101" t="str">
        <x:v>Upgrade CTA</x:v>
      </x:c>
      <x:c r="J10" s="101" t="str">
        <x:v>Optional</x:v>
      </x:c>
      <x:c r="K10" s="101" t="str">
        <x:v>Stat deltas as text</x:v>
      </x:c>
      <x:c r="L10" s="101" t="str">
        <x:v>Until complete</x:v>
      </x:c>
      <x:c r="M10" s="101" t="str">
        <x:v>building state</x:v>
      </x:c>
      <x:c r="N10" s="101" t="str">
        <x:v>onboarding_upgrade_opened</x:v>
      </x:c>
      <x:c r="O10" s="101" t="str">
        <x:v>P0</x:v>
      </x:c>
      <x:c r="P10" s="102" t="str"/>
    </x:row>
    <x:row r="11">
      <x:c r="A11" s="99" t="str">
        <x:v>Hunt</x:v>
      </x:c>
      <x:c r="B11" s="101" t="str">
        <x:v>Hunts</x:v>
      </x:c>
      <x:c r="C11" s="101" t="str">
        <x:v>Highlighted tutorial Hunt</x:v>
      </x:c>
      <x:c r="D11" s="101" t="str">
        <x:v>&lt;=22 words</x:v>
      </x:c>
      <x:c r="E11" s="101" t="str">
        <x:v>Start Hunt</x:v>
      </x:c>
      <x:c r="F11" s="101" t="str">
        <x:v>Later</x:v>
      </x:c>
      <x:c r="G11" s="101" t="str">
        <x:v>No</x:v>
      </x:c>
      <x:c r="H11" s="101" t="str">
        <x:v>No</x:v>
      </x:c>
      <x:c r="I11" s="101" t="str">
        <x:v>Starter card</x:v>
      </x:c>
      <x:c r="J11" s="101" t="str">
        <x:v>Optional</x:v>
      </x:c>
      <x:c r="K11" s="101" t="str">
        <x:v>Timer text accessible</x:v>
      </x:c>
      <x:c r="L11" s="101" t="str">
        <x:v>Until started</x:v>
      </x:c>
      <x:c r="M11" s="101" t="str">
        <x:v>hunt config</x:v>
      </x:c>
      <x:c r="N11" s="101" t="str">
        <x:v>onboarding_first_hunt_open</x:v>
      </x:c>
      <x:c r="O11" s="101" t="str">
        <x:v>P0</x:v>
      </x:c>
      <x:c r="P11" s="102" t="str"/>
    </x:row>
    <x:row r="12">
      <x:c r="A12" s="99" t="str">
        <x:v>Stock reveal</x:v>
      </x:c>
      <x:c r="B12" s="101" t="str">
        <x:v>Reward</x:v>
      </x:c>
      <x:c r="C12" s="101" t="str">
        <x:v>Full-screen reveal</x:v>
      </x:c>
      <x:c r="D12" s="101" t="str">
        <x:v>&lt;=20 words</x:v>
      </x:c>
      <x:c r="E12" s="101" t="str">
        <x:v>View Portfolio</x:v>
      </x:c>
      <x:c r="F12" s="101" t="str">
        <x:v>Continue</x:v>
      </x:c>
      <x:c r="G12" s="101" t="str">
        <x:v>Yes briefly</x:v>
      </x:c>
      <x:c r="H12" s="101" t="str">
        <x:v>No</x:v>
      </x:c>
      <x:c r="I12" s="101" t="str">
        <x:v>Reward card</x:v>
      </x:c>
      <x:c r="J12" s="101" t="str">
        <x:v>Optional</x:v>
      </x:c>
      <x:c r="K12" s="101" t="str">
        <x:v>Ticker + full asset label</x:v>
      </x:c>
      <x:c r="L12" s="101" t="str">
        <x:v>Once per reward</x:v>
      </x:c>
      <x:c r="M12" s="101" t="str">
        <x:v>reward ledger</x:v>
      </x:c>
      <x:c r="N12" s="101" t="str">
        <x:v>onboarding_first_stock</x:v>
      </x:c>
      <x:c r="O12" s="101" t="str">
        <x:v>P0</x:v>
      </x:c>
      <x:c r="P12" s="102" t="str"/>
    </x:row>
    <x:row r="13">
      <x:c r="A13" s="103" t="str">
        <x:v>Performance</x:v>
      </x:c>
      <x:c r="B13" s="105" t="str">
        <x:v>Performance</x:v>
      </x:c>
      <x:c r="C13" s="105" t="str">
        <x:v>Coachmark on 4 expanded components</x:v>
      </x:c>
      <x:c r="D13" s="105" t="str">
        <x:v>&lt;=30 words total</x:v>
      </x:c>
      <x:c r="E13" s="105" t="str">
        <x:v>Back to Plot</x:v>
      </x:c>
      <x:c r="F13" s="105" t="str">
        <x:v>Leaderboard</x:v>
      </x:c>
      <x:c r="G13" s="105" t="str">
        <x:v>No</x:v>
      </x:c>
      <x:c r="H13" s="105" t="str">
        <x:v>Yes after interaction</x:v>
      </x:c>
      <x:c r="I13" s="105" t="str">
        <x:v>Provisional badge</x:v>
      </x:c>
      <x:c r="J13" s="105" t="str">
        <x:v>None</x:v>
      </x:c>
      <x:c r="K13" s="105" t="str">
        <x:v>Explain eligibility textually</x:v>
      </x:c>
      <x:c r="L13" s="105" t="str">
        <x:v>Once</x:v>
      </x:c>
      <x:c r="M13" s="105" t="str">
        <x:v>performance aggregate</x:v>
      </x:c>
      <x:c r="N13" s="105" t="str">
        <x:v>onboarding_first_performance</x:v>
      </x:c>
      <x:c r="O13" s="105" t="str">
        <x:v>P0</x:v>
      </x:c>
      <x:c r="P13" s="106" t="str"/>
    </x:row>
  </x:sheetData>
  <x:mergeCells>
    <x:mergeCell ref="A1:P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92" t="str">
        <x:v>Onboarding Backend State, Flags &amp; Jobs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  <x:c r="O1" s="92"/>
      <x:c r="P1" s="92"/>
      <x:c r="Q1" s="22"/>
    </x:row>
    <x:row r="3">
      <x:c r="A3" s="14" t="str">
        <x:v>Entity / Flag</x:v>
      </x:c>
      <x:c r="B3" s="14" t="str">
        <x:v>Purpose</x:v>
      </x:c>
      <x:c r="C3" s="14" t="str">
        <x:v>Type</x:v>
      </x:c>
      <x:c r="D3" s="14" t="str">
        <x:v>Set By</x:v>
      </x:c>
      <x:c r="E3" s="14" t="str">
        <x:v>Read By</x:v>
      </x:c>
      <x:c r="F3" s="14" t="str">
        <x:v>Idempotent?</x:v>
      </x:c>
      <x:c r="G3" s="14" t="str">
        <x:v>Server Authoritative?</x:v>
      </x:c>
      <x:c r="H3" s="14" t="str">
        <x:v>TTL</x:v>
      </x:c>
      <x:c r="I3" s="14" t="str">
        <x:v>Replayable?</x:v>
      </x:c>
      <x:c r="J3" s="14" t="str">
        <x:v>Performance Input?</x:v>
      </x:c>
      <x:c r="K3" s="14" t="str">
        <x:v>Cash Input?</x:v>
      </x:c>
      <x:c r="L3" s="14" t="str">
        <x:v>Failure Fallback</x:v>
      </x:c>
      <x:c r="M3" s="14" t="str">
        <x:v>Migration</x:v>
      </x:c>
      <x:c r="N3" s="14" t="str">
        <x:v>MVP?</x:v>
      </x:c>
      <x:c r="O3" s="14" t="str">
        <x:v>Priority</x:v>
      </x:c>
      <x:c r="P3" s="14" t="str">
        <x:v>Notes</x:v>
      </x:c>
    </x:row>
    <x:row r="4">
      <x:c r="A4" s="30" t="str">
        <x:v>onboarding_session_id</x:v>
      </x:c>
      <x:c r="B4" s="31" t="str">
        <x:v>Tie first-session milestones together</x:v>
      </x:c>
      <x:c r="C4" s="31" t="str">
        <x:v>UUID</x:v>
      </x:c>
      <x:c r="D4" s="31" t="str">
        <x:v>Onboarding Service</x:v>
      </x:c>
      <x:c r="E4" s="31" t="str">
        <x:v>All onboarding handlers</x:v>
      </x:c>
      <x:c r="F4" s="31" t="str">
        <x:v>Yes</x:v>
      </x:c>
      <x:c r="G4" s="31" t="str">
        <x:v>Yes</x:v>
      </x:c>
      <x:c r="H4" s="31" t="str">
        <x:v>Account lifecycle</x:v>
      </x:c>
      <x:c r="I4" s="31" t="str">
        <x:v>Yes</x:v>
      </x:c>
      <x:c r="J4" s="31" t="str">
        <x:v>No</x:v>
      </x:c>
      <x:c r="K4" s="31" t="str">
        <x:v>No</x:v>
      </x:c>
      <x:c r="L4" s="31" t="str">
        <x:v>Create on first valid entry</x:v>
      </x:c>
      <x:c r="M4" s="31" t="str">
        <x:v>None</x:v>
      </x:c>
      <x:c r="N4" s="31" t="str">
        <x:v>Yes</x:v>
      </x:c>
      <x:c r="O4" s="31" t="str">
        <x:v>P0</x:v>
      </x:c>
      <x:c r="P4" s="32" t="str"/>
    </x:row>
    <x:row r="5">
      <x:c r="A5" s="33" t="str">
        <x:v>onboarding_step</x:v>
      </x:c>
      <x:c r="B5" s="22" t="str">
        <x:v>Resume next incomplete milestone</x:v>
      </x:c>
      <x:c r="C5" s="22" t="str">
        <x:v>enum</x:v>
      </x:c>
      <x:c r="D5" s="22" t="str">
        <x:v>Milestone projector</x:v>
      </x:c>
      <x:c r="E5" s="22" t="str">
        <x:v>Client/read model</x:v>
      </x:c>
      <x:c r="F5" s="22" t="str">
        <x:v>Yes</x:v>
      </x:c>
      <x:c r="G5" s="22" t="str">
        <x:v>Yes</x:v>
      </x:c>
      <x:c r="H5" s="22" t="str">
        <x:v>Until completion</x:v>
      </x:c>
      <x:c r="I5" s="22" t="str">
        <x:v>Yes</x:v>
      </x:c>
      <x:c r="J5" s="22" t="str">
        <x:v>No</x:v>
      </x:c>
      <x:c r="K5" s="22" t="str">
        <x:v>No</x:v>
      </x:c>
      <x:c r="L5" s="22" t="str">
        <x:v>Rebuild from milestone events</x:v>
      </x:c>
      <x:c r="M5" s="22" t="str">
        <x:v>None</x:v>
      </x:c>
      <x:c r="N5" s="22" t="str">
        <x:v>Yes</x:v>
      </x:c>
      <x:c r="O5" s="22" t="str">
        <x:v>P0</x:v>
      </x:c>
      <x:c r="P5" s="34" t="str"/>
    </x:row>
    <x:row r="6">
      <x:c r="A6" s="33" t="str">
        <x:v>milestone_event_log</x:v>
      </x:c>
      <x:c r="B6" s="22" t="str">
        <x:v>Exactly-once milestone evidence</x:v>
      </x:c>
      <x:c r="C6" s="22" t="str">
        <x:v>append-only</x:v>
      </x:c>
      <x:c r="D6" s="22" t="str">
        <x:v>Domain event consumers</x:v>
      </x:c>
      <x:c r="E6" s="22" t="str">
        <x:v>XP/analytics/recovery</x:v>
      </x:c>
      <x:c r="F6" s="22" t="str">
        <x:v>Yes by source event</x:v>
      </x:c>
      <x:c r="G6" s="22" t="str">
        <x:v>Yes</x:v>
      </x:c>
      <x:c r="H6" s="22" t="str">
        <x:v>Indefinite</x:v>
      </x:c>
      <x:c r="I6" s="22" t="str">
        <x:v>Yes</x:v>
      </x:c>
      <x:c r="J6" s="22" t="str">
        <x:v>No direct</x:v>
      </x:c>
      <x:c r="K6" s="22" t="str">
        <x:v>No</x:v>
      </x:c>
      <x:c r="L6" s="22" t="str">
        <x:v>Rebuild projector</x:v>
      </x:c>
      <x:c r="M6" s="22" t="str">
        <x:v>None</x:v>
      </x:c>
      <x:c r="N6" s="22" t="str">
        <x:v>Yes</x:v>
      </x:c>
      <x:c r="O6" s="22" t="str">
        <x:v>P0</x:v>
      </x:c>
      <x:c r="P6" s="34" t="str"/>
    </x:row>
    <x:row r="7">
      <x:c r="A7" s="33" t="str">
        <x:v>tutorial_xp_ledger</x:v>
      </x:c>
      <x:c r="B7" s="22" t="str">
        <x:v>Bootstrap Lv1→4</x:v>
      </x:c>
      <x:c r="C7" s="22" t="str">
        <x:v>append-only</x:v>
      </x:c>
      <x:c r="D7" s="22" t="str">
        <x:v>Onboarding Service</x:v>
      </x:c>
      <x:c r="E7" s="22" t="str">
        <x:v>Progression</x:v>
      </x:c>
      <x:c r="F7" s="22" t="str">
        <x:v>Yes</x:v>
      </x:c>
      <x:c r="G7" s="22" t="str">
        <x:v>Yes</x:v>
      </x:c>
      <x:c r="H7" s="22" t="str">
        <x:v>Indefinite</x:v>
      </x:c>
      <x:c r="I7" s="22" t="str">
        <x:v>Yes</x:v>
      </x:c>
      <x:c r="J7" s="22" t="str">
        <x:v>Indirect unlock only</x:v>
      </x:c>
      <x:c r="K7" s="22" t="str">
        <x:v>No</x:v>
      </x:c>
      <x:c r="L7" s="22" t="str">
        <x:v>Recompute from milestone log</x:v>
      </x:c>
      <x:c r="M7" s="22" t="str">
        <x:v>None</x:v>
      </x:c>
      <x:c r="N7" s="22" t="str">
        <x:v>Yes</x:v>
      </x:c>
      <x:c r="O7" s="22" t="str">
        <x:v>P0</x:v>
      </x:c>
      <x:c r="P7" s="34" t="str">
        <x:v>Exclude arbitrary client claims</x:v>
      </x:c>
    </x:row>
    <x:row r="8">
      <x:c r="A8" s="33" t="str">
        <x:v>first_customer_assist_used</x:v>
      </x:c>
      <x:c r="B8" s="22" t="str">
        <x:v>Demand SLA guard</x:v>
      </x:c>
      <x:c r="C8" s="22" t="str">
        <x:v>boolean</x:v>
      </x:c>
      <x:c r="D8" s="22" t="str">
        <x:v>Customer Service</x:v>
      </x:c>
      <x:c r="E8" s="22" t="str">
        <x:v>Onboarding</x:v>
      </x:c>
      <x:c r="F8" s="22" t="str">
        <x:v>Yes</x:v>
      </x:c>
      <x:c r="G8" s="22" t="str">
        <x:v>Yes</x:v>
      </x:c>
      <x:c r="H8" s="22" t="str">
        <x:v>Account lifecycle</x:v>
      </x:c>
      <x:c r="I8" s="22" t="str">
        <x:v>Yes</x:v>
      </x:c>
      <x:c r="J8" s="22" t="str">
        <x:v>No</x:v>
      </x:c>
      <x:c r="K8" s="22" t="str">
        <x:v>No</x:v>
      </x:c>
      <x:c r="L8" s="22" t="str">
        <x:v>False if unknown</x:v>
      </x:c>
      <x:c r="M8" s="22" t="str">
        <x:v>None</x:v>
      </x:c>
      <x:c r="N8" s="22" t="str">
        <x:v>Yes</x:v>
      </x:c>
      <x:c r="O8" s="22" t="str">
        <x:v>P0</x:v>
      </x:c>
      <x:c r="P8" s="34" t="str"/>
    </x:row>
    <x:row r="9">
      <x:c r="A9" s="33" t="str">
        <x:v>tutorial_recovery_credit_ledger</x:v>
      </x:c>
      <x:c r="B9" s="22" t="str">
        <x:v>Exact shortfall recovery</x:v>
      </x:c>
      <x:c r="C9" s="22" t="str">
        <x:v>ledger</x:v>
      </x:c>
      <x:c r="D9" s="22" t="str">
        <x:v>Economy/Onboarding</x:v>
      </x:c>
      <x:c r="E9" s="22" t="str">
        <x:v>Cash/Performance</x:v>
      </x:c>
      <x:c r="F9" s="22" t="str">
        <x:v>Yes</x:v>
      </x:c>
      <x:c r="G9" s="22" t="str">
        <x:v>Yes</x:v>
      </x:c>
      <x:c r="H9" s="22" t="str">
        <x:v>Indefinite</x:v>
      </x:c>
      <x:c r="I9" s="22" t="str">
        <x:v>Yes</x:v>
      </x:c>
      <x:c r="J9" s="22" t="str">
        <x:v>Excluded from revenue score</x:v>
      </x:c>
      <x:c r="K9" s="22" t="str">
        <x:v>Yes balance</x:v>
      </x:c>
      <x:c r="L9" s="22" t="str">
        <x:v>Atomic grant</x:v>
      </x:c>
      <x:c r="M9" s="22" t="str">
        <x:v>None</x:v>
      </x:c>
      <x:c r="N9" s="22" t="str">
        <x:v>Yes</x:v>
      </x:c>
      <x:c r="O9" s="22" t="str">
        <x:v>P0</x:v>
      </x:c>
      <x:c r="P9" s="34" t="str"/>
    </x:row>
    <x:row r="10">
      <x:c r="A10" s="33" t="str">
        <x:v>free_tutorial_relocation_used</x:v>
      </x:c>
      <x:c r="B10" s="22" t="str">
        <x:v>One free correction</x:v>
      </x:c>
      <x:c r="C10" s="22" t="str">
        <x:v>boolean</x:v>
      </x:c>
      <x:c r="D10" s="22" t="str">
        <x:v>Placement Service</x:v>
      </x:c>
      <x:c r="E10" s="22" t="str">
        <x:v>Relocation fee validator</x:v>
      </x:c>
      <x:c r="F10" s="22" t="str">
        <x:v>Yes</x:v>
      </x:c>
      <x:c r="G10" s="22" t="str">
        <x:v>Yes</x:v>
      </x:c>
      <x:c r="H10" s="22" t="str">
        <x:v>Until 30m/completion</x:v>
      </x:c>
      <x:c r="I10" s="22" t="str">
        <x:v>Yes</x:v>
      </x:c>
      <x:c r="J10" s="22" t="str">
        <x:v>No</x:v>
      </x:c>
      <x:c r="K10" s="22" t="str">
        <x:v>No</x:v>
      </x:c>
      <x:c r="L10" s="22" t="str">
        <x:v>Default false</x:v>
      </x:c>
      <x:c r="M10" s="22" t="str">
        <x:v>None</x:v>
      </x:c>
      <x:c r="N10" s="22" t="str">
        <x:v>Yes</x:v>
      </x:c>
      <x:c r="O10" s="22" t="str">
        <x:v>P0</x:v>
      </x:c>
      <x:c r="P10" s="34" t="str"/>
    </x:row>
    <x:row r="11">
      <x:c r="A11" s="33" t="str">
        <x:v>starter_hunt_id</x:v>
      </x:c>
      <x:c r="B11" s="22" t="str">
        <x:v>Deterministic first Hunt</x:v>
      </x:c>
      <x:c r="C11" s="22" t="str">
        <x:v>UUID</x:v>
      </x:c>
      <x:c r="D11" s="22" t="str">
        <x:v>Hunt Service</x:v>
      </x:c>
      <x:c r="E11" s="22" t="str">
        <x:v>Reward/Resume</x:v>
      </x:c>
      <x:c r="F11" s="22" t="str">
        <x:v>Yes</x:v>
      </x:c>
      <x:c r="G11" s="22" t="str">
        <x:v>Yes</x:v>
      </x:c>
      <x:c r="H11" s="22" t="str">
        <x:v>Until resolved</x:v>
      </x:c>
      <x:c r="I11" s="22" t="str">
        <x:v>Yes</x:v>
      </x:c>
      <x:c r="J11" s="22" t="str">
        <x:v>Hunt Points only</x:v>
      </x:c>
      <x:c r="K11" s="22" t="str">
        <x:v>No</x:v>
      </x:c>
      <x:c r="L11" s="22" t="str">
        <x:v>Reissue once if expired under rules</x:v>
      </x:c>
      <x:c r="M11" s="22" t="str">
        <x:v>None</x:v>
      </x:c>
      <x:c r="N11" s="22" t="str">
        <x:v>Yes</x:v>
      </x:c>
      <x:c r="O11" s="22" t="str">
        <x:v>P0</x:v>
      </x:c>
      <x:c r="P11" s="34" t="str"/>
    </x:row>
    <x:row r="12">
      <x:c r="A12" s="33" t="str">
        <x:v>first_stock_reward_id</x:v>
      </x:c>
      <x:c r="B12" s="22" t="str">
        <x:v>Exactly-once guaranteed stock packet</x:v>
      </x:c>
      <x:c r="C12" s="22" t="str">
        <x:v>UUID</x:v>
      </x:c>
      <x:c r="D12" s="22" t="str">
        <x:v>Reward Service</x:v>
      </x:c>
      <x:c r="E12" s="22" t="str">
        <x:v>Portfolio/Resume</x:v>
      </x:c>
      <x:c r="F12" s="22" t="str">
        <x:v>Yes</x:v>
      </x:c>
      <x:c r="G12" s="22" t="str">
        <x:v>Yes</x:v>
      </x:c>
      <x:c r="H12" s="22" t="str">
        <x:v>Indefinite</x:v>
      </x:c>
      <x:c r="I12" s="22" t="str">
        <x:v>Yes</x:v>
      </x:c>
      <x:c r="J12" s="22" t="str">
        <x:v>No direct</x:v>
      </x:c>
      <x:c r="K12" s="22" t="str">
        <x:v>No</x:v>
      </x:c>
      <x:c r="L12" s="22" t="str">
        <x:v>Return existing reward</x:v>
      </x:c>
      <x:c r="M12" s="22" t="str">
        <x:v>None</x:v>
      </x:c>
      <x:c r="N12" s="22" t="str">
        <x:v>Yes</x:v>
      </x:c>
      <x:c r="O12" s="22" t="str">
        <x:v>P0</x:v>
      </x:c>
      <x:c r="P12" s="34" t="str"/>
    </x:row>
    <x:row r="13">
      <x:c r="A13" s="33" t="str">
        <x:v>personal_event_protection_until</x:v>
      </x:c>
      <x:c r="B13" s="22" t="str">
        <x:v>Suppress punitive personal events</x:v>
      </x:c>
      <x:c r="C13" s="22" t="str">
        <x:v>timestamp</x:v>
      </x:c>
      <x:c r="D13" s="22" t="str">
        <x:v>Onboarding Service</x:v>
      </x:c>
      <x:c r="E13" s="22" t="str">
        <x:v>Event Scheduler</x:v>
      </x:c>
      <x:c r="F13" s="22" t="str">
        <x:v>Yes</x:v>
      </x:c>
      <x:c r="G13" s="22" t="str">
        <x:v>Yes</x:v>
      </x:c>
      <x:c r="H13" s="22" t="str">
        <x:v>60m/account rule</x:v>
      </x:c>
      <x:c r="I13" s="22" t="str">
        <x:v>Yes</x:v>
      </x:c>
      <x:c r="J13" s="22" t="str">
        <x:v>No</x:v>
      </x:c>
      <x:c r="K13" s="22" t="str">
        <x:v>No</x:v>
      </x:c>
      <x:c r="L13" s="22" t="str">
        <x:v>Conservative suppression</x:v>
      </x:c>
      <x:c r="M13" s="22" t="str">
        <x:v>None</x:v>
      </x:c>
      <x:c r="N13" s="22" t="str">
        <x:v>Yes</x:v>
      </x:c>
      <x:c r="O13" s="22" t="str">
        <x:v>P0</x:v>
      </x:c>
      <x:c r="P13" s="34" t="str"/>
    </x:row>
    <x:row r="14">
      <x:c r="A14" s="35" t="str">
        <x:v>onboarding_completed_at</x:v>
      </x:c>
      <x:c r="B14" s="36" t="str">
        <x:v>End guided mode</x:v>
      </x:c>
      <x:c r="C14" s="36" t="str">
        <x:v>timestamp</x:v>
      </x:c>
      <x:c r="D14" s="36" t="str">
        <x:v>Onboarding Service</x:v>
      </x:c>
      <x:c r="E14" s="36" t="str">
        <x:v>Client/Analytics</x:v>
      </x:c>
      <x:c r="F14" s="36" t="str">
        <x:v>Yes</x:v>
      </x:c>
      <x:c r="G14" s="36" t="str">
        <x:v>Yes</x:v>
      </x:c>
      <x:c r="H14" s="36" t="str">
        <x:v>Indefinite</x:v>
      </x:c>
      <x:c r="I14" s="36" t="str">
        <x:v>Yes</x:v>
      </x:c>
      <x:c r="J14" s="36" t="str">
        <x:v>No</x:v>
      </x:c>
      <x:c r="K14" s="36" t="str">
        <x:v>No</x:v>
      </x:c>
      <x:c r="L14" s="36" t="str">
        <x:v>Derive from required milestones</x:v>
      </x:c>
      <x:c r="M14" s="36" t="str">
        <x:v>None</x:v>
      </x:c>
      <x:c r="N14" s="36" t="str">
        <x:v>Yes</x:v>
      </x:c>
      <x:c r="O14" s="36" t="str">
        <x:v>P0</x:v>
      </x:c>
      <x:c r="P14" s="37" t="str"/>
    </x:row>
  </x:sheetData>
  <x:mergeCells>
    <x:mergeCell ref="A1:P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92" t="str">
        <x:v>Onboarding Funnel, SLAs &amp; Retention Signals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  <x:c r="O1" s="92"/>
      <x:c r="P1" s="92"/>
      <x:c r="Q1" s="22"/>
    </x:row>
    <x:row r="3">
      <x:c r="A3" s="14" t="str">
        <x:v>Funnel Step</x:v>
      </x:c>
      <x:c r="B3" s="14" t="str">
        <x:v>Target Completion</x:v>
      </x:c>
      <x:c r="C3" s="14" t="str">
        <x:v>Hard Alert</x:v>
      </x:c>
      <x:c r="D3" s="14" t="str">
        <x:v>Time Target</x:v>
      </x:c>
      <x:c r="E3" s="14" t="str">
        <x:v>Drop-Off Risk</x:v>
      </x:c>
      <x:c r="F3" s="14" t="str">
        <x:v>Primary Event</x:v>
      </x:c>
      <x:c r="G3" s="14" t="str">
        <x:v>Denominator</x:v>
      </x:c>
      <x:c r="H3" s="14" t="str">
        <x:v>Success Definition</x:v>
      </x:c>
      <x:c r="I3" s="14" t="str">
        <x:v>Segment By</x:v>
      </x:c>
      <x:c r="J3" s="14" t="str">
        <x:v>If Low</x:v>
      </x:c>
      <x:c r="K3" s="14" t="str">
        <x:v>If Slow</x:v>
      </x:c>
      <x:c r="L3" s="14" t="str">
        <x:v>A/B Candidate?</x:v>
      </x:c>
      <x:c r="M3" s="14" t="str">
        <x:v>Guardrail</x:v>
      </x:c>
      <x:c r="N3" s="14" t="str">
        <x:v>Owner</x:v>
      </x:c>
      <x:c r="O3" s="14" t="str">
        <x:v>Priority</x:v>
      </x:c>
      <x:c r="P3" s="14" t="str">
        <x:v>Notes</x:v>
      </x:c>
    </x:row>
    <x:row r="4">
      <x:c r="A4" s="95" t="str">
        <x:v>Start → first build</x:v>
      </x:c>
      <x:c r="B4" s="161" t="n">
        <x:v>0.92</x:v>
      </x:c>
      <x:c r="C4" s="161" t="n">
        <x:v>0.82</x:v>
      </x:c>
      <x:c r="D4" s="97" t="str">
        <x:v>&lt;=2m</x:v>
      </x:c>
      <x:c r="E4" s="97" t="str">
        <x:v>Build UX friction</x:v>
      </x:c>
      <x:c r="F4" s="97" t="str">
        <x:v>onboarding_first_build</x:v>
      </x:c>
      <x:c r="G4" s="97" t="str">
        <x:v>onboarding_started</x:v>
      </x:c>
      <x:c r="H4" s="97" t="str">
        <x:v>Cash Kiosk exists</x:v>
      </x:c>
      <x:c r="I4" s="97" t="str">
        <x:v>platform/device</x:v>
      </x:c>
      <x:c r="J4" s="97" t="str">
        <x:v>Simplify placement</x:v>
      </x:c>
      <x:c r="K4" s="97" t="str">
        <x:v>Reduce coachmark latency</x:v>
      </x:c>
      <x:c r="L4" s="97" t="str">
        <x:v>Yes</x:v>
      </x:c>
      <x:c r="M4" s="97" t="str">
        <x:v>Do not make build free by default</x:v>
      </x:c>
      <x:c r="N4" s="97" t="str">
        <x:v>Product</x:v>
      </x:c>
      <x:c r="O4" s="97" t="str">
        <x:v>P0</x:v>
      </x:c>
      <x:c r="P4" s="98" t="str"/>
    </x:row>
    <x:row r="5">
      <x:c r="A5" s="99" t="str">
        <x:v>First build → first customer</x:v>
      </x:c>
      <x:c r="B5" s="162" t="n">
        <x:v>0.96</x:v>
      </x:c>
      <x:c r="C5" s="162" t="n">
        <x:v>0.9</x:v>
      </x:c>
      <x:c r="D5" s="101" t="str">
        <x:v>&lt;=2.2m session</x:v>
      </x:c>
      <x:c r="E5" s="101" t="str">
        <x:v>Simulation feels dead</x:v>
      </x:c>
      <x:c r="F5" s="101" t="str">
        <x:v>onboarding_first_customer</x:v>
      </x:c>
      <x:c r="G5" s="101" t="str">
        <x:v>onboarding_first_build</x:v>
      </x:c>
      <x:c r="H5" s="101" t="str">
        <x:v>Customer record attached</x:v>
      </x:c>
      <x:c r="I5" s="101" t="str">
        <x:v>network/cohort</x:v>
      </x:c>
      <x:c r="J5" s="101" t="str">
        <x:v>Tune demand assist</x:v>
      </x:c>
      <x:c r="K5" s="101" t="str">
        <x:v>Investigate customer job</x:v>
      </x:c>
      <x:c r="L5" s="101" t="str">
        <x:v>Limited</x:v>
      </x:c>
      <x:c r="M5" s="101" t="str">
        <x:v>Customer must be real state</x:v>
      </x:c>
      <x:c r="N5" s="101" t="str">
        <x:v>Game Systems</x:v>
      </x:c>
      <x:c r="O5" s="101" t="str">
        <x:v>P0</x:v>
      </x:c>
      <x:c r="P5" s="102" t="str"/>
    </x:row>
    <x:row r="6">
      <x:c r="A6" s="99" t="str">
        <x:v>First customer → second business</x:v>
      </x:c>
      <x:c r="B6" s="162" t="n">
        <x:v>0.9</x:v>
      </x:c>
      <x:c r="C6" s="162" t="n">
        <x:v>0.8</x:v>
      </x:c>
      <x:c r="D6" s="101" t="str">
        <x:v>&lt;=3.3m</x:v>
      </x:c>
      <x:c r="E6" s="101" t="str">
        <x:v>Unlock/build cadence slow</x:v>
      </x:c>
      <x:c r="F6" s="101" t="str">
        <x:v>onboarding_second_business</x:v>
      </x:c>
      <x:c r="G6" s="101" t="str">
        <x:v>onboarding_first_customer</x:v>
      </x:c>
      <x:c r="H6" s="101" t="str">
        <x:v>Trading Booth exists</x:v>
      </x:c>
      <x:c r="I6" s="101" t="str">
        <x:v>platform</x:v>
      </x:c>
      <x:c r="J6" s="101" t="str">
        <x:v>Improve unlock CTA</x:v>
      </x:c>
      <x:c r="K6" s="101" t="str">
        <x:v>Check XP propagation</x:v>
      </x:c>
      <x:c r="L6" s="101" t="str">
        <x:v>Yes</x:v>
      </x:c>
      <x:c r="M6" s="101" t="str">
        <x:v>Second business must be inside first 5m</x:v>
      </x:c>
      <x:c r="N6" s="101" t="str">
        <x:v>Product</x:v>
      </x:c>
      <x:c r="O6" s="101" t="str">
        <x:v>P0</x:v>
      </x:c>
      <x:c r="P6" s="102" t="str"/>
    </x:row>
    <x:row r="7">
      <x:c r="A7" s="99" t="str">
        <x:v>Second business → third business</x:v>
      </x:c>
      <x:c r="B7" s="162" t="n">
        <x:v>0.88</x:v>
      </x:c>
      <x:c r="C7" s="162" t="n">
        <x:v>0.78</x:v>
      </x:c>
      <x:c r="D7" s="101" t="str">
        <x:v>&lt;=4.8m</x:v>
      </x:c>
      <x:c r="E7" s="101" t="str">
        <x:v>Too much friction between builds</x:v>
      </x:c>
      <x:c r="F7" s="101" t="str">
        <x:v>onboarding_third_business</x:v>
      </x:c>
      <x:c r="G7" s="101" t="str">
        <x:v>onboarding_second_business</x:v>
      </x:c>
      <x:c r="H7" s="101" t="str">
        <x:v>Savings Stand exists</x:v>
      </x:c>
      <x:c r="I7" s="101" t="str">
        <x:v>platform</x:v>
      </x:c>
      <x:c r="J7" s="101" t="str">
        <x:v>Simplify build return</x:v>
      </x:c>
      <x:c r="K7" s="101" t="str">
        <x:v>Check unlock state</x:v>
      </x:c>
      <x:c r="L7" s="101" t="str">
        <x:v>Yes</x:v>
      </x:c>
      <x:c r="M7" s="101" t="str">
        <x:v>Keep real Cash costs</x:v>
      </x:c>
      <x:c r="N7" s="101" t="str">
        <x:v>Product</x:v>
      </x:c>
      <x:c r="O7" s="101" t="str">
        <x:v>P0</x:v>
      </x:c>
      <x:c r="P7" s="102" t="str"/>
    </x:row>
    <x:row r="8">
      <x:c r="A8" s="99" t="str">
        <x:v>Third business → first synergy</x:v>
      </x:c>
      <x:c r="B8" s="162" t="n">
        <x:v>0.9</x:v>
      </x:c>
      <x:c r="C8" s="162" t="n">
        <x:v>0.8</x:v>
      </x:c>
      <x:c r="D8" s="101" t="str">
        <x:v>&lt;=5m</x:v>
      </x:c>
      <x:c r="E8" s="101" t="str">
        <x:v>Placement confusing</x:v>
      </x:c>
      <x:c r="F8" s="101" t="str">
        <x:v>onboarding_first_synergy</x:v>
      </x:c>
      <x:c r="G8" s="101" t="str">
        <x:v>onboarding_third_business</x:v>
      </x:c>
      <x:c r="H8" s="101" t="str">
        <x:v>Validated Cash Access Loop</x:v>
      </x:c>
      <x:c r="I8" s="101" t="str">
        <x:v>relocation assist used</x:v>
      </x:c>
      <x:c r="J8" s="101" t="str">
        <x:v>Improve ghost preview</x:v>
      </x:c>
      <x:c r="K8" s="101" t="str">
        <x:v>Check placement resolver</x:v>
      </x:c>
      <x:c r="L8" s="101" t="str">
        <x:v>Yes</x:v>
      </x:c>
      <x:c r="M8" s="101" t="str">
        <x:v>No diagonal ambiguity</x:v>
      </x:c>
      <x:c r="N8" s="101" t="str">
        <x:v>Design</x:v>
      </x:c>
      <x:c r="O8" s="101" t="str">
        <x:v>P0</x:v>
      </x:c>
      <x:c r="P8" s="102" t="str"/>
    </x:row>
    <x:row r="9">
      <x:c r="A9" s="99" t="str">
        <x:v>Synergy → first Cash</x:v>
      </x:c>
      <x:c r="B9" s="162" t="n">
        <x:v>0.96</x:v>
      </x:c>
      <x:c r="C9" s="162" t="n">
        <x:v>0.9</x:v>
      </x:c>
      <x:c r="D9" s="101" t="str">
        <x:v>&lt;=6m</x:v>
      </x:c>
      <x:c r="E9" s="101" t="str">
        <x:v>Economy unclear</x:v>
      </x:c>
      <x:c r="F9" s="101" t="str">
        <x:v>onboarding_first_cash</x:v>
      </x:c>
      <x:c r="G9" s="101" t="str">
        <x:v>onboarding_first_synergy</x:v>
      </x:c>
      <x:c r="H9" s="101" t="str">
        <x:v>Real Cash ledger posts</x:v>
      </x:c>
      <x:c r="I9" s="101" t="str">
        <x:v>platform</x:v>
      </x:c>
      <x:c r="J9" s="101" t="str">
        <x:v>Clarify Cash source</x:v>
      </x:c>
      <x:c r="K9" s="101" t="str">
        <x:v>Check tick lag</x:v>
      </x:c>
      <x:c r="L9" s="101" t="str">
        <x:v>No</x:v>
      </x:c>
      <x:c r="M9" s="101" t="str">
        <x:v>No fake Cash</x:v>
      </x:c>
      <x:c r="N9" s="101" t="str">
        <x:v>Economy</x:v>
      </x:c>
      <x:c r="O9" s="101" t="str">
        <x:v>P0</x:v>
      </x:c>
      <x:c r="P9" s="102" t="str"/>
    </x:row>
    <x:row r="10">
      <x:c r="A10" s="99" t="str">
        <x:v>First Cash → first upgrade</x:v>
      </x:c>
      <x:c r="B10" s="162" t="n">
        <x:v>0.85</x:v>
      </x:c>
      <x:c r="C10" s="162" t="n">
        <x:v>0.75</x:v>
      </x:c>
      <x:c r="D10" s="101" t="str">
        <x:v>&lt;=8m</x:v>
      </x:c>
      <x:c r="E10" s="101" t="str">
        <x:v>Building detail friction</x:v>
      </x:c>
      <x:c r="F10" s="101" t="str">
        <x:v>onboarding_first_upgrade</x:v>
      </x:c>
      <x:c r="G10" s="101" t="str">
        <x:v>onboarding_first_cash</x:v>
      </x:c>
      <x:c r="H10" s="101" t="str">
        <x:v>Kiosk Lv2</x:v>
      </x:c>
      <x:c r="I10" s="101" t="str">
        <x:v>cash recovery used</x:v>
      </x:c>
      <x:c r="J10" s="101" t="str">
        <x:v>Improve upgrade preview</x:v>
      </x:c>
      <x:c r="K10" s="101" t="str">
        <x:v>Check spend blockers</x:v>
      </x:c>
      <x:c r="L10" s="101" t="str">
        <x:v>Yes</x:v>
      </x:c>
      <x:c r="M10" s="101" t="str">
        <x:v>Use canonical cost</x:v>
      </x:c>
      <x:c r="N10" s="101" t="str">
        <x:v>Product</x:v>
      </x:c>
      <x:c r="O10" s="101" t="str">
        <x:v>P0</x:v>
      </x:c>
      <x:c r="P10" s="102" t="str"/>
    </x:row>
    <x:row r="11">
      <x:c r="A11" s="99" t="str">
        <x:v>Upgrade → Hunt start</x:v>
      </x:c>
      <x:c r="B11" s="162" t="n">
        <x:v>0.82</x:v>
      </x:c>
      <x:c r="C11" s="162" t="n">
        <x:v>0.72</x:v>
      </x:c>
      <x:c r="D11" s="101" t="str">
        <x:v>&lt;=10.5m</x:v>
      </x:c>
      <x:c r="E11" s="101" t="str">
        <x:v>Market discovery friction</x:v>
      </x:c>
      <x:c r="F11" s="101" t="str">
        <x:v>onboarding_hunt_started</x:v>
      </x:c>
      <x:c r="G11" s="101" t="str">
        <x:v>onboarding_first_upgrade</x:v>
      </x:c>
      <x:c r="H11" s="101" t="str">
        <x:v>Starter Hunt active</x:v>
      </x:c>
      <x:c r="I11" s="101" t="str">
        <x:v>signal choice</x:v>
      </x:c>
      <x:c r="J11" s="101" t="str">
        <x:v>Improve Market CTA</x:v>
      </x:c>
      <x:c r="K11" s="101" t="str">
        <x:v>Check feature flag</x:v>
      </x:c>
      <x:c r="L11" s="101" t="str">
        <x:v>Yes</x:v>
      </x:c>
      <x:c r="M11" s="101" t="str">
        <x:v>No financial-advice framing</x:v>
      </x:c>
      <x:c r="N11" s="101" t="str">
        <x:v>Product</x:v>
      </x:c>
      <x:c r="O11" s="101" t="str">
        <x:v>P0</x:v>
      </x:c>
      <x:c r="P11" s="102" t="str"/>
    </x:row>
    <x:row r="12">
      <x:c r="A12" s="99" t="str">
        <x:v>Hunt start → first stock</x:v>
      </x:c>
      <x:c r="B12" s="162" t="n">
        <x:v>0.86</x:v>
      </x:c>
      <x:c r="C12" s="162" t="n">
        <x:v>0.76</x:v>
      </x:c>
      <x:c r="D12" s="101" t="str">
        <x:v>&lt;=16.2m</x:v>
      </x:c>
      <x:c r="E12" s="101" t="str">
        <x:v>Objective too slow</x:v>
      </x:c>
      <x:c r="F12" s="101" t="str">
        <x:v>onboarding_first_stock</x:v>
      </x:c>
      <x:c r="G12" s="101" t="str">
        <x:v>onboarding_hunt_started</x:v>
      </x:c>
      <x:c r="H12" s="101" t="str">
        <x:v>Reward ledger created</x:v>
      </x:c>
      <x:c r="I12" s="101" t="str">
        <x:v>recovery used</x:v>
      </x:c>
      <x:c r="J12" s="101" t="str">
        <x:v>Tune target</x:v>
      </x:c>
      <x:c r="K12" s="101" t="str">
        <x:v>Check activity latency</x:v>
      </x:c>
      <x:c r="L12" s="101" t="str">
        <x:v>Yes</x:v>
      </x:c>
      <x:c r="M12" s="101" t="str">
        <x:v>No fabricated activity</x:v>
      </x:c>
      <x:c r="N12" s="101" t="str">
        <x:v>Game Systems</x:v>
      </x:c>
      <x:c r="O12" s="101" t="str">
        <x:v>P0</x:v>
      </x:c>
      <x:c r="P12" s="102" t="str"/>
    </x:row>
    <x:row r="13">
      <x:c r="A13" s="103" t="str">
        <x:v>First stock → Performance view</x:v>
      </x:c>
      <x:c r="B13" s="163" t="n">
        <x:v>0.78</x:v>
      </x:c>
      <x:c r="C13" s="163" t="n">
        <x:v>0.68</x:v>
      </x:c>
      <x:c r="D13" s="105" t="str">
        <x:v>&lt;=22m</x:v>
      </x:c>
      <x:c r="E13" s="105" t="str">
        <x:v>Information overload</x:v>
      </x:c>
      <x:c r="F13" s="105" t="str">
        <x:v>onboarding_first_performance</x:v>
      </x:c>
      <x:c r="G13" s="105" t="str">
        <x:v>onboarding_first_stock</x:v>
      </x:c>
      <x:c r="H13" s="105" t="str">
        <x:v>Performance screen viewed</x:v>
      </x:c>
      <x:c r="I13" s="105" t="str">
        <x:v>platform</x:v>
      </x:c>
      <x:c r="J13" s="105" t="str">
        <x:v>Simplify reward CTA</x:v>
      </x:c>
      <x:c r="K13" s="105" t="str">
        <x:v>Defer nonessential copy</x:v>
      </x:c>
      <x:c r="L13" s="105" t="str">
        <x:v>Yes</x:v>
      </x:c>
      <x:c r="M13" s="105" t="str">
        <x:v>No payout promise</x:v>
      </x:c>
      <x:c r="N13" s="105" t="str">
        <x:v>Product</x:v>
      </x:c>
      <x:c r="O13" s="105" t="str">
        <x:v>P1</x:v>
      </x:c>
      <x:c r="P13" s="106" t="str"/>
    </x:row>
  </x:sheetData>
  <x:mergeCells>
    <x:mergeCell ref="A1:P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92" t="str">
        <x:v>Onboarding QA / Acceptance Matrix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  <x:c r="O1" s="92"/>
      <x:c r="P1" s="92"/>
      <x:c r="Q1" s="92"/>
    </x:row>
    <x:row r="3">
      <x:c r="A3" s="14" t="str">
        <x:v>ID</x:v>
      </x:c>
      <x:c r="B3" s="14" t="str">
        <x:v>Area</x:v>
      </x:c>
      <x:c r="C3" s="14" t="str">
        <x:v>Scenario</x:v>
      </x:c>
      <x:c r="D3" s="14" t="str">
        <x:v>Setup</x:v>
      </x:c>
      <x:c r="E3" s="14" t="str">
        <x:v>Action</x:v>
      </x:c>
      <x:c r="F3" s="14" t="str">
        <x:v>Expected</x:v>
      </x:c>
      <x:c r="G3" s="14" t="str">
        <x:v>Time SLA</x:v>
      </x:c>
      <x:c r="H3" s="14" t="str">
        <x:v>Cash Check</x:v>
      </x:c>
      <x:c r="I3" s="14" t="str">
        <x:v>XP Check</x:v>
      </x:c>
      <x:c r="J3" s="14" t="str">
        <x:v>Server Evidence</x:v>
      </x:c>
      <x:c r="K3" s="14" t="str">
        <x:v>Resume Check</x:v>
      </x:c>
      <x:c r="L3" s="14" t="str">
        <x:v>Skip Check</x:v>
      </x:c>
      <x:c r="M3" s="14" t="str">
        <x:v>Performance Check</x:v>
      </x:c>
      <x:c r="N3" s="14" t="str">
        <x:v>Failure Injection</x:v>
      </x:c>
      <x:c r="O3" s="14" t="str">
        <x:v>Severity</x:v>
      </x:c>
      <x:c r="P3" s="14" t="str">
        <x:v>Automation?</x:v>
      </x:c>
      <x:c r="Q3" s="14" t="str">
        <x:v>Status</x:v>
      </x:c>
    </x:row>
    <x:row r="4">
      <x:c r="A4" s="95" t="str">
        <x:v>O001</x:v>
      </x:c>
      <x:c r="B4" s="97" t="str">
        <x:v>Start</x:v>
      </x:c>
      <x:c r="C4" s="97" t="str">
        <x:v>Fresh account</x:v>
      </x:c>
      <x:c r="D4" s="97" t="str">
        <x:v>Lv1; 2500 Cash</x:v>
      </x:c>
      <x:c r="E4" s="97" t="str">
        <x:v>Enter Plot</x:v>
      </x:c>
      <x:c r="F4" s="97" t="str">
        <x:v>Welcome + Build CTA</x:v>
      </x:c>
      <x:c r="G4" s="97" t="str">
        <x:v>&lt;10s</x:v>
      </x:c>
      <x:c r="H4" s="97" t="str">
        <x:v>2500 unchanged</x:v>
      </x:c>
      <x:c r="I4" s="97" t="str">
        <x:v>0</x:v>
      </x:c>
      <x:c r="J4" s="97" t="str">
        <x:v>session created</x:v>
      </x:c>
      <x:c r="K4" s="97" t="str">
        <x:v>N/A</x:v>
      </x:c>
      <x:c r="L4" s="97" t="str">
        <x:v>Skip available</x:v>
      </x:c>
      <x:c r="M4" s="97" t="str">
        <x:v>N/A</x:v>
      </x:c>
      <x:c r="N4" s="97" t="str">
        <x:v>Reload</x:v>
      </x:c>
      <x:c r="O4" s="97" t="str">
        <x:v>Critical</x:v>
      </x:c>
      <x:c r="P4" s="97" t="str">
        <x:v>Yes</x:v>
      </x:c>
      <x:c r="Q4" s="98" t="str">
        <x:v>Planned</x:v>
      </x:c>
    </x:row>
    <x:row r="5">
      <x:c r="A5" s="99" t="str">
        <x:v>O002</x:v>
      </x:c>
      <x:c r="B5" s="101" t="str">
        <x:v>Build</x:v>
      </x:c>
      <x:c r="C5" s="101" t="str">
        <x:v>First Cash Kiosk</x:v>
      </x:c>
      <x:c r="D5" s="101" t="str">
        <x:v>Fresh session</x:v>
      </x:c>
      <x:c r="E5" s="101" t="str">
        <x:v>Build/confirm</x:v>
      </x:c>
      <x:c r="F5" s="101" t="str">
        <x:v>Kiosk exists; Cash 2200</x:v>
      </x:c>
      <x:c r="G5" s="101" t="str">
        <x:v>&lt;=2m</x:v>
      </x:c>
      <x:c r="H5" s="101" t="str">
        <x:v>-300 exactly</x:v>
      </x:c>
      <x:c r="I5" s="101" t="str">
        <x:v>+60</x:v>
      </x:c>
      <x:c r="J5" s="101" t="str">
        <x:v>building+milestone event</x:v>
      </x:c>
      <x:c r="K5" s="101" t="str">
        <x:v>Resume after build</x:v>
      </x:c>
      <x:c r="L5" s="101" t="str">
        <x:v>Skip doesn't remove building</x:v>
      </x:c>
      <x:c r="M5" s="101" t="str">
        <x:v>No score grant</x:v>
      </x:c>
      <x:c r="N5" s="101" t="str">
        <x:v>Retry confirm</x:v>
      </x:c>
      <x:c r="O5" s="101" t="str">
        <x:v>Critical</x:v>
      </x:c>
      <x:c r="P5" s="101" t="str">
        <x:v>Yes</x:v>
      </x:c>
      <x:c r="Q5" s="102" t="str">
        <x:v>Planned</x:v>
      </x:c>
    </x:row>
    <x:row r="6">
      <x:c r="A6" s="99" t="str">
        <x:v>O003</x:v>
      </x:c>
      <x:c r="B6" s="101" t="str">
        <x:v>Customer</x:v>
      </x:c>
      <x:c r="C6" s="101" t="str">
        <x:v>First customer SLA</x:v>
      </x:c>
      <x:c r="D6" s="101" t="str">
        <x:v>Kiosk built</x:v>
      </x:c>
      <x:c r="E6" s="101" t="str">
        <x:v>Wait</x:v>
      </x:c>
      <x:c r="F6" s="101" t="str">
        <x:v>Valid customer attached; Lv2</x:v>
      </x:c>
      <x:c r="G6" s="101" t="str">
        <x:v>&lt;=2.2m session</x:v>
      </x:c>
      <x:c r="H6" s="101" t="str">
        <x:v>No mission Cash</x:v>
      </x:c>
      <x:c r="I6" s="101" t="str">
        <x:v>+40</x:v>
      </x:c>
      <x:c r="J6" s="101" t="str">
        <x:v>customer record + XP</x:v>
      </x:c>
      <x:c r="K6" s="101" t="str">
        <x:v>Resume preserves</x:v>
      </x:c>
      <x:c r="L6" s="101" t="str">
        <x:v>Same</x:v>
      </x:c>
      <x:c r="M6" s="101" t="str">
        <x:v>No direct score gift</x:v>
      </x:c>
      <x:c r="N6" s="101" t="str">
        <x:v>Disable acquisition job</x:v>
      </x:c>
      <x:c r="O6" s="101" t="str">
        <x:v>Critical</x:v>
      </x:c>
      <x:c r="P6" s="101" t="str">
        <x:v>Yes</x:v>
      </x:c>
      <x:c r="Q6" s="102" t="str">
        <x:v>Planned</x:v>
      </x:c>
    </x:row>
    <x:row r="7">
      <x:c r="A7" s="99" t="str">
        <x:v>O004</x:v>
      </x:c>
      <x:c r="B7" s="101" t="str">
        <x:v>Second business</x:v>
      </x:c>
      <x:c r="C7" s="101" t="str">
        <x:v>Trading Booth</x:v>
      </x:c>
      <x:c r="D7" s="101" t="str">
        <x:v>Lv2</x:v>
      </x:c>
      <x:c r="E7" s="101" t="str">
        <x:v>Build</x:v>
      </x:c>
      <x:c r="F7" s="101" t="str">
        <x:v>Debit 370; 2nd building; Lv3</x:v>
      </x:c>
      <x:c r="G7" s="101" t="str">
        <x:v>&lt;=3.3m</x:v>
      </x:c>
      <x:c r="H7" s="101" t="str">
        <x:v>-370</x:v>
      </x:c>
      <x:c r="I7" s="101" t="str">
        <x:v>+75</x:v>
      </x:c>
      <x:c r="J7" s="101" t="str">
        <x:v>building+XP events</x:v>
      </x:c>
      <x:c r="K7" s="101" t="str">
        <x:v>Persist</x:v>
      </x:c>
      <x:c r="L7" s="101" t="str">
        <x:v>Same</x:v>
      </x:c>
      <x:c r="M7" s="101" t="str">
        <x:v>Normal</x:v>
      </x:c>
      <x:c r="N7" s="101" t="str">
        <x:v>Double submit</x:v>
      </x:c>
      <x:c r="O7" s="101" t="str">
        <x:v>Critical</x:v>
      </x:c>
      <x:c r="P7" s="101" t="str">
        <x:v>Yes</x:v>
      </x:c>
      <x:c r="Q7" s="102" t="str">
        <x:v>Planned</x:v>
      </x:c>
    </x:row>
    <x:row r="8">
      <x:c r="A8" s="99" t="str">
        <x:v>O005</x:v>
      </x:c>
      <x:c r="B8" s="101" t="str">
        <x:v>Third business</x:v>
      </x:c>
      <x:c r="C8" s="101" t="str">
        <x:v>Savings Stand</x:v>
      </x:c>
      <x:c r="D8" s="101" t="str">
        <x:v>Lv3</x:v>
      </x:c>
      <x:c r="E8" s="101" t="str">
        <x:v>Build adjacent</x:v>
      </x:c>
      <x:c r="F8" s="101" t="str">
        <x:v>Debit 460; third building</x:v>
      </x:c>
      <x:c r="G8" s="101" t="str">
        <x:v>&lt;=4.8m</x:v>
      </x:c>
      <x:c r="H8" s="101" t="str">
        <x:v>-460</x:v>
      </x:c>
      <x:c r="I8" s="101" t="str">
        <x:v>+60</x:v>
      </x:c>
      <x:c r="J8" s="101" t="str">
        <x:v>building event</x:v>
      </x:c>
      <x:c r="K8" s="101" t="str">
        <x:v>Persist</x:v>
      </x:c>
      <x:c r="L8" s="101" t="str">
        <x:v>Same</x:v>
      </x:c>
      <x:c r="M8" s="101" t="str">
        <x:v>Normal</x:v>
      </x:c>
      <x:c r="N8" s="101" t="str">
        <x:v>Network retry</x:v>
      </x:c>
      <x:c r="O8" s="101" t="str">
        <x:v>Critical</x:v>
      </x:c>
      <x:c r="P8" s="101" t="str">
        <x:v>Yes</x:v>
      </x:c>
      <x:c r="Q8" s="102" t="str">
        <x:v>Planned</x:v>
      </x:c>
    </x:row>
    <x:row r="9">
      <x:c r="A9" s="99" t="str">
        <x:v>O006</x:v>
      </x:c>
      <x:c r="B9" s="101" t="str">
        <x:v>Synergy</x:v>
      </x:c>
      <x:c r="C9" s="101" t="str">
        <x:v>Cash Kiosk + Savings adjacent</x:v>
      </x:c>
      <x:c r="D9" s="101" t="str">
        <x:v>3 buildings</x:v>
      </x:c>
      <x:c r="E9" s="101" t="str">
        <x:v>Resolve placement</x:v>
      </x:c>
      <x:c r="F9" s="101" t="str">
        <x:v>Cash Access Loop +6%; Lv4</x:v>
      </x:c>
      <x:c r="G9" s="101" t="str">
        <x:v>&lt;=5m</x:v>
      </x:c>
      <x:c r="H9" s="101" t="str">
        <x:v>0</x:v>
      </x:c>
      <x:c r="I9" s="101" t="str">
        <x:v>+40</x:v>
      </x:c>
      <x:c r="J9" s="101" t="str">
        <x:v>placement+XP</x:v>
      </x:c>
      <x:c r="K9" s="101" t="str">
        <x:v>Persist</x:v>
      </x:c>
      <x:c r="L9" s="101" t="str">
        <x:v>Same</x:v>
      </x:c>
      <x:c r="M9" s="101" t="str">
        <x:v>Indirect only</x:v>
      </x:c>
      <x:c r="N9" s="101" t="str">
        <x:v>Place diagonal</x:v>
      </x:c>
      <x:c r="O9" s="101" t="str">
        <x:v>Critical</x:v>
      </x:c>
      <x:c r="P9" s="101" t="str">
        <x:v>Yes</x:v>
      </x:c>
      <x:c r="Q9" s="102" t="str">
        <x:v>Planned</x:v>
      </x:c>
    </x:row>
    <x:row r="10">
      <x:c r="A10" s="99" t="str">
        <x:v>O007</x:v>
      </x:c>
      <x:c r="B10" s="101" t="str">
        <x:v>Cash</x:v>
      </x:c>
      <x:c r="C10" s="101" t="str">
        <x:v>First settlement across early district</x:v>
      </x:c>
      <x:c r="D10" s="101" t="str">
        <x:v>3 buildings active</x:v>
      </x:c>
      <x:c r="E10" s="101" t="str">
        <x:v>Run economy tick</x:v>
      </x:c>
      <x:c r="F10" s="101" t="str">
        <x:v>Real Cash ledger posts</x:v>
      </x:c>
      <x:c r="G10" s="101" t="str">
        <x:v>&lt;=6m</x:v>
      </x:c>
      <x:c r="H10" s="101" t="str">
        <x:v>Calculated delta only</x:v>
      </x:c>
      <x:c r="I10" s="101" t="str">
        <x:v>+25 once</x:v>
      </x:c>
      <x:c r="J10" s="101" t="str">
        <x:v>cash ledger</x:v>
      </x:c>
      <x:c r="K10" s="101" t="str">
        <x:v>Persist</x:v>
      </x:c>
      <x:c r="L10" s="101" t="str">
        <x:v>Same</x:v>
      </x:c>
      <x:c r="M10" s="101" t="str">
        <x:v>Revenue uses ledger only</x:v>
      </x:c>
      <x:c r="N10" s="101" t="str">
        <x:v>Delay tick</x:v>
      </x:c>
      <x:c r="O10" s="101" t="str">
        <x:v>Critical</x:v>
      </x:c>
      <x:c r="P10" s="101" t="str">
        <x:v>Yes</x:v>
      </x:c>
      <x:c r="Q10" s="102" t="str">
        <x:v>Planned</x:v>
      </x:c>
    </x:row>
    <x:row r="11">
      <x:c r="A11" s="99" t="str">
        <x:v>O008</x:v>
      </x:c>
      <x:c r="B11" s="101" t="str">
        <x:v>Upgrade</x:v>
      </x:c>
      <x:c r="C11" s="101" t="str">
        <x:v>Kiosk Lv2</x:v>
      </x:c>
      <x:c r="D11" s="101" t="str">
        <x:v>Enough Cash</x:v>
      </x:c>
      <x:c r="E11" s="101" t="str">
        <x:v>Upgrade</x:v>
      </x:c>
      <x:c r="F11" s="101" t="str">
        <x:v>Debit 465; Lv2 building</x:v>
      </x:c>
      <x:c r="G11" s="101" t="str">
        <x:v>&lt;=8m</x:v>
      </x:c>
      <x:c r="H11" s="101" t="str">
        <x:v>-465</x:v>
      </x:c>
      <x:c r="I11" s="101" t="str">
        <x:v>+100</x:v>
      </x:c>
      <x:c r="J11" s="101" t="str">
        <x:v>building+XP ledgers</x:v>
      </x:c>
      <x:c r="K11" s="101" t="str">
        <x:v>Persist</x:v>
      </x:c>
      <x:c r="L11" s="101" t="str">
        <x:v>Same</x:v>
      </x:c>
      <x:c r="M11" s="101" t="str">
        <x:v>No direct score</x:v>
      </x:c>
      <x:c r="N11" s="101" t="str">
        <x:v>Double-submit</x:v>
      </x:c>
      <x:c r="O11" s="101" t="str">
        <x:v>Critical</x:v>
      </x:c>
      <x:c r="P11" s="101" t="str">
        <x:v>Yes</x:v>
      </x:c>
      <x:c r="Q11" s="102" t="str">
        <x:v>Planned</x:v>
      </x:c>
    </x:row>
    <x:row r="12">
      <x:c r="A12" s="99" t="str">
        <x:v>O009</x:v>
      </x:c>
      <x:c r="B12" s="101" t="str">
        <x:v>Synergy recovery</x:v>
      </x:c>
      <x:c r="C12" s="101" t="str">
        <x:v>Savings not adjacent</x:v>
      </x:c>
      <x:c r="D12" s="101" t="str">
        <x:v>Before 20m</x:v>
      </x:c>
      <x:c r="E12" s="101" t="str">
        <x:v>Request relocation</x:v>
      </x:c>
      <x:c r="F12" s="101" t="str">
        <x:v>One free relocation only</x:v>
      </x:c>
      <x:c r="G12" s="101" t="str">
        <x:v>&lt;20m</x:v>
      </x:c>
      <x:c r="H12" s="101" t="str">
        <x:v>0 relocation fee</x:v>
      </x:c>
      <x:c r="I12" s="101" t="str">
        <x:v>XP only after synergy</x:v>
      </x:c>
      <x:c r="J12" s="101" t="str">
        <x:v>relocation ledger</x:v>
      </x:c>
      <x:c r="K12" s="101" t="str">
        <x:v>Persist</x:v>
      </x:c>
      <x:c r="L12" s="101" t="str">
        <x:v>Same</x:v>
      </x:c>
      <x:c r="M12" s="101" t="str">
        <x:v>No direct score</x:v>
      </x:c>
      <x:c r="N12" s="101" t="str">
        <x:v>Try second free move</x:v>
      </x:c>
      <x:c r="O12" s="101" t="str">
        <x:v>High</x:v>
      </x:c>
      <x:c r="P12" s="101" t="str">
        <x:v>Yes</x:v>
      </x:c>
      <x:c r="Q12" s="102" t="str">
        <x:v>Planned</x:v>
      </x:c>
    </x:row>
    <x:row r="13">
      <x:c r="A13" s="99" t="str">
        <x:v>O010</x:v>
      </x:c>
      <x:c r="B13" s="101" t="str">
        <x:v>Hunt</x:v>
      </x:c>
      <x:c r="C13" s="101" t="str">
        <x:v>Starter Hunt</x:v>
      </x:c>
      <x:c r="D13" s="101" t="str">
        <x:v>Lv4 + first Cash</x:v>
      </x:c>
      <x:c r="E13" s="101" t="str">
        <x:v>Start/complete</x:v>
      </x:c>
      <x:c r="F13" s="101" t="str">
        <x:v>2 eligible Activity Points; complete</x:v>
      </x:c>
      <x:c r="G13" s="101" t="str">
        <x:v>&lt;=16m</x:v>
      </x:c>
      <x:c r="H13" s="101" t="str">
        <x:v>No special Cash</x:v>
      </x:c>
      <x:c r="I13" s="101" t="str">
        <x:v>+25</x:v>
      </x:c>
      <x:c r="J13" s="101" t="str">
        <x:v>hunt/activity ledgers</x:v>
      </x:c>
      <x:c r="K13" s="101" t="str">
        <x:v>Reissue once if allowed</x:v>
      </x:c>
      <x:c r="L13" s="101" t="str">
        <x:v>Skip passive checklist</x:v>
      </x:c>
      <x:c r="M13" s="101" t="str">
        <x:v>Canonical Hunt score only</x:v>
      </x:c>
      <x:c r="N13" s="101" t="str">
        <x:v>Activity delay</x:v>
      </x:c>
      <x:c r="O13" s="101" t="str">
        <x:v>Critical</x:v>
      </x:c>
      <x:c r="P13" s="101" t="str">
        <x:v>Yes</x:v>
      </x:c>
      <x:c r="Q13" s="102" t="str">
        <x:v>Planned</x:v>
      </x:c>
    </x:row>
    <x:row r="14">
      <x:c r="A14" s="99" t="str">
        <x:v>O011</x:v>
      </x:c>
      <x:c r="B14" s="101" t="str">
        <x:v>Stock</x:v>
      </x:c>
      <x:c r="C14" s="101" t="str">
        <x:v>Guaranteed packet</x:v>
      </x:c>
      <x:c r="D14" s="101" t="str">
        <x:v>First Hunt complete</x:v>
      </x:c>
      <x:c r="E14" s="101" t="str">
        <x:v>Claim</x:v>
      </x:c>
      <x:c r="F14" s="101" t="str">
        <x:v>Exactly one $0.10 packet</x:v>
      </x:c>
      <x:c r="G14" s="101" t="str">
        <x:v>&lt;=16.2m</x:v>
      </x:c>
      <x:c r="H14" s="101" t="str">
        <x:v>No Cash</x:v>
      </x:c>
      <x:c r="I14" s="101" t="str">
        <x:v>0</x:v>
      </x:c>
      <x:c r="J14" s="101" t="str">
        <x:v>reward ledger</x:v>
      </x:c>
      <x:c r="K14" s="101" t="str">
        <x:v>Claim remains</x:v>
      </x:c>
      <x:c r="L14" s="101" t="str">
        <x:v>Same</x:v>
      </x:c>
      <x:c r="M14" s="101" t="str">
        <x:v>0 direct stock score</x:v>
      </x:c>
      <x:c r="N14" s="101" t="str">
        <x:v>Retry claim</x:v>
      </x:c>
      <x:c r="O14" s="101" t="str">
        <x:v>Critical</x:v>
      </x:c>
      <x:c r="P14" s="101" t="str">
        <x:v>Yes</x:v>
      </x:c>
      <x:c r="Q14" s="102" t="str">
        <x:v>Planned</x:v>
      </x:c>
    </x:row>
    <x:row r="15">
      <x:c r="A15" s="99" t="str">
        <x:v>O012</x:v>
      </x:c>
      <x:c r="B15" s="101" t="str">
        <x:v>Performance</x:v>
      </x:c>
      <x:c r="C15" s="101" t="str">
        <x:v>First view</x:v>
      </x:c>
      <x:c r="D15" s="101" t="str">
        <x:v>Enough data</x:v>
      </x:c>
      <x:c r="E15" s="101" t="str">
        <x:v>Open</x:v>
      </x:c>
      <x:c r="F15" s="101" t="str">
        <x:v>Provisional score, no payout estimate</x:v>
      </x:c>
      <x:c r="G15" s="101" t="str">
        <x:v>&lt;=22m</x:v>
      </x:c>
      <x:c r="H15" s="101" t="str">
        <x:v>N/A</x:v>
      </x:c>
      <x:c r="I15" s="101" t="str">
        <x:v>+25 milestone</x:v>
      </x:c>
      <x:c r="J15" s="101" t="str">
        <x:v>performance aggregate</x:v>
      </x:c>
      <x:c r="K15" s="101" t="str">
        <x:v>Persist</x:v>
      </x:c>
      <x:c r="L15" s="101" t="str">
        <x:v>Can defer</x:v>
      </x:c>
      <x:c r="M15" s="101" t="str">
        <x:v>Existing formulas only</x:v>
      </x:c>
      <x:c r="N15" s="101" t="str">
        <x:v>Missing component snapshot</x:v>
      </x:c>
      <x:c r="O15" s="101" t="str">
        <x:v>Critical</x:v>
      </x:c>
      <x:c r="P15" s="101" t="str">
        <x:v>Yes</x:v>
      </x:c>
      <x:c r="Q15" s="102" t="str">
        <x:v>Planned</x:v>
      </x:c>
    </x:row>
    <x:row r="16">
      <x:c r="A16" s="99" t="str">
        <x:v>O013</x:v>
      </x:c>
      <x:c r="B16" s="101" t="str">
        <x:v>Resume</x:v>
      </x:c>
      <x:c r="C16" s="101" t="str">
        <x:v>Exit at minute 3.5</x:v>
      </x:c>
      <x:c r="D16" s="101" t="str">
        <x:v>Two buildings built</x:v>
      </x:c>
      <x:c r="E16" s="101" t="str">
        <x:v>Relaunch</x:v>
      </x:c>
      <x:c r="F16" s="101" t="str">
        <x:v>Resume at Savings/synergy step</x:v>
      </x:c>
      <x:c r="G16" s="101" t="str">
        <x:v>&lt;5s after load</x:v>
      </x:c>
      <x:c r="H16" s="101" t="str">
        <x:v>State preserved</x:v>
      </x:c>
      <x:c r="I16" s="101" t="str">
        <x:v>No duplicate XP</x:v>
      </x:c>
      <x:c r="J16" s="101" t="str">
        <x:v>milestone projector</x:v>
      </x:c>
      <x:c r="K16" s="101" t="str">
        <x:v>Pass</x:v>
      </x:c>
      <x:c r="L16" s="101" t="str">
        <x:v>N/A</x:v>
      </x:c>
      <x:c r="M16" s="101" t="str">
        <x:v>No retroactive score</x:v>
      </x:c>
      <x:c r="N16" s="101" t="str">
        <x:v>Kill app</x:v>
      </x:c>
      <x:c r="O16" s="101" t="str">
        <x:v>Critical</x:v>
      </x:c>
      <x:c r="P16" s="101" t="str">
        <x:v>Yes</x:v>
      </x:c>
      <x:c r="Q16" s="102" t="str">
        <x:v>Planned</x:v>
      </x:c>
    </x:row>
    <x:row r="17">
      <x:c r="A17" s="99" t="str">
        <x:v>O014</x:v>
      </x:c>
      <x:c r="B17" s="101" t="str">
        <x:v>Skip</x:v>
      </x:c>
      <x:c r="C17" s="101" t="str">
        <x:v>Skip at start</x:v>
      </x:c>
      <x:c r="D17" s="101" t="str">
        <x:v>Fresh account</x:v>
      </x:c>
      <x:c r="E17" s="101" t="str">
        <x:v>Skip</x:v>
      </x:c>
      <x:c r="F17" s="101" t="str">
        <x:v>Free play + passive checklist; no instant rewards</x:v>
      </x:c>
      <x:c r="G17" s="101" t="str">
        <x:v>Immediate</x:v>
      </x:c>
      <x:c r="H17" s="101" t="str">
        <x:v>Normal</x:v>
      </x:c>
      <x:c r="I17" s="101" t="str">
        <x:v>Only actual milestone XP</x:v>
      </x:c>
      <x:c r="J17" s="101" t="str">
        <x:v>skip flag</x:v>
      </x:c>
      <x:c r="K17" s="101" t="str">
        <x:v>N/A</x:v>
      </x:c>
      <x:c r="L17" s="101" t="str">
        <x:v>Pass</x:v>
      </x:c>
      <x:c r="M17" s="101" t="str">
        <x:v>No grants</x:v>
      </x:c>
      <x:c r="N17" s="101" t="str">
        <x:v>N/A</x:v>
      </x:c>
      <x:c r="O17" s="101" t="str">
        <x:v>High</x:v>
      </x:c>
      <x:c r="P17" s="101" t="str">
        <x:v>Yes</x:v>
      </x:c>
      <x:c r="Q17" s="102" t="str">
        <x:v>Planned</x:v>
      </x:c>
    </x:row>
    <x:row r="18">
      <x:c r="A18" s="103" t="str">
        <x:v>O015</x:v>
      </x:c>
      <x:c r="B18" s="105" t="str">
        <x:v>Protection</x:v>
      </x:c>
      <x:c r="C18" s="105" t="str">
        <x:v>Personal negative event scheduler</x:v>
      </x:c>
      <x:c r="D18" s="105" t="str">
        <x:v>Age&lt;60m</x:v>
      </x:c>
      <x:c r="E18" s="105" t="str">
        <x:v>Tick scheduler</x:v>
      </x:c>
      <x:c r="F18" s="105" t="str">
        <x:v>No punitive personal event spawns</x:v>
      </x:c>
      <x:c r="G18" s="105" t="str">
        <x:v>Through 60m</x:v>
      </x:c>
      <x:c r="H18" s="105" t="str">
        <x:v>Normal</x:v>
      </x:c>
      <x:c r="I18" s="105" t="str">
        <x:v>Normal</x:v>
      </x:c>
      <x:c r="J18" s="105" t="str">
        <x:v>protection flag</x:v>
      </x:c>
      <x:c r="K18" s="105" t="str">
        <x:v>Persist</x:v>
      </x:c>
      <x:c r="L18" s="105" t="str">
        <x:v>Skip keeps protection</x:v>
      </x:c>
      <x:c r="M18" s="105" t="str">
        <x:v>No effect</x:v>
      </x:c>
      <x:c r="N18" s="105" t="str">
        <x:v>Force event</x:v>
      </x:c>
      <x:c r="O18" s="105" t="str">
        <x:v>Critical</x:v>
      </x:c>
      <x:c r="P18" s="105" t="str">
        <x:v>Yes</x:v>
      </x:c>
      <x:c r="Q18" s="106" t="str">
        <x:v>Planned</x:v>
      </x:c>
    </x:row>
  </x:sheetData>
  <x:mergeCells>
    <x:mergeCell ref="A1:Q1"/>
  </x:mergeCells>
  <x:dataValidations count="1">
    <x:dataValidation type="list" sqref="Q4:Q18">
      <x:formula1>"Planned,In Progress,Pass,Fail,Blocked"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92" t="str">
        <x:v>Canonical Onboarding Overrides / Additions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  <x:c r="M1" s="92"/>
      <x:c r="N1" s="92"/>
      <x:c r="O1" s="92"/>
      <x:c r="P1" s="92"/>
      <x:c r="Q1" s="22"/>
    </x:row>
    <x:row r="3">
      <x:c r="A3" s="14" t="str">
        <x:v>System / Document</x:v>
      </x:c>
      <x:c r="B3" s="14" t="str">
        <x:v>Existing Rule</x:v>
      </x:c>
      <x:c r="C3" s="14" t="str">
        <x:v>Onboarding Rule</x:v>
      </x:c>
      <x:c r="D3" s="14" t="str">
        <x:v>Scope</x:v>
      </x:c>
      <x:c r="E3" s="14" t="str">
        <x:v>Expires</x:v>
      </x:c>
      <x:c r="F3" s="14" t="str">
        <x:v>What Remains Canonical</x:v>
      </x:c>
      <x:c r="G3" s="14" t="str">
        <x:v>Direct Score?</x:v>
      </x:c>
      <x:c r="H3" s="14" t="str">
        <x:v>Cash Effect</x:v>
      </x:c>
      <x:c r="I3" s="14" t="str">
        <x:v>Risk Effect</x:v>
      </x:c>
      <x:c r="J3" s="14" t="str">
        <x:v>Backend Flag</x:v>
      </x:c>
      <x:c r="K3" s="14" t="str">
        <x:v>Migration?</x:v>
      </x:c>
      <x:c r="L3" s="14" t="str">
        <x:v>Priority</x:v>
      </x:c>
      <x:c r="M3" s="14" t="str">
        <x:v>Status</x:v>
      </x:c>
      <x:c r="N3" s="14" t="str">
        <x:v>Reason</x:v>
      </x:c>
      <x:c r="O3" s="14" t="str">
        <x:v>Owner</x:v>
      </x:c>
      <x:c r="P3" s="14" t="str">
        <x:v>Notes</x:v>
      </x:c>
    </x:row>
    <x:row r="4">
      <x:c r="A4" s="95" t="str">
        <x:v>Customer Economy</x:v>
      </x:c>
      <x:c r="B4" s="97" t="str">
        <x:v>3× new-player acquisition boost for 24h</x:v>
      </x:c>
      <x:c r="C4" s="97" t="str">
        <x:v>Keep 3× boost; add first-customer SLA demand floor if no customer by 2:00</x:v>
      </x:c>
      <x:c r="D4" s="97" t="str">
        <x:v>First Cash Kiosk only</x:v>
      </x:c>
      <x:c r="E4" s="97" t="str">
        <x:v>After first customer</x:v>
      </x:c>
      <x:c r="F4" s="97" t="str">
        <x:v>Normal acquisition/churn model</x:v>
      </x:c>
      <x:c r="G4" s="97" t="str">
        <x:v>No</x:v>
      </x:c>
      <x:c r="H4" s="97" t="str">
        <x:v>None</x:v>
      </x:c>
      <x:c r="I4" s="97" t="str">
        <x:v>None</x:v>
      </x:c>
      <x:c r="J4" s="97" t="str">
        <x:v>first_customer_assist_used</x:v>
      </x:c>
      <x:c r="K4" s="97" t="str">
        <x:v>Config only</x:v>
      </x:c>
      <x:c r="L4" s="97" t="str">
        <x:v>P0</x:v>
      </x:c>
      <x:c r="M4" s="97" t="str">
        <x:v>FINAL</x:v>
      </x:c>
      <x:c r="N4" s="97" t="str">
        <x:v>Avoid dead first impression</x:v>
      </x:c>
      <x:c r="O4" s="97" t="str">
        <x:v>Customer System</x:v>
      </x:c>
      <x:c r="P4" s="98" t="str"/>
    </x:row>
    <x:row r="5">
      <x:c r="A5" s="99" t="str">
        <x:v>Building Balance</x:v>
      </x:c>
      <x:c r="B5" s="101" t="str">
        <x:v>Cash Kiosk 300; Trading 370; Savings 460; Kiosk Lv2 465; Mini Brokerage 560</x:v>
      </x:c>
      <x:c r="C5" s="101" t="str">
        <x:v>Use exact canonical costs; first 5 minutes intentionally contain 3 paid buildings</x:v>
      </x:c>
      <x:c r="D5" s="101" t="str">
        <x:v>First session</x:v>
      </x:c>
      <x:c r="E5" s="101" t="str">
        <x:v>N/A</x:v>
      </x:c>
      <x:c r="F5" s="101" t="str">
        <x:v>All base/upgrade stats</x:v>
      </x:c>
      <x:c r="G5" s="101" t="str">
        <x:v>No</x:v>
      </x:c>
      <x:c r="H5" s="101" t="str">
        <x:v>Real debits</x:v>
      </x:c>
      <x:c r="I5" s="101" t="str">
        <x:v>Normal</x:v>
      </x:c>
      <x:c r="J5" s="101" t="str">
        <x:v>N/A</x:v>
      </x:c>
      <x:c r="K5" s="101" t="str">
        <x:v>No</x:v>
      </x:c>
      <x:c r="L5" s="101" t="str">
        <x:v>P0</x:v>
      </x:c>
      <x:c r="M5" s="101" t="str">
        <x:v>FINAL</x:v>
      </x:c>
      <x:c r="N5" s="101" t="str">
        <x:v>First session should feel like empire building immediately</x:v>
      </x:c>
      <x:c r="O5" s="101" t="str">
        <x:v>Economy</x:v>
      </x:c>
      <x:c r="P5" s="102" t="str"/>
    </x:row>
    <x:row r="6">
      <x:c r="A6" s="99" t="str">
        <x:v>Placement/Synergy</x:v>
      </x:c>
      <x:c r="B6" s="101" t="str">
        <x:v>Existing general synergy/caps</x:v>
      </x:c>
      <x:c r="C6" s="101" t="str">
        <x:v>Starter Cash Access Loop: orthogonal Cash Kiosk + Savings Stand → +6% General Consumer acquisition both</x:v>
      </x:c>
      <x:c r="D6" s="101" t="str">
        <x:v>Permanent synergy rule</x:v>
      </x:c>
      <x:c r="E6" s="101" t="str">
        <x:v>Permanent</x:v>
      </x:c>
      <x:c r="F6" s="101" t="str">
        <x:v>Existing diminishing returns/caps</x:v>
      </x:c>
      <x:c r="G6" s="101" t="str">
        <x:v>Indirect only</x:v>
      </x:c>
      <x:c r="H6" s="101" t="str">
        <x:v>Underlying only</x:v>
      </x:c>
      <x:c r="I6" s="101" t="str">
        <x:v>None</x:v>
      </x:c>
      <x:c r="J6" s="101" t="str">
        <x:v>synergy config</x:v>
      </x:c>
      <x:c r="K6" s="101" t="str">
        <x:v>Yes config</x:v>
      </x:c>
      <x:c r="L6" s="101" t="str">
        <x:v>P0</x:v>
      </x:c>
      <x:c r="M6" s="101" t="str">
        <x:v>FINAL</x:v>
      </x:c>
      <x:c r="N6" s="101" t="str">
        <x:v>Teach placement within first 5 minutes</x:v>
      </x:c>
      <x:c r="O6" s="101" t="str">
        <x:v>Game Design</x:v>
      </x:c>
      <x:c r="P6" s="102" t="str"/>
    </x:row>
    <x:row r="7">
      <x:c r="A7" s="99" t="str">
        <x:v>Progression</x:v>
      </x:c>
      <x:c r="B7" s="101" t="str">
        <x:v>No completed canonical progression workbook</x:v>
      </x:c>
      <x:c r="C7" s="101" t="str">
        <x:v>Bootstrap Empire XP thresholds Lv2=100, Lv3=175, Lv4=275 from validated first-5-minute milestones</x:v>
      </x:c>
      <x:c r="D7" s="101" t="str">
        <x:v>Levels 1–4 only</x:v>
      </x:c>
      <x:c r="E7" s="101" t="str">
        <x:v>After Lv4 use future canonical progression curve</x:v>
      </x:c>
      <x:c r="F7" s="101" t="str">
        <x:v>One building eligibility per Empire Level</x:v>
      </x:c>
      <x:c r="G7" s="101" t="str">
        <x:v>No</x:v>
      </x:c>
      <x:c r="H7" s="101" t="str">
        <x:v>None</x:v>
      </x:c>
      <x:c r="I7" s="101" t="str">
        <x:v>None</x:v>
      </x:c>
      <x:c r="J7" s="101" t="str">
        <x:v>tutorial_xp_ledger</x:v>
      </x:c>
      <x:c r="K7" s="101" t="str">
        <x:v>Yes when progression system formalized</x:v>
      </x:c>
      <x:c r="L7" s="101" t="str">
        <x:v>P0</x:v>
      </x:c>
      <x:c r="M7" s="101" t="str">
        <x:v>FINAL</x:v>
      </x:c>
      <x:c r="N7" s="101" t="str">
        <x:v>Allows 3 buildings by minute 5 without bypassing level unlocks</x:v>
      </x:c>
      <x:c r="O7" s="101" t="str">
        <x:v>Game Design</x:v>
      </x:c>
      <x:c r="P7" s="102" t="str"/>
    </x:row>
    <x:row r="8">
      <x:c r="A8" s="99" t="str">
        <x:v>Market Hunts</x:v>
      </x:c>
      <x:c r="B8" s="101" t="str">
        <x:v>3/day base; stock rewards; Hunt Points</x:v>
      </x:c>
      <x:c r="C8" s="101" t="str">
        <x:v>First Hunt starts around minute 8 and targets completion around minute 14 with 2 valid Activity Points</x:v>
      </x:c>
      <x:c r="D8" s="101" t="str">
        <x:v>First Hunt/account</x:v>
      </x:c>
      <x:c r="E8" s="101" t="str">
        <x:v>After first reward</x:v>
      </x:c>
      <x:c r="F8" s="101" t="str">
        <x:v>Normal Hunt system thereafter</x:v>
      </x:c>
      <x:c r="G8" s="101" t="str">
        <x:v>Hunt Points normal</x:v>
      </x:c>
      <x:c r="H8" s="101" t="str">
        <x:v>No special Cash</x:v>
      </x:c>
      <x:c r="I8" s="101" t="str">
        <x:v>None</x:v>
      </x:c>
      <x:c r="J8" s="101" t="str">
        <x:v>starter_hunt_id</x:v>
      </x:c>
      <x:c r="K8" s="101" t="str">
        <x:v>Config</x:v>
      </x:c>
      <x:c r="L8" s="101" t="str">
        <x:v>P0</x:v>
      </x:c>
      <x:c r="M8" s="101" t="str">
        <x:v>FINAL</x:v>
      </x:c>
      <x:c r="N8" s="101" t="str">
        <x:v>Move active-market loop earlier after a richer first 5 minutes</x:v>
      </x:c>
      <x:c r="O8" s="101" t="str">
        <x:v>Game Systems</x:v>
      </x:c>
      <x:c r="P8" s="102" t="str"/>
    </x:row>
    <x:row r="9">
      <x:c r="A9" s="99" t="str">
        <x:v>Stock Rewards</x:v>
      </x:c>
      <x:c r="B9" s="101" t="str">
        <x:v>Common packet $0.10</x:v>
      </x:c>
      <x:c r="C9" s="101" t="str">
        <x:v>First completed tutorial Hunt guarantees one Common packet from signal-aligned starter pool around minute 14–16</x:v>
      </x:c>
      <x:c r="D9" s="101" t="str">
        <x:v>First reward/account</x:v>
      </x:c>
      <x:c r="E9" s="101" t="str">
        <x:v>Once</x:v>
      </x:c>
      <x:c r="F9" s="101" t="str">
        <x:v>All stock budget/claim rules</x:v>
      </x:c>
      <x:c r="G9" s="101" t="str">
        <x:v>0 direct</x:v>
      </x:c>
      <x:c r="H9" s="101" t="str">
        <x:v>None</x:v>
      </x:c>
      <x:c r="I9" s="101" t="str">
        <x:v>None</x:v>
      </x:c>
      <x:c r="J9" s="101" t="str">
        <x:v>first_stock_reward_id</x:v>
      </x:c>
      <x:c r="K9" s="101" t="str">
        <x:v>Config</x:v>
      </x:c>
      <x:c r="L9" s="101" t="str">
        <x:v>P0</x:v>
      </x:c>
      <x:c r="M9" s="101" t="str">
        <x:v>FINAL</x:v>
      </x:c>
      <x:c r="N9" s="101" t="str">
        <x:v>Ensure first-session payoff inside first 15 minutes</x:v>
      </x:c>
      <x:c r="O9" s="101" t="str">
        <x:v>Rewards</x:v>
      </x:c>
      <x:c r="P9" s="102" t="str"/>
    </x:row>
    <x:row r="10">
      <x:c r="A10" s="99" t="str">
        <x:v>Performance</x:v>
      </x:c>
      <x:c r="B10" s="101" t="str">
        <x:v>Existing weighted weekly score + eligibility</x:v>
      </x:c>
      <x:c r="C10" s="101" t="str">
        <x:v>First view targets minute 18; provisional; no payout estimate before minimum score/active-day eligibility</x:v>
      </x:c>
      <x:c r="D10" s="101" t="str">
        <x:v>UI only</x:v>
      </x:c>
      <x:c r="E10" s="101" t="str">
        <x:v>Until eligible</x:v>
      </x:c>
      <x:c r="F10" s="101" t="str">
        <x:v>Existing formulas</x:v>
      </x:c>
      <x:c r="G10" s="101" t="str">
        <x:v>No special score</x:v>
      </x:c>
      <x:c r="H10" s="101" t="str">
        <x:v>None</x:v>
      </x:c>
      <x:c r="I10" s="101" t="str">
        <x:v>None</x:v>
      </x:c>
      <x:c r="J10" s="101" t="str">
        <x:v>N/A</x:v>
      </x:c>
      <x:c r="K10" s="101" t="str">
        <x:v>UI</x:v>
      </x:c>
      <x:c r="L10" s="101" t="str">
        <x:v>P0</x:v>
      </x:c>
      <x:c r="M10" s="101" t="str">
        <x:v>FINAL</x:v>
      </x:c>
      <x:c r="N10" s="101" t="str">
        <x:v>Show competition after player has meaningful business/reward context</x:v>
      </x:c>
      <x:c r="O10" s="101" t="str">
        <x:v>Product</x:v>
      </x:c>
      <x:c r="P10" s="102" t="str"/>
    </x:row>
    <x:row r="11">
      <x:c r="A11" s="99" t="str">
        <x:v>Events</x:v>
      </x:c>
      <x:c r="B11" s="101" t="str">
        <x:v>Normal global/personal events</x:v>
      </x:c>
      <x:c r="C11" s="101" t="str">
        <x:v>Suppress punitive personal decision events for first 60m; global events may still be visible</x:v>
      </x:c>
      <x:c r="D11" s="101" t="str">
        <x:v>First 60m</x:v>
      </x:c>
      <x:c r="E11" s="101" t="str">
        <x:v>60m</x:v>
      </x:c>
      <x:c r="F11" s="101" t="str">
        <x:v>Normal event system after</x:v>
      </x:c>
      <x:c r="G11" s="101" t="str">
        <x:v>Indirect</x:v>
      </x:c>
      <x:c r="H11" s="101" t="str">
        <x:v>Normal</x:v>
      </x:c>
      <x:c r="I11" s="101" t="str">
        <x:v>Global modifiers normal if active</x:v>
      </x:c>
      <x:c r="J11" s="101" t="str">
        <x:v>personal_event_protection_until</x:v>
      </x:c>
      <x:c r="K11" s="101" t="str">
        <x:v>Config</x:v>
      </x:c>
      <x:c r="L11" s="101" t="str">
        <x:v>P0</x:v>
      </x:c>
      <x:c r="M11" s="101" t="str">
        <x:v>FINAL</x:v>
      </x:c>
      <x:c r="N11" s="101" t="str">
        <x:v>Prevent overload/punishment</x:v>
      </x:c>
      <x:c r="O11" s="101" t="str">
        <x:v>Events</x:v>
      </x:c>
      <x:c r="P11" s="102" t="str"/>
    </x:row>
    <x:row r="12">
      <x:c r="A12" s="103" t="str">
        <x:v>Modules</x:v>
      </x:c>
      <x:c r="B12" s="105" t="str">
        <x:v>Module slots unlock from building upgrades</x:v>
      </x:c>
      <x:c r="C12" s="105" t="str">
        <x:v>Do not force Module tutorial in first 60m; surface only if organically reached</x:v>
      </x:c>
      <x:c r="D12" s="105" t="str">
        <x:v>Onboarding UX</x:v>
      </x:c>
      <x:c r="E12" s="105" t="str">
        <x:v>60m</x:v>
      </x:c>
      <x:c r="F12" s="105" t="str">
        <x:v>Module System remains canonical</x:v>
      </x:c>
      <x:c r="G12" s="105" t="str">
        <x:v>Indirect only</x:v>
      </x:c>
      <x:c r="H12" s="105" t="str">
        <x:v>Underlying only</x:v>
      </x:c>
      <x:c r="I12" s="105" t="str">
        <x:v>Underlying only</x:v>
      </x:c>
      <x:c r="J12" s="105" t="str">
        <x:v>N/A</x:v>
      </x:c>
      <x:c r="K12" s="105" t="str">
        <x:v>No</x:v>
      </x:c>
      <x:c r="L12" s="105" t="str">
        <x:v>P1</x:v>
      </x:c>
      <x:c r="M12" s="105" t="str">
        <x:v>FINAL</x:v>
      </x:c>
      <x:c r="N12" s="105" t="str">
        <x:v>First hour already teaches 3 businesses, upgrade, synergy, Hunt, stock and Performance</x:v>
      </x:c>
      <x:c r="O12" s="105" t="str">
        <x:v>Product</x:v>
      </x:c>
      <x:c r="P12" s="106" t="str"/>
    </x:row>
  </x:sheetData>
  <x:mergeCells>
    <x:mergeCell ref="A1:P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4" hidden="0" customWidth="1"/>
    <x:col min="7" max="7" width="34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92" t="str">
        <x:v>New Player Onboarding Model Checks</x:v>
      </x:c>
      <x:c r="B1" s="92"/>
      <x:c r="C1" s="92"/>
      <x:c r="D1" s="92"/>
      <x:c r="E1" s="92"/>
      <x:c r="F1" s="92"/>
      <x:c r="G1" s="92"/>
      <x:c r="H1" s="22"/>
      <x:c r="I1" s="22"/>
      <x:c r="J1" s="22"/>
      <x:c r="K1" s="22"/>
      <x:c r="L1" s="22"/>
      <x:c r="M1" s="22"/>
      <x:c r="N1" s="22"/>
      <x:c r="O1" s="22"/>
      <x:c r="P1" s="22"/>
      <x:c r="Q1" s="22"/>
    </x:row>
    <x:row r="3">
      <x:c r="A3" s="14" t="str">
        <x:v>Check</x:v>
      </x:c>
      <x:c r="B3" s="14" t="str">
        <x:v>Expected</x:v>
      </x:c>
      <x:c r="C3" s="14" t="str">
        <x:v>Actual</x:v>
      </x:c>
      <x:c r="D3" s="14" t="str">
        <x:v>Status</x:v>
      </x:c>
      <x:c r="E3" s="14" t="str">
        <x:v>Severity</x:v>
      </x:c>
      <x:c r="F3" s="14" t="str">
        <x:v>Why It Matters</x:v>
      </x:c>
      <x:c r="G3" s="14" t="str">
        <x:v>Notes</x:v>
      </x:c>
    </x:row>
    <x:row r="4">
      <x:c r="A4" s="95" t="str">
        <x:v>Starting Cash</x:v>
      </x:c>
      <x:c r="B4" s="97" t="n">
        <x:v>2500</x:v>
      </x:c>
      <x:c r="C4" s="97" t="n">
        <x:f>'06_Onboarding_Economy_XP'!D4</x:f>
        <x:v>2500</x:v>
      </x:c>
      <x:c r="D4" s="97" t="str">
        <x:f>IF(C4=B4,"PASS","CHECK")</x:f>
        <x:v>PASS</x:v>
      </x:c>
      <x:c r="E4" s="97" t="str">
        <x:v>Critical</x:v>
      </x:c>
      <x:c r="F4" s="97" t="str">
        <x:v>Matches Customer Economy</x:v>
      </x:c>
      <x:c r="G4" s="98" t="str"/>
    </x:row>
    <x:row r="5">
      <x:c r="A5" s="99" t="str">
        <x:v>Cash Kiosk build cost</x:v>
      </x:c>
      <x:c r="B5" s="101" t="n">
        <x:v>300</x:v>
      </x:c>
      <x:c r="C5" s="101" t="n">
        <x:f>'06_Onboarding_Economy_XP'!C5</x:f>
        <x:v>300</x:v>
      </x:c>
      <x:c r="D5" s="101" t="str">
        <x:f>IF(C5=B5,"PASS","CHECK")</x:f>
        <x:v>PASS</x:v>
      </x:c>
      <x:c r="E5" s="101" t="str">
        <x:v>Critical</x:v>
      </x:c>
      <x:c r="F5" s="101" t="str">
        <x:v>Matches Building Balance</x:v>
      </x:c>
      <x:c r="G5" s="102" t="str"/>
    </x:row>
    <x:row r="6">
      <x:c r="A6" s="99" t="str">
        <x:v>Trading Booth build cost</x:v>
      </x:c>
      <x:c r="B6" s="101" t="n">
        <x:v>370</x:v>
      </x:c>
      <x:c r="C6" s="101" t="n">
        <x:f>'06_Onboarding_Economy_XP'!C7</x:f>
        <x:v>370</x:v>
      </x:c>
      <x:c r="D6" s="101" t="str">
        <x:f>IF(C6=B6,"PASS","CHECK")</x:f>
        <x:v>PASS</x:v>
      </x:c>
      <x:c r="E6" s="101" t="str">
        <x:v>Critical</x:v>
      </x:c>
      <x:c r="F6" s="101" t="str">
        <x:v>Matches Building Balance</x:v>
      </x:c>
      <x:c r="G6" s="102" t="str"/>
    </x:row>
    <x:row r="7">
      <x:c r="A7" s="99" t="str">
        <x:v>Savings Stand build cost</x:v>
      </x:c>
      <x:c r="B7" s="101" t="n">
        <x:v>460</x:v>
      </x:c>
      <x:c r="C7" s="101" t="n">
        <x:f>'06_Onboarding_Economy_XP'!C8</x:f>
        <x:v>460</x:v>
      </x:c>
      <x:c r="D7" s="101" t="str">
        <x:f>IF(C7=B7,"PASS","CHECK")</x:f>
        <x:v>PASS</x:v>
      </x:c>
      <x:c r="E7" s="101" t="str">
        <x:v>Critical</x:v>
      </x:c>
      <x:c r="F7" s="101" t="str">
        <x:v>Matches Building Balance</x:v>
      </x:c>
      <x:c r="G7" s="102" t="str"/>
    </x:row>
    <x:row r="8">
      <x:c r="A8" s="99" t="str">
        <x:v>Kiosk Lv2 upgrade cost</x:v>
      </x:c>
      <x:c r="B8" s="101" t="n">
        <x:v>465</x:v>
      </x:c>
      <x:c r="C8" s="101" t="n">
        <x:f>'06_Onboarding_Economy_XP'!C11</x:f>
        <x:v>465</x:v>
      </x:c>
      <x:c r="D8" s="101" t="str">
        <x:f>IF(C8=B8,"PASS","CHECK")</x:f>
        <x:v>PASS</x:v>
      </x:c>
      <x:c r="E8" s="101" t="str">
        <x:v>Critical</x:v>
      </x:c>
      <x:c r="F8" s="101" t="str">
        <x:v>Matches Level Balance</x:v>
      </x:c>
      <x:c r="G8" s="102" t="str"/>
    </x:row>
    <x:row r="9">
      <x:c r="A9" s="99" t="str">
        <x:v>Required pre-upgrade spend &lt;= starting Cash</x:v>
      </x:c>
      <x:c r="B9" s="101" t="n">
        <x:v>1</x:v>
      </x:c>
      <x:c r="C9" s="101" t="n">
        <x:f>IF(SUM('06_Onboarding_Economy_XP'!C5:C10)&lt;=2500,1,0)</x:f>
        <x:v>1</x:v>
      </x:c>
      <x:c r="D9" s="101" t="str">
        <x:f>IF(C9=B9,"PASS","CHECK")</x:f>
        <x:v>PASS</x:v>
      </x:c>
      <x:c r="E9" s="101" t="str">
        <x:v>Critical</x:v>
      </x:c>
      <x:c r="F9" s="101" t="str">
        <x:v>Three early buildings must be affordable</x:v>
      </x:c>
      <x:c r="G9" s="102" t="str"/>
    </x:row>
    <x:row r="10">
      <x:c r="A10" s="99" t="str">
        <x:v>Level 2 threshold</x:v>
      </x:c>
      <x:c r="B10" s="101" t="n">
        <x:v>100</x:v>
      </x:c>
      <x:c r="C10" s="101" t="n">
        <x:f>'06_Onboarding_Economy_XP'!B19</x:f>
        <x:v>100</x:v>
      </x:c>
      <x:c r="D10" s="101" t="str">
        <x:f>IF(C10=B10,"PASS","CHECK")</x:f>
        <x:v>PASS</x:v>
      </x:c>
      <x:c r="E10" s="101" t="str">
        <x:v>High</x:v>
      </x:c>
      <x:c r="F10" s="101" t="str">
        <x:v>Fast second-building unlock</x:v>
      </x:c>
      <x:c r="G10" s="102" t="str"/>
    </x:row>
    <x:row r="11">
      <x:c r="A11" s="99" t="str">
        <x:v>Level 3 threshold</x:v>
      </x:c>
      <x:c r="B11" s="101" t="n">
        <x:v>175</x:v>
      </x:c>
      <x:c r="C11" s="101" t="n">
        <x:f>'06_Onboarding_Economy_XP'!B20</x:f>
        <x:v>175</x:v>
      </x:c>
      <x:c r="D11" s="101" t="str">
        <x:f>IF(C11=B11,"PASS","CHECK")</x:f>
        <x:v>PASS</x:v>
      </x:c>
      <x:c r="E11" s="101" t="str">
        <x:v>High</x:v>
      </x:c>
      <x:c r="F11" s="101" t="str">
        <x:v>Third-building unlock inside 5m</x:v>
      </x:c>
      <x:c r="G11" s="102" t="str"/>
    </x:row>
    <x:row r="12">
      <x:c r="A12" s="99" t="str">
        <x:v>Level 4 threshold</x:v>
      </x:c>
      <x:c r="B12" s="101" t="n">
        <x:v>275</x:v>
      </x:c>
      <x:c r="C12" s="101" t="n">
        <x:f>'06_Onboarding_Economy_XP'!B21</x:f>
        <x:v>275</x:v>
      </x:c>
      <x:c r="D12" s="101" t="str">
        <x:f>IF(C12=B12,"PASS","CHECK")</x:f>
        <x:v>PASS</x:v>
      </x:c>
      <x:c r="E12" s="101" t="str">
        <x:v>High</x:v>
      </x:c>
      <x:c r="F12" s="101" t="str">
        <x:v>Hunts available after first synergy</x:v>
      </x:c>
      <x:c r="G12" s="102" t="str"/>
    </x:row>
    <x:row r="13">
      <x:c r="A13" s="99" t="str">
        <x:v>Buildings owned by minute 5 &gt;=3</x:v>
      </x:c>
      <x:c r="B13" s="162" t="n">
        <x:v>3</x:v>
      </x:c>
      <x:c r="C13" s="162" t="n">
        <x:f>IF('01_Exact_Timeline'!B6&lt;=5,1,0)+IF('01_Exact_Timeline'!B10&lt;=5,1,0)+IF('01_Exact_Timeline'!B13&lt;=5,1,0)</x:f>
        <x:v>3</x:v>
      </x:c>
      <x:c r="D13" s="101" t="str">
        <x:f>IF(C13&gt;=B13,"PASS","CHECK")</x:f>
        <x:v>PASS</x:v>
      </x:c>
      <x:c r="E13" s="101" t="str">
        <x:v>Critical</x:v>
      </x:c>
      <x:c r="F13" s="101" t="str">
        <x:v>User requirement: more than one building in first 5m</x:v>
      </x:c>
      <x:c r="G13" s="102" t="str">
        <x:v>Checks Cash Kiosk, Trading Booth and Savings Stand build timestamps directly.</x:v>
      </x:c>
    </x:row>
    <x:row r="14">
      <x:c r="A14" s="99" t="str">
        <x:v>First synergy effect &lt;= placement cap</x:v>
      </x:c>
      <x:c r="B14" s="162" t="n">
        <x:v>0.25</x:v>
      </x:c>
      <x:c r="C14" s="162" t="n">
        <x:v>0.06</x:v>
      </x:c>
      <x:c r="D14" s="101" t="str">
        <x:f>IF(C14&lt;=B14,"PASS","CHECK")</x:f>
        <x:v>PASS</x:v>
      </x:c>
      <x:c r="E14" s="101" t="str">
        <x:v>High</x:v>
      </x:c>
      <x:c r="F14" s="101" t="str">
        <x:v>Placement balance</x:v>
      </x:c>
      <x:c r="G14" s="102" t="str"/>
    </x:row>
    <x:row r="15">
      <x:c r="A15" s="99" t="str">
        <x:v>First Hunt stock guaranteed</x:v>
      </x:c>
      <x:c r="B15" s="101" t="n">
        <x:v>1</x:v>
      </x:c>
      <x:c r="C15" s="101" t="n">
        <x:f>IF('08_First_Hunt_Stock'!F6="Yes",1,0)</x:f>
        <x:v>1</x:v>
      </x:c>
      <x:c r="D15" s="101" t="str">
        <x:f>IF(C15=B15,"PASS","CHECK")</x:f>
        <x:v>PASS</x:v>
      </x:c>
      <x:c r="E15" s="101" t="str">
        <x:v>Critical</x:v>
      </x:c>
      <x:c r="F15" s="101" t="str">
        <x:v>First reward payoff</x:v>
      </x:c>
      <x:c r="G15" s="102" t="str"/>
    </x:row>
    <x:row r="16">
      <x:c r="A16" s="99" t="str">
        <x:v>First stock direct Performance = 0</x:v>
      </x:c>
      <x:c r="B16" s="101" t="n">
        <x:v>1</x:v>
      </x:c>
      <x:c r="C16" s="101" t="n">
        <x:f>IF('08_First_Hunt_Stock'!I6="Stock value 0 direct Performance",1,0)</x:f>
        <x:v>1</x:v>
      </x:c>
      <x:c r="D16" s="101" t="str">
        <x:f>IF(C16=B16,"PASS","CHECK")</x:f>
        <x:v>PASS</x:v>
      </x:c>
      <x:c r="E16" s="101" t="str">
        <x:v>Critical</x:v>
      </x:c>
      <x:c r="F16" s="101" t="str">
        <x:v>Competitive fairness</x:v>
      </x:c>
      <x:c r="G16" s="102" t="str"/>
    </x:row>
    <x:row r="17">
      <x:c r="A17" s="99" t="str">
        <x:v>Performance payout estimate hidden</x:v>
      </x:c>
      <x:c r="B17" s="101" t="n">
        <x:v>1</x:v>
      </x:c>
      <x:c r="C17" s="101" t="n">
        <x:f>IF('09_First_Performance_View'!B17="Do not display a $PLOT payout estimate during onboarding or before minimum score + active-day eligibility.",1,0)</x:f>
        <x:v>1</x:v>
      </x:c>
      <x:c r="D17" s="101" t="str">
        <x:f>IF(C17=B17,"PASS","CHECK")</x:f>
        <x:v>PASS</x:v>
      </x:c>
      <x:c r="E17" s="101" t="str">
        <x:v>Critical</x:v>
      </x:c>
      <x:c r="F17" s="101" t="str">
        <x:v>No misleading payout promise</x:v>
      </x:c>
      <x:c r="G17" s="102" t="str"/>
    </x:row>
    <x:row r="18">
      <x:c r="A18" s="99" t="str">
        <x:v>Free play target &lt;=30m</x:v>
      </x:c>
      <x:c r="B18" s="101" t="n">
        <x:v>1</x:v>
      </x:c>
      <x:c r="C18" s="101" t="n">
        <x:f>IF('00_Dashboard'!B23&lt;=30,1,0)</x:f>
        <x:v>1</x:v>
      </x:c>
      <x:c r="D18" s="101" t="str">
        <x:f>IF(C18=B18,"PASS","CHECK")</x:f>
        <x:v>PASS</x:v>
      </x:c>
      <x:c r="E18" s="101" t="str">
        <x:v>High</x:v>
      </x:c>
      <x:c r="F18" s="101" t="str">
        <x:v>Guided mode ends before 30m</x:v>
      </x:c>
      <x:c r="G18" s="102" t="str"/>
    </x:row>
    <x:row r="19">
      <x:c r="A19" s="103" t="str">
        <x:v>Personal punitive event protection =60m</x:v>
      </x:c>
      <x:c r="B19" s="105" t="n">
        <x:v>60</x:v>
      </x:c>
      <x:c r="C19" s="105" t="n">
        <x:v>60</x:v>
      </x:c>
      <x:c r="D19" s="105" t="str">
        <x:f>IF(C19=B19,"PASS","CHECK")</x:f>
        <x:v>PASS</x:v>
      </x:c>
      <x:c r="E19" s="105" t="str">
        <x:v>High</x:v>
      </x:c>
      <x:c r="F19" s="105" t="str">
        <x:v>First-hour protection</x:v>
      </x:c>
      <x:c r="G19" s="106" t="str"/>
    </x:row>
  </x:sheetData>
  <x:mergeCells>
    <x:mergeCell ref="A1:G1"/>
  </x:mergeCells>
  <x:conditionalFormatting sqref="D4:D19">
    <x:cfRule type="expression" dxfId="0" priority="1">
      <x:formula>D4="PASS"</x:formula>
    </x:cfRule>
    <x:cfRule type="expression" dxfId="1" priority="2">
      <x:formula>D4="CHECK"</x:formula>
    </x:cfRule>
  </x:conditionalFormatting>
  <x:pageMargins left="0.7" right="0.7" top="0.75" bottom="0.75" header="0.3" footer="0.3"/>
</x:worksheet>
</file>