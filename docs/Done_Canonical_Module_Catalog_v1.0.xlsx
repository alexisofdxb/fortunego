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ebb30bec954a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Dashboard" sheetId="1" r:id="R7ed7c9ad56c54c49"/>
    <x:sheet xmlns:r="http://schemas.openxmlformats.org/officeDocument/2006/relationships" name="01_Rarity_Rules" sheetId="2" r:id="Ra9984a266ccc4d05"/>
    <x:sheet xmlns:r="http://schemas.openxmlformats.org/officeDocument/2006/relationships" name="02_Acquisition_Model" sheetId="3" r:id="Rd2df43227b4f4879"/>
    <x:sheet xmlns:r="http://schemas.openxmlformats.org/officeDocument/2006/relationships" name="03_Full_Catalog" sheetId="4" r:id="Rfa02bc1dbdd441d8"/>
    <x:sheet xmlns:r="http://schemas.openxmlformats.org/officeDocument/2006/relationships" name="04_Common" sheetId="5" r:id="R83ab2476c2cc40d4"/>
    <x:sheet xmlns:r="http://schemas.openxmlformats.org/officeDocument/2006/relationships" name="05_Uncommon" sheetId="6" r:id="Rff0893161db548e0"/>
    <x:sheet xmlns:r="http://schemas.openxmlformats.org/officeDocument/2006/relationships" name="06_Rare" sheetId="7" r:id="R21a18505e7ac4cbb"/>
    <x:sheet xmlns:r="http://schemas.openxmlformats.org/officeDocument/2006/relationships" name="07_Epic" sheetId="8" r:id="Rdaec7818c62742b7"/>
    <x:sheet xmlns:r="http://schemas.openxmlformats.org/officeDocument/2006/relationships" name="08_Legendary" sheetId="9" r:id="R5ed7c4e7d45041ee"/>
    <x:sheet xmlns:r="http://schemas.openxmlformats.org/officeDocument/2006/relationships" name="09_Family_Index" sheetId="10" r:id="R75bfb87d7a49490a"/>
    <x:sheet xmlns:r="http://schemas.openxmlformats.org/officeDocument/2006/relationships" name="10_Mastery_Reward_Pools" sheetId="11" r:id="R92ec12e9f77246a7"/>
    <x:sheet xmlns:r="http://schemas.openxmlformats.org/officeDocument/2006/relationships" name="11_Crafting_Matrix" sheetId="12" r:id="Re117f44ea7644c59"/>
    <x:sheet xmlns:r="http://schemas.openxmlformats.org/officeDocument/2006/relationships" name="12_Event_Source_Index" sheetId="13" r:id="Re57b2c87a94448c4"/>
    <x:sheet xmlns:r="http://schemas.openxmlformats.org/officeDocument/2006/relationships" name="13_Runtime_Effect_Map" sheetId="14" r:id="R53ed90f563454848"/>
    <x:sheet xmlns:r="http://schemas.openxmlformats.org/officeDocument/2006/relationships" name="14_Balance_Guardrails" sheetId="15" r:id="R6b45289787644435"/>
    <x:sheet xmlns:r="http://schemas.openxmlformats.org/officeDocument/2006/relationships" name="15_Implementation_Seed" sheetId="16" r:id="Rf8b8850630794639"/>
    <x:sheet xmlns:r="http://schemas.openxmlformats.org/officeDocument/2006/relationships" name="16_Model_Checks" sheetId="17" r:id="R681c0c86e0134b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;[Red](0.0%);-"/>
    <x:numFmt numFmtId="201" formatCode="0.000%;[Red](0.000%);-"/>
    <x:numFmt numFmtId="202" formatCode="#,##0;[Red](#,##0);-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0B1F3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132D46"/>
      </x:patternFill>
    </x:fill>
    <x:fill>
      <x:patternFill patternType="solid">
        <x:fgColor rgb="FFF7F1E3"/>
      </x:patternFill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8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200" fontId="0" fillId="0" borderId="9" xfId="0" applyNumberFormat="1" applyFont="1" applyFill="1" applyBorder="1" applyAlignment="1">
      <x:alignment vertical="top" wrapText="1"/>
    </x:xf>
    <x:xf numFmtId="200" fontId="0" fillId="0" borderId="1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2" xfId="0" applyNumberFormat="1" applyFont="1" applyFill="1" applyBorder="1" applyAlignment="1">
      <x:alignment vertical="top" wrapText="1"/>
    </x:xf>
    <x:xf numFmtId="200" fontId="0" fillId="0" borderId="14" xfId="0" applyNumberFormat="1" applyFont="1" applyFill="1" applyBorder="1" applyAlignment="1">
      <x:alignment vertical="top" wrapText="1"/>
    </x:xf>
    <x:xf numFmtId="200" fontId="0" fillId="0" borderId="15" xfId="0" applyNumberFormat="1" applyFont="1" applyFill="1" applyBorder="1" applyAlignment="1">
      <x:alignment vertical="top" wrapText="1"/>
    </x:xf>
    <x:xf numFmtId="200" fontId="0" fillId="0" borderId="17" xfId="0" applyNumberFormat="1" applyFont="1" applyFill="1" applyBorder="1" applyAlignment="1">
      <x:alignment vertical="top" wrapText="1"/>
    </x:xf>
    <x:xf numFmtId="200" fontId="0" fillId="0" borderId="18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20" xfId="0" applyNumberFormat="1" applyFont="1" applyFill="1" applyBorder="1" applyAlignment="1">
      <x:alignment vertical="top" wrapText="1"/>
    </x:xf>
    <x:xf numFmtId="200" fontId="0" fillId="0" borderId="22" xfId="0" applyNumberFormat="1" applyFont="1" applyFill="1" applyBorder="1" applyAlignment="1">
      <x:alignment vertical="top" wrapText="1"/>
    </x:xf>
    <x:xf numFmtId="200" fontId="0" fillId="0" borderId="23" xfId="0" applyNumberFormat="1" applyFont="1" applyFill="1" applyBorder="1" applyAlignment="1">
      <x:alignment vertical="top" wrapText="1"/>
    </x:xf>
    <x:xf numFmtId="201" fontId="0" fillId="0" borderId="9" xfId="0" applyNumberFormat="1" applyFont="1" applyFill="1" applyBorder="1" applyAlignment="1">
      <x:alignment vertical="top" wrapText="1"/>
    </x:xf>
    <x:xf numFmtId="201" fontId="0" fillId="0" borderId="1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2" xfId="0" applyNumberFormat="1" applyFont="1" applyFill="1" applyBorder="1" applyAlignment="1">
      <x:alignment vertical="top" wrapText="1"/>
    </x:xf>
    <x:xf numFmtId="201" fontId="0" fillId="0" borderId="14" xfId="0" applyNumberFormat="1" applyFont="1" applyFill="1" applyBorder="1" applyAlignment="1">
      <x:alignment vertical="top" wrapText="1"/>
    </x:xf>
    <x:xf numFmtId="201" fontId="0" fillId="0" borderId="15" xfId="0" applyNumberFormat="1" applyFont="1" applyFill="1" applyBorder="1" applyAlignment="1">
      <x:alignment vertical="top" wrapText="1"/>
    </x:xf>
    <x:xf numFmtId="201" fontId="0" fillId="0" borderId="17" xfId="0" applyNumberFormat="1" applyFont="1" applyFill="1" applyBorder="1" applyAlignment="1">
      <x:alignment vertical="top" wrapText="1"/>
    </x:xf>
    <x:xf numFmtId="201" fontId="0" fillId="0" borderId="18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1" fontId="0" fillId="0" borderId="20" xfId="0" applyNumberFormat="1" applyFont="1" applyFill="1" applyBorder="1" applyAlignment="1">
      <x:alignment vertical="top" wrapText="1"/>
    </x:xf>
    <x:xf numFmtId="201" fontId="0" fillId="0" borderId="22" xfId="0" applyNumberFormat="1" applyFont="1" applyFill="1" applyBorder="1" applyAlignment="1">
      <x:alignment vertical="top" wrapText="1"/>
    </x:xf>
    <x:xf numFmtId="201" fontId="0" fillId="0" borderId="23" xfId="0" applyNumberFormat="1" applyFont="1" applyFill="1" applyBorder="1" applyAlignment="1">
      <x:alignment vertical="top" wrapText="1"/>
    </x:xf>
    <x:xf numFmtId="202" fontId="0" fillId="0" borderId="9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4" xfId="0" applyNumberFormat="1" applyFont="1" applyFill="1" applyBorder="1" applyAlignment="1">
      <x:alignment vertical="top" wrapText="1"/>
    </x:xf>
    <x:xf numFmtId="202" fontId="0" fillId="0" borderId="17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2" fontId="0" fillId="0" borderId="22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1" fillId="2" borderId="1" xfId="0" applyNumberFormat="1" applyFont="1" applyFill="1" applyBorder="1" applyAlignment="1">
      <x:alignment horizontal="left" vertical="top" wrapText="1"/>
    </x:xf>
  </x:cellXfs>
  <x:cellStyles count="1">
    <x:cellStyle name="Normal" xfId="0"/>
  </x:cellStyles>
  <x:dxfs count="6">
    <x:dxf>
      <x:font>
        <x:b/>
      </x:font>
      <x:fill>
        <x:patternFill patternType="solid">
          <x:bgColor rgb="FFF4E6B7"/>
        </x:patternFill>
      </x:fill>
    </x:dxf>
    <x:dxf>
      <x:fill>
        <x:patternFill patternType="solid">
          <x:bgColor rgb="FFE8DDF5"/>
        </x:patternFill>
      </x:fill>
    </x:dxf>
    <x:dxf>
      <x:fill>
        <x:patternFill patternType="solid">
          <x:bgColor rgb="FFDCEAF7"/>
        </x:patternFill>
      </x:fill>
    </x:dxf>
    <x:dxf>
      <x:fill>
        <x:patternFill patternType="solid">
          <x:bgColor rgb="FFE6F1E8"/>
        </x:patternFill>
      </x:fill>
    </x:dxf>
    <x:dxf>
      <x:font>
        <x:b/>
        <x:color rgb="FF14532D"/>
      </x:font>
      <x:fill>
        <x:patternFill patternType="solid">
          <x:bgColor rgb="FFDDEFE2"/>
        </x:patternFill>
      </x:fill>
    </x:dxf>
    <x:dxf>
      <x:font>
        <x:b/>
        <x:color rgb="FF7F1D1D"/>
      </x:font>
      <x:fill>
        <x:patternFill patternType="solid">
          <x:bgColor rgb="FFF5D6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249c1921e244b1" /><Relationship Type="http://schemas.openxmlformats.org/officeDocument/2006/relationships/theme" Target="/xl/theme/theme1.xml" Id="Red28b36782bd4d43" /><Relationship Type="http://schemas.openxmlformats.org/officeDocument/2006/relationships/sharedStrings" Target="/xl/sharedStrings.xml" Id="R20c5bbca4ac647e1" /><Relationship Type="http://schemas.openxmlformats.org/officeDocument/2006/relationships/worksheet" Target="/xl/worksheets/sheet1.xml" Id="R7ed7c9ad56c54c49" /><Relationship Type="http://schemas.openxmlformats.org/officeDocument/2006/relationships/worksheet" Target="/xl/worksheets/sheet2.xml" Id="Ra9984a266ccc4d05" /><Relationship Type="http://schemas.openxmlformats.org/officeDocument/2006/relationships/worksheet" Target="/xl/worksheets/sheet3.xml" Id="Rd2df43227b4f4879" /><Relationship Type="http://schemas.openxmlformats.org/officeDocument/2006/relationships/worksheet" Target="/xl/worksheets/sheet4.xml" Id="Rfa02bc1dbdd441d8" /><Relationship Type="http://schemas.openxmlformats.org/officeDocument/2006/relationships/worksheet" Target="/xl/worksheets/sheet5.xml" Id="R83ab2476c2cc40d4" /><Relationship Type="http://schemas.openxmlformats.org/officeDocument/2006/relationships/worksheet" Target="/xl/worksheets/sheet6.xml" Id="Rff0893161db548e0" /><Relationship Type="http://schemas.openxmlformats.org/officeDocument/2006/relationships/worksheet" Target="/xl/worksheets/sheet7.xml" Id="R21a18505e7ac4cbb" /><Relationship Type="http://schemas.openxmlformats.org/officeDocument/2006/relationships/worksheet" Target="/xl/worksheets/sheet8.xml" Id="Rdaec7818c62742b7" /><Relationship Type="http://schemas.openxmlformats.org/officeDocument/2006/relationships/worksheet" Target="/xl/worksheets/sheet9.xml" Id="R5ed7c4e7d45041ee" /><Relationship Type="http://schemas.openxmlformats.org/officeDocument/2006/relationships/worksheet" Target="/xl/worksheets/sheet10.xml" Id="R75bfb87d7a49490a" /><Relationship Type="http://schemas.openxmlformats.org/officeDocument/2006/relationships/worksheet" Target="/xl/worksheets/sheet11.xml" Id="R92ec12e9f77246a7" /><Relationship Type="http://schemas.openxmlformats.org/officeDocument/2006/relationships/worksheet" Target="/xl/worksheets/sheet12.xml" Id="Re117f44ea7644c59" /><Relationship Type="http://schemas.openxmlformats.org/officeDocument/2006/relationships/worksheet" Target="/xl/worksheets/sheet13.xml" Id="Re57b2c87a94448c4" /><Relationship Type="http://schemas.openxmlformats.org/officeDocument/2006/relationships/worksheet" Target="/xl/worksheets/sheet14.xml" Id="R53ed90f563454848" /><Relationship Type="http://schemas.openxmlformats.org/officeDocument/2006/relationships/worksheet" Target="/xl/worksheets/sheet15.xml" Id="R6b45289787644435" /><Relationship Type="http://schemas.openxmlformats.org/officeDocument/2006/relationships/worksheet" Target="/xl/worksheets/sheet16.xml" Id="Rf8b8850630794639" /><Relationship Type="http://schemas.openxmlformats.org/officeDocument/2006/relationships/worksheet" Target="/xl/worksheets/sheet17.xml" Id="R681c0c86e0134b6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1ca24714e32402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100 Modules by rarity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Modules</c:v>
          </c:tx>
          <c:cat>
            <c:strRef>
              <c:f>'00_Dashboard'!$A$21:$A$25</c:f>
              <c:strCache>
                <c:ptCount val="0"/>
              </c:strCache>
            </c:strRef>
          </c:cat>
          <c:val>
            <c:numRef>
              <c:f>'00_Dashboard'!$B$21:$B$25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18</xdr:row>
      <xdr:rowOff>0</xdr:rowOff>
    </xdr:from>
    <xdr:to>
      <xdr:col>14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1ca24714e32402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9870870f64d40ae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</x:cols>
  <x:sheetData>
    <x:row r="1" ht="30" customHeight="1">
      <x:c r="A1" s="86" t="str">
        <x:v>PLOT — Canonical Module Catalog v1.0</x:v>
      </x:c>
      <x:c r="B1" s="86"/>
      <x:c r="C1" s="86"/>
      <x:c r="D1" s="86"/>
      <x:c r="E1" s="86"/>
      <x:c r="F1" s="86"/>
      <x:c r="G1" s="86"/>
      <x:c r="H1" s="86"/>
      <x:c r="I1" s="86"/>
      <x:c r="J1" s="86"/>
      <x:c r="K1" s="86"/>
      <x:c r="L1" s="86"/>
      <x:c r="M1" s="86"/>
      <x:c r="N1" s="86"/>
      <x:c r="O1" s="22"/>
      <x:c r="P1" s="22"/>
      <x:c r="Q1" s="22"/>
      <x:c r="R1" s="22"/>
      <x:c r="S1" s="22"/>
      <x:c r="T1" s="22"/>
      <x:c r="U1" s="22"/>
      <x:c r="V1" s="22"/>
      <x:c r="W1" s="22"/>
      <x:c r="X1" s="22"/>
    </x:row>
    <x:row r="3">
      <x:c r="A3" s="14" t="str">
        <x:v>Total Modules</x:v>
      </x:c>
      <x:c r="B3" s="14" t="str">
        <x:v>Common</x:v>
      </x:c>
      <x:c r="C3" s="14" t="str">
        <x:v>Uncommon</x:v>
      </x:c>
      <x:c r="D3" s="14" t="str">
        <x:v>Rare</x:v>
      </x:c>
      <x:c r="E3" s="14" t="str">
        <x:v>Epic</x:v>
      </x:c>
      <x:c r="F3" s="14" t="str">
        <x:v>Legendary</x:v>
      </x:c>
      <x:c r="G3" s="14" t="str">
        <x:v>Craft Cost Model</x:v>
      </x:c>
      <x:c r="H3" s="14" t="str">
        <x:v>Craft Time Model</x:v>
      </x:c>
      <x:c r="I3" s="14" t="str">
        <x:v>Guaranteed Path</x:v>
      </x:c>
      <x:c r="J3" s="14" t="str">
        <x:v>Random Discovery</x:v>
      </x:c>
      <x:c r="K3" s="14" t="str">
        <x:v>Cash Packs</x:v>
      </x:c>
      <x:c r="L3" s="14" t="str">
        <x:v>Direct Performance</x:v>
      </x:c>
      <x:c r="M3" s="14" t="str">
        <x:v>Direct $PLOT</x:v>
      </x:c>
      <x:c r="N3" s="14" t="str">
        <x:v>Status</x:v>
      </x:c>
    </x:row>
    <x:row r="4">
      <x:c r="A4" s="24" t="n">
        <x:v>100</x:v>
      </x:c>
      <x:c r="B4" s="25" t="n">
        <x:v>30</x:v>
      </x:c>
      <x:c r="C4" s="25" t="n">
        <x:v>25</x:v>
      </x:c>
      <x:c r="D4" s="25" t="n">
        <x:v>20</x:v>
      </x:c>
      <x:c r="E4" s="25" t="n">
        <x:v>15</x:v>
      </x:c>
      <x:c r="F4" s="25" t="n">
        <x:v>10</x:v>
      </x:c>
      <x:c r="G4" s="25" t="str">
        <x:v>25 / 60 / 150 / 400 / 1,000 same-tier Parts</x:v>
      </x:c>
      <x:c r="H4" s="25" t="str">
        <x:v>Instant / 15m / 1h / 4h / 12h</x:v>
      </x:c>
      <x:c r="I4" s="25" t="str">
        <x:v>Building Mastery I–V</x:v>
      </x:c>
      <x:c r="J4" s="25" t="str">
        <x:v>Hunts, Events, earned packs</x:v>
      </x:c>
      <x:c r="K4" s="25" t="str">
        <x:v>In-game Cash only; Common–Rare; capped</x:v>
      </x:c>
      <x:c r="L4" s="25" t="str">
        <x:v>Never</x:v>
      </x:c>
      <x:c r="M4" s="25" t="str">
        <x:v>Never</x:v>
      </x:c>
      <x:c r="N4" s="26" t="str">
        <x:v>Canonical production seed catalog</x:v>
      </x:c>
    </x:row>
    <x:row r="6" ht="22" customHeight="1">
      <x:c r="A6" s="11" t="str">
        <x:v>Rarity Progression</x:v>
      </x:c>
      <x:c r="B6" s="11"/>
      <x:c r="C6" s="11"/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</x:row>
    <x:row r="7">
      <x:c r="A7" s="14" t="str">
        <x:v>Rarity</x:v>
      </x:c>
      <x:c r="B7" s="14" t="str">
        <x:v>Count</x:v>
      </x:c>
      <x:c r="C7" s="14" t="str">
        <x:v>Stage Gate</x:v>
      </x:c>
      <x:c r="D7" s="14" t="str">
        <x:v>Guaranteed Path</x:v>
      </x:c>
      <x:c r="E7" s="14" t="str">
        <x:v>Minimum Hunt</x:v>
      </x:c>
      <x:c r="F7" s="14" t="str">
        <x:v>Craft Parts</x:v>
      </x:c>
      <x:c r="G7" s="14" t="str">
        <x:v>Craft Time</x:v>
      </x:c>
      <x:c r="H7" s="14" t="str">
        <x:v>Design Intent</x:v>
      </x:c>
    </x:row>
    <x:row r="8">
      <x:c r="A8" s="30" t="str">
        <x:v>Common</x:v>
      </x:c>
      <x:c r="B8" s="31" t="n">
        <x:v>30</x:v>
      </x:c>
      <x:c r="C8" s="31" t="str">
        <x:v>Humble</x:v>
      </x:c>
      <x:c r="D8" s="31" t="str">
        <x:v>Mastery I</x:v>
      </x:c>
      <x:c r="E8" s="31" t="str">
        <x:v>Easy</x:v>
      </x:c>
      <x:c r="F8" s="31" t="n">
        <x:v>25</x:v>
      </x:c>
      <x:c r="G8" s="31" t="str">
        <x:v>Instant</x:v>
      </x:c>
      <x:c r="H8" s="32" t="str">
        <x:v>Simple readable improvements</x:v>
      </x:c>
    </x:row>
    <x:row r="9">
      <x:c r="A9" s="33" t="str">
        <x:v>Uncommon</x:v>
      </x:c>
      <x:c r="B9" s="22" t="n">
        <x:v>25</x:v>
      </x:c>
      <x:c r="C9" s="22" t="str">
        <x:v>Starter</x:v>
      </x:c>
      <x:c r="D9" s="22" t="str">
        <x:v>Mastery II</x:v>
      </x:c>
      <x:c r="E9" s="22" t="str">
        <x:v>Standard</x:v>
      </x:c>
      <x:c r="F9" s="22" t="n">
        <x:v>60</x:v>
      </x:c>
      <x:c r="G9" s="22" t="str">
        <x:v>15 min</x:v>
      </x:c>
      <x:c r="H9" s="34" t="str">
        <x:v>Clear specialization with light tradeoffs</x:v>
      </x:c>
    </x:row>
    <x:row r="10">
      <x:c r="A10" s="33" t="str">
        <x:v>Rare</x:v>
      </x:c>
      <x:c r="B10" s="22" t="n">
        <x:v>20</x:v>
      </x:c>
      <x:c r="C10" s="22" t="str">
        <x:v>Growing</x:v>
      </x:c>
      <x:c r="D10" s="22" t="str">
        <x:v>Mastery III</x:v>
      </x:c>
      <x:c r="E10" s="22" t="str">
        <x:v>Hard</x:v>
      </x:c>
      <x:c r="F10" s="22" t="n">
        <x:v>150</x:v>
      </x:c>
      <x:c r="G10" s="22" t="str">
        <x:v>1 hour</x:v>
      </x:c>
      <x:c r="H10" s="34" t="str">
        <x:v>Meaningful strategic sidegrades</x:v>
      </x:c>
    </x:row>
    <x:row r="11">
      <x:c r="A11" s="33" t="str">
        <x:v>Epic</x:v>
      </x:c>
      <x:c r="B11" s="22" t="n">
        <x:v>15</x:v>
      </x:c>
      <x:c r="C11" s="22" t="str">
        <x:v>Established</x:v>
      </x:c>
      <x:c r="D11" s="22" t="str">
        <x:v>Mastery IV</x:v>
      </x:c>
      <x:c r="E11" s="22" t="str">
        <x:v>Elite</x:v>
      </x:c>
      <x:c r="F11" s="22" t="n">
        <x:v>400</x:v>
      </x:c>
      <x:c r="G11" s="22" t="str">
        <x:v>4 hours</x:v>
      </x:c>
      <x:c r="H11" s="34" t="str">
        <x:v>Conditional institutional strategies</x:v>
      </x:c>
    </x:row>
    <x:row r="12">
      <x:c r="A12" s="35" t="str">
        <x:v>Legendary</x:v>
      </x:c>
      <x:c r="B12" s="36" t="n">
        <x:v>10</x:v>
      </x:c>
      <x:c r="C12" s="36" t="str">
        <x:v>Elite</x:v>
      </x:c>
      <x:c r="D12" s="36" t="str">
        <x:v>Mastery V</x:v>
      </x:c>
      <x:c r="E12" s="36" t="str">
        <x:v>Jackpot</x:v>
      </x:c>
      <x:c r="F12" s="36" t="n">
        <x:v>1000</x:v>
      </x:c>
      <x:c r="G12" s="36" t="str">
        <x:v>12 hours</x:v>
      </x:c>
      <x:c r="H12" s="37" t="str">
        <x:v>Transformative but bounded endgame sidegrades</x:v>
      </x:c>
    </x:row>
    <x:row r="14" ht="22" customHeight="1">
      <x:c r="A14" s="11" t="str">
        <x:v>Core Acquisition Rule</x:v>
      </x:c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  <x:c r="L14" s="11"/>
      <x:c r="M14" s="11"/>
      <x:c r="N14" s="11"/>
    </x:row>
    <x:row r="15">
      <x:c r="A15" s="49" t="str">
        <x:v>Every Module has a deterministic route through Building Mastery and/or exact crafting. Hunts, Events and packs add discovery and acceleration, but no important Module is RNG-only. Building Cards still unlock by Empire Level and Cash; Modules never gate construction.</x:v>
      </x:c>
      <x:c r="B15" s="49"/>
      <x:c r="C15" s="49"/>
      <x:c r="D15" s="49"/>
      <x:c r="E15" s="49"/>
      <x:c r="F15" s="49"/>
      <x:c r="G15" s="49"/>
      <x:c r="H15" s="49"/>
      <x:c r="I15" s="49"/>
      <x:c r="J15" s="49"/>
      <x:c r="K15" s="49"/>
      <x:c r="L15" s="49"/>
      <x:c r="M15" s="49"/>
      <x:c r="N15" s="49"/>
    </x:row>
    <x:row r="16">
      <x:c r="A16" s="49"/>
      <x:c r="B16" s="49"/>
      <x:c r="C16" s="49"/>
      <x:c r="D16" s="49"/>
      <x:c r="E16" s="49"/>
      <x:c r="F16" s="49"/>
      <x:c r="G16" s="49"/>
      <x:c r="H16" s="49"/>
      <x:c r="I16" s="49"/>
      <x:c r="J16" s="49"/>
      <x:c r="K16" s="49"/>
      <x:c r="L16" s="49"/>
      <x:c r="M16" s="49"/>
      <x:c r="N16" s="49"/>
    </x:row>
    <x:row r="17">
      <x:c r="A17" s="49"/>
      <x:c r="B17" s="49"/>
      <x:c r="C17" s="49"/>
      <x:c r="D17" s="49"/>
      <x:c r="E17" s="49"/>
      <x:c r="F17" s="49"/>
      <x:c r="G17" s="49"/>
      <x:c r="H17" s="49"/>
      <x:c r="I17" s="49"/>
      <x:c r="J17" s="49"/>
      <x:c r="K17" s="49"/>
      <x:c r="L17" s="49"/>
      <x:c r="M17" s="49"/>
      <x:c r="N17" s="49"/>
    </x:row>
    <x:row r="19" ht="22" customHeight="1">
      <x:c r="A19" s="11" t="str">
        <x:v>Catalog Mix</x:v>
      </x:c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  <x:c r="L19" s="11"/>
      <x:c r="M19" s="11"/>
      <x:c r="N19" s="11"/>
    </x:row>
    <x:row r="20">
      <x:c r="A20" s="14" t="str">
        <x:v>Rarity</x:v>
      </x:c>
      <x:c r="B20" s="14" t="str">
        <x:v>Modules</x:v>
      </x:c>
    </x:row>
    <x:row r="21">
      <x:c r="A21" t="str">
        <x:v>Common</x:v>
      </x:c>
      <x:c r="B21" t="n">
        <x:v>30</x:v>
      </x:c>
    </x:row>
    <x:row r="22">
      <x:c r="A22" t="str">
        <x:v>Uncommon</x:v>
      </x:c>
      <x:c r="B22" t="n">
        <x:v>25</x:v>
      </x:c>
    </x:row>
    <x:row r="23">
      <x:c r="A23" t="str">
        <x:v>Rare</x:v>
      </x:c>
      <x:c r="B23" t="n">
        <x:v>20</x:v>
      </x:c>
    </x:row>
    <x:row r="24">
      <x:c r="A24" t="str">
        <x:v>Epic</x:v>
      </x:c>
      <x:c r="B24" t="n">
        <x:v>15</x:v>
      </x:c>
    </x:row>
    <x:row r="25">
      <x:c r="A25" t="str">
        <x:v>Legendary</x:v>
      </x:c>
      <x:c r="B25" t="n">
        <x:v>10</x:v>
      </x:c>
    </x:row>
  </x:sheetData>
  <x:mergeCells>
    <x:mergeCell ref="A1:N1"/>
    <x:mergeCell ref="A6:N6"/>
    <x:mergeCell ref="A14:N14"/>
    <x:mergeCell ref="A15:N17"/>
    <x:mergeCell ref="A19:N19"/>
  </x:mergeCells>
  <x:pageMargins left="0.7" right="0.7" top="0.75" bottom="0.75" header="0.3" footer="0.3"/>
  <x:drawing xmlns:r="http://schemas.openxmlformats.org/officeDocument/2006/relationships" r:id="Ra9870870f64d40ae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</x:cols>
  <x:sheetData>
    <x:row r="1" ht="30" customHeight="1">
      <x:c r="A1" s="86" t="str">
        <x:v>Rarity, Crafting &amp; Power Rules</x:v>
      </x:c>
      <x:c r="B1" s="86"/>
      <x:c r="C1" s="86"/>
      <x:c r="D1" s="86"/>
      <x:c r="E1" s="86"/>
      <x:c r="F1" s="86"/>
      <x:c r="G1" s="86"/>
      <x:c r="H1" s="86"/>
      <x:c r="I1" s="86"/>
      <x:c r="J1" s="86"/>
      <x:c r="K1" s="86"/>
      <x:c r="L1" s="86"/>
      <x:c r="M1" s="86"/>
      <x:c r="N1" s="86"/>
      <x:c r="O1" s="86"/>
      <x:c r="P1" s="86"/>
      <x:c r="Q1" s="22"/>
      <x:c r="R1" s="22"/>
      <x:c r="S1" s="22"/>
      <x:c r="T1" s="22"/>
      <x:c r="U1" s="22"/>
      <x:c r="V1" s="22"/>
      <x:c r="W1" s="22"/>
      <x:c r="X1" s="22"/>
    </x:row>
    <x:row r="3">
      <x:c r="A3" s="14" t="str">
        <x:v>Rarity</x:v>
      </x:c>
      <x:c r="B3" s="14" t="str">
        <x:v>Count</x:v>
      </x:c>
      <x:c r="C3" s="14" t="str">
        <x:v>Stage Gate</x:v>
      </x:c>
      <x:c r="D3" s="14" t="str">
        <x:v>Mastery</x:v>
      </x:c>
      <x:c r="E3" s="14" t="str">
        <x:v>Min Hunt</x:v>
      </x:c>
      <x:c r="F3" s="14" t="str">
        <x:v>Craft Parts Type</x:v>
      </x:c>
      <x:c r="G3" s="14" t="str">
        <x:v>Craft Cost</x:v>
      </x:c>
      <x:c r="H3" s="14" t="str">
        <x:v>Craft Time Min</x:v>
      </x:c>
      <x:c r="I3" s="14" t="str">
        <x:v>Craft Time</x:v>
      </x:c>
      <x:c r="J3" s="14" t="str">
        <x:v>Dismantle Parts</x:v>
      </x:c>
      <x:c r="K3" s="14" t="str">
        <x:v>Earned Pack</x:v>
      </x:c>
      <x:c r="L3" s="14" t="str">
        <x:v>In-Game Cash Pack?</x:v>
      </x:c>
      <x:c r="M3" s="14" t="str">
        <x:v>Typical Power Envelope</x:v>
      </x:c>
      <x:c r="N3" s="14" t="str">
        <x:v>Tradeoff Expectation</x:v>
      </x:c>
      <x:c r="O3" s="14" t="str">
        <x:v>Legendary Limit</x:v>
      </x:c>
      <x:c r="P3" s="14" t="str">
        <x:v>Notes</x:v>
      </x:c>
    </x:row>
    <x:row r="4">
      <x:c r="A4" s="30" t="str">
        <x:v>Common</x:v>
      </x:c>
      <x:c r="B4" s="31" t="n">
        <x:v>30</x:v>
      </x:c>
      <x:c r="C4" s="31" t="str">
        <x:v>Humble</x:v>
      </x:c>
      <x:c r="D4" s="31" t="str">
        <x:v>Mastery I</x:v>
      </x:c>
      <x:c r="E4" s="31" t="str">
        <x:v>Easy</x:v>
      </x:c>
      <x:c r="F4" s="31" t="str">
        <x:v>Common Parts</x:v>
      </x:c>
      <x:c r="G4" s="31" t="n">
        <x:v>25</x:v>
      </x:c>
      <x:c r="H4" s="31" t="n">
        <x:v>0</x:v>
      </x:c>
      <x:c r="I4" s="31" t="str">
        <x:v>Instant</x:v>
      </x:c>
      <x:c r="J4" s="31" t="n">
        <x:v>5</x:v>
      </x:c>
      <x:c r="K4" s="31" t="str">
        <x:v>Basic Earned Pack</x:v>
      </x:c>
      <x:c r="L4" s="31" t="str">
        <x:v>Yes</x:v>
      </x:c>
      <x:c r="M4" s="31" t="str">
        <x:v>+3–5% or -2 to -4 risk/service points</x:v>
      </x:c>
      <x:c r="N4" s="31" t="str">
        <x:v>Usually none</x:v>
      </x:c>
      <x:c r="O4" s="31" t="str">
        <x:v>N/A</x:v>
      </x:c>
      <x:c r="P4" s="32" t="str">
        <x:v>Craft timers continue offline; no paid speed-up in v1.0</x:v>
      </x:c>
    </x:row>
    <x:row r="5">
      <x:c r="A5" s="33" t="str">
        <x:v>Uncommon</x:v>
      </x:c>
      <x:c r="B5" s="22" t="n">
        <x:v>25</x:v>
      </x:c>
      <x:c r="C5" s="22" t="str">
        <x:v>Starter</x:v>
      </x:c>
      <x:c r="D5" s="22" t="str">
        <x:v>Mastery II</x:v>
      </x:c>
      <x:c r="E5" s="22" t="str">
        <x:v>Standard</x:v>
      </x:c>
      <x:c r="F5" s="22" t="str">
        <x:v>Uncommon Parts</x:v>
      </x:c>
      <x:c r="G5" s="22" t="n">
        <x:v>60</x:v>
      </x:c>
      <x:c r="H5" s="22" t="n">
        <x:v>15</x:v>
      </x:c>
      <x:c r="I5" s="22" t="str">
        <x:v>15 min</x:v>
      </x:c>
      <x:c r="J5" s="22" t="n">
        <x:v>12</x:v>
      </x:c>
      <x:c r="K5" s="22" t="str">
        <x:v>Basic / Advanced Earned Pack</x:v>
      </x:c>
      <x:c r="L5" s="22" t="str">
        <x:v>Yes</x:v>
      </x:c>
      <x:c r="M5" s="22" t="str">
        <x:v>+5–8% or -4 to -6 risk points</x:v>
      </x:c>
      <x:c r="N5" s="22" t="str">
        <x:v>Light</x:v>
      </x:c>
      <x:c r="O5" s="22" t="str">
        <x:v>N/A</x:v>
      </x:c>
      <x:c r="P5" s="34" t="str">
        <x:v>Craft timers continue offline; no paid speed-up in v1.0</x:v>
      </x:c>
    </x:row>
    <x:row r="6">
      <x:c r="A6" s="33" t="str">
        <x:v>Rare</x:v>
      </x:c>
      <x:c r="B6" s="22" t="n">
        <x:v>20</x:v>
      </x:c>
      <x:c r="C6" s="22" t="str">
        <x:v>Growing</x:v>
      </x:c>
      <x:c r="D6" s="22" t="str">
        <x:v>Mastery III</x:v>
      </x:c>
      <x:c r="E6" s="22" t="str">
        <x:v>Hard</x:v>
      </x:c>
      <x:c r="F6" s="22" t="str">
        <x:v>Rare Parts</x:v>
      </x:c>
      <x:c r="G6" s="22" t="n">
        <x:v>150</x:v>
      </x:c>
      <x:c r="H6" s="22" t="n">
        <x:v>60</x:v>
      </x:c>
      <x:c r="I6" s="22" t="str">
        <x:v>1 hour</x:v>
      </x:c>
      <x:c r="J6" s="22" t="n">
        <x:v>30</x:v>
      </x:c>
      <x:c r="K6" s="22" t="str">
        <x:v>Advanced / Prestige Earned Pack</x:v>
      </x:c>
      <x:c r="L6" s="22" t="str">
        <x:v>Yes — low chance</x:v>
      </x:c>
      <x:c r="M6" s="22" t="str">
        <x:v>+8–12% with tradeoff/condition</x:v>
      </x:c>
      <x:c r="N6" s="22" t="str">
        <x:v>Usually yes</x:v>
      </x:c>
      <x:c r="O6" s="22" t="str">
        <x:v>N/A</x:v>
      </x:c>
      <x:c r="P6" s="34" t="str">
        <x:v>Craft timers continue offline; no paid speed-up in v1.0</x:v>
      </x:c>
    </x:row>
    <x:row r="7">
      <x:c r="A7" s="33" t="str">
        <x:v>Epic</x:v>
      </x:c>
      <x:c r="B7" s="22" t="n">
        <x:v>15</x:v>
      </x:c>
      <x:c r="C7" s="22" t="str">
        <x:v>Established</x:v>
      </x:c>
      <x:c r="D7" s="22" t="str">
        <x:v>Mastery IV</x:v>
      </x:c>
      <x:c r="E7" s="22" t="str">
        <x:v>Elite</x:v>
      </x:c>
      <x:c r="F7" s="22" t="str">
        <x:v>Epic Parts</x:v>
      </x:c>
      <x:c r="G7" s="22" t="n">
        <x:v>400</x:v>
      </x:c>
      <x:c r="H7" s="22" t="n">
        <x:v>240</x:v>
      </x:c>
      <x:c r="I7" s="22" t="str">
        <x:v>4 hours</x:v>
      </x:c>
      <x:c r="J7" s="22" t="n">
        <x:v>80</x:v>
      </x:c>
      <x:c r="K7" s="22" t="str">
        <x:v>Advanced / Prestige Earned Pack</x:v>
      </x:c>
      <x:c r="L7" s="22" t="str">
        <x:v>No</x:v>
      </x:c>
      <x:c r="M7" s="22" t="str">
        <x:v>+10–15% conditional institutional sidegrade</x:v>
      </x:c>
      <x:c r="N7" s="22" t="str">
        <x:v>Clear condition/tradeoff</x:v>
      </x:c>
      <x:c r="O7" s="22" t="str">
        <x:v>N/A</x:v>
      </x:c>
      <x:c r="P7" s="34" t="str">
        <x:v>Craft timers continue offline; no paid speed-up in v1.0</x:v>
      </x:c>
    </x:row>
    <x:row r="8">
      <x:c r="A8" s="35" t="str">
        <x:v>Legendary</x:v>
      </x:c>
      <x:c r="B8" s="36" t="n">
        <x:v>10</x:v>
      </x:c>
      <x:c r="C8" s="36" t="str">
        <x:v>Elite</x:v>
      </x:c>
      <x:c r="D8" s="36" t="str">
        <x:v>Mastery V</x:v>
      </x:c>
      <x:c r="E8" s="36" t="str">
        <x:v>Jackpot</x:v>
      </x:c>
      <x:c r="F8" s="36" t="str">
        <x:v>Legendary Parts</x:v>
      </x:c>
      <x:c r="G8" s="36" t="n">
        <x:v>1000</x:v>
      </x:c>
      <x:c r="H8" s="36" t="n">
        <x:v>720</x:v>
      </x:c>
      <x:c r="I8" s="36" t="str">
        <x:v>12 hours</x:v>
      </x:c>
      <x:c r="J8" s="36" t="n">
        <x:v>200</x:v>
      </x:c>
      <x:c r="K8" s="36" t="str">
        <x:v>Prestige Earned Pack</x:v>
      </x:c>
      <x:c r="L8" s="36" t="str">
        <x:v>No</x:v>
      </x:c>
      <x:c r="M8" s="36" t="str">
        <x:v>Rule-changing combination within hard caps</x:v>
      </x:c>
      <x:c r="N8" s="36" t="str">
        <x:v>Meaningful condition/tradeoff</x:v>
      </x:c>
      <x:c r="O8" s="36" t="n">
        <x:v>1</x:v>
      </x:c>
      <x:c r="P8" s="37" t="str">
        <x:v>Craft timers continue offline; no paid speed-up in v1.0</x:v>
      </x:c>
    </x:row>
    <x:row r="10" ht="22" customHeight="1">
      <x:c r="A10" s="11" t="str">
        <x:v>Craft Queue Rules</x:v>
      </x:c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  <x:c r="O10" s="11"/>
      <x:c r="P10" s="11"/>
    </x:row>
    <x:row r="11">
      <x:c r="A11" s="14" t="str">
        <x:v>Rule</x:v>
      </x:c>
      <x:c r="B11" s="14" t="str">
        <x:v>Canonical Decision</x:v>
      </x:c>
    </x:row>
    <x:row r="12">
      <x:c r="A12" s="30" t="str">
        <x:v>Concurrent crafts</x:v>
      </x:c>
      <x:c r="B12" s="32" t="str">
        <x:v>2 active crafts per account.</x:v>
      </x:c>
    </x:row>
    <x:row r="13">
      <x:c r="A13" s="33" t="str">
        <x:v>Queue</x:v>
      </x:c>
      <x:c r="B13" s="34" t="str">
        <x:v>Up to 3 additional crafts queued.</x:v>
      </x:c>
    </x:row>
    <x:row r="14">
      <x:c r="A14" s="33" t="str">
        <x:v>Timer</x:v>
      </x:c>
      <x:c r="B14" s="34" t="str">
        <x:v>Server UTC; continues while offline.</x:v>
      </x:c>
    </x:row>
    <x:row r="15">
      <x:c r="A15" s="33" t="str">
        <x:v>Speed-up</x:v>
      </x:c>
      <x:c r="B15" s="34" t="str">
        <x:v>No real-money, $PLOT or ad-based speed-up.</x:v>
      </x:c>
    </x:row>
    <x:row r="16">
      <x:c r="A16" s="33" t="str">
        <x:v>Cancellation</x:v>
      </x:c>
      <x:c r="B16" s="34" t="str">
        <x:v>Before 10% completion: full Parts refund. After 10%: 80% Parts refund.</x:v>
      </x:c>
    </x:row>
    <x:row r="17">
      <x:c r="A17" s="33" t="str">
        <x:v>Completion</x:v>
      </x:c>
      <x:c r="B17" s="34" t="str">
        <x:v>Finished Module automatically enters inventory.</x:v>
      </x:c>
    </x:row>
    <x:row r="18">
      <x:c r="A18" s="35" t="str">
        <x:v>Legendary crafting</x:v>
      </x:c>
      <x:c r="B18" s="37" t="str">
        <x:v>Requires compatible Mastery IV/V gate even with enough Parts.</x:v>
      </x:c>
    </x:row>
  </x:sheetData>
  <x:mergeCells>
    <x:mergeCell ref="A1:P1"/>
    <x:mergeCell ref="A10:P1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</x:cols>
  <x:sheetData>
    <x:row r="1" ht="30" customHeight="1">
      <x:c r="A1" s="86" t="str">
        <x:v>Acquisition Model — System-Level Odds</x:v>
      </x:c>
      <x:c r="B1" s="86"/>
      <x:c r="C1" s="86"/>
      <x:c r="D1" s="86"/>
      <x:c r="E1" s="86"/>
      <x:c r="F1" s="86"/>
      <x:c r="G1" s="86"/>
      <x:c r="H1" s="86"/>
      <x:c r="I1" s="86"/>
      <x:c r="J1" s="86"/>
      <x:c r="K1" s="86"/>
      <x:c r="L1" s="86"/>
      <x:c r="M1" s="86"/>
      <x:c r="N1" s="86"/>
      <x:c r="O1" s="86"/>
      <x:c r="P1" s="86"/>
      <x:c r="Q1" s="22"/>
      <x:c r="R1" s="22"/>
      <x:c r="S1" s="22"/>
      <x:c r="T1" s="22"/>
      <x:c r="U1" s="22"/>
      <x:c r="V1" s="22"/>
      <x:c r="W1" s="22"/>
      <x:c r="X1" s="22"/>
    </x:row>
    <x:row r="3" ht="22" customHeight="1">
      <x:c r="A3" s="11" t="str">
        <x:v>Market Hunt Module Roll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</x:row>
    <x:row r="4">
      <x:c r="A4" s="14" t="str">
        <x:v>Hunt Difficulty</x:v>
      </x:c>
      <x:c r="B4" s="14" t="str">
        <x:v>Module Roll Chance</x:v>
      </x:c>
      <x:c r="C4" s="14" t="str">
        <x:v>Common</x:v>
      </x:c>
      <x:c r="D4" s="14" t="str">
        <x:v>Uncommon</x:v>
      </x:c>
      <x:c r="E4" s="14" t="str">
        <x:v>Rare</x:v>
      </x:c>
      <x:c r="F4" s="14" t="str">
        <x:v>Epic</x:v>
      </x:c>
      <x:c r="G4" s="14" t="str">
        <x:v>Legendary</x:v>
      </x:c>
      <x:c r="I4" s="14" t="str">
        <x:v>Rarity</x:v>
      </x:c>
      <x:c r="J4" s="14" t="str">
        <x:v>Pool Count</x:v>
      </x:c>
      <x:c r="K4" s="14" t="str">
        <x:v>Easy per Module</x:v>
      </x:c>
      <x:c r="L4" s="14" t="str">
        <x:v>Standard per Module</x:v>
      </x:c>
      <x:c r="M4" s="14" t="str">
        <x:v>Hard per Module</x:v>
      </x:c>
      <x:c r="N4" s="14" t="str">
        <x:v>Elite per Module</x:v>
      </x:c>
    </x:row>
    <x:row r="5">
      <x:c r="A5" s="30" t="str">
        <x:v>Easy</x:v>
      </x:c>
      <x:c r="B5" s="54" t="n">
        <x:v>0.05</x:v>
      </x:c>
      <x:c r="C5" s="54" t="n">
        <x:v>0.85</x:v>
      </x:c>
      <x:c r="D5" s="54" t="n">
        <x:v>0.15</x:v>
      </x:c>
      <x:c r="E5" s="54" t="n">
        <x:v>0</x:v>
      </x:c>
      <x:c r="F5" s="54" t="n">
        <x:v>0</x:v>
      </x:c>
      <x:c r="G5" s="55" t="n">
        <x:v>0</x:v>
      </x:c>
      <x:c r="I5" s="30" t="str">
        <x:v>Common</x:v>
      </x:c>
      <x:c r="J5" s="31" t="n">
        <x:v>30</x:v>
      </x:c>
      <x:c r="K5" s="66" t="n">
        <x:f>$B$5*$C$5/J5</x:f>
        <x:v>0.0014166666666666668</x:v>
      </x:c>
      <x:c r="L5" s="66" t="n">
        <x:f>$B$6*$C$6/J5</x:f>
        <x:v>0.0021666666666666666</x:v>
      </x:c>
      <x:c r="M5" s="66" t="n">
        <x:f>$B$7*$C$7/J5</x:f>
        <x:v>0.0021</x:v>
      </x:c>
      <x:c r="N5" s="67" t="n">
        <x:f>$B$8*$C$8/J5</x:f>
        <x:v>0.0014</x:v>
      </x:c>
    </x:row>
    <x:row r="6">
      <x:c r="A6" s="33" t="str">
        <x:v>Standard</x:v>
      </x:c>
      <x:c r="B6" s="56" t="n">
        <x:v>0.1</x:v>
      </x:c>
      <x:c r="C6" s="56" t="n">
        <x:v>0.65</x:v>
      </x:c>
      <x:c r="D6" s="56" t="n">
        <x:v>0.3</x:v>
      </x:c>
      <x:c r="E6" s="56" t="n">
        <x:v>0.05</x:v>
      </x:c>
      <x:c r="F6" s="56" t="n">
        <x:v>0</x:v>
      </x:c>
      <x:c r="G6" s="57" t="n">
        <x:v>0</x:v>
      </x:c>
      <x:c r="I6" s="33" t="str">
        <x:v>Uncommon</x:v>
      </x:c>
      <x:c r="J6" s="22" t="n">
        <x:v>25</x:v>
      </x:c>
      <x:c r="K6" s="68" t="n">
        <x:f>$B$5*$D$5/J6</x:f>
        <x:v>0.0003</x:v>
      </x:c>
      <x:c r="L6" s="68" t="n">
        <x:f>$B$6*$D$6/J6</x:f>
        <x:v>0.0012</x:v>
      </x:c>
      <x:c r="M6" s="68" t="n">
        <x:f>$B$7*$D$7/J6</x:f>
        <x:v>0.0032400000000000003</x:v>
      </x:c>
      <x:c r="N6" s="69" t="n">
        <x:f>$B$8*$D$8/J6</x:f>
        <x:v>0.00392</x:v>
      </x:c>
    </x:row>
    <x:row r="7">
      <x:c r="A7" s="33" t="str">
        <x:v>Hard</x:v>
      </x:c>
      <x:c r="B7" s="56" t="n">
        <x:v>0.18</x:v>
      </x:c>
      <x:c r="C7" s="56" t="n">
        <x:v>0.35</x:v>
      </x:c>
      <x:c r="D7" s="56" t="n">
        <x:v>0.45</x:v>
      </x:c>
      <x:c r="E7" s="56" t="n">
        <x:v>0.18</x:v>
      </x:c>
      <x:c r="F7" s="56" t="n">
        <x:v>0.02</x:v>
      </x:c>
      <x:c r="G7" s="57" t="n">
        <x:v>0</x:v>
      </x:c>
      <x:c r="I7" s="33" t="str">
        <x:v>Rare</x:v>
      </x:c>
      <x:c r="J7" s="22" t="n">
        <x:v>20</x:v>
      </x:c>
      <x:c r="K7" s="68" t="n">
        <x:f>$B$5*$E$5/J7</x:f>
        <x:v>0</x:v>
      </x:c>
      <x:c r="L7" s="68" t="n">
        <x:f>$B$6*$E$6/J7</x:f>
        <x:v>0.00025000000000000006</x:v>
      </x:c>
      <x:c r="M7" s="68" t="n">
        <x:f>$B$7*$E$7/J7</x:f>
        <x:v>0.00162</x:v>
      </x:c>
      <x:c r="N7" s="69" t="n">
        <x:f>$B$8*$E$8/J7</x:f>
        <x:v>0.005600000000000001</x:v>
      </x:c>
    </x:row>
    <x:row r="8">
      <x:c r="A8" s="33" t="str">
        <x:v>Elite</x:v>
      </x:c>
      <x:c r="B8" s="56" t="n">
        <x:v>0.28</x:v>
      </x:c>
      <x:c r="C8" s="56" t="n">
        <x:v>0.15</x:v>
      </x:c>
      <x:c r="D8" s="56" t="n">
        <x:v>0.35</x:v>
      </x:c>
      <x:c r="E8" s="56" t="n">
        <x:v>0.4</x:v>
      </x:c>
      <x:c r="F8" s="56" t="n">
        <x:v>0.09</x:v>
      </x:c>
      <x:c r="G8" s="57" t="n">
        <x:v>0.01</x:v>
      </x:c>
      <x:c r="I8" s="33" t="str">
        <x:v>Epic</x:v>
      </x:c>
      <x:c r="J8" s="22" t="n">
        <x:v>15</x:v>
      </x:c>
      <x:c r="K8" s="68" t="n">
        <x:f>$B$5*$F$5/J8</x:f>
        <x:v>0</x:v>
      </x:c>
      <x:c r="L8" s="68" t="n">
        <x:f>$B$6*$F$6/J8</x:f>
        <x:v>0</x:v>
      </x:c>
      <x:c r="M8" s="68" t="n">
        <x:f>$B$7*$F$7/J8</x:f>
        <x:v>0.00024</x:v>
      </x:c>
      <x:c r="N8" s="69" t="n">
        <x:f>$B$8*$F$8/J8</x:f>
        <x:v>0.00168</x:v>
      </x:c>
    </x:row>
    <x:row r="9">
      <x:c r="A9" s="35" t="str">
        <x:v>Jackpot</x:v>
      </x:c>
      <x:c r="B9" s="58" t="n">
        <x:v>0.45</x:v>
      </x:c>
      <x:c r="C9" s="58" t="n">
        <x:v>0.05</x:v>
      </x:c>
      <x:c r="D9" s="58" t="n">
        <x:v>0.2</x:v>
      </x:c>
      <x:c r="E9" s="58" t="n">
        <x:v>0.45</x:v>
      </x:c>
      <x:c r="F9" s="58" t="n">
        <x:v>0.25</x:v>
      </x:c>
      <x:c r="G9" s="59" t="n">
        <x:v>0.05</x:v>
      </x:c>
      <x:c r="I9" s="35" t="str">
        <x:v>Legendary</x:v>
      </x:c>
      <x:c r="J9" s="36" t="n">
        <x:v>10</x:v>
      </x:c>
      <x:c r="K9" s="70" t="n">
        <x:f>$B$5*$G$5/J9</x:f>
        <x:v>0</x:v>
      </x:c>
      <x:c r="L9" s="70" t="n">
        <x:f>$B$6*$G$6/J9</x:f>
        <x:v>0</x:v>
      </x:c>
      <x:c r="M9" s="70" t="n">
        <x:f>$B$7*$G$7/J9</x:f>
        <x:v>0</x:v>
      </x:c>
      <x:c r="N9" s="71" t="n">
        <x:f>$B$8*$G$8/J9</x:f>
        <x:v>0.00028000000000000003</x:v>
      </x:c>
    </x:row>
    <x:row r="11" ht="22" customHeight="1">
      <x:c r="A11" s="11" t="str">
        <x:v>Jackpot + Family Bias</x:v>
      </x:c>
      <x:c r="B11" s="11"/>
      <x:c r="C11" s="11"/>
      <x:c r="D11" s="11"/>
      <x:c r="E11" s="11"/>
      <x:c r="F11" s="11"/>
      <x:c r="G11" s="11"/>
      <x:c r="H11" s="11"/>
      <x:c r="I11" s="11"/>
      <x:c r="J11" s="11"/>
      <x:c r="K11" s="11"/>
      <x:c r="L11" s="11"/>
      <x:c r="M11" s="11"/>
      <x:c r="N11" s="11"/>
      <x:c r="O11" s="11"/>
      <x:c r="P11" s="11"/>
    </x:row>
    <x:row r="12">
      <x:c r="I12" s="14" t="str">
        <x:v>Rarity</x:v>
      </x:c>
      <x:c r="J12" s="14" t="str">
        <x:v>Jackpot per Module</x:v>
      </x:c>
      <x:c r="K12" s="14" t="str">
        <x:v>Family-Match Weight</x:v>
      </x:c>
      <x:c r="L12" s="14" t="str">
        <x:v>Interpretation</x:v>
      </x:c>
    </x:row>
    <x:row r="13">
      <x:c r="I13" s="30" t="str">
        <x:v>Common</x:v>
      </x:c>
      <x:c r="J13" s="66" t="n">
        <x:f>$B$9*$C$9/30</x:f>
        <x:v>0.0007500000000000001</x:v>
      </x:c>
      <x:c r="K13" s="31" t="n">
        <x:v>3</x:v>
      </x:c>
      <x:c r="L13" s="32" t="str">
        <x:v>Global-pool chance; compatible-family Modules receive 3× selection weight inside the rolled rarity pool.</x:v>
      </x:c>
    </x:row>
    <x:row r="14">
      <x:c r="I14" s="33" t="str">
        <x:v>Uncommon</x:v>
      </x:c>
      <x:c r="J14" s="68" t="n">
        <x:f>$B$9*$D$9/25</x:f>
        <x:v>0.0036000000000000003</x:v>
      </x:c>
      <x:c r="K14" s="22" t="n">
        <x:v>3</x:v>
      </x:c>
      <x:c r="L14" s="34" t="str">
        <x:v>Global-pool chance; compatible-family Modules receive 3× selection weight inside the rolled rarity pool.</x:v>
      </x:c>
    </x:row>
    <x:row r="15">
      <x:c r="I15" s="33" t="str">
        <x:v>Rare</x:v>
      </x:c>
      <x:c r="J15" s="68" t="n">
        <x:f>$B$9*$E$9/20</x:f>
        <x:v>0.010125</x:v>
      </x:c>
      <x:c r="K15" s="22" t="n">
        <x:v>3</x:v>
      </x:c>
      <x:c r="L15" s="34" t="str">
        <x:v>Global-pool chance; compatible-family Modules receive 3× selection weight inside the rolled rarity pool.</x:v>
      </x:c>
    </x:row>
    <x:row r="16">
      <x:c r="I16" s="33" t="str">
        <x:v>Epic</x:v>
      </x:c>
      <x:c r="J16" s="68" t="n">
        <x:f>$B$9*$F$9/15</x:f>
        <x:v>0.007500000000000001</x:v>
      </x:c>
      <x:c r="K16" s="22" t="n">
        <x:v>3</x:v>
      </x:c>
      <x:c r="L16" s="34" t="str">
        <x:v>Global-pool chance; compatible-family Modules receive 3× selection weight inside the rolled rarity pool.</x:v>
      </x:c>
    </x:row>
    <x:row r="17">
      <x:c r="I17" s="35" t="str">
        <x:v>Legendary</x:v>
      </x:c>
      <x:c r="J17" s="70" t="n">
        <x:f>$B$9*$G$9/10</x:f>
        <x:v>0.0022500000000000003</x:v>
      </x:c>
      <x:c r="K17" s="36" t="n">
        <x:v>3</x:v>
      </x:c>
      <x:c r="L17" s="37" t="str">
        <x:v>Global-pool chance; compatible-family Modules receive 3× selection weight inside the rolled rarity pool.</x:v>
      </x:c>
    </x:row>
    <x:row r="19" ht="22" customHeight="1">
      <x:c r="A19" s="11" t="str">
        <x:v>Earned Pack Rarity Odds per Roll</x:v>
      </x:c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  <x:c r="L19" s="11"/>
      <x:c r="M19" s="11"/>
      <x:c r="N19" s="11"/>
      <x:c r="O19" s="11"/>
      <x:c r="P19" s="11"/>
    </x:row>
    <x:row r="20">
      <x:c r="A20" s="14" t="str">
        <x:v>Pack</x:v>
      </x:c>
      <x:c r="B20" s="14" t="str">
        <x:v>Rolls</x:v>
      </x:c>
      <x:c r="C20" s="14" t="str">
        <x:v>Common</x:v>
      </x:c>
      <x:c r="D20" s="14" t="str">
        <x:v>Uncommon</x:v>
      </x:c>
      <x:c r="E20" s="14" t="str">
        <x:v>Rare</x:v>
      </x:c>
      <x:c r="F20" s="14" t="str">
        <x:v>Epic</x:v>
      </x:c>
      <x:c r="G20" s="14" t="str">
        <x:v>Legendary</x:v>
      </x:c>
    </x:row>
    <x:row r="21">
      <x:c r="A21" s="30" t="str">
        <x:v>Basic Earned Module Pack</x:v>
      </x:c>
      <x:c r="B21" s="31" t="n">
        <x:v>3</x:v>
      </x:c>
      <x:c r="C21" s="54" t="n">
        <x:v>0.55</x:v>
      </x:c>
      <x:c r="D21" s="54" t="n">
        <x:v>0.38</x:v>
      </x:c>
      <x:c r="E21" s="54" t="n">
        <x:v>0.07</x:v>
      </x:c>
      <x:c r="F21" s="54" t="n">
        <x:v>0</x:v>
      </x:c>
      <x:c r="G21" s="55" t="n">
        <x:v>0</x:v>
      </x:c>
    </x:row>
    <x:row r="22">
      <x:c r="A22" s="33" t="str">
        <x:v>Advanced Earned Module Pack</x:v>
      </x:c>
      <x:c r="B22" s="22" t="n">
        <x:v>4</x:v>
      </x:c>
      <x:c r="C22" s="56" t="n">
        <x:v>0.15</x:v>
      </x:c>
      <x:c r="D22" s="56" t="n">
        <x:v>0.45</x:v>
      </x:c>
      <x:c r="E22" s="56" t="n">
        <x:v>0.35</x:v>
      </x:c>
      <x:c r="F22" s="56" t="n">
        <x:v>0.05</x:v>
      </x:c>
      <x:c r="G22" s="57" t="n">
        <x:v>0</x:v>
      </x:c>
    </x:row>
    <x:row r="23">
      <x:c r="A23" s="33" t="str">
        <x:v>Prestige Earned Module Pack</x:v>
      </x:c>
      <x:c r="B23" s="22" t="n">
        <x:v>4</x:v>
      </x:c>
      <x:c r="C23" s="56" t="n">
        <x:v>0.05</x:v>
      </x:c>
      <x:c r="D23" s="56" t="n">
        <x:v>0.2</x:v>
      </x:c>
      <x:c r="E23" s="56" t="n">
        <x:v>0.45</x:v>
      </x:c>
      <x:c r="F23" s="56" t="n">
        <x:v>0.28</x:v>
      </x:c>
      <x:c r="G23" s="57" t="n">
        <x:v>0.02</x:v>
      </x:c>
    </x:row>
    <x:row r="24">
      <x:c r="A24" s="35" t="str">
        <x:v>Cash Module Pack (in-game Cash)</x:v>
      </x:c>
      <x:c r="B24" s="36" t="n">
        <x:v>3</x:v>
      </x:c>
      <x:c r="C24" s="58" t="n">
        <x:v>0.45</x:v>
      </x:c>
      <x:c r="D24" s="58" t="n">
        <x:v>0.45</x:v>
      </x:c>
      <x:c r="E24" s="58" t="n">
        <x:v>0.1</x:v>
      </x:c>
      <x:c r="F24" s="58" t="n">
        <x:v>0</x:v>
      </x:c>
      <x:c r="G24" s="59" t="n">
        <x:v>0</x:v>
      </x:c>
    </x:row>
    <x:row r="26" ht="22" customHeight="1">
      <x:c r="A26" s="11" t="str">
        <x:v>Event Module Reward Model</x:v>
      </x:c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</x:row>
    <x:row r="27">
      <x:c r="A27" s="14" t="str">
        <x:v>Event Tier</x:v>
      </x:c>
      <x:c r="B27" s="14" t="str">
        <x:v>Module Reward Chance</x:v>
      </x:c>
      <x:c r="C27" s="14" t="str">
        <x:v>Common</x:v>
      </x:c>
      <x:c r="D27" s="14" t="str">
        <x:v>Uncommon</x:v>
      </x:c>
      <x:c r="E27" s="14" t="str">
        <x:v>Rare</x:v>
      </x:c>
      <x:c r="F27" s="14" t="str">
        <x:v>Epic</x:v>
      </x:c>
      <x:c r="G27" s="14" t="str">
        <x:v>Legendary</x:v>
      </x:c>
    </x:row>
    <x:row r="28">
      <x:c r="A28" s="30" t="str">
        <x:v>Minor</x:v>
      </x:c>
      <x:c r="B28" s="54" t="n">
        <x:v>0.05</x:v>
      </x:c>
      <x:c r="C28" s="54" t="n">
        <x:v>0.8</x:v>
      </x:c>
      <x:c r="D28" s="54" t="n">
        <x:v>0.2</x:v>
      </x:c>
      <x:c r="E28" s="54" t="n">
        <x:v>0</x:v>
      </x:c>
      <x:c r="F28" s="54" t="n">
        <x:v>0</x:v>
      </x:c>
      <x:c r="G28" s="55" t="n">
        <x:v>0</x:v>
      </x:c>
    </x:row>
    <x:row r="29">
      <x:c r="A29" s="33" t="str">
        <x:v>Standard</x:v>
      </x:c>
      <x:c r="B29" s="56" t="n">
        <x:v>0.12</x:v>
      </x:c>
      <x:c r="C29" s="56" t="n">
        <x:v>0.5</x:v>
      </x:c>
      <x:c r="D29" s="56" t="n">
        <x:v>0.4</x:v>
      </x:c>
      <x:c r="E29" s="56" t="n">
        <x:v>0.1</x:v>
      </x:c>
      <x:c r="F29" s="56" t="n">
        <x:v>0</x:v>
      </x:c>
      <x:c r="G29" s="57" t="n">
        <x:v>0</x:v>
      </x:c>
    </x:row>
    <x:row r="30">
      <x:c r="A30" s="33" t="str">
        <x:v>Major</x:v>
      </x:c>
      <x:c r="B30" s="56" t="n">
        <x:v>0.2</x:v>
      </x:c>
      <x:c r="C30" s="56" t="n">
        <x:v>0.15</x:v>
      </x:c>
      <x:c r="D30" s="56" t="n">
        <x:v>0.35</x:v>
      </x:c>
      <x:c r="E30" s="56" t="n">
        <x:v>0.4</x:v>
      </x:c>
      <x:c r="F30" s="56" t="n">
        <x:v>0.1</x:v>
      </x:c>
      <x:c r="G30" s="57" t="n">
        <x:v>0</x:v>
      </x:c>
    </x:row>
    <x:row r="31">
      <x:c r="A31" s="33" t="str">
        <x:v>Seasonal/Summit</x:v>
      </x:c>
      <x:c r="B31" s="56" t="n">
        <x:v>0.25</x:v>
      </x:c>
      <x:c r="C31" s="56" t="n">
        <x:v>0.05</x:v>
      </x:c>
      <x:c r="D31" s="56" t="n">
        <x:v>0.2</x:v>
      </x:c>
      <x:c r="E31" s="56" t="n">
        <x:v>0.45</x:v>
      </x:c>
      <x:c r="F31" s="56" t="n">
        <x:v>0.28</x:v>
      </x:c>
      <x:c r="G31" s="57" t="n">
        <x:v>0.02</x:v>
      </x:c>
    </x:row>
    <x:row r="32">
      <x:c r="A32" s="35" t="str">
        <x:v>Crisis Resolution</x:v>
      </x:c>
      <x:c r="B32" s="58" t="n">
        <x:v>0.18</x:v>
      </x:c>
      <x:c r="C32" s="58" t="n">
        <x:v>0.2</x:v>
      </x:c>
      <x:c r="D32" s="58" t="n">
        <x:v>0.35</x:v>
      </x:c>
      <x:c r="E32" s="58" t="n">
        <x:v>0.35</x:v>
      </x:c>
      <x:c r="F32" s="58" t="n">
        <x:v>0.1</x:v>
      </x:c>
      <x:c r="G32" s="59" t="n">
        <x:v>0</x:v>
      </x:c>
    </x:row>
  </x:sheetData>
  <x:mergeCells>
    <x:mergeCell ref="A1:P1"/>
    <x:mergeCell ref="A3:P3"/>
    <x:mergeCell ref="A11:P11"/>
    <x:mergeCell ref="A19:P19"/>
    <x:mergeCell ref="A26:P2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18" hidden="0" customWidth="1"/>
    <x:col min="4" max="4" width="18" hidden="0" customWidth="1"/>
    <x:col min="5" max="5" width="32" hidden="0" customWidth="1"/>
    <x:col min="6" max="6" width="32" hidden="0" customWidth="1"/>
    <x:col min="7" max="7" width="32" hidden="0" customWidth="1"/>
    <x:col min="8" max="8" width="32" hidden="0" customWidth="1"/>
    <x:col min="9" max="9" width="18" hidden="0" customWidth="1"/>
    <x:col min="10" max="10" width="1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</x:cols>
  <x:sheetData>
    <x:row r="1" ht="30" customHeight="1">
      <x:c r="A1" s="86" t="str">
        <x:v>Full Canonical Module Catalog — 100 Modules</x:v>
      </x:c>
      <x:c r="B1" s="86"/>
      <x:c r="C1" s="86"/>
      <x:c r="D1" s="86"/>
      <x:c r="E1" s="86"/>
      <x:c r="F1" s="86"/>
      <x:c r="G1" s="86"/>
      <x:c r="H1" s="86"/>
      <x:c r="I1" s="86"/>
      <x:c r="J1" s="86"/>
      <x:c r="K1" s="86"/>
      <x:c r="L1" s="86"/>
      <x:c r="M1" s="86"/>
      <x:c r="N1" s="86"/>
      <x:c r="O1" s="86"/>
      <x:c r="P1" s="86"/>
      <x:c r="Q1" s="86"/>
      <x:c r="R1" s="86"/>
      <x:c r="S1" s="86"/>
      <x:c r="T1" s="86"/>
      <x:c r="U1" s="86"/>
      <x:c r="V1" s="86"/>
      <x:c r="W1" s="86"/>
      <x:c r="X1" s="86"/>
    </x:row>
    <x:row r="3">
      <x:c r="A3" s="14" t="str">
        <x:v>Module ID</x:v>
      </x:c>
      <x:c r="B3" s="14" t="str">
        <x:v>Module Name</x:v>
      </x:c>
      <x:c r="C3" s="14" t="str">
        <x:v>Rarity</x:v>
      </x:c>
      <x:c r="D3" s="14" t="str">
        <x:v>Category</x:v>
      </x:c>
      <x:c r="E3" s="14" t="str">
        <x:v>Compatible Building Families</x:v>
      </x:c>
      <x:c r="F3" s="14" t="str">
        <x:v>Primary Power</x:v>
      </x:c>
      <x:c r="G3" s="14" t="str">
        <x:v>Secondary Power / Tradeoff</x:v>
      </x:c>
      <x:c r="H3" s="14" t="str">
        <x:v>Activation Condition</x:v>
      </x:c>
      <x:c r="I3" s="14" t="str">
        <x:v>Stacking Group</x:v>
      </x:c>
      <x:c r="J3" s="14" t="str">
        <x:v>Stage Gate</x:v>
      </x:c>
      <x:c r="K3" s="14" t="str">
        <x:v>Guaranteed Acquisition</x:v>
      </x:c>
      <x:c r="L3" s="14" t="str">
        <x:v>Minimum Hunt</x:v>
      </x:c>
      <x:c r="M3" s="14" t="str">
        <x:v>Dedicated Event / Themed Source</x:v>
      </x:c>
      <x:c r="N3" s="14" t="str">
        <x:v>Earned Pack Source</x:v>
      </x:c>
      <x:c r="O3" s="14" t="str">
        <x:v>In-Game Cash Pack?</x:v>
      </x:c>
      <x:c r="P3" s="14" t="str">
        <x:v>Craft Parts</x:v>
      </x:c>
      <x:c r="Q3" s="14" t="str">
        <x:v>Craft Cost</x:v>
      </x:c>
      <x:c r="R3" s="14" t="str">
        <x:v>Craft Time (min)</x:v>
      </x:c>
      <x:c r="S3" s="14" t="str">
        <x:v>Craft Time</x:v>
      </x:c>
      <x:c r="T3" s="14" t="str">
        <x:v>Dismantle Parts</x:v>
      </x:c>
      <x:c r="U3" s="14" t="str">
        <x:v>Gameplay Role</x:v>
      </x:c>
      <x:c r="V3" s="14" t="str">
        <x:v>Direct Performance?</x:v>
      </x:c>
      <x:c r="W3" s="14" t="str">
        <x:v>Direct $PLOT?</x:v>
      </x:c>
      <x:c r="X3" s="14" t="str">
        <x:v>Implementation Notes</x:v>
      </x:c>
    </x:row>
    <x:row r="4">
      <x:c r="A4" s="30" t="str">
        <x:v>mod_customer_signage</x:v>
      </x:c>
      <x:c r="B4" s="31" t="str">
        <x:v>Customer Signage</x:v>
      </x:c>
      <x:c r="C4" s="31" t="str">
        <x:v>Common</x:v>
      </x:c>
      <x:c r="D4" s="31" t="str">
        <x:v>Customer</x:v>
      </x:c>
      <x:c r="E4" s="31" t="str">
        <x:v>Cash Services, Banking, Lending, Brokerage, Insurance, Advisory, Wealth</x:v>
      </x:c>
      <x:c r="F4" s="31" t="str">
        <x:v>+4% customer acquisition</x:v>
      </x:c>
      <x:c r="G4" s="31" t="str"/>
      <x:c r="H4" s="31" t="str"/>
      <x:c r="I4" s="31" t="str">
        <x:v>customer</x:v>
      </x:c>
      <x:c r="J4" s="31" t="str">
        <x:v>Humble</x:v>
      </x:c>
      <x:c r="K4" s="31" t="str">
        <x:v>Mastery I — choose from compatible family pool</x:v>
      </x:c>
      <x:c r="L4" s="31" t="str">
        <x:v>Easy</x:v>
      </x:c>
      <x:c r="M4" s="31" t="str">
        <x:v>Earnings Season</x:v>
      </x:c>
      <x:c r="N4" s="31" t="str">
        <x:v>Basic Earned Pack</x:v>
      </x:c>
      <x:c r="O4" s="31" t="str">
        <x:v>Yes</x:v>
      </x:c>
      <x:c r="P4" s="31" t="str">
        <x:v>Common Parts</x:v>
      </x:c>
      <x:c r="Q4" s="78" t="n">
        <x:v>25</x:v>
      </x:c>
      <x:c r="R4" s="78" t="n">
        <x:v>0</x:v>
      </x:c>
      <x:c r="S4" s="78" t="str">
        <x:v>Instant</x:v>
      </x:c>
      <x:c r="T4" s="78" t="n">
        <x:v>5</x:v>
      </x:c>
      <x:c r="U4" s="31" t="str">
        <x:v>Basic acquisition</x:v>
      </x:c>
      <x:c r="V4" s="31" t="str">
        <x:v>No</x:v>
      </x:c>
      <x:c r="W4" s="31" t="str">
        <x:v>No</x:v>
      </x:c>
      <x:c r="X4" s="32" t="str">
        <x:v>Server-authoritative config; effects subject to stacking and hard caps.</x:v>
      </x:c>
    </x:row>
    <x:row r="5">
      <x:c r="A5" s="33" t="str">
        <x:v>mod_queue_optimizer</x:v>
      </x:c>
      <x:c r="B5" s="22" t="str">
        <x:v>Queue Optimizer</x:v>
      </x:c>
      <x:c r="C5" s="22" t="str">
        <x:v>Common</x:v>
      </x:c>
      <x:c r="D5" s="22" t="str">
        <x:v>Operations</x:v>
      </x:c>
      <x:c r="E5" s="22" t="str">
        <x:v>All</x:v>
      </x:c>
      <x:c r="F5" s="22" t="str">
        <x:v>+5% capacity</x:v>
      </x:c>
      <x:c r="G5" s="22" t="str"/>
      <x:c r="H5" s="22" t="str"/>
      <x:c r="I5" s="22" t="str">
        <x:v>operations</x:v>
      </x:c>
      <x:c r="J5" s="22" t="str">
        <x:v>Humble</x:v>
      </x:c>
      <x:c r="K5" s="22" t="str">
        <x:v>Mastery I — choose from compatible family pool</x:v>
      </x:c>
      <x:c r="L5" s="22" t="str">
        <x:v>Easy</x:v>
      </x:c>
      <x:c r="M5" s="22" t="str">
        <x:v>Regulatory Approval</x:v>
      </x:c>
      <x:c r="N5" s="22" t="str">
        <x:v>Basic Earned Pack</x:v>
      </x:c>
      <x:c r="O5" s="22" t="str">
        <x:v>Yes</x:v>
      </x:c>
      <x:c r="P5" s="22" t="str">
        <x:v>Common Parts</x:v>
      </x:c>
      <x:c r="Q5" s="79" t="n">
        <x:v>25</x:v>
      </x:c>
      <x:c r="R5" s="79" t="n">
        <x:v>0</x:v>
      </x:c>
      <x:c r="S5" s="79" t="str">
        <x:v>Instant</x:v>
      </x:c>
      <x:c r="T5" s="79" t="n">
        <x:v>5</x:v>
      </x:c>
      <x:c r="U5" s="22" t="str">
        <x:v>Capacity</x:v>
      </x:c>
      <x:c r="V5" s="22" t="str">
        <x:v>No</x:v>
      </x:c>
      <x:c r="W5" s="22" t="str">
        <x:v>No</x:v>
      </x:c>
      <x:c r="X5" s="34" t="str">
        <x:v>Server-authoritative config; effects subject to stacking and hard caps.</x:v>
      </x:c>
    </x:row>
    <x:row r="6">
      <x:c r="A6" s="33" t="str">
        <x:v>mod_service_playbook</x:v>
      </x:c>
      <x:c r="B6" s="22" t="str">
        <x:v>Service Playbook</x:v>
      </x:c>
      <x:c r="C6" s="22" t="str">
        <x:v>Common</x:v>
      </x:c>
      <x:c r="D6" s="22" t="str">
        <x:v>Service</x:v>
      </x:c>
      <x:c r="E6" s="22" t="str">
        <x:v>All customer-facing</x:v>
      </x:c>
      <x:c r="F6" s="22" t="str">
        <x:v>+3 Service Quality</x:v>
      </x:c>
      <x:c r="G6" s="22" t="str"/>
      <x:c r="H6" s="22" t="str"/>
      <x:c r="I6" s="22" t="str">
        <x:v>service</x:v>
      </x:c>
      <x:c r="J6" s="22" t="str">
        <x:v>Humble</x:v>
      </x:c>
      <x:c r="K6" s="22" t="str">
        <x:v>Mastery I — choose from compatible family pool</x:v>
      </x:c>
      <x:c r="L6" s="22" t="str">
        <x:v>Easy</x:v>
      </x:c>
      <x:c r="M6" s="22" t="str">
        <x:v>Earnings Season</x:v>
      </x:c>
      <x:c r="N6" s="22" t="str">
        <x:v>Basic Earned Pack</x:v>
      </x:c>
      <x:c r="O6" s="22" t="str">
        <x:v>Yes</x:v>
      </x:c>
      <x:c r="P6" s="22" t="str">
        <x:v>Common Parts</x:v>
      </x:c>
      <x:c r="Q6" s="79" t="n">
        <x:v>25</x:v>
      </x:c>
      <x:c r="R6" s="79" t="n">
        <x:v>0</x:v>
      </x:c>
      <x:c r="S6" s="79" t="str">
        <x:v>Instant</x:v>
      </x:c>
      <x:c r="T6" s="79" t="n">
        <x:v>5</x:v>
      </x:c>
      <x:c r="U6" s="22" t="str">
        <x:v>Service</x:v>
      </x:c>
      <x:c r="V6" s="22" t="str">
        <x:v>No</x:v>
      </x:c>
      <x:c r="W6" s="22" t="str">
        <x:v>No</x:v>
      </x:c>
      <x:c r="X6" s="34" t="str">
        <x:v>Server-authoritative config; effects subject to stacking and hard caps.</x:v>
      </x:c>
    </x:row>
    <x:row r="7">
      <x:c r="A7" s="33" t="str">
        <x:v>mod_risk_checklist</x:v>
      </x:c>
      <x:c r="B7" s="22" t="str">
        <x:v>Risk Checklist</x:v>
      </x:c>
      <x:c r="C7" s="22" t="str">
        <x:v>Common</x:v>
      </x:c>
      <x:c r="D7" s="22" t="str">
        <x:v>Risk</x:v>
      </x:c>
      <x:c r="E7" s="22" t="str">
        <x:v>All</x:v>
      </x:c>
      <x:c r="F7" s="22" t="str">
        <x:v>-3 Operational Risk</x:v>
      </x:c>
      <x:c r="G7" s="22" t="str"/>
      <x:c r="H7" s="22" t="str"/>
      <x:c r="I7" s="22" t="str">
        <x:v>risk</x:v>
      </x:c>
      <x:c r="J7" s="22" t="str">
        <x:v>Humble</x:v>
      </x:c>
      <x:c r="K7" s="22" t="str">
        <x:v>Mastery I — choose from compatible family pool</x:v>
      </x:c>
      <x:c r="L7" s="22" t="str">
        <x:v>Easy</x:v>
      </x:c>
      <x:c r="M7" s="22" t="str">
        <x:v>Regulatory Approval</x:v>
      </x:c>
      <x:c r="N7" s="22" t="str">
        <x:v>Basic Earned Pack</x:v>
      </x:c>
      <x:c r="O7" s="22" t="str">
        <x:v>Yes</x:v>
      </x:c>
      <x:c r="P7" s="22" t="str">
        <x:v>Common Parts</x:v>
      </x:c>
      <x:c r="Q7" s="79" t="n">
        <x:v>25</x:v>
      </x:c>
      <x:c r="R7" s="79" t="n">
        <x:v>0</x:v>
      </x:c>
      <x:c r="S7" s="79" t="str">
        <x:v>Instant</x:v>
      </x:c>
      <x:c r="T7" s="79" t="n">
        <x:v>5</x:v>
      </x:c>
      <x:c r="U7" s="22" t="str">
        <x:v>Risk control</x:v>
      </x:c>
      <x:c r="V7" s="22" t="str">
        <x:v>No</x:v>
      </x:c>
      <x:c r="W7" s="22" t="str">
        <x:v>No</x:v>
      </x:c>
      <x:c r="X7" s="34" t="str">
        <x:v>Server-authoritative config; effects subject to stacking and hard caps.</x:v>
      </x:c>
    </x:row>
    <x:row r="8">
      <x:c r="A8" s="33" t="str">
        <x:v>mod_reserve_discipline</x:v>
      </x:c>
      <x:c r="B8" s="22" t="str">
        <x:v>Reserve Discipline</x:v>
      </x:c>
      <x:c r="C8" s="22" t="str">
        <x:v>Common</x:v>
      </x:c>
      <x:c r="D8" s="22" t="str">
        <x:v>Liquidity</x:v>
      </x:c>
      <x:c r="E8" s="22" t="str">
        <x:v>Banking, Treasury, FX, Exchange, Market Making</x:v>
      </x:c>
      <x:c r="F8" s="22" t="str">
        <x:v>-4 Liquidity Risk</x:v>
      </x:c>
      <x:c r="G8" s="22" t="str">
        <x:v>-2% activity efficiency</x:v>
      </x:c>
      <x:c r="H8" s="22" t="str"/>
      <x:c r="I8" s="22" t="str">
        <x:v>liquidity</x:v>
      </x:c>
      <x:c r="J8" s="22" t="str">
        <x:v>Humble</x:v>
      </x:c>
      <x:c r="K8" s="22" t="str">
        <x:v>Mastery I — choose from compatible family pool</x:v>
      </x:c>
      <x:c r="L8" s="22" t="str">
        <x:v>Easy</x:v>
      </x:c>
      <x:c r="M8" s="22" t="str">
        <x:v>Liquidity Crunch</x:v>
      </x:c>
      <x:c r="N8" s="22" t="str">
        <x:v>Basic Earned Pack</x:v>
      </x:c>
      <x:c r="O8" s="22" t="str">
        <x:v>Yes</x:v>
      </x:c>
      <x:c r="P8" s="22" t="str">
        <x:v>Common Parts</x:v>
      </x:c>
      <x:c r="Q8" s="79" t="n">
        <x:v>25</x:v>
      </x:c>
      <x:c r="R8" s="79" t="n">
        <x:v>0</x:v>
      </x:c>
      <x:c r="S8" s="79" t="str">
        <x:v>Instant</x:v>
      </x:c>
      <x:c r="T8" s="79" t="n">
        <x:v>5</x:v>
      </x:c>
      <x:c r="U8" s="22" t="str">
        <x:v>Defensive liquidity</x:v>
      </x:c>
      <x:c r="V8" s="22" t="str">
        <x:v>No</x:v>
      </x:c>
      <x:c r="W8" s="22" t="str">
        <x:v>No</x:v>
      </x:c>
      <x:c r="X8" s="34" t="str">
        <x:v>Server-authoritative config; effects subject to stacking and hard caps.</x:v>
      </x:c>
    </x:row>
    <x:row r="9">
      <x:c r="A9" s="33" t="str">
        <x:v>mod_local_promotions</x:v>
      </x:c>
      <x:c r="B9" s="22" t="str">
        <x:v>Local Promotions</x:v>
      </x:c>
      <x:c r="C9" s="22" t="str">
        <x:v>Common</x:v>
      </x:c>
      <x:c r="D9" s="22" t="str">
        <x:v>Customer</x:v>
      </x:c>
      <x:c r="E9" s="22" t="str">
        <x:v>Cash Services, Banking, Lending, Insurance</x:v>
      </x:c>
      <x:c r="F9" s="22" t="str">
        <x:v>+5% General Consumer acquisition</x:v>
      </x:c>
      <x:c r="G9" s="22" t="str"/>
      <x:c r="H9" s="22" t="str"/>
      <x:c r="I9" s="22" t="str">
        <x:v>customer</x:v>
      </x:c>
      <x:c r="J9" s="22" t="str">
        <x:v>Humble</x:v>
      </x:c>
      <x:c r="K9" s="22" t="str">
        <x:v>Mastery I — choose from compatible family pool</x:v>
      </x:c>
      <x:c r="L9" s="22" t="str">
        <x:v>Easy</x:v>
      </x:c>
      <x:c r="M9" s="22" t="str">
        <x:v>Earnings Season</x:v>
      </x:c>
      <x:c r="N9" s="22" t="str">
        <x:v>Basic Earned Pack</x:v>
      </x:c>
      <x:c r="O9" s="22" t="str">
        <x:v>Yes</x:v>
      </x:c>
      <x:c r="P9" s="22" t="str">
        <x:v>Common Parts</x:v>
      </x:c>
      <x:c r="Q9" s="79" t="n">
        <x:v>25</x:v>
      </x:c>
      <x:c r="R9" s="79" t="n">
        <x:v>0</x:v>
      </x:c>
      <x:c r="S9" s="79" t="str">
        <x:v>Instant</x:v>
      </x:c>
      <x:c r="T9" s="79" t="n">
        <x:v>5</x:v>
      </x:c>
      <x:c r="U9" s="22" t="str">
        <x:v>Consumer growth</x:v>
      </x:c>
      <x:c r="V9" s="22" t="str">
        <x:v>No</x:v>
      </x:c>
      <x:c r="W9" s="22" t="str">
        <x:v>No</x:v>
      </x:c>
      <x:c r="X9" s="34" t="str">
        <x:v>Server-authoritative config; effects subject to stacking and hard caps.</x:v>
      </x:c>
    </x:row>
    <x:row r="10">
      <x:c r="A10" s="33" t="str">
        <x:v>mod_fast_onboarding</x:v>
      </x:c>
      <x:c r="B10" s="22" t="str">
        <x:v>Fast Onboarding</x:v>
      </x:c>
      <x:c r="C10" s="22" t="str">
        <x:v>Common</x:v>
      </x:c>
      <x:c r="D10" s="22" t="str">
        <x:v>Operations</x:v>
      </x:c>
      <x:c r="E10" s="22" t="str">
        <x:v>Banking, Brokerage, Lending, Fintech, Advisory</x:v>
      </x:c>
      <x:c r="F10" s="22" t="str">
        <x:v>+4% customer acquisition</x:v>
      </x:c>
      <x:c r="G10" s="22" t="str">
        <x:v>+2% capacity</x:v>
      </x:c>
      <x:c r="H10" s="22" t="str"/>
      <x:c r="I10" s="22" t="str">
        <x:v>operations</x:v>
      </x:c>
      <x:c r="J10" s="22" t="str">
        <x:v>Humble</x:v>
      </x:c>
      <x:c r="K10" s="22" t="str">
        <x:v>Mastery I — choose from compatible family pool</x:v>
      </x:c>
      <x:c r="L10" s="22" t="str">
        <x:v>Easy</x:v>
      </x:c>
      <x:c r="M10" s="22" t="str">
        <x:v>Regulatory Approval</x:v>
      </x:c>
      <x:c r="N10" s="22" t="str">
        <x:v>Basic Earned Pack</x:v>
      </x:c>
      <x:c r="O10" s="22" t="str">
        <x:v>Yes</x:v>
      </x:c>
      <x:c r="P10" s="22" t="str">
        <x:v>Common Parts</x:v>
      </x:c>
      <x:c r="Q10" s="79" t="n">
        <x:v>25</x:v>
      </x:c>
      <x:c r="R10" s="79" t="n">
        <x:v>0</x:v>
      </x:c>
      <x:c r="S10" s="79" t="str">
        <x:v>Instant</x:v>
      </x:c>
      <x:c r="T10" s="79" t="n">
        <x:v>5</x:v>
      </x:c>
      <x:c r="U10" s="22" t="str">
        <x:v>Onboarding</x:v>
      </x:c>
      <x:c r="V10" s="22" t="str">
        <x:v>No</x:v>
      </x:c>
      <x:c r="W10" s="22" t="str">
        <x:v>No</x:v>
      </x:c>
      <x:c r="X10" s="34" t="str">
        <x:v>Server-authoritative config; effects subject to stacking and hard caps.</x:v>
      </x:c>
    </x:row>
    <x:row r="11">
      <x:c r="A11" s="33" t="str">
        <x:v>mod_basic_crm</x:v>
      </x:c>
      <x:c r="B11" s="22" t="str">
        <x:v>Basic CRM</x:v>
      </x:c>
      <x:c r="C11" s="22" t="str">
        <x:v>Common</x:v>
      </x:c>
      <x:c r="D11" s="22" t="str">
        <x:v>Service</x:v>
      </x:c>
      <x:c r="E11" s="22" t="str">
        <x:v>Banking, Advisory, Wealth, Insurance</x:v>
      </x:c>
      <x:c r="F11" s="22" t="str">
        <x:v>+4% retention</x:v>
      </x:c>
      <x:c r="G11" s="22" t="str"/>
      <x:c r="H11" s="22" t="str"/>
      <x:c r="I11" s="22" t="str">
        <x:v>service</x:v>
      </x:c>
      <x:c r="J11" s="22" t="str">
        <x:v>Humble</x:v>
      </x:c>
      <x:c r="K11" s="22" t="str">
        <x:v>Mastery I — choose from compatible family pool</x:v>
      </x:c>
      <x:c r="L11" s="22" t="str">
        <x:v>Easy</x:v>
      </x:c>
      <x:c r="M11" s="22" t="str">
        <x:v>Earnings Season</x:v>
      </x:c>
      <x:c r="N11" s="22" t="str">
        <x:v>Basic Earned Pack</x:v>
      </x:c>
      <x:c r="O11" s="22" t="str">
        <x:v>Yes</x:v>
      </x:c>
      <x:c r="P11" s="22" t="str">
        <x:v>Common Parts</x:v>
      </x:c>
      <x:c r="Q11" s="79" t="n">
        <x:v>25</x:v>
      </x:c>
      <x:c r="R11" s="79" t="n">
        <x:v>0</x:v>
      </x:c>
      <x:c r="S11" s="79" t="str">
        <x:v>Instant</x:v>
      </x:c>
      <x:c r="T11" s="79" t="n">
        <x:v>5</x:v>
      </x:c>
      <x:c r="U11" s="22" t="str">
        <x:v>Retention</x:v>
      </x:c>
      <x:c r="V11" s="22" t="str">
        <x:v>No</x:v>
      </x:c>
      <x:c r="W11" s="22" t="str">
        <x:v>No</x:v>
      </x:c>
      <x:c r="X11" s="34" t="str">
        <x:v>Server-authoritative config; effects subject to stacking and hard caps.</x:v>
      </x:c>
    </x:row>
    <x:row r="12">
      <x:c r="A12" s="33" t="str">
        <x:v>mod_capacity_planner</x:v>
      </x:c>
      <x:c r="B12" s="22" t="str">
        <x:v>Capacity Planner</x:v>
      </x:c>
      <x:c r="C12" s="22" t="str">
        <x:v>Common</x:v>
      </x:c>
      <x:c r="D12" s="22" t="str">
        <x:v>Operations</x:v>
      </x:c>
      <x:c r="E12" s="22" t="str">
        <x:v>All</x:v>
      </x:c>
      <x:c r="F12" s="22" t="str">
        <x:v>+4% capacity</x:v>
      </x:c>
      <x:c r="G12" s="22" t="str">
        <x:v>-1 Service Quality</x:v>
      </x:c>
      <x:c r="H12" s="22" t="str"/>
      <x:c r="I12" s="22" t="str">
        <x:v>operations</x:v>
      </x:c>
      <x:c r="J12" s="22" t="str">
        <x:v>Humble</x:v>
      </x:c>
      <x:c r="K12" s="22" t="str">
        <x:v>Mastery I — choose from compatible family pool</x:v>
      </x:c>
      <x:c r="L12" s="22" t="str">
        <x:v>Easy</x:v>
      </x:c>
      <x:c r="M12" s="22" t="str">
        <x:v>Generic Module reward pool</x:v>
      </x:c>
      <x:c r="N12" s="22" t="str">
        <x:v>Basic Earned Pack</x:v>
      </x:c>
      <x:c r="O12" s="22" t="str">
        <x:v>Yes</x:v>
      </x:c>
      <x:c r="P12" s="22" t="str">
        <x:v>Common Parts</x:v>
      </x:c>
      <x:c r="Q12" s="79" t="n">
        <x:v>25</x:v>
      </x:c>
      <x:c r="R12" s="79" t="n">
        <x:v>0</x:v>
      </x:c>
      <x:c r="S12" s="79" t="str">
        <x:v>Instant</x:v>
      </x:c>
      <x:c r="T12" s="79" t="n">
        <x:v>5</x:v>
      </x:c>
      <x:c r="U12" s="22" t="str">
        <x:v>Capacity</x:v>
      </x:c>
      <x:c r="V12" s="22" t="str">
        <x:v>No</x:v>
      </x:c>
      <x:c r="W12" s="22" t="str">
        <x:v>No</x:v>
      </x:c>
      <x:c r="X12" s="34" t="str">
        <x:v>Server-authoritative config; effects subject to stacking and hard caps.</x:v>
      </x:c>
    </x:row>
    <x:row r="13">
      <x:c r="A13" s="33" t="str">
        <x:v>mod_shift_scheduler</x:v>
      </x:c>
      <x:c r="B13" s="22" t="str">
        <x:v>Shift Scheduler</x:v>
      </x:c>
      <x:c r="C13" s="22" t="str">
        <x:v>Common</x:v>
      </x:c>
      <x:c r="D13" s="22" t="str">
        <x:v>Operations</x:v>
      </x:c>
      <x:c r="E13" s="22" t="str">
        <x:v>All</x:v>
      </x:c>
      <x:c r="F13" s="22" t="str">
        <x:v>+3% activity efficiency</x:v>
      </x:c>
      <x:c r="G13" s="22" t="str"/>
      <x:c r="H13" s="22" t="str"/>
      <x:c r="I13" s="22" t="str">
        <x:v>operations</x:v>
      </x:c>
      <x:c r="J13" s="22" t="str">
        <x:v>Humble</x:v>
      </x:c>
      <x:c r="K13" s="22" t="str">
        <x:v>Mastery I — choose from compatible family pool</x:v>
      </x:c>
      <x:c r="L13" s="22" t="str">
        <x:v>Easy</x:v>
      </x:c>
      <x:c r="M13" s="22" t="str">
        <x:v>Generic Module reward pool</x:v>
      </x:c>
      <x:c r="N13" s="22" t="str">
        <x:v>Basic Earned Pack</x:v>
      </x:c>
      <x:c r="O13" s="22" t="str">
        <x:v>Yes</x:v>
      </x:c>
      <x:c r="P13" s="22" t="str">
        <x:v>Common Parts</x:v>
      </x:c>
      <x:c r="Q13" s="79" t="n">
        <x:v>25</x:v>
      </x:c>
      <x:c r="R13" s="79" t="n">
        <x:v>0</x:v>
      </x:c>
      <x:c r="S13" s="79" t="str">
        <x:v>Instant</x:v>
      </x:c>
      <x:c r="T13" s="79" t="n">
        <x:v>5</x:v>
      </x:c>
      <x:c r="U13" s="22" t="str">
        <x:v>Operations</x:v>
      </x:c>
      <x:c r="V13" s="22" t="str">
        <x:v>No</x:v>
      </x:c>
      <x:c r="W13" s="22" t="str">
        <x:v>No</x:v>
      </x:c>
      <x:c r="X13" s="34" t="str">
        <x:v>Server-authoritative config; effects subject to stacking and hard caps.</x:v>
      </x:c>
    </x:row>
    <x:row r="14">
      <x:c r="A14" s="33" t="str">
        <x:v>mod_cost_ledger</x:v>
      </x:c>
      <x:c r="B14" s="22" t="str">
        <x:v>Cost Ledger</x:v>
      </x:c>
      <x:c r="C14" s="22" t="str">
        <x:v>Common</x:v>
      </x:c>
      <x:c r="D14" s="22" t="str">
        <x:v>Operations</x:v>
      </x:c>
      <x:c r="E14" s="22" t="str">
        <x:v>All</x:v>
      </x:c>
      <x:c r="F14" s="22" t="str">
        <x:v>-3% operating cost</x:v>
      </x:c>
      <x:c r="G14" s="22" t="str"/>
      <x:c r="H14" s="22" t="str"/>
      <x:c r="I14" s="22" t="str">
        <x:v>operations</x:v>
      </x:c>
      <x:c r="J14" s="22" t="str">
        <x:v>Humble</x:v>
      </x:c>
      <x:c r="K14" s="22" t="str">
        <x:v>Mastery I — choose from compatible family pool</x:v>
      </x:c>
      <x:c r="L14" s="22" t="str">
        <x:v>Easy</x:v>
      </x:c>
      <x:c r="M14" s="22" t="str">
        <x:v>Rate Hike</x:v>
      </x:c>
      <x:c r="N14" s="22" t="str">
        <x:v>Basic Earned Pack</x:v>
      </x:c>
      <x:c r="O14" s="22" t="str">
        <x:v>Yes</x:v>
      </x:c>
      <x:c r="P14" s="22" t="str">
        <x:v>Common Parts</x:v>
      </x:c>
      <x:c r="Q14" s="79" t="n">
        <x:v>25</x:v>
      </x:c>
      <x:c r="R14" s="79" t="n">
        <x:v>0</x:v>
      </x:c>
      <x:c r="S14" s="79" t="str">
        <x:v>Instant</x:v>
      </x:c>
      <x:c r="T14" s="79" t="n">
        <x:v>5</x:v>
      </x:c>
      <x:c r="U14" s="22" t="str">
        <x:v>Cost control</x:v>
      </x:c>
      <x:c r="V14" s="22" t="str">
        <x:v>No</x:v>
      </x:c>
      <x:c r="W14" s="22" t="str">
        <x:v>No</x:v>
      </x:c>
      <x:c r="X14" s="34" t="str">
        <x:v>Server-authoritative config; effects subject to stacking and hard caps.</x:v>
      </x:c>
    </x:row>
    <x:row r="15">
      <x:c r="A15" s="33" t="str">
        <x:v>mod_backup_procedures</x:v>
      </x:c>
      <x:c r="B15" s="22" t="str">
        <x:v>Backup Procedures</x:v>
      </x:c>
      <x:c r="C15" s="22" t="str">
        <x:v>Common</x:v>
      </x:c>
      <x:c r="D15" s="22" t="str">
        <x:v>Risk</x:v>
      </x:c>
      <x:c r="E15" s="22" t="str">
        <x:v>Fintech, Data, Trading, Exchange, Research</x:v>
      </x:c>
      <x:c r="F15" s="22" t="str">
        <x:v>-3 Operational Risk</x:v>
      </x:c>
      <x:c r="G15" s="22" t="str">
        <x:v>+1 Service Quality</x:v>
      </x:c>
      <x:c r="H15" s="22" t="str"/>
      <x:c r="I15" s="22" t="str">
        <x:v>risk</x:v>
      </x:c>
      <x:c r="J15" s="22" t="str">
        <x:v>Humble</x:v>
      </x:c>
      <x:c r="K15" s="22" t="str">
        <x:v>Mastery I — choose from compatible family pool</x:v>
      </x:c>
      <x:c r="L15" s="22" t="str">
        <x:v>Easy</x:v>
      </x:c>
      <x:c r="M15" s="22" t="str">
        <x:v>Volatility Spike</x:v>
      </x:c>
      <x:c r="N15" s="22" t="str">
        <x:v>Basic Earned Pack</x:v>
      </x:c>
      <x:c r="O15" s="22" t="str">
        <x:v>Yes</x:v>
      </x:c>
      <x:c r="P15" s="22" t="str">
        <x:v>Common Parts</x:v>
      </x:c>
      <x:c r="Q15" s="79" t="n">
        <x:v>25</x:v>
      </x:c>
      <x:c r="R15" s="79" t="n">
        <x:v>0</x:v>
      </x:c>
      <x:c r="S15" s="79" t="str">
        <x:v>Instant</x:v>
      </x:c>
      <x:c r="T15" s="79" t="n">
        <x:v>5</x:v>
      </x:c>
      <x:c r="U15" s="22" t="str">
        <x:v>Reliability</x:v>
      </x:c>
      <x:c r="V15" s="22" t="str">
        <x:v>No</x:v>
      </x:c>
      <x:c r="W15" s="22" t="str">
        <x:v>No</x:v>
      </x:c>
      <x:c r="X15" s="34" t="str">
        <x:v>Server-authoritative config; effects subject to stacking and hard caps.</x:v>
      </x:c>
    </x:row>
    <x:row r="16">
      <x:c r="A16" s="33" t="str">
        <x:v>mod_cash_handling_protocol</x:v>
      </x:c>
      <x:c r="B16" s="22" t="str">
        <x:v>Cash Handling Protocol</x:v>
      </x:c>
      <x:c r="C16" s="22" t="str">
        <x:v>Common</x:v>
      </x:c>
      <x:c r="D16" s="22" t="str">
        <x:v>Liquidity</x:v>
      </x:c>
      <x:c r="E16" s="22" t="str">
        <x:v>Cash Services, Banking, Treasury</x:v>
      </x:c>
      <x:c r="F16" s="22" t="str">
        <x:v>-3 Liquidity Risk</x:v>
      </x:c>
      <x:c r="G16" s="22" t="str">
        <x:v>+2 Service Quality</x:v>
      </x:c>
      <x:c r="H16" s="22" t="str"/>
      <x:c r="I16" s="22" t="str">
        <x:v>liquidity</x:v>
      </x:c>
      <x:c r="J16" s="22" t="str">
        <x:v>Humble</x:v>
      </x:c>
      <x:c r="K16" s="22" t="str">
        <x:v>Mastery I — choose from compatible family pool</x:v>
      </x:c>
      <x:c r="L16" s="22" t="str">
        <x:v>Easy</x:v>
      </x:c>
      <x:c r="M16" s="22" t="str">
        <x:v>Bank Run</x:v>
      </x:c>
      <x:c r="N16" s="22" t="str">
        <x:v>Basic Earned Pack</x:v>
      </x:c>
      <x:c r="O16" s="22" t="str">
        <x:v>Yes</x:v>
      </x:c>
      <x:c r="P16" s="22" t="str">
        <x:v>Common Parts</x:v>
      </x:c>
      <x:c r="Q16" s="79" t="n">
        <x:v>25</x:v>
      </x:c>
      <x:c r="R16" s="79" t="n">
        <x:v>0</x:v>
      </x:c>
      <x:c r="S16" s="79" t="str">
        <x:v>Instant</x:v>
      </x:c>
      <x:c r="T16" s="79" t="n">
        <x:v>5</x:v>
      </x:c>
      <x:c r="U16" s="22" t="str">
        <x:v>Cash discipline</x:v>
      </x:c>
      <x:c r="V16" s="22" t="str">
        <x:v>No</x:v>
      </x:c>
      <x:c r="W16" s="22" t="str">
        <x:v>No</x:v>
      </x:c>
      <x:c r="X16" s="34" t="str">
        <x:v>Server-authoritative config; effects subject to stacking and hard caps.</x:v>
      </x:c>
    </x:row>
    <x:row r="17">
      <x:c r="A17" s="33" t="str">
        <x:v>mod_simple_credit_checklist</x:v>
      </x:c>
      <x:c r="B17" s="22" t="str">
        <x:v>Simple Credit Checklist</x:v>
      </x:c>
      <x:c r="C17" s="22" t="str">
        <x:v>Common</x:v>
      </x:c>
      <x:c r="D17" s="22" t="str">
        <x:v>Credit</x:v>
      </x:c>
      <x:c r="E17" s="22" t="str">
        <x:v>Lending, Banking</x:v>
      </x:c>
      <x:c r="F17" s="22" t="str">
        <x:v>-3 Credit Risk</x:v>
      </x:c>
      <x:c r="G17" s="22" t="str">
        <x:v>-2% activity efficiency</x:v>
      </x:c>
      <x:c r="H17" s="22" t="str"/>
      <x:c r="I17" s="22" t="str">
        <x:v>credit</x:v>
      </x:c>
      <x:c r="J17" s="22" t="str">
        <x:v>Humble</x:v>
      </x:c>
      <x:c r="K17" s="22" t="str">
        <x:v>Mastery I — choose from compatible family pool</x:v>
      </x:c>
      <x:c r="L17" s="22" t="str">
        <x:v>Easy</x:v>
      </x:c>
      <x:c r="M17" s="22" t="str">
        <x:v>Credit Boom</x:v>
      </x:c>
      <x:c r="N17" s="22" t="str">
        <x:v>Basic Earned Pack</x:v>
      </x:c>
      <x:c r="O17" s="22" t="str">
        <x:v>Yes</x:v>
      </x:c>
      <x:c r="P17" s="22" t="str">
        <x:v>Common Parts</x:v>
      </x:c>
      <x:c r="Q17" s="79" t="n">
        <x:v>25</x:v>
      </x:c>
      <x:c r="R17" s="79" t="n">
        <x:v>0</x:v>
      </x:c>
      <x:c r="S17" s="79" t="str">
        <x:v>Instant</x:v>
      </x:c>
      <x:c r="T17" s="79" t="n">
        <x:v>5</x:v>
      </x:c>
      <x:c r="U17" s="22" t="str">
        <x:v>Credit control</x:v>
      </x:c>
      <x:c r="V17" s="22" t="str">
        <x:v>No</x:v>
      </x:c>
      <x:c r="W17" s="22" t="str">
        <x:v>No</x:v>
      </x:c>
      <x:c r="X17" s="34" t="str">
        <x:v>Server-authoritative config; effects subject to stacking and hard caps.</x:v>
      </x:c>
    </x:row>
    <x:row r="18">
      <x:c r="A18" s="33" t="str">
        <x:v>mod_order_book_basics</x:v>
      </x:c>
      <x:c r="B18" s="22" t="str">
        <x:v>Order Book Basics</x:v>
      </x:c>
      <x:c r="C18" s="22" t="str">
        <x:v>Common</x:v>
      </x:c>
      <x:c r="D18" s="22" t="str">
        <x:v>Market</x:v>
      </x:c>
      <x:c r="E18" s="22" t="str">
        <x:v>Trading, Brokerage, Exchange, Market Making</x:v>
      </x:c>
      <x:c r="F18" s="22" t="str">
        <x:v>+4% activity efficiency</x:v>
      </x:c>
      <x:c r="G18" s="22" t="str">
        <x:v>+2 Market Risk</x:v>
      </x:c>
      <x:c r="H18" s="22" t="str"/>
      <x:c r="I18" s="22" t="str">
        <x:v>market</x:v>
      </x:c>
      <x:c r="J18" s="22" t="str">
        <x:v>Humble</x:v>
      </x:c>
      <x:c r="K18" s="22" t="str">
        <x:v>Mastery I — choose from compatible family pool</x:v>
      </x:c>
      <x:c r="L18" s="22" t="str">
        <x:v>Easy</x:v>
      </x:c>
      <x:c r="M18" s="22" t="str">
        <x:v>Bull Market</x:v>
      </x:c>
      <x:c r="N18" s="22" t="str">
        <x:v>Basic Earned Pack</x:v>
      </x:c>
      <x:c r="O18" s="22" t="str">
        <x:v>Yes</x:v>
      </x:c>
      <x:c r="P18" s="22" t="str">
        <x:v>Common Parts</x:v>
      </x:c>
      <x:c r="Q18" s="79" t="n">
        <x:v>25</x:v>
      </x:c>
      <x:c r="R18" s="79" t="n">
        <x:v>0</x:v>
      </x:c>
      <x:c r="S18" s="79" t="str">
        <x:v>Instant</x:v>
      </x:c>
      <x:c r="T18" s="79" t="n">
        <x:v>5</x:v>
      </x:c>
      <x:c r="U18" s="22" t="str">
        <x:v>Trading throughput</x:v>
      </x:c>
      <x:c r="V18" s="22" t="str">
        <x:v>No</x:v>
      </x:c>
      <x:c r="W18" s="22" t="str">
        <x:v>No</x:v>
      </x:c>
      <x:c r="X18" s="34" t="str">
        <x:v>Server-authoritative config; effects subject to stacking and hard caps.</x:v>
      </x:c>
    </x:row>
    <x:row r="19">
      <x:c r="A19" s="33" t="str">
        <x:v>mod_research_notes</x:v>
      </x:c>
      <x:c r="B19" s="22" t="str">
        <x:v>Research Notes</x:v>
      </x:c>
      <x:c r="C19" s="22" t="str">
        <x:v>Common</x:v>
      </x:c>
      <x:c r="D19" s="22" t="str">
        <x:v>Research</x:v>
      </x:c>
      <x:c r="E19" s="22" t="str">
        <x:v>Research, Data, Brokerage, Asset Management, Advisory</x:v>
      </x:c>
      <x:c r="F19" s="22" t="str">
        <x:v>+3% activity efficiency</x:v>
      </x:c>
      <x:c r="G19" s="22" t="str">
        <x:v>+1 Service Quality</x:v>
      </x:c>
      <x:c r="H19" s="22" t="str"/>
      <x:c r="I19" s="22" t="str">
        <x:v>research</x:v>
      </x:c>
      <x:c r="J19" s="22" t="str">
        <x:v>Humble</x:v>
      </x:c>
      <x:c r="K19" s="22" t="str">
        <x:v>Mastery I — choose from compatible family pool</x:v>
      </x:c>
      <x:c r="L19" s="22" t="str">
        <x:v>Easy</x:v>
      </x:c>
      <x:c r="M19" s="22" t="str">
        <x:v>Tech Rally</x:v>
      </x:c>
      <x:c r="N19" s="22" t="str">
        <x:v>Basic Earned Pack</x:v>
      </x:c>
      <x:c r="O19" s="22" t="str">
        <x:v>Yes</x:v>
      </x:c>
      <x:c r="P19" s="22" t="str">
        <x:v>Common Parts</x:v>
      </x:c>
      <x:c r="Q19" s="79" t="n">
        <x:v>25</x:v>
      </x:c>
      <x:c r="R19" s="79" t="n">
        <x:v>0</x:v>
      </x:c>
      <x:c r="S19" s="79" t="str">
        <x:v>Instant</x:v>
      </x:c>
      <x:c r="T19" s="79" t="n">
        <x:v>5</x:v>
      </x:c>
      <x:c r="U19" s="22" t="str">
        <x:v>Research support</x:v>
      </x:c>
      <x:c r="V19" s="22" t="str">
        <x:v>No</x:v>
      </x:c>
      <x:c r="W19" s="22" t="str">
        <x:v>No</x:v>
      </x:c>
      <x:c r="X19" s="34" t="str">
        <x:v>Server-authoritative config; effects subject to stacking and hard caps.</x:v>
      </x:c>
    </x:row>
    <x:row r="20">
      <x:c r="A20" s="33" t="str">
        <x:v>mod_client_suitability_form</x:v>
      </x:c>
      <x:c r="B20" s="22" t="str">
        <x:v>Client Suitability Form</x:v>
      </x:c>
      <x:c r="C20" s="22" t="str">
        <x:v>Common</x:v>
      </x:c>
      <x:c r="D20" s="22" t="str">
        <x:v>Risk</x:v>
      </x:c>
      <x:c r="E20" s="22" t="str">
        <x:v>Brokerage, Advisory, Wealth</x:v>
      </x:c>
      <x:c r="F20" s="22" t="str">
        <x:v>-3 Reputation Risk</x:v>
      </x:c>
      <x:c r="G20" s="22" t="str">
        <x:v>-1% acquisition</x:v>
      </x:c>
      <x:c r="H20" s="22" t="str"/>
      <x:c r="I20" s="22" t="str">
        <x:v>risk</x:v>
      </x:c>
      <x:c r="J20" s="22" t="str">
        <x:v>Humble</x:v>
      </x:c>
      <x:c r="K20" s="22" t="str">
        <x:v>Mastery I — choose from compatible family pool</x:v>
      </x:c>
      <x:c r="L20" s="22" t="str">
        <x:v>Easy</x:v>
      </x:c>
      <x:c r="M20" s="22" t="str">
        <x:v>Regulatory Approval</x:v>
      </x:c>
      <x:c r="N20" s="22" t="str">
        <x:v>Basic Earned Pack</x:v>
      </x:c>
      <x:c r="O20" s="22" t="str">
        <x:v>Yes</x:v>
      </x:c>
      <x:c r="P20" s="22" t="str">
        <x:v>Common Parts</x:v>
      </x:c>
      <x:c r="Q20" s="79" t="n">
        <x:v>25</x:v>
      </x:c>
      <x:c r="R20" s="79" t="n">
        <x:v>0</x:v>
      </x:c>
      <x:c r="S20" s="79" t="str">
        <x:v>Instant</x:v>
      </x:c>
      <x:c r="T20" s="79" t="n">
        <x:v>5</x:v>
      </x:c>
      <x:c r="U20" s="22" t="str">
        <x:v>Suitability</x:v>
      </x:c>
      <x:c r="V20" s="22" t="str">
        <x:v>No</x:v>
      </x:c>
      <x:c r="W20" s="22" t="str">
        <x:v>No</x:v>
      </x:c>
      <x:c r="X20" s="34" t="str">
        <x:v>Server-authoritative config; effects subject to stacking and hard caps.</x:v>
      </x:c>
    </x:row>
    <x:row r="21">
      <x:c r="A21" s="33" t="str">
        <x:v>mod_claims_triage</x:v>
      </x:c>
      <x:c r="B21" s="22" t="str">
        <x:v>Claims Triage</x:v>
      </x:c>
      <x:c r="C21" s="22" t="str">
        <x:v>Common</x:v>
      </x:c>
      <x:c r="D21" s="22" t="str">
        <x:v>Service</x:v>
      </x:c>
      <x:c r="E21" s="22" t="str">
        <x:v>Insurance</x:v>
      </x:c>
      <x:c r="F21" s="22" t="str">
        <x:v>+4% retention</x:v>
      </x:c>
      <x:c r="G21" s="22" t="str">
        <x:v>+2 Service Quality</x:v>
      </x:c>
      <x:c r="H21" s="22" t="str"/>
      <x:c r="I21" s="22" t="str">
        <x:v>service</x:v>
      </x:c>
      <x:c r="J21" s="22" t="str">
        <x:v>Humble</x:v>
      </x:c>
      <x:c r="K21" s="22" t="str">
        <x:v>Mastery I — choose from compatible family pool</x:v>
      </x:c>
      <x:c r="L21" s="22" t="str">
        <x:v>Easy</x:v>
      </x:c>
      <x:c r="M21" s="22" t="str">
        <x:v>Generic Module reward pool</x:v>
      </x:c>
      <x:c r="N21" s="22" t="str">
        <x:v>Basic Earned Pack</x:v>
      </x:c>
      <x:c r="O21" s="22" t="str">
        <x:v>Yes</x:v>
      </x:c>
      <x:c r="P21" s="22" t="str">
        <x:v>Common Parts</x:v>
      </x:c>
      <x:c r="Q21" s="79" t="n">
        <x:v>25</x:v>
      </x:c>
      <x:c r="R21" s="79" t="n">
        <x:v>0</x:v>
      </x:c>
      <x:c r="S21" s="79" t="str">
        <x:v>Instant</x:v>
      </x:c>
      <x:c r="T21" s="79" t="n">
        <x:v>5</x:v>
      </x:c>
      <x:c r="U21" s="22" t="str">
        <x:v>Claims service</x:v>
      </x:c>
      <x:c r="V21" s="22" t="str">
        <x:v>No</x:v>
      </x:c>
      <x:c r="W21" s="22" t="str">
        <x:v>No</x:v>
      </x:c>
      <x:c r="X21" s="34" t="str">
        <x:v>Server-authoritative config; effects subject to stacking and hard caps.</x:v>
      </x:c>
    </x:row>
    <x:row r="22">
      <x:c r="A22" s="33" t="str">
        <x:v>mod_savings_drive</x:v>
      </x:c>
      <x:c r="B22" s="22" t="str">
        <x:v>Savings Drive</x:v>
      </x:c>
      <x:c r="C22" s="22" t="str">
        <x:v>Common</x:v>
      </x:c>
      <x:c r="D22" s="22" t="str">
        <x:v>Customer</x:v>
      </x:c>
      <x:c r="E22" s="22" t="str">
        <x:v>Banking</x:v>
      </x:c>
      <x:c r="F22" s="22" t="str">
        <x:v>+5% General Consumer acquisition</x:v>
      </x:c>
      <x:c r="G22" s="22" t="str">
        <x:v>-1% activity efficiency</x:v>
      </x:c>
      <x:c r="H22" s="22" t="str"/>
      <x:c r="I22" s="22" t="str">
        <x:v>customer</x:v>
      </x:c>
      <x:c r="J22" s="22" t="str">
        <x:v>Humble</x:v>
      </x:c>
      <x:c r="K22" s="22" t="str">
        <x:v>Mastery I — choose from compatible family pool</x:v>
      </x:c>
      <x:c r="L22" s="22" t="str">
        <x:v>Easy</x:v>
      </x:c>
      <x:c r="M22" s="22" t="str">
        <x:v>Rate Cut</x:v>
      </x:c>
      <x:c r="N22" s="22" t="str">
        <x:v>Basic Earned Pack</x:v>
      </x:c>
      <x:c r="O22" s="22" t="str">
        <x:v>Yes</x:v>
      </x:c>
      <x:c r="P22" s="22" t="str">
        <x:v>Common Parts</x:v>
      </x:c>
      <x:c r="Q22" s="79" t="n">
        <x:v>25</x:v>
      </x:c>
      <x:c r="R22" s="79" t="n">
        <x:v>0</x:v>
      </x:c>
      <x:c r="S22" s="79" t="str">
        <x:v>Instant</x:v>
      </x:c>
      <x:c r="T22" s="79" t="n">
        <x:v>5</x:v>
      </x:c>
      <x:c r="U22" s="22" t="str">
        <x:v>Deposit growth</x:v>
      </x:c>
      <x:c r="V22" s="22" t="str">
        <x:v>No</x:v>
      </x:c>
      <x:c r="W22" s="22" t="str">
        <x:v>No</x:v>
      </x:c>
      <x:c r="X22" s="34" t="str">
        <x:v>Server-authoritative config; effects subject to stacking and hard caps.</x:v>
      </x:c>
    </x:row>
    <x:row r="23">
      <x:c r="A23" s="33" t="str">
        <x:v>mod_fx_rate_board</x:v>
      </x:c>
      <x:c r="B23" s="22" t="str">
        <x:v>FX Rate Board</x:v>
      </x:c>
      <x:c r="C23" s="22" t="str">
        <x:v>Common</x:v>
      </x:c>
      <x:c r="D23" s="22" t="str">
        <x:v>Market</x:v>
      </x:c>
      <x:c r="E23" s="22" t="str">
        <x:v>FX</x:v>
      </x:c>
      <x:c r="F23" s="22" t="str">
        <x:v>+4% activity efficiency</x:v>
      </x:c>
      <x:c r="G23" s="22" t="str">
        <x:v>+1 Market Risk</x:v>
      </x:c>
      <x:c r="H23" s="22" t="str"/>
      <x:c r="I23" s="22" t="str">
        <x:v>market</x:v>
      </x:c>
      <x:c r="J23" s="22" t="str">
        <x:v>Humble</x:v>
      </x:c>
      <x:c r="K23" s="22" t="str">
        <x:v>Mastery I — choose from compatible family pool</x:v>
      </x:c>
      <x:c r="L23" s="22" t="str">
        <x:v>Easy</x:v>
      </x:c>
      <x:c r="M23" s="22" t="str">
        <x:v>Volatility Spike</x:v>
      </x:c>
      <x:c r="N23" s="22" t="str">
        <x:v>Basic Earned Pack</x:v>
      </x:c>
      <x:c r="O23" s="22" t="str">
        <x:v>Yes</x:v>
      </x:c>
      <x:c r="P23" s="22" t="str">
        <x:v>Common Parts</x:v>
      </x:c>
      <x:c r="Q23" s="79" t="n">
        <x:v>25</x:v>
      </x:c>
      <x:c r="R23" s="79" t="n">
        <x:v>0</x:v>
      </x:c>
      <x:c r="S23" s="79" t="str">
        <x:v>Instant</x:v>
      </x:c>
      <x:c r="T23" s="79" t="n">
        <x:v>5</x:v>
      </x:c>
      <x:c r="U23" s="22" t="str">
        <x:v>FX activity</x:v>
      </x:c>
      <x:c r="V23" s="22" t="str">
        <x:v>No</x:v>
      </x:c>
      <x:c r="W23" s="22" t="str">
        <x:v>No</x:v>
      </x:c>
      <x:c r="X23" s="34" t="str">
        <x:v>Server-authoritative config; effects subject to stacking and hard caps.</x:v>
      </x:c>
    </x:row>
    <x:row r="24">
      <x:c r="A24" s="33" t="str">
        <x:v>mod_portfolio_watchlist</x:v>
      </x:c>
      <x:c r="B24" s="22" t="str">
        <x:v>Portfolio Watchlist</x:v>
      </x:c>
      <x:c r="C24" s="22" t="str">
        <x:v>Common</x:v>
      </x:c>
      <x:c r="D24" s="22" t="str">
        <x:v>Research</x:v>
      </x:c>
      <x:c r="E24" s="22" t="str">
        <x:v>Asset Management, Wealth, Brokerage</x:v>
      </x:c>
      <x:c r="F24" s="22" t="str">
        <x:v>+3% activity efficiency</x:v>
      </x:c>
      <x:c r="G24" s="22" t="str">
        <x:v>-2 Concentration Risk</x:v>
      </x:c>
      <x:c r="H24" s="22" t="str"/>
      <x:c r="I24" s="22" t="str">
        <x:v>research</x:v>
      </x:c>
      <x:c r="J24" s="22" t="str">
        <x:v>Humble</x:v>
      </x:c>
      <x:c r="K24" s="22" t="str">
        <x:v>Mastery I — choose from compatible family pool</x:v>
      </x:c>
      <x:c r="L24" s="22" t="str">
        <x:v>Easy</x:v>
      </x:c>
      <x:c r="M24" s="22" t="str">
        <x:v>Dividend Week</x:v>
      </x:c>
      <x:c r="N24" s="22" t="str">
        <x:v>Basic Earned Pack</x:v>
      </x:c>
      <x:c r="O24" s="22" t="str">
        <x:v>Yes</x:v>
      </x:c>
      <x:c r="P24" s="22" t="str">
        <x:v>Common Parts</x:v>
      </x:c>
      <x:c r="Q24" s="79" t="n">
        <x:v>25</x:v>
      </x:c>
      <x:c r="R24" s="79" t="n">
        <x:v>0</x:v>
      </x:c>
      <x:c r="S24" s="79" t="str">
        <x:v>Instant</x:v>
      </x:c>
      <x:c r="T24" s="79" t="n">
        <x:v>5</x:v>
      </x:c>
      <x:c r="U24" s="22" t="str">
        <x:v>Portfolio support</x:v>
      </x:c>
      <x:c r="V24" s="22" t="str">
        <x:v>No</x:v>
      </x:c>
      <x:c r="W24" s="22" t="str">
        <x:v>No</x:v>
      </x:c>
      <x:c r="X24" s="34" t="str">
        <x:v>Server-authoritative config; effects subject to stacking and hard caps.</x:v>
      </x:c>
    </x:row>
    <x:row r="25">
      <x:c r="A25" s="33" t="str">
        <x:v>mod_basic_security_controls</x:v>
      </x:c>
      <x:c r="B25" s="22" t="str">
        <x:v>Basic Security Controls</x:v>
      </x:c>
      <x:c r="C25" s="22" t="str">
        <x:v>Common</x:v>
      </x:c>
      <x:c r="D25" s="22" t="str">
        <x:v>Risk</x:v>
      </x:c>
      <x:c r="E25" s="22" t="str">
        <x:v>Fintech, Data, Exchange</x:v>
      </x:c>
      <x:c r="F25" s="22" t="str">
        <x:v>-4 Operational Risk</x:v>
      </x:c>
      <x:c r="G25" s="22" t="str">
        <x:v>-1% activity efficiency</x:v>
      </x:c>
      <x:c r="H25" s="22" t="str"/>
      <x:c r="I25" s="22" t="str">
        <x:v>risk</x:v>
      </x:c>
      <x:c r="J25" s="22" t="str">
        <x:v>Humble</x:v>
      </x:c>
      <x:c r="K25" s="22" t="str">
        <x:v>Mastery I — choose from compatible family pool</x:v>
      </x:c>
      <x:c r="L25" s="22" t="str">
        <x:v>Easy</x:v>
      </x:c>
      <x:c r="M25" s="22" t="str">
        <x:v>Regulatory Approval</x:v>
      </x:c>
      <x:c r="N25" s="22" t="str">
        <x:v>Basic Earned Pack</x:v>
      </x:c>
      <x:c r="O25" s="22" t="str">
        <x:v>Yes</x:v>
      </x:c>
      <x:c r="P25" s="22" t="str">
        <x:v>Common Parts</x:v>
      </x:c>
      <x:c r="Q25" s="79" t="n">
        <x:v>25</x:v>
      </x:c>
      <x:c r="R25" s="79" t="n">
        <x:v>0</x:v>
      </x:c>
      <x:c r="S25" s="79" t="str">
        <x:v>Instant</x:v>
      </x:c>
      <x:c r="T25" s="79" t="n">
        <x:v>5</x:v>
      </x:c>
      <x:c r="U25" s="22" t="str">
        <x:v>Security</x:v>
      </x:c>
      <x:c r="V25" s="22" t="str">
        <x:v>No</x:v>
      </x:c>
      <x:c r="W25" s="22" t="str">
        <x:v>No</x:v>
      </x:c>
      <x:c r="X25" s="34" t="str">
        <x:v>Server-authoritative config; effects subject to stacking and hard caps.</x:v>
      </x:c>
    </x:row>
    <x:row r="26">
      <x:c r="A26" s="33" t="str">
        <x:v>mod_call_queue_script</x:v>
      </x:c>
      <x:c r="B26" s="22" t="str">
        <x:v>Call Queue Script</x:v>
      </x:c>
      <x:c r="C26" s="22" t="str">
        <x:v>Common</x:v>
      </x:c>
      <x:c r="D26" s="22" t="str">
        <x:v>Service</x:v>
      </x:c>
      <x:c r="E26" s="22" t="str">
        <x:v>Banking, Insurance, Advisory, Wealth</x:v>
      </x:c>
      <x:c r="F26" s="22" t="str">
        <x:v>+3 Service Quality</x:v>
      </x:c>
      <x:c r="G26" s="22" t="str">
        <x:v>+2% retention</x:v>
      </x:c>
      <x:c r="H26" s="22" t="str"/>
      <x:c r="I26" s="22" t="str">
        <x:v>service</x:v>
      </x:c>
      <x:c r="J26" s="22" t="str">
        <x:v>Humble</x:v>
      </x:c>
      <x:c r="K26" s="22" t="str">
        <x:v>Mastery I — choose from compatible family pool</x:v>
      </x:c>
      <x:c r="L26" s="22" t="str">
        <x:v>Easy</x:v>
      </x:c>
      <x:c r="M26" s="22" t="str">
        <x:v>Earnings Season</x:v>
      </x:c>
      <x:c r="N26" s="22" t="str">
        <x:v>Basic Earned Pack</x:v>
      </x:c>
      <x:c r="O26" s="22" t="str">
        <x:v>Yes</x:v>
      </x:c>
      <x:c r="P26" s="22" t="str">
        <x:v>Common Parts</x:v>
      </x:c>
      <x:c r="Q26" s="79" t="n">
        <x:v>25</x:v>
      </x:c>
      <x:c r="R26" s="79" t="n">
        <x:v>0</x:v>
      </x:c>
      <x:c r="S26" s="79" t="str">
        <x:v>Instant</x:v>
      </x:c>
      <x:c r="T26" s="79" t="n">
        <x:v>5</x:v>
      </x:c>
      <x:c r="U26" s="22" t="str">
        <x:v>Customer care</x:v>
      </x:c>
      <x:c r="V26" s="22" t="str">
        <x:v>No</x:v>
      </x:c>
      <x:c r="W26" s="22" t="str">
        <x:v>No</x:v>
      </x:c>
      <x:c r="X26" s="34" t="str">
        <x:v>Server-authoritative config; effects subject to stacking and hard caps.</x:v>
      </x:c>
    </x:row>
    <x:row r="27">
      <x:c r="A27" s="33" t="str">
        <x:v>mod_deposit_reminder</x:v>
      </x:c>
      <x:c r="B27" s="22" t="str">
        <x:v>Deposit Reminder</x:v>
      </x:c>
      <x:c r="C27" s="22" t="str">
        <x:v>Common</x:v>
      </x:c>
      <x:c r="D27" s="22" t="str">
        <x:v>Customer</x:v>
      </x:c>
      <x:c r="E27" s="22" t="str">
        <x:v>Banking</x:v>
      </x:c>
      <x:c r="F27" s="22" t="str">
        <x:v>+4% retention</x:v>
      </x:c>
      <x:c r="G27" s="22" t="str"/>
      <x:c r="H27" s="22" t="str"/>
      <x:c r="I27" s="22" t="str">
        <x:v>customer</x:v>
      </x:c>
      <x:c r="J27" s="22" t="str">
        <x:v>Humble</x:v>
      </x:c>
      <x:c r="K27" s="22" t="str">
        <x:v>Mastery I — choose from compatible family pool</x:v>
      </x:c>
      <x:c r="L27" s="22" t="str">
        <x:v>Easy</x:v>
      </x:c>
      <x:c r="M27" s="22" t="str">
        <x:v>Rate Hike</x:v>
      </x:c>
      <x:c r="N27" s="22" t="str">
        <x:v>Basic Earned Pack</x:v>
      </x:c>
      <x:c r="O27" s="22" t="str">
        <x:v>Yes</x:v>
      </x:c>
      <x:c r="P27" s="22" t="str">
        <x:v>Common Parts</x:v>
      </x:c>
      <x:c r="Q27" s="79" t="n">
        <x:v>25</x:v>
      </x:c>
      <x:c r="R27" s="79" t="n">
        <x:v>0</x:v>
      </x:c>
      <x:c r="S27" s="79" t="str">
        <x:v>Instant</x:v>
      </x:c>
      <x:c r="T27" s="79" t="n">
        <x:v>5</x:v>
      </x:c>
      <x:c r="U27" s="22" t="str">
        <x:v>Deposit retention</x:v>
      </x:c>
      <x:c r="V27" s="22" t="str">
        <x:v>No</x:v>
      </x:c>
      <x:c r="W27" s="22" t="str">
        <x:v>No</x:v>
      </x:c>
      <x:c r="X27" s="34" t="str">
        <x:v>Server-authoritative config; effects subject to stacking and hard caps.</x:v>
      </x:c>
    </x:row>
    <x:row r="28">
      <x:c r="A28" s="33" t="str">
        <x:v>mod_merchant_outreach</x:v>
      </x:c>
      <x:c r="B28" s="22" t="str">
        <x:v>Merchant Outreach</x:v>
      </x:c>
      <x:c r="C28" s="22" t="str">
        <x:v>Common</x:v>
      </x:c>
      <x:c r="D28" s="22" t="str">
        <x:v>Customer</x:v>
      </x:c>
      <x:c r="E28" s="22" t="str">
        <x:v>Cash Services, Banking</x:v>
      </x:c>
      <x:c r="F28" s="22" t="str">
        <x:v>+5% Small Business acquisition</x:v>
      </x:c>
      <x:c r="G28" s="22" t="str"/>
      <x:c r="H28" s="22" t="str"/>
      <x:c r="I28" s="22" t="str">
        <x:v>customer</x:v>
      </x:c>
      <x:c r="J28" s="22" t="str">
        <x:v>Humble</x:v>
      </x:c>
      <x:c r="K28" s="22" t="str">
        <x:v>Mastery I — choose from compatible family pool</x:v>
      </x:c>
      <x:c r="L28" s="22" t="str">
        <x:v>Easy</x:v>
      </x:c>
      <x:c r="M28" s="22" t="str">
        <x:v>M&amp;A Boom</x:v>
      </x:c>
      <x:c r="N28" s="22" t="str">
        <x:v>Basic Earned Pack</x:v>
      </x:c>
      <x:c r="O28" s="22" t="str">
        <x:v>Yes</x:v>
      </x:c>
      <x:c r="P28" s="22" t="str">
        <x:v>Common Parts</x:v>
      </x:c>
      <x:c r="Q28" s="79" t="n">
        <x:v>25</x:v>
      </x:c>
      <x:c r="R28" s="79" t="n">
        <x:v>0</x:v>
      </x:c>
      <x:c r="S28" s="79" t="str">
        <x:v>Instant</x:v>
      </x:c>
      <x:c r="T28" s="79" t="n">
        <x:v>5</x:v>
      </x:c>
      <x:c r="U28" s="22" t="str">
        <x:v>SME growth</x:v>
      </x:c>
      <x:c r="V28" s="22" t="str">
        <x:v>No</x:v>
      </x:c>
      <x:c r="W28" s="22" t="str">
        <x:v>No</x:v>
      </x:c>
      <x:c r="X28" s="34" t="str">
        <x:v>Server-authoritative config; effects subject to stacking and hard caps.</x:v>
      </x:c>
    </x:row>
    <x:row r="29">
      <x:c r="A29" s="33" t="str">
        <x:v>mod_trade_confirmation</x:v>
      </x:c>
      <x:c r="B29" s="22" t="str">
        <x:v>Trade Confirmation</x:v>
      </x:c>
      <x:c r="C29" s="22" t="str">
        <x:v>Common</x:v>
      </x:c>
      <x:c r="D29" s="22" t="str">
        <x:v>Operations</x:v>
      </x:c>
      <x:c r="E29" s="22" t="str">
        <x:v>Trading, Brokerage, Exchange</x:v>
      </x:c>
      <x:c r="F29" s="22" t="str">
        <x:v>-2 Operational Risk</x:v>
      </x:c>
      <x:c r="G29" s="22" t="str">
        <x:v>+3% capacity</x:v>
      </x:c>
      <x:c r="H29" s="22" t="str"/>
      <x:c r="I29" s="22" t="str">
        <x:v>operations</x:v>
      </x:c>
      <x:c r="J29" s="22" t="str">
        <x:v>Humble</x:v>
      </x:c>
      <x:c r="K29" s="22" t="str">
        <x:v>Mastery I — choose from compatible family pool</x:v>
      </x:c>
      <x:c r="L29" s="22" t="str">
        <x:v>Easy</x:v>
      </x:c>
      <x:c r="M29" s="22" t="str">
        <x:v>Volatility Spike</x:v>
      </x:c>
      <x:c r="N29" s="22" t="str">
        <x:v>Basic Earned Pack</x:v>
      </x:c>
      <x:c r="O29" s="22" t="str">
        <x:v>Yes</x:v>
      </x:c>
      <x:c r="P29" s="22" t="str">
        <x:v>Common Parts</x:v>
      </x:c>
      <x:c r="Q29" s="79" t="n">
        <x:v>25</x:v>
      </x:c>
      <x:c r="R29" s="79" t="n">
        <x:v>0</x:v>
      </x:c>
      <x:c r="S29" s="79" t="str">
        <x:v>Instant</x:v>
      </x:c>
      <x:c r="T29" s="79" t="n">
        <x:v>5</x:v>
      </x:c>
      <x:c r="U29" s="22" t="str">
        <x:v>Trade ops</x:v>
      </x:c>
      <x:c r="V29" s="22" t="str">
        <x:v>No</x:v>
      </x:c>
      <x:c r="W29" s="22" t="str">
        <x:v>No</x:v>
      </x:c>
      <x:c r="X29" s="34" t="str">
        <x:v>Server-authoritative config; effects subject to stacking and hard caps.</x:v>
      </x:c>
    </x:row>
    <x:row r="30">
      <x:c r="A30" s="33" t="str">
        <x:v>mod_vault_inventory_log</x:v>
      </x:c>
      <x:c r="B30" s="22" t="str">
        <x:v>Vault Inventory Log</x:v>
      </x:c>
      <x:c r="C30" s="22" t="str">
        <x:v>Common</x:v>
      </x:c>
      <x:c r="D30" s="22" t="str">
        <x:v>Liquidity</x:v>
      </x:c>
      <x:c r="E30" s="22" t="str">
        <x:v>Treasury, Cash Services</x:v>
      </x:c>
      <x:c r="F30" s="22" t="str">
        <x:v>-3 Liquidity Risk</x:v>
      </x:c>
      <x:c r="G30" s="22" t="str">
        <x:v>-2 Operational Risk</x:v>
      </x:c>
      <x:c r="H30" s="22" t="str"/>
      <x:c r="I30" s="22" t="str">
        <x:v>liquidity</x:v>
      </x:c>
      <x:c r="J30" s="22" t="str">
        <x:v>Humble</x:v>
      </x:c>
      <x:c r="K30" s="22" t="str">
        <x:v>Mastery I — choose from compatible family pool</x:v>
      </x:c>
      <x:c r="L30" s="22" t="str">
        <x:v>Easy</x:v>
      </x:c>
      <x:c r="M30" s="22" t="str">
        <x:v>Liquidity Crunch</x:v>
      </x:c>
      <x:c r="N30" s="22" t="str">
        <x:v>Basic Earned Pack</x:v>
      </x:c>
      <x:c r="O30" s="22" t="str">
        <x:v>Yes</x:v>
      </x:c>
      <x:c r="P30" s="22" t="str">
        <x:v>Common Parts</x:v>
      </x:c>
      <x:c r="Q30" s="79" t="n">
        <x:v>25</x:v>
      </x:c>
      <x:c r="R30" s="79" t="n">
        <x:v>0</x:v>
      </x:c>
      <x:c r="S30" s="79" t="str">
        <x:v>Instant</x:v>
      </x:c>
      <x:c r="T30" s="79" t="n">
        <x:v>5</x:v>
      </x:c>
      <x:c r="U30" s="22" t="str">
        <x:v>Vault control</x:v>
      </x:c>
      <x:c r="V30" s="22" t="str">
        <x:v>No</x:v>
      </x:c>
      <x:c r="W30" s="22" t="str">
        <x:v>No</x:v>
      </x:c>
      <x:c r="X30" s="34" t="str">
        <x:v>Server-authoritative config; effects subject to stacking and hard caps.</x:v>
      </x:c>
    </x:row>
    <x:row r="31">
      <x:c r="A31" s="33" t="str">
        <x:v>mod_data_quality_checklist</x:v>
      </x:c>
      <x:c r="B31" s="22" t="str">
        <x:v>Data Quality Checklist</x:v>
      </x:c>
      <x:c r="C31" s="22" t="str">
        <x:v>Common</x:v>
      </x:c>
      <x:c r="D31" s="22" t="str">
        <x:v>Research</x:v>
      </x:c>
      <x:c r="E31" s="22" t="str">
        <x:v>Research, Data, Fintech</x:v>
      </x:c>
      <x:c r="F31" s="22" t="str">
        <x:v>+2 Service Quality</x:v>
      </x:c>
      <x:c r="G31" s="22" t="str">
        <x:v>-3 Operational Risk</x:v>
      </x:c>
      <x:c r="H31" s="22" t="str"/>
      <x:c r="I31" s="22" t="str">
        <x:v>research</x:v>
      </x:c>
      <x:c r="J31" s="22" t="str">
        <x:v>Humble</x:v>
      </x:c>
      <x:c r="K31" s="22" t="str">
        <x:v>Mastery I — choose from compatible family pool</x:v>
      </x:c>
      <x:c r="L31" s="22" t="str">
        <x:v>Easy</x:v>
      </x:c>
      <x:c r="M31" s="22" t="str">
        <x:v>Tech Rally</x:v>
      </x:c>
      <x:c r="N31" s="22" t="str">
        <x:v>Basic Earned Pack</x:v>
      </x:c>
      <x:c r="O31" s="22" t="str">
        <x:v>Yes</x:v>
      </x:c>
      <x:c r="P31" s="22" t="str">
        <x:v>Common Parts</x:v>
      </x:c>
      <x:c r="Q31" s="79" t="n">
        <x:v>25</x:v>
      </x:c>
      <x:c r="R31" s="79" t="n">
        <x:v>0</x:v>
      </x:c>
      <x:c r="S31" s="79" t="str">
        <x:v>Instant</x:v>
      </x:c>
      <x:c r="T31" s="79" t="n">
        <x:v>5</x:v>
      </x:c>
      <x:c r="U31" s="22" t="str">
        <x:v>Data quality</x:v>
      </x:c>
      <x:c r="V31" s="22" t="str">
        <x:v>No</x:v>
      </x:c>
      <x:c r="W31" s="22" t="str">
        <x:v>No</x:v>
      </x:c>
      <x:c r="X31" s="34" t="str">
        <x:v>Server-authoritative config; effects subject to stacking and hard caps.</x:v>
      </x:c>
    </x:row>
    <x:row r="32">
      <x:c r="A32" s="33" t="str">
        <x:v>mod_kyc_desk_guide</x:v>
      </x:c>
      <x:c r="B32" s="22" t="str">
        <x:v>KYC Desk Guide</x:v>
      </x:c>
      <x:c r="C32" s="22" t="str">
        <x:v>Common</x:v>
      </x:c>
      <x:c r="D32" s="22" t="str">
        <x:v>Risk</x:v>
      </x:c>
      <x:c r="E32" s="22" t="str">
        <x:v>Banking, Brokerage, Advisory, Wealth, Private Banking</x:v>
      </x:c>
      <x:c r="F32" s="22" t="str">
        <x:v>-3 Reputation Risk</x:v>
      </x:c>
      <x:c r="G32" s="22" t="str">
        <x:v>+1 Service Quality</x:v>
      </x:c>
      <x:c r="H32" s="22" t="str"/>
      <x:c r="I32" s="22" t="str">
        <x:v>risk</x:v>
      </x:c>
      <x:c r="J32" s="22" t="str">
        <x:v>Humble</x:v>
      </x:c>
      <x:c r="K32" s="22" t="str">
        <x:v>Mastery I — choose from compatible family pool</x:v>
      </x:c>
      <x:c r="L32" s="22" t="str">
        <x:v>Easy</x:v>
      </x:c>
      <x:c r="M32" s="22" t="str">
        <x:v>Regulatory Approval</x:v>
      </x:c>
      <x:c r="N32" s="22" t="str">
        <x:v>Basic Earned Pack</x:v>
      </x:c>
      <x:c r="O32" s="22" t="str">
        <x:v>Yes</x:v>
      </x:c>
      <x:c r="P32" s="22" t="str">
        <x:v>Common Parts</x:v>
      </x:c>
      <x:c r="Q32" s="79" t="n">
        <x:v>25</x:v>
      </x:c>
      <x:c r="R32" s="79" t="n">
        <x:v>0</x:v>
      </x:c>
      <x:c r="S32" s="79" t="str">
        <x:v>Instant</x:v>
      </x:c>
      <x:c r="T32" s="79" t="n">
        <x:v>5</x:v>
      </x:c>
      <x:c r="U32" s="22" t="str">
        <x:v>Compliance</x:v>
      </x:c>
      <x:c r="V32" s="22" t="str">
        <x:v>No</x:v>
      </x:c>
      <x:c r="W32" s="22" t="str">
        <x:v>No</x:v>
      </x:c>
      <x:c r="X32" s="34" t="str">
        <x:v>Server-authoritative config; effects subject to stacking and hard caps.</x:v>
      </x:c>
    </x:row>
    <x:row r="33">
      <x:c r="A33" s="33" t="str">
        <x:v>mod_appointment_book</x:v>
      </x:c>
      <x:c r="B33" s="22" t="str">
        <x:v>Appointment Book</x:v>
      </x:c>
      <x:c r="C33" s="22" t="str">
        <x:v>Common</x:v>
      </x:c>
      <x:c r="D33" s="22" t="str">
        <x:v>Service</x:v>
      </x:c>
      <x:c r="E33" s="22" t="str">
        <x:v>Advisory, Wealth, Private Banking</x:v>
      </x:c>
      <x:c r="F33" s="22" t="str">
        <x:v>+4% retention</x:v>
      </x:c>
      <x:c r="G33" s="22" t="str">
        <x:v>+2 Service Quality</x:v>
      </x:c>
      <x:c r="H33" s="22" t="str"/>
      <x:c r="I33" s="22" t="str">
        <x:v>service</x:v>
      </x:c>
      <x:c r="J33" s="22" t="str">
        <x:v>Humble</x:v>
      </x:c>
      <x:c r="K33" s="22" t="str">
        <x:v>Mastery I — choose from compatible family pool</x:v>
      </x:c>
      <x:c r="L33" s="22" t="str">
        <x:v>Easy</x:v>
      </x:c>
      <x:c r="M33" s="22" t="str">
        <x:v>Earnings Season</x:v>
      </x:c>
      <x:c r="N33" s="22" t="str">
        <x:v>Basic Earned Pack</x:v>
      </x:c>
      <x:c r="O33" s="22" t="str">
        <x:v>Yes</x:v>
      </x:c>
      <x:c r="P33" s="22" t="str">
        <x:v>Common Parts</x:v>
      </x:c>
      <x:c r="Q33" s="79" t="n">
        <x:v>25</x:v>
      </x:c>
      <x:c r="R33" s="79" t="n">
        <x:v>0</x:v>
      </x:c>
      <x:c r="S33" s="79" t="str">
        <x:v>Instant</x:v>
      </x:c>
      <x:c r="T33" s="79" t="n">
        <x:v>5</x:v>
      </x:c>
      <x:c r="U33" s="22" t="str">
        <x:v>Relationship service</x:v>
      </x:c>
      <x:c r="V33" s="22" t="str">
        <x:v>No</x:v>
      </x:c>
      <x:c r="W33" s="22" t="str">
        <x:v>No</x:v>
      </x:c>
      <x:c r="X33" s="34" t="str">
        <x:v>Server-authoritative config; effects subject to stacking and hard caps.</x:v>
      </x:c>
    </x:row>
    <x:row r="34">
      <x:c r="A34" s="33" t="str">
        <x:v>mod_lean_operations</x:v>
      </x:c>
      <x:c r="B34" s="22" t="str">
        <x:v>Lean Operations</x:v>
      </x:c>
      <x:c r="C34" s="22" t="str">
        <x:v>Uncommon</x:v>
      </x:c>
      <x:c r="D34" s="22" t="str">
        <x:v>Operations</x:v>
      </x:c>
      <x:c r="E34" s="22" t="str">
        <x:v>All</x:v>
      </x:c>
      <x:c r="F34" s="22" t="str">
        <x:v>-6% operating cost</x:v>
      </x:c>
      <x:c r="G34" s="22" t="str">
        <x:v>-2 Service Quality</x:v>
      </x:c>
      <x:c r="H34" s="22" t="str"/>
      <x:c r="I34" s="22" t="str">
        <x:v>operations</x:v>
      </x:c>
      <x:c r="J34" s="22" t="str">
        <x:v>Starter</x:v>
      </x:c>
      <x:c r="K34" s="22" t="str">
        <x:v>Mastery II — choose from compatible family pool</x:v>
      </x:c>
      <x:c r="L34" s="22" t="str">
        <x:v>Standard</x:v>
      </x:c>
      <x:c r="M34" s="22" t="str">
        <x:v>Rate Hike</x:v>
      </x:c>
      <x:c r="N34" s="22" t="str">
        <x:v>Basic / Advanced Earned Pack</x:v>
      </x:c>
      <x:c r="O34" s="22" t="str">
        <x:v>Yes</x:v>
      </x:c>
      <x:c r="P34" s="22" t="str">
        <x:v>Uncommon Parts</x:v>
      </x:c>
      <x:c r="Q34" s="79" t="n">
        <x:v>60</x:v>
      </x:c>
      <x:c r="R34" s="79" t="n">
        <x:v>15</x:v>
      </x:c>
      <x:c r="S34" s="79" t="str">
        <x:v>15 min</x:v>
      </x:c>
      <x:c r="T34" s="79" t="n">
        <x:v>12</x:v>
      </x:c>
      <x:c r="U34" s="22" t="str">
        <x:v>Efficiency sidegrade</x:v>
      </x:c>
      <x:c r="V34" s="22" t="str">
        <x:v>No</x:v>
      </x:c>
      <x:c r="W34" s="22" t="str">
        <x:v>No</x:v>
      </x:c>
      <x:c r="X34" s="34" t="str">
        <x:v>Server-authoritative config; effects subject to stacking and hard caps.</x:v>
      </x:c>
    </x:row>
    <x:row r="35">
      <x:c r="A35" s="33" t="str">
        <x:v>mod_sme_relationship_desk</x:v>
      </x:c>
      <x:c r="B35" s="22" t="str">
        <x:v>SME Relationship Desk</x:v>
      </x:c>
      <x:c r="C35" s="22" t="str">
        <x:v>Uncommon</x:v>
      </x:c>
      <x:c r="D35" s="22" t="str">
        <x:v>Customer</x:v>
      </x:c>
      <x:c r="E35" s="22" t="str">
        <x:v>Banking, Lending, Advisory</x:v>
      </x:c>
      <x:c r="F35" s="22" t="str">
        <x:v>+8% Small Business acquisition</x:v>
      </x:c>
      <x:c r="G35" s="22" t="str">
        <x:v>-3% General Consumer acquisition</x:v>
      </x:c>
      <x:c r="H35" s="22" t="str"/>
      <x:c r="I35" s="22" t="str">
        <x:v>customer</x:v>
      </x:c>
      <x:c r="J35" s="22" t="str">
        <x:v>Starter</x:v>
      </x:c>
      <x:c r="K35" s="22" t="str">
        <x:v>Mastery II — choose from compatible family pool</x:v>
      </x:c>
      <x:c r="L35" s="22" t="str">
        <x:v>Standard</x:v>
      </x:c>
      <x:c r="M35" s="22" t="str">
        <x:v>M&amp;A Boom</x:v>
      </x:c>
      <x:c r="N35" s="22" t="str">
        <x:v>Basic / Advanced Earned Pack</x:v>
      </x:c>
      <x:c r="O35" s="22" t="str">
        <x:v>Yes</x:v>
      </x:c>
      <x:c r="P35" s="22" t="str">
        <x:v>Uncommon Parts</x:v>
      </x:c>
      <x:c r="Q35" s="79" t="n">
        <x:v>60</x:v>
      </x:c>
      <x:c r="R35" s="79" t="n">
        <x:v>15</x:v>
      </x:c>
      <x:c r="S35" s="79" t="str">
        <x:v>15 min</x:v>
      </x:c>
      <x:c r="T35" s="79" t="n">
        <x:v>12</x:v>
      </x:c>
      <x:c r="U35" s="22" t="str">
        <x:v>SME specialization</x:v>
      </x:c>
      <x:c r="V35" s="22" t="str">
        <x:v>No</x:v>
      </x:c>
      <x:c r="W35" s="22" t="str">
        <x:v>No</x:v>
      </x:c>
      <x:c r="X35" s="34" t="str">
        <x:v>Server-authoritative config; effects subject to stacking and hard caps.</x:v>
      </x:c>
    </x:row>
    <x:row r="36">
      <x:c r="A36" s="33" t="str">
        <x:v>mod_retail_investor_campaign</x:v>
      </x:c>
      <x:c r="B36" s="22" t="str">
        <x:v>Retail Investor Campaign</x:v>
      </x:c>
      <x:c r="C36" s="22" t="str">
        <x:v>Uncommon</x:v>
      </x:c>
      <x:c r="D36" s="22" t="str">
        <x:v>Customer</x:v>
      </x:c>
      <x:c r="E36" s="22" t="str">
        <x:v>Brokerage, Trading, Advisory</x:v>
      </x:c>
      <x:c r="F36" s="22" t="str">
        <x:v>+8% Retail Investor acquisition</x:v>
      </x:c>
      <x:c r="G36" s="22" t="str">
        <x:v>+2 Reputation Risk if Service &lt;60</x:v>
      </x:c>
      <x:c r="H36" s="22" t="str">
        <x:v>Service Quality &gt;=60</x:v>
      </x:c>
      <x:c r="I36" s="22" t="str">
        <x:v>customer</x:v>
      </x:c>
      <x:c r="J36" s="22" t="str">
        <x:v>Starter</x:v>
      </x:c>
      <x:c r="K36" s="22" t="str">
        <x:v>Mastery II — choose from compatible family pool</x:v>
      </x:c>
      <x:c r="L36" s="22" t="str">
        <x:v>Standard</x:v>
      </x:c>
      <x:c r="M36" s="22" t="str">
        <x:v>Bull Market</x:v>
      </x:c>
      <x:c r="N36" s="22" t="str">
        <x:v>Basic / Advanced Earned Pack</x:v>
      </x:c>
      <x:c r="O36" s="22" t="str">
        <x:v>Yes</x:v>
      </x:c>
      <x:c r="P36" s="22" t="str">
        <x:v>Uncommon Parts</x:v>
      </x:c>
      <x:c r="Q36" s="79" t="n">
        <x:v>60</x:v>
      </x:c>
      <x:c r="R36" s="79" t="n">
        <x:v>15</x:v>
      </x:c>
      <x:c r="S36" s="79" t="str">
        <x:v>15 min</x:v>
      </x:c>
      <x:c r="T36" s="79" t="n">
        <x:v>12</x:v>
      </x:c>
      <x:c r="U36" s="22" t="str">
        <x:v>Retail growth</x:v>
      </x:c>
      <x:c r="V36" s="22" t="str">
        <x:v>No</x:v>
      </x:c>
      <x:c r="W36" s="22" t="str">
        <x:v>No</x:v>
      </x:c>
      <x:c r="X36" s="34" t="str">
        <x:v>Server-authoritative config; effects subject to stacking and hard caps.</x:v>
      </x:c>
    </x:row>
    <x:row r="37">
      <x:c r="A37" s="33" t="str">
        <x:v>mod_claims_automation</x:v>
      </x:c>
      <x:c r="B37" s="22" t="str">
        <x:v>Claims Automation</x:v>
      </x:c>
      <x:c r="C37" s="22" t="str">
        <x:v>Uncommon</x:v>
      </x:c>
      <x:c r="D37" s="22" t="str">
        <x:v>Service</x:v>
      </x:c>
      <x:c r="E37" s="22" t="str">
        <x:v>Insurance</x:v>
      </x:c>
      <x:c r="F37" s="22" t="str">
        <x:v>+5 Service Quality</x:v>
      </x:c>
      <x:c r="G37" s="22" t="str">
        <x:v>-3 Operational Risk</x:v>
      </x:c>
      <x:c r="H37" s="22" t="str"/>
      <x:c r="I37" s="22" t="str">
        <x:v>service</x:v>
      </x:c>
      <x:c r="J37" s="22" t="str">
        <x:v>Starter</x:v>
      </x:c>
      <x:c r="K37" s="22" t="str">
        <x:v>Mastery II — choose from compatible family pool</x:v>
      </x:c>
      <x:c r="L37" s="22" t="str">
        <x:v>Standard</x:v>
      </x:c>
      <x:c r="M37" s="22" t="str">
        <x:v>Regulatory Approval</x:v>
      </x:c>
      <x:c r="N37" s="22" t="str">
        <x:v>Basic / Advanced Earned Pack</x:v>
      </x:c>
      <x:c r="O37" s="22" t="str">
        <x:v>Yes</x:v>
      </x:c>
      <x:c r="P37" s="22" t="str">
        <x:v>Uncommon Parts</x:v>
      </x:c>
      <x:c r="Q37" s="79" t="n">
        <x:v>60</x:v>
      </x:c>
      <x:c r="R37" s="79" t="n">
        <x:v>15</x:v>
      </x:c>
      <x:c r="S37" s="79" t="str">
        <x:v>15 min</x:v>
      </x:c>
      <x:c r="T37" s="79" t="n">
        <x:v>12</x:v>
      </x:c>
      <x:c r="U37" s="22" t="str">
        <x:v>Insurance automation</x:v>
      </x:c>
      <x:c r="V37" s="22" t="str">
        <x:v>No</x:v>
      </x:c>
      <x:c r="W37" s="22" t="str">
        <x:v>No</x:v>
      </x:c>
      <x:c r="X37" s="34" t="str">
        <x:v>Server-authoritative config; effects subject to stacking and hard caps.</x:v>
      </x:c>
    </x:row>
    <x:row r="38">
      <x:c r="A38" s="33" t="str">
        <x:v>mod_smart_order_routing</x:v>
      </x:c>
      <x:c r="B38" s="22" t="str">
        <x:v>Smart Order Routing</x:v>
      </x:c>
      <x:c r="C38" s="22" t="str">
        <x:v>Uncommon</x:v>
      </x:c>
      <x:c r="D38" s="22" t="str">
        <x:v>Market</x:v>
      </x:c>
      <x:c r="E38" s="22" t="str">
        <x:v>Trading, Brokerage, Exchange, Market Making</x:v>
      </x:c>
      <x:c r="F38" s="22" t="str">
        <x:v>+7% capacity</x:v>
      </x:c>
      <x:c r="G38" s="22" t="str">
        <x:v>+2% activity efficiency</x:v>
      </x:c>
      <x:c r="H38" s="22" t="str"/>
      <x:c r="I38" s="22" t="str">
        <x:v>market</x:v>
      </x:c>
      <x:c r="J38" s="22" t="str">
        <x:v>Starter</x:v>
      </x:c>
      <x:c r="K38" s="22" t="str">
        <x:v>Mastery II — choose from compatible family pool</x:v>
      </x:c>
      <x:c r="L38" s="22" t="str">
        <x:v>Standard</x:v>
      </x:c>
      <x:c r="M38" s="22" t="str">
        <x:v>Volatility Spike</x:v>
      </x:c>
      <x:c r="N38" s="22" t="str">
        <x:v>Basic / Advanced Earned Pack</x:v>
      </x:c>
      <x:c r="O38" s="22" t="str">
        <x:v>Yes</x:v>
      </x:c>
      <x:c r="P38" s="22" t="str">
        <x:v>Uncommon Parts</x:v>
      </x:c>
      <x:c r="Q38" s="79" t="n">
        <x:v>60</x:v>
      </x:c>
      <x:c r="R38" s="79" t="n">
        <x:v>15</x:v>
      </x:c>
      <x:c r="S38" s="79" t="str">
        <x:v>15 min</x:v>
      </x:c>
      <x:c r="T38" s="79" t="n">
        <x:v>12</x:v>
      </x:c>
      <x:c r="U38" s="22" t="str">
        <x:v>Execution</x:v>
      </x:c>
      <x:c r="V38" s="22" t="str">
        <x:v>No</x:v>
      </x:c>
      <x:c r="W38" s="22" t="str">
        <x:v>No</x:v>
      </x:c>
      <x:c r="X38" s="34" t="str">
        <x:v>Server-authoritative config; effects subject to stacking and hard caps.</x:v>
      </x:c>
    </x:row>
    <x:row r="39">
      <x:c r="A39" s="33" t="str">
        <x:v>mod_conservative_underwriting</x:v>
      </x:c>
      <x:c r="B39" s="22" t="str">
        <x:v>Conservative Underwriting</x:v>
      </x:c>
      <x:c r="C39" s="22" t="str">
        <x:v>Uncommon</x:v>
      </x:c>
      <x:c r="D39" s="22" t="str">
        <x:v>Credit</x:v>
      </x:c>
      <x:c r="E39" s="22" t="str">
        <x:v>Lending, Banking</x:v>
      </x:c>
      <x:c r="F39" s="22" t="str">
        <x:v>-6 Credit Risk</x:v>
      </x:c>
      <x:c r="G39" s="22" t="str">
        <x:v>-5% activity efficiency</x:v>
      </x:c>
      <x:c r="H39" s="22" t="str"/>
      <x:c r="I39" s="22" t="str">
        <x:v>credit</x:v>
      </x:c>
      <x:c r="J39" s="22" t="str">
        <x:v>Starter</x:v>
      </x:c>
      <x:c r="K39" s="22" t="str">
        <x:v>Mastery II — choose from compatible family pool</x:v>
      </x:c>
      <x:c r="L39" s="22" t="str">
        <x:v>Standard</x:v>
      </x:c>
      <x:c r="M39" s="22" t="str">
        <x:v>Credit Boom</x:v>
      </x:c>
      <x:c r="N39" s="22" t="str">
        <x:v>Basic / Advanced Earned Pack</x:v>
      </x:c>
      <x:c r="O39" s="22" t="str">
        <x:v>Yes</x:v>
      </x:c>
      <x:c r="P39" s="22" t="str">
        <x:v>Uncommon Parts</x:v>
      </x:c>
      <x:c r="Q39" s="79" t="n">
        <x:v>60</x:v>
      </x:c>
      <x:c r="R39" s="79" t="n">
        <x:v>15</x:v>
      </x:c>
      <x:c r="S39" s="79" t="str">
        <x:v>15 min</x:v>
      </x:c>
      <x:c r="T39" s="79" t="n">
        <x:v>12</x:v>
      </x:c>
      <x:c r="U39" s="22" t="str">
        <x:v>Defensive lending</x:v>
      </x:c>
      <x:c r="V39" s="22" t="str">
        <x:v>No</x:v>
      </x:c>
      <x:c r="W39" s="22" t="str">
        <x:v>No</x:v>
      </x:c>
      <x:c r="X39" s="34" t="str">
        <x:v>Server-authoritative config; effects subject to stacking and hard caps.</x:v>
      </x:c>
    </x:row>
    <x:row r="40">
      <x:c r="A40" s="33" t="str">
        <x:v>mod_concierge_desk</x:v>
      </x:c>
      <x:c r="B40" s="22" t="str">
        <x:v>Concierge Desk</x:v>
      </x:c>
      <x:c r="C40" s="22" t="str">
        <x:v>Uncommon</x:v>
      </x:c>
      <x:c r="D40" s="22" t="str">
        <x:v>Wealth</x:v>
      </x:c>
      <x:c r="E40" s="22" t="str">
        <x:v>Wealth, Private Banking, Advisory</x:v>
      </x:c>
      <x:c r="F40" s="22" t="str">
        <x:v>+8% HNW acquisition</x:v>
      </x:c>
      <x:c r="G40" s="22" t="str">
        <x:v>-4% General Consumer acquisition</x:v>
      </x:c>
      <x:c r="H40" s="22" t="str"/>
      <x:c r="I40" s="22" t="str">
        <x:v>wealth</x:v>
      </x:c>
      <x:c r="J40" s="22" t="str">
        <x:v>Starter</x:v>
      </x:c>
      <x:c r="K40" s="22" t="str">
        <x:v>Mastery II — choose from compatible family pool</x:v>
      </x:c>
      <x:c r="L40" s="22" t="str">
        <x:v>Standard</x:v>
      </x:c>
      <x:c r="M40" s="22" t="str">
        <x:v>Dividend Week</x:v>
      </x:c>
      <x:c r="N40" s="22" t="str">
        <x:v>Basic / Advanced Earned Pack</x:v>
      </x:c>
      <x:c r="O40" s="22" t="str">
        <x:v>Yes</x:v>
      </x:c>
      <x:c r="P40" s="22" t="str">
        <x:v>Uncommon Parts</x:v>
      </x:c>
      <x:c r="Q40" s="79" t="n">
        <x:v>60</x:v>
      </x:c>
      <x:c r="R40" s="79" t="n">
        <x:v>15</x:v>
      </x:c>
      <x:c r="S40" s="79" t="str">
        <x:v>15 min</x:v>
      </x:c>
      <x:c r="T40" s="79" t="n">
        <x:v>12</x:v>
      </x:c>
      <x:c r="U40" s="22" t="str">
        <x:v>HNW acquisition</x:v>
      </x:c>
      <x:c r="V40" s="22" t="str">
        <x:v>No</x:v>
      </x:c>
      <x:c r="W40" s="22" t="str">
        <x:v>No</x:v>
      </x:c>
      <x:c r="X40" s="34" t="str">
        <x:v>Server-authoritative config; effects subject to stacking and hard caps.</x:v>
      </x:c>
    </x:row>
    <x:row r="41">
      <x:c r="A41" s="33" t="str">
        <x:v>mod_liquidity_dashboard</x:v>
      </x:c>
      <x:c r="B41" s="22" t="str">
        <x:v>Liquidity Dashboard</x:v>
      </x:c>
      <x:c r="C41" s="22" t="str">
        <x:v>Uncommon</x:v>
      </x:c>
      <x:c r="D41" s="22" t="str">
        <x:v>Liquidity</x:v>
      </x:c>
      <x:c r="E41" s="22" t="str">
        <x:v>Banking, Treasury, FX, Market Making, Exchange</x:v>
      </x:c>
      <x:c r="F41" s="22" t="str">
        <x:v>-6 Liquidity Risk</x:v>
      </x:c>
      <x:c r="G41" s="22" t="str">
        <x:v>-2% operating cost efficiency</x:v>
      </x:c>
      <x:c r="H41" s="22" t="str"/>
      <x:c r="I41" s="22" t="str">
        <x:v>liquidity</x:v>
      </x:c>
      <x:c r="J41" s="22" t="str">
        <x:v>Starter</x:v>
      </x:c>
      <x:c r="K41" s="22" t="str">
        <x:v>Mastery II — choose from compatible family pool</x:v>
      </x:c>
      <x:c r="L41" s="22" t="str">
        <x:v>Standard</x:v>
      </x:c>
      <x:c r="M41" s="22" t="str">
        <x:v>Liquidity Crunch</x:v>
      </x:c>
      <x:c r="N41" s="22" t="str">
        <x:v>Basic / Advanced Earned Pack</x:v>
      </x:c>
      <x:c r="O41" s="22" t="str">
        <x:v>Yes</x:v>
      </x:c>
      <x:c r="P41" s="22" t="str">
        <x:v>Uncommon Parts</x:v>
      </x:c>
      <x:c r="Q41" s="79" t="n">
        <x:v>60</x:v>
      </x:c>
      <x:c r="R41" s="79" t="n">
        <x:v>15</x:v>
      </x:c>
      <x:c r="S41" s="79" t="str">
        <x:v>15 min</x:v>
      </x:c>
      <x:c r="T41" s="79" t="n">
        <x:v>12</x:v>
      </x:c>
      <x:c r="U41" s="22" t="str">
        <x:v>Liquidity control</x:v>
      </x:c>
      <x:c r="V41" s="22" t="str">
        <x:v>No</x:v>
      </x:c>
      <x:c r="W41" s="22" t="str">
        <x:v>No</x:v>
      </x:c>
      <x:c r="X41" s="34" t="str">
        <x:v>Server-authoritative config; effects subject to stacking and hard caps.</x:v>
      </x:c>
    </x:row>
    <x:row r="42">
      <x:c r="A42" s="33" t="str">
        <x:v>mod_client_segmentation</x:v>
      </x:c>
      <x:c r="B42" s="22" t="str">
        <x:v>Client Segmentation</x:v>
      </x:c>
      <x:c r="C42" s="22" t="str">
        <x:v>Uncommon</x:v>
      </x:c>
      <x:c r="D42" s="22" t="str">
        <x:v>Customer</x:v>
      </x:c>
      <x:c r="E42" s="22" t="str">
        <x:v>Banking, Brokerage, Insurance, Advisory</x:v>
      </x:c>
      <x:c r="F42" s="22" t="str">
        <x:v>+6% acquisition</x:v>
      </x:c>
      <x:c r="G42" s="22" t="str">
        <x:v>+4% retention</x:v>
      </x:c>
      <x:c r="H42" s="22" t="str">
        <x:v>Targeting overhead: -2% capacity</x:v>
      </x:c>
      <x:c r="I42" s="22" t="str">
        <x:v>customer</x:v>
      </x:c>
      <x:c r="J42" s="22" t="str">
        <x:v>Starter</x:v>
      </x:c>
      <x:c r="K42" s="22" t="str">
        <x:v>Mastery II — choose from compatible family pool</x:v>
      </x:c>
      <x:c r="L42" s="22" t="str">
        <x:v>Standard</x:v>
      </x:c>
      <x:c r="M42" s="22" t="str">
        <x:v>Earnings Season</x:v>
      </x:c>
      <x:c r="N42" s="22" t="str">
        <x:v>Basic / Advanced Earned Pack</x:v>
      </x:c>
      <x:c r="O42" s="22" t="str">
        <x:v>Yes</x:v>
      </x:c>
      <x:c r="P42" s="22" t="str">
        <x:v>Uncommon Parts</x:v>
      </x:c>
      <x:c r="Q42" s="79" t="n">
        <x:v>60</x:v>
      </x:c>
      <x:c r="R42" s="79" t="n">
        <x:v>15</x:v>
      </x:c>
      <x:c r="S42" s="79" t="str">
        <x:v>15 min</x:v>
      </x:c>
      <x:c r="T42" s="79" t="n">
        <x:v>12</x:v>
      </x:c>
      <x:c r="U42" s="22" t="str">
        <x:v>Segmentation</x:v>
      </x:c>
      <x:c r="V42" s="22" t="str">
        <x:v>No</x:v>
      </x:c>
      <x:c r="W42" s="22" t="str">
        <x:v>No</x:v>
      </x:c>
      <x:c r="X42" s="34" t="str">
        <x:v>Server-authoritative config; effects subject to stacking and hard caps.</x:v>
      </x:c>
    </x:row>
    <x:row r="43">
      <x:c r="A43" s="33" t="str">
        <x:v>mod_fee_optimization</x:v>
      </x:c>
      <x:c r="B43" s="22" t="str">
        <x:v>Fee Optimization</x:v>
      </x:c>
      <x:c r="C43" s="22" t="str">
        <x:v>Uncommon</x:v>
      </x:c>
      <x:c r="D43" s="22" t="str">
        <x:v>Operations</x:v>
      </x:c>
      <x:c r="E43" s="22" t="str">
        <x:v>All</x:v>
      </x:c>
      <x:c r="F43" s="22" t="str">
        <x:v>-7% operating cost</x:v>
      </x:c>
      <x:c r="G43" s="22" t="str">
        <x:v>-3% customer acquisition</x:v>
      </x:c>
      <x:c r="H43" s="22" t="str"/>
      <x:c r="I43" s="22" t="str">
        <x:v>operations</x:v>
      </x:c>
      <x:c r="J43" s="22" t="str">
        <x:v>Starter</x:v>
      </x:c>
      <x:c r="K43" s="22" t="str">
        <x:v>Mastery II — choose from compatible family pool</x:v>
      </x:c>
      <x:c r="L43" s="22" t="str">
        <x:v>Standard</x:v>
      </x:c>
      <x:c r="M43" s="22" t="str">
        <x:v>Rate Hike</x:v>
      </x:c>
      <x:c r="N43" s="22" t="str">
        <x:v>Basic / Advanced Earned Pack</x:v>
      </x:c>
      <x:c r="O43" s="22" t="str">
        <x:v>Yes</x:v>
      </x:c>
      <x:c r="P43" s="22" t="str">
        <x:v>Uncommon Parts</x:v>
      </x:c>
      <x:c r="Q43" s="79" t="n">
        <x:v>60</x:v>
      </x:c>
      <x:c r="R43" s="79" t="n">
        <x:v>15</x:v>
      </x:c>
      <x:c r="S43" s="79" t="str">
        <x:v>15 min</x:v>
      </x:c>
      <x:c r="T43" s="79" t="n">
        <x:v>12</x:v>
      </x:c>
      <x:c r="U43" s="22" t="str">
        <x:v>Cost vs growth</x:v>
      </x:c>
      <x:c r="V43" s="22" t="str">
        <x:v>No</x:v>
      </x:c>
      <x:c r="W43" s="22" t="str">
        <x:v>No</x:v>
      </x:c>
      <x:c r="X43" s="34" t="str">
        <x:v>Server-authoritative config; effects subject to stacking and hard caps.</x:v>
      </x:c>
    </x:row>
    <x:row r="44">
      <x:c r="A44" s="33" t="str">
        <x:v>mod_branch_workflow</x:v>
      </x:c>
      <x:c r="B44" s="22" t="str">
        <x:v>Branch Workflow</x:v>
      </x:c>
      <x:c r="C44" s="22" t="str">
        <x:v>Uncommon</x:v>
      </x:c>
      <x:c r="D44" s="22" t="str">
        <x:v>Operations</x:v>
      </x:c>
      <x:c r="E44" s="22" t="str">
        <x:v>Banking, Lending, Insurance</x:v>
      </x:c>
      <x:c r="F44" s="22" t="str">
        <x:v>+7% capacity</x:v>
      </x:c>
      <x:c r="G44" s="22" t="str">
        <x:v>+2 Service Quality</x:v>
      </x:c>
      <x:c r="H44" s="22" t="str"/>
      <x:c r="I44" s="22" t="str">
        <x:v>operations</x:v>
      </x:c>
      <x:c r="J44" s="22" t="str">
        <x:v>Starter</x:v>
      </x:c>
      <x:c r="K44" s="22" t="str">
        <x:v>Mastery II — choose from compatible family pool</x:v>
      </x:c>
      <x:c r="L44" s="22" t="str">
        <x:v>Standard</x:v>
      </x:c>
      <x:c r="M44" s="22" t="str">
        <x:v>Generic Module reward pool</x:v>
      </x:c>
      <x:c r="N44" s="22" t="str">
        <x:v>Basic / Advanced Earned Pack</x:v>
      </x:c>
      <x:c r="O44" s="22" t="str">
        <x:v>Yes</x:v>
      </x:c>
      <x:c r="P44" s="22" t="str">
        <x:v>Uncommon Parts</x:v>
      </x:c>
      <x:c r="Q44" s="79" t="n">
        <x:v>60</x:v>
      </x:c>
      <x:c r="R44" s="79" t="n">
        <x:v>15</x:v>
      </x:c>
      <x:c r="S44" s="79" t="str">
        <x:v>15 min</x:v>
      </x:c>
      <x:c r="T44" s="79" t="n">
        <x:v>12</x:v>
      </x:c>
      <x:c r="U44" s="22" t="str">
        <x:v>Branch efficiency</x:v>
      </x:c>
      <x:c r="V44" s="22" t="str">
        <x:v>No</x:v>
      </x:c>
      <x:c r="W44" s="22" t="str">
        <x:v>No</x:v>
      </x:c>
      <x:c r="X44" s="34" t="str">
        <x:v>Server-authoritative config; effects subject to stacking and hard caps.</x:v>
      </x:c>
    </x:row>
    <x:row r="45">
      <x:c r="A45" s="33" t="str">
        <x:v>mod_cross_sell_playbook</x:v>
      </x:c>
      <x:c r="B45" s="22" t="str">
        <x:v>Cross-Sell Playbook</x:v>
      </x:c>
      <x:c r="C45" s="22" t="str">
        <x:v>Uncommon</x:v>
      </x:c>
      <x:c r="D45" s="22" t="str">
        <x:v>Customer</x:v>
      </x:c>
      <x:c r="E45" s="22" t="str">
        <x:v>Banking, Wealth, Advisory, Insurance</x:v>
      </x:c>
      <x:c r="F45" s="22" t="str">
        <x:v>+6% retention</x:v>
      </x:c>
      <x:c r="G45" s="22" t="str">
        <x:v>+5% activity efficiency</x:v>
      </x:c>
      <x:c r="H45" s="22" t="str">
        <x:v>+2 Reputation Risk if Service &lt;65</x:v>
      </x:c>
      <x:c r="I45" s="22" t="str">
        <x:v>customer</x:v>
      </x:c>
      <x:c r="J45" s="22" t="str">
        <x:v>Starter</x:v>
      </x:c>
      <x:c r="K45" s="22" t="str">
        <x:v>Mastery II — choose from compatible family pool</x:v>
      </x:c>
      <x:c r="L45" s="22" t="str">
        <x:v>Standard</x:v>
      </x:c>
      <x:c r="M45" s="22" t="str">
        <x:v>Earnings Season</x:v>
      </x:c>
      <x:c r="N45" s="22" t="str">
        <x:v>Basic / Advanced Earned Pack</x:v>
      </x:c>
      <x:c r="O45" s="22" t="str">
        <x:v>Yes</x:v>
      </x:c>
      <x:c r="P45" s="22" t="str">
        <x:v>Uncommon Parts</x:v>
      </x:c>
      <x:c r="Q45" s="79" t="n">
        <x:v>60</x:v>
      </x:c>
      <x:c r="R45" s="79" t="n">
        <x:v>15</x:v>
      </x:c>
      <x:c r="S45" s="79" t="str">
        <x:v>15 min</x:v>
      </x:c>
      <x:c r="T45" s="79" t="n">
        <x:v>12</x:v>
      </x:c>
      <x:c r="U45" s="22" t="str">
        <x:v>Cross-sell</x:v>
      </x:c>
      <x:c r="V45" s="22" t="str">
        <x:v>No</x:v>
      </x:c>
      <x:c r="W45" s="22" t="str">
        <x:v>No</x:v>
      </x:c>
      <x:c r="X45" s="34" t="str">
        <x:v>Server-authoritative config; effects subject to stacking and hard caps.</x:v>
      </x:c>
    </x:row>
    <x:row r="46">
      <x:c r="A46" s="33" t="str">
        <x:v>mod_research_terminal</x:v>
      </x:c>
      <x:c r="B46" s="22" t="str">
        <x:v>Research Terminal</x:v>
      </x:c>
      <x:c r="C46" s="22" t="str">
        <x:v>Uncommon</x:v>
      </x:c>
      <x:c r="D46" s="22" t="str">
        <x:v>Research</x:v>
      </x:c>
      <x:c r="E46" s="22" t="str">
        <x:v>Research, Brokerage, Asset Management, Advisory</x:v>
      </x:c>
      <x:c r="F46" s="22" t="str">
        <x:v>+6% activity efficiency</x:v>
      </x:c>
      <x:c r="G46" s="22" t="str">
        <x:v>+3 Service Quality</x:v>
      </x:c>
      <x:c r="H46" s="22" t="str"/>
      <x:c r="I46" s="22" t="str">
        <x:v>research</x:v>
      </x:c>
      <x:c r="J46" s="22" t="str">
        <x:v>Starter</x:v>
      </x:c>
      <x:c r="K46" s="22" t="str">
        <x:v>Mastery II — choose from compatible family pool</x:v>
      </x:c>
      <x:c r="L46" s="22" t="str">
        <x:v>Standard</x:v>
      </x:c>
      <x:c r="M46" s="22" t="str">
        <x:v>Tech Rally</x:v>
      </x:c>
      <x:c r="N46" s="22" t="str">
        <x:v>Basic / Advanced Earned Pack</x:v>
      </x:c>
      <x:c r="O46" s="22" t="str">
        <x:v>Yes</x:v>
      </x:c>
      <x:c r="P46" s="22" t="str">
        <x:v>Uncommon Parts</x:v>
      </x:c>
      <x:c r="Q46" s="79" t="n">
        <x:v>60</x:v>
      </x:c>
      <x:c r="R46" s="79" t="n">
        <x:v>15</x:v>
      </x:c>
      <x:c r="S46" s="79" t="str">
        <x:v>15 min</x:v>
      </x:c>
      <x:c r="T46" s="79" t="n">
        <x:v>12</x:v>
      </x:c>
      <x:c r="U46" s="22" t="str">
        <x:v>Research</x:v>
      </x:c>
      <x:c r="V46" s="22" t="str">
        <x:v>No</x:v>
      </x:c>
      <x:c r="W46" s="22" t="str">
        <x:v>No</x:v>
      </x:c>
      <x:c r="X46" s="34" t="str">
        <x:v>Server-authoritative config; effects subject to stacking and hard caps.</x:v>
      </x:c>
    </x:row>
    <x:row r="47">
      <x:c r="A47" s="33" t="str">
        <x:v>mod_risk_alerting</x:v>
      </x:c>
      <x:c r="B47" s="22" t="str">
        <x:v>Risk Alerting</x:v>
      </x:c>
      <x:c r="C47" s="22" t="str">
        <x:v>Uncommon</x:v>
      </x:c>
      <x:c r="D47" s="22" t="str">
        <x:v>Risk</x:v>
      </x:c>
      <x:c r="E47" s="22" t="str">
        <x:v>All</x:v>
      </x:c>
      <x:c r="F47" s="22" t="str">
        <x:v>-5 Operational Risk</x:v>
      </x:c>
      <x:c r="G47" s="22" t="str">
        <x:v>-3 Market Risk</x:v>
      </x:c>
      <x:c r="H47" s="22" t="str">
        <x:v>Composite Risk &lt;=70</x:v>
      </x:c>
      <x:c r="I47" s="22" t="str">
        <x:v>risk</x:v>
      </x:c>
      <x:c r="J47" s="22" t="str">
        <x:v>Starter</x:v>
      </x:c>
      <x:c r="K47" s="22" t="str">
        <x:v>Mastery II — choose from compatible family pool</x:v>
      </x:c>
      <x:c r="L47" s="22" t="str">
        <x:v>Standard</x:v>
      </x:c>
      <x:c r="M47" s="22" t="str">
        <x:v>Market Correction</x:v>
      </x:c>
      <x:c r="N47" s="22" t="str">
        <x:v>Basic / Advanced Earned Pack</x:v>
      </x:c>
      <x:c r="O47" s="22" t="str">
        <x:v>Yes</x:v>
      </x:c>
      <x:c r="P47" s="22" t="str">
        <x:v>Uncommon Parts</x:v>
      </x:c>
      <x:c r="Q47" s="79" t="n">
        <x:v>60</x:v>
      </x:c>
      <x:c r="R47" s="79" t="n">
        <x:v>15</x:v>
      </x:c>
      <x:c r="S47" s="79" t="str">
        <x:v>15 min</x:v>
      </x:c>
      <x:c r="T47" s="79" t="n">
        <x:v>12</x:v>
      </x:c>
      <x:c r="U47" s="22" t="str">
        <x:v>Risk monitoring</x:v>
      </x:c>
      <x:c r="V47" s="22" t="str">
        <x:v>No</x:v>
      </x:c>
      <x:c r="W47" s="22" t="str">
        <x:v>No</x:v>
      </x:c>
      <x:c r="X47" s="34" t="str">
        <x:v>Server-authoritative config; effects subject to stacking and hard caps.</x:v>
      </x:c>
    </x:row>
    <x:row r="48">
      <x:c r="A48" s="33" t="str">
        <x:v>mod_treasury_sweep</x:v>
      </x:c>
      <x:c r="B48" s="22" t="str">
        <x:v>Treasury Sweep</x:v>
      </x:c>
      <x:c r="C48" s="22" t="str">
        <x:v>Uncommon</x:v>
      </x:c>
      <x:c r="D48" s="22" t="str">
        <x:v>Liquidity</x:v>
      </x:c>
      <x:c r="E48" s="22" t="str">
        <x:v>Treasury, Banking</x:v>
      </x:c>
      <x:c r="F48" s="22" t="str">
        <x:v>-6 Liquidity Risk</x:v>
      </x:c>
      <x:c r="G48" s="22" t="str">
        <x:v>+4% capacity</x:v>
      </x:c>
      <x:c r="H48" s="22" t="str">
        <x:v>Reserve Ratio &gt;=10%</x:v>
      </x:c>
      <x:c r="I48" s="22" t="str">
        <x:v>liquidity</x:v>
      </x:c>
      <x:c r="J48" s="22" t="str">
        <x:v>Starter</x:v>
      </x:c>
      <x:c r="K48" s="22" t="str">
        <x:v>Mastery II — choose from compatible family pool</x:v>
      </x:c>
      <x:c r="L48" s="22" t="str">
        <x:v>Standard</x:v>
      </x:c>
      <x:c r="M48" s="22" t="str">
        <x:v>Liquidity Crunch</x:v>
      </x:c>
      <x:c r="N48" s="22" t="str">
        <x:v>Basic / Advanced Earned Pack</x:v>
      </x:c>
      <x:c r="O48" s="22" t="str">
        <x:v>Yes</x:v>
      </x:c>
      <x:c r="P48" s="22" t="str">
        <x:v>Uncommon Parts</x:v>
      </x:c>
      <x:c r="Q48" s="79" t="n">
        <x:v>60</x:v>
      </x:c>
      <x:c r="R48" s="79" t="n">
        <x:v>15</x:v>
      </x:c>
      <x:c r="S48" s="79" t="str">
        <x:v>15 min</x:v>
      </x:c>
      <x:c r="T48" s="79" t="n">
        <x:v>12</x:v>
      </x:c>
      <x:c r="U48" s="22" t="str">
        <x:v>Treasury efficiency</x:v>
      </x:c>
      <x:c r="V48" s="22" t="str">
        <x:v>No</x:v>
      </x:c>
      <x:c r="W48" s="22" t="str">
        <x:v>No</x:v>
      </x:c>
      <x:c r="X48" s="34" t="str">
        <x:v>Server-authoritative config; effects subject to stacking and hard caps.</x:v>
      </x:c>
    </x:row>
    <x:row r="49">
      <x:c r="A49" s="33" t="str">
        <x:v>mod_fx_netting</x:v>
      </x:c>
      <x:c r="B49" s="22" t="str">
        <x:v>FX Netting</x:v>
      </x:c>
      <x:c r="C49" s="22" t="str">
        <x:v>Uncommon</x:v>
      </x:c>
      <x:c r="D49" s="22" t="str">
        <x:v>Market</x:v>
      </x:c>
      <x:c r="E49" s="22" t="str">
        <x:v>FX, Treasury</x:v>
      </x:c>
      <x:c r="F49" s="22" t="str">
        <x:v>-5 Liquidity Risk</x:v>
      </x:c>
      <x:c r="G49" s="22" t="str">
        <x:v>+5% activity efficiency; +2 Market Risk</x:v>
      </x:c>
      <x:c r="H49" s="22" t="str"/>
      <x:c r="I49" s="22" t="str">
        <x:v>market</x:v>
      </x:c>
      <x:c r="J49" s="22" t="str">
        <x:v>Starter</x:v>
      </x:c>
      <x:c r="K49" s="22" t="str">
        <x:v>Mastery II — choose from compatible family pool</x:v>
      </x:c>
      <x:c r="L49" s="22" t="str">
        <x:v>Standard</x:v>
      </x:c>
      <x:c r="M49" s="22" t="str">
        <x:v>Volatility Spike</x:v>
      </x:c>
      <x:c r="N49" s="22" t="str">
        <x:v>Basic / Advanced Earned Pack</x:v>
      </x:c>
      <x:c r="O49" s="22" t="str">
        <x:v>Yes</x:v>
      </x:c>
      <x:c r="P49" s="22" t="str">
        <x:v>Uncommon Parts</x:v>
      </x:c>
      <x:c r="Q49" s="79" t="n">
        <x:v>60</x:v>
      </x:c>
      <x:c r="R49" s="79" t="n">
        <x:v>15</x:v>
      </x:c>
      <x:c r="S49" s="79" t="str">
        <x:v>15 min</x:v>
      </x:c>
      <x:c r="T49" s="79" t="n">
        <x:v>12</x:v>
      </x:c>
      <x:c r="U49" s="22" t="str">
        <x:v>FX optimization</x:v>
      </x:c>
      <x:c r="V49" s="22" t="str">
        <x:v>No</x:v>
      </x:c>
      <x:c r="W49" s="22" t="str">
        <x:v>No</x:v>
      </x:c>
      <x:c r="X49" s="34" t="str">
        <x:v>Server-authoritative config; effects subject to stacking and hard caps.</x:v>
      </x:c>
    </x:row>
    <x:row r="50">
      <x:c r="A50" s="33" t="str">
        <x:v>mod_digital_onboarding</x:v>
      </x:c>
      <x:c r="B50" s="22" t="str">
        <x:v>Digital Onboarding</x:v>
      </x:c>
      <x:c r="C50" s="22" t="str">
        <x:v>Uncommon</x:v>
      </x:c>
      <x:c r="D50" s="22" t="str">
        <x:v>Operations</x:v>
      </x:c>
      <x:c r="E50" s="22" t="str">
        <x:v>Fintech, Banking, Brokerage, Wealth</x:v>
      </x:c>
      <x:c r="F50" s="22" t="str">
        <x:v>+7% acquisition</x:v>
      </x:c>
      <x:c r="G50" s="22" t="str">
        <x:v>+4% capacity; +2 Operational Risk</x:v>
      </x:c>
      <x:c r="H50" s="22" t="str"/>
      <x:c r="I50" s="22" t="str">
        <x:v>operations</x:v>
      </x:c>
      <x:c r="J50" s="22" t="str">
        <x:v>Starter</x:v>
      </x:c>
      <x:c r="K50" s="22" t="str">
        <x:v>Mastery II — choose from compatible family pool</x:v>
      </x:c>
      <x:c r="L50" s="22" t="str">
        <x:v>Standard</x:v>
      </x:c>
      <x:c r="M50" s="22" t="str">
        <x:v>Tech Rally</x:v>
      </x:c>
      <x:c r="N50" s="22" t="str">
        <x:v>Basic / Advanced Earned Pack</x:v>
      </x:c>
      <x:c r="O50" s="22" t="str">
        <x:v>Yes</x:v>
      </x:c>
      <x:c r="P50" s="22" t="str">
        <x:v>Uncommon Parts</x:v>
      </x:c>
      <x:c r="Q50" s="79" t="n">
        <x:v>60</x:v>
      </x:c>
      <x:c r="R50" s="79" t="n">
        <x:v>15</x:v>
      </x:c>
      <x:c r="S50" s="79" t="str">
        <x:v>15 min</x:v>
      </x:c>
      <x:c r="T50" s="79" t="n">
        <x:v>12</x:v>
      </x:c>
      <x:c r="U50" s="22" t="str">
        <x:v>Digital growth</x:v>
      </x:c>
      <x:c r="V50" s="22" t="str">
        <x:v>No</x:v>
      </x:c>
      <x:c r="W50" s="22" t="str">
        <x:v>No</x:v>
      </x:c>
      <x:c r="X50" s="34" t="str">
        <x:v>Server-authoritative config; effects subject to stacking and hard caps.</x:v>
      </x:c>
    </x:row>
    <x:row r="51">
      <x:c r="A51" s="33" t="str">
        <x:v>mod_corporate_prospecting</x:v>
      </x:c>
      <x:c r="B51" s="22" t="str">
        <x:v>Corporate Prospecting</x:v>
      </x:c>
      <x:c r="C51" s="22" t="str">
        <x:v>Uncommon</x:v>
      </x:c>
      <x:c r="D51" s="22" t="str">
        <x:v>Institutional</x:v>
      </x:c>
      <x:c r="E51" s="22" t="str">
        <x:v>Investment Banking, Banking, Advisory</x:v>
      </x:c>
      <x:c r="F51" s="22" t="str">
        <x:v>+8% Corporate Client acquisition</x:v>
      </x:c>
      <x:c r="G51" s="22" t="str">
        <x:v>-4% General Consumer acquisition</x:v>
      </x:c>
      <x:c r="H51" s="22" t="str"/>
      <x:c r="I51" s="22" t="str">
        <x:v>institutional</x:v>
      </x:c>
      <x:c r="J51" s="22" t="str">
        <x:v>Starter</x:v>
      </x:c>
      <x:c r="K51" s="22" t="str">
        <x:v>Mastery II — choose from compatible family pool</x:v>
      </x:c>
      <x:c r="L51" s="22" t="str">
        <x:v>Standard</x:v>
      </x:c>
      <x:c r="M51" s="22" t="str">
        <x:v>M&amp;A Boom</x:v>
      </x:c>
      <x:c r="N51" s="22" t="str">
        <x:v>Basic / Advanced Earned Pack</x:v>
      </x:c>
      <x:c r="O51" s="22" t="str">
        <x:v>Yes</x:v>
      </x:c>
      <x:c r="P51" s="22" t="str">
        <x:v>Uncommon Parts</x:v>
      </x:c>
      <x:c r="Q51" s="79" t="n">
        <x:v>60</x:v>
      </x:c>
      <x:c r="R51" s="79" t="n">
        <x:v>15</x:v>
      </x:c>
      <x:c r="S51" s="79" t="str">
        <x:v>15 min</x:v>
      </x:c>
      <x:c r="T51" s="79" t="n">
        <x:v>12</x:v>
      </x:c>
      <x:c r="U51" s="22" t="str">
        <x:v>Corporate acquisition</x:v>
      </x:c>
      <x:c r="V51" s="22" t="str">
        <x:v>No</x:v>
      </x:c>
      <x:c r="W51" s="22" t="str">
        <x:v>No</x:v>
      </x:c>
      <x:c r="X51" s="34" t="str">
        <x:v>Server-authoritative config; effects subject to stacking and hard caps.</x:v>
      </x:c>
    </x:row>
    <x:row r="52">
      <x:c r="A52" s="33" t="str">
        <x:v>mod_portfolio_rebalancing</x:v>
      </x:c>
      <x:c r="B52" s="22" t="str">
        <x:v>Portfolio Rebalancing</x:v>
      </x:c>
      <x:c r="C52" s="22" t="str">
        <x:v>Uncommon</x:v>
      </x:c>
      <x:c r="D52" s="22" t="str">
        <x:v>Risk</x:v>
      </x:c>
      <x:c r="E52" s="22" t="str">
        <x:v>Asset Management, Wealth</x:v>
      </x:c>
      <x:c r="F52" s="22" t="str">
        <x:v>-5 Concentration Risk</x:v>
      </x:c>
      <x:c r="G52" s="22" t="str">
        <x:v>+4% activity efficiency</x:v>
      </x:c>
      <x:c r="H52" s="22" t="str"/>
      <x:c r="I52" s="22" t="str">
        <x:v>risk</x:v>
      </x:c>
      <x:c r="J52" s="22" t="str">
        <x:v>Starter</x:v>
      </x:c>
      <x:c r="K52" s="22" t="str">
        <x:v>Mastery II — choose from compatible family pool</x:v>
      </x:c>
      <x:c r="L52" s="22" t="str">
        <x:v>Standard</x:v>
      </x:c>
      <x:c r="M52" s="22" t="str">
        <x:v>Market Correction</x:v>
      </x:c>
      <x:c r="N52" s="22" t="str">
        <x:v>Basic / Advanced Earned Pack</x:v>
      </x:c>
      <x:c r="O52" s="22" t="str">
        <x:v>Yes</x:v>
      </x:c>
      <x:c r="P52" s="22" t="str">
        <x:v>Uncommon Parts</x:v>
      </x:c>
      <x:c r="Q52" s="79" t="n">
        <x:v>60</x:v>
      </x:c>
      <x:c r="R52" s="79" t="n">
        <x:v>15</x:v>
      </x:c>
      <x:c r="S52" s="79" t="str">
        <x:v>15 min</x:v>
      </x:c>
      <x:c r="T52" s="79" t="n">
        <x:v>12</x:v>
      </x:c>
      <x:c r="U52" s="22" t="str">
        <x:v>Portfolio balance</x:v>
      </x:c>
      <x:c r="V52" s="22" t="str">
        <x:v>No</x:v>
      </x:c>
      <x:c r="W52" s="22" t="str">
        <x:v>No</x:v>
      </x:c>
      <x:c r="X52" s="34" t="str">
        <x:v>Server-authoritative config; effects subject to stacking and hard caps.</x:v>
      </x:c>
    </x:row>
    <x:row r="53">
      <x:c r="A53" s="33" t="str">
        <x:v>mod_fraud_screening</x:v>
      </x:c>
      <x:c r="B53" s="22" t="str">
        <x:v>Fraud Screening</x:v>
      </x:c>
      <x:c r="C53" s="22" t="str">
        <x:v>Uncommon</x:v>
      </x:c>
      <x:c r="D53" s="22" t="str">
        <x:v>Risk</x:v>
      </x:c>
      <x:c r="E53" s="22" t="str">
        <x:v>Banking, Fintech, Brokerage, Insurance</x:v>
      </x:c>
      <x:c r="F53" s="22" t="str">
        <x:v>-6 Operational Risk</x:v>
      </x:c>
      <x:c r="G53" s="22" t="str">
        <x:v>-3% capacity</x:v>
      </x:c>
      <x:c r="H53" s="22" t="str"/>
      <x:c r="I53" s="22" t="str">
        <x:v>risk</x:v>
      </x:c>
      <x:c r="J53" s="22" t="str">
        <x:v>Starter</x:v>
      </x:c>
      <x:c r="K53" s="22" t="str">
        <x:v>Mastery II — choose from compatible family pool</x:v>
      </x:c>
      <x:c r="L53" s="22" t="str">
        <x:v>Standard</x:v>
      </x:c>
      <x:c r="M53" s="22" t="str">
        <x:v>Regulatory Approval</x:v>
      </x:c>
      <x:c r="N53" s="22" t="str">
        <x:v>Basic / Advanced Earned Pack</x:v>
      </x:c>
      <x:c r="O53" s="22" t="str">
        <x:v>Yes</x:v>
      </x:c>
      <x:c r="P53" s="22" t="str">
        <x:v>Uncommon Parts</x:v>
      </x:c>
      <x:c r="Q53" s="79" t="n">
        <x:v>60</x:v>
      </x:c>
      <x:c r="R53" s="79" t="n">
        <x:v>15</x:v>
      </x:c>
      <x:c r="S53" s="79" t="str">
        <x:v>15 min</x:v>
      </x:c>
      <x:c r="T53" s="79" t="n">
        <x:v>12</x:v>
      </x:c>
      <x:c r="U53" s="22" t="str">
        <x:v>Fraud prevention</x:v>
      </x:c>
      <x:c r="V53" s="22" t="str">
        <x:v>No</x:v>
      </x:c>
      <x:c r="W53" s="22" t="str">
        <x:v>No</x:v>
      </x:c>
      <x:c r="X53" s="34" t="str">
        <x:v>Server-authoritative config; effects subject to stacking and hard caps.</x:v>
      </x:c>
    </x:row>
    <x:row r="54">
      <x:c r="A54" s="33" t="str">
        <x:v>mod_uptime_monitoring</x:v>
      </x:c>
      <x:c r="B54" s="22" t="str">
        <x:v>Uptime Monitoring</x:v>
      </x:c>
      <x:c r="C54" s="22" t="str">
        <x:v>Uncommon</x:v>
      </x:c>
      <x:c r="D54" s="22" t="str">
        <x:v>Operations</x:v>
      </x:c>
      <x:c r="E54" s="22" t="str">
        <x:v>Fintech, Data, Exchange, Trading</x:v>
      </x:c>
      <x:c r="F54" s="22" t="str">
        <x:v>+6% capacity</x:v>
      </x:c>
      <x:c r="G54" s="22" t="str">
        <x:v>-4 Operational Risk</x:v>
      </x:c>
      <x:c r="H54" s="22" t="str"/>
      <x:c r="I54" s="22" t="str">
        <x:v>operations</x:v>
      </x:c>
      <x:c r="J54" s="22" t="str">
        <x:v>Starter</x:v>
      </x:c>
      <x:c r="K54" s="22" t="str">
        <x:v>Mastery II — choose from compatible family pool</x:v>
      </x:c>
      <x:c r="L54" s="22" t="str">
        <x:v>Standard</x:v>
      </x:c>
      <x:c r="M54" s="22" t="str">
        <x:v>Tech Rally</x:v>
      </x:c>
      <x:c r="N54" s="22" t="str">
        <x:v>Basic / Advanced Earned Pack</x:v>
      </x:c>
      <x:c r="O54" s="22" t="str">
        <x:v>Yes</x:v>
      </x:c>
      <x:c r="P54" s="22" t="str">
        <x:v>Uncommon Parts</x:v>
      </x:c>
      <x:c r="Q54" s="79" t="n">
        <x:v>60</x:v>
      </x:c>
      <x:c r="R54" s="79" t="n">
        <x:v>15</x:v>
      </x:c>
      <x:c r="S54" s="79" t="str">
        <x:v>15 min</x:v>
      </x:c>
      <x:c r="T54" s="79" t="n">
        <x:v>12</x:v>
      </x:c>
      <x:c r="U54" s="22" t="str">
        <x:v>Reliability</x:v>
      </x:c>
      <x:c r="V54" s="22" t="str">
        <x:v>No</x:v>
      </x:c>
      <x:c r="W54" s="22" t="str">
        <x:v>No</x:v>
      </x:c>
      <x:c r="X54" s="34" t="str">
        <x:v>Server-authoritative config; effects subject to stacking and hard caps.</x:v>
      </x:c>
    </x:row>
    <x:row r="55">
      <x:c r="A55" s="33" t="str">
        <x:v>mod_data_enrichment</x:v>
      </x:c>
      <x:c r="B55" s="22" t="str">
        <x:v>Data Enrichment</x:v>
      </x:c>
      <x:c r="C55" s="22" t="str">
        <x:v>Uncommon</x:v>
      </x:c>
      <x:c r="D55" s="22" t="str">
        <x:v>Research</x:v>
      </x:c>
      <x:c r="E55" s="22" t="str">
        <x:v>Data, Research, Fintech, Brokerage</x:v>
      </x:c>
      <x:c r="F55" s="22" t="str">
        <x:v>+5% activity efficiency</x:v>
      </x:c>
      <x:c r="G55" s="22" t="str">
        <x:v>+4 Service Quality</x:v>
      </x:c>
      <x:c r="H55" s="22" t="str"/>
      <x:c r="I55" s="22" t="str">
        <x:v>research</x:v>
      </x:c>
      <x:c r="J55" s="22" t="str">
        <x:v>Starter</x:v>
      </x:c>
      <x:c r="K55" s="22" t="str">
        <x:v>Mastery II — choose from compatible family pool</x:v>
      </x:c>
      <x:c r="L55" s="22" t="str">
        <x:v>Standard</x:v>
      </x:c>
      <x:c r="M55" s="22" t="str">
        <x:v>Tech Rally</x:v>
      </x:c>
      <x:c r="N55" s="22" t="str">
        <x:v>Basic / Advanced Earned Pack</x:v>
      </x:c>
      <x:c r="O55" s="22" t="str">
        <x:v>Yes</x:v>
      </x:c>
      <x:c r="P55" s="22" t="str">
        <x:v>Uncommon Parts</x:v>
      </x:c>
      <x:c r="Q55" s="79" t="n">
        <x:v>60</x:v>
      </x:c>
      <x:c r="R55" s="79" t="n">
        <x:v>15</x:v>
      </x:c>
      <x:c r="S55" s="79" t="str">
        <x:v>15 min</x:v>
      </x:c>
      <x:c r="T55" s="79" t="n">
        <x:v>12</x:v>
      </x:c>
      <x:c r="U55" s="22" t="str">
        <x:v>Data improvement</x:v>
      </x:c>
      <x:c r="V55" s="22" t="str">
        <x:v>No</x:v>
      </x:c>
      <x:c r="W55" s="22" t="str">
        <x:v>No</x:v>
      </x:c>
      <x:c r="X55" s="34" t="str">
        <x:v>Server-authoritative config; effects subject to stacking and hard caps.</x:v>
      </x:c>
    </x:row>
    <x:row r="56">
      <x:c r="A56" s="33" t="str">
        <x:v>mod_market_news_feed</x:v>
      </x:c>
      <x:c r="B56" s="22" t="str">
        <x:v>Market News Feed</x:v>
      </x:c>
      <x:c r="C56" s="22" t="str">
        <x:v>Uncommon</x:v>
      </x:c>
      <x:c r="D56" s="22" t="str">
        <x:v>Research</x:v>
      </x:c>
      <x:c r="E56" s="22" t="str">
        <x:v>Trading, Brokerage, Asset Management, Advisory</x:v>
      </x:c>
      <x:c r="F56" s="22" t="str">
        <x:v>+6% activity efficiency</x:v>
      </x:c>
      <x:c r="G56" s="22" t="str">
        <x:v>+2 Market Risk</x:v>
      </x:c>
      <x:c r="H56" s="22" t="str"/>
      <x:c r="I56" s="22" t="str">
        <x:v>research</x:v>
      </x:c>
      <x:c r="J56" s="22" t="str">
        <x:v>Starter</x:v>
      </x:c>
      <x:c r="K56" s="22" t="str">
        <x:v>Mastery II — choose from compatible family pool</x:v>
      </x:c>
      <x:c r="L56" s="22" t="str">
        <x:v>Standard</x:v>
      </x:c>
      <x:c r="M56" s="22" t="str">
        <x:v>Bull Market</x:v>
      </x:c>
      <x:c r="N56" s="22" t="str">
        <x:v>Basic / Advanced Earned Pack</x:v>
      </x:c>
      <x:c r="O56" s="22" t="str">
        <x:v>Yes</x:v>
      </x:c>
      <x:c r="P56" s="22" t="str">
        <x:v>Uncommon Parts</x:v>
      </x:c>
      <x:c r="Q56" s="79" t="n">
        <x:v>60</x:v>
      </x:c>
      <x:c r="R56" s="79" t="n">
        <x:v>15</x:v>
      </x:c>
      <x:c r="S56" s="79" t="str">
        <x:v>15 min</x:v>
      </x:c>
      <x:c r="T56" s="79" t="n">
        <x:v>12</x:v>
      </x:c>
      <x:c r="U56" s="22" t="str">
        <x:v>Market intel</x:v>
      </x:c>
      <x:c r="V56" s="22" t="str">
        <x:v>No</x:v>
      </x:c>
      <x:c r="W56" s="22" t="str">
        <x:v>No</x:v>
      </x:c>
      <x:c r="X56" s="34" t="str">
        <x:v>Server-authoritative config; effects subject to stacking and hard caps.</x:v>
      </x:c>
    </x:row>
    <x:row r="57">
      <x:c r="A57" s="33" t="str">
        <x:v>mod_service_recovery_desk</x:v>
      </x:c>
      <x:c r="B57" s="22" t="str">
        <x:v>Service Recovery Desk</x:v>
      </x:c>
      <x:c r="C57" s="22" t="str">
        <x:v>Uncommon</x:v>
      </x:c>
      <x:c r="D57" s="22" t="str">
        <x:v>Service</x:v>
      </x:c>
      <x:c r="E57" s="22" t="str">
        <x:v>All customer-facing</x:v>
      </x:c>
      <x:c r="F57" s="22" t="str">
        <x:v>+6% retention</x:v>
      </x:c>
      <x:c r="G57" s="22" t="str">
        <x:v>+4 Service Quality</x:v>
      </x:c>
      <x:c r="H57" s="22" t="str">
        <x:v>Utilization &lt;=95%</x:v>
      </x:c>
      <x:c r="I57" s="22" t="str">
        <x:v>service</x:v>
      </x:c>
      <x:c r="J57" s="22" t="str">
        <x:v>Starter</x:v>
      </x:c>
      <x:c r="K57" s="22" t="str">
        <x:v>Mastery II — choose from compatible family pool</x:v>
      </x:c>
      <x:c r="L57" s="22" t="str">
        <x:v>Standard</x:v>
      </x:c>
      <x:c r="M57" s="22" t="str">
        <x:v>Bank Run</x:v>
      </x:c>
      <x:c r="N57" s="22" t="str">
        <x:v>Basic / Advanced Earned Pack</x:v>
      </x:c>
      <x:c r="O57" s="22" t="str">
        <x:v>Yes</x:v>
      </x:c>
      <x:c r="P57" s="22" t="str">
        <x:v>Uncommon Parts</x:v>
      </x:c>
      <x:c r="Q57" s="79" t="n">
        <x:v>60</x:v>
      </x:c>
      <x:c r="R57" s="79" t="n">
        <x:v>15</x:v>
      </x:c>
      <x:c r="S57" s="79" t="str">
        <x:v>15 min</x:v>
      </x:c>
      <x:c r="T57" s="79" t="n">
        <x:v>12</x:v>
      </x:c>
      <x:c r="U57" s="22" t="str">
        <x:v>Retention</x:v>
      </x:c>
      <x:c r="V57" s="22" t="str">
        <x:v>No</x:v>
      </x:c>
      <x:c r="W57" s="22" t="str">
        <x:v>No</x:v>
      </x:c>
      <x:c r="X57" s="34" t="str">
        <x:v>Server-authoritative config; effects subject to stacking and hard caps.</x:v>
      </x:c>
    </x:row>
    <x:row r="58">
      <x:c r="A58" s="33" t="str">
        <x:v>mod_deposit_loyalty_program</x:v>
      </x:c>
      <x:c r="B58" s="22" t="str">
        <x:v>Deposit Loyalty Program</x:v>
      </x:c>
      <x:c r="C58" s="22" t="str">
        <x:v>Uncommon</x:v>
      </x:c>
      <x:c r="D58" s="22" t="str">
        <x:v>Customer</x:v>
      </x:c>
      <x:c r="E58" s="22" t="str">
        <x:v>Banking</x:v>
      </x:c>
      <x:c r="F58" s="22" t="str">
        <x:v>+8% retention</x:v>
      </x:c>
      <x:c r="G58" s="22" t="str">
        <x:v>-3% acquisition</x:v>
      </x:c>
      <x:c r="H58" s="22" t="str"/>
      <x:c r="I58" s="22" t="str">
        <x:v>customer</x:v>
      </x:c>
      <x:c r="J58" s="22" t="str">
        <x:v>Starter</x:v>
      </x:c>
      <x:c r="K58" s="22" t="str">
        <x:v>Mastery II — choose from compatible family pool</x:v>
      </x:c>
      <x:c r="L58" s="22" t="str">
        <x:v>Standard</x:v>
      </x:c>
      <x:c r="M58" s="22" t="str">
        <x:v>Rate Hike</x:v>
      </x:c>
      <x:c r="N58" s="22" t="str">
        <x:v>Basic / Advanced Earned Pack</x:v>
      </x:c>
      <x:c r="O58" s="22" t="str">
        <x:v>Yes</x:v>
      </x:c>
      <x:c r="P58" s="22" t="str">
        <x:v>Uncommon Parts</x:v>
      </x:c>
      <x:c r="Q58" s="79" t="n">
        <x:v>60</x:v>
      </x:c>
      <x:c r="R58" s="79" t="n">
        <x:v>15</x:v>
      </x:c>
      <x:c r="S58" s="79" t="str">
        <x:v>15 min</x:v>
      </x:c>
      <x:c r="T58" s="79" t="n">
        <x:v>12</x:v>
      </x:c>
      <x:c r="U58" s="22" t="str">
        <x:v>Deposit loyalty</x:v>
      </x:c>
      <x:c r="V58" s="22" t="str">
        <x:v>No</x:v>
      </x:c>
      <x:c r="W58" s="22" t="str">
        <x:v>No</x:v>
      </x:c>
      <x:c r="X58" s="34" t="str">
        <x:v>Server-authoritative config; effects subject to stacking and hard caps.</x:v>
      </x:c>
    </x:row>
    <x:row r="59">
      <x:c r="A59" s="33" t="str">
        <x:v>mod_reserve_buffer</x:v>
      </x:c>
      <x:c r="B59" s="22" t="str">
        <x:v>Reserve Buffer</x:v>
      </x:c>
      <x:c r="C59" s="22" t="str">
        <x:v>Rare</x:v>
      </x:c>
      <x:c r="D59" s="22" t="str">
        <x:v>Liquidity</x:v>
      </x:c>
      <x:c r="E59" s="22" t="str">
        <x:v>Banking, Treasury, Market Making</x:v>
      </x:c>
      <x:c r="F59" s="22" t="str">
        <x:v>-8 Liquidity Risk</x:v>
      </x:c>
      <x:c r="G59" s="22" t="str">
        <x:v>-4% activity efficiency</x:v>
      </x:c>
      <x:c r="H59" s="22" t="str"/>
      <x:c r="I59" s="22" t="str">
        <x:v>liquidity</x:v>
      </x:c>
      <x:c r="J59" s="22" t="str">
        <x:v>Growing</x:v>
      </x:c>
      <x:c r="K59" s="22" t="str">
        <x:v>Mastery III — choose from compatible family pool</x:v>
      </x:c>
      <x:c r="L59" s="22" t="str">
        <x:v>Hard</x:v>
      </x:c>
      <x:c r="M59" s="22" t="str">
        <x:v>Liquidity Crunch</x:v>
      </x:c>
      <x:c r="N59" s="22" t="str">
        <x:v>Advanced / Prestige Earned Pack</x:v>
      </x:c>
      <x:c r="O59" s="22" t="str">
        <x:v>Yes — low chance</x:v>
      </x:c>
      <x:c r="P59" s="22" t="str">
        <x:v>Rare Parts</x:v>
      </x:c>
      <x:c r="Q59" s="79" t="n">
        <x:v>150</x:v>
      </x:c>
      <x:c r="R59" s="79" t="n">
        <x:v>60</x:v>
      </x:c>
      <x:c r="S59" s="79" t="str">
        <x:v>1 hour</x:v>
      </x:c>
      <x:c r="T59" s="79" t="n">
        <x:v>30</x:v>
      </x:c>
      <x:c r="U59" s="22" t="str">
        <x:v>Strong defense</x:v>
      </x:c>
      <x:c r="V59" s="22" t="str">
        <x:v>No</x:v>
      </x:c>
      <x:c r="W59" s="22" t="str">
        <x:v>No</x:v>
      </x:c>
      <x:c r="X59" s="34" t="str">
        <x:v>Server-authoritative config; effects subject to stacking and hard caps.</x:v>
      </x:c>
    </x:row>
    <x:row r="60">
      <x:c r="A60" s="33" t="str">
        <x:v>mod_growth_underwriting</x:v>
      </x:c>
      <x:c r="B60" s="22" t="str">
        <x:v>Growth Underwriting</x:v>
      </x:c>
      <x:c r="C60" s="22" t="str">
        <x:v>Rare</x:v>
      </x:c>
      <x:c r="D60" s="22" t="str">
        <x:v>Credit</x:v>
      </x:c>
      <x:c r="E60" s="22" t="str">
        <x:v>Lending, Banking</x:v>
      </x:c>
      <x:c r="F60" s="22" t="str">
        <x:v>+12% activity efficiency</x:v>
      </x:c>
      <x:c r="G60" s="22" t="str">
        <x:v>+6 Credit Risk</x:v>
      </x:c>
      <x:c r="H60" s="22" t="str"/>
      <x:c r="I60" s="22" t="str">
        <x:v>credit</x:v>
      </x:c>
      <x:c r="J60" s="22" t="str">
        <x:v>Growing</x:v>
      </x:c>
      <x:c r="K60" s="22" t="str">
        <x:v>Mastery III — choose from compatible family pool</x:v>
      </x:c>
      <x:c r="L60" s="22" t="str">
        <x:v>Hard</x:v>
      </x:c>
      <x:c r="M60" s="22" t="str">
        <x:v>Credit Boom</x:v>
      </x:c>
      <x:c r="N60" s="22" t="str">
        <x:v>Advanced / Prestige Earned Pack</x:v>
      </x:c>
      <x:c r="O60" s="22" t="str">
        <x:v>Yes — low chance</x:v>
      </x:c>
      <x:c r="P60" s="22" t="str">
        <x:v>Rare Parts</x:v>
      </x:c>
      <x:c r="Q60" s="79" t="n">
        <x:v>150</x:v>
      </x:c>
      <x:c r="R60" s="79" t="n">
        <x:v>60</x:v>
      </x:c>
      <x:c r="S60" s="79" t="str">
        <x:v>1 hour</x:v>
      </x:c>
      <x:c r="T60" s="79" t="n">
        <x:v>30</x:v>
      </x:c>
      <x:c r="U60" s="22" t="str">
        <x:v>Aggressive lending</x:v>
      </x:c>
      <x:c r="V60" s="22" t="str">
        <x:v>No</x:v>
      </x:c>
      <x:c r="W60" s="22" t="str">
        <x:v>No</x:v>
      </x:c>
      <x:c r="X60" s="34" t="str">
        <x:v>Server-authoritative config; effects subject to stacking and hard caps.</x:v>
      </x:c>
    </x:row>
    <x:row r="61">
      <x:c r="A61" s="33" t="str">
        <x:v>mod_high_velocity_desk</x:v>
      </x:c>
      <x:c r="B61" s="22" t="str">
        <x:v>High Velocity Desk</x:v>
      </x:c>
      <x:c r="C61" s="22" t="str">
        <x:v>Rare</x:v>
      </x:c>
      <x:c r="D61" s="22" t="str">
        <x:v>Market</x:v>
      </x:c>
      <x:c r="E61" s="22" t="str">
        <x:v>Trading, Brokerage, Exchange</x:v>
      </x:c>
      <x:c r="F61" s="22" t="str">
        <x:v>+12% activity efficiency</x:v>
      </x:c>
      <x:c r="G61" s="22" t="str">
        <x:v>+6 Market Risk</x:v>
      </x:c>
      <x:c r="H61" s="22" t="str"/>
      <x:c r="I61" s="22" t="str">
        <x:v>market</x:v>
      </x:c>
      <x:c r="J61" s="22" t="str">
        <x:v>Growing</x:v>
      </x:c>
      <x:c r="K61" s="22" t="str">
        <x:v>Mastery III — choose from compatible family pool</x:v>
      </x:c>
      <x:c r="L61" s="22" t="str">
        <x:v>Hard</x:v>
      </x:c>
      <x:c r="M61" s="22" t="str">
        <x:v>Volatility Spike</x:v>
      </x:c>
      <x:c r="N61" s="22" t="str">
        <x:v>Advanced / Prestige Earned Pack</x:v>
      </x:c>
      <x:c r="O61" s="22" t="str">
        <x:v>Yes — low chance</x:v>
      </x:c>
      <x:c r="P61" s="22" t="str">
        <x:v>Rare Parts</x:v>
      </x:c>
      <x:c r="Q61" s="79" t="n">
        <x:v>150</x:v>
      </x:c>
      <x:c r="R61" s="79" t="n">
        <x:v>60</x:v>
      </x:c>
      <x:c r="S61" s="79" t="str">
        <x:v>1 hour</x:v>
      </x:c>
      <x:c r="T61" s="79" t="n">
        <x:v>30</x:v>
      </x:c>
      <x:c r="U61" s="22" t="str">
        <x:v>Aggressive trading</x:v>
      </x:c>
      <x:c r="V61" s="22" t="str">
        <x:v>No</x:v>
      </x:c>
      <x:c r="W61" s="22" t="str">
        <x:v>No</x:v>
      </x:c>
      <x:c r="X61" s="34" t="str">
        <x:v>Server-authoritative config; effects subject to stacking and hard caps.</x:v>
      </x:c>
    </x:row>
    <x:row r="62">
      <x:c r="A62" s="33" t="str">
        <x:v>mod_circuit_breaker</x:v>
      </x:c>
      <x:c r="B62" s="22" t="str">
        <x:v>Circuit Breaker</x:v>
      </x:c>
      <x:c r="C62" s="22" t="str">
        <x:v>Rare</x:v>
      </x:c>
      <x:c r="D62" s="22" t="str">
        <x:v>Risk</x:v>
      </x:c>
      <x:c r="E62" s="22" t="str">
        <x:v>Trading, Exchange, Market Making</x:v>
      </x:c>
      <x:c r="F62" s="22" t="str">
        <x:v>-8 Market Risk</x:v>
      </x:c>
      <x:c r="G62" s="22" t="str">
        <x:v>-6% activity efficiency</x:v>
      </x:c>
      <x:c r="H62" s="22" t="str"/>
      <x:c r="I62" s="22" t="str">
        <x:v>risk</x:v>
      </x:c>
      <x:c r="J62" s="22" t="str">
        <x:v>Growing</x:v>
      </x:c>
      <x:c r="K62" s="22" t="str">
        <x:v>Mastery III — choose from compatible family pool</x:v>
      </x:c>
      <x:c r="L62" s="22" t="str">
        <x:v>Hard</x:v>
      </x:c>
      <x:c r="M62" s="22" t="str">
        <x:v>Market Correction</x:v>
      </x:c>
      <x:c r="N62" s="22" t="str">
        <x:v>Advanced / Prestige Earned Pack</x:v>
      </x:c>
      <x:c r="O62" s="22" t="str">
        <x:v>Yes — low chance</x:v>
      </x:c>
      <x:c r="P62" s="22" t="str">
        <x:v>Rare Parts</x:v>
      </x:c>
      <x:c r="Q62" s="79" t="n">
        <x:v>150</x:v>
      </x:c>
      <x:c r="R62" s="79" t="n">
        <x:v>60</x:v>
      </x:c>
      <x:c r="S62" s="79" t="str">
        <x:v>1 hour</x:v>
      </x:c>
      <x:c r="T62" s="79" t="n">
        <x:v>30</x:v>
      </x:c>
      <x:c r="U62" s="22" t="str">
        <x:v>Defensive trading</x:v>
      </x:c>
      <x:c r="V62" s="22" t="str">
        <x:v>No</x:v>
      </x:c>
      <x:c r="W62" s="22" t="str">
        <x:v>No</x:v>
      </x:c>
      <x:c r="X62" s="34" t="str">
        <x:v>Server-authoritative config; effects subject to stacking and hard caps.</x:v>
      </x:c>
    </x:row>
    <x:row r="63">
      <x:c r="A63" s="33" t="str">
        <x:v>mod_premium_relationship_team</x:v>
      </x:c>
      <x:c r="B63" s="22" t="str">
        <x:v>Premium Relationship Team</x:v>
      </x:c>
      <x:c r="C63" s="22" t="str">
        <x:v>Rare</x:v>
      </x:c>
      <x:c r="D63" s="22" t="str">
        <x:v>Wealth</x:v>
      </x:c>
      <x:c r="E63" s="22" t="str">
        <x:v>Banking, Wealth, Private Banking</x:v>
      </x:c>
      <x:c r="F63" s="22" t="str">
        <x:v>+10% HNW retention</x:v>
      </x:c>
      <x:c r="G63" s="22" t="str">
        <x:v>-5% General Consumer acquisition</x:v>
      </x:c>
      <x:c r="H63" s="22" t="str"/>
      <x:c r="I63" s="22" t="str">
        <x:v>wealth</x:v>
      </x:c>
      <x:c r="J63" s="22" t="str">
        <x:v>Growing</x:v>
      </x:c>
      <x:c r="K63" s="22" t="str">
        <x:v>Mastery III — choose from compatible family pool</x:v>
      </x:c>
      <x:c r="L63" s="22" t="str">
        <x:v>Hard</x:v>
      </x:c>
      <x:c r="M63" s="22" t="str">
        <x:v>Dividend Week</x:v>
      </x:c>
      <x:c r="N63" s="22" t="str">
        <x:v>Advanced / Prestige Earned Pack</x:v>
      </x:c>
      <x:c r="O63" s="22" t="str">
        <x:v>Yes — low chance</x:v>
      </x:c>
      <x:c r="P63" s="22" t="str">
        <x:v>Rare Parts</x:v>
      </x:c>
      <x:c r="Q63" s="79" t="n">
        <x:v>150</x:v>
      </x:c>
      <x:c r="R63" s="79" t="n">
        <x:v>60</x:v>
      </x:c>
      <x:c r="S63" s="79" t="str">
        <x:v>1 hour</x:v>
      </x:c>
      <x:c r="T63" s="79" t="n">
        <x:v>30</x:v>
      </x:c>
      <x:c r="U63" s="22" t="str">
        <x:v>HNW retention</x:v>
      </x:c>
      <x:c r="V63" s="22" t="str">
        <x:v>No</x:v>
      </x:c>
      <x:c r="W63" s="22" t="str">
        <x:v>No</x:v>
      </x:c>
      <x:c r="X63" s="34" t="str">
        <x:v>Server-authoritative config; effects subject to stacking and hard caps.</x:v>
      </x:c>
    </x:row>
    <x:row r="64">
      <x:c r="A64" s="33" t="str">
        <x:v>mod_uptime_cluster</x:v>
      </x:c>
      <x:c r="B64" s="22" t="str">
        <x:v>Uptime Cluster</x:v>
      </x:c>
      <x:c r="C64" s="22" t="str">
        <x:v>Rare</x:v>
      </x:c>
      <x:c r="D64" s="22" t="str">
        <x:v>Operations</x:v>
      </x:c>
      <x:c r="E64" s="22" t="str">
        <x:v>Data, Fintech, Exchange, Trading</x:v>
      </x:c>
      <x:c r="F64" s="22" t="str">
        <x:v>+10% capacity</x:v>
      </x:c>
      <x:c r="G64" s="22" t="str">
        <x:v>-4 Operational Risk; +3% operating cost</x:v>
      </x:c>
      <x:c r="H64" s="22" t="str"/>
      <x:c r="I64" s="22" t="str">
        <x:v>operations</x:v>
      </x:c>
      <x:c r="J64" s="22" t="str">
        <x:v>Growing</x:v>
      </x:c>
      <x:c r="K64" s="22" t="str">
        <x:v>Mastery III — choose from compatible family pool</x:v>
      </x:c>
      <x:c r="L64" s="22" t="str">
        <x:v>Hard</x:v>
      </x:c>
      <x:c r="M64" s="22" t="str">
        <x:v>Tech Rally</x:v>
      </x:c>
      <x:c r="N64" s="22" t="str">
        <x:v>Advanced / Prestige Earned Pack</x:v>
      </x:c>
      <x:c r="O64" s="22" t="str">
        <x:v>Yes — low chance</x:v>
      </x:c>
      <x:c r="P64" s="22" t="str">
        <x:v>Rare Parts</x:v>
      </x:c>
      <x:c r="Q64" s="79" t="n">
        <x:v>150</x:v>
      </x:c>
      <x:c r="R64" s="79" t="n">
        <x:v>60</x:v>
      </x:c>
      <x:c r="S64" s="79" t="str">
        <x:v>1 hour</x:v>
      </x:c>
      <x:c r="T64" s="79" t="n">
        <x:v>30</x:v>
      </x:c>
      <x:c r="U64" s="22" t="str">
        <x:v>Infrastructure resilience</x:v>
      </x:c>
      <x:c r="V64" s="22" t="str">
        <x:v>No</x:v>
      </x:c>
      <x:c r="W64" s="22" t="str">
        <x:v>No</x:v>
      </x:c>
      <x:c r="X64" s="34" t="str">
        <x:v>Server-authoritative config; effects subject to stacking and hard caps.</x:v>
      </x:c>
    </x:row>
    <x:row r="65">
      <x:c r="A65" s="33" t="str">
        <x:v>mod_diversified_mandate</x:v>
      </x:c>
      <x:c r="B65" s="22" t="str">
        <x:v>Diversified Mandate</x:v>
      </x:c>
      <x:c r="C65" s="22" t="str">
        <x:v>Rare</x:v>
      </x:c>
      <x:c r="D65" s="22" t="str">
        <x:v>Risk</x:v>
      </x:c>
      <x:c r="E65" s="22" t="str">
        <x:v>Asset Management, Wealth</x:v>
      </x:c>
      <x:c r="F65" s="22" t="str">
        <x:v>-6 Concentration Risk</x:v>
      </x:c>
      <x:c r="G65" s="22" t="str">
        <x:v>+5% activity efficiency</x:v>
      </x:c>
      <x:c r="H65" s="22" t="str">
        <x:v>Largest segment &lt;=70%</x:v>
      </x:c>
      <x:c r="I65" s="22" t="str">
        <x:v>risk</x:v>
      </x:c>
      <x:c r="J65" s="22" t="str">
        <x:v>Growing</x:v>
      </x:c>
      <x:c r="K65" s="22" t="str">
        <x:v>Mastery III — choose from compatible family pool</x:v>
      </x:c>
      <x:c r="L65" s="22" t="str">
        <x:v>Hard</x:v>
      </x:c>
      <x:c r="M65" s="22" t="str">
        <x:v>Market Correction</x:v>
      </x:c>
      <x:c r="N65" s="22" t="str">
        <x:v>Advanced / Prestige Earned Pack</x:v>
      </x:c>
      <x:c r="O65" s="22" t="str">
        <x:v>Yes — low chance</x:v>
      </x:c>
      <x:c r="P65" s="22" t="str">
        <x:v>Rare Parts</x:v>
      </x:c>
      <x:c r="Q65" s="79" t="n">
        <x:v>150</x:v>
      </x:c>
      <x:c r="R65" s="79" t="n">
        <x:v>60</x:v>
      </x:c>
      <x:c r="S65" s="79" t="str">
        <x:v>1 hour</x:v>
      </x:c>
      <x:c r="T65" s="79" t="n">
        <x:v>30</x:v>
      </x:c>
      <x:c r="U65" s="22" t="str">
        <x:v>Diversification</x:v>
      </x:c>
      <x:c r="V65" s="22" t="str">
        <x:v>No</x:v>
      </x:c>
      <x:c r="W65" s="22" t="str">
        <x:v>No</x:v>
      </x:c>
      <x:c r="X65" s="34" t="str">
        <x:v>Server-authoritative config; effects subject to stacking and hard caps.</x:v>
      </x:c>
    </x:row>
    <x:row r="66">
      <x:c r="A66" s="33" t="str">
        <x:v>mod_momentum_mandate</x:v>
      </x:c>
      <x:c r="B66" s="22" t="str">
        <x:v>Momentum Mandate</x:v>
      </x:c>
      <x:c r="C66" s="22" t="str">
        <x:v>Rare</x:v>
      </x:c>
      <x:c r="D66" s="22" t="str">
        <x:v>Market</x:v>
      </x:c>
      <x:c r="E66" s="22" t="str">
        <x:v>Asset Management, Trading</x:v>
      </x:c>
      <x:c r="F66" s="22" t="str">
        <x:v>+10% activity efficiency</x:v>
      </x:c>
      <x:c r="G66" s="22" t="str">
        <x:v>+5 Market Risk</x:v>
      </x:c>
      <x:c r="H66" s="22" t="str">
        <x:v>Market State = Bull or Expansion</x:v>
      </x:c>
      <x:c r="I66" s="22" t="str">
        <x:v>market</x:v>
      </x:c>
      <x:c r="J66" s="22" t="str">
        <x:v>Growing</x:v>
      </x:c>
      <x:c r="K66" s="22" t="str">
        <x:v>Mastery III — choose from compatible family pool</x:v>
      </x:c>
      <x:c r="L66" s="22" t="str">
        <x:v>Hard</x:v>
      </x:c>
      <x:c r="M66" s="22" t="str">
        <x:v>Bull Market</x:v>
      </x:c>
      <x:c r="N66" s="22" t="str">
        <x:v>Advanced / Prestige Earned Pack</x:v>
      </x:c>
      <x:c r="O66" s="22" t="str">
        <x:v>Yes — low chance</x:v>
      </x:c>
      <x:c r="P66" s="22" t="str">
        <x:v>Rare Parts</x:v>
      </x:c>
      <x:c r="Q66" s="79" t="n">
        <x:v>150</x:v>
      </x:c>
      <x:c r="R66" s="79" t="n">
        <x:v>60</x:v>
      </x:c>
      <x:c r="S66" s="79" t="str">
        <x:v>1 hour</x:v>
      </x:c>
      <x:c r="T66" s="79" t="n">
        <x:v>30</x:v>
      </x:c>
      <x:c r="U66" s="22" t="str">
        <x:v>Bull exposure</x:v>
      </x:c>
      <x:c r="V66" s="22" t="str">
        <x:v>No</x:v>
      </x:c>
      <x:c r="W66" s="22" t="str">
        <x:v>No</x:v>
      </x:c>
      <x:c r="X66" s="34" t="str">
        <x:v>Server-authoritative config; effects subject to stacking and hard caps.</x:v>
      </x:c>
    </x:row>
    <x:row r="67">
      <x:c r="A67" s="33" t="str">
        <x:v>mod_corporate_coverage_team</x:v>
      </x:c>
      <x:c r="B67" s="22" t="str">
        <x:v>Corporate Coverage Team</x:v>
      </x:c>
      <x:c r="C67" s="22" t="str">
        <x:v>Rare</x:v>
      </x:c>
      <x:c r="D67" s="22" t="str">
        <x:v>Institutional</x:v>
      </x:c>
      <x:c r="E67" s="22" t="str">
        <x:v>Investment Banking, Advisory, Banking</x:v>
      </x:c>
      <x:c r="F67" s="22" t="str">
        <x:v>+10% Corporate Client acquisition</x:v>
      </x:c>
      <x:c r="G67" s="22" t="str">
        <x:v>+3 Reputation Risk if Service &lt;70</x:v>
      </x:c>
      <x:c r="H67" s="22" t="str">
        <x:v>Service Quality &gt;=70</x:v>
      </x:c>
      <x:c r="I67" s="22" t="str">
        <x:v>institutional</x:v>
      </x:c>
      <x:c r="J67" s="22" t="str">
        <x:v>Growing</x:v>
      </x:c>
      <x:c r="K67" s="22" t="str">
        <x:v>Mastery III — choose from compatible family pool</x:v>
      </x:c>
      <x:c r="L67" s="22" t="str">
        <x:v>Hard</x:v>
      </x:c>
      <x:c r="M67" s="22" t="str">
        <x:v>M&amp;A Boom</x:v>
      </x:c>
      <x:c r="N67" s="22" t="str">
        <x:v>Advanced / Prestige Earned Pack</x:v>
      </x:c>
      <x:c r="O67" s="22" t="str">
        <x:v>Yes — low chance</x:v>
      </x:c>
      <x:c r="P67" s="22" t="str">
        <x:v>Rare Parts</x:v>
      </x:c>
      <x:c r="Q67" s="79" t="n">
        <x:v>150</x:v>
      </x:c>
      <x:c r="R67" s="79" t="n">
        <x:v>60</x:v>
      </x:c>
      <x:c r="S67" s="79" t="str">
        <x:v>1 hour</x:v>
      </x:c>
      <x:c r="T67" s="79" t="n">
        <x:v>30</x:v>
      </x:c>
      <x:c r="U67" s="22" t="str">
        <x:v>Corporate coverage</x:v>
      </x:c>
      <x:c r="V67" s="22" t="str">
        <x:v>No</x:v>
      </x:c>
      <x:c r="W67" s="22" t="str">
        <x:v>No</x:v>
      </x:c>
      <x:c r="X67" s="34" t="str">
        <x:v>Server-authoritative config; effects subject to stacking and hard caps.</x:v>
      </x:c>
    </x:row>
    <x:row r="68">
      <x:c r="A68" s="33" t="str">
        <x:v>mod_risk_pooling</x:v>
      </x:c>
      <x:c r="B68" s="22" t="str">
        <x:v>Risk Pooling</x:v>
      </x:c>
      <x:c r="C68" s="22" t="str">
        <x:v>Rare</x:v>
      </x:c>
      <x:c r="D68" s="22" t="str">
        <x:v>Risk</x:v>
      </x:c>
      <x:c r="E68" s="22" t="str">
        <x:v>Insurance</x:v>
      </x:c>
      <x:c r="F68" s="22" t="str">
        <x:v>+8% retention</x:v>
      </x:c>
      <x:c r="G68" s="22" t="str">
        <x:v>-4 Reputation Risk; -3% acquisition</x:v>
      </x:c>
      <x:c r="H68" s="22" t="str"/>
      <x:c r="I68" s="22" t="str">
        <x:v>risk</x:v>
      </x:c>
      <x:c r="J68" s="22" t="str">
        <x:v>Growing</x:v>
      </x:c>
      <x:c r="K68" s="22" t="str">
        <x:v>Mastery III — choose from compatible family pool</x:v>
      </x:c>
      <x:c r="L68" s="22" t="str">
        <x:v>Hard</x:v>
      </x:c>
      <x:c r="M68" s="22" t="str">
        <x:v>Market Correction</x:v>
      </x:c>
      <x:c r="N68" s="22" t="str">
        <x:v>Advanced / Prestige Earned Pack</x:v>
      </x:c>
      <x:c r="O68" s="22" t="str">
        <x:v>Yes — low chance</x:v>
      </x:c>
      <x:c r="P68" s="22" t="str">
        <x:v>Rare Parts</x:v>
      </x:c>
      <x:c r="Q68" s="79" t="n">
        <x:v>150</x:v>
      </x:c>
      <x:c r="R68" s="79" t="n">
        <x:v>60</x:v>
      </x:c>
      <x:c r="S68" s="79" t="str">
        <x:v>1 hour</x:v>
      </x:c>
      <x:c r="T68" s="79" t="n">
        <x:v>30</x:v>
      </x:c>
      <x:c r="U68" s="22" t="str">
        <x:v>Insurance stability</x:v>
      </x:c>
      <x:c r="V68" s="22" t="str">
        <x:v>No</x:v>
      </x:c>
      <x:c r="W68" s="22" t="str">
        <x:v>No</x:v>
      </x:c>
      <x:c r="X68" s="34" t="str">
        <x:v>Server-authoritative config; effects subject to stacking and hard caps.</x:v>
      </x:c>
    </x:row>
    <x:row r="69">
      <x:c r="A69" s="33" t="str">
        <x:v>mod_dynamic_pricing_engine</x:v>
      </x:c>
      <x:c r="B69" s="22" t="str">
        <x:v>Dynamic Pricing Engine</x:v>
      </x:c>
      <x:c r="C69" s="22" t="str">
        <x:v>Rare</x:v>
      </x:c>
      <x:c r="D69" s="22" t="str">
        <x:v>Operations</x:v>
      </x:c>
      <x:c r="E69" s="22" t="str">
        <x:v>Insurance, Lending, Brokerage</x:v>
      </x:c>
      <x:c r="F69" s="22" t="str">
        <x:v>+8% activity efficiency</x:v>
      </x:c>
      <x:c r="G69" s="22" t="str">
        <x:v>+4 Reputation Risk if Service &lt;70</x:v>
      </x:c>
      <x:c r="H69" s="22" t="str">
        <x:v>Service Quality &gt;=70</x:v>
      </x:c>
      <x:c r="I69" s="22" t="str">
        <x:v>operations</x:v>
      </x:c>
      <x:c r="J69" s="22" t="str">
        <x:v>Growing</x:v>
      </x:c>
      <x:c r="K69" s="22" t="str">
        <x:v>Mastery III — choose from compatible family pool</x:v>
      </x:c>
      <x:c r="L69" s="22" t="str">
        <x:v>Hard</x:v>
      </x:c>
      <x:c r="M69" s="22" t="str">
        <x:v>Rate Hike</x:v>
      </x:c>
      <x:c r="N69" s="22" t="str">
        <x:v>Advanced / Prestige Earned Pack</x:v>
      </x:c>
      <x:c r="O69" s="22" t="str">
        <x:v>Yes — low chance</x:v>
      </x:c>
      <x:c r="P69" s="22" t="str">
        <x:v>Rare Parts</x:v>
      </x:c>
      <x:c r="Q69" s="79" t="n">
        <x:v>150</x:v>
      </x:c>
      <x:c r="R69" s="79" t="n">
        <x:v>60</x:v>
      </x:c>
      <x:c r="S69" s="79" t="str">
        <x:v>1 hour</x:v>
      </x:c>
      <x:c r="T69" s="79" t="n">
        <x:v>30</x:v>
      </x:c>
      <x:c r="U69" s="22" t="str">
        <x:v>Pricing strategy</x:v>
      </x:c>
      <x:c r="V69" s="22" t="str">
        <x:v>No</x:v>
      </x:c>
      <x:c r="W69" s="22" t="str">
        <x:v>No</x:v>
      </x:c>
      <x:c r="X69" s="34" t="str">
        <x:v>Server-authoritative config; effects subject to stacking and hard caps.</x:v>
      </x:c>
    </x:row>
    <x:row r="70">
      <x:c r="A70" s="33" t="str">
        <x:v>mod_smart_liquidity_router</x:v>
      </x:c>
      <x:c r="B70" s="22" t="str">
        <x:v>Smart Liquidity Router</x:v>
      </x:c>
      <x:c r="C70" s="22" t="str">
        <x:v>Rare</x:v>
      </x:c>
      <x:c r="D70" s="22" t="str">
        <x:v>Liquidity</x:v>
      </x:c>
      <x:c r="E70" s="22" t="str">
        <x:v>Exchange, Market Making, FX, Treasury</x:v>
      </x:c>
      <x:c r="F70" s="22" t="str">
        <x:v>+10% capacity</x:v>
      </x:c>
      <x:c r="G70" s="22" t="str">
        <x:v>-6 Liquidity Risk; +3 Market Risk</x:v>
      </x:c>
      <x:c r="H70" s="22" t="str"/>
      <x:c r="I70" s="22" t="str">
        <x:v>liquidity</x:v>
      </x:c>
      <x:c r="J70" s="22" t="str">
        <x:v>Growing</x:v>
      </x:c>
      <x:c r="K70" s="22" t="str">
        <x:v>Mastery III — choose from compatible family pool</x:v>
      </x:c>
      <x:c r="L70" s="22" t="str">
        <x:v>Hard</x:v>
      </x:c>
      <x:c r="M70" s="22" t="str">
        <x:v>Liquidity Crunch</x:v>
      </x:c>
      <x:c r="N70" s="22" t="str">
        <x:v>Advanced / Prestige Earned Pack</x:v>
      </x:c>
      <x:c r="O70" s="22" t="str">
        <x:v>Yes — low chance</x:v>
      </x:c>
      <x:c r="P70" s="22" t="str">
        <x:v>Rare Parts</x:v>
      </x:c>
      <x:c r="Q70" s="79" t="n">
        <x:v>150</x:v>
      </x:c>
      <x:c r="R70" s="79" t="n">
        <x:v>60</x:v>
      </x:c>
      <x:c r="S70" s="79" t="str">
        <x:v>1 hour</x:v>
      </x:c>
      <x:c r="T70" s="79" t="n">
        <x:v>30</x:v>
      </x:c>
      <x:c r="U70" s="22" t="str">
        <x:v>Liquidity infrastructure</x:v>
      </x:c>
      <x:c r="V70" s="22" t="str">
        <x:v>No</x:v>
      </x:c>
      <x:c r="W70" s="22" t="str">
        <x:v>No</x:v>
      </x:c>
      <x:c r="X70" s="34" t="str">
        <x:v>Server-authoritative config; effects subject to stacking and hard caps.</x:v>
      </x:c>
    </x:row>
    <x:row r="71">
      <x:c r="A71" s="33" t="str">
        <x:v>mod_research_signal_stack</x:v>
      </x:c>
      <x:c r="B71" s="22" t="str">
        <x:v>Research Signal Stack</x:v>
      </x:c>
      <x:c r="C71" s="22" t="str">
        <x:v>Rare</x:v>
      </x:c>
      <x:c r="D71" s="22" t="str">
        <x:v>Research</x:v>
      </x:c>
      <x:c r="E71" s="22" t="str">
        <x:v>Research, Data, Brokerage, Asset Management</x:v>
      </x:c>
      <x:c r="F71" s="22" t="str">
        <x:v>+9% activity efficiency</x:v>
      </x:c>
      <x:c r="G71" s="22" t="str">
        <x:v>+4 Service Quality; +2 Operational Risk</x:v>
      </x:c>
      <x:c r="H71" s="22" t="str"/>
      <x:c r="I71" s="22" t="str">
        <x:v>research</x:v>
      </x:c>
      <x:c r="J71" s="22" t="str">
        <x:v>Growing</x:v>
      </x:c>
      <x:c r="K71" s="22" t="str">
        <x:v>Mastery III — choose from compatible family pool</x:v>
      </x:c>
      <x:c r="L71" s="22" t="str">
        <x:v>Hard</x:v>
      </x:c>
      <x:c r="M71" s="22" t="str">
        <x:v>Tech Rally</x:v>
      </x:c>
      <x:c r="N71" s="22" t="str">
        <x:v>Advanced / Prestige Earned Pack</x:v>
      </x:c>
      <x:c r="O71" s="22" t="str">
        <x:v>Yes — low chance</x:v>
      </x:c>
      <x:c r="P71" s="22" t="str">
        <x:v>Rare Parts</x:v>
      </x:c>
      <x:c r="Q71" s="79" t="n">
        <x:v>150</x:v>
      </x:c>
      <x:c r="R71" s="79" t="n">
        <x:v>60</x:v>
      </x:c>
      <x:c r="S71" s="79" t="str">
        <x:v>1 hour</x:v>
      </x:c>
      <x:c r="T71" s="79" t="n">
        <x:v>30</x:v>
      </x:c>
      <x:c r="U71" s="22" t="str">
        <x:v>Research alpha</x:v>
      </x:c>
      <x:c r="V71" s="22" t="str">
        <x:v>No</x:v>
      </x:c>
      <x:c r="W71" s="22" t="str">
        <x:v>No</x:v>
      </x:c>
      <x:c r="X71" s="34" t="str">
        <x:v>Server-authoritative config; effects subject to stacking and hard caps.</x:v>
      </x:c>
    </x:row>
    <x:row r="72">
      <x:c r="A72" s="33" t="str">
        <x:v>mod_credit_portfolio_guard</x:v>
      </x:c>
      <x:c r="B72" s="22" t="str">
        <x:v>Credit Portfolio Guard</x:v>
      </x:c>
      <x:c r="C72" s="22" t="str">
        <x:v>Rare</x:v>
      </x:c>
      <x:c r="D72" s="22" t="str">
        <x:v>Credit</x:v>
      </x:c>
      <x:c r="E72" s="22" t="str">
        <x:v>Lending, Banking</x:v>
      </x:c>
      <x:c r="F72" s="22" t="str">
        <x:v>-8 Credit Risk</x:v>
      </x:c>
      <x:c r="G72" s="22" t="str">
        <x:v>-4 Concentration Risk; -5% activity efficiency</x:v>
      </x:c>
      <x:c r="H72" s="22" t="str"/>
      <x:c r="I72" s="22" t="str">
        <x:v>credit</x:v>
      </x:c>
      <x:c r="J72" s="22" t="str">
        <x:v>Growing</x:v>
      </x:c>
      <x:c r="K72" s="22" t="str">
        <x:v>Mastery III — choose from compatible family pool</x:v>
      </x:c>
      <x:c r="L72" s="22" t="str">
        <x:v>Hard</x:v>
      </x:c>
      <x:c r="M72" s="22" t="str">
        <x:v>Credit Boom</x:v>
      </x:c>
      <x:c r="N72" s="22" t="str">
        <x:v>Advanced / Prestige Earned Pack</x:v>
      </x:c>
      <x:c r="O72" s="22" t="str">
        <x:v>Yes — low chance</x:v>
      </x:c>
      <x:c r="P72" s="22" t="str">
        <x:v>Rare Parts</x:v>
      </x:c>
      <x:c r="Q72" s="79" t="n">
        <x:v>150</x:v>
      </x:c>
      <x:c r="R72" s="79" t="n">
        <x:v>60</x:v>
      </x:c>
      <x:c r="S72" s="79" t="str">
        <x:v>1 hour</x:v>
      </x:c>
      <x:c r="T72" s="79" t="n">
        <x:v>30</x:v>
      </x:c>
      <x:c r="U72" s="22" t="str">
        <x:v>Credit quality</x:v>
      </x:c>
      <x:c r="V72" s="22" t="str">
        <x:v>No</x:v>
      </x:c>
      <x:c r="W72" s="22" t="str">
        <x:v>No</x:v>
      </x:c>
      <x:c r="X72" s="34" t="str">
        <x:v>Server-authoritative config; effects subject to stacking and hard caps.</x:v>
      </x:c>
    </x:row>
    <x:row r="73">
      <x:c r="A73" s="33" t="str">
        <x:v>mod_client_churn_predictor</x:v>
      </x:c>
      <x:c r="B73" s="22" t="str">
        <x:v>Client Churn Predictor</x:v>
      </x:c>
      <x:c r="C73" s="22" t="str">
        <x:v>Rare</x:v>
      </x:c>
      <x:c r="D73" s="22" t="str">
        <x:v>Service</x:v>
      </x:c>
      <x:c r="E73" s="22" t="str">
        <x:v>Banking, Insurance, Wealth, Advisory</x:v>
      </x:c>
      <x:c r="F73" s="22" t="str">
        <x:v>+9% retention</x:v>
      </x:c>
      <x:c r="G73" s="22" t="str">
        <x:v>+4 Service Quality; +2% operating cost</x:v>
      </x:c>
      <x:c r="H73" s="22" t="str"/>
      <x:c r="I73" s="22" t="str">
        <x:v>service</x:v>
      </x:c>
      <x:c r="J73" s="22" t="str">
        <x:v>Growing</x:v>
      </x:c>
      <x:c r="K73" s="22" t="str">
        <x:v>Mastery III — choose from compatible family pool</x:v>
      </x:c>
      <x:c r="L73" s="22" t="str">
        <x:v>Hard</x:v>
      </x:c>
      <x:c r="M73" s="22" t="str">
        <x:v>Earnings Season</x:v>
      </x:c>
      <x:c r="N73" s="22" t="str">
        <x:v>Advanced / Prestige Earned Pack</x:v>
      </x:c>
      <x:c r="O73" s="22" t="str">
        <x:v>Yes — low chance</x:v>
      </x:c>
      <x:c r="P73" s="22" t="str">
        <x:v>Rare Parts</x:v>
      </x:c>
      <x:c r="Q73" s="79" t="n">
        <x:v>150</x:v>
      </x:c>
      <x:c r="R73" s="79" t="n">
        <x:v>60</x:v>
      </x:c>
      <x:c r="S73" s="79" t="str">
        <x:v>1 hour</x:v>
      </x:c>
      <x:c r="T73" s="79" t="n">
        <x:v>30</x:v>
      </x:c>
      <x:c r="U73" s="22" t="str">
        <x:v>Retention analytics</x:v>
      </x:c>
      <x:c r="V73" s="22" t="str">
        <x:v>No</x:v>
      </x:c>
      <x:c r="W73" s="22" t="str">
        <x:v>No</x:v>
      </x:c>
      <x:c r="X73" s="34" t="str">
        <x:v>Server-authoritative config; effects subject to stacking and hard caps.</x:v>
      </x:c>
    </x:row>
    <x:row r="74">
      <x:c r="A74" s="33" t="str">
        <x:v>mod_institutional_execution_desk</x:v>
      </x:c>
      <x:c r="B74" s="22" t="str">
        <x:v>Institutional Execution Desk</x:v>
      </x:c>
      <x:c r="C74" s="22" t="str">
        <x:v>Rare</x:v>
      </x:c>
      <x:c r="D74" s="22" t="str">
        <x:v>Institutional</x:v>
      </x:c>
      <x:c r="E74" s="22" t="str">
        <x:v>Investment Banking, Exchange, Brokerage</x:v>
      </x:c>
      <x:c r="F74" s="22" t="str">
        <x:v>+10% Corporate Client acquisition</x:v>
      </x:c>
      <x:c r="G74" s="22" t="str">
        <x:v>+7% activity efficiency; +3 Operational Risk</x:v>
      </x:c>
      <x:c r="H74" s="22" t="str"/>
      <x:c r="I74" s="22" t="str">
        <x:v>institutional</x:v>
      </x:c>
      <x:c r="J74" s="22" t="str">
        <x:v>Growing</x:v>
      </x:c>
      <x:c r="K74" s="22" t="str">
        <x:v>Mastery III — choose from compatible family pool</x:v>
      </x:c>
      <x:c r="L74" s="22" t="str">
        <x:v>Hard</x:v>
      </x:c>
      <x:c r="M74" s="22" t="str">
        <x:v>IPO Week</x:v>
      </x:c>
      <x:c r="N74" s="22" t="str">
        <x:v>Advanced / Prestige Earned Pack</x:v>
      </x:c>
      <x:c r="O74" s="22" t="str">
        <x:v>Yes — low chance</x:v>
      </x:c>
      <x:c r="P74" s="22" t="str">
        <x:v>Rare Parts</x:v>
      </x:c>
      <x:c r="Q74" s="79" t="n">
        <x:v>150</x:v>
      </x:c>
      <x:c r="R74" s="79" t="n">
        <x:v>60</x:v>
      </x:c>
      <x:c r="S74" s="79" t="str">
        <x:v>1 hour</x:v>
      </x:c>
      <x:c r="T74" s="79" t="n">
        <x:v>30</x:v>
      </x:c>
      <x:c r="U74" s="22" t="str">
        <x:v>Institutional throughput</x:v>
      </x:c>
      <x:c r="V74" s="22" t="str">
        <x:v>No</x:v>
      </x:c>
      <x:c r="W74" s="22" t="str">
        <x:v>No</x:v>
      </x:c>
      <x:c r="X74" s="34" t="str">
        <x:v>Server-authoritative config; effects subject to stacking and hard caps.</x:v>
      </x:c>
    </x:row>
    <x:row r="75">
      <x:c r="A75" s="33" t="str">
        <x:v>mod_treasury_duration_hedge</x:v>
      </x:c>
      <x:c r="B75" s="22" t="str">
        <x:v>Treasury Duration Hedge</x:v>
      </x:c>
      <x:c r="C75" s="22" t="str">
        <x:v>Rare</x:v>
      </x:c>
      <x:c r="D75" s="22" t="str">
        <x:v>Liquidity</x:v>
      </x:c>
      <x:c r="E75" s="22" t="str">
        <x:v>Treasury, Banking, Asset Management</x:v>
      </x:c>
      <x:c r="F75" s="22" t="str">
        <x:v>-7 Liquidity Risk</x:v>
      </x:c>
      <x:c r="G75" s="22" t="str">
        <x:v>-5 Market Risk; -4% activity efficiency</x:v>
      </x:c>
      <x:c r="H75" s="22" t="str"/>
      <x:c r="I75" s="22" t="str">
        <x:v>liquidity</x:v>
      </x:c>
      <x:c r="J75" s="22" t="str">
        <x:v>Growing</x:v>
      </x:c>
      <x:c r="K75" s="22" t="str">
        <x:v>Mastery III — choose from compatible family pool</x:v>
      </x:c>
      <x:c r="L75" s="22" t="str">
        <x:v>Hard</x:v>
      </x:c>
      <x:c r="M75" s="22" t="str">
        <x:v>Rate Hike</x:v>
      </x:c>
      <x:c r="N75" s="22" t="str">
        <x:v>Advanced / Prestige Earned Pack</x:v>
      </x:c>
      <x:c r="O75" s="22" t="str">
        <x:v>Yes — low chance</x:v>
      </x:c>
      <x:c r="P75" s="22" t="str">
        <x:v>Rare Parts</x:v>
      </x:c>
      <x:c r="Q75" s="79" t="n">
        <x:v>150</x:v>
      </x:c>
      <x:c r="R75" s="79" t="n">
        <x:v>60</x:v>
      </x:c>
      <x:c r="S75" s="79" t="str">
        <x:v>1 hour</x:v>
      </x:c>
      <x:c r="T75" s="79" t="n">
        <x:v>30</x:v>
      </x:c>
      <x:c r="U75" s="22" t="str">
        <x:v>Rate defense</x:v>
      </x:c>
      <x:c r="V75" s="22" t="str">
        <x:v>No</x:v>
      </x:c>
      <x:c r="W75" s="22" t="str">
        <x:v>No</x:v>
      </x:c>
      <x:c r="X75" s="34" t="str">
        <x:v>Server-authoritative config; effects subject to stacking and hard caps.</x:v>
      </x:c>
    </x:row>
    <x:row r="76">
      <x:c r="A76" s="33" t="str">
        <x:v>mod_fraud_intelligence_network</x:v>
      </x:c>
      <x:c r="B76" s="22" t="str">
        <x:v>Fraud Intelligence Network</x:v>
      </x:c>
      <x:c r="C76" s="22" t="str">
        <x:v>Rare</x:v>
      </x:c>
      <x:c r="D76" s="22" t="str">
        <x:v>Risk</x:v>
      </x:c>
      <x:c r="E76" s="22" t="str">
        <x:v>Banking, Fintech, Insurance, Brokerage</x:v>
      </x:c>
      <x:c r="F76" s="22" t="str">
        <x:v>-8 Operational Risk</x:v>
      </x:c>
      <x:c r="G76" s="22" t="str">
        <x:v>-4 Reputation Risk; -3% capacity</x:v>
      </x:c>
      <x:c r="H76" s="22" t="str"/>
      <x:c r="I76" s="22" t="str">
        <x:v>risk</x:v>
      </x:c>
      <x:c r="J76" s="22" t="str">
        <x:v>Growing</x:v>
      </x:c>
      <x:c r="K76" s="22" t="str">
        <x:v>Mastery III — choose from compatible family pool</x:v>
      </x:c>
      <x:c r="L76" s="22" t="str">
        <x:v>Hard</x:v>
      </x:c>
      <x:c r="M76" s="22" t="str">
        <x:v>Regulatory Approval</x:v>
      </x:c>
      <x:c r="N76" s="22" t="str">
        <x:v>Advanced / Prestige Earned Pack</x:v>
      </x:c>
      <x:c r="O76" s="22" t="str">
        <x:v>Yes — low chance</x:v>
      </x:c>
      <x:c r="P76" s="22" t="str">
        <x:v>Rare Parts</x:v>
      </x:c>
      <x:c r="Q76" s="79" t="n">
        <x:v>150</x:v>
      </x:c>
      <x:c r="R76" s="79" t="n">
        <x:v>60</x:v>
      </x:c>
      <x:c r="S76" s="79" t="str">
        <x:v>1 hour</x:v>
      </x:c>
      <x:c r="T76" s="79" t="n">
        <x:v>30</x:v>
      </x:c>
      <x:c r="U76" s="22" t="str">
        <x:v>Fraud defense</x:v>
      </x:c>
      <x:c r="V76" s="22" t="str">
        <x:v>No</x:v>
      </x:c>
      <x:c r="W76" s="22" t="str">
        <x:v>No</x:v>
      </x:c>
      <x:c r="X76" s="34" t="str">
        <x:v>Server-authoritative config; effects subject to stacking and hard caps.</x:v>
      </x:c>
    </x:row>
    <x:row r="77">
      <x:c r="A77" s="33" t="str">
        <x:v>mod_hnw_referral_network</x:v>
      </x:c>
      <x:c r="B77" s="22" t="str">
        <x:v>HNW Referral Network</x:v>
      </x:c>
      <x:c r="C77" s="22" t="str">
        <x:v>Rare</x:v>
      </x:c>
      <x:c r="D77" s="22" t="str">
        <x:v>Wealth</x:v>
      </x:c>
      <x:c r="E77" s="22" t="str">
        <x:v>Wealth, Private Banking, Advisory</x:v>
      </x:c>
      <x:c r="F77" s="22" t="str">
        <x:v>+10% HNW acquisition</x:v>
      </x:c>
      <x:c r="G77" s="22" t="str">
        <x:v>+5% retention; -4% General Consumer acquisition</x:v>
      </x:c>
      <x:c r="H77" s="22" t="str"/>
      <x:c r="I77" s="22" t="str">
        <x:v>wealth</x:v>
      </x:c>
      <x:c r="J77" s="22" t="str">
        <x:v>Growing</x:v>
      </x:c>
      <x:c r="K77" s="22" t="str">
        <x:v>Mastery III — choose from compatible family pool</x:v>
      </x:c>
      <x:c r="L77" s="22" t="str">
        <x:v>Hard</x:v>
      </x:c>
      <x:c r="M77" s="22" t="str">
        <x:v>Dividend Week</x:v>
      </x:c>
      <x:c r="N77" s="22" t="str">
        <x:v>Advanced / Prestige Earned Pack</x:v>
      </x:c>
      <x:c r="O77" s="22" t="str">
        <x:v>Yes — low chance</x:v>
      </x:c>
      <x:c r="P77" s="22" t="str">
        <x:v>Rare Parts</x:v>
      </x:c>
      <x:c r="Q77" s="79" t="n">
        <x:v>150</x:v>
      </x:c>
      <x:c r="R77" s="79" t="n">
        <x:v>60</x:v>
      </x:c>
      <x:c r="S77" s="79" t="str">
        <x:v>1 hour</x:v>
      </x:c>
      <x:c r="T77" s="79" t="n">
        <x:v>30</x:v>
      </x:c>
      <x:c r="U77" s="22" t="str">
        <x:v>HNW network</x:v>
      </x:c>
      <x:c r="V77" s="22" t="str">
        <x:v>No</x:v>
      </x:c>
      <x:c r="W77" s="22" t="str">
        <x:v>No</x:v>
      </x:c>
      <x:c r="X77" s="34" t="str">
        <x:v>Server-authoritative config; effects subject to stacking and hard caps.</x:v>
      </x:c>
    </x:row>
    <x:row r="78">
      <x:c r="A78" s="33" t="str">
        <x:v>mod_operational_redundancy</x:v>
      </x:c>
      <x:c r="B78" s="22" t="str">
        <x:v>Operational Redundancy</x:v>
      </x:c>
      <x:c r="C78" s="22" t="str">
        <x:v>Rare</x:v>
      </x:c>
      <x:c r="D78" s="22" t="str">
        <x:v>Operations</x:v>
      </x:c>
      <x:c r="E78" s="22" t="str">
        <x:v>All</x:v>
      </x:c>
      <x:c r="F78" s="22" t="str">
        <x:v>-7 Operational Risk</x:v>
      </x:c>
      <x:c r="G78" s="22" t="str">
        <x:v>+7% capacity; +4% operating cost</x:v>
      </x:c>
      <x:c r="H78" s="22" t="str"/>
      <x:c r="I78" s="22" t="str">
        <x:v>operations</x:v>
      </x:c>
      <x:c r="J78" s="22" t="str">
        <x:v>Growing</x:v>
      </x:c>
      <x:c r="K78" s="22" t="str">
        <x:v>Mastery III — choose from compatible family pool</x:v>
      </x:c>
      <x:c r="L78" s="22" t="str">
        <x:v>Hard</x:v>
      </x:c>
      <x:c r="M78" s="22" t="str">
        <x:v>Volatility Spike</x:v>
      </x:c>
      <x:c r="N78" s="22" t="str">
        <x:v>Advanced / Prestige Earned Pack</x:v>
      </x:c>
      <x:c r="O78" s="22" t="str">
        <x:v>Yes — low chance</x:v>
      </x:c>
      <x:c r="P78" s="22" t="str">
        <x:v>Rare Parts</x:v>
      </x:c>
      <x:c r="Q78" s="79" t="n">
        <x:v>150</x:v>
      </x:c>
      <x:c r="R78" s="79" t="n">
        <x:v>60</x:v>
      </x:c>
      <x:c r="S78" s="79" t="str">
        <x:v>1 hour</x:v>
      </x:c>
      <x:c r="T78" s="79" t="n">
        <x:v>30</x:v>
      </x:c>
      <x:c r="U78" s="22" t="str">
        <x:v>Resilience</x:v>
      </x:c>
      <x:c r="V78" s="22" t="str">
        <x:v>No</x:v>
      </x:c>
      <x:c r="W78" s="22" t="str">
        <x:v>No</x:v>
      </x:c>
      <x:c r="X78" s="34" t="str">
        <x:v>Server-authoritative config; effects subject to stacking and hard caps.</x:v>
      </x:c>
    </x:row>
    <x:row r="79">
      <x:c r="A79" s="33" t="str">
        <x:v>mod_deposit_sweep_engine</x:v>
      </x:c>
      <x:c r="B79" s="22" t="str">
        <x:v>Deposit Sweep Engine</x:v>
      </x:c>
      <x:c r="C79" s="22" t="str">
        <x:v>Epic</x:v>
      </x:c>
      <x:c r="D79" s="22" t="str">
        <x:v>Liquidity</x:v>
      </x:c>
      <x:c r="E79" s="22" t="str">
        <x:v>Banking, Treasury</x:v>
      </x:c>
      <x:c r="F79" s="22" t="str">
        <x:v>+12% capacity</x:v>
      </x:c>
      <x:c r="G79" s="22" t="str">
        <x:v>If reserve &lt;8%: +6 Liquidity Risk</x:v>
      </x:c>
      <x:c r="H79" s="22" t="str">
        <x:v>Reserve Ratio &gt;=15%</x:v>
      </x:c>
      <x:c r="I79" s="22" t="str">
        <x:v>liquidity</x:v>
      </x:c>
      <x:c r="J79" s="22" t="str">
        <x:v>Established</x:v>
      </x:c>
      <x:c r="K79" s="22" t="str">
        <x:v>Mastery IV — choose from compatible family pool</x:v>
      </x:c>
      <x:c r="L79" s="22" t="str">
        <x:v>Elite</x:v>
      </x:c>
      <x:c r="M79" s="22" t="str">
        <x:v>Liquidity Crunch</x:v>
      </x:c>
      <x:c r="N79" s="22" t="str">
        <x:v>Advanced / Prestige Earned Pack</x:v>
      </x:c>
      <x:c r="O79" s="22" t="str">
        <x:v>No</x:v>
      </x:c>
      <x:c r="P79" s="22" t="str">
        <x:v>Epic Parts</x:v>
      </x:c>
      <x:c r="Q79" s="79" t="n">
        <x:v>400</x:v>
      </x:c>
      <x:c r="R79" s="79" t="n">
        <x:v>240</x:v>
      </x:c>
      <x:c r="S79" s="79" t="str">
        <x:v>4 hours</x:v>
      </x:c>
      <x:c r="T79" s="79" t="n">
        <x:v>80</x:v>
      </x:c>
      <x:c r="U79" s="22" t="str">
        <x:v>Conditional treasury</x:v>
      </x:c>
      <x:c r="V79" s="22" t="str">
        <x:v>No</x:v>
      </x:c>
      <x:c r="W79" s="22" t="str">
        <x:v>No</x:v>
      </x:c>
      <x:c r="X79" s="34" t="str">
        <x:v>Server-authoritative config; effects subject to stacking and hard caps.</x:v>
      </x:c>
    </x:row>
    <x:row r="80">
      <x:c r="A80" s="33" t="str">
        <x:v>mod_volatility_engine</x:v>
      </x:c>
      <x:c r="B80" s="22" t="str">
        <x:v>Volatility Engine</x:v>
      </x:c>
      <x:c r="C80" s="22" t="str">
        <x:v>Epic</x:v>
      </x:c>
      <x:c r="D80" s="22" t="str">
        <x:v>Market</x:v>
      </x:c>
      <x:c r="E80" s="22" t="str">
        <x:v>Trading, Exchange, Market Making</x:v>
      </x:c>
      <x:c r="F80" s="22" t="str">
        <x:v>+14% activity efficiency</x:v>
      </x:c>
      <x:c r="G80" s="22" t="str">
        <x:v>+8 Market Risk</x:v>
      </x:c>
      <x:c r="H80" s="22" t="str">
        <x:v>Market State = Bull/Expansion OR Volatility Spike active</x:v>
      </x:c>
      <x:c r="I80" s="22" t="str">
        <x:v>market</x:v>
      </x:c>
      <x:c r="J80" s="22" t="str">
        <x:v>Established</x:v>
      </x:c>
      <x:c r="K80" s="22" t="str">
        <x:v>Mastery IV — choose from compatible family pool</x:v>
      </x:c>
      <x:c r="L80" s="22" t="str">
        <x:v>Elite</x:v>
      </x:c>
      <x:c r="M80" s="22" t="str">
        <x:v>Volatility Spike</x:v>
      </x:c>
      <x:c r="N80" s="22" t="str">
        <x:v>Advanced / Prestige Earned Pack</x:v>
      </x:c>
      <x:c r="O80" s="22" t="str">
        <x:v>No</x:v>
      </x:c>
      <x:c r="P80" s="22" t="str">
        <x:v>Epic Parts</x:v>
      </x:c>
      <x:c r="Q80" s="79" t="n">
        <x:v>400</x:v>
      </x:c>
      <x:c r="R80" s="79" t="n">
        <x:v>240</x:v>
      </x:c>
      <x:c r="S80" s="79" t="str">
        <x:v>4 hours</x:v>
      </x:c>
      <x:c r="T80" s="79" t="n">
        <x:v>80</x:v>
      </x:c>
      <x:c r="U80" s="22" t="str">
        <x:v>High volatility offense</x:v>
      </x:c>
      <x:c r="V80" s="22" t="str">
        <x:v>No</x:v>
      </x:c>
      <x:c r="W80" s="22" t="str">
        <x:v>No</x:v>
      </x:c>
      <x:c r="X80" s="34" t="str">
        <x:v>Server-authoritative config; effects subject to stacking and hard caps.</x:v>
      </x:c>
    </x:row>
    <x:row r="81">
      <x:c r="A81" s="33" t="str">
        <x:v>mod_family_office_protocol</x:v>
      </x:c>
      <x:c r="B81" s="22" t="str">
        <x:v>Family Office Protocol</x:v>
      </x:c>
      <x:c r="C81" s="22" t="str">
        <x:v>Epic</x:v>
      </x:c>
      <x:c r="D81" s="22" t="str">
        <x:v>Wealth</x:v>
      </x:c>
      <x:c r="E81" s="22" t="str">
        <x:v>Wealth, Private Banking</x:v>
      </x:c>
      <x:c r="F81" s="22" t="str">
        <x:v>+12% HNW retention</x:v>
      </x:c>
      <x:c r="G81" s="22" t="str">
        <x:v>-5% capacity</x:v>
      </x:c>
      <x:c r="H81" s="22" t="str">
        <x:v>Reputation &gt;=80</x:v>
      </x:c>
      <x:c r="I81" s="22" t="str">
        <x:v>wealth</x:v>
      </x:c>
      <x:c r="J81" s="22" t="str">
        <x:v>Established</x:v>
      </x:c>
      <x:c r="K81" s="22" t="str">
        <x:v>Mastery IV — choose from compatible family pool</x:v>
      </x:c>
      <x:c r="L81" s="22" t="str">
        <x:v>Elite</x:v>
      </x:c>
      <x:c r="M81" s="22" t="str">
        <x:v>Dividend Week</x:v>
      </x:c>
      <x:c r="N81" s="22" t="str">
        <x:v>Advanced / Prestige Earned Pack</x:v>
      </x:c>
      <x:c r="O81" s="22" t="str">
        <x:v>No</x:v>
      </x:c>
      <x:c r="P81" s="22" t="str">
        <x:v>Epic Parts</x:v>
      </x:c>
      <x:c r="Q81" s="79" t="n">
        <x:v>400</x:v>
      </x:c>
      <x:c r="R81" s="79" t="n">
        <x:v>240</x:v>
      </x:c>
      <x:c r="S81" s="79" t="str">
        <x:v>4 hours</x:v>
      </x:c>
      <x:c r="T81" s="79" t="n">
        <x:v>80</x:v>
      </x:c>
      <x:c r="U81" s="22" t="str">
        <x:v>Prestige wealth</x:v>
      </x:c>
      <x:c r="V81" s="22" t="str">
        <x:v>No</x:v>
      </x:c>
      <x:c r="W81" s="22" t="str">
        <x:v>No</x:v>
      </x:c>
      <x:c r="X81" s="34" t="str">
        <x:v>Server-authoritative config; effects subject to stacking and hard caps.</x:v>
      </x:c>
    </x:row>
    <x:row r="82">
      <x:c r="A82" s="33" t="str">
        <x:v>mod_credit_scoring_engine</x:v>
      </x:c>
      <x:c r="B82" s="22" t="str">
        <x:v>Credit Scoring Engine</x:v>
      </x:c>
      <x:c r="C82" s="22" t="str">
        <x:v>Epic</x:v>
      </x:c>
      <x:c r="D82" s="22" t="str">
        <x:v>Credit</x:v>
      </x:c>
      <x:c r="E82" s="22" t="str">
        <x:v>Lending, Banking</x:v>
      </x:c>
      <x:c r="F82" s="22" t="str">
        <x:v>+10% Small Business acquisition</x:v>
      </x:c>
      <x:c r="G82" s="22" t="str">
        <x:v>-5 Credit Risk</x:v>
      </x:c>
      <x:c r="H82" s="22" t="str">
        <x:v>Service Quality &gt;=75</x:v>
      </x:c>
      <x:c r="I82" s="22" t="str">
        <x:v>credit</x:v>
      </x:c>
      <x:c r="J82" s="22" t="str">
        <x:v>Established</x:v>
      </x:c>
      <x:c r="K82" s="22" t="str">
        <x:v>Mastery IV — choose from compatible family pool</x:v>
      </x:c>
      <x:c r="L82" s="22" t="str">
        <x:v>Elite</x:v>
      </x:c>
      <x:c r="M82" s="22" t="str">
        <x:v>Credit Boom</x:v>
      </x:c>
      <x:c r="N82" s="22" t="str">
        <x:v>Advanced / Prestige Earned Pack</x:v>
      </x:c>
      <x:c r="O82" s="22" t="str">
        <x:v>No</x:v>
      </x:c>
      <x:c r="P82" s="22" t="str">
        <x:v>Epic Parts</x:v>
      </x:c>
      <x:c r="Q82" s="79" t="n">
        <x:v>400</x:v>
      </x:c>
      <x:c r="R82" s="79" t="n">
        <x:v>240</x:v>
      </x:c>
      <x:c r="S82" s="79" t="str">
        <x:v>4 hours</x:v>
      </x:c>
      <x:c r="T82" s="79" t="n">
        <x:v>80</x:v>
      </x:c>
      <x:c r="U82" s="22" t="str">
        <x:v>Quality lending</x:v>
      </x:c>
      <x:c r="V82" s="22" t="str">
        <x:v>No</x:v>
      </x:c>
      <x:c r="W82" s="22" t="str">
        <x:v>No</x:v>
      </x:c>
      <x:c r="X82" s="34" t="str">
        <x:v>Server-authoritative config; effects subject to stacking and hard caps.</x:v>
      </x:c>
    </x:row>
    <x:row r="83">
      <x:c r="A83" s="33" t="str">
        <x:v>mod_deep_liquidity_engine</x:v>
      </x:c>
      <x:c r="B83" s="22" t="str">
        <x:v>Deep Liquidity Engine</x:v>
      </x:c>
      <x:c r="C83" s="22" t="str">
        <x:v>Epic</x:v>
      </x:c>
      <x:c r="D83" s="22" t="str">
        <x:v>Liquidity</x:v>
      </x:c>
      <x:c r="E83" s="22" t="str">
        <x:v>Market Making, Exchange</x:v>
      </x:c>
      <x:c r="F83" s="22" t="str">
        <x:v>+12% capacity</x:v>
      </x:c>
      <x:c r="G83" s="22" t="str">
        <x:v>-6 Liquidity Risk; +4 Market Risk</x:v>
      </x:c>
      <x:c r="H83" s="22" t="str"/>
      <x:c r="I83" s="22" t="str">
        <x:v>liquidity</x:v>
      </x:c>
      <x:c r="J83" s="22" t="str">
        <x:v>Established</x:v>
      </x:c>
      <x:c r="K83" s="22" t="str">
        <x:v>Mastery IV — choose from compatible family pool</x:v>
      </x:c>
      <x:c r="L83" s="22" t="str">
        <x:v>Elite</x:v>
      </x:c>
      <x:c r="M83" s="22" t="str">
        <x:v>Liquidity Crunch</x:v>
      </x:c>
      <x:c r="N83" s="22" t="str">
        <x:v>Advanced / Prestige Earned Pack</x:v>
      </x:c>
      <x:c r="O83" s="22" t="str">
        <x:v>No</x:v>
      </x:c>
      <x:c r="P83" s="22" t="str">
        <x:v>Epic Parts</x:v>
      </x:c>
      <x:c r="Q83" s="79" t="n">
        <x:v>400</x:v>
      </x:c>
      <x:c r="R83" s="79" t="n">
        <x:v>240</x:v>
      </x:c>
      <x:c r="S83" s="79" t="str">
        <x:v>4 hours</x:v>
      </x:c>
      <x:c r="T83" s="79" t="n">
        <x:v>80</x:v>
      </x:c>
      <x:c r="U83" s="22" t="str">
        <x:v>Market infrastructure</x:v>
      </x:c>
      <x:c r="V83" s="22" t="str">
        <x:v>No</x:v>
      </x:c>
      <x:c r="W83" s="22" t="str">
        <x:v>No</x:v>
      </x:c>
      <x:c r="X83" s="34" t="str">
        <x:v>Server-authoritative config; effects subject to stacking and hard caps.</x:v>
      </x:c>
    </x:row>
    <x:row r="84">
      <x:c r="A84" s="33" t="str">
        <x:v>mod_deal_execution_room</x:v>
      </x:c>
      <x:c r="B84" s="22" t="str">
        <x:v>Deal Execution Room</x:v>
      </x:c>
      <x:c r="C84" s="22" t="str">
        <x:v>Epic</x:v>
      </x:c>
      <x:c r="D84" s="22" t="str">
        <x:v>Institutional</x:v>
      </x:c>
      <x:c r="E84" s="22" t="str">
        <x:v>Investment Banking</x:v>
      </x:c>
      <x:c r="F84" s="22" t="str">
        <x:v>+12% activity efficiency</x:v>
      </x:c>
      <x:c r="G84" s="22" t="str">
        <x:v>+4 Operational Risk</x:v>
      </x:c>
      <x:c r="H84" s="22" t="str">
        <x:v>Corporate Client utilization &gt;=50%</x:v>
      </x:c>
      <x:c r="I84" s="22" t="str">
        <x:v>institutional</x:v>
      </x:c>
      <x:c r="J84" s="22" t="str">
        <x:v>Established</x:v>
      </x:c>
      <x:c r="K84" s="22" t="str">
        <x:v>Mastery IV — choose from compatible family pool</x:v>
      </x:c>
      <x:c r="L84" s="22" t="str">
        <x:v>Elite</x:v>
      </x:c>
      <x:c r="M84" s="22" t="str">
        <x:v>M&amp;A Boom</x:v>
      </x:c>
      <x:c r="N84" s="22" t="str">
        <x:v>Advanced / Prestige Earned Pack</x:v>
      </x:c>
      <x:c r="O84" s="22" t="str">
        <x:v>No</x:v>
      </x:c>
      <x:c r="P84" s="22" t="str">
        <x:v>Epic Parts</x:v>
      </x:c>
      <x:c r="Q84" s="79" t="n">
        <x:v>400</x:v>
      </x:c>
      <x:c r="R84" s="79" t="n">
        <x:v>240</x:v>
      </x:c>
      <x:c r="S84" s="79" t="str">
        <x:v>4 hours</x:v>
      </x:c>
      <x:c r="T84" s="79" t="n">
        <x:v>80</x:v>
      </x:c>
      <x:c r="U84" s="22" t="str">
        <x:v>Deal throughput</x:v>
      </x:c>
      <x:c r="V84" s="22" t="str">
        <x:v>No</x:v>
      </x:c>
      <x:c r="W84" s="22" t="str">
        <x:v>No</x:v>
      </x:c>
      <x:c r="X84" s="34" t="str">
        <x:v>Server-authoritative config; effects subject to stacking and hard caps.</x:v>
      </x:c>
    </x:row>
    <x:row r="85">
      <x:c r="A85" s="33" t="str">
        <x:v>mod_adaptive_data_fabric</x:v>
      </x:c>
      <x:c r="B85" s="22" t="str">
        <x:v>Adaptive Data Fabric</x:v>
      </x:c>
      <x:c r="C85" s="22" t="str">
        <x:v>Epic</x:v>
      </x:c>
      <x:c r="D85" s="22" t="str">
        <x:v>Research</x:v>
      </x:c>
      <x:c r="E85" s="22" t="str">
        <x:v>Research, Data, Fintech</x:v>
      </x:c>
      <x:c r="F85" s="22" t="str">
        <x:v>+8% activity efficiency</x:v>
      </x:c>
      <x:c r="G85" s="22" t="str">
        <x:v>+5 Service Quality</x:v>
      </x:c>
      <x:c r="H85" s="22" t="str">
        <x:v>Operational Risk &lt;=50</x:v>
      </x:c>
      <x:c r="I85" s="22" t="str">
        <x:v>research</x:v>
      </x:c>
      <x:c r="J85" s="22" t="str">
        <x:v>Established</x:v>
      </x:c>
      <x:c r="K85" s="22" t="str">
        <x:v>Mastery IV — choose from compatible family pool</x:v>
      </x:c>
      <x:c r="L85" s="22" t="str">
        <x:v>Elite</x:v>
      </x:c>
      <x:c r="M85" s="22" t="str">
        <x:v>Tech Rally</x:v>
      </x:c>
      <x:c r="N85" s="22" t="str">
        <x:v>Advanced / Prestige Earned Pack</x:v>
      </x:c>
      <x:c r="O85" s="22" t="str">
        <x:v>No</x:v>
      </x:c>
      <x:c r="P85" s="22" t="str">
        <x:v>Epic Parts</x:v>
      </x:c>
      <x:c r="Q85" s="79" t="n">
        <x:v>400</x:v>
      </x:c>
      <x:c r="R85" s="79" t="n">
        <x:v>240</x:v>
      </x:c>
      <x:c r="S85" s="79" t="str">
        <x:v>4 hours</x:v>
      </x:c>
      <x:c r="T85" s="79" t="n">
        <x:v>80</x:v>
      </x:c>
      <x:c r="U85" s="22" t="str">
        <x:v>Quality-conditioned tech</x:v>
      </x:c>
      <x:c r="V85" s="22" t="str">
        <x:v>No</x:v>
      </x:c>
      <x:c r="W85" s="22" t="str">
        <x:v>No</x:v>
      </x:c>
      <x:c r="X85" s="34" t="str">
        <x:v>Server-authoritative config; effects subject to stacking and hard caps.</x:v>
      </x:c>
    </x:row>
    <x:row r="86">
      <x:c r="A86" s="33" t="str">
        <x:v>mod_stress_test_framework</x:v>
      </x:c>
      <x:c r="B86" s="22" t="str">
        <x:v>Stress-Test Framework</x:v>
      </x:c>
      <x:c r="C86" s="22" t="str">
        <x:v>Epic</x:v>
      </x:c>
      <x:c r="D86" s="22" t="str">
        <x:v>Risk</x:v>
      </x:c>
      <x:c r="E86" s="22" t="str">
        <x:v>Banking, Treasury, Insurance, Asset Management</x:v>
      </x:c>
      <x:c r="F86" s="22" t="str">
        <x:v>-10 combined relevant Risk points</x:v>
      </x:c>
      <x:c r="G86" s="22" t="str">
        <x:v>-6% activity efficiency</x:v>
      </x:c>
      <x:c r="H86" s="22" t="str">
        <x:v>Composite Risk &gt;=35</x:v>
      </x:c>
      <x:c r="I86" s="22" t="str">
        <x:v>risk</x:v>
      </x:c>
      <x:c r="J86" s="22" t="str">
        <x:v>Established</x:v>
      </x:c>
      <x:c r="K86" s="22" t="str">
        <x:v>Mastery IV — choose from compatible family pool</x:v>
      </x:c>
      <x:c r="L86" s="22" t="str">
        <x:v>Elite</x:v>
      </x:c>
      <x:c r="M86" s="22" t="str">
        <x:v>Market Correction</x:v>
      </x:c>
      <x:c r="N86" s="22" t="str">
        <x:v>Advanced / Prestige Earned Pack</x:v>
      </x:c>
      <x:c r="O86" s="22" t="str">
        <x:v>No</x:v>
      </x:c>
      <x:c r="P86" s="22" t="str">
        <x:v>Epic Parts</x:v>
      </x:c>
      <x:c r="Q86" s="79" t="n">
        <x:v>400</x:v>
      </x:c>
      <x:c r="R86" s="79" t="n">
        <x:v>240</x:v>
      </x:c>
      <x:c r="S86" s="79" t="str">
        <x:v>4 hours</x:v>
      </x:c>
      <x:c r="T86" s="79" t="n">
        <x:v>80</x:v>
      </x:c>
      <x:c r="U86" s="22" t="str">
        <x:v>Crisis defense</x:v>
      </x:c>
      <x:c r="V86" s="22" t="str">
        <x:v>No</x:v>
      </x:c>
      <x:c r="W86" s="22" t="str">
        <x:v>No</x:v>
      </x:c>
      <x:c r="X86" s="34" t="str">
        <x:v>Server-authoritative config; effects subject to stacking and hard caps.</x:v>
      </x:c>
    </x:row>
    <x:row r="87">
      <x:c r="A87" s="33" t="str">
        <x:v>mod_ipo_syndication_desk</x:v>
      </x:c>
      <x:c r="B87" s="22" t="str">
        <x:v>IPO Syndication Desk</x:v>
      </x:c>
      <x:c r="C87" s="22" t="str">
        <x:v>Epic</x:v>
      </x:c>
      <x:c r="D87" s="22" t="str">
        <x:v>Institutional</x:v>
      </x:c>
      <x:c r="E87" s="22" t="str">
        <x:v>Investment Banking, Brokerage, Exchange</x:v>
      </x:c>
      <x:c r="F87" s="22" t="str">
        <x:v>+12% Corporate Client acquisition</x:v>
      </x:c>
      <x:c r="G87" s="22" t="str">
        <x:v>+8% activity efficiency; +4 Reputation Risk</x:v>
      </x:c>
      <x:c r="H87" s="22" t="str">
        <x:v>IPO Week active</x:v>
      </x:c>
      <x:c r="I87" s="22" t="str">
        <x:v>institutional</x:v>
      </x:c>
      <x:c r="J87" s="22" t="str">
        <x:v>Established</x:v>
      </x:c>
      <x:c r="K87" s="22" t="str">
        <x:v>Mastery IV — choose from compatible family pool</x:v>
      </x:c>
      <x:c r="L87" s="22" t="str">
        <x:v>Elite</x:v>
      </x:c>
      <x:c r="M87" s="22" t="str">
        <x:v>IPO Week</x:v>
      </x:c>
      <x:c r="N87" s="22" t="str">
        <x:v>Advanced / Prestige Earned Pack</x:v>
      </x:c>
      <x:c r="O87" s="22" t="str">
        <x:v>No</x:v>
      </x:c>
      <x:c r="P87" s="22" t="str">
        <x:v>Epic Parts</x:v>
      </x:c>
      <x:c r="Q87" s="79" t="n">
        <x:v>400</x:v>
      </x:c>
      <x:c r="R87" s="79" t="n">
        <x:v>240</x:v>
      </x:c>
      <x:c r="S87" s="79" t="str">
        <x:v>4 hours</x:v>
      </x:c>
      <x:c r="T87" s="79" t="n">
        <x:v>80</x:v>
      </x:c>
      <x:c r="U87" s="22" t="str">
        <x:v>Event specialization</x:v>
      </x:c>
      <x:c r="V87" s="22" t="str">
        <x:v>No</x:v>
      </x:c>
      <x:c r="W87" s="22" t="str">
        <x:v>No</x:v>
      </x:c>
      <x:c r="X87" s="34" t="str">
        <x:v>Server-authoritative config; effects subject to stacking and hard caps.</x:v>
      </x:c>
    </x:row>
    <x:row r="88">
      <x:c r="A88" s="33" t="str">
        <x:v>mod_cross_market_arbitrage_engine</x:v>
      </x:c>
      <x:c r="B88" s="22" t="str">
        <x:v>Cross-Market Arbitrage Engine</x:v>
      </x:c>
      <x:c r="C88" s="22" t="str">
        <x:v>Epic</x:v>
      </x:c>
      <x:c r="D88" s="22" t="str">
        <x:v>Market</x:v>
      </x:c>
      <x:c r="E88" s="22" t="str">
        <x:v>Trading, Exchange, Market Making, FX</x:v>
      </x:c>
      <x:c r="F88" s="22" t="str">
        <x:v>+13% activity efficiency</x:v>
      </x:c>
      <x:c r="G88" s="22" t="str">
        <x:v>+7 Market Risk; +3 Operational Risk</x:v>
      </x:c>
      <x:c r="H88" s="22" t="str">
        <x:v>Market State != Crisis</x:v>
      </x:c>
      <x:c r="I88" s="22" t="str">
        <x:v>market</x:v>
      </x:c>
      <x:c r="J88" s="22" t="str">
        <x:v>Established</x:v>
      </x:c>
      <x:c r="K88" s="22" t="str">
        <x:v>Mastery IV — choose from compatible family pool</x:v>
      </x:c>
      <x:c r="L88" s="22" t="str">
        <x:v>Elite</x:v>
      </x:c>
      <x:c r="M88" s="22" t="str">
        <x:v>Bull Market</x:v>
      </x:c>
      <x:c r="N88" s="22" t="str">
        <x:v>Advanced / Prestige Earned Pack</x:v>
      </x:c>
      <x:c r="O88" s="22" t="str">
        <x:v>No</x:v>
      </x:c>
      <x:c r="P88" s="22" t="str">
        <x:v>Epic Parts</x:v>
      </x:c>
      <x:c r="Q88" s="79" t="n">
        <x:v>400</x:v>
      </x:c>
      <x:c r="R88" s="79" t="n">
        <x:v>240</x:v>
      </x:c>
      <x:c r="S88" s="79" t="str">
        <x:v>4 hours</x:v>
      </x:c>
      <x:c r="T88" s="79" t="n">
        <x:v>80</x:v>
      </x:c>
      <x:c r="U88" s="22" t="str">
        <x:v>Cross-market offense</x:v>
      </x:c>
      <x:c r="V88" s="22" t="str">
        <x:v>No</x:v>
      </x:c>
      <x:c r="W88" s="22" t="str">
        <x:v>No</x:v>
      </x:c>
      <x:c r="X88" s="34" t="str">
        <x:v>Server-authoritative config; effects subject to stacking and hard caps.</x:v>
      </x:c>
    </x:row>
    <x:row r="89">
      <x:c r="A89" s="33" t="str">
        <x:v>mod_advanced_claims_analytics</x:v>
      </x:c>
      <x:c r="B89" s="22" t="str">
        <x:v>Advanced Claims Analytics</x:v>
      </x:c>
      <x:c r="C89" s="22" t="str">
        <x:v>Epic</x:v>
      </x:c>
      <x:c r="D89" s="22" t="str">
        <x:v>Service</x:v>
      </x:c>
      <x:c r="E89" s="22" t="str">
        <x:v>Insurance</x:v>
      </x:c>
      <x:c r="F89" s="22" t="str">
        <x:v>+10% retention</x:v>
      </x:c>
      <x:c r="G89" s="22" t="str">
        <x:v>+6 Service Quality; -5 Operational Risk</x:v>
      </x:c>
      <x:c r="H89" s="22" t="str">
        <x:v>Utilization &lt;=95%</x:v>
      </x:c>
      <x:c r="I89" s="22" t="str">
        <x:v>service</x:v>
      </x:c>
      <x:c r="J89" s="22" t="str">
        <x:v>Established</x:v>
      </x:c>
      <x:c r="K89" s="22" t="str">
        <x:v>Mastery IV — choose from compatible family pool</x:v>
      </x:c>
      <x:c r="L89" s="22" t="str">
        <x:v>Elite</x:v>
      </x:c>
      <x:c r="M89" s="22" t="str">
        <x:v>Regulatory Approval</x:v>
      </x:c>
      <x:c r="N89" s="22" t="str">
        <x:v>Advanced / Prestige Earned Pack</x:v>
      </x:c>
      <x:c r="O89" s="22" t="str">
        <x:v>No</x:v>
      </x:c>
      <x:c r="P89" s="22" t="str">
        <x:v>Epic Parts</x:v>
      </x:c>
      <x:c r="Q89" s="79" t="n">
        <x:v>400</x:v>
      </x:c>
      <x:c r="R89" s="79" t="n">
        <x:v>240</x:v>
      </x:c>
      <x:c r="S89" s="79" t="str">
        <x:v>4 hours</x:v>
      </x:c>
      <x:c r="T89" s="79" t="n">
        <x:v>80</x:v>
      </x:c>
      <x:c r="U89" s="22" t="str">
        <x:v>Insurance analytics</x:v>
      </x:c>
      <x:c r="V89" s="22" t="str">
        <x:v>No</x:v>
      </x:c>
      <x:c r="W89" s="22" t="str">
        <x:v>No</x:v>
      </x:c>
      <x:c r="X89" s="34" t="str">
        <x:v>Server-authoritative config; effects subject to stacking and hard caps.</x:v>
      </x:c>
    </x:row>
    <x:row r="90">
      <x:c r="A90" s="33" t="str">
        <x:v>mod_dynamic_capital_allocation</x:v>
      </x:c>
      <x:c r="B90" s="22" t="str">
        <x:v>Dynamic Capital Allocation</x:v>
      </x:c>
      <x:c r="C90" s="22" t="str">
        <x:v>Epic</x:v>
      </x:c>
      <x:c r="D90" s="22" t="str">
        <x:v>Risk</x:v>
      </x:c>
      <x:c r="E90" s="22" t="str">
        <x:v>Asset Management, Wealth, Treasury</x:v>
      </x:c>
      <x:c r="F90" s="22" t="str">
        <x:v>-8 Concentration Risk</x:v>
      </x:c>
      <x:c r="G90" s="22" t="str">
        <x:v>+8% activity efficiency</x:v>
      </x:c>
      <x:c r="H90" s="22" t="str">
        <x:v>No segment &gt;60%</x:v>
      </x:c>
      <x:c r="I90" s="22" t="str">
        <x:v>risk</x:v>
      </x:c>
      <x:c r="J90" s="22" t="str">
        <x:v>Established</x:v>
      </x:c>
      <x:c r="K90" s="22" t="str">
        <x:v>Mastery IV — choose from compatible family pool</x:v>
      </x:c>
      <x:c r="L90" s="22" t="str">
        <x:v>Elite</x:v>
      </x:c>
      <x:c r="M90" s="22" t="str">
        <x:v>Market Correction</x:v>
      </x:c>
      <x:c r="N90" s="22" t="str">
        <x:v>Advanced / Prestige Earned Pack</x:v>
      </x:c>
      <x:c r="O90" s="22" t="str">
        <x:v>No</x:v>
      </x:c>
      <x:c r="P90" s="22" t="str">
        <x:v>Epic Parts</x:v>
      </x:c>
      <x:c r="Q90" s="79" t="n">
        <x:v>400</x:v>
      </x:c>
      <x:c r="R90" s="79" t="n">
        <x:v>240</x:v>
      </x:c>
      <x:c r="S90" s="79" t="str">
        <x:v>4 hours</x:v>
      </x:c>
      <x:c r="T90" s="79" t="n">
        <x:v>80</x:v>
      </x:c>
      <x:c r="U90" s="22" t="str">
        <x:v>Capital discipline</x:v>
      </x:c>
      <x:c r="V90" s="22" t="str">
        <x:v>No</x:v>
      </x:c>
      <x:c r="W90" s="22" t="str">
        <x:v>No</x:v>
      </x:c>
      <x:c r="X90" s="34" t="str">
        <x:v>Server-authoritative config; effects subject to stacking and hard caps.</x:v>
      </x:c>
    </x:row>
    <x:row r="91">
      <x:c r="A91" s="33" t="str">
        <x:v>mod_regulatory_intelligence_suite</x:v>
      </x:c>
      <x:c r="B91" s="22" t="str">
        <x:v>Regulatory Intelligence Suite</x:v>
      </x:c>
      <x:c r="C91" s="22" t="str">
        <x:v>Epic</x:v>
      </x:c>
      <x:c r="D91" s="22" t="str">
        <x:v>Risk</x:v>
      </x:c>
      <x:c r="E91" s="22" t="str">
        <x:v>Banking, Brokerage, Fintech, Insurance, Investment Banking</x:v>
      </x:c>
      <x:c r="F91" s="22" t="str">
        <x:v>-8 Reputation Risk</x:v>
      </x:c>
      <x:c r="G91" s="22" t="str">
        <x:v>-5 Operational Risk; -4% activity efficiency</x:v>
      </x:c>
      <x:c r="H91" s="22" t="str"/>
      <x:c r="I91" s="22" t="str">
        <x:v>risk</x:v>
      </x:c>
      <x:c r="J91" s="22" t="str">
        <x:v>Established</x:v>
      </x:c>
      <x:c r="K91" s="22" t="str">
        <x:v>Mastery IV — choose from compatible family pool</x:v>
      </x:c>
      <x:c r="L91" s="22" t="str">
        <x:v>Elite</x:v>
      </x:c>
      <x:c r="M91" s="22" t="str">
        <x:v>Regulatory Approval</x:v>
      </x:c>
      <x:c r="N91" s="22" t="str">
        <x:v>Advanced / Prestige Earned Pack</x:v>
      </x:c>
      <x:c r="O91" s="22" t="str">
        <x:v>No</x:v>
      </x:c>
      <x:c r="P91" s="22" t="str">
        <x:v>Epic Parts</x:v>
      </x:c>
      <x:c r="Q91" s="79" t="n">
        <x:v>400</x:v>
      </x:c>
      <x:c r="R91" s="79" t="n">
        <x:v>240</x:v>
      </x:c>
      <x:c r="S91" s="79" t="str">
        <x:v>4 hours</x:v>
      </x:c>
      <x:c r="T91" s="79" t="n">
        <x:v>80</x:v>
      </x:c>
      <x:c r="U91" s="22" t="str">
        <x:v>Compliance defense</x:v>
      </x:c>
      <x:c r="V91" s="22" t="str">
        <x:v>No</x:v>
      </x:c>
      <x:c r="W91" s="22" t="str">
        <x:v>No</x:v>
      </x:c>
      <x:c r="X91" s="34" t="str">
        <x:v>Server-authoritative config; effects subject to stacking and hard caps.</x:v>
      </x:c>
    </x:row>
    <x:row r="92">
      <x:c r="A92" s="33" t="str">
        <x:v>mod_enterprise_risk_cockpit</x:v>
      </x:c>
      <x:c r="B92" s="22" t="str">
        <x:v>Enterprise Risk Cockpit</x:v>
      </x:c>
      <x:c r="C92" s="22" t="str">
        <x:v>Epic</x:v>
      </x:c>
      <x:c r="D92" s="22" t="str">
        <x:v>Risk</x:v>
      </x:c>
      <x:c r="E92" s="22" t="str">
        <x:v>All</x:v>
      </x:c>
      <x:c r="F92" s="22" t="str">
        <x:v>-6 Operational Risk</x:v>
      </x:c>
      <x:c r="G92" s="22" t="str">
        <x:v>-5 highest applicable Market/Credit Risk; -4% activity efficiency</x:v>
      </x:c>
      <x:c r="H92" s="22" t="str">
        <x:v>Composite Risk &gt;=30</x:v>
      </x:c>
      <x:c r="I92" s="22" t="str">
        <x:v>risk</x:v>
      </x:c>
      <x:c r="J92" s="22" t="str">
        <x:v>Established</x:v>
      </x:c>
      <x:c r="K92" s="22" t="str">
        <x:v>Mastery IV — choose from compatible family pool</x:v>
      </x:c>
      <x:c r="L92" s="22" t="str">
        <x:v>Elite</x:v>
      </x:c>
      <x:c r="M92" s="22" t="str">
        <x:v>Market Correction</x:v>
      </x:c>
      <x:c r="N92" s="22" t="str">
        <x:v>Advanced / Prestige Earned Pack</x:v>
      </x:c>
      <x:c r="O92" s="22" t="str">
        <x:v>No</x:v>
      </x:c>
      <x:c r="P92" s="22" t="str">
        <x:v>Epic Parts</x:v>
      </x:c>
      <x:c r="Q92" s="79" t="n">
        <x:v>400</x:v>
      </x:c>
      <x:c r="R92" s="79" t="n">
        <x:v>240</x:v>
      </x:c>
      <x:c r="S92" s="79" t="str">
        <x:v>4 hours</x:v>
      </x:c>
      <x:c r="T92" s="79" t="n">
        <x:v>80</x:v>
      </x:c>
      <x:c r="U92" s="22" t="str">
        <x:v>Enterprise risk</x:v>
      </x:c>
      <x:c r="V92" s="22" t="str">
        <x:v>No</x:v>
      </x:c>
      <x:c r="W92" s="22" t="str">
        <x:v>No</x:v>
      </x:c>
      <x:c r="X92" s="34" t="str">
        <x:v>Server-authoritative config; effects subject to stacking and hard caps.</x:v>
      </x:c>
    </x:row>
    <x:row r="93">
      <x:c r="A93" s="33" t="str">
        <x:v>mod_strategic_client_network</x:v>
      </x:c>
      <x:c r="B93" s="22" t="str">
        <x:v>Strategic Client Network</x:v>
      </x:c>
      <x:c r="C93" s="22" t="str">
        <x:v>Epic</x:v>
      </x:c>
      <x:c r="D93" s="22" t="str">
        <x:v>Institutional</x:v>
      </x:c>
      <x:c r="E93" s="22" t="str">
        <x:v>Investment Banking, Private Banking, Wealth, Advisory</x:v>
      </x:c>
      <x:c r="F93" s="22" t="str">
        <x:v>+12% Corporate/HNW acquisition</x:v>
      </x:c>
      <x:c r="G93" s="22" t="str">
        <x:v>+6% retention; -5% General Consumer acquisition</x:v>
      </x:c>
      <x:c r="H93" s="22" t="str">
        <x:v>Reputation &gt;=80</x:v>
      </x:c>
      <x:c r="I93" s="22" t="str">
        <x:v>institutional</x:v>
      </x:c>
      <x:c r="J93" s="22" t="str">
        <x:v>Established</x:v>
      </x:c>
      <x:c r="K93" s="22" t="str">
        <x:v>Mastery IV — choose from compatible family pool</x:v>
      </x:c>
      <x:c r="L93" s="22" t="str">
        <x:v>Elite</x:v>
      </x:c>
      <x:c r="M93" s="22" t="str">
        <x:v>M&amp;A Boom</x:v>
      </x:c>
      <x:c r="N93" s="22" t="str">
        <x:v>Advanced / Prestige Earned Pack</x:v>
      </x:c>
      <x:c r="O93" s="22" t="str">
        <x:v>No</x:v>
      </x:c>
      <x:c r="P93" s="22" t="str">
        <x:v>Epic Parts</x:v>
      </x:c>
      <x:c r="Q93" s="79" t="n">
        <x:v>400</x:v>
      </x:c>
      <x:c r="R93" s="79" t="n">
        <x:v>240</x:v>
      </x:c>
      <x:c r="S93" s="79" t="str">
        <x:v>4 hours</x:v>
      </x:c>
      <x:c r="T93" s="79" t="n">
        <x:v>80</x:v>
      </x:c>
      <x:c r="U93" s="22" t="str">
        <x:v>Strategic relationships</x:v>
      </x:c>
      <x:c r="V93" s="22" t="str">
        <x:v>No</x:v>
      </x:c>
      <x:c r="W93" s="22" t="str">
        <x:v>No</x:v>
      </x:c>
      <x:c r="X93" s="34" t="str">
        <x:v>Server-authoritative config; effects subject to stacking and hard caps.</x:v>
      </x:c>
    </x:row>
    <x:row r="94">
      <x:c r="A94" s="33" t="str">
        <x:v>mod_fortress_balance_sheet</x:v>
      </x:c>
      <x:c r="B94" s="22" t="str">
        <x:v>Fortress Balance Sheet</x:v>
      </x:c>
      <x:c r="C94" s="22" t="str">
        <x:v>Legendary</x:v>
      </x:c>
      <x:c r="D94" s="22" t="str">
        <x:v>Risk</x:v>
      </x:c>
      <x:c r="E94" s="22" t="str">
        <x:v>Banking, Treasury, Private Banking</x:v>
      </x:c>
      <x:c r="F94" s="22" t="str">
        <x:v>-12 Liquidity Risk</x:v>
      </x:c>
      <x:c r="G94" s="22" t="str">
        <x:v>-8 Credit Risk; -8% activity efficiency</x:v>
      </x:c>
      <x:c r="H94" s="22" t="str"/>
      <x:c r="I94" s="22" t="str">
        <x:v>risk</x:v>
      </x:c>
      <x:c r="J94" s="22" t="str">
        <x:v>Elite</x:v>
      </x:c>
      <x:c r="K94" s="22" t="str">
        <x:v>Mastery V — choose from compatible family pool</x:v>
      </x:c>
      <x:c r="L94" s="22" t="str">
        <x:v>Jackpot</x:v>
      </x:c>
      <x:c r="M94" s="22" t="str">
        <x:v>Bank Run</x:v>
      </x:c>
      <x:c r="N94" s="22" t="str">
        <x:v>Prestige Earned Pack</x:v>
      </x:c>
      <x:c r="O94" s="22" t="str">
        <x:v>No</x:v>
      </x:c>
      <x:c r="P94" s="22" t="str">
        <x:v>Legendary Parts</x:v>
      </x:c>
      <x:c r="Q94" s="79" t="n">
        <x:v>1000</x:v>
      </x:c>
      <x:c r="R94" s="79" t="n">
        <x:v>720</x:v>
      </x:c>
      <x:c r="S94" s="79" t="str">
        <x:v>12 hours</x:v>
      </x:c>
      <x:c r="T94" s="79" t="n">
        <x:v>200</x:v>
      </x:c>
      <x:c r="U94" s="22" t="str">
        <x:v>Transformative defense</x:v>
      </x:c>
      <x:c r="V94" s="22" t="str">
        <x:v>No</x:v>
      </x:c>
      <x:c r="W94" s="22" t="str">
        <x:v>No</x:v>
      </x:c>
      <x:c r="X94" s="34" t="str">
        <x:v>Server-authoritative config; effects subject to stacking and hard caps.</x:v>
      </x:c>
    </x:row>
    <x:row r="95">
      <x:c r="A95" s="33" t="str">
        <x:v>mod_trusted_institution_charter</x:v>
      </x:c>
      <x:c r="B95" s="22" t="str">
        <x:v>Trusted Institution Charter</x:v>
      </x:c>
      <x:c r="C95" s="22" t="str">
        <x:v>Legendary</x:v>
      </x:c>
      <x:c r="D95" s="22" t="str">
        <x:v>Customer</x:v>
      </x:c>
      <x:c r="E95" s="22" t="str">
        <x:v>Banking, Wealth, Private Banking, Investment Banking</x:v>
      </x:c>
      <x:c r="F95" s="22" t="str">
        <x:v>+10% HNW/Corporate acquisition</x:v>
      </x:c>
      <x:c r="G95" s="22" t="str">
        <x:v>+8% retention</x:v>
      </x:c>
      <x:c r="H95" s="22" t="str">
        <x:v>Reputation &gt;=85 AND Composite Risk &lt;=40</x:v>
      </x:c>
      <x:c r="I95" s="22" t="str">
        <x:v>customer</x:v>
      </x:c>
      <x:c r="J95" s="22" t="str">
        <x:v>Elite</x:v>
      </x:c>
      <x:c r="K95" s="22" t="str">
        <x:v>Mastery V — choose from compatible family pool</x:v>
      </x:c>
      <x:c r="L95" s="22" t="str">
        <x:v>Jackpot</x:v>
      </x:c>
      <x:c r="M95" s="22" t="str">
        <x:v>Regulatory Approval</x:v>
      </x:c>
      <x:c r="N95" s="22" t="str">
        <x:v>Prestige Earned Pack</x:v>
      </x:c>
      <x:c r="O95" s="22" t="str">
        <x:v>No</x:v>
      </x:c>
      <x:c r="P95" s="22" t="str">
        <x:v>Legendary Parts</x:v>
      </x:c>
      <x:c r="Q95" s="79" t="n">
        <x:v>1000</x:v>
      </x:c>
      <x:c r="R95" s="79" t="n">
        <x:v>720</x:v>
      </x:c>
      <x:c r="S95" s="79" t="str">
        <x:v>12 hours</x:v>
      </x:c>
      <x:c r="T95" s="79" t="n">
        <x:v>200</x:v>
      </x:c>
      <x:c r="U95" s="22" t="str">
        <x:v>Trust prestige</x:v>
      </x:c>
      <x:c r="V95" s="22" t="str">
        <x:v>No</x:v>
      </x:c>
      <x:c r="W95" s="22" t="str">
        <x:v>No</x:v>
      </x:c>
      <x:c r="X95" s="34" t="str">
        <x:v>Server-authoritative config; effects subject to stacking and hard caps.</x:v>
      </x:c>
    </x:row>
    <x:row r="96">
      <x:c r="A96" s="33" t="str">
        <x:v>mod_adaptive_market_desk</x:v>
      </x:c>
      <x:c r="B96" s="22" t="str">
        <x:v>Adaptive Market Desk</x:v>
      </x:c>
      <x:c r="C96" s="22" t="str">
        <x:v>Legendary</x:v>
      </x:c>
      <x:c r="D96" s="22" t="str">
        <x:v>Market</x:v>
      </x:c>
      <x:c r="E96" s="22" t="str">
        <x:v>Trading, Brokerage, Exchange, Market Making</x:v>
      </x:c>
      <x:c r="F96" s="22" t="str">
        <x:v>Bull/Expansion: +12% activity efficiency</x:v>
      </x:c>
      <x:c r="G96" s="22" t="str">
        <x:v>Correction/Risk-Off: -8 Market Risk</x:v>
      </x:c>
      <x:c r="H96" s="22" t="str">
        <x:v>Market state branch</x:v>
      </x:c>
      <x:c r="I96" s="22" t="str">
        <x:v>market</x:v>
      </x:c>
      <x:c r="J96" s="22" t="str">
        <x:v>Elite</x:v>
      </x:c>
      <x:c r="K96" s="22" t="str">
        <x:v>Mastery V — choose from compatible family pool</x:v>
      </x:c>
      <x:c r="L96" s="22" t="str">
        <x:v>Jackpot</x:v>
      </x:c>
      <x:c r="M96" s="22" t="str">
        <x:v>Market Correction</x:v>
      </x:c>
      <x:c r="N96" s="22" t="str">
        <x:v>Prestige Earned Pack</x:v>
      </x:c>
      <x:c r="O96" s="22" t="str">
        <x:v>No</x:v>
      </x:c>
      <x:c r="P96" s="22" t="str">
        <x:v>Legendary Parts</x:v>
      </x:c>
      <x:c r="Q96" s="79" t="n">
        <x:v>1000</x:v>
      </x:c>
      <x:c r="R96" s="79" t="n">
        <x:v>720</x:v>
      </x:c>
      <x:c r="S96" s="79" t="str">
        <x:v>12 hours</x:v>
      </x:c>
      <x:c r="T96" s="79" t="n">
        <x:v>200</x:v>
      </x:c>
      <x:c r="U96" s="22" t="str">
        <x:v>Cycle-adaptive</x:v>
      </x:c>
      <x:c r="V96" s="22" t="str">
        <x:v>No</x:v>
      </x:c>
      <x:c r="W96" s="22" t="str">
        <x:v>No</x:v>
      </x:c>
      <x:c r="X96" s="34" t="str">
        <x:v>Server-authoritative config; effects subject to stacking and hard caps.</x:v>
      </x:c>
    </x:row>
    <x:row r="97">
      <x:c r="A97" s="33" t="str">
        <x:v>mod_integrated_data_fabric</x:v>
      </x:c>
      <x:c r="B97" s="22" t="str">
        <x:v>Integrated Data Fabric</x:v>
      </x:c>
      <x:c r="C97" s="22" t="str">
        <x:v>Legendary</x:v>
      </x:c>
      <x:c r="D97" s="22" t="str">
        <x:v>Operations</x:v>
      </x:c>
      <x:c r="E97" s="22" t="str">
        <x:v>Data, Research, Fintech, Exchange</x:v>
      </x:c>
      <x:c r="F97" s="22" t="str">
        <x:v>+10% capacity</x:v>
      </x:c>
      <x:c r="G97" s="22" t="str">
        <x:v>+6 Service Quality; -5 Operational Risk; +6% operating cost</x:v>
      </x:c>
      <x:c r="H97" s="22" t="str"/>
      <x:c r="I97" s="22" t="str">
        <x:v>operations</x:v>
      </x:c>
      <x:c r="J97" s="22" t="str">
        <x:v>Elite</x:v>
      </x:c>
      <x:c r="K97" s="22" t="str">
        <x:v>Mastery V — choose from compatible family pool</x:v>
      </x:c>
      <x:c r="L97" s="22" t="str">
        <x:v>Jackpot</x:v>
      </x:c>
      <x:c r="M97" s="22" t="str">
        <x:v>Tech Rally</x:v>
      </x:c>
      <x:c r="N97" s="22" t="str">
        <x:v>Prestige Earned Pack</x:v>
      </x:c>
      <x:c r="O97" s="22" t="str">
        <x:v>No</x:v>
      </x:c>
      <x:c r="P97" s="22" t="str">
        <x:v>Legendary Parts</x:v>
      </x:c>
      <x:c r="Q97" s="79" t="n">
        <x:v>1000</x:v>
      </x:c>
      <x:c r="R97" s="79" t="n">
        <x:v>720</x:v>
      </x:c>
      <x:c r="S97" s="79" t="str">
        <x:v>12 hours</x:v>
      </x:c>
      <x:c r="T97" s="79" t="n">
        <x:v>200</x:v>
      </x:c>
      <x:c r="U97" s="22" t="str">
        <x:v>Infrastructure prestige</x:v>
      </x:c>
      <x:c r="V97" s="22" t="str">
        <x:v>No</x:v>
      </x:c>
      <x:c r="W97" s="22" t="str">
        <x:v>No</x:v>
      </x:c>
      <x:c r="X97" s="34" t="str">
        <x:v>Server-authoritative config; effects subject to stacking and hard caps.</x:v>
      </x:c>
    </x:row>
    <x:row r="98">
      <x:c r="A98" s="33" t="str">
        <x:v>mod_sovereign_discipline</x:v>
      </x:c>
      <x:c r="B98" s="22" t="str">
        <x:v>Sovereign Discipline</x:v>
      </x:c>
      <x:c r="C98" s="22" t="str">
        <x:v>Legendary</x:v>
      </x:c>
      <x:c r="D98" s="22" t="str">
        <x:v>Risk</x:v>
      </x:c>
      <x:c r="E98" s="22" t="str">
        <x:v>Asset Management, Treasury</x:v>
      </x:c>
      <x:c r="F98" s="22" t="str">
        <x:v>-10 Concentration Risk</x:v>
      </x:c>
      <x:c r="G98" s="22" t="str">
        <x:v>-8 Liquidity Risk; -6% activity efficiency</x:v>
      </x:c>
      <x:c r="H98" s="22" t="str"/>
      <x:c r="I98" s="22" t="str">
        <x:v>risk</x:v>
      </x:c>
      <x:c r="J98" s="22" t="str">
        <x:v>Elite</x:v>
      </x:c>
      <x:c r="K98" s="22" t="str">
        <x:v>Mastery V — choose from compatible family pool</x:v>
      </x:c>
      <x:c r="L98" s="22" t="str">
        <x:v>Jackpot</x:v>
      </x:c>
      <x:c r="M98" s="22" t="str">
        <x:v>Rate Hike</x:v>
      </x:c>
      <x:c r="N98" s="22" t="str">
        <x:v>Prestige Earned Pack</x:v>
      </x:c>
      <x:c r="O98" s="22" t="str">
        <x:v>No</x:v>
      </x:c>
      <x:c r="P98" s="22" t="str">
        <x:v>Legendary Parts</x:v>
      </x:c>
      <x:c r="Q98" s="79" t="n">
        <x:v>1000</x:v>
      </x:c>
      <x:c r="R98" s="79" t="n">
        <x:v>720</x:v>
      </x:c>
      <x:c r="S98" s="79" t="str">
        <x:v>12 hours</x:v>
      </x:c>
      <x:c r="T98" s="79" t="n">
        <x:v>200</x:v>
      </x:c>
      <x:c r="U98" s="22" t="str">
        <x:v>Capital preservation</x:v>
      </x:c>
      <x:c r="V98" s="22" t="str">
        <x:v>No</x:v>
      </x:c>
      <x:c r="W98" s="22" t="str">
        <x:v>No</x:v>
      </x:c>
      <x:c r="X98" s="34" t="str">
        <x:v>Server-authoritative config; effects subject to stacking and hard caps.</x:v>
      </x:c>
    </x:row>
    <x:row r="99">
      <x:c r="A99" s="33" t="str">
        <x:v>mod_diversified_services_charter</x:v>
      </x:c>
      <x:c r="B99" s="22" t="str">
        <x:v>Diversified Services Charter</x:v>
      </x:c>
      <x:c r="C99" s="22" t="str">
        <x:v>Legendary</x:v>
      </x:c>
      <x:c r="D99" s="22" t="str">
        <x:v>Customer</x:v>
      </x:c>
      <x:c r="E99" s="22" t="str">
        <x:v>Multi-Service</x:v>
      </x:c>
      <x:c r="F99" s="22" t="str">
        <x:v>+8% retention</x:v>
      </x:c>
      <x:c r="G99" s="22" t="str">
        <x:v>-5 Concentration Risk; +6% acquisition</x:v>
      </x:c>
      <x:c r="H99" s="22" t="str">
        <x:v>3+ customer segments each &gt;=10% and no segment &gt;60%</x:v>
      </x:c>
      <x:c r="I99" s="22" t="str">
        <x:v>customer</x:v>
      </x:c>
      <x:c r="J99" s="22" t="str">
        <x:v>Elite</x:v>
      </x:c>
      <x:c r="K99" s="22" t="str">
        <x:v>Mastery V — choose from compatible family pool</x:v>
      </x:c>
      <x:c r="L99" s="22" t="str">
        <x:v>Jackpot</x:v>
      </x:c>
      <x:c r="M99" s="22" t="str">
        <x:v>Earnings Season</x:v>
      </x:c>
      <x:c r="N99" s="22" t="str">
        <x:v>Prestige Earned Pack</x:v>
      </x:c>
      <x:c r="O99" s="22" t="str">
        <x:v>No</x:v>
      </x:c>
      <x:c r="P99" s="22" t="str">
        <x:v>Legendary Parts</x:v>
      </x:c>
      <x:c r="Q99" s="79" t="n">
        <x:v>1000</x:v>
      </x:c>
      <x:c r="R99" s="79" t="n">
        <x:v>720</x:v>
      </x:c>
      <x:c r="S99" s="79" t="str">
        <x:v>12 hours</x:v>
      </x:c>
      <x:c r="T99" s="79" t="n">
        <x:v>200</x:v>
      </x:c>
      <x:c r="U99" s="22" t="str">
        <x:v>Multi-service balance</x:v>
      </x:c>
      <x:c r="V99" s="22" t="str">
        <x:v>No</x:v>
      </x:c>
      <x:c r="W99" s="22" t="str">
        <x:v>No</x:v>
      </x:c>
      <x:c r="X99" s="34" t="str">
        <x:v>Server-authoritative config; effects subject to stacking and hard caps.</x:v>
      </x:c>
    </x:row>
    <x:row r="100">
      <x:c r="A100" s="33" t="str">
        <x:v>mod_global_liquidity_mesh</x:v>
      </x:c>
      <x:c r="B100" s="22" t="str">
        <x:v>Global Liquidity Mesh</x:v>
      </x:c>
      <x:c r="C100" s="22" t="str">
        <x:v>Legendary</x:v>
      </x:c>
      <x:c r="D100" s="22" t="str">
        <x:v>Liquidity</x:v>
      </x:c>
      <x:c r="E100" s="22" t="str">
        <x:v>Exchange, Market Making, Treasury, FX</x:v>
      </x:c>
      <x:c r="F100" s="22" t="str">
        <x:v>+15% capacity</x:v>
      </x:c>
      <x:c r="G100" s="22" t="str">
        <x:v>-10 Liquidity Risk; +6 Market Risk</x:v>
      </x:c>
      <x:c r="H100" s="22" t="str">
        <x:v>Utilization &gt;=50%</x:v>
      </x:c>
      <x:c r="I100" s="22" t="str">
        <x:v>liquidity</x:v>
      </x:c>
      <x:c r="J100" s="22" t="str">
        <x:v>Elite</x:v>
      </x:c>
      <x:c r="K100" s="22" t="str">
        <x:v>Mastery V — choose from compatible family pool</x:v>
      </x:c>
      <x:c r="L100" s="22" t="str">
        <x:v>Jackpot</x:v>
      </x:c>
      <x:c r="M100" s="22" t="str">
        <x:v>Liquidity Crunch</x:v>
      </x:c>
      <x:c r="N100" s="22" t="str">
        <x:v>Prestige Earned Pack</x:v>
      </x:c>
      <x:c r="O100" s="22" t="str">
        <x:v>No</x:v>
      </x:c>
      <x:c r="P100" s="22" t="str">
        <x:v>Legendary Parts</x:v>
      </x:c>
      <x:c r="Q100" s="79" t="n">
        <x:v>1000</x:v>
      </x:c>
      <x:c r="R100" s="79" t="n">
        <x:v>720</x:v>
      </x:c>
      <x:c r="S100" s="79" t="str">
        <x:v>12 hours</x:v>
      </x:c>
      <x:c r="T100" s="79" t="n">
        <x:v>200</x:v>
      </x:c>
      <x:c r="U100" s="22" t="str">
        <x:v>Global liquidity</x:v>
      </x:c>
      <x:c r="V100" s="22" t="str">
        <x:v>No</x:v>
      </x:c>
      <x:c r="W100" s="22" t="str">
        <x:v>No</x:v>
      </x:c>
      <x:c r="X100" s="34" t="str">
        <x:v>Server-authoritative config; effects subject to stacking and hard caps.</x:v>
      </x:c>
    </x:row>
    <x:row r="101">
      <x:c r="A101" s="33" t="str">
        <x:v>mod_alpha_research_network</x:v>
      </x:c>
      <x:c r="B101" s="22" t="str">
        <x:v>Alpha Research Network</x:v>
      </x:c>
      <x:c r="C101" s="22" t="str">
        <x:v>Legendary</x:v>
      </x:c>
      <x:c r="D101" s="22" t="str">
        <x:v>Research</x:v>
      </x:c>
      <x:c r="E101" s="22" t="str">
        <x:v>Research, Data, Asset Management, Brokerage</x:v>
      </x:c>
      <x:c r="F101" s="22" t="str">
        <x:v>+12% activity efficiency</x:v>
      </x:c>
      <x:c r="G101" s="22" t="str">
        <x:v>+6 Service Quality; +5 Operational Risk</x:v>
      </x:c>
      <x:c r="H101" s="22" t="str">
        <x:v>Operational Risk &lt;=45</x:v>
      </x:c>
      <x:c r="I101" s="22" t="str">
        <x:v>research</x:v>
      </x:c>
      <x:c r="J101" s="22" t="str">
        <x:v>Elite</x:v>
      </x:c>
      <x:c r="K101" s="22" t="str">
        <x:v>Mastery V — choose from compatible family pool</x:v>
      </x:c>
      <x:c r="L101" s="22" t="str">
        <x:v>Jackpot</x:v>
      </x:c>
      <x:c r="M101" s="22" t="str">
        <x:v>Tech Rally</x:v>
      </x:c>
      <x:c r="N101" s="22" t="str">
        <x:v>Prestige Earned Pack</x:v>
      </x:c>
      <x:c r="O101" s="22" t="str">
        <x:v>No</x:v>
      </x:c>
      <x:c r="P101" s="22" t="str">
        <x:v>Legendary Parts</x:v>
      </x:c>
      <x:c r="Q101" s="79" t="n">
        <x:v>1000</x:v>
      </x:c>
      <x:c r="R101" s="79" t="n">
        <x:v>720</x:v>
      </x:c>
      <x:c r="S101" s="79" t="str">
        <x:v>12 hours</x:v>
      </x:c>
      <x:c r="T101" s="79" t="n">
        <x:v>200</x:v>
      </x:c>
      <x:c r="U101" s="22" t="str">
        <x:v>Research prestige</x:v>
      </x:c>
      <x:c r="V101" s="22" t="str">
        <x:v>No</x:v>
      </x:c>
      <x:c r="W101" s="22" t="str">
        <x:v>No</x:v>
      </x:c>
      <x:c r="X101" s="34" t="str">
        <x:v>Server-authoritative config; effects subject to stacking and hard caps.</x:v>
      </x:c>
    </x:row>
    <x:row r="102">
      <x:c r="A102" s="33" t="str">
        <x:v>mod_institutional_trust_engine</x:v>
      </x:c>
      <x:c r="B102" s="22" t="str">
        <x:v>Institutional Trust Engine</x:v>
      </x:c>
      <x:c r="C102" s="22" t="str">
        <x:v>Legendary</x:v>
      </x:c>
      <x:c r="D102" s="22" t="str">
        <x:v>Institutional</x:v>
      </x:c>
      <x:c r="E102" s="22" t="str">
        <x:v>Investment Banking, Private Banking, Exchange</x:v>
      </x:c>
      <x:c r="F102" s="22" t="str">
        <x:v>+12% Corporate/HNW acquisition</x:v>
      </x:c>
      <x:c r="G102" s="22" t="str">
        <x:v>-6 Reputation Risk; -5% capacity</x:v>
      </x:c>
      <x:c r="H102" s="22" t="str">
        <x:v>Reputation &gt;=90</x:v>
      </x:c>
      <x:c r="I102" s="22" t="str">
        <x:v>institutional</x:v>
      </x:c>
      <x:c r="J102" s="22" t="str">
        <x:v>Elite</x:v>
      </x:c>
      <x:c r="K102" s="22" t="str">
        <x:v>Mastery V — choose from compatible family pool</x:v>
      </x:c>
      <x:c r="L102" s="22" t="str">
        <x:v>Jackpot</x:v>
      </x:c>
      <x:c r="M102" s="22" t="str">
        <x:v>M&amp;A Boom</x:v>
      </x:c>
      <x:c r="N102" s="22" t="str">
        <x:v>Prestige Earned Pack</x:v>
      </x:c>
      <x:c r="O102" s="22" t="str">
        <x:v>No</x:v>
      </x:c>
      <x:c r="P102" s="22" t="str">
        <x:v>Legendary Parts</x:v>
      </x:c>
      <x:c r="Q102" s="79" t="n">
        <x:v>1000</x:v>
      </x:c>
      <x:c r="R102" s="79" t="n">
        <x:v>720</x:v>
      </x:c>
      <x:c r="S102" s="79" t="str">
        <x:v>12 hours</x:v>
      </x:c>
      <x:c r="T102" s="79" t="n">
        <x:v>200</x:v>
      </x:c>
      <x:c r="U102" s="22" t="str">
        <x:v>Institutional trust</x:v>
      </x:c>
      <x:c r="V102" s="22" t="str">
        <x:v>No</x:v>
      </x:c>
      <x:c r="W102" s="22" t="str">
        <x:v>No</x:v>
      </x:c>
      <x:c r="X102" s="34" t="str">
        <x:v>Server-authoritative config; effects subject to stacking and hard caps.</x:v>
      </x:c>
    </x:row>
    <x:row r="103">
      <x:c r="A103" s="35" t="str">
        <x:v>mod_resilient_market_infrastructure</x:v>
      </x:c>
      <x:c r="B103" s="36" t="str">
        <x:v>Resilient Market Infrastructure</x:v>
      </x:c>
      <x:c r="C103" s="36" t="str">
        <x:v>Legendary</x:v>
      </x:c>
      <x:c r="D103" s="36" t="str">
        <x:v>Event</x:v>
      </x:c>
      <x:c r="E103" s="36" t="str">
        <x:v>Exchange, Market Making, Data, Fintech</x:v>
      </x:c>
      <x:c r="F103" s="36" t="str">
        <x:v>-20% eligible negative event magnitude</x:v>
      </x:c>
      <x:c r="G103" s="36" t="str">
        <x:v>+8% capacity outside Crisis</x:v>
      </x:c>
      <x:c r="H103" s="36" t="str">
        <x:v>Operational Risk &lt;=50</x:v>
      </x:c>
      <x:c r="I103" s="36" t="str">
        <x:v>event</x:v>
      </x:c>
      <x:c r="J103" s="36" t="str">
        <x:v>Elite</x:v>
      </x:c>
      <x:c r="K103" s="36" t="str">
        <x:v>Mastery V — choose from compatible family pool</x:v>
      </x:c>
      <x:c r="L103" s="36" t="str">
        <x:v>Jackpot</x:v>
      </x:c>
      <x:c r="M103" s="36" t="str">
        <x:v>Volatility Spike</x:v>
      </x:c>
      <x:c r="N103" s="36" t="str">
        <x:v>Prestige Earned Pack</x:v>
      </x:c>
      <x:c r="O103" s="36" t="str">
        <x:v>No</x:v>
      </x:c>
      <x:c r="P103" s="36" t="str">
        <x:v>Legendary Parts</x:v>
      </x:c>
      <x:c r="Q103" s="80" t="n">
        <x:v>1000</x:v>
      </x:c>
      <x:c r="R103" s="80" t="n">
        <x:v>720</x:v>
      </x:c>
      <x:c r="S103" s="80" t="str">
        <x:v>12 hours</x:v>
      </x:c>
      <x:c r="T103" s="80" t="n">
        <x:v>200</x:v>
      </x:c>
      <x:c r="U103" s="36" t="str">
        <x:v>System resilience</x:v>
      </x:c>
      <x:c r="V103" s="36" t="str">
        <x:v>No</x:v>
      </x:c>
      <x:c r="W103" s="36" t="str">
        <x:v>No</x:v>
      </x:c>
      <x:c r="X103" s="37" t="str">
        <x:v>Server-authoritative config; effects subject to stacking and hard caps.</x:v>
      </x:c>
    </x:row>
  </x:sheetData>
  <x:mergeCells>
    <x:mergeCell ref="A1:X1"/>
  </x:mergeCells>
  <x:conditionalFormatting sqref="C4:C103">
    <x:cfRule type="expression" dxfId="0" priority="1">
      <x:formula>C4="Legendary"</x:formula>
    </x:cfRule>
    <x:cfRule type="expression" dxfId="1" priority="2">
      <x:formula>C4="Epic"</x:formula>
    </x:cfRule>
    <x:cfRule type="expression" dxfId="2" priority="3">
      <x:formula>C4="Rare"</x:formula>
    </x:cfRule>
    <x:cfRule type="expression" dxfId="3" priority="4">
      <x:formula>C4="Uncommon"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18" hidden="0" customWidth="1"/>
    <x:col min="4" max="4" width="18" hidden="0" customWidth="1"/>
    <x:col min="5" max="5" width="32" hidden="0" customWidth="1"/>
    <x:col min="6" max="6" width="32" hidden="0" customWidth="1"/>
    <x:col min="7" max="7" width="32" hidden="0" customWidth="1"/>
    <x:col min="8" max="8" width="32" hidden="0" customWidth="1"/>
    <x:col min="9" max="9" width="18" hidden="0" customWidth="1"/>
    <x:col min="10" max="10" width="1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</x:cols>
  <x:sheetData>
    <x:row r="1" ht="30" customHeight="1">
      <x:c r="A1" s="86" t="str">
        <x:v>Common Modules — Canonical Catalog</x:v>
      </x:c>
      <x:c r="B1" s="86"/>
      <x:c r="C1" s="86"/>
      <x:c r="D1" s="86"/>
      <x:c r="E1" s="86"/>
      <x:c r="F1" s="86"/>
      <x:c r="G1" s="86"/>
      <x:c r="H1" s="86"/>
      <x:c r="I1" s="86"/>
      <x:c r="J1" s="86"/>
      <x:c r="K1" s="86"/>
      <x:c r="L1" s="86"/>
      <x:c r="M1" s="86"/>
      <x:c r="N1" s="86"/>
      <x:c r="O1" s="86"/>
      <x:c r="P1" s="86"/>
      <x:c r="Q1" s="86"/>
      <x:c r="R1" s="86"/>
      <x:c r="S1" s="86"/>
      <x:c r="T1" s="86"/>
      <x:c r="U1" s="86"/>
      <x:c r="V1" s="86"/>
      <x:c r="W1" s="86"/>
      <x:c r="X1" s="86"/>
    </x:row>
    <x:row r="3">
      <x:c r="A3" s="14" t="str">
        <x:v>Module ID</x:v>
      </x:c>
      <x:c r="B3" s="14" t="str">
        <x:v>Module Name</x:v>
      </x:c>
      <x:c r="C3" s="14" t="str">
        <x:v>Rarity</x:v>
      </x:c>
      <x:c r="D3" s="14" t="str">
        <x:v>Category</x:v>
      </x:c>
      <x:c r="E3" s="14" t="str">
        <x:v>Compatible Building Families</x:v>
      </x:c>
      <x:c r="F3" s="14" t="str">
        <x:v>Primary Power</x:v>
      </x:c>
      <x:c r="G3" s="14" t="str">
        <x:v>Secondary Power / Tradeoff</x:v>
      </x:c>
      <x:c r="H3" s="14" t="str">
        <x:v>Activation Condition</x:v>
      </x:c>
      <x:c r="I3" s="14" t="str">
        <x:v>Stacking Group</x:v>
      </x:c>
      <x:c r="J3" s="14" t="str">
        <x:v>Stage Gate</x:v>
      </x:c>
      <x:c r="K3" s="14" t="str">
        <x:v>Guaranteed Acquisition</x:v>
      </x:c>
      <x:c r="L3" s="14" t="str">
        <x:v>Minimum Hunt</x:v>
      </x:c>
      <x:c r="M3" s="14" t="str">
        <x:v>Dedicated Event / Themed Source</x:v>
      </x:c>
      <x:c r="N3" s="14" t="str">
        <x:v>Earned Pack Source</x:v>
      </x:c>
      <x:c r="O3" s="14" t="str">
        <x:v>In-Game Cash Pack?</x:v>
      </x:c>
      <x:c r="P3" s="14" t="str">
        <x:v>Craft Parts</x:v>
      </x:c>
      <x:c r="Q3" s="14" t="str">
        <x:v>Craft Cost</x:v>
      </x:c>
      <x:c r="R3" s="14" t="str">
        <x:v>Craft Time (min)</x:v>
      </x:c>
      <x:c r="S3" s="14" t="str">
        <x:v>Craft Time</x:v>
      </x:c>
      <x:c r="T3" s="14" t="str">
        <x:v>Dismantle Parts</x:v>
      </x:c>
      <x:c r="U3" s="14" t="str">
        <x:v>Gameplay Role</x:v>
      </x:c>
      <x:c r="V3" s="14" t="str">
        <x:v>Direct Performance?</x:v>
      </x:c>
      <x:c r="W3" s="14" t="str">
        <x:v>Direct $PLOT?</x:v>
      </x:c>
      <x:c r="X3" s="14" t="str">
        <x:v>Implementation Notes</x:v>
      </x:c>
    </x:row>
    <x:row r="4">
      <x:c r="A4" s="30" t="str">
        <x:v>mod_customer_signage</x:v>
      </x:c>
      <x:c r="B4" s="31" t="str">
        <x:v>Customer Signage</x:v>
      </x:c>
      <x:c r="C4" s="31" t="str">
        <x:v>Common</x:v>
      </x:c>
      <x:c r="D4" s="31" t="str">
        <x:v>Customer</x:v>
      </x:c>
      <x:c r="E4" s="31" t="str">
        <x:v>Cash Services, Banking, Lending, Brokerage, Insurance, Advisory, Wealth</x:v>
      </x:c>
      <x:c r="F4" s="31" t="str">
        <x:v>+4% customer acquisition</x:v>
      </x:c>
      <x:c r="G4" s="31" t="str"/>
      <x:c r="H4" s="31" t="str"/>
      <x:c r="I4" s="31" t="str">
        <x:v>customer</x:v>
      </x:c>
      <x:c r="J4" s="31" t="str">
        <x:v>Humble</x:v>
      </x:c>
      <x:c r="K4" s="31" t="str">
        <x:v>Mastery I — choose from compatible family pool</x:v>
      </x:c>
      <x:c r="L4" s="31" t="str">
        <x:v>Easy</x:v>
      </x:c>
      <x:c r="M4" s="31" t="str">
        <x:v>Earnings Season</x:v>
      </x:c>
      <x:c r="N4" s="31" t="str">
        <x:v>Basic Earned Pack</x:v>
      </x:c>
      <x:c r="O4" s="31" t="str">
        <x:v>Yes</x:v>
      </x:c>
      <x:c r="P4" s="31" t="str">
        <x:v>Common Parts</x:v>
      </x:c>
      <x:c r="Q4" s="78" t="n">
        <x:v>25</x:v>
      </x:c>
      <x:c r="R4" s="78" t="n">
        <x:v>0</x:v>
      </x:c>
      <x:c r="S4" s="78" t="str">
        <x:v>Instant</x:v>
      </x:c>
      <x:c r="T4" s="78" t="n">
        <x:v>5</x:v>
      </x:c>
      <x:c r="U4" s="31" t="str">
        <x:v>Basic acquisition</x:v>
      </x:c>
      <x:c r="V4" s="31" t="str">
        <x:v>No</x:v>
      </x:c>
      <x:c r="W4" s="31" t="str">
        <x:v>No</x:v>
      </x:c>
      <x:c r="X4" s="32" t="str">
        <x:v>Server-authoritative config; effects subject to stacking and hard caps.</x:v>
      </x:c>
    </x:row>
    <x:row r="5">
      <x:c r="A5" s="33" t="str">
        <x:v>mod_queue_optimizer</x:v>
      </x:c>
      <x:c r="B5" s="22" t="str">
        <x:v>Queue Optimizer</x:v>
      </x:c>
      <x:c r="C5" s="22" t="str">
        <x:v>Common</x:v>
      </x:c>
      <x:c r="D5" s="22" t="str">
        <x:v>Operations</x:v>
      </x:c>
      <x:c r="E5" s="22" t="str">
        <x:v>All</x:v>
      </x:c>
      <x:c r="F5" s="22" t="str">
        <x:v>+5% capacity</x:v>
      </x:c>
      <x:c r="G5" s="22" t="str"/>
      <x:c r="H5" s="22" t="str"/>
      <x:c r="I5" s="22" t="str">
        <x:v>operations</x:v>
      </x:c>
      <x:c r="J5" s="22" t="str">
        <x:v>Humble</x:v>
      </x:c>
      <x:c r="K5" s="22" t="str">
        <x:v>Mastery I — choose from compatible family pool</x:v>
      </x:c>
      <x:c r="L5" s="22" t="str">
        <x:v>Easy</x:v>
      </x:c>
      <x:c r="M5" s="22" t="str">
        <x:v>Regulatory Approval</x:v>
      </x:c>
      <x:c r="N5" s="22" t="str">
        <x:v>Basic Earned Pack</x:v>
      </x:c>
      <x:c r="O5" s="22" t="str">
        <x:v>Yes</x:v>
      </x:c>
      <x:c r="P5" s="22" t="str">
        <x:v>Common Parts</x:v>
      </x:c>
      <x:c r="Q5" s="79" t="n">
        <x:v>25</x:v>
      </x:c>
      <x:c r="R5" s="79" t="n">
        <x:v>0</x:v>
      </x:c>
      <x:c r="S5" s="79" t="str">
        <x:v>Instant</x:v>
      </x:c>
      <x:c r="T5" s="79" t="n">
        <x:v>5</x:v>
      </x:c>
      <x:c r="U5" s="22" t="str">
        <x:v>Capacity</x:v>
      </x:c>
      <x:c r="V5" s="22" t="str">
        <x:v>No</x:v>
      </x:c>
      <x:c r="W5" s="22" t="str">
        <x:v>No</x:v>
      </x:c>
      <x:c r="X5" s="34" t="str">
        <x:v>Server-authoritative config; effects subject to stacking and hard caps.</x:v>
      </x:c>
    </x:row>
    <x:row r="6">
      <x:c r="A6" s="33" t="str">
        <x:v>mod_service_playbook</x:v>
      </x:c>
      <x:c r="B6" s="22" t="str">
        <x:v>Service Playbook</x:v>
      </x:c>
      <x:c r="C6" s="22" t="str">
        <x:v>Common</x:v>
      </x:c>
      <x:c r="D6" s="22" t="str">
        <x:v>Service</x:v>
      </x:c>
      <x:c r="E6" s="22" t="str">
        <x:v>All customer-facing</x:v>
      </x:c>
      <x:c r="F6" s="22" t="str">
        <x:v>+3 Service Quality</x:v>
      </x:c>
      <x:c r="G6" s="22" t="str"/>
      <x:c r="H6" s="22" t="str"/>
      <x:c r="I6" s="22" t="str">
        <x:v>service</x:v>
      </x:c>
      <x:c r="J6" s="22" t="str">
        <x:v>Humble</x:v>
      </x:c>
      <x:c r="K6" s="22" t="str">
        <x:v>Mastery I — choose from compatible family pool</x:v>
      </x:c>
      <x:c r="L6" s="22" t="str">
        <x:v>Easy</x:v>
      </x:c>
      <x:c r="M6" s="22" t="str">
        <x:v>Earnings Season</x:v>
      </x:c>
      <x:c r="N6" s="22" t="str">
        <x:v>Basic Earned Pack</x:v>
      </x:c>
      <x:c r="O6" s="22" t="str">
        <x:v>Yes</x:v>
      </x:c>
      <x:c r="P6" s="22" t="str">
        <x:v>Common Parts</x:v>
      </x:c>
      <x:c r="Q6" s="79" t="n">
        <x:v>25</x:v>
      </x:c>
      <x:c r="R6" s="79" t="n">
        <x:v>0</x:v>
      </x:c>
      <x:c r="S6" s="79" t="str">
        <x:v>Instant</x:v>
      </x:c>
      <x:c r="T6" s="79" t="n">
        <x:v>5</x:v>
      </x:c>
      <x:c r="U6" s="22" t="str">
        <x:v>Service</x:v>
      </x:c>
      <x:c r="V6" s="22" t="str">
        <x:v>No</x:v>
      </x:c>
      <x:c r="W6" s="22" t="str">
        <x:v>No</x:v>
      </x:c>
      <x:c r="X6" s="34" t="str">
        <x:v>Server-authoritative config; effects subject to stacking and hard caps.</x:v>
      </x:c>
    </x:row>
    <x:row r="7">
      <x:c r="A7" s="33" t="str">
        <x:v>mod_risk_checklist</x:v>
      </x:c>
      <x:c r="B7" s="22" t="str">
        <x:v>Risk Checklist</x:v>
      </x:c>
      <x:c r="C7" s="22" t="str">
        <x:v>Common</x:v>
      </x:c>
      <x:c r="D7" s="22" t="str">
        <x:v>Risk</x:v>
      </x:c>
      <x:c r="E7" s="22" t="str">
        <x:v>All</x:v>
      </x:c>
      <x:c r="F7" s="22" t="str">
        <x:v>-3 Operational Risk</x:v>
      </x:c>
      <x:c r="G7" s="22" t="str"/>
      <x:c r="H7" s="22" t="str"/>
      <x:c r="I7" s="22" t="str">
        <x:v>risk</x:v>
      </x:c>
      <x:c r="J7" s="22" t="str">
        <x:v>Humble</x:v>
      </x:c>
      <x:c r="K7" s="22" t="str">
        <x:v>Mastery I — choose from compatible family pool</x:v>
      </x:c>
      <x:c r="L7" s="22" t="str">
        <x:v>Easy</x:v>
      </x:c>
      <x:c r="M7" s="22" t="str">
        <x:v>Regulatory Approval</x:v>
      </x:c>
      <x:c r="N7" s="22" t="str">
        <x:v>Basic Earned Pack</x:v>
      </x:c>
      <x:c r="O7" s="22" t="str">
        <x:v>Yes</x:v>
      </x:c>
      <x:c r="P7" s="22" t="str">
        <x:v>Common Parts</x:v>
      </x:c>
      <x:c r="Q7" s="79" t="n">
        <x:v>25</x:v>
      </x:c>
      <x:c r="R7" s="79" t="n">
        <x:v>0</x:v>
      </x:c>
      <x:c r="S7" s="79" t="str">
        <x:v>Instant</x:v>
      </x:c>
      <x:c r="T7" s="79" t="n">
        <x:v>5</x:v>
      </x:c>
      <x:c r="U7" s="22" t="str">
        <x:v>Risk control</x:v>
      </x:c>
      <x:c r="V7" s="22" t="str">
        <x:v>No</x:v>
      </x:c>
      <x:c r="W7" s="22" t="str">
        <x:v>No</x:v>
      </x:c>
      <x:c r="X7" s="34" t="str">
        <x:v>Server-authoritative config; effects subject to stacking and hard caps.</x:v>
      </x:c>
    </x:row>
    <x:row r="8">
      <x:c r="A8" s="33" t="str">
        <x:v>mod_reserve_discipline</x:v>
      </x:c>
      <x:c r="B8" s="22" t="str">
        <x:v>Reserve Discipline</x:v>
      </x:c>
      <x:c r="C8" s="22" t="str">
        <x:v>Common</x:v>
      </x:c>
      <x:c r="D8" s="22" t="str">
        <x:v>Liquidity</x:v>
      </x:c>
      <x:c r="E8" s="22" t="str">
        <x:v>Banking, Treasury, FX, Exchange, Market Making</x:v>
      </x:c>
      <x:c r="F8" s="22" t="str">
        <x:v>-4 Liquidity Risk</x:v>
      </x:c>
      <x:c r="G8" s="22" t="str">
        <x:v>-2% activity efficiency</x:v>
      </x:c>
      <x:c r="H8" s="22" t="str"/>
      <x:c r="I8" s="22" t="str">
        <x:v>liquidity</x:v>
      </x:c>
      <x:c r="J8" s="22" t="str">
        <x:v>Humble</x:v>
      </x:c>
      <x:c r="K8" s="22" t="str">
        <x:v>Mastery I — choose from compatible family pool</x:v>
      </x:c>
      <x:c r="L8" s="22" t="str">
        <x:v>Easy</x:v>
      </x:c>
      <x:c r="M8" s="22" t="str">
        <x:v>Liquidity Crunch</x:v>
      </x:c>
      <x:c r="N8" s="22" t="str">
        <x:v>Basic Earned Pack</x:v>
      </x:c>
      <x:c r="O8" s="22" t="str">
        <x:v>Yes</x:v>
      </x:c>
      <x:c r="P8" s="22" t="str">
        <x:v>Common Parts</x:v>
      </x:c>
      <x:c r="Q8" s="79" t="n">
        <x:v>25</x:v>
      </x:c>
      <x:c r="R8" s="79" t="n">
        <x:v>0</x:v>
      </x:c>
      <x:c r="S8" s="79" t="str">
        <x:v>Instant</x:v>
      </x:c>
      <x:c r="T8" s="79" t="n">
        <x:v>5</x:v>
      </x:c>
      <x:c r="U8" s="22" t="str">
        <x:v>Defensive liquidity</x:v>
      </x:c>
      <x:c r="V8" s="22" t="str">
        <x:v>No</x:v>
      </x:c>
      <x:c r="W8" s="22" t="str">
        <x:v>No</x:v>
      </x:c>
      <x:c r="X8" s="34" t="str">
        <x:v>Server-authoritative config; effects subject to stacking and hard caps.</x:v>
      </x:c>
    </x:row>
    <x:row r="9">
      <x:c r="A9" s="33" t="str">
        <x:v>mod_local_promotions</x:v>
      </x:c>
      <x:c r="B9" s="22" t="str">
        <x:v>Local Promotions</x:v>
      </x:c>
      <x:c r="C9" s="22" t="str">
        <x:v>Common</x:v>
      </x:c>
      <x:c r="D9" s="22" t="str">
        <x:v>Customer</x:v>
      </x:c>
      <x:c r="E9" s="22" t="str">
        <x:v>Cash Services, Banking, Lending, Insurance</x:v>
      </x:c>
      <x:c r="F9" s="22" t="str">
        <x:v>+5% General Consumer acquisition</x:v>
      </x:c>
      <x:c r="G9" s="22" t="str"/>
      <x:c r="H9" s="22" t="str"/>
      <x:c r="I9" s="22" t="str">
        <x:v>customer</x:v>
      </x:c>
      <x:c r="J9" s="22" t="str">
        <x:v>Humble</x:v>
      </x:c>
      <x:c r="K9" s="22" t="str">
        <x:v>Mastery I — choose from compatible family pool</x:v>
      </x:c>
      <x:c r="L9" s="22" t="str">
        <x:v>Easy</x:v>
      </x:c>
      <x:c r="M9" s="22" t="str">
        <x:v>Earnings Season</x:v>
      </x:c>
      <x:c r="N9" s="22" t="str">
        <x:v>Basic Earned Pack</x:v>
      </x:c>
      <x:c r="O9" s="22" t="str">
        <x:v>Yes</x:v>
      </x:c>
      <x:c r="P9" s="22" t="str">
        <x:v>Common Parts</x:v>
      </x:c>
      <x:c r="Q9" s="79" t="n">
        <x:v>25</x:v>
      </x:c>
      <x:c r="R9" s="79" t="n">
        <x:v>0</x:v>
      </x:c>
      <x:c r="S9" s="79" t="str">
        <x:v>Instant</x:v>
      </x:c>
      <x:c r="T9" s="79" t="n">
        <x:v>5</x:v>
      </x:c>
      <x:c r="U9" s="22" t="str">
        <x:v>Consumer growth</x:v>
      </x:c>
      <x:c r="V9" s="22" t="str">
        <x:v>No</x:v>
      </x:c>
      <x:c r="W9" s="22" t="str">
        <x:v>No</x:v>
      </x:c>
      <x:c r="X9" s="34" t="str">
        <x:v>Server-authoritative config; effects subject to stacking and hard caps.</x:v>
      </x:c>
    </x:row>
    <x:row r="10">
      <x:c r="A10" s="33" t="str">
        <x:v>mod_fast_onboarding</x:v>
      </x:c>
      <x:c r="B10" s="22" t="str">
        <x:v>Fast Onboarding</x:v>
      </x:c>
      <x:c r="C10" s="22" t="str">
        <x:v>Common</x:v>
      </x:c>
      <x:c r="D10" s="22" t="str">
        <x:v>Operations</x:v>
      </x:c>
      <x:c r="E10" s="22" t="str">
        <x:v>Banking, Brokerage, Lending, Fintech, Advisory</x:v>
      </x:c>
      <x:c r="F10" s="22" t="str">
        <x:v>+4% customer acquisition</x:v>
      </x:c>
      <x:c r="G10" s="22" t="str">
        <x:v>+2% capacity</x:v>
      </x:c>
      <x:c r="H10" s="22" t="str"/>
      <x:c r="I10" s="22" t="str">
        <x:v>operations</x:v>
      </x:c>
      <x:c r="J10" s="22" t="str">
        <x:v>Humble</x:v>
      </x:c>
      <x:c r="K10" s="22" t="str">
        <x:v>Mastery I — choose from compatible family pool</x:v>
      </x:c>
      <x:c r="L10" s="22" t="str">
        <x:v>Easy</x:v>
      </x:c>
      <x:c r="M10" s="22" t="str">
        <x:v>Regulatory Approval</x:v>
      </x:c>
      <x:c r="N10" s="22" t="str">
        <x:v>Basic Earned Pack</x:v>
      </x:c>
      <x:c r="O10" s="22" t="str">
        <x:v>Yes</x:v>
      </x:c>
      <x:c r="P10" s="22" t="str">
        <x:v>Common Parts</x:v>
      </x:c>
      <x:c r="Q10" s="79" t="n">
        <x:v>25</x:v>
      </x:c>
      <x:c r="R10" s="79" t="n">
        <x:v>0</x:v>
      </x:c>
      <x:c r="S10" s="79" t="str">
        <x:v>Instant</x:v>
      </x:c>
      <x:c r="T10" s="79" t="n">
        <x:v>5</x:v>
      </x:c>
      <x:c r="U10" s="22" t="str">
        <x:v>Onboarding</x:v>
      </x:c>
      <x:c r="V10" s="22" t="str">
        <x:v>No</x:v>
      </x:c>
      <x:c r="W10" s="22" t="str">
        <x:v>No</x:v>
      </x:c>
      <x:c r="X10" s="34" t="str">
        <x:v>Server-authoritative config; effects subject to stacking and hard caps.</x:v>
      </x:c>
    </x:row>
    <x:row r="11">
      <x:c r="A11" s="33" t="str">
        <x:v>mod_basic_crm</x:v>
      </x:c>
      <x:c r="B11" s="22" t="str">
        <x:v>Basic CRM</x:v>
      </x:c>
      <x:c r="C11" s="22" t="str">
        <x:v>Common</x:v>
      </x:c>
      <x:c r="D11" s="22" t="str">
        <x:v>Service</x:v>
      </x:c>
      <x:c r="E11" s="22" t="str">
        <x:v>Banking, Advisory, Wealth, Insurance</x:v>
      </x:c>
      <x:c r="F11" s="22" t="str">
        <x:v>+4% retention</x:v>
      </x:c>
      <x:c r="G11" s="22" t="str"/>
      <x:c r="H11" s="22" t="str"/>
      <x:c r="I11" s="22" t="str">
        <x:v>service</x:v>
      </x:c>
      <x:c r="J11" s="22" t="str">
        <x:v>Humble</x:v>
      </x:c>
      <x:c r="K11" s="22" t="str">
        <x:v>Mastery I — choose from compatible family pool</x:v>
      </x:c>
      <x:c r="L11" s="22" t="str">
        <x:v>Easy</x:v>
      </x:c>
      <x:c r="M11" s="22" t="str">
        <x:v>Earnings Season</x:v>
      </x:c>
      <x:c r="N11" s="22" t="str">
        <x:v>Basic Earned Pack</x:v>
      </x:c>
      <x:c r="O11" s="22" t="str">
        <x:v>Yes</x:v>
      </x:c>
      <x:c r="P11" s="22" t="str">
        <x:v>Common Parts</x:v>
      </x:c>
      <x:c r="Q11" s="79" t="n">
        <x:v>25</x:v>
      </x:c>
      <x:c r="R11" s="79" t="n">
        <x:v>0</x:v>
      </x:c>
      <x:c r="S11" s="79" t="str">
        <x:v>Instant</x:v>
      </x:c>
      <x:c r="T11" s="79" t="n">
        <x:v>5</x:v>
      </x:c>
      <x:c r="U11" s="22" t="str">
        <x:v>Retention</x:v>
      </x:c>
      <x:c r="V11" s="22" t="str">
        <x:v>No</x:v>
      </x:c>
      <x:c r="W11" s="22" t="str">
        <x:v>No</x:v>
      </x:c>
      <x:c r="X11" s="34" t="str">
        <x:v>Server-authoritative config; effects subject to stacking and hard caps.</x:v>
      </x:c>
    </x:row>
    <x:row r="12">
      <x:c r="A12" s="33" t="str">
        <x:v>mod_capacity_planner</x:v>
      </x:c>
      <x:c r="B12" s="22" t="str">
        <x:v>Capacity Planner</x:v>
      </x:c>
      <x:c r="C12" s="22" t="str">
        <x:v>Common</x:v>
      </x:c>
      <x:c r="D12" s="22" t="str">
        <x:v>Operations</x:v>
      </x:c>
      <x:c r="E12" s="22" t="str">
        <x:v>All</x:v>
      </x:c>
      <x:c r="F12" s="22" t="str">
        <x:v>+4% capacity</x:v>
      </x:c>
      <x:c r="G12" s="22" t="str">
        <x:v>-1 Service Quality</x:v>
      </x:c>
      <x:c r="H12" s="22" t="str"/>
      <x:c r="I12" s="22" t="str">
        <x:v>operations</x:v>
      </x:c>
      <x:c r="J12" s="22" t="str">
        <x:v>Humble</x:v>
      </x:c>
      <x:c r="K12" s="22" t="str">
        <x:v>Mastery I — choose from compatible family pool</x:v>
      </x:c>
      <x:c r="L12" s="22" t="str">
        <x:v>Easy</x:v>
      </x:c>
      <x:c r="M12" s="22" t="str">
        <x:v>Generic Module reward pool</x:v>
      </x:c>
      <x:c r="N12" s="22" t="str">
        <x:v>Basic Earned Pack</x:v>
      </x:c>
      <x:c r="O12" s="22" t="str">
        <x:v>Yes</x:v>
      </x:c>
      <x:c r="P12" s="22" t="str">
        <x:v>Common Parts</x:v>
      </x:c>
      <x:c r="Q12" s="79" t="n">
        <x:v>25</x:v>
      </x:c>
      <x:c r="R12" s="79" t="n">
        <x:v>0</x:v>
      </x:c>
      <x:c r="S12" s="79" t="str">
        <x:v>Instant</x:v>
      </x:c>
      <x:c r="T12" s="79" t="n">
        <x:v>5</x:v>
      </x:c>
      <x:c r="U12" s="22" t="str">
        <x:v>Capacity</x:v>
      </x:c>
      <x:c r="V12" s="22" t="str">
        <x:v>No</x:v>
      </x:c>
      <x:c r="W12" s="22" t="str">
        <x:v>No</x:v>
      </x:c>
      <x:c r="X12" s="34" t="str">
        <x:v>Server-authoritative config; effects subject to stacking and hard caps.</x:v>
      </x:c>
    </x:row>
    <x:row r="13">
      <x:c r="A13" s="33" t="str">
        <x:v>mod_shift_scheduler</x:v>
      </x:c>
      <x:c r="B13" s="22" t="str">
        <x:v>Shift Scheduler</x:v>
      </x:c>
      <x:c r="C13" s="22" t="str">
        <x:v>Common</x:v>
      </x:c>
      <x:c r="D13" s="22" t="str">
        <x:v>Operations</x:v>
      </x:c>
      <x:c r="E13" s="22" t="str">
        <x:v>All</x:v>
      </x:c>
      <x:c r="F13" s="22" t="str">
        <x:v>+3% activity efficiency</x:v>
      </x:c>
      <x:c r="G13" s="22" t="str"/>
      <x:c r="H13" s="22" t="str"/>
      <x:c r="I13" s="22" t="str">
        <x:v>operations</x:v>
      </x:c>
      <x:c r="J13" s="22" t="str">
        <x:v>Humble</x:v>
      </x:c>
      <x:c r="K13" s="22" t="str">
        <x:v>Mastery I — choose from compatible family pool</x:v>
      </x:c>
      <x:c r="L13" s="22" t="str">
        <x:v>Easy</x:v>
      </x:c>
      <x:c r="M13" s="22" t="str">
        <x:v>Generic Module reward pool</x:v>
      </x:c>
      <x:c r="N13" s="22" t="str">
        <x:v>Basic Earned Pack</x:v>
      </x:c>
      <x:c r="O13" s="22" t="str">
        <x:v>Yes</x:v>
      </x:c>
      <x:c r="P13" s="22" t="str">
        <x:v>Common Parts</x:v>
      </x:c>
      <x:c r="Q13" s="79" t="n">
        <x:v>25</x:v>
      </x:c>
      <x:c r="R13" s="79" t="n">
        <x:v>0</x:v>
      </x:c>
      <x:c r="S13" s="79" t="str">
        <x:v>Instant</x:v>
      </x:c>
      <x:c r="T13" s="79" t="n">
        <x:v>5</x:v>
      </x:c>
      <x:c r="U13" s="22" t="str">
        <x:v>Operations</x:v>
      </x:c>
      <x:c r="V13" s="22" t="str">
        <x:v>No</x:v>
      </x:c>
      <x:c r="W13" s="22" t="str">
        <x:v>No</x:v>
      </x:c>
      <x:c r="X13" s="34" t="str">
        <x:v>Server-authoritative config; effects subject to stacking and hard caps.</x:v>
      </x:c>
    </x:row>
    <x:row r="14">
      <x:c r="A14" s="33" t="str">
        <x:v>mod_cost_ledger</x:v>
      </x:c>
      <x:c r="B14" s="22" t="str">
        <x:v>Cost Ledger</x:v>
      </x:c>
      <x:c r="C14" s="22" t="str">
        <x:v>Common</x:v>
      </x:c>
      <x:c r="D14" s="22" t="str">
        <x:v>Operations</x:v>
      </x:c>
      <x:c r="E14" s="22" t="str">
        <x:v>All</x:v>
      </x:c>
      <x:c r="F14" s="22" t="str">
        <x:v>-3% operating cost</x:v>
      </x:c>
      <x:c r="G14" s="22" t="str"/>
      <x:c r="H14" s="22" t="str"/>
      <x:c r="I14" s="22" t="str">
        <x:v>operations</x:v>
      </x:c>
      <x:c r="J14" s="22" t="str">
        <x:v>Humble</x:v>
      </x:c>
      <x:c r="K14" s="22" t="str">
        <x:v>Mastery I — choose from compatible family pool</x:v>
      </x:c>
      <x:c r="L14" s="22" t="str">
        <x:v>Easy</x:v>
      </x:c>
      <x:c r="M14" s="22" t="str">
        <x:v>Rate Hike</x:v>
      </x:c>
      <x:c r="N14" s="22" t="str">
        <x:v>Basic Earned Pack</x:v>
      </x:c>
      <x:c r="O14" s="22" t="str">
        <x:v>Yes</x:v>
      </x:c>
      <x:c r="P14" s="22" t="str">
        <x:v>Common Parts</x:v>
      </x:c>
      <x:c r="Q14" s="79" t="n">
        <x:v>25</x:v>
      </x:c>
      <x:c r="R14" s="79" t="n">
        <x:v>0</x:v>
      </x:c>
      <x:c r="S14" s="79" t="str">
        <x:v>Instant</x:v>
      </x:c>
      <x:c r="T14" s="79" t="n">
        <x:v>5</x:v>
      </x:c>
      <x:c r="U14" s="22" t="str">
        <x:v>Cost control</x:v>
      </x:c>
      <x:c r="V14" s="22" t="str">
        <x:v>No</x:v>
      </x:c>
      <x:c r="W14" s="22" t="str">
        <x:v>No</x:v>
      </x:c>
      <x:c r="X14" s="34" t="str">
        <x:v>Server-authoritative config; effects subject to stacking and hard caps.</x:v>
      </x:c>
    </x:row>
    <x:row r="15">
      <x:c r="A15" s="33" t="str">
        <x:v>mod_backup_procedures</x:v>
      </x:c>
      <x:c r="B15" s="22" t="str">
        <x:v>Backup Procedures</x:v>
      </x:c>
      <x:c r="C15" s="22" t="str">
        <x:v>Common</x:v>
      </x:c>
      <x:c r="D15" s="22" t="str">
        <x:v>Risk</x:v>
      </x:c>
      <x:c r="E15" s="22" t="str">
        <x:v>Fintech, Data, Trading, Exchange, Research</x:v>
      </x:c>
      <x:c r="F15" s="22" t="str">
        <x:v>-3 Operational Risk</x:v>
      </x:c>
      <x:c r="G15" s="22" t="str">
        <x:v>+1 Service Quality</x:v>
      </x:c>
      <x:c r="H15" s="22" t="str"/>
      <x:c r="I15" s="22" t="str">
        <x:v>risk</x:v>
      </x:c>
      <x:c r="J15" s="22" t="str">
        <x:v>Humble</x:v>
      </x:c>
      <x:c r="K15" s="22" t="str">
        <x:v>Mastery I — choose from compatible family pool</x:v>
      </x:c>
      <x:c r="L15" s="22" t="str">
        <x:v>Easy</x:v>
      </x:c>
      <x:c r="M15" s="22" t="str">
        <x:v>Volatility Spike</x:v>
      </x:c>
      <x:c r="N15" s="22" t="str">
        <x:v>Basic Earned Pack</x:v>
      </x:c>
      <x:c r="O15" s="22" t="str">
        <x:v>Yes</x:v>
      </x:c>
      <x:c r="P15" s="22" t="str">
        <x:v>Common Parts</x:v>
      </x:c>
      <x:c r="Q15" s="79" t="n">
        <x:v>25</x:v>
      </x:c>
      <x:c r="R15" s="79" t="n">
        <x:v>0</x:v>
      </x:c>
      <x:c r="S15" s="79" t="str">
        <x:v>Instant</x:v>
      </x:c>
      <x:c r="T15" s="79" t="n">
        <x:v>5</x:v>
      </x:c>
      <x:c r="U15" s="22" t="str">
        <x:v>Reliability</x:v>
      </x:c>
      <x:c r="V15" s="22" t="str">
        <x:v>No</x:v>
      </x:c>
      <x:c r="W15" s="22" t="str">
        <x:v>No</x:v>
      </x:c>
      <x:c r="X15" s="34" t="str">
        <x:v>Server-authoritative config; effects subject to stacking and hard caps.</x:v>
      </x:c>
    </x:row>
    <x:row r="16">
      <x:c r="A16" s="33" t="str">
        <x:v>mod_cash_handling_protocol</x:v>
      </x:c>
      <x:c r="B16" s="22" t="str">
        <x:v>Cash Handling Protocol</x:v>
      </x:c>
      <x:c r="C16" s="22" t="str">
        <x:v>Common</x:v>
      </x:c>
      <x:c r="D16" s="22" t="str">
        <x:v>Liquidity</x:v>
      </x:c>
      <x:c r="E16" s="22" t="str">
        <x:v>Cash Services, Banking, Treasury</x:v>
      </x:c>
      <x:c r="F16" s="22" t="str">
        <x:v>-3 Liquidity Risk</x:v>
      </x:c>
      <x:c r="G16" s="22" t="str">
        <x:v>+2 Service Quality</x:v>
      </x:c>
      <x:c r="H16" s="22" t="str"/>
      <x:c r="I16" s="22" t="str">
        <x:v>liquidity</x:v>
      </x:c>
      <x:c r="J16" s="22" t="str">
        <x:v>Humble</x:v>
      </x:c>
      <x:c r="K16" s="22" t="str">
        <x:v>Mastery I — choose from compatible family pool</x:v>
      </x:c>
      <x:c r="L16" s="22" t="str">
        <x:v>Easy</x:v>
      </x:c>
      <x:c r="M16" s="22" t="str">
        <x:v>Bank Run</x:v>
      </x:c>
      <x:c r="N16" s="22" t="str">
        <x:v>Basic Earned Pack</x:v>
      </x:c>
      <x:c r="O16" s="22" t="str">
        <x:v>Yes</x:v>
      </x:c>
      <x:c r="P16" s="22" t="str">
        <x:v>Common Parts</x:v>
      </x:c>
      <x:c r="Q16" s="79" t="n">
        <x:v>25</x:v>
      </x:c>
      <x:c r="R16" s="79" t="n">
        <x:v>0</x:v>
      </x:c>
      <x:c r="S16" s="79" t="str">
        <x:v>Instant</x:v>
      </x:c>
      <x:c r="T16" s="79" t="n">
        <x:v>5</x:v>
      </x:c>
      <x:c r="U16" s="22" t="str">
        <x:v>Cash discipline</x:v>
      </x:c>
      <x:c r="V16" s="22" t="str">
        <x:v>No</x:v>
      </x:c>
      <x:c r="W16" s="22" t="str">
        <x:v>No</x:v>
      </x:c>
      <x:c r="X16" s="34" t="str">
        <x:v>Server-authoritative config; effects subject to stacking and hard caps.</x:v>
      </x:c>
    </x:row>
    <x:row r="17">
      <x:c r="A17" s="33" t="str">
        <x:v>mod_simple_credit_checklist</x:v>
      </x:c>
      <x:c r="B17" s="22" t="str">
        <x:v>Simple Credit Checklist</x:v>
      </x:c>
      <x:c r="C17" s="22" t="str">
        <x:v>Common</x:v>
      </x:c>
      <x:c r="D17" s="22" t="str">
        <x:v>Credit</x:v>
      </x:c>
      <x:c r="E17" s="22" t="str">
        <x:v>Lending, Banking</x:v>
      </x:c>
      <x:c r="F17" s="22" t="str">
        <x:v>-3 Credit Risk</x:v>
      </x:c>
      <x:c r="G17" s="22" t="str">
        <x:v>-2% activity efficiency</x:v>
      </x:c>
      <x:c r="H17" s="22" t="str"/>
      <x:c r="I17" s="22" t="str">
        <x:v>credit</x:v>
      </x:c>
      <x:c r="J17" s="22" t="str">
        <x:v>Humble</x:v>
      </x:c>
      <x:c r="K17" s="22" t="str">
        <x:v>Mastery I — choose from compatible family pool</x:v>
      </x:c>
      <x:c r="L17" s="22" t="str">
        <x:v>Easy</x:v>
      </x:c>
      <x:c r="M17" s="22" t="str">
        <x:v>Credit Boom</x:v>
      </x:c>
      <x:c r="N17" s="22" t="str">
        <x:v>Basic Earned Pack</x:v>
      </x:c>
      <x:c r="O17" s="22" t="str">
        <x:v>Yes</x:v>
      </x:c>
      <x:c r="P17" s="22" t="str">
        <x:v>Common Parts</x:v>
      </x:c>
      <x:c r="Q17" s="79" t="n">
        <x:v>25</x:v>
      </x:c>
      <x:c r="R17" s="79" t="n">
        <x:v>0</x:v>
      </x:c>
      <x:c r="S17" s="79" t="str">
        <x:v>Instant</x:v>
      </x:c>
      <x:c r="T17" s="79" t="n">
        <x:v>5</x:v>
      </x:c>
      <x:c r="U17" s="22" t="str">
        <x:v>Credit control</x:v>
      </x:c>
      <x:c r="V17" s="22" t="str">
        <x:v>No</x:v>
      </x:c>
      <x:c r="W17" s="22" t="str">
        <x:v>No</x:v>
      </x:c>
      <x:c r="X17" s="34" t="str">
        <x:v>Server-authoritative config; effects subject to stacking and hard caps.</x:v>
      </x:c>
    </x:row>
    <x:row r="18">
      <x:c r="A18" s="33" t="str">
        <x:v>mod_order_book_basics</x:v>
      </x:c>
      <x:c r="B18" s="22" t="str">
        <x:v>Order Book Basics</x:v>
      </x:c>
      <x:c r="C18" s="22" t="str">
        <x:v>Common</x:v>
      </x:c>
      <x:c r="D18" s="22" t="str">
        <x:v>Market</x:v>
      </x:c>
      <x:c r="E18" s="22" t="str">
        <x:v>Trading, Brokerage, Exchange, Market Making</x:v>
      </x:c>
      <x:c r="F18" s="22" t="str">
        <x:v>+4% activity efficiency</x:v>
      </x:c>
      <x:c r="G18" s="22" t="str">
        <x:v>+2 Market Risk</x:v>
      </x:c>
      <x:c r="H18" s="22" t="str"/>
      <x:c r="I18" s="22" t="str">
        <x:v>market</x:v>
      </x:c>
      <x:c r="J18" s="22" t="str">
        <x:v>Humble</x:v>
      </x:c>
      <x:c r="K18" s="22" t="str">
        <x:v>Mastery I — choose from compatible family pool</x:v>
      </x:c>
      <x:c r="L18" s="22" t="str">
        <x:v>Easy</x:v>
      </x:c>
      <x:c r="M18" s="22" t="str">
        <x:v>Bull Market</x:v>
      </x:c>
      <x:c r="N18" s="22" t="str">
        <x:v>Basic Earned Pack</x:v>
      </x:c>
      <x:c r="O18" s="22" t="str">
        <x:v>Yes</x:v>
      </x:c>
      <x:c r="P18" s="22" t="str">
        <x:v>Common Parts</x:v>
      </x:c>
      <x:c r="Q18" s="79" t="n">
        <x:v>25</x:v>
      </x:c>
      <x:c r="R18" s="79" t="n">
        <x:v>0</x:v>
      </x:c>
      <x:c r="S18" s="79" t="str">
        <x:v>Instant</x:v>
      </x:c>
      <x:c r="T18" s="79" t="n">
        <x:v>5</x:v>
      </x:c>
      <x:c r="U18" s="22" t="str">
        <x:v>Trading throughput</x:v>
      </x:c>
      <x:c r="V18" s="22" t="str">
        <x:v>No</x:v>
      </x:c>
      <x:c r="W18" s="22" t="str">
        <x:v>No</x:v>
      </x:c>
      <x:c r="X18" s="34" t="str">
        <x:v>Server-authoritative config; effects subject to stacking and hard caps.</x:v>
      </x:c>
    </x:row>
    <x:row r="19">
      <x:c r="A19" s="33" t="str">
        <x:v>mod_research_notes</x:v>
      </x:c>
      <x:c r="B19" s="22" t="str">
        <x:v>Research Notes</x:v>
      </x:c>
      <x:c r="C19" s="22" t="str">
        <x:v>Common</x:v>
      </x:c>
      <x:c r="D19" s="22" t="str">
        <x:v>Research</x:v>
      </x:c>
      <x:c r="E19" s="22" t="str">
        <x:v>Research, Data, Brokerage, Asset Management, Advisory</x:v>
      </x:c>
      <x:c r="F19" s="22" t="str">
        <x:v>+3% activity efficiency</x:v>
      </x:c>
      <x:c r="G19" s="22" t="str">
        <x:v>+1 Service Quality</x:v>
      </x:c>
      <x:c r="H19" s="22" t="str"/>
      <x:c r="I19" s="22" t="str">
        <x:v>research</x:v>
      </x:c>
      <x:c r="J19" s="22" t="str">
        <x:v>Humble</x:v>
      </x:c>
      <x:c r="K19" s="22" t="str">
        <x:v>Mastery I — choose from compatible family pool</x:v>
      </x:c>
      <x:c r="L19" s="22" t="str">
        <x:v>Easy</x:v>
      </x:c>
      <x:c r="M19" s="22" t="str">
        <x:v>Tech Rally</x:v>
      </x:c>
      <x:c r="N19" s="22" t="str">
        <x:v>Basic Earned Pack</x:v>
      </x:c>
      <x:c r="O19" s="22" t="str">
        <x:v>Yes</x:v>
      </x:c>
      <x:c r="P19" s="22" t="str">
        <x:v>Common Parts</x:v>
      </x:c>
      <x:c r="Q19" s="79" t="n">
        <x:v>25</x:v>
      </x:c>
      <x:c r="R19" s="79" t="n">
        <x:v>0</x:v>
      </x:c>
      <x:c r="S19" s="79" t="str">
        <x:v>Instant</x:v>
      </x:c>
      <x:c r="T19" s="79" t="n">
        <x:v>5</x:v>
      </x:c>
      <x:c r="U19" s="22" t="str">
        <x:v>Research support</x:v>
      </x:c>
      <x:c r="V19" s="22" t="str">
        <x:v>No</x:v>
      </x:c>
      <x:c r="W19" s="22" t="str">
        <x:v>No</x:v>
      </x:c>
      <x:c r="X19" s="34" t="str">
        <x:v>Server-authoritative config; effects subject to stacking and hard caps.</x:v>
      </x:c>
    </x:row>
    <x:row r="20">
      <x:c r="A20" s="33" t="str">
        <x:v>mod_client_suitability_form</x:v>
      </x:c>
      <x:c r="B20" s="22" t="str">
        <x:v>Client Suitability Form</x:v>
      </x:c>
      <x:c r="C20" s="22" t="str">
        <x:v>Common</x:v>
      </x:c>
      <x:c r="D20" s="22" t="str">
        <x:v>Risk</x:v>
      </x:c>
      <x:c r="E20" s="22" t="str">
        <x:v>Brokerage, Advisory, Wealth</x:v>
      </x:c>
      <x:c r="F20" s="22" t="str">
        <x:v>-3 Reputation Risk</x:v>
      </x:c>
      <x:c r="G20" s="22" t="str">
        <x:v>-1% acquisition</x:v>
      </x:c>
      <x:c r="H20" s="22" t="str"/>
      <x:c r="I20" s="22" t="str">
        <x:v>risk</x:v>
      </x:c>
      <x:c r="J20" s="22" t="str">
        <x:v>Humble</x:v>
      </x:c>
      <x:c r="K20" s="22" t="str">
        <x:v>Mastery I — choose from compatible family pool</x:v>
      </x:c>
      <x:c r="L20" s="22" t="str">
        <x:v>Easy</x:v>
      </x:c>
      <x:c r="M20" s="22" t="str">
        <x:v>Regulatory Approval</x:v>
      </x:c>
      <x:c r="N20" s="22" t="str">
        <x:v>Basic Earned Pack</x:v>
      </x:c>
      <x:c r="O20" s="22" t="str">
        <x:v>Yes</x:v>
      </x:c>
      <x:c r="P20" s="22" t="str">
        <x:v>Common Parts</x:v>
      </x:c>
      <x:c r="Q20" s="79" t="n">
        <x:v>25</x:v>
      </x:c>
      <x:c r="R20" s="79" t="n">
        <x:v>0</x:v>
      </x:c>
      <x:c r="S20" s="79" t="str">
        <x:v>Instant</x:v>
      </x:c>
      <x:c r="T20" s="79" t="n">
        <x:v>5</x:v>
      </x:c>
      <x:c r="U20" s="22" t="str">
        <x:v>Suitability</x:v>
      </x:c>
      <x:c r="V20" s="22" t="str">
        <x:v>No</x:v>
      </x:c>
      <x:c r="W20" s="22" t="str">
        <x:v>No</x:v>
      </x:c>
      <x:c r="X20" s="34" t="str">
        <x:v>Server-authoritative config; effects subject to stacking and hard caps.</x:v>
      </x:c>
    </x:row>
    <x:row r="21">
      <x:c r="A21" s="33" t="str">
        <x:v>mod_claims_triage</x:v>
      </x:c>
      <x:c r="B21" s="22" t="str">
        <x:v>Claims Triage</x:v>
      </x:c>
      <x:c r="C21" s="22" t="str">
        <x:v>Common</x:v>
      </x:c>
      <x:c r="D21" s="22" t="str">
        <x:v>Service</x:v>
      </x:c>
      <x:c r="E21" s="22" t="str">
        <x:v>Insurance</x:v>
      </x:c>
      <x:c r="F21" s="22" t="str">
        <x:v>+4% retention</x:v>
      </x:c>
      <x:c r="G21" s="22" t="str">
        <x:v>+2 Service Quality</x:v>
      </x:c>
      <x:c r="H21" s="22" t="str"/>
      <x:c r="I21" s="22" t="str">
        <x:v>service</x:v>
      </x:c>
      <x:c r="J21" s="22" t="str">
        <x:v>Humble</x:v>
      </x:c>
      <x:c r="K21" s="22" t="str">
        <x:v>Mastery I — choose from compatible family pool</x:v>
      </x:c>
      <x:c r="L21" s="22" t="str">
        <x:v>Easy</x:v>
      </x:c>
      <x:c r="M21" s="22" t="str">
        <x:v>Generic Module reward pool</x:v>
      </x:c>
      <x:c r="N21" s="22" t="str">
        <x:v>Basic Earned Pack</x:v>
      </x:c>
      <x:c r="O21" s="22" t="str">
        <x:v>Yes</x:v>
      </x:c>
      <x:c r="P21" s="22" t="str">
        <x:v>Common Parts</x:v>
      </x:c>
      <x:c r="Q21" s="79" t="n">
        <x:v>25</x:v>
      </x:c>
      <x:c r="R21" s="79" t="n">
        <x:v>0</x:v>
      </x:c>
      <x:c r="S21" s="79" t="str">
        <x:v>Instant</x:v>
      </x:c>
      <x:c r="T21" s="79" t="n">
        <x:v>5</x:v>
      </x:c>
      <x:c r="U21" s="22" t="str">
        <x:v>Claims service</x:v>
      </x:c>
      <x:c r="V21" s="22" t="str">
        <x:v>No</x:v>
      </x:c>
      <x:c r="W21" s="22" t="str">
        <x:v>No</x:v>
      </x:c>
      <x:c r="X21" s="34" t="str">
        <x:v>Server-authoritative config; effects subject to stacking and hard caps.</x:v>
      </x:c>
    </x:row>
    <x:row r="22">
      <x:c r="A22" s="33" t="str">
        <x:v>mod_savings_drive</x:v>
      </x:c>
      <x:c r="B22" s="22" t="str">
        <x:v>Savings Drive</x:v>
      </x:c>
      <x:c r="C22" s="22" t="str">
        <x:v>Common</x:v>
      </x:c>
      <x:c r="D22" s="22" t="str">
        <x:v>Customer</x:v>
      </x:c>
      <x:c r="E22" s="22" t="str">
        <x:v>Banking</x:v>
      </x:c>
      <x:c r="F22" s="22" t="str">
        <x:v>+5% General Consumer acquisition</x:v>
      </x:c>
      <x:c r="G22" s="22" t="str">
        <x:v>-1% activity efficiency</x:v>
      </x:c>
      <x:c r="H22" s="22" t="str"/>
      <x:c r="I22" s="22" t="str">
        <x:v>customer</x:v>
      </x:c>
      <x:c r="J22" s="22" t="str">
        <x:v>Humble</x:v>
      </x:c>
      <x:c r="K22" s="22" t="str">
        <x:v>Mastery I — choose from compatible family pool</x:v>
      </x:c>
      <x:c r="L22" s="22" t="str">
        <x:v>Easy</x:v>
      </x:c>
      <x:c r="M22" s="22" t="str">
        <x:v>Rate Cut</x:v>
      </x:c>
      <x:c r="N22" s="22" t="str">
        <x:v>Basic Earned Pack</x:v>
      </x:c>
      <x:c r="O22" s="22" t="str">
        <x:v>Yes</x:v>
      </x:c>
      <x:c r="P22" s="22" t="str">
        <x:v>Common Parts</x:v>
      </x:c>
      <x:c r="Q22" s="79" t="n">
        <x:v>25</x:v>
      </x:c>
      <x:c r="R22" s="79" t="n">
        <x:v>0</x:v>
      </x:c>
      <x:c r="S22" s="79" t="str">
        <x:v>Instant</x:v>
      </x:c>
      <x:c r="T22" s="79" t="n">
        <x:v>5</x:v>
      </x:c>
      <x:c r="U22" s="22" t="str">
        <x:v>Deposit growth</x:v>
      </x:c>
      <x:c r="V22" s="22" t="str">
        <x:v>No</x:v>
      </x:c>
      <x:c r="W22" s="22" t="str">
        <x:v>No</x:v>
      </x:c>
      <x:c r="X22" s="34" t="str">
        <x:v>Server-authoritative config; effects subject to stacking and hard caps.</x:v>
      </x:c>
    </x:row>
    <x:row r="23">
      <x:c r="A23" s="33" t="str">
        <x:v>mod_fx_rate_board</x:v>
      </x:c>
      <x:c r="B23" s="22" t="str">
        <x:v>FX Rate Board</x:v>
      </x:c>
      <x:c r="C23" s="22" t="str">
        <x:v>Common</x:v>
      </x:c>
      <x:c r="D23" s="22" t="str">
        <x:v>Market</x:v>
      </x:c>
      <x:c r="E23" s="22" t="str">
        <x:v>FX</x:v>
      </x:c>
      <x:c r="F23" s="22" t="str">
        <x:v>+4% activity efficiency</x:v>
      </x:c>
      <x:c r="G23" s="22" t="str">
        <x:v>+1 Market Risk</x:v>
      </x:c>
      <x:c r="H23" s="22" t="str"/>
      <x:c r="I23" s="22" t="str">
        <x:v>market</x:v>
      </x:c>
      <x:c r="J23" s="22" t="str">
        <x:v>Humble</x:v>
      </x:c>
      <x:c r="K23" s="22" t="str">
        <x:v>Mastery I — choose from compatible family pool</x:v>
      </x:c>
      <x:c r="L23" s="22" t="str">
        <x:v>Easy</x:v>
      </x:c>
      <x:c r="M23" s="22" t="str">
        <x:v>Volatility Spike</x:v>
      </x:c>
      <x:c r="N23" s="22" t="str">
        <x:v>Basic Earned Pack</x:v>
      </x:c>
      <x:c r="O23" s="22" t="str">
        <x:v>Yes</x:v>
      </x:c>
      <x:c r="P23" s="22" t="str">
        <x:v>Common Parts</x:v>
      </x:c>
      <x:c r="Q23" s="79" t="n">
        <x:v>25</x:v>
      </x:c>
      <x:c r="R23" s="79" t="n">
        <x:v>0</x:v>
      </x:c>
      <x:c r="S23" s="79" t="str">
        <x:v>Instant</x:v>
      </x:c>
      <x:c r="T23" s="79" t="n">
        <x:v>5</x:v>
      </x:c>
      <x:c r="U23" s="22" t="str">
        <x:v>FX activity</x:v>
      </x:c>
      <x:c r="V23" s="22" t="str">
        <x:v>No</x:v>
      </x:c>
      <x:c r="W23" s="22" t="str">
        <x:v>No</x:v>
      </x:c>
      <x:c r="X23" s="34" t="str">
        <x:v>Server-authoritative config; effects subject to stacking and hard caps.</x:v>
      </x:c>
    </x:row>
    <x:row r="24">
      <x:c r="A24" s="33" t="str">
        <x:v>mod_portfolio_watchlist</x:v>
      </x:c>
      <x:c r="B24" s="22" t="str">
        <x:v>Portfolio Watchlist</x:v>
      </x:c>
      <x:c r="C24" s="22" t="str">
        <x:v>Common</x:v>
      </x:c>
      <x:c r="D24" s="22" t="str">
        <x:v>Research</x:v>
      </x:c>
      <x:c r="E24" s="22" t="str">
        <x:v>Asset Management, Wealth, Brokerage</x:v>
      </x:c>
      <x:c r="F24" s="22" t="str">
        <x:v>+3% activity efficiency</x:v>
      </x:c>
      <x:c r="G24" s="22" t="str">
        <x:v>-2 Concentration Risk</x:v>
      </x:c>
      <x:c r="H24" s="22" t="str"/>
      <x:c r="I24" s="22" t="str">
        <x:v>research</x:v>
      </x:c>
      <x:c r="J24" s="22" t="str">
        <x:v>Humble</x:v>
      </x:c>
      <x:c r="K24" s="22" t="str">
        <x:v>Mastery I — choose from compatible family pool</x:v>
      </x:c>
      <x:c r="L24" s="22" t="str">
        <x:v>Easy</x:v>
      </x:c>
      <x:c r="M24" s="22" t="str">
        <x:v>Dividend Week</x:v>
      </x:c>
      <x:c r="N24" s="22" t="str">
        <x:v>Basic Earned Pack</x:v>
      </x:c>
      <x:c r="O24" s="22" t="str">
        <x:v>Yes</x:v>
      </x:c>
      <x:c r="P24" s="22" t="str">
        <x:v>Common Parts</x:v>
      </x:c>
      <x:c r="Q24" s="79" t="n">
        <x:v>25</x:v>
      </x:c>
      <x:c r="R24" s="79" t="n">
        <x:v>0</x:v>
      </x:c>
      <x:c r="S24" s="79" t="str">
        <x:v>Instant</x:v>
      </x:c>
      <x:c r="T24" s="79" t="n">
        <x:v>5</x:v>
      </x:c>
      <x:c r="U24" s="22" t="str">
        <x:v>Portfolio support</x:v>
      </x:c>
      <x:c r="V24" s="22" t="str">
        <x:v>No</x:v>
      </x:c>
      <x:c r="W24" s="22" t="str">
        <x:v>No</x:v>
      </x:c>
      <x:c r="X24" s="34" t="str">
        <x:v>Server-authoritative config; effects subject to stacking and hard caps.</x:v>
      </x:c>
    </x:row>
    <x:row r="25">
      <x:c r="A25" s="33" t="str">
        <x:v>mod_basic_security_controls</x:v>
      </x:c>
      <x:c r="B25" s="22" t="str">
        <x:v>Basic Security Controls</x:v>
      </x:c>
      <x:c r="C25" s="22" t="str">
        <x:v>Common</x:v>
      </x:c>
      <x:c r="D25" s="22" t="str">
        <x:v>Risk</x:v>
      </x:c>
      <x:c r="E25" s="22" t="str">
        <x:v>Fintech, Data, Exchange</x:v>
      </x:c>
      <x:c r="F25" s="22" t="str">
        <x:v>-4 Operational Risk</x:v>
      </x:c>
      <x:c r="G25" s="22" t="str">
        <x:v>-1% activity efficiency</x:v>
      </x:c>
      <x:c r="H25" s="22" t="str"/>
      <x:c r="I25" s="22" t="str">
        <x:v>risk</x:v>
      </x:c>
      <x:c r="J25" s="22" t="str">
        <x:v>Humble</x:v>
      </x:c>
      <x:c r="K25" s="22" t="str">
        <x:v>Mastery I — choose from compatible family pool</x:v>
      </x:c>
      <x:c r="L25" s="22" t="str">
        <x:v>Easy</x:v>
      </x:c>
      <x:c r="M25" s="22" t="str">
        <x:v>Regulatory Approval</x:v>
      </x:c>
      <x:c r="N25" s="22" t="str">
        <x:v>Basic Earned Pack</x:v>
      </x:c>
      <x:c r="O25" s="22" t="str">
        <x:v>Yes</x:v>
      </x:c>
      <x:c r="P25" s="22" t="str">
        <x:v>Common Parts</x:v>
      </x:c>
      <x:c r="Q25" s="79" t="n">
        <x:v>25</x:v>
      </x:c>
      <x:c r="R25" s="79" t="n">
        <x:v>0</x:v>
      </x:c>
      <x:c r="S25" s="79" t="str">
        <x:v>Instant</x:v>
      </x:c>
      <x:c r="T25" s="79" t="n">
        <x:v>5</x:v>
      </x:c>
      <x:c r="U25" s="22" t="str">
        <x:v>Security</x:v>
      </x:c>
      <x:c r="V25" s="22" t="str">
        <x:v>No</x:v>
      </x:c>
      <x:c r="W25" s="22" t="str">
        <x:v>No</x:v>
      </x:c>
      <x:c r="X25" s="34" t="str">
        <x:v>Server-authoritative config; effects subject to stacking and hard caps.</x:v>
      </x:c>
    </x:row>
    <x:row r="26">
      <x:c r="A26" s="33" t="str">
        <x:v>mod_call_queue_script</x:v>
      </x:c>
      <x:c r="B26" s="22" t="str">
        <x:v>Call Queue Script</x:v>
      </x:c>
      <x:c r="C26" s="22" t="str">
        <x:v>Common</x:v>
      </x:c>
      <x:c r="D26" s="22" t="str">
        <x:v>Service</x:v>
      </x:c>
      <x:c r="E26" s="22" t="str">
        <x:v>Banking, Insurance, Advisory, Wealth</x:v>
      </x:c>
      <x:c r="F26" s="22" t="str">
        <x:v>+3 Service Quality</x:v>
      </x:c>
      <x:c r="G26" s="22" t="str">
        <x:v>+2% retention</x:v>
      </x:c>
      <x:c r="H26" s="22" t="str"/>
      <x:c r="I26" s="22" t="str">
        <x:v>service</x:v>
      </x:c>
      <x:c r="J26" s="22" t="str">
        <x:v>Humble</x:v>
      </x:c>
      <x:c r="K26" s="22" t="str">
        <x:v>Mastery I — choose from compatible family pool</x:v>
      </x:c>
      <x:c r="L26" s="22" t="str">
        <x:v>Easy</x:v>
      </x:c>
      <x:c r="M26" s="22" t="str">
        <x:v>Earnings Season</x:v>
      </x:c>
      <x:c r="N26" s="22" t="str">
        <x:v>Basic Earned Pack</x:v>
      </x:c>
      <x:c r="O26" s="22" t="str">
        <x:v>Yes</x:v>
      </x:c>
      <x:c r="P26" s="22" t="str">
        <x:v>Common Parts</x:v>
      </x:c>
      <x:c r="Q26" s="79" t="n">
        <x:v>25</x:v>
      </x:c>
      <x:c r="R26" s="79" t="n">
        <x:v>0</x:v>
      </x:c>
      <x:c r="S26" s="79" t="str">
        <x:v>Instant</x:v>
      </x:c>
      <x:c r="T26" s="79" t="n">
        <x:v>5</x:v>
      </x:c>
      <x:c r="U26" s="22" t="str">
        <x:v>Customer care</x:v>
      </x:c>
      <x:c r="V26" s="22" t="str">
        <x:v>No</x:v>
      </x:c>
      <x:c r="W26" s="22" t="str">
        <x:v>No</x:v>
      </x:c>
      <x:c r="X26" s="34" t="str">
        <x:v>Server-authoritative config; effects subject to stacking and hard caps.</x:v>
      </x:c>
    </x:row>
    <x:row r="27">
      <x:c r="A27" s="33" t="str">
        <x:v>mod_deposit_reminder</x:v>
      </x:c>
      <x:c r="B27" s="22" t="str">
        <x:v>Deposit Reminder</x:v>
      </x:c>
      <x:c r="C27" s="22" t="str">
        <x:v>Common</x:v>
      </x:c>
      <x:c r="D27" s="22" t="str">
        <x:v>Customer</x:v>
      </x:c>
      <x:c r="E27" s="22" t="str">
        <x:v>Banking</x:v>
      </x:c>
      <x:c r="F27" s="22" t="str">
        <x:v>+4% retention</x:v>
      </x:c>
      <x:c r="G27" s="22" t="str"/>
      <x:c r="H27" s="22" t="str"/>
      <x:c r="I27" s="22" t="str">
        <x:v>customer</x:v>
      </x:c>
      <x:c r="J27" s="22" t="str">
        <x:v>Humble</x:v>
      </x:c>
      <x:c r="K27" s="22" t="str">
        <x:v>Mastery I — choose from compatible family pool</x:v>
      </x:c>
      <x:c r="L27" s="22" t="str">
        <x:v>Easy</x:v>
      </x:c>
      <x:c r="M27" s="22" t="str">
        <x:v>Rate Hike</x:v>
      </x:c>
      <x:c r="N27" s="22" t="str">
        <x:v>Basic Earned Pack</x:v>
      </x:c>
      <x:c r="O27" s="22" t="str">
        <x:v>Yes</x:v>
      </x:c>
      <x:c r="P27" s="22" t="str">
        <x:v>Common Parts</x:v>
      </x:c>
      <x:c r="Q27" s="79" t="n">
        <x:v>25</x:v>
      </x:c>
      <x:c r="R27" s="79" t="n">
        <x:v>0</x:v>
      </x:c>
      <x:c r="S27" s="79" t="str">
        <x:v>Instant</x:v>
      </x:c>
      <x:c r="T27" s="79" t="n">
        <x:v>5</x:v>
      </x:c>
      <x:c r="U27" s="22" t="str">
        <x:v>Deposit retention</x:v>
      </x:c>
      <x:c r="V27" s="22" t="str">
        <x:v>No</x:v>
      </x:c>
      <x:c r="W27" s="22" t="str">
        <x:v>No</x:v>
      </x:c>
      <x:c r="X27" s="34" t="str">
        <x:v>Server-authoritative config; effects subject to stacking and hard caps.</x:v>
      </x:c>
    </x:row>
    <x:row r="28">
      <x:c r="A28" s="33" t="str">
        <x:v>mod_merchant_outreach</x:v>
      </x:c>
      <x:c r="B28" s="22" t="str">
        <x:v>Merchant Outreach</x:v>
      </x:c>
      <x:c r="C28" s="22" t="str">
        <x:v>Common</x:v>
      </x:c>
      <x:c r="D28" s="22" t="str">
        <x:v>Customer</x:v>
      </x:c>
      <x:c r="E28" s="22" t="str">
        <x:v>Cash Services, Banking</x:v>
      </x:c>
      <x:c r="F28" s="22" t="str">
        <x:v>+5% Small Business acquisition</x:v>
      </x:c>
      <x:c r="G28" s="22" t="str"/>
      <x:c r="H28" s="22" t="str"/>
      <x:c r="I28" s="22" t="str">
        <x:v>customer</x:v>
      </x:c>
      <x:c r="J28" s="22" t="str">
        <x:v>Humble</x:v>
      </x:c>
      <x:c r="K28" s="22" t="str">
        <x:v>Mastery I — choose from compatible family pool</x:v>
      </x:c>
      <x:c r="L28" s="22" t="str">
        <x:v>Easy</x:v>
      </x:c>
      <x:c r="M28" s="22" t="str">
        <x:v>M&amp;A Boom</x:v>
      </x:c>
      <x:c r="N28" s="22" t="str">
        <x:v>Basic Earned Pack</x:v>
      </x:c>
      <x:c r="O28" s="22" t="str">
        <x:v>Yes</x:v>
      </x:c>
      <x:c r="P28" s="22" t="str">
        <x:v>Common Parts</x:v>
      </x:c>
      <x:c r="Q28" s="79" t="n">
        <x:v>25</x:v>
      </x:c>
      <x:c r="R28" s="79" t="n">
        <x:v>0</x:v>
      </x:c>
      <x:c r="S28" s="79" t="str">
        <x:v>Instant</x:v>
      </x:c>
      <x:c r="T28" s="79" t="n">
        <x:v>5</x:v>
      </x:c>
      <x:c r="U28" s="22" t="str">
        <x:v>SME growth</x:v>
      </x:c>
      <x:c r="V28" s="22" t="str">
        <x:v>No</x:v>
      </x:c>
      <x:c r="W28" s="22" t="str">
        <x:v>No</x:v>
      </x:c>
      <x:c r="X28" s="34" t="str">
        <x:v>Server-authoritative config; effects subject to stacking and hard caps.</x:v>
      </x:c>
    </x:row>
    <x:row r="29">
      <x:c r="A29" s="33" t="str">
        <x:v>mod_trade_confirmation</x:v>
      </x:c>
      <x:c r="B29" s="22" t="str">
        <x:v>Trade Confirmation</x:v>
      </x:c>
      <x:c r="C29" s="22" t="str">
        <x:v>Common</x:v>
      </x:c>
      <x:c r="D29" s="22" t="str">
        <x:v>Operations</x:v>
      </x:c>
      <x:c r="E29" s="22" t="str">
        <x:v>Trading, Brokerage, Exchange</x:v>
      </x:c>
      <x:c r="F29" s="22" t="str">
        <x:v>-2 Operational Risk</x:v>
      </x:c>
      <x:c r="G29" s="22" t="str">
        <x:v>+3% capacity</x:v>
      </x:c>
      <x:c r="H29" s="22" t="str"/>
      <x:c r="I29" s="22" t="str">
        <x:v>operations</x:v>
      </x:c>
      <x:c r="J29" s="22" t="str">
        <x:v>Humble</x:v>
      </x:c>
      <x:c r="K29" s="22" t="str">
        <x:v>Mastery I — choose from compatible family pool</x:v>
      </x:c>
      <x:c r="L29" s="22" t="str">
        <x:v>Easy</x:v>
      </x:c>
      <x:c r="M29" s="22" t="str">
        <x:v>Volatility Spike</x:v>
      </x:c>
      <x:c r="N29" s="22" t="str">
        <x:v>Basic Earned Pack</x:v>
      </x:c>
      <x:c r="O29" s="22" t="str">
        <x:v>Yes</x:v>
      </x:c>
      <x:c r="P29" s="22" t="str">
        <x:v>Common Parts</x:v>
      </x:c>
      <x:c r="Q29" s="79" t="n">
        <x:v>25</x:v>
      </x:c>
      <x:c r="R29" s="79" t="n">
        <x:v>0</x:v>
      </x:c>
      <x:c r="S29" s="79" t="str">
        <x:v>Instant</x:v>
      </x:c>
      <x:c r="T29" s="79" t="n">
        <x:v>5</x:v>
      </x:c>
      <x:c r="U29" s="22" t="str">
        <x:v>Trade ops</x:v>
      </x:c>
      <x:c r="V29" s="22" t="str">
        <x:v>No</x:v>
      </x:c>
      <x:c r="W29" s="22" t="str">
        <x:v>No</x:v>
      </x:c>
      <x:c r="X29" s="34" t="str">
        <x:v>Server-authoritative config; effects subject to stacking and hard caps.</x:v>
      </x:c>
    </x:row>
    <x:row r="30">
      <x:c r="A30" s="33" t="str">
        <x:v>mod_vault_inventory_log</x:v>
      </x:c>
      <x:c r="B30" s="22" t="str">
        <x:v>Vault Inventory Log</x:v>
      </x:c>
      <x:c r="C30" s="22" t="str">
        <x:v>Common</x:v>
      </x:c>
      <x:c r="D30" s="22" t="str">
        <x:v>Liquidity</x:v>
      </x:c>
      <x:c r="E30" s="22" t="str">
        <x:v>Treasury, Cash Services</x:v>
      </x:c>
      <x:c r="F30" s="22" t="str">
        <x:v>-3 Liquidity Risk</x:v>
      </x:c>
      <x:c r="G30" s="22" t="str">
        <x:v>-2 Operational Risk</x:v>
      </x:c>
      <x:c r="H30" s="22" t="str"/>
      <x:c r="I30" s="22" t="str">
        <x:v>liquidity</x:v>
      </x:c>
      <x:c r="J30" s="22" t="str">
        <x:v>Humble</x:v>
      </x:c>
      <x:c r="K30" s="22" t="str">
        <x:v>Mastery I — choose from compatible family pool</x:v>
      </x:c>
      <x:c r="L30" s="22" t="str">
        <x:v>Easy</x:v>
      </x:c>
      <x:c r="M30" s="22" t="str">
        <x:v>Liquidity Crunch</x:v>
      </x:c>
      <x:c r="N30" s="22" t="str">
        <x:v>Basic Earned Pack</x:v>
      </x:c>
      <x:c r="O30" s="22" t="str">
        <x:v>Yes</x:v>
      </x:c>
      <x:c r="P30" s="22" t="str">
        <x:v>Common Parts</x:v>
      </x:c>
      <x:c r="Q30" s="79" t="n">
        <x:v>25</x:v>
      </x:c>
      <x:c r="R30" s="79" t="n">
        <x:v>0</x:v>
      </x:c>
      <x:c r="S30" s="79" t="str">
        <x:v>Instant</x:v>
      </x:c>
      <x:c r="T30" s="79" t="n">
        <x:v>5</x:v>
      </x:c>
      <x:c r="U30" s="22" t="str">
        <x:v>Vault control</x:v>
      </x:c>
      <x:c r="V30" s="22" t="str">
        <x:v>No</x:v>
      </x:c>
      <x:c r="W30" s="22" t="str">
        <x:v>No</x:v>
      </x:c>
      <x:c r="X30" s="34" t="str">
        <x:v>Server-authoritative config; effects subject to stacking and hard caps.</x:v>
      </x:c>
    </x:row>
    <x:row r="31">
      <x:c r="A31" s="33" t="str">
        <x:v>mod_data_quality_checklist</x:v>
      </x:c>
      <x:c r="B31" s="22" t="str">
        <x:v>Data Quality Checklist</x:v>
      </x:c>
      <x:c r="C31" s="22" t="str">
        <x:v>Common</x:v>
      </x:c>
      <x:c r="D31" s="22" t="str">
        <x:v>Research</x:v>
      </x:c>
      <x:c r="E31" s="22" t="str">
        <x:v>Research, Data, Fintech</x:v>
      </x:c>
      <x:c r="F31" s="22" t="str">
        <x:v>+2 Service Quality</x:v>
      </x:c>
      <x:c r="G31" s="22" t="str">
        <x:v>-3 Operational Risk</x:v>
      </x:c>
      <x:c r="H31" s="22" t="str"/>
      <x:c r="I31" s="22" t="str">
        <x:v>research</x:v>
      </x:c>
      <x:c r="J31" s="22" t="str">
        <x:v>Humble</x:v>
      </x:c>
      <x:c r="K31" s="22" t="str">
        <x:v>Mastery I — choose from compatible family pool</x:v>
      </x:c>
      <x:c r="L31" s="22" t="str">
        <x:v>Easy</x:v>
      </x:c>
      <x:c r="M31" s="22" t="str">
        <x:v>Tech Rally</x:v>
      </x:c>
      <x:c r="N31" s="22" t="str">
        <x:v>Basic Earned Pack</x:v>
      </x:c>
      <x:c r="O31" s="22" t="str">
        <x:v>Yes</x:v>
      </x:c>
      <x:c r="P31" s="22" t="str">
        <x:v>Common Parts</x:v>
      </x:c>
      <x:c r="Q31" s="79" t="n">
        <x:v>25</x:v>
      </x:c>
      <x:c r="R31" s="79" t="n">
        <x:v>0</x:v>
      </x:c>
      <x:c r="S31" s="79" t="str">
        <x:v>Instant</x:v>
      </x:c>
      <x:c r="T31" s="79" t="n">
        <x:v>5</x:v>
      </x:c>
      <x:c r="U31" s="22" t="str">
        <x:v>Data quality</x:v>
      </x:c>
      <x:c r="V31" s="22" t="str">
        <x:v>No</x:v>
      </x:c>
      <x:c r="W31" s="22" t="str">
        <x:v>No</x:v>
      </x:c>
      <x:c r="X31" s="34" t="str">
        <x:v>Server-authoritative config; effects subject to stacking and hard caps.</x:v>
      </x:c>
    </x:row>
    <x:row r="32">
      <x:c r="A32" s="33" t="str">
        <x:v>mod_kyc_desk_guide</x:v>
      </x:c>
      <x:c r="B32" s="22" t="str">
        <x:v>KYC Desk Guide</x:v>
      </x:c>
      <x:c r="C32" s="22" t="str">
        <x:v>Common</x:v>
      </x:c>
      <x:c r="D32" s="22" t="str">
        <x:v>Risk</x:v>
      </x:c>
      <x:c r="E32" s="22" t="str">
        <x:v>Banking, Brokerage, Advisory, Wealth, Private Banking</x:v>
      </x:c>
      <x:c r="F32" s="22" t="str">
        <x:v>-3 Reputation Risk</x:v>
      </x:c>
      <x:c r="G32" s="22" t="str">
        <x:v>+1 Service Quality</x:v>
      </x:c>
      <x:c r="H32" s="22" t="str"/>
      <x:c r="I32" s="22" t="str">
        <x:v>risk</x:v>
      </x:c>
      <x:c r="J32" s="22" t="str">
        <x:v>Humble</x:v>
      </x:c>
      <x:c r="K32" s="22" t="str">
        <x:v>Mastery I — choose from compatible family pool</x:v>
      </x:c>
      <x:c r="L32" s="22" t="str">
        <x:v>Easy</x:v>
      </x:c>
      <x:c r="M32" s="22" t="str">
        <x:v>Regulatory Approval</x:v>
      </x:c>
      <x:c r="N32" s="22" t="str">
        <x:v>Basic Earned Pack</x:v>
      </x:c>
      <x:c r="O32" s="22" t="str">
        <x:v>Yes</x:v>
      </x:c>
      <x:c r="P32" s="22" t="str">
        <x:v>Common Parts</x:v>
      </x:c>
      <x:c r="Q32" s="79" t="n">
        <x:v>25</x:v>
      </x:c>
      <x:c r="R32" s="79" t="n">
        <x:v>0</x:v>
      </x:c>
      <x:c r="S32" s="79" t="str">
        <x:v>Instant</x:v>
      </x:c>
      <x:c r="T32" s="79" t="n">
        <x:v>5</x:v>
      </x:c>
      <x:c r="U32" s="22" t="str">
        <x:v>Compliance</x:v>
      </x:c>
      <x:c r="V32" s="22" t="str">
        <x:v>No</x:v>
      </x:c>
      <x:c r="W32" s="22" t="str">
        <x:v>No</x:v>
      </x:c>
      <x:c r="X32" s="34" t="str">
        <x:v>Server-authoritative config; effects subject to stacking and hard caps.</x:v>
      </x:c>
    </x:row>
    <x:row r="33">
      <x:c r="A33" s="35" t="str">
        <x:v>mod_appointment_book</x:v>
      </x:c>
      <x:c r="B33" s="36" t="str">
        <x:v>Appointment Book</x:v>
      </x:c>
      <x:c r="C33" s="36" t="str">
        <x:v>Common</x:v>
      </x:c>
      <x:c r="D33" s="36" t="str">
        <x:v>Service</x:v>
      </x:c>
      <x:c r="E33" s="36" t="str">
        <x:v>Advisory, Wealth, Private Banking</x:v>
      </x:c>
      <x:c r="F33" s="36" t="str">
        <x:v>+4% retention</x:v>
      </x:c>
      <x:c r="G33" s="36" t="str">
        <x:v>+2 Service Quality</x:v>
      </x:c>
      <x:c r="H33" s="36" t="str"/>
      <x:c r="I33" s="36" t="str">
        <x:v>service</x:v>
      </x:c>
      <x:c r="J33" s="36" t="str">
        <x:v>Humble</x:v>
      </x:c>
      <x:c r="K33" s="36" t="str">
        <x:v>Mastery I — choose from compatible family pool</x:v>
      </x:c>
      <x:c r="L33" s="36" t="str">
        <x:v>Easy</x:v>
      </x:c>
      <x:c r="M33" s="36" t="str">
        <x:v>Earnings Season</x:v>
      </x:c>
      <x:c r="N33" s="36" t="str">
        <x:v>Basic Earned Pack</x:v>
      </x:c>
      <x:c r="O33" s="36" t="str">
        <x:v>Yes</x:v>
      </x:c>
      <x:c r="P33" s="36" t="str">
        <x:v>Common Parts</x:v>
      </x:c>
      <x:c r="Q33" s="80" t="n">
        <x:v>25</x:v>
      </x:c>
      <x:c r="R33" s="80" t="n">
        <x:v>0</x:v>
      </x:c>
      <x:c r="S33" s="80" t="str">
        <x:v>Instant</x:v>
      </x:c>
      <x:c r="T33" s="80" t="n">
        <x:v>5</x:v>
      </x:c>
      <x:c r="U33" s="36" t="str">
        <x:v>Relationship service</x:v>
      </x:c>
      <x:c r="V33" s="36" t="str">
        <x:v>No</x:v>
      </x:c>
      <x:c r="W33" s="36" t="str">
        <x:v>No</x:v>
      </x:c>
      <x:c r="X33" s="37" t="str">
        <x:v>Server-authoritative config; effects subject to stacking and hard caps.</x:v>
      </x:c>
    </x:row>
  </x:sheetData>
  <x:mergeCells>
    <x:mergeCell ref="A1:X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18" hidden="0" customWidth="1"/>
    <x:col min="4" max="4" width="18" hidden="0" customWidth="1"/>
    <x:col min="5" max="5" width="32" hidden="0" customWidth="1"/>
    <x:col min="6" max="6" width="32" hidden="0" customWidth="1"/>
    <x:col min="7" max="7" width="32" hidden="0" customWidth="1"/>
    <x:col min="8" max="8" width="32" hidden="0" customWidth="1"/>
    <x:col min="9" max="9" width="18" hidden="0" customWidth="1"/>
    <x:col min="10" max="10" width="1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</x:cols>
  <x:sheetData>
    <x:row r="1" ht="30" customHeight="1">
      <x:c r="A1" s="86" t="str">
        <x:v>Uncommon Modules — Canonical Catalog</x:v>
      </x:c>
      <x:c r="B1" s="86"/>
      <x:c r="C1" s="86"/>
      <x:c r="D1" s="86"/>
      <x:c r="E1" s="86"/>
      <x:c r="F1" s="86"/>
      <x:c r="G1" s="86"/>
      <x:c r="H1" s="86"/>
      <x:c r="I1" s="86"/>
      <x:c r="J1" s="86"/>
      <x:c r="K1" s="86"/>
      <x:c r="L1" s="86"/>
      <x:c r="M1" s="86"/>
      <x:c r="N1" s="86"/>
      <x:c r="O1" s="86"/>
      <x:c r="P1" s="86"/>
      <x:c r="Q1" s="86"/>
      <x:c r="R1" s="86"/>
      <x:c r="S1" s="86"/>
      <x:c r="T1" s="86"/>
      <x:c r="U1" s="86"/>
      <x:c r="V1" s="86"/>
      <x:c r="W1" s="86"/>
      <x:c r="X1" s="86"/>
    </x:row>
    <x:row r="3">
      <x:c r="A3" s="14" t="str">
        <x:v>Module ID</x:v>
      </x:c>
      <x:c r="B3" s="14" t="str">
        <x:v>Module Name</x:v>
      </x:c>
      <x:c r="C3" s="14" t="str">
        <x:v>Rarity</x:v>
      </x:c>
      <x:c r="D3" s="14" t="str">
        <x:v>Category</x:v>
      </x:c>
      <x:c r="E3" s="14" t="str">
        <x:v>Compatible Building Families</x:v>
      </x:c>
      <x:c r="F3" s="14" t="str">
        <x:v>Primary Power</x:v>
      </x:c>
      <x:c r="G3" s="14" t="str">
        <x:v>Secondary Power / Tradeoff</x:v>
      </x:c>
      <x:c r="H3" s="14" t="str">
        <x:v>Activation Condition</x:v>
      </x:c>
      <x:c r="I3" s="14" t="str">
        <x:v>Stacking Group</x:v>
      </x:c>
      <x:c r="J3" s="14" t="str">
        <x:v>Stage Gate</x:v>
      </x:c>
      <x:c r="K3" s="14" t="str">
        <x:v>Guaranteed Acquisition</x:v>
      </x:c>
      <x:c r="L3" s="14" t="str">
        <x:v>Minimum Hunt</x:v>
      </x:c>
      <x:c r="M3" s="14" t="str">
        <x:v>Dedicated Event / Themed Source</x:v>
      </x:c>
      <x:c r="N3" s="14" t="str">
        <x:v>Earned Pack Source</x:v>
      </x:c>
      <x:c r="O3" s="14" t="str">
        <x:v>In-Game Cash Pack?</x:v>
      </x:c>
      <x:c r="P3" s="14" t="str">
        <x:v>Craft Parts</x:v>
      </x:c>
      <x:c r="Q3" s="14" t="str">
        <x:v>Craft Cost</x:v>
      </x:c>
      <x:c r="R3" s="14" t="str">
        <x:v>Craft Time (min)</x:v>
      </x:c>
      <x:c r="S3" s="14" t="str">
        <x:v>Craft Time</x:v>
      </x:c>
      <x:c r="T3" s="14" t="str">
        <x:v>Dismantle Parts</x:v>
      </x:c>
      <x:c r="U3" s="14" t="str">
        <x:v>Gameplay Role</x:v>
      </x:c>
      <x:c r="V3" s="14" t="str">
        <x:v>Direct Performance?</x:v>
      </x:c>
      <x:c r="W3" s="14" t="str">
        <x:v>Direct $PLOT?</x:v>
      </x:c>
      <x:c r="X3" s="14" t="str">
        <x:v>Implementation Notes</x:v>
      </x:c>
    </x:row>
    <x:row r="4">
      <x:c r="A4" s="30" t="str">
        <x:v>mod_lean_operations</x:v>
      </x:c>
      <x:c r="B4" s="31" t="str">
        <x:v>Lean Operations</x:v>
      </x:c>
      <x:c r="C4" s="31" t="str">
        <x:v>Uncommon</x:v>
      </x:c>
      <x:c r="D4" s="31" t="str">
        <x:v>Operations</x:v>
      </x:c>
      <x:c r="E4" s="31" t="str">
        <x:v>All</x:v>
      </x:c>
      <x:c r="F4" s="31" t="str">
        <x:v>-6% operating cost</x:v>
      </x:c>
      <x:c r="G4" s="31" t="str">
        <x:v>-2 Service Quality</x:v>
      </x:c>
      <x:c r="H4" s="31" t="str"/>
      <x:c r="I4" s="31" t="str">
        <x:v>operations</x:v>
      </x:c>
      <x:c r="J4" s="31" t="str">
        <x:v>Starter</x:v>
      </x:c>
      <x:c r="K4" s="31" t="str">
        <x:v>Mastery II — choose from compatible family pool</x:v>
      </x:c>
      <x:c r="L4" s="31" t="str">
        <x:v>Standard</x:v>
      </x:c>
      <x:c r="M4" s="31" t="str">
        <x:v>Rate Hike</x:v>
      </x:c>
      <x:c r="N4" s="31" t="str">
        <x:v>Basic / Advanced Earned Pack</x:v>
      </x:c>
      <x:c r="O4" s="31" t="str">
        <x:v>Yes</x:v>
      </x:c>
      <x:c r="P4" s="31" t="str">
        <x:v>Uncommon Parts</x:v>
      </x:c>
      <x:c r="Q4" s="78" t="n">
        <x:v>60</x:v>
      </x:c>
      <x:c r="R4" s="78" t="n">
        <x:v>15</x:v>
      </x:c>
      <x:c r="S4" s="78" t="str">
        <x:v>15 min</x:v>
      </x:c>
      <x:c r="T4" s="78" t="n">
        <x:v>12</x:v>
      </x:c>
      <x:c r="U4" s="31" t="str">
        <x:v>Efficiency sidegrade</x:v>
      </x:c>
      <x:c r="V4" s="31" t="str">
        <x:v>No</x:v>
      </x:c>
      <x:c r="W4" s="31" t="str">
        <x:v>No</x:v>
      </x:c>
      <x:c r="X4" s="32" t="str">
        <x:v>Server-authoritative config; effects subject to stacking and hard caps.</x:v>
      </x:c>
    </x:row>
    <x:row r="5">
      <x:c r="A5" s="33" t="str">
        <x:v>mod_sme_relationship_desk</x:v>
      </x:c>
      <x:c r="B5" s="22" t="str">
        <x:v>SME Relationship Desk</x:v>
      </x:c>
      <x:c r="C5" s="22" t="str">
        <x:v>Uncommon</x:v>
      </x:c>
      <x:c r="D5" s="22" t="str">
        <x:v>Customer</x:v>
      </x:c>
      <x:c r="E5" s="22" t="str">
        <x:v>Banking, Lending, Advisory</x:v>
      </x:c>
      <x:c r="F5" s="22" t="str">
        <x:v>+8% Small Business acquisition</x:v>
      </x:c>
      <x:c r="G5" s="22" t="str">
        <x:v>-3% General Consumer acquisition</x:v>
      </x:c>
      <x:c r="H5" s="22" t="str"/>
      <x:c r="I5" s="22" t="str">
        <x:v>customer</x:v>
      </x:c>
      <x:c r="J5" s="22" t="str">
        <x:v>Starter</x:v>
      </x:c>
      <x:c r="K5" s="22" t="str">
        <x:v>Mastery II — choose from compatible family pool</x:v>
      </x:c>
      <x:c r="L5" s="22" t="str">
        <x:v>Standard</x:v>
      </x:c>
      <x:c r="M5" s="22" t="str">
        <x:v>M&amp;A Boom</x:v>
      </x:c>
      <x:c r="N5" s="22" t="str">
        <x:v>Basic / Advanced Earned Pack</x:v>
      </x:c>
      <x:c r="O5" s="22" t="str">
        <x:v>Yes</x:v>
      </x:c>
      <x:c r="P5" s="22" t="str">
        <x:v>Uncommon Parts</x:v>
      </x:c>
      <x:c r="Q5" s="79" t="n">
        <x:v>60</x:v>
      </x:c>
      <x:c r="R5" s="79" t="n">
        <x:v>15</x:v>
      </x:c>
      <x:c r="S5" s="79" t="str">
        <x:v>15 min</x:v>
      </x:c>
      <x:c r="T5" s="79" t="n">
        <x:v>12</x:v>
      </x:c>
      <x:c r="U5" s="22" t="str">
        <x:v>SME specialization</x:v>
      </x:c>
      <x:c r="V5" s="22" t="str">
        <x:v>No</x:v>
      </x:c>
      <x:c r="W5" s="22" t="str">
        <x:v>No</x:v>
      </x:c>
      <x:c r="X5" s="34" t="str">
        <x:v>Server-authoritative config; effects subject to stacking and hard caps.</x:v>
      </x:c>
    </x:row>
    <x:row r="6">
      <x:c r="A6" s="33" t="str">
        <x:v>mod_retail_investor_campaign</x:v>
      </x:c>
      <x:c r="B6" s="22" t="str">
        <x:v>Retail Investor Campaign</x:v>
      </x:c>
      <x:c r="C6" s="22" t="str">
        <x:v>Uncommon</x:v>
      </x:c>
      <x:c r="D6" s="22" t="str">
        <x:v>Customer</x:v>
      </x:c>
      <x:c r="E6" s="22" t="str">
        <x:v>Brokerage, Trading, Advisory</x:v>
      </x:c>
      <x:c r="F6" s="22" t="str">
        <x:v>+8% Retail Investor acquisition</x:v>
      </x:c>
      <x:c r="G6" s="22" t="str">
        <x:v>+2 Reputation Risk if Service &lt;60</x:v>
      </x:c>
      <x:c r="H6" s="22" t="str">
        <x:v>Service Quality &gt;=60</x:v>
      </x:c>
      <x:c r="I6" s="22" t="str">
        <x:v>customer</x:v>
      </x:c>
      <x:c r="J6" s="22" t="str">
        <x:v>Starter</x:v>
      </x:c>
      <x:c r="K6" s="22" t="str">
        <x:v>Mastery II — choose from compatible family pool</x:v>
      </x:c>
      <x:c r="L6" s="22" t="str">
        <x:v>Standard</x:v>
      </x:c>
      <x:c r="M6" s="22" t="str">
        <x:v>Bull Market</x:v>
      </x:c>
      <x:c r="N6" s="22" t="str">
        <x:v>Basic / Advanced Earned Pack</x:v>
      </x:c>
      <x:c r="O6" s="22" t="str">
        <x:v>Yes</x:v>
      </x:c>
      <x:c r="P6" s="22" t="str">
        <x:v>Uncommon Parts</x:v>
      </x:c>
      <x:c r="Q6" s="79" t="n">
        <x:v>60</x:v>
      </x:c>
      <x:c r="R6" s="79" t="n">
        <x:v>15</x:v>
      </x:c>
      <x:c r="S6" s="79" t="str">
        <x:v>15 min</x:v>
      </x:c>
      <x:c r="T6" s="79" t="n">
        <x:v>12</x:v>
      </x:c>
      <x:c r="U6" s="22" t="str">
        <x:v>Retail growth</x:v>
      </x:c>
      <x:c r="V6" s="22" t="str">
        <x:v>No</x:v>
      </x:c>
      <x:c r="W6" s="22" t="str">
        <x:v>No</x:v>
      </x:c>
      <x:c r="X6" s="34" t="str">
        <x:v>Server-authoritative config; effects subject to stacking and hard caps.</x:v>
      </x:c>
    </x:row>
    <x:row r="7">
      <x:c r="A7" s="33" t="str">
        <x:v>mod_claims_automation</x:v>
      </x:c>
      <x:c r="B7" s="22" t="str">
        <x:v>Claims Automation</x:v>
      </x:c>
      <x:c r="C7" s="22" t="str">
        <x:v>Uncommon</x:v>
      </x:c>
      <x:c r="D7" s="22" t="str">
        <x:v>Service</x:v>
      </x:c>
      <x:c r="E7" s="22" t="str">
        <x:v>Insurance</x:v>
      </x:c>
      <x:c r="F7" s="22" t="str">
        <x:v>+5 Service Quality</x:v>
      </x:c>
      <x:c r="G7" s="22" t="str">
        <x:v>-3 Operational Risk</x:v>
      </x:c>
      <x:c r="H7" s="22" t="str"/>
      <x:c r="I7" s="22" t="str">
        <x:v>service</x:v>
      </x:c>
      <x:c r="J7" s="22" t="str">
        <x:v>Starter</x:v>
      </x:c>
      <x:c r="K7" s="22" t="str">
        <x:v>Mastery II — choose from compatible family pool</x:v>
      </x:c>
      <x:c r="L7" s="22" t="str">
        <x:v>Standard</x:v>
      </x:c>
      <x:c r="M7" s="22" t="str">
        <x:v>Regulatory Approval</x:v>
      </x:c>
      <x:c r="N7" s="22" t="str">
        <x:v>Basic / Advanced Earned Pack</x:v>
      </x:c>
      <x:c r="O7" s="22" t="str">
        <x:v>Yes</x:v>
      </x:c>
      <x:c r="P7" s="22" t="str">
        <x:v>Uncommon Parts</x:v>
      </x:c>
      <x:c r="Q7" s="79" t="n">
        <x:v>60</x:v>
      </x:c>
      <x:c r="R7" s="79" t="n">
        <x:v>15</x:v>
      </x:c>
      <x:c r="S7" s="79" t="str">
        <x:v>15 min</x:v>
      </x:c>
      <x:c r="T7" s="79" t="n">
        <x:v>12</x:v>
      </x:c>
      <x:c r="U7" s="22" t="str">
        <x:v>Insurance automation</x:v>
      </x:c>
      <x:c r="V7" s="22" t="str">
        <x:v>No</x:v>
      </x:c>
      <x:c r="W7" s="22" t="str">
        <x:v>No</x:v>
      </x:c>
      <x:c r="X7" s="34" t="str">
        <x:v>Server-authoritative config; effects subject to stacking and hard caps.</x:v>
      </x:c>
    </x:row>
    <x:row r="8">
      <x:c r="A8" s="33" t="str">
        <x:v>mod_smart_order_routing</x:v>
      </x:c>
      <x:c r="B8" s="22" t="str">
        <x:v>Smart Order Routing</x:v>
      </x:c>
      <x:c r="C8" s="22" t="str">
        <x:v>Uncommon</x:v>
      </x:c>
      <x:c r="D8" s="22" t="str">
        <x:v>Market</x:v>
      </x:c>
      <x:c r="E8" s="22" t="str">
        <x:v>Trading, Brokerage, Exchange, Market Making</x:v>
      </x:c>
      <x:c r="F8" s="22" t="str">
        <x:v>+7% capacity</x:v>
      </x:c>
      <x:c r="G8" s="22" t="str">
        <x:v>+2% activity efficiency</x:v>
      </x:c>
      <x:c r="H8" s="22" t="str"/>
      <x:c r="I8" s="22" t="str">
        <x:v>market</x:v>
      </x:c>
      <x:c r="J8" s="22" t="str">
        <x:v>Starter</x:v>
      </x:c>
      <x:c r="K8" s="22" t="str">
        <x:v>Mastery II — choose from compatible family pool</x:v>
      </x:c>
      <x:c r="L8" s="22" t="str">
        <x:v>Standard</x:v>
      </x:c>
      <x:c r="M8" s="22" t="str">
        <x:v>Volatility Spike</x:v>
      </x:c>
      <x:c r="N8" s="22" t="str">
        <x:v>Basic / Advanced Earned Pack</x:v>
      </x:c>
      <x:c r="O8" s="22" t="str">
        <x:v>Yes</x:v>
      </x:c>
      <x:c r="P8" s="22" t="str">
        <x:v>Uncommon Parts</x:v>
      </x:c>
      <x:c r="Q8" s="79" t="n">
        <x:v>60</x:v>
      </x:c>
      <x:c r="R8" s="79" t="n">
        <x:v>15</x:v>
      </x:c>
      <x:c r="S8" s="79" t="str">
        <x:v>15 min</x:v>
      </x:c>
      <x:c r="T8" s="79" t="n">
        <x:v>12</x:v>
      </x:c>
      <x:c r="U8" s="22" t="str">
        <x:v>Execution</x:v>
      </x:c>
      <x:c r="V8" s="22" t="str">
        <x:v>No</x:v>
      </x:c>
      <x:c r="W8" s="22" t="str">
        <x:v>No</x:v>
      </x:c>
      <x:c r="X8" s="34" t="str">
        <x:v>Server-authoritative config; effects subject to stacking and hard caps.</x:v>
      </x:c>
    </x:row>
    <x:row r="9">
      <x:c r="A9" s="33" t="str">
        <x:v>mod_conservative_underwriting</x:v>
      </x:c>
      <x:c r="B9" s="22" t="str">
        <x:v>Conservative Underwriting</x:v>
      </x:c>
      <x:c r="C9" s="22" t="str">
        <x:v>Uncommon</x:v>
      </x:c>
      <x:c r="D9" s="22" t="str">
        <x:v>Credit</x:v>
      </x:c>
      <x:c r="E9" s="22" t="str">
        <x:v>Lending, Banking</x:v>
      </x:c>
      <x:c r="F9" s="22" t="str">
        <x:v>-6 Credit Risk</x:v>
      </x:c>
      <x:c r="G9" s="22" t="str">
        <x:v>-5% activity efficiency</x:v>
      </x:c>
      <x:c r="H9" s="22" t="str"/>
      <x:c r="I9" s="22" t="str">
        <x:v>credit</x:v>
      </x:c>
      <x:c r="J9" s="22" t="str">
        <x:v>Starter</x:v>
      </x:c>
      <x:c r="K9" s="22" t="str">
        <x:v>Mastery II — choose from compatible family pool</x:v>
      </x:c>
      <x:c r="L9" s="22" t="str">
        <x:v>Standard</x:v>
      </x:c>
      <x:c r="M9" s="22" t="str">
        <x:v>Credit Boom</x:v>
      </x:c>
      <x:c r="N9" s="22" t="str">
        <x:v>Basic / Advanced Earned Pack</x:v>
      </x:c>
      <x:c r="O9" s="22" t="str">
        <x:v>Yes</x:v>
      </x:c>
      <x:c r="P9" s="22" t="str">
        <x:v>Uncommon Parts</x:v>
      </x:c>
      <x:c r="Q9" s="79" t="n">
        <x:v>60</x:v>
      </x:c>
      <x:c r="R9" s="79" t="n">
        <x:v>15</x:v>
      </x:c>
      <x:c r="S9" s="79" t="str">
        <x:v>15 min</x:v>
      </x:c>
      <x:c r="T9" s="79" t="n">
        <x:v>12</x:v>
      </x:c>
      <x:c r="U9" s="22" t="str">
        <x:v>Defensive lending</x:v>
      </x:c>
      <x:c r="V9" s="22" t="str">
        <x:v>No</x:v>
      </x:c>
      <x:c r="W9" s="22" t="str">
        <x:v>No</x:v>
      </x:c>
      <x:c r="X9" s="34" t="str">
        <x:v>Server-authoritative config; effects subject to stacking and hard caps.</x:v>
      </x:c>
    </x:row>
    <x:row r="10">
      <x:c r="A10" s="33" t="str">
        <x:v>mod_concierge_desk</x:v>
      </x:c>
      <x:c r="B10" s="22" t="str">
        <x:v>Concierge Desk</x:v>
      </x:c>
      <x:c r="C10" s="22" t="str">
        <x:v>Uncommon</x:v>
      </x:c>
      <x:c r="D10" s="22" t="str">
        <x:v>Wealth</x:v>
      </x:c>
      <x:c r="E10" s="22" t="str">
        <x:v>Wealth, Private Banking, Advisory</x:v>
      </x:c>
      <x:c r="F10" s="22" t="str">
        <x:v>+8% HNW acquisition</x:v>
      </x:c>
      <x:c r="G10" s="22" t="str">
        <x:v>-4% General Consumer acquisition</x:v>
      </x:c>
      <x:c r="H10" s="22" t="str"/>
      <x:c r="I10" s="22" t="str">
        <x:v>wealth</x:v>
      </x:c>
      <x:c r="J10" s="22" t="str">
        <x:v>Starter</x:v>
      </x:c>
      <x:c r="K10" s="22" t="str">
        <x:v>Mastery II — choose from compatible family pool</x:v>
      </x:c>
      <x:c r="L10" s="22" t="str">
        <x:v>Standard</x:v>
      </x:c>
      <x:c r="M10" s="22" t="str">
        <x:v>Dividend Week</x:v>
      </x:c>
      <x:c r="N10" s="22" t="str">
        <x:v>Basic / Advanced Earned Pack</x:v>
      </x:c>
      <x:c r="O10" s="22" t="str">
        <x:v>Yes</x:v>
      </x:c>
      <x:c r="P10" s="22" t="str">
        <x:v>Uncommon Parts</x:v>
      </x:c>
      <x:c r="Q10" s="79" t="n">
        <x:v>60</x:v>
      </x:c>
      <x:c r="R10" s="79" t="n">
        <x:v>15</x:v>
      </x:c>
      <x:c r="S10" s="79" t="str">
        <x:v>15 min</x:v>
      </x:c>
      <x:c r="T10" s="79" t="n">
        <x:v>12</x:v>
      </x:c>
      <x:c r="U10" s="22" t="str">
        <x:v>HNW acquisition</x:v>
      </x:c>
      <x:c r="V10" s="22" t="str">
        <x:v>No</x:v>
      </x:c>
      <x:c r="W10" s="22" t="str">
        <x:v>No</x:v>
      </x:c>
      <x:c r="X10" s="34" t="str">
        <x:v>Server-authoritative config; effects subject to stacking and hard caps.</x:v>
      </x:c>
    </x:row>
    <x:row r="11">
      <x:c r="A11" s="33" t="str">
        <x:v>mod_liquidity_dashboard</x:v>
      </x:c>
      <x:c r="B11" s="22" t="str">
        <x:v>Liquidity Dashboard</x:v>
      </x:c>
      <x:c r="C11" s="22" t="str">
        <x:v>Uncommon</x:v>
      </x:c>
      <x:c r="D11" s="22" t="str">
        <x:v>Liquidity</x:v>
      </x:c>
      <x:c r="E11" s="22" t="str">
        <x:v>Banking, Treasury, FX, Market Making, Exchange</x:v>
      </x:c>
      <x:c r="F11" s="22" t="str">
        <x:v>-6 Liquidity Risk</x:v>
      </x:c>
      <x:c r="G11" s="22" t="str">
        <x:v>-2% operating cost efficiency</x:v>
      </x:c>
      <x:c r="H11" s="22" t="str"/>
      <x:c r="I11" s="22" t="str">
        <x:v>liquidity</x:v>
      </x:c>
      <x:c r="J11" s="22" t="str">
        <x:v>Starter</x:v>
      </x:c>
      <x:c r="K11" s="22" t="str">
        <x:v>Mastery II — choose from compatible family pool</x:v>
      </x:c>
      <x:c r="L11" s="22" t="str">
        <x:v>Standard</x:v>
      </x:c>
      <x:c r="M11" s="22" t="str">
        <x:v>Liquidity Crunch</x:v>
      </x:c>
      <x:c r="N11" s="22" t="str">
        <x:v>Basic / Advanced Earned Pack</x:v>
      </x:c>
      <x:c r="O11" s="22" t="str">
        <x:v>Yes</x:v>
      </x:c>
      <x:c r="P11" s="22" t="str">
        <x:v>Uncommon Parts</x:v>
      </x:c>
      <x:c r="Q11" s="79" t="n">
        <x:v>60</x:v>
      </x:c>
      <x:c r="R11" s="79" t="n">
        <x:v>15</x:v>
      </x:c>
      <x:c r="S11" s="79" t="str">
        <x:v>15 min</x:v>
      </x:c>
      <x:c r="T11" s="79" t="n">
        <x:v>12</x:v>
      </x:c>
      <x:c r="U11" s="22" t="str">
        <x:v>Liquidity control</x:v>
      </x:c>
      <x:c r="V11" s="22" t="str">
        <x:v>No</x:v>
      </x:c>
      <x:c r="W11" s="22" t="str">
        <x:v>No</x:v>
      </x:c>
      <x:c r="X11" s="34" t="str">
        <x:v>Server-authoritative config; effects subject to stacking and hard caps.</x:v>
      </x:c>
    </x:row>
    <x:row r="12">
      <x:c r="A12" s="33" t="str">
        <x:v>mod_client_segmentation</x:v>
      </x:c>
      <x:c r="B12" s="22" t="str">
        <x:v>Client Segmentation</x:v>
      </x:c>
      <x:c r="C12" s="22" t="str">
        <x:v>Uncommon</x:v>
      </x:c>
      <x:c r="D12" s="22" t="str">
        <x:v>Customer</x:v>
      </x:c>
      <x:c r="E12" s="22" t="str">
        <x:v>Banking, Brokerage, Insurance, Advisory</x:v>
      </x:c>
      <x:c r="F12" s="22" t="str">
        <x:v>+6% acquisition</x:v>
      </x:c>
      <x:c r="G12" s="22" t="str">
        <x:v>+4% retention</x:v>
      </x:c>
      <x:c r="H12" s="22" t="str">
        <x:v>Targeting overhead: -2% capacity</x:v>
      </x:c>
      <x:c r="I12" s="22" t="str">
        <x:v>customer</x:v>
      </x:c>
      <x:c r="J12" s="22" t="str">
        <x:v>Starter</x:v>
      </x:c>
      <x:c r="K12" s="22" t="str">
        <x:v>Mastery II — choose from compatible family pool</x:v>
      </x:c>
      <x:c r="L12" s="22" t="str">
        <x:v>Standard</x:v>
      </x:c>
      <x:c r="M12" s="22" t="str">
        <x:v>Earnings Season</x:v>
      </x:c>
      <x:c r="N12" s="22" t="str">
        <x:v>Basic / Advanced Earned Pack</x:v>
      </x:c>
      <x:c r="O12" s="22" t="str">
        <x:v>Yes</x:v>
      </x:c>
      <x:c r="P12" s="22" t="str">
        <x:v>Uncommon Parts</x:v>
      </x:c>
      <x:c r="Q12" s="79" t="n">
        <x:v>60</x:v>
      </x:c>
      <x:c r="R12" s="79" t="n">
        <x:v>15</x:v>
      </x:c>
      <x:c r="S12" s="79" t="str">
        <x:v>15 min</x:v>
      </x:c>
      <x:c r="T12" s="79" t="n">
        <x:v>12</x:v>
      </x:c>
      <x:c r="U12" s="22" t="str">
        <x:v>Segmentation</x:v>
      </x:c>
      <x:c r="V12" s="22" t="str">
        <x:v>No</x:v>
      </x:c>
      <x:c r="W12" s="22" t="str">
        <x:v>No</x:v>
      </x:c>
      <x:c r="X12" s="34" t="str">
        <x:v>Server-authoritative config; effects subject to stacking and hard caps.</x:v>
      </x:c>
    </x:row>
    <x:row r="13">
      <x:c r="A13" s="33" t="str">
        <x:v>mod_fee_optimization</x:v>
      </x:c>
      <x:c r="B13" s="22" t="str">
        <x:v>Fee Optimization</x:v>
      </x:c>
      <x:c r="C13" s="22" t="str">
        <x:v>Uncommon</x:v>
      </x:c>
      <x:c r="D13" s="22" t="str">
        <x:v>Operations</x:v>
      </x:c>
      <x:c r="E13" s="22" t="str">
        <x:v>All</x:v>
      </x:c>
      <x:c r="F13" s="22" t="str">
        <x:v>-7% operating cost</x:v>
      </x:c>
      <x:c r="G13" s="22" t="str">
        <x:v>-3% customer acquisition</x:v>
      </x:c>
      <x:c r="H13" s="22" t="str"/>
      <x:c r="I13" s="22" t="str">
        <x:v>operations</x:v>
      </x:c>
      <x:c r="J13" s="22" t="str">
        <x:v>Starter</x:v>
      </x:c>
      <x:c r="K13" s="22" t="str">
        <x:v>Mastery II — choose from compatible family pool</x:v>
      </x:c>
      <x:c r="L13" s="22" t="str">
        <x:v>Standard</x:v>
      </x:c>
      <x:c r="M13" s="22" t="str">
        <x:v>Rate Hike</x:v>
      </x:c>
      <x:c r="N13" s="22" t="str">
        <x:v>Basic / Advanced Earned Pack</x:v>
      </x:c>
      <x:c r="O13" s="22" t="str">
        <x:v>Yes</x:v>
      </x:c>
      <x:c r="P13" s="22" t="str">
        <x:v>Uncommon Parts</x:v>
      </x:c>
      <x:c r="Q13" s="79" t="n">
        <x:v>60</x:v>
      </x:c>
      <x:c r="R13" s="79" t="n">
        <x:v>15</x:v>
      </x:c>
      <x:c r="S13" s="79" t="str">
        <x:v>15 min</x:v>
      </x:c>
      <x:c r="T13" s="79" t="n">
        <x:v>12</x:v>
      </x:c>
      <x:c r="U13" s="22" t="str">
        <x:v>Cost vs growth</x:v>
      </x:c>
      <x:c r="V13" s="22" t="str">
        <x:v>No</x:v>
      </x:c>
      <x:c r="W13" s="22" t="str">
        <x:v>No</x:v>
      </x:c>
      <x:c r="X13" s="34" t="str">
        <x:v>Server-authoritative config; effects subject to stacking and hard caps.</x:v>
      </x:c>
    </x:row>
    <x:row r="14">
      <x:c r="A14" s="33" t="str">
        <x:v>mod_branch_workflow</x:v>
      </x:c>
      <x:c r="B14" s="22" t="str">
        <x:v>Branch Workflow</x:v>
      </x:c>
      <x:c r="C14" s="22" t="str">
        <x:v>Uncommon</x:v>
      </x:c>
      <x:c r="D14" s="22" t="str">
        <x:v>Operations</x:v>
      </x:c>
      <x:c r="E14" s="22" t="str">
        <x:v>Banking, Lending, Insurance</x:v>
      </x:c>
      <x:c r="F14" s="22" t="str">
        <x:v>+7% capacity</x:v>
      </x:c>
      <x:c r="G14" s="22" t="str">
        <x:v>+2 Service Quality</x:v>
      </x:c>
      <x:c r="H14" s="22" t="str"/>
      <x:c r="I14" s="22" t="str">
        <x:v>operations</x:v>
      </x:c>
      <x:c r="J14" s="22" t="str">
        <x:v>Starter</x:v>
      </x:c>
      <x:c r="K14" s="22" t="str">
        <x:v>Mastery II — choose from compatible family pool</x:v>
      </x:c>
      <x:c r="L14" s="22" t="str">
        <x:v>Standard</x:v>
      </x:c>
      <x:c r="M14" s="22" t="str">
        <x:v>Generic Module reward pool</x:v>
      </x:c>
      <x:c r="N14" s="22" t="str">
        <x:v>Basic / Advanced Earned Pack</x:v>
      </x:c>
      <x:c r="O14" s="22" t="str">
        <x:v>Yes</x:v>
      </x:c>
      <x:c r="P14" s="22" t="str">
        <x:v>Uncommon Parts</x:v>
      </x:c>
      <x:c r="Q14" s="79" t="n">
        <x:v>60</x:v>
      </x:c>
      <x:c r="R14" s="79" t="n">
        <x:v>15</x:v>
      </x:c>
      <x:c r="S14" s="79" t="str">
        <x:v>15 min</x:v>
      </x:c>
      <x:c r="T14" s="79" t="n">
        <x:v>12</x:v>
      </x:c>
      <x:c r="U14" s="22" t="str">
        <x:v>Branch efficiency</x:v>
      </x:c>
      <x:c r="V14" s="22" t="str">
        <x:v>No</x:v>
      </x:c>
      <x:c r="W14" s="22" t="str">
        <x:v>No</x:v>
      </x:c>
      <x:c r="X14" s="34" t="str">
        <x:v>Server-authoritative config; effects subject to stacking and hard caps.</x:v>
      </x:c>
    </x:row>
    <x:row r="15">
      <x:c r="A15" s="33" t="str">
        <x:v>mod_cross_sell_playbook</x:v>
      </x:c>
      <x:c r="B15" s="22" t="str">
        <x:v>Cross-Sell Playbook</x:v>
      </x:c>
      <x:c r="C15" s="22" t="str">
        <x:v>Uncommon</x:v>
      </x:c>
      <x:c r="D15" s="22" t="str">
        <x:v>Customer</x:v>
      </x:c>
      <x:c r="E15" s="22" t="str">
        <x:v>Banking, Wealth, Advisory, Insurance</x:v>
      </x:c>
      <x:c r="F15" s="22" t="str">
        <x:v>+6% retention</x:v>
      </x:c>
      <x:c r="G15" s="22" t="str">
        <x:v>+5% activity efficiency</x:v>
      </x:c>
      <x:c r="H15" s="22" t="str">
        <x:v>+2 Reputation Risk if Service &lt;65</x:v>
      </x:c>
      <x:c r="I15" s="22" t="str">
        <x:v>customer</x:v>
      </x:c>
      <x:c r="J15" s="22" t="str">
        <x:v>Starter</x:v>
      </x:c>
      <x:c r="K15" s="22" t="str">
        <x:v>Mastery II — choose from compatible family pool</x:v>
      </x:c>
      <x:c r="L15" s="22" t="str">
        <x:v>Standard</x:v>
      </x:c>
      <x:c r="M15" s="22" t="str">
        <x:v>Earnings Season</x:v>
      </x:c>
      <x:c r="N15" s="22" t="str">
        <x:v>Basic / Advanced Earned Pack</x:v>
      </x:c>
      <x:c r="O15" s="22" t="str">
        <x:v>Yes</x:v>
      </x:c>
      <x:c r="P15" s="22" t="str">
        <x:v>Uncommon Parts</x:v>
      </x:c>
      <x:c r="Q15" s="79" t="n">
        <x:v>60</x:v>
      </x:c>
      <x:c r="R15" s="79" t="n">
        <x:v>15</x:v>
      </x:c>
      <x:c r="S15" s="79" t="str">
        <x:v>15 min</x:v>
      </x:c>
      <x:c r="T15" s="79" t="n">
        <x:v>12</x:v>
      </x:c>
      <x:c r="U15" s="22" t="str">
        <x:v>Cross-sell</x:v>
      </x:c>
      <x:c r="V15" s="22" t="str">
        <x:v>No</x:v>
      </x:c>
      <x:c r="W15" s="22" t="str">
        <x:v>No</x:v>
      </x:c>
      <x:c r="X15" s="34" t="str">
        <x:v>Server-authoritative config; effects subject to stacking and hard caps.</x:v>
      </x:c>
    </x:row>
    <x:row r="16">
      <x:c r="A16" s="33" t="str">
        <x:v>mod_research_terminal</x:v>
      </x:c>
      <x:c r="B16" s="22" t="str">
        <x:v>Research Terminal</x:v>
      </x:c>
      <x:c r="C16" s="22" t="str">
        <x:v>Uncommon</x:v>
      </x:c>
      <x:c r="D16" s="22" t="str">
        <x:v>Research</x:v>
      </x:c>
      <x:c r="E16" s="22" t="str">
        <x:v>Research, Brokerage, Asset Management, Advisory</x:v>
      </x:c>
      <x:c r="F16" s="22" t="str">
        <x:v>+6% activity efficiency</x:v>
      </x:c>
      <x:c r="G16" s="22" t="str">
        <x:v>+3 Service Quality</x:v>
      </x:c>
      <x:c r="H16" s="22" t="str"/>
      <x:c r="I16" s="22" t="str">
        <x:v>research</x:v>
      </x:c>
      <x:c r="J16" s="22" t="str">
        <x:v>Starter</x:v>
      </x:c>
      <x:c r="K16" s="22" t="str">
        <x:v>Mastery II — choose from compatible family pool</x:v>
      </x:c>
      <x:c r="L16" s="22" t="str">
        <x:v>Standard</x:v>
      </x:c>
      <x:c r="M16" s="22" t="str">
        <x:v>Tech Rally</x:v>
      </x:c>
      <x:c r="N16" s="22" t="str">
        <x:v>Basic / Advanced Earned Pack</x:v>
      </x:c>
      <x:c r="O16" s="22" t="str">
        <x:v>Yes</x:v>
      </x:c>
      <x:c r="P16" s="22" t="str">
        <x:v>Uncommon Parts</x:v>
      </x:c>
      <x:c r="Q16" s="79" t="n">
        <x:v>60</x:v>
      </x:c>
      <x:c r="R16" s="79" t="n">
        <x:v>15</x:v>
      </x:c>
      <x:c r="S16" s="79" t="str">
        <x:v>15 min</x:v>
      </x:c>
      <x:c r="T16" s="79" t="n">
        <x:v>12</x:v>
      </x:c>
      <x:c r="U16" s="22" t="str">
        <x:v>Research</x:v>
      </x:c>
      <x:c r="V16" s="22" t="str">
        <x:v>No</x:v>
      </x:c>
      <x:c r="W16" s="22" t="str">
        <x:v>No</x:v>
      </x:c>
      <x:c r="X16" s="34" t="str">
        <x:v>Server-authoritative config; effects subject to stacking and hard caps.</x:v>
      </x:c>
    </x:row>
    <x:row r="17">
      <x:c r="A17" s="33" t="str">
        <x:v>mod_risk_alerting</x:v>
      </x:c>
      <x:c r="B17" s="22" t="str">
        <x:v>Risk Alerting</x:v>
      </x:c>
      <x:c r="C17" s="22" t="str">
        <x:v>Uncommon</x:v>
      </x:c>
      <x:c r="D17" s="22" t="str">
        <x:v>Risk</x:v>
      </x:c>
      <x:c r="E17" s="22" t="str">
        <x:v>All</x:v>
      </x:c>
      <x:c r="F17" s="22" t="str">
        <x:v>-5 Operational Risk</x:v>
      </x:c>
      <x:c r="G17" s="22" t="str">
        <x:v>-3 Market Risk</x:v>
      </x:c>
      <x:c r="H17" s="22" t="str">
        <x:v>Composite Risk &lt;=70</x:v>
      </x:c>
      <x:c r="I17" s="22" t="str">
        <x:v>risk</x:v>
      </x:c>
      <x:c r="J17" s="22" t="str">
        <x:v>Starter</x:v>
      </x:c>
      <x:c r="K17" s="22" t="str">
        <x:v>Mastery II — choose from compatible family pool</x:v>
      </x:c>
      <x:c r="L17" s="22" t="str">
        <x:v>Standard</x:v>
      </x:c>
      <x:c r="M17" s="22" t="str">
        <x:v>Market Correction</x:v>
      </x:c>
      <x:c r="N17" s="22" t="str">
        <x:v>Basic / Advanced Earned Pack</x:v>
      </x:c>
      <x:c r="O17" s="22" t="str">
        <x:v>Yes</x:v>
      </x:c>
      <x:c r="P17" s="22" t="str">
        <x:v>Uncommon Parts</x:v>
      </x:c>
      <x:c r="Q17" s="79" t="n">
        <x:v>60</x:v>
      </x:c>
      <x:c r="R17" s="79" t="n">
        <x:v>15</x:v>
      </x:c>
      <x:c r="S17" s="79" t="str">
        <x:v>15 min</x:v>
      </x:c>
      <x:c r="T17" s="79" t="n">
        <x:v>12</x:v>
      </x:c>
      <x:c r="U17" s="22" t="str">
        <x:v>Risk monitoring</x:v>
      </x:c>
      <x:c r="V17" s="22" t="str">
        <x:v>No</x:v>
      </x:c>
      <x:c r="W17" s="22" t="str">
        <x:v>No</x:v>
      </x:c>
      <x:c r="X17" s="34" t="str">
        <x:v>Server-authoritative config; effects subject to stacking and hard caps.</x:v>
      </x:c>
    </x:row>
    <x:row r="18">
      <x:c r="A18" s="33" t="str">
        <x:v>mod_treasury_sweep</x:v>
      </x:c>
      <x:c r="B18" s="22" t="str">
        <x:v>Treasury Sweep</x:v>
      </x:c>
      <x:c r="C18" s="22" t="str">
        <x:v>Uncommon</x:v>
      </x:c>
      <x:c r="D18" s="22" t="str">
        <x:v>Liquidity</x:v>
      </x:c>
      <x:c r="E18" s="22" t="str">
        <x:v>Treasury, Banking</x:v>
      </x:c>
      <x:c r="F18" s="22" t="str">
        <x:v>-6 Liquidity Risk</x:v>
      </x:c>
      <x:c r="G18" s="22" t="str">
        <x:v>+4% capacity</x:v>
      </x:c>
      <x:c r="H18" s="22" t="str">
        <x:v>Reserve Ratio &gt;=10%</x:v>
      </x:c>
      <x:c r="I18" s="22" t="str">
        <x:v>liquidity</x:v>
      </x:c>
      <x:c r="J18" s="22" t="str">
        <x:v>Starter</x:v>
      </x:c>
      <x:c r="K18" s="22" t="str">
        <x:v>Mastery II — choose from compatible family pool</x:v>
      </x:c>
      <x:c r="L18" s="22" t="str">
        <x:v>Standard</x:v>
      </x:c>
      <x:c r="M18" s="22" t="str">
        <x:v>Liquidity Crunch</x:v>
      </x:c>
      <x:c r="N18" s="22" t="str">
        <x:v>Basic / Advanced Earned Pack</x:v>
      </x:c>
      <x:c r="O18" s="22" t="str">
        <x:v>Yes</x:v>
      </x:c>
      <x:c r="P18" s="22" t="str">
        <x:v>Uncommon Parts</x:v>
      </x:c>
      <x:c r="Q18" s="79" t="n">
        <x:v>60</x:v>
      </x:c>
      <x:c r="R18" s="79" t="n">
        <x:v>15</x:v>
      </x:c>
      <x:c r="S18" s="79" t="str">
        <x:v>15 min</x:v>
      </x:c>
      <x:c r="T18" s="79" t="n">
        <x:v>12</x:v>
      </x:c>
      <x:c r="U18" s="22" t="str">
        <x:v>Treasury efficiency</x:v>
      </x:c>
      <x:c r="V18" s="22" t="str">
        <x:v>No</x:v>
      </x:c>
      <x:c r="W18" s="22" t="str">
        <x:v>No</x:v>
      </x:c>
      <x:c r="X18" s="34" t="str">
        <x:v>Server-authoritative config; effects subject to stacking and hard caps.</x:v>
      </x:c>
    </x:row>
    <x:row r="19">
      <x:c r="A19" s="33" t="str">
        <x:v>mod_fx_netting</x:v>
      </x:c>
      <x:c r="B19" s="22" t="str">
        <x:v>FX Netting</x:v>
      </x:c>
      <x:c r="C19" s="22" t="str">
        <x:v>Uncommon</x:v>
      </x:c>
      <x:c r="D19" s="22" t="str">
        <x:v>Market</x:v>
      </x:c>
      <x:c r="E19" s="22" t="str">
        <x:v>FX, Treasury</x:v>
      </x:c>
      <x:c r="F19" s="22" t="str">
        <x:v>-5 Liquidity Risk</x:v>
      </x:c>
      <x:c r="G19" s="22" t="str">
        <x:v>+5% activity efficiency; +2 Market Risk</x:v>
      </x:c>
      <x:c r="H19" s="22" t="str"/>
      <x:c r="I19" s="22" t="str">
        <x:v>market</x:v>
      </x:c>
      <x:c r="J19" s="22" t="str">
        <x:v>Starter</x:v>
      </x:c>
      <x:c r="K19" s="22" t="str">
        <x:v>Mastery II — choose from compatible family pool</x:v>
      </x:c>
      <x:c r="L19" s="22" t="str">
        <x:v>Standard</x:v>
      </x:c>
      <x:c r="M19" s="22" t="str">
        <x:v>Volatility Spike</x:v>
      </x:c>
      <x:c r="N19" s="22" t="str">
        <x:v>Basic / Advanced Earned Pack</x:v>
      </x:c>
      <x:c r="O19" s="22" t="str">
        <x:v>Yes</x:v>
      </x:c>
      <x:c r="P19" s="22" t="str">
        <x:v>Uncommon Parts</x:v>
      </x:c>
      <x:c r="Q19" s="79" t="n">
        <x:v>60</x:v>
      </x:c>
      <x:c r="R19" s="79" t="n">
        <x:v>15</x:v>
      </x:c>
      <x:c r="S19" s="79" t="str">
        <x:v>15 min</x:v>
      </x:c>
      <x:c r="T19" s="79" t="n">
        <x:v>12</x:v>
      </x:c>
      <x:c r="U19" s="22" t="str">
        <x:v>FX optimization</x:v>
      </x:c>
      <x:c r="V19" s="22" t="str">
        <x:v>No</x:v>
      </x:c>
      <x:c r="W19" s="22" t="str">
        <x:v>No</x:v>
      </x:c>
      <x:c r="X19" s="34" t="str">
        <x:v>Server-authoritative config; effects subject to stacking and hard caps.</x:v>
      </x:c>
    </x:row>
    <x:row r="20">
      <x:c r="A20" s="33" t="str">
        <x:v>mod_digital_onboarding</x:v>
      </x:c>
      <x:c r="B20" s="22" t="str">
        <x:v>Digital Onboarding</x:v>
      </x:c>
      <x:c r="C20" s="22" t="str">
        <x:v>Uncommon</x:v>
      </x:c>
      <x:c r="D20" s="22" t="str">
        <x:v>Operations</x:v>
      </x:c>
      <x:c r="E20" s="22" t="str">
        <x:v>Fintech, Banking, Brokerage, Wealth</x:v>
      </x:c>
      <x:c r="F20" s="22" t="str">
        <x:v>+7% acquisition</x:v>
      </x:c>
      <x:c r="G20" s="22" t="str">
        <x:v>+4% capacity; +2 Operational Risk</x:v>
      </x:c>
      <x:c r="H20" s="22" t="str"/>
      <x:c r="I20" s="22" t="str">
        <x:v>operations</x:v>
      </x:c>
      <x:c r="J20" s="22" t="str">
        <x:v>Starter</x:v>
      </x:c>
      <x:c r="K20" s="22" t="str">
        <x:v>Mastery II — choose from compatible family pool</x:v>
      </x:c>
      <x:c r="L20" s="22" t="str">
        <x:v>Standard</x:v>
      </x:c>
      <x:c r="M20" s="22" t="str">
        <x:v>Tech Rally</x:v>
      </x:c>
      <x:c r="N20" s="22" t="str">
        <x:v>Basic / Advanced Earned Pack</x:v>
      </x:c>
      <x:c r="O20" s="22" t="str">
        <x:v>Yes</x:v>
      </x:c>
      <x:c r="P20" s="22" t="str">
        <x:v>Uncommon Parts</x:v>
      </x:c>
      <x:c r="Q20" s="79" t="n">
        <x:v>60</x:v>
      </x:c>
      <x:c r="R20" s="79" t="n">
        <x:v>15</x:v>
      </x:c>
      <x:c r="S20" s="79" t="str">
        <x:v>15 min</x:v>
      </x:c>
      <x:c r="T20" s="79" t="n">
        <x:v>12</x:v>
      </x:c>
      <x:c r="U20" s="22" t="str">
        <x:v>Digital growth</x:v>
      </x:c>
      <x:c r="V20" s="22" t="str">
        <x:v>No</x:v>
      </x:c>
      <x:c r="W20" s="22" t="str">
        <x:v>No</x:v>
      </x:c>
      <x:c r="X20" s="34" t="str">
        <x:v>Server-authoritative config; effects subject to stacking and hard caps.</x:v>
      </x:c>
    </x:row>
    <x:row r="21">
      <x:c r="A21" s="33" t="str">
        <x:v>mod_corporate_prospecting</x:v>
      </x:c>
      <x:c r="B21" s="22" t="str">
        <x:v>Corporate Prospecting</x:v>
      </x:c>
      <x:c r="C21" s="22" t="str">
        <x:v>Uncommon</x:v>
      </x:c>
      <x:c r="D21" s="22" t="str">
        <x:v>Institutional</x:v>
      </x:c>
      <x:c r="E21" s="22" t="str">
        <x:v>Investment Banking, Banking, Advisory</x:v>
      </x:c>
      <x:c r="F21" s="22" t="str">
        <x:v>+8% Corporate Client acquisition</x:v>
      </x:c>
      <x:c r="G21" s="22" t="str">
        <x:v>-4% General Consumer acquisition</x:v>
      </x:c>
      <x:c r="H21" s="22" t="str"/>
      <x:c r="I21" s="22" t="str">
        <x:v>institutional</x:v>
      </x:c>
      <x:c r="J21" s="22" t="str">
        <x:v>Starter</x:v>
      </x:c>
      <x:c r="K21" s="22" t="str">
        <x:v>Mastery II — choose from compatible family pool</x:v>
      </x:c>
      <x:c r="L21" s="22" t="str">
        <x:v>Standard</x:v>
      </x:c>
      <x:c r="M21" s="22" t="str">
        <x:v>M&amp;A Boom</x:v>
      </x:c>
      <x:c r="N21" s="22" t="str">
        <x:v>Basic / Advanced Earned Pack</x:v>
      </x:c>
      <x:c r="O21" s="22" t="str">
        <x:v>Yes</x:v>
      </x:c>
      <x:c r="P21" s="22" t="str">
        <x:v>Uncommon Parts</x:v>
      </x:c>
      <x:c r="Q21" s="79" t="n">
        <x:v>60</x:v>
      </x:c>
      <x:c r="R21" s="79" t="n">
        <x:v>15</x:v>
      </x:c>
      <x:c r="S21" s="79" t="str">
        <x:v>15 min</x:v>
      </x:c>
      <x:c r="T21" s="79" t="n">
        <x:v>12</x:v>
      </x:c>
      <x:c r="U21" s="22" t="str">
        <x:v>Corporate acquisition</x:v>
      </x:c>
      <x:c r="V21" s="22" t="str">
        <x:v>No</x:v>
      </x:c>
      <x:c r="W21" s="22" t="str">
        <x:v>No</x:v>
      </x:c>
      <x:c r="X21" s="34" t="str">
        <x:v>Server-authoritative config; effects subject to stacking and hard caps.</x:v>
      </x:c>
    </x:row>
    <x:row r="22">
      <x:c r="A22" s="33" t="str">
        <x:v>mod_portfolio_rebalancing</x:v>
      </x:c>
      <x:c r="B22" s="22" t="str">
        <x:v>Portfolio Rebalancing</x:v>
      </x:c>
      <x:c r="C22" s="22" t="str">
        <x:v>Uncommon</x:v>
      </x:c>
      <x:c r="D22" s="22" t="str">
        <x:v>Risk</x:v>
      </x:c>
      <x:c r="E22" s="22" t="str">
        <x:v>Asset Management, Wealth</x:v>
      </x:c>
      <x:c r="F22" s="22" t="str">
        <x:v>-5 Concentration Risk</x:v>
      </x:c>
      <x:c r="G22" s="22" t="str">
        <x:v>+4% activity efficiency</x:v>
      </x:c>
      <x:c r="H22" s="22" t="str"/>
      <x:c r="I22" s="22" t="str">
        <x:v>risk</x:v>
      </x:c>
      <x:c r="J22" s="22" t="str">
        <x:v>Starter</x:v>
      </x:c>
      <x:c r="K22" s="22" t="str">
        <x:v>Mastery II — choose from compatible family pool</x:v>
      </x:c>
      <x:c r="L22" s="22" t="str">
        <x:v>Standard</x:v>
      </x:c>
      <x:c r="M22" s="22" t="str">
        <x:v>Market Correction</x:v>
      </x:c>
      <x:c r="N22" s="22" t="str">
        <x:v>Basic / Advanced Earned Pack</x:v>
      </x:c>
      <x:c r="O22" s="22" t="str">
        <x:v>Yes</x:v>
      </x:c>
      <x:c r="P22" s="22" t="str">
        <x:v>Uncommon Parts</x:v>
      </x:c>
      <x:c r="Q22" s="79" t="n">
        <x:v>60</x:v>
      </x:c>
      <x:c r="R22" s="79" t="n">
        <x:v>15</x:v>
      </x:c>
      <x:c r="S22" s="79" t="str">
        <x:v>15 min</x:v>
      </x:c>
      <x:c r="T22" s="79" t="n">
        <x:v>12</x:v>
      </x:c>
      <x:c r="U22" s="22" t="str">
        <x:v>Portfolio balance</x:v>
      </x:c>
      <x:c r="V22" s="22" t="str">
        <x:v>No</x:v>
      </x:c>
      <x:c r="W22" s="22" t="str">
        <x:v>No</x:v>
      </x:c>
      <x:c r="X22" s="34" t="str">
        <x:v>Server-authoritative config; effects subject to stacking and hard caps.</x:v>
      </x:c>
    </x:row>
    <x:row r="23">
      <x:c r="A23" s="33" t="str">
        <x:v>mod_fraud_screening</x:v>
      </x:c>
      <x:c r="B23" s="22" t="str">
        <x:v>Fraud Screening</x:v>
      </x:c>
      <x:c r="C23" s="22" t="str">
        <x:v>Uncommon</x:v>
      </x:c>
      <x:c r="D23" s="22" t="str">
        <x:v>Risk</x:v>
      </x:c>
      <x:c r="E23" s="22" t="str">
        <x:v>Banking, Fintech, Brokerage, Insurance</x:v>
      </x:c>
      <x:c r="F23" s="22" t="str">
        <x:v>-6 Operational Risk</x:v>
      </x:c>
      <x:c r="G23" s="22" t="str">
        <x:v>-3% capacity</x:v>
      </x:c>
      <x:c r="H23" s="22" t="str"/>
      <x:c r="I23" s="22" t="str">
        <x:v>risk</x:v>
      </x:c>
      <x:c r="J23" s="22" t="str">
        <x:v>Starter</x:v>
      </x:c>
      <x:c r="K23" s="22" t="str">
        <x:v>Mastery II — choose from compatible family pool</x:v>
      </x:c>
      <x:c r="L23" s="22" t="str">
        <x:v>Standard</x:v>
      </x:c>
      <x:c r="M23" s="22" t="str">
        <x:v>Regulatory Approval</x:v>
      </x:c>
      <x:c r="N23" s="22" t="str">
        <x:v>Basic / Advanced Earned Pack</x:v>
      </x:c>
      <x:c r="O23" s="22" t="str">
        <x:v>Yes</x:v>
      </x:c>
      <x:c r="P23" s="22" t="str">
        <x:v>Uncommon Parts</x:v>
      </x:c>
      <x:c r="Q23" s="79" t="n">
        <x:v>60</x:v>
      </x:c>
      <x:c r="R23" s="79" t="n">
        <x:v>15</x:v>
      </x:c>
      <x:c r="S23" s="79" t="str">
        <x:v>15 min</x:v>
      </x:c>
      <x:c r="T23" s="79" t="n">
        <x:v>12</x:v>
      </x:c>
      <x:c r="U23" s="22" t="str">
        <x:v>Fraud prevention</x:v>
      </x:c>
      <x:c r="V23" s="22" t="str">
        <x:v>No</x:v>
      </x:c>
      <x:c r="W23" s="22" t="str">
        <x:v>No</x:v>
      </x:c>
      <x:c r="X23" s="34" t="str">
        <x:v>Server-authoritative config; effects subject to stacking and hard caps.</x:v>
      </x:c>
    </x:row>
    <x:row r="24">
      <x:c r="A24" s="33" t="str">
        <x:v>mod_uptime_monitoring</x:v>
      </x:c>
      <x:c r="B24" s="22" t="str">
        <x:v>Uptime Monitoring</x:v>
      </x:c>
      <x:c r="C24" s="22" t="str">
        <x:v>Uncommon</x:v>
      </x:c>
      <x:c r="D24" s="22" t="str">
        <x:v>Operations</x:v>
      </x:c>
      <x:c r="E24" s="22" t="str">
        <x:v>Fintech, Data, Exchange, Trading</x:v>
      </x:c>
      <x:c r="F24" s="22" t="str">
        <x:v>+6% capacity</x:v>
      </x:c>
      <x:c r="G24" s="22" t="str">
        <x:v>-4 Operational Risk</x:v>
      </x:c>
      <x:c r="H24" s="22" t="str"/>
      <x:c r="I24" s="22" t="str">
        <x:v>operations</x:v>
      </x:c>
      <x:c r="J24" s="22" t="str">
        <x:v>Starter</x:v>
      </x:c>
      <x:c r="K24" s="22" t="str">
        <x:v>Mastery II — choose from compatible family pool</x:v>
      </x:c>
      <x:c r="L24" s="22" t="str">
        <x:v>Standard</x:v>
      </x:c>
      <x:c r="M24" s="22" t="str">
        <x:v>Tech Rally</x:v>
      </x:c>
      <x:c r="N24" s="22" t="str">
        <x:v>Basic / Advanced Earned Pack</x:v>
      </x:c>
      <x:c r="O24" s="22" t="str">
        <x:v>Yes</x:v>
      </x:c>
      <x:c r="P24" s="22" t="str">
        <x:v>Uncommon Parts</x:v>
      </x:c>
      <x:c r="Q24" s="79" t="n">
        <x:v>60</x:v>
      </x:c>
      <x:c r="R24" s="79" t="n">
        <x:v>15</x:v>
      </x:c>
      <x:c r="S24" s="79" t="str">
        <x:v>15 min</x:v>
      </x:c>
      <x:c r="T24" s="79" t="n">
        <x:v>12</x:v>
      </x:c>
      <x:c r="U24" s="22" t="str">
        <x:v>Reliability</x:v>
      </x:c>
      <x:c r="V24" s="22" t="str">
        <x:v>No</x:v>
      </x:c>
      <x:c r="W24" s="22" t="str">
        <x:v>No</x:v>
      </x:c>
      <x:c r="X24" s="34" t="str">
        <x:v>Server-authoritative config; effects subject to stacking and hard caps.</x:v>
      </x:c>
    </x:row>
    <x:row r="25">
      <x:c r="A25" s="33" t="str">
        <x:v>mod_data_enrichment</x:v>
      </x:c>
      <x:c r="B25" s="22" t="str">
        <x:v>Data Enrichment</x:v>
      </x:c>
      <x:c r="C25" s="22" t="str">
        <x:v>Uncommon</x:v>
      </x:c>
      <x:c r="D25" s="22" t="str">
        <x:v>Research</x:v>
      </x:c>
      <x:c r="E25" s="22" t="str">
        <x:v>Data, Research, Fintech, Brokerage</x:v>
      </x:c>
      <x:c r="F25" s="22" t="str">
        <x:v>+5% activity efficiency</x:v>
      </x:c>
      <x:c r="G25" s="22" t="str">
        <x:v>+4 Service Quality</x:v>
      </x:c>
      <x:c r="H25" s="22" t="str"/>
      <x:c r="I25" s="22" t="str">
        <x:v>research</x:v>
      </x:c>
      <x:c r="J25" s="22" t="str">
        <x:v>Starter</x:v>
      </x:c>
      <x:c r="K25" s="22" t="str">
        <x:v>Mastery II — choose from compatible family pool</x:v>
      </x:c>
      <x:c r="L25" s="22" t="str">
        <x:v>Standard</x:v>
      </x:c>
      <x:c r="M25" s="22" t="str">
        <x:v>Tech Rally</x:v>
      </x:c>
      <x:c r="N25" s="22" t="str">
        <x:v>Basic / Advanced Earned Pack</x:v>
      </x:c>
      <x:c r="O25" s="22" t="str">
        <x:v>Yes</x:v>
      </x:c>
      <x:c r="P25" s="22" t="str">
        <x:v>Uncommon Parts</x:v>
      </x:c>
      <x:c r="Q25" s="79" t="n">
        <x:v>60</x:v>
      </x:c>
      <x:c r="R25" s="79" t="n">
        <x:v>15</x:v>
      </x:c>
      <x:c r="S25" s="79" t="str">
        <x:v>15 min</x:v>
      </x:c>
      <x:c r="T25" s="79" t="n">
        <x:v>12</x:v>
      </x:c>
      <x:c r="U25" s="22" t="str">
        <x:v>Data improvement</x:v>
      </x:c>
      <x:c r="V25" s="22" t="str">
        <x:v>No</x:v>
      </x:c>
      <x:c r="W25" s="22" t="str">
        <x:v>No</x:v>
      </x:c>
      <x:c r="X25" s="34" t="str">
        <x:v>Server-authoritative config; effects subject to stacking and hard caps.</x:v>
      </x:c>
    </x:row>
    <x:row r="26">
      <x:c r="A26" s="33" t="str">
        <x:v>mod_market_news_feed</x:v>
      </x:c>
      <x:c r="B26" s="22" t="str">
        <x:v>Market News Feed</x:v>
      </x:c>
      <x:c r="C26" s="22" t="str">
        <x:v>Uncommon</x:v>
      </x:c>
      <x:c r="D26" s="22" t="str">
        <x:v>Research</x:v>
      </x:c>
      <x:c r="E26" s="22" t="str">
        <x:v>Trading, Brokerage, Asset Management, Advisory</x:v>
      </x:c>
      <x:c r="F26" s="22" t="str">
        <x:v>+6% activity efficiency</x:v>
      </x:c>
      <x:c r="G26" s="22" t="str">
        <x:v>+2 Market Risk</x:v>
      </x:c>
      <x:c r="H26" s="22" t="str"/>
      <x:c r="I26" s="22" t="str">
        <x:v>research</x:v>
      </x:c>
      <x:c r="J26" s="22" t="str">
        <x:v>Starter</x:v>
      </x:c>
      <x:c r="K26" s="22" t="str">
        <x:v>Mastery II — choose from compatible family pool</x:v>
      </x:c>
      <x:c r="L26" s="22" t="str">
        <x:v>Standard</x:v>
      </x:c>
      <x:c r="M26" s="22" t="str">
        <x:v>Bull Market</x:v>
      </x:c>
      <x:c r="N26" s="22" t="str">
        <x:v>Basic / Advanced Earned Pack</x:v>
      </x:c>
      <x:c r="O26" s="22" t="str">
        <x:v>Yes</x:v>
      </x:c>
      <x:c r="P26" s="22" t="str">
        <x:v>Uncommon Parts</x:v>
      </x:c>
      <x:c r="Q26" s="79" t="n">
        <x:v>60</x:v>
      </x:c>
      <x:c r="R26" s="79" t="n">
        <x:v>15</x:v>
      </x:c>
      <x:c r="S26" s="79" t="str">
        <x:v>15 min</x:v>
      </x:c>
      <x:c r="T26" s="79" t="n">
        <x:v>12</x:v>
      </x:c>
      <x:c r="U26" s="22" t="str">
        <x:v>Market intel</x:v>
      </x:c>
      <x:c r="V26" s="22" t="str">
        <x:v>No</x:v>
      </x:c>
      <x:c r="W26" s="22" t="str">
        <x:v>No</x:v>
      </x:c>
      <x:c r="X26" s="34" t="str">
        <x:v>Server-authoritative config; effects subject to stacking and hard caps.</x:v>
      </x:c>
    </x:row>
    <x:row r="27">
      <x:c r="A27" s="33" t="str">
        <x:v>mod_service_recovery_desk</x:v>
      </x:c>
      <x:c r="B27" s="22" t="str">
        <x:v>Service Recovery Desk</x:v>
      </x:c>
      <x:c r="C27" s="22" t="str">
        <x:v>Uncommon</x:v>
      </x:c>
      <x:c r="D27" s="22" t="str">
        <x:v>Service</x:v>
      </x:c>
      <x:c r="E27" s="22" t="str">
        <x:v>All customer-facing</x:v>
      </x:c>
      <x:c r="F27" s="22" t="str">
        <x:v>+6% retention</x:v>
      </x:c>
      <x:c r="G27" s="22" t="str">
        <x:v>+4 Service Quality</x:v>
      </x:c>
      <x:c r="H27" s="22" t="str">
        <x:v>Utilization &lt;=95%</x:v>
      </x:c>
      <x:c r="I27" s="22" t="str">
        <x:v>service</x:v>
      </x:c>
      <x:c r="J27" s="22" t="str">
        <x:v>Starter</x:v>
      </x:c>
      <x:c r="K27" s="22" t="str">
        <x:v>Mastery II — choose from compatible family pool</x:v>
      </x:c>
      <x:c r="L27" s="22" t="str">
        <x:v>Standard</x:v>
      </x:c>
      <x:c r="M27" s="22" t="str">
        <x:v>Bank Run</x:v>
      </x:c>
      <x:c r="N27" s="22" t="str">
        <x:v>Basic / Advanced Earned Pack</x:v>
      </x:c>
      <x:c r="O27" s="22" t="str">
        <x:v>Yes</x:v>
      </x:c>
      <x:c r="P27" s="22" t="str">
        <x:v>Uncommon Parts</x:v>
      </x:c>
      <x:c r="Q27" s="79" t="n">
        <x:v>60</x:v>
      </x:c>
      <x:c r="R27" s="79" t="n">
        <x:v>15</x:v>
      </x:c>
      <x:c r="S27" s="79" t="str">
        <x:v>15 min</x:v>
      </x:c>
      <x:c r="T27" s="79" t="n">
        <x:v>12</x:v>
      </x:c>
      <x:c r="U27" s="22" t="str">
        <x:v>Retention</x:v>
      </x:c>
      <x:c r="V27" s="22" t="str">
        <x:v>No</x:v>
      </x:c>
      <x:c r="W27" s="22" t="str">
        <x:v>No</x:v>
      </x:c>
      <x:c r="X27" s="34" t="str">
        <x:v>Server-authoritative config; effects subject to stacking and hard caps.</x:v>
      </x:c>
    </x:row>
    <x:row r="28">
      <x:c r="A28" s="35" t="str">
        <x:v>mod_deposit_loyalty_program</x:v>
      </x:c>
      <x:c r="B28" s="36" t="str">
        <x:v>Deposit Loyalty Program</x:v>
      </x:c>
      <x:c r="C28" s="36" t="str">
        <x:v>Uncommon</x:v>
      </x:c>
      <x:c r="D28" s="36" t="str">
        <x:v>Customer</x:v>
      </x:c>
      <x:c r="E28" s="36" t="str">
        <x:v>Banking</x:v>
      </x:c>
      <x:c r="F28" s="36" t="str">
        <x:v>+8% retention</x:v>
      </x:c>
      <x:c r="G28" s="36" t="str">
        <x:v>-3% acquisition</x:v>
      </x:c>
      <x:c r="H28" s="36" t="str"/>
      <x:c r="I28" s="36" t="str">
        <x:v>customer</x:v>
      </x:c>
      <x:c r="J28" s="36" t="str">
        <x:v>Starter</x:v>
      </x:c>
      <x:c r="K28" s="36" t="str">
        <x:v>Mastery II — choose from compatible family pool</x:v>
      </x:c>
      <x:c r="L28" s="36" t="str">
        <x:v>Standard</x:v>
      </x:c>
      <x:c r="M28" s="36" t="str">
        <x:v>Rate Hike</x:v>
      </x:c>
      <x:c r="N28" s="36" t="str">
        <x:v>Basic / Advanced Earned Pack</x:v>
      </x:c>
      <x:c r="O28" s="36" t="str">
        <x:v>Yes</x:v>
      </x:c>
      <x:c r="P28" s="36" t="str">
        <x:v>Uncommon Parts</x:v>
      </x:c>
      <x:c r="Q28" s="80" t="n">
        <x:v>60</x:v>
      </x:c>
      <x:c r="R28" s="80" t="n">
        <x:v>15</x:v>
      </x:c>
      <x:c r="S28" s="80" t="str">
        <x:v>15 min</x:v>
      </x:c>
      <x:c r="T28" s="80" t="n">
        <x:v>12</x:v>
      </x:c>
      <x:c r="U28" s="36" t="str">
        <x:v>Deposit loyalty</x:v>
      </x:c>
      <x:c r="V28" s="36" t="str">
        <x:v>No</x:v>
      </x:c>
      <x:c r="W28" s="36" t="str">
        <x:v>No</x:v>
      </x:c>
      <x:c r="X28" s="37" t="str">
        <x:v>Server-authoritative config; effects subject to stacking and hard caps.</x:v>
      </x:c>
    </x:row>
  </x:sheetData>
  <x:mergeCells>
    <x:mergeCell ref="A1:X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18" hidden="0" customWidth="1"/>
    <x:col min="4" max="4" width="18" hidden="0" customWidth="1"/>
    <x:col min="5" max="5" width="32" hidden="0" customWidth="1"/>
    <x:col min="6" max="6" width="32" hidden="0" customWidth="1"/>
    <x:col min="7" max="7" width="32" hidden="0" customWidth="1"/>
    <x:col min="8" max="8" width="32" hidden="0" customWidth="1"/>
    <x:col min="9" max="9" width="18" hidden="0" customWidth="1"/>
    <x:col min="10" max="10" width="1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</x:cols>
  <x:sheetData>
    <x:row r="1" ht="30" customHeight="1">
      <x:c r="A1" s="86" t="str">
        <x:v>Rare Modules — Canonical Catalog</x:v>
      </x:c>
      <x:c r="B1" s="86"/>
      <x:c r="C1" s="86"/>
      <x:c r="D1" s="86"/>
      <x:c r="E1" s="86"/>
      <x:c r="F1" s="86"/>
      <x:c r="G1" s="86"/>
      <x:c r="H1" s="86"/>
      <x:c r="I1" s="86"/>
      <x:c r="J1" s="86"/>
      <x:c r="K1" s="86"/>
      <x:c r="L1" s="86"/>
      <x:c r="M1" s="86"/>
      <x:c r="N1" s="86"/>
      <x:c r="O1" s="86"/>
      <x:c r="P1" s="86"/>
      <x:c r="Q1" s="86"/>
      <x:c r="R1" s="86"/>
      <x:c r="S1" s="86"/>
      <x:c r="T1" s="86"/>
      <x:c r="U1" s="86"/>
      <x:c r="V1" s="86"/>
      <x:c r="W1" s="86"/>
      <x:c r="X1" s="86"/>
    </x:row>
    <x:row r="3">
      <x:c r="A3" s="14" t="str">
        <x:v>Module ID</x:v>
      </x:c>
      <x:c r="B3" s="14" t="str">
        <x:v>Module Name</x:v>
      </x:c>
      <x:c r="C3" s="14" t="str">
        <x:v>Rarity</x:v>
      </x:c>
      <x:c r="D3" s="14" t="str">
        <x:v>Category</x:v>
      </x:c>
      <x:c r="E3" s="14" t="str">
        <x:v>Compatible Building Families</x:v>
      </x:c>
      <x:c r="F3" s="14" t="str">
        <x:v>Primary Power</x:v>
      </x:c>
      <x:c r="G3" s="14" t="str">
        <x:v>Secondary Power / Tradeoff</x:v>
      </x:c>
      <x:c r="H3" s="14" t="str">
        <x:v>Activation Condition</x:v>
      </x:c>
      <x:c r="I3" s="14" t="str">
        <x:v>Stacking Group</x:v>
      </x:c>
      <x:c r="J3" s="14" t="str">
        <x:v>Stage Gate</x:v>
      </x:c>
      <x:c r="K3" s="14" t="str">
        <x:v>Guaranteed Acquisition</x:v>
      </x:c>
      <x:c r="L3" s="14" t="str">
        <x:v>Minimum Hunt</x:v>
      </x:c>
      <x:c r="M3" s="14" t="str">
        <x:v>Dedicated Event / Themed Source</x:v>
      </x:c>
      <x:c r="N3" s="14" t="str">
        <x:v>Earned Pack Source</x:v>
      </x:c>
      <x:c r="O3" s="14" t="str">
        <x:v>In-Game Cash Pack?</x:v>
      </x:c>
      <x:c r="P3" s="14" t="str">
        <x:v>Craft Parts</x:v>
      </x:c>
      <x:c r="Q3" s="14" t="str">
        <x:v>Craft Cost</x:v>
      </x:c>
      <x:c r="R3" s="14" t="str">
        <x:v>Craft Time (min)</x:v>
      </x:c>
      <x:c r="S3" s="14" t="str">
        <x:v>Craft Time</x:v>
      </x:c>
      <x:c r="T3" s="14" t="str">
        <x:v>Dismantle Parts</x:v>
      </x:c>
      <x:c r="U3" s="14" t="str">
        <x:v>Gameplay Role</x:v>
      </x:c>
      <x:c r="V3" s="14" t="str">
        <x:v>Direct Performance?</x:v>
      </x:c>
      <x:c r="W3" s="14" t="str">
        <x:v>Direct $PLOT?</x:v>
      </x:c>
      <x:c r="X3" s="14" t="str">
        <x:v>Implementation Notes</x:v>
      </x:c>
    </x:row>
    <x:row r="4">
      <x:c r="A4" s="30" t="str">
        <x:v>mod_reserve_buffer</x:v>
      </x:c>
      <x:c r="B4" s="31" t="str">
        <x:v>Reserve Buffer</x:v>
      </x:c>
      <x:c r="C4" s="31" t="str">
        <x:v>Rare</x:v>
      </x:c>
      <x:c r="D4" s="31" t="str">
        <x:v>Liquidity</x:v>
      </x:c>
      <x:c r="E4" s="31" t="str">
        <x:v>Banking, Treasury, Market Making</x:v>
      </x:c>
      <x:c r="F4" s="31" t="str">
        <x:v>-8 Liquidity Risk</x:v>
      </x:c>
      <x:c r="G4" s="31" t="str">
        <x:v>-4% activity efficiency</x:v>
      </x:c>
      <x:c r="H4" s="31" t="str"/>
      <x:c r="I4" s="31" t="str">
        <x:v>liquidity</x:v>
      </x:c>
      <x:c r="J4" s="31" t="str">
        <x:v>Growing</x:v>
      </x:c>
      <x:c r="K4" s="31" t="str">
        <x:v>Mastery III — choose from compatible family pool</x:v>
      </x:c>
      <x:c r="L4" s="31" t="str">
        <x:v>Hard</x:v>
      </x:c>
      <x:c r="M4" s="31" t="str">
        <x:v>Liquidity Crunch</x:v>
      </x:c>
      <x:c r="N4" s="31" t="str">
        <x:v>Advanced / Prestige Earned Pack</x:v>
      </x:c>
      <x:c r="O4" s="31" t="str">
        <x:v>Yes — low chance</x:v>
      </x:c>
      <x:c r="P4" s="31" t="str">
        <x:v>Rare Parts</x:v>
      </x:c>
      <x:c r="Q4" s="78" t="n">
        <x:v>150</x:v>
      </x:c>
      <x:c r="R4" s="78" t="n">
        <x:v>60</x:v>
      </x:c>
      <x:c r="S4" s="78" t="str">
        <x:v>1 hour</x:v>
      </x:c>
      <x:c r="T4" s="78" t="n">
        <x:v>30</x:v>
      </x:c>
      <x:c r="U4" s="31" t="str">
        <x:v>Strong defense</x:v>
      </x:c>
      <x:c r="V4" s="31" t="str">
        <x:v>No</x:v>
      </x:c>
      <x:c r="W4" s="31" t="str">
        <x:v>No</x:v>
      </x:c>
      <x:c r="X4" s="32" t="str">
        <x:v>Server-authoritative config; effects subject to stacking and hard caps.</x:v>
      </x:c>
    </x:row>
    <x:row r="5">
      <x:c r="A5" s="33" t="str">
        <x:v>mod_growth_underwriting</x:v>
      </x:c>
      <x:c r="B5" s="22" t="str">
        <x:v>Growth Underwriting</x:v>
      </x:c>
      <x:c r="C5" s="22" t="str">
        <x:v>Rare</x:v>
      </x:c>
      <x:c r="D5" s="22" t="str">
        <x:v>Credit</x:v>
      </x:c>
      <x:c r="E5" s="22" t="str">
        <x:v>Lending, Banking</x:v>
      </x:c>
      <x:c r="F5" s="22" t="str">
        <x:v>+12% activity efficiency</x:v>
      </x:c>
      <x:c r="G5" s="22" t="str">
        <x:v>+6 Credit Risk</x:v>
      </x:c>
      <x:c r="H5" s="22" t="str"/>
      <x:c r="I5" s="22" t="str">
        <x:v>credit</x:v>
      </x:c>
      <x:c r="J5" s="22" t="str">
        <x:v>Growing</x:v>
      </x:c>
      <x:c r="K5" s="22" t="str">
        <x:v>Mastery III — choose from compatible family pool</x:v>
      </x:c>
      <x:c r="L5" s="22" t="str">
        <x:v>Hard</x:v>
      </x:c>
      <x:c r="M5" s="22" t="str">
        <x:v>Credit Boom</x:v>
      </x:c>
      <x:c r="N5" s="22" t="str">
        <x:v>Advanced / Prestige Earned Pack</x:v>
      </x:c>
      <x:c r="O5" s="22" t="str">
        <x:v>Yes — low chance</x:v>
      </x:c>
      <x:c r="P5" s="22" t="str">
        <x:v>Rare Parts</x:v>
      </x:c>
      <x:c r="Q5" s="79" t="n">
        <x:v>150</x:v>
      </x:c>
      <x:c r="R5" s="79" t="n">
        <x:v>60</x:v>
      </x:c>
      <x:c r="S5" s="79" t="str">
        <x:v>1 hour</x:v>
      </x:c>
      <x:c r="T5" s="79" t="n">
        <x:v>30</x:v>
      </x:c>
      <x:c r="U5" s="22" t="str">
        <x:v>Aggressive lending</x:v>
      </x:c>
      <x:c r="V5" s="22" t="str">
        <x:v>No</x:v>
      </x:c>
      <x:c r="W5" s="22" t="str">
        <x:v>No</x:v>
      </x:c>
      <x:c r="X5" s="34" t="str">
        <x:v>Server-authoritative config; effects subject to stacking and hard caps.</x:v>
      </x:c>
    </x:row>
    <x:row r="6">
      <x:c r="A6" s="33" t="str">
        <x:v>mod_high_velocity_desk</x:v>
      </x:c>
      <x:c r="B6" s="22" t="str">
        <x:v>High Velocity Desk</x:v>
      </x:c>
      <x:c r="C6" s="22" t="str">
        <x:v>Rare</x:v>
      </x:c>
      <x:c r="D6" s="22" t="str">
        <x:v>Market</x:v>
      </x:c>
      <x:c r="E6" s="22" t="str">
        <x:v>Trading, Brokerage, Exchange</x:v>
      </x:c>
      <x:c r="F6" s="22" t="str">
        <x:v>+12% activity efficiency</x:v>
      </x:c>
      <x:c r="G6" s="22" t="str">
        <x:v>+6 Market Risk</x:v>
      </x:c>
      <x:c r="H6" s="22" t="str"/>
      <x:c r="I6" s="22" t="str">
        <x:v>market</x:v>
      </x:c>
      <x:c r="J6" s="22" t="str">
        <x:v>Growing</x:v>
      </x:c>
      <x:c r="K6" s="22" t="str">
        <x:v>Mastery III — choose from compatible family pool</x:v>
      </x:c>
      <x:c r="L6" s="22" t="str">
        <x:v>Hard</x:v>
      </x:c>
      <x:c r="M6" s="22" t="str">
        <x:v>Volatility Spike</x:v>
      </x:c>
      <x:c r="N6" s="22" t="str">
        <x:v>Advanced / Prestige Earned Pack</x:v>
      </x:c>
      <x:c r="O6" s="22" t="str">
        <x:v>Yes — low chance</x:v>
      </x:c>
      <x:c r="P6" s="22" t="str">
        <x:v>Rare Parts</x:v>
      </x:c>
      <x:c r="Q6" s="79" t="n">
        <x:v>150</x:v>
      </x:c>
      <x:c r="R6" s="79" t="n">
        <x:v>60</x:v>
      </x:c>
      <x:c r="S6" s="79" t="str">
        <x:v>1 hour</x:v>
      </x:c>
      <x:c r="T6" s="79" t="n">
        <x:v>30</x:v>
      </x:c>
      <x:c r="U6" s="22" t="str">
        <x:v>Aggressive trading</x:v>
      </x:c>
      <x:c r="V6" s="22" t="str">
        <x:v>No</x:v>
      </x:c>
      <x:c r="W6" s="22" t="str">
        <x:v>No</x:v>
      </x:c>
      <x:c r="X6" s="34" t="str">
        <x:v>Server-authoritative config; effects subject to stacking and hard caps.</x:v>
      </x:c>
    </x:row>
    <x:row r="7">
      <x:c r="A7" s="33" t="str">
        <x:v>mod_circuit_breaker</x:v>
      </x:c>
      <x:c r="B7" s="22" t="str">
        <x:v>Circuit Breaker</x:v>
      </x:c>
      <x:c r="C7" s="22" t="str">
        <x:v>Rare</x:v>
      </x:c>
      <x:c r="D7" s="22" t="str">
        <x:v>Risk</x:v>
      </x:c>
      <x:c r="E7" s="22" t="str">
        <x:v>Trading, Exchange, Market Making</x:v>
      </x:c>
      <x:c r="F7" s="22" t="str">
        <x:v>-8 Market Risk</x:v>
      </x:c>
      <x:c r="G7" s="22" t="str">
        <x:v>-6% activity efficiency</x:v>
      </x:c>
      <x:c r="H7" s="22" t="str"/>
      <x:c r="I7" s="22" t="str">
        <x:v>risk</x:v>
      </x:c>
      <x:c r="J7" s="22" t="str">
        <x:v>Growing</x:v>
      </x:c>
      <x:c r="K7" s="22" t="str">
        <x:v>Mastery III — choose from compatible family pool</x:v>
      </x:c>
      <x:c r="L7" s="22" t="str">
        <x:v>Hard</x:v>
      </x:c>
      <x:c r="M7" s="22" t="str">
        <x:v>Market Correction</x:v>
      </x:c>
      <x:c r="N7" s="22" t="str">
        <x:v>Advanced / Prestige Earned Pack</x:v>
      </x:c>
      <x:c r="O7" s="22" t="str">
        <x:v>Yes — low chance</x:v>
      </x:c>
      <x:c r="P7" s="22" t="str">
        <x:v>Rare Parts</x:v>
      </x:c>
      <x:c r="Q7" s="79" t="n">
        <x:v>150</x:v>
      </x:c>
      <x:c r="R7" s="79" t="n">
        <x:v>60</x:v>
      </x:c>
      <x:c r="S7" s="79" t="str">
        <x:v>1 hour</x:v>
      </x:c>
      <x:c r="T7" s="79" t="n">
        <x:v>30</x:v>
      </x:c>
      <x:c r="U7" s="22" t="str">
        <x:v>Defensive trading</x:v>
      </x:c>
      <x:c r="V7" s="22" t="str">
        <x:v>No</x:v>
      </x:c>
      <x:c r="W7" s="22" t="str">
        <x:v>No</x:v>
      </x:c>
      <x:c r="X7" s="34" t="str">
        <x:v>Server-authoritative config; effects subject to stacking and hard caps.</x:v>
      </x:c>
    </x:row>
    <x:row r="8">
      <x:c r="A8" s="33" t="str">
        <x:v>mod_premium_relationship_team</x:v>
      </x:c>
      <x:c r="B8" s="22" t="str">
        <x:v>Premium Relationship Team</x:v>
      </x:c>
      <x:c r="C8" s="22" t="str">
        <x:v>Rare</x:v>
      </x:c>
      <x:c r="D8" s="22" t="str">
        <x:v>Wealth</x:v>
      </x:c>
      <x:c r="E8" s="22" t="str">
        <x:v>Banking, Wealth, Private Banking</x:v>
      </x:c>
      <x:c r="F8" s="22" t="str">
        <x:v>+10% HNW retention</x:v>
      </x:c>
      <x:c r="G8" s="22" t="str">
        <x:v>-5% General Consumer acquisition</x:v>
      </x:c>
      <x:c r="H8" s="22" t="str"/>
      <x:c r="I8" s="22" t="str">
        <x:v>wealth</x:v>
      </x:c>
      <x:c r="J8" s="22" t="str">
        <x:v>Growing</x:v>
      </x:c>
      <x:c r="K8" s="22" t="str">
        <x:v>Mastery III — choose from compatible family pool</x:v>
      </x:c>
      <x:c r="L8" s="22" t="str">
        <x:v>Hard</x:v>
      </x:c>
      <x:c r="M8" s="22" t="str">
        <x:v>Dividend Week</x:v>
      </x:c>
      <x:c r="N8" s="22" t="str">
        <x:v>Advanced / Prestige Earned Pack</x:v>
      </x:c>
      <x:c r="O8" s="22" t="str">
        <x:v>Yes — low chance</x:v>
      </x:c>
      <x:c r="P8" s="22" t="str">
        <x:v>Rare Parts</x:v>
      </x:c>
      <x:c r="Q8" s="79" t="n">
        <x:v>150</x:v>
      </x:c>
      <x:c r="R8" s="79" t="n">
        <x:v>60</x:v>
      </x:c>
      <x:c r="S8" s="79" t="str">
        <x:v>1 hour</x:v>
      </x:c>
      <x:c r="T8" s="79" t="n">
        <x:v>30</x:v>
      </x:c>
      <x:c r="U8" s="22" t="str">
        <x:v>HNW retention</x:v>
      </x:c>
      <x:c r="V8" s="22" t="str">
        <x:v>No</x:v>
      </x:c>
      <x:c r="W8" s="22" t="str">
        <x:v>No</x:v>
      </x:c>
      <x:c r="X8" s="34" t="str">
        <x:v>Server-authoritative config; effects subject to stacking and hard caps.</x:v>
      </x:c>
    </x:row>
    <x:row r="9">
      <x:c r="A9" s="33" t="str">
        <x:v>mod_uptime_cluster</x:v>
      </x:c>
      <x:c r="B9" s="22" t="str">
        <x:v>Uptime Cluster</x:v>
      </x:c>
      <x:c r="C9" s="22" t="str">
        <x:v>Rare</x:v>
      </x:c>
      <x:c r="D9" s="22" t="str">
        <x:v>Operations</x:v>
      </x:c>
      <x:c r="E9" s="22" t="str">
        <x:v>Data, Fintech, Exchange, Trading</x:v>
      </x:c>
      <x:c r="F9" s="22" t="str">
        <x:v>+10% capacity</x:v>
      </x:c>
      <x:c r="G9" s="22" t="str">
        <x:v>-4 Operational Risk; +3% operating cost</x:v>
      </x:c>
      <x:c r="H9" s="22" t="str"/>
      <x:c r="I9" s="22" t="str">
        <x:v>operations</x:v>
      </x:c>
      <x:c r="J9" s="22" t="str">
        <x:v>Growing</x:v>
      </x:c>
      <x:c r="K9" s="22" t="str">
        <x:v>Mastery III — choose from compatible family pool</x:v>
      </x:c>
      <x:c r="L9" s="22" t="str">
        <x:v>Hard</x:v>
      </x:c>
      <x:c r="M9" s="22" t="str">
        <x:v>Tech Rally</x:v>
      </x:c>
      <x:c r="N9" s="22" t="str">
        <x:v>Advanced / Prestige Earned Pack</x:v>
      </x:c>
      <x:c r="O9" s="22" t="str">
        <x:v>Yes — low chance</x:v>
      </x:c>
      <x:c r="P9" s="22" t="str">
        <x:v>Rare Parts</x:v>
      </x:c>
      <x:c r="Q9" s="79" t="n">
        <x:v>150</x:v>
      </x:c>
      <x:c r="R9" s="79" t="n">
        <x:v>60</x:v>
      </x:c>
      <x:c r="S9" s="79" t="str">
        <x:v>1 hour</x:v>
      </x:c>
      <x:c r="T9" s="79" t="n">
        <x:v>30</x:v>
      </x:c>
      <x:c r="U9" s="22" t="str">
        <x:v>Infrastructure resilience</x:v>
      </x:c>
      <x:c r="V9" s="22" t="str">
        <x:v>No</x:v>
      </x:c>
      <x:c r="W9" s="22" t="str">
        <x:v>No</x:v>
      </x:c>
      <x:c r="X9" s="34" t="str">
        <x:v>Server-authoritative config; effects subject to stacking and hard caps.</x:v>
      </x:c>
    </x:row>
    <x:row r="10">
      <x:c r="A10" s="33" t="str">
        <x:v>mod_diversified_mandate</x:v>
      </x:c>
      <x:c r="B10" s="22" t="str">
        <x:v>Diversified Mandate</x:v>
      </x:c>
      <x:c r="C10" s="22" t="str">
        <x:v>Rare</x:v>
      </x:c>
      <x:c r="D10" s="22" t="str">
        <x:v>Risk</x:v>
      </x:c>
      <x:c r="E10" s="22" t="str">
        <x:v>Asset Management, Wealth</x:v>
      </x:c>
      <x:c r="F10" s="22" t="str">
        <x:v>-6 Concentration Risk</x:v>
      </x:c>
      <x:c r="G10" s="22" t="str">
        <x:v>+5% activity efficiency</x:v>
      </x:c>
      <x:c r="H10" s="22" t="str">
        <x:v>Largest segment &lt;=70%</x:v>
      </x:c>
      <x:c r="I10" s="22" t="str">
        <x:v>risk</x:v>
      </x:c>
      <x:c r="J10" s="22" t="str">
        <x:v>Growing</x:v>
      </x:c>
      <x:c r="K10" s="22" t="str">
        <x:v>Mastery III — choose from compatible family pool</x:v>
      </x:c>
      <x:c r="L10" s="22" t="str">
        <x:v>Hard</x:v>
      </x:c>
      <x:c r="M10" s="22" t="str">
        <x:v>Market Correction</x:v>
      </x:c>
      <x:c r="N10" s="22" t="str">
        <x:v>Advanced / Prestige Earned Pack</x:v>
      </x:c>
      <x:c r="O10" s="22" t="str">
        <x:v>Yes — low chance</x:v>
      </x:c>
      <x:c r="P10" s="22" t="str">
        <x:v>Rare Parts</x:v>
      </x:c>
      <x:c r="Q10" s="79" t="n">
        <x:v>150</x:v>
      </x:c>
      <x:c r="R10" s="79" t="n">
        <x:v>60</x:v>
      </x:c>
      <x:c r="S10" s="79" t="str">
        <x:v>1 hour</x:v>
      </x:c>
      <x:c r="T10" s="79" t="n">
        <x:v>30</x:v>
      </x:c>
      <x:c r="U10" s="22" t="str">
        <x:v>Diversification</x:v>
      </x:c>
      <x:c r="V10" s="22" t="str">
        <x:v>No</x:v>
      </x:c>
      <x:c r="W10" s="22" t="str">
        <x:v>No</x:v>
      </x:c>
      <x:c r="X10" s="34" t="str">
        <x:v>Server-authoritative config; effects subject to stacking and hard caps.</x:v>
      </x:c>
    </x:row>
    <x:row r="11">
      <x:c r="A11" s="33" t="str">
        <x:v>mod_momentum_mandate</x:v>
      </x:c>
      <x:c r="B11" s="22" t="str">
        <x:v>Momentum Mandate</x:v>
      </x:c>
      <x:c r="C11" s="22" t="str">
        <x:v>Rare</x:v>
      </x:c>
      <x:c r="D11" s="22" t="str">
        <x:v>Market</x:v>
      </x:c>
      <x:c r="E11" s="22" t="str">
        <x:v>Asset Management, Trading</x:v>
      </x:c>
      <x:c r="F11" s="22" t="str">
        <x:v>+10% activity efficiency</x:v>
      </x:c>
      <x:c r="G11" s="22" t="str">
        <x:v>+5 Market Risk</x:v>
      </x:c>
      <x:c r="H11" s="22" t="str">
        <x:v>Market State = Bull or Expansion</x:v>
      </x:c>
      <x:c r="I11" s="22" t="str">
        <x:v>market</x:v>
      </x:c>
      <x:c r="J11" s="22" t="str">
        <x:v>Growing</x:v>
      </x:c>
      <x:c r="K11" s="22" t="str">
        <x:v>Mastery III — choose from compatible family pool</x:v>
      </x:c>
      <x:c r="L11" s="22" t="str">
        <x:v>Hard</x:v>
      </x:c>
      <x:c r="M11" s="22" t="str">
        <x:v>Bull Market</x:v>
      </x:c>
      <x:c r="N11" s="22" t="str">
        <x:v>Advanced / Prestige Earned Pack</x:v>
      </x:c>
      <x:c r="O11" s="22" t="str">
        <x:v>Yes — low chance</x:v>
      </x:c>
      <x:c r="P11" s="22" t="str">
        <x:v>Rare Parts</x:v>
      </x:c>
      <x:c r="Q11" s="79" t="n">
        <x:v>150</x:v>
      </x:c>
      <x:c r="R11" s="79" t="n">
        <x:v>60</x:v>
      </x:c>
      <x:c r="S11" s="79" t="str">
        <x:v>1 hour</x:v>
      </x:c>
      <x:c r="T11" s="79" t="n">
        <x:v>30</x:v>
      </x:c>
      <x:c r="U11" s="22" t="str">
        <x:v>Bull exposure</x:v>
      </x:c>
      <x:c r="V11" s="22" t="str">
        <x:v>No</x:v>
      </x:c>
      <x:c r="W11" s="22" t="str">
        <x:v>No</x:v>
      </x:c>
      <x:c r="X11" s="34" t="str">
        <x:v>Server-authoritative config; effects subject to stacking and hard caps.</x:v>
      </x:c>
    </x:row>
    <x:row r="12">
      <x:c r="A12" s="33" t="str">
        <x:v>mod_corporate_coverage_team</x:v>
      </x:c>
      <x:c r="B12" s="22" t="str">
        <x:v>Corporate Coverage Team</x:v>
      </x:c>
      <x:c r="C12" s="22" t="str">
        <x:v>Rare</x:v>
      </x:c>
      <x:c r="D12" s="22" t="str">
        <x:v>Institutional</x:v>
      </x:c>
      <x:c r="E12" s="22" t="str">
        <x:v>Investment Banking, Advisory, Banking</x:v>
      </x:c>
      <x:c r="F12" s="22" t="str">
        <x:v>+10% Corporate Client acquisition</x:v>
      </x:c>
      <x:c r="G12" s="22" t="str">
        <x:v>+3 Reputation Risk if Service &lt;70</x:v>
      </x:c>
      <x:c r="H12" s="22" t="str">
        <x:v>Service Quality &gt;=70</x:v>
      </x:c>
      <x:c r="I12" s="22" t="str">
        <x:v>institutional</x:v>
      </x:c>
      <x:c r="J12" s="22" t="str">
        <x:v>Growing</x:v>
      </x:c>
      <x:c r="K12" s="22" t="str">
        <x:v>Mastery III — choose from compatible family pool</x:v>
      </x:c>
      <x:c r="L12" s="22" t="str">
        <x:v>Hard</x:v>
      </x:c>
      <x:c r="M12" s="22" t="str">
        <x:v>M&amp;A Boom</x:v>
      </x:c>
      <x:c r="N12" s="22" t="str">
        <x:v>Advanced / Prestige Earned Pack</x:v>
      </x:c>
      <x:c r="O12" s="22" t="str">
        <x:v>Yes — low chance</x:v>
      </x:c>
      <x:c r="P12" s="22" t="str">
        <x:v>Rare Parts</x:v>
      </x:c>
      <x:c r="Q12" s="79" t="n">
        <x:v>150</x:v>
      </x:c>
      <x:c r="R12" s="79" t="n">
        <x:v>60</x:v>
      </x:c>
      <x:c r="S12" s="79" t="str">
        <x:v>1 hour</x:v>
      </x:c>
      <x:c r="T12" s="79" t="n">
        <x:v>30</x:v>
      </x:c>
      <x:c r="U12" s="22" t="str">
        <x:v>Corporate coverage</x:v>
      </x:c>
      <x:c r="V12" s="22" t="str">
        <x:v>No</x:v>
      </x:c>
      <x:c r="W12" s="22" t="str">
        <x:v>No</x:v>
      </x:c>
      <x:c r="X12" s="34" t="str">
        <x:v>Server-authoritative config; effects subject to stacking and hard caps.</x:v>
      </x:c>
    </x:row>
    <x:row r="13">
      <x:c r="A13" s="33" t="str">
        <x:v>mod_risk_pooling</x:v>
      </x:c>
      <x:c r="B13" s="22" t="str">
        <x:v>Risk Pooling</x:v>
      </x:c>
      <x:c r="C13" s="22" t="str">
        <x:v>Rare</x:v>
      </x:c>
      <x:c r="D13" s="22" t="str">
        <x:v>Risk</x:v>
      </x:c>
      <x:c r="E13" s="22" t="str">
        <x:v>Insurance</x:v>
      </x:c>
      <x:c r="F13" s="22" t="str">
        <x:v>+8% retention</x:v>
      </x:c>
      <x:c r="G13" s="22" t="str">
        <x:v>-4 Reputation Risk; -3% acquisition</x:v>
      </x:c>
      <x:c r="H13" s="22" t="str"/>
      <x:c r="I13" s="22" t="str">
        <x:v>risk</x:v>
      </x:c>
      <x:c r="J13" s="22" t="str">
        <x:v>Growing</x:v>
      </x:c>
      <x:c r="K13" s="22" t="str">
        <x:v>Mastery III — choose from compatible family pool</x:v>
      </x:c>
      <x:c r="L13" s="22" t="str">
        <x:v>Hard</x:v>
      </x:c>
      <x:c r="M13" s="22" t="str">
        <x:v>Market Correction</x:v>
      </x:c>
      <x:c r="N13" s="22" t="str">
        <x:v>Advanced / Prestige Earned Pack</x:v>
      </x:c>
      <x:c r="O13" s="22" t="str">
        <x:v>Yes — low chance</x:v>
      </x:c>
      <x:c r="P13" s="22" t="str">
        <x:v>Rare Parts</x:v>
      </x:c>
      <x:c r="Q13" s="79" t="n">
        <x:v>150</x:v>
      </x:c>
      <x:c r="R13" s="79" t="n">
        <x:v>60</x:v>
      </x:c>
      <x:c r="S13" s="79" t="str">
        <x:v>1 hour</x:v>
      </x:c>
      <x:c r="T13" s="79" t="n">
        <x:v>30</x:v>
      </x:c>
      <x:c r="U13" s="22" t="str">
        <x:v>Insurance stability</x:v>
      </x:c>
      <x:c r="V13" s="22" t="str">
        <x:v>No</x:v>
      </x:c>
      <x:c r="W13" s="22" t="str">
        <x:v>No</x:v>
      </x:c>
      <x:c r="X13" s="34" t="str">
        <x:v>Server-authoritative config; effects subject to stacking and hard caps.</x:v>
      </x:c>
    </x:row>
    <x:row r="14">
      <x:c r="A14" s="33" t="str">
        <x:v>mod_dynamic_pricing_engine</x:v>
      </x:c>
      <x:c r="B14" s="22" t="str">
        <x:v>Dynamic Pricing Engine</x:v>
      </x:c>
      <x:c r="C14" s="22" t="str">
        <x:v>Rare</x:v>
      </x:c>
      <x:c r="D14" s="22" t="str">
        <x:v>Operations</x:v>
      </x:c>
      <x:c r="E14" s="22" t="str">
        <x:v>Insurance, Lending, Brokerage</x:v>
      </x:c>
      <x:c r="F14" s="22" t="str">
        <x:v>+8% activity efficiency</x:v>
      </x:c>
      <x:c r="G14" s="22" t="str">
        <x:v>+4 Reputation Risk if Service &lt;70</x:v>
      </x:c>
      <x:c r="H14" s="22" t="str">
        <x:v>Service Quality &gt;=70</x:v>
      </x:c>
      <x:c r="I14" s="22" t="str">
        <x:v>operations</x:v>
      </x:c>
      <x:c r="J14" s="22" t="str">
        <x:v>Growing</x:v>
      </x:c>
      <x:c r="K14" s="22" t="str">
        <x:v>Mastery III — choose from compatible family pool</x:v>
      </x:c>
      <x:c r="L14" s="22" t="str">
        <x:v>Hard</x:v>
      </x:c>
      <x:c r="M14" s="22" t="str">
        <x:v>Rate Hike</x:v>
      </x:c>
      <x:c r="N14" s="22" t="str">
        <x:v>Advanced / Prestige Earned Pack</x:v>
      </x:c>
      <x:c r="O14" s="22" t="str">
        <x:v>Yes — low chance</x:v>
      </x:c>
      <x:c r="P14" s="22" t="str">
        <x:v>Rare Parts</x:v>
      </x:c>
      <x:c r="Q14" s="79" t="n">
        <x:v>150</x:v>
      </x:c>
      <x:c r="R14" s="79" t="n">
        <x:v>60</x:v>
      </x:c>
      <x:c r="S14" s="79" t="str">
        <x:v>1 hour</x:v>
      </x:c>
      <x:c r="T14" s="79" t="n">
        <x:v>30</x:v>
      </x:c>
      <x:c r="U14" s="22" t="str">
        <x:v>Pricing strategy</x:v>
      </x:c>
      <x:c r="V14" s="22" t="str">
        <x:v>No</x:v>
      </x:c>
      <x:c r="W14" s="22" t="str">
        <x:v>No</x:v>
      </x:c>
      <x:c r="X14" s="34" t="str">
        <x:v>Server-authoritative config; effects subject to stacking and hard caps.</x:v>
      </x:c>
    </x:row>
    <x:row r="15">
      <x:c r="A15" s="33" t="str">
        <x:v>mod_smart_liquidity_router</x:v>
      </x:c>
      <x:c r="B15" s="22" t="str">
        <x:v>Smart Liquidity Router</x:v>
      </x:c>
      <x:c r="C15" s="22" t="str">
        <x:v>Rare</x:v>
      </x:c>
      <x:c r="D15" s="22" t="str">
        <x:v>Liquidity</x:v>
      </x:c>
      <x:c r="E15" s="22" t="str">
        <x:v>Exchange, Market Making, FX, Treasury</x:v>
      </x:c>
      <x:c r="F15" s="22" t="str">
        <x:v>+10% capacity</x:v>
      </x:c>
      <x:c r="G15" s="22" t="str">
        <x:v>-6 Liquidity Risk; +3 Market Risk</x:v>
      </x:c>
      <x:c r="H15" s="22" t="str"/>
      <x:c r="I15" s="22" t="str">
        <x:v>liquidity</x:v>
      </x:c>
      <x:c r="J15" s="22" t="str">
        <x:v>Growing</x:v>
      </x:c>
      <x:c r="K15" s="22" t="str">
        <x:v>Mastery III — choose from compatible family pool</x:v>
      </x:c>
      <x:c r="L15" s="22" t="str">
        <x:v>Hard</x:v>
      </x:c>
      <x:c r="M15" s="22" t="str">
        <x:v>Liquidity Crunch</x:v>
      </x:c>
      <x:c r="N15" s="22" t="str">
        <x:v>Advanced / Prestige Earned Pack</x:v>
      </x:c>
      <x:c r="O15" s="22" t="str">
        <x:v>Yes — low chance</x:v>
      </x:c>
      <x:c r="P15" s="22" t="str">
        <x:v>Rare Parts</x:v>
      </x:c>
      <x:c r="Q15" s="79" t="n">
        <x:v>150</x:v>
      </x:c>
      <x:c r="R15" s="79" t="n">
        <x:v>60</x:v>
      </x:c>
      <x:c r="S15" s="79" t="str">
        <x:v>1 hour</x:v>
      </x:c>
      <x:c r="T15" s="79" t="n">
        <x:v>30</x:v>
      </x:c>
      <x:c r="U15" s="22" t="str">
        <x:v>Liquidity infrastructure</x:v>
      </x:c>
      <x:c r="V15" s="22" t="str">
        <x:v>No</x:v>
      </x:c>
      <x:c r="W15" s="22" t="str">
        <x:v>No</x:v>
      </x:c>
      <x:c r="X15" s="34" t="str">
        <x:v>Server-authoritative config; effects subject to stacking and hard caps.</x:v>
      </x:c>
    </x:row>
    <x:row r="16">
      <x:c r="A16" s="33" t="str">
        <x:v>mod_research_signal_stack</x:v>
      </x:c>
      <x:c r="B16" s="22" t="str">
        <x:v>Research Signal Stack</x:v>
      </x:c>
      <x:c r="C16" s="22" t="str">
        <x:v>Rare</x:v>
      </x:c>
      <x:c r="D16" s="22" t="str">
        <x:v>Research</x:v>
      </x:c>
      <x:c r="E16" s="22" t="str">
        <x:v>Research, Data, Brokerage, Asset Management</x:v>
      </x:c>
      <x:c r="F16" s="22" t="str">
        <x:v>+9% activity efficiency</x:v>
      </x:c>
      <x:c r="G16" s="22" t="str">
        <x:v>+4 Service Quality; +2 Operational Risk</x:v>
      </x:c>
      <x:c r="H16" s="22" t="str"/>
      <x:c r="I16" s="22" t="str">
        <x:v>research</x:v>
      </x:c>
      <x:c r="J16" s="22" t="str">
        <x:v>Growing</x:v>
      </x:c>
      <x:c r="K16" s="22" t="str">
        <x:v>Mastery III — choose from compatible family pool</x:v>
      </x:c>
      <x:c r="L16" s="22" t="str">
        <x:v>Hard</x:v>
      </x:c>
      <x:c r="M16" s="22" t="str">
        <x:v>Tech Rally</x:v>
      </x:c>
      <x:c r="N16" s="22" t="str">
        <x:v>Advanced / Prestige Earned Pack</x:v>
      </x:c>
      <x:c r="O16" s="22" t="str">
        <x:v>Yes — low chance</x:v>
      </x:c>
      <x:c r="P16" s="22" t="str">
        <x:v>Rare Parts</x:v>
      </x:c>
      <x:c r="Q16" s="79" t="n">
        <x:v>150</x:v>
      </x:c>
      <x:c r="R16" s="79" t="n">
        <x:v>60</x:v>
      </x:c>
      <x:c r="S16" s="79" t="str">
        <x:v>1 hour</x:v>
      </x:c>
      <x:c r="T16" s="79" t="n">
        <x:v>30</x:v>
      </x:c>
      <x:c r="U16" s="22" t="str">
        <x:v>Research alpha</x:v>
      </x:c>
      <x:c r="V16" s="22" t="str">
        <x:v>No</x:v>
      </x:c>
      <x:c r="W16" s="22" t="str">
        <x:v>No</x:v>
      </x:c>
      <x:c r="X16" s="34" t="str">
        <x:v>Server-authoritative config; effects subject to stacking and hard caps.</x:v>
      </x:c>
    </x:row>
    <x:row r="17">
      <x:c r="A17" s="33" t="str">
        <x:v>mod_credit_portfolio_guard</x:v>
      </x:c>
      <x:c r="B17" s="22" t="str">
        <x:v>Credit Portfolio Guard</x:v>
      </x:c>
      <x:c r="C17" s="22" t="str">
        <x:v>Rare</x:v>
      </x:c>
      <x:c r="D17" s="22" t="str">
        <x:v>Credit</x:v>
      </x:c>
      <x:c r="E17" s="22" t="str">
        <x:v>Lending, Banking</x:v>
      </x:c>
      <x:c r="F17" s="22" t="str">
        <x:v>-8 Credit Risk</x:v>
      </x:c>
      <x:c r="G17" s="22" t="str">
        <x:v>-4 Concentration Risk; -5% activity efficiency</x:v>
      </x:c>
      <x:c r="H17" s="22" t="str"/>
      <x:c r="I17" s="22" t="str">
        <x:v>credit</x:v>
      </x:c>
      <x:c r="J17" s="22" t="str">
        <x:v>Growing</x:v>
      </x:c>
      <x:c r="K17" s="22" t="str">
        <x:v>Mastery III — choose from compatible family pool</x:v>
      </x:c>
      <x:c r="L17" s="22" t="str">
        <x:v>Hard</x:v>
      </x:c>
      <x:c r="M17" s="22" t="str">
        <x:v>Credit Boom</x:v>
      </x:c>
      <x:c r="N17" s="22" t="str">
        <x:v>Advanced / Prestige Earned Pack</x:v>
      </x:c>
      <x:c r="O17" s="22" t="str">
        <x:v>Yes — low chance</x:v>
      </x:c>
      <x:c r="P17" s="22" t="str">
        <x:v>Rare Parts</x:v>
      </x:c>
      <x:c r="Q17" s="79" t="n">
        <x:v>150</x:v>
      </x:c>
      <x:c r="R17" s="79" t="n">
        <x:v>60</x:v>
      </x:c>
      <x:c r="S17" s="79" t="str">
        <x:v>1 hour</x:v>
      </x:c>
      <x:c r="T17" s="79" t="n">
        <x:v>30</x:v>
      </x:c>
      <x:c r="U17" s="22" t="str">
        <x:v>Credit quality</x:v>
      </x:c>
      <x:c r="V17" s="22" t="str">
        <x:v>No</x:v>
      </x:c>
      <x:c r="W17" s="22" t="str">
        <x:v>No</x:v>
      </x:c>
      <x:c r="X17" s="34" t="str">
        <x:v>Server-authoritative config; effects subject to stacking and hard caps.</x:v>
      </x:c>
    </x:row>
    <x:row r="18">
      <x:c r="A18" s="33" t="str">
        <x:v>mod_client_churn_predictor</x:v>
      </x:c>
      <x:c r="B18" s="22" t="str">
        <x:v>Client Churn Predictor</x:v>
      </x:c>
      <x:c r="C18" s="22" t="str">
        <x:v>Rare</x:v>
      </x:c>
      <x:c r="D18" s="22" t="str">
        <x:v>Service</x:v>
      </x:c>
      <x:c r="E18" s="22" t="str">
        <x:v>Banking, Insurance, Wealth, Advisory</x:v>
      </x:c>
      <x:c r="F18" s="22" t="str">
        <x:v>+9% retention</x:v>
      </x:c>
      <x:c r="G18" s="22" t="str">
        <x:v>+4 Service Quality; +2% operating cost</x:v>
      </x:c>
      <x:c r="H18" s="22" t="str"/>
      <x:c r="I18" s="22" t="str">
        <x:v>service</x:v>
      </x:c>
      <x:c r="J18" s="22" t="str">
        <x:v>Growing</x:v>
      </x:c>
      <x:c r="K18" s="22" t="str">
        <x:v>Mastery III — choose from compatible family pool</x:v>
      </x:c>
      <x:c r="L18" s="22" t="str">
        <x:v>Hard</x:v>
      </x:c>
      <x:c r="M18" s="22" t="str">
        <x:v>Earnings Season</x:v>
      </x:c>
      <x:c r="N18" s="22" t="str">
        <x:v>Advanced / Prestige Earned Pack</x:v>
      </x:c>
      <x:c r="O18" s="22" t="str">
        <x:v>Yes — low chance</x:v>
      </x:c>
      <x:c r="P18" s="22" t="str">
        <x:v>Rare Parts</x:v>
      </x:c>
      <x:c r="Q18" s="79" t="n">
        <x:v>150</x:v>
      </x:c>
      <x:c r="R18" s="79" t="n">
        <x:v>60</x:v>
      </x:c>
      <x:c r="S18" s="79" t="str">
        <x:v>1 hour</x:v>
      </x:c>
      <x:c r="T18" s="79" t="n">
        <x:v>30</x:v>
      </x:c>
      <x:c r="U18" s="22" t="str">
        <x:v>Retention analytics</x:v>
      </x:c>
      <x:c r="V18" s="22" t="str">
        <x:v>No</x:v>
      </x:c>
      <x:c r="W18" s="22" t="str">
        <x:v>No</x:v>
      </x:c>
      <x:c r="X18" s="34" t="str">
        <x:v>Server-authoritative config; effects subject to stacking and hard caps.</x:v>
      </x:c>
    </x:row>
    <x:row r="19">
      <x:c r="A19" s="33" t="str">
        <x:v>mod_institutional_execution_desk</x:v>
      </x:c>
      <x:c r="B19" s="22" t="str">
        <x:v>Institutional Execution Desk</x:v>
      </x:c>
      <x:c r="C19" s="22" t="str">
        <x:v>Rare</x:v>
      </x:c>
      <x:c r="D19" s="22" t="str">
        <x:v>Institutional</x:v>
      </x:c>
      <x:c r="E19" s="22" t="str">
        <x:v>Investment Banking, Exchange, Brokerage</x:v>
      </x:c>
      <x:c r="F19" s="22" t="str">
        <x:v>+10% Corporate Client acquisition</x:v>
      </x:c>
      <x:c r="G19" s="22" t="str">
        <x:v>+7% activity efficiency; +3 Operational Risk</x:v>
      </x:c>
      <x:c r="H19" s="22" t="str"/>
      <x:c r="I19" s="22" t="str">
        <x:v>institutional</x:v>
      </x:c>
      <x:c r="J19" s="22" t="str">
        <x:v>Growing</x:v>
      </x:c>
      <x:c r="K19" s="22" t="str">
        <x:v>Mastery III — choose from compatible family pool</x:v>
      </x:c>
      <x:c r="L19" s="22" t="str">
        <x:v>Hard</x:v>
      </x:c>
      <x:c r="M19" s="22" t="str">
        <x:v>IPO Week</x:v>
      </x:c>
      <x:c r="N19" s="22" t="str">
        <x:v>Advanced / Prestige Earned Pack</x:v>
      </x:c>
      <x:c r="O19" s="22" t="str">
        <x:v>Yes — low chance</x:v>
      </x:c>
      <x:c r="P19" s="22" t="str">
        <x:v>Rare Parts</x:v>
      </x:c>
      <x:c r="Q19" s="79" t="n">
        <x:v>150</x:v>
      </x:c>
      <x:c r="R19" s="79" t="n">
        <x:v>60</x:v>
      </x:c>
      <x:c r="S19" s="79" t="str">
        <x:v>1 hour</x:v>
      </x:c>
      <x:c r="T19" s="79" t="n">
        <x:v>30</x:v>
      </x:c>
      <x:c r="U19" s="22" t="str">
        <x:v>Institutional throughput</x:v>
      </x:c>
      <x:c r="V19" s="22" t="str">
        <x:v>No</x:v>
      </x:c>
      <x:c r="W19" s="22" t="str">
        <x:v>No</x:v>
      </x:c>
      <x:c r="X19" s="34" t="str">
        <x:v>Server-authoritative config; effects subject to stacking and hard caps.</x:v>
      </x:c>
    </x:row>
    <x:row r="20">
      <x:c r="A20" s="33" t="str">
        <x:v>mod_treasury_duration_hedge</x:v>
      </x:c>
      <x:c r="B20" s="22" t="str">
        <x:v>Treasury Duration Hedge</x:v>
      </x:c>
      <x:c r="C20" s="22" t="str">
        <x:v>Rare</x:v>
      </x:c>
      <x:c r="D20" s="22" t="str">
        <x:v>Liquidity</x:v>
      </x:c>
      <x:c r="E20" s="22" t="str">
        <x:v>Treasury, Banking, Asset Management</x:v>
      </x:c>
      <x:c r="F20" s="22" t="str">
        <x:v>-7 Liquidity Risk</x:v>
      </x:c>
      <x:c r="G20" s="22" t="str">
        <x:v>-5 Market Risk; -4% activity efficiency</x:v>
      </x:c>
      <x:c r="H20" s="22" t="str"/>
      <x:c r="I20" s="22" t="str">
        <x:v>liquidity</x:v>
      </x:c>
      <x:c r="J20" s="22" t="str">
        <x:v>Growing</x:v>
      </x:c>
      <x:c r="K20" s="22" t="str">
        <x:v>Mastery III — choose from compatible family pool</x:v>
      </x:c>
      <x:c r="L20" s="22" t="str">
        <x:v>Hard</x:v>
      </x:c>
      <x:c r="M20" s="22" t="str">
        <x:v>Rate Hike</x:v>
      </x:c>
      <x:c r="N20" s="22" t="str">
        <x:v>Advanced / Prestige Earned Pack</x:v>
      </x:c>
      <x:c r="O20" s="22" t="str">
        <x:v>Yes — low chance</x:v>
      </x:c>
      <x:c r="P20" s="22" t="str">
        <x:v>Rare Parts</x:v>
      </x:c>
      <x:c r="Q20" s="79" t="n">
        <x:v>150</x:v>
      </x:c>
      <x:c r="R20" s="79" t="n">
        <x:v>60</x:v>
      </x:c>
      <x:c r="S20" s="79" t="str">
        <x:v>1 hour</x:v>
      </x:c>
      <x:c r="T20" s="79" t="n">
        <x:v>30</x:v>
      </x:c>
      <x:c r="U20" s="22" t="str">
        <x:v>Rate defense</x:v>
      </x:c>
      <x:c r="V20" s="22" t="str">
        <x:v>No</x:v>
      </x:c>
      <x:c r="W20" s="22" t="str">
        <x:v>No</x:v>
      </x:c>
      <x:c r="X20" s="34" t="str">
        <x:v>Server-authoritative config; effects subject to stacking and hard caps.</x:v>
      </x:c>
    </x:row>
    <x:row r="21">
      <x:c r="A21" s="33" t="str">
        <x:v>mod_fraud_intelligence_network</x:v>
      </x:c>
      <x:c r="B21" s="22" t="str">
        <x:v>Fraud Intelligence Network</x:v>
      </x:c>
      <x:c r="C21" s="22" t="str">
        <x:v>Rare</x:v>
      </x:c>
      <x:c r="D21" s="22" t="str">
        <x:v>Risk</x:v>
      </x:c>
      <x:c r="E21" s="22" t="str">
        <x:v>Banking, Fintech, Insurance, Brokerage</x:v>
      </x:c>
      <x:c r="F21" s="22" t="str">
        <x:v>-8 Operational Risk</x:v>
      </x:c>
      <x:c r="G21" s="22" t="str">
        <x:v>-4 Reputation Risk; -3% capacity</x:v>
      </x:c>
      <x:c r="H21" s="22" t="str"/>
      <x:c r="I21" s="22" t="str">
        <x:v>risk</x:v>
      </x:c>
      <x:c r="J21" s="22" t="str">
        <x:v>Growing</x:v>
      </x:c>
      <x:c r="K21" s="22" t="str">
        <x:v>Mastery III — choose from compatible family pool</x:v>
      </x:c>
      <x:c r="L21" s="22" t="str">
        <x:v>Hard</x:v>
      </x:c>
      <x:c r="M21" s="22" t="str">
        <x:v>Regulatory Approval</x:v>
      </x:c>
      <x:c r="N21" s="22" t="str">
        <x:v>Advanced / Prestige Earned Pack</x:v>
      </x:c>
      <x:c r="O21" s="22" t="str">
        <x:v>Yes — low chance</x:v>
      </x:c>
      <x:c r="P21" s="22" t="str">
        <x:v>Rare Parts</x:v>
      </x:c>
      <x:c r="Q21" s="79" t="n">
        <x:v>150</x:v>
      </x:c>
      <x:c r="R21" s="79" t="n">
        <x:v>60</x:v>
      </x:c>
      <x:c r="S21" s="79" t="str">
        <x:v>1 hour</x:v>
      </x:c>
      <x:c r="T21" s="79" t="n">
        <x:v>30</x:v>
      </x:c>
      <x:c r="U21" s="22" t="str">
        <x:v>Fraud defense</x:v>
      </x:c>
      <x:c r="V21" s="22" t="str">
        <x:v>No</x:v>
      </x:c>
      <x:c r="W21" s="22" t="str">
        <x:v>No</x:v>
      </x:c>
      <x:c r="X21" s="34" t="str">
        <x:v>Server-authoritative config; effects subject to stacking and hard caps.</x:v>
      </x:c>
    </x:row>
    <x:row r="22">
      <x:c r="A22" s="33" t="str">
        <x:v>mod_hnw_referral_network</x:v>
      </x:c>
      <x:c r="B22" s="22" t="str">
        <x:v>HNW Referral Network</x:v>
      </x:c>
      <x:c r="C22" s="22" t="str">
        <x:v>Rare</x:v>
      </x:c>
      <x:c r="D22" s="22" t="str">
        <x:v>Wealth</x:v>
      </x:c>
      <x:c r="E22" s="22" t="str">
        <x:v>Wealth, Private Banking, Advisory</x:v>
      </x:c>
      <x:c r="F22" s="22" t="str">
        <x:v>+10% HNW acquisition</x:v>
      </x:c>
      <x:c r="G22" s="22" t="str">
        <x:v>+5% retention; -4% General Consumer acquisition</x:v>
      </x:c>
      <x:c r="H22" s="22" t="str"/>
      <x:c r="I22" s="22" t="str">
        <x:v>wealth</x:v>
      </x:c>
      <x:c r="J22" s="22" t="str">
        <x:v>Growing</x:v>
      </x:c>
      <x:c r="K22" s="22" t="str">
        <x:v>Mastery III — choose from compatible family pool</x:v>
      </x:c>
      <x:c r="L22" s="22" t="str">
        <x:v>Hard</x:v>
      </x:c>
      <x:c r="M22" s="22" t="str">
        <x:v>Dividend Week</x:v>
      </x:c>
      <x:c r="N22" s="22" t="str">
        <x:v>Advanced / Prestige Earned Pack</x:v>
      </x:c>
      <x:c r="O22" s="22" t="str">
        <x:v>Yes — low chance</x:v>
      </x:c>
      <x:c r="P22" s="22" t="str">
        <x:v>Rare Parts</x:v>
      </x:c>
      <x:c r="Q22" s="79" t="n">
        <x:v>150</x:v>
      </x:c>
      <x:c r="R22" s="79" t="n">
        <x:v>60</x:v>
      </x:c>
      <x:c r="S22" s="79" t="str">
        <x:v>1 hour</x:v>
      </x:c>
      <x:c r="T22" s="79" t="n">
        <x:v>30</x:v>
      </x:c>
      <x:c r="U22" s="22" t="str">
        <x:v>HNW network</x:v>
      </x:c>
      <x:c r="V22" s="22" t="str">
        <x:v>No</x:v>
      </x:c>
      <x:c r="W22" s="22" t="str">
        <x:v>No</x:v>
      </x:c>
      <x:c r="X22" s="34" t="str">
        <x:v>Server-authoritative config; effects subject to stacking and hard caps.</x:v>
      </x:c>
    </x:row>
    <x:row r="23">
      <x:c r="A23" s="35" t="str">
        <x:v>mod_operational_redundancy</x:v>
      </x:c>
      <x:c r="B23" s="36" t="str">
        <x:v>Operational Redundancy</x:v>
      </x:c>
      <x:c r="C23" s="36" t="str">
        <x:v>Rare</x:v>
      </x:c>
      <x:c r="D23" s="36" t="str">
        <x:v>Operations</x:v>
      </x:c>
      <x:c r="E23" s="36" t="str">
        <x:v>All</x:v>
      </x:c>
      <x:c r="F23" s="36" t="str">
        <x:v>-7 Operational Risk</x:v>
      </x:c>
      <x:c r="G23" s="36" t="str">
        <x:v>+7% capacity; +4% operating cost</x:v>
      </x:c>
      <x:c r="H23" s="36" t="str"/>
      <x:c r="I23" s="36" t="str">
        <x:v>operations</x:v>
      </x:c>
      <x:c r="J23" s="36" t="str">
        <x:v>Growing</x:v>
      </x:c>
      <x:c r="K23" s="36" t="str">
        <x:v>Mastery III — choose from compatible family pool</x:v>
      </x:c>
      <x:c r="L23" s="36" t="str">
        <x:v>Hard</x:v>
      </x:c>
      <x:c r="M23" s="36" t="str">
        <x:v>Volatility Spike</x:v>
      </x:c>
      <x:c r="N23" s="36" t="str">
        <x:v>Advanced / Prestige Earned Pack</x:v>
      </x:c>
      <x:c r="O23" s="36" t="str">
        <x:v>Yes — low chance</x:v>
      </x:c>
      <x:c r="P23" s="36" t="str">
        <x:v>Rare Parts</x:v>
      </x:c>
      <x:c r="Q23" s="80" t="n">
        <x:v>150</x:v>
      </x:c>
      <x:c r="R23" s="80" t="n">
        <x:v>60</x:v>
      </x:c>
      <x:c r="S23" s="80" t="str">
        <x:v>1 hour</x:v>
      </x:c>
      <x:c r="T23" s="80" t="n">
        <x:v>30</x:v>
      </x:c>
      <x:c r="U23" s="36" t="str">
        <x:v>Resilience</x:v>
      </x:c>
      <x:c r="V23" s="36" t="str">
        <x:v>No</x:v>
      </x:c>
      <x:c r="W23" s="36" t="str">
        <x:v>No</x:v>
      </x:c>
      <x:c r="X23" s="37" t="str">
        <x:v>Server-authoritative config; effects subject to stacking and hard caps.</x:v>
      </x:c>
    </x:row>
  </x:sheetData>
  <x:mergeCells>
    <x:mergeCell ref="A1:X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18" hidden="0" customWidth="1"/>
    <x:col min="4" max="4" width="18" hidden="0" customWidth="1"/>
    <x:col min="5" max="5" width="32" hidden="0" customWidth="1"/>
    <x:col min="6" max="6" width="32" hidden="0" customWidth="1"/>
    <x:col min="7" max="7" width="32" hidden="0" customWidth="1"/>
    <x:col min="8" max="8" width="32" hidden="0" customWidth="1"/>
    <x:col min="9" max="9" width="18" hidden="0" customWidth="1"/>
    <x:col min="10" max="10" width="1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</x:cols>
  <x:sheetData>
    <x:row r="1" ht="30" customHeight="1">
      <x:c r="A1" s="86" t="str">
        <x:v>Epic Modules — Canonical Catalog</x:v>
      </x:c>
      <x:c r="B1" s="86"/>
      <x:c r="C1" s="86"/>
      <x:c r="D1" s="86"/>
      <x:c r="E1" s="86"/>
      <x:c r="F1" s="86"/>
      <x:c r="G1" s="86"/>
      <x:c r="H1" s="86"/>
      <x:c r="I1" s="86"/>
      <x:c r="J1" s="86"/>
      <x:c r="K1" s="86"/>
      <x:c r="L1" s="86"/>
      <x:c r="M1" s="86"/>
      <x:c r="N1" s="86"/>
      <x:c r="O1" s="86"/>
      <x:c r="P1" s="86"/>
      <x:c r="Q1" s="86"/>
      <x:c r="R1" s="86"/>
      <x:c r="S1" s="86"/>
      <x:c r="T1" s="86"/>
      <x:c r="U1" s="86"/>
      <x:c r="V1" s="86"/>
      <x:c r="W1" s="86"/>
      <x:c r="X1" s="86"/>
    </x:row>
    <x:row r="3">
      <x:c r="A3" s="14" t="str">
        <x:v>Module ID</x:v>
      </x:c>
      <x:c r="B3" s="14" t="str">
        <x:v>Module Name</x:v>
      </x:c>
      <x:c r="C3" s="14" t="str">
        <x:v>Rarity</x:v>
      </x:c>
      <x:c r="D3" s="14" t="str">
        <x:v>Category</x:v>
      </x:c>
      <x:c r="E3" s="14" t="str">
        <x:v>Compatible Building Families</x:v>
      </x:c>
      <x:c r="F3" s="14" t="str">
        <x:v>Primary Power</x:v>
      </x:c>
      <x:c r="G3" s="14" t="str">
        <x:v>Secondary Power / Tradeoff</x:v>
      </x:c>
      <x:c r="H3" s="14" t="str">
        <x:v>Activation Condition</x:v>
      </x:c>
      <x:c r="I3" s="14" t="str">
        <x:v>Stacking Group</x:v>
      </x:c>
      <x:c r="J3" s="14" t="str">
        <x:v>Stage Gate</x:v>
      </x:c>
      <x:c r="K3" s="14" t="str">
        <x:v>Guaranteed Acquisition</x:v>
      </x:c>
      <x:c r="L3" s="14" t="str">
        <x:v>Minimum Hunt</x:v>
      </x:c>
      <x:c r="M3" s="14" t="str">
        <x:v>Dedicated Event / Themed Source</x:v>
      </x:c>
      <x:c r="N3" s="14" t="str">
        <x:v>Earned Pack Source</x:v>
      </x:c>
      <x:c r="O3" s="14" t="str">
        <x:v>In-Game Cash Pack?</x:v>
      </x:c>
      <x:c r="P3" s="14" t="str">
        <x:v>Craft Parts</x:v>
      </x:c>
      <x:c r="Q3" s="14" t="str">
        <x:v>Craft Cost</x:v>
      </x:c>
      <x:c r="R3" s="14" t="str">
        <x:v>Craft Time (min)</x:v>
      </x:c>
      <x:c r="S3" s="14" t="str">
        <x:v>Craft Time</x:v>
      </x:c>
      <x:c r="T3" s="14" t="str">
        <x:v>Dismantle Parts</x:v>
      </x:c>
      <x:c r="U3" s="14" t="str">
        <x:v>Gameplay Role</x:v>
      </x:c>
      <x:c r="V3" s="14" t="str">
        <x:v>Direct Performance?</x:v>
      </x:c>
      <x:c r="W3" s="14" t="str">
        <x:v>Direct $PLOT?</x:v>
      </x:c>
      <x:c r="X3" s="14" t="str">
        <x:v>Implementation Notes</x:v>
      </x:c>
    </x:row>
    <x:row r="4">
      <x:c r="A4" s="30" t="str">
        <x:v>mod_deposit_sweep_engine</x:v>
      </x:c>
      <x:c r="B4" s="31" t="str">
        <x:v>Deposit Sweep Engine</x:v>
      </x:c>
      <x:c r="C4" s="31" t="str">
        <x:v>Epic</x:v>
      </x:c>
      <x:c r="D4" s="31" t="str">
        <x:v>Liquidity</x:v>
      </x:c>
      <x:c r="E4" s="31" t="str">
        <x:v>Banking, Treasury</x:v>
      </x:c>
      <x:c r="F4" s="31" t="str">
        <x:v>+12% capacity</x:v>
      </x:c>
      <x:c r="G4" s="31" t="str">
        <x:v>If reserve &lt;8%: +6 Liquidity Risk</x:v>
      </x:c>
      <x:c r="H4" s="31" t="str">
        <x:v>Reserve Ratio &gt;=15%</x:v>
      </x:c>
      <x:c r="I4" s="31" t="str">
        <x:v>liquidity</x:v>
      </x:c>
      <x:c r="J4" s="31" t="str">
        <x:v>Established</x:v>
      </x:c>
      <x:c r="K4" s="31" t="str">
        <x:v>Mastery IV — choose from compatible family pool</x:v>
      </x:c>
      <x:c r="L4" s="31" t="str">
        <x:v>Elite</x:v>
      </x:c>
      <x:c r="M4" s="31" t="str">
        <x:v>Liquidity Crunch</x:v>
      </x:c>
      <x:c r="N4" s="31" t="str">
        <x:v>Advanced / Prestige Earned Pack</x:v>
      </x:c>
      <x:c r="O4" s="31" t="str">
        <x:v>No</x:v>
      </x:c>
      <x:c r="P4" s="31" t="str">
        <x:v>Epic Parts</x:v>
      </x:c>
      <x:c r="Q4" s="78" t="n">
        <x:v>400</x:v>
      </x:c>
      <x:c r="R4" s="78" t="n">
        <x:v>240</x:v>
      </x:c>
      <x:c r="S4" s="78" t="str">
        <x:v>4 hours</x:v>
      </x:c>
      <x:c r="T4" s="78" t="n">
        <x:v>80</x:v>
      </x:c>
      <x:c r="U4" s="31" t="str">
        <x:v>Conditional treasury</x:v>
      </x:c>
      <x:c r="V4" s="31" t="str">
        <x:v>No</x:v>
      </x:c>
      <x:c r="W4" s="31" t="str">
        <x:v>No</x:v>
      </x:c>
      <x:c r="X4" s="32" t="str">
        <x:v>Server-authoritative config; effects subject to stacking and hard caps.</x:v>
      </x:c>
    </x:row>
    <x:row r="5">
      <x:c r="A5" s="33" t="str">
        <x:v>mod_volatility_engine</x:v>
      </x:c>
      <x:c r="B5" s="22" t="str">
        <x:v>Volatility Engine</x:v>
      </x:c>
      <x:c r="C5" s="22" t="str">
        <x:v>Epic</x:v>
      </x:c>
      <x:c r="D5" s="22" t="str">
        <x:v>Market</x:v>
      </x:c>
      <x:c r="E5" s="22" t="str">
        <x:v>Trading, Exchange, Market Making</x:v>
      </x:c>
      <x:c r="F5" s="22" t="str">
        <x:v>+14% activity efficiency</x:v>
      </x:c>
      <x:c r="G5" s="22" t="str">
        <x:v>+8 Market Risk</x:v>
      </x:c>
      <x:c r="H5" s="22" t="str">
        <x:v>Market State = Bull/Expansion OR Volatility Spike active</x:v>
      </x:c>
      <x:c r="I5" s="22" t="str">
        <x:v>market</x:v>
      </x:c>
      <x:c r="J5" s="22" t="str">
        <x:v>Established</x:v>
      </x:c>
      <x:c r="K5" s="22" t="str">
        <x:v>Mastery IV — choose from compatible family pool</x:v>
      </x:c>
      <x:c r="L5" s="22" t="str">
        <x:v>Elite</x:v>
      </x:c>
      <x:c r="M5" s="22" t="str">
        <x:v>Volatility Spike</x:v>
      </x:c>
      <x:c r="N5" s="22" t="str">
        <x:v>Advanced / Prestige Earned Pack</x:v>
      </x:c>
      <x:c r="O5" s="22" t="str">
        <x:v>No</x:v>
      </x:c>
      <x:c r="P5" s="22" t="str">
        <x:v>Epic Parts</x:v>
      </x:c>
      <x:c r="Q5" s="79" t="n">
        <x:v>400</x:v>
      </x:c>
      <x:c r="R5" s="79" t="n">
        <x:v>240</x:v>
      </x:c>
      <x:c r="S5" s="79" t="str">
        <x:v>4 hours</x:v>
      </x:c>
      <x:c r="T5" s="79" t="n">
        <x:v>80</x:v>
      </x:c>
      <x:c r="U5" s="22" t="str">
        <x:v>High volatility offense</x:v>
      </x:c>
      <x:c r="V5" s="22" t="str">
        <x:v>No</x:v>
      </x:c>
      <x:c r="W5" s="22" t="str">
        <x:v>No</x:v>
      </x:c>
      <x:c r="X5" s="34" t="str">
        <x:v>Server-authoritative config; effects subject to stacking and hard caps.</x:v>
      </x:c>
    </x:row>
    <x:row r="6">
      <x:c r="A6" s="33" t="str">
        <x:v>mod_family_office_protocol</x:v>
      </x:c>
      <x:c r="B6" s="22" t="str">
        <x:v>Family Office Protocol</x:v>
      </x:c>
      <x:c r="C6" s="22" t="str">
        <x:v>Epic</x:v>
      </x:c>
      <x:c r="D6" s="22" t="str">
        <x:v>Wealth</x:v>
      </x:c>
      <x:c r="E6" s="22" t="str">
        <x:v>Wealth, Private Banking</x:v>
      </x:c>
      <x:c r="F6" s="22" t="str">
        <x:v>+12% HNW retention</x:v>
      </x:c>
      <x:c r="G6" s="22" t="str">
        <x:v>-5% capacity</x:v>
      </x:c>
      <x:c r="H6" s="22" t="str">
        <x:v>Reputation &gt;=80</x:v>
      </x:c>
      <x:c r="I6" s="22" t="str">
        <x:v>wealth</x:v>
      </x:c>
      <x:c r="J6" s="22" t="str">
        <x:v>Established</x:v>
      </x:c>
      <x:c r="K6" s="22" t="str">
        <x:v>Mastery IV — choose from compatible family pool</x:v>
      </x:c>
      <x:c r="L6" s="22" t="str">
        <x:v>Elite</x:v>
      </x:c>
      <x:c r="M6" s="22" t="str">
        <x:v>Dividend Week</x:v>
      </x:c>
      <x:c r="N6" s="22" t="str">
        <x:v>Advanced / Prestige Earned Pack</x:v>
      </x:c>
      <x:c r="O6" s="22" t="str">
        <x:v>No</x:v>
      </x:c>
      <x:c r="P6" s="22" t="str">
        <x:v>Epic Parts</x:v>
      </x:c>
      <x:c r="Q6" s="79" t="n">
        <x:v>400</x:v>
      </x:c>
      <x:c r="R6" s="79" t="n">
        <x:v>240</x:v>
      </x:c>
      <x:c r="S6" s="79" t="str">
        <x:v>4 hours</x:v>
      </x:c>
      <x:c r="T6" s="79" t="n">
        <x:v>80</x:v>
      </x:c>
      <x:c r="U6" s="22" t="str">
        <x:v>Prestige wealth</x:v>
      </x:c>
      <x:c r="V6" s="22" t="str">
        <x:v>No</x:v>
      </x:c>
      <x:c r="W6" s="22" t="str">
        <x:v>No</x:v>
      </x:c>
      <x:c r="X6" s="34" t="str">
        <x:v>Server-authoritative config; effects subject to stacking and hard caps.</x:v>
      </x:c>
    </x:row>
    <x:row r="7">
      <x:c r="A7" s="33" t="str">
        <x:v>mod_credit_scoring_engine</x:v>
      </x:c>
      <x:c r="B7" s="22" t="str">
        <x:v>Credit Scoring Engine</x:v>
      </x:c>
      <x:c r="C7" s="22" t="str">
        <x:v>Epic</x:v>
      </x:c>
      <x:c r="D7" s="22" t="str">
        <x:v>Credit</x:v>
      </x:c>
      <x:c r="E7" s="22" t="str">
        <x:v>Lending, Banking</x:v>
      </x:c>
      <x:c r="F7" s="22" t="str">
        <x:v>+10% Small Business acquisition</x:v>
      </x:c>
      <x:c r="G7" s="22" t="str">
        <x:v>-5 Credit Risk</x:v>
      </x:c>
      <x:c r="H7" s="22" t="str">
        <x:v>Service Quality &gt;=75</x:v>
      </x:c>
      <x:c r="I7" s="22" t="str">
        <x:v>credit</x:v>
      </x:c>
      <x:c r="J7" s="22" t="str">
        <x:v>Established</x:v>
      </x:c>
      <x:c r="K7" s="22" t="str">
        <x:v>Mastery IV — choose from compatible family pool</x:v>
      </x:c>
      <x:c r="L7" s="22" t="str">
        <x:v>Elite</x:v>
      </x:c>
      <x:c r="M7" s="22" t="str">
        <x:v>Credit Boom</x:v>
      </x:c>
      <x:c r="N7" s="22" t="str">
        <x:v>Advanced / Prestige Earned Pack</x:v>
      </x:c>
      <x:c r="O7" s="22" t="str">
        <x:v>No</x:v>
      </x:c>
      <x:c r="P7" s="22" t="str">
        <x:v>Epic Parts</x:v>
      </x:c>
      <x:c r="Q7" s="79" t="n">
        <x:v>400</x:v>
      </x:c>
      <x:c r="R7" s="79" t="n">
        <x:v>240</x:v>
      </x:c>
      <x:c r="S7" s="79" t="str">
        <x:v>4 hours</x:v>
      </x:c>
      <x:c r="T7" s="79" t="n">
        <x:v>80</x:v>
      </x:c>
      <x:c r="U7" s="22" t="str">
        <x:v>Quality lending</x:v>
      </x:c>
      <x:c r="V7" s="22" t="str">
        <x:v>No</x:v>
      </x:c>
      <x:c r="W7" s="22" t="str">
        <x:v>No</x:v>
      </x:c>
      <x:c r="X7" s="34" t="str">
        <x:v>Server-authoritative config; effects subject to stacking and hard caps.</x:v>
      </x:c>
    </x:row>
    <x:row r="8">
      <x:c r="A8" s="33" t="str">
        <x:v>mod_deep_liquidity_engine</x:v>
      </x:c>
      <x:c r="B8" s="22" t="str">
        <x:v>Deep Liquidity Engine</x:v>
      </x:c>
      <x:c r="C8" s="22" t="str">
        <x:v>Epic</x:v>
      </x:c>
      <x:c r="D8" s="22" t="str">
        <x:v>Liquidity</x:v>
      </x:c>
      <x:c r="E8" s="22" t="str">
        <x:v>Market Making, Exchange</x:v>
      </x:c>
      <x:c r="F8" s="22" t="str">
        <x:v>+12% capacity</x:v>
      </x:c>
      <x:c r="G8" s="22" t="str">
        <x:v>-6 Liquidity Risk; +4 Market Risk</x:v>
      </x:c>
      <x:c r="H8" s="22" t="str"/>
      <x:c r="I8" s="22" t="str">
        <x:v>liquidity</x:v>
      </x:c>
      <x:c r="J8" s="22" t="str">
        <x:v>Established</x:v>
      </x:c>
      <x:c r="K8" s="22" t="str">
        <x:v>Mastery IV — choose from compatible family pool</x:v>
      </x:c>
      <x:c r="L8" s="22" t="str">
        <x:v>Elite</x:v>
      </x:c>
      <x:c r="M8" s="22" t="str">
        <x:v>Liquidity Crunch</x:v>
      </x:c>
      <x:c r="N8" s="22" t="str">
        <x:v>Advanced / Prestige Earned Pack</x:v>
      </x:c>
      <x:c r="O8" s="22" t="str">
        <x:v>No</x:v>
      </x:c>
      <x:c r="P8" s="22" t="str">
        <x:v>Epic Parts</x:v>
      </x:c>
      <x:c r="Q8" s="79" t="n">
        <x:v>400</x:v>
      </x:c>
      <x:c r="R8" s="79" t="n">
        <x:v>240</x:v>
      </x:c>
      <x:c r="S8" s="79" t="str">
        <x:v>4 hours</x:v>
      </x:c>
      <x:c r="T8" s="79" t="n">
        <x:v>80</x:v>
      </x:c>
      <x:c r="U8" s="22" t="str">
        <x:v>Market infrastructure</x:v>
      </x:c>
      <x:c r="V8" s="22" t="str">
        <x:v>No</x:v>
      </x:c>
      <x:c r="W8" s="22" t="str">
        <x:v>No</x:v>
      </x:c>
      <x:c r="X8" s="34" t="str">
        <x:v>Server-authoritative config; effects subject to stacking and hard caps.</x:v>
      </x:c>
    </x:row>
    <x:row r="9">
      <x:c r="A9" s="33" t="str">
        <x:v>mod_deal_execution_room</x:v>
      </x:c>
      <x:c r="B9" s="22" t="str">
        <x:v>Deal Execution Room</x:v>
      </x:c>
      <x:c r="C9" s="22" t="str">
        <x:v>Epic</x:v>
      </x:c>
      <x:c r="D9" s="22" t="str">
        <x:v>Institutional</x:v>
      </x:c>
      <x:c r="E9" s="22" t="str">
        <x:v>Investment Banking</x:v>
      </x:c>
      <x:c r="F9" s="22" t="str">
        <x:v>+12% activity efficiency</x:v>
      </x:c>
      <x:c r="G9" s="22" t="str">
        <x:v>+4 Operational Risk</x:v>
      </x:c>
      <x:c r="H9" s="22" t="str">
        <x:v>Corporate Client utilization &gt;=50%</x:v>
      </x:c>
      <x:c r="I9" s="22" t="str">
        <x:v>institutional</x:v>
      </x:c>
      <x:c r="J9" s="22" t="str">
        <x:v>Established</x:v>
      </x:c>
      <x:c r="K9" s="22" t="str">
        <x:v>Mastery IV — choose from compatible family pool</x:v>
      </x:c>
      <x:c r="L9" s="22" t="str">
        <x:v>Elite</x:v>
      </x:c>
      <x:c r="M9" s="22" t="str">
        <x:v>M&amp;A Boom</x:v>
      </x:c>
      <x:c r="N9" s="22" t="str">
        <x:v>Advanced / Prestige Earned Pack</x:v>
      </x:c>
      <x:c r="O9" s="22" t="str">
        <x:v>No</x:v>
      </x:c>
      <x:c r="P9" s="22" t="str">
        <x:v>Epic Parts</x:v>
      </x:c>
      <x:c r="Q9" s="79" t="n">
        <x:v>400</x:v>
      </x:c>
      <x:c r="R9" s="79" t="n">
        <x:v>240</x:v>
      </x:c>
      <x:c r="S9" s="79" t="str">
        <x:v>4 hours</x:v>
      </x:c>
      <x:c r="T9" s="79" t="n">
        <x:v>80</x:v>
      </x:c>
      <x:c r="U9" s="22" t="str">
        <x:v>Deal throughput</x:v>
      </x:c>
      <x:c r="V9" s="22" t="str">
        <x:v>No</x:v>
      </x:c>
      <x:c r="W9" s="22" t="str">
        <x:v>No</x:v>
      </x:c>
      <x:c r="X9" s="34" t="str">
        <x:v>Server-authoritative config; effects subject to stacking and hard caps.</x:v>
      </x:c>
    </x:row>
    <x:row r="10">
      <x:c r="A10" s="33" t="str">
        <x:v>mod_adaptive_data_fabric</x:v>
      </x:c>
      <x:c r="B10" s="22" t="str">
        <x:v>Adaptive Data Fabric</x:v>
      </x:c>
      <x:c r="C10" s="22" t="str">
        <x:v>Epic</x:v>
      </x:c>
      <x:c r="D10" s="22" t="str">
        <x:v>Research</x:v>
      </x:c>
      <x:c r="E10" s="22" t="str">
        <x:v>Research, Data, Fintech</x:v>
      </x:c>
      <x:c r="F10" s="22" t="str">
        <x:v>+8% activity efficiency</x:v>
      </x:c>
      <x:c r="G10" s="22" t="str">
        <x:v>+5 Service Quality</x:v>
      </x:c>
      <x:c r="H10" s="22" t="str">
        <x:v>Operational Risk &lt;=50</x:v>
      </x:c>
      <x:c r="I10" s="22" t="str">
        <x:v>research</x:v>
      </x:c>
      <x:c r="J10" s="22" t="str">
        <x:v>Established</x:v>
      </x:c>
      <x:c r="K10" s="22" t="str">
        <x:v>Mastery IV — choose from compatible family pool</x:v>
      </x:c>
      <x:c r="L10" s="22" t="str">
        <x:v>Elite</x:v>
      </x:c>
      <x:c r="M10" s="22" t="str">
        <x:v>Tech Rally</x:v>
      </x:c>
      <x:c r="N10" s="22" t="str">
        <x:v>Advanced / Prestige Earned Pack</x:v>
      </x:c>
      <x:c r="O10" s="22" t="str">
        <x:v>No</x:v>
      </x:c>
      <x:c r="P10" s="22" t="str">
        <x:v>Epic Parts</x:v>
      </x:c>
      <x:c r="Q10" s="79" t="n">
        <x:v>400</x:v>
      </x:c>
      <x:c r="R10" s="79" t="n">
        <x:v>240</x:v>
      </x:c>
      <x:c r="S10" s="79" t="str">
        <x:v>4 hours</x:v>
      </x:c>
      <x:c r="T10" s="79" t="n">
        <x:v>80</x:v>
      </x:c>
      <x:c r="U10" s="22" t="str">
        <x:v>Quality-conditioned tech</x:v>
      </x:c>
      <x:c r="V10" s="22" t="str">
        <x:v>No</x:v>
      </x:c>
      <x:c r="W10" s="22" t="str">
        <x:v>No</x:v>
      </x:c>
      <x:c r="X10" s="34" t="str">
        <x:v>Server-authoritative config; effects subject to stacking and hard caps.</x:v>
      </x:c>
    </x:row>
    <x:row r="11">
      <x:c r="A11" s="33" t="str">
        <x:v>mod_stress_test_framework</x:v>
      </x:c>
      <x:c r="B11" s="22" t="str">
        <x:v>Stress-Test Framework</x:v>
      </x:c>
      <x:c r="C11" s="22" t="str">
        <x:v>Epic</x:v>
      </x:c>
      <x:c r="D11" s="22" t="str">
        <x:v>Risk</x:v>
      </x:c>
      <x:c r="E11" s="22" t="str">
        <x:v>Banking, Treasury, Insurance, Asset Management</x:v>
      </x:c>
      <x:c r="F11" s="22" t="str">
        <x:v>-10 combined relevant Risk points</x:v>
      </x:c>
      <x:c r="G11" s="22" t="str">
        <x:v>-6% activity efficiency</x:v>
      </x:c>
      <x:c r="H11" s="22" t="str">
        <x:v>Composite Risk &gt;=35</x:v>
      </x:c>
      <x:c r="I11" s="22" t="str">
        <x:v>risk</x:v>
      </x:c>
      <x:c r="J11" s="22" t="str">
        <x:v>Established</x:v>
      </x:c>
      <x:c r="K11" s="22" t="str">
        <x:v>Mastery IV — choose from compatible family pool</x:v>
      </x:c>
      <x:c r="L11" s="22" t="str">
        <x:v>Elite</x:v>
      </x:c>
      <x:c r="M11" s="22" t="str">
        <x:v>Market Correction</x:v>
      </x:c>
      <x:c r="N11" s="22" t="str">
        <x:v>Advanced / Prestige Earned Pack</x:v>
      </x:c>
      <x:c r="O11" s="22" t="str">
        <x:v>No</x:v>
      </x:c>
      <x:c r="P11" s="22" t="str">
        <x:v>Epic Parts</x:v>
      </x:c>
      <x:c r="Q11" s="79" t="n">
        <x:v>400</x:v>
      </x:c>
      <x:c r="R11" s="79" t="n">
        <x:v>240</x:v>
      </x:c>
      <x:c r="S11" s="79" t="str">
        <x:v>4 hours</x:v>
      </x:c>
      <x:c r="T11" s="79" t="n">
        <x:v>80</x:v>
      </x:c>
      <x:c r="U11" s="22" t="str">
        <x:v>Crisis defense</x:v>
      </x:c>
      <x:c r="V11" s="22" t="str">
        <x:v>No</x:v>
      </x:c>
      <x:c r="W11" s="22" t="str">
        <x:v>No</x:v>
      </x:c>
      <x:c r="X11" s="34" t="str">
        <x:v>Server-authoritative config; effects subject to stacking and hard caps.</x:v>
      </x:c>
    </x:row>
    <x:row r="12">
      <x:c r="A12" s="33" t="str">
        <x:v>mod_ipo_syndication_desk</x:v>
      </x:c>
      <x:c r="B12" s="22" t="str">
        <x:v>IPO Syndication Desk</x:v>
      </x:c>
      <x:c r="C12" s="22" t="str">
        <x:v>Epic</x:v>
      </x:c>
      <x:c r="D12" s="22" t="str">
        <x:v>Institutional</x:v>
      </x:c>
      <x:c r="E12" s="22" t="str">
        <x:v>Investment Banking, Brokerage, Exchange</x:v>
      </x:c>
      <x:c r="F12" s="22" t="str">
        <x:v>+12% Corporate Client acquisition</x:v>
      </x:c>
      <x:c r="G12" s="22" t="str">
        <x:v>+8% activity efficiency; +4 Reputation Risk</x:v>
      </x:c>
      <x:c r="H12" s="22" t="str">
        <x:v>IPO Week active</x:v>
      </x:c>
      <x:c r="I12" s="22" t="str">
        <x:v>institutional</x:v>
      </x:c>
      <x:c r="J12" s="22" t="str">
        <x:v>Established</x:v>
      </x:c>
      <x:c r="K12" s="22" t="str">
        <x:v>Mastery IV — choose from compatible family pool</x:v>
      </x:c>
      <x:c r="L12" s="22" t="str">
        <x:v>Elite</x:v>
      </x:c>
      <x:c r="M12" s="22" t="str">
        <x:v>IPO Week</x:v>
      </x:c>
      <x:c r="N12" s="22" t="str">
        <x:v>Advanced / Prestige Earned Pack</x:v>
      </x:c>
      <x:c r="O12" s="22" t="str">
        <x:v>No</x:v>
      </x:c>
      <x:c r="P12" s="22" t="str">
        <x:v>Epic Parts</x:v>
      </x:c>
      <x:c r="Q12" s="79" t="n">
        <x:v>400</x:v>
      </x:c>
      <x:c r="R12" s="79" t="n">
        <x:v>240</x:v>
      </x:c>
      <x:c r="S12" s="79" t="str">
        <x:v>4 hours</x:v>
      </x:c>
      <x:c r="T12" s="79" t="n">
        <x:v>80</x:v>
      </x:c>
      <x:c r="U12" s="22" t="str">
        <x:v>Event specialization</x:v>
      </x:c>
      <x:c r="V12" s="22" t="str">
        <x:v>No</x:v>
      </x:c>
      <x:c r="W12" s="22" t="str">
        <x:v>No</x:v>
      </x:c>
      <x:c r="X12" s="34" t="str">
        <x:v>Server-authoritative config; effects subject to stacking and hard caps.</x:v>
      </x:c>
    </x:row>
    <x:row r="13">
      <x:c r="A13" s="33" t="str">
        <x:v>mod_cross_market_arbitrage_engine</x:v>
      </x:c>
      <x:c r="B13" s="22" t="str">
        <x:v>Cross-Market Arbitrage Engine</x:v>
      </x:c>
      <x:c r="C13" s="22" t="str">
        <x:v>Epic</x:v>
      </x:c>
      <x:c r="D13" s="22" t="str">
        <x:v>Market</x:v>
      </x:c>
      <x:c r="E13" s="22" t="str">
        <x:v>Trading, Exchange, Market Making, FX</x:v>
      </x:c>
      <x:c r="F13" s="22" t="str">
        <x:v>+13% activity efficiency</x:v>
      </x:c>
      <x:c r="G13" s="22" t="str">
        <x:v>+7 Market Risk; +3 Operational Risk</x:v>
      </x:c>
      <x:c r="H13" s="22" t="str">
        <x:v>Market State != Crisis</x:v>
      </x:c>
      <x:c r="I13" s="22" t="str">
        <x:v>market</x:v>
      </x:c>
      <x:c r="J13" s="22" t="str">
        <x:v>Established</x:v>
      </x:c>
      <x:c r="K13" s="22" t="str">
        <x:v>Mastery IV — choose from compatible family pool</x:v>
      </x:c>
      <x:c r="L13" s="22" t="str">
        <x:v>Elite</x:v>
      </x:c>
      <x:c r="M13" s="22" t="str">
        <x:v>Bull Market</x:v>
      </x:c>
      <x:c r="N13" s="22" t="str">
        <x:v>Advanced / Prestige Earned Pack</x:v>
      </x:c>
      <x:c r="O13" s="22" t="str">
        <x:v>No</x:v>
      </x:c>
      <x:c r="P13" s="22" t="str">
        <x:v>Epic Parts</x:v>
      </x:c>
      <x:c r="Q13" s="79" t="n">
        <x:v>400</x:v>
      </x:c>
      <x:c r="R13" s="79" t="n">
        <x:v>240</x:v>
      </x:c>
      <x:c r="S13" s="79" t="str">
        <x:v>4 hours</x:v>
      </x:c>
      <x:c r="T13" s="79" t="n">
        <x:v>80</x:v>
      </x:c>
      <x:c r="U13" s="22" t="str">
        <x:v>Cross-market offense</x:v>
      </x:c>
      <x:c r="V13" s="22" t="str">
        <x:v>No</x:v>
      </x:c>
      <x:c r="W13" s="22" t="str">
        <x:v>No</x:v>
      </x:c>
      <x:c r="X13" s="34" t="str">
        <x:v>Server-authoritative config; effects subject to stacking and hard caps.</x:v>
      </x:c>
    </x:row>
    <x:row r="14">
      <x:c r="A14" s="33" t="str">
        <x:v>mod_advanced_claims_analytics</x:v>
      </x:c>
      <x:c r="B14" s="22" t="str">
        <x:v>Advanced Claims Analytics</x:v>
      </x:c>
      <x:c r="C14" s="22" t="str">
        <x:v>Epic</x:v>
      </x:c>
      <x:c r="D14" s="22" t="str">
        <x:v>Service</x:v>
      </x:c>
      <x:c r="E14" s="22" t="str">
        <x:v>Insurance</x:v>
      </x:c>
      <x:c r="F14" s="22" t="str">
        <x:v>+10% retention</x:v>
      </x:c>
      <x:c r="G14" s="22" t="str">
        <x:v>+6 Service Quality; -5 Operational Risk</x:v>
      </x:c>
      <x:c r="H14" s="22" t="str">
        <x:v>Utilization &lt;=95%</x:v>
      </x:c>
      <x:c r="I14" s="22" t="str">
        <x:v>service</x:v>
      </x:c>
      <x:c r="J14" s="22" t="str">
        <x:v>Established</x:v>
      </x:c>
      <x:c r="K14" s="22" t="str">
        <x:v>Mastery IV — choose from compatible family pool</x:v>
      </x:c>
      <x:c r="L14" s="22" t="str">
        <x:v>Elite</x:v>
      </x:c>
      <x:c r="M14" s="22" t="str">
        <x:v>Regulatory Approval</x:v>
      </x:c>
      <x:c r="N14" s="22" t="str">
        <x:v>Advanced / Prestige Earned Pack</x:v>
      </x:c>
      <x:c r="O14" s="22" t="str">
        <x:v>No</x:v>
      </x:c>
      <x:c r="P14" s="22" t="str">
        <x:v>Epic Parts</x:v>
      </x:c>
      <x:c r="Q14" s="79" t="n">
        <x:v>400</x:v>
      </x:c>
      <x:c r="R14" s="79" t="n">
        <x:v>240</x:v>
      </x:c>
      <x:c r="S14" s="79" t="str">
        <x:v>4 hours</x:v>
      </x:c>
      <x:c r="T14" s="79" t="n">
        <x:v>80</x:v>
      </x:c>
      <x:c r="U14" s="22" t="str">
        <x:v>Insurance analytics</x:v>
      </x:c>
      <x:c r="V14" s="22" t="str">
        <x:v>No</x:v>
      </x:c>
      <x:c r="W14" s="22" t="str">
        <x:v>No</x:v>
      </x:c>
      <x:c r="X14" s="34" t="str">
        <x:v>Server-authoritative config; effects subject to stacking and hard caps.</x:v>
      </x:c>
    </x:row>
    <x:row r="15">
      <x:c r="A15" s="33" t="str">
        <x:v>mod_dynamic_capital_allocation</x:v>
      </x:c>
      <x:c r="B15" s="22" t="str">
        <x:v>Dynamic Capital Allocation</x:v>
      </x:c>
      <x:c r="C15" s="22" t="str">
        <x:v>Epic</x:v>
      </x:c>
      <x:c r="D15" s="22" t="str">
        <x:v>Risk</x:v>
      </x:c>
      <x:c r="E15" s="22" t="str">
        <x:v>Asset Management, Wealth, Treasury</x:v>
      </x:c>
      <x:c r="F15" s="22" t="str">
        <x:v>-8 Concentration Risk</x:v>
      </x:c>
      <x:c r="G15" s="22" t="str">
        <x:v>+8% activity efficiency</x:v>
      </x:c>
      <x:c r="H15" s="22" t="str">
        <x:v>No segment &gt;60%</x:v>
      </x:c>
      <x:c r="I15" s="22" t="str">
        <x:v>risk</x:v>
      </x:c>
      <x:c r="J15" s="22" t="str">
        <x:v>Established</x:v>
      </x:c>
      <x:c r="K15" s="22" t="str">
        <x:v>Mastery IV — choose from compatible family pool</x:v>
      </x:c>
      <x:c r="L15" s="22" t="str">
        <x:v>Elite</x:v>
      </x:c>
      <x:c r="M15" s="22" t="str">
        <x:v>Market Correction</x:v>
      </x:c>
      <x:c r="N15" s="22" t="str">
        <x:v>Advanced / Prestige Earned Pack</x:v>
      </x:c>
      <x:c r="O15" s="22" t="str">
        <x:v>No</x:v>
      </x:c>
      <x:c r="P15" s="22" t="str">
        <x:v>Epic Parts</x:v>
      </x:c>
      <x:c r="Q15" s="79" t="n">
        <x:v>400</x:v>
      </x:c>
      <x:c r="R15" s="79" t="n">
        <x:v>240</x:v>
      </x:c>
      <x:c r="S15" s="79" t="str">
        <x:v>4 hours</x:v>
      </x:c>
      <x:c r="T15" s="79" t="n">
        <x:v>80</x:v>
      </x:c>
      <x:c r="U15" s="22" t="str">
        <x:v>Capital discipline</x:v>
      </x:c>
      <x:c r="V15" s="22" t="str">
        <x:v>No</x:v>
      </x:c>
      <x:c r="W15" s="22" t="str">
        <x:v>No</x:v>
      </x:c>
      <x:c r="X15" s="34" t="str">
        <x:v>Server-authoritative config; effects subject to stacking and hard caps.</x:v>
      </x:c>
    </x:row>
    <x:row r="16">
      <x:c r="A16" s="33" t="str">
        <x:v>mod_regulatory_intelligence_suite</x:v>
      </x:c>
      <x:c r="B16" s="22" t="str">
        <x:v>Regulatory Intelligence Suite</x:v>
      </x:c>
      <x:c r="C16" s="22" t="str">
        <x:v>Epic</x:v>
      </x:c>
      <x:c r="D16" s="22" t="str">
        <x:v>Risk</x:v>
      </x:c>
      <x:c r="E16" s="22" t="str">
        <x:v>Banking, Brokerage, Fintech, Insurance, Investment Banking</x:v>
      </x:c>
      <x:c r="F16" s="22" t="str">
        <x:v>-8 Reputation Risk</x:v>
      </x:c>
      <x:c r="G16" s="22" t="str">
        <x:v>-5 Operational Risk; -4% activity efficiency</x:v>
      </x:c>
      <x:c r="H16" s="22" t="str"/>
      <x:c r="I16" s="22" t="str">
        <x:v>risk</x:v>
      </x:c>
      <x:c r="J16" s="22" t="str">
        <x:v>Established</x:v>
      </x:c>
      <x:c r="K16" s="22" t="str">
        <x:v>Mastery IV — choose from compatible family pool</x:v>
      </x:c>
      <x:c r="L16" s="22" t="str">
        <x:v>Elite</x:v>
      </x:c>
      <x:c r="M16" s="22" t="str">
        <x:v>Regulatory Approval</x:v>
      </x:c>
      <x:c r="N16" s="22" t="str">
        <x:v>Advanced / Prestige Earned Pack</x:v>
      </x:c>
      <x:c r="O16" s="22" t="str">
        <x:v>No</x:v>
      </x:c>
      <x:c r="P16" s="22" t="str">
        <x:v>Epic Parts</x:v>
      </x:c>
      <x:c r="Q16" s="79" t="n">
        <x:v>400</x:v>
      </x:c>
      <x:c r="R16" s="79" t="n">
        <x:v>240</x:v>
      </x:c>
      <x:c r="S16" s="79" t="str">
        <x:v>4 hours</x:v>
      </x:c>
      <x:c r="T16" s="79" t="n">
        <x:v>80</x:v>
      </x:c>
      <x:c r="U16" s="22" t="str">
        <x:v>Compliance defense</x:v>
      </x:c>
      <x:c r="V16" s="22" t="str">
        <x:v>No</x:v>
      </x:c>
      <x:c r="W16" s="22" t="str">
        <x:v>No</x:v>
      </x:c>
      <x:c r="X16" s="34" t="str">
        <x:v>Server-authoritative config; effects subject to stacking and hard caps.</x:v>
      </x:c>
    </x:row>
    <x:row r="17">
      <x:c r="A17" s="33" t="str">
        <x:v>mod_enterprise_risk_cockpit</x:v>
      </x:c>
      <x:c r="B17" s="22" t="str">
        <x:v>Enterprise Risk Cockpit</x:v>
      </x:c>
      <x:c r="C17" s="22" t="str">
        <x:v>Epic</x:v>
      </x:c>
      <x:c r="D17" s="22" t="str">
        <x:v>Risk</x:v>
      </x:c>
      <x:c r="E17" s="22" t="str">
        <x:v>All</x:v>
      </x:c>
      <x:c r="F17" s="22" t="str">
        <x:v>-6 Operational Risk</x:v>
      </x:c>
      <x:c r="G17" s="22" t="str">
        <x:v>-5 highest applicable Market/Credit Risk; -4% activity efficiency</x:v>
      </x:c>
      <x:c r="H17" s="22" t="str">
        <x:v>Composite Risk &gt;=30</x:v>
      </x:c>
      <x:c r="I17" s="22" t="str">
        <x:v>risk</x:v>
      </x:c>
      <x:c r="J17" s="22" t="str">
        <x:v>Established</x:v>
      </x:c>
      <x:c r="K17" s="22" t="str">
        <x:v>Mastery IV — choose from compatible family pool</x:v>
      </x:c>
      <x:c r="L17" s="22" t="str">
        <x:v>Elite</x:v>
      </x:c>
      <x:c r="M17" s="22" t="str">
        <x:v>Market Correction</x:v>
      </x:c>
      <x:c r="N17" s="22" t="str">
        <x:v>Advanced / Prestige Earned Pack</x:v>
      </x:c>
      <x:c r="O17" s="22" t="str">
        <x:v>No</x:v>
      </x:c>
      <x:c r="P17" s="22" t="str">
        <x:v>Epic Parts</x:v>
      </x:c>
      <x:c r="Q17" s="79" t="n">
        <x:v>400</x:v>
      </x:c>
      <x:c r="R17" s="79" t="n">
        <x:v>240</x:v>
      </x:c>
      <x:c r="S17" s="79" t="str">
        <x:v>4 hours</x:v>
      </x:c>
      <x:c r="T17" s="79" t="n">
        <x:v>80</x:v>
      </x:c>
      <x:c r="U17" s="22" t="str">
        <x:v>Enterprise risk</x:v>
      </x:c>
      <x:c r="V17" s="22" t="str">
        <x:v>No</x:v>
      </x:c>
      <x:c r="W17" s="22" t="str">
        <x:v>No</x:v>
      </x:c>
      <x:c r="X17" s="34" t="str">
        <x:v>Server-authoritative config; effects subject to stacking and hard caps.</x:v>
      </x:c>
    </x:row>
    <x:row r="18">
      <x:c r="A18" s="35" t="str">
        <x:v>mod_strategic_client_network</x:v>
      </x:c>
      <x:c r="B18" s="36" t="str">
        <x:v>Strategic Client Network</x:v>
      </x:c>
      <x:c r="C18" s="36" t="str">
        <x:v>Epic</x:v>
      </x:c>
      <x:c r="D18" s="36" t="str">
        <x:v>Institutional</x:v>
      </x:c>
      <x:c r="E18" s="36" t="str">
        <x:v>Investment Banking, Private Banking, Wealth, Advisory</x:v>
      </x:c>
      <x:c r="F18" s="36" t="str">
        <x:v>+12% Corporate/HNW acquisition</x:v>
      </x:c>
      <x:c r="G18" s="36" t="str">
        <x:v>+6% retention; -5% General Consumer acquisition</x:v>
      </x:c>
      <x:c r="H18" s="36" t="str">
        <x:v>Reputation &gt;=80</x:v>
      </x:c>
      <x:c r="I18" s="36" t="str">
        <x:v>institutional</x:v>
      </x:c>
      <x:c r="J18" s="36" t="str">
        <x:v>Established</x:v>
      </x:c>
      <x:c r="K18" s="36" t="str">
        <x:v>Mastery IV — choose from compatible family pool</x:v>
      </x:c>
      <x:c r="L18" s="36" t="str">
        <x:v>Elite</x:v>
      </x:c>
      <x:c r="M18" s="36" t="str">
        <x:v>M&amp;A Boom</x:v>
      </x:c>
      <x:c r="N18" s="36" t="str">
        <x:v>Advanced / Prestige Earned Pack</x:v>
      </x:c>
      <x:c r="O18" s="36" t="str">
        <x:v>No</x:v>
      </x:c>
      <x:c r="P18" s="36" t="str">
        <x:v>Epic Parts</x:v>
      </x:c>
      <x:c r="Q18" s="80" t="n">
        <x:v>400</x:v>
      </x:c>
      <x:c r="R18" s="80" t="n">
        <x:v>240</x:v>
      </x:c>
      <x:c r="S18" s="80" t="str">
        <x:v>4 hours</x:v>
      </x:c>
      <x:c r="T18" s="80" t="n">
        <x:v>80</x:v>
      </x:c>
      <x:c r="U18" s="36" t="str">
        <x:v>Strategic relationships</x:v>
      </x:c>
      <x:c r="V18" s="36" t="str">
        <x:v>No</x:v>
      </x:c>
      <x:c r="W18" s="36" t="str">
        <x:v>No</x:v>
      </x:c>
      <x:c r="X18" s="37" t="str">
        <x:v>Server-authoritative config; effects subject to stacking and hard caps.</x:v>
      </x:c>
    </x:row>
  </x:sheetData>
  <x:mergeCells>
    <x:mergeCell ref="A1:X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18" hidden="0" customWidth="1"/>
    <x:col min="4" max="4" width="18" hidden="0" customWidth="1"/>
    <x:col min="5" max="5" width="32" hidden="0" customWidth="1"/>
    <x:col min="6" max="6" width="32" hidden="0" customWidth="1"/>
    <x:col min="7" max="7" width="32" hidden="0" customWidth="1"/>
    <x:col min="8" max="8" width="32" hidden="0" customWidth="1"/>
    <x:col min="9" max="9" width="18" hidden="0" customWidth="1"/>
    <x:col min="10" max="10" width="1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</x:cols>
  <x:sheetData>
    <x:row r="1" ht="30" customHeight="1">
      <x:c r="A1" s="86" t="str">
        <x:v>Legendary Modules — Canonical Catalog</x:v>
      </x:c>
      <x:c r="B1" s="86"/>
      <x:c r="C1" s="86"/>
      <x:c r="D1" s="86"/>
      <x:c r="E1" s="86"/>
      <x:c r="F1" s="86"/>
      <x:c r="G1" s="86"/>
      <x:c r="H1" s="86"/>
      <x:c r="I1" s="86"/>
      <x:c r="J1" s="86"/>
      <x:c r="K1" s="86"/>
      <x:c r="L1" s="86"/>
      <x:c r="M1" s="86"/>
      <x:c r="N1" s="86"/>
      <x:c r="O1" s="86"/>
      <x:c r="P1" s="86"/>
      <x:c r="Q1" s="86"/>
      <x:c r="R1" s="86"/>
      <x:c r="S1" s="86"/>
      <x:c r="T1" s="86"/>
      <x:c r="U1" s="86"/>
      <x:c r="V1" s="86"/>
      <x:c r="W1" s="86"/>
      <x:c r="X1" s="86"/>
    </x:row>
    <x:row r="3">
      <x:c r="A3" s="14" t="str">
        <x:v>Module ID</x:v>
      </x:c>
      <x:c r="B3" s="14" t="str">
        <x:v>Module Name</x:v>
      </x:c>
      <x:c r="C3" s="14" t="str">
        <x:v>Rarity</x:v>
      </x:c>
      <x:c r="D3" s="14" t="str">
        <x:v>Category</x:v>
      </x:c>
      <x:c r="E3" s="14" t="str">
        <x:v>Compatible Building Families</x:v>
      </x:c>
      <x:c r="F3" s="14" t="str">
        <x:v>Primary Power</x:v>
      </x:c>
      <x:c r="G3" s="14" t="str">
        <x:v>Secondary Power / Tradeoff</x:v>
      </x:c>
      <x:c r="H3" s="14" t="str">
        <x:v>Activation Condition</x:v>
      </x:c>
      <x:c r="I3" s="14" t="str">
        <x:v>Stacking Group</x:v>
      </x:c>
      <x:c r="J3" s="14" t="str">
        <x:v>Stage Gate</x:v>
      </x:c>
      <x:c r="K3" s="14" t="str">
        <x:v>Guaranteed Acquisition</x:v>
      </x:c>
      <x:c r="L3" s="14" t="str">
        <x:v>Minimum Hunt</x:v>
      </x:c>
      <x:c r="M3" s="14" t="str">
        <x:v>Dedicated Event / Themed Source</x:v>
      </x:c>
      <x:c r="N3" s="14" t="str">
        <x:v>Earned Pack Source</x:v>
      </x:c>
      <x:c r="O3" s="14" t="str">
        <x:v>In-Game Cash Pack?</x:v>
      </x:c>
      <x:c r="P3" s="14" t="str">
        <x:v>Craft Parts</x:v>
      </x:c>
      <x:c r="Q3" s="14" t="str">
        <x:v>Craft Cost</x:v>
      </x:c>
      <x:c r="R3" s="14" t="str">
        <x:v>Craft Time (min)</x:v>
      </x:c>
      <x:c r="S3" s="14" t="str">
        <x:v>Craft Time</x:v>
      </x:c>
      <x:c r="T3" s="14" t="str">
        <x:v>Dismantle Parts</x:v>
      </x:c>
      <x:c r="U3" s="14" t="str">
        <x:v>Gameplay Role</x:v>
      </x:c>
      <x:c r="V3" s="14" t="str">
        <x:v>Direct Performance?</x:v>
      </x:c>
      <x:c r="W3" s="14" t="str">
        <x:v>Direct $PLOT?</x:v>
      </x:c>
      <x:c r="X3" s="14" t="str">
        <x:v>Implementation Notes</x:v>
      </x:c>
    </x:row>
    <x:row r="4">
      <x:c r="A4" s="30" t="str">
        <x:v>mod_fortress_balance_sheet</x:v>
      </x:c>
      <x:c r="B4" s="31" t="str">
        <x:v>Fortress Balance Sheet</x:v>
      </x:c>
      <x:c r="C4" s="31" t="str">
        <x:v>Legendary</x:v>
      </x:c>
      <x:c r="D4" s="31" t="str">
        <x:v>Risk</x:v>
      </x:c>
      <x:c r="E4" s="31" t="str">
        <x:v>Banking, Treasury, Private Banking</x:v>
      </x:c>
      <x:c r="F4" s="31" t="str">
        <x:v>-12 Liquidity Risk</x:v>
      </x:c>
      <x:c r="G4" s="31" t="str">
        <x:v>-8 Credit Risk; -8% activity efficiency</x:v>
      </x:c>
      <x:c r="H4" s="31" t="str"/>
      <x:c r="I4" s="31" t="str">
        <x:v>risk</x:v>
      </x:c>
      <x:c r="J4" s="31" t="str">
        <x:v>Elite</x:v>
      </x:c>
      <x:c r="K4" s="31" t="str">
        <x:v>Mastery V — choose from compatible family pool</x:v>
      </x:c>
      <x:c r="L4" s="31" t="str">
        <x:v>Jackpot</x:v>
      </x:c>
      <x:c r="M4" s="31" t="str">
        <x:v>Bank Run</x:v>
      </x:c>
      <x:c r="N4" s="31" t="str">
        <x:v>Prestige Earned Pack</x:v>
      </x:c>
      <x:c r="O4" s="31" t="str">
        <x:v>No</x:v>
      </x:c>
      <x:c r="P4" s="31" t="str">
        <x:v>Legendary Parts</x:v>
      </x:c>
      <x:c r="Q4" s="78" t="n">
        <x:v>1000</x:v>
      </x:c>
      <x:c r="R4" s="78" t="n">
        <x:v>720</x:v>
      </x:c>
      <x:c r="S4" s="78" t="str">
        <x:v>12 hours</x:v>
      </x:c>
      <x:c r="T4" s="78" t="n">
        <x:v>200</x:v>
      </x:c>
      <x:c r="U4" s="31" t="str">
        <x:v>Transformative defense</x:v>
      </x:c>
      <x:c r="V4" s="31" t="str">
        <x:v>No</x:v>
      </x:c>
      <x:c r="W4" s="31" t="str">
        <x:v>No</x:v>
      </x:c>
      <x:c r="X4" s="32" t="str">
        <x:v>Server-authoritative config; effects subject to stacking and hard caps.</x:v>
      </x:c>
    </x:row>
    <x:row r="5">
      <x:c r="A5" s="33" t="str">
        <x:v>mod_trusted_institution_charter</x:v>
      </x:c>
      <x:c r="B5" s="22" t="str">
        <x:v>Trusted Institution Charter</x:v>
      </x:c>
      <x:c r="C5" s="22" t="str">
        <x:v>Legendary</x:v>
      </x:c>
      <x:c r="D5" s="22" t="str">
        <x:v>Customer</x:v>
      </x:c>
      <x:c r="E5" s="22" t="str">
        <x:v>Banking, Wealth, Private Banking, Investment Banking</x:v>
      </x:c>
      <x:c r="F5" s="22" t="str">
        <x:v>+10% HNW/Corporate acquisition</x:v>
      </x:c>
      <x:c r="G5" s="22" t="str">
        <x:v>+8% retention</x:v>
      </x:c>
      <x:c r="H5" s="22" t="str">
        <x:v>Reputation &gt;=85 AND Composite Risk &lt;=40</x:v>
      </x:c>
      <x:c r="I5" s="22" t="str">
        <x:v>customer</x:v>
      </x:c>
      <x:c r="J5" s="22" t="str">
        <x:v>Elite</x:v>
      </x:c>
      <x:c r="K5" s="22" t="str">
        <x:v>Mastery V — choose from compatible family pool</x:v>
      </x:c>
      <x:c r="L5" s="22" t="str">
        <x:v>Jackpot</x:v>
      </x:c>
      <x:c r="M5" s="22" t="str">
        <x:v>Regulatory Approval</x:v>
      </x:c>
      <x:c r="N5" s="22" t="str">
        <x:v>Prestige Earned Pack</x:v>
      </x:c>
      <x:c r="O5" s="22" t="str">
        <x:v>No</x:v>
      </x:c>
      <x:c r="P5" s="22" t="str">
        <x:v>Legendary Parts</x:v>
      </x:c>
      <x:c r="Q5" s="79" t="n">
        <x:v>1000</x:v>
      </x:c>
      <x:c r="R5" s="79" t="n">
        <x:v>720</x:v>
      </x:c>
      <x:c r="S5" s="79" t="str">
        <x:v>12 hours</x:v>
      </x:c>
      <x:c r="T5" s="79" t="n">
        <x:v>200</x:v>
      </x:c>
      <x:c r="U5" s="22" t="str">
        <x:v>Trust prestige</x:v>
      </x:c>
      <x:c r="V5" s="22" t="str">
        <x:v>No</x:v>
      </x:c>
      <x:c r="W5" s="22" t="str">
        <x:v>No</x:v>
      </x:c>
      <x:c r="X5" s="34" t="str">
        <x:v>Server-authoritative config; effects subject to stacking and hard caps.</x:v>
      </x:c>
    </x:row>
    <x:row r="6">
      <x:c r="A6" s="33" t="str">
        <x:v>mod_adaptive_market_desk</x:v>
      </x:c>
      <x:c r="B6" s="22" t="str">
        <x:v>Adaptive Market Desk</x:v>
      </x:c>
      <x:c r="C6" s="22" t="str">
        <x:v>Legendary</x:v>
      </x:c>
      <x:c r="D6" s="22" t="str">
        <x:v>Market</x:v>
      </x:c>
      <x:c r="E6" s="22" t="str">
        <x:v>Trading, Brokerage, Exchange, Market Making</x:v>
      </x:c>
      <x:c r="F6" s="22" t="str">
        <x:v>Bull/Expansion: +12% activity efficiency</x:v>
      </x:c>
      <x:c r="G6" s="22" t="str">
        <x:v>Correction/Risk-Off: -8 Market Risk</x:v>
      </x:c>
      <x:c r="H6" s="22" t="str">
        <x:v>Market state branch</x:v>
      </x:c>
      <x:c r="I6" s="22" t="str">
        <x:v>market</x:v>
      </x:c>
      <x:c r="J6" s="22" t="str">
        <x:v>Elite</x:v>
      </x:c>
      <x:c r="K6" s="22" t="str">
        <x:v>Mastery V — choose from compatible family pool</x:v>
      </x:c>
      <x:c r="L6" s="22" t="str">
        <x:v>Jackpot</x:v>
      </x:c>
      <x:c r="M6" s="22" t="str">
        <x:v>Market Correction</x:v>
      </x:c>
      <x:c r="N6" s="22" t="str">
        <x:v>Prestige Earned Pack</x:v>
      </x:c>
      <x:c r="O6" s="22" t="str">
        <x:v>No</x:v>
      </x:c>
      <x:c r="P6" s="22" t="str">
        <x:v>Legendary Parts</x:v>
      </x:c>
      <x:c r="Q6" s="79" t="n">
        <x:v>1000</x:v>
      </x:c>
      <x:c r="R6" s="79" t="n">
        <x:v>720</x:v>
      </x:c>
      <x:c r="S6" s="79" t="str">
        <x:v>12 hours</x:v>
      </x:c>
      <x:c r="T6" s="79" t="n">
        <x:v>200</x:v>
      </x:c>
      <x:c r="U6" s="22" t="str">
        <x:v>Cycle-adaptive</x:v>
      </x:c>
      <x:c r="V6" s="22" t="str">
        <x:v>No</x:v>
      </x:c>
      <x:c r="W6" s="22" t="str">
        <x:v>No</x:v>
      </x:c>
      <x:c r="X6" s="34" t="str">
        <x:v>Server-authoritative config; effects subject to stacking and hard caps.</x:v>
      </x:c>
    </x:row>
    <x:row r="7">
      <x:c r="A7" s="33" t="str">
        <x:v>mod_integrated_data_fabric</x:v>
      </x:c>
      <x:c r="B7" s="22" t="str">
        <x:v>Integrated Data Fabric</x:v>
      </x:c>
      <x:c r="C7" s="22" t="str">
        <x:v>Legendary</x:v>
      </x:c>
      <x:c r="D7" s="22" t="str">
        <x:v>Operations</x:v>
      </x:c>
      <x:c r="E7" s="22" t="str">
        <x:v>Data, Research, Fintech, Exchange</x:v>
      </x:c>
      <x:c r="F7" s="22" t="str">
        <x:v>+10% capacity</x:v>
      </x:c>
      <x:c r="G7" s="22" t="str">
        <x:v>+6 Service Quality; -5 Operational Risk; +6% operating cost</x:v>
      </x:c>
      <x:c r="H7" s="22" t="str"/>
      <x:c r="I7" s="22" t="str">
        <x:v>operations</x:v>
      </x:c>
      <x:c r="J7" s="22" t="str">
        <x:v>Elite</x:v>
      </x:c>
      <x:c r="K7" s="22" t="str">
        <x:v>Mastery V — choose from compatible family pool</x:v>
      </x:c>
      <x:c r="L7" s="22" t="str">
        <x:v>Jackpot</x:v>
      </x:c>
      <x:c r="M7" s="22" t="str">
        <x:v>Tech Rally</x:v>
      </x:c>
      <x:c r="N7" s="22" t="str">
        <x:v>Prestige Earned Pack</x:v>
      </x:c>
      <x:c r="O7" s="22" t="str">
        <x:v>No</x:v>
      </x:c>
      <x:c r="P7" s="22" t="str">
        <x:v>Legendary Parts</x:v>
      </x:c>
      <x:c r="Q7" s="79" t="n">
        <x:v>1000</x:v>
      </x:c>
      <x:c r="R7" s="79" t="n">
        <x:v>720</x:v>
      </x:c>
      <x:c r="S7" s="79" t="str">
        <x:v>12 hours</x:v>
      </x:c>
      <x:c r="T7" s="79" t="n">
        <x:v>200</x:v>
      </x:c>
      <x:c r="U7" s="22" t="str">
        <x:v>Infrastructure prestige</x:v>
      </x:c>
      <x:c r="V7" s="22" t="str">
        <x:v>No</x:v>
      </x:c>
      <x:c r="W7" s="22" t="str">
        <x:v>No</x:v>
      </x:c>
      <x:c r="X7" s="34" t="str">
        <x:v>Server-authoritative config; effects subject to stacking and hard caps.</x:v>
      </x:c>
    </x:row>
    <x:row r="8">
      <x:c r="A8" s="33" t="str">
        <x:v>mod_sovereign_discipline</x:v>
      </x:c>
      <x:c r="B8" s="22" t="str">
        <x:v>Sovereign Discipline</x:v>
      </x:c>
      <x:c r="C8" s="22" t="str">
        <x:v>Legendary</x:v>
      </x:c>
      <x:c r="D8" s="22" t="str">
        <x:v>Risk</x:v>
      </x:c>
      <x:c r="E8" s="22" t="str">
        <x:v>Asset Management, Treasury</x:v>
      </x:c>
      <x:c r="F8" s="22" t="str">
        <x:v>-10 Concentration Risk</x:v>
      </x:c>
      <x:c r="G8" s="22" t="str">
        <x:v>-8 Liquidity Risk; -6% activity efficiency</x:v>
      </x:c>
      <x:c r="H8" s="22" t="str"/>
      <x:c r="I8" s="22" t="str">
        <x:v>risk</x:v>
      </x:c>
      <x:c r="J8" s="22" t="str">
        <x:v>Elite</x:v>
      </x:c>
      <x:c r="K8" s="22" t="str">
        <x:v>Mastery V — choose from compatible family pool</x:v>
      </x:c>
      <x:c r="L8" s="22" t="str">
        <x:v>Jackpot</x:v>
      </x:c>
      <x:c r="M8" s="22" t="str">
        <x:v>Rate Hike</x:v>
      </x:c>
      <x:c r="N8" s="22" t="str">
        <x:v>Prestige Earned Pack</x:v>
      </x:c>
      <x:c r="O8" s="22" t="str">
        <x:v>No</x:v>
      </x:c>
      <x:c r="P8" s="22" t="str">
        <x:v>Legendary Parts</x:v>
      </x:c>
      <x:c r="Q8" s="79" t="n">
        <x:v>1000</x:v>
      </x:c>
      <x:c r="R8" s="79" t="n">
        <x:v>720</x:v>
      </x:c>
      <x:c r="S8" s="79" t="str">
        <x:v>12 hours</x:v>
      </x:c>
      <x:c r="T8" s="79" t="n">
        <x:v>200</x:v>
      </x:c>
      <x:c r="U8" s="22" t="str">
        <x:v>Capital preservation</x:v>
      </x:c>
      <x:c r="V8" s="22" t="str">
        <x:v>No</x:v>
      </x:c>
      <x:c r="W8" s="22" t="str">
        <x:v>No</x:v>
      </x:c>
      <x:c r="X8" s="34" t="str">
        <x:v>Server-authoritative config; effects subject to stacking and hard caps.</x:v>
      </x:c>
    </x:row>
    <x:row r="9">
      <x:c r="A9" s="33" t="str">
        <x:v>mod_diversified_services_charter</x:v>
      </x:c>
      <x:c r="B9" s="22" t="str">
        <x:v>Diversified Services Charter</x:v>
      </x:c>
      <x:c r="C9" s="22" t="str">
        <x:v>Legendary</x:v>
      </x:c>
      <x:c r="D9" s="22" t="str">
        <x:v>Customer</x:v>
      </x:c>
      <x:c r="E9" s="22" t="str">
        <x:v>Multi-Service</x:v>
      </x:c>
      <x:c r="F9" s="22" t="str">
        <x:v>+8% retention</x:v>
      </x:c>
      <x:c r="G9" s="22" t="str">
        <x:v>-5 Concentration Risk; +6% acquisition</x:v>
      </x:c>
      <x:c r="H9" s="22" t="str">
        <x:v>3+ customer segments each &gt;=10% and no segment &gt;60%</x:v>
      </x:c>
      <x:c r="I9" s="22" t="str">
        <x:v>customer</x:v>
      </x:c>
      <x:c r="J9" s="22" t="str">
        <x:v>Elite</x:v>
      </x:c>
      <x:c r="K9" s="22" t="str">
        <x:v>Mastery V — choose from compatible family pool</x:v>
      </x:c>
      <x:c r="L9" s="22" t="str">
        <x:v>Jackpot</x:v>
      </x:c>
      <x:c r="M9" s="22" t="str">
        <x:v>Earnings Season</x:v>
      </x:c>
      <x:c r="N9" s="22" t="str">
        <x:v>Prestige Earned Pack</x:v>
      </x:c>
      <x:c r="O9" s="22" t="str">
        <x:v>No</x:v>
      </x:c>
      <x:c r="P9" s="22" t="str">
        <x:v>Legendary Parts</x:v>
      </x:c>
      <x:c r="Q9" s="79" t="n">
        <x:v>1000</x:v>
      </x:c>
      <x:c r="R9" s="79" t="n">
        <x:v>720</x:v>
      </x:c>
      <x:c r="S9" s="79" t="str">
        <x:v>12 hours</x:v>
      </x:c>
      <x:c r="T9" s="79" t="n">
        <x:v>200</x:v>
      </x:c>
      <x:c r="U9" s="22" t="str">
        <x:v>Multi-service balance</x:v>
      </x:c>
      <x:c r="V9" s="22" t="str">
        <x:v>No</x:v>
      </x:c>
      <x:c r="W9" s="22" t="str">
        <x:v>No</x:v>
      </x:c>
      <x:c r="X9" s="34" t="str">
        <x:v>Server-authoritative config; effects subject to stacking and hard caps.</x:v>
      </x:c>
    </x:row>
    <x:row r="10">
      <x:c r="A10" s="33" t="str">
        <x:v>mod_global_liquidity_mesh</x:v>
      </x:c>
      <x:c r="B10" s="22" t="str">
        <x:v>Global Liquidity Mesh</x:v>
      </x:c>
      <x:c r="C10" s="22" t="str">
        <x:v>Legendary</x:v>
      </x:c>
      <x:c r="D10" s="22" t="str">
        <x:v>Liquidity</x:v>
      </x:c>
      <x:c r="E10" s="22" t="str">
        <x:v>Exchange, Market Making, Treasury, FX</x:v>
      </x:c>
      <x:c r="F10" s="22" t="str">
        <x:v>+15% capacity</x:v>
      </x:c>
      <x:c r="G10" s="22" t="str">
        <x:v>-10 Liquidity Risk; +6 Market Risk</x:v>
      </x:c>
      <x:c r="H10" s="22" t="str">
        <x:v>Utilization &gt;=50%</x:v>
      </x:c>
      <x:c r="I10" s="22" t="str">
        <x:v>liquidity</x:v>
      </x:c>
      <x:c r="J10" s="22" t="str">
        <x:v>Elite</x:v>
      </x:c>
      <x:c r="K10" s="22" t="str">
        <x:v>Mastery V — choose from compatible family pool</x:v>
      </x:c>
      <x:c r="L10" s="22" t="str">
        <x:v>Jackpot</x:v>
      </x:c>
      <x:c r="M10" s="22" t="str">
        <x:v>Liquidity Crunch</x:v>
      </x:c>
      <x:c r="N10" s="22" t="str">
        <x:v>Prestige Earned Pack</x:v>
      </x:c>
      <x:c r="O10" s="22" t="str">
        <x:v>No</x:v>
      </x:c>
      <x:c r="P10" s="22" t="str">
        <x:v>Legendary Parts</x:v>
      </x:c>
      <x:c r="Q10" s="79" t="n">
        <x:v>1000</x:v>
      </x:c>
      <x:c r="R10" s="79" t="n">
        <x:v>720</x:v>
      </x:c>
      <x:c r="S10" s="79" t="str">
        <x:v>12 hours</x:v>
      </x:c>
      <x:c r="T10" s="79" t="n">
        <x:v>200</x:v>
      </x:c>
      <x:c r="U10" s="22" t="str">
        <x:v>Global liquidity</x:v>
      </x:c>
      <x:c r="V10" s="22" t="str">
        <x:v>No</x:v>
      </x:c>
      <x:c r="W10" s="22" t="str">
        <x:v>No</x:v>
      </x:c>
      <x:c r="X10" s="34" t="str">
        <x:v>Server-authoritative config; effects subject to stacking and hard caps.</x:v>
      </x:c>
    </x:row>
    <x:row r="11">
      <x:c r="A11" s="33" t="str">
        <x:v>mod_alpha_research_network</x:v>
      </x:c>
      <x:c r="B11" s="22" t="str">
        <x:v>Alpha Research Network</x:v>
      </x:c>
      <x:c r="C11" s="22" t="str">
        <x:v>Legendary</x:v>
      </x:c>
      <x:c r="D11" s="22" t="str">
        <x:v>Research</x:v>
      </x:c>
      <x:c r="E11" s="22" t="str">
        <x:v>Research, Data, Asset Management, Brokerage</x:v>
      </x:c>
      <x:c r="F11" s="22" t="str">
        <x:v>+12% activity efficiency</x:v>
      </x:c>
      <x:c r="G11" s="22" t="str">
        <x:v>+6 Service Quality; +5 Operational Risk</x:v>
      </x:c>
      <x:c r="H11" s="22" t="str">
        <x:v>Operational Risk &lt;=45</x:v>
      </x:c>
      <x:c r="I11" s="22" t="str">
        <x:v>research</x:v>
      </x:c>
      <x:c r="J11" s="22" t="str">
        <x:v>Elite</x:v>
      </x:c>
      <x:c r="K11" s="22" t="str">
        <x:v>Mastery V — choose from compatible family pool</x:v>
      </x:c>
      <x:c r="L11" s="22" t="str">
        <x:v>Jackpot</x:v>
      </x:c>
      <x:c r="M11" s="22" t="str">
        <x:v>Tech Rally</x:v>
      </x:c>
      <x:c r="N11" s="22" t="str">
        <x:v>Prestige Earned Pack</x:v>
      </x:c>
      <x:c r="O11" s="22" t="str">
        <x:v>No</x:v>
      </x:c>
      <x:c r="P11" s="22" t="str">
        <x:v>Legendary Parts</x:v>
      </x:c>
      <x:c r="Q11" s="79" t="n">
        <x:v>1000</x:v>
      </x:c>
      <x:c r="R11" s="79" t="n">
        <x:v>720</x:v>
      </x:c>
      <x:c r="S11" s="79" t="str">
        <x:v>12 hours</x:v>
      </x:c>
      <x:c r="T11" s="79" t="n">
        <x:v>200</x:v>
      </x:c>
      <x:c r="U11" s="22" t="str">
        <x:v>Research prestige</x:v>
      </x:c>
      <x:c r="V11" s="22" t="str">
        <x:v>No</x:v>
      </x:c>
      <x:c r="W11" s="22" t="str">
        <x:v>No</x:v>
      </x:c>
      <x:c r="X11" s="34" t="str">
        <x:v>Server-authoritative config; effects subject to stacking and hard caps.</x:v>
      </x:c>
    </x:row>
    <x:row r="12">
      <x:c r="A12" s="33" t="str">
        <x:v>mod_institutional_trust_engine</x:v>
      </x:c>
      <x:c r="B12" s="22" t="str">
        <x:v>Institutional Trust Engine</x:v>
      </x:c>
      <x:c r="C12" s="22" t="str">
        <x:v>Legendary</x:v>
      </x:c>
      <x:c r="D12" s="22" t="str">
        <x:v>Institutional</x:v>
      </x:c>
      <x:c r="E12" s="22" t="str">
        <x:v>Investment Banking, Private Banking, Exchange</x:v>
      </x:c>
      <x:c r="F12" s="22" t="str">
        <x:v>+12% Corporate/HNW acquisition</x:v>
      </x:c>
      <x:c r="G12" s="22" t="str">
        <x:v>-6 Reputation Risk; -5% capacity</x:v>
      </x:c>
      <x:c r="H12" s="22" t="str">
        <x:v>Reputation &gt;=90</x:v>
      </x:c>
      <x:c r="I12" s="22" t="str">
        <x:v>institutional</x:v>
      </x:c>
      <x:c r="J12" s="22" t="str">
        <x:v>Elite</x:v>
      </x:c>
      <x:c r="K12" s="22" t="str">
        <x:v>Mastery V — choose from compatible family pool</x:v>
      </x:c>
      <x:c r="L12" s="22" t="str">
        <x:v>Jackpot</x:v>
      </x:c>
      <x:c r="M12" s="22" t="str">
        <x:v>M&amp;A Boom</x:v>
      </x:c>
      <x:c r="N12" s="22" t="str">
        <x:v>Prestige Earned Pack</x:v>
      </x:c>
      <x:c r="O12" s="22" t="str">
        <x:v>No</x:v>
      </x:c>
      <x:c r="P12" s="22" t="str">
        <x:v>Legendary Parts</x:v>
      </x:c>
      <x:c r="Q12" s="79" t="n">
        <x:v>1000</x:v>
      </x:c>
      <x:c r="R12" s="79" t="n">
        <x:v>720</x:v>
      </x:c>
      <x:c r="S12" s="79" t="str">
        <x:v>12 hours</x:v>
      </x:c>
      <x:c r="T12" s="79" t="n">
        <x:v>200</x:v>
      </x:c>
      <x:c r="U12" s="22" t="str">
        <x:v>Institutional trust</x:v>
      </x:c>
      <x:c r="V12" s="22" t="str">
        <x:v>No</x:v>
      </x:c>
      <x:c r="W12" s="22" t="str">
        <x:v>No</x:v>
      </x:c>
      <x:c r="X12" s="34" t="str">
        <x:v>Server-authoritative config; effects subject to stacking and hard caps.</x:v>
      </x:c>
    </x:row>
    <x:row r="13">
      <x:c r="A13" s="35" t="str">
        <x:v>mod_resilient_market_infrastructure</x:v>
      </x:c>
      <x:c r="B13" s="36" t="str">
        <x:v>Resilient Market Infrastructure</x:v>
      </x:c>
      <x:c r="C13" s="36" t="str">
        <x:v>Legendary</x:v>
      </x:c>
      <x:c r="D13" s="36" t="str">
        <x:v>Event</x:v>
      </x:c>
      <x:c r="E13" s="36" t="str">
        <x:v>Exchange, Market Making, Data, Fintech</x:v>
      </x:c>
      <x:c r="F13" s="36" t="str">
        <x:v>-20% eligible negative event magnitude</x:v>
      </x:c>
      <x:c r="G13" s="36" t="str">
        <x:v>+8% capacity outside Crisis</x:v>
      </x:c>
      <x:c r="H13" s="36" t="str">
        <x:v>Operational Risk &lt;=50</x:v>
      </x:c>
      <x:c r="I13" s="36" t="str">
        <x:v>event</x:v>
      </x:c>
      <x:c r="J13" s="36" t="str">
        <x:v>Elite</x:v>
      </x:c>
      <x:c r="K13" s="36" t="str">
        <x:v>Mastery V — choose from compatible family pool</x:v>
      </x:c>
      <x:c r="L13" s="36" t="str">
        <x:v>Jackpot</x:v>
      </x:c>
      <x:c r="M13" s="36" t="str">
        <x:v>Volatility Spike</x:v>
      </x:c>
      <x:c r="N13" s="36" t="str">
        <x:v>Prestige Earned Pack</x:v>
      </x:c>
      <x:c r="O13" s="36" t="str">
        <x:v>No</x:v>
      </x:c>
      <x:c r="P13" s="36" t="str">
        <x:v>Legendary Parts</x:v>
      </x:c>
      <x:c r="Q13" s="80" t="n">
        <x:v>1000</x:v>
      </x:c>
      <x:c r="R13" s="80" t="n">
        <x:v>720</x:v>
      </x:c>
      <x:c r="S13" s="80" t="str">
        <x:v>12 hours</x:v>
      </x:c>
      <x:c r="T13" s="80" t="n">
        <x:v>200</x:v>
      </x:c>
      <x:c r="U13" s="36" t="str">
        <x:v>System resilience</x:v>
      </x:c>
      <x:c r="V13" s="36" t="str">
        <x:v>No</x:v>
      </x:c>
      <x:c r="W13" s="36" t="str">
        <x:v>No</x:v>
      </x:c>
      <x:c r="X13" s="37" t="str">
        <x:v>Server-authoritative config; effects subject to stacking and hard caps.</x:v>
      </x:c>
    </x:row>
  </x:sheetData>
  <x:mergeCells>
    <x:mergeCell ref="A1:X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</x:cols>
  <x:sheetData>
    <x:row r="1" ht="30" customHeight="1">
      <x:c r="A1" s="86" t="str">
        <x:v>Module Availability by Building Family</x:v>
      </x:c>
      <x:c r="B1" s="86"/>
      <x:c r="C1" s="86"/>
      <x:c r="D1" s="86"/>
      <x:c r="E1" s="86"/>
      <x:c r="F1" s="86"/>
      <x:c r="G1" s="86"/>
      <x:c r="H1" s="86"/>
      <x:c r="I1" s="86"/>
      <x:c r="J1" s="86"/>
      <x:c r="K1" s="22"/>
      <x:c r="L1" s="22"/>
      <x:c r="M1" s="22"/>
      <x:c r="N1" s="22"/>
      <x:c r="O1" s="22"/>
      <x:c r="P1" s="22"/>
      <x:c r="Q1" s="22"/>
      <x:c r="R1" s="22"/>
      <x:c r="S1" s="22"/>
      <x:c r="T1" s="22"/>
      <x:c r="U1" s="22"/>
      <x:c r="V1" s="22"/>
      <x:c r="W1" s="22"/>
      <x:c r="X1" s="22"/>
    </x:row>
    <x:row r="3">
      <x:c r="A3" s="14" t="str">
        <x:v>Family</x:v>
      </x:c>
      <x:c r="B3" s="14" t="str">
        <x:v>Compatible Modules</x:v>
      </x:c>
      <x:c r="C3" s="14" t="str">
        <x:v>Common</x:v>
      </x:c>
      <x:c r="D3" s="14" t="str">
        <x:v>Uncommon</x:v>
      </x:c>
      <x:c r="E3" s="14" t="str">
        <x:v>Rare</x:v>
      </x:c>
      <x:c r="F3" s="14" t="str">
        <x:v>Epic</x:v>
      </x:c>
      <x:c r="G3" s="14" t="str">
        <x:v>Legendary</x:v>
      </x:c>
      <x:c r="H3" s="14" t="str">
        <x:v>Core Strategic Themes</x:v>
      </x:c>
      <x:c r="I3" s="14" t="str">
        <x:v>Recommended First Module</x:v>
      </x:c>
      <x:c r="J3" s="14" t="str">
        <x:v>Notes</x:v>
      </x:c>
    </x:row>
    <x:row r="4">
      <x:c r="A4" s="30" t="str">
        <x:v>Cash Services</x:v>
      </x:c>
      <x:c r="B4" s="78" t="n">
        <x:v>17</x:v>
      </x:c>
      <x:c r="C4" s="78" t="n">
        <x:v>11</x:v>
      </x:c>
      <x:c r="D4" s="78" t="n">
        <x:v>4</x:v>
      </x:c>
      <x:c r="E4" s="78" t="n">
        <x:v>1</x:v>
      </x:c>
      <x:c r="F4" s="78" t="n">
        <x:v>1</x:v>
      </x:c>
      <x:c r="G4" s="78" t="n">
        <x:v>0</x:v>
      </x:c>
      <x:c r="H4" s="31" t="str">
        <x:v>customer growth, service, treasury discipline</x:v>
      </x:c>
      <x:c r="I4" s="31" t="str">
        <x:v>Customer Signage</x:v>
      </x:c>
      <x:c r="J4" s="32" t="str">
        <x:v>Universal/All effects may also apply.</x:v>
      </x:c>
    </x:row>
    <x:row r="5">
      <x:c r="A5" s="33" t="str">
        <x:v>Trading</x:v>
      </x:c>
      <x:c r="B5" s="79" t="n">
        <x:v>26</x:v>
      </x:c>
      <x:c r="C5" s="79" t="n">
        <x:v>9</x:v>
      </x:c>
      <x:c r="D5" s="79" t="n">
        <x:v>8</x:v>
      </x:c>
      <x:c r="E5" s="79" t="n">
        <x:v>5</x:v>
      </x:c>
      <x:c r="F5" s="79" t="n">
        <x:v>3</x:v>
      </x:c>
      <x:c r="G5" s="79" t="n">
        <x:v>1</x:v>
      </x:c>
      <x:c r="H5" s="22" t="str">
        <x:v>activity, market risk, execution, resilience</x:v>
      </x:c>
      <x:c r="I5" s="22" t="str">
        <x:v>Order Book Basics</x:v>
      </x:c>
      <x:c r="J5" s="34" t="str">
        <x:v>Universal/All effects may also apply.</x:v>
      </x:c>
    </x:row>
    <x:row r="6">
      <x:c r="A6" s="33" t="str">
        <x:v>Banking</x:v>
      </x:c>
      <x:c r="B6" s="79" t="n">
        <x:v>58</x:v>
      </x:c>
      <x:c r="C6" s="79" t="n">
        <x:v>19</x:v>
      </x:c>
      <x:c r="D6" s="79" t="n">
        <x:v>16</x:v>
      </x:c>
      <x:c r="E6" s="79" t="n">
        <x:v>11</x:v>
      </x:c>
      <x:c r="F6" s="79" t="n">
        <x:v>9</x:v>
      </x:c>
      <x:c r="G6" s="79" t="n">
        <x:v>3</x:v>
      </x:c>
      <x:c r="H6" s="22" t="str">
        <x:v>customers, deposits, credit, liquidity, trust</x:v>
      </x:c>
      <x:c r="I6" s="22" t="str">
        <x:v>Savings Drive</x:v>
      </x:c>
      <x:c r="J6" s="34" t="str">
        <x:v>Universal/All effects may also apply.</x:v>
      </x:c>
    </x:row>
    <x:row r="7">
      <x:c r="A7" s="33" t="str">
        <x:v>Brokerage</x:v>
      </x:c>
      <x:c r="B7" s="79" t="n">
        <x:v>37</x:v>
      </x:c>
      <x:c r="C7" s="79" t="n">
        <x:v>14</x:v>
      </x:c>
      <x:c r="D7" s="79" t="n">
        <x:v>12</x:v>
      </x:c>
      <x:c r="E7" s="79" t="n">
        <x:v>6</x:v>
      </x:c>
      <x:c r="F7" s="79" t="n">
        <x:v>3</x:v>
      </x:c>
      <x:c r="G7" s="79" t="n">
        <x:v>2</x:v>
      </x:c>
      <x:c r="H7" s="22" t="str">
        <x:v>retail acquisition, research, execution, compliance</x:v>
      </x:c>
      <x:c r="I7" s="22" t="str">
        <x:v>Client Suitability Form</x:v>
      </x:c>
      <x:c r="J7" s="34" t="str">
        <x:v>Universal/All effects may also apply.</x:v>
      </x:c>
    </x:row>
    <x:row r="8">
      <x:c r="A8" s="33" t="str">
        <x:v>Research</x:v>
      </x:c>
      <x:c r="B8" s="79" t="n">
        <x:v>21</x:v>
      </x:c>
      <x:c r="C8" s="79" t="n">
        <x:v>9</x:v>
      </x:c>
      <x:c r="D8" s="79" t="n">
        <x:v>6</x:v>
      </x:c>
      <x:c r="E8" s="79" t="n">
        <x:v>2</x:v>
      </x:c>
      <x:c r="F8" s="79" t="n">
        <x:v>2</x:v>
      </x:c>
      <x:c r="G8" s="79" t="n">
        <x:v>2</x:v>
      </x:c>
      <x:c r="H8" s="22" t="str">
        <x:v>research throughput, data quality, reliability</x:v>
      </x:c>
      <x:c r="I8" s="22" t="str">
        <x:v>Research Notes</x:v>
      </x:c>
      <x:c r="J8" s="34" t="str">
        <x:v>Universal/All effects may also apply.</x:v>
      </x:c>
    </x:row>
    <x:row r="9">
      <x:c r="A9" s="33" t="str">
        <x:v>Lending</x:v>
      </x:c>
      <x:c r="B9" s="79" t="n">
        <x:v>23</x:v>
      </x:c>
      <x:c r="C9" s="79" t="n">
        <x:v>10</x:v>
      </x:c>
      <x:c r="D9" s="79" t="n">
        <x:v>7</x:v>
      </x:c>
      <x:c r="E9" s="79" t="n">
        <x:v>4</x:v>
      </x:c>
      <x:c r="F9" s="79" t="n">
        <x:v>2</x:v>
      </x:c>
      <x:c r="G9" s="79" t="n">
        <x:v>0</x:v>
      </x:c>
      <x:c r="H9" s="22" t="str">
        <x:v>credit quality, SME growth, underwriting</x:v>
      </x:c>
      <x:c r="I9" s="22" t="str">
        <x:v>Simple Credit Checklist</x:v>
      </x:c>
      <x:c r="J9" s="34" t="str">
        <x:v>Universal/All effects may also apply.</x:v>
      </x:c>
    </x:row>
    <x:row r="10">
      <x:c r="A10" s="33" t="str">
        <x:v>FX</x:v>
      </x:c>
      <x:c r="B10" s="79" t="n">
        <x:v>19</x:v>
      </x:c>
      <x:c r="C10" s="79" t="n">
        <x:v>8</x:v>
      </x:c>
      <x:c r="D10" s="79" t="n">
        <x:v>6</x:v>
      </x:c>
      <x:c r="E10" s="79" t="n">
        <x:v>2</x:v>
      </x:c>
      <x:c r="F10" s="79" t="n">
        <x:v>2</x:v>
      </x:c>
      <x:c r="G10" s="79" t="n">
        <x:v>1</x:v>
      </x:c>
      <x:c r="H10" s="22" t="str">
        <x:v>market activity, liquidity, netting</x:v>
      </x:c>
      <x:c r="I10" s="22" t="str">
        <x:v>FX Rate Board</x:v>
      </x:c>
      <x:c r="J10" s="34" t="str">
        <x:v>Universal/All effects may also apply.</x:v>
      </x:c>
    </x:row>
    <x:row r="11">
      <x:c r="A11" s="33" t="str">
        <x:v>Insurance</x:v>
      </x:c>
      <x:c r="B11" s="79" t="n">
        <x:v>29</x:v>
      </x:c>
      <x:c r="C11" s="79" t="n">
        <x:v>11</x:v>
      </x:c>
      <x:c r="D11" s="79" t="n">
        <x:v>9</x:v>
      </x:c>
      <x:c r="E11" s="79" t="n">
        <x:v>5</x:v>
      </x:c>
      <x:c r="F11" s="79" t="n">
        <x:v>4</x:v>
      </x:c>
      <x:c r="G11" s="79" t="n">
        <x:v>0</x:v>
      </x:c>
      <x:c r="H11" s="22" t="str">
        <x:v>retention, claims service, risk</x:v>
      </x:c>
      <x:c r="I11" s="22" t="str">
        <x:v>Claims Triage</x:v>
      </x:c>
      <x:c r="J11" s="34" t="str">
        <x:v>Universal/All effects may also apply.</x:v>
      </x:c>
    </x:row>
    <x:row r="12">
      <x:c r="A12" s="33" t="str">
        <x:v>Advisory</x:v>
      </x:c>
      <x:c r="B12" s="79" t="n">
        <x:v>32</x:v>
      </x:c>
      <x:c r="C12" s="79" t="n">
        <x:v>14</x:v>
      </x:c>
      <x:c r="D12" s="79" t="n">
        <x:v>12</x:v>
      </x:c>
      <x:c r="E12" s="79" t="n">
        <x:v>4</x:v>
      </x:c>
      <x:c r="F12" s="79" t="n">
        <x:v>2</x:v>
      </x:c>
      <x:c r="G12" s="79" t="n">
        <x:v>0</x:v>
      </x:c>
      <x:c r="H12" s="22" t="str">
        <x:v>client service, suitability, HNW/SME growth</x:v>
      </x:c>
      <x:c r="I12" s="22" t="str">
        <x:v>Appointment Book</x:v>
      </x:c>
      <x:c r="J12" s="34" t="str">
        <x:v>Universal/All effects may also apply.</x:v>
      </x:c>
    </x:row>
    <x:row r="13">
      <x:c r="A13" s="33" t="str">
        <x:v>Treasury</x:v>
      </x:c>
      <x:c r="B13" s="79" t="n">
        <x:v>27</x:v>
      </x:c>
      <x:c r="C13" s="79" t="n">
        <x:v>9</x:v>
      </x:c>
      <x:c r="D13" s="79" t="n">
        <x:v>7</x:v>
      </x:c>
      <x:c r="E13" s="79" t="n">
        <x:v>4</x:v>
      </x:c>
      <x:c r="F13" s="79" t="n">
        <x:v>4</x:v>
      </x:c>
      <x:c r="G13" s="79" t="n">
        <x:v>3</x:v>
      </x:c>
      <x:c r="H13" s="22" t="str">
        <x:v>liquidity, reserves, hedging</x:v>
      </x:c>
      <x:c r="I13" s="22" t="str">
        <x:v>Vault Inventory Log</x:v>
      </x:c>
      <x:c r="J13" s="34" t="str">
        <x:v>Universal/All effects may also apply.</x:v>
      </x:c>
    </x:row>
    <x:row r="14">
      <x:c r="A14" s="33" t="str">
        <x:v>Asset Management</x:v>
      </x:c>
      <x:c r="B14" s="79" t="n">
        <x:v>25</x:v>
      </x:c>
      <x:c r="C14" s="79" t="n">
        <x:v>8</x:v>
      </x:c>
      <x:c r="D14" s="79" t="n">
        <x:v>7</x:v>
      </x:c>
      <x:c r="E14" s="79" t="n">
        <x:v>5</x:v>
      </x:c>
      <x:c r="F14" s="79" t="n">
        <x:v>3</x:v>
      </x:c>
      <x:c r="G14" s="79" t="n">
        <x:v>2</x:v>
      </x:c>
      <x:c r="H14" s="22" t="str">
        <x:v>research, concentration, mandates</x:v>
      </x:c>
      <x:c r="I14" s="22" t="str">
        <x:v>Portfolio Watchlist</x:v>
      </x:c>
      <x:c r="J14" s="34" t="str">
        <x:v>Universal/All effects may also apply.</x:v>
      </x:c>
    </x:row>
    <x:row r="15">
      <x:c r="A15" s="33" t="str">
        <x:v>Multi-Service</x:v>
      </x:c>
      <x:c r="B15" s="79" t="n">
        <x:v>13</x:v>
      </x:c>
      <x:c r="C15" s="79" t="n">
        <x:v>6</x:v>
      </x:c>
      <x:c r="D15" s="79" t="n">
        <x:v>4</x:v>
      </x:c>
      <x:c r="E15" s="79" t="n">
        <x:v>1</x:v>
      </x:c>
      <x:c r="F15" s="79" t="n">
        <x:v>1</x:v>
      </x:c>
      <x:c r="G15" s="79" t="n">
        <x:v>1</x:v>
      </x:c>
      <x:c r="H15" s="22" t="str">
        <x:v>diversification, operations, service</x:v>
      </x:c>
      <x:c r="I15" s="22" t="str">
        <x:v>Queue Optimizer</x:v>
      </x:c>
      <x:c r="J15" s="34" t="str">
        <x:v>Universal/All effects may also apply.</x:v>
      </x:c>
    </x:row>
    <x:row r="16">
      <x:c r="A16" s="33" t="str">
        <x:v>Wealth</x:v>
      </x:c>
      <x:c r="B16" s="79" t="n">
        <x:v>31</x:v>
      </x:c>
      <x:c r="C16" s="79" t="n">
        <x:v>13</x:v>
      </x:c>
      <x:c r="D16" s="79" t="n">
        <x:v>8</x:v>
      </x:c>
      <x:c r="E16" s="79" t="n">
        <x:v>5</x:v>
      </x:c>
      <x:c r="F16" s="79" t="n">
        <x:v>4</x:v>
      </x:c>
      <x:c r="G16" s="79" t="n">
        <x:v>1</x:v>
      </x:c>
      <x:c r="H16" s="22" t="str">
        <x:v>HNW acquisition, retention, concentration</x:v>
      </x:c>
      <x:c r="I16" s="22" t="str">
        <x:v>Appointment Book</x:v>
      </x:c>
      <x:c r="J16" s="34" t="str">
        <x:v>Universal/All effects may also apply.</x:v>
      </x:c>
    </x:row>
    <x:row r="17">
      <x:c r="A17" s="33" t="str">
        <x:v>Fintech</x:v>
      </x:c>
      <x:c r="B17" s="79" t="n">
        <x:v>26</x:v>
      </x:c>
      <x:c r="C17" s="79" t="n">
        <x:v>10</x:v>
      </x:c>
      <x:c r="D17" s="79" t="n">
        <x:v>8</x:v>
      </x:c>
      <x:c r="E17" s="79" t="n">
        <x:v>3</x:v>
      </x:c>
      <x:c r="F17" s="79" t="n">
        <x:v>3</x:v>
      </x:c>
      <x:c r="G17" s="79" t="n">
        <x:v>2</x:v>
      </x:c>
      <x:c r="H17" s="22" t="str">
        <x:v>onboarding, operations, reliability, fraud</x:v>
      </x:c>
      <x:c r="I17" s="22" t="str">
        <x:v>Basic Security Controls</x:v>
      </x:c>
      <x:c r="J17" s="34" t="str">
        <x:v>Universal/All effects may also apply.</x:v>
      </x:c>
    </x:row>
    <x:row r="18">
      <x:c r="A18" s="33" t="str">
        <x:v>Data</x:v>
      </x:c>
      <x:c r="B18" s="79" t="n">
        <x:v>24</x:v>
      </x:c>
      <x:c r="C18" s="79" t="n">
        <x:v>10</x:v>
      </x:c>
      <x:c r="D18" s="79" t="n">
        <x:v>6</x:v>
      </x:c>
      <x:c r="E18" s="79" t="n">
        <x:v>3</x:v>
      </x:c>
      <x:c r="F18" s="79" t="n">
        <x:v>2</x:v>
      </x:c>
      <x:c r="G18" s="79" t="n">
        <x:v>3</x:v>
      </x:c>
      <x:c r="H18" s="22" t="str">
        <x:v>quality, uptime, research</x:v>
      </x:c>
      <x:c r="I18" s="22" t="str">
        <x:v>Data Quality Checklist</x:v>
      </x:c>
      <x:c r="J18" s="34" t="str">
        <x:v>Universal/All effects may also apply.</x:v>
      </x:c>
    </x:row>
    <x:row r="19">
      <x:c r="A19" s="33" t="str">
        <x:v>Market Making</x:v>
      </x:c>
      <x:c r="B19" s="79" t="n">
        <x:v>25</x:v>
      </x:c>
      <x:c r="C19" s="79" t="n">
        <x:v>8</x:v>
      </x:c>
      <x:c r="D19" s="79" t="n">
        <x:v>6</x:v>
      </x:c>
      <x:c r="E19" s="79" t="n">
        <x:v>4</x:v>
      </x:c>
      <x:c r="F19" s="79" t="n">
        <x:v>4</x:v>
      </x:c>
      <x:c r="G19" s="79" t="n">
        <x:v>3</x:v>
      </x:c>
      <x:c r="H19" s="22" t="str">
        <x:v>liquidity, market risk, capacity</x:v>
      </x:c>
      <x:c r="I19" s="22" t="str">
        <x:v>Reserve Discipline</x:v>
      </x:c>
      <x:c r="J19" s="34" t="str">
        <x:v>Universal/All effects may also apply.</x:v>
      </x:c>
    </x:row>
    <x:row r="20">
      <x:c r="A20" s="33" t="str">
        <x:v>Private Banking</x:v>
      </x:c>
      <x:c r="B20" s="79" t="n">
        <x:v>22</x:v>
      </x:c>
      <x:c r="C20" s="79" t="n">
        <x:v>8</x:v>
      </x:c>
      <x:c r="D20" s="79" t="n">
        <x:v>5</x:v>
      </x:c>
      <x:c r="E20" s="79" t="n">
        <x:v>3</x:v>
      </x:c>
      <x:c r="F20" s="79" t="n">
        <x:v>3</x:v>
      </x:c>
      <x:c r="G20" s="79" t="n">
        <x:v>3</x:v>
      </x:c>
      <x:c r="H20" s="22" t="str">
        <x:v>HNW trust, liquidity, service</x:v>
      </x:c>
      <x:c r="I20" s="22" t="str">
        <x:v>KYC Desk Guide</x:v>
      </x:c>
      <x:c r="J20" s="34" t="str">
        <x:v>Universal/All effects may also apply.</x:v>
      </x:c>
    </x:row>
    <x:row r="21">
      <x:c r="A21" s="33" t="str">
        <x:v>Exchange</x:v>
      </x:c>
      <x:c r="B21" s="79" t="n">
        <x:v>34</x:v>
      </x:c>
      <x:c r="C21" s="79" t="n">
        <x:v>11</x:v>
      </x:c>
      <x:c r="D21" s="79" t="n">
        <x:v>7</x:v>
      </x:c>
      <x:c r="E21" s="79" t="n">
        <x:v>6</x:v>
      </x:c>
      <x:c r="F21" s="79" t="n">
        <x:v>5</x:v>
      </x:c>
      <x:c r="G21" s="79" t="n">
        <x:v>5</x:v>
      </x:c>
      <x:c r="H21" s="22" t="str">
        <x:v>capacity, liquidity, operational resilience</x:v>
      </x:c>
      <x:c r="I21" s="22" t="str">
        <x:v>Trade Confirmation</x:v>
      </x:c>
      <x:c r="J21" s="34" t="str">
        <x:v>Universal/All effects may also apply.</x:v>
      </x:c>
    </x:row>
    <x:row r="22">
      <x:c r="A22" s="35" t="str">
        <x:v>Investment Banking</x:v>
      </x:c>
      <x:c r="B22" s="80" t="n">
        <x:v>21</x:v>
      </x:c>
      <x:c r="C22" s="80" t="n">
        <x:v>6</x:v>
      </x:c>
      <x:c r="D22" s="80" t="n">
        <x:v>5</x:v>
      </x:c>
      <x:c r="E22" s="80" t="n">
        <x:v>3</x:v>
      </x:c>
      <x:c r="F22" s="80" t="n">
        <x:v>5</x:v>
      </x:c>
      <x:c r="G22" s="80" t="n">
        <x:v>2</x:v>
      </x:c>
      <x:c r="H22" s="36" t="str">
        <x:v>corporate acquisition, execution, reputation</x:v>
      </x:c>
      <x:c r="I22" s="36" t="str">
        <x:v>Corporate Prospecting</x:v>
      </x:c>
      <x:c r="J22" s="37" t="str">
        <x:v>Universal/All effects may also apply.</x:v>
      </x:c>
    </x:row>
  </x:sheetData>
  <x:mergeCells>
    <x:mergeCell ref="A1:J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</x:cols>
  <x:sheetData>
    <x:row r="1" ht="30" customHeight="1">
      <x:c r="A1" s="86" t="str">
        <x:v>Building Mastery Reward Pools</x:v>
      </x:c>
      <x:c r="B1" s="86"/>
      <x:c r="C1" s="86"/>
      <x:c r="D1" s="86"/>
      <x:c r="E1" s="86"/>
      <x:c r="F1" s="86"/>
      <x:c r="G1" s="86"/>
      <x:c r="H1" s="86"/>
      <x:c r="I1" s="86"/>
      <x:c r="J1" s="86"/>
      <x:c r="K1" s="86"/>
      <x:c r="L1" s="86"/>
      <x:c r="M1" s="86"/>
      <x:c r="N1" s="86"/>
      <x:c r="O1" s="22"/>
      <x:c r="P1" s="22"/>
      <x:c r="Q1" s="22"/>
      <x:c r="R1" s="22"/>
      <x:c r="S1" s="22"/>
      <x:c r="T1" s="22"/>
      <x:c r="U1" s="22"/>
      <x:c r="V1" s="22"/>
      <x:c r="W1" s="22"/>
      <x:c r="X1" s="22"/>
    </x:row>
    <x:row r="3">
      <x:c r="A3" s="14" t="str">
        <x:v>Mastery Tier</x:v>
      </x:c>
      <x:c r="B3" s="14" t="str">
        <x:v>Reward Rarity</x:v>
      </x:c>
      <x:c r="C3" s="14" t="str">
        <x:v>Eligible Player State</x:v>
      </x:c>
      <x:c r="D3" s="14" t="str">
        <x:v>Reward Choice Size</x:v>
      </x:c>
      <x:c r="E3" s="14" t="str">
        <x:v>Pool Filter</x:v>
      </x:c>
      <x:c r="F3" s="14" t="str">
        <x:v>Guaranteed?</x:v>
      </x:c>
      <x:c r="G3" s="14" t="str">
        <x:v>Repeatable?</x:v>
      </x:c>
      <x:c r="H3" s="14" t="str">
        <x:v>Can Choose Owned Module?</x:v>
      </x:c>
      <x:c r="I3" s="14" t="str">
        <x:v>If All Options Owned</x:v>
      </x:c>
      <x:c r="J3" s="14" t="str">
        <x:v>Leaderboard Needed?</x:v>
      </x:c>
      <x:c r="K3" s="14" t="str">
        <x:v>Cash Needed?</x:v>
      </x:c>
      <x:c r="L3" s="14" t="str">
        <x:v>Source Evidence</x:v>
      </x:c>
      <x:c r="M3" s="14" t="str">
        <x:v>Claim Timing</x:v>
      </x:c>
      <x:c r="N3" s="14" t="str">
        <x:v>Notes</x:v>
      </x:c>
    </x:row>
    <x:row r="4">
      <x:c r="A4" s="30" t="str">
        <x:v>Mastery I</x:v>
      </x:c>
      <x:c r="B4" s="31" t="str">
        <x:v>Common</x:v>
      </x:c>
      <x:c r="C4" s="31" t="str">
        <x:v>Operate compatible Building Card; stage-normalized objective complete</x:v>
      </x:c>
      <x:c r="D4" s="31" t="n">
        <x:v>3</x:v>
      </x:c>
      <x:c r="E4" s="31" t="str">
        <x:v>Compatible family + Common</x:v>
      </x:c>
      <x:c r="F4" s="31" t="str">
        <x:v>Yes</x:v>
      </x:c>
      <x:c r="G4" s="31" t="str">
        <x:v>No</x:v>
      </x:c>
      <x:c r="H4" s="31" t="str">
        <x:v>Yes</x:v>
      </x:c>
      <x:c r="I4" s="31" t="str">
        <x:v>Offer alternative + Parts conversion</x:v>
      </x:c>
      <x:c r="J4" s="31" t="str">
        <x:v>No</x:v>
      </x:c>
      <x:c r="K4" s="31" t="str">
        <x:v>No</x:v>
      </x:c>
      <x:c r="L4" s="31" t="str">
        <x:v>Customers/activity ledger</x:v>
      </x:c>
      <x:c r="M4" s="31" t="str">
        <x:v>Immediate</x:v>
      </x:c>
      <x:c r="N4" s="32" t="str">
        <x:v>Deterministic Common access</x:v>
      </x:c>
    </x:row>
    <x:row r="5">
      <x:c r="A5" s="33" t="str">
        <x:v>Mastery II</x:v>
      </x:c>
      <x:c r="B5" s="22" t="str">
        <x:v>Uncommon</x:v>
      </x:c>
      <x:c r="C5" s="22" t="str">
        <x:v>Service &gt;=60 + stage-normalized target</x:v>
      </x:c>
      <x:c r="D5" s="22" t="n">
        <x:v>3</x:v>
      </x:c>
      <x:c r="E5" s="22" t="str">
        <x:v>Compatible family + Uncommon</x:v>
      </x:c>
      <x:c r="F5" s="22" t="str">
        <x:v>Yes</x:v>
      </x:c>
      <x:c r="G5" s="22" t="str">
        <x:v>No</x:v>
      </x:c>
      <x:c r="H5" s="22" t="str">
        <x:v>Yes</x:v>
      </x:c>
      <x:c r="I5" s="22" t="str">
        <x:v>Alternative + Parts</x:v>
      </x:c>
      <x:c r="J5" s="22" t="str">
        <x:v>No</x:v>
      </x:c>
      <x:c r="K5" s="22" t="str">
        <x:v>No</x:v>
      </x:c>
      <x:c r="L5" s="22" t="str">
        <x:v>Activity/service snapshot</x:v>
      </x:c>
      <x:c r="M5" s="22" t="str">
        <x:v>After validation</x:v>
      </x:c>
      <x:c r="N5" s="34" t="str"/>
    </x:row>
    <x:row r="6">
      <x:c r="A6" s="33" t="str">
        <x:v>Mastery III</x:v>
      </x:c>
      <x:c r="B6" s="22" t="str">
        <x:v>Rare</x:v>
      </x:c>
      <x:c r="C6" s="22" t="str">
        <x:v>3 active days + family objective + Risk/quality gate</x:v>
      </x:c>
      <x:c r="D6" s="22" t="n">
        <x:v>3</x:v>
      </x:c>
      <x:c r="E6" s="22" t="str">
        <x:v>Compatible family + Rare</x:v>
      </x:c>
      <x:c r="F6" s="22" t="str">
        <x:v>Yes</x:v>
      </x:c>
      <x:c r="G6" s="22" t="str">
        <x:v>No</x:v>
      </x:c>
      <x:c r="H6" s="22" t="str">
        <x:v>Yes</x:v>
      </x:c>
      <x:c r="I6" s="22" t="str">
        <x:v>Alternative + Parts</x:v>
      </x:c>
      <x:c r="J6" s="22" t="str">
        <x:v>No</x:v>
      </x:c>
      <x:c r="K6" s="22" t="str">
        <x:v>No</x:v>
      </x:c>
      <x:c r="L6" s="22" t="str">
        <x:v>Multi-system evidence</x:v>
      </x:c>
      <x:c r="M6" s="22" t="str">
        <x:v>After validation</x:v>
      </x:c>
      <x:c r="N6" s="34" t="str"/>
    </x:row>
    <x:row r="7">
      <x:c r="A7" s="33" t="str">
        <x:v>Mastery IV</x:v>
      </x:c>
      <x:c r="B7" s="22" t="str">
        <x:v>Epic</x:v>
      </x:c>
      <x:c r="C7" s="22" t="str">
        <x:v>Advanced family objective + Rep/Service/Risk gate</x:v>
      </x:c>
      <x:c r="D7" s="22" t="n">
        <x:v>2</x:v>
      </x:c>
      <x:c r="E7" s="22" t="str">
        <x:v>Compatible family + Epic</x:v>
      </x:c>
      <x:c r="F7" s="22" t="str">
        <x:v>Yes</x:v>
      </x:c>
      <x:c r="G7" s="22" t="str">
        <x:v>No</x:v>
      </x:c>
      <x:c r="H7" s="22" t="str">
        <x:v>Yes</x:v>
      </x:c>
      <x:c r="I7" s="22" t="str">
        <x:v>Alternative + Parts</x:v>
      </x:c>
      <x:c r="J7" s="22" t="str">
        <x:v>No</x:v>
      </x:c>
      <x:c r="K7" s="22" t="str">
        <x:v>No</x:v>
      </x:c>
      <x:c r="L7" s="22" t="str">
        <x:v>Multi-day evidence</x:v>
      </x:c>
      <x:c r="M7" s="22" t="str">
        <x:v>After validation</x:v>
      </x:c>
      <x:c r="N7" s="34" t="str"/>
    </x:row>
    <x:row r="8">
      <x:c r="A8" s="35" t="str">
        <x:v>Mastery V</x:v>
      </x:c>
      <x:c r="B8" s="36" t="str">
        <x:v>Legendary</x:v>
      </x:c>
      <x:c r="C8" s="36" t="str">
        <x:v>Long-term family mastery chain</x:v>
      </x:c>
      <x:c r="D8" s="36" t="n">
        <x:v>2</x:v>
      </x:c>
      <x:c r="E8" s="36" t="str">
        <x:v>Compatible family + Legendary</x:v>
      </x:c>
      <x:c r="F8" s="36" t="str">
        <x:v>Yes</x:v>
      </x:c>
      <x:c r="G8" s="36" t="str">
        <x:v>No</x:v>
      </x:c>
      <x:c r="H8" s="36" t="str">
        <x:v>Yes</x:v>
      </x:c>
      <x:c r="I8" s="36" t="str">
        <x:v>Legendary Parts if pool exhausted</x:v>
      </x:c>
      <x:c r="J8" s="36" t="str">
        <x:v>No</x:v>
      </x:c>
      <x:c r="K8" s="36" t="str">
        <x:v>No</x:v>
      </x:c>
      <x:c r="L8" s="36" t="str">
        <x:v>Longitudinal ledger</x:v>
      </x:c>
      <x:c r="M8" s="36" t="str">
        <x:v>After validation</x:v>
      </x:c>
      <x:c r="N8" s="37" t="str">
        <x:v>No RNG requirement for Legendary progression</x:v>
      </x:c>
    </x:row>
    <x:row r="10" ht="22" customHeight="1">
      <x:c r="A10" s="11" t="str">
        <x:v>Mastery Family Objective Templates</x:v>
      </x:c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</x:row>
    <x:row r="11">
      <x:c r="A11" s="14" t="str">
        <x:v>Family Group</x:v>
      </x:c>
      <x:c r="B11" s="14" t="str">
        <x:v>Evidence</x:v>
      </x:c>
      <x:c r="C11" s="14" t="str">
        <x:v>Quality Gate</x:v>
      </x:c>
      <x:c r="D11" s="14" t="str">
        <x:v>Example Objective</x:v>
      </x:c>
    </x:row>
    <x:row r="12">
      <x:c r="A12" s="30" t="str">
        <x:v>Banking / Treasury</x:v>
      </x:c>
      <x:c r="B12" s="31" t="str">
        <x:v>customers, reserve ratio, liquidity</x:v>
      </x:c>
      <x:c r="C12" s="31" t="str">
        <x:v>Liquidity Risk &lt;=50</x:v>
      </x:c>
      <x:c r="D12" s="32" t="str">
        <x:v>Serve target customers while reserve &gt;=15%</x:v>
      </x:c>
    </x:row>
    <x:row r="13">
      <x:c r="A13" s="33" t="str">
        <x:v>Lending</x:v>
      </x:c>
      <x:c r="B13" s="22" t="str">
        <x:v>lending activity proxy, defaults/risk</x:v>
      </x:c>
      <x:c r="C13" s="22" t="str">
        <x:v>Credit Risk &lt;=60</x:v>
      </x:c>
      <x:c r="D13" s="34" t="str">
        <x:v>Sustain target activity through Credit Boom</x:v>
      </x:c>
    </x:row>
    <x:row r="14">
      <x:c r="A14" s="33" t="str">
        <x:v>Trading / Exchange / Market Making / FX</x:v>
      </x:c>
      <x:c r="B14" s="22" t="str">
        <x:v>market activity, uptime</x:v>
      </x:c>
      <x:c r="C14" s="22" t="str">
        <x:v>Market/Liquidity Risk &lt;=60</x:v>
      </x:c>
      <x:c r="D14" s="34" t="str">
        <x:v>Maintain activity through Volatility Spike</x:v>
      </x:c>
    </x:row>
    <x:row r="15">
      <x:c r="A15" s="33" t="str">
        <x:v>Brokerage / Advisory</x:v>
      </x:c>
      <x:c r="B15" s="22" t="str">
        <x:v>investor customers, service</x:v>
      </x:c>
      <x:c r="C15" s="22" t="str">
        <x:v>Service &gt;=70</x:v>
      </x:c>
      <x:c r="D15" s="34" t="str">
        <x:v>Serve target investors with stable retention</x:v>
      </x:c>
    </x:row>
    <x:row r="16">
      <x:c r="A16" s="33" t="str">
        <x:v>Asset Mgmt / Wealth / Private Banking</x:v>
      </x:c>
      <x:c r="B16" s="22" t="str">
        <x:v>HNW/investor mix</x:v>
      </x:c>
      <x:c r="C16" s="22" t="str">
        <x:v>Concentration Risk &lt;=50</x:v>
      </x:c>
      <x:c r="D16" s="34" t="str">
        <x:v>Serve HNW target without overconcentration</x:v>
      </x:c>
    </x:row>
    <x:row r="17">
      <x:c r="A17" s="33" t="str">
        <x:v>Insurance</x:v>
      </x:c>
      <x:c r="B17" s="22" t="str">
        <x:v>retention, claims/event resolution</x:v>
      </x:c>
      <x:c r="C17" s="22" t="str">
        <x:v>Service &gt;=70</x:v>
      </x:c>
      <x:c r="D17" s="34" t="str">
        <x:v>Resolve event without severe reputation failure</x:v>
      </x:c>
    </x:row>
    <x:row r="18">
      <x:c r="A18" s="33" t="str">
        <x:v>Research / Data / Fintech</x:v>
      </x:c>
      <x:c r="B18" s="22" t="str">
        <x:v>research/activity, operational quality</x:v>
      </x:c>
      <x:c r="C18" s="22" t="str">
        <x:v>Operational Risk &lt;=50</x:v>
      </x:c>
      <x:c r="D18" s="34" t="str">
        <x:v>Sustain quality for 3 active days</x:v>
      </x:c>
    </x:row>
    <x:row r="19">
      <x:c r="A19" s="33" t="str">
        <x:v>Investment Banking</x:v>
      </x:c>
      <x:c r="B19" s="22" t="str">
        <x:v>corporate clients, deal events</x:v>
      </x:c>
      <x:c r="C19" s="22" t="str">
        <x:v>Reputation &gt;=80</x:v>
      </x:c>
      <x:c r="D19" s="34" t="str">
        <x:v>Complete corporate objective during M&amp;A/IPO event</x:v>
      </x:c>
    </x:row>
    <x:row r="20">
      <x:c r="A20" s="35" t="str">
        <x:v>Multi-Service</x:v>
      </x:c>
      <x:c r="B20" s="36" t="str">
        <x:v>segment diversity, balanced risk</x:v>
      </x:c>
      <x:c r="C20" s="36" t="str">
        <x:v>No risk category &gt;60</x:v>
      </x:c>
      <x:c r="D20" s="37" t="str">
        <x:v>Maintain 3+ meaningful customer segments</x:v>
      </x:c>
    </x:row>
  </x:sheetData>
  <x:mergeCells>
    <x:mergeCell ref="A1:N1"/>
    <x:mergeCell ref="A10:N10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</x:cols>
  <x:sheetData>
    <x:row r="1" ht="30" customHeight="1">
      <x:c r="A1" s="86" t="str">
        <x:v>Crafting, Dismantling &amp; Time Matrix</x:v>
      </x:c>
      <x:c r="B1" s="86"/>
      <x:c r="C1" s="86"/>
      <x:c r="D1" s="86"/>
      <x:c r="E1" s="86"/>
      <x:c r="F1" s="86"/>
      <x:c r="G1" s="86"/>
      <x:c r="H1" s="86"/>
      <x:c r="I1" s="86"/>
      <x:c r="J1" s="86"/>
      <x:c r="K1" s="86"/>
      <x:c r="L1" s="86"/>
      <x:c r="M1" s="86"/>
      <x:c r="N1" s="86"/>
      <x:c r="O1" s="22"/>
      <x:c r="P1" s="22"/>
      <x:c r="Q1" s="22"/>
      <x:c r="R1" s="22"/>
      <x:c r="S1" s="22"/>
      <x:c r="T1" s="22"/>
      <x:c r="U1" s="22"/>
      <x:c r="V1" s="22"/>
      <x:c r="W1" s="22"/>
      <x:c r="X1" s="22"/>
    </x:row>
    <x:row r="3">
      <x:c r="A3" s="14" t="str">
        <x:v>Rarity</x:v>
      </x:c>
      <x:c r="B3" s="14" t="str">
        <x:v>Parts Type</x:v>
      </x:c>
      <x:c r="C3" s="14" t="str">
        <x:v>Dismantle / Copy</x:v>
      </x:c>
      <x:c r="D3" s="14" t="str">
        <x:v>Exact Craft Cost</x:v>
      </x:c>
      <x:c r="E3" s="14" t="str">
        <x:v>Equivalent Duplicates</x:v>
      </x:c>
      <x:c r="F3" s="14" t="str">
        <x:v>Craft Time</x:v>
      </x:c>
      <x:c r="G3" s="14" t="str">
        <x:v>Craft Time Min</x:v>
      </x:c>
      <x:c r="H3" s="14" t="str">
        <x:v>Stage Gate</x:v>
      </x:c>
      <x:c r="I3" s="14" t="str">
        <x:v>Mastery Gate</x:v>
      </x:c>
      <x:c r="J3" s="14" t="str">
        <x:v>Concurrent Craft Slots</x:v>
      </x:c>
      <x:c r="K3" s="14" t="str">
        <x:v>Queue Limit</x:v>
      </x:c>
      <x:c r="L3" s="14" t="str">
        <x:v>Cash Fee</x:v>
      </x:c>
      <x:c r="M3" s="14" t="str">
        <x:v>Paid Speed-Up?</x:v>
      </x:c>
      <x:c r="N3" s="14" t="str">
        <x:v>Notes</x:v>
      </x:c>
    </x:row>
    <x:row r="4">
      <x:c r="A4" s="30" t="str">
        <x:v>Common</x:v>
      </x:c>
      <x:c r="B4" s="31" t="str">
        <x:v>Common Parts</x:v>
      </x:c>
      <x:c r="C4" s="78" t="n">
        <x:v>5</x:v>
      </x:c>
      <x:c r="D4" s="78" t="n">
        <x:v>25</x:v>
      </x:c>
      <x:c r="E4" s="78" t="n">
        <x:v>5</x:v>
      </x:c>
      <x:c r="F4" s="31" t="str">
        <x:v>Instant</x:v>
      </x:c>
      <x:c r="G4" s="78" t="n">
        <x:v>0</x:v>
      </x:c>
      <x:c r="H4" s="31" t="str">
        <x:v>Humble</x:v>
      </x:c>
      <x:c r="I4" s="31" t="str">
        <x:v>Mastery I</x:v>
      </x:c>
      <x:c r="J4" s="31" t="n">
        <x:v>2</x:v>
      </x:c>
      <x:c r="K4" s="31" t="n">
        <x:v>3</x:v>
      </x:c>
      <x:c r="L4" s="31" t="n">
        <x:v>0</x:v>
      </x:c>
      <x:c r="M4" s="31" t="str">
        <x:v>No</x:v>
      </x:c>
      <x:c r="N4" s="32" t="str">
        <x:v>Exact craft; timer runs server-side and continues offline.</x:v>
      </x:c>
    </x:row>
    <x:row r="5">
      <x:c r="A5" s="33" t="str">
        <x:v>Uncommon</x:v>
      </x:c>
      <x:c r="B5" s="22" t="str">
        <x:v>Uncommon Parts</x:v>
      </x:c>
      <x:c r="C5" s="79" t="n">
        <x:v>12</x:v>
      </x:c>
      <x:c r="D5" s="79" t="n">
        <x:v>60</x:v>
      </x:c>
      <x:c r="E5" s="79" t="n">
        <x:v>5</x:v>
      </x:c>
      <x:c r="F5" s="22" t="str">
        <x:v>15 min</x:v>
      </x:c>
      <x:c r="G5" s="79" t="n">
        <x:v>15</x:v>
      </x:c>
      <x:c r="H5" s="22" t="str">
        <x:v>Starter</x:v>
      </x:c>
      <x:c r="I5" s="22" t="str">
        <x:v>Mastery II</x:v>
      </x:c>
      <x:c r="J5" s="22" t="n">
        <x:v>2</x:v>
      </x:c>
      <x:c r="K5" s="22" t="n">
        <x:v>3</x:v>
      </x:c>
      <x:c r="L5" s="22" t="n">
        <x:v>0</x:v>
      </x:c>
      <x:c r="M5" s="22" t="str">
        <x:v>No</x:v>
      </x:c>
      <x:c r="N5" s="34" t="str">
        <x:v>Exact craft; timer runs server-side and continues offline.</x:v>
      </x:c>
    </x:row>
    <x:row r="6">
      <x:c r="A6" s="33" t="str">
        <x:v>Rare</x:v>
      </x:c>
      <x:c r="B6" s="22" t="str">
        <x:v>Rare Parts</x:v>
      </x:c>
      <x:c r="C6" s="79" t="n">
        <x:v>30</x:v>
      </x:c>
      <x:c r="D6" s="79" t="n">
        <x:v>150</x:v>
      </x:c>
      <x:c r="E6" s="79" t="n">
        <x:v>5</x:v>
      </x:c>
      <x:c r="F6" s="22" t="str">
        <x:v>1 hour</x:v>
      </x:c>
      <x:c r="G6" s="79" t="n">
        <x:v>60</x:v>
      </x:c>
      <x:c r="H6" s="22" t="str">
        <x:v>Growing</x:v>
      </x:c>
      <x:c r="I6" s="22" t="str">
        <x:v>Mastery III</x:v>
      </x:c>
      <x:c r="J6" s="22" t="n">
        <x:v>2</x:v>
      </x:c>
      <x:c r="K6" s="22" t="n">
        <x:v>3</x:v>
      </x:c>
      <x:c r="L6" s="22" t="n">
        <x:v>0</x:v>
      </x:c>
      <x:c r="M6" s="22" t="str">
        <x:v>No</x:v>
      </x:c>
      <x:c r="N6" s="34" t="str">
        <x:v>Exact craft; timer runs server-side and continues offline.</x:v>
      </x:c>
    </x:row>
    <x:row r="7">
      <x:c r="A7" s="33" t="str">
        <x:v>Epic</x:v>
      </x:c>
      <x:c r="B7" s="22" t="str">
        <x:v>Epic Parts</x:v>
      </x:c>
      <x:c r="C7" s="79" t="n">
        <x:v>80</x:v>
      </x:c>
      <x:c r="D7" s="79" t="n">
        <x:v>400</x:v>
      </x:c>
      <x:c r="E7" s="79" t="n">
        <x:v>5</x:v>
      </x:c>
      <x:c r="F7" s="22" t="str">
        <x:v>4 hours</x:v>
      </x:c>
      <x:c r="G7" s="79" t="n">
        <x:v>240</x:v>
      </x:c>
      <x:c r="H7" s="22" t="str">
        <x:v>Established</x:v>
      </x:c>
      <x:c r="I7" s="22" t="str">
        <x:v>Mastery IV</x:v>
      </x:c>
      <x:c r="J7" s="22" t="n">
        <x:v>2</x:v>
      </x:c>
      <x:c r="K7" s="22" t="n">
        <x:v>3</x:v>
      </x:c>
      <x:c r="L7" s="22" t="n">
        <x:v>0</x:v>
      </x:c>
      <x:c r="M7" s="22" t="str">
        <x:v>No</x:v>
      </x:c>
      <x:c r="N7" s="34" t="str">
        <x:v>Exact craft; timer runs server-side and continues offline.</x:v>
      </x:c>
    </x:row>
    <x:row r="8">
      <x:c r="A8" s="35" t="str">
        <x:v>Legendary</x:v>
      </x:c>
      <x:c r="B8" s="36" t="str">
        <x:v>Legendary Parts</x:v>
      </x:c>
      <x:c r="C8" s="80" t="n">
        <x:v>200</x:v>
      </x:c>
      <x:c r="D8" s="80" t="n">
        <x:v>1000</x:v>
      </x:c>
      <x:c r="E8" s="80" t="n">
        <x:v>5</x:v>
      </x:c>
      <x:c r="F8" s="36" t="str">
        <x:v>12 hours</x:v>
      </x:c>
      <x:c r="G8" s="80" t="n">
        <x:v>720</x:v>
      </x:c>
      <x:c r="H8" s="36" t="str">
        <x:v>Elite</x:v>
      </x:c>
      <x:c r="I8" s="36" t="str">
        <x:v>Mastery V</x:v>
      </x:c>
      <x:c r="J8" s="36" t="n">
        <x:v>2</x:v>
      </x:c>
      <x:c r="K8" s="36" t="n">
        <x:v>3</x:v>
      </x:c>
      <x:c r="L8" s="36" t="n">
        <x:v>0</x:v>
      </x:c>
      <x:c r="M8" s="36" t="str">
        <x:v>No</x:v>
      </x:c>
      <x:c r="N8" s="37" t="str">
        <x:v>Exact craft; timer runs server-side and continues offline.</x:v>
      </x:c>
    </x:row>
    <x:row r="10" ht="22" customHeight="1">
      <x:c r="A10" s="11" t="str">
        <x:v>Cancellation / Completion</x:v>
      </x:c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</x:row>
    <x:row r="11">
      <x:c r="A11" s="14" t="str">
        <x:v>Rule</x:v>
      </x:c>
      <x:c r="B11" s="14" t="str">
        <x:v>Decision</x:v>
      </x:c>
    </x:row>
    <x:row r="12">
      <x:c r="A12" s="30" t="str">
        <x:v>Cancel &lt;10% complete</x:v>
      </x:c>
      <x:c r="B12" s="32" t="str">
        <x:v>100% Parts refund.</x:v>
      </x:c>
    </x:row>
    <x:row r="13">
      <x:c r="A13" s="33" t="str">
        <x:v>Cancel &gt;=10% complete</x:v>
      </x:c>
      <x:c r="B13" s="34" t="str">
        <x:v>80% Parts refund.</x:v>
      </x:c>
    </x:row>
    <x:row r="14">
      <x:c r="A14" s="33" t="str">
        <x:v>Completion while offline</x:v>
      </x:c>
      <x:c r="B14" s="34" t="str">
        <x:v>Module deposited automatically into inventory.</x:v>
      </x:c>
    </x:row>
    <x:row r="15">
      <x:c r="A15" s="33" t="str">
        <x:v>Queue completion</x:v>
      </x:c>
      <x:c r="B15" s="34" t="str">
        <x:v>Next queued craft starts when a slot becomes free.</x:v>
      </x:c>
    </x:row>
    <x:row r="16">
      <x:c r="A16" s="33" t="str">
        <x:v>Config retirement mid-craft</x:v>
      </x:c>
      <x:c r="B16" s="34" t="str">
        <x:v>Completes using frozen recipe/config version unless critical exploit rollback.</x:v>
      </x:c>
    </x:row>
    <x:row r="17">
      <x:c r="A17" s="35" t="str">
        <x:v>Inventory full</x:v>
      </x:c>
      <x:c r="B17" s="37" t="str">
        <x:v>No hard inventory cap in v1.0.</x:v>
      </x:c>
    </x:row>
  </x:sheetData>
  <x:mergeCells>
    <x:mergeCell ref="A1:N1"/>
    <x:mergeCell ref="A10:N10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</x:cols>
  <x:sheetData>
    <x:row r="1" ht="30" customHeight="1">
      <x:c r="A1" s="86" t="str">
        <x:v>Themed Event Sources for Modules</x:v>
      </x:c>
      <x:c r="B1" s="86"/>
      <x:c r="C1" s="86"/>
      <x:c r="D1" s="86"/>
      <x:c r="E1" s="86"/>
      <x:c r="F1" s="86"/>
      <x:c r="G1" s="86"/>
      <x:c r="H1" s="86"/>
      <x:c r="I1" s="86"/>
      <x:c r="J1" s="86"/>
      <x:c r="K1" s="86"/>
      <x:c r="L1" s="86"/>
      <x:c r="M1" s="22"/>
      <x:c r="N1" s="22"/>
      <x:c r="O1" s="22"/>
      <x:c r="P1" s="22"/>
      <x:c r="Q1" s="22"/>
      <x:c r="R1" s="22"/>
      <x:c r="S1" s="22"/>
      <x:c r="T1" s="22"/>
      <x:c r="U1" s="22"/>
      <x:c r="V1" s="22"/>
      <x:c r="W1" s="22"/>
      <x:c r="X1" s="22"/>
    </x:row>
    <x:row r="3">
      <x:c r="A3" s="14" t="str">
        <x:v>Event</x:v>
      </x:c>
      <x:c r="B3" s="14" t="str">
        <x:v>Tagged Modules</x:v>
      </x:c>
      <x:c r="C3" s="14" t="str">
        <x:v>Common</x:v>
      </x:c>
      <x:c r="D3" s="14" t="str">
        <x:v>Uncommon</x:v>
      </x:c>
      <x:c r="E3" s="14" t="str">
        <x:v>Rare</x:v>
      </x:c>
      <x:c r="F3" s="14" t="str">
        <x:v>Epic</x:v>
      </x:c>
      <x:c r="G3" s="14" t="str">
        <x:v>Legendary</x:v>
      </x:c>
      <x:c r="H3" s="14" t="str">
        <x:v>Event Tier</x:v>
      </x:c>
      <x:c r="I3" s="14" t="str">
        <x:v>Reward Chance</x:v>
      </x:c>
      <x:c r="J3" s="14" t="str">
        <x:v>Selection Bias</x:v>
      </x:c>
      <x:c r="K3" s="14" t="str">
        <x:v>Example Modules</x:v>
      </x:c>
      <x:c r="L3" s="14" t="str">
        <x:v>Notes</x:v>
      </x:c>
    </x:row>
    <x:row r="4">
      <x:c r="A4" s="30" t="str">
        <x:v>Bull Market</x:v>
      </x:c>
      <x:c r="B4" s="78" t="n">
        <x:v>5</x:v>
      </x:c>
      <x:c r="C4" s="78" t="n">
        <x:v>1</x:v>
      </x:c>
      <x:c r="D4" s="78" t="n">
        <x:v>2</x:v>
      </x:c>
      <x:c r="E4" s="78" t="n">
        <x:v>1</x:v>
      </x:c>
      <x:c r="F4" s="78" t="n">
        <x:v>1</x:v>
      </x:c>
      <x:c r="G4" s="78" t="n">
        <x:v>0</x:v>
      </x:c>
      <x:c r="H4" s="31" t="str">
        <x:v>Major</x:v>
      </x:c>
      <x:c r="I4" s="54" t="n">
        <x:v>0.2</x:v>
      </x:c>
      <x:c r="J4" s="31" t="str">
        <x:v>Tagged Modules receive 4× selection weight</x:v>
      </x:c>
      <x:c r="K4" s="31" t="str">
        <x:v>Order Book Basics, Retail Investor Campaign, Market News Feed, Momentum Mandate</x:v>
      </x:c>
      <x:c r="L4" s="32" t="str">
        <x:v>No direct Performance bonus from Module reward.</x:v>
      </x:c>
    </x:row>
    <x:row r="5">
      <x:c r="A5" s="33" t="str">
        <x:v>Market Correction</x:v>
      </x:c>
      <x:c r="B5" s="79" t="n">
        <x:v>9</x:v>
      </x:c>
      <x:c r="C5" s="79" t="n">
        <x:v>0</x:v>
      </x:c>
      <x:c r="D5" s="79" t="n">
        <x:v>2</x:v>
      </x:c>
      <x:c r="E5" s="79" t="n">
        <x:v>3</x:v>
      </x:c>
      <x:c r="F5" s="79" t="n">
        <x:v>3</x:v>
      </x:c>
      <x:c r="G5" s="79" t="n">
        <x:v>1</x:v>
      </x:c>
      <x:c r="H5" s="22" t="str">
        <x:v>Major</x:v>
      </x:c>
      <x:c r="I5" s="56" t="n">
        <x:v>0.2</x:v>
      </x:c>
      <x:c r="J5" s="22" t="str">
        <x:v>Tagged Modules receive 4× selection weight</x:v>
      </x:c>
      <x:c r="K5" s="22" t="str">
        <x:v>Risk Alerting, Portfolio Rebalancing, Circuit Breaker, Diversified Mandate</x:v>
      </x:c>
      <x:c r="L5" s="34" t="str">
        <x:v>No direct Performance bonus from Module reward.</x:v>
      </x:c>
    </x:row>
    <x:row r="6">
      <x:c r="A6" s="33" t="str">
        <x:v>Earnings Season</x:v>
      </x:c>
      <x:c r="B6" s="79" t="n">
        <x:v>10</x:v>
      </x:c>
      <x:c r="C6" s="79" t="n">
        <x:v>6</x:v>
      </x:c>
      <x:c r="D6" s="79" t="n">
        <x:v>2</x:v>
      </x:c>
      <x:c r="E6" s="79" t="n">
        <x:v>1</x:v>
      </x:c>
      <x:c r="F6" s="79" t="n">
        <x:v>0</x:v>
      </x:c>
      <x:c r="G6" s="79" t="n">
        <x:v>1</x:v>
      </x:c>
      <x:c r="H6" s="22" t="str">
        <x:v>Standard</x:v>
      </x:c>
      <x:c r="I6" s="56" t="n">
        <x:v>0.12</x:v>
      </x:c>
      <x:c r="J6" s="22" t="str">
        <x:v>Tagged Modules receive 4× selection weight</x:v>
      </x:c>
      <x:c r="K6" s="22" t="str">
        <x:v>Customer Signage, Service Playbook, Local Promotions, Basic CRM</x:v>
      </x:c>
      <x:c r="L6" s="34" t="str">
        <x:v>No direct Performance bonus from Module reward.</x:v>
      </x:c>
    </x:row>
    <x:row r="7">
      <x:c r="A7" s="33" t="str">
        <x:v>IPO Week</x:v>
      </x:c>
      <x:c r="B7" s="79" t="n">
        <x:v>2</x:v>
      </x:c>
      <x:c r="C7" s="79" t="n">
        <x:v>0</x:v>
      </x:c>
      <x:c r="D7" s="79" t="n">
        <x:v>0</x:v>
      </x:c>
      <x:c r="E7" s="79" t="n">
        <x:v>1</x:v>
      </x:c>
      <x:c r="F7" s="79" t="n">
        <x:v>1</x:v>
      </x:c>
      <x:c r="G7" s="79" t="n">
        <x:v>0</x:v>
      </x:c>
      <x:c r="H7" s="22" t="str">
        <x:v>Major</x:v>
      </x:c>
      <x:c r="I7" s="56" t="n">
        <x:v>0.2</x:v>
      </x:c>
      <x:c r="J7" s="22" t="str">
        <x:v>Tagged Modules receive 4× selection weight</x:v>
      </x:c>
      <x:c r="K7" s="22" t="str">
        <x:v>Institutional Execution Desk, IPO Syndication Desk</x:v>
      </x:c>
      <x:c r="L7" s="34" t="str">
        <x:v>No direct Performance bonus from Module reward.</x:v>
      </x:c>
    </x:row>
    <x:row r="8">
      <x:c r="A8" s="33" t="str">
        <x:v>Rate Cut</x:v>
      </x:c>
      <x:c r="B8" s="79" t="n">
        <x:v>1</x:v>
      </x:c>
      <x:c r="C8" s="79" t="n">
        <x:v>1</x:v>
      </x:c>
      <x:c r="D8" s="79" t="n">
        <x:v>0</x:v>
      </x:c>
      <x:c r="E8" s="79" t="n">
        <x:v>0</x:v>
      </x:c>
      <x:c r="F8" s="79" t="n">
        <x:v>0</x:v>
      </x:c>
      <x:c r="G8" s="79" t="n">
        <x:v>0</x:v>
      </x:c>
      <x:c r="H8" s="22" t="str">
        <x:v>Standard</x:v>
      </x:c>
      <x:c r="I8" s="56" t="n">
        <x:v>0.12</x:v>
      </x:c>
      <x:c r="J8" s="22" t="str">
        <x:v>Tagged Modules receive 4× selection weight</x:v>
      </x:c>
      <x:c r="K8" s="22" t="str">
        <x:v>Savings Drive</x:v>
      </x:c>
      <x:c r="L8" s="34" t="str">
        <x:v>No direct Performance bonus from Module reward.</x:v>
      </x:c>
    </x:row>
    <x:row r="9">
      <x:c r="A9" s="33" t="str">
        <x:v>Rate Hike</x:v>
      </x:c>
      <x:c r="B9" s="79" t="n">
        <x:v>8</x:v>
      </x:c>
      <x:c r="C9" s="79" t="n">
        <x:v>2</x:v>
      </x:c>
      <x:c r="D9" s="79" t="n">
        <x:v>3</x:v>
      </x:c>
      <x:c r="E9" s="79" t="n">
        <x:v>2</x:v>
      </x:c>
      <x:c r="F9" s="79" t="n">
        <x:v>0</x:v>
      </x:c>
      <x:c r="G9" s="79" t="n">
        <x:v>1</x:v>
      </x:c>
      <x:c r="H9" s="22" t="str">
        <x:v>Standard</x:v>
      </x:c>
      <x:c r="I9" s="56" t="n">
        <x:v>0.12</x:v>
      </x:c>
      <x:c r="J9" s="22" t="str">
        <x:v>Tagged Modules receive 4× selection weight</x:v>
      </x:c>
      <x:c r="K9" s="22" t="str">
        <x:v>Cost Ledger, Deposit Reminder, Lean Operations, Fee Optimization</x:v>
      </x:c>
      <x:c r="L9" s="34" t="str">
        <x:v>No direct Performance bonus from Module reward.</x:v>
      </x:c>
    </x:row>
    <x:row r="10">
      <x:c r="A10" s="33" t="str">
        <x:v>Liquidity Crunch</x:v>
      </x:c>
      <x:c r="B10" s="79" t="n">
        <x:v>9</x:v>
      </x:c>
      <x:c r="C10" s="79" t="n">
        <x:v>2</x:v>
      </x:c>
      <x:c r="D10" s="79" t="n">
        <x:v>2</x:v>
      </x:c>
      <x:c r="E10" s="79" t="n">
        <x:v>2</x:v>
      </x:c>
      <x:c r="F10" s="79" t="n">
        <x:v>2</x:v>
      </x:c>
      <x:c r="G10" s="79" t="n">
        <x:v>1</x:v>
      </x:c>
      <x:c r="H10" s="22" t="str">
        <x:v>Major</x:v>
      </x:c>
      <x:c r="I10" s="56" t="n">
        <x:v>0.2</x:v>
      </x:c>
      <x:c r="J10" s="22" t="str">
        <x:v>Tagged Modules receive 4× selection weight</x:v>
      </x:c>
      <x:c r="K10" s="22" t="str">
        <x:v>Reserve Discipline, Vault Inventory Log, Liquidity Dashboard, Treasury Sweep</x:v>
      </x:c>
      <x:c r="L10" s="34" t="str">
        <x:v>No direct Performance bonus from Module reward.</x:v>
      </x:c>
    </x:row>
    <x:row r="11">
      <x:c r="A11" s="33" t="str">
        <x:v>Credit Boom</x:v>
      </x:c>
      <x:c r="B11" s="79" t="n">
        <x:v>5</x:v>
      </x:c>
      <x:c r="C11" s="79" t="n">
        <x:v>1</x:v>
      </x:c>
      <x:c r="D11" s="79" t="n">
        <x:v>1</x:v>
      </x:c>
      <x:c r="E11" s="79" t="n">
        <x:v>2</x:v>
      </x:c>
      <x:c r="F11" s="79" t="n">
        <x:v>1</x:v>
      </x:c>
      <x:c r="G11" s="79" t="n">
        <x:v>0</x:v>
      </x:c>
      <x:c r="H11" s="22" t="str">
        <x:v>Major</x:v>
      </x:c>
      <x:c r="I11" s="56" t="n">
        <x:v>0.2</x:v>
      </x:c>
      <x:c r="J11" s="22" t="str">
        <x:v>Tagged Modules receive 4× selection weight</x:v>
      </x:c>
      <x:c r="K11" s="22" t="str">
        <x:v>Simple Credit Checklist, Conservative Underwriting, Growth Underwriting, Credit Portfolio Guard</x:v>
      </x:c>
      <x:c r="L11" s="34" t="str">
        <x:v>No direct Performance bonus from Module reward.</x:v>
      </x:c>
    </x:row>
    <x:row r="12">
      <x:c r="A12" s="33" t="str">
        <x:v>Bank Run</x:v>
      </x:c>
      <x:c r="B12" s="79" t="n">
        <x:v>3</x:v>
      </x:c>
      <x:c r="C12" s="79" t="n">
        <x:v>1</x:v>
      </x:c>
      <x:c r="D12" s="79" t="n">
        <x:v>1</x:v>
      </x:c>
      <x:c r="E12" s="79" t="n">
        <x:v>0</x:v>
      </x:c>
      <x:c r="F12" s="79" t="n">
        <x:v>0</x:v>
      </x:c>
      <x:c r="G12" s="79" t="n">
        <x:v>1</x:v>
      </x:c>
      <x:c r="H12" s="22" t="str">
        <x:v>Crisis Resolution</x:v>
      </x:c>
      <x:c r="I12" s="56" t="n">
        <x:v>0.18</x:v>
      </x:c>
      <x:c r="J12" s="22" t="str">
        <x:v>Tagged Modules receive 4× selection weight</x:v>
      </x:c>
      <x:c r="K12" s="22" t="str">
        <x:v>Cash Handling Protocol, Service Recovery Desk, Fortress Balance Sheet</x:v>
      </x:c>
      <x:c r="L12" s="34" t="str">
        <x:v>No direct Performance bonus from Module reward.</x:v>
      </x:c>
    </x:row>
    <x:row r="13">
      <x:c r="A13" s="33" t="str">
        <x:v>Tech Rally</x:v>
      </x:c>
      <x:c r="B13" s="79" t="n">
        <x:v>11</x:v>
      </x:c>
      <x:c r="C13" s="79" t="n">
        <x:v>2</x:v>
      </x:c>
      <x:c r="D13" s="79" t="n">
        <x:v>4</x:v>
      </x:c>
      <x:c r="E13" s="79" t="n">
        <x:v>2</x:v>
      </x:c>
      <x:c r="F13" s="79" t="n">
        <x:v>1</x:v>
      </x:c>
      <x:c r="G13" s="79" t="n">
        <x:v>2</x:v>
      </x:c>
      <x:c r="H13" s="22" t="str">
        <x:v>Major</x:v>
      </x:c>
      <x:c r="I13" s="56" t="n">
        <x:v>0.2</x:v>
      </x:c>
      <x:c r="J13" s="22" t="str">
        <x:v>Tagged Modules receive 4× selection weight</x:v>
      </x:c>
      <x:c r="K13" s="22" t="str">
        <x:v>Research Notes, Data Quality Checklist, Research Terminal, Digital Onboarding</x:v>
      </x:c>
      <x:c r="L13" s="34" t="str">
        <x:v>No direct Performance bonus from Module reward.</x:v>
      </x:c>
    </x:row>
    <x:row r="14">
      <x:c r="A14" s="33" t="str">
        <x:v>Dividend Week</x:v>
      </x:c>
      <x:c r="B14" s="79" t="n">
        <x:v>5</x:v>
      </x:c>
      <x:c r="C14" s="79" t="n">
        <x:v>1</x:v>
      </x:c>
      <x:c r="D14" s="79" t="n">
        <x:v>1</x:v>
      </x:c>
      <x:c r="E14" s="79" t="n">
        <x:v>2</x:v>
      </x:c>
      <x:c r="F14" s="79" t="n">
        <x:v>1</x:v>
      </x:c>
      <x:c r="G14" s="79" t="n">
        <x:v>0</x:v>
      </x:c>
      <x:c r="H14" s="22" t="str">
        <x:v>Standard</x:v>
      </x:c>
      <x:c r="I14" s="56" t="n">
        <x:v>0.12</x:v>
      </x:c>
      <x:c r="J14" s="22" t="str">
        <x:v>Tagged Modules receive 4× selection weight</x:v>
      </x:c>
      <x:c r="K14" s="22" t="str">
        <x:v>Portfolio Watchlist, Concierge Desk, Premium Relationship Team, HNW Referral Network</x:v>
      </x:c>
      <x:c r="L14" s="34" t="str">
        <x:v>No direct Performance bonus from Module reward.</x:v>
      </x:c>
    </x:row>
    <x:row r="15">
      <x:c r="A15" s="33" t="str">
        <x:v>M&amp;A Boom</x:v>
      </x:c>
      <x:c r="B15" s="79" t="n">
        <x:v>7</x:v>
      </x:c>
      <x:c r="C15" s="79" t="n">
        <x:v>1</x:v>
      </x:c>
      <x:c r="D15" s="79" t="n">
        <x:v>2</x:v>
      </x:c>
      <x:c r="E15" s="79" t="n">
        <x:v>1</x:v>
      </x:c>
      <x:c r="F15" s="79" t="n">
        <x:v>2</x:v>
      </x:c>
      <x:c r="G15" s="79" t="n">
        <x:v>1</x:v>
      </x:c>
      <x:c r="H15" s="22" t="str">
        <x:v>Major</x:v>
      </x:c>
      <x:c r="I15" s="56" t="n">
        <x:v>0.2</x:v>
      </x:c>
      <x:c r="J15" s="22" t="str">
        <x:v>Tagged Modules receive 4× selection weight</x:v>
      </x:c>
      <x:c r="K15" s="22" t="str">
        <x:v>Merchant Outreach, SME Relationship Desk, Corporate Prospecting, Corporate Coverage Team</x:v>
      </x:c>
      <x:c r="L15" s="34" t="str">
        <x:v>No direct Performance bonus from Module reward.</x:v>
      </x:c>
    </x:row>
    <x:row r="16">
      <x:c r="A16" s="33" t="str">
        <x:v>Regulatory Approval</x:v>
      </x:c>
      <x:c r="B16" s="79" t="n">
        <x:v>12</x:v>
      </x:c>
      <x:c r="C16" s="79" t="n">
        <x:v>6</x:v>
      </x:c>
      <x:c r="D16" s="79" t="n">
        <x:v>2</x:v>
      </x:c>
      <x:c r="E16" s="79" t="n">
        <x:v>1</x:v>
      </x:c>
      <x:c r="F16" s="79" t="n">
        <x:v>2</x:v>
      </x:c>
      <x:c r="G16" s="79" t="n">
        <x:v>1</x:v>
      </x:c>
      <x:c r="H16" s="22" t="str">
        <x:v>Standard</x:v>
      </x:c>
      <x:c r="I16" s="56" t="n">
        <x:v>0.12</x:v>
      </x:c>
      <x:c r="J16" s="22" t="str">
        <x:v>Tagged Modules receive 4× selection weight</x:v>
      </x:c>
      <x:c r="K16" s="22" t="str">
        <x:v>Queue Optimizer, Risk Checklist, Fast Onboarding, Client Suitability Form</x:v>
      </x:c>
      <x:c r="L16" s="34" t="str">
        <x:v>No direct Performance bonus from Module reward.</x:v>
      </x:c>
    </x:row>
    <x:row r="17">
      <x:c r="A17" s="35" t="str">
        <x:v>Volatility Spike</x:v>
      </x:c>
      <x:c r="B17" s="80" t="n">
        <x:v>9</x:v>
      </x:c>
      <x:c r="C17" s="80" t="n">
        <x:v>3</x:v>
      </x:c>
      <x:c r="D17" s="80" t="n">
        <x:v>2</x:v>
      </x:c>
      <x:c r="E17" s="80" t="n">
        <x:v>2</x:v>
      </x:c>
      <x:c r="F17" s="80" t="n">
        <x:v>1</x:v>
      </x:c>
      <x:c r="G17" s="80" t="n">
        <x:v>1</x:v>
      </x:c>
      <x:c r="H17" s="36" t="str">
        <x:v>Major</x:v>
      </x:c>
      <x:c r="I17" s="58" t="n">
        <x:v>0.2</x:v>
      </x:c>
      <x:c r="J17" s="36" t="str">
        <x:v>Tagged Modules receive 4× selection weight</x:v>
      </x:c>
      <x:c r="K17" s="36" t="str">
        <x:v>Backup Procedures, FX Rate Board, Trade Confirmation, Smart Order Routing</x:v>
      </x:c>
      <x:c r="L17" s="37" t="str">
        <x:v>No direct Performance bonus from Module reward.</x:v>
      </x:c>
    </x:row>
  </x:sheetData>
  <x:mergeCells>
    <x:mergeCell ref="A1:L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</x:cols>
  <x:sheetData>
    <x:row r="1" ht="30" customHeight="1">
      <x:c r="A1" s="86" t="str">
        <x:v>Power → Runtime Mapping</x:v>
      </x:c>
      <x:c r="B1" s="86"/>
      <x:c r="C1" s="86"/>
      <x:c r="D1" s="86"/>
      <x:c r="E1" s="86"/>
      <x:c r="F1" s="86"/>
      <x:c r="G1" s="86"/>
      <x:c r="H1" s="86"/>
      <x:c r="I1" s="86"/>
      <x:c r="J1" s="86"/>
      <x:c r="K1" s="86"/>
      <x:c r="L1" s="86"/>
      <x:c r="M1" s="86"/>
      <x:c r="N1" s="86"/>
      <x:c r="O1" s="22"/>
      <x:c r="P1" s="22"/>
      <x:c r="Q1" s="22"/>
      <x:c r="R1" s="22"/>
      <x:c r="S1" s="22"/>
      <x:c r="T1" s="22"/>
      <x:c r="U1" s="22"/>
      <x:c r="V1" s="22"/>
      <x:c r="W1" s="22"/>
      <x:c r="X1" s="22"/>
    </x:row>
    <x:row r="3">
      <x:c r="A3" s="14" t="str">
        <x:v>Human-Facing Power</x:v>
      </x:c>
      <x:c r="B3" s="14" t="str">
        <x:v>Runtime Effect Type</x:v>
      </x:c>
      <x:c r="C3" s="14" t="str">
        <x:v>Operation</x:v>
      </x:c>
      <x:c r="D3" s="14" t="str">
        <x:v>Unit</x:v>
      </x:c>
      <x:c r="E3" s="14" t="str">
        <x:v>Example Config</x:v>
      </x:c>
      <x:c r="F3" s="14" t="str">
        <x:v>Consuming System</x:v>
      </x:c>
      <x:c r="G3" s="14" t="str">
        <x:v>Performance Direct?</x:v>
      </x:c>
      <x:c r="H3" s="14" t="str">
        <x:v>Typical Hard Cap</x:v>
      </x:c>
      <x:c r="I3" s="14" t="str">
        <x:v>Segment?</x:v>
      </x:c>
      <x:c r="J3" s="14" t="str">
        <x:v>Condition?</x:v>
      </x:c>
      <x:c r="K3" s="14" t="str">
        <x:v>Offline Special?</x:v>
      </x:c>
      <x:c r="L3" s="14" t="str">
        <x:v>Negative Tradeoff?</x:v>
      </x:c>
      <x:c r="M3" s="14" t="str">
        <x:v>UI Display</x:v>
      </x:c>
      <x:c r="N3" s="14" t="str">
        <x:v>Notes</x:v>
      </x:c>
    </x:row>
    <x:row r="4">
      <x:c r="A4" s="30" t="str">
        <x:v>Customer acquisition</x:v>
      </x:c>
      <x:c r="B4" s="31" t="str">
        <x:v>customer_acquisition</x:v>
      </x:c>
      <x:c r="C4" s="31" t="str">
        <x:v>multiply</x:v>
      </x:c>
      <x:c r="D4" s="31" t="str">
        <x:v>ratio</x:v>
      </x:c>
      <x:c r="E4" s="31" t="str">
        <x:v>1.08</x:v>
      </x:c>
      <x:c r="F4" s="31" t="str">
        <x:v>Customer Engine</x:v>
      </x:c>
      <x:c r="G4" s="31" t="str">
        <x:v>No</x:v>
      </x:c>
      <x:c r="H4" s="31" t="str">
        <x:v>25% net positive</x:v>
      </x:c>
      <x:c r="I4" s="31" t="str">
        <x:v>Yes</x:v>
      </x:c>
      <x:c r="J4" s="31" t="str">
        <x:v>Yes</x:v>
      </x:c>
      <x:c r="K4" s="31" t="str">
        <x:v>No</x:v>
      </x:c>
      <x:c r="L4" s="31" t="str">
        <x:v>Yes</x:v>
      </x:c>
      <x:c r="M4" s="31" t="str">
        <x:v>+8% acquisition</x:v>
      </x:c>
      <x:c r="N4" s="32" t="str"/>
    </x:row>
    <x:row r="5">
      <x:c r="A5" s="33" t="str">
        <x:v>Retention</x:v>
      </x:c>
      <x:c r="B5" s="22" t="str">
        <x:v>retention</x:v>
      </x:c>
      <x:c r="C5" s="22" t="str">
        <x:v>multiply</x:v>
      </x:c>
      <x:c r="D5" s="22" t="str">
        <x:v>ratio</x:v>
      </x:c>
      <x:c r="E5" s="22" t="str">
        <x:v>1.10</x:v>
      </x:c>
      <x:c r="F5" s="22" t="str">
        <x:v>Customer Engine</x:v>
      </x:c>
      <x:c r="G5" s="22" t="str">
        <x:v>No</x:v>
      </x:c>
      <x:c r="H5" s="22" t="str">
        <x:v>15%</x:v>
      </x:c>
      <x:c r="I5" s="22" t="str">
        <x:v>Yes</x:v>
      </x:c>
      <x:c r="J5" s="22" t="str">
        <x:v>Yes</x:v>
      </x:c>
      <x:c r="K5" s="22" t="str">
        <x:v>No</x:v>
      </x:c>
      <x:c r="L5" s="22" t="str">
        <x:v>Yes</x:v>
      </x:c>
      <x:c r="M5" s="22" t="str">
        <x:v>+10% retention</x:v>
      </x:c>
      <x:c r="N5" s="34" t="str"/>
    </x:row>
    <x:row r="6">
      <x:c r="A6" s="33" t="str">
        <x:v>Capacity</x:v>
      </x:c>
      <x:c r="B6" s="22" t="str">
        <x:v>capacity</x:v>
      </x:c>
      <x:c r="C6" s="22" t="str">
        <x:v>multiply</x:v>
      </x:c>
      <x:c r="D6" s="22" t="str">
        <x:v>ratio</x:v>
      </x:c>
      <x:c r="E6" s="22" t="str">
        <x:v>1.10</x:v>
      </x:c>
      <x:c r="F6" s="22" t="str">
        <x:v>Customer/Economy</x:v>
      </x:c>
      <x:c r="G6" s="22" t="str">
        <x:v>No</x:v>
      </x:c>
      <x:c r="H6" s="22" t="str">
        <x:v>20%</x:v>
      </x:c>
      <x:c r="I6" s="22" t="str">
        <x:v>No</x:v>
      </x:c>
      <x:c r="J6" s="22" t="str">
        <x:v>Yes</x:v>
      </x:c>
      <x:c r="K6" s="22" t="str">
        <x:v>No</x:v>
      </x:c>
      <x:c r="L6" s="22" t="str">
        <x:v>Yes</x:v>
      </x:c>
      <x:c r="M6" s="22" t="str">
        <x:v>+10% capacity</x:v>
      </x:c>
      <x:c r="N6" s="34" t="str"/>
    </x:row>
    <x:row r="7">
      <x:c r="A7" s="33" t="str">
        <x:v>Activity efficiency</x:v>
      </x:c>
      <x:c r="B7" s="22" t="str">
        <x:v>activity_efficiency</x:v>
      </x:c>
      <x:c r="C7" s="22" t="str">
        <x:v>multiply</x:v>
      </x:c>
      <x:c r="D7" s="22" t="str">
        <x:v>ratio</x:v>
      </x:c>
      <x:c r="E7" s="22" t="str">
        <x:v>1.10</x:v>
      </x:c>
      <x:c r="F7" s="22" t="str">
        <x:v>Economy Engine</x:v>
      </x:c>
      <x:c r="G7" s="22" t="str">
        <x:v>No</x:v>
      </x:c>
      <x:c r="H7" s="22" t="str">
        <x:v>15%</x:v>
      </x:c>
      <x:c r="I7" s="22" t="str">
        <x:v>No</x:v>
      </x:c>
      <x:c r="J7" s="22" t="str">
        <x:v>Yes</x:v>
      </x:c>
      <x:c r="K7" s="22" t="str">
        <x:v>No</x:v>
      </x:c>
      <x:c r="L7" s="22" t="str">
        <x:v>Yes</x:v>
      </x:c>
      <x:c r="M7" s="22" t="str">
        <x:v>+10% activity efficiency</x:v>
      </x:c>
      <x:c r="N7" s="34" t="str">
        <x:v>No direct Activity Points</x:v>
      </x:c>
    </x:row>
    <x:row r="8">
      <x:c r="A8" s="33" t="str">
        <x:v>Operating cost</x:v>
      </x:c>
      <x:c r="B8" s="22" t="str">
        <x:v>operating_cost</x:v>
      </x:c>
      <x:c r="C8" s="22" t="str">
        <x:v>multiply</x:v>
      </x:c>
      <x:c r="D8" s="22" t="str">
        <x:v>ratio</x:v>
      </x:c>
      <x:c r="E8" s="22" t="str">
        <x:v>.94</x:v>
      </x:c>
      <x:c r="F8" s="22" t="str">
        <x:v>Economy Engine</x:v>
      </x:c>
      <x:c r="G8" s="22" t="str">
        <x:v>No</x:v>
      </x:c>
      <x:c r="H8" s="22" t="str">
        <x:v>12% reduction</x:v>
      </x:c>
      <x:c r="I8" s="22" t="str">
        <x:v>No</x:v>
      </x:c>
      <x:c r="J8" s="22" t="str">
        <x:v>Yes</x:v>
      </x:c>
      <x:c r="K8" s="22" t="str">
        <x:v>No</x:v>
      </x:c>
      <x:c r="L8" s="22" t="str">
        <x:v>Yes</x:v>
      </x:c>
      <x:c r="M8" s="22" t="str">
        <x:v>-6% operating cost</x:v>
      </x:c>
      <x:c r="N8" s="34" t="str"/>
    </x:row>
    <x:row r="9">
      <x:c r="A9" s="33" t="str">
        <x:v>Service Quality</x:v>
      </x:c>
      <x:c r="B9" s="22" t="str">
        <x:v>service_quality</x:v>
      </x:c>
      <x:c r="C9" s="22" t="str">
        <x:v>add_points</x:v>
      </x:c>
      <x:c r="D9" s="22" t="str">
        <x:v>points</x:v>
      </x:c>
      <x:c r="E9" s="22" t="str">
        <x:v>5</x:v>
      </x:c>
      <x:c r="F9" s="22" t="str">
        <x:v>Customer/Rep</x:v>
      </x:c>
      <x:c r="G9" s="22" t="str">
        <x:v>No</x:v>
      </x:c>
      <x:c r="H9" s="22" t="str">
        <x:v>+10 points</x:v>
      </x:c>
      <x:c r="I9" s="22" t="str">
        <x:v>No</x:v>
      </x:c>
      <x:c r="J9" s="22" t="str">
        <x:v>Yes</x:v>
      </x:c>
      <x:c r="K9" s="22" t="str">
        <x:v>No</x:v>
      </x:c>
      <x:c r="L9" s="22" t="str">
        <x:v>Yes</x:v>
      </x:c>
      <x:c r="M9" s="22" t="str">
        <x:v>+5 Service</x:v>
      </x:c>
      <x:c r="N9" s="34" t="str">
        <x:v>No direct Reputation</x:v>
      </x:c>
    </x:row>
    <x:row r="10">
      <x:c r="A10" s="33" t="str">
        <x:v>Risk category</x:v>
      </x:c>
      <x:c r="B10" s="22" t="str">
        <x:v>risk_delta</x:v>
      </x:c>
      <x:c r="C10" s="22" t="str">
        <x:v>add_points</x:v>
      </x:c>
      <x:c r="D10" s="22" t="str">
        <x:v>points</x:v>
      </x:c>
      <x:c r="E10" s="22" t="str">
        <x:v>-6</x:v>
      </x:c>
      <x:c r="F10" s="22" t="str">
        <x:v>Risk Engine</x:v>
      </x:c>
      <x:c r="G10" s="22" t="str">
        <x:v>No</x:v>
      </x:c>
      <x:c r="H10" s="22" t="str">
        <x:v>-15 Module points</x:v>
      </x:c>
      <x:c r="I10" s="22" t="str">
        <x:v>No</x:v>
      </x:c>
      <x:c r="J10" s="22" t="str">
        <x:v>Yes</x:v>
      </x:c>
      <x:c r="K10" s="22" t="str">
        <x:v>No</x:v>
      </x:c>
      <x:c r="L10" s="22" t="str">
        <x:v>Yes</x:v>
      </x:c>
      <x:c r="M10" s="22" t="str">
        <x:v>-6 Liquidity Risk</x:v>
      </x:c>
      <x:c r="N10" s="34" t="str"/>
    </x:row>
    <x:row r="11">
      <x:c r="A11" s="35" t="str">
        <x:v>Event resilience</x:v>
      </x:c>
      <x:c r="B11" s="36" t="str">
        <x:v>event_resilience</x:v>
      </x:c>
      <x:c r="C11" s="36" t="str">
        <x:v>multiply</x:v>
      </x:c>
      <x:c r="D11" s="36" t="str">
        <x:v>ratio</x:v>
      </x:c>
      <x:c r="E11" s="36" t="str">
        <x:v>.85</x:v>
      </x:c>
      <x:c r="F11" s="36" t="str">
        <x:v>Event Engine</x:v>
      </x:c>
      <x:c r="G11" s="36" t="str">
        <x:v>No</x:v>
      </x:c>
      <x:c r="H11" s="36" t="str">
        <x:v>20% negative-event reduction</x:v>
      </x:c>
      <x:c r="I11" s="36" t="str">
        <x:v>No</x:v>
      </x:c>
      <x:c r="J11" s="36" t="str">
        <x:v>Yes</x:v>
      </x:c>
      <x:c r="K11" s="36" t="str">
        <x:v>No</x:v>
      </x:c>
      <x:c r="L11" s="36" t="str">
        <x:v>No</x:v>
      </x:c>
      <x:c r="M11" s="36" t="str">
        <x:v>15% less eligible event penalty</x:v>
      </x:c>
      <x:c r="N11" s="37" t="str">
        <x:v>Cannot nullify event</x:v>
      </x:c>
    </x:row>
  </x:sheetData>
  <x:mergeCells>
    <x:mergeCell ref="A1:N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</x:cols>
  <x:sheetData>
    <x:row r="1" ht="30" customHeight="1">
      <x:c r="A1" s="86" t="str">
        <x:v>Module Balance Guardrails</x:v>
      </x:c>
      <x:c r="B1" s="86"/>
      <x:c r="C1" s="86"/>
      <x:c r="D1" s="86"/>
      <x:c r="E1" s="86"/>
      <x:c r="F1" s="86"/>
      <x:c r="G1" s="86"/>
      <x:c r="H1" s="86"/>
      <x:c r="I1" s="86"/>
      <x:c r="J1" s="86"/>
      <x:c r="K1" s="86"/>
      <x:c r="L1" s="86"/>
      <x:c r="M1" s="86"/>
      <x:c r="N1" s="86"/>
      <x:c r="O1" s="22"/>
      <x:c r="P1" s="22"/>
      <x:c r="Q1" s="22"/>
      <x:c r="R1" s="22"/>
      <x:c r="S1" s="22"/>
      <x:c r="T1" s="22"/>
      <x:c r="U1" s="22"/>
      <x:c r="V1" s="22"/>
      <x:c r="W1" s="22"/>
      <x:c r="X1" s="22"/>
    </x:row>
    <x:row r="3">
      <x:c r="A3" s="14" t="str">
        <x:v>Guardrail</x:v>
      </x:c>
      <x:c r="B3" s="14" t="str">
        <x:v>Default</x:v>
      </x:c>
      <x:c r="C3" s="14" t="str">
        <x:v>Applies To</x:v>
      </x:c>
      <x:c r="D3" s="14" t="str">
        <x:v>Reason</x:v>
      </x:c>
      <x:c r="E3" s="14" t="str">
        <x:v>Server Enforced?</x:v>
      </x:c>
      <x:c r="F3" s="14" t="str">
        <x:v>UI Visible?</x:v>
      </x:c>
      <x:c r="G3" s="14" t="str">
        <x:v>LiveOps Tunable?</x:v>
      </x:c>
      <x:c r="H3" s="14" t="str">
        <x:v>Safe Range</x:v>
      </x:c>
      <x:c r="I3" s="14" t="str">
        <x:v>Competitive Risk</x:v>
      </x:c>
      <x:c r="J3" s="14" t="str">
        <x:v>Economy Risk</x:v>
      </x:c>
      <x:c r="K3" s="14" t="str">
        <x:v>Violation Response</x:v>
      </x:c>
      <x:c r="L3" s="14" t="str">
        <x:v>Test</x:v>
      </x:c>
      <x:c r="M3" s="14" t="str">
        <x:v>Priority</x:v>
      </x:c>
      <x:c r="N3" s="14" t="str">
        <x:v>Notes</x:v>
      </x:c>
    </x:row>
    <x:row r="4">
      <x:c r="A4" s="30" t="str">
        <x:v>Same-group diminishing returns</x:v>
      </x:c>
      <x:c r="B4" s="31" t="str">
        <x:v>100% / 60% / 30% / 0%</x:v>
      </x:c>
      <x:c r="C4" s="31" t="str">
        <x:v>All</x:v>
      </x:c>
      <x:c r="D4" s="31" t="str">
        <x:v>Prevent stacking meta</x:v>
      </x:c>
      <x:c r="E4" s="31" t="str">
        <x:v>Yes</x:v>
      </x:c>
      <x:c r="F4" s="31" t="str">
        <x:v>Yes</x:v>
      </x:c>
      <x:c r="G4" s="31" t="str">
        <x:v>Yes</x:v>
      </x:c>
      <x:c r="H4" s="31" t="str">
        <x:v>Second 50–70%; third 20–40%</x:v>
      </x:c>
      <x:c r="I4" s="31" t="str">
        <x:v>High</x:v>
      </x:c>
      <x:c r="J4" s="31" t="str">
        <x:v>High</x:v>
      </x:c>
      <x:c r="K4" s="31" t="str">
        <x:v>Clamp + alert</x:v>
      </x:c>
      <x:c r="L4" s="31" t="str">
        <x:v>Stacking QA</x:v>
      </x:c>
      <x:c r="M4" s="31" t="str">
        <x:v>P0</x:v>
      </x:c>
      <x:c r="N4" s="32" t="str"/>
    </x:row>
    <x:row r="5">
      <x:c r="A5" s="33" t="str">
        <x:v>Customer acquisition cap</x:v>
      </x:c>
      <x:c r="B5" s="22" t="str">
        <x:v>25%</x:v>
      </x:c>
      <x:c r="C5" s="22" t="str">
        <x:v>Per building</x:v>
      </x:c>
      <x:c r="D5" s="22" t="str">
        <x:v>Keep demand/layout relevant</x:v>
      </x:c>
      <x:c r="E5" s="22" t="str">
        <x:v>Yes</x:v>
      </x:c>
      <x:c r="F5" s="22" t="str">
        <x:v>Yes</x:v>
      </x:c>
      <x:c r="G5" s="22" t="str">
        <x:v>Yes</x:v>
      </x:c>
      <x:c r="H5" s="22" t="str">
        <x:v>20–30%</x:v>
      </x:c>
      <x:c r="I5" s="22" t="str">
        <x:v>High</x:v>
      </x:c>
      <x:c r="J5" s="22" t="str">
        <x:v>High</x:v>
      </x:c>
      <x:c r="K5" s="22" t="str">
        <x:v>Clamp</x:v>
      </x:c>
      <x:c r="L5" s="22" t="str">
        <x:v>Effect test</x:v>
      </x:c>
      <x:c r="M5" s="22" t="str">
        <x:v>P0</x:v>
      </x:c>
      <x:c r="N5" s="34" t="str"/>
    </x:row>
    <x:row r="6">
      <x:c r="A6" s="33" t="str">
        <x:v>Retention cap</x:v>
      </x:c>
      <x:c r="B6" s="22" t="str">
        <x:v>15%</x:v>
      </x:c>
      <x:c r="C6" s="22" t="str">
        <x:v>Per building</x:v>
      </x:c>
      <x:c r="D6" s="22" t="str">
        <x:v>Keep churn meaningful</x:v>
      </x:c>
      <x:c r="E6" s="22" t="str">
        <x:v>Yes</x:v>
      </x:c>
      <x:c r="F6" s="22" t="str">
        <x:v>Yes</x:v>
      </x:c>
      <x:c r="G6" s="22" t="str">
        <x:v>Yes</x:v>
      </x:c>
      <x:c r="H6" s="22" t="str">
        <x:v>10–20%</x:v>
      </x:c>
      <x:c r="I6" s="22" t="str">
        <x:v>Medium</x:v>
      </x:c>
      <x:c r="J6" s="22" t="str">
        <x:v>Medium</x:v>
      </x:c>
      <x:c r="K6" s="22" t="str">
        <x:v>Clamp</x:v>
      </x:c>
      <x:c r="L6" s="22" t="str">
        <x:v>Effect test</x:v>
      </x:c>
      <x:c r="M6" s="22" t="str">
        <x:v>P0</x:v>
      </x:c>
      <x:c r="N6" s="34" t="str"/>
    </x:row>
    <x:row r="7">
      <x:c r="A7" s="33" t="str">
        <x:v>Capacity cap</x:v>
      </x:c>
      <x:c r="B7" s="22" t="str">
        <x:v>20%</x:v>
      </x:c>
      <x:c r="C7" s="22" t="str">
        <x:v>Per building</x:v>
      </x:c>
      <x:c r="D7" s="22" t="str">
        <x:v>Upgrades/layout remain important</x:v>
      </x:c>
      <x:c r="E7" s="22" t="str">
        <x:v>Yes</x:v>
      </x:c>
      <x:c r="F7" s="22" t="str">
        <x:v>Yes</x:v>
      </x:c>
      <x:c r="G7" s="22" t="str">
        <x:v>Yes</x:v>
      </x:c>
      <x:c r="H7" s="22" t="str">
        <x:v>15–25%</x:v>
      </x:c>
      <x:c r="I7" s="22" t="str">
        <x:v>High</x:v>
      </x:c>
      <x:c r="J7" s="22" t="str">
        <x:v>High</x:v>
      </x:c>
      <x:c r="K7" s="22" t="str">
        <x:v>Clamp</x:v>
      </x:c>
      <x:c r="L7" s="22" t="str">
        <x:v>Effect test</x:v>
      </x:c>
      <x:c r="M7" s="22" t="str">
        <x:v>P0</x:v>
      </x:c>
      <x:c r="N7" s="34" t="str"/>
    </x:row>
    <x:row r="8">
      <x:c r="A8" s="33" t="str">
        <x:v>Activity efficiency cap</x:v>
      </x:c>
      <x:c r="B8" s="22" t="str">
        <x:v>15%</x:v>
      </x:c>
      <x:c r="C8" s="22" t="str">
        <x:v>Per building</x:v>
      </x:c>
      <x:c r="D8" s="22" t="str">
        <x:v>Avoid score multiplier</x:v>
      </x:c>
      <x:c r="E8" s="22" t="str">
        <x:v>Yes</x:v>
      </x:c>
      <x:c r="F8" s="22" t="str">
        <x:v>Yes</x:v>
      </x:c>
      <x:c r="G8" s="22" t="str">
        <x:v>Yes</x:v>
      </x:c>
      <x:c r="H8" s="22" t="str">
        <x:v>10–20%</x:v>
      </x:c>
      <x:c r="I8" s="22" t="str">
        <x:v>Critical</x:v>
      </x:c>
      <x:c r="J8" s="22" t="str">
        <x:v>High</x:v>
      </x:c>
      <x:c r="K8" s="22" t="str">
        <x:v>Clamp</x:v>
      </x:c>
      <x:c r="L8" s="22" t="str">
        <x:v>Performance test</x:v>
      </x:c>
      <x:c r="M8" s="22" t="str">
        <x:v>P0</x:v>
      </x:c>
      <x:c r="N8" s="34" t="str"/>
    </x:row>
    <x:row r="9">
      <x:c r="A9" s="33" t="str">
        <x:v>Opex reduction cap</x:v>
      </x:c>
      <x:c r="B9" s="22" t="str">
        <x:v>12%</x:v>
      </x:c>
      <x:c r="C9" s="22" t="str">
        <x:v>Per building</x:v>
      </x:c>
      <x:c r="D9" s="22" t="str">
        <x:v>Preserve Cash sinks</x:v>
      </x:c>
      <x:c r="E9" s="22" t="str">
        <x:v>Yes</x:v>
      </x:c>
      <x:c r="F9" s="22" t="str">
        <x:v>Yes</x:v>
      </x:c>
      <x:c r="G9" s="22" t="str">
        <x:v>Yes</x:v>
      </x:c>
      <x:c r="H9" s="22" t="str">
        <x:v>8–15%</x:v>
      </x:c>
      <x:c r="I9" s="22" t="str">
        <x:v>Medium</x:v>
      </x:c>
      <x:c r="J9" s="22" t="str">
        <x:v>High</x:v>
      </x:c>
      <x:c r="K9" s="22" t="str">
        <x:v>Clamp</x:v>
      </x:c>
      <x:c r="L9" s="22" t="str">
        <x:v>Economy test</x:v>
      </x:c>
      <x:c r="M9" s="22" t="str">
        <x:v>P0</x:v>
      </x:c>
      <x:c r="N9" s="34" t="str"/>
    </x:row>
    <x:row r="10">
      <x:c r="A10" s="33" t="str">
        <x:v>Service cap</x:v>
      </x:c>
      <x:c r="B10" s="22" t="str">
        <x:v>+10 points</x:v>
      </x:c>
      <x:c r="C10" s="22" t="str">
        <x:v>Per building</x:v>
      </x:c>
      <x:c r="D10" s="22" t="str">
        <x:v>Preserve service progression</x:v>
      </x:c>
      <x:c r="E10" s="22" t="str">
        <x:v>Yes</x:v>
      </x:c>
      <x:c r="F10" s="22" t="str">
        <x:v>Yes</x:v>
      </x:c>
      <x:c r="G10" s="22" t="str">
        <x:v>Yes</x:v>
      </x:c>
      <x:c r="H10" s="22" t="str">
        <x:v>+8 to +12</x:v>
      </x:c>
      <x:c r="I10" s="22" t="str">
        <x:v>Medium</x:v>
      </x:c>
      <x:c r="J10" s="22" t="str">
        <x:v>Medium</x:v>
      </x:c>
      <x:c r="K10" s="22" t="str">
        <x:v>Clamp</x:v>
      </x:c>
      <x:c r="L10" s="22" t="str">
        <x:v>Effect test</x:v>
      </x:c>
      <x:c r="M10" s="22" t="str">
        <x:v>P0</x:v>
      </x:c>
      <x:c r="N10" s="34" t="str"/>
    </x:row>
    <x:row r="11">
      <x:c r="A11" s="33" t="str">
        <x:v>Risk reduction cap</x:v>
      </x:c>
      <x:c r="B11" s="22" t="str">
        <x:v>-15 points</x:v>
      </x:c>
      <x:c r="C11" s="22" t="str">
        <x:v>Per relevant category</x:v>
      </x:c>
      <x:c r="D11" s="22" t="str">
        <x:v>Risk management remains active</x:v>
      </x:c>
      <x:c r="E11" s="22" t="str">
        <x:v>Yes</x:v>
      </x:c>
      <x:c r="F11" s="22" t="str">
        <x:v>Yes</x:v>
      </x:c>
      <x:c r="G11" s="22" t="str">
        <x:v>Yes</x:v>
      </x:c>
      <x:c r="H11" s="22" t="str">
        <x:v>-10 to -18</x:v>
      </x:c>
      <x:c r="I11" s="22" t="str">
        <x:v>High</x:v>
      </x:c>
      <x:c r="J11" s="22" t="str">
        <x:v>High</x:v>
      </x:c>
      <x:c r="K11" s="22" t="str">
        <x:v>Clamp</x:v>
      </x:c>
      <x:c r="L11" s="22" t="str">
        <x:v>Risk test</x:v>
      </x:c>
      <x:c r="M11" s="22" t="str">
        <x:v>P0</x:v>
      </x:c>
      <x:c r="N11" s="34" t="str"/>
    </x:row>
    <x:row r="12">
      <x:c r="A12" s="33" t="str">
        <x:v>Event resilience cap</x:v>
      </x:c>
      <x:c r="B12" s="22" t="str">
        <x:v>20%</x:v>
      </x:c>
      <x:c r="C12" s="22" t="str">
        <x:v>Eligible negative event</x:v>
      </x:c>
      <x:c r="D12" s="22" t="str">
        <x:v>Events still matter</x:v>
      </x:c>
      <x:c r="E12" s="22" t="str">
        <x:v>Yes</x:v>
      </x:c>
      <x:c r="F12" s="22" t="str">
        <x:v>Yes</x:v>
      </x:c>
      <x:c r="G12" s="22" t="str">
        <x:v>Yes</x:v>
      </x:c>
      <x:c r="H12" s="22" t="str">
        <x:v>15–25%</x:v>
      </x:c>
      <x:c r="I12" s="22" t="str">
        <x:v>High</x:v>
      </x:c>
      <x:c r="J12" s="22" t="str">
        <x:v>Medium</x:v>
      </x:c>
      <x:c r="K12" s="22" t="str">
        <x:v>Clamp</x:v>
      </x:c>
      <x:c r="L12" s="22" t="str">
        <x:v>Event test</x:v>
      </x:c>
      <x:c r="M12" s="22" t="str">
        <x:v>P1</x:v>
      </x:c>
      <x:c r="N12" s="34" t="str"/>
    </x:row>
    <x:row r="13">
      <x:c r="A13" s="33" t="str">
        <x:v>Legendary count</x:v>
      </x:c>
      <x:c r="B13" s="22" t="str">
        <x:v>1 per building</x:v>
      </x:c>
      <x:c r="C13" s="22" t="str">
        <x:v>Legendary Modules</x:v>
      </x:c>
      <x:c r="D13" s="22" t="str">
        <x:v>Avoid pileups</x:v>
      </x:c>
      <x:c r="E13" s="22" t="str">
        <x:v>Yes</x:v>
      </x:c>
      <x:c r="F13" s="22" t="str">
        <x:v>Yes</x:v>
      </x:c>
      <x:c r="G13" s="22" t="str">
        <x:v>No</x:v>
      </x:c>
      <x:c r="H13" s="22" t="str">
        <x:v>1</x:v>
      </x:c>
      <x:c r="I13" s="22" t="str">
        <x:v>Critical</x:v>
      </x:c>
      <x:c r="J13" s="22" t="str">
        <x:v>High</x:v>
      </x:c>
      <x:c r="K13" s="22" t="str">
        <x:v>Reject equip</x:v>
      </x:c>
      <x:c r="L13" s="22" t="str">
        <x:v>Equip test</x:v>
      </x:c>
      <x:c r="M13" s="22" t="str">
        <x:v>P2</x:v>
      </x:c>
      <x:c r="N13" s="34" t="str"/>
    </x:row>
    <x:row r="14">
      <x:c r="A14" s="33" t="str">
        <x:v>Real-money gameplay Module sale</x:v>
      </x:c>
      <x:c r="B14" s="22" t="str">
        <x:v>Prohibited</x:v>
      </x:c>
      <x:c r="C14" s="22" t="str">
        <x:v>All gameplay Modules/Parts</x:v>
      </x:c>
      <x:c r="D14" s="22" t="str">
        <x:v>Avoid P2W</x:v>
      </x:c>
      <x:c r="E14" s="22" t="str">
        <x:v>Yes</x:v>
      </x:c>
      <x:c r="F14" s="22" t="str">
        <x:v>Yes</x:v>
      </x:c>
      <x:c r="G14" s="22" t="str">
        <x:v>No</x:v>
      </x:c>
      <x:c r="H14" s="22" t="str">
        <x:v>0</x:v>
      </x:c>
      <x:c r="I14" s="22" t="str">
        <x:v>Critical</x:v>
      </x:c>
      <x:c r="J14" s="22" t="str">
        <x:v>Medium</x:v>
      </x:c>
      <x:c r="K14" s="22" t="str">
        <x:v>Block SKU</x:v>
      </x:c>
      <x:c r="L14" s="22" t="str">
        <x:v>Commerce test</x:v>
      </x:c>
      <x:c r="M14" s="22" t="str">
        <x:v>P0</x:v>
      </x:c>
      <x:c r="N14" s="34" t="str"/>
    </x:row>
    <x:row r="15">
      <x:c r="A15" s="35" t="str">
        <x:v>Direct Performance / PLOT effect</x:v>
      </x:c>
      <x:c r="B15" s="36" t="str">
        <x:v>Prohibited</x:v>
      </x:c>
      <x:c r="C15" s="36" t="str">
        <x:v>All Modules</x:v>
      </x:c>
      <x:c r="D15" s="36" t="str">
        <x:v>Competitive fairness</x:v>
      </x:c>
      <x:c r="E15" s="36" t="str">
        <x:v>Yes</x:v>
      </x:c>
      <x:c r="F15" s="36" t="str">
        <x:v>Yes</x:v>
      </x:c>
      <x:c r="G15" s="36" t="str">
        <x:v>No</x:v>
      </x:c>
      <x:c r="H15" s="36" t="str">
        <x:v>0</x:v>
      </x:c>
      <x:c r="I15" s="36" t="str">
        <x:v>Critical</x:v>
      </x:c>
      <x:c r="J15" s="36" t="str">
        <x:v>Critical</x:v>
      </x:c>
      <x:c r="K15" s="36" t="str">
        <x:v>Ignore + flag</x:v>
      </x:c>
      <x:c r="L15" s="36" t="str">
        <x:v>Settlement test</x:v>
      </x:c>
      <x:c r="M15" s="36" t="str">
        <x:v>P0</x:v>
      </x:c>
      <x:c r="N15" s="37" t="str"/>
    </x:row>
  </x:sheetData>
  <x:mergeCells>
    <x:mergeCell ref="A1:N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</x:cols>
  <x:sheetData>
    <x:row r="1" ht="30" customHeight="1">
      <x:c r="A1" s="86" t="str">
        <x:v>Implementation Seed / Content Rollout</x:v>
      </x:c>
      <x:c r="B1" s="86"/>
      <x:c r="C1" s="86"/>
      <x:c r="D1" s="86"/>
      <x:c r="E1" s="86"/>
      <x:c r="F1" s="86"/>
      <x:c r="G1" s="86"/>
      <x:c r="H1" s="86"/>
      <x:c r="I1" s="86"/>
      <x:c r="J1" s="86"/>
      <x:c r="K1" s="86"/>
      <x:c r="L1" s="86"/>
      <x:c r="M1" s="86"/>
      <x:c r="N1" s="86"/>
      <x:c r="O1" s="22"/>
      <x:c r="P1" s="22"/>
      <x:c r="Q1" s="22"/>
      <x:c r="R1" s="22"/>
      <x:c r="S1" s="22"/>
      <x:c r="T1" s="22"/>
      <x:c r="U1" s="22"/>
      <x:c r="V1" s="22"/>
      <x:c r="W1" s="22"/>
      <x:c r="X1" s="22"/>
    </x:row>
    <x:row r="3">
      <x:c r="A3" s="14" t="str">
        <x:v>Release Phase</x:v>
      </x:c>
      <x:c r="B3" s="14" t="str">
        <x:v>Modules Enabled</x:v>
      </x:c>
      <x:c r="C3" s="14" t="str">
        <x:v>Rarities</x:v>
      </x:c>
      <x:c r="D3" s="14" t="str">
        <x:v>Systems Required</x:v>
      </x:c>
      <x:c r="E3" s="14" t="str">
        <x:v>Acquisition Enabled</x:v>
      </x:c>
      <x:c r="F3" s="14" t="str">
        <x:v>Crafting Enabled</x:v>
      </x:c>
      <x:c r="G3" s="14" t="str">
        <x:v>Events</x:v>
      </x:c>
      <x:c r="H3" s="14" t="str">
        <x:v>Content QA</x:v>
      </x:c>
      <x:c r="I3" s="14" t="str">
        <x:v>Runtime QA</x:v>
      </x:c>
      <x:c r="J3" s="14" t="str">
        <x:v>Telemetry</x:v>
      </x:c>
      <x:c r="K3" s="14" t="str">
        <x:v>Feature Flag</x:v>
      </x:c>
      <x:c r="L3" s="14" t="str">
        <x:v>Rollback</x:v>
      </x:c>
      <x:c r="M3" s="14" t="str">
        <x:v>Exit Criterion</x:v>
      </x:c>
      <x:c r="N3" s="14" t="str">
        <x:v>Notes</x:v>
      </x:c>
    </x:row>
    <x:row r="4">
      <x:c r="A4" s="30" t="str">
        <x:v>P0 Core</x:v>
      </x:c>
      <x:c r="B4" s="31" t="n">
        <x:v>20</x:v>
      </x:c>
      <x:c r="C4" s="31" t="str">
        <x:v>Common + Uncommon</x:v>
      </x:c>
      <x:c r="D4" s="31" t="str">
        <x:v>Inventory, equipment, effect runtime, UI</x:v>
      </x:c>
      <x:c r="E4" s="31" t="str">
        <x:v>Grant + Mastery I/II test rewards</x:v>
      </x:c>
      <x:c r="F4" s="31" t="str">
        <x:v>No</x:v>
      </x:c>
      <x:c r="G4" s="31" t="str">
        <x:v>No Module event rewards</x:v>
      </x:c>
      <x:c r="H4" s="31" t="str">
        <x:v>Effects/compatibility</x:v>
      </x:c>
      <x:c r="I4" s="31" t="str">
        <x:v>Stacking/caps</x:v>
      </x:c>
      <x:c r="J4" s="31" t="str">
        <x:v>Equip/effect/error metrics</x:v>
      </x:c>
      <x:c r="K4" s="31" t="str">
        <x:v>module_core</x:v>
      </x:c>
      <x:c r="L4" s="31" t="str">
        <x:v>Disable new equips; preserve inventory</x:v>
      </x:c>
      <x:c r="M4" s="31" t="str">
        <x:v>20 seed Modules work end-to-end</x:v>
      </x:c>
      <x:c r="N4" s="32" t="str">
        <x:v>Low complexity first</x:v>
      </x:c>
    </x:row>
    <x:row r="5">
      <x:c r="A5" s="33" t="str">
        <x:v>P1 Acquisition</x:v>
      </x:c>
      <x:c r="B5" s="22" t="n">
        <x:v>55</x:v>
      </x:c>
      <x:c r="C5" s="22" t="str">
        <x:v>Common + Uncommon + Rare</x:v>
      </x:c>
      <x:c r="D5" s="22" t="str">
        <x:v>Mastery, reward resolver, Hunts</x:v>
      </x:c>
      <x:c r="E5" s="22" t="str">
        <x:v>Mastery I–III, Hunts, earned packs, milestones</x:v>
      </x:c>
      <x:c r="F5" s="22" t="str">
        <x:v>Rare crafting late P1</x:v>
      </x:c>
      <x:c r="G5" s="22" t="str">
        <x:v>Standard/Major events</x:v>
      </x:c>
      <x:c r="H5" s="22" t="str">
        <x:v>Drop/source balance</x:v>
      </x:c>
      <x:c r="I5" s="22" t="str">
        <x:v>Exactly-once rewards</x:v>
      </x:c>
      <x:c r="J5" s="22" t="str">
        <x:v>Acquisition source mix</x:v>
      </x:c>
      <x:c r="K5" s="22" t="str">
        <x:v>module_acquisition</x:v>
      </x:c>
      <x:c r="L5" s="22" t="str">
        <x:v>Disable drops</x:v>
      </x:c>
      <x:c r="M5" s="22" t="str">
        <x:v>Players deterministically earn useful Modules</x:v>
      </x:c>
      <x:c r="N5" s="34" t="str"/>
    </x:row>
    <x:row r="6">
      <x:c r="A6" s="33" t="str">
        <x:v>P2 Prestige</x:v>
      </x:c>
      <x:c r="B6" s="22" t="n">
        <x:v>90</x:v>
      </x:c>
      <x:c r="C6" s="22" t="str">
        <x:v>Add Epic</x:v>
      </x:c>
      <x:c r="D6" s="22" t="str">
        <x:v>Craft/Parts fully live</x:v>
      </x:c>
      <x:c r="E6" s="22" t="str">
        <x:v>Mastery IV, Elite Hunts, Prestige packs</x:v>
      </x:c>
      <x:c r="F6" s="22" t="str">
        <x:v>Yes through Epic</x:v>
      </x:c>
      <x:c r="G6" s="22" t="str">
        <x:v>Major themes</x:v>
      </x:c>
      <x:c r="H6" s="22" t="str">
        <x:v>Conditional effects</x:v>
      </x:c>
      <x:c r="I6" s="22" t="str">
        <x:v>Event/runtime branches</x:v>
      </x:c>
      <x:c r="J6" s="22" t="str">
        <x:v>Meta concentration</x:v>
      </x:c>
      <x:c r="K6" s="22" t="str">
        <x:v>module_epic</x:v>
      </x:c>
      <x:c r="L6" s="22" t="str">
        <x:v>Disable Epic drops</x:v>
      </x:c>
      <x:c r="M6" s="22" t="str">
        <x:v>Epic sidegrades stable</x:v>
      </x:c>
      <x:c r="N6" s="34" t="str"/>
    </x:row>
    <x:row r="7">
      <x:c r="A7" s="35" t="str">
        <x:v>P3 Endgame</x:v>
      </x:c>
      <x:c r="B7" s="36" t="n">
        <x:v>100</x:v>
      </x:c>
      <x:c r="C7" s="36" t="str">
        <x:v>Add Legendary</x:v>
      </x:c>
      <x:c r="D7" s="36" t="str">
        <x:v>Mastery V, Legendary validation</x:v>
      </x:c>
      <x:c r="E7" s="36" t="str">
        <x:v>Mastery V, Jackpot, seasonal/event sidegrades</x:v>
      </x:c>
      <x:c r="F7" s="36" t="str">
        <x:v>Yes</x:v>
      </x:c>
      <x:c r="G7" s="36" t="str">
        <x:v>Seasonal/Crisis</x:v>
      </x:c>
      <x:c r="H7" s="36" t="str">
        <x:v>Legendary balance</x:v>
      </x:c>
      <x:c r="I7" s="36" t="str">
        <x:v>Replay/all branches</x:v>
      </x:c>
      <x:c r="J7" s="36" t="str">
        <x:v>High-tier source split</x:v>
      </x:c>
      <x:c r="K7" s="36" t="str">
        <x:v>module_legendary</x:v>
      </x:c>
      <x:c r="L7" s="36" t="str">
        <x:v>Disable Legendary sources</x:v>
      </x:c>
      <x:c r="M7" s="36" t="str">
        <x:v>No Legendary mandatory best-in-slot</x:v>
      </x:c>
      <x:c r="N7" s="37" t="str"/>
    </x:row>
  </x:sheetData>
  <x:mergeCells>
    <x:mergeCell ref="A1:N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4" hidden="0" customWidth="1"/>
    <x:col min="7" max="7" width="34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</x:cols>
  <x:sheetData>
    <x:row r="1" ht="30" customHeight="1">
      <x:c r="A1" s="86" t="str">
        <x:v>Canonical Module Catalog Model Checks</x:v>
      </x:c>
      <x:c r="B1" s="86"/>
      <x:c r="C1" s="86"/>
      <x:c r="D1" s="86"/>
      <x:c r="E1" s="86"/>
      <x:c r="F1" s="86"/>
      <x:c r="G1" s="86"/>
      <x:c r="H1" s="22"/>
      <x:c r="I1" s="22"/>
      <x:c r="J1" s="22"/>
      <x:c r="K1" s="22"/>
      <x:c r="L1" s="22"/>
      <x:c r="M1" s="22"/>
      <x:c r="N1" s="22"/>
      <x:c r="O1" s="22"/>
      <x:c r="P1" s="22"/>
      <x:c r="Q1" s="22"/>
      <x:c r="R1" s="22"/>
      <x:c r="S1" s="22"/>
      <x:c r="T1" s="22"/>
      <x:c r="U1" s="22"/>
      <x:c r="V1" s="22"/>
      <x:c r="W1" s="22"/>
      <x:c r="X1" s="22"/>
    </x:row>
    <x:row r="3">
      <x:c r="A3" s="14" t="str">
        <x:v>Check</x:v>
      </x:c>
      <x:c r="B3" s="14" t="str">
        <x:v>Expected</x:v>
      </x:c>
      <x:c r="C3" s="14" t="str">
        <x:v>Actual</x:v>
      </x:c>
      <x:c r="D3" s="14" t="str">
        <x:v>Status</x:v>
      </x:c>
      <x:c r="E3" s="14" t="str">
        <x:v>Severity</x:v>
      </x:c>
      <x:c r="F3" s="14" t="str">
        <x:v>Why It Matters</x:v>
      </x:c>
      <x:c r="G3" s="14" t="str">
        <x:v>Notes</x:v>
      </x:c>
    </x:row>
    <x:row r="4">
      <x:c r="A4" s="30" t="str">
        <x:v>Total Modules</x:v>
      </x:c>
      <x:c r="B4" s="31" t="n">
        <x:v>100</x:v>
      </x:c>
      <x:c r="C4" s="31" t="n">
        <x:f>COUNTA('03_Full_Catalog'!A4:A103)</x:f>
        <x:v>100</x:v>
      </x:c>
      <x:c r="D4" s="31" t="str">
        <x:f>IF(C4=B4,"PASS","CHECK")</x:f>
        <x:v>PASS</x:v>
      </x:c>
      <x:c r="E4" s="31" t="str">
        <x:v>Critical</x:v>
      </x:c>
      <x:c r="F4" s="31" t="str">
        <x:v>Complete catalog</x:v>
      </x:c>
      <x:c r="G4" s="32" t="str"/>
    </x:row>
    <x:row r="5">
      <x:c r="A5" s="33" t="str">
        <x:v>Common count</x:v>
      </x:c>
      <x:c r="B5" s="22" t="n">
        <x:v>30</x:v>
      </x:c>
      <x:c r="C5" s="22" t="n">
        <x:f>COUNTIF('03_Full_Catalog'!C4:C103,"Common")</x:f>
        <x:v>30</x:v>
      </x:c>
      <x:c r="D5" s="22" t="str">
        <x:f>IF(C5=B5,"PASS","CHECK")</x:f>
        <x:v>PASS</x:v>
      </x:c>
      <x:c r="E5" s="22" t="str">
        <x:v>High</x:v>
      </x:c>
      <x:c r="F5" s="22" t="str">
        <x:v>Rarity mix</x:v>
      </x:c>
      <x:c r="G5" s="34" t="str"/>
    </x:row>
    <x:row r="6">
      <x:c r="A6" s="33" t="str">
        <x:v>Uncommon count</x:v>
      </x:c>
      <x:c r="B6" s="22" t="n">
        <x:v>25</x:v>
      </x:c>
      <x:c r="C6" s="22" t="n">
        <x:f>COUNTIF('03_Full_Catalog'!C4:C103,"Uncommon")</x:f>
        <x:v>25</x:v>
      </x:c>
      <x:c r="D6" s="22" t="str">
        <x:f>IF(C6=B6,"PASS","CHECK")</x:f>
        <x:v>PASS</x:v>
      </x:c>
      <x:c r="E6" s="22" t="str">
        <x:v>High</x:v>
      </x:c>
      <x:c r="F6" s="22" t="str">
        <x:v>Rarity mix</x:v>
      </x:c>
      <x:c r="G6" s="34" t="str"/>
    </x:row>
    <x:row r="7">
      <x:c r="A7" s="33" t="str">
        <x:v>Rare count</x:v>
      </x:c>
      <x:c r="B7" s="22" t="n">
        <x:v>20</x:v>
      </x:c>
      <x:c r="C7" s="22" t="n">
        <x:f>COUNTIF('03_Full_Catalog'!C4:C103,"Rare")</x:f>
        <x:v>20</x:v>
      </x:c>
      <x:c r="D7" s="22" t="str">
        <x:f>IF(C7=B7,"PASS","CHECK")</x:f>
        <x:v>PASS</x:v>
      </x:c>
      <x:c r="E7" s="22" t="str">
        <x:v>High</x:v>
      </x:c>
      <x:c r="F7" s="22" t="str">
        <x:v>Rarity mix</x:v>
      </x:c>
      <x:c r="G7" s="34" t="str"/>
    </x:row>
    <x:row r="8">
      <x:c r="A8" s="33" t="str">
        <x:v>Epic count</x:v>
      </x:c>
      <x:c r="B8" s="22" t="n">
        <x:v>15</x:v>
      </x:c>
      <x:c r="C8" s="22" t="n">
        <x:f>COUNTIF('03_Full_Catalog'!C4:C103,"Epic")</x:f>
        <x:v>15</x:v>
      </x:c>
      <x:c r="D8" s="22" t="str">
        <x:f>IF(C8=B8,"PASS","CHECK")</x:f>
        <x:v>PASS</x:v>
      </x:c>
      <x:c r="E8" s="22" t="str">
        <x:v>High</x:v>
      </x:c>
      <x:c r="F8" s="22" t="str">
        <x:v>Rarity mix</x:v>
      </x:c>
      <x:c r="G8" s="34" t="str"/>
    </x:row>
    <x:row r="9">
      <x:c r="A9" s="33" t="str">
        <x:v>Legendary count</x:v>
      </x:c>
      <x:c r="B9" s="22" t="n">
        <x:v>10</x:v>
      </x:c>
      <x:c r="C9" s="22" t="n">
        <x:f>COUNTIF('03_Full_Catalog'!C4:C103,"Legendary")</x:f>
        <x:v>10</x:v>
      </x:c>
      <x:c r="D9" s="22" t="str">
        <x:f>IF(C9=B9,"PASS","CHECK")</x:f>
        <x:v>PASS</x:v>
      </x:c>
      <x:c r="E9" s="22" t="str">
        <x:v>High</x:v>
      </x:c>
      <x:c r="F9" s="22" t="str">
        <x:v>Rarity mix</x:v>
      </x:c>
      <x:c r="G9" s="34" t="str"/>
    </x:row>
    <x:row r="10">
      <x:c r="A10" s="33" t="str">
        <x:v>Every Module has guaranteed path</x:v>
      </x:c>
      <x:c r="B10" s="22" t="n">
        <x:v>100</x:v>
      </x:c>
      <x:c r="C10" s="22" t="n">
        <x:f>COUNTIF('03_Full_Catalog'!K4:K103,"&lt;&gt;")</x:f>
        <x:v>100</x:v>
      </x:c>
      <x:c r="D10" s="22" t="str">
        <x:f>IF(C10=B10,"PASS","CHECK")</x:f>
        <x:v>PASS</x:v>
      </x:c>
      <x:c r="E10" s="22" t="str">
        <x:v>Critical</x:v>
      </x:c>
      <x:c r="F10" s="22" t="str">
        <x:v>No RNG-only Modules</x:v>
      </x:c>
      <x:c r="G10" s="34" t="str"/>
    </x:row>
    <x:row r="11">
      <x:c r="A11" s="33" t="str">
        <x:v>Every Module has craft cost</x:v>
      </x:c>
      <x:c r="B11" s="22" t="n">
        <x:v>100</x:v>
      </x:c>
      <x:c r="C11" s="22" t="n">
        <x:f>COUNTIF('03_Full_Catalog'!Q4:Q103,"&gt;=0")</x:f>
        <x:v>100</x:v>
      </x:c>
      <x:c r="D11" s="22" t="str">
        <x:f>IF(C11=B11,"PASS","CHECK")</x:f>
        <x:v>PASS</x:v>
      </x:c>
      <x:c r="E11" s="22" t="str">
        <x:v>Critical</x:v>
      </x:c>
      <x:c r="F11" s="22" t="str">
        <x:v>Crafting complete</x:v>
      </x:c>
      <x:c r="G11" s="34" t="str"/>
    </x:row>
    <x:row r="12">
      <x:c r="A12" s="33" t="str">
        <x:v>Every Module has craft time text</x:v>
      </x:c>
      <x:c r="B12" s="22" t="n">
        <x:v>100</x:v>
      </x:c>
      <x:c r="C12" s="22" t="n">
        <x:f>COUNTIF('03_Full_Catalog'!S4:S103,"&lt;&gt;")</x:f>
        <x:v>100</x:v>
      </x:c>
      <x:c r="D12" s="22" t="str">
        <x:f>IF(C12=B12,"PASS","CHECK")</x:f>
        <x:v>PASS</x:v>
      </x:c>
      <x:c r="E12" s="22" t="str">
        <x:v>High</x:v>
      </x:c>
      <x:c r="F12" s="22" t="str">
        <x:v>Craft timing complete</x:v>
      </x:c>
      <x:c r="G12" s="34" t="str"/>
    </x:row>
    <x:row r="13">
      <x:c r="A13" s="33" t="str">
        <x:v>Every Module has power</x:v>
      </x:c>
      <x:c r="B13" s="22" t="n">
        <x:v>100</x:v>
      </x:c>
      <x:c r="C13" s="22" t="n">
        <x:f>COUNTIF('03_Full_Catalog'!F4:F103,"&lt;&gt;")</x:f>
        <x:v>100</x:v>
      </x:c>
      <x:c r="D13" s="22" t="str">
        <x:f>IF(C13=B13,"PASS","CHECK")</x:f>
        <x:v>PASS</x:v>
      </x:c>
      <x:c r="E13" s="22" t="str">
        <x:v>Critical</x:v>
      </x:c>
      <x:c r="F13" s="22" t="str">
        <x:v>No empty rows</x:v>
      </x:c>
      <x:c r="G13" s="34" t="str"/>
    </x:row>
    <x:row r="14">
      <x:c r="A14" s="33" t="str">
        <x:v>Direct Performance prohibited</x:v>
      </x:c>
      <x:c r="B14" s="22" t="n">
        <x:v>100</x:v>
      </x:c>
      <x:c r="C14" s="22" t="n">
        <x:f>COUNTIF('03_Full_Catalog'!V4:V103,"No")</x:f>
        <x:v>100</x:v>
      </x:c>
      <x:c r="D14" s="22" t="str">
        <x:f>IF(C14=B14,"PASS","CHECK")</x:f>
        <x:v>PASS</x:v>
      </x:c>
      <x:c r="E14" s="22" t="str">
        <x:v>Critical</x:v>
      </x:c>
      <x:c r="F14" s="22" t="str">
        <x:v>Fairness</x:v>
      </x:c>
      <x:c r="G14" s="34" t="str"/>
    </x:row>
    <x:row r="15">
      <x:c r="A15" s="33" t="str">
        <x:v>Direct PLOT prohibited</x:v>
      </x:c>
      <x:c r="B15" s="22" t="n">
        <x:v>100</x:v>
      </x:c>
      <x:c r="C15" s="22" t="n">
        <x:f>COUNTIF('03_Full_Catalog'!W4:W103,"No")</x:f>
        <x:v>100</x:v>
      </x:c>
      <x:c r="D15" s="22" t="str">
        <x:f>IF(C15=B15,"PASS","CHECK")</x:f>
        <x:v>PASS</x:v>
      </x:c>
      <x:c r="E15" s="22" t="str">
        <x:v>Critical</x:v>
      </x:c>
      <x:c r="F15" s="22" t="str">
        <x:v>Fairness</x:v>
      </x:c>
      <x:c r="G15" s="34" t="str"/>
    </x:row>
    <x:row r="16">
      <x:c r="A16" s="33" t="str">
        <x:v>Epic cash-pack zero</x:v>
      </x:c>
      <x:c r="B16" s="22" t="n">
        <x:v>15</x:v>
      </x:c>
      <x:c r="C16" s="22" t="n">
        <x:f>COUNTIFS('03_Full_Catalog'!C4:C103,"Epic",'03_Full_Catalog'!O4:O103,"No")</x:f>
        <x:v>15</x:v>
      </x:c>
      <x:c r="D16" s="22" t="str">
        <x:f>IF(C16=B16,"PASS","CHECK")</x:f>
        <x:v>PASS</x:v>
      </x:c>
      <x:c r="E16" s="22" t="str">
        <x:v>Critical</x:v>
      </x:c>
      <x:c r="F16" s="22" t="str">
        <x:v>No Cash shortcut</x:v>
      </x:c>
      <x:c r="G16" s="34" t="str"/>
    </x:row>
    <x:row r="17">
      <x:c r="A17" s="33" t="str">
        <x:v>Legendary cash-pack zero</x:v>
      </x:c>
      <x:c r="B17" s="22" t="n">
        <x:v>10</x:v>
      </x:c>
      <x:c r="C17" s="22" t="n">
        <x:f>COUNTIFS('03_Full_Catalog'!C4:C103,"Legendary",'03_Full_Catalog'!O4:O103,"No")</x:f>
        <x:v>10</x:v>
      </x:c>
      <x:c r="D17" s="22" t="str">
        <x:f>IF(C17=B17,"PASS","CHECK")</x:f>
        <x:v>PASS</x:v>
      </x:c>
      <x:c r="E17" s="22" t="str">
        <x:v>Critical</x:v>
      </x:c>
      <x:c r="F17" s="22" t="str">
        <x:v>No Cash shortcut</x:v>
      </x:c>
      <x:c r="G17" s="34" t="str"/>
    </x:row>
    <x:row r="18">
      <x:c r="A18" s="33" t="str">
        <x:v>Legendary craft time 12h</x:v>
      </x:c>
      <x:c r="B18" s="22" t="n">
        <x:v>10</x:v>
      </x:c>
      <x:c r="C18" s="22" t="n">
        <x:f>COUNTIFS('03_Full_Catalog'!C4:C103,"Legendary",'03_Full_Catalog'!R4:R103,720)</x:f>
        <x:v>10</x:v>
      </x:c>
      <x:c r="D18" s="22" t="str">
        <x:f>IF(C18=B18,"PASS","CHECK")</x:f>
        <x:v>PASS</x:v>
      </x:c>
      <x:c r="E18" s="22" t="str">
        <x:v>Medium</x:v>
      </x:c>
      <x:c r="F18" s="22" t="str">
        <x:v>Consistent crafting</x:v>
      </x:c>
      <x:c r="G18" s="34" t="str"/>
    </x:row>
    <x:row r="19">
      <x:c r="A19" s="35" t="str">
        <x:v>Family index count</x:v>
      </x:c>
      <x:c r="B19" s="36" t="n">
        <x:v>19</x:v>
      </x:c>
      <x:c r="C19" s="36" t="n">
        <x:f>COUNTA('09_Family_Index'!A4:A22)</x:f>
        <x:v>19</x:v>
      </x:c>
      <x:c r="D19" s="36" t="str">
        <x:f>IF(C19=B19,"PASS","CHECK")</x:f>
        <x:v>PASS</x:v>
      </x:c>
      <x:c r="E19" s="36" t="str">
        <x:v>Medium</x:v>
      </x:c>
      <x:c r="F19" s="36" t="str">
        <x:v>Family coverage</x:v>
      </x:c>
      <x:c r="G19" s="37" t="str"/>
    </x:row>
  </x:sheetData>
  <x:mergeCells>
    <x:mergeCell ref="A1:G1"/>
  </x:mergeCells>
  <x:conditionalFormatting sqref="D4:D19">
    <x:cfRule type="expression" dxfId="4" priority="1">
      <x:formula>D4="PASS"</x:formula>
    </x:cfRule>
    <x:cfRule type="expression" dxfId="5" priority="2">
      <x:formula>D4="CHECK"</x:formula>
    </x:cfRule>
  </x:conditionalFormatting>
  <x:pageMargins left="0.7" right="0.7" top="0.75" bottom="0.75" header="0.3" footer="0.3"/>
</x:worksheet>
</file>