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4283de85f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1834f528c5d94470"/>
    <x:sheet xmlns:r="http://schemas.openxmlformats.org/officeDocument/2006/relationships" name="01_Assumptions" sheetId="2" r:id="R00df1a20c5b6450c"/>
    <x:sheet xmlns:r="http://schemas.openxmlformats.org/officeDocument/2006/relationships" name="02_Offline_State_Model" sheetId="3" r:id="Rfdd5871698154bde"/>
    <x:sheet xmlns:r="http://schemas.openxmlformats.org/officeDocument/2006/relationships" name="03_Cash_Accrual" sheetId="4" r:id="R7b10ac3060a34636"/>
    <x:sheet xmlns:r="http://schemas.openxmlformats.org/officeDocument/2006/relationships" name="04_Customer_Simulation" sheetId="5" r:id="R0a385347b7c04beb"/>
    <x:sheet xmlns:r="http://schemas.openxmlformats.org/officeDocument/2006/relationships" name="05_Performance_Rules" sheetId="6" r:id="R1f6a54f3cbd04fa6"/>
    <x:sheet xmlns:r="http://schemas.openxmlformats.org/officeDocument/2006/relationships" name="06_Engagement_AFK" sheetId="7" r:id="Ra068291eade14ec2"/>
    <x:sheet xmlns:r="http://schemas.openxmlformats.org/officeDocument/2006/relationships" name="07_Events_Risk_Offline" sheetId="8" r:id="R45c7682fcc7c4b1f"/>
    <x:sheet xmlns:r="http://schemas.openxmlformats.org/officeDocument/2006/relationships" name="08_Timers_While_Away" sheetId="9" r:id="R57e5c31b123d4b8a"/>
    <x:sheet xmlns:r="http://schemas.openxmlformats.org/officeDocument/2006/relationships" name="09_Modules_Offline" sheetId="10" r:id="Rd611f6257dce4a0e"/>
    <x:sheet xmlns:r="http://schemas.openxmlformats.org/officeDocument/2006/relationships" name="10_Return_Summary_UX" sheetId="11" r:id="R3f9f4b8c09854501"/>
    <x:sheet xmlns:r="http://schemas.openxmlformats.org/officeDocument/2006/relationships" name="11_Backend_State" sheetId="12" r:id="R1b9030b8e8e841ad"/>
    <x:sheet xmlns:r="http://schemas.openxmlformats.org/officeDocument/2006/relationships" name="12_Anti_Exploit" sheetId="13" r:id="Rd84679c771b94826"/>
    <x:sheet xmlns:r="http://schemas.openxmlformats.org/officeDocument/2006/relationships" name="13_Player_Scenarios" sheetId="14" r:id="R410f0536f3a14b15"/>
    <x:sheet xmlns:r="http://schemas.openxmlformats.org/officeDocument/2006/relationships" name="14_Stage_Economy_Impact" sheetId="15" r:id="Rd9e949898333469d"/>
    <x:sheet xmlns:r="http://schemas.openxmlformats.org/officeDocument/2006/relationships" name="15_LiveOps" sheetId="16" r:id="Rb885564296284c94"/>
    <x:sheet xmlns:r="http://schemas.openxmlformats.org/officeDocument/2006/relationships" name="16_Canonical_Overrides" sheetId="17" r:id="R4eee56bfdbaa4c72"/>
    <x:sheet xmlns:r="http://schemas.openxmlformats.org/officeDocument/2006/relationships" name="17_Model_Checks" sheetId="18" r:id="R0b905aed69af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0;[Red](0.00);-"/>
    <x:numFmt numFmtId="202" formatCode="#,##0 &quot;Cash&quot;;[Red](#,##0 &quot;Cash&quot;);-"/>
    <x:numFmt numFmtId="203" formatCode="#,##0;[Red](#,##0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ill>
        <x:patternFill patternType="solid">
          <x:bgColor rgb="FFFFF4B8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57b83b30c480a" /><Relationship Type="http://schemas.openxmlformats.org/officeDocument/2006/relationships/theme" Target="/xl/theme/theme1.xml" Id="R05084342411c4fa6" /><Relationship Type="http://schemas.openxmlformats.org/officeDocument/2006/relationships/sharedStrings" Target="/xl/sharedStrings.xml" Id="R6f28b9913ae2411d" /><Relationship Type="http://schemas.openxmlformats.org/officeDocument/2006/relationships/worksheet" Target="/xl/worksheets/sheet1.xml" Id="R1834f528c5d94470" /><Relationship Type="http://schemas.openxmlformats.org/officeDocument/2006/relationships/worksheet" Target="/xl/worksheets/sheet2.xml" Id="R00df1a20c5b6450c" /><Relationship Type="http://schemas.openxmlformats.org/officeDocument/2006/relationships/worksheet" Target="/xl/worksheets/sheet3.xml" Id="Rfdd5871698154bde" /><Relationship Type="http://schemas.openxmlformats.org/officeDocument/2006/relationships/worksheet" Target="/xl/worksheets/sheet4.xml" Id="R7b10ac3060a34636" /><Relationship Type="http://schemas.openxmlformats.org/officeDocument/2006/relationships/worksheet" Target="/xl/worksheets/sheet5.xml" Id="R0a385347b7c04beb" /><Relationship Type="http://schemas.openxmlformats.org/officeDocument/2006/relationships/worksheet" Target="/xl/worksheets/sheet6.xml" Id="R1f6a54f3cbd04fa6" /><Relationship Type="http://schemas.openxmlformats.org/officeDocument/2006/relationships/worksheet" Target="/xl/worksheets/sheet7.xml" Id="Ra068291eade14ec2" /><Relationship Type="http://schemas.openxmlformats.org/officeDocument/2006/relationships/worksheet" Target="/xl/worksheets/sheet8.xml" Id="R45c7682fcc7c4b1f" /><Relationship Type="http://schemas.openxmlformats.org/officeDocument/2006/relationships/worksheet" Target="/xl/worksheets/sheet9.xml" Id="R57e5c31b123d4b8a" /><Relationship Type="http://schemas.openxmlformats.org/officeDocument/2006/relationships/worksheet" Target="/xl/worksheets/sheet10.xml" Id="Rd611f6257dce4a0e" /><Relationship Type="http://schemas.openxmlformats.org/officeDocument/2006/relationships/worksheet" Target="/xl/worksheets/sheet11.xml" Id="R3f9f4b8c09854501" /><Relationship Type="http://schemas.openxmlformats.org/officeDocument/2006/relationships/worksheet" Target="/xl/worksheets/sheet12.xml" Id="R1b9030b8e8e841ad" /><Relationship Type="http://schemas.openxmlformats.org/officeDocument/2006/relationships/worksheet" Target="/xl/worksheets/sheet13.xml" Id="Rd84679c771b94826" /><Relationship Type="http://schemas.openxmlformats.org/officeDocument/2006/relationships/worksheet" Target="/xl/worksheets/sheet14.xml" Id="R410f0536f3a14b15" /><Relationship Type="http://schemas.openxmlformats.org/officeDocument/2006/relationships/worksheet" Target="/xl/worksheets/sheet15.xml" Id="Rd9e949898333469d" /><Relationship Type="http://schemas.openxmlformats.org/officeDocument/2006/relationships/worksheet" Target="/xl/worksheets/sheet16.xml" Id="Rb885564296284c94" /><Relationship Type="http://schemas.openxmlformats.org/officeDocument/2006/relationships/worksheet" Target="/xl/worksheets/sheet17.xml" Id="R4eee56bfdbaa4c72" /><Relationship Type="http://schemas.openxmlformats.org/officeDocument/2006/relationships/worksheet" Target="/xl/worksheets/sheet18.xml" Id="R0b905aed69af4f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9be35529794a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Offline economy decays with time away</a:t>
            </a:r>
          </a:p>
        </c:rich>
      </c:tx>
    </c:title>
    <c:plotArea>
      <c:lineChart>
        <c:grouping val="standard"/>
        <c:ser>
          <c:idx val="0"/>
          <c:order val="0"/>
          <c:tx>
            <c:v>Cash Efficiency</c:v>
          </c:tx>
          <c:marker>
            <c:symbol val="none"/>
          </c:marker>
          <c:cat>
            <c:strRef>
              <c:f>'00_Dashboard'!$A$27:$A$31</c:f>
              <c:strCache>
                <c:ptCount val="0"/>
              </c:strCache>
            </c:strRef>
          </c:cat>
          <c:val>
            <c:numRef>
              <c:f>'00_Dashboard'!$B$27:$B$31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Customer Intensity</c:v>
          </c:tx>
          <c:marker>
            <c:symbol val="none"/>
          </c:marker>
          <c:cat>
            <c:strRef>
              <c:f>'00_Dashboard'!$A$27:$A$31</c:f>
              <c:strCache>
                <c:ptCount val="0"/>
              </c:strCache>
            </c:strRef>
          </c:cat>
          <c:val>
            <c:numRef>
              <c:f>'00_Dashboard'!$C$27:$C$31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9be35529794a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e3f53d7e96463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PLOT — Idle / Offline Economy Specification v1.0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Core Principle</x:v>
      </x:c>
      <x:c r="B3" s="14" t="str">
        <x:v>Offline Cash</x:v>
      </x:c>
      <x:c r="C3" s="14" t="str">
        <x:v>Max Offline Duration</x:v>
      </x:c>
      <x:c r="D3" s="14" t="str">
        <x:v>Customer Simulation</x:v>
      </x:c>
      <x:c r="E3" s="14" t="str">
        <x:v>Activity Points</x:v>
      </x:c>
      <x:c r="F3" s="14" t="str">
        <x:v>Revenue Performance Credit</x:v>
      </x:c>
      <x:c r="G3" s="14" t="str">
        <x:v>Customer Growth Performance Credit</x:v>
      </x:c>
      <x:c r="H3" s="14" t="str">
        <x:v>Hunts</x:v>
      </x:c>
      <x:c r="I3" s="14" t="str">
        <x:v>Reputation</x:v>
      </x:c>
      <x:c r="J3" s="14" t="str">
        <x:v>Global Events</x:v>
      </x:c>
      <x:c r="K3" s="14" t="str">
        <x:v>Personal Decision Events</x:v>
      </x:c>
      <x:c r="L3" s="14" t="str">
        <x:v>AFK Treatment</x:v>
      </x:c>
      <x:c r="M3" s="14" t="str">
        <x:v>Modules</x:v>
      </x:c>
      <x:c r="N3" s="14" t="str">
        <x:v>Primary Anti-Idle Rule</x:v>
      </x:c>
    </x:row>
    <x:row r="4">
      <x:c r="A4" s="24" t="str">
        <x:v>Away time preserves progress, but active management is always economically and competitively better.</x:v>
      </x:c>
      <x:c r="B4" s="25" t="str">
        <x:v>Declining efficiency: 100% grace → 65% → 50% → 35% → 0%</x:v>
      </x:c>
      <x:c r="C4" s="25" t="str">
        <x:v>12 hours per absence window</x:v>
      </x:c>
      <x:c r="D4" s="25" t="str">
        <x:v>Continues at reduced intensity; acquisition and churn both slow</x:v>
      </x:c>
      <x:c r="E4" s="25" t="str">
        <x:v>0 while offline/AFK</x:v>
      </x:c>
      <x:c r="F4" s="25" t="str">
        <x:v>25% of offline-generated eligible net revenue</x:v>
      </x:c>
      <x:c r="G4" s="25" t="str">
        <x:v>25% of offline new-customer delta</x:v>
      </x:c>
      <x:c r="H4" s="25" t="str">
        <x:v>No progress while offline/AFK</x:v>
      </x:c>
      <x:c r="I4" s="25" t="str">
        <x:v>No positive passive gain</x:v>
      </x:c>
      <x:c r="J4" s="25" t="str">
        <x:v>Continue to affect businesses; cannot be dodged by logging out</x:v>
      </x:c>
      <x:c r="K4" s="25" t="str">
        <x:v>Queued/paused for return; no punitive auto-choice</x:v>
      </x:c>
      <x:c r="L4" s="25" t="str">
        <x:v>After 20 min without meaningful action, score/activity treatment becomes offline</x:v>
      </x:c>
      <x:c r="M4" s="25" t="str">
        <x:v>Effects apply, but no Module may increase offline duration or competitive offline multipliers</x:v>
      </x:c>
      <x:c r="N4" s="26" t="str">
        <x:v>55% of Performance weight (Activity + Revenue + Hunts) is heavily reduced or zero while idle</x:v>
      </x:c>
    </x:row>
    <x:row r="6" ht="22" customHeight="1">
      <x:c r="A6" s="11" t="str">
        <x:v>Offline Efficiency Schedule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4" t="str">
        <x:v>Window</x:v>
      </x:c>
      <x:c r="B7" s="14" t="str">
        <x:v>Elapsed Away Time</x:v>
      </x:c>
      <x:c r="C7" s="14" t="str">
        <x:v>Cash Efficiency</x:v>
      </x:c>
      <x:c r="D7" s="14" t="str">
        <x:v>Customer Simulation Intensity</x:v>
      </x:c>
      <x:c r="E7" s="14" t="str">
        <x:v>Performance Revenue Credit</x:v>
      </x:c>
      <x:c r="F7" s="14" t="str">
        <x:v>Performance Customer-Growth Credit</x:v>
      </x:c>
      <x:c r="G7" s="14" t="str">
        <x:v>Activity Score</x:v>
      </x:c>
      <x:c r="H7" s="14" t="str">
        <x:v>Hunt Progress</x:v>
      </x:c>
      <x:c r="I7" s="14" t="str">
        <x:v>Reputation Gain</x:v>
      </x:c>
      <x:c r="J7" s="14" t="str">
        <x:v>State</x:v>
      </x:c>
    </x:row>
    <x:row r="8">
      <x:c r="A8" s="30" t="str">
        <x:v>Grace</x:v>
      </x:c>
      <x:c r="B8" s="31" t="str">
        <x:v>0–0.5h</x:v>
      </x:c>
      <x:c r="C8" s="46" t="n">
        <x:v>1</x:v>
      </x:c>
      <x:c r="D8" s="46" t="n">
        <x:v>1</x:v>
      </x:c>
      <x:c r="E8" s="46" t="n">
        <x:v>1</x:v>
      </x:c>
      <x:c r="F8" s="46" t="n">
        <x:v>1</x:v>
      </x:c>
      <x:c r="G8" s="46" t="n">
        <x:v>0</x:v>
      </x:c>
      <x:c r="H8" s="46" t="n">
        <x:v>0</x:v>
      </x:c>
      <x:c r="I8" s="46" t="n">
        <x:v>0</x:v>
      </x:c>
      <x:c r="J8" s="32" t="str">
        <x:v>Disconnect protection</x:v>
      </x:c>
    </x:row>
    <x:row r="9">
      <x:c r="A9" s="33" t="str">
        <x:v>Short Away</x:v>
      </x:c>
      <x:c r="B9" s="22" t="str">
        <x:v>0.5–2h</x:v>
      </x:c>
      <x:c r="C9" s="47" t="n">
        <x:v>0.65</x:v>
      </x:c>
      <x:c r="D9" s="47" t="n">
        <x:v>0.4</x:v>
      </x:c>
      <x:c r="E9" s="47" t="n">
        <x:v>0.25</x:v>
      </x:c>
      <x:c r="F9" s="47" t="n">
        <x:v>0.25</x:v>
      </x:c>
      <x:c r="G9" s="47" t="n">
        <x:v>0</x:v>
      </x:c>
      <x:c r="H9" s="47" t="n">
        <x:v>0</x:v>
      </x:c>
      <x:c r="I9" s="47" t="n">
        <x:v>0</x:v>
      </x:c>
      <x:c r="J9" s="34" t="str">
        <x:v>Offline</x:v>
      </x:c>
    </x:row>
    <x:row r="10">
      <x:c r="A10" s="33" t="str">
        <x:v>Medium Away</x:v>
      </x:c>
      <x:c r="B10" s="22" t="str">
        <x:v>2–6h</x:v>
      </x:c>
      <x:c r="C10" s="47" t="n">
        <x:v>0.5</x:v>
      </x:c>
      <x:c r="D10" s="47" t="n">
        <x:v>0.3</x:v>
      </x:c>
      <x:c r="E10" s="47" t="n">
        <x:v>0.25</x:v>
      </x:c>
      <x:c r="F10" s="47" t="n">
        <x:v>0.25</x:v>
      </x:c>
      <x:c r="G10" s="47" t="n">
        <x:v>0</x:v>
      </x:c>
      <x:c r="H10" s="47" t="n">
        <x:v>0</x:v>
      </x:c>
      <x:c r="I10" s="47" t="n">
        <x:v>0</x:v>
      </x:c>
      <x:c r="J10" s="34" t="str">
        <x:v>Offline</x:v>
      </x:c>
    </x:row>
    <x:row r="11">
      <x:c r="A11" s="33" t="str">
        <x:v>Long Away</x:v>
      </x:c>
      <x:c r="B11" s="22" t="str">
        <x:v>6–12h</x:v>
      </x:c>
      <x:c r="C11" s="47" t="n">
        <x:v>0.35</x:v>
      </x:c>
      <x:c r="D11" s="47" t="n">
        <x:v>0.2</x:v>
      </x:c>
      <x:c r="E11" s="47" t="n">
        <x:v>0.25</x:v>
      </x:c>
      <x:c r="F11" s="47" t="n">
        <x:v>0.25</x:v>
      </x:c>
      <x:c r="G11" s="47" t="n">
        <x:v>0</x:v>
      </x:c>
      <x:c r="H11" s="47" t="n">
        <x:v>0</x:v>
      </x:c>
      <x:c r="I11" s="47" t="n">
        <x:v>0</x:v>
      </x:c>
      <x:c r="J11" s="34" t="str">
        <x:v>Offline</x:v>
      </x:c>
    </x:row>
    <x:row r="12">
      <x:c r="A12" s="35" t="str">
        <x:v>Cap Reached</x:v>
      </x:c>
      <x:c r="B12" s="36" t="str">
        <x:v>12h+</x:v>
      </x:c>
      <x:c r="C12" s="48" t="n">
        <x:v>0</x:v>
      </x:c>
      <x:c r="D12" s="48" t="n">
        <x:v>0</x:v>
      </x:c>
      <x:c r="E12" s="48" t="n">
        <x:v>0</x:v>
      </x:c>
      <x:c r="F12" s="48" t="n">
        <x:v>0</x:v>
      </x:c>
      <x:c r="G12" s="48" t="n">
        <x:v>0</x:v>
      </x:c>
      <x:c r="H12" s="48" t="n">
        <x:v>0</x:v>
      </x:c>
      <x:c r="I12" s="48" t="n">
        <x:v>0</x:v>
      </x:c>
      <x:c r="J12" s="37" t="str">
        <x:v>Frozen until return</x:v>
      </x:c>
    </x:row>
    <x:row r="14" ht="22" customHeight="1">
      <x:c r="A14" s="11" t="str">
        <x:v>Canonical Decisions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>
      <x:c r="A15" s="14" t="str">
        <x:v>Decision</x:v>
      </x:c>
      <x:c r="B15" s="14" t="str">
        <x:v>Canonical Answer</x:v>
      </x:c>
    </x:row>
    <x:row r="16">
      <x:c r="A16" s="30" t="str">
        <x:v>How long do businesses accrue while away?</x:v>
      </x:c>
      <x:c r="B16" s="32" t="str">
        <x:v>Maximum 12 hours. After that, Cash/customer simulation freezes until the player returns.</x:v>
      </x:c>
    </x:row>
    <x:row r="17">
      <x:c r="A17" s="33" t="str">
        <x:v>How much Cash is earned?</x:v>
      </x:c>
      <x:c r="B17" s="34" t="str">
        <x:v>First 30 minutes at full rate, then 65% / 50% / 35% by time band. A 12-hour absence averages about 46.5% of active Cash output.</x:v>
      </x:c>
    </x:row>
    <x:row r="18">
      <x:c r="A18" s="33" t="str">
        <x:v>Do customers continue?</x:v>
      </x:c>
      <x:c r="B18" s="34" t="str">
        <x:v>Yes, but acquisition and churn both run at 40% / 30% / 20% intensity after the grace period, preserving direction while slowing change.</x:v>
      </x:c>
    </x:row>
    <x:row r="19">
      <x:c r="A19" s="33" t="str">
        <x:v>Do Activity Points accrue?</x:v>
      </x:c>
      <x:c r="B19" s="34" t="str">
        <x:v>No. Offline/AFK operation never generates Performance-eligible Activity Points.</x:v>
      </x:c>
    </x:row>
    <x:row r="20">
      <x:c r="A20" s="33" t="str">
        <x:v>Does Performance Score accrue?</x:v>
      </x:c>
      <x:c r="B20" s="34" t="str">
        <x:v>Only partially. Offline revenue and customer growth receive 25% credit; Activity and Hunts receive zero. Snapshot health components continue normally.</x:v>
      </x:c>
    </x:row>
    <x:row r="21">
      <x:c r="A21" s="33" t="str">
        <x:v>Can players leave the app open?</x:v>
      </x:c>
      <x:c r="B21" s="34" t="str">
        <x:v>No advantage. After 20 minutes without meaningful validated interaction, the account is treated as AFK for activity/score purposes.</x:v>
      </x:c>
    </x:row>
    <x:row r="22">
      <x:c r="A22" s="35" t="str">
        <x:v>Can logging out avoid a bad market event?</x:v>
      </x:c>
      <x:c r="B22" s="37" t="str">
        <x:v>No. Global event modifiers continue during offline simulation. Fixed event penalties/costs are not reduced by offline efficiency.</x:v>
      </x:c>
    </x:row>
    <x:row r="23">
      <x:c r="A23" s="35" t="str">
        <x:v>Are players punished by personal choice events while away?</x:v>
      </x:c>
      <x:c r="B23" s="37" t="str">
        <x:v>No. Personal decision events queue/pause and wait for the player, subject to a safe resolution policy.</x:v>
      </x:c>
    </x:row>
    <x:row r="25" ht="22" customHeight="1">
      <x:c r="A25" s="11" t="str">
        <x:v>Economic &amp; Competitive Decay Over One 12-Hour Away Window</x:v>
      </x:c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4" t="str">
        <x:v>Window</x:v>
      </x:c>
      <x:c r="B26" s="14" t="str">
        <x:v>Cash Efficiency</x:v>
      </x:c>
      <x:c r="C26" s="14" t="str">
        <x:v>Customer Intensity</x:v>
      </x:c>
      <x:c r="D26" s="14" t="str">
        <x:v>Revenue Score Credit on Generated Cash</x:v>
      </x:c>
      <x:c r="E26" s="14" t="str">
        <x:v>Growth Score Credit on Generated Customers</x:v>
      </x:c>
    </x:row>
    <x:row r="27">
      <x:c r="A27" s="30" t="str">
        <x:f>A8</x:f>
        <x:v>Grace</x:v>
      </x:c>
      <x:c r="B27" s="46" t="n">
        <x:f>C8</x:f>
        <x:v>1</x:v>
      </x:c>
      <x:c r="C27" s="46" t="n">
        <x:f>D8</x:f>
        <x:v>1</x:v>
      </x:c>
      <x:c r="D27" s="46" t="n">
        <x:f>E8</x:f>
        <x:v>1</x:v>
      </x:c>
      <x:c r="E27" s="80" t="n">
        <x:f>F8</x:f>
        <x:v>1</x:v>
      </x:c>
    </x:row>
    <x:row r="28">
      <x:c r="A28" s="33" t="str">
        <x:f>A9</x:f>
        <x:v>Short Away</x:v>
      </x:c>
      <x:c r="B28" s="47" t="n">
        <x:f>C9</x:f>
        <x:v>0.65</x:v>
      </x:c>
      <x:c r="C28" s="47" t="n">
        <x:f>D9</x:f>
        <x:v>0.4</x:v>
      </x:c>
      <x:c r="D28" s="47" t="n">
        <x:f>E9</x:f>
        <x:v>0.25</x:v>
      </x:c>
      <x:c r="E28" s="81" t="n">
        <x:f>F9</x:f>
        <x:v>0.25</x:v>
      </x:c>
    </x:row>
    <x:row r="29">
      <x:c r="A29" s="33" t="str">
        <x:f>A10</x:f>
        <x:v>Medium Away</x:v>
      </x:c>
      <x:c r="B29" s="47" t="n">
        <x:f>C10</x:f>
        <x:v>0.5</x:v>
      </x:c>
      <x:c r="C29" s="47" t="n">
        <x:f>D10</x:f>
        <x:v>0.3</x:v>
      </x:c>
      <x:c r="D29" s="47" t="n">
        <x:f>E10</x:f>
        <x:v>0.25</x:v>
      </x:c>
      <x:c r="E29" s="81" t="n">
        <x:f>F10</x:f>
        <x:v>0.25</x:v>
      </x:c>
    </x:row>
    <x:row r="30">
      <x:c r="A30" s="33" t="str">
        <x:f>A11</x:f>
        <x:v>Long Away</x:v>
      </x:c>
      <x:c r="B30" s="47" t="n">
        <x:f>C11</x:f>
        <x:v>0.35</x:v>
      </x:c>
      <x:c r="C30" s="47" t="n">
        <x:f>D11</x:f>
        <x:v>0.2</x:v>
      </x:c>
      <x:c r="D30" s="47" t="n">
        <x:f>E11</x:f>
        <x:v>0.25</x:v>
      </x:c>
      <x:c r="E30" s="81" t="n">
        <x:f>F11</x:f>
        <x:v>0.25</x:v>
      </x:c>
    </x:row>
    <x:row r="31">
      <x:c r="A31" s="35" t="str">
        <x:f>A12</x:f>
        <x:v>Cap Reached</x:v>
      </x:c>
      <x:c r="B31" s="48" t="n">
        <x:f>C12</x:f>
        <x:v>0</x:v>
      </x:c>
      <x:c r="C31" s="48" t="n">
        <x:f>D12</x:f>
        <x:v>0</x:v>
      </x:c>
      <x:c r="D31" s="48" t="n">
        <x:f>E12</x:f>
        <x:v>0</x:v>
      </x:c>
      <x:c r="E31" s="82" t="n">
        <x:f>F12</x:f>
        <x:v>0</x:v>
      </x:c>
    </x:row>
  </x:sheetData>
  <x:mergeCells>
    <x:mergeCell ref="A1:N1"/>
    <x:mergeCell ref="A6:N6"/>
    <x:mergeCell ref="A14:N14"/>
    <x:mergeCell ref="A25:N25"/>
  </x:mergeCells>
  <x:pageMargins left="0.7" right="0.7" top="0.75" bottom="0.75" header="0.3" footer="0.3"/>
  <x:drawing xmlns:r="http://schemas.openxmlformats.org/officeDocument/2006/relationships" r:id="R68e3f53d7e96463e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5" max="5" width="18" hidden="0" customWidth="1"/>
    <x:col min="6" max="6" width="18" hidden="0" customWidth="1"/>
    <x:col min="7" max="7" width="18" hidden="0" customWidth="1"/>
    <x:col min="4" max="4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Idle / Offline Economy Assumptions</x:v>
      </x:c>
      <x:c r="B1" s="88"/>
      <x:c r="C1" s="88"/>
      <x:c r="D1" s="88"/>
      <x:c r="E1" s="88"/>
      <x:c r="F1" s="88"/>
      <x:c r="G1" s="88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0" t="str">
        <x:v>Disconnect Grace</x:v>
      </x:c>
      <x:c r="B4" s="52" t="n">
        <x:v>0.5</x:v>
      </x:c>
      <x:c r="C4" s="31" t="str">
        <x:v>hours</x:v>
      </x:c>
      <x:c r="D4" s="31" t="str">
        <x:v>Yes</x:v>
      </x:c>
      <x:c r="E4" s="31" t="str">
        <x:v>Avoid penalizing app closes/network transitions</x:v>
      </x:c>
      <x:c r="F4" s="31" t="str">
        <x:v>0.25–1</x:v>
      </x:c>
      <x:c r="G4" s="32" t="str">
        <x:v>Full economy but no offline Performance Activity</x:v>
      </x:c>
    </x:row>
    <x:row r="5">
      <x:c r="A5" s="33" t="str">
        <x:v>Short-Away End</x:v>
      </x:c>
      <x:c r="B5" s="53" t="n">
        <x:v>2</x:v>
      </x:c>
      <x:c r="C5" s="22" t="str">
        <x:v>hours</x:v>
      </x:c>
      <x:c r="D5" s="22" t="str">
        <x:v>Yes</x:v>
      </x:c>
      <x:c r="E5" s="22" t="str">
        <x:v>First reduced band</x:v>
      </x:c>
      <x:c r="F5" s="22" t="str">
        <x:v>1–3</x:v>
      </x:c>
      <x:c r="G5" s="34" t="str"/>
    </x:row>
    <x:row r="6">
      <x:c r="A6" s="33" t="str">
        <x:v>Medium-Away End</x:v>
      </x:c>
      <x:c r="B6" s="53" t="n">
        <x:v>6</x:v>
      </x:c>
      <x:c r="C6" s="22" t="str">
        <x:v>hours</x:v>
      </x:c>
      <x:c r="D6" s="22" t="str">
        <x:v>Yes</x:v>
      </x:c>
      <x:c r="E6" s="22" t="str">
        <x:v>Second reduced band</x:v>
      </x:c>
      <x:c r="F6" s="22" t="str">
        <x:v>3–5</x:v>
      </x:c>
      <x:c r="G6" s="34" t="str"/>
    </x:row>
    <x:row r="7">
      <x:c r="A7" s="33" t="str">
        <x:v>Offline Accrual Cap</x:v>
      </x:c>
      <x:c r="B7" s="53" t="n">
        <x:v>12</x:v>
      </x:c>
      <x:c r="C7" s="22" t="str">
        <x:v>hours</x:v>
      </x:c>
      <x:c r="D7" s="22" t="str">
        <x:v>Yes</x:v>
      </x:c>
      <x:c r="E7" s="22" t="str">
        <x:v>Maximum away accrual</x:v>
      </x:c>
      <x:c r="F7" s="22" t="str">
        <x:v>6–12</x:v>
      </x:c>
      <x:c r="G7" s="34" t="str">
        <x:v>Supersedes the earlier 8h offline-cap assumption; twice-daily return cadence is more player-friendly.</x:v>
      </x:c>
    </x:row>
    <x:row r="8">
      <x:c r="A8" s="33" t="str">
        <x:v>Short-Away Cash Efficiency</x:v>
      </x:c>
      <x:c r="B8" s="58" t="n">
        <x:v>0.65</x:v>
      </x:c>
      <x:c r="C8" s="22" t="str">
        <x:v>multiplier</x:v>
      </x:c>
      <x:c r="D8" s="22" t="str">
        <x:v>Yes</x:v>
      </x:c>
      <x:c r="E8" s="22" t="str">
        <x:v>Cash preservation</x:v>
      </x:c>
      <x:c r="F8" s="22" t="str">
        <x:v>0.55–0.75</x:v>
      </x:c>
      <x:c r="G8" s="34" t="str"/>
    </x:row>
    <x:row r="9">
      <x:c r="A9" s="33" t="str">
        <x:v>Medium-Away Cash Efficiency</x:v>
      </x:c>
      <x:c r="B9" s="58" t="n">
        <x:v>0.5</x:v>
      </x:c>
      <x:c r="C9" s="22" t="str">
        <x:v>multiplier</x:v>
      </x:c>
      <x:c r="D9" s="22" t="str">
        <x:v>Yes</x:v>
      </x:c>
      <x:c r="E9" s="22" t="str">
        <x:v>Cash preservation</x:v>
      </x:c>
      <x:c r="F9" s="22" t="str">
        <x:v>0.40–0.60</x:v>
      </x:c>
      <x:c r="G9" s="34" t="str"/>
    </x:row>
    <x:row r="10">
      <x:c r="A10" s="33" t="str">
        <x:v>Long-Away Cash Efficiency</x:v>
      </x:c>
      <x:c r="B10" s="58" t="n">
        <x:v>0.35</x:v>
      </x:c>
      <x:c r="C10" s="22" t="str">
        <x:v>multiplier</x:v>
      </x:c>
      <x:c r="D10" s="22" t="str">
        <x:v>Yes</x:v>
      </x:c>
      <x:c r="E10" s="22" t="str">
        <x:v>Cash preservation</x:v>
      </x:c>
      <x:c r="F10" s="22" t="str">
        <x:v>0.25–0.45</x:v>
      </x:c>
      <x:c r="G10" s="34" t="str"/>
    </x:row>
    <x:row r="11">
      <x:c r="A11" s="33" t="str">
        <x:v>Short-Away Customer Intensity</x:v>
      </x:c>
      <x:c r="B11" s="58" t="n">
        <x:v>0.4</x:v>
      </x:c>
      <x:c r="C11" s="22" t="str">
        <x:v>multiplier</x:v>
      </x:c>
      <x:c r="D11" s="22" t="str">
        <x:v>Yes</x:v>
      </x:c>
      <x:c r="E11" s="22" t="str">
        <x:v>Slow acquisition/churn</x:v>
      </x:c>
      <x:c r="F11" s="22" t="str">
        <x:v>0.30–0.50</x:v>
      </x:c>
      <x:c r="G11" s="34" t="str"/>
    </x:row>
    <x:row r="12">
      <x:c r="A12" s="33" t="str">
        <x:v>Medium-Away Customer Intensity</x:v>
      </x:c>
      <x:c r="B12" s="58" t="n">
        <x:v>0.3</x:v>
      </x:c>
      <x:c r="C12" s="22" t="str">
        <x:v>multiplier</x:v>
      </x:c>
      <x:c r="D12" s="22" t="str">
        <x:v>Yes</x:v>
      </x:c>
      <x:c r="E12" s="22" t="str">
        <x:v>Slow acquisition/churn</x:v>
      </x:c>
      <x:c r="F12" s="22" t="str">
        <x:v>0.20–0.40</x:v>
      </x:c>
      <x:c r="G12" s="34" t="str"/>
    </x:row>
    <x:row r="13">
      <x:c r="A13" s="33" t="str">
        <x:v>Long-Away Customer Intensity</x:v>
      </x:c>
      <x:c r="B13" s="58" t="n">
        <x:v>0.2</x:v>
      </x:c>
      <x:c r="C13" s="22" t="str">
        <x:v>multiplier</x:v>
      </x:c>
      <x:c r="D13" s="22" t="str">
        <x:v>Yes</x:v>
      </x:c>
      <x:c r="E13" s="22" t="str">
        <x:v>Slow acquisition/churn</x:v>
      </x:c>
      <x:c r="F13" s="22" t="str">
        <x:v>0.10–0.30</x:v>
      </x:c>
      <x:c r="G13" s="34" t="str"/>
    </x:row>
    <x:row r="14">
      <x:c r="A14" s="33" t="str">
        <x:v>Offline Performance Revenue Credit</x:v>
      </x:c>
      <x:c r="B14" s="58" t="n">
        <x:v>0.25</x:v>
      </x:c>
      <x:c r="C14" s="22" t="str">
        <x:v>multiplier</x:v>
      </x:c>
      <x:c r="D14" s="22" t="str">
        <x:v>Yes</x:v>
      </x:c>
      <x:c r="E14" s="22" t="str">
        <x:v>Small continuity without passive competition</x:v>
      </x:c>
      <x:c r="F14" s="22" t="str">
        <x:v>0–0.35</x:v>
      </x:c>
      <x:c r="G14" s="34" t="str"/>
    </x:row>
    <x:row r="15">
      <x:c r="A15" s="33" t="str">
        <x:v>Offline Performance Growth Credit</x:v>
      </x:c>
      <x:c r="B15" s="58" t="n">
        <x:v>0.25</x:v>
      </x:c>
      <x:c r="C15" s="22" t="str">
        <x:v>multiplier</x:v>
      </x:c>
      <x:c r="D15" s="22" t="str">
        <x:v>Yes</x:v>
      </x:c>
      <x:c r="E15" s="22" t="str">
        <x:v>Small continuity without passive growth farming</x:v>
      </x:c>
      <x:c r="F15" s="22" t="str">
        <x:v>0–0.35</x:v>
      </x:c>
      <x:c r="G15" s="34" t="str"/>
    </x:row>
    <x:row r="16">
      <x:c r="A16" s="33" t="str">
        <x:v>Offline Activity Credit</x:v>
      </x:c>
      <x:c r="B16" s="58" t="n">
        <x:v>0</x:v>
      </x:c>
      <x:c r="C16" s="22" t="str">
        <x:v>multiplier</x:v>
      </x:c>
      <x:c r="D16" s="22" t="str">
        <x:v>No</x:v>
      </x:c>
      <x:c r="E16" s="22" t="str">
        <x:v>Prevent passive activity scoring</x:v>
      </x:c>
      <x:c r="F16" s="22" t="str">
        <x:v>0</x:v>
      </x:c>
      <x:c r="G16" s="34" t="str"/>
    </x:row>
    <x:row r="17">
      <x:c r="A17" s="33" t="str">
        <x:v>Offline Hunt Progress</x:v>
      </x:c>
      <x:c r="B17" s="58" t="n">
        <x:v>0</x:v>
      </x:c>
      <x:c r="C17" s="22" t="str">
        <x:v>multiplier</x:v>
      </x:c>
      <x:c r="D17" s="22" t="str">
        <x:v>No</x:v>
      </x:c>
      <x:c r="E17" s="22" t="str">
        <x:v>Hunts require play</x:v>
      </x:c>
      <x:c r="F17" s="22" t="str">
        <x:v>0</x:v>
      </x:c>
      <x:c r="G17" s="34" t="str"/>
    </x:row>
    <x:row r="18">
      <x:c r="A18" s="33" t="str">
        <x:v>Offline Positive Reputation Gain</x:v>
      </x:c>
      <x:c r="B18" s="58" t="n">
        <x:v>0</x:v>
      </x:c>
      <x:c r="C18" s="22" t="str">
        <x:v>multiplier</x:v>
      </x:c>
      <x:c r="D18" s="22" t="str">
        <x:v>No</x:v>
      </x:c>
      <x:c r="E18" s="22" t="str">
        <x:v>Reputation requires operation/decisions</x:v>
      </x:c>
      <x:c r="F18" s="22" t="str">
        <x:v>0</x:v>
      </x:c>
      <x:c r="G18" s="34" t="str"/>
    </x:row>
    <x:row r="19">
      <x:c r="A19" s="33" t="str">
        <x:v>AFK Timeout</x:v>
      </x:c>
      <x:c r="B19" s="53" t="n">
        <x:v>20</x:v>
      </x:c>
      <x:c r="C19" s="22" t="str">
        <x:v>minutes</x:v>
      </x:c>
      <x:c r="D19" s="22" t="str">
        <x:v>Yes</x:v>
      </x:c>
      <x:c r="E19" s="22" t="str">
        <x:v>Stop screen-on idle farming</x:v>
      </x:c>
      <x:c r="F19" s="22" t="str">
        <x:v>15–30</x:v>
      </x:c>
      <x:c r="G19" s="34" t="str">
        <x:v>Meaningful action resets timer</x:v>
      </x:c>
    </x:row>
    <x:row r="20">
      <x:c r="A20" s="33" t="str">
        <x:v>Risk Evaluation Offline</x:v>
      </x:c>
      <x:c r="B20" s="53" t="n">
        <x:v>0.5</x:v>
      </x:c>
      <x:c r="C20" s="22" t="str">
        <x:v>intensity floor</x:v>
      </x:c>
      <x:c r="D20" s="22" t="str">
        <x:v>Yes</x:v>
      </x:c>
      <x:c r="E20" s="22" t="str">
        <x:v>Business quality still matters while away</x:v>
      </x:c>
      <x:c r="F20" s="22" t="str">
        <x:v>0.4–0.7</x:v>
      </x:c>
      <x:c r="G20" s="34" t="str">
        <x:v>Global critical event effects may override floor</x:v>
      </x:c>
    </x:row>
    <x:row r="21">
      <x:c r="A21" s="33" t="str">
        <x:v>Personal Event Offline Auto-Choice</x:v>
      </x:c>
      <x:c r="B21" s="53" t="n">
        <x:v>0</x:v>
      </x:c>
      <x:c r="C21" s="22" t="str">
        <x:v>boolean</x:v>
      </x:c>
      <x:c r="D21" s="22" t="str">
        <x:v>No</x:v>
      </x:c>
      <x:c r="E21" s="22" t="str">
        <x:v>No punitive/beneficial auto decisions</x:v>
      </x:c>
      <x:c r="F21" s="22" t="str">
        <x:v>0</x:v>
      </x:c>
      <x:c r="G21" s="34" t="str">
        <x:v>Queue instead</x:v>
      </x:c>
    </x:row>
    <x:row r="22">
      <x:c r="A22" s="35" t="str">
        <x:v>Offline Summary Threshold</x:v>
      </x:c>
      <x:c r="B22" s="54" t="n">
        <x:v>5</x:v>
      </x:c>
      <x:c r="C22" s="36" t="str">
        <x:v>minutes</x:v>
      </x:c>
      <x:c r="D22" s="36" t="str">
        <x:v>Yes</x:v>
      </x:c>
      <x:c r="E22" s="36" t="str">
        <x:v>Avoid summary for micro disconnects</x:v>
      </x:c>
      <x:c r="F22" s="36" t="str">
        <x:v>3–10</x:v>
      </x:c>
      <x:c r="G22" s="37" t="str"/>
    </x:row>
  </x:sheetData>
  <x:mergeCells>
    <x:mergeCell ref="A1:G1"/>
  </x:mergeCells>
  <x:conditionalFormatting sqref="B4:B22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Player Presence State &amp; Economy Treatment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State</x:v>
      </x:c>
      <x:c r="B3" s="14" t="str">
        <x:v>Trigger</x:v>
      </x:c>
      <x:c r="C3" s="14" t="str">
        <x:v>Cash Rate</x:v>
      </x:c>
      <x:c r="D3" s="14" t="str">
        <x:v>Customer Change</x:v>
      </x:c>
      <x:c r="E3" s="14" t="str">
        <x:v>Activity Points</x:v>
      </x:c>
      <x:c r="F3" s="14" t="str">
        <x:v>Hunt Progress</x:v>
      </x:c>
      <x:c r="G3" s="14" t="str">
        <x:v>Performance Revenue</x:v>
      </x:c>
      <x:c r="H3" s="14" t="str">
        <x:v>Performance Growth</x:v>
      </x:c>
      <x:c r="I3" s="14" t="str">
        <x:v>Positive Rep</x:v>
      </x:c>
      <x:c r="J3" s="14" t="str">
        <x:v>Risk/Event Processing</x:v>
      </x:c>
      <x:c r="K3" s="14" t="str">
        <x:v>Timers</x:v>
      </x:c>
      <x:c r="L3" s="14" t="str">
        <x:v>Server Evidence</x:v>
      </x:c>
      <x:c r="M3" s="14" t="str">
        <x:v>Player Action Needed</x:v>
      </x:c>
      <x:c r="N3" s="14" t="str">
        <x:v>Can AFK Exploit?</x:v>
      </x:c>
      <x:c r="O3" s="14" t="str">
        <x:v>Transition Out</x:v>
      </x:c>
      <x:c r="P3" s="14" t="str">
        <x:v>Notes</x:v>
      </x:c>
    </x:row>
    <x:row r="4">
      <x:c r="A4" s="30" t="str">
        <x:v>Engaged</x:v>
      </x:c>
      <x:c r="B4" s="31" t="str">
        <x:v>Meaningful validated action within last 20 min</x:v>
      </x:c>
      <x:c r="C4" s="31" t="str">
        <x:v>100%</x:v>
      </x:c>
      <x:c r="D4" s="31" t="str">
        <x:v>100%</x:v>
      </x:c>
      <x:c r="E4" s="31" t="str">
        <x:v>100%</x:v>
      </x:c>
      <x:c r="F4" s="31" t="str">
        <x:v>Normal</x:v>
      </x:c>
      <x:c r="G4" s="31" t="str">
        <x:v>100%</x:v>
      </x:c>
      <x:c r="H4" s="31" t="str">
        <x:v>100%</x:v>
      </x:c>
      <x:c r="I4" s="31" t="str">
        <x:v>Normal validated</x:v>
      </x:c>
      <x:c r="J4" s="31" t="str">
        <x:v>100%</x:v>
      </x:c>
      <x:c r="K4" s="31" t="str">
        <x:v>100%</x:v>
      </x:c>
      <x:c r="L4" s="31" t="str">
        <x:v>Session/action ledger</x:v>
      </x:c>
      <x:c r="M4" s="31" t="str">
        <x:v>No</x:v>
      </x:c>
      <x:c r="N4" s="31" t="str">
        <x:v>No</x:v>
      </x:c>
      <x:c r="O4" s="31" t="str">
        <x:v>AFK timer / disconnect</x:v>
      </x:c>
      <x:c r="P4" s="32" t="str">
        <x:v>Foreground alone is not enough</x:v>
      </x:c>
    </x:row>
    <x:row r="5">
      <x:c r="A5" s="33" t="str">
        <x:v>AFK Online</x:v>
      </x:c>
      <x:c r="B5" s="22" t="str">
        <x:v>App connected but no meaningful action for 20+ min</x:v>
      </x:c>
      <x:c r="C5" s="22" t="str">
        <x:v>Same as current offline time band</x:v>
      </x:c>
      <x:c r="D5" s="22" t="str">
        <x:v>Same as current offline band</x:v>
      </x:c>
      <x:c r="E5" s="22" t="str">
        <x:v>0%</x:v>
      </x:c>
      <x:c r="F5" s="22" t="str">
        <x:v>0%</x:v>
      </x:c>
      <x:c r="G5" s="22" t="str">
        <x:v>25% of offline generated eligible revenue</x:v>
      </x:c>
      <x:c r="H5" s="22" t="str">
        <x:v>25% of offline new-customer delta</x:v>
      </x:c>
      <x:c r="I5" s="22" t="str">
        <x:v>0%</x:v>
      </x:c>
      <x:c r="J5" s="22" t="str">
        <x:v>Offline rules</x:v>
      </x:c>
      <x:c r="K5" s="22" t="str">
        <x:v>100%</x:v>
      </x:c>
      <x:c r="L5" s="22" t="str">
        <x:v>Heartbeat + last meaningful action</x:v>
      </x:c>
      <x:c r="M5" s="22" t="str">
        <x:v>Meaningful action</x:v>
      </x:c>
      <x:c r="N5" s="22" t="str">
        <x:v>No</x:v>
      </x:c>
      <x:c r="O5" s="22" t="str">
        <x:v>Engaged on action / Offline on disconnect</x:v>
      </x:c>
      <x:c r="P5" s="34" t="str">
        <x:v>Stops screen-on farming</x:v>
      </x:c>
    </x:row>
    <x:row r="6">
      <x:c r="A6" s="33" t="str">
        <x:v>Grace Offline</x:v>
      </x:c>
      <x:c r="B6" s="22" t="str">
        <x:v>Disconnected &lt;30 min</x:v>
      </x:c>
      <x:c r="C6" s="22" t="str">
        <x:v>100%</x:v>
      </x:c>
      <x:c r="D6" s="22" t="str">
        <x:v>100%</x:v>
      </x:c>
      <x:c r="E6" s="22" t="str">
        <x:v>0%</x:v>
      </x:c>
      <x:c r="F6" s="22" t="str">
        <x:v>0%</x:v>
      </x:c>
      <x:c r="G6" s="22" t="str">
        <x:v>100%</x:v>
      </x:c>
      <x:c r="H6" s="22" t="str">
        <x:v>100%</x:v>
      </x:c>
      <x:c r="I6" s="22" t="str">
        <x:v>0%</x:v>
      </x:c>
      <x:c r="J6" s="22" t="str">
        <x:v>Global events continue; risk evaluated</x:v>
      </x:c>
      <x:c r="K6" s="22" t="str">
        <x:v>100%</x:v>
      </x:c>
      <x:c r="L6" s="22" t="str">
        <x:v>Server last_action/disconnect time</x:v>
      </x:c>
      <x:c r="M6" s="22" t="str">
        <x:v>Return</x:v>
      </x:c>
      <x:c r="N6" s="22" t="str">
        <x:v>No</x:v>
      </x:c>
      <x:c r="O6" s="22" t="str">
        <x:v>Short Away at 30m</x:v>
      </x:c>
      <x:c r="P6" s="34" t="str">
        <x:v>Connectivity protection</x:v>
      </x:c>
    </x:row>
    <x:row r="7">
      <x:c r="A7" s="33" t="str">
        <x:v>Short Away</x:v>
      </x:c>
      <x:c r="B7" s="22" t="str">
        <x:v>0.5–2h away</x:v>
      </x:c>
      <x:c r="C7" s="22" t="str">
        <x:v>65%</x:v>
      </x:c>
      <x:c r="D7" s="22" t="str">
        <x:v>40%</x:v>
      </x:c>
      <x:c r="E7" s="22" t="str">
        <x:v>0%</x:v>
      </x:c>
      <x:c r="F7" s="22" t="str">
        <x:v>0%</x:v>
      </x:c>
      <x:c r="G7" s="22" t="str">
        <x:v>25% of generated revenue</x:v>
      </x:c>
      <x:c r="H7" s="22" t="str">
        <x:v>25% of new customers</x:v>
      </x:c>
      <x:c r="I7" s="22" t="str">
        <x:v>0%</x:v>
      </x:c>
      <x:c r="J7" s="22" t="str">
        <x:v>Global events continue; risk at &gt;=50% intensity</x:v>
      </x:c>
      <x:c r="K7" s="22" t="str">
        <x:v>100%</x:v>
      </x:c>
      <x:c r="L7" s="22" t="str">
        <x:v>Offline catch-up job</x:v>
      </x:c>
      <x:c r="M7" s="22" t="str">
        <x:v>Return</x:v>
      </x:c>
      <x:c r="N7" s="22" t="str">
        <x:v>No</x:v>
      </x:c>
      <x:c r="O7" s="22" t="str">
        <x:v>Medium Away at 2h</x:v>
      </x:c>
      <x:c r="P7" s="34" t="str"/>
    </x:row>
    <x:row r="8">
      <x:c r="A8" s="33" t="str">
        <x:v>Medium Away</x:v>
      </x:c>
      <x:c r="B8" s="22" t="str">
        <x:v>2–6h away</x:v>
      </x:c>
      <x:c r="C8" s="22" t="str">
        <x:v>50%</x:v>
      </x:c>
      <x:c r="D8" s="22" t="str">
        <x:v>30%</x:v>
      </x:c>
      <x:c r="E8" s="22" t="str">
        <x:v>0%</x:v>
      </x:c>
      <x:c r="F8" s="22" t="str">
        <x:v>0%</x:v>
      </x:c>
      <x:c r="G8" s="22" t="str">
        <x:v>25% of generated revenue</x:v>
      </x:c>
      <x:c r="H8" s="22" t="str">
        <x:v>25% of new customers</x:v>
      </x:c>
      <x:c r="I8" s="22" t="str">
        <x:v>0%</x:v>
      </x:c>
      <x:c r="J8" s="22" t="str">
        <x:v>Same</x:v>
      </x:c>
      <x:c r="K8" s="22" t="str">
        <x:v>100%</x:v>
      </x:c>
      <x:c r="L8" s="22" t="str">
        <x:v>Offline catch-up job</x:v>
      </x:c>
      <x:c r="M8" s="22" t="str">
        <x:v>Return</x:v>
      </x:c>
      <x:c r="N8" s="22" t="str">
        <x:v>No</x:v>
      </x:c>
      <x:c r="O8" s="22" t="str">
        <x:v>Long Away at 6h</x:v>
      </x:c>
      <x:c r="P8" s="34" t="str"/>
    </x:row>
    <x:row r="9">
      <x:c r="A9" s="33" t="str">
        <x:v>Long Away</x:v>
      </x:c>
      <x:c r="B9" s="22" t="str">
        <x:v>6–12h away</x:v>
      </x:c>
      <x:c r="C9" s="22" t="str">
        <x:v>35%</x:v>
      </x:c>
      <x:c r="D9" s="22" t="str">
        <x:v>20%</x:v>
      </x:c>
      <x:c r="E9" s="22" t="str">
        <x:v>0%</x:v>
      </x:c>
      <x:c r="F9" s="22" t="str">
        <x:v>0%</x:v>
      </x:c>
      <x:c r="G9" s="22" t="str">
        <x:v>25% of generated revenue</x:v>
      </x:c>
      <x:c r="H9" s="22" t="str">
        <x:v>25% of new customers</x:v>
      </x:c>
      <x:c r="I9" s="22" t="str">
        <x:v>0%</x:v>
      </x:c>
      <x:c r="J9" s="22" t="str">
        <x:v>Same</x:v>
      </x:c>
      <x:c r="K9" s="22" t="str">
        <x:v>100%</x:v>
      </x:c>
      <x:c r="L9" s="22" t="str">
        <x:v>Offline catch-up job</x:v>
      </x:c>
      <x:c r="M9" s="22" t="str">
        <x:v>Return</x:v>
      </x:c>
      <x:c r="N9" s="22" t="str">
        <x:v>No</x:v>
      </x:c>
      <x:c r="O9" s="22" t="str">
        <x:v>Frozen at 12h</x:v>
      </x:c>
      <x:c r="P9" s="34" t="str"/>
    </x:row>
    <x:row r="10">
      <x:c r="A10" s="35" t="str">
        <x:v>Frozen</x:v>
      </x:c>
      <x:c r="B10" s="36" t="str">
        <x:v>12h+ away</x:v>
      </x:c>
      <x:c r="C10" s="36" t="str">
        <x:v>0%</x:v>
      </x:c>
      <x:c r="D10" s="36" t="str">
        <x:v>0%</x:v>
      </x:c>
      <x:c r="E10" s="36" t="str">
        <x:v>0%</x:v>
      </x:c>
      <x:c r="F10" s="36" t="str">
        <x:v>0%</x:v>
      </x:c>
      <x:c r="G10" s="36" t="str">
        <x:v>0%</x:v>
      </x:c>
      <x:c r="H10" s="36" t="str">
        <x:v>0%</x:v>
      </x:c>
      <x:c r="I10" s="36" t="str">
        <x:v>0%</x:v>
      </x:c>
      <x:c r="J10" s="36" t="str">
        <x:v>No economy drift; unresolved global state applied on return as configured</x:v>
      </x:c>
      <x:c r="K10" s="36" t="str">
        <x:v>Construction/cooldowns continue if durable timers</x:v>
      </x:c>
      <x:c r="L10" s="36" t="str">
        <x:v>Last processed offline cursor</x:v>
      </x:c>
      <x:c r="M10" s="36" t="str">
        <x:v>Return</x:v>
      </x:c>
      <x:c r="N10" s="36" t="str">
        <x:v>No</x:v>
      </x:c>
      <x:c r="O10" s="36" t="str">
        <x:v>Engaged/AFK after login</x:v>
      </x:c>
      <x:c r="P10" s="37" t="str">
        <x:v>Prevents long-term passive progression</x:v>
      </x:c>
    </x:row>
    <x:row r="12" ht="22" customHeight="1">
      <x:c r="A12" s="11" t="str">
        <x:v>Meaningful Actions for Engaged State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</x:row>
    <x:row r="13">
      <x:c r="A13" s="14" t="str">
        <x:v>Counts as Meaningful</x:v>
      </x:c>
      <x:c r="B13" s="14" t="str">
        <x:v>Does NOT Count</x:v>
      </x:c>
    </x:row>
    <x:row r="14">
      <x:c r="A14" s="30" t="str">
        <x:v>Place, move, rotate or upgrade a building</x:v>
      </x:c>
      <x:c r="B14" s="32" t="str">
        <x:v>Opening/closing a screen</x:v>
      </x:c>
    </x:row>
    <x:row r="15">
      <x:c r="A15" s="33" t="str">
        <x:v>Equip/unequip/craft/dismantle a Module</x:v>
      </x:c>
      <x:c r="B15" s="34" t="str">
        <x:v>Panning/zooming the Plot</x:v>
      </x:c>
    </x:row>
    <x:row r="16">
      <x:c r="A16" s="33" t="str">
        <x:v>Resolve an Event decision</x:v>
      </x:c>
      <x:c r="B16" s="34" t="str">
        <x:v>Repeated refresh</x:v>
      </x:c>
    </x:row>
    <x:row r="17">
      <x:c r="A17" s="33" t="str">
        <x:v>Make valid progress on a Market Hunt</x:v>
      </x:c>
      <x:c r="B17" s="34" t="str">
        <x:v>Passive heartbeat/websocket connection</x:v>
      </x:c>
    </x:row>
    <x:row r="18">
      <x:c r="A18" s="33" t="str">
        <x:v>Claim/complete a mastery objective where action is required</x:v>
      </x:c>
      <x:c r="B18" s="34" t="str">
        <x:v>Leaving app foregrounded</x:v>
      </x:c>
    </x:row>
    <x:row r="19">
      <x:c r="A19" s="35" t="str">
        <x:v>Act on an operational recommendation that changes state</x:v>
      </x:c>
      <x:c r="B19" s="37" t="str">
        <x:v>Tapping the same non-mutating card repeatedly</x:v>
      </x:c>
    </x:row>
  </x:sheetData>
  <x:mergeCells>
    <x:mergeCell ref="A1:P1"/>
    <x:mergeCell ref="A12:P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Offline Cash Accrual — Formula &amp; Bands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Band</x:v>
      </x:c>
      <x:c r="B3" s="14" t="str">
        <x:v>Start Hour</x:v>
      </x:c>
      <x:c r="C3" s="14" t="str">
        <x:v>End Hour</x:v>
      </x:c>
      <x:c r="D3" s="14" t="str">
        <x:v>Duration</x:v>
      </x:c>
      <x:c r="E3" s="14" t="str">
        <x:v>Cash Efficiency</x:v>
      </x:c>
      <x:c r="F3" s="14" t="str">
        <x:v>Example Active Net / Hour</x:v>
      </x:c>
      <x:c r="G3" s="14" t="str">
        <x:v>Offline Net / Hour</x:v>
      </x:c>
      <x:c r="H3" s="14" t="str">
        <x:v>Band Cash</x:v>
      </x:c>
      <x:c r="I3" s="14" t="str">
        <x:v>Cumulative Cash</x:v>
      </x:c>
      <x:c r="J3" s="14" t="str">
        <x:v>Active Equivalent Cash</x:v>
      </x:c>
      <x:c r="K3" s="14" t="str">
        <x:v>Efficiency vs Active</x:v>
      </x:c>
      <x:c r="L3" s="14" t="str">
        <x:v>Performance Revenue Credit</x:v>
      </x:c>
      <x:c r="M3" s="14" t="str">
        <x:v>Performance-Eligible Revenue</x:v>
      </x:c>
      <x:c r="N3" s="14" t="str">
        <x:v>Notes</x:v>
      </x:c>
    </x:row>
    <x:row r="4">
      <x:c r="A4" s="30" t="str">
        <x:v>Grace</x:v>
      </x:c>
      <x:c r="B4" s="60" t="n">
        <x:v>0</x:v>
      </x:c>
      <x:c r="C4" s="60" t="n">
        <x:v>0.5</x:v>
      </x:c>
      <x:c r="D4" s="60" t="n">
        <x:f>C4-B4</x:f>
        <x:v>0.5</x:v>
      </x:c>
      <x:c r="E4" s="60" t="n">
        <x:v>1</x:v>
      </x:c>
      <x:c r="F4" s="66" t="n">
        <x:v>10000</x:v>
      </x:c>
      <x:c r="G4" s="66" t="n">
        <x:f>F4*E4</x:f>
        <x:v>10000</x:v>
      </x:c>
      <x:c r="H4" s="66" t="n">
        <x:f>D4*G4</x:f>
        <x:v>5000</x:v>
      </x:c>
      <x:c r="I4" s="66" t="n">
        <x:f>H4</x:f>
        <x:v>5000</x:v>
      </x:c>
      <x:c r="J4" s="66" t="n">
        <x:f>D4*F4</x:f>
        <x:v>5000</x:v>
      </x:c>
      <x:c r="K4" s="46" t="n">
        <x:f>IF(J4=0,0,H4/J4)</x:f>
        <x:v>1</x:v>
      </x:c>
      <x:c r="L4" s="46" t="n">
        <x:v>1</x:v>
      </x:c>
      <x:c r="M4" s="66" t="n">
        <x:f>H4*L4</x:f>
        <x:v>5000</x:v>
      </x:c>
      <x:c r="N4" s="32" t="str">
        <x:v>Connectivity protection</x:v>
      </x:c>
    </x:row>
    <x:row r="5">
      <x:c r="A5" s="33" t="str">
        <x:v>Short Away</x:v>
      </x:c>
      <x:c r="B5" s="61" t="n">
        <x:v>0.5</x:v>
      </x:c>
      <x:c r="C5" s="61" t="n">
        <x:v>2</x:v>
      </x:c>
      <x:c r="D5" s="61" t="n">
        <x:f>C5-B5</x:f>
        <x:v>1.5</x:v>
      </x:c>
      <x:c r="E5" s="61" t="n">
        <x:v>0.65</x:v>
      </x:c>
      <x:c r="F5" s="67" t="n">
        <x:v>10000</x:v>
      </x:c>
      <x:c r="G5" s="67" t="n">
        <x:f>F5*E5</x:f>
        <x:v>6500</x:v>
      </x:c>
      <x:c r="H5" s="67" t="n">
        <x:f>D5*G5</x:f>
        <x:v>9750</x:v>
      </x:c>
      <x:c r="I5" s="67" t="n">
        <x:f>I4+H5</x:f>
        <x:v>14750</x:v>
      </x:c>
      <x:c r="J5" s="67" t="n">
        <x:f>D5*F5</x:f>
        <x:v>15000</x:v>
      </x:c>
      <x:c r="K5" s="47" t="n">
        <x:f>IF(J5=0,0,H5/J5)</x:f>
        <x:v>0.65</x:v>
      </x:c>
      <x:c r="L5" s="47" t="n">
        <x:v>0.25</x:v>
      </x:c>
      <x:c r="M5" s="67" t="n">
        <x:f>H5*L5</x:f>
        <x:v>2437.5</x:v>
      </x:c>
      <x:c r="N5" s="34" t="str"/>
    </x:row>
    <x:row r="6">
      <x:c r="A6" s="33" t="str">
        <x:v>Medium Away</x:v>
      </x:c>
      <x:c r="B6" s="61" t="n">
        <x:v>2</x:v>
      </x:c>
      <x:c r="C6" s="61" t="n">
        <x:v>6</x:v>
      </x:c>
      <x:c r="D6" s="61" t="n">
        <x:f>C6-B6</x:f>
        <x:v>4</x:v>
      </x:c>
      <x:c r="E6" s="61" t="n">
        <x:v>0.5</x:v>
      </x:c>
      <x:c r="F6" s="67" t="n">
        <x:v>10000</x:v>
      </x:c>
      <x:c r="G6" s="67" t="n">
        <x:f>F6*E6</x:f>
        <x:v>5000</x:v>
      </x:c>
      <x:c r="H6" s="67" t="n">
        <x:f>D6*G6</x:f>
        <x:v>20000</x:v>
      </x:c>
      <x:c r="I6" s="67" t="n">
        <x:f>I5+H6</x:f>
        <x:v>34750</x:v>
      </x:c>
      <x:c r="J6" s="67" t="n">
        <x:f>D6*F6</x:f>
        <x:v>40000</x:v>
      </x:c>
      <x:c r="K6" s="47" t="n">
        <x:f>IF(J6=0,0,H6/J6)</x:f>
        <x:v>0.5</x:v>
      </x:c>
      <x:c r="L6" s="47" t="n">
        <x:v>0.25</x:v>
      </x:c>
      <x:c r="M6" s="67" t="n">
        <x:f>H6*L6</x:f>
        <x:v>5000</x:v>
      </x:c>
      <x:c r="N6" s="34" t="str"/>
    </x:row>
    <x:row r="7">
      <x:c r="A7" s="33" t="str">
        <x:v>Long Away</x:v>
      </x:c>
      <x:c r="B7" s="61" t="n">
        <x:v>6</x:v>
      </x:c>
      <x:c r="C7" s="61" t="n">
        <x:v>12</x:v>
      </x:c>
      <x:c r="D7" s="61" t="n">
        <x:f>C7-B7</x:f>
        <x:v>6</x:v>
      </x:c>
      <x:c r="E7" s="61" t="n">
        <x:v>0.35</x:v>
      </x:c>
      <x:c r="F7" s="67" t="n">
        <x:v>10000</x:v>
      </x:c>
      <x:c r="G7" s="67" t="n">
        <x:f>F7*E7</x:f>
        <x:v>3500</x:v>
      </x:c>
      <x:c r="H7" s="67" t="n">
        <x:f>D7*G7</x:f>
        <x:v>21000</x:v>
      </x:c>
      <x:c r="I7" s="67" t="n">
        <x:f>I6+H7</x:f>
        <x:v>55750</x:v>
      </x:c>
      <x:c r="J7" s="67" t="n">
        <x:f>D7*F7</x:f>
        <x:v>60000</x:v>
      </x:c>
      <x:c r="K7" s="47" t="n">
        <x:f>IF(J7=0,0,H7/J7)</x:f>
        <x:v>0.35</x:v>
      </x:c>
      <x:c r="L7" s="47" t="n">
        <x:v>0.25</x:v>
      </x:c>
      <x:c r="M7" s="67" t="n">
        <x:f>H7*L7</x:f>
        <x:v>5250</x:v>
      </x:c>
      <x:c r="N7" s="34" t="str"/>
    </x:row>
    <x:row r="8">
      <x:c r="A8" s="35" t="str">
        <x:v>Frozen</x:v>
      </x:c>
      <x:c r="B8" s="62" t="n">
        <x:v>12</x:v>
      </x:c>
      <x:c r="C8" s="62" t="n">
        <x:v>24</x:v>
      </x:c>
      <x:c r="D8" s="62" t="n">
        <x:f>C8-B8</x:f>
        <x:v>12</x:v>
      </x:c>
      <x:c r="E8" s="62" t="n">
        <x:v>0</x:v>
      </x:c>
      <x:c r="F8" s="68" t="n">
        <x:v>10000</x:v>
      </x:c>
      <x:c r="G8" s="68" t="n">
        <x:f>F8*E8</x:f>
        <x:v>0</x:v>
      </x:c>
      <x:c r="H8" s="68" t="n">
        <x:f>D8*G8</x:f>
        <x:v>0</x:v>
      </x:c>
      <x:c r="I8" s="68" t="n">
        <x:f>I7+H8</x:f>
        <x:v>55750</x:v>
      </x:c>
      <x:c r="J8" s="68" t="n">
        <x:f>D8*F8</x:f>
        <x:v>120000</x:v>
      </x:c>
      <x:c r="K8" s="48" t="n">
        <x:f>IF(J8=0,0,H8/J8)</x:f>
        <x:v>0</x:v>
      </x:c>
      <x:c r="L8" s="48" t="n">
        <x:v>0</x:v>
      </x:c>
      <x:c r="M8" s="68" t="n">
        <x:f>H8*L8</x:f>
        <x:v>0</x:v>
      </x:c>
      <x:c r="N8" s="37" t="str">
        <x:v>No accrual after cap</x:v>
      </x:c>
    </x:row>
    <x:row r="10" ht="22" customHeight="1">
      <x:c r="A10" s="11" t="str">
        <x:v>Cash Formula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Item</x:v>
      </x:c>
      <x:c r="B11" s="14" t="str">
        <x:v>Specification</x:v>
      </x:c>
    </x:row>
    <x:row r="12">
      <x:c r="A12" s="30" t="str">
        <x:v>Base</x:v>
      </x:c>
      <x:c r="B12" s="32" t="str">
        <x:v>Calculate the normal signed net Cash delta for the tick after building stats, placement, Modules, customers, risk and global event modifiers.</x:v>
      </x:c>
    </x:row>
    <x:row r="13">
      <x:c r="A13" s="33" t="str">
        <x:v>Offline multiplier</x:v>
      </x:c>
      <x:c r="B13" s="34" t="str">
        <x:v>Multiply that signed normal net delta by the applicable offline Cash efficiency band.</x:v>
      </x:c>
    </x:row>
    <x:row r="14">
      <x:c r="A14" s="33" t="str">
        <x:v>Fixed costs/penalties</x:v>
      </x:c>
      <x:c r="B14" s="34" t="str">
        <x:v>One-time Event costs, construction fees, market fees, claims or explicit fixed obligations are not reduced by offline efficiency.</x:v>
      </x:c>
    </x:row>
    <x:row r="15">
      <x:c r="A15" s="33" t="str">
        <x:v>Negative normal operations</x:v>
      </x:c>
      <x:c r="B15" s="34" t="str">
        <x:v>Signed normal operating losses are scaled by the same offline efficiency, preventing offline bankruptcy spirals while preserving poor-operation consequences.</x:v>
      </x:c>
    </x:row>
    <x:row r="16">
      <x:c r="A16" s="33" t="str">
        <x:v>8-hour cap</x:v>
      </x:c>
      <x:c r="B16" s="34" t="str">
        <x:v>Stop recurring business Cash accrual after 12 cumulative hours since the last engaged/online processing point.</x:v>
      </x:c>
    </x:row>
    <x:row r="17">
      <x:c r="A17" s="35" t="str">
        <x:v>No storage cap</x:v>
      </x:c>
      <x:c r="B17" s="37" t="str">
        <x:v>There is no separate offline Cash storage cap in v1.0; the time cap is the main bound.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Offline Customer Acquisition, Churn &amp; Capacity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Band</x:v>
      </x:c>
      <x:c r="B3" s="14" t="str">
        <x:v>Customer Simulation Intensity</x:v>
      </x:c>
      <x:c r="C3" s="14" t="str">
        <x:v>Acquisition Multiplier</x:v>
      </x:c>
      <x:c r="D3" s="14" t="str">
        <x:v>Churn Multiplier</x:v>
      </x:c>
      <x:c r="E3" s="14" t="str">
        <x:v>Capacity Rules</x:v>
      </x:c>
      <x:c r="F3" s="14" t="str">
        <x:v>Congestion Rules</x:v>
      </x:c>
      <x:c r="G3" s="14" t="str">
        <x:v>Reputation Modifier</x:v>
      </x:c>
      <x:c r="H3" s="14" t="str">
        <x:v>Service Modifier</x:v>
      </x:c>
      <x:c r="I3" s="14" t="str">
        <x:v>Global Event Modifier</x:v>
      </x:c>
      <x:c r="J3" s="14" t="str">
        <x:v>New Customers Score Credit</x:v>
      </x:c>
      <x:c r="K3" s="14" t="str">
        <x:v>Churn Score Treatment</x:v>
      </x:c>
      <x:c r="L3" s="14" t="str">
        <x:v>Utilization Snapshot</x:v>
      </x:c>
      <x:c r="M3" s="14" t="str">
        <x:v>Premium Segment Gates</x:v>
      </x:c>
      <x:c r="N3" s="14" t="str">
        <x:v>Offline Cap</x:v>
      </x:c>
      <x:c r="O3" s="14" t="str">
        <x:v>Primary Risk</x:v>
      </x:c>
      <x:c r="P3" s="14" t="str">
        <x:v>Notes</x:v>
      </x:c>
    </x:row>
    <x:row r="4">
      <x:c r="A4" s="30" t="str">
        <x:v>Grace</x:v>
      </x:c>
      <x:c r="B4" s="46" t="n">
        <x:v>1</x:v>
      </x:c>
      <x:c r="C4" s="46" t="n">
        <x:v>1</x:v>
      </x:c>
      <x:c r="D4" s="46" t="n">
        <x:v>1</x:v>
      </x:c>
      <x:c r="E4" s="31" t="str">
        <x:v>Full</x:v>
      </x:c>
      <x:c r="F4" s="31" t="str">
        <x:v>Full</x:v>
      </x:c>
      <x:c r="G4" s="31" t="str">
        <x:v>Current</x:v>
      </x:c>
      <x:c r="H4" s="31" t="str">
        <x:v>Current</x:v>
      </x:c>
      <x:c r="I4" s="31" t="str">
        <x:v>Full</x:v>
      </x:c>
      <x:c r="J4" s="46" t="n">
        <x:v>1</x:v>
      </x:c>
      <x:c r="K4" s="31" t="str">
        <x:v>Churn affects state normally</x:v>
      </x:c>
      <x:c r="L4" s="31" t="str">
        <x:v>Counts normally</x:v>
      </x:c>
      <x:c r="M4" s="31" t="str">
        <x:v>Still enforced</x:v>
      </x:c>
      <x:c r="N4" s="31" t="str">
        <x:v>0.5h</x:v>
      </x:c>
      <x:c r="O4" s="31" t="str">
        <x:v>Very small passive growth</x:v>
      </x:c>
      <x:c r="P4" s="32" t="str"/>
    </x:row>
    <x:row r="5">
      <x:c r="A5" s="33" t="str">
        <x:v>Short Away</x:v>
      </x:c>
      <x:c r="B5" s="47" t="n">
        <x:v>0.4</x:v>
      </x:c>
      <x:c r="C5" s="47" t="n">
        <x:v>0.4</x:v>
      </x:c>
      <x:c r="D5" s="47" t="n">
        <x:v>0.4</x:v>
      </x:c>
      <x:c r="E5" s="22" t="str">
        <x:v>Full</x:v>
      </x:c>
      <x:c r="F5" s="22" t="str">
        <x:v>Full</x:v>
      </x:c>
      <x:c r="G5" s="22" t="str">
        <x:v>Current</x:v>
      </x:c>
      <x:c r="H5" s="22" t="str">
        <x:v>Current</x:v>
      </x:c>
      <x:c r="I5" s="22" t="str">
        <x:v>Full</x:v>
      </x:c>
      <x:c r="J5" s="47" t="n">
        <x:v>0.25</x:v>
      </x:c>
      <x:c r="K5" s="22" t="str">
        <x:v>Churn affects state at 40% intensity</x:v>
      </x:c>
      <x:c r="L5" s="22" t="str">
        <x:v>Counts normally</x:v>
      </x:c>
      <x:c r="M5" s="22" t="str">
        <x:v>Still enforced</x:v>
      </x:c>
      <x:c r="N5" s="22" t="str">
        <x:v>2h</x:v>
      </x:c>
      <x:c r="O5" s="22" t="str">
        <x:v>Reduced but meaningful drift</x:v>
      </x:c>
      <x:c r="P5" s="34" t="str"/>
    </x:row>
    <x:row r="6">
      <x:c r="A6" s="33" t="str">
        <x:v>Medium Away</x:v>
      </x:c>
      <x:c r="B6" s="47" t="n">
        <x:v>0.3</x:v>
      </x:c>
      <x:c r="C6" s="47" t="n">
        <x:v>0.3</x:v>
      </x:c>
      <x:c r="D6" s="47" t="n">
        <x:v>0.3</x:v>
      </x:c>
      <x:c r="E6" s="22" t="str">
        <x:v>Full</x:v>
      </x:c>
      <x:c r="F6" s="22" t="str">
        <x:v>Full</x:v>
      </x:c>
      <x:c r="G6" s="22" t="str">
        <x:v>Current</x:v>
      </x:c>
      <x:c r="H6" s="22" t="str">
        <x:v>Current</x:v>
      </x:c>
      <x:c r="I6" s="22" t="str">
        <x:v>Full</x:v>
      </x:c>
      <x:c r="J6" s="47" t="n">
        <x:v>0.25</x:v>
      </x:c>
      <x:c r="K6" s="22" t="str">
        <x:v>Churn at 30%</x:v>
      </x:c>
      <x:c r="L6" s="22" t="str">
        <x:v>Counts normally</x:v>
      </x:c>
      <x:c r="M6" s="22" t="str">
        <x:v>Still enforced</x:v>
      </x:c>
      <x:c r="N6" s="22" t="str">
        <x:v>6h</x:v>
      </x:c>
      <x:c r="O6" s="22" t="str">
        <x:v>Slow drift</x:v>
      </x:c>
      <x:c r="P6" s="34" t="str"/>
    </x:row>
    <x:row r="7">
      <x:c r="A7" s="33" t="str">
        <x:v>Long Away</x:v>
      </x:c>
      <x:c r="B7" s="47" t="n">
        <x:v>0.2</x:v>
      </x:c>
      <x:c r="C7" s="47" t="n">
        <x:v>0.2</x:v>
      </x:c>
      <x:c r="D7" s="47" t="n">
        <x:v>0.2</x:v>
      </x:c>
      <x:c r="E7" s="22" t="str">
        <x:v>Full</x:v>
      </x:c>
      <x:c r="F7" s="22" t="str">
        <x:v>Full</x:v>
      </x:c>
      <x:c r="G7" s="22" t="str">
        <x:v>Current</x:v>
      </x:c>
      <x:c r="H7" s="22" t="str">
        <x:v>Current</x:v>
      </x:c>
      <x:c r="I7" s="22" t="str">
        <x:v>Full</x:v>
      </x:c>
      <x:c r="J7" s="47" t="n">
        <x:v>0.25</x:v>
      </x:c>
      <x:c r="K7" s="22" t="str">
        <x:v>Churn at 20%</x:v>
      </x:c>
      <x:c r="L7" s="22" t="str">
        <x:v>Counts normally</x:v>
      </x:c>
      <x:c r="M7" s="22" t="str">
        <x:v>Still enforced</x:v>
      </x:c>
      <x:c r="N7" s="22" t="str">
        <x:v>12h</x:v>
      </x:c>
      <x:c r="O7" s="22" t="str">
        <x:v>Minimal drift</x:v>
      </x:c>
      <x:c r="P7" s="34" t="str"/>
    </x:row>
    <x:row r="8">
      <x:c r="A8" s="35" t="str">
        <x:v>Frozen</x:v>
      </x:c>
      <x:c r="B8" s="48" t="n">
        <x:v>0</x:v>
      </x:c>
      <x:c r="C8" s="48" t="n">
        <x:v>0</x:v>
      </x:c>
      <x:c r="D8" s="48" t="n">
        <x:v>0</x:v>
      </x:c>
      <x:c r="E8" s="36" t="str">
        <x:v>Frozen</x:v>
      </x:c>
      <x:c r="F8" s="36" t="str">
        <x:v>Frozen</x:v>
      </x:c>
      <x:c r="G8" s="36" t="str">
        <x:v>Frozen except reconciliation</x:v>
      </x:c>
      <x:c r="H8" s="36" t="str">
        <x:v>Frozen</x:v>
      </x:c>
      <x:c r="I8" s="36" t="str">
        <x:v>Resolve persistent global state on return</x:v>
      </x:c>
      <x:c r="J8" s="48" t="n">
        <x:v>0</x:v>
      </x:c>
      <x:c r="K8" s="36" t="str">
        <x:v>No new churn</x:v>
      </x:c>
      <x:c r="L8" s="36" t="str">
        <x:v>Last snapshot retained</x:v>
      </x:c>
      <x:c r="M8" s="36" t="str">
        <x:v>Still enforced on return</x:v>
      </x:c>
      <x:c r="N8" s="36" t="str">
        <x:v>12h+</x:v>
      </x:c>
      <x:c r="O8" s="36" t="str">
        <x:v>None</x:v>
      </x:c>
      <x:c r="P8" s="37" t="str"/>
    </x:row>
    <x:row r="10" ht="22" customHeight="1">
      <x:c r="A10" s="11" t="str">
        <x:v>Customer Rules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4" t="str">
        <x:v>Rule</x:v>
      </x:c>
      <x:c r="B11" s="14" t="str">
        <x:v>Specification</x:v>
      </x:c>
    </x:row>
    <x:row r="12">
      <x:c r="A12" s="30" t="str">
        <x:v>Scale both acquisition and churn</x:v>
      </x:c>
      <x:c r="B12" s="32" t="str">
        <x:v>Offline intensity slows both directions. It does not artificially guarantee customer growth while away.</x:v>
      </x:c>
    </x:row>
    <x:row r="13">
      <x:c r="A13" s="33" t="str">
        <x:v>Capacity remains authoritative</x:v>
      </x:c>
      <x:c r="B13" s="34" t="str">
        <x:v>Attempted demand still respects building capacity, utilization bands and congestion. Offline cannot bypass overload.</x:v>
      </x:c>
    </x:row>
    <x:row r="14">
      <x:c r="A14" s="33" t="str">
        <x:v>No offline marketing actions</x:v>
      </x:c>
      <x:c r="B14" s="34" t="str">
        <x:v>Only persistent pre-existing modifiers apply. New campaigns/choices require player input.</x:v>
      </x:c>
    </x:row>
    <x:row r="15">
      <x:c r="A15" s="33" t="str">
        <x:v>Premium customers</x:v>
      </x:c>
      <x:c r="B15" s="34" t="str">
        <x:v>Reputation/Risk access gates remain enforced while away.</x:v>
      </x:c>
    </x:row>
    <x:row r="16">
      <x:c r="A16" s="33" t="str">
        <x:v>Offline customer growth scoring</x:v>
      </x:c>
      <x:c r="B16" s="34" t="str">
        <x:v>Only 25% of offline new-customer delta contributes to the weekly Customer Growth component; existing Active Customer snapshots remain valid.</x:v>
      </x:c>
    </x:row>
    <x:row r="17">
      <x:c r="A17" s="35" t="str">
        <x:v>No customer freeze until cap</x:v>
      </x:c>
      <x:c r="B17" s="37" t="str">
        <x:v>Within the 8-hour window, businesses continue to feel alive instead of becoming static.</x:v>
      </x:c>
    </x:row>
  </x:sheetData>
  <x:mergeCells>
    <x:mergeCell ref="A1:P1"/>
    <x:mergeCell ref="A10:P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Offline Treatment of Weekly Performance Score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Performance Component</x:v>
      </x:c>
      <x:c r="B3" s="14" t="str">
        <x:v>Weight</x:v>
      </x:c>
      <x:c r="C3" s="14" t="str">
        <x:v>Active / Engaged Treatment</x:v>
      </x:c>
      <x:c r="D3" s="14" t="str">
        <x:v>Offline / AFK Treatment</x:v>
      </x:c>
      <x:c r="E3" s="14" t="str">
        <x:v>Offline Credit</x:v>
      </x:c>
      <x:c r="F3" s="14" t="str">
        <x:v>8h Effective vs Active</x:v>
      </x:c>
      <x:c r="G3" s="14" t="str">
        <x:v>Snapshot or Flow?</x:v>
      </x:c>
      <x:c r="H3" s="14" t="str">
        <x:v>Why</x:v>
      </x:c>
      <x:c r="I3" s="14" t="str">
        <x:v>Can Idle Player Max It?</x:v>
      </x:c>
      <x:c r="J3" s="14" t="str">
        <x:v>Active-Day Gate Relevant?</x:v>
      </x:c>
      <x:c r="K3" s="14" t="str">
        <x:v>Server Evidence</x:v>
      </x:c>
      <x:c r="L3" s="14" t="str">
        <x:v>Exploit Risk</x:v>
      </x:c>
      <x:c r="M3" s="14" t="str">
        <x:v>Guardrail</x:v>
      </x:c>
      <x:c r="N3" s="14" t="str">
        <x:v>Existing Formula Preserved?</x:v>
      </x:c>
      <x:c r="O3" s="14" t="str">
        <x:v>Payout Direct?</x:v>
      </x:c>
      <x:c r="P3" s="14" t="str">
        <x:v>Notes</x:v>
      </x:c>
    </x:row>
    <x:row r="4">
      <x:c r="A4" s="30" t="str">
        <x:v>Economic Activity</x:v>
      </x:c>
      <x:c r="B4" s="46" t="n">
        <x:v>0.3</x:v>
      </x:c>
      <x:c r="C4" s="31" t="str">
        <x:v>100% validated activity</x:v>
      </x:c>
      <x:c r="D4" s="31" t="str">
        <x:v>No Performance-eligible Activity Points</x:v>
      </x:c>
      <x:c r="E4" s="46" t="n">
        <x:v>0</x:v>
      </x:c>
      <x:c r="F4" s="46" t="n">
        <x:v>0</x:v>
      </x:c>
      <x:c r="G4" s="31" t="str">
        <x:v>Flow</x:v>
      </x:c>
      <x:c r="H4" s="31" t="str">
        <x:v>Core proof of active operation</x:v>
      </x:c>
      <x:c r="I4" s="31" t="str">
        <x:v>No</x:v>
      </x:c>
      <x:c r="J4" s="31" t="str">
        <x:v>Yes</x:v>
      </x:c>
      <x:c r="K4" s="31" t="str">
        <x:v>activity ledger</x:v>
      </x:c>
      <x:c r="L4" s="31" t="str">
        <x:v>Critical</x:v>
      </x:c>
      <x:c r="M4" s="31" t="str">
        <x:v>Offline/AFK activity = 0</x:v>
      </x:c>
      <x:c r="N4" s="31" t="str">
        <x:v>Yes</x:v>
      </x:c>
      <x:c r="O4" s="31" t="str">
        <x:v>Indirect via score</x:v>
      </x:c>
      <x:c r="P4" s="32" t="str"/>
    </x:row>
    <x:row r="5">
      <x:c r="A5" s="33" t="str">
        <x:v>Net Business Revenue</x:v>
      </x:c>
      <x:c r="B5" s="47" t="n">
        <x:v>0.2</x:v>
      </x:c>
      <x:c r="C5" s="22" t="str">
        <x:v>100% eligible net revenue</x:v>
      </x:c>
      <x:c r="D5" s="22" t="str">
        <x:v>Grace disconnect 100%; later offline/AFK 25% of actual offline-generated eligible net revenue</x:v>
      </x:c>
      <x:c r="E5" s="47" t="n">
        <x:v>0.25</x:v>
      </x:c>
      <x:c r="F5" s="47" t="n">
        <x:f>((0.5*1*1)+(1.5*0.65*0.25)+(4*0.5*0.25)+(6*0.35*0.25))/12</x:f>
        <x:v>0.1473958333333333</x:v>
      </x:c>
      <x:c r="G5" s="22" t="str">
        <x:v>Flow</x:v>
      </x:c>
      <x:c r="H5" s="22" t="str">
        <x:v>Continuity without passive competition</x:v>
      </x:c>
      <x:c r="I5" s="22" t="str">
        <x:v>No</x:v>
      </x:c>
      <x:c r="J5" s="22" t="str">
        <x:v>Yes</x:v>
      </x:c>
      <x:c r="K5" s="22" t="str">
        <x:v>cash ledger presence_state</x:v>
      </x:c>
      <x:c r="L5" s="22" t="str">
        <x:v>High</x:v>
      </x:c>
      <x:c r="M5" s="22" t="str">
        <x:v>Offline ledger tagged; score filter multiplies 25%</x:v>
      </x:c>
      <x:c r="N5" s="22" t="str">
        <x:v>Yes</x:v>
      </x:c>
      <x:c r="O5" s="22" t="str">
        <x:v>Indirect</x:v>
      </x:c>
      <x:c r="P5" s="34" t="str"/>
    </x:row>
    <x:row r="6">
      <x:c r="A6" s="33" t="str">
        <x:v>Active Customers</x:v>
      </x:c>
      <x:c r="B6" s="47" t="n">
        <x:v>0.15</x:v>
      </x:c>
      <x:c r="C6" s="22" t="str">
        <x:v>End/weekly snapshot as existing</x:v>
      </x:c>
      <x:c r="D6" s="22" t="str">
        <x:v>Snapshot counts normally</x:v>
      </x:c>
      <x:c r="E6" s="47" t="n">
        <x:v>1</x:v>
      </x:c>
      <x:c r="F6" s="47" t="n">
        <x:v>1</x:v>
      </x:c>
      <x:c r="G6" s="22" t="str">
        <x:v>Snapshot</x:v>
      </x:c>
      <x:c r="H6" s="22" t="str">
        <x:v>Empire health should persist</x:v>
      </x:c>
      <x:c r="I6" s="22" t="str">
        <x:v>Yes</x:v>
      </x:c>
      <x:c r="J6" s="22" t="str">
        <x:v>Yes</x:v>
      </x:c>
      <x:c r="K6" s="22" t="str">
        <x:v>customer snapshot</x:v>
      </x:c>
      <x:c r="L6" s="22" t="str">
        <x:v>Medium</x:v>
      </x:c>
      <x:c r="M6" s="22" t="str">
        <x:v>Cannot qualify without active days</x:v>
      </x:c>
      <x:c r="N6" s="22" t="str">
        <x:v>Yes</x:v>
      </x:c>
      <x:c r="O6" s="22" t="str">
        <x:v>Indirect</x:v>
      </x:c>
      <x:c r="P6" s="34" t="str"/>
    </x:row>
    <x:row r="7">
      <x:c r="A7" s="33" t="str">
        <x:v>Customer Growth</x:v>
      </x:c>
      <x:c r="B7" s="47" t="n">
        <x:v>0.1</x:v>
      </x:c>
      <x:c r="C7" s="22" t="str">
        <x:v>100% active new-customer delta</x:v>
      </x:c>
      <x:c r="D7" s="22" t="str">
        <x:v>Grace disconnect 100%; later offline/AFK 25% of offline new-customer delta</x:v>
      </x:c>
      <x:c r="E7" s="47" t="n">
        <x:v>0.25</x:v>
      </x:c>
      <x:c r="F7" s="47" t="n">
        <x:f>((0.5*1*1)+(1.5*0.4*0.25)+(4*0.3*0.25)+(6*0.2*0.25))/12</x:f>
        <x:v>0.10416666666666667</x:v>
      </x:c>
      <x:c r="G7" s="22" t="str">
        <x:v>Flow</x:v>
      </x:c>
      <x:c r="H7" s="22" t="str">
        <x:v>Stops passive growth farming</x:v>
      </x:c>
      <x:c r="I7" s="22" t="str">
        <x:v>No</x:v>
      </x:c>
      <x:c r="J7" s="22" t="str">
        <x:v>Yes</x:v>
      </x:c>
      <x:c r="K7" s="22" t="str">
        <x:v>customer delta ledger</x:v>
      </x:c>
      <x:c r="L7" s="22" t="str">
        <x:v>High</x:v>
      </x:c>
      <x:c r="M7" s="22" t="str">
        <x:v>presence_state tagged per delta</x:v>
      </x:c>
      <x:c r="N7" s="22" t="str">
        <x:v>Yes</x:v>
      </x:c>
      <x:c r="O7" s="22" t="str">
        <x:v>Indirect</x:v>
      </x:c>
      <x:c r="P7" s="34" t="str"/>
    </x:row>
    <x:row r="8">
      <x:c r="A8" s="33" t="str">
        <x:v>Utilization</x:v>
      </x:c>
      <x:c r="B8" s="47" t="n">
        <x:v>0.1</x:v>
      </x:c>
      <x:c r="C8" s="22" t="str">
        <x:v>Existing quality curve</x:v>
      </x:c>
      <x:c r="D8" s="22" t="str">
        <x:v>Current snapshot counts normally</x:v>
      </x:c>
      <x:c r="E8" s="47" t="n">
        <x:v>1</x:v>
      </x:c>
      <x:c r="F8" s="47" t="n">
        <x:v>1</x:v>
      </x:c>
      <x:c r="G8" s="22" t="str">
        <x:v>Snapshot</x:v>
      </x:c>
      <x:c r="H8" s="22" t="str">
        <x:v>Capacity discipline persists</x:v>
      </x:c>
      <x:c r="I8" s="22" t="str">
        <x:v>Yes</x:v>
      </x:c>
      <x:c r="J8" s="22" t="str">
        <x:v>Yes</x:v>
      </x:c>
      <x:c r="K8" s="22" t="str">
        <x:v>customer/economy snapshot</x:v>
      </x:c>
      <x:c r="L8" s="22" t="str">
        <x:v>Medium</x:v>
      </x:c>
      <x:c r="M8" s="22" t="str">
        <x:v>Overload/churn still processes offline</x:v>
      </x:c>
      <x:c r="N8" s="22" t="str">
        <x:v>Yes</x:v>
      </x:c>
      <x:c r="O8" s="22" t="str">
        <x:v>Indirect</x:v>
      </x:c>
      <x:c r="P8" s="34" t="str"/>
    </x:row>
    <x:row r="9">
      <x:c r="A9" s="33" t="str">
        <x:v>Reputation</x:v>
      </x:c>
      <x:c r="B9" s="47" t="n">
        <x:v>0.05</x:v>
      </x:c>
      <x:c r="C9" s="22" t="str">
        <x:v>Current Rep / existing score rule</x:v>
      </x:c>
      <x:c r="D9" s="22" t="str">
        <x:v>Current Rep counts, but offline positive Rep gain = 0</x:v>
      </x:c>
      <x:c r="E9" s="47" t="n">
        <x:v>1</x:v>
      </x:c>
      <x:c r="F9" s="47" t="n">
        <x:v>1</x:v>
      </x:c>
      <x:c r="G9" s="22" t="str">
        <x:v>Snapshot</x:v>
      </x:c>
      <x:c r="H9" s="22" t="str">
        <x:v>Existing reputation should not vanish while away</x:v>
      </x:c>
      <x:c r="I9" s="22" t="str">
        <x:v>Yes</x:v>
      </x:c>
      <x:c r="J9" s="22" t="str">
        <x:v>Yes</x:v>
      </x:c>
      <x:c r="K9" s="22" t="str">
        <x:v>rep ledger/snapshot</x:v>
      </x:c>
      <x:c r="L9" s="22" t="str">
        <x:v>Low</x:v>
      </x:c>
      <x:c r="M9" s="22" t="str">
        <x:v>No positive passive Rep events</x:v>
      </x:c>
      <x:c r="N9" s="22" t="str">
        <x:v>Yes</x:v>
      </x:c>
      <x:c r="O9" s="22" t="str">
        <x:v>Indirect</x:v>
      </x:c>
      <x:c r="P9" s="34" t="str"/>
    </x:row>
    <x:row r="10">
      <x:c r="A10" s="33" t="str">
        <x:v>Risk Management</x:v>
      </x:c>
      <x:c r="B10" s="47" t="n">
        <x:v>0.05</x:v>
      </x:c>
      <x:c r="C10" s="22" t="str">
        <x:v>Existing weekly median / risk curve</x:v>
      </x:c>
      <x:c r="D10" s="22" t="str">
        <x:v>Offline risk snapshots count normally</x:v>
      </x:c>
      <x:c r="E10" s="47" t="n">
        <x:v>1</x:v>
      </x:c>
      <x:c r="F10" s="47" t="n">
        <x:v>1</x:v>
      </x:c>
      <x:c r="G10" s="22" t="str">
        <x:v>Snapshot/window</x:v>
      </x:c>
      <x:c r="H10" s="22" t="str">
        <x:v>Risk cannot be dodged by logging out</x:v>
      </x:c>
      <x:c r="I10" s="22" t="str">
        <x:v>Yes</x:v>
      </x:c>
      <x:c r="J10" s="22" t="str">
        <x:v>Yes</x:v>
      </x:c>
      <x:c r="K10" s="22" t="str">
        <x:v>risk history</x:v>
      </x:c>
      <x:c r="L10" s="22" t="str">
        <x:v>High</x:v>
      </x:c>
      <x:c r="M10" s="22" t="str">
        <x:v>Global events/risk continue; no pause exploit</x:v>
      </x:c>
      <x:c r="N10" s="22" t="str">
        <x:v>Yes — use current Risk spec</x:v>
      </x:c>
      <x:c r="O10" s="22" t="str">
        <x:v>Indirect</x:v>
      </x:c>
      <x:c r="P10" s="34" t="str"/>
    </x:row>
    <x:row r="11">
      <x:c r="A11" s="35" t="str">
        <x:v>Market Hunts</x:v>
      </x:c>
      <x:c r="B11" s="48" t="n">
        <x:v>0.05</x:v>
      </x:c>
      <x:c r="C11" s="36" t="str">
        <x:v>Normal Hunt Points</x:v>
      </x:c>
      <x:c r="D11" s="36" t="str">
        <x:v>No Hunt progress/completion offline</x:v>
      </x:c>
      <x:c r="E11" s="48" t="n">
        <x:v>0</x:v>
      </x:c>
      <x:c r="F11" s="48" t="n">
        <x:v>0</x:v>
      </x:c>
      <x:c r="G11" s="36" t="str">
        <x:v>Flow</x:v>
      </x:c>
      <x:c r="H11" s="36" t="str">
        <x:v>Requires play</x:v>
      </x:c>
      <x:c r="I11" s="36" t="str">
        <x:v>No</x:v>
      </x:c>
      <x:c r="J11" s="36" t="str">
        <x:v>Yes</x:v>
      </x:c>
      <x:c r="K11" s="36" t="str">
        <x:v>hunt completion ledger</x:v>
      </x:c>
      <x:c r="L11" s="36" t="str">
        <x:v>Critical</x:v>
      </x:c>
      <x:c r="M11" s="36" t="str">
        <x:v>No heartbeat/idle progress</x:v>
      </x:c>
      <x:c r="N11" s="36" t="str">
        <x:v>Yes</x:v>
      </x:c>
      <x:c r="O11" s="36" t="str">
        <x:v>Indirect</x:v>
      </x:c>
      <x:c r="P11" s="37" t="str"/>
    </x:row>
    <x:row r="13" ht="22" customHeight="1">
      <x:c r="A13" s="11" t="str">
        <x:v>Passive Competitive Ceiling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4" t="str">
        <x:v>Metric</x:v>
      </x:c>
      <x:c r="B14" s="14" t="str">
        <x:v>Formula</x:v>
      </x:c>
      <x:c r="C14" s="14" t="str">
        <x:v>Result</x:v>
      </x:c>
      <x:c r="D14" s="14" t="str">
        <x:v>Interpretation</x:v>
      </x:c>
      <x:c r="E14" s="14" t="str">
        <x:v>Eligibility Impact</x:v>
      </x:c>
      <x:c r="F14" s="14" t="str">
        <x:v>League Impact</x:v>
      </x:c>
      <x:c r="G14" s="14" t="str">
        <x:v>Notes</x:v>
      </x:c>
    </x:row>
    <x:row r="15">
      <x:c r="A15" t="str">
        <x:v>Theoretical offline-weight share at perfect snapshots</x:v>
      </x:c>
      <x:c r="B15" t="str">
        <x:v>Activity 0 + Revenue×offline effective + Customers + Growth×offline effective + Utilization + Rep + Risk + Hunts 0</x:v>
      </x:c>
      <x:c r="C15" s="72" t="n">
        <x:f>0.30*0 + 0.20*F5 + 0.15*1 + 0.10*F7 + 0.10*1 + 0.05*1 + 0.05*1 + 0.05*0</x:f>
        <x:v>0.38989583333333333</x:v>
      </x:c>
      <x:c r="D15" t="str">
        <x:v>Even a very healthy empire receives limited flow-component credit while idle; active play is required to compete for high scores.</x:v>
      </x:c>
      <x:c r="E15" t="str">
        <x:v>Existing active-day minimum remains mandatory</x:v>
      </x:c>
      <x:c r="F15" t="str">
        <x:v>Idle players should cluster near low score bands rather than top league performance</x:v>
      </x:c>
      <x:c r="G15" t="str">
        <x:v>This is a weight-share diagnostic, not an exact score forecast</x:v>
      </x:c>
    </x:row>
    <x:row r="17" ht="22" customHeight="1">
      <x:c r="A17" s="11" t="str">
        <x:v>Weekly Active Day Definition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</x:row>
    <x:row r="18">
      <x:c r="A18" s="14" t="str">
        <x:v>Rule</x:v>
      </x:c>
      <x:c r="B18" s="14" t="str">
        <x:v>Specification</x:v>
      </x:c>
    </x:row>
    <x:row r="19">
      <x:c r="A19" s="30" t="str">
        <x:v>Eligible active day</x:v>
      </x:c>
      <x:c r="B19" s="32" t="str">
        <x:v>At least 10 cumulative engaged minutes AND at least one meaningful state-changing gameplay action during the UTC day.</x:v>
      </x:c>
    </x:row>
    <x:row r="20">
      <x:c r="A20" s="33" t="str">
        <x:v>State-changing action examples</x:v>
      </x:c>
      <x:c r="B20" s="34" t="str">
        <x:v>Build/upgrade/move, Module equip/craft, Event decision, valid Hunt progress/completion, operational action that changes game state.</x:v>
      </x:c>
    </x:row>
    <x:row r="21">
      <x:c r="A21" s="33" t="str">
        <x:v>Does not qualify</x:v>
      </x:c>
      <x:c r="B21" s="34" t="str">
        <x:v>Opening the app, leaving it foregrounded, navigation, panning, heartbeat or passive claim-status checks alone.</x:v>
      </x:c>
    </x:row>
    <x:row r="22">
      <x:c r="A22" s="33" t="str">
        <x:v>Existing league requirement</x:v>
      </x:c>
      <x:c r="B22" s="34" t="str">
        <x:v>Bronze–Gold require at least 3 eligible active days; Platinum+ require at least 4, unless the competitive spec is later changed.</x:v>
      </x:c>
    </x:row>
    <x:row r="23">
      <x:c r="A23" s="35" t="str">
        <x:v>Reason</x:v>
      </x:c>
      <x:c r="B23" s="37" t="str">
        <x:v>Prevents login-touch farming without requiring hours of screen-on play.</x:v>
      </x:c>
    </x:row>
  </x:sheetData>
  <x:mergeCells>
    <x:mergeCell ref="A1:P1"/>
    <x:mergeCell ref="A13:P13"/>
    <x:mergeCell ref="A17:P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Engagement, AFK Detection &amp; Presence Rules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Signal / Rule</x:v>
      </x:c>
      <x:c r="B3" s="14" t="str">
        <x:v>Counts as Engaged?</x:v>
      </x:c>
      <x:c r="C3" s="14" t="str">
        <x:v>Resets AFK Timer?</x:v>
      </x:c>
      <x:c r="D3" s="14" t="str">
        <x:v>Counts Toward Active Minutes?</x:v>
      </x:c>
      <x:c r="E3" s="14" t="str">
        <x:v>Can Generate Activity Score?</x:v>
      </x:c>
      <x:c r="F3" s="14" t="str">
        <x:v>Can Generate Hunt Progress?</x:v>
      </x:c>
      <x:c r="G3" s="14" t="str">
        <x:v>Can Qualify Active Day?</x:v>
      </x:c>
      <x:c r="H3" s="14" t="str">
        <x:v>Server Evidence</x:v>
      </x:c>
      <x:c r="I3" s="14" t="str">
        <x:v>Client Trust</x:v>
      </x:c>
      <x:c r="J3" s="14" t="str">
        <x:v>Rate / Threshold</x:v>
      </x:c>
      <x:c r="K3" s="14" t="str">
        <x:v>False-Positive Risk</x:v>
      </x:c>
      <x:c r="L3" s="14" t="str">
        <x:v>Exploit Risk</x:v>
      </x:c>
      <x:c r="M3" s="14" t="str">
        <x:v>Fallback</x:v>
      </x:c>
      <x:c r="N3" s="14" t="str">
        <x:v>Notes</x:v>
      </x:c>
    </x:row>
    <x:row r="4">
      <x:c r="A4" s="30" t="str">
        <x:v>Place/upgrade/move building</x:v>
      </x:c>
      <x:c r="B4" s="31" t="str">
        <x:v>Yes</x:v>
      </x:c>
      <x:c r="C4" s="31" t="str">
        <x:v>Yes</x:v>
      </x:c>
      <x:c r="D4" s="31" t="str">
        <x:v>Yes</x:v>
      </x:c>
      <x:c r="E4" s="31" t="str">
        <x:v>Yes if qualifying economic action</x:v>
      </x:c>
      <x:c r="F4" s="31" t="str">
        <x:v>If Hunt target says so</x:v>
      </x:c>
      <x:c r="G4" s="31" t="str">
        <x:v>Yes</x:v>
      </x:c>
      <x:c r="H4" s="31" t="str">
        <x:v>mutation ledger</x:v>
      </x:c>
      <x:c r="I4" s="31" t="str">
        <x:v>Server-authoritative</x:v>
      </x:c>
      <x:c r="J4" s="31" t="str">
        <x:v>Normal rate</x:v>
      </x:c>
      <x:c r="K4" s="31" t="str">
        <x:v>Low</x:v>
      </x:c>
      <x:c r="L4" s="31" t="str">
        <x:v>Low</x:v>
      </x:c>
      <x:c r="M4" s="31" t="str">
        <x:v>N/A</x:v>
      </x:c>
      <x:c r="N4" s="32" t="str"/>
    </x:row>
    <x:row r="5">
      <x:c r="A5" s="33" t="str">
        <x:v>Equip/craft/dismantle Module</x:v>
      </x:c>
      <x:c r="B5" s="22" t="str">
        <x:v>Yes</x:v>
      </x:c>
      <x:c r="C5" s="22" t="str">
        <x:v>Yes</x:v>
      </x:c>
      <x:c r="D5" s="22" t="str">
        <x:v>Yes</x:v>
      </x:c>
      <x:c r="E5" s="22" t="str">
        <x:v>No by itself unless Hunt target</x:v>
      </x:c>
      <x:c r="F5" s="22" t="str">
        <x:v>If Hunt target says so</x:v>
      </x:c>
      <x:c r="G5" s="22" t="str">
        <x:v>Yes with active minutes</x:v>
      </x:c>
      <x:c r="H5" s="22" t="str">
        <x:v>module ledger</x:v>
      </x:c>
      <x:c r="I5" s="22" t="str">
        <x:v>Server-authoritative</x:v>
      </x:c>
      <x:c r="J5" s="22" t="str">
        <x:v>Normal rate</x:v>
      </x:c>
      <x:c r="K5" s="22" t="str">
        <x:v>Low</x:v>
      </x:c>
      <x:c r="L5" s="22" t="str">
        <x:v>Medium</x:v>
      </x:c>
      <x:c r="M5" s="22" t="str">
        <x:v>Rate limit</x:v>
      </x:c>
      <x:c r="N5" s="34" t="str"/>
    </x:row>
    <x:row r="6">
      <x:c r="A6" s="33" t="str">
        <x:v>Event decision</x:v>
      </x:c>
      <x:c r="B6" s="22" t="str">
        <x:v>Yes</x:v>
      </x:c>
      <x:c r="C6" s="22" t="str">
        <x:v>Yes</x:v>
      </x:c>
      <x:c r="D6" s="22" t="str">
        <x:v>Yes</x:v>
      </x:c>
      <x:c r="E6" s="22" t="str">
        <x:v>Underlying metrics later</x:v>
      </x:c>
      <x:c r="F6" s="22" t="str">
        <x:v>If Hunt target says so</x:v>
      </x:c>
      <x:c r="G6" s="22" t="str">
        <x:v>Yes</x:v>
      </x:c>
      <x:c r="H6" s="22" t="str">
        <x:v>event resolution</x:v>
      </x:c>
      <x:c r="I6" s="22" t="str">
        <x:v>Server-authoritative</x:v>
      </x:c>
      <x:c r="J6" s="22" t="str">
        <x:v>Event limited</x:v>
      </x:c>
      <x:c r="K6" s="22" t="str">
        <x:v>Low</x:v>
      </x:c>
      <x:c r="L6" s="22" t="str">
        <x:v>Low</x:v>
      </x:c>
      <x:c r="M6" s="22" t="str">
        <x:v>N/A</x:v>
      </x:c>
      <x:c r="N6" s="34" t="str"/>
    </x:row>
    <x:row r="7">
      <x:c r="A7" s="33" t="str">
        <x:v>Valid Hunt action</x:v>
      </x:c>
      <x:c r="B7" s="22" t="str">
        <x:v>Yes</x:v>
      </x:c>
      <x:c r="C7" s="22" t="str">
        <x:v>Yes</x:v>
      </x:c>
      <x:c r="D7" s="22" t="str">
        <x:v>Yes</x:v>
      </x:c>
      <x:c r="E7" s="22" t="str">
        <x:v>Underlying action may count</x:v>
      </x:c>
      <x:c r="F7" s="22" t="str">
        <x:v>Yes</x:v>
      </x:c>
      <x:c r="G7" s="22" t="str">
        <x:v>Yes</x:v>
      </x:c>
      <x:c r="H7" s="22" t="str">
        <x:v>hunt/activity ledger</x:v>
      </x:c>
      <x:c r="I7" s="22" t="str">
        <x:v>Server-authoritative</x:v>
      </x:c>
      <x:c r="J7" s="22" t="str">
        <x:v>Template rules</x:v>
      </x:c>
      <x:c r="K7" s="22" t="str">
        <x:v>Low</x:v>
      </x:c>
      <x:c r="L7" s="22" t="str">
        <x:v>High</x:v>
      </x:c>
      <x:c r="M7" s="22" t="str">
        <x:v>Bot detection</x:v>
      </x:c>
      <x:c r="N7" s="34" t="str"/>
    </x:row>
    <x:row r="8">
      <x:c r="A8" s="33" t="str">
        <x:v>Open screen / navigate</x:v>
      </x:c>
      <x:c r="B8" s="22" t="str">
        <x:v>No</x:v>
      </x:c>
      <x:c r="C8" s="22" t="str">
        <x:v>No</x:v>
      </x:c>
      <x:c r="D8" s="22" t="str">
        <x:v>No</x:v>
      </x:c>
      <x:c r="E8" s="22" t="str">
        <x:v>No</x:v>
      </x:c>
      <x:c r="F8" s="22" t="str">
        <x:v>No</x:v>
      </x:c>
      <x:c r="G8" s="22" t="str">
        <x:v>No</x:v>
      </x:c>
      <x:c r="H8" s="22" t="str">
        <x:v>route analytics only</x:v>
      </x:c>
      <x:c r="I8" s="22" t="str">
        <x:v>Untrusted</x:v>
      </x:c>
      <x:c r="J8" s="22" t="str">
        <x:v>N/A</x:v>
      </x:c>
      <x:c r="K8" s="22" t="str">
        <x:v>Low</x:v>
      </x:c>
      <x:c r="L8" s="22" t="str">
        <x:v>Low</x:v>
      </x:c>
      <x:c r="M8" s="22" t="str">
        <x:v>N/A</x:v>
      </x:c>
      <x:c r="N8" s="34" t="str"/>
    </x:row>
    <x:row r="9">
      <x:c r="A9" s="33" t="str">
        <x:v>Plot pan / zoom</x:v>
      </x:c>
      <x:c r="B9" s="22" t="str">
        <x:v>No</x:v>
      </x:c>
      <x:c r="C9" s="22" t="str">
        <x:v>No</x:v>
      </x:c>
      <x:c r="D9" s="22" t="str">
        <x:v>No</x:v>
      </x:c>
      <x:c r="E9" s="22" t="str">
        <x:v>No</x:v>
      </x:c>
      <x:c r="F9" s="22" t="str">
        <x:v>No</x:v>
      </x:c>
      <x:c r="G9" s="22" t="str">
        <x:v>No</x:v>
      </x:c>
      <x:c r="H9" s="22" t="str">
        <x:v>Client only</x:v>
      </x:c>
      <x:c r="I9" s="22" t="str">
        <x:v>Untrusted</x:v>
      </x:c>
      <x:c r="J9" s="22" t="str">
        <x:v>N/A</x:v>
      </x:c>
      <x:c r="K9" s="22" t="str">
        <x:v>Low</x:v>
      </x:c>
      <x:c r="L9" s="22" t="str">
        <x:v>Low</x:v>
      </x:c>
      <x:c r="M9" s="22" t="str">
        <x:v>Ignore</x:v>
      </x:c>
      <x:c r="N9" s="34" t="str"/>
    </x:row>
    <x:row r="10">
      <x:c r="A10" s="33" t="str">
        <x:v>Websocket / heartbeat</x:v>
      </x:c>
      <x:c r="B10" s="22" t="str">
        <x:v>No</x:v>
      </x:c>
      <x:c r="C10" s="22" t="str">
        <x:v>No</x:v>
      </x:c>
      <x:c r="D10" s="22" t="str">
        <x:v>No</x:v>
      </x:c>
      <x:c r="E10" s="22" t="str">
        <x:v>No</x:v>
      </x:c>
      <x:c r="F10" s="22" t="str">
        <x:v>No</x:v>
      </x:c>
      <x:c r="G10" s="22" t="str">
        <x:v>No</x:v>
      </x:c>
      <x:c r="H10" s="22" t="str">
        <x:v>Session heartbeat</x:v>
      </x:c>
      <x:c r="I10" s="22" t="str">
        <x:v>Transport only</x:v>
      </x:c>
      <x:c r="J10" s="22" t="str">
        <x:v>N/A</x:v>
      </x:c>
      <x:c r="K10" s="22" t="str">
        <x:v>Low</x:v>
      </x:c>
      <x:c r="L10" s="22" t="str">
        <x:v>Critical</x:v>
      </x:c>
      <x:c r="M10" s="22" t="str">
        <x:v>Ignore for engagement</x:v>
      </x:c>
      <x:c r="N10" s="34" t="str"/>
    </x:row>
    <x:row r="11">
      <x:c r="A11" s="33" t="str">
        <x:v>Foreground app with no action</x:v>
      </x:c>
      <x:c r="B11" s="22" t="str">
        <x:v>No after timeout</x:v>
      </x:c>
      <x:c r="C11" s="22" t="str">
        <x:v>No</x:v>
      </x:c>
      <x:c r="D11" s="22" t="str">
        <x:v>Only until last validated action window expires</x:v>
      </x:c>
      <x:c r="E11" s="22" t="str">
        <x:v>No after timeout</x:v>
      </x:c>
      <x:c r="F11" s="22" t="str">
        <x:v>No after timeout</x:v>
      </x:c>
      <x:c r="G11" s="22" t="str">
        <x:v>No alone</x:v>
      </x:c>
      <x:c r="H11" s="22" t="str">
        <x:v>session + action time</x:v>
      </x:c>
      <x:c r="I11" s="22" t="str">
        <x:v>Mixed</x:v>
      </x:c>
      <x:c r="J11" s="22" t="str">
        <x:v>20 min AFK timeout</x:v>
      </x:c>
      <x:c r="K11" s="22" t="str">
        <x:v>Medium</x:v>
      </x:c>
      <x:c r="L11" s="22" t="str">
        <x:v>High</x:v>
      </x:c>
      <x:c r="M11" s="22" t="str">
        <x:v>Treat as AFK</x:v>
      </x:c>
      <x:c r="N11" s="34" t="str"/>
    </x:row>
    <x:row r="12">
      <x:c r="A12" s="35" t="str">
        <x:v>Claim finalized reward</x:v>
      </x:c>
      <x:c r="B12" s="36" t="str">
        <x:v>Yes for session</x:v>
      </x:c>
      <x:c r="C12" s="36" t="str">
        <x:v>Yes</x:v>
      </x:c>
      <x:c r="D12" s="36" t="str">
        <x:v>Yes</x:v>
      </x:c>
      <x:c r="E12" s="36" t="str">
        <x:v>No</x:v>
      </x:c>
      <x:c r="F12" s="36" t="str">
        <x:v>No</x:v>
      </x:c>
      <x:c r="G12" s="36" t="str">
        <x:v>Not alone</x:v>
      </x:c>
      <x:c r="H12" s="36" t="str">
        <x:v>reward ledger</x:v>
      </x:c>
      <x:c r="I12" s="36" t="str">
        <x:v>Server-authoritative</x:v>
      </x:c>
      <x:c r="J12" s="36" t="str">
        <x:v>Claim-limited</x:v>
      </x:c>
      <x:c r="K12" s="36" t="str">
        <x:v>Low</x:v>
      </x:c>
      <x:c r="L12" s="36" t="str">
        <x:v>Low</x:v>
      </x:c>
      <x:c r="M12" s="36" t="str">
        <x:v>N/A</x:v>
      </x:c>
      <x:c r="N12" s="37" t="str">
        <x:v>Claiming alone should not qualify an active day</x:v>
      </x:c>
    </x:row>
    <x:row r="14" ht="22" customHeight="1">
      <x:c r="A14" s="11" t="str">
        <x:v>AFK Transition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>
      <x:c r="A15" s="14" t="str">
        <x:v>Step</x:v>
      </x:c>
      <x:c r="B15" s="14" t="str">
        <x:v>Rule</x:v>
      </x:c>
    </x:row>
    <x:row r="16">
      <x:c r="A16" s="30" t="n">
        <x:v>1</x:v>
      </x:c>
      <x:c r="B16" s="32" t="str">
        <x:v>A validated meaningful action sets last_meaningful_action_at.</x:v>
      </x:c>
    </x:row>
    <x:row r="17">
      <x:c r="A17" s="33" t="n">
        <x:v>2</x:v>
      </x:c>
      <x:c r="B17" s="34" t="str">
        <x:v>While now - last_meaningful_action_at &lt;= 20 minutes, the player is Engaged for economy/score treatment.</x:v>
      </x:c>
    </x:row>
    <x:row r="18">
      <x:c r="A18" s="33" t="n">
        <x:v>3</x:v>
      </x:c>
      <x:c r="B18" s="34" t="str">
        <x:v>At &gt;20 minutes without a meaningful action, connected users transition to AFK Online.</x:v>
      </x:c>
    </x:row>
    <x:row r="19">
      <x:c r="A19" s="33" t="n">
        <x:v>4</x:v>
      </x:c>
      <x:c r="B19" s="34" t="str">
        <x:v>AFK Online uses the same reduced economy band as if away for the elapsed AFK duration; it never generates Activity/Hunt progress.</x:v>
      </x:c>
    </x:row>
    <x:row r="20">
      <x:c r="A20" s="35" t="n">
        <x:v>5</x:v>
      </x:c>
      <x:c r="B20" s="37" t="str">
        <x:v>A new valid meaningful action immediately returns the player to Engaged; no retroactive score credit is granted for AFK time.</x:v>
      </x:c>
    </x:row>
  </x:sheetData>
  <x:mergeCells>
    <x:mergeCell ref="A1:N1"/>
    <x:mergeCell ref="A14:N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Events, Risk &amp; Reputation While Offline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System</x:v>
      </x:c>
      <x:c r="B3" s="14" t="str">
        <x:v>Offline Behavior</x:v>
      </x:c>
      <x:c r="C3" s="14" t="str">
        <x:v>Grace</x:v>
      </x:c>
      <x:c r="D3" s="14" t="str">
        <x:v>0.5–2h</x:v>
      </x:c>
      <x:c r="E3" s="14" t="str">
        <x:v>2–6h</x:v>
      </x:c>
      <x:c r="F3" s="14" t="str">
        <x:v>6–12h</x:v>
      </x:c>
      <x:c r="G3" s="14" t="str">
        <x:v>12h+</x:v>
      </x:c>
      <x:c r="H3" s="14" t="str">
        <x:v>Can Logging Out Avoid It?</x:v>
      </x:c>
      <x:c r="I3" s="14" t="str">
        <x:v>Positive Passive Gain?</x:v>
      </x:c>
      <x:c r="J3" s="14" t="str">
        <x:v>Negative Passive Impact?</x:v>
      </x:c>
      <x:c r="K3" s="14" t="str">
        <x:v>Cap / Safety Rule</x:v>
      </x:c>
      <x:c r="L3" s="14" t="str">
        <x:v>Return UX</x:v>
      </x:c>
      <x:c r="M3" s="14" t="str">
        <x:v>Performance Effect</x:v>
      </x:c>
      <x:c r="N3" s="14" t="str">
        <x:v>Server Source</x:v>
      </x:c>
      <x:c r="O3" s="14" t="str">
        <x:v>Priority</x:v>
      </x:c>
      <x:c r="P3" s="14" t="str">
        <x:v>Notes</x:v>
      </x:c>
    </x:row>
    <x:row r="4">
      <x:c r="A4" s="30" t="str">
        <x:v>Global market event modifiers</x:v>
      </x:c>
      <x:c r="B4" s="31" t="str">
        <x:v>Continue fully against whatever economy/customer simulation is occurring</x:v>
      </x:c>
      <x:c r="C4" s="31" t="str">
        <x:v>Full</x:v>
      </x:c>
      <x:c r="D4" s="31" t="str">
        <x:v>Full</x:v>
      </x:c>
      <x:c r="E4" s="31" t="str">
        <x:v>Full</x:v>
      </x:c>
      <x:c r="F4" s="31" t="str">
        <x:v>Full</x:v>
      </x:c>
      <x:c r="G4" s="31" t="str">
        <x:v>Persistent state reconciled</x:v>
      </x:c>
      <x:c r="H4" s="31" t="str">
        <x:v>No</x:v>
      </x:c>
      <x:c r="I4" s="31" t="str">
        <x:v>N/A</x:v>
      </x:c>
      <x:c r="J4" s="31" t="str">
        <x:v>Yes through reduced operation</x:v>
      </x:c>
      <x:c r="K4" s="31" t="str">
        <x:v>Cannot nullify event by absence</x:v>
      </x:c>
      <x:c r="L4" s="31" t="str">
        <x:v>Offline summary + active event card</x:v>
      </x:c>
      <x:c r="M4" s="31" t="str">
        <x:v>Underlying metrics only</x:v>
      </x:c>
      <x:c r="N4" s="31" t="str">
        <x:v>event timeline</x:v>
      </x:c>
      <x:c r="O4" s="31" t="str">
        <x:v>P0</x:v>
      </x:c>
      <x:c r="P4" s="32" t="str"/>
    </x:row>
    <x:row r="5">
      <x:c r="A5" s="33" t="str">
        <x:v>Fixed global event cost / obligation</x:v>
      </x:c>
      <x:c r="B5" s="22" t="str">
        <x:v>Applied at full configured amount when due</x:v>
      </x:c>
      <x:c r="C5" s="22" t="str">
        <x:v>Full</x:v>
      </x:c>
      <x:c r="D5" s="22" t="str">
        <x:v>Full</x:v>
      </x:c>
      <x:c r="E5" s="22" t="str">
        <x:v>Full</x:v>
      </x:c>
      <x:c r="F5" s="22" t="str">
        <x:v>Full</x:v>
      </x:c>
      <x:c r="G5" s="22" t="str">
        <x:v>If due before cap, still posts</x:v>
      </x:c>
      <x:c r="H5" s="22" t="str">
        <x:v>No</x:v>
      </x:c>
      <x:c r="I5" s="22" t="str">
        <x:v>N/A</x:v>
      </x:c>
      <x:c r="J5" s="22" t="str">
        <x:v>Yes</x:v>
      </x:c>
      <x:c r="K5" s="22" t="str">
        <x:v>Per-event max loss / protected balance floor if configured</x:v>
      </x:c>
      <x:c r="L5" s="22" t="str">
        <x:v>Offline summary</x:v>
      </x:c>
      <x:c r="M5" s="22" t="str">
        <x:v>No direct event score</x:v>
      </x:c>
      <x:c r="N5" s="22" t="str">
        <x:v>event ledger/cash ledger</x:v>
      </x:c>
      <x:c r="O5" s="22" t="str">
        <x:v>P1</x:v>
      </x:c>
      <x:c r="P5" s="34" t="str">
        <x:v>Offline efficiency never discounts fixed fees</x:v>
      </x:c>
    </x:row>
    <x:row r="6">
      <x:c r="A6" s="33" t="str">
        <x:v>Personal decision event</x:v>
      </x:c>
      <x:c r="B6" s="22" t="str">
        <x:v>Queue/pause</x:v>
      </x:c>
      <x:c r="C6" s="22" t="str">
        <x:v>Queued</x:v>
      </x:c>
      <x:c r="D6" s="22" t="str">
        <x:v>Queued</x:v>
      </x:c>
      <x:c r="E6" s="22" t="str">
        <x:v>Queued</x:v>
      </x:c>
      <x:c r="F6" s="22" t="str">
        <x:v>Queued</x:v>
      </x:c>
      <x:c r="G6" s="22" t="str">
        <x:v>Remains queued or safe-expiry rule</x:v>
      </x:c>
      <x:c r="H6" s="22" t="str">
        <x:v>N/A</x:v>
      </x:c>
      <x:c r="I6" s="22" t="str">
        <x:v>No</x:v>
      </x:c>
      <x:c r="J6" s="22" t="str">
        <x:v>No punitive auto-choice</x:v>
      </x:c>
      <x:c r="K6" s="22" t="str">
        <x:v>No auto-choice by default</x:v>
      </x:c>
      <x:c r="L6" s="22" t="str">
        <x:v>Return inbox prioritized</x:v>
      </x:c>
      <x:c r="M6" s="22" t="str">
        <x:v>No decision score until resolved</x:v>
      </x:c>
      <x:c r="N6" s="22" t="str">
        <x:v>player_event state</x:v>
      </x:c>
      <x:c r="O6" s="22" t="str">
        <x:v>P0</x:v>
      </x:c>
      <x:c r="P6" s="34" t="str"/>
    </x:row>
    <x:row r="7">
      <x:c r="A7" s="33" t="str">
        <x:v>Risk evaluation</x:v>
      </x:c>
      <x:c r="B7" s="22" t="str">
        <x:v>Continues at minimum 50% sensitivity; event-driven critical checks still run</x:v>
      </x:c>
      <x:c r="C7" s="22" t="str">
        <x:v>100%</x:v>
      </x:c>
      <x:c r="D7" s="22" t="str">
        <x:v>50%+</x:v>
      </x:c>
      <x:c r="E7" s="22" t="str">
        <x:v>50%+</x:v>
      </x:c>
      <x:c r="F7" s="22" t="str">
        <x:v>50%+</x:v>
      </x:c>
      <x:c r="G7" s="22" t="str">
        <x:v>Freeze recurring drift; reconcile persistent event state on return</x:v>
      </x:c>
      <x:c r="H7" s="22" t="str">
        <x:v>No</x:v>
      </x:c>
      <x:c r="I7" s="22" t="str">
        <x:v>No</x:v>
      </x:c>
      <x:c r="J7" s="22" t="str">
        <x:v>Yes</x:v>
      </x:c>
      <x:c r="K7" s="22" t="str">
        <x:v>Offline risk movement cap per category can be configured</x:v>
      </x:c>
      <x:c r="L7" s="22" t="str">
        <x:v>Risk summary</x:v>
      </x:c>
      <x:c r="M7" s="22" t="str">
        <x:v>Weekly median can reflect it</x:v>
      </x:c>
      <x:c r="N7" s="22" t="str">
        <x:v>risk evaluator</x:v>
      </x:c>
      <x:c r="O7" s="22" t="str">
        <x:v>P0</x:v>
      </x:c>
      <x:c r="P7" s="34" t="str"/>
    </x:row>
    <x:row r="8">
      <x:c r="A8" s="33" t="str">
        <x:v>Critical risk incident</x:v>
      </x:c>
      <x:c r="B8" s="22" t="str">
        <x:v>Can trigger if objective thresholds remain breached</x:v>
      </x:c>
      <x:c r="C8" s="22" t="str">
        <x:v>Yes</x:v>
      </x:c>
      <x:c r="D8" s="22" t="str">
        <x:v>Yes</x:v>
      </x:c>
      <x:c r="E8" s="22" t="str">
        <x:v>Yes</x:v>
      </x:c>
      <x:c r="F8" s="22" t="str">
        <x:v>Yes</x:v>
      </x:c>
      <x:c r="G8" s="22" t="str">
        <x:v>Incident state persists</x:v>
      </x:c>
      <x:c r="H8" s="22" t="str">
        <x:v>No</x:v>
      </x:c>
      <x:c r="I8" s="22" t="str">
        <x:v>No</x:v>
      </x:c>
      <x:c r="J8" s="22" t="str">
        <x:v>Yes</x:v>
      </x:c>
      <x:c r="K8" s="22" t="str">
        <x:v>No permanent destruction; mitigation waits for return</x:v>
      </x:c>
      <x:c r="L8" s="22" t="str">
        <x:v>Priority return alert</x:v>
      </x:c>
      <x:c r="M8" s="22" t="str">
        <x:v>Risk score impact</x:v>
      </x:c>
      <x:c r="N8" s="22" t="str">
        <x:v>incident log</x:v>
      </x:c>
      <x:c r="O8" s="22" t="str">
        <x:v>P0</x:v>
      </x:c>
      <x:c r="P8" s="34" t="str"/>
    </x:row>
    <x:row r="9">
      <x:c r="A9" s="33" t="str">
        <x:v>Reputation positive events</x:v>
      </x:c>
      <x:c r="B9" s="22" t="str">
        <x:v>Do not accrue passively</x:v>
      </x:c>
      <x:c r="C9" s="22" t="str">
        <x:v>0</x:v>
      </x:c>
      <x:c r="D9" s="22" t="str">
        <x:v>0</x:v>
      </x:c>
      <x:c r="E9" s="22" t="str">
        <x:v>0</x:v>
      </x:c>
      <x:c r="F9" s="22" t="str">
        <x:v>0</x:v>
      </x:c>
      <x:c r="G9" s="22" t="str">
        <x:v>0</x:v>
      </x:c>
      <x:c r="H9" s="22" t="str">
        <x:v>N/A</x:v>
      </x:c>
      <x:c r="I9" s="22" t="str">
        <x:v>No</x:v>
      </x:c>
      <x:c r="J9" s="22" t="str">
        <x:v>N/A</x:v>
      </x:c>
      <x:c r="K9" s="22" t="str">
        <x:v>N/A</x:v>
      </x:c>
      <x:c r="L9" s="22" t="str">
        <x:v>No positive summary</x:v>
      </x:c>
      <x:c r="M9" s="22" t="str">
        <x:v>Rep snapshot remains</x:v>
      </x:c>
      <x:c r="N9" s="22" t="str">
        <x:v>rep ledger</x:v>
      </x:c>
      <x:c r="O9" s="22" t="str">
        <x:v>P0</x:v>
      </x:c>
      <x:c r="P9" s="34" t="str"/>
    </x:row>
    <x:row r="10">
      <x:c r="A10" s="35" t="str">
        <x:v>Reputation negative events</x:v>
      </x:c>
      <x:c r="B10" s="36" t="str">
        <x:v>Only explicit validated incidents / severe service failures; normal absence alone never reduces Rep</x:v>
      </x:c>
      <x:c r="C10" s="36" t="str">
        <x:v>Possible if real incident</x:v>
      </x:c>
      <x:c r="D10" s="36" t="str">
        <x:v>Same</x:v>
      </x:c>
      <x:c r="E10" s="36" t="str">
        <x:v>Same</x:v>
      </x:c>
      <x:c r="F10" s="36" t="str">
        <x:v>Same</x:v>
      </x:c>
      <x:c r="G10" s="36" t="str">
        <x:v>No new recurring after freeze</x:v>
      </x:c>
      <x:c r="H10" s="36" t="str">
        <x:v>No</x:v>
      </x:c>
      <x:c r="I10" s="36" t="str">
        <x:v>No</x:v>
      </x:c>
      <x:c r="J10" s="36" t="str">
        <x:v>Yes but capped by existing daily loss cap</x:v>
      </x:c>
      <x:c r="K10" s="36" t="str">
        <x:v>Existing daily Rep loss cap</x:v>
      </x:c>
      <x:c r="L10" s="36" t="str">
        <x:v>Explain exact incident</x:v>
      </x:c>
      <x:c r="M10" s="36" t="str">
        <x:v>Rep score snapshot</x:v>
      </x:c>
      <x:c r="N10" s="36" t="str">
        <x:v>rep ledger</x:v>
      </x:c>
      <x:c r="O10" s="36" t="str">
        <x:v>P0</x:v>
      </x:c>
      <x:c r="P10" s="37" t="str"/>
    </x:row>
  </x:sheetData>
  <x:mergeCells>
    <x:mergeCell ref="A1:P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What Continues in Real Time While the Player Is Away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Timer / System</x:v>
      </x:c>
      <x:c r="B3" s="14" t="str">
        <x:v>Continues Offline?</x:v>
      </x:c>
      <x:c r="C3" s="14" t="str">
        <x:v>Rate</x:v>
      </x:c>
      <x:c r="D3" s="14" t="str">
        <x:v>Stops at Offline Cap?</x:v>
      </x:c>
      <x:c r="E3" s="14" t="str">
        <x:v>Can Complete Offline?</x:v>
      </x:c>
      <x:c r="F3" s="14" t="str">
        <x:v>Requires Return to Resolve?</x:v>
      </x:c>
      <x:c r="G3" s="14" t="str">
        <x:v>Performance Benefit While Offline?</x:v>
      </x:c>
      <x:c r="H3" s="14" t="str">
        <x:v>Cash Effect</x:v>
      </x:c>
      <x:c r="I3" s="14" t="str">
        <x:v>Customer Effect</x:v>
      </x:c>
      <x:c r="J3" s="14" t="str">
        <x:v>Risk Effect</x:v>
      </x:c>
      <x:c r="K3" s="14" t="str">
        <x:v>Exploit Concern</x:v>
      </x:c>
      <x:c r="L3" s="14" t="str">
        <x:v>Guardrail</x:v>
      </x:c>
      <x:c r="M3" s="14" t="str">
        <x:v>UI on Return</x:v>
      </x:c>
      <x:c r="N3" s="14" t="str">
        <x:v>Notes</x:v>
      </x:c>
    </x:row>
    <x:row r="4">
      <x:c r="A4" s="30" t="str">
        <x:v>Building construction/upgrade timer</x:v>
      </x:c>
      <x:c r="B4" s="31" t="str">
        <x:v>Yes</x:v>
      </x:c>
      <x:c r="C4" s="31" t="str">
        <x:v>100% real time</x:v>
      </x:c>
      <x:c r="D4" s="31" t="str">
        <x:v>No</x:v>
      </x:c>
      <x:c r="E4" s="31" t="str">
        <x:v>Yes</x:v>
      </x:c>
      <x:c r="F4" s="31" t="str">
        <x:v>No</x:v>
      </x:c>
      <x:c r="G4" s="31" t="str">
        <x:v>No direct</x:v>
      </x:c>
      <x:c r="H4" s="31" t="str">
        <x:v>New stats begin after completion but economy still follows offline band</x:v>
      </x:c>
      <x:c r="I4" s="31" t="str">
        <x:v>May affect capacity after completion</x:v>
      </x:c>
      <x:c r="J4" s="31" t="str">
        <x:v>May affect risk after completion</x:v>
      </x:c>
      <x:c r="K4" s="31" t="str">
        <x:v>Start upgrade then disappear</x:v>
      </x:c>
      <x:c r="L4" s="31" t="str">
        <x:v>Acceptable; player already paid</x:v>
      </x:c>
      <x:c r="M4" s="31" t="str">
        <x:v>Completed upgrade in summary</x:v>
      </x:c>
      <x:c r="N4" s="32" t="str"/>
    </x:row>
    <x:row r="5">
      <x:c r="A5" s="33" t="str">
        <x:v>Relocation downtime</x:v>
      </x:c>
      <x:c r="B5" s="22" t="str">
        <x:v>Yes</x:v>
      </x:c>
      <x:c r="C5" s="22" t="str">
        <x:v>100% real time</x:v>
      </x:c>
      <x:c r="D5" s="22" t="str">
        <x:v>No</x:v>
      </x:c>
      <x:c r="E5" s="22" t="str">
        <x:v>Yes</x:v>
      </x:c>
      <x:c r="F5" s="22" t="str">
        <x:v>No</x:v>
      </x:c>
      <x:c r="G5" s="22" t="str">
        <x:v>No</x:v>
      </x:c>
      <x:c r="H5" s="22" t="str">
        <x:v>Building unavailable during downtime</x:v>
      </x:c>
      <x:c r="I5" s="22" t="str">
        <x:v>Customers/capacity reflect downtime</x:v>
      </x:c>
      <x:c r="J5" s="22" t="str">
        <x:v>May affect operational risk</x:v>
      </x:c>
      <x:c r="K5" s="22" t="str">
        <x:v>Avoid downtime by logging out</x:v>
      </x:c>
      <x:c r="L5" s="22" t="str">
        <x:v>Not avoided; timer continues</x:v>
      </x:c>
      <x:c r="M5" s="22" t="str">
        <x:v>Downtime completed/remaining</x:v>
      </x:c>
      <x:c r="N5" s="34" t="str"/>
    </x:row>
    <x:row r="6">
      <x:c r="A6" s="33" t="str">
        <x:v>Event duration — global</x:v>
      </x:c>
      <x:c r="B6" s="22" t="str">
        <x:v>Yes</x:v>
      </x:c>
      <x:c r="C6" s="22" t="str">
        <x:v>100% real time</x:v>
      </x:c>
      <x:c r="D6" s="22" t="str">
        <x:v>No</x:v>
      </x:c>
      <x:c r="E6" s="22" t="str">
        <x:v>Yes</x:v>
      </x:c>
      <x:c r="F6" s="22" t="str">
        <x:v>No</x:v>
      </x:c>
      <x:c r="G6" s="22" t="str">
        <x:v>Underlying only</x:v>
      </x:c>
      <x:c r="H6" s="22" t="str">
        <x:v>Modifiers apply to offline economy</x:v>
      </x:c>
      <x:c r="I6" s="22" t="str">
        <x:v>Modifiers apply</x:v>
      </x:c>
      <x:c r="J6" s="22" t="str">
        <x:v>Risk modifiers apply</x:v>
      </x:c>
      <x:c r="K6" s="22" t="str">
        <x:v>Logout dodge</x:v>
      </x:c>
      <x:c r="L6" s="22" t="str">
        <x:v>Global event state continues</x:v>
      </x:c>
      <x:c r="M6" s="22" t="str">
        <x:v>Event result/ongoing event</x:v>
      </x:c>
      <x:c r="N6" s="34" t="str"/>
    </x:row>
    <x:row r="7">
      <x:c r="A7" s="33" t="str">
        <x:v>Personal decision event expiry</x:v>
      </x:c>
      <x:c r="B7" s="22" t="str">
        <x:v>Paused/queued by default</x:v>
      </x:c>
      <x:c r="C7" s="22" t="str">
        <x:v>Paused or safe queue policy</x:v>
      </x:c>
      <x:c r="D7" s="22" t="str">
        <x:v>N/A</x:v>
      </x:c>
      <x:c r="E7" s="22" t="str">
        <x:v>No punitive auto-choice</x:v>
      </x:c>
      <x:c r="F7" s="22" t="str">
        <x:v>Yes</x:v>
      </x:c>
      <x:c r="G7" s="22" t="str">
        <x:v>No</x:v>
      </x:c>
      <x:c r="H7" s="22" t="str">
        <x:v>No automatic cost</x:v>
      </x:c>
      <x:c r="I7" s="22" t="str">
        <x:v>No auto customer penalty from unchosen option</x:v>
      </x:c>
      <x:c r="J7" s="22" t="str">
        <x:v>No auto risk choice</x:v>
      </x:c>
      <x:c r="K7" s="22" t="str">
        <x:v>Forced-choice avoidance</x:v>
      </x:c>
      <x:c r="L7" s="22" t="str">
        <x:v>Event can have max queue age + safe neutral resolution</x:v>
      </x:c>
      <x:c r="M7" s="22" t="str">
        <x:v>Priority event inbox</x:v>
      </x:c>
      <x:c r="N7" s="34" t="str"/>
    </x:row>
    <x:row r="8">
      <x:c r="A8" s="33" t="str">
        <x:v>Market Hunt timer</x:v>
      </x:c>
      <x:c r="B8" s="22" t="str">
        <x:v>Yes</x:v>
      </x:c>
      <x:c r="C8" s="22" t="str">
        <x:v>100% real time</x:v>
      </x:c>
      <x:c r="D8" s="22" t="str">
        <x:v>No</x:v>
      </x:c>
      <x:c r="E8" s="22" t="str">
        <x:v>Can expire</x:v>
      </x:c>
      <x:c r="F8" s="22" t="str">
        <x:v>Progress requires play</x:v>
      </x:c>
      <x:c r="G8" s="22" t="str">
        <x:v>No</x:v>
      </x:c>
      <x:c r="H8" s="22" t="str">
        <x:v>None</x:v>
      </x:c>
      <x:c r="I8" s="22" t="str">
        <x:v>None</x:v>
      </x:c>
      <x:c r="J8" s="22" t="str">
        <x:v>None</x:v>
      </x:c>
      <x:c r="K8" s="22" t="str">
        <x:v>Pause timers by logging out</x:v>
      </x:c>
      <x:c r="L8" s="22" t="str">
        <x:v>Timer always real time</x:v>
      </x:c>
      <x:c r="M8" s="22" t="str">
        <x:v>Expired/active Hunt status</x:v>
      </x:c>
      <x:c r="N8" s="34" t="str"/>
    </x:row>
    <x:row r="9">
      <x:c r="A9" s="33" t="str">
        <x:v>Module effect activation</x:v>
      </x:c>
      <x:c r="B9" s="22" t="str">
        <x:v>Yes after equipped effective_at</x:v>
      </x:c>
      <x:c r="C9" s="22" t="str">
        <x:v>Next relevant tick</x:v>
      </x:c>
      <x:c r="D9" s="22" t="str">
        <x:v>Economy cap still applies</x:v>
      </x:c>
      <x:c r="E9" s="22" t="str">
        <x:v>Yes</x:v>
      </x:c>
      <x:c r="F9" s="22" t="str">
        <x:v>No</x:v>
      </x:c>
      <x:c r="G9" s="22" t="str">
        <x:v>Underlying only</x:v>
      </x:c>
      <x:c r="H9" s="22" t="str">
        <x:v>Affects offline economy within caps</x:v>
      </x:c>
      <x:c r="I9" s="22" t="str">
        <x:v>Affects customer sim within caps</x:v>
      </x:c>
      <x:c r="J9" s="22" t="str">
        <x:v>Affects risk within caps</x:v>
      </x:c>
      <x:c r="K9" s="22" t="str">
        <x:v>Equip then leave</x:v>
      </x:c>
      <x:c r="L9" s="22" t="str">
        <x:v>Allowed; no direct score</x:v>
      </x:c>
      <x:c r="M9" s="22" t="str">
        <x:v>Loadout summary</x:v>
      </x:c>
      <x:c r="N9" s="34" t="str"/>
    </x:row>
    <x:row r="10">
      <x:c r="A10" s="33" t="str">
        <x:v>Plot activation/merge lock</x:v>
      </x:c>
      <x:c r="B10" s="22" t="str">
        <x:v>Yes</x:v>
      </x:c>
      <x:c r="C10" s="22" t="str">
        <x:v>100% real time</x:v>
      </x:c>
      <x:c r="D10" s="22" t="str">
        <x:v>No</x:v>
      </x:c>
      <x:c r="E10" s="22" t="str">
        <x:v>Yes</x:v>
      </x:c>
      <x:c r="F10" s="22" t="str">
        <x:v>Maybe ownership sync</x:v>
      </x:c>
      <x:c r="G10" s="22" t="str">
        <x:v>No</x:v>
      </x:c>
      <x:c r="H10" s="22" t="str">
        <x:v>None</x:v>
      </x:c>
      <x:c r="I10" s="22" t="str">
        <x:v>None</x:v>
      </x:c>
      <x:c r="J10" s="22" t="str">
        <x:v>None</x:v>
      </x:c>
      <x:c r="K10" s="22" t="str">
        <x:v>Logout to bypass lock</x:v>
      </x:c>
      <x:c r="L10" s="22" t="str">
        <x:v>Lock still runs server time</x:v>
      </x:c>
      <x:c r="M10" s="22" t="str">
        <x:v>Status</x:v>
      </x:c>
      <x:c r="N10" s="34" t="str"/>
    </x:row>
    <x:row r="11">
      <x:c r="A11" s="35" t="str">
        <x:v>Claim window / reward expiry</x:v>
      </x:c>
      <x:c r="B11" s="36" t="str">
        <x:v>Yes</x:v>
      </x:c>
      <x:c r="C11" s="36" t="str">
        <x:v>100% real time</x:v>
      </x:c>
      <x:c r="D11" s="36" t="str">
        <x:v>No</x:v>
      </x:c>
      <x:c r="E11" s="36" t="str">
        <x:v>Can expire by policy</x:v>
      </x:c>
      <x:c r="F11" s="36" t="str">
        <x:v>Claim requires player</x:v>
      </x:c>
      <x:c r="G11" s="36" t="str">
        <x:v>No</x:v>
      </x:c>
      <x:c r="H11" s="36" t="str">
        <x:v>None</x:v>
      </x:c>
      <x:c r="I11" s="36" t="str">
        <x:v>None</x:v>
      </x:c>
      <x:c r="J11" s="36" t="str">
        <x:v>None</x:v>
      </x:c>
      <x:c r="K11" s="36" t="str">
        <x:v>N/A</x:v>
      </x:c>
      <x:c r="L11" s="36" t="str">
        <x:v>UTC server time</x:v>
      </x:c>
      <x:c r="M11" s="36" t="str">
        <x:v>Claim reminders</x:v>
      </x:c>
      <x:c r="N11" s="37" t="str"/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Modules in the Offline Economy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Module Effect Type</x:v>
      </x:c>
      <x:c r="B3" s="14" t="str">
        <x:v>Applies Offline?</x:v>
      </x:c>
      <x:c r="C3" s="14" t="str">
        <x:v>Uses Offline Efficiency?</x:v>
      </x:c>
      <x:c r="D3" s="14" t="str">
        <x:v>Can Improve Offline Duration?</x:v>
      </x:c>
      <x:c r="E3" s="14" t="str">
        <x:v>Can Improve Offline Performance Credit?</x:v>
      </x:c>
      <x:c r="F3" s="14" t="str">
        <x:v>Can Generate Activity/Hunt Progress?</x:v>
      </x:c>
      <x:c r="G3" s="14" t="str">
        <x:v>Event Interaction</x:v>
      </x:c>
      <x:c r="H3" s="14" t="str">
        <x:v>Risk Interaction</x:v>
      </x:c>
      <x:c r="I3" s="14" t="str">
        <x:v>Stacking Caps</x:v>
      </x:c>
      <x:c r="J3" s="14" t="str">
        <x:v>Recommended Rule</x:v>
      </x:c>
      <x:c r="K3" s="14" t="str">
        <x:v>Exploit Risk</x:v>
      </x:c>
      <x:c r="L3" s="14" t="str">
        <x:v>Server Rule</x:v>
      </x:c>
      <x:c r="M3" s="14" t="str">
        <x:v>UI</x:v>
      </x:c>
      <x:c r="N3" s="14" t="str">
        <x:v>Notes</x:v>
      </x:c>
    </x:row>
    <x:row r="4">
      <x:c r="A4" s="30" t="str">
        <x:v>Customer acquisition / retention</x:v>
      </x:c>
      <x:c r="B4" s="31" t="str">
        <x:v>Yes</x:v>
      </x:c>
      <x:c r="C4" s="31" t="str">
        <x:v>Customer simulation intensity applies after Module modifier</x:v>
      </x:c>
      <x:c r="D4" s="31" t="str">
        <x:v>No</x:v>
      </x:c>
      <x:c r="E4" s="31" t="str">
        <x:v>No</x:v>
      </x:c>
      <x:c r="F4" s="31" t="str">
        <x:v>No</x:v>
      </x:c>
      <x:c r="G4" s="31" t="str">
        <x:v>Event modifier still applies</x:v>
      </x:c>
      <x:c r="H4" s="31" t="str">
        <x:v>Indirect</x:v>
      </x:c>
      <x:c r="I4" s="31" t="str">
        <x:v>Existing Module caps</x:v>
      </x:c>
      <x:c r="J4" s="31" t="str">
        <x:v>Apply normally, then scale customer deltas by offline intensity</x:v>
      </x:c>
      <x:c r="K4" s="31" t="str">
        <x:v>Medium</x:v>
      </x:c>
      <x:c r="L4" s="31" t="str">
        <x:v>Modifier layer before offline presence multiplier</x:v>
      </x:c>
      <x:c r="M4" s="31" t="str">
        <x:v>Offline summary shows net effect</x:v>
      </x:c>
      <x:c r="N4" s="32" t="str"/>
    </x:row>
    <x:row r="5">
      <x:c r="A5" s="33" t="str">
        <x:v>Capacity</x:v>
      </x:c>
      <x:c r="B5" s="22" t="str">
        <x:v>Yes</x:v>
      </x:c>
      <x:c r="C5" s="22" t="str">
        <x:v>No direct scaling; capacity state remains real</x:v>
      </x:c>
      <x:c r="D5" s="22" t="str">
        <x:v>No</x:v>
      </x:c>
      <x:c r="E5" s="22" t="str">
        <x:v>No</x:v>
      </x:c>
      <x:c r="F5" s="22" t="str">
        <x:v>No</x:v>
      </x:c>
      <x:c r="G5" s="22" t="str">
        <x:v>Event capacity modifiers still apply</x:v>
      </x:c>
      <x:c r="H5" s="22" t="str">
        <x:v>Indirect</x:v>
      </x:c>
      <x:c r="I5" s="22" t="str">
        <x:v>20% Module cap</x:v>
      </x:c>
      <x:c r="J5" s="22" t="str">
        <x:v>Capacity persists while away</x:v>
      </x:c>
      <x:c r="K5" s="22" t="str">
        <x:v>Low</x:v>
      </x:c>
      <x:c r="L5" s="22" t="str">
        <x:v>Server-derived state</x:v>
      </x:c>
      <x:c r="M5" s="22" t="str">
        <x:v>Show capacity/utilization</x:v>
      </x:c>
      <x:c r="N5" s="34" t="str"/>
    </x:row>
    <x:row r="6">
      <x:c r="A6" s="33" t="str">
        <x:v>Activity efficiency</x:v>
      </x:c>
      <x:c r="B6" s="22" t="str">
        <x:v>Affects underlying Cash simulation only</x:v>
      </x:c>
      <x:c r="C6" s="22" t="str">
        <x:v>Offline Cash multiplier applies afterward</x:v>
      </x:c>
      <x:c r="D6" s="22" t="str">
        <x:v>No</x:v>
      </x:c>
      <x:c r="E6" s="22" t="str">
        <x:v>No</x:v>
      </x:c>
      <x:c r="F6" s="22" t="str">
        <x:v>No Performance Activity</x:v>
      </x:c>
      <x:c r="G6" s="22" t="str">
        <x:v>Event activity modifiers apply</x:v>
      </x:c>
      <x:c r="H6" s="22" t="str">
        <x:v>May raise Market Risk</x:v>
      </x:c>
      <x:c r="I6" s="22" t="str">
        <x:v>15% Module cap</x:v>
      </x:c>
      <x:c r="J6" s="22" t="str">
        <x:v>Never create offline Activity Points</x:v>
      </x:c>
      <x:c r="K6" s="22" t="str">
        <x:v>High</x:v>
      </x:c>
      <x:c r="L6" s="22" t="str">
        <x:v>Separate economic throughput from Performance Activity ledger</x:v>
      </x:c>
      <x:c r="M6" s="22" t="str">
        <x:v>Explain indirect Cash only</x:v>
      </x:c>
      <x:c r="N6" s="34" t="str"/>
    </x:row>
    <x:row r="7">
      <x:c r="A7" s="33" t="str">
        <x:v>Operating-cost efficiency</x:v>
      </x:c>
      <x:c r="B7" s="22" t="str">
        <x:v>Yes</x:v>
      </x:c>
      <x:c r="C7" s="22" t="str">
        <x:v>Offline signed net Cash multiplier applies after net calculation</x:v>
      </x:c>
      <x:c r="D7" s="22" t="str">
        <x:v>No</x:v>
      </x:c>
      <x:c r="E7" s="22" t="str">
        <x:v>No</x:v>
      </x:c>
      <x:c r="F7" s="22" t="str">
        <x:v>No</x:v>
      </x:c>
      <x:c r="G7" s="22" t="str">
        <x:v>Fixed event costs excluded</x:v>
      </x:c>
      <x:c r="H7" s="22" t="str">
        <x:v>Indirect</x:v>
      </x:c>
      <x:c r="I7" s="22" t="str">
        <x:v>12% cap</x:v>
      </x:c>
      <x:c r="J7" s="22" t="str">
        <x:v>No special offline bonus</x:v>
      </x:c>
      <x:c r="K7" s="22" t="str">
        <x:v>Low</x:v>
      </x:c>
      <x:c r="L7" s="22" t="str">
        <x:v>Normal economy order</x:v>
      </x:c>
      <x:c r="M7" s="22" t="str">
        <x:v>Summary Cash</x:v>
      </x:c>
      <x:c r="N7" s="34" t="str"/>
    </x:row>
    <x:row r="8">
      <x:c r="A8" s="33" t="str">
        <x:v>Risk reduction</x:v>
      </x:c>
      <x:c r="B8" s="22" t="str">
        <x:v>Yes</x:v>
      </x:c>
      <x:c r="C8" s="22" t="str">
        <x:v>Risk evaluator uses Module effects, then offline risk cadence</x:v>
      </x:c>
      <x:c r="D8" s="22" t="str">
        <x:v>No</x:v>
      </x:c>
      <x:c r="E8" s="22" t="str">
        <x:v>No</x:v>
      </x:c>
      <x:c r="F8" s="22" t="str">
        <x:v>No</x:v>
      </x:c>
      <x:c r="G8" s="22" t="str">
        <x:v>Critical events still override as designed</x:v>
      </x:c>
      <x:c r="H8" s="22" t="str">
        <x:v>Direct underlying risk</x:v>
      </x:c>
      <x:c r="I8" s="22" t="str">
        <x:v>-15 risk-point cap</x:v>
      </x:c>
      <x:c r="J8" s="22" t="str">
        <x:v>Can protect but not freeze risk</x:v>
      </x:c>
      <x:c r="K8" s="22" t="str">
        <x:v>Medium</x:v>
      </x:c>
      <x:c r="L8" s="22" t="str">
        <x:v>Risk service recompute</x:v>
      </x:c>
      <x:c r="M8" s="22" t="str">
        <x:v>Risk summary</x:v>
      </x:c>
      <x:c r="N8" s="34" t="str"/>
    </x:row>
    <x:row r="9">
      <x:c r="A9" s="33" t="str">
        <x:v>Event resilience</x:v>
      </x:c>
      <x:c r="B9" s="22" t="str">
        <x:v>Yes if applicable</x:v>
      </x:c>
      <x:c r="C9" s="22" t="str">
        <x:v>Event-specific</x:v>
      </x:c>
      <x:c r="D9" s="22" t="str">
        <x:v>No</x:v>
      </x:c>
      <x:c r="E9" s="22" t="str">
        <x:v>No</x:v>
      </x:c>
      <x:c r="F9" s="22" t="str">
        <x:v>No</x:v>
      </x:c>
      <x:c r="G9" s="22" t="str">
        <x:v>Cannot nullify event</x:v>
      </x:c>
      <x:c r="H9" s="22" t="str">
        <x:v>May reduce event risk</x:v>
      </x:c>
      <x:c r="I9" s="22" t="str">
        <x:v>20% resilience cap</x:v>
      </x:c>
      <x:c r="J9" s="22" t="str">
        <x:v>No Module may make logout preferable to event response</x:v>
      </x:c>
      <x:c r="K9" s="22" t="str">
        <x:v>High</x:v>
      </x:c>
      <x:c r="L9" s="22" t="str">
        <x:v>Event + Module config</x:v>
      </x:c>
      <x:c r="M9" s="22" t="str">
        <x:v>Event detail</x:v>
      </x:c>
      <x:c r="N9" s="34" t="str"/>
    </x:row>
    <x:row r="10">
      <x:c r="A10" s="33" t="str">
        <x:v>Any 'offline efficiency' Module</x:v>
      </x:c>
      <x:c r="B10" s="22" t="str">
        <x:v>Not allowed v1.0</x:v>
      </x:c>
      <x:c r="C10" s="22" t="str">
        <x:v>N/A</x:v>
      </x:c>
      <x:c r="D10" s="22" t="str">
        <x:v>No</x:v>
      </x:c>
      <x:c r="E10" s="22" t="str">
        <x:v>No</x:v>
      </x:c>
      <x:c r="F10" s="22" t="str">
        <x:v>No</x:v>
      </x:c>
      <x:c r="G10" s="22" t="str">
        <x:v>N/A</x:v>
      </x:c>
      <x:c r="H10" s="22" t="str">
        <x:v>N/A</x:v>
      </x:c>
      <x:c r="I10" s="22" t="str">
        <x:v>N/A</x:v>
      </x:c>
      <x:c r="J10" s="22" t="str">
        <x:v>Do not create this Module category</x:v>
      </x:c>
      <x:c r="K10" s="22" t="str">
        <x:v>Critical</x:v>
      </x:c>
      <x:c r="L10" s="22" t="str">
        <x:v>Config validator rejects</x:v>
      </x:c>
      <x:c r="M10" s="22" t="str">
        <x:v>N/A</x:v>
      </x:c>
      <x:c r="N10" s="34" t="str">
        <x:v>Would create idle meta</x:v>
      </x:c>
    </x:row>
    <x:row r="11">
      <x:c r="A11" s="35" t="str">
        <x:v>Any 'offline Performance' Module</x:v>
      </x:c>
      <x:c r="B11" s="36" t="str">
        <x:v>Not allowed</x:v>
      </x:c>
      <x:c r="C11" s="36" t="str">
        <x:v>N/A</x:v>
      </x:c>
      <x:c r="D11" s="36" t="str">
        <x:v>No</x:v>
      </x:c>
      <x:c r="E11" s="36" t="str">
        <x:v>No</x:v>
      </x:c>
      <x:c r="F11" s="36" t="str">
        <x:v>No</x:v>
      </x:c>
      <x:c r="G11" s="36" t="str">
        <x:v>N/A</x:v>
      </x:c>
      <x:c r="H11" s="36" t="str">
        <x:v>N/A</x:v>
      </x:c>
      <x:c r="I11" s="36" t="str">
        <x:v>N/A</x:v>
      </x:c>
      <x:c r="J11" s="36" t="str">
        <x:v>Prohibited</x:v>
      </x:c>
      <x:c r="K11" s="36" t="str">
        <x:v>Critical</x:v>
      </x:c>
      <x:c r="L11" s="36" t="str">
        <x:v>Score input allowlist</x:v>
      </x:c>
      <x:c r="M11" s="36" t="str">
        <x:v>N/A</x:v>
      </x:c>
      <x:c r="N11" s="37" t="str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Return-from-Away UX &amp; Player Communication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Component</x:v>
      </x:c>
      <x:c r="B3" s="14" t="str">
        <x:v>When Shown</x:v>
      </x:c>
      <x:c r="C3" s="14" t="str">
        <x:v>Primary Information</x:v>
      </x:c>
      <x:c r="D3" s="14" t="str">
        <x:v>Secondary Information</x:v>
      </x:c>
      <x:c r="E3" s="14" t="str">
        <x:v>CTA</x:v>
      </x:c>
      <x:c r="F3" s="14" t="str">
        <x:v>Tone</x:v>
      </x:c>
      <x:c r="G3" s="14" t="str">
        <x:v>Mobile Pattern</x:v>
      </x:c>
      <x:c r="H3" s="14" t="str">
        <x:v>Desktop Pattern</x:v>
      </x:c>
      <x:c r="I3" s="14" t="str">
        <x:v>Competitive Disclosure</x:v>
      </x:c>
      <x:c r="J3" s="14" t="str">
        <x:v>Error / Partial State</x:v>
      </x:c>
      <x:c r="K3" s="14" t="str">
        <x:v>Backend Source</x:v>
      </x:c>
      <x:c r="L3" s="14" t="str">
        <x:v>Analytics</x:v>
      </x:c>
      <x:c r="M3" s="14" t="str">
        <x:v>Priority</x:v>
      </x:c>
      <x:c r="N3" s="14" t="str">
        <x:v>Notes</x:v>
      </x:c>
    </x:row>
    <x:row r="4">
      <x:c r="A4" s="30" t="str">
        <x:v>Away Summary Hero</x:v>
      </x:c>
      <x:c r="B4" s="31" t="str">
        <x:v>Away &gt;=5 min</x:v>
      </x:c>
      <x:c r="C4" s="31" t="str">
        <x:v>Time away, effective processed time, cap status</x:v>
      </x:c>
      <x:c r="D4" s="31" t="str">
        <x:v>Presence bands used</x:v>
      </x:c>
      <x:c r="E4" s="31" t="str">
        <x:v>Continue</x:v>
      </x:c>
      <x:c r="F4" s="31" t="str">
        <x:v>Welcome back; factual</x:v>
      </x:c>
      <x:c r="G4" s="31" t="str">
        <x:v>Bottom sheet/full sheet</x:v>
      </x:c>
      <x:c r="H4" s="31" t="str">
        <x:v>Modal/card</x:v>
      </x:c>
      <x:c r="I4" s="31" t="str">
        <x:v>Clearly state idle Performance credit was reduced</x:v>
      </x:c>
      <x:c r="J4" s="31" t="str">
        <x:v>Partial summary if one subsystem delayed</x:v>
      </x:c>
      <x:c r="K4" s="31" t="str">
        <x:v>offline catch-up manifest</x:v>
      </x:c>
      <x:c r="L4" s="31" t="str">
        <x:v>offline_summary_viewed</x:v>
      </x:c>
      <x:c r="M4" s="31" t="str">
        <x:v>P0</x:v>
      </x:c>
      <x:c r="N4" s="32" t="str"/>
    </x:row>
    <x:row r="5">
      <x:c r="A5" s="33" t="str">
        <x:v>Cash Earned</x:v>
      </x:c>
      <x:c r="B5" s="22" t="str">
        <x:v>Any positive/negative offline Cash</x:v>
      </x:c>
      <x:c r="C5" s="22" t="str">
        <x:v>Net Cash change</x:v>
      </x:c>
      <x:c r="D5" s="22" t="str">
        <x:v>Top contributing businesses</x:v>
      </x:c>
      <x:c r="E5" s="22" t="str">
        <x:v>View Empire</x:v>
      </x:c>
      <x:c r="F5" s="22" t="str">
        <x:v>Neutral even if low</x:v>
      </x:c>
      <x:c r="G5" s="22" t="str">
        <x:v>KPI card</x:v>
      </x:c>
      <x:c r="H5" s="22" t="str">
        <x:v>KPI card</x:v>
      </x:c>
      <x:c r="I5" s="22" t="str">
        <x:v>Show Performance-eligible revenue separately if user opens details</x:v>
      </x:c>
      <x:c r="J5" s="22" t="str">
        <x:v>Ledger mismatch → pending</x:v>
      </x:c>
      <x:c r="K5" s="22" t="str">
        <x:v>cash ledger</x:v>
      </x:c>
      <x:c r="L5" s="22" t="str">
        <x:v>offline_cash_viewed</x:v>
      </x:c>
      <x:c r="M5" s="22" t="str">
        <x:v>P0</x:v>
      </x:c>
      <x:c r="N5" s="34" t="str"/>
    </x:row>
    <x:row r="6">
      <x:c r="A6" s="33" t="str">
        <x:v>Customer Changes</x:v>
      </x:c>
      <x:c r="B6" s="22" t="str">
        <x:v>If any deltas</x:v>
      </x:c>
      <x:c r="C6" s="22" t="str">
        <x:v>New, churned, net change</x:v>
      </x:c>
      <x:c r="D6" s="22" t="str">
        <x:v>Capacity warnings</x:v>
      </x:c>
      <x:c r="E6" s="22" t="str">
        <x:v>Open Customers</x:v>
      </x:c>
      <x:c r="F6" s="22" t="str">
        <x:v>Operational</x:v>
      </x:c>
      <x:c r="G6" s="22" t="str">
        <x:v>Card</x:v>
      </x:c>
      <x:c r="H6" s="22" t="str">
        <x:v>Card</x:v>
      </x:c>
      <x:c r="I6" s="22" t="str">
        <x:v>Offline customer growth scored at 25%</x:v>
      </x:c>
      <x:c r="J6" s="22" t="str">
        <x:v>Pending snapshot timestamp</x:v>
      </x:c>
      <x:c r="K6" s="22" t="str">
        <x:v>customer deltas</x:v>
      </x:c>
      <x:c r="L6" s="22" t="str">
        <x:v>offline_customer_viewed</x:v>
      </x:c>
      <x:c r="M6" s="22" t="str">
        <x:v>P0</x:v>
      </x:c>
      <x:c r="N6" s="34" t="str"/>
    </x:row>
    <x:row r="7">
      <x:c r="A7" s="33" t="str">
        <x:v>Risk / Event Changes</x:v>
      </x:c>
      <x:c r="B7" s="22" t="str">
        <x:v>If affected</x:v>
      </x:c>
      <x:c r="C7" s="22" t="str">
        <x:v>Risk movement, incidents, active/expired global events</x:v>
      </x:c>
      <x:c r="D7" s="22" t="str">
        <x:v>Why it changed</x:v>
      </x:c>
      <x:c r="E7" s="22" t="str">
        <x:v>Open Event/Risk</x:v>
      </x:c>
      <x:c r="F7" s="22" t="str">
        <x:v>Calm, actionable</x:v>
      </x:c>
      <x:c r="G7" s="22" t="str">
        <x:v>Priority card</x:v>
      </x:c>
      <x:c r="H7" s="22" t="str">
        <x:v>Priority panel</x:v>
      </x:c>
      <x:c r="I7" s="22" t="str">
        <x:v>No hidden penalty</x:v>
      </x:c>
      <x:c r="J7" s="22" t="str">
        <x:v>If data stale, mark syncing</x:v>
      </x:c>
      <x:c r="K7" s="22" t="str">
        <x:v>risk/event state</x:v>
      </x:c>
      <x:c r="L7" s="22" t="str">
        <x:v>offline_risk_viewed</x:v>
      </x:c>
      <x:c r="M7" s="22" t="str">
        <x:v>P0</x:v>
      </x:c>
      <x:c r="N7" s="34" t="str"/>
    </x:row>
    <x:row r="8">
      <x:c r="A8" s="33" t="str">
        <x:v>Completed Timers</x:v>
      </x:c>
      <x:c r="B8" s="22" t="str">
        <x:v>If upgrades/moves completed</x:v>
      </x:c>
      <x:c r="C8" s="22" t="str">
        <x:v>Completed upgrades, relocation, locks</x:v>
      </x:c>
      <x:c r="D8" s="22" t="str">
        <x:v>New stats</x:v>
      </x:c>
      <x:c r="E8" s="22" t="str">
        <x:v>View building</x:v>
      </x:c>
      <x:c r="F8" s="22" t="str">
        <x:v>Positive</x:v>
      </x:c>
      <x:c r="G8" s="22" t="str">
        <x:v>List</x:v>
      </x:c>
      <x:c r="H8" s="22" t="str">
        <x:v>List</x:v>
      </x:c>
      <x:c r="I8" s="22" t="str">
        <x:v>No direct score claim</x:v>
      </x:c>
      <x:c r="J8" s="22" t="str">
        <x:v>N/A</x:v>
      </x:c>
      <x:c r="K8" s="22" t="str">
        <x:v>timer state</x:v>
      </x:c>
      <x:c r="L8" s="22" t="str">
        <x:v>offline_timer_viewed</x:v>
      </x:c>
      <x:c r="M8" s="22" t="str">
        <x:v>P1</x:v>
      </x:c>
      <x:c r="N8" s="34" t="str"/>
    </x:row>
    <x:row r="9">
      <x:c r="A9" s="33" t="str">
        <x:v>Cap Reached Notice</x:v>
      </x:c>
      <x:c r="B9" s="22" t="str">
        <x:v>Away &gt;12h</x:v>
      </x:c>
      <x:c r="C9" s="22" t="str">
        <x:v>Only first 12h produced recurring economy</x:v>
      </x:c>
      <x:c r="D9" s="22" t="str">
        <x:v>Exact frozen duration</x:v>
      </x:c>
      <x:c r="E9" s="22" t="str">
        <x:v>Return to Plot</x:v>
      </x:c>
      <x:c r="F9" s="22" t="str">
        <x:v>Non-punitive</x:v>
      </x:c>
      <x:c r="G9" s="22" t="str">
        <x:v>Info callout</x:v>
      </x:c>
      <x:c r="H9" s="22" t="str">
        <x:v>Info callout</x:v>
      </x:c>
      <x:c r="I9" s="22" t="str">
        <x:v>Explains no score/Cash after cap</x:v>
      </x:c>
      <x:c r="J9" s="22" t="str">
        <x:v>N/A</x:v>
      </x:c>
      <x:c r="K9" s="22" t="str">
        <x:v>presence cursor</x:v>
      </x:c>
      <x:c r="L9" s="22" t="str">
        <x:v>offline_cap_seen</x:v>
      </x:c>
      <x:c r="M9" s="22" t="str">
        <x:v>P0</x:v>
      </x:c>
      <x:c r="N9" s="34" t="str"/>
    </x:row>
    <x:row r="10">
      <x:c r="A10" s="35" t="str">
        <x:v>Pending Personal Events</x:v>
      </x:c>
      <x:c r="B10" s="36" t="str">
        <x:v>Queued events exist</x:v>
      </x:c>
      <x:c r="C10" s="36" t="str">
        <x:v>Event count + urgency</x:v>
      </x:c>
      <x:c r="D10" s="36" t="str">
        <x:v>No auto-choice happened</x:v>
      </x:c>
      <x:c r="E10" s="36" t="str">
        <x:v>Review Events</x:v>
      </x:c>
      <x:c r="F10" s="36" t="str">
        <x:v>Reassuring</x:v>
      </x:c>
      <x:c r="G10" s="36" t="str">
        <x:v>Priority CTA</x:v>
      </x:c>
      <x:c r="H10" s="36" t="str">
        <x:v>Panel</x:v>
      </x:c>
      <x:c r="I10" s="36" t="str">
        <x:v>No score until resolved</x:v>
      </x:c>
      <x:c r="J10" s="36" t="str">
        <x:v>Expired-safe state if needed</x:v>
      </x:c>
      <x:c r="K10" s="36" t="str">
        <x:v>player events</x:v>
      </x:c>
      <x:c r="L10" s="36" t="str">
        <x:v>offline_events_queued</x:v>
      </x:c>
      <x:c r="M10" s="36" t="str">
        <x:v>P0</x:v>
      </x:c>
      <x:c r="N10" s="37" t="str"/>
    </x:row>
    <x:row r="12" ht="22" customHeight="1">
      <x:c r="A12" s="11" t="str">
        <x:v>Recommended Summary Copy Logic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</x:row>
    <x:row r="13">
      <x:c r="A13" s="14" t="str">
        <x:v>Condition</x:v>
      </x:c>
      <x:c r="B13" s="14" t="str">
        <x:v>Example Copy Pattern</x:v>
      </x:c>
    </x:row>
    <x:row r="14">
      <x:c r="A14" s="30" t="str">
        <x:v>&lt;30 min away</x:v>
      </x:c>
      <x:c r="B14" s="32" t="str">
        <x:v>Skip full summary unless a meaningful event/timer completed.</x:v>
      </x:c>
    </x:row>
    <x:row r="15">
      <x:c r="A15" s="33" t="str">
        <x:v>30 min–12h</x:v>
      </x:c>
      <x:c r="B15" s="34" t="str">
        <x:v>“While you were away for X, your businesses generated Y Cash and your customer base changed by Z. Offline operations run at reduced efficiency.”</x:v>
      </x:c>
    </x:row>
    <x:row r="16">
      <x:c r="A16" s="33" t="str">
        <x:v>&gt;12h</x:v>
      </x:c>
      <x:c r="B16" s="34" t="str">
        <x:v>“Your businesses processed the first 12 hours of your absence. After the offline cap, recurring Cash and customer simulation paused until your return.”</x:v>
      </x:c>
    </x:row>
    <x:row r="17">
      <x:c r="A17" s="33" t="str">
        <x:v>Performance disclosure</x:v>
      </x:c>
      <x:c r="B17" s="34" t="str">
        <x:v>“Offline operations preserve your empire, but only a fraction of offline revenue/customer growth counts toward weekly Performance. Activity and Hunts require active play.”</x:v>
      </x:c>
    </x:row>
    <x:row r="18">
      <x:c r="A18" s="35" t="str">
        <x:v>Negative result</x:v>
      </x:c>
      <x:c r="B18" s="37" t="str">
        <x:v>Explain the exact event/risk/capacity driver and give one clear action. Avoid framing absence itself as wrongdoing.</x:v>
      </x:c>
    </x:row>
  </x:sheetData>
  <x:mergeCells>
    <x:mergeCell ref="A1:N1"/>
    <x:mergeCell ref="A12:N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Backend / Game-State Requirements for Offline Processing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Entity / Field</x:v>
      </x:c>
      <x:c r="B3" s="14" t="str">
        <x:v>Purpose</x:v>
      </x:c>
      <x:c r="C3" s="14" t="str">
        <x:v>Canonical Store</x:v>
      </x:c>
      <x:c r="D3" s="14" t="str">
        <x:v>Written By</x:v>
      </x:c>
      <x:c r="E3" s="14" t="str">
        <x:v>Versioned?</x:v>
      </x:c>
      <x:c r="F3" s="14" t="str">
        <x:v>Ledgered?</x:v>
      </x:c>
      <x:c r="G3" s="14" t="str">
        <x:v>Idempotency Key</x:v>
      </x:c>
      <x:c r="H3" s="14" t="str">
        <x:v>Presence Tag</x:v>
      </x:c>
      <x:c r="I3" s="14" t="str">
        <x:v>Offline Band</x:v>
      </x:c>
      <x:c r="J3" s="14" t="str">
        <x:v>Performance Eligibility</x:v>
      </x:c>
      <x:c r="K3" s="14" t="str">
        <x:v>Replayable?</x:v>
      </x:c>
      <x:c r="L3" s="14" t="str">
        <x:v>Mutation Source</x:v>
      </x:c>
      <x:c r="M3" s="14" t="str">
        <x:v>Client Can Submit</x:v>
      </x:c>
      <x:c r="N3" s="14" t="str">
        <x:v>Failure Behavior</x:v>
      </x:c>
      <x:c r="O3" s="14" t="str">
        <x:v>Priority</x:v>
      </x:c>
      <x:c r="P3" s="14" t="str">
        <x:v>Notes</x:v>
      </x:c>
    </x:row>
    <x:row r="4">
      <x:c r="A4" s="30" t="str">
        <x:v>last_meaningful_action_at</x:v>
      </x:c>
      <x:c r="B4" s="31" t="str">
        <x:v>Engaged/AFK boundary</x:v>
      </x:c>
      <x:c r="C4" s="31" t="str">
        <x:v>player session/game state</x:v>
      </x:c>
      <x:c r="D4" s="31" t="str">
        <x:v>Validated gameplay actions</x:v>
      </x:c>
      <x:c r="E4" s="31" t="str">
        <x:v>Yes/audit</x:v>
      </x:c>
      <x:c r="F4" s="31" t="str">
        <x:v>Audit</x:v>
      </x:c>
      <x:c r="G4" s="31" t="str">
        <x:v>action event id</x:v>
      </x:c>
      <x:c r="H4" s="31" t="str">
        <x:v>Engaged</x:v>
      </x:c>
      <x:c r="I4" s="31" t="str">
        <x:v>N/A</x:v>
      </x:c>
      <x:c r="J4" s="31" t="str">
        <x:v>Defines presence only</x:v>
      </x:c>
      <x:c r="K4" s="31" t="str">
        <x:v>Yes</x:v>
      </x:c>
      <x:c r="L4" s="31" t="str">
        <x:v>Server action processors</x:v>
      </x:c>
      <x:c r="M4" s="31" t="str">
        <x:v>No timestamp</x:v>
      </x:c>
      <x:c r="N4" s="31" t="str">
        <x:v>Fall back conservative AFK</x:v>
      </x:c>
      <x:c r="O4" s="31" t="str">
        <x:v>P0</x:v>
      </x:c>
      <x:c r="P4" s="32" t="str"/>
    </x:row>
    <x:row r="5">
      <x:c r="A5" s="33" t="str">
        <x:v>offline_started_at</x:v>
      </x:c>
      <x:c r="B5" s="22" t="str">
        <x:v>Catch-up start</x:v>
      </x:c>
      <x:c r="C5" s="22" t="str">
        <x:v>player economy checkpoint</x:v>
      </x:c>
      <x:c r="D5" s="22" t="str">
        <x:v>Disconnect/AFK transition</x:v>
      </x:c>
      <x:c r="E5" s="22" t="str">
        <x:v>Yes</x:v>
      </x:c>
      <x:c r="F5" s="22" t="str">
        <x:v>Audit</x:v>
      </x:c>
      <x:c r="G5" s="22" t="str">
        <x:v>presence transition id</x:v>
      </x:c>
      <x:c r="H5" s="22" t="str">
        <x:v>Offline</x:v>
      </x:c>
      <x:c r="I5" s="22" t="str">
        <x:v>N/A</x:v>
      </x:c>
      <x:c r="J5" s="22" t="str">
        <x:v>N/A</x:v>
      </x:c>
      <x:c r="K5" s="22" t="str">
        <x:v>Yes</x:v>
      </x:c>
      <x:c r="L5" s="22" t="str">
        <x:v>Server</x:v>
      </x:c>
      <x:c r="M5" s="22" t="str">
        <x:v>No</x:v>
      </x:c>
      <x:c r="N5" s="22" t="str">
        <x:v>Use last valid checkpoint</x:v>
      </x:c>
      <x:c r="O5" s="22" t="str">
        <x:v>P0</x:v>
      </x:c>
      <x:c r="P5" s="34" t="str"/>
    </x:row>
    <x:row r="6">
      <x:c r="A6" s="33" t="str">
        <x:v>offline_processed_until</x:v>
      </x:c>
      <x:c r="B6" s="22" t="str">
        <x:v>Prevent duplicate catch-up</x:v>
      </x:c>
      <x:c r="C6" s="22" t="str">
        <x:v>economy checkpoint</x:v>
      </x:c>
      <x:c r="D6" s="22" t="str">
        <x:v>Offline processor</x:v>
      </x:c>
      <x:c r="E6" s="22" t="str">
        <x:v>Yes</x:v>
      </x:c>
      <x:c r="F6" s="22" t="str">
        <x:v>Audit</x:v>
      </x:c>
      <x:c r="G6" s="22" t="str">
        <x:v>player+time bucket</x:v>
      </x:c>
      <x:c r="H6" s="22" t="str">
        <x:v>Offline</x:v>
      </x:c>
      <x:c r="I6" s="22" t="str">
        <x:v>Band derived</x:v>
      </x:c>
      <x:c r="J6" s="22" t="str">
        <x:v>N/A</x:v>
      </x:c>
      <x:c r="K6" s="22" t="str">
        <x:v>Yes</x:v>
      </x:c>
      <x:c r="L6" s="22" t="str">
        <x:v>Worker</x:v>
      </x:c>
      <x:c r="M6" s="22" t="str">
        <x:v>No</x:v>
      </x:c>
      <x:c r="N6" s="22" t="str">
        <x:v>Retry from cursor</x:v>
      </x:c>
      <x:c r="O6" s="22" t="str">
        <x:v>P0</x:v>
      </x:c>
      <x:c r="P6" s="34" t="str"/>
    </x:row>
    <x:row r="7">
      <x:c r="A7" s="33" t="str">
        <x:v>presence_state</x:v>
      </x:c>
      <x:c r="B7" s="22" t="str">
        <x:v>Tag economy/customer deltas</x:v>
      </x:c>
      <x:c r="C7" s="22" t="str">
        <x:v>ledger field / derived state</x:v>
      </x:c>
      <x:c r="D7" s="22" t="str">
        <x:v>Economy/customer worker</x:v>
      </x:c>
      <x:c r="E7" s="22" t="str">
        <x:v>Yes</x:v>
      </x:c>
      <x:c r="F7" s="22" t="str">
        <x:v>Included in ledgers</x:v>
      </x:c>
      <x:c r="G7" s="22" t="str">
        <x:v>source event id</x:v>
      </x:c>
      <x:c r="H7" s="22" t="str">
        <x:v>Engaged/AFK/Offline</x:v>
      </x:c>
      <x:c r="I7" s="22" t="str">
        <x:v>Exact band</x:v>
      </x:c>
      <x:c r="J7" s="22" t="str">
        <x:v>Drives score multiplier</x:v>
      </x:c>
      <x:c r="K7" s="22" t="str">
        <x:v>Yes</x:v>
      </x:c>
      <x:c r="L7" s="22" t="str">
        <x:v>Server</x:v>
      </x:c>
      <x:c r="M7" s="22" t="str">
        <x:v>No</x:v>
      </x:c>
      <x:c r="N7" s="22" t="str">
        <x:v>Fail to offline/low-credit if uncertain</x:v>
      </x:c>
      <x:c r="O7" s="22" t="str">
        <x:v>P0</x:v>
      </x:c>
      <x:c r="P7" s="34" t="str"/>
    </x:row>
    <x:row r="8">
      <x:c r="A8" s="33" t="str">
        <x:v>cash_ledger.presence_multiplier</x:v>
      </x:c>
      <x:c r="B8" s="22" t="str">
        <x:v>Audit offline Cash</x:v>
      </x:c>
      <x:c r="C8" s="22" t="str">
        <x:v>cash ledger</x:v>
      </x:c>
      <x:c r="D8" s="22" t="str">
        <x:v>Economy tick/catch-up</x:v>
      </x:c>
      <x:c r="E8" s="22" t="str">
        <x:v>Config version</x:v>
      </x:c>
      <x:c r="F8" s="22" t="str">
        <x:v>Yes</x:v>
      </x:c>
      <x:c r="G8" s="22" t="str">
        <x:v>tick id</x:v>
      </x:c>
      <x:c r="H8" s="22" t="str">
        <x:v>Presence state</x:v>
      </x:c>
      <x:c r="I8" s="22" t="str">
        <x:v>Cash efficiency</x:v>
      </x:c>
      <x:c r="J8" s="22" t="str">
        <x:v>Revenue score credit separate</x:v>
      </x:c>
      <x:c r="K8" s="22" t="str">
        <x:v>Yes</x:v>
      </x:c>
      <x:c r="L8" s="22" t="str">
        <x:v>Worker</x:v>
      </x:c>
      <x:c r="M8" s="22" t="str">
        <x:v>No</x:v>
      </x:c>
      <x:c r="N8" s="22" t="str">
        <x:v>No duplicate posting</x:v>
      </x:c>
      <x:c r="O8" s="22" t="str">
        <x:v>P0</x:v>
      </x:c>
      <x:c r="P8" s="34" t="str"/>
    </x:row>
    <x:row r="9">
      <x:c r="A9" s="33" t="str">
        <x:v>customer_delta.presence_multiplier</x:v>
      </x:c>
      <x:c r="B9" s="22" t="str">
        <x:v>Audit acquisition/churn</x:v>
      </x:c>
      <x:c r="C9" s="22" t="str">
        <x:v>customer delta ledger</x:v>
      </x:c>
      <x:c r="D9" s="22" t="str">
        <x:v>Customer catch-up</x:v>
      </x:c>
      <x:c r="E9" s="22" t="str">
        <x:v>Config version</x:v>
      </x:c>
      <x:c r="F9" s="22" t="str">
        <x:v>Yes</x:v>
      </x:c>
      <x:c r="G9" s="22" t="str">
        <x:v>bucket id</x:v>
      </x:c>
      <x:c r="H9" s="22" t="str">
        <x:v>Presence state</x:v>
      </x:c>
      <x:c r="I9" s="22" t="str">
        <x:v>Customer intensity</x:v>
      </x:c>
      <x:c r="J9" s="22" t="str">
        <x:v>Growth score credit separate</x:v>
      </x:c>
      <x:c r="K9" s="22" t="str">
        <x:v>Yes</x:v>
      </x:c>
      <x:c r="L9" s="22" t="str">
        <x:v>Worker</x:v>
      </x:c>
      <x:c r="M9" s="22" t="str">
        <x:v>No</x:v>
      </x:c>
      <x:c r="N9" s="22" t="str">
        <x:v>Replay</x:v>
      </x:c>
      <x:c r="O9" s="22" t="str">
        <x:v>P0</x:v>
      </x:c>
      <x:c r="P9" s="34" t="str"/>
    </x:row>
    <x:row r="10">
      <x:c r="A10" s="33" t="str">
        <x:v>performance_presence_credit</x:v>
      </x:c>
      <x:c r="B10" s="22" t="str">
        <x:v>Score filtering</x:v>
      </x:c>
      <x:c r="C10" s="22" t="str">
        <x:v>weekly aggregation config</x:v>
      </x:c>
      <x:c r="D10" s="22" t="str">
        <x:v>Performance service</x:v>
      </x:c>
      <x:c r="E10" s="22" t="str">
        <x:v>Epoch config</x:v>
      </x:c>
      <x:c r="F10" s="22" t="str">
        <x:v>Settlement ledger</x:v>
      </x:c>
      <x:c r="G10" s="22" t="str">
        <x:v>epoch+player+component</x:v>
      </x:c>
      <x:c r="H10" s="22" t="str">
        <x:v>N/A</x:v>
      </x:c>
      <x:c r="I10" s="22" t="str">
        <x:v>N/A</x:v>
      </x:c>
      <x:c r="J10" s="22" t="str">
        <x:v>Revenue/growth 25%, activity/hunts 0 offline</x:v>
      </x:c>
      <x:c r="K10" s="22" t="str">
        <x:v>Yes</x:v>
      </x:c>
      <x:c r="L10" s="22" t="str">
        <x:v>Server</x:v>
      </x:c>
      <x:c r="M10" s="22" t="str">
        <x:v>No</x:v>
      </x:c>
      <x:c r="N10" s="22" t="str">
        <x:v>Use frozen config</x:v>
      </x:c>
      <x:c r="O10" s="22" t="str">
        <x:v>P0</x:v>
      </x:c>
      <x:c r="P10" s="34" t="str"/>
    </x:row>
    <x:row r="11">
      <x:c r="A11" s="33" t="str">
        <x:v>active_minutes_daily</x:v>
      </x:c>
      <x:c r="B11" s="22" t="str">
        <x:v>Active-day qualification</x:v>
      </x:c>
      <x:c r="C11" s="22" t="str">
        <x:v>daily activity aggregate</x:v>
      </x:c>
      <x:c r="D11" s="22" t="str">
        <x:v>Session/action service</x:v>
      </x:c>
      <x:c r="E11" s="22" t="str">
        <x:v>Daily version</x:v>
      </x:c>
      <x:c r="F11" s="22" t="str">
        <x:v>Audit source events</x:v>
      </x:c>
      <x:c r="G11" s="22" t="str">
        <x:v>player+UTC day</x:v>
      </x:c>
      <x:c r="H11" s="22" t="str">
        <x:v>Engaged only</x:v>
      </x:c>
      <x:c r="I11" s="22" t="str">
        <x:v>N/A</x:v>
      </x:c>
      <x:c r="J11" s="22" t="str">
        <x:v>Eligibility gate</x:v>
      </x:c>
      <x:c r="K11" s="22" t="str">
        <x:v>Yes</x:v>
      </x:c>
      <x:c r="L11" s="22" t="str">
        <x:v>Server evidence</x:v>
      </x:c>
      <x:c r="M11" s="22" t="str">
        <x:v>No</x:v>
      </x:c>
      <x:c r="N11" s="22" t="str">
        <x:v>Recompute from action windows</x:v>
      </x:c>
      <x:c r="O11" s="22" t="str">
        <x:v>P0</x:v>
      </x:c>
      <x:c r="P11" s="34" t="str"/>
    </x:row>
    <x:row r="12">
      <x:c r="A12" s="33" t="str">
        <x:v>offline_summary_manifest</x:v>
      </x:c>
      <x:c r="B12" s="22" t="str">
        <x:v>Return UX</x:v>
      </x:c>
      <x:c r="C12" s="22" t="str">
        <x:v>summary/read model</x:v>
      </x:c>
      <x:c r="D12" s="22" t="str">
        <x:v>Catch-up coordinator</x:v>
      </x:c>
      <x:c r="E12" s="22" t="str">
        <x:v>Yes</x:v>
      </x:c>
      <x:c r="F12" s="22" t="str">
        <x:v>Optional audit</x:v>
      </x:c>
      <x:c r="G12" s="22" t="str">
        <x:v>offline_session_id</x:v>
      </x:c>
      <x:c r="H12" s="22" t="str">
        <x:v>Offline</x:v>
      </x:c>
      <x:c r="I12" s="22" t="str">
        <x:v>Bands processed</x:v>
      </x:c>
      <x:c r="J12" s="22" t="str">
        <x:v>Displays credit disclosure</x:v>
      </x:c>
      <x:c r="K12" s="22" t="str">
        <x:v>Yes</x:v>
      </x:c>
      <x:c r="L12" s="22" t="str">
        <x:v>Server</x:v>
      </x:c>
      <x:c r="M12" s="22" t="str">
        <x:v>No</x:v>
      </x:c>
      <x:c r="N12" s="22" t="str">
        <x:v>Partial summary allowed</x:v>
      </x:c>
      <x:c r="O12" s="22" t="str">
        <x:v>P1</x:v>
      </x:c>
      <x:c r="P12" s="34" t="str"/>
    </x:row>
    <x:row r="13">
      <x:c r="A13" s="35" t="str">
        <x:v>queued_personal_events</x:v>
      </x:c>
      <x:c r="B13" s="36" t="str">
        <x:v>Prevent punitive auto-choice</x:v>
      </x:c>
      <x:c r="C13" s="36" t="str">
        <x:v>event state</x:v>
      </x:c>
      <x:c r="D13" s="36" t="str">
        <x:v>Event scheduler</x:v>
      </x:c>
      <x:c r="E13" s="36" t="str">
        <x:v>Yes</x:v>
      </x:c>
      <x:c r="F13" s="36" t="str">
        <x:v>Event log</x:v>
      </x:c>
      <x:c r="G13" s="36" t="str">
        <x:v>player_event id</x:v>
      </x:c>
      <x:c r="H13" s="36" t="str">
        <x:v>Offline</x:v>
      </x:c>
      <x:c r="I13" s="36" t="str">
        <x:v>N/A</x:v>
      </x:c>
      <x:c r="J13" s="36" t="str">
        <x:v>No score until resolved</x:v>
      </x:c>
      <x:c r="K13" s="36" t="str">
        <x:v>Yes</x:v>
      </x:c>
      <x:c r="L13" s="36" t="str">
        <x:v>Server</x:v>
      </x:c>
      <x:c r="M13" s="36" t="str">
        <x:v>Choice only after return</x:v>
      </x:c>
      <x:c r="N13" s="36" t="str">
        <x:v>Safe neutral expiry</x:v>
      </x:c>
      <x:c r="O13" s="36" t="str">
        <x:v>P0</x:v>
      </x:c>
      <x:c r="P13" s="37" t="str"/>
    </x:row>
    <x:row r="15" ht="22" customHeight="1">
      <x:c r="A15" s="11" t="str">
        <x:v>Offline Catch-Up Order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</x:row>
    <x:row r="16">
      <x:c r="A16" s="14" t="str">
        <x:v>Order</x:v>
      </x:c>
      <x:c r="B16" s="14" t="str">
        <x:v>Step</x:v>
      </x:c>
    </x:row>
    <x:row r="17">
      <x:c r="A17" s="30" t="n">
        <x:v>1</x:v>
      </x:c>
      <x:c r="B17" s="32" t="str">
        <x:v>Resolve canonical elapsed time and cap at 12 hours for recurring economy/customer processing.</x:v>
      </x:c>
    </x:row>
    <x:row r="18">
      <x:c r="A18" s="33" t="n">
        <x:v>2</x:v>
      </x:c>
      <x:c r="B18" s="34" t="str">
        <x:v>Split elapsed time into Grace / Short / Medium / Long bands.</x:v>
      </x:c>
    </x:row>
    <x:row r="19">
      <x:c r="A19" s="33" t="n">
        <x:v>3</x:v>
      </x:c>
      <x:c r="B19" s="34" t="str">
        <x:v>Replay global event windows and completed building/timer state changes across those time buckets.</x:v>
      </x:c>
    </x:row>
    <x:row r="20">
      <x:c r="A20" s="33" t="n">
        <x:v>4</x:v>
      </x:c>
      <x:c r="B20" s="34" t="str">
        <x:v>Recompute building/layout/Module state whenever a timer/config boundary changes.</x:v>
      </x:c>
    </x:row>
    <x:row r="21">
      <x:c r="A21" s="33" t="n">
        <x:v>5</x:v>
      </x:c>
      <x:c r="B21" s="34" t="str">
        <x:v>Process customer acquisition/churn buckets using band intensity.</x:v>
      </x:c>
    </x:row>
    <x:row r="22">
      <x:c r="A22" s="33" t="n">
        <x:v>6</x:v>
      </x:c>
      <x:c r="B22" s="34" t="str">
        <x:v>Process signed net Cash ticks using band Cash efficiency.</x:v>
      </x:c>
    </x:row>
    <x:row r="23">
      <x:c r="A23" s="33" t="n">
        <x:v>7</x:v>
      </x:c>
      <x:c r="B23" s="34" t="str">
        <x:v>Evaluate Risk at offline cadence and create any valid incidents; do not create positive Rep events.</x:v>
      </x:c>
    </x:row>
    <x:row r="24">
      <x:c r="A24" s="33" t="n">
        <x:v>8</x:v>
      </x:c>
      <x:c r="B24" s="34" t="str">
        <x:v>Write presence-tagged ledgers/checkpoints idempotently.</x:v>
      </x:c>
    </x:row>
    <x:row r="25">
      <x:c r="A25" s="35" t="n">
        <x:v>9</x:v>
      </x:c>
      <x:c r="B25" s="37" t="str">
        <x:v>Build the return-summary manifest.</x:v>
      </x:c>
    </x:row>
    <x:row r="26">
      <x:c r="A26" s="35" t="n">
        <x:v>10</x:v>
      </x:c>
      <x:c r="B26" s="37" t="str">
        <x:v>Performance service later filters these same ledgers with offline component-credit rules.</x:v>
      </x:c>
    </x:row>
  </x:sheetData>
  <x:mergeCells>
    <x:mergeCell ref="A1:P1"/>
    <x:mergeCell ref="A15:P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Idle / Offline Economy Anti-Exploit Controls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Exploit</x:v>
      </x:c>
      <x:c r="B3" s="14" t="str">
        <x:v>Player Strategy</x:v>
      </x:c>
      <x:c r="C3" s="14" t="str">
        <x:v>Why Harmful</x:v>
      </x:c>
      <x:c r="D3" s="14" t="str">
        <x:v>Detection</x:v>
      </x:c>
      <x:c r="E3" s="14" t="str">
        <x:v>Economy Response</x:v>
      </x:c>
      <x:c r="F3" s="14" t="str">
        <x:v>Performance Response</x:v>
      </x:c>
      <x:c r="G3" s="14" t="str">
        <x:v>Event/Risk Response</x:v>
      </x:c>
      <x:c r="H3" s="14" t="str">
        <x:v>Backend Control</x:v>
      </x:c>
      <x:c r="I3" s="14" t="str">
        <x:v>False Positive Risk</x:v>
      </x:c>
      <x:c r="J3" s="14" t="str">
        <x:v>MVP?</x:v>
      </x:c>
      <x:c r="K3" s="14" t="str">
        <x:v>Severity</x:v>
      </x:c>
      <x:c r="L3" s="14" t="str">
        <x:v>Owner</x:v>
      </x:c>
      <x:c r="M3" s="14" t="str">
        <x:v>Metric</x:v>
      </x:c>
      <x:c r="N3" s="14" t="str">
        <x:v>Notes</x:v>
      </x:c>
    </x:row>
    <x:row r="4">
      <x:c r="A4" s="30" t="str">
        <x:v>Screen-on idling</x:v>
      </x:c>
      <x:c r="B4" s="31" t="str">
        <x:v>Leave app open overnight</x:v>
      </x:c>
      <x:c r="C4" s="31" t="str">
        <x:v>Would make 'online' state a passive multiplier</x:v>
      </x:c>
      <x:c r="D4" s="31" t="str">
        <x:v>No meaningful action &gt;20m</x:v>
      </x:c>
      <x:c r="E4" s="31" t="str">
        <x:v>Transition to AFK offline bands</x:v>
      </x:c>
      <x:c r="F4" s="31" t="str">
        <x:v>Activity/Hunts 0; revenue/growth offline credit only</x:v>
      </x:c>
      <x:c r="G4" s="31" t="str">
        <x:v>Offline event/risk rules</x:v>
      </x:c>
      <x:c r="H4" s="31" t="str">
        <x:v>last_meaningful_action_at</x:v>
      </x:c>
      <x:c r="I4" s="31" t="str">
        <x:v>Low</x:v>
      </x:c>
      <x:c r="J4" s="31" t="str">
        <x:v>Yes</x:v>
      </x:c>
      <x:c r="K4" s="31" t="str">
        <x:v>Critical</x:v>
      </x:c>
      <x:c r="L4" s="31" t="str">
        <x:v>Backend</x:v>
      </x:c>
      <x:c r="M4" s="31" t="str">
        <x:v>AFK hours / connected hours</x:v>
      </x:c>
      <x:c r="N4" s="32" t="str"/>
    </x:row>
    <x:row r="5">
      <x:c r="A5" s="33" t="str">
        <x:v>Reconnect farming</x:v>
      </x:c>
      <x:c r="B5" s="22" t="str">
        <x:v>Reconnect repeatedly to reset grace</x:v>
      </x:c>
      <x:c r="C5" s="22" t="str">
        <x:v>Could keep 100% grace forever</x:v>
      </x:c>
      <x:c r="D5" s="22" t="str">
        <x:v>Track continuous absence/presence session</x:v>
      </x:c>
      <x:c r="E5" s="22" t="str">
        <x:v>Grace is per genuine engaged→away transition; reconnect without meaningful action does not reset band clock</x:v>
      </x:c>
      <x:c r="F5" s="22" t="str">
        <x:v>No retroactive credit</x:v>
      </x:c>
      <x:c r="G5" s="22" t="str">
        <x:v>No reset</x:v>
      </x:c>
      <x:c r="H5" s="22" t="str">
        <x:v>offline_session_id + action requirement</x:v>
      </x:c>
      <x:c r="I5" s="22" t="str">
        <x:v>Low</x:v>
      </x:c>
      <x:c r="J5" s="22" t="str">
        <x:v>Yes</x:v>
      </x:c>
      <x:c r="K5" s="22" t="str">
        <x:v>Critical</x:v>
      </x:c>
      <x:c r="L5" s="22" t="str">
        <x:v>Backend</x:v>
      </x:c>
      <x:c r="M5" s="22" t="str">
        <x:v>Grace resets without actions</x:v>
      </x:c>
      <x:c r="N5" s="34" t="str"/>
    </x:row>
    <x:row r="6">
      <x:c r="A6" s="33" t="str">
        <x:v>Micro-action farming</x:v>
      </x:c>
      <x:c r="B6" s="22" t="str">
        <x:v>Tap cheap/no-op action every 19 min</x:v>
      </x:c>
      <x:c r="C6" s="22" t="str">
        <x:v>Could avoid AFK without playing</x:v>
      </x:c>
      <x:c r="D6" s="22" t="str">
        <x:v>Meaningful-action allowlist + rate/sequence checks</x:v>
      </x:c>
      <x:c r="E6" s="22" t="str">
        <x:v>Invalid actions do not reset AFK</x:v>
      </x:c>
      <x:c r="F6" s="22" t="str">
        <x:v>No active minutes/score credit</x:v>
      </x:c>
      <x:c r="G6" s="22" t="str">
        <x:v>Normal</x:v>
      </x:c>
      <x:c r="H6" s="22" t="str">
        <x:v>Server mutation evidence</x:v>
      </x:c>
      <x:c r="I6" s="22" t="str">
        <x:v>Medium</x:v>
      </x:c>
      <x:c r="J6" s="22" t="str">
        <x:v>Yes</x:v>
      </x:c>
      <x:c r="K6" s="22" t="str">
        <x:v>High</x:v>
      </x:c>
      <x:c r="L6" s="22" t="str">
        <x:v>Integrity</x:v>
      </x:c>
      <x:c r="M6" s="22" t="str">
        <x:v>Actions per active minute</x:v>
      </x:c>
      <x:c r="N6" s="34" t="str"/>
    </x:row>
    <x:row r="7">
      <x:c r="A7" s="33" t="str">
        <x:v>Logout during bad event</x:v>
      </x:c>
      <x:c r="B7" s="22" t="str">
        <x:v>Disconnect when market turns negative</x:v>
      </x:c>
      <x:c r="C7" s="22" t="str">
        <x:v>Could make absence defensive meta</x:v>
      </x:c>
      <x:c r="D7" s="22" t="str">
        <x:v>Event timeline overlaps offline buckets</x:v>
      </x:c>
      <x:c r="E7" s="22" t="str">
        <x:v>Global modifiers still apply; fixed costs not discounted</x:v>
      </x:c>
      <x:c r="F7" s="22" t="str">
        <x:v>Underlying negative metrics still score normally</x:v>
      </x:c>
      <x:c r="G7" s="22" t="str">
        <x:v>Critical/global events continue</x:v>
      </x:c>
      <x:c r="H7" s="22" t="str">
        <x:v>Event replay during catch-up</x:v>
      </x:c>
      <x:c r="I7" s="22" t="str">
        <x:v>Low</x:v>
      </x:c>
      <x:c r="J7" s="22" t="str">
        <x:v>Yes</x:v>
      </x:c>
      <x:c r="K7" s="22" t="str">
        <x:v>Critical</x:v>
      </x:c>
      <x:c r="L7" s="22" t="str">
        <x:v>Events</x:v>
      </x:c>
      <x:c r="M7" s="22" t="str">
        <x:v>Offline share during crises</x:v>
      </x:c>
      <x:c r="N7" s="34" t="str"/>
    </x:row>
    <x:row r="8">
      <x:c r="A8" s="33" t="str">
        <x:v>Logout to avoid churn/risk</x:v>
      </x:c>
      <x:c r="B8" s="22" t="str">
        <x:v>Leave when overloaded</x:v>
      </x:c>
      <x:c r="C8" s="22" t="str">
        <x:v>Could avoid consequences</x:v>
      </x:c>
      <x:c r="D8" s="22" t="str">
        <x:v>Presence timing vs overload/risk</x:v>
      </x:c>
      <x:c r="E8" s="22" t="str">
        <x:v>Churn/risk still process at reduced but nonzero intensity</x:v>
      </x:c>
      <x:c r="F8" s="22" t="str">
        <x:v>Snapshots reflect resulting state</x:v>
      </x:c>
      <x:c r="G8" s="22" t="str">
        <x:v>Risk minimum 50% intensity</x:v>
      </x:c>
      <x:c r="H8" s="22" t="str">
        <x:v>Offline processor</x:v>
      </x:c>
      <x:c r="I8" s="22" t="str">
        <x:v>Low</x:v>
      </x:c>
      <x:c r="J8" s="22" t="str">
        <x:v>Yes</x:v>
      </x:c>
      <x:c r="K8" s="22" t="str">
        <x:v>High</x:v>
      </x:c>
      <x:c r="L8" s="22" t="str">
        <x:v>Game Systems</x:v>
      </x:c>
      <x:c r="M8" s="22" t="str">
        <x:v>Offline after overload threshold</x:v>
      </x:c>
      <x:c r="N8" s="34" t="str"/>
    </x:row>
    <x:row r="9">
      <x:c r="A9" s="33" t="str">
        <x:v>Stay offline to farm Cash</x:v>
      </x:c>
      <x:c r="B9" s="22" t="str">
        <x:v>Never actively manage</x:v>
      </x:c>
      <x:c r="C9" s="22" t="str">
        <x:v>Could turn game into pure idle</x:v>
      </x:c>
      <x:c r="D9" s="22" t="str">
        <x:v>12h cap + declining Cash rates</x:v>
      </x:c>
      <x:c r="E9" s="22" t="str">
        <x:v>Revenue gets only 25% credit; Activity/Hunts 0</x:v>
      </x:c>
      <x:c r="F9" s="22" t="str">
        <x:v>Risk/events continue</x:v>
      </x:c>
      <x:c r="G9" s="22" t="str">
        <x:v>Cap cursor + presence tags</x:v>
      </x:c>
      <x:c r="H9" s="22" t="str">
        <x:v>Low</x:v>
      </x:c>
      <x:c r="I9" s="22" t="str">
        <x:v>Yes</x:v>
      </x:c>
      <x:c r="J9" s="22" t="str">
        <x:v>Critical</x:v>
      </x:c>
      <x:c r="K9" s="22" t="str">
        <x:v>Economy</x:v>
      </x:c>
      <x:c r="L9" s="22" t="str">
        <x:v>Offline Cash / total Cash</x:v>
      </x:c>
      <x:c r="M9" s="22" t="str"/>
      <x:c r="N9" s="34"/>
    </x:row>
    <x:row r="10">
      <x:c r="A10" s="33" t="str">
        <x:v>Session spoofing</x:v>
      </x:c>
      <x:c r="B10" s="22" t="str">
        <x:v>Fake client heartbeats/actions</x:v>
      </x:c>
      <x:c r="C10" s="22" t="str">
        <x:v>Could create engaged state</x:v>
      </x:c>
      <x:c r="D10" s="22" t="str">
        <x:v>Server validates actions and timing</x:v>
      </x:c>
      <x:c r="E10" s="22" t="str">
        <x:v>No effect from untrusted heartbeat</x:v>
      </x:c>
      <x:c r="F10" s="22" t="str">
        <x:v>No credit</x:v>
      </x:c>
      <x:c r="G10" s="22" t="str">
        <x:v>Normal</x:v>
      </x:c>
      <x:c r="H10" s="22" t="str">
        <x:v>Signed session + authoritative mutations</x:v>
      </x:c>
      <x:c r="I10" s="22" t="str">
        <x:v>Low</x:v>
      </x:c>
      <x:c r="J10" s="22" t="str">
        <x:v>Yes</x:v>
      </x:c>
      <x:c r="K10" s="22" t="str">
        <x:v>Critical</x:v>
      </x:c>
      <x:c r="L10" s="22" t="str">
        <x:v>Security</x:v>
      </x:c>
      <x:c r="M10" s="22" t="str">
        <x:v>Rejected engagement events</x:v>
      </x:c>
      <x:c r="N10" s="34" t="str"/>
    </x:row>
    <x:row r="11">
      <x:c r="A11" s="33" t="str">
        <x:v>Clock manipulation</x:v>
      </x:c>
      <x:c r="B11" s="22" t="str">
        <x:v>Client device time changes</x:v>
      </x:c>
      <x:c r="C11" s="22" t="str">
        <x:v>Could extend/rewind offline period</x:v>
      </x:c>
      <x:c r="D11" s="22" t="str">
        <x:v>Use UTC server time only</x:v>
      </x:c>
      <x:c r="E11" s="22" t="str">
        <x:v>Ignore client clock</x:v>
      </x:c>
      <x:c r="F11" s="22" t="str">
        <x:v>Ignore</x:v>
      </x:c>
      <x:c r="G11" s="22" t="str">
        <x:v>Ignore</x:v>
      </x:c>
      <x:c r="H11" s="22" t="str">
        <x:v>Server timestamps</x:v>
      </x:c>
      <x:c r="I11" s="22" t="str">
        <x:v>Low</x:v>
      </x:c>
      <x:c r="J11" s="22" t="str">
        <x:v>Yes</x:v>
      </x:c>
      <x:c r="K11" s="22" t="str">
        <x:v>Critical</x:v>
      </x:c>
      <x:c r="L11" s="22" t="str">
        <x:v>Platform</x:v>
      </x:c>
      <x:c r="M11" s="22" t="str">
        <x:v>Time mismatch attempts</x:v>
      </x:c>
      <x:c r="N11" s="34" t="str"/>
    </x:row>
    <x:row r="12">
      <x:c r="A12" s="33" t="str">
        <x:v>Duplicate catch-up</x:v>
      </x:c>
      <x:c r="B12" s="22" t="str">
        <x:v>Retry login/catch-up jobs</x:v>
      </x:c>
      <x:c r="C12" s="22" t="str">
        <x:v>Could double Cash/customers</x:v>
      </x:c>
      <x:c r="D12" s="22" t="str">
        <x:v>Idempotent offline session buckets</x:v>
      </x:c>
      <x:c r="E12" s="22" t="str">
        <x:v>Return previous processed result</x:v>
      </x:c>
      <x:c r="F12" s="22" t="str">
        <x:v>No duplicate score</x:v>
      </x:c>
      <x:c r="G12" s="22" t="str">
        <x:v>No duplicate risk/event replay</x:v>
      </x:c>
      <x:c r="H12" s="22" t="str">
        <x:v>offline_processed_until + bucket IDs</x:v>
      </x:c>
      <x:c r="I12" s="22" t="str">
        <x:v>Low</x:v>
      </x:c>
      <x:c r="J12" s="22" t="str">
        <x:v>Yes</x:v>
      </x:c>
      <x:c r="K12" s="22" t="str">
        <x:v>Critical</x:v>
      </x:c>
      <x:c r="L12" s="22" t="str">
        <x:v>Backend</x:v>
      </x:c>
      <x:c r="M12" s="22" t="str">
        <x:v>Duplicate bucket conflicts</x:v>
      </x:c>
      <x:c r="N12" s="34" t="str"/>
    </x:row>
    <x:row r="13">
      <x:c r="A13" s="35" t="str">
        <x:v>Alternate-account passive farm</x:v>
      </x:c>
      <x:c r="B13" s="36" t="str">
        <x:v>Many accounts accrue offline Cash</x:v>
      </x:c>
      <x:c r="C13" s="36" t="str">
        <x:v>Could farm ecosystem rewards</x:v>
      </x:c>
      <x:c r="D13" s="36" t="str">
        <x:v>Account/integrity systems</x:v>
      </x:c>
      <x:c r="E13" s="36" t="str">
        <x:v>Cash still capped/reduced</x:v>
      </x:c>
      <x:c r="F13" s="36" t="str">
        <x:v>Active-day + activity/Hunt requirements make passive accounts uncompetitive</x:v>
      </x:c>
      <x:c r="G13" s="36" t="str">
        <x:v>Normal</x:v>
      </x:c>
      <x:c r="H13" s="36" t="str">
        <x:v>Existing Sybil/integrity controls</x:v>
      </x:c>
      <x:c r="I13" s="36" t="str">
        <x:v>High</x:v>
      </x:c>
      <x:c r="J13" s="36" t="str">
        <x:v>Phase2</x:v>
      </x:c>
      <x:c r="K13" s="36" t="str">
        <x:v>High</x:v>
      </x:c>
      <x:c r="L13" s="36" t="str">
        <x:v>Integrity</x:v>
      </x:c>
      <x:c r="M13" s="36" t="str">
        <x:v>Low-active multi-account clusters</x:v>
      </x:c>
      <x:c r="N13" s="37" t="str"/>
    </x:row>
  </x:sheetData>
  <x:mergeCells>
    <x:mergeCell ref="A1:N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6" hidden="0" customWidth="1"/>
    <x:col min="16" max="16" width="26" hidden="0" customWidth="1"/>
    <x:col min="17" max="17" width="26" hidden="0" customWidth="1"/>
  </x:cols>
  <x:sheetData>
    <x:row r="1" ht="30" customHeight="1">
      <x:c r="A1" s="88" t="str">
        <x:v>Player Behavior Scenarios — Active vs Idle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Scenario</x:v>
      </x:c>
      <x:c r="B3" s="14" t="str">
        <x:v>Engaged Hours / Day</x:v>
      </x:c>
      <x:c r="C3" s="14" t="str">
        <x:v>Offline Windows / Day</x:v>
      </x:c>
      <x:c r="D3" s="14" t="str">
        <x:v>Offline Hours Processed / Day</x:v>
      </x:c>
      <x:c r="E3" s="14" t="str">
        <x:v>Frozen Hours / Day</x:v>
      </x:c>
      <x:c r="F3" s="14" t="str">
        <x:v>Active Cash Equivalent Hours</x:v>
      </x:c>
      <x:c r="G3" s="14" t="str">
        <x:v>Offline Cash Equivalent Hours</x:v>
      </x:c>
      <x:c r="H3" s="14" t="str">
        <x:v>Total Cash Equivalent Hours</x:v>
      </x:c>
      <x:c r="I3" s="14" t="str">
        <x:v>Cash vs 24h Fully Engaged</x:v>
      </x:c>
      <x:c r="J3" s="14" t="str">
        <x:v>Activity Credit</x:v>
      </x:c>
      <x:c r="K3" s="14" t="str">
        <x:v>Revenue Score Relative</x:v>
      </x:c>
      <x:c r="L3" s="14" t="str">
        <x:v>Growth Score Relative</x:v>
      </x:c>
      <x:c r="M3" s="14" t="str">
        <x:v>Hunt Progress</x:v>
      </x:c>
      <x:c r="N3" s="14" t="str">
        <x:v>Active-Day Eligible?</x:v>
      </x:c>
      <x:c r="O3" s="14" t="str">
        <x:v>Expected Competitive Result</x:v>
      </x:c>
      <x:c r="P3" s="14" t="str">
        <x:v>Player Experience</x:v>
      </x:c>
      <x:c r="Q3" s="14" t="str">
        <x:v>Notes</x:v>
      </x:c>
    </x:row>
    <x:row r="4">
      <x:c r="A4" s="30" t="str">
        <x:v>Highly active operator</x:v>
      </x:c>
      <x:c r="B4" s="60" t="n">
        <x:v>4</x:v>
      </x:c>
      <x:c r="C4" s="60" t="n">
        <x:v>2</x:v>
      </x:c>
      <x:c r="D4" s="60" t="n">
        <x:v>20</x:v>
      </x:c>
      <x:c r="E4" s="60" t="n">
        <x:v>0</x:v>
      </x:c>
      <x:c r="F4" s="60" t="n">
        <x:v>4</x:v>
      </x:c>
      <x:c r="G4" s="60" t="n">
        <x:f>IF(C4=0,0,C4*(MIN(D4/C4,0.5)*1+MAX(0,MIN(D4/C4,2)-0.5)*0.65+MAX(0,MIN(D4/C4,6)-2)*0.5+MAX(0,MIN(D4/C4,12)-6)*0.35))</x:f>
        <x:v>9.75</x:v>
      </x:c>
      <x:c r="H4" s="60" t="n">
        <x:f>F4+G4</x:f>
        <x:v>13.75</x:v>
      </x:c>
      <x:c r="I4" s="46" t="n">
        <x:f>H4/24</x:f>
        <x:v>0.5729166666666666</x:v>
      </x:c>
      <x:c r="J4" s="46" t="str">
        <x:v>High</x:v>
      </x:c>
      <x:c r="K4" s="46" t="n">
        <x:f>IF(C4=0,F4/24,(F4+C4*(MIN(D4/C4,0.5)*1+MAX(0,MIN(D4/C4,2)-0.5)*0.65*0.25+MAX(0,MIN(D4/C4,6)-2)*0.5*0.25+MAX(0,MIN(D4/C4,12)-6)*0.35*0.25))/24)</x:f>
        <x:v>0.2994791666666667</x:v>
      </x:c>
      <x:c r="L4" s="46" t="n">
        <x:f>IF(C4=0,F4/24,(F4+C4*(MIN(D4/C4,0.5)*1+MAX(0,MIN(D4/C4,2)-0.5)*0.4*0.25+MAX(0,MIN(D4/C4,6)-2)*0.3*0.25+MAX(0,MIN(D4/C4,12)-6)*0.2*0.25))/24)</x:f>
        <x:v>0.2625</x:v>
      </x:c>
      <x:c r="M4" s="31" t="str">
        <x:v>High</x:v>
      </x:c>
      <x:c r="N4" s="31" t="str">
        <x:v>Yes</x:v>
      </x:c>
      <x:c r="O4" s="31" t="str">
        <x:v>Strongest</x:v>
      </x:c>
      <x:c r="P4" s="32" t="str">
        <x:v>Two substantial sessions/day</x:v>
      </x:c>
      <x:c r="Q4" s="32" t="str">
        <x:v>Each offline window ~10h</x:v>
      </x:c>
    </x:row>
    <x:row r="5">
      <x:c r="A5" s="33" t="str">
        <x:v>Twice-daily manager</x:v>
      </x:c>
      <x:c r="B5" s="61" t="n">
        <x:v>1.5</x:v>
      </x:c>
      <x:c r="C5" s="61" t="n">
        <x:v>2</x:v>
      </x:c>
      <x:c r="D5" s="61" t="n">
        <x:v>22.5</x:v>
      </x:c>
      <x:c r="E5" s="61" t="n">
        <x:v>0</x:v>
      </x:c>
      <x:c r="F5" s="61" t="n">
        <x:v>1.5</x:v>
      </x:c>
      <x:c r="G5" s="61" t="n">
        <x:f>IF(C5=0,0,C5*(MIN(D5/C5,0.5)*1+MAX(0,MIN(D5/C5,2)-0.5)*0.65+MAX(0,MIN(D5/C5,6)-2)*0.5+MAX(0,MIN(D5/C5,12)-6)*0.35))</x:f>
        <x:v>10.625</x:v>
      </x:c>
      <x:c r="H5" s="61" t="n">
        <x:f>F5+G5</x:f>
        <x:v>12.125</x:v>
      </x:c>
      <x:c r="I5" s="47" t="n">
        <x:f>H5/24</x:f>
        <x:v>0.5052083333333334</x:v>
      </x:c>
      <x:c r="J5" s="47" t="str">
        <x:v>Medium</x:v>
      </x:c>
      <x:c r="K5" s="47" t="n">
        <x:f>IF(C5=0,F5/24,(F5+C5*(MIN(D5/C5,0.5)*1+MAX(0,MIN(D5/C5,2)-0.5)*0.65*0.25+MAX(0,MIN(D5/C5,6)-2)*0.5*0.25+MAX(0,MIN(D5/C5,12)-6)*0.35*0.25))/24)</x:f>
        <x:v>0.20442708333333334</x:v>
      </x:c>
      <x:c r="L5" s="47" t="n">
        <x:f>IF(C5=0,F5/24,(F5+C5*(MIN(D5/C5,0.5)*1+MAX(0,MIN(D5/C5,2)-0.5)*0.4*0.25+MAX(0,MIN(D5/C5,6)-2)*0.3*0.25+MAX(0,MIN(D5/C5,12)-6)*0.2*0.25))/24)</x:f>
        <x:v>0.16354166666666667</x:v>
      </x:c>
      <x:c r="M5" s="22" t="str">
        <x:v>Medium</x:v>
      </x:c>
      <x:c r="N5" s="22" t="str">
        <x:v>Yes</x:v>
      </x:c>
      <x:c r="O5" s="22" t="str">
        <x:v>Competitive if operations are good</x:v>
      </x:c>
      <x:c r="P5" s="34" t="str">
        <x:v>Two qualifying short sessions/day</x:v>
      </x:c>
      <x:c r="Q5" s="34" t="str">
        <x:v>Each offline window ~11.25h</x:v>
      </x:c>
    </x:row>
    <x:row r="6">
      <x:c r="A6" s="33" t="str">
        <x:v>Healthy daily player</x:v>
      </x:c>
      <x:c r="B6" s="61" t="n">
        <x:v>1</x:v>
      </x:c>
      <x:c r="C6" s="61" t="n">
        <x:v>1</x:v>
      </x:c>
      <x:c r="D6" s="61" t="n">
        <x:v>12</x:v>
      </x:c>
      <x:c r="E6" s="61" t="n">
        <x:v>11</x:v>
      </x:c>
      <x:c r="F6" s="61" t="n">
        <x:v>1</x:v>
      </x:c>
      <x:c r="G6" s="61" t="n">
        <x:f>IF(C6=0,0,C6*(MIN(D6/C6,0.5)*1+MAX(0,MIN(D6/C6,2)-0.5)*0.65+MAX(0,MIN(D6/C6,6)-2)*0.5+MAX(0,MIN(D6/C6,12)-6)*0.35))</x:f>
        <x:v>5.574999999999999</x:v>
      </x:c>
      <x:c r="H6" s="61" t="n">
        <x:f>F6+G6</x:f>
        <x:v>6.574999999999999</x:v>
      </x:c>
      <x:c r="I6" s="47" t="n">
        <x:f>H6/24</x:f>
        <x:v>0.2739583333333333</x:v>
      </x:c>
      <x:c r="J6" s="47" t="str">
        <x:v>Medium</x:v>
      </x:c>
      <x:c r="K6" s="47" t="n">
        <x:f>IF(C6=0,F6/24,(F6+C6*(MIN(D6/C6,0.5)*1+MAX(0,MIN(D6/C6,2)-0.5)*0.65*0.25+MAX(0,MIN(D6/C6,6)-2)*0.5*0.25+MAX(0,MIN(D6/C6,12)-6)*0.35*0.25))/24)</x:f>
        <x:v>0.11536458333333333</x:v>
      </x:c>
      <x:c r="L6" s="47" t="n">
        <x:f>IF(C6=0,F6/24,(F6+C6*(MIN(D6/C6,0.5)*1+MAX(0,MIN(D6/C6,2)-0.5)*0.4*0.25+MAX(0,MIN(D6/C6,6)-2)*0.3*0.25+MAX(0,MIN(D6/C6,12)-6)*0.2*0.25))/24)</x:f>
        <x:v>0.09375</x:v>
      </x:c>
      <x:c r="M6" s="22" t="str">
        <x:v>Medium</x:v>
      </x:c>
      <x:c r="N6" s="22" t="str">
        <x:v>Yes</x:v>
      </x:c>
      <x:c r="O6" s="22" t="str">
        <x:v>Competitive but lower economy than twice-daily</x:v>
      </x:c>
      <x:c r="P6" s="34" t="str">
        <x:v>One solid session/day</x:v>
      </x:c>
      <x:c r="Q6" s="34" t="str">
        <x:v>Offline cap reached after 12h</x:v>
      </x:c>
    </x:row>
    <x:row r="7">
      <x:c r="A7" s="33" t="str">
        <x:v>Minimal qualifier</x:v>
      </x:c>
      <x:c r="B7" s="61" t="n">
        <x:v>0.2</x:v>
      </x:c>
      <x:c r="C7" s="61" t="n">
        <x:v>1</x:v>
      </x:c>
      <x:c r="D7" s="61" t="n">
        <x:v>12</x:v>
      </x:c>
      <x:c r="E7" s="61" t="n">
        <x:v>11.8</x:v>
      </x:c>
      <x:c r="F7" s="61" t="n">
        <x:v>0.2</x:v>
      </x:c>
      <x:c r="G7" s="61" t="n">
        <x:f>IF(C7=0,0,C7*(MIN(D7/C7,0.5)*1+MAX(0,MIN(D7/C7,2)-0.5)*0.65+MAX(0,MIN(D7/C7,6)-2)*0.5+MAX(0,MIN(D7/C7,12)-6)*0.35))</x:f>
        <x:v>5.574999999999999</x:v>
      </x:c>
      <x:c r="H7" s="61" t="n">
        <x:f>F7+G7</x:f>
        <x:v>5.7749999999999995</x:v>
      </x:c>
      <x:c r="I7" s="47" t="n">
        <x:f>H7/24</x:f>
        <x:v>0.24062499999999998</x:v>
      </x:c>
      <x:c r="J7" s="47" t="str">
        <x:v>Low</x:v>
      </x:c>
      <x:c r="K7" s="47" t="n">
        <x:f>IF(C7=0,F7/24,(F7+C7*(MIN(D7/C7,0.5)*1+MAX(0,MIN(D7/C7,2)-0.5)*0.65*0.25+MAX(0,MIN(D7/C7,6)-2)*0.5*0.25+MAX(0,MIN(D7/C7,12)-6)*0.35*0.25))/24)</x:f>
        <x:v>0.08203124999999999</x:v>
      </x:c>
      <x:c r="L7" s="47" t="n">
        <x:f>IF(C7=0,F7/24,(F7+C7*(MIN(D7/C7,0.5)*1+MAX(0,MIN(D7/C7,2)-0.5)*0.4*0.25+MAX(0,MIN(D7/C7,6)-2)*0.3*0.25+MAX(0,MIN(D7/C7,12)-6)*0.2*0.25))/24)</x:f>
        <x:v>0.06041666666666667</x:v>
      </x:c>
      <x:c r="M7" s="22" t="str">
        <x:v>Low</x:v>
      </x:c>
      <x:c r="N7" s="22" t="str">
        <x:v>Potentially, if 10 min + state change</x:v>
      </x:c>
      <x:c r="O7" s="22" t="str">
        <x:v>Low-mid</x:v>
      </x:c>
      <x:c r="P7" s="34" t="str">
        <x:v>Bare minimum active session</x:v>
      </x:c>
      <x:c r="Q7" s="34" t="str">
        <x:v>Not best strategy</x:v>
      </x:c>
    </x:row>
    <x:row r="8">
      <x:c r="A8" s="35" t="str">
        <x:v>Pure idle / no return</x:v>
      </x:c>
      <x:c r="B8" s="62" t="n">
        <x:v>0</x:v>
      </x:c>
      <x:c r="C8" s="62" t="n">
        <x:v>1</x:v>
      </x:c>
      <x:c r="D8" s="62" t="n">
        <x:v>12</x:v>
      </x:c>
      <x:c r="E8" s="62" t="n">
        <x:v>12</x:v>
      </x:c>
      <x:c r="F8" s="62" t="n">
        <x:v>0</x:v>
      </x:c>
      <x:c r="G8" s="62" t="n">
        <x:f>IF(C8=0,0,C8*(MIN(D8/C8,0.5)*1+MAX(0,MIN(D8/C8,2)-0.5)*0.65+MAX(0,MIN(D8/C8,6)-2)*0.5+MAX(0,MIN(D8/C8,12)-6)*0.35))</x:f>
        <x:v>5.574999999999999</x:v>
      </x:c>
      <x:c r="H8" s="62" t="n">
        <x:f>F8+G8</x:f>
        <x:v>5.574999999999999</x:v>
      </x:c>
      <x:c r="I8" s="48" t="n">
        <x:f>H8/24</x:f>
        <x:v>0.23229166666666665</x:v>
      </x:c>
      <x:c r="J8" s="48" t="str">
        <x:v>Zero</x:v>
      </x:c>
      <x:c r="K8" s="48" t="n">
        <x:f>IF(C8=0,F8/24,(F8+C8*(MIN(D8/C8,0.5)*1+MAX(0,MIN(D8/C8,2)-0.5)*0.65*0.25+MAX(0,MIN(D8/C8,6)-2)*0.5*0.25+MAX(0,MIN(D8/C8,12)-6)*0.35*0.25))/24)</x:f>
        <x:v>0.07369791666666665</x:v>
      </x:c>
      <x:c r="L8" s="48" t="n">
        <x:f>IF(C8=0,F8/24,(F8+C8*(MIN(D8/C8,0.5)*1+MAX(0,MIN(D8/C8,2)-0.5)*0.4*0.25+MAX(0,MIN(D8/C8,6)-2)*0.3*0.25+MAX(0,MIN(D8/C8,12)-6)*0.2*0.25))/24)</x:f>
        <x:v>0.052083333333333336</x:v>
      </x:c>
      <x:c r="M8" s="36" t="str">
        <x:v>Zero</x:v>
      </x:c>
      <x:c r="N8" s="36" t="str">
        <x:v>No</x:v>
      </x:c>
      <x:c r="O8" s="36" t="str">
        <x:v>Ineligible / noncompetitive</x:v>
      </x:c>
      <x:c r="P8" s="37" t="str">
        <x:v>Preservation only</x:v>
      </x:c>
      <x:c r="Q8" s="37" t="str">
        <x:v>After 12h economy freezes</x:v>
      </x:c>
    </x:row>
    <x:row r="10" ht="22" customHeight="1">
      <x:c r="A10" s="11" t="str">
        <x:v>Scenario Interpretation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4" t="str">
        <x:v>Observation</x:v>
      </x:c>
      <x:c r="B11" s="14" t="str">
        <x:v>Meaning</x:v>
      </x:c>
    </x:row>
    <x:row r="12">
      <x:c r="A12" s="30" t="str">
        <x:v>Pure idle is not competitive</x:v>
      </x:c>
      <x:c r="B12" s="32" t="str">
        <x:v>After 12h recurring economy freezes; Activity and Hunts produce zero Performance credit and active-day eligibility is not met.</x:v>
      </x:c>
    </x:row>
    <x:row r="13">
      <x:c r="A13" s="33" t="str">
        <x:v>Daily play remains meaningful</x:v>
      </x:c>
      <x:c r="B13" s="34" t="str">
        <x:v>A short but genuine management session provides active Activity/Hunt opportunities, refreshes the offline window and prevents indefinite freeze.</x:v>
      </x:c>
    </x:row>
    <x:row r="14">
      <x:c r="A14" s="33" t="str">
        <x:v>No screen-on requirement</x:v>
      </x:c>
      <x:c r="B14" s="34" t="str">
        <x:v>The player is not asked to keep the app open for timers; construction, event time and offline economy process server-side.</x:v>
      </x:c>
    </x:row>
    <x:row r="15">
      <x:c r="A15" s="35" t="str">
        <x:v>More active management remains best</x:v>
      </x:c>
      <x:c r="B15" s="37" t="str">
        <x:v>Engaged periods produce full Cash/customer changes and full eligible Performance flows, while AFK/offline periods are sharply discounted competitively.</x:v>
      </x:c>
    </x:row>
  </x:sheetData>
  <x:mergeCells>
    <x:mergeCell ref="A1:P1"/>
    <x:mergeCell ref="A10:P1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12-Hour Offline Impact by Empire Stage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Stage</x:v>
      </x:c>
      <x:c r="B3" s="14" t="str">
        <x:v>Active Net Cash / Day</x:v>
      </x:c>
      <x:c r="C3" s="14" t="str">
        <x:v>Active Customers</x:v>
      </x:c>
      <x:c r="D3" s="14" t="str">
        <x:v>Utilization</x:v>
      </x:c>
      <x:c r="E3" s="14" t="str">
        <x:v>Activity / Day</x:v>
      </x:c>
      <x:c r="F3" s="14" t="str">
        <x:v>Reputation</x:v>
      </x:c>
      <x:c r="G3" s="14" t="str">
        <x:v>Risk Index</x:v>
      </x:c>
      <x:c r="H3" s="14" t="str">
        <x:v>Active Cash / Hour</x:v>
      </x:c>
      <x:c r="I3" s="14" t="str">
        <x:v>12h Fully Active Cash</x:v>
      </x:c>
      <x:c r="J3" s="14" t="str">
        <x:v>12h Offline Cash</x:v>
      </x:c>
      <x:c r="K3" s="14" t="str">
        <x:v>Offline Cash % of Active</x:v>
      </x:c>
      <x:c r="L3" s="14" t="str">
        <x:v>Performance-Eligible Offline Revenue</x:v>
      </x:c>
      <x:c r="M3" s="14" t="str">
        <x:v>Perf Revenue % of Active 12h</x:v>
      </x:c>
      <x:c r="N3" s="14" t="str">
        <x:v>Customer Simulation Equivalent Hours</x:v>
      </x:c>
      <x:c r="O3" s="14" t="str">
        <x:v>Customer Simulation % of Active 12h</x:v>
      </x:c>
      <x:c r="P3" s="14" t="str">
        <x:v>Notes</x:v>
      </x:c>
    </x:row>
    <x:row r="4">
      <x:c r="A4" s="30" t="str">
        <x:v>Humble</x:v>
      </x:c>
      <x:c r="B4" s="66" t="n">
        <x:v>2990.5</x:v>
      </x:c>
      <x:c r="C4" s="74" t="n">
        <x:v>240.4</x:v>
      </x:c>
      <x:c r="D4" s="46" t="n">
        <x:v>0.5501</x:v>
      </x:c>
      <x:c r="E4" s="74" t="n">
        <x:v>701.2</x:v>
      </x:c>
      <x:c r="F4" s="74" t="n">
        <x:v>55</x:v>
      </x:c>
      <x:c r="G4" s="74" t="n">
        <x:v>10</x:v>
      </x:c>
      <x:c r="H4" s="66" t="n">
        <x:f>B4/24</x:f>
        <x:v>124.60416666666667</x:v>
      </x:c>
      <x:c r="I4" s="66" t="n">
        <x:f>H4*12</x:f>
        <x:v>1495.25</x:v>
      </x:c>
      <x:c r="J4" s="66" t="n">
        <x:f>H4*((0.5*1)+(1.5*0.65)+(4*0.5)+(6*0.35))</x:f>
        <x:v>694.6682291666666</x:v>
      </x:c>
      <x:c r="K4" s="46" t="n">
        <x:f>J4/I4</x:f>
        <x:v>0.4645833333333333</x:v>
      </x:c>
      <x:c r="L4" s="66" t="n">
        <x:f>H4*((0.5*1*1)+(1.5*0.65*0.25)+(4*0.5*0.25)+(6*0.35*0.25))</x:f>
        <x:v>220.39361979166665</x:v>
      </x:c>
      <x:c r="M4" s="46" t="n">
        <x:f>L4/I4</x:f>
        <x:v>0.14739583333333334</x:v>
      </x:c>
      <x:c r="N4" s="60" t="n">
        <x:f>(0.5*1)+(1.5*0.4)+(4*0.3)+(6*0.2)</x:f>
        <x:v>3.5</x:v>
      </x:c>
      <x:c r="O4" s="46" t="n">
        <x:f>N4/12</x:f>
        <x:v>0.2916666666666667</x:v>
      </x:c>
      <x:c r="P4" s="32" t="str">
        <x:v>Same ratios at all stages; no stage receives a passive advantage.</x:v>
      </x:c>
    </x:row>
    <x:row r="5">
      <x:c r="A5" s="33" t="str">
        <x:v>Starter</x:v>
      </x:c>
      <x:c r="B5" s="67" t="n">
        <x:v>50100.4</x:v>
      </x:c>
      <x:c r="C5" s="75" t="n">
        <x:v>3341.4</x:v>
      </x:c>
      <x:c r="D5" s="47" t="n">
        <x:v>0.4911</x:v>
      </x:c>
      <x:c r="E5" s="75" t="n">
        <x:v>9623.1</x:v>
      </x:c>
      <x:c r="F5" s="75" t="n">
        <x:v>62</x:v>
      </x:c>
      <x:c r="G5" s="75" t="n">
        <x:v>12</x:v>
      </x:c>
      <x:c r="H5" s="67" t="n">
        <x:f>B5/24</x:f>
        <x:v>2087.516666666667</x:v>
      </x:c>
      <x:c r="I5" s="67" t="n">
        <x:f>H5*12</x:f>
        <x:v>25050.200000000004</x:v>
      </x:c>
      <x:c r="J5" s="67" t="n">
        <x:f>H5*((0.5*1)+(1.5*0.65)+(4*0.5)+(6*0.35))</x:f>
        <x:v>11637.905416666666</x:v>
      </x:c>
      <x:c r="K5" s="47" t="n">
        <x:f>J5/I5</x:f>
        <x:v>0.46458333333333324</x:v>
      </x:c>
      <x:c r="L5" s="67" t="n">
        <x:f>H5*((0.5*1*1)+(1.5*0.65*0.25)+(4*0.5*0.25)+(6*0.35*0.25))</x:f>
        <x:v>3692.2951041666665</x:v>
      </x:c>
      <x:c r="M5" s="47" t="n">
        <x:f>L5/I5</x:f>
        <x:v>0.1473958333333333</x:v>
      </x:c>
      <x:c r="N5" s="61" t="n">
        <x:f>(0.5*1)+(1.5*0.4)+(4*0.3)+(6*0.2)</x:f>
        <x:v>3.5</x:v>
      </x:c>
      <x:c r="O5" s="47" t="n">
        <x:f>N5/12</x:f>
        <x:v>0.2916666666666667</x:v>
      </x:c>
      <x:c r="P5" s="34" t="str">
        <x:v>Same ratios at all stages; no stage receives a passive advantage.</x:v>
      </x:c>
    </x:row>
    <x:row r="6">
      <x:c r="A6" s="33" t="str">
        <x:v>Growing</x:v>
      </x:c>
      <x:c r="B6" s="67" t="n">
        <x:v>487748.1</x:v>
      </x:c>
      <x:c r="C6" s="75" t="n">
        <x:v>26802.3</x:v>
      </x:c>
      <x:c r="D6" s="47" t="n">
        <x:v>0.5575</x:v>
      </x:c>
      <x:c r="E6" s="75" t="n">
        <x:v>81245.8</x:v>
      </x:c>
      <x:c r="F6" s="75" t="n">
        <x:v>70</x:v>
      </x:c>
      <x:c r="G6" s="75" t="n">
        <x:v>14</x:v>
      </x:c>
      <x:c r="H6" s="67" t="n">
        <x:f>B6/24</x:f>
        <x:v>20322.837499999998</x:v>
      </x:c>
      <x:c r="I6" s="67" t="n">
        <x:f>H6*12</x:f>
        <x:v>243874.05</x:v>
      </x:c>
      <x:c r="J6" s="67" t="n">
        <x:f>H6*((0.5*1)+(1.5*0.65)+(4*0.5)+(6*0.35))</x:f>
        <x:v>113299.81906249997</x:v>
      </x:c>
      <x:c r="K6" s="47" t="n">
        <x:f>J6/I6</x:f>
        <x:v>0.46458333333333324</x:v>
      </x:c>
      <x:c r="L6" s="67" t="n">
        <x:f>H6*((0.5*1*1)+(1.5*0.65*0.25)+(4*0.5*0.25)+(6*0.35*0.25))</x:f>
        <x:v>35946.018828124994</x:v>
      </x:c>
      <x:c r="M6" s="47" t="n">
        <x:f>L6/I6</x:f>
        <x:v>0.1473958333333333</x:v>
      </x:c>
      <x:c r="N6" s="61" t="n">
        <x:f>(0.5*1)+(1.5*0.4)+(4*0.3)+(6*0.2)</x:f>
        <x:v>3.5</x:v>
      </x:c>
      <x:c r="O6" s="47" t="n">
        <x:f>N6/12</x:f>
        <x:v>0.2916666666666667</x:v>
      </x:c>
      <x:c r="P6" s="34" t="str">
        <x:v>Same ratios at all stages; no stage receives a passive advantage.</x:v>
      </x:c>
    </x:row>
    <x:row r="7">
      <x:c r="A7" s="33" t="str">
        <x:v>Established</x:v>
      </x:c>
      <x:c r="B7" s="67" t="n">
        <x:v>4071247.6</x:v>
      </x:c>
      <x:c r="C7" s="75" t="n">
        <x:v>158907.2</x:v>
      </x:c>
      <x:c r="D7" s="47" t="n">
        <x:v>0.5804</x:v>
      </x:c>
      <x:c r="E7" s="75" t="n">
        <x:v>548164</x:v>
      </x:c>
      <x:c r="F7" s="75" t="n">
        <x:v>78</x:v>
      </x:c>
      <x:c r="G7" s="75" t="n">
        <x:v>16</x:v>
      </x:c>
      <x:c r="H7" s="67" t="n">
        <x:f>B7/24</x:f>
        <x:v>169635.31666666668</x:v>
      </x:c>
      <x:c r="I7" s="67" t="n">
        <x:f>H7*12</x:f>
        <x:v>2035623.8000000003</x:v>
      </x:c>
      <x:c r="J7" s="67" t="n">
        <x:f>H7*((0.5*1)+(1.5*0.65)+(4*0.5)+(6*0.35))</x:f>
        <x:v>945716.8904166666</x:v>
      </x:c>
      <x:c r="K7" s="47" t="n">
        <x:f>J7/I7</x:f>
        <x:v>0.46458333333333324</x:v>
      </x:c>
      <x:c r="L7" s="67" t="n">
        <x:f>H7*((0.5*1*1)+(1.5*0.65*0.25)+(4*0.5*0.25)+(6*0.35*0.25))</x:f>
        <x:v>300042.4663541667</x:v>
      </x:c>
      <x:c r="M7" s="47" t="n">
        <x:f>L7/I7</x:f>
        <x:v>0.1473958333333333</x:v>
      </x:c>
      <x:c r="N7" s="61" t="n">
        <x:f>(0.5*1)+(1.5*0.4)+(4*0.3)+(6*0.2)</x:f>
        <x:v>3.5</x:v>
      </x:c>
      <x:c r="O7" s="47" t="n">
        <x:f>N7/12</x:f>
        <x:v>0.2916666666666667</x:v>
      </x:c>
      <x:c r="P7" s="34" t="str">
        <x:v>Same ratios at all stages; no stage receives a passive advantage.</x:v>
      </x:c>
    </x:row>
    <x:row r="8">
      <x:c r="A8" s="33" t="str">
        <x:v>Elite</x:v>
      </x:c>
      <x:c r="B8" s="67" t="n">
        <x:v>14792354.6</x:v>
      </x:c>
      <x:c r="C8" s="75" t="n">
        <x:v>461056.2</x:v>
      </x:c>
      <x:c r="D8" s="47" t="n">
        <x:v>0.8436</x:v>
      </x:c>
      <x:c r="E8" s="75" t="n">
        <x:v>1806094</x:v>
      </x:c>
      <x:c r="F8" s="75" t="n">
        <x:v>86</x:v>
      </x:c>
      <x:c r="G8" s="75" t="n">
        <x:v>18</x:v>
      </x:c>
      <x:c r="H8" s="67" t="n">
        <x:f>B8/24</x:f>
        <x:v>616348.1083333333</x:v>
      </x:c>
      <x:c r="I8" s="67" t="n">
        <x:f>H8*12</x:f>
        <x:v>7396177.299999999</x:v>
      </x:c>
      <x:c r="J8" s="67" t="n">
        <x:f>H8*((0.5*1)+(1.5*0.65)+(4*0.5)+(6*0.35))</x:f>
        <x:v>3436140.7039583325</x:v>
      </x:c>
      <x:c r="K8" s="47" t="n">
        <x:f>J8/I8</x:f>
        <x:v>0.4645833333333333</x:v>
      </x:c>
      <x:c r="L8" s="67" t="n">
        <x:f>H8*((0.5*1*1)+(1.5*0.65*0.25)+(4*0.5*0.25)+(6*0.35*0.25))</x:f>
        <x:v>1090165.716614583</x:v>
      </x:c>
      <x:c r="M8" s="47" t="n">
        <x:f>L8/I8</x:f>
        <x:v>0.1473958333333333</x:v>
      </x:c>
      <x:c r="N8" s="61" t="n">
        <x:f>(0.5*1)+(1.5*0.4)+(4*0.3)+(6*0.2)</x:f>
        <x:v>3.5</x:v>
      </x:c>
      <x:c r="O8" s="47" t="n">
        <x:f>N8/12</x:f>
        <x:v>0.2916666666666667</x:v>
      </x:c>
      <x:c r="P8" s="34" t="str">
        <x:v>Same ratios at all stages; no stage receives a passive advantage.</x:v>
      </x:c>
    </x:row>
    <x:row r="9">
      <x:c r="A9" s="35" t="str">
        <x:v>Tycoon</x:v>
      </x:c>
      <x:c r="B9" s="68" t="n">
        <x:v>45738213.5</x:v>
      </x:c>
      <x:c r="C9" s="76" t="n">
        <x:v>1243100.8</x:v>
      </x:c>
      <x:c r="D9" s="48" t="n">
        <x:v>0.9442</x:v>
      </x:c>
      <x:c r="E9" s="76" t="n">
        <x:v>4341887.6</x:v>
      </x:c>
      <x:c r="F9" s="76" t="n">
        <x:v>92</x:v>
      </x:c>
      <x:c r="G9" s="76" t="n">
        <x:v>20</x:v>
      </x:c>
      <x:c r="H9" s="68" t="n">
        <x:f>B9/24</x:f>
        <x:v>1905758.8958333333</x:v>
      </x:c>
      <x:c r="I9" s="68" t="n">
        <x:f>H9*12</x:f>
        <x:v>22869106.75</x:v>
      </x:c>
      <x:c r="J9" s="68" t="n">
        <x:f>H9*((0.5*1)+(1.5*0.65)+(4*0.5)+(6*0.35))</x:f>
        <x:v>10624605.844270831</x:v>
      </x:c>
      <x:c r="K9" s="48" t="n">
        <x:f>J9/I9</x:f>
        <x:v>0.46458333333333324</x:v>
      </x:c>
      <x:c r="L9" s="68" t="n">
        <x:f>H9*((0.5*1*1)+(1.5*0.65*0.25)+(4*0.5*0.25)+(6*0.35*0.25))</x:f>
        <x:v>3370811.0470052077</x:v>
      </x:c>
      <x:c r="M9" s="48" t="n">
        <x:f>L9/I9</x:f>
        <x:v>0.1473958333333333</x:v>
      </x:c>
      <x:c r="N9" s="62" t="n">
        <x:f>(0.5*1)+(1.5*0.4)+(4*0.3)+(6*0.2)</x:f>
        <x:v>3.5</x:v>
      </x:c>
      <x:c r="O9" s="48" t="n">
        <x:f>N9/12</x:f>
        <x:v>0.2916666666666667</x:v>
      </x:c>
      <x:c r="P9" s="37" t="str">
        <x:v>Same ratios at all stages; no stage receives a passive advantage.</x:v>
      </x:c>
    </x:row>
  </x:sheetData>
  <x:mergeCells>
    <x:mergeCell ref="A1:P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Idle / Offline Economy Live-Ops Controls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Competitive Risk</x:v>
      </x:c>
      <x:c r="I3" s="14" t="str">
        <x:v>Economy Risk</x:v>
      </x:c>
      <x:c r="J3" s="14" t="str">
        <x:v>Player Friction Risk</x:v>
      </x:c>
      <x:c r="K3" s="14" t="str">
        <x:v>Owner</x:v>
      </x:c>
      <x:c r="L3" s="14" t="str">
        <x:v>Alert Threshold</x:v>
      </x:c>
      <x:c r="M3" s="14" t="str">
        <x:v>Player Impact</x:v>
      </x:c>
      <x:c r="N3" s="14" t="str">
        <x:v>Notes</x:v>
      </x:c>
    </x:row>
    <x:row r="4">
      <x:c r="A4" s="30" t="str">
        <x:v>Offline accrual cap</x:v>
      </x:c>
      <x:c r="B4" s="31" t="str">
        <x:v>12h</x:v>
      </x:c>
      <x:c r="C4" s="31" t="str">
        <x:v>Monthly</x:v>
      </x:c>
      <x:c r="D4" s="31" t="str">
        <x:v>Return cadence / frozen-time share</x:v>
      </x:c>
      <x:c r="E4" s="31" t="str">
        <x:v>Too many normal players hit cap</x:v>
      </x:c>
      <x:c r="F4" s="31" t="str">
        <x:v>Retention loop too passive</x:v>
      </x:c>
      <x:c r="G4" s="31" t="str">
        <x:v>+/-2h</x:v>
      </x:c>
      <x:c r="H4" s="31" t="str">
        <x:v>Medium</x:v>
      </x:c>
      <x:c r="I4" s="31" t="str">
        <x:v>High</x:v>
      </x:c>
      <x:c r="J4" s="31" t="str">
        <x:v>High</x:v>
      </x:c>
      <x:c r="K4" s="31" t="str">
        <x:v>Economy</x:v>
      </x:c>
      <x:c r="L4" s="31" t="str">
        <x:v>Median frozen time &gt;6h/day among retained players</x:v>
      </x:c>
      <x:c r="M4" s="31" t="str">
        <x:v>High</x:v>
      </x:c>
      <x:c r="N4" s="32" t="str">
        <x:v>Do not optimize solely for session frequency</x:v>
      </x:c>
    </x:row>
    <x:row r="5">
      <x:c r="A5" s="33" t="str">
        <x:v>Short-away Cash efficiency</x:v>
      </x:c>
      <x:c r="B5" s="22" t="str">
        <x:v>65%</x:v>
      </x:c>
      <x:c r="C5" s="22" t="str">
        <x:v>Monthly</x:v>
      </x:c>
      <x:c r="D5" s="22" t="str">
        <x:v>Offline Cash / total Cash</x:v>
      </x:c>
      <x:c r="E5" s="22" t="str">
        <x:v>Away time feels too punitive</x:v>
      </x:c>
      <x:c r="F5" s="22" t="str">
        <x:v>Passive Cash dominates</x:v>
      </x:c>
      <x:c r="G5" s="22" t="str">
        <x:v>+/-5 pts</x:v>
      </x:c>
      <x:c r="H5" s="22" t="str">
        <x:v>Medium</x:v>
      </x:c>
      <x:c r="I5" s="22" t="str">
        <x:v>High</x:v>
      </x:c>
      <x:c r="J5" s="22" t="str">
        <x:v>Medium</x:v>
      </x:c>
      <x:c r="K5" s="22" t="str">
        <x:v>Economy</x:v>
      </x:c>
      <x:c r="L5" s="22" t="str">
        <x:v>Offline Cash &gt;55% of total Cash for top cohorts</x:v>
      </x:c>
      <x:c r="M5" s="22" t="str">
        <x:v>High</x:v>
      </x:c>
      <x:c r="N5" s="34" t="str"/>
    </x:row>
    <x:row r="6">
      <x:c r="A6" s="33" t="str">
        <x:v>Medium-away Cash efficiency</x:v>
      </x:c>
      <x:c r="B6" s="22" t="str">
        <x:v>50%</x:v>
      </x:c>
      <x:c r="C6" s="22" t="str">
        <x:v>Monthly</x:v>
      </x:c>
      <x:c r="D6" s="22" t="str">
        <x:v>Same</x:v>
      </x:c>
      <x:c r="E6" s="22" t="str">
        <x:v>Progress too slow</x:v>
      </x:c>
      <x:c r="F6" s="22" t="str">
        <x:v>Passive economy too generous</x:v>
      </x:c>
      <x:c r="G6" s="22" t="str">
        <x:v>+/-5 pts</x:v>
      </x:c>
      <x:c r="H6" s="22" t="str">
        <x:v>Medium</x:v>
      </x:c>
      <x:c r="I6" s="22" t="str">
        <x:v>High</x:v>
      </x:c>
      <x:c r="J6" s="22" t="str">
        <x:v>Medium</x:v>
      </x:c>
      <x:c r="K6" s="22" t="str">
        <x:v>Economy</x:v>
      </x:c>
      <x:c r="L6" s="22" t="str">
        <x:v>Same</x:v>
      </x:c>
      <x:c r="M6" s="22" t="str">
        <x:v>High</x:v>
      </x:c>
      <x:c r="N6" s="34" t="str"/>
    </x:row>
    <x:row r="7">
      <x:c r="A7" s="33" t="str">
        <x:v>Long-away Cash efficiency</x:v>
      </x:c>
      <x:c r="B7" s="22" t="str">
        <x:v>35%</x:v>
      </x:c>
      <x:c r="C7" s="22" t="str">
        <x:v>Monthly</x:v>
      </x:c>
      <x:c r="D7" s="22" t="str">
        <x:v>Same</x:v>
      </x:c>
      <x:c r="E7" s="22" t="str">
        <x:v>Long absence too harsh</x:v>
      </x:c>
      <x:c r="F7" s="22" t="str">
        <x:v>No reason to return</x:v>
      </x:c>
      <x:c r="G7" s="22" t="str">
        <x:v>+/-5 pts</x:v>
      </x:c>
      <x:c r="H7" s="22" t="str">
        <x:v>Medium</x:v>
      </x:c>
      <x:c r="I7" s="22" t="str">
        <x:v>High</x:v>
      </x:c>
      <x:c r="J7" s="22" t="str">
        <x:v>High</x:v>
      </x:c>
      <x:c r="K7" s="22" t="str">
        <x:v>Economy</x:v>
      </x:c>
      <x:c r="L7" s="22" t="str">
        <x:v>Frozen/cap complaints + retention</x:v>
      </x:c>
      <x:c r="M7" s="22" t="str">
        <x:v>High</x:v>
      </x:c>
      <x:c r="N7" s="34" t="str"/>
    </x:row>
    <x:row r="8">
      <x:c r="A8" s="33" t="str">
        <x:v>Customer intensity bands</x:v>
      </x:c>
      <x:c r="B8" s="22" t="str">
        <x:v>40/30/20%</x:v>
      </x:c>
      <x:c r="C8" s="22" t="str">
        <x:v>Monthly</x:v>
      </x:c>
      <x:c r="D8" s="22" t="str">
        <x:v>Offline customer net delta / active delta</x:v>
      </x:c>
      <x:c r="E8" s="22" t="str">
        <x:v>Customers feel static</x:v>
      </x:c>
      <x:c r="F8" s="22" t="str">
        <x:v>Passive growth/churn too large</x:v>
      </x:c>
      <x:c r="G8" s="22" t="str">
        <x:v>+/-5 pts</x:v>
      </x:c>
      <x:c r="H8" s="22" t="str">
        <x:v>Medium</x:v>
      </x:c>
      <x:c r="I8" s="22" t="str">
        <x:v>Medium</x:v>
      </x:c>
      <x:c r="J8" s="22" t="str">
        <x:v>Medium</x:v>
      </x:c>
      <x:c r="K8" s="22" t="str">
        <x:v>Game Systems</x:v>
      </x:c>
      <x:c r="L8" s="22" t="str">
        <x:v>Offline customer changes &gt;35% active changes</x:v>
      </x:c>
      <x:c r="M8" s="22" t="str">
        <x:v>Medium</x:v>
      </x:c>
      <x:c r="N8" s="34" t="str">
        <x:v>Scale acquisition and churn together</x:v>
      </x:c>
    </x:row>
    <x:row r="9">
      <x:c r="A9" s="33" t="str">
        <x:v>Offline Performance revenue credit</x:v>
      </x:c>
      <x:c r="B9" s="22" t="str">
        <x:v>25%</x:v>
      </x:c>
      <x:c r="C9" s="22" t="str">
        <x:v>Seasonal</x:v>
      </x:c>
      <x:c r="D9" s="22" t="str">
        <x:v>Offline share of Revenue subscore</x:v>
      </x:c>
      <x:c r="E9" s="22" t="str">
        <x:v>Busy users under-rewarded</x:v>
      </x:c>
      <x:c r="F9" s="22" t="str">
        <x:v>Idle players rank too high</x:v>
      </x:c>
      <x:c r="G9" s="22" t="str">
        <x:v>+/-5 pts</x:v>
      </x:c>
      <x:c r="H9" s="22" t="str">
        <x:v>Critical</x:v>
      </x:c>
      <x:c r="I9" s="22" t="str">
        <x:v>Low</x:v>
      </x:c>
      <x:c r="J9" s="22" t="str">
        <x:v>Medium</x:v>
      </x:c>
      <x:c r="K9" s="22" t="str">
        <x:v>Performance</x:v>
      </x:c>
      <x:c r="L9" s="22" t="str">
        <x:v>Offline-derived Revenue &gt;20% of top-quartile subscore</x:v>
      </x:c>
      <x:c r="M9" s="22" t="str">
        <x:v>High</x:v>
      </x:c>
      <x:c r="N9" s="34" t="str"/>
    </x:row>
    <x:row r="10">
      <x:c r="A10" s="33" t="str">
        <x:v>Offline Performance growth credit</x:v>
      </x:c>
      <x:c r="B10" s="22" t="str">
        <x:v>25%</x:v>
      </x:c>
      <x:c r="C10" s="22" t="str">
        <x:v>Seasonal</x:v>
      </x:c>
      <x:c r="D10" s="22" t="str">
        <x:v>Offline share of Growth subscore</x:v>
      </x:c>
      <x:c r="E10" s="22" t="str">
        <x:v>Busy users under-rewarded</x:v>
      </x:c>
      <x:c r="F10" s="22" t="str">
        <x:v>Idle players rank too high</x:v>
      </x:c>
      <x:c r="G10" s="22" t="str">
        <x:v>+/-5 pts</x:v>
      </x:c>
      <x:c r="H10" s="22" t="str">
        <x:v>Critical</x:v>
      </x:c>
      <x:c r="I10" s="22" t="str">
        <x:v>Low</x:v>
      </x:c>
      <x:c r="J10" s="22" t="str">
        <x:v>Medium</x:v>
      </x:c>
      <x:c r="K10" s="22" t="str">
        <x:v>Performance</x:v>
      </x:c>
      <x:c r="L10" s="22" t="str">
        <x:v>Offline-derived Growth &gt;20% top-quartile</x:v>
      </x:c>
      <x:c r="M10" s="22" t="str">
        <x:v>High</x:v>
      </x:c>
      <x:c r="N10" s="34" t="str"/>
    </x:row>
    <x:row r="11">
      <x:c r="A11" s="33" t="str">
        <x:v>AFK timeout</x:v>
      </x:c>
      <x:c r="B11" s="22" t="str">
        <x:v>20m</x:v>
      </x:c>
      <x:c r="C11" s="22" t="str">
        <x:v>Monthly</x:v>
      </x:c>
      <x:c r="D11" s="22" t="str">
        <x:v>AFK-connected hours / engaged hours</x:v>
      </x:c>
      <x:c r="E11" s="22" t="str">
        <x:v>Normal thinking time classified AFK</x:v>
      </x:c>
      <x:c r="F11" s="22" t="str">
        <x:v>Screen-on idling common</x:v>
      </x:c>
      <x:c r="G11" s="22" t="str">
        <x:v>+/-5m</x:v>
      </x:c>
      <x:c r="H11" s="22" t="str">
        <x:v>High</x:v>
      </x:c>
      <x:c r="I11" s="22" t="str">
        <x:v>Low</x:v>
      </x:c>
      <x:c r="J11" s="22" t="str">
        <x:v>Medium</x:v>
      </x:c>
      <x:c r="K11" s="22" t="str">
        <x:v>Backend</x:v>
      </x:c>
      <x:c r="L11" s="22" t="str">
        <x:v>AFK-connected &gt;2× engaged hours</x:v>
      </x:c>
      <x:c r="M11" s="22" t="str">
        <x:v>Medium</x:v>
      </x:c>
      <x:c r="N11" s="34" t="str"/>
    </x:row>
    <x:row r="12">
      <x:c r="A12" s="33" t="str">
        <x:v>Active-day requirement</x:v>
      </x:c>
      <x:c r="B12" s="22" t="str">
        <x:v>10 min + state-changing action</x:v>
      </x:c>
      <x:c r="C12" s="22" t="str">
        <x:v>Seasonal</x:v>
      </x:c>
      <x:c r="D12" s="22" t="str">
        <x:v>Qualifying days / DAU</x:v>
      </x:c>
      <x:c r="E12" s="22" t="str">
        <x:v>Legit players miss qualification</x:v>
      </x:c>
      <x:c r="F12" s="22" t="str">
        <x:v>Micro-login farming</x:v>
      </x:c>
      <x:c r="G12" s="22" t="str">
        <x:v>Change minutes/action rule carefully</x:v>
      </x:c>
      <x:c r="H12" s="22" t="str">
        <x:v>Critical</x:v>
      </x:c>
      <x:c r="I12" s="22" t="str">
        <x:v>Low</x:v>
      </x:c>
      <x:c r="J12" s="22" t="str">
        <x:v>High</x:v>
      </x:c>
      <x:c r="K12" s="22" t="str">
        <x:v>Competition</x:v>
      </x:c>
      <x:c r="L12" s="22" t="str">
        <x:v>High login count with near-zero gameplay</x:v>
      </x:c>
      <x:c r="M12" s="22" t="str">
        <x:v>High</x:v>
      </x:c>
      <x:c r="N12" s="34" t="str">
        <x:v>Existing league min days preserved</x:v>
      </x:c>
    </x:row>
    <x:row r="13">
      <x:c r="A13" s="35" t="str">
        <x:v>Risk offline intensity floor</x:v>
      </x:c>
      <x:c r="B13" s="36" t="str">
        <x:v>50%</x:v>
      </x:c>
      <x:c r="C13" s="36" t="str">
        <x:v>Monthly</x:v>
      </x:c>
      <x:c r="D13" s="36" t="str">
        <x:v>Offline risk movement / active risk movement</x:v>
      </x:c>
      <x:c r="E13" s="36" t="str">
        <x:v>Risk can be dodged</x:v>
      </x:c>
      <x:c r="F13" s="36" t="str">
        <x:v>Offline absence too punitive</x:v>
      </x:c>
      <x:c r="G13" s="36" t="str">
        <x:v>+/-10 pts</x:v>
      </x:c>
      <x:c r="H13" s="36" t="str">
        <x:v>High</x:v>
      </x:c>
      <x:c r="I13" s="36" t="str">
        <x:v>Medium</x:v>
      </x:c>
      <x:c r="J13" s="36" t="str">
        <x:v>High</x:v>
      </x:c>
      <x:c r="K13" s="36" t="str">
        <x:v>Risk</x:v>
      </x:c>
      <x:c r="L13" s="36" t="str">
        <x:v>Players log out after risk warning and improve outcomes</x:v>
      </x:c>
      <x:c r="M13" s="36" t="str">
        <x:v>Medium</x:v>
      </x:c>
      <x:c r="N13" s="37" t="str">
        <x:v>Global critical event rules remain full</x:v>
      </x:c>
    </x:row>
  </x:sheetData>
  <x:mergeCells>
    <x:mergeCell ref="A1:N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</x:cols>
  <x:sheetData>
    <x:row r="1" ht="30" customHeight="1">
      <x:c r="A1" s="88" t="str">
        <x:v>Canonical Overrides to Existing PLOT Documents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Affected Document / System</x:v>
      </x:c>
      <x:c r="B3" s="14" t="str">
        <x:v>Prior Rule / Assumption</x:v>
      </x:c>
      <x:c r="C3" s="14" t="str">
        <x:v>New Canonical Rule</x:v>
      </x:c>
      <x:c r="D3" s="14" t="str">
        <x:v>What Remains Valid</x:v>
      </x:c>
      <x:c r="E3" s="14" t="str">
        <x:v>What Is Superseded</x:v>
      </x:c>
      <x:c r="F3" s="14" t="str">
        <x:v>Implementation Priority</x:v>
      </x:c>
      <x:c r="G3" s="14" t="str">
        <x:v>Backend Change</x:v>
      </x:c>
      <x:c r="H3" s="14" t="str">
        <x:v>Performance Change</x:v>
      </x:c>
      <x:c r="I3" s="14" t="str">
        <x:v>UI Change</x:v>
      </x:c>
      <x:c r="J3" s="14" t="str">
        <x:v>Balance Risk</x:v>
      </x:c>
      <x:c r="K3" s="14" t="str">
        <x:v>Migration Needed?</x:v>
      </x:c>
      <x:c r="L3" s="14" t="str">
        <x:v>Status</x:v>
      </x:c>
      <x:c r="M3" s="14" t="str">
        <x:v>Reason</x:v>
      </x:c>
      <x:c r="N3" s="14" t="str">
        <x:v>Notes</x:v>
      </x:c>
    </x:row>
    <x:row r="4">
      <x:c r="A4" s="30" t="str">
        <x:v>Customer &amp; Economic Simulation</x:v>
      </x:c>
      <x:c r="B4" s="31" t="str">
        <x:v>Offline revenue efficiency 70%; offline acquisition efficiency 50%; max offline accrual 8h</x:v>
      </x:c>
      <x:c r="C4" s="31" t="str">
        <x:v>Tiered offline schedule: 100% grace, then Cash 65/50/35%; customer simulation 40/30/20%; cap 12h</x:v>
      </x:c>
      <x:c r="D4" s="31" t="str">
        <x:v>Core acquisition/churn/capacity formulas, stage baselines, active economy</x:v>
      </x:c>
      <x:c r="E4" s="31" t="str">
        <x:v>Flat 70%/50% offline multipliers and 8h cap</x:v>
      </x:c>
      <x:c r="F4" s="31" t="str">
        <x:v>Immediate</x:v>
      </x:c>
      <x:c r="G4" s="31" t="str">
        <x:v>Presence-tagged offline catch-up</x:v>
      </x:c>
      <x:c r="H4" s="31" t="str">
        <x:v>Customer Growth offline credit 25%</x:v>
      </x:c>
      <x:c r="I4" s="31" t="str">
        <x:v>Return summary + cap notice</x:v>
      </x:c>
      <x:c r="J4" s="31" t="str">
        <x:v>High</x:v>
      </x:c>
      <x:c r="K4" s="31" t="str">
        <x:v>Config/data fields only if old system unshipped</x:v>
      </x:c>
      <x:c r="L4" s="31" t="str">
        <x:v>FINAL</x:v>
      </x:c>
      <x:c r="M4" s="31" t="str">
        <x:v>More player-friendly return cadence while preventing passive dominance</x:v>
      </x:c>
      <x:c r="N4" s="32" t="str"/>
    </x:row>
    <x:row r="5">
      <x:c r="A5" s="33" t="str">
        <x:v>Performance Score</x:v>
      </x:c>
      <x:c r="B5" s="22" t="str">
        <x:v>No explicit offline component filtering</x:v>
      </x:c>
      <x:c r="C5" s="22" t="str">
        <x:v>Offline Activity/Hunts 0; offline Revenue/Growth receive 25% of already-reduced offline flows; snapshot components continue</x:v>
      </x:c>
      <x:c r="D5" s="22" t="str">
        <x:v>Existing weights, score curves, eligibility, weekly settlement</x:v>
      </x:c>
      <x:c r="E5" s="22" t="str">
        <x:v>Treating offline Cash/activity exactly like engaged inputs</x:v>
      </x:c>
      <x:c r="F5" s="22" t="str">
        <x:v>Immediate</x:v>
      </x:c>
      <x:c r="G5" s="22" t="str">
        <x:v>Score aggregation filters by presence_state</x:v>
      </x:c>
      <x:c r="H5" s="22" t="str">
        <x:v>Major fairness rule</x:v>
      </x:c>
      <x:c r="I5" s="22" t="str">
        <x:v>Performance explainer</x:v>
      </x:c>
      <x:c r="J5" s="22" t="str">
        <x:v>Critical</x:v>
      </x:c>
      <x:c r="K5" s="22" t="str">
        <x:v>Yes in aggregator</x:v>
      </x:c>
      <x:c r="L5" s="22" t="str">
        <x:v>FINAL</x:v>
      </x:c>
      <x:c r="M5" s="22" t="str">
        <x:v>Prevents idle-first strategy</x:v>
      </x:c>
      <x:c r="N5" s="34" t="str"/>
    </x:row>
    <x:row r="6">
      <x:c r="A6" s="33" t="str">
        <x:v>Leagues &amp; Seasons</x:v>
      </x:c>
      <x:c r="B6" s="22" t="str">
        <x:v>Active-day thresholds existed but active day not fully defined</x:v>
      </x:c>
      <x:c r="C6" s="22" t="str">
        <x:v>Eligible active day = 10 engaged minutes + at least one meaningful state-changing action</x:v>
      </x:c>
      <x:c r="D6" s="22" t="str">
        <x:v>3 days Bronze–Gold, 4 days Platinum+ unless later revised</x:v>
      </x:c>
      <x:c r="E6" s="22" t="str">
        <x:v>Heartbeat/login-only qualification</x:v>
      </x:c>
      <x:c r="F6" s="22" t="str">
        <x:v>Immediate</x:v>
      </x:c>
      <x:c r="G6" s="22" t="str">
        <x:v>Daily engaged-minute aggregate</x:v>
      </x:c>
      <x:c r="H6" s="22" t="str">
        <x:v>Eligibility only</x:v>
      </x:c>
      <x:c r="I6" s="22" t="str">
        <x:v>Show active-day progress</x:v>
      </x:c>
      <x:c r="J6" s="22" t="str">
        <x:v>High</x:v>
      </x:c>
      <x:c r="K6" s="22" t="str">
        <x:v>Yes</x:v>
      </x:c>
      <x:c r="L6" s="22" t="str">
        <x:v>FINAL</x:v>
      </x:c>
      <x:c r="M6" s="22" t="str">
        <x:v>Prevents micro-login farming</x:v>
      </x:c>
      <x:c r="N6" s="34" t="str"/>
    </x:row>
    <x:row r="7">
      <x:c r="A7" s="33" t="str">
        <x:v>Market Hunts</x:v>
      </x:c>
      <x:c r="B7" s="22" t="str">
        <x:v>Timers/daily objectives</x:v>
      </x:c>
      <x:c r="C7" s="22" t="str">
        <x:v>Timers continue in real time; progress/completion cannot happen offline/AFK</x:v>
      </x:c>
      <x:c r="D7" s="22" t="str">
        <x:v>All Hunt rewards, Hunt Points, stock budget</x:v>
      </x:c>
      <x:c r="E7" s="22" t="str">
        <x:v>Any passive Hunt progress</x:v>
      </x:c>
      <x:c r="F7" s="22" t="str">
        <x:v>Immediate</x:v>
      </x:c>
      <x:c r="G7" s="22" t="str">
        <x:v>Presence/action validation</x:v>
      </x:c>
      <x:c r="H7" s="22" t="str">
        <x:v>Hunt subscore = 0 from idle</x:v>
      </x:c>
      <x:c r="I7" s="22" t="str">
        <x:v>Hunt expiry/status</x:v>
      </x:c>
      <x:c r="J7" s="22" t="str">
        <x:v>High</x:v>
      </x:c>
      <x:c r="K7" s="22" t="str">
        <x:v>No if already action-based</x:v>
      </x:c>
      <x:c r="L7" s="22" t="str">
        <x:v>FINAL</x:v>
      </x:c>
      <x:c r="M7" s="22" t="str">
        <x:v>Hunts must represent play</x:v>
      </x:c>
      <x:c r="N7" s="34" t="str"/>
    </x:row>
    <x:row r="8">
      <x:c r="A8" s="33" t="str">
        <x:v>Events</x:v>
      </x:c>
      <x:c r="B8" s="22" t="str">
        <x:v>Global and personal event systems</x:v>
      </x:c>
      <x:c r="C8" s="22" t="str">
        <x:v>Global events continue offline; personal decision events queue/pause rather than auto-punish</x:v>
      </x:c>
      <x:c r="D8" s="22" t="str">
        <x:v>Event catalog, cooldowns, modifiers</x:v>
      </x:c>
      <x:c r="E8" s="22" t="str">
        <x:v>Logout-based event dodging / punitive auto-choice</x:v>
      </x:c>
      <x:c r="F8" s="22" t="str">
        <x:v>Immediate</x:v>
      </x:c>
      <x:c r="G8" s="22" t="str">
        <x:v>Catch-up replays event windows</x:v>
      </x:c>
      <x:c r="H8" s="22" t="str">
        <x:v>Underlying metrics only</x:v>
      </x:c>
      <x:c r="I8" s="22" t="str">
        <x:v>Return event queue</x:v>
      </x:c>
      <x:c r="J8" s="22" t="str">
        <x:v>High</x:v>
      </x:c>
      <x:c r="K8" s="22" t="str">
        <x:v>Yes</x:v>
      </x:c>
      <x:c r="L8" s="22" t="str">
        <x:v>FINAL</x:v>
      </x:c>
      <x:c r="M8" s="22" t="str">
        <x:v>Fairness without punishing absence</x:v>
      </x:c>
      <x:c r="N8" s="34" t="str"/>
    </x:row>
    <x:row r="9">
      <x:c r="A9" s="33" t="str">
        <x:v>Risk &amp; Reputation</x:v>
      </x:c>
      <x:c r="B9" s="22" t="str">
        <x:v>Risk/Rep systems</x:v>
      </x:c>
      <x:c r="C9" s="22" t="str">
        <x:v>Risk continues offline at &gt;=50% evaluation intensity; no positive passive Rep gain; explicit negative incidents can still occur</x:v>
      </x:c>
      <x:c r="D9" s="22" t="str">
        <x:v>Risk bands, Rep caps, incident rules</x:v>
      </x:c>
      <x:c r="E9" s="22" t="str">
        <x:v>Pausing risk entirely offline</x:v>
      </x:c>
      <x:c r="F9" s="22" t="str">
        <x:v>Immediate</x:v>
      </x:c>
      <x:c r="G9" s="22" t="str">
        <x:v>Presence-aware risk evaluator</x:v>
      </x:c>
      <x:c r="H9" s="22" t="str">
        <x:v>Risk/Rep snapshots still score normally</x:v>
      </x:c>
      <x:c r="I9" s="22" t="str">
        <x:v>Risk summary</x:v>
      </x:c>
      <x:c r="J9" s="22" t="str">
        <x:v>High</x:v>
      </x:c>
      <x:c r="K9" s="22" t="str">
        <x:v>Yes</x:v>
      </x:c>
      <x:c r="L9" s="22" t="str">
        <x:v>FINAL</x:v>
      </x:c>
      <x:c r="M9" s="22" t="str">
        <x:v>Cannot log out to escape poor management</x:v>
      </x:c>
      <x:c r="N9" s="34" t="str"/>
    </x:row>
    <x:row r="10">
      <x:c r="A10" s="33" t="str">
        <x:v>Building/Module Systems</x:v>
      </x:c>
      <x:c r="B10" s="22" t="str">
        <x:v>No canonical offline Module rule</x:v>
      </x:c>
      <x:c r="C10" s="22" t="str">
        <x:v>Module effects apply to underlying offline simulation, but no Module may increase offline duration or offline Performance credit</x:v>
      </x:c>
      <x:c r="D10" s="22" t="str">
        <x:v>Module categories/caps/loadouts</x:v>
      </x:c>
      <x:c r="E10" s="22" t="str">
        <x:v>Offline-efficiency or offline-score Modules</x:v>
      </x:c>
      <x:c r="F10" s="22" t="str">
        <x:v>P1</x:v>
      </x:c>
      <x:c r="G10" s="22" t="str">
        <x:v>Config validation</x:v>
      </x:c>
      <x:c r="H10" s="22" t="str">
        <x:v>No direct Module score</x:v>
      </x:c>
      <x:c r="I10" s="22" t="str">
        <x:v>Equip detail disclosure</x:v>
      </x:c>
      <x:c r="J10" s="22" t="str">
        <x:v>Medium</x:v>
      </x:c>
      <x:c r="K10" s="22" t="str">
        <x:v>No</x:v>
      </x:c>
      <x:c r="L10" s="22" t="str">
        <x:v>FINAL</x:v>
      </x:c>
      <x:c r="M10" s="22" t="str">
        <x:v>Avoid idle meta</x:v>
      </x:c>
      <x:c r="N10" s="34"/>
    </x:row>
    <x:row r="11">
      <x:c r="A11" s="35" t="str">
        <x:v>Backend/Game-State Spec</x:v>
      </x:c>
      <x:c r="B11" s="36" t="str">
        <x:v>Max offline accrual previously 8h in assumptions</x:v>
      </x:c>
      <x:c r="C11" s="36" t="str">
        <x:v>12h canonical cap; presence_state and offline band must be ledgered for scoring/replay</x:v>
      </x:c>
      <x:c r="D11" s="36" t="str">
        <x:v>Server authority, tick cadence, ledgers</x:v>
      </x:c>
      <x:c r="E11" s="36" t="str">
        <x:v>Old max-offline assumption only</x:v>
      </x:c>
      <x:c r="F11" s="36" t="str">
        <x:v>Immediate</x:v>
      </x:c>
      <x:c r="G11" s="36" t="str">
        <x:v>Add offline session cursor/tags</x:v>
      </x:c>
      <x:c r="H11" s="36" t="str">
        <x:v>Enables filtering</x:v>
      </x:c>
      <x:c r="I11" s="36" t="str">
        <x:v>Offline summary read model</x:v>
      </x:c>
      <x:c r="J11" s="36" t="str">
        <x:v>Medium</x:v>
      </x:c>
      <x:c r="K11" s="36" t="str">
        <x:v>Yes config/schema</x:v>
      </x:c>
      <x:c r="L11" s="36" t="str">
        <x:v>FINAL</x:v>
      </x:c>
      <x:c r="M11" s="36" t="str">
        <x:v>This spec supersedes prior offline numbers</x:v>
      </x:c>
      <x:c r="N11" s="37" t="str"/>
    </x:row>
  </x:sheetData>
  <x:mergeCells>
    <x:mergeCell ref="A1:N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Idle / Offline Economy Model Checks</x:v>
      </x:c>
      <x:c r="B1" s="88"/>
      <x:c r="C1" s="88"/>
      <x:c r="D1" s="88"/>
      <x:c r="E1" s="88"/>
      <x:c r="F1" s="88"/>
      <x:c r="G1" s="88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0" t="str">
        <x:v>Offline cap is 12 hours</x:v>
      </x:c>
      <x:c r="B4" s="31" t="n">
        <x:v>12</x:v>
      </x:c>
      <x:c r="C4" s="31" t="n">
        <x:f>'01_Assumptions'!B7</x:f>
        <x:v>12</x:v>
      </x:c>
      <x:c r="D4" s="31" t="str">
        <x:f>IF(C4=B4,"PASS","CHECK")</x:f>
        <x:v>PASS</x:v>
      </x:c>
      <x:c r="E4" s="31" t="str">
        <x:v>Critical</x:v>
      </x:c>
      <x:c r="F4" s="31" t="str">
        <x:v>Canonical return cadence</x:v>
      </x:c>
      <x:c r="G4" s="32" t="str"/>
    </x:row>
    <x:row r="5">
      <x:c r="A5" s="33" t="str">
        <x:v>Offline Activity credit is zero</x:v>
      </x:c>
      <x:c r="B5" s="22" t="n">
        <x:v>0</x:v>
      </x:c>
      <x:c r="C5" s="22" t="n">
        <x:f>'01_Assumptions'!B16</x:f>
        <x:v>0</x:v>
      </x:c>
      <x:c r="D5" s="22" t="str">
        <x:f>IF(C5=B5,"PASS","CHECK")</x:f>
        <x:v>PASS</x:v>
      </x:c>
      <x:c r="E5" s="22" t="str">
        <x:v>Critical</x:v>
      </x:c>
      <x:c r="F5" s="22" t="str">
        <x:v>Prevents passive score farming</x:v>
      </x:c>
      <x:c r="G5" s="34" t="str"/>
    </x:row>
    <x:row r="6">
      <x:c r="A6" s="33" t="str">
        <x:v>Offline Hunt progress is zero</x:v>
      </x:c>
      <x:c r="B6" s="22" t="n">
        <x:v>0</x:v>
      </x:c>
      <x:c r="C6" s="22" t="n">
        <x:f>'01_Assumptions'!B17</x:f>
        <x:v>0</x:v>
      </x:c>
      <x:c r="D6" s="22" t="str">
        <x:f>IF(C6=B6,"PASS","CHECK")</x:f>
        <x:v>PASS</x:v>
      </x:c>
      <x:c r="E6" s="22" t="str">
        <x:v>Critical</x:v>
      </x:c>
      <x:c r="F6" s="22" t="str">
        <x:v>Hunts require active play</x:v>
      </x:c>
      <x:c r="G6" s="34" t="str"/>
    </x:row>
    <x:row r="7">
      <x:c r="A7" s="33" t="str">
        <x:v>Offline positive Reputation gain is zero</x:v>
      </x:c>
      <x:c r="B7" s="22" t="n">
        <x:v>0</x:v>
      </x:c>
      <x:c r="C7" s="22" t="n">
        <x:f>'01_Assumptions'!B18</x:f>
        <x:v>0</x:v>
      </x:c>
      <x:c r="D7" s="22" t="str">
        <x:f>IF(C7=B7,"PASS","CHECK")</x:f>
        <x:v>PASS</x:v>
      </x:c>
      <x:c r="E7" s="22" t="str">
        <x:v>High</x:v>
      </x:c>
      <x:c r="F7" s="22" t="str">
        <x:v>Reputation cannot be farmed passively</x:v>
      </x:c>
      <x:c r="G7" s="34" t="str"/>
    </x:row>
    <x:row r="8">
      <x:c r="A8" s="33" t="str">
        <x:v>AFK timeout &lt;=30m</x:v>
      </x:c>
      <x:c r="B8" s="22" t="n">
        <x:v>30</x:v>
      </x:c>
      <x:c r="C8" s="22" t="n">
        <x:f>'01_Assumptions'!B19</x:f>
        <x:v>20</x:v>
      </x:c>
      <x:c r="D8" s="22" t="str">
        <x:f>IF(C8&lt;=B8,"PASS","CHECK")</x:f>
        <x:v>PASS</x:v>
      </x:c>
      <x:c r="E8" s="22" t="str">
        <x:v>High</x:v>
      </x:c>
      <x:c r="F8" s="22" t="str">
        <x:v>Stops screen-on idle exploit</x:v>
      </x:c>
      <x:c r="G8" s="34" t="str"/>
    </x:row>
    <x:row r="9">
      <x:c r="A9" s="33" t="str">
        <x:v>12h Cash efficiency &lt;50% of active</x:v>
      </x:c>
      <x:c r="B9" s="47" t="n">
        <x:v>0.5</x:v>
      </x:c>
      <x:c r="C9" s="47" t="n">
        <x:f>'14_Stage_Economy_Impact'!K4</x:f>
        <x:v>0.4645833333333333</x:v>
      </x:c>
      <x:c r="D9" s="22" t="str">
        <x:f>IF(C9&lt;B9,"PASS","CHECK")</x:f>
        <x:v>PASS</x:v>
      </x:c>
      <x:c r="E9" s="22" t="str">
        <x:v>High</x:v>
      </x:c>
      <x:c r="F9" s="22" t="str">
        <x:v>Active operation remains economically better</x:v>
      </x:c>
      <x:c r="G9" s="34" t="str"/>
    </x:row>
    <x:row r="10">
      <x:c r="A10" s="33" t="str">
        <x:v>12h Performance revenue effective &lt;15% active</x:v>
      </x:c>
      <x:c r="B10" s="47" t="n">
        <x:v>0.15</x:v>
      </x:c>
      <x:c r="C10" s="47" t="n">
        <x:f>'14_Stage_Economy_Impact'!M4</x:f>
        <x:v>0.14739583333333334</x:v>
      </x:c>
      <x:c r="D10" s="22" t="str">
        <x:f>IF(C10&lt;B10,"PASS","CHECK")</x:f>
        <x:v>PASS</x:v>
      </x:c>
      <x:c r="E10" s="22" t="str">
        <x:v>Critical</x:v>
      </x:c>
      <x:c r="F10" s="22" t="str">
        <x:v>Idle should not compete on revenue</x:v>
      </x:c>
      <x:c r="G10" s="34" t="str"/>
    </x:row>
    <x:row r="11">
      <x:c r="A11" s="33" t="str">
        <x:v>12h customer simulation &lt;35% active</x:v>
      </x:c>
      <x:c r="B11" s="47" t="n">
        <x:v>0.35</x:v>
      </x:c>
      <x:c r="C11" s="47" t="n">
        <x:f>'14_Stage_Economy_Impact'!O4</x:f>
        <x:v>0.2916666666666667</x:v>
      </x:c>
      <x:c r="D11" s="22" t="str">
        <x:f>IF(C11&lt;B11,"PASS","CHECK")</x:f>
        <x:v>PASS</x:v>
      </x:c>
      <x:c r="E11" s="22" t="str">
        <x:v>High</x:v>
      </x:c>
      <x:c r="F11" s="22" t="str">
        <x:v>Customer growth is slowed</x:v>
      </x:c>
      <x:c r="G11" s="34" t="str"/>
    </x:row>
    <x:row r="12">
      <x:c r="A12" s="33" t="str">
        <x:v>Passive weighted score share &lt;50%</x:v>
      </x:c>
      <x:c r="B12" s="47" t="n">
        <x:v>0.5</x:v>
      </x:c>
      <x:c r="C12" s="47" t="n">
        <x:f>'05_Performance_Rules'!C15</x:f>
        <x:v>0.38989583333333333</x:v>
      </x:c>
      <x:c r="D12" s="22" t="str">
        <x:f>IF(C12&lt;B12,"PASS","CHECK")</x:f>
        <x:v>PASS</x:v>
      </x:c>
      <x:c r="E12" s="22" t="str">
        <x:v>Critical</x:v>
      </x:c>
      <x:c r="F12" s="22" t="str">
        <x:v>Pure idle cannot approach top competitive scoring</x:v>
      </x:c>
      <x:c r="G12" s="34" t="str"/>
    </x:row>
    <x:row r="13">
      <x:c r="A13" s="33" t="str">
        <x:v>Global events cannot be dodged offline</x:v>
      </x:c>
      <x:c r="B13" s="22" t="n">
        <x:v>1</x:v>
      </x:c>
      <x:c r="C13" s="22" t="n">
        <x:f>IF('07_Events_Risk_Offline'!H4="No",1,0)</x:f>
        <x:v>1</x:v>
      </x:c>
      <x:c r="D13" s="22" t="str">
        <x:f>IF(C13=B13,"PASS","CHECK")</x:f>
        <x:v>PASS</x:v>
      </x:c>
      <x:c r="E13" s="22" t="str">
        <x:v>Critical</x:v>
      </x:c>
      <x:c r="F13" s="22" t="str">
        <x:v>No logout defense meta</x:v>
      </x:c>
      <x:c r="G13" s="34" t="str"/>
    </x:row>
    <x:row r="14">
      <x:c r="A14" s="33" t="str">
        <x:v>Personal events do not auto-punish offline</x:v>
      </x:c>
      <x:c r="B14" s="22" t="n">
        <x:v>1</x:v>
      </x:c>
      <x:c r="C14" s="22" t="n">
        <x:f>IF('07_Events_Risk_Offline'!B6="Queue/pause",1,0)</x:f>
        <x:v>1</x:v>
      </x:c>
      <x:c r="D14" s="22" t="str">
        <x:f>IF(C14=B14,"PASS","CHECK")</x:f>
        <x:v>PASS</x:v>
      </x:c>
      <x:c r="E14" s="22" t="str">
        <x:v>High</x:v>
      </x:c>
      <x:c r="F14" s="22" t="str">
        <x:v>Absence remains fair</x:v>
      </x:c>
      <x:c r="G14" s="34" t="str"/>
    </x:row>
    <x:row r="15">
      <x:c r="A15" s="33" t="str">
        <x:v>Recurring economy freezes after cap</x:v>
      </x:c>
      <x:c r="B15" s="22" t="n">
        <x:v>1</x:v>
      </x:c>
      <x:c r="C15" s="22" t="n">
        <x:f>IF('02_Offline_State_Model'!A10="Frozen",1,0)</x:f>
        <x:v>1</x:v>
      </x:c>
      <x:c r="D15" s="22" t="str">
        <x:f>IF(C15=B15,"PASS","CHECK")</x:f>
        <x:v>PASS</x:v>
      </x:c>
      <x:c r="E15" s="22" t="str">
        <x:v>Critical</x:v>
      </x:c>
      <x:c r="F15" s="22" t="str">
        <x:v>Bounds passive progression</x:v>
      </x:c>
      <x:c r="G15" s="34" t="str"/>
    </x:row>
    <x:row r="16">
      <x:c r="A16" s="33" t="str">
        <x:v>AFK heartbeat alone gives no engagement</x:v>
      </x:c>
      <x:c r="B16" s="22" t="n">
        <x:v>1</x:v>
      </x:c>
      <x:c r="C16" s="22" t="n">
        <x:f>IF('06_Engagement_AFK'!B10="No",1,0)</x:f>
        <x:v>1</x:v>
      </x:c>
      <x:c r="D16" s="22" t="str">
        <x:f>IF(C16=B16,"PASS","CHECK")</x:f>
        <x:v>PASS</x:v>
      </x:c>
      <x:c r="E16" s="22" t="str">
        <x:v>Critical</x:v>
      </x:c>
      <x:c r="F16" s="22" t="str">
        <x:v>No screen-on farming</x:v>
      </x:c>
      <x:c r="G16" s="34" t="str"/>
    </x:row>
    <x:row r="17">
      <x:c r="A17" s="33" t="str">
        <x:v>Module offline-efficiency category prohibited</x:v>
      </x:c>
      <x:c r="B17" s="22" t="n">
        <x:v>1</x:v>
      </x:c>
      <x:c r="C17" s="22" t="n">
        <x:f>IF('09_Modules_Offline'!B10="Not allowed v1.0",1,0)</x:f>
        <x:v>1</x:v>
      </x:c>
      <x:c r="D17" s="22" t="str">
        <x:f>IF(C17=B17,"PASS","CHECK")</x:f>
        <x:v>PASS</x:v>
      </x:c>
      <x:c r="E17" s="22" t="str">
        <x:v>High</x:v>
      </x:c>
      <x:c r="F17" s="22" t="str">
        <x:v>Avoid Module-driven idle meta</x:v>
      </x:c>
      <x:c r="G17" s="34" t="str"/>
    </x:row>
    <x:row r="18">
      <x:c r="A18" s="33" t="str">
        <x:v>Stage ratios are identical</x:v>
      </x:c>
      <x:c r="B18" s="22" t="n">
        <x:v>6</x:v>
      </x:c>
      <x:c r="C18" s="22" t="n">
        <x:f>IF(MAX('14_Stage_Economy_Impact'!K4:K9)-MIN('14_Stage_Economy_Impact'!K4:K9)&lt;0.000000001,6,0)</x:f>
        <x:v>6</x:v>
      </x:c>
      <x:c r="D18" s="22" t="str">
        <x:f>IF(C18=B18,"PASS","CHECK")</x:f>
        <x:v>PASS</x:v>
      </x:c>
      <x:c r="E18" s="22" t="str">
        <x:v>Medium</x:v>
      </x:c>
      <x:c r="F18" s="22" t="str">
        <x:v>No stage gets passive advantage</x:v>
      </x:c>
      <x:c r="G18" s="34" t="str"/>
    </x:row>
    <x:row r="19">
      <x:c r="A19" s="35" t="str">
        <x:v>Canonical overrides marked FINAL</x:v>
      </x:c>
      <x:c r="B19" s="36" t="n">
        <x:v>8</x:v>
      </x:c>
      <x:c r="C19" s="36" t="n">
        <x:f>COUNTIF('16_Canonical_Overrides'!L4:L11,"FINAL")</x:f>
        <x:v>8</x:v>
      </x:c>
      <x:c r="D19" s="36" t="str">
        <x:f>IF(C19=B19,"PASS","CHECK")</x:f>
        <x:v>PASS</x:v>
      </x:c>
      <x:c r="E19" s="36" t="str">
        <x:v>High</x:v>
      </x:c>
      <x:c r="F19" s="36" t="str">
        <x:v>Single-source-of-truth behavior</x:v>
      </x:c>
      <x:c r="G19" s="37" t="str"/>
    </x:row>
  </x:sheetData>
  <x:mergeCells>
    <x:mergeCell ref="A1:G1"/>
  </x:mergeCells>
  <x:conditionalFormatting sqref="D4:D19">
    <x:cfRule type="expression" dxfId="1" priority="1">
      <x:formula>D4="PASS"</x:formula>
    </x:cfRule>
    <x:cfRule type="expression" dxfId="2" priority="2">
      <x:formula>D4="CHECK"</x:formula>
    </x:cfRule>
  </x:conditionalFormatting>
  <x:pageMargins left="0.7" right="0.7" top="0.75" bottom="0.75" header="0.3" footer="0.3"/>
</x:worksheet>
</file>